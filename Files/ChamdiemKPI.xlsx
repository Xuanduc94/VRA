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127"/>
  <x:workbookPr codeName="ThisWorkbook"/>
  <mc:AlternateContent xmlns:mc="http://schemas.openxmlformats.org/markup-compatibility/2006">
    <mc:Choice Requires="x15">
      <x15ac:absPath xmlns:x15ac="http://schemas.microsoft.com/office/spreadsheetml/2010/11/ac" url="D:\Viettel\Viettel_Report_Automation\Files\"/>
    </mc:Choice>
  </mc:AlternateContent>
  <xr:revisionPtr revIDLastSave="0" documentId="13_ncr:1_{7E1D8F3F-F47D-4B8E-98FE-E53972FF7990}" xr6:coauthVersionLast="47" xr6:coauthVersionMax="47" xr10:uidLastSave="{00000000-0000-0000-0000-000000000000}"/>
  <x:bookViews>
    <x:workbookView xWindow="-120" yWindow="-120" windowWidth="20730" windowHeight="11160" firstSheet="0" activeTab="5" xr2:uid="{00000000-000D-0000-FFFF-FFFF00000000}"/>
  </x:bookViews>
  <x:sheets>
    <x:sheet name="Kết quả chấm" sheetId="2" r:id="rId1"/>
    <x:sheet name="TH điểm" sheetId="4" r:id="rId2"/>
    <x:sheet name="VTT" sheetId="7" r:id="rId3"/>
    <x:sheet name="VTS" sheetId="9" r:id="rId4"/>
    <x:sheet name="Tỉnh T7" sheetId="8" r:id="rId5"/>
    <x:sheet name="BC_chi_tiet" sheetId="10" r:id="rId6"/>
    <x:sheet name="Meta" sheetId="11" r:id="rId7"/>
    <x:sheet name="PLI- KPI cham diem tinh" sheetId="6" state="hidden" r:id="rId8"/>
    <x:sheet name="MetaTH" sheetId="12" r:id="rId9"/>
  </x:sheets>
  <x:externalReferences>
    <x:externalReference r:id="rId10"/>
    <x:externalReference r:id="rId11"/>
    <x:externalReference r:id="rId12"/>
    <x:externalReference r:id="rId13"/>
    <x:externalReference r:id="rId14"/>
    <x:externalReference r:id="rId15"/>
    <x:externalReference r:id="rId16"/>
    <x:externalReference r:id="rId17"/>
    <x:externalReference r:id="rId18"/>
  </x:externalReferences>
  <x:definedNames>
    <x:definedName name="_xlnm.Print_Area" localSheetId="0">'Kết quả chấm'!$A$1:$G$11</x:definedName>
    <x:definedName name="_xlnm._FilterDatabase" localSheetId="0" hidden="1">'Kết quả chấm'!$A$3:$G$11</x:definedName>
    <x:definedName name="_______________________________________________NSO2" localSheetId="0" hidden="1">{"'Sheet1'!$L$16"}</x:definedName>
    <x:definedName name="______________________________________________n23" localSheetId="0" hidden="1">{"'Sheet1'!$L$16"}</x:definedName>
    <x:definedName name="______________________________________________NSO2" localSheetId="0" hidden="1">{"'Sheet1'!$L$16"}</x:definedName>
    <x:definedName name="_____________________________________________n23" localSheetId="0" hidden="1">{"'Sheet1'!$L$16"}</x:definedName>
    <x:definedName name="_____________________________________________NSO2" localSheetId="0" hidden="1">{"'Sheet1'!$L$16"}</x:definedName>
    <x:definedName name="____________________________________________n23" localSheetId="0" hidden="1">{"'Sheet1'!$L$16"}</x:definedName>
    <x:definedName name="____________________________________________NSO2" localSheetId="0" hidden="1">{"'Sheet1'!$L$16"}</x:definedName>
    <x:definedName name="___________________________________________n23" localSheetId="0" hidden="1">{"'Sheet1'!$L$16"}</x:definedName>
    <x:definedName name="___________________________________________new3" localSheetId="0" hidden="1">{"'Sheet1'!$L$16"}</x:definedName>
    <x:definedName name="___________________________________________new5" localSheetId="0" hidden="1">{"'Sheet1'!$L$16"}</x:definedName>
    <x:definedName name="___________________________________________new6" localSheetId="0" hidden="1">{"'Sheet1'!$L$16"}</x:definedName>
    <x:definedName name="___________________________________________new7" localSheetId="0" hidden="1">{"'Sheet1'!$L$16"}</x:definedName>
    <x:definedName name="___________________________________________NSO2" localSheetId="0" hidden="1">{"'Sheet1'!$L$16"}</x:definedName>
    <x:definedName name="__________________________________________n23" localSheetId="0" hidden="1">{"'Sheet1'!$L$16"}</x:definedName>
    <x:definedName name="__________________________________________new3" localSheetId="0" hidden="1">{"'Sheet1'!$L$16"}</x:definedName>
    <x:definedName name="__________________________________________new5" localSheetId="0" hidden="1">{"'Sheet1'!$L$16"}</x:definedName>
    <x:definedName name="__________________________________________new6" localSheetId="0" hidden="1">{"'Sheet1'!$L$16"}</x:definedName>
    <x:definedName name="__________________________________________new7" localSheetId="0" hidden="1">{"'Sheet1'!$L$16"}</x:definedName>
    <x:definedName name="__________________________________________NSO2" localSheetId="0" hidden="1">{"'Sheet1'!$L$16"}</x:definedName>
    <x:definedName name="__________________________________________T8" localSheetId="0" hidden="1">{"'Sheet1'!$L$16"}</x:definedName>
    <x:definedName name="_________________________________________n23" localSheetId="0" hidden="1">{"'Sheet1'!$L$16"}</x:definedName>
    <x:definedName name="_________________________________________new3" localSheetId="0" hidden="1">{"'Sheet1'!$L$16"}</x:definedName>
    <x:definedName name="_________________________________________new5" localSheetId="0" hidden="1">{"'Sheet1'!$L$16"}</x:definedName>
    <x:definedName name="_________________________________________new6" localSheetId="0" hidden="1">{"'Sheet1'!$L$16"}</x:definedName>
    <x:definedName name="_________________________________________new7" localSheetId="0" hidden="1">{"'Sheet1'!$L$16"}</x:definedName>
    <x:definedName name="_________________________________________NSO2" localSheetId="0" hidden="1">{"'Sheet1'!$L$16"}</x:definedName>
    <x:definedName name="_________________________________________T8" localSheetId="0" hidden="1">{"'Sheet1'!$L$16"}</x:definedName>
    <x:definedName name="________________________________________n23" localSheetId="0" hidden="1">{"'Sheet1'!$L$16"}</x:definedName>
    <x:definedName name="________________________________________new3" localSheetId="0" hidden="1">{"'Sheet1'!$L$16"}</x:definedName>
    <x:definedName name="________________________________________new5" localSheetId="0" hidden="1">{"'Sheet1'!$L$16"}</x:definedName>
    <x:definedName name="________________________________________new6" localSheetId="0" hidden="1">{"'Sheet1'!$L$16"}</x:definedName>
    <x:definedName name="________________________________________new7" localSheetId="0" hidden="1">{"'Sheet1'!$L$16"}</x:definedName>
    <x:definedName name="________________________________________NSO2" localSheetId="0" hidden="1">{"'Sheet1'!$L$16"}</x:definedName>
    <x:definedName name="________________________________________T8" localSheetId="0" hidden="1">{"'Sheet1'!$L$16"}</x:definedName>
    <x:definedName name="_______________________________________n23" localSheetId="0" hidden="1">{"'Sheet1'!$L$16"}</x:definedName>
    <x:definedName name="_______________________________________new3" localSheetId="0" hidden="1">{"'Sheet1'!$L$16"}</x:definedName>
    <x:definedName name="_______________________________________new5" localSheetId="0" hidden="1">{"'Sheet1'!$L$16"}</x:definedName>
    <x:definedName name="_______________________________________new6" localSheetId="0" hidden="1">{"'Sheet1'!$L$16"}</x:definedName>
    <x:definedName name="_______________________________________new7" localSheetId="0" hidden="1">{"'Sheet1'!$L$16"}</x:definedName>
    <x:definedName name="_______________________________________NSO2" localSheetId="0" hidden="1">{"'Sheet1'!$L$16"}</x:definedName>
    <x:definedName name="_______________________________________T8" localSheetId="0" hidden="1">{"'Sheet1'!$L$16"}</x:definedName>
    <x:definedName name="______________________________________n23" localSheetId="0" hidden="1">{"'Sheet1'!$L$16"}</x:definedName>
    <x:definedName name="______________________________________new3" localSheetId="0" hidden="1">{"'Sheet1'!$L$16"}</x:definedName>
    <x:definedName name="______________________________________new5" localSheetId="0" hidden="1">{"'Sheet1'!$L$16"}</x:definedName>
    <x:definedName name="______________________________________new6" localSheetId="0" hidden="1">{"'Sheet1'!$L$16"}</x:definedName>
    <x:definedName name="______________________________________new7" localSheetId="0" hidden="1">{"'Sheet1'!$L$16"}</x:definedName>
    <x:definedName name="______________________________________NSO2" localSheetId="0" hidden="1">{"'Sheet1'!$L$16"}</x:definedName>
    <x:definedName name="______________________________________T8" localSheetId="0" hidden="1">{"'Sheet1'!$L$16"}</x:definedName>
    <x:definedName name="_____________________________________n23" localSheetId="0" hidden="1">{"'Sheet1'!$L$16"}</x:definedName>
    <x:definedName name="_____________________________________new3" localSheetId="0" hidden="1">{"'Sheet1'!$L$16"}</x:definedName>
    <x:definedName name="_____________________________________new5" localSheetId="0" hidden="1">{"'Sheet1'!$L$16"}</x:definedName>
    <x:definedName name="_____________________________________new6" localSheetId="0" hidden="1">{"'Sheet1'!$L$16"}</x:definedName>
    <x:definedName name="_____________________________________new7" localSheetId="0" hidden="1">{"'Sheet1'!$L$16"}</x:definedName>
    <x:definedName name="_____________________________________NSO2" localSheetId="0" hidden="1">{"'Sheet1'!$L$16"}</x:definedName>
    <x:definedName name="_____________________________________T8" localSheetId="0" hidden="1">{"'Sheet1'!$L$16"}</x:definedName>
    <x:definedName name="____________________________________n23" localSheetId="0" hidden="1">{"'Sheet1'!$L$16"}</x:definedName>
    <x:definedName name="____________________________________new3" localSheetId="0" hidden="1">{"'Sheet1'!$L$16"}</x:definedName>
    <x:definedName name="____________________________________new5" localSheetId="0" hidden="1">{"'Sheet1'!$L$16"}</x:definedName>
    <x:definedName name="____________________________________new6" localSheetId="0" hidden="1">{"'Sheet1'!$L$16"}</x:definedName>
    <x:definedName name="____________________________________new7" localSheetId="0" hidden="1">{"'Sheet1'!$L$16"}</x:definedName>
    <x:definedName name="____________________________________NSO2" localSheetId="0" hidden="1">{"'Sheet1'!$L$16"}</x:definedName>
    <x:definedName name="____________________________________T8" localSheetId="0" hidden="1">{"'Sheet1'!$L$16"}</x:definedName>
    <x:definedName name="___________________________________n23" localSheetId="0" hidden="1">{"'Sheet1'!$L$16"}</x:definedName>
    <x:definedName name="___________________________________new3" localSheetId="0" hidden="1">{"'Sheet1'!$L$16"}</x:definedName>
    <x:definedName name="___________________________________new5" localSheetId="0" hidden="1">{"'Sheet1'!$L$16"}</x:definedName>
    <x:definedName name="___________________________________new6" localSheetId="0" hidden="1">{"'Sheet1'!$L$16"}</x:definedName>
    <x:definedName name="___________________________________new7" localSheetId="0" hidden="1">{"'Sheet1'!$L$16"}</x:definedName>
    <x:definedName name="___________________________________NSO2" localSheetId="0" hidden="1">{"'Sheet1'!$L$16"}</x:definedName>
    <x:definedName name="___________________________________T8" localSheetId="0" hidden="1">{"'Sheet1'!$L$16"}</x:definedName>
    <x:definedName name="__________________________________n23" localSheetId="0" hidden="1">{"'Sheet1'!$L$16"}</x:definedName>
    <x:definedName name="__________________________________new3" localSheetId="0" hidden="1">{"'Sheet1'!$L$16"}</x:definedName>
    <x:definedName name="__________________________________new5" localSheetId="0" hidden="1">{"'Sheet1'!$L$16"}</x:definedName>
    <x:definedName name="__________________________________new6" localSheetId="0" hidden="1">{"'Sheet1'!$L$16"}</x:definedName>
    <x:definedName name="__________________________________new7" localSheetId="0" hidden="1">{"'Sheet1'!$L$16"}</x:definedName>
    <x:definedName name="__________________________________NSO2" localSheetId="0" hidden="1">{"'Sheet1'!$L$16"}</x:definedName>
    <x:definedName name="__________________________________T8" localSheetId="0" hidden="1">{"'Sheet1'!$L$16"}</x:definedName>
    <x:definedName name="_________________________________n23" localSheetId="0" hidden="1">{"'Sheet1'!$L$16"}</x:definedName>
    <x:definedName name="_________________________________new3" localSheetId="0" hidden="1">{"'Sheet1'!$L$16"}</x:definedName>
    <x:definedName name="_________________________________new5" localSheetId="0" hidden="1">{"'Sheet1'!$L$16"}</x:definedName>
    <x:definedName name="_________________________________new6" localSheetId="0" hidden="1">{"'Sheet1'!$L$16"}</x:definedName>
    <x:definedName name="_________________________________new7" localSheetId="0" hidden="1">{"'Sheet1'!$L$16"}</x:definedName>
    <x:definedName name="_________________________________NSO2" localSheetId="0" hidden="1">{"'Sheet1'!$L$16"}</x:definedName>
    <x:definedName name="_________________________________T8" localSheetId="0" hidden="1">{"'Sheet1'!$L$16"}</x:definedName>
    <x:definedName name="________________________________n23" localSheetId="0" hidden="1">{"'Sheet1'!$L$16"}</x:definedName>
    <x:definedName name="________________________________new3" localSheetId="0" hidden="1">{"'Sheet1'!$L$16"}</x:definedName>
    <x:definedName name="________________________________new5" localSheetId="0" hidden="1">{"'Sheet1'!$L$16"}</x:definedName>
    <x:definedName name="________________________________new6" localSheetId="0" hidden="1">{"'Sheet1'!$L$16"}</x:definedName>
    <x:definedName name="________________________________new7" localSheetId="0" hidden="1">{"'Sheet1'!$L$16"}</x:definedName>
    <x:definedName name="________________________________NSO2" localSheetId="0" hidden="1">{"'Sheet1'!$L$16"}</x:definedName>
    <x:definedName name="________________________________T8" localSheetId="0" hidden="1">{"'Sheet1'!$L$16"}</x:definedName>
    <x:definedName name="_______________________________n23" localSheetId="0" hidden="1">{"'Sheet1'!$L$16"}</x:definedName>
    <x:definedName name="_______________________________new3" localSheetId="0" hidden="1">{"'Sheet1'!$L$16"}</x:definedName>
    <x:definedName name="_______________________________new5" localSheetId="0" hidden="1">{"'Sheet1'!$L$16"}</x:definedName>
    <x:definedName name="_______________________________new6" localSheetId="0" hidden="1">{"'Sheet1'!$L$16"}</x:definedName>
    <x:definedName name="_______________________________new7" localSheetId="0" hidden="1">{"'Sheet1'!$L$16"}</x:definedName>
    <x:definedName name="_______________________________NSO2" localSheetId="0" hidden="1">{"'Sheet1'!$L$16"}</x:definedName>
    <x:definedName name="_______________________________T8" localSheetId="0" hidden="1">{"'Sheet1'!$L$16"}</x:definedName>
    <x:definedName name="______________________________n23" localSheetId="0" hidden="1">{"'Sheet1'!$L$16"}</x:definedName>
    <x:definedName name="______________________________new3" localSheetId="0" hidden="1">{"'Sheet1'!$L$16"}</x:definedName>
    <x:definedName name="______________________________new5" localSheetId="0" hidden="1">{"'Sheet1'!$L$16"}</x:definedName>
    <x:definedName name="______________________________new6" localSheetId="0" hidden="1">{"'Sheet1'!$L$16"}</x:definedName>
    <x:definedName name="______________________________new7" localSheetId="0" hidden="1">{"'Sheet1'!$L$16"}</x:definedName>
    <x:definedName name="______________________________NSO2" localSheetId="0" hidden="1">{"'Sheet1'!$L$16"}</x:definedName>
    <x:definedName name="______________________________T8" localSheetId="0" hidden="1">{"'Sheet1'!$L$16"}</x:definedName>
    <x:definedName name="_____________________________n23" localSheetId="0" hidden="1">{"'Sheet1'!$L$16"}</x:definedName>
    <x:definedName name="_____________________________new3" localSheetId="0" hidden="1">{"'Sheet1'!$L$16"}</x:definedName>
    <x:definedName name="_____________________________new5" localSheetId="0" hidden="1">{"'Sheet1'!$L$16"}</x:definedName>
    <x:definedName name="_____________________________new6" localSheetId="0" hidden="1">{"'Sheet1'!$L$16"}</x:definedName>
    <x:definedName name="_____________________________new7" localSheetId="0" hidden="1">{"'Sheet1'!$L$16"}</x:definedName>
    <x:definedName name="_____________________________NSO2" localSheetId="0" hidden="1">{"'Sheet1'!$L$16"}</x:definedName>
    <x:definedName name="_____________________________T8" localSheetId="0" hidden="1">{"'Sheet1'!$L$16"}</x:definedName>
    <x:definedName name="____________________________n23" localSheetId="0" hidden="1">{"'Sheet1'!$L$16"}</x:definedName>
    <x:definedName name="____________________________new3" localSheetId="0" hidden="1">{"'Sheet1'!$L$16"}</x:definedName>
    <x:definedName name="____________________________new5" localSheetId="0" hidden="1">{"'Sheet1'!$L$16"}</x:definedName>
    <x:definedName name="____________________________new6" localSheetId="0" hidden="1">{"'Sheet1'!$L$16"}</x:definedName>
    <x:definedName name="____________________________new7" localSheetId="0" hidden="1">{"'Sheet1'!$L$16"}</x:definedName>
    <x:definedName name="____________________________NSO2" localSheetId="0" hidden="1">{"'Sheet1'!$L$16"}</x:definedName>
    <x:definedName name="____________________________T8" localSheetId="0" hidden="1">{"'Sheet1'!$L$16"}</x:definedName>
    <x:definedName name="___________________________n23" localSheetId="0" hidden="1">{"'Sheet1'!$L$16"}</x:definedName>
    <x:definedName name="___________________________new3" localSheetId="0" hidden="1">{"'Sheet1'!$L$16"}</x:definedName>
    <x:definedName name="___________________________new5" localSheetId="0" hidden="1">{"'Sheet1'!$L$16"}</x:definedName>
    <x:definedName name="___________________________new6" localSheetId="0" hidden="1">{"'Sheet1'!$L$16"}</x:definedName>
    <x:definedName name="___________________________new7" localSheetId="0" hidden="1">{"'Sheet1'!$L$16"}</x:definedName>
    <x:definedName name="___________________________NSO2" localSheetId="0" hidden="1">{"'Sheet1'!$L$16"}</x:definedName>
    <x:definedName name="___________________________T8" localSheetId="0" hidden="1">{"'Sheet1'!$L$16"}</x:definedName>
    <x:definedName name="__________________________n23" localSheetId="0" hidden="1">{"'Sheet1'!$L$16"}</x:definedName>
    <x:definedName name="__________________________new3" localSheetId="0" hidden="1">{"'Sheet1'!$L$16"}</x:definedName>
    <x:definedName name="__________________________new5" localSheetId="0" hidden="1">{"'Sheet1'!$L$16"}</x:definedName>
    <x:definedName name="__________________________new6" localSheetId="0" hidden="1">{"'Sheet1'!$L$16"}</x:definedName>
    <x:definedName name="__________________________new7" localSheetId="0" hidden="1">{"'Sheet1'!$L$16"}</x:definedName>
    <x:definedName name="__________________________NSO2" localSheetId="0" hidden="1">{"'Sheet1'!$L$16"}</x:definedName>
    <x:definedName name="__________________________T8" localSheetId="0" hidden="1">{"'Sheet1'!$L$16"}</x:definedName>
    <x:definedName name="_________________________n23" localSheetId="0" hidden="1">{"'Sheet1'!$L$16"}</x:definedName>
    <x:definedName name="_________________________new3" localSheetId="0" hidden="1">{"'Sheet1'!$L$16"}</x:definedName>
    <x:definedName name="_________________________new5" localSheetId="0" hidden="1">{"'Sheet1'!$L$16"}</x:definedName>
    <x:definedName name="_________________________new6" localSheetId="0" hidden="1">{"'Sheet1'!$L$16"}</x:definedName>
    <x:definedName name="_________________________new7" localSheetId="0" hidden="1">{"'Sheet1'!$L$16"}</x:definedName>
    <x:definedName name="_________________________NSO2" localSheetId="0" hidden="1">{"'Sheet1'!$L$16"}</x:definedName>
    <x:definedName name="_________________________T8" localSheetId="0" hidden="1">{"'Sheet1'!$L$16"}</x:definedName>
    <x:definedName name="________________________n23" localSheetId="0" hidden="1">{"'Sheet1'!$L$16"}</x:definedName>
    <x:definedName name="________________________new3" localSheetId="0" hidden="1">{"'Sheet1'!$L$16"}</x:definedName>
    <x:definedName name="________________________new5" localSheetId="0" hidden="1">{"'Sheet1'!$L$16"}</x:definedName>
    <x:definedName name="________________________new6" localSheetId="0" hidden="1">{"'Sheet1'!$L$16"}</x:definedName>
    <x:definedName name="________________________new7" localSheetId="0" hidden="1">{"'Sheet1'!$L$16"}</x:definedName>
    <x:definedName name="________________________NSO2" localSheetId="0" hidden="1">{"'Sheet1'!$L$16"}</x:definedName>
    <x:definedName name="________________________T8" localSheetId="0" hidden="1">{"'Sheet1'!$L$16"}</x:definedName>
    <x:definedName name="_______________________n23" localSheetId="0" hidden="1">{"'Sheet1'!$L$16"}</x:definedName>
    <x:definedName name="_______________________new3" localSheetId="0" hidden="1">{"'Sheet1'!$L$16"}</x:definedName>
    <x:definedName name="_______________________new5" localSheetId="0" hidden="1">{"'Sheet1'!$L$16"}</x:definedName>
    <x:definedName name="_______________________new6" localSheetId="0" hidden="1">{"'Sheet1'!$L$16"}</x:definedName>
    <x:definedName name="_______________________new7" localSheetId="0" hidden="1">{"'Sheet1'!$L$16"}</x:definedName>
    <x:definedName name="_______________________NSO2" localSheetId="0" hidden="1">{"'Sheet1'!$L$16"}</x:definedName>
    <x:definedName name="_______________________T8" localSheetId="0" hidden="1">{"'Sheet1'!$L$16"}</x:definedName>
    <x:definedName name="______________________n23" localSheetId="0" hidden="1">{"'Sheet1'!$L$16"}</x:definedName>
    <x:definedName name="______________________new3" localSheetId="0" hidden="1">{"'Sheet1'!$L$16"}</x:definedName>
    <x:definedName name="______________________new5" localSheetId="0" hidden="1">{"'Sheet1'!$L$16"}</x:definedName>
    <x:definedName name="______________________new6" localSheetId="0" hidden="1">{"'Sheet1'!$L$16"}</x:definedName>
    <x:definedName name="______________________new7" localSheetId="0" hidden="1">{"'Sheet1'!$L$16"}</x:definedName>
    <x:definedName name="______________________NSO2" localSheetId="0" hidden="1">{"'Sheet1'!$L$16"}</x:definedName>
    <x:definedName name="______________________T8" localSheetId="0" hidden="1">{"'Sheet1'!$L$16"}</x:definedName>
    <x:definedName name="_____________________n23" localSheetId="0" hidden="1">{"'Sheet1'!$L$16"}</x:definedName>
    <x:definedName name="_____________________new3" localSheetId="0" hidden="1">{"'Sheet1'!$L$16"}</x:definedName>
    <x:definedName name="_____________________new5" localSheetId="0" hidden="1">{"'Sheet1'!$L$16"}</x:definedName>
    <x:definedName name="_____________________new6" localSheetId="0" hidden="1">{"'Sheet1'!$L$16"}</x:definedName>
    <x:definedName name="_____________________new7" localSheetId="0" hidden="1">{"'Sheet1'!$L$16"}</x:definedName>
    <x:definedName name="_____________________NSO2" localSheetId="0" hidden="1">{"'Sheet1'!$L$16"}</x:definedName>
    <x:definedName name="_____________________T8" localSheetId="0" hidden="1">{"'Sheet1'!$L$16"}</x:definedName>
    <x:definedName name="____________________n23" localSheetId="0" hidden="1">{"'Sheet1'!$L$16"}</x:definedName>
    <x:definedName name="____________________new3" localSheetId="0" hidden="1">{"'Sheet1'!$L$16"}</x:definedName>
    <x:definedName name="____________________new5" localSheetId="0" hidden="1">{"'Sheet1'!$L$16"}</x:definedName>
    <x:definedName name="____________________new6" localSheetId="0" hidden="1">{"'Sheet1'!$L$16"}</x:definedName>
    <x:definedName name="____________________new7" localSheetId="0" hidden="1">{"'Sheet1'!$L$16"}</x:definedName>
    <x:definedName name="____________________NSO2" localSheetId="0" hidden="1">{"'Sheet1'!$L$16"}</x:definedName>
    <x:definedName name="____________________T8" localSheetId="0" hidden="1">{"'Sheet1'!$L$16"}</x:definedName>
    <x:definedName name="___________________n23" localSheetId="0" hidden="1">{"'Sheet1'!$L$16"}</x:definedName>
    <x:definedName name="___________________new3" localSheetId="0" hidden="1">{"'Sheet1'!$L$16"}</x:definedName>
    <x:definedName name="___________________new5" localSheetId="0" hidden="1">{"'Sheet1'!$L$16"}</x:definedName>
    <x:definedName name="___________________new6" localSheetId="0" hidden="1">{"'Sheet1'!$L$16"}</x:definedName>
    <x:definedName name="___________________new7" localSheetId="0" hidden="1">{"'Sheet1'!$L$16"}</x:definedName>
    <x:definedName name="___________________NSO2" localSheetId="0" hidden="1">{"'Sheet1'!$L$16"}</x:definedName>
    <x:definedName name="___________________T8" localSheetId="0" hidden="1">{"'Sheet1'!$L$16"}</x:definedName>
    <x:definedName name="__________________n23" localSheetId="0" hidden="1">{"'Sheet1'!$L$16"}</x:definedName>
    <x:definedName name="__________________new3" localSheetId="0" hidden="1">{"'Sheet1'!$L$16"}</x:definedName>
    <x:definedName name="__________________new5" localSheetId="0" hidden="1">{"'Sheet1'!$L$16"}</x:definedName>
    <x:definedName name="__________________new6" localSheetId="0" hidden="1">{"'Sheet1'!$L$16"}</x:definedName>
    <x:definedName name="__________________new7" localSheetId="0" hidden="1">{"'Sheet1'!$L$16"}</x:definedName>
    <x:definedName name="__________________NSO2" localSheetId="0" hidden="1">{"'Sheet1'!$L$16"}</x:definedName>
    <x:definedName name="__________________SA1" localSheetId="0">'Kết quả chấm'!__________________SA1</x:definedName>
    <x:definedName name="__________________SA2" localSheetId="0">'Kết quả chấm'!__________________SA2</x:definedName>
    <x:definedName name="__________________SA4" localSheetId="0">'Kết quả chấm'!__________________SA4</x:definedName>
    <x:definedName name="__________________T8" localSheetId="0" hidden="1">{"'Sheet1'!$L$16"}</x:definedName>
    <x:definedName name="_________________n23" localSheetId="0" hidden="1">{"'Sheet1'!$L$16"}</x:definedName>
    <x:definedName name="_________________new3" localSheetId="0" hidden="1">{"'Sheet1'!$L$16"}</x:definedName>
    <x:definedName name="_________________new5" localSheetId="0" hidden="1">{"'Sheet1'!$L$16"}</x:definedName>
    <x:definedName name="_________________new6" localSheetId="0" hidden="1">{"'Sheet1'!$L$16"}</x:definedName>
    <x:definedName name="_________________new7" localSheetId="0" hidden="1">{"'Sheet1'!$L$16"}</x:definedName>
    <x:definedName name="_________________NSO2" localSheetId="0" hidden="1">{"'Sheet1'!$L$16"}</x:definedName>
    <x:definedName name="_________________SA1" localSheetId="0">'Kết quả chấm'!_________________SA1</x:definedName>
    <x:definedName name="_________________SA2" localSheetId="0">'Kết quả chấm'!_________________SA2</x:definedName>
    <x:definedName name="_________________SA4" localSheetId="0">'Kết quả chấm'!_________________SA4</x:definedName>
    <x:definedName name="_________________T8" localSheetId="0" hidden="1">{"'Sheet1'!$L$16"}</x:definedName>
    <x:definedName name="________________n23" localSheetId="0" hidden="1">{"'Sheet1'!$L$16"}</x:definedName>
    <x:definedName name="________________new3" localSheetId="0" hidden="1">{"'Sheet1'!$L$16"}</x:definedName>
    <x:definedName name="________________new5" localSheetId="0" hidden="1">{"'Sheet1'!$L$16"}</x:definedName>
    <x:definedName name="________________new6" localSheetId="0" hidden="1">{"'Sheet1'!$L$16"}</x:definedName>
    <x:definedName name="________________new7" localSheetId="0" hidden="1">{"'Sheet1'!$L$16"}</x:definedName>
    <x:definedName name="________________NSO2" localSheetId="0" hidden="1">{"'Sheet1'!$L$16"}</x:definedName>
    <x:definedName name="________________SA1" localSheetId="0">'Kết quả chấm'!________________SA1</x:definedName>
    <x:definedName name="________________SA2" localSheetId="0">'Kết quả chấm'!________________SA2</x:definedName>
    <x:definedName name="________________SA4" localSheetId="0">'Kết quả chấm'!________________SA4</x:definedName>
    <x:definedName name="________________T8" localSheetId="0" hidden="1">{"'Sheet1'!$L$16"}</x:definedName>
    <x:definedName name="_______________n23" localSheetId="0" hidden="1">{"'Sheet1'!$L$16"}</x:definedName>
    <x:definedName name="_______________new3" localSheetId="0" hidden="1">{"'Sheet1'!$L$16"}</x:definedName>
    <x:definedName name="_______________new5" localSheetId="0" hidden="1">{"'Sheet1'!$L$16"}</x:definedName>
    <x:definedName name="_______________new6" localSheetId="0" hidden="1">{"'Sheet1'!$L$16"}</x:definedName>
    <x:definedName name="_______________new7" localSheetId="0" hidden="1">{"'Sheet1'!$L$16"}</x:definedName>
    <x:definedName name="_______________NSO2" localSheetId="0" hidden="1">{"'Sheet1'!$L$16"}</x:definedName>
    <x:definedName name="_______________SA1" localSheetId="0">'Kết quả chấm'!_______________SA1</x:definedName>
    <x:definedName name="_______________SA2" localSheetId="0">'Kết quả chấm'!_______________SA2</x:definedName>
    <x:definedName name="_______________SA4" localSheetId="0">'Kết quả chấm'!_______________SA4</x:definedName>
    <x:definedName name="_______________T8" localSheetId="0" hidden="1">{"'Sheet1'!$L$16"}</x:definedName>
    <x:definedName name="______________n23" localSheetId="0" hidden="1">{"'Sheet1'!$L$16"}</x:definedName>
    <x:definedName name="______________new3" localSheetId="0" hidden="1">{"'Sheet1'!$L$16"}</x:definedName>
    <x:definedName name="______________new5" localSheetId="0" hidden="1">{"'Sheet1'!$L$16"}</x:definedName>
    <x:definedName name="______________new6" localSheetId="0" hidden="1">{"'Sheet1'!$L$16"}</x:definedName>
    <x:definedName name="______________new7" localSheetId="0" hidden="1">{"'Sheet1'!$L$16"}</x:definedName>
    <x:definedName name="______________NSO2" localSheetId="0" hidden="1">{"'Sheet1'!$L$16"}</x:definedName>
    <x:definedName name="______________SA1" localSheetId="0">'Kết quả chấm'!______________SA1</x:definedName>
    <x:definedName name="______________SA2" localSheetId="0">'Kết quả chấm'!______________SA2</x:definedName>
    <x:definedName name="______________SA4" localSheetId="0">'Kết quả chấm'!______________SA4</x:definedName>
    <x:definedName name="______________T8" localSheetId="0" hidden="1">{"'Sheet1'!$L$16"}</x:definedName>
    <x:definedName name="_____________n23" localSheetId="0" hidden="1">{"'Sheet1'!$L$16"}</x:definedName>
    <x:definedName name="_____________new3" localSheetId="0" hidden="1">{"'Sheet1'!$L$16"}</x:definedName>
    <x:definedName name="_____________new5" localSheetId="0" hidden="1">{"'Sheet1'!$L$16"}</x:definedName>
    <x:definedName name="_____________new6" localSheetId="0" hidden="1">{"'Sheet1'!$L$16"}</x:definedName>
    <x:definedName name="_____________new7" localSheetId="0" hidden="1">{"'Sheet1'!$L$16"}</x:definedName>
    <x:definedName name="_____________NSO2" localSheetId="0" hidden="1">{"'Sheet1'!$L$16"}</x:definedName>
    <x:definedName name="_____________SA1" localSheetId="0">'Kết quả chấm'!_____________SA1</x:definedName>
    <x:definedName name="_____________SA2" localSheetId="0">'Kết quả chấm'!_____________SA2</x:definedName>
    <x:definedName name="_____________SA4" localSheetId="0">'Kết quả chấm'!_____________SA4</x:definedName>
    <x:definedName name="_____________T8" localSheetId="0" hidden="1">{"'Sheet1'!$L$16"}</x:definedName>
    <x:definedName name="____________n23" localSheetId="0" hidden="1">{"'Sheet1'!$L$16"}</x:definedName>
    <x:definedName name="____________new3" localSheetId="0" hidden="1">{"'Sheet1'!$L$16"}</x:definedName>
    <x:definedName name="____________new5" localSheetId="0" hidden="1">{"'Sheet1'!$L$16"}</x:definedName>
    <x:definedName name="____________new6" localSheetId="0" hidden="1">{"'Sheet1'!$L$16"}</x:definedName>
    <x:definedName name="____________new7" localSheetId="0" hidden="1">{"'Sheet1'!$L$16"}</x:definedName>
    <x:definedName name="____________NSO2" localSheetId="0" hidden="1">{"'Sheet1'!$L$16"}</x:definedName>
    <x:definedName name="____________SA1" localSheetId="0">'Kết quả chấm'!____________SA1</x:definedName>
    <x:definedName name="____________SA2" localSheetId="0">'Kết quả chấm'!____________SA2</x:definedName>
    <x:definedName name="____________SA4" localSheetId="0">'Kết quả chấm'!____________SA4</x:definedName>
    <x:definedName name="____________T8" localSheetId="0" hidden="1">{"'Sheet1'!$L$16"}</x:definedName>
    <x:definedName name="___________km03" localSheetId="0" hidden="1">{"'Sheet1'!$L$16"}</x:definedName>
    <x:definedName name="___________n23" localSheetId="0" hidden="1">{"'Sheet1'!$L$16"}</x:definedName>
    <x:definedName name="___________new3" localSheetId="0" hidden="1">{"'Sheet1'!$L$16"}</x:definedName>
    <x:definedName name="___________new5" localSheetId="0" hidden="1">{"'Sheet1'!$L$16"}</x:definedName>
    <x:definedName name="___________new6" localSheetId="0" hidden="1">{"'Sheet1'!$L$16"}</x:definedName>
    <x:definedName name="___________new7" localSheetId="0" hidden="1">{"'Sheet1'!$L$16"}</x:definedName>
    <x:definedName name="___________NSO2" localSheetId="0" hidden="1">{"'Sheet1'!$L$16"}</x:definedName>
    <x:definedName name="___________SA1" localSheetId="0">'Kết quả chấm'!___________SA1</x:definedName>
    <x:definedName name="___________SA2" localSheetId="0">'Kết quả chấm'!___________SA2</x:definedName>
    <x:definedName name="___________SA4" localSheetId="0">'Kết quả chấm'!___________SA4</x:definedName>
    <x:definedName name="___________T8" localSheetId="0" hidden="1">{"'Sheet1'!$L$16"}</x:definedName>
    <x:definedName name="__________km03" localSheetId="0" hidden="1">{"'Sheet1'!$L$16"}</x:definedName>
    <x:definedName name="__________n23" localSheetId="0" hidden="1">{"'Sheet1'!$L$16"}</x:definedName>
    <x:definedName name="__________new3" localSheetId="0" hidden="1">{"'Sheet1'!$L$16"}</x:definedName>
    <x:definedName name="__________new5" localSheetId="0" hidden="1">{"'Sheet1'!$L$16"}</x:definedName>
    <x:definedName name="__________new6" localSheetId="0" hidden="1">{"'Sheet1'!$L$16"}</x:definedName>
    <x:definedName name="__________new7" localSheetId="0" hidden="1">{"'Sheet1'!$L$16"}</x:definedName>
    <x:definedName name="__________NSO2" localSheetId="0" hidden="1">{"'Sheet1'!$L$16"}</x:definedName>
    <x:definedName name="__________SA1" localSheetId="0">'Kết quả chấm'!__________SA1</x:definedName>
    <x:definedName name="__________SA2" localSheetId="0">'Kết quả chấm'!__________SA2</x:definedName>
    <x:definedName name="__________SA4" localSheetId="0">'Kết quả chấm'!__________SA4</x:definedName>
    <x:definedName name="__________T8" localSheetId="0" hidden="1">{"'Sheet1'!$L$16"}</x:definedName>
    <x:definedName name="_________km03" localSheetId="0" hidden="1">{"'Sheet1'!$L$16"}</x:definedName>
    <x:definedName name="_________n23" localSheetId="0" hidden="1">{"'Sheet1'!$L$16"}</x:definedName>
    <x:definedName name="_________new3" localSheetId="0" hidden="1">{"'Sheet1'!$L$16"}</x:definedName>
    <x:definedName name="_________new5" localSheetId="0" hidden="1">{"'Sheet1'!$L$16"}</x:definedName>
    <x:definedName name="_________new6" localSheetId="0" hidden="1">{"'Sheet1'!$L$16"}</x:definedName>
    <x:definedName name="_________new7" localSheetId="0" hidden="1">{"'Sheet1'!$L$16"}</x:definedName>
    <x:definedName name="_________NSO2" localSheetId="0" hidden="1">{"'Sheet1'!$L$16"}</x:definedName>
    <x:definedName name="_________SA1" localSheetId="0">'Kết quả chấm'!_________SA1</x:definedName>
    <x:definedName name="_________SA2" localSheetId="0">'Kết quả chấm'!_________SA2</x:definedName>
    <x:definedName name="_________SA4" localSheetId="0">'Kết quả chấm'!_________SA4</x:definedName>
    <x:definedName name="_________T8" localSheetId="0" hidden="1">{"'Sheet1'!$L$16"}</x:definedName>
    <x:definedName name="________km03" localSheetId="0" hidden="1">{"'Sheet1'!$L$16"}</x:definedName>
    <x:definedName name="________n23" localSheetId="0" hidden="1">{"'Sheet1'!$L$16"}</x:definedName>
    <x:definedName name="________new3" localSheetId="0" hidden="1">{"'Sheet1'!$L$16"}</x:definedName>
    <x:definedName name="________new5" localSheetId="0" hidden="1">{"'Sheet1'!$L$16"}</x:definedName>
    <x:definedName name="________new6" localSheetId="0" hidden="1">{"'Sheet1'!$L$16"}</x:definedName>
    <x:definedName name="________new7" localSheetId="0" hidden="1">{"'Sheet1'!$L$16"}</x:definedName>
    <x:definedName name="________NSO2" localSheetId="0" hidden="1">{"'Sheet1'!$L$16"}</x:definedName>
    <x:definedName name="________SA1" localSheetId="0">'Kết quả chấm'!________SA1</x:definedName>
    <x:definedName name="________SA2" localSheetId="0">'Kết quả chấm'!________SA2</x:definedName>
    <x:definedName name="________SA4" localSheetId="0">'Kết quả chấm'!________SA4</x:definedName>
    <x:definedName name="________T8" localSheetId="0" hidden="1">{"'Sheet1'!$L$16"}</x:definedName>
    <x:definedName name="_______km03" localSheetId="0" hidden="1">{"'Sheet1'!$L$16"}</x:definedName>
    <x:definedName name="_______n23" localSheetId="0" hidden="1">{"'Sheet1'!$L$16"}</x:definedName>
    <x:definedName name="_______new3" localSheetId="0" hidden="1">{"'Sheet1'!$L$16"}</x:definedName>
    <x:definedName name="_______new5" localSheetId="0" hidden="1">{"'Sheet1'!$L$16"}</x:definedName>
    <x:definedName name="_______new6" localSheetId="0" hidden="1">{"'Sheet1'!$L$16"}</x:definedName>
    <x:definedName name="_______new7" localSheetId="0" hidden="1">{"'Sheet1'!$L$16"}</x:definedName>
    <x:definedName name="_______NSO2" localSheetId="0" hidden="1">{"'Sheet1'!$L$16"}</x:definedName>
    <x:definedName name="_______SA1" localSheetId="0">'Kết quả chấm'!_______SA1</x:definedName>
    <x:definedName name="_______SA2" localSheetId="0">'Kết quả chấm'!_______SA2</x:definedName>
    <x:definedName name="_______SA4" localSheetId="0">'Kết quả chấm'!_______SA4</x:definedName>
    <x:definedName name="_______T8" localSheetId="0" hidden="1">{"'Sheet1'!$L$16"}</x:definedName>
    <x:definedName name="______km03" localSheetId="0" hidden="1">{"'Sheet1'!$L$16"}</x:definedName>
    <x:definedName name="______n23" localSheetId="0" hidden="1">{"'Sheet1'!$L$16"}</x:definedName>
    <x:definedName name="______new3" localSheetId="0" hidden="1">{"'Sheet1'!$L$16"}</x:definedName>
    <x:definedName name="______new5" localSheetId="0" hidden="1">{"'Sheet1'!$L$16"}</x:definedName>
    <x:definedName name="______new6" localSheetId="0" hidden="1">{"'Sheet1'!$L$16"}</x:definedName>
    <x:definedName name="______new7" localSheetId="0" hidden="1">{"'Sheet1'!$L$16"}</x:definedName>
    <x:definedName name="______NSO2" localSheetId="0" hidden="1">{"'Sheet1'!$L$16"}</x:definedName>
    <x:definedName name="______SA1" localSheetId="0">'Kết quả chấm'!______SA1</x:definedName>
    <x:definedName name="______SA2" localSheetId="0">'Kết quả chấm'!______SA2</x:definedName>
    <x:definedName name="______SA4" localSheetId="0">'Kết quả chấm'!______SA4</x:definedName>
    <x:definedName name="______T8" localSheetId="0" hidden="1">{"'Sheet1'!$L$16"}</x:definedName>
    <x:definedName name="_____km03" localSheetId="0" hidden="1">{"'Sheet1'!$L$16"}</x:definedName>
    <x:definedName name="_____n23" localSheetId="0" hidden="1">{"'Sheet1'!$L$16"}</x:definedName>
    <x:definedName name="_____new3" localSheetId="0" hidden="1">{"'Sheet1'!$L$16"}</x:definedName>
    <x:definedName name="_____new5" localSheetId="0" hidden="1">{"'Sheet1'!$L$16"}</x:definedName>
    <x:definedName name="_____new6" localSheetId="0" hidden="1">{"'Sheet1'!$L$16"}</x:definedName>
    <x:definedName name="_____new7" localSheetId="0" hidden="1">{"'Sheet1'!$L$16"}</x:definedName>
    <x:definedName name="_____NSO2" localSheetId="0" hidden="1">{"'Sheet1'!$L$16"}</x:definedName>
    <x:definedName name="_____SA1" localSheetId="0">'Kết quả chấm'!_____SA1</x:definedName>
    <x:definedName name="_____SA2" localSheetId="0">'Kết quả chấm'!_____SA2</x:definedName>
    <x:definedName name="_____SA4" localSheetId="0">'Kết quả chấm'!_____SA4</x:definedName>
    <x:definedName name="_____T8" localSheetId="0" hidden="1">{"'Sheet1'!$L$16"}</x:definedName>
    <x:definedName name="____km03" localSheetId="0" hidden="1">{"'Sheet1'!$L$16"}</x:definedName>
    <x:definedName name="____n23" localSheetId="0" hidden="1">{"'Sheet1'!$L$16"}</x:definedName>
    <x:definedName name="____new3" localSheetId="0" hidden="1">{"'Sheet1'!$L$16"}</x:definedName>
    <x:definedName name="____new5" localSheetId="0" hidden="1">{"'Sheet1'!$L$16"}</x:definedName>
    <x:definedName name="____new6" localSheetId="0" hidden="1">{"'Sheet1'!$L$16"}</x:definedName>
    <x:definedName name="____new7" localSheetId="0" hidden="1">{"'Sheet1'!$L$16"}</x:definedName>
    <x:definedName name="____NSO2" localSheetId="0" hidden="1">{"'Sheet1'!$L$16"}</x:definedName>
    <x:definedName name="____SA1" localSheetId="0">'Kết quả chấm'!____SA1</x:definedName>
    <x:definedName name="____SA2" localSheetId="0">'Kết quả chấm'!____SA2</x:definedName>
    <x:definedName name="____SA4" localSheetId="0">'Kết quả chấm'!____SA4</x:definedName>
    <x:definedName name="____T8" localSheetId="0" hidden="1">{"'Sheet1'!$L$16"}</x:definedName>
    <x:definedName name="___a1" localSheetId="0" hidden="1">{"'Sheet1'!$L$16"}</x:definedName>
    <x:definedName name="___km03" localSheetId="0" hidden="1">{"'Sheet1'!$L$16"}</x:definedName>
    <x:definedName name="___n23" localSheetId="0" hidden="1">{"'Sheet1'!$L$16"}</x:definedName>
    <x:definedName name="___new3" localSheetId="0" hidden="1">{"'Sheet1'!$L$16"}</x:definedName>
    <x:definedName name="___new5" localSheetId="0" hidden="1">{"'Sheet1'!$L$16"}</x:definedName>
    <x:definedName name="___new6" localSheetId="0" hidden="1">{"'Sheet1'!$L$16"}</x:definedName>
    <x:definedName name="___new7" localSheetId="0" hidden="1">{"'Sheet1'!$L$16"}</x:definedName>
    <x:definedName name="___NSO2" localSheetId="0" hidden="1">{"'Sheet1'!$L$16"}</x:definedName>
    <x:definedName name="___SA1" localSheetId="0">'Kết quả chấm'!___SA1</x:definedName>
    <x:definedName name="___SA2" localSheetId="0">'Kết quả chấm'!___SA2</x:definedName>
    <x:definedName name="___SA4" localSheetId="0">'Kết quả chấm'!___SA4</x:definedName>
    <x:definedName name="___T8" localSheetId="0" hidden="1">{"'Sheet1'!$L$16"}</x:definedName>
    <x:definedName name="___TK211" localSheetId="0" hidden="1">{"'Sheet1'!$L$16"}</x:definedName>
    <x:definedName name="__a1" localSheetId="0" hidden="1">{"'Sheet1'!$L$16"}</x:definedName>
    <x:definedName name="__a129" localSheetId="0" hidden="1">{"Offgrid",#N/A,FALSE,"OFFGRID";"Region",#N/A,FALSE,"REGION";"Offgrid -2",#N/A,FALSE,"OFFGRID";"WTP",#N/A,FALSE,"WTP";"WTP -2",#N/A,FALSE,"WTP";"Project",#N/A,FALSE,"PROJECT";"Summary -2",#N/A,FALSE,"SUMMARY"}</x:definedName>
    <x:definedName name="__a130" localSheetId="0" hidden="1">{"Offgrid",#N/A,FALSE,"OFFGRID";"Region",#N/A,FALSE,"REGION";"Offgrid -2",#N/A,FALSE,"OFFGRID";"WTP",#N/A,FALSE,"WTP";"WTP -2",#N/A,FALSE,"WTP";"Project",#N/A,FALSE,"PROJECT";"Summary -2",#N/A,FALSE,"SUMMARY"}</x:definedName>
    <x:definedName name="__anh1" localSheetId="0" hidden="1">{"'Sheet1'!$L$16"}</x:definedName>
    <x:definedName name="__anh10" localSheetId="0" hidden="1">{"'Sheet1'!$L$16"}</x:definedName>
    <x:definedName name="__anh12" localSheetId="0" hidden="1">{"'Sheet1'!$L$16"}</x:definedName>
    <x:definedName name="__anh13" localSheetId="0" hidden="1">{"'Sheet1'!$L$16"}</x:definedName>
    <x:definedName name="__anh15" localSheetId="0" hidden="1">{"'Sheet1'!$L$16"}</x:definedName>
    <x:definedName name="__anh18" localSheetId="0" hidden="1">{"'Sheet1'!$L$16"}</x:definedName>
    <x:definedName name="__anh19" localSheetId="0" hidden="1">{"'Sheet1'!$L$16"}</x:definedName>
    <x:definedName name="__anh2" localSheetId="0" hidden="1">{"'Sheet1'!$L$16"}</x:definedName>
    <x:definedName name="__anh20" localSheetId="0" hidden="1">{"'Sheet1'!$L$16"}</x:definedName>
    <x:definedName name="__anh21" localSheetId="0" hidden="1">{"'Sheet1'!$L$16"}</x:definedName>
    <x:definedName name="__anh22" localSheetId="0" hidden="1">{"'Sheet1'!$L$16"}</x:definedName>
    <x:definedName name="__anh27" localSheetId="0" hidden="1">{"'Sheet1'!$L$16"}</x:definedName>
    <x:definedName name="__anh28" localSheetId="0" hidden="1">{"'Sheet1'!$L$16"}</x:definedName>
    <x:definedName name="__anh356" localSheetId="0" hidden="1">{"'Sheet1'!$L$16"}</x:definedName>
    <x:definedName name="__anh41" localSheetId="0" hidden="1">{"'Sheet1'!$L$16"}</x:definedName>
    <x:definedName name="__anh56" localSheetId="0" hidden="1">{0}</x:definedName>
    <x:definedName name="__anh8" localSheetId="0" hidden="1">{"'Sheet1'!$L$16"}</x:definedName>
    <x:definedName name="__anh9" localSheetId="0" hidden="1">{"'Sheet1'!$L$16"}</x:definedName>
    <x:definedName name="__bookmark_1" localSheetId="0">#REF!</x:definedName>
    <x:definedName name="__Goi8" localSheetId="0" hidden="1">{"'Sheet1'!$L$16"}</x:definedName>
    <x:definedName name="__HNI04" localSheetId="0" hidden="1">{"'Sheet1'!$L$16"}</x:definedName>
    <x:definedName name="__km03" localSheetId="0" hidden="1">{"'Sheet1'!$L$16"}</x:definedName>
    <x:definedName name="__Lan1" localSheetId="0" hidden="1">{"'Sheet1'!$L$16"}</x:definedName>
    <x:definedName name="__LAN3" localSheetId="0" hidden="1">{"'Sheet1'!$L$16"}</x:definedName>
    <x:definedName name="__n23" localSheetId="0" hidden="1">{"'Sheet1'!$L$16"}</x:definedName>
    <x:definedName name="__new3" localSheetId="0" hidden="1">{"'Sheet1'!$L$16"}</x:definedName>
    <x:definedName name="__new5" localSheetId="0" hidden="1">{"'Sheet1'!$L$16"}</x:definedName>
    <x:definedName name="__new6" localSheetId="0" hidden="1">{"'Sheet1'!$L$16"}</x:definedName>
    <x:definedName name="__new7" localSheetId="0" hidden="1">{"'Sheet1'!$L$16"}</x:definedName>
    <x:definedName name="__NSO2" localSheetId="0" hidden="1">{"'Sheet1'!$L$16"}</x:definedName>
    <x:definedName name="__PA3" localSheetId="0" hidden="1">{"'Sheet1'!$L$16"}</x:definedName>
    <x:definedName name="__SA1" localSheetId="0">'Kết quả chấm'!__SA1</x:definedName>
    <x:definedName name="__SA2" localSheetId="0">'Kết quả chấm'!__SA2</x:definedName>
    <x:definedName name="__SA4" localSheetId="0">'Kết quả chấm'!__SA4</x:definedName>
    <x:definedName name="__T11" localSheetId="0" hidden="1">{"'Sheet1'!$L$16"}</x:definedName>
    <x:definedName name="__T8" localSheetId="0" hidden="1">{"'Sheet1'!$L$16"}</x:definedName>
    <x:definedName name="__TK211" localSheetId="0" hidden="1">{"'Sheet1'!$L$16"}</x:definedName>
    <x:definedName name="__TM2" localSheetId="0" hidden="1">{"'Sheet1'!$L$16"}</x:definedName>
    <x:definedName name="__tt3" localSheetId="0" hidden="1">{"'Sheet1'!$L$16"}</x:definedName>
    <x:definedName name="_a1" localSheetId="0" hidden="1">{"'Sheet1'!$L$16"}</x:definedName>
    <x:definedName name="_a129" localSheetId="0" hidden="1">{"Offgrid",#N/A,FALSE,"OFFGRID";"Region",#N/A,FALSE,"REGION";"Offgrid -2",#N/A,FALSE,"OFFGRID";"WTP",#N/A,FALSE,"WTP";"WTP -2",#N/A,FALSE,"WTP";"Project",#N/A,FALSE,"PROJECT";"Summary -2",#N/A,FALSE,"SUMMARY"}</x:definedName>
    <x:definedName name="_a130" localSheetId="0" hidden="1">{"Offgrid",#N/A,FALSE,"OFFGRID";"Region",#N/A,FALSE,"REGION";"Offgrid -2",#N/A,FALSE,"OFFGRID";"WTP",#N/A,FALSE,"WTP";"WTP -2",#N/A,FALSE,"WTP";"Project",#N/A,FALSE,"PROJECT";"Summary -2",#N/A,FALSE,"SUMMARY"}</x:definedName>
    <x:definedName name="_anh1" localSheetId="0" hidden="1">{"'Sheet1'!$L$16"}</x:definedName>
    <x:definedName name="_anh10" localSheetId="0" hidden="1">{"'Sheet1'!$L$16"}</x:definedName>
    <x:definedName name="_anh12" localSheetId="0" hidden="1">{"'Sheet1'!$L$16"}</x:definedName>
    <x:definedName name="_anh13" localSheetId="0" hidden="1">{"'Sheet1'!$L$16"}</x:definedName>
    <x:definedName name="_anh15" localSheetId="0" hidden="1">{"'Sheet1'!$L$16"}</x:definedName>
    <x:definedName name="_anh18" localSheetId="0" hidden="1">{"'Sheet1'!$L$16"}</x:definedName>
    <x:definedName name="_anh19" localSheetId="0" hidden="1">{"'Sheet1'!$L$16"}</x:definedName>
    <x:definedName name="_anh2" localSheetId="0" hidden="1">{"'Sheet1'!$L$16"}</x:definedName>
    <x:definedName name="_anh20" localSheetId="0" hidden="1">{"'Sheet1'!$L$16"}</x:definedName>
    <x:definedName name="_anh21" localSheetId="0" hidden="1">{"'Sheet1'!$L$16"}</x:definedName>
    <x:definedName name="_anh22" localSheetId="0" hidden="1">{"'Sheet1'!$L$16"}</x:definedName>
    <x:definedName name="_anh27" localSheetId="0" hidden="1">{"'Sheet1'!$L$16"}</x:definedName>
    <x:definedName name="_anh28" localSheetId="0" hidden="1">{"'Sheet1'!$L$16"}</x:definedName>
    <x:definedName name="_anh356" localSheetId="0" hidden="1">{"'Sheet1'!$L$16"}</x:definedName>
    <x:definedName name="_anh41" localSheetId="0" hidden="1">{"'Sheet1'!$L$16"}</x:definedName>
    <x:definedName name="_anh56" localSheetId="0" hidden="1">{0}</x:definedName>
    <x:definedName name="_anh8" localSheetId="0" hidden="1">{"'Sheet1'!$L$16"}</x:definedName>
    <x:definedName name="_anh9" localSheetId="0" hidden="1">{"'Sheet1'!$L$16"}</x:definedName>
    <x:definedName name="_F1" localSheetId="0" hidden="1">{"'Sheet1'!$L$16"}</x:definedName>
    <x:definedName name="_Fill" localSheetId="0" hidden="1">#N/A</x:definedName>
    <x:definedName name="_gh1" localSheetId="0">'Kết quả chấm'!_gh1</x:definedName>
    <x:definedName name="_Goi8" localSheetId="0" hidden="1">{"'Sheet1'!$L$16"}</x:definedName>
    <x:definedName name="_HNI04" localSheetId="0" hidden="1">{"'Sheet1'!$L$16"}</x:definedName>
    <x:definedName name="_hu1" localSheetId="0" hidden="1">{"'Sheet1'!$L$16"}</x:definedName>
    <x:definedName name="_hu2" localSheetId="0" hidden="1">{"'Sheet1'!$L$16"}</x:definedName>
    <x:definedName name="_hu5" localSheetId="0" hidden="1">{"'Sheet1'!$L$16"}</x:definedName>
    <x:definedName name="_hu6" localSheetId="0" hidden="1">{"'Sheet1'!$L$16"}</x:definedName>
    <x:definedName name="_hu7" localSheetId="0" hidden="1">{"'Sheet1'!$L$16"}</x:definedName>
    <x:definedName name="_huy1" localSheetId="0" hidden="1">{"'Sheet1'!$L$16"}</x:definedName>
    <x:definedName name="_Key1" localSheetId="0" hidden="1">#N/A</x:definedName>
    <x:definedName name="_Key2" localSheetId="0" hidden="1">#N/A</x:definedName>
    <x:definedName name="_kl11" localSheetId="0" hidden="1">{"'Sheet1'!$L$16"}</x:definedName>
    <x:definedName name="_kl4" localSheetId="0" hidden="1">{"'Sheet1'!$L$16"}</x:definedName>
    <x:definedName name="_kl6" localSheetId="0" hidden="1">{"'Sheet1'!$L$16"}</x:definedName>
    <x:definedName name="_km03" localSheetId="0" hidden="1">{"'Sheet1'!$L$16"}</x:definedName>
    <x:definedName name="_Lan1" localSheetId="0" hidden="1">{"'Sheet1'!$L$16"}</x:definedName>
    <x:definedName name="_LAN3" localSheetId="0" hidden="1">{"'Sheet1'!$L$16"}</x:definedName>
    <x:definedName name="_MCC3" localSheetId="0" hidden="1">{#N/A,#N/A,FALSE,"CCTV"}</x:definedName>
    <x:definedName name="_MEP2" localSheetId="0" hidden="1">{#N/A,#N/A,FALSE,"CCTV"}</x:definedName>
    <x:definedName name="_n23" localSheetId="0" hidden="1">{"'Sheet1'!$L$16"}</x:definedName>
    <x:definedName name="_new3" localSheetId="0" hidden="1">{"'Sheet1'!$L$16"}</x:definedName>
    <x:definedName name="_new5" localSheetId="0" hidden="1">{"'Sheet1'!$L$16"}</x:definedName>
    <x:definedName name="_new6" localSheetId="0" hidden="1">{"'Sheet1'!$L$16"}</x:definedName>
    <x:definedName name="_new7" localSheetId="0" hidden="1">{"'Sheet1'!$L$16"}</x:definedName>
    <x:definedName name="_NKT2" localSheetId="0" hidden="1">{"'Sheet1'!$L$16"}</x:definedName>
    <x:definedName name="_NS01" localSheetId="0" hidden="1">{"'Sheet1'!$L$16"}</x:definedName>
    <x:definedName name="_NSO2" localSheetId="0" hidden="1">{"'Sheet1'!$L$16"}</x:definedName>
    <x:definedName name="_NSO3" localSheetId="0" hidden="1">{"'Sheet1'!$L$16"}</x:definedName>
    <x:definedName name="_PA3" localSheetId="0" hidden="1">{"'Sheet1'!$L$16"}</x:definedName>
    <x:definedName name="_SA1" localSheetId="0">'Kết quả chấm'!_SA1</x:definedName>
    <x:definedName name="_SA2" localSheetId="0">'Kết quả chấm'!_SA2</x:definedName>
    <x:definedName name="_SA4" localSheetId="0">'Kết quả chấm'!_SA4</x:definedName>
    <x:definedName name="_Sort" localSheetId="0" hidden="1">#N/A</x:definedName>
    <x:definedName name="_Sortmoi" localSheetId="0" hidden="1">#REF!</x:definedName>
    <x:definedName name="_T10" localSheetId="0" hidden="1">{"'Sheet1'!$L$16"}</x:definedName>
    <x:definedName name="_T11" localSheetId="0" hidden="1">{"'Sheet1'!$L$16"}</x:definedName>
    <x:definedName name="_T8" localSheetId="0" hidden="1">{"'Sheet1'!$L$16"}</x:definedName>
    <x:definedName name="_TH1" localSheetId="0" hidden="1">{"'Sheet1'!$L$16"}</x:definedName>
    <x:definedName name="_TK211" localSheetId="0" hidden="1">{"'Sheet1'!$L$16"}</x:definedName>
    <x:definedName name="_TM2" localSheetId="0" hidden="1">{"'Sheet1'!$L$16"}</x:definedName>
    <x:definedName name="_tt3" localSheetId="0" hidden="1">{"'Sheet1'!$L$16"}</x:definedName>
    <x:definedName name="_vl1" localSheetId="0" hidden="1">{"'Sheet1'!$L$16"}</x:definedName>
    <x:definedName name="â" localSheetId="0">{"ONGNGOAINHA.xls","Sheet1"}</x:definedName>
    <x:definedName name="ằ" localSheetId="0" hidden="1">{"'Sheet1'!$L$16"}</x:definedName>
    <x:definedName name="a129_xoa" localSheetId="0" hidden="1">{"Offgrid",#N/A,FALSE,"OFFGRID";"Region",#N/A,FALSE,"REGION";"Offgrid -2",#N/A,FALSE,"OFFGRID";"WTP",#N/A,FALSE,"WTP";"WTP -2",#N/A,FALSE,"WTP";"Project",#N/A,FALSE,"PROJECT";"Summary -2",#N/A,FALSE,"SUMMARY"}</x:definedName>
    <x:definedName name="a129_xoaxoa" localSheetId="0" hidden="1">{"Offgrid",#N/A,FALSE,"OFFGRID";"Region",#N/A,FALSE,"REGION";"Offgrid -2",#N/A,FALSE,"OFFGRID";"WTP",#N/A,FALSE,"WTP";"WTP -2",#N/A,FALSE,"WTP";"Project",#N/A,FALSE,"PROJECT";"Summary -2",#N/A,FALSE,"SUMMARY"}</x:definedName>
    <x:definedName name="a130_xoa" localSheetId="0" hidden="1">{"Offgrid",#N/A,FALSE,"OFFGRID";"Region",#N/A,FALSE,"REGION";"Offgrid -2",#N/A,FALSE,"OFFGRID";"WTP",#N/A,FALSE,"WTP";"WTP -2",#N/A,FALSE,"WTP";"Project",#N/A,FALSE,"PROJECT";"Summary -2",#N/A,FALSE,"SUMMARY"}</x:definedName>
    <x:definedName name="a130_xoaxoa" localSheetId="0" hidden="1">{"Offgrid",#N/A,FALSE,"OFFGRID";"Region",#N/A,FALSE,"REGION";"Offgrid -2",#N/A,FALSE,"OFFGRID";"WTP",#N/A,FALSE,"WTP";"WTP -2",#N/A,FALSE,"WTP";"Project",#N/A,FALSE,"PROJECT";"Summary -2",#N/A,FALSE,"SUMMARY"}</x:definedName>
    <x:definedName name="a1moi" localSheetId="0" hidden="1">{"'Sheet1'!$L$16"}</x:definedName>
    <x:definedName name="ả4513" localSheetId="0">#REF!</x:definedName>
    <x:definedName name="â9000" localSheetId="0">'[1]Chi tiet'!#REF!</x:definedName>
    <x:definedName name="aaaaaa" localSheetId="0" hidden="1">{"'Sheet1'!$L$16"}</x:definedName>
    <x:definedName name="aadd" localSheetId="0" hidden="1">{"'Sheet1'!$L$16"}</x:definedName>
    <x:definedName name="aass" localSheetId="0" hidden="1">{"'Sheet1'!$L$16"}</x:definedName>
    <x:definedName name="aavavavav" localSheetId="0" hidden="1">{#N/A,#N/A,FALSE,"Chi tiÆt"}</x:definedName>
    <x:definedName name="abc" localSheetId="0" hidden="1">{"'Sheet1'!$L$16"}</x:definedName>
    <x:definedName name="abcd" localSheetId="0" hidden="1">{"'Sheet1'!$L$16"}</x:definedName>
    <x:definedName name="acc" localSheetId="0" hidden="1">{"'Sheet1'!$L$16"}</x:definedName>
    <x:definedName name="ádfg" localSheetId="0" hidden="1">{"'Sheet1'!$L$16"}</x:definedName>
    <x:definedName name="adfgdfhgdf" localSheetId="0" hidden="1">#REF!</x:definedName>
    <x:definedName name="adfgfgdfg" localSheetId="0" hidden="1">#REF!</x:definedName>
    <x:definedName name="adfsg" localSheetId="0" hidden="1">{"'Sheet1'!$L$16"}</x:definedName>
    <x:definedName name="ae" localSheetId="0" hidden="1">{"'Sheet1'!$L$16"}</x:definedName>
    <x:definedName name="aegwhg.gk" localSheetId="0" hidden="1">{"Offgrid",#N/A,FALSE,"OFFGRID";"Region",#N/A,FALSE,"REGION";"Offgrid -2",#N/A,FALSE,"OFFGRID";"WTP",#N/A,FALSE,"WTP";"WTP -2",#N/A,FALSE,"WTP";"Project",#N/A,FALSE,"PROJECT";"Summary -2",#N/A,FALSE,"SUMMARY"}</x:definedName>
    <x:definedName name="aetg.hgrs" localSheetId="0" hidden="1">{"Offgrid",#N/A,FALSE,"OFFGRID";"Region",#N/A,FALSE,"REGION";"Offgrid -2",#N/A,FALSE,"OFFGRID";"WTP",#N/A,FALSE,"WTP";"WTP -2",#N/A,FALSE,"WTP";"Project",#N/A,FALSE,"PROJECT";"Summary -2",#N/A,FALSE,"SUMMARY"}</x:definedName>
    <x:definedName name="âétggâgqgêágghe" localSheetId="0" hidden="1">{#N/A,#N/A,FALSE,"Chi tiÆt"}</x:definedName>
    <x:definedName name="âfA" localSheetId="0" hidden="1">{"'Sheet1'!$L$16"}</x:definedName>
    <x:definedName name="afasfsagfas" localSheetId="0" hidden="1">{#N/A,#N/A,FALSE,"Chi tiÆt"}</x:definedName>
    <x:definedName name="ăg" localSheetId="0" hidden="1">{"'Sheet1'!$L$16"}</x:definedName>
    <x:definedName name="àgdfgfdgdf" localSheetId="0" hidden="1">#REF!</x:definedName>
    <x:definedName name="àgfdgfdf" localSheetId="0" hidden="1">#REF!</x:definedName>
    <x:definedName name="ẩgg" localSheetId="0" hidden="1">{"'Sheet1'!$L$16"}</x:definedName>
    <x:definedName name="ầgga" localSheetId="0" hidden="1">{"'Sheet1'!$L$16"}</x:definedName>
    <x:definedName name="amnh16" localSheetId="0" hidden="1">{"'Sheet1'!$L$16"}</x:definedName>
    <x:definedName name="amoi" localSheetId="0" hidden="1">{"'Sheet1'!$L$16"}</x:definedName>
    <x:definedName name="Antoan" localSheetId="0" hidden="1">{"'Sheet1'!$L$16"}</x:definedName>
    <x:definedName name="as" localSheetId="0" hidden="1">{"'Sheet1'!$L$16"}</x:definedName>
    <x:definedName name="asf" localSheetId="0" hidden="1">{"'Sheet1'!$L$16"}</x:definedName>
    <x:definedName name="asss" localSheetId="0" hidden="1">{"'Sheet1'!$L$16"}</x:definedName>
    <x:definedName name="asssss" localSheetId="0" hidden="1">{"'Sheet1'!$L$16"}</x:definedName>
    <x:definedName name="Attachment07" localSheetId="0" hidden="1">{"'Sheet1'!$L$16"}</x:definedName>
    <x:definedName name="AU" localSheetId="0" hidden="1">{"'Sheet1'!$L$16"}</x:definedName>
    <x:definedName name="avavgveqvaq" localSheetId="0" hidden="1">{"Offgrid",#N/A,FALSE,"OFFGRID";"Region",#N/A,FALSE,"REGION";"Offgrid -2",#N/A,FALSE,"OFFGRID";"WTP",#N/A,FALSE,"WTP";"WTP -2",#N/A,FALSE,"WTP";"Project",#N/A,FALSE,"PROJECT";"Summary -2",#N/A,FALSE,"SUMMARY"}</x:definedName>
    <x:definedName name="Bang7_THKL_HCM" localSheetId="0" hidden="1">{"'Sheet1'!$L$16"}</x:definedName>
    <x:definedName name="banQL" localSheetId="0" hidden="1">{"'Sheet1'!$L$16"}</x:definedName>
    <x:definedName name="Bao" localSheetId="0" hidden="1">{#N/A,#N/A,FALSE,"Chi tiÆt"}</x:definedName>
    <x:definedName name="bbb" localSheetId="0" hidden="1">{"'Sheet1'!$L$16"}</x:definedName>
    <x:definedName name="BBe" localSheetId="0" hidden="1">{"'Sheet1'!$L$16"}</x:definedName>
    <x:definedName name="bdv" localSheetId="0" hidden="1">{"'Sheet1'!$L$16"}</x:definedName>
    <x:definedName name="Bieu18" localSheetId="0" hidden="1">{"'Sheet1'!$L$16"}</x:definedName>
    <x:definedName name="BO" localSheetId="0" hidden="1">{"'Sheet1'!$L$16"}</x:definedName>
    <x:definedName name="BUM" localSheetId="0" hidden="1">{"'Sheet1'!$L$16"}</x:definedName>
    <x:definedName name="bvcbvb" localSheetId="0" hidden="1">{0}</x:definedName>
    <x:definedName name="CARL" localSheetId="0" hidden="1">{#N/A,#N/A,FALSE,"CCTV"}</x:definedName>
    <x:definedName name="CARL1" localSheetId="0" hidden="1">{#N/A,#N/A,FALSE,"CCTV"}</x:definedName>
    <x:definedName name="CARL2" localSheetId="0" hidden="1">{#N/A,#N/A,FALSE,"CCTV"}</x:definedName>
    <x:definedName name="CBG" localSheetId="0" hidden="1">{"'Sheet1'!$L$16"}</x:definedName>
    <x:definedName name="chilinh1" localSheetId="0">'[2]Chi tiet chuan'!$A$2:$A$7163</x:definedName>
    <x:definedName name="chilinh2" localSheetId="0">'[2]Chi tiet chuan'!$D$2:$D$7163</x:definedName>
    <x:definedName name="chilinh3" localSheetId="0">'[2]Chi tiet chuan'!$BX$2:$BX$7163</x:definedName>
    <x:definedName name="chilinh4" localSheetId="0">'[2]Chi tiet chuan'!$AJ$2:$AJ$7163</x:definedName>
    <x:definedName name="chilinh5" localSheetId="0">'[2]Chi tiet chuan'!$B$2:$B$7163</x:definedName>
    <x:definedName name="chilinh6" localSheetId="0">'[2]Chi tiet chuan'!$W$2:$W$7163</x:definedName>
    <x:definedName name="chilk" localSheetId="0" hidden="1">{"'Sheet1'!$L$16"}</x:definedName>
    <x:definedName name="chitietbgiang2" localSheetId="0" hidden="1">{"'Sheet1'!$L$16"}</x:definedName>
    <x:definedName name="Code" localSheetId="0" hidden="1">#N/A</x:definedName>
    <x:definedName name="ctbbt" localSheetId="0" hidden="1">{"'Sheet1'!$L$16"}</x:definedName>
    <x:definedName name="CTCT1" localSheetId="0" hidden="1">{"'Sheet1'!$L$16"}</x:definedName>
    <x:definedName name="CTIEN" localSheetId="0" hidden="1">{"'Sheet1'!$L$16"}</x:definedName>
    <x:definedName name="cung" localSheetId="0" hidden="1">{"'Sheet1'!$L$16"}</x:definedName>
    <x:definedName name="cuong" localSheetId="0" hidden="1">{"'Sheet1'!$L$16"}</x:definedName>
    <x:definedName name="cvcv" localSheetId="0" hidden="1">{"'Sheet1'!$L$16"}</x:definedName>
    <x:definedName name="d" localSheetId="0">[3]Sheet3!$A$1:$B$4</x:definedName>
    <x:definedName name="DAILATHANH" localSheetId="0" hidden="1">{"'Sheet1'!$L$16"}</x:definedName>
    <x:definedName name="dang" localSheetId="0" hidden="1">{"'Sheet1'!$L$16"}</x:definedName>
    <x:definedName name="data1" localSheetId="0" hidden="1">#REF!</x:definedName>
    <x:definedName name="data2" localSheetId="0" hidden="1">#REF!</x:definedName>
    <x:definedName name="data3" localSheetId="0" hidden="1">#REF!</x:definedName>
    <x:definedName name="Dautu" localSheetId="0" hidden="1">{"'Sheet1'!$L$16"}</x:definedName>
    <x:definedName name="DD" localSheetId="0" hidden="1">{"'Sheet1'!$L$16"}</x:definedName>
    <x:definedName name="ddd" localSheetId="0" hidden="1">{"'Sheet1'!$L$16"}</x:definedName>
    <x:definedName name="dddddddddd" localSheetId="0">'Kết quả chấm'!dddddddddd</x:definedName>
    <x:definedName name="dddddddddddddd" localSheetId="0">'Kết quả chấm'!dddddddddddddd</x:definedName>
    <x:definedName name="ddddddddddddddd" localSheetId="0">'Kết quả chấm'!ddddddddddddddd</x:definedName>
    <x:definedName name="deedfsd" localSheetId="0" hidden="1">{"'Sheet1'!$L$16"}</x:definedName>
    <x:definedName name="DEEE" localSheetId="0">'Kết quả chấm'!DEEE</x:definedName>
    <x:definedName name="DES" localSheetId="0">'Kết quả chấm'!DES</x:definedName>
    <x:definedName name="dfafd" localSheetId="0" hidden="1">{"'Sheet1'!$L$16"}</x:definedName>
    <x:definedName name="đfbgdgă" localSheetId="0" hidden="1">{"Offgrid",#N/A,FALSE,"OFFGRID";"Region",#N/A,FALSE,"REGION";"Offgrid -2",#N/A,FALSE,"OFFGRID";"WTP",#N/A,FALSE,"WTP";"WTP -2",#N/A,FALSE,"WTP";"Project",#N/A,FALSE,"PROJECT";"Summary -2",#N/A,FALSE,"SUMMARY"}</x:definedName>
    <x:definedName name="dfdfd" localSheetId="0" hidden="1">#REF!</x:definedName>
    <x:definedName name="dfdsf" localSheetId="0" hidden="1">{"'Sheet1'!$L$16"}</x:definedName>
    <x:definedName name="dfdsfdsf" localSheetId="0" hidden="1">#REF!</x:definedName>
    <x:definedName name="DFFFF" localSheetId="0">'Kết quả chấm'!DFFFF</x:definedName>
    <x:definedName name="dfg" localSheetId="0" hidden="1">{"'Sheet1'!$L$16"}</x:definedName>
    <x:definedName name="dfgmsdkg" localSheetId="0" hidden="1">#REF!</x:definedName>
    <x:definedName name="dfh" localSheetId="0" hidden="1">{"'Sheet1'!$L$16"}</x:definedName>
    <x:definedName name="đfnfndfn" localSheetId="0" hidden="1">{#N/A,#N/A,FALSE,"Chi tiÆt"}</x:definedName>
    <x:definedName name="dfsfsd" localSheetId="0" hidden="1">{"'Sheet1'!$L$16"}</x:definedName>
    <x:definedName name="dgdagkadfkg" localSheetId="0" hidden="1">#REF!</x:definedName>
    <x:definedName name="dgdfgdfgf" localSheetId="0" hidden="1">#REF!</x:definedName>
    <x:definedName name="dgg" localSheetId="0" hidden="1">#REF!</x:definedName>
    <x:definedName name="dgsdfgdfag" localSheetId="0" hidden="1">#REF!</x:definedName>
    <x:definedName name="đhf" localSheetId="0" hidden="1">{"'Sheet1'!$L$16"}</x:definedName>
    <x:definedName name="dhtdh" localSheetId="0" hidden="1">{"Offgrid",#N/A,FALSE,"OFFGRID";"Region",#N/A,FALSE,"REGION";"Offgrid -2",#N/A,FALSE,"OFFGRID";"WTP",#N/A,FALSE,"WTP";"WTP -2",#N/A,FALSE,"WTP";"Project",#N/A,FALSE,"PROJECT";"Summary -2",#N/A,FALSE,"SUMMARY"}</x:definedName>
    <x:definedName name="Discount" localSheetId="0" hidden="1">#N/A</x:definedName>
    <x:definedName name="display_area_2" localSheetId="0" hidden="1">#REF!</x:definedName>
    <x:definedName name="DKTT" localSheetId="0">#REF!</x:definedName>
    <x:definedName name="dmxl2" localSheetId="0" hidden="1">{"'Sheet1'!$L$16"}</x:definedName>
    <x:definedName name="Document_array" localSheetId="0">{"ONGNGOAINHA.xls","Sheet1"}</x:definedName>
    <x:definedName name="dong" localSheetId="0" hidden="1">{"'Sheet1'!$L$16"}</x:definedName>
    <x:definedName name="drrrrrrr" localSheetId="0">'Kết quả chấm'!drrrrrrr</x:definedName>
    <x:definedName name="dsfhkjdsfds" localSheetId="0" hidden="1">{"'Sheet1'!$L$16"}</x:definedName>
    <x:definedName name="dsfsdfsd" localSheetId="0" hidden="1">#REF!</x:definedName>
    <x:definedName name="dsgsw.sgrs.grsg_.sg" localSheetId="0" hidden="1">{#N/A,#N/A,FALSE,"Chi tiÆt"}</x:definedName>
    <x:definedName name="DSPS" localSheetId="0" hidden="1">{"'Sheet1'!$L$16"}</x:definedName>
    <x:definedName name="DTTK" localSheetId="0" hidden="1">{"'Sheet1'!$L$16"}</x:definedName>
    <x:definedName name="DTTVGM163" localSheetId="0" hidden="1">{"'Sheet1'!$L$16"}</x:definedName>
    <x:definedName name="du" localSheetId="0" hidden="1">{"'Sheet1'!$L$16"}</x:definedName>
    <x:definedName name="duc" localSheetId="0" hidden="1">{"'Sheet1'!$L$16"}</x:definedName>
    <x:definedName name="dutoanc2" localSheetId="0" hidden="1">{"'Sheet1'!$L$16"}</x:definedName>
    <x:definedName name="ED" localSheetId="0" hidden="1">{#N/A,#N/A,FALSE,"CCTV"}</x:definedName>
    <x:definedName name="EEE" localSheetId="0">'Kết quả chấm'!EEE</x:definedName>
    <x:definedName name="EEEEE" localSheetId="0">'Kết quả chấm'!EEEEE</x:definedName>
    <x:definedName name="eeeeeeeeeeeee" localSheetId="0">'Kết quả chấm'!eeeeeeeeeeeee</x:definedName>
    <x:definedName name="egw" localSheetId="0" hidden="1">{"Offgrid",#N/A,FALSE,"OFFGRID";"Region",#N/A,FALSE,"REGION";"Offgrid -2",#N/A,FALSE,"OFFGRID";"WTP",#N/A,FALSE,"WTP";"WTP -2",#N/A,FALSE,"WTP";"Project",#N/A,FALSE,"PROJECT";"Summary -2",#N/A,FALSE,"SUMMARY"}</x:definedName>
    <x:definedName name="eheh" localSheetId="0" hidden="1">{"Offgrid",#N/A,FALSE,"OFFGRID";"Region",#N/A,FALSE,"REGION";"Offgrid -2",#N/A,FALSE,"OFFGRID";"WTP",#N/A,FALSE,"WTP";"WTP -2",#N/A,FALSE,"WTP";"Project",#N/A,FALSE,"PROJECT";"Summary -2",#N/A,FALSE,"SUMMARY"}</x:definedName>
    <x:definedName name="ELLEN1" localSheetId="0" hidden="1">{#N/A,#N/A,FALSE,"CCTV"}</x:definedName>
    <x:definedName name="ELLEN10" localSheetId="0" hidden="1">{#N/A,#N/A,FALSE,"CCTV"}</x:definedName>
    <x:definedName name="ELLEN11" localSheetId="0" hidden="1">{#N/A,#N/A,FALSE,"CCTV"}</x:definedName>
    <x:definedName name="ELLEN12" localSheetId="0" hidden="1">{#N/A,#N/A,FALSE,"CCTV"}</x:definedName>
    <x:definedName name="ELLEN13" localSheetId="0" hidden="1">{#N/A,#N/A,FALSE,"CCTV"}</x:definedName>
    <x:definedName name="ELLEN14" localSheetId="0" hidden="1">{#N/A,#N/A,FALSE,"CCTV"}</x:definedName>
    <x:definedName name="ELLEN15" localSheetId="0" hidden="1">{#N/A,#N/A,FALSE,"CCTV"}</x:definedName>
    <x:definedName name="ELLEN16" localSheetId="0" hidden="1">{#N/A,#N/A,FALSE,"CCTV"}</x:definedName>
    <x:definedName name="ELLEN17" localSheetId="0" hidden="1">{#N/A,#N/A,FALSE,"CCTV"}</x:definedName>
    <x:definedName name="ELLEN18" localSheetId="0" hidden="1">{#N/A,#N/A,FALSE,"CCTV"}</x:definedName>
    <x:definedName name="ELLEN19" localSheetId="0" hidden="1">{#N/A,#N/A,FALSE,"CCTV"}</x:definedName>
    <x:definedName name="ELLEN2" localSheetId="0" hidden="1">{#N/A,#N/A,FALSE,"CCTV"}</x:definedName>
    <x:definedName name="ELLEN3" localSheetId="0" hidden="1">{#N/A,#N/A,FALSE,"CCTV"}</x:definedName>
    <x:definedName name="ELLEN4" localSheetId="0" hidden="1">{#N/A,#N/A,FALSE,"CCTV"}</x:definedName>
    <x:definedName name="ELLEN5" localSheetId="0" hidden="1">{#N/A,#N/A,FALSE,"CCTV"}</x:definedName>
    <x:definedName name="ELLEN6" localSheetId="0" hidden="1">{#N/A,#N/A,FALSE,"CCTV"}</x:definedName>
    <x:definedName name="ELLEN7" localSheetId="0" hidden="1">{#N/A,#N/A,FALSE,"CCTV"}</x:definedName>
    <x:definedName name="ELLEN8" localSheetId="0" hidden="1">{#N/A,#N/A,FALSE,"CCTV"}</x:definedName>
    <x:definedName name="ELLEN9" localSheetId="0" hidden="1">{#N/A,#N/A,FALSE,"CCTV"}</x:definedName>
    <x:definedName name="esgtew" localSheetId="0" hidden="1">{#N/A,#N/A,FALSE,"Chi tiÆt"}</x:definedName>
    <x:definedName name="etethtehbdex" localSheetId="0" hidden="1">{#N/A,#N/A,FALSE,"Chi tiÆt"}</x:definedName>
    <x:definedName name="êthtêt" localSheetId="0" hidden="1">{"Offgrid",#N/A,FALSE,"OFFGRID";"Region",#N/A,FALSE,"REGION";"Offgrid -2",#N/A,FALSE,"OFFGRID";"WTP",#N/A,FALSE,"WTP";"WTP -2",#N/A,FALSE,"WTP";"Project",#N/A,FALSE,"PROJECT";"Summary -2",#N/A,FALSE,"SUMMARY"}</x:definedName>
    <x:definedName name="etqgsg_đhs" localSheetId="0" hidden="1">{"'Sheet1'!$L$16"}</x:definedName>
    <x:definedName name="etrw45.đ" localSheetId="0" hidden="1">{"Offgrid",#N/A,FALSE,"OFFGRID";"Region",#N/A,FALSE,"REGION";"Offgrid -2",#N/A,FALSE,"OFFGRID";"WTP",#N/A,FALSE,"WTP";"WTP -2",#N/A,FALSE,"WTP";"Project",#N/A,FALSE,"PROJECT";"Summary -2",#N/A,FALSE,"SUMMARY"}</x:definedName>
    <x:definedName name="Extra" localSheetId="0" hidden="1">{"'Sheet1'!$L$16"}</x:definedName>
    <x:definedName name="eygswgq" localSheetId="0" hidden="1">{#N/A,#N/A,FALSE,"Chi tiÆt"}</x:definedName>
    <x:definedName name="êyh" localSheetId="0" hidden="1">{"Offgrid",#N/A,FALSE,"OFFGRID";"Region",#N/A,FALSE,"REGION";"Offgrid -2",#N/A,FALSE,"OFFGRID";"WTP",#N/A,FALSE,"WTP";"WTP -2",#N/A,FALSE,"WTP";"Project",#N/A,FALSE,"PROJECT";"Summary -2",#N/A,FALSE,"SUMMARY"}</x:definedName>
    <x:definedName name="f" localSheetId="0">[3]Sheet3!$A$6:$B$9</x:definedName>
    <x:definedName name="fáaafafaf" localSheetId="0" hidden="1">{"'Sheet1'!$L$16"}</x:definedName>
    <x:definedName name="fasfaga" localSheetId="0" hidden="1">{"'Sheet1'!$L$16"}</x:definedName>
    <x:definedName name="FCode" localSheetId="0" hidden="1">#N/A</x:definedName>
    <x:definedName name="fdfdf" localSheetId="0" hidden="1">{"'Sheet1'!$L$16"}</x:definedName>
    <x:definedName name="fdgdfgdfg" localSheetId="0" hidden="1">#REF!</x:definedName>
    <x:definedName name="fđhbfbd" localSheetId="0" hidden="1">{#N/A,#N/A,FALSE,"Chi tiÆt"}</x:definedName>
    <x:definedName name="fđhh" localSheetId="0" hidden="1">{"'Sheet1'!$L$16"}</x:definedName>
    <x:definedName name="fdsfsdfd" localSheetId="0" hidden="1">{"'Sheet1'!$L$16"}</x:definedName>
    <x:definedName name="fdss" localSheetId="0" hidden="1">{"'Sheet1'!$L$16"}</x:definedName>
    <x:definedName name="fff" localSheetId="0" hidden="1">{"'Sheet1'!$L$16"}</x:definedName>
    <x:definedName name="fffffffffffffff" localSheetId="0" hidden="1">{"'Sheet1'!$L$16"}</x:definedName>
    <x:definedName name="fgafdfdg" localSheetId="0" hidden="1">#REF!</x:definedName>
    <x:definedName name="fgdfagfdf" localSheetId="0" hidden="1">#REF!</x:definedName>
    <x:definedName name="fgđff" localSheetId="0" hidden="1">{"'Sheet1'!$L$16"}</x:definedName>
    <x:definedName name="fgdfgddfgfd" localSheetId="0" hidden="1">#REF!</x:definedName>
    <x:definedName name="fgdfgfgfd" localSheetId="0" hidden="1">#REF!</x:definedName>
    <x:definedName name="fgfdaghffg" localSheetId="0" hidden="1">#REF!</x:definedName>
    <x:definedName name="fgh" localSheetId="0" hidden="1">{"'Sheet1'!$L$16"}</x:definedName>
    <x:definedName name="fghdfhdfg" localSheetId="0" hidden="1">#REF!</x:definedName>
    <x:definedName name="fgkjmgky.yulyu." localSheetId="0" hidden="1">{"Offgrid",#N/A,FALSE,"OFFGRID";"Region",#N/A,FALSE,"REGION";"Offgrid -2",#N/A,FALSE,"OFFGRID";"WTP",#N/A,FALSE,"WTP";"WTP -2",#N/A,FALSE,"WTP";"Project",#N/A,FALSE,"PROJECT";"Summary -2",#N/A,FALSE,"SUMMARY"}</x:definedName>
    <x:definedName name="fhfgfsdgfd" localSheetId="0" hidden="1">#REF!</x:definedName>
    <x:definedName name="fhgadfhadf" localSheetId="0" hidden="1">#REF!</x:definedName>
    <x:definedName name="fhlkdkgl" localSheetId="0" hidden="1">#REF!</x:definedName>
    <x:definedName name="fhsdgfdff" localSheetId="0" hidden="1">#REF!</x:definedName>
    <x:definedName name="fhtđhêhd" localSheetId="0" hidden="1">{"Offgrid",#N/A,FALSE,"OFFGRID";"Region",#N/A,FALSE,"REGION";"Offgrid -2",#N/A,FALSE,"OFFGRID";"WTP",#N/A,FALSE,"WTP";"WTP -2",#N/A,FALSE,"WTP";"Project",#N/A,FALSE,"PROJECT";"Summary -2",#N/A,FALSE,"SUMMARY"}</x:definedName>
    <x:definedName name="fj" localSheetId="0">'Kết quả chấm'!fj</x:definedName>
    <x:definedName name="FOR" localSheetId="0" hidden="1">{#N/A,#N/A,FALSE,"CCTV"}</x:definedName>
    <x:definedName name="FORMAT" localSheetId="0" hidden="1">{#N/A,#N/A,FALSE,"CCTV"}</x:definedName>
    <x:definedName name="fsdfdsf" localSheetId="0" hidden="1">{"'Sheet1'!$L$16"}</x:definedName>
    <x:definedName name="fsfdsfsf" localSheetId="0" hidden="1">{"'Sheet1'!$L$16"}</x:definedName>
    <x:definedName name="fsfsdfasfas" localSheetId="0" hidden="1">{0}</x:definedName>
    <x:definedName name="ftgfg" localSheetId="0" hidden="1">{#N/A,#N/A,FALSE,"CCTV"}</x:definedName>
    <x:definedName name="gdfg" localSheetId="0" hidden="1">{"'Sheet1'!$L$16"}</x:definedName>
    <x:definedName name="gdfgdfgdf" localSheetId="0" hidden="1">{"'Sheet1'!$L$16"}</x:definedName>
    <x:definedName name="gfhgadfkgkadf" localSheetId="0" hidden="1">#REF!</x:definedName>
    <x:definedName name="ggaq" localSheetId="0" hidden="1">{"Offgrid",#N/A,FALSE,"OFFGRID";"Region",#N/A,FALSE,"REGION";"Offgrid -2",#N/A,FALSE,"OFFGRID";"WTP",#N/A,FALSE,"WTP";"WTP -2",#N/A,FALSE,"WTP";"Project",#N/A,FALSE,"PROJECT";"Summary -2",#N/A,FALSE,"SUMMARY"}</x:definedName>
    <x:definedName name="gggggggggg" localSheetId="0">'Kết quả chấm'!gggggggggg</x:definedName>
    <x:definedName name="gghjgh" localSheetId="0" hidden="1">#REF!</x:definedName>
    <x:definedName name="ggsf" localSheetId="0" hidden="1">#REF!</x:definedName>
    <x:definedName name="ghàdgfadgdf" localSheetId="0" hidden="1">#REF!</x:definedName>
    <x:definedName name="giang" localSheetId="0" hidden="1">{"'Sheet1'!$L$16"}</x:definedName>
    <x:definedName name="gjrđjsjs" localSheetId="0" hidden="1">{"'Sheet1'!$L$16"}</x:definedName>
    <x:definedName name="grds" localSheetId="0" hidden="1">{"'Sheet1'!$L$16"}</x:definedName>
    <x:definedName name="gteyhưez" localSheetId="0" hidden="1">{"'Sheet1'!$L$16"}</x:definedName>
    <x:definedName name="GU" localSheetId="0" hidden="1">{"'Sheet1'!$L$16"}</x:definedName>
    <x:definedName name="gwf" localSheetId="0" hidden="1">{#N/A,#N/A,FALSE,"Chi tiÆt"}</x:definedName>
    <x:definedName name="h" localSheetId="0" hidden="1">{"'Sheet1'!$L$16"}</x:definedName>
    <x:definedName name="h_xoa" localSheetId="0" hidden="1">{"'Sheet1'!$L$16"}</x:definedName>
    <x:definedName name="h_xoa2" localSheetId="0" hidden="1">{"'Sheet1'!$L$16"}</x:definedName>
    <x:definedName name="haKK" localSheetId="0" hidden="1">{"'Sheet1'!$L$16"}</x:definedName>
    <x:definedName name="hanh" localSheetId="0" hidden="1">{"'Sheet1'!$L$16"}</x:definedName>
    <x:definedName name="haoif" localSheetId="0" hidden="1">{"'Sheet1'!$L$16"}</x:definedName>
    <x:definedName name="HCSL" localSheetId="0" hidden="1">{"'Sheet1'!$L$16"}</x:definedName>
    <x:definedName name="hcsla" localSheetId="0" hidden="1">{"'Sheet1'!$L$16"}</x:definedName>
    <x:definedName name="hcsld" localSheetId="0" hidden="1">{"'Sheet1'!$L$16"}</x:definedName>
    <x:definedName name="hdfgdgdg" localSheetId="0" hidden="1">#REF!</x:definedName>
    <x:definedName name="HDH" localSheetId="0" hidden="1">{"'Sheet1'!$L$16"}</x:definedName>
    <x:definedName name="heđbe" localSheetId="0" hidden="1">{"Offgrid",#N/A,FALSE,"OFFGRID";"Region",#N/A,FALSE,"REGION";"Offgrid -2",#N/A,FALSE,"OFFGRID";"WTP",#N/A,FALSE,"WTP";"WTP -2",#N/A,FALSE,"WTP";"Project",#N/A,FALSE,"PROJECT";"Summary -2",#N/A,FALSE,"SUMMARY"}</x:definedName>
    <x:definedName name="hee_opjg" localSheetId="0" hidden="1">{"'Sheet1'!$L$16"}</x:definedName>
    <x:definedName name="hẻy" localSheetId="0" hidden="1">{"'Sheet1'!$L$16"}</x:definedName>
    <x:definedName name="hfgh" localSheetId="0" hidden="1">{"'Sheet1'!$L$16"}</x:definedName>
    <x:definedName name="hgadgag" localSheetId="0" hidden="1">{"Offgrid",#N/A,FALSE,"OFFGRID";"Region",#N/A,FALSE,"REGION";"Offgrid -2",#N/A,FALSE,"OFFGRID";"WTP",#N/A,FALSE,"WTP";"WTP -2",#N/A,FALSE,"WTP";"Project",#N/A,FALSE,"PROJECT";"Summary -2",#N/A,FALSE,"SUMMARY"}</x:definedName>
    <x:definedName name="hgh" localSheetId="0" hidden="1">#REF!</x:definedName>
    <x:definedName name="hghgh" localSheetId="0" hidden="1">{0}</x:definedName>
    <x:definedName name="hgre_zdfhgfd" localSheetId="0" hidden="1">{"'Sheet1'!$L$16"}</x:definedName>
    <x:definedName name="HHHH" localSheetId="0">'Kết quả chấm'!HHHH</x:definedName>
    <x:definedName name="hhhthrh" localSheetId="0" hidden="1">{#N/A,#N/A,FALSE,"Chi tiÆt"}</x:definedName>
    <x:definedName name="HiddenRows" localSheetId="0" hidden="1">#N/A</x:definedName>
    <x:definedName name="hj" localSheetId="0">'Kết quả chấm'!hj</x:definedName>
    <x:definedName name="hkj" localSheetId="0" hidden="1">{0}</x:definedName>
    <x:definedName name="hmi" localSheetId="0" hidden="1">{"'Sheet1'!$L$16"}</x:definedName>
    <x:definedName name="hnhnhn" localSheetId="0" hidden="1">{"'Sheet1'!$L$16"}</x:definedName>
    <x:definedName name="hoa" localSheetId="0" hidden="1">{"'Sheet1'!$L$16"}</x:definedName>
    <x:definedName name="hong" localSheetId="0" hidden="1">{"'Sheet1'!$L$16"}</x:definedName>
    <x:definedName name="hongngu" localSheetId="0" hidden="1">{"'Sheet1'!$L$16"}</x:definedName>
    <x:definedName name="hp" localSheetId="0" hidden="1">{"'Sheet1'!$L$16"}</x:definedName>
    <x:definedName name="hrhe" localSheetId="0" hidden="1">{"Offgrid",#N/A,FALSE,"OFFGRID";"Region",#N/A,FALSE,"REGION";"Offgrid -2",#N/A,FALSE,"OFFGRID";"WTP",#N/A,FALSE,"WTP";"WTP -2",#N/A,FALSE,"WTP";"Project",#N/A,FALSE,"PROJECT";"Summary -2",#N/A,FALSE,"SUMMARY"}</x:definedName>
    <x:definedName name="hsduuiejkdf" localSheetId="0" hidden="1">{"'Sheet1'!$L$16"}</x:definedName>
    <x:definedName name="hsgbhtgrư" localSheetId="0" hidden="1">{#N/A,#N/A,FALSE,"Chi tiÆt"}</x:definedName>
    <x:definedName name="ht" localSheetId="0" hidden="1">{"'Sheet1'!$L$16"}</x:definedName>
    <x:definedName name="htjhtjftj" localSheetId="0" hidden="1">{#N/A,#N/A,FALSE,"Chi tiÆt"}</x:definedName>
    <x:definedName name="htlm" localSheetId="0" hidden="1">{"'Sheet1'!$L$16"}</x:definedName>
    <x:definedName name="HTML_Control" localSheetId="0" hidden="1">{"'Sheet1'!$L$16"}</x:definedName>
    <x:definedName name="html_control_xoa2" localSheetId="0" hidden="1">{"'Sheet1'!$L$16"}</x:definedName>
    <x:definedName name="HTML_Controlmoi" localSheetId="0" hidden="1">{"'Sheet1'!$L$16"}</x:definedName>
    <x:definedName name="HTMLmoi" localSheetId="0" hidden="1">{"'Sheet1'!$L$16"}</x:definedName>
    <x:definedName name="htriu4" localSheetId="0" hidden="1">{#N/A,#N/A,FALSE,"Chi tiÆt"}</x:definedName>
    <x:definedName name="hu" localSheetId="0" hidden="1">{"'Sheet1'!$L$16"}</x:definedName>
    <x:definedName name="hui" localSheetId="0" hidden="1">{"'Sheet1'!$L$16"}</x:definedName>
    <x:definedName name="hung" localSheetId="0" hidden="1">{"'Sheet1'!$L$16"}</x:definedName>
    <x:definedName name="huy" localSheetId="0" hidden="1">{"'Sheet1'!$L$16"}</x:definedName>
    <x:definedName name="huy_xoa" localSheetId="0" hidden="1">{"'Sheet1'!$L$16"}</x:definedName>
    <x:definedName name="huy_xoa2" localSheetId="0" hidden="1">{"'Sheet1'!$L$16"}</x:definedName>
    <x:definedName name="huy1moi" localSheetId="0" hidden="1">{"'Sheet1'!$L$16"}</x:definedName>
    <x:definedName name="huyhoa" localSheetId="0" hidden="1">{"'Sheet1'!$L$16"}</x:definedName>
    <x:definedName name="huymoi" localSheetId="0" hidden="1">{"'Sheet1'!$L$16"}</x:definedName>
    <x:definedName name="huyy" localSheetId="0" hidden="1">{"'Sheet1'!$L$16"}</x:definedName>
    <x:definedName name="ịth" localSheetId="0" hidden="1">{"'Sheet1'!$L$16"}</x:definedName>
    <x:definedName name="JHK" localSheetId="0" hidden="1">{0}</x:definedName>
    <x:definedName name="jjjjjjjj" localSheetId="0" hidden="1">{0}</x:definedName>
    <x:definedName name="jkhj" localSheetId="0" hidden="1">{"'Sheet1'!$L$16"}</x:definedName>
    <x:definedName name="jkjk" localSheetId="0" hidden="1">{"'Sheet1'!$L$16"}</x:definedName>
    <x:definedName name="jsajhf" localSheetId="0" hidden="1">{"'Sheet1'!$L$16"}</x:definedName>
    <x:definedName name="jýỵy" localSheetId="0" hidden="1">{"'Sheet1'!$L$16"}</x:definedName>
    <x:definedName name="k" localSheetId="0" hidden="1">{"Offgrid",#N/A,FALSE,"OFFGRID";"Region",#N/A,FALSE,"REGION";"Offgrid -2",#N/A,FALSE,"OFFGRID";"WTP",#N/A,FALSE,"WTP";"WTP -2",#N/A,FALSE,"WTP";"Project",#N/A,FALSE,"PROJECT";"Summary -2",#N/A,FALSE,"SUMMARY"}</x:definedName>
    <x:definedName name="k_xoa" localSheetId="0" hidden="1">{"Offgrid",#N/A,FALSE,"OFFGRID";"Region",#N/A,FALSE,"REGION";"Offgrid -2",#N/A,FALSE,"OFFGRID";"WTP",#N/A,FALSE,"WTP";"WTP -2",#N/A,FALSE,"WTP";"Project",#N/A,FALSE,"PROJECT";"Summary -2",#N/A,FALSE,"SUMMARY"}</x:definedName>
    <x:definedName name="k_xoa2" localSheetId="0" hidden="1">{"Offgrid",#N/A,FALSE,"OFFGRID";"Region",#N/A,FALSE,"REGION";"Offgrid -2",#N/A,FALSE,"OFFGRID";"WTP",#N/A,FALSE,"WTP";"WTP -2",#N/A,FALSE,"WTP";"Project",#N/A,FALSE,"PROJECT";"Summary -2",#N/A,FALSE,"SUMMARY"}</x:definedName>
    <x:definedName name="KCThep" localSheetId="0" hidden="1">{"'Sheet1'!$L$16"}</x:definedName>
    <x:definedName name="kdkk" localSheetId="0" hidden="1">{"'Sheet1'!$L$16"}</x:definedName>
    <x:definedName name="khongtruotgia" localSheetId="0" hidden="1">{"'Sheet1'!$L$16"}</x:definedName>
    <x:definedName name="KHSX" localSheetId="0" hidden="1">{"'Sheet1'!$L$16"}</x:definedName>
    <x:definedName name="kjkjkj" localSheetId="0" hidden="1">{"'Sheet1'!$L$16"}</x:definedName>
    <x:definedName name="KKKKKKKKK" localSheetId="0">'Kết quả chấm'!KKKKKKKKK</x:definedName>
    <x:definedName name="klm" localSheetId="0" hidden="1">{"'Sheet1'!$L$16"}</x:definedName>
    <x:definedName name="ks" localSheetId="0" hidden="1">{"'Sheet1'!$L$16"}</x:definedName>
    <x:definedName name="ksbn" localSheetId="0" hidden="1">{"'Sheet1'!$L$16"}</x:definedName>
    <x:definedName name="kshn" localSheetId="0" hidden="1">{"'Sheet1'!$L$16"}</x:definedName>
    <x:definedName name="ksls" localSheetId="0" hidden="1">{"'Sheet1'!$L$16"}</x:definedName>
    <x:definedName name="ktdk0" localSheetId="0" hidden="1">{#N/A,#N/A,FALSE,"Chi tiÆt"}</x:definedName>
    <x:definedName name="l.dat" localSheetId="0" hidden="1">{"'Sheet1'!$L$16"}</x:definedName>
    <x:definedName name="lai" localSheetId="0" hidden="1">{"'Sheet1'!$L$16"}</x:definedName>
    <x:definedName name="lan" localSheetId="0" hidden="1">{#N/A,#N/A,TRUE,"BT M200 da 10x20"}</x:definedName>
    <x:definedName name="langson" localSheetId="0" hidden="1">{"'Sheet1'!$L$16"}</x:definedName>
    <x:definedName name="line" localSheetId="0" hidden="1">{"'Sheet1'!$L$16"}</x:definedName>
    <x:definedName name="linh" localSheetId="0" hidden="1">{"'Sheet1'!$L$16"}</x:definedName>
    <x:definedName name="linhT" localSheetId="0" hidden="1">{"'Sheet1'!$L$16"}</x:definedName>
    <x:definedName name="lk" localSheetId="0" hidden="1">{"'Sheet1'!$L$16"}</x:definedName>
    <x:definedName name="lkl" localSheetId="0" hidden="1">{"'Sheet1'!$L$16"}</x:definedName>
    <x:definedName name="LTKD" localSheetId="0" hidden="1">{"'Sheet1'!$L$16"}</x:definedName>
    <x:definedName name="luyÕn" localSheetId="0" hidden="1">{"'Sheet1'!$L$16"}</x:definedName>
    <x:definedName name="lvo" localSheetId="0" hidden="1">{"'Sheet1'!$L$16"}</x:definedName>
    <x:definedName name="m" localSheetId="0" hidden="1">{"'Sheet1'!$L$16"}</x:definedName>
    <x:definedName name="M10." localSheetId="0" hidden="1">{"'Sheet1'!$L$16"}</x:definedName>
    <x:definedName name="MCCO" localSheetId="0" hidden="1">{#N/A,#N/A,FALSE,"CCTV"}</x:definedName>
    <x:definedName name="MCCO10" localSheetId="0" hidden="1">{#N/A,#N/A,FALSE,"CCTV"}</x:definedName>
    <x:definedName name="MCCO11" localSheetId="0" hidden="1">{#N/A,#N/A,FALSE,"CCTV"}</x:definedName>
    <x:definedName name="MCCO12" localSheetId="0" hidden="1">{#N/A,#N/A,FALSE,"CCTV"}</x:definedName>
    <x:definedName name="MCCO13" localSheetId="0" hidden="1">{#N/A,#N/A,FALSE,"CCTV"}</x:definedName>
    <x:definedName name="MCCO3" localSheetId="0" hidden="1">{#N/A,#N/A,FALSE,"CCTV"}</x:definedName>
    <x:definedName name="MCCO4" localSheetId="0" hidden="1">{#N/A,#N/A,FALSE,"CCTV"}</x:definedName>
    <x:definedName name="MCCO5" localSheetId="0" hidden="1">{#N/A,#N/A,FALSE,"CCTV"}</x:definedName>
    <x:definedName name="MCCO6" localSheetId="0" hidden="1">{#N/A,#N/A,FALSE,"CCTV"}</x:definedName>
    <x:definedName name="MCCO7" localSheetId="0" hidden="1">{#N/A,#N/A,FALSE,"CCTV"}</x:definedName>
    <x:definedName name="MCCO8" localSheetId="0" hidden="1">{#N/A,#N/A,FALSE,"CCTV"}</x:definedName>
    <x:definedName name="MCCO9" localSheetId="0" hidden="1">{#N/A,#N/A,FALSE,"CCTV"}</x:definedName>
    <x:definedName name="MCCOÙ" localSheetId="0" hidden="1">{#N/A,#N/A,FALSE,"CCTV"}</x:definedName>
    <x:definedName name="MH" localSheetId="0" hidden="1">{"'Sheet1'!$L$16"}</x:definedName>
    <x:definedName name="minh" localSheetId="0" hidden="1">{"'Sheet1'!$L$16"}</x:definedName>
    <x:definedName name="mm" localSheetId="0" hidden="1">{"'Sheet1'!$L$16"}</x:definedName>
    <x:definedName name="mmmm" localSheetId="0" hidden="1">{"'Sheet1'!$L$16"}</x:definedName>
    <x:definedName name="mncvhjkhj" localSheetId="0" hidden="1">{"'Sheet1'!$L$16"}</x:definedName>
    <x:definedName name="mrn.inv._.budget" localSheetId="0" hidden="1">{"invbud-1",#N/A,FALSE,"A";"invbud-1CW",#N/A,FALSE,"A";"Desinvesteringen",#N/A,FALSE,"C"}</x:definedName>
    <x:definedName name="Namna" localSheetId="0" hidden="1">{"'Sheet1'!$L$16"}</x:definedName>
    <x:definedName name="ncb" localSheetId="0">'Kết quả chấm'!ncb</x:definedName>
    <x:definedName name="new" localSheetId="0" hidden="1">{"'Sheet1'!$L$16"}</x:definedName>
    <x:definedName name="NEWNAME" localSheetId="0" hidden="1">{#N/A,#N/A,FALSE,"CCTV"}</x:definedName>
    <x:definedName name="ngay23" localSheetId="0" hidden="1">{"'Sheet1'!$L$16"}</x:definedName>
    <x:definedName name="nhap1" localSheetId="0">'Kết quả chấm'!nhap1</x:definedName>
    <x:definedName name="nhap2" localSheetId="0">'Kết quả chấm'!nhap2</x:definedName>
    <x:definedName name="nhap3" localSheetId="0">'Kết quả chấm'!nhap3</x:definedName>
    <x:definedName name="nhapcb" localSheetId="0">'Kết quả chấm'!nhapcb</x:definedName>
    <x:definedName name="nhung" localSheetId="0" hidden="1">{"'Sheet1'!$L$16"}</x:definedName>
    <x:definedName name="nhvnbv" localSheetId="0" hidden="1">{"'Sheet1'!$L$16"}</x:definedName>
    <x:definedName name="nm" localSheetId="0" hidden="1">{"'Sheet1'!$L$16"}</x:definedName>
    <x:definedName name="nnn" localSheetId="0">'Kết quả chấm'!nnn</x:definedName>
    <x:definedName name="NRy" localSheetId="0" hidden="1">{"'Sheet1'!$L$16"}</x:definedName>
    <x:definedName name="NUOCHKHOAN" localSheetId="0" hidden="1">{"'Sheet1'!$L$16"}</x:definedName>
    <x:definedName name="NUOCHKHOANMOI" localSheetId="0" hidden="1">{"'Sheet1'!$L$16"}</x:definedName>
    <x:definedName name="o" localSheetId="0" hidden="1">{"'Sheet1'!$L$16"}</x:definedName>
    <x:definedName name="Ô" localSheetId="0" hidden="1">{"'Sheet1'!$L$16"}</x:definedName>
    <x:definedName name="ôi" localSheetId="0" hidden="1">#REF!</x:definedName>
    <x:definedName name="OrderTable" localSheetId="0" hidden="1">#N/A</x:definedName>
    <x:definedName name="oudom" localSheetId="0" hidden="1">{"'Sheet1'!$L$16"}</x:definedName>
    <x:definedName name="phantich3" localSheetId="0" hidden="1">{"'Sheet1'!$L$16"}</x:definedName>
    <x:definedName name="phuong" localSheetId="0" hidden="1">{"'Sheet1'!$L$16"}</x:definedName>
    <x:definedName name="ProdForm" localSheetId="0" hidden="1">#N/A</x:definedName>
    <x:definedName name="Product" localSheetId="0" hidden="1">#N/A</x:definedName>
    <x:definedName name="ptich3" localSheetId="0" hidden="1">{"'Sheet1'!$L$16"}</x:definedName>
    <x:definedName name="q" localSheetId="0" hidden="1">{"'Sheet1'!$L$16"}</x:definedName>
    <x:definedName name="qềqg" localSheetId="0" hidden="1">{"'Sheet1'!$L$16"}</x:definedName>
    <x:definedName name="QQ" localSheetId="0" hidden="1">{"'Sheet1'!$L$16"}</x:definedName>
    <x:definedName name="qqq" localSheetId="0" hidden="1">{"'Sheet1'!$L$16"}</x:definedName>
    <x:definedName name="qừq" localSheetId="0" hidden="1">{#N/A,#N/A,FALSE,"Chi tiÆt"}</x:definedName>
    <x:definedName name="Ranhxay" localSheetId="0" hidden="1">{"'Sheet1'!$L$16"}</x:definedName>
    <x:definedName name="RCArea" localSheetId="0" hidden="1">#N/A</x:definedName>
    <x:definedName name="rdrdd" localSheetId="0" hidden="1">{#N/A,#N/A,FALSE,"Chi tiÆt"}</x:definedName>
    <x:definedName name="re" localSheetId="0" hidden="1">{"'Sheet1'!$L$16"}</x:definedName>
    <x:definedName name="Result21" localSheetId="0" hidden="1">{"'Sheet1'!$L$16"}</x:definedName>
    <x:definedName name="rhgrs" localSheetId="0" hidden="1">{"'Sheet1'!$L$16"}</x:definedName>
    <x:definedName name="rhrewhehe" localSheetId="0" hidden="1">{#N/A,#N/A,FALSE,"Chi tiÆt"}</x:definedName>
    <x:definedName name="rjf" localSheetId="0" hidden="1">{"Offgrid",#N/A,FALSE,"OFFGRID";"Region",#N/A,FALSE,"REGION";"Offgrid -2",#N/A,FALSE,"OFFGRID";"WTP",#N/A,FALSE,"WTP";"WTP -2",#N/A,FALSE,"WTP";"Project",#N/A,FALSE,"PROJECT";"Summary -2",#N/A,FALSE,"SUMMARY"}</x:definedName>
    <x:definedName name="rkd" localSheetId="0" hidden="1">{#N/A,#N/A,FALSE,"CCTV"}</x:definedName>
    <x:definedName name="RREE" localSheetId="0">'Kết quả chấm'!RREE</x:definedName>
    <x:definedName name="RRR" localSheetId="0">'Kết quả chấm'!RRR</x:definedName>
    <x:definedName name="RRRDGG" localSheetId="0">'Kết quả chấm'!RRRDGG</x:definedName>
    <x:definedName name="rrrfff" localSheetId="0">'Kết quả chấm'!rrrfff</x:definedName>
    <x:definedName name="rrrrrrrrrrrrrrr" localSheetId="0">'Kết quả chấm'!rrrrrrrrrrrrrrr</x:definedName>
    <x:definedName name="ryedfg" localSheetId="0" hidden="1">{#N/A,#N/A,FALSE,"CCTV"}</x:definedName>
    <x:definedName name="ryhtrd" localSheetId="0" hidden="1">{#N/A,#N/A,FALSE,"Chi tiÆt"}</x:definedName>
    <x:definedName name="S" localSheetId="0" hidden="1">{"'Sheet1'!$L$16"}</x:definedName>
    <x:definedName name="SAD" localSheetId="0" hidden="1">{"'Sheet1'!$L$16"}</x:definedName>
    <x:definedName name="sadec" localSheetId="0" hidden="1">{"'Sheet1'!$L$16"}</x:definedName>
    <x:definedName name="SA順にソートする" localSheetId="0">'Kết quả chấm'!SA順にソートする</x:definedName>
    <x:definedName name="SCTX" localSheetId="0" hidden="1">{"'Sheet1'!$L$16"}</x:definedName>
    <x:definedName name="sdcfzdcdzssaf" localSheetId="0" hidden="1">{"'Sheet1'!$L$16"}</x:definedName>
    <x:definedName name="sdfsdfsd" localSheetId="0" hidden="1">{"'Sheet1'!$L$16"}</x:definedName>
    <x:definedName name="sdgsdfgdf" localSheetId="0">{0}</x:definedName>
    <x:definedName name="sen" localSheetId="0" hidden="1">{"'Sheet1'!$L$16"}</x:definedName>
    <x:definedName name="sfasf" localSheetId="0" hidden="1">{"'Sheet1'!$L$16"}</x:definedName>
    <x:definedName name="sfdsf" localSheetId="0" hidden="1">{"'Sheet1'!$L$16"}</x:definedName>
    <x:definedName name="sff" localSheetId="0" hidden="1">{"'Sheet1'!$L$16"}</x:definedName>
    <x:definedName name="sfh" localSheetId="0" hidden="1">{"'Sheet1'!$L$16"}</x:definedName>
    <x:definedName name="sgsr" localSheetId="0" hidden="1">{"'Sheet1'!$L$16"}</x:definedName>
    <x:definedName name="shee12" localSheetId="0" hidden="1">{"'Sheet1'!$L$16"}</x:definedName>
    <x:definedName name="sheet" localSheetId="0" hidden="1">{"'Sheet1'!$L$16"}</x:definedName>
    <x:definedName name="shsrhtr" localSheetId="0" hidden="1">{"'Sheet1'!$L$16"}</x:definedName>
    <x:definedName name="sjoiseiorkl" localSheetId="0" hidden="1">{#N/A,#N/A,FALSE,"Chi tiÆt"}</x:definedName>
    <x:definedName name="So_Xau" localSheetId="0">'Kết quả chấm'!So_Xau</x:definedName>
    <x:definedName name="sodu" localSheetId="0" hidden="1">{"'Sheet1'!$L$16"}</x:definedName>
    <x:definedName name="SORT2" localSheetId="0">'Kết quả chấm'!SORT2</x:definedName>
    <x:definedName name="SORT3" localSheetId="0">'Kết quả chấm'!SORT3</x:definedName>
    <x:definedName name="SpecialPrice" localSheetId="0" hidden="1">#N/A</x:definedName>
    <x:definedName name="ss" localSheetId="0" hidden="1">{"'Sheet1'!$L$16"}</x:definedName>
    <x:definedName name="ssggg" localSheetId="0" hidden="1">{0}</x:definedName>
    <x:definedName name="SSSS" localSheetId="0" hidden="1">{"'Sheet1'!$L$16"}</x:definedName>
    <x:definedName name="stop" localSheetId="0" hidden="1">{0}</x:definedName>
    <x:definedName name="sua" localSheetId="0" hidden="1">{"'Sheet1'!$L$16"}</x:definedName>
    <x:definedName name="T4.06" localSheetId="0" hidden="1">{"'Sheet1'!$L$16"}</x:definedName>
    <x:definedName name="T5.06" localSheetId="0" hidden="1">{"'Sheet1'!$L$16"}</x:definedName>
    <x:definedName name="tanhong" localSheetId="0" hidden="1">{"'Sheet1'!$L$16"}</x:definedName>
    <x:definedName name="tanhong1" localSheetId="0" hidden="1">{"'Sheet1'!$L$16"}</x:definedName>
    <x:definedName name="tbl_ProdInfo" localSheetId="0" hidden="1">#N/A</x:definedName>
    <x:definedName name="tgưgz" localSheetId="0" hidden="1">{"'Sheet1'!$L$16"}</x:definedName>
    <x:definedName name="tha" localSheetId="0" hidden="1">{"'Sheet1'!$L$16"}</x:definedName>
    <x:definedName name="THAN" localSheetId="0" hidden="1">{"'Sheet1'!$L$16"}</x:definedName>
    <x:definedName name="thang" localSheetId="0" hidden="1">{"'Sheet1'!$L$16"}</x:definedName>
    <x:definedName name="Thang10" localSheetId="0" hidden="1">{"'Sheet1'!$L$16"}</x:definedName>
    <x:definedName name="thang13" localSheetId="0" hidden="1">{"'Sheet1'!$L$16"}</x:definedName>
    <x:definedName name="thang8" localSheetId="0" hidden="1">{"'Sheet1'!$L$16"}</x:definedName>
    <x:definedName name="thang9" localSheetId="0" hidden="1">{"'Sheet1'!$L$16"}</x:definedName>
    <x:definedName name="thanh" localSheetId="0" hidden="1">{"'Sheet1'!$L$16"}</x:definedName>
    <x:definedName name="thao" localSheetId="0" hidden="1">{"'Sheet1'!$L$16"}</x:definedName>
    <x:definedName name="THKP7YT" localSheetId="0" hidden="1">{"'Sheet1'!$L$16"}</x:definedName>
    <x:definedName name="tht" localSheetId="0" hidden="1">{"'Sheet1'!$L$16"}</x:definedName>
    <x:definedName name="thtt6" localSheetId="0" hidden="1">{"'Sheet1'!$L$16"}</x:definedName>
    <x:definedName name="thvlmoi" localSheetId="0" hidden="1">{"'Sheet1'!$L$16"}</x:definedName>
    <x:definedName name="thvlmoimoi" localSheetId="0" hidden="1">{"'Sheet1'!$L$16"}</x:definedName>
    <x:definedName name="tim" localSheetId="0" hidden="1">{"'Sheet1'!$L$16"}</x:definedName>
    <x:definedName name="tjhtrjntrsjnsr" localSheetId="0" hidden="1">{"'Sheet1'!$L$16"}</x:definedName>
    <x:definedName name="tjhủn" localSheetId="0" hidden="1">{"Offgrid",#N/A,FALSE,"OFFGRID";"Region",#N/A,FALSE,"REGION";"Offgrid -2",#N/A,FALSE,"OFFGRID";"WTP",#N/A,FALSE,"WTP";"WTP -2",#N/A,FALSE,"WTP";"Project",#N/A,FALSE,"PROJECT";"Summary -2",#N/A,FALSE,"SUMMARY"}</x:definedName>
    <x:definedName name="tjjrj" localSheetId="0" hidden="1">{#N/A,#N/A,FALSE,"Chi tiÆt"}</x:definedName>
    <x:definedName name="tk" localSheetId="0">'Kết quả chấm'!tk</x:definedName>
    <x:definedName name="tke" localSheetId="0">'Kết quả chấm'!tke</x:definedName>
    <x:definedName name="tkt" localSheetId="0" hidden="1">{"'Sheet1'!$L$16"}</x:definedName>
    <x:definedName name="toan" localSheetId="0" hidden="1">{"'Sheet1'!$L$16"}</x:definedName>
    <x:definedName name="TRAMTON" localSheetId="0" hidden="1">{"'Sheet1'!$L$16"}</x:definedName>
    <x:definedName name="trrh" localSheetId="0" hidden="1">{"'Sheet1'!$L$16"}</x:definedName>
    <x:definedName name="truc" localSheetId="0" hidden="1">{"'Sheet1'!$L$16"}</x:definedName>
    <x:definedName name="trung" localSheetId="0" hidden="1">{"'Sheet1'!$L$16"}</x:definedName>
    <x:definedName name="tscd" localSheetId="0" hidden="1">{"'Sheet1'!$L$16"}</x:definedName>
    <x:definedName name="tuankhanhtuyet" localSheetId="0" hidden="1">{0}</x:definedName>
    <x:definedName name="tv" localSheetId="0" hidden="1">{"'Sheet1'!$L$16"}</x:definedName>
    <x:definedName name="uassw_sh" localSheetId="0" hidden="1">{"'Sheet1'!$L$16"}</x:definedName>
    <x:definedName name="uipou" localSheetId="0" hidden="1">{0}</x:definedName>
    <x:definedName name="uiqwuewhjdr" localSheetId="0" hidden="1">{"'Sheet1'!$L$16"}</x:definedName>
    <x:definedName name="UL" localSheetId="0" hidden="1">{"'Sheet1'!$L$16"}</x:definedName>
    <x:definedName name="ủnt" localSheetId="0" hidden="1">{"'Sheet1'!$L$16"}</x:definedName>
    <x:definedName name="uuuuuuuuuuuuu" localSheetId="0">'Kết quả chấm'!uuuuuuuuuuuuu</x:definedName>
    <x:definedName name="uyen" localSheetId="0" hidden="1">{#N/A,#N/A,TRUE,"BT M200 da 10x20"}</x:definedName>
    <x:definedName name="uyghu" localSheetId="0" hidden="1">{0}</x:definedName>
    <x:definedName name="ủytỉt" localSheetId="0" hidden="1">{"'Sheet1'!$L$16"}</x:definedName>
    <x:definedName name="uytjhtdjtj" localSheetId="0" hidden="1">{"'Sheet1'!$L$16"}</x:definedName>
    <x:definedName name="VATM" localSheetId="0" hidden="1">{"'Sheet1'!$L$16"}</x:definedName>
    <x:definedName name="vay" localSheetId="0" hidden="1">{"'Sheet1'!$L$16"}</x:definedName>
    <x:definedName name="vbgnbvn" localSheetId="0" hidden="1">{"'Sheet1'!$L$16"}</x:definedName>
    <x:definedName name="vcbo1" localSheetId="0" hidden="1">{"'Sheet1'!$L$16"}</x:definedName>
    <x:definedName name="vcoto" localSheetId="0" hidden="1">{"'Sheet1'!$L$16"}</x:definedName>
    <x:definedName name="vcvbcb" localSheetId="0" hidden="1">{0}</x:definedName>
    <x:definedName name="vgho" localSheetId="0" hidden="1">{"'Sheet1'!$L$16"}</x:definedName>
    <x:definedName name="vi" localSheetId="0" hidden="1">{"'Sheet1'!$L$16"}</x:definedName>
    <x:definedName name="VVVVVV" localSheetId="0" hidden="1">{"'Sheet1'!$L$16"}</x:definedName>
    <x:definedName name="wgyw" localSheetId="0" hidden="1">{"'Sheet1'!$L$16"}</x:definedName>
    <x:definedName name="WRITE" localSheetId="0" hidden="1">{#N/A,#N/A,FALSE,"CCTV"}</x:definedName>
    <x:definedName name="WRN" localSheetId="0" hidden="1">{#N/A,#N/A,FALSE,"CCTV"}</x:definedName>
    <x:definedName name="wrn.aaa." localSheetId="0" hidden="1">{#N/A,#N/A,FALSE,"Sheet1";#N/A,#N/A,FALSE,"Sheet1";#N/A,#N/A,FALSE,"Sheet1"}</x:definedName>
    <x:definedName name="wrn.BAOCAO." localSheetId="0" hidden="1">{#N/A,#N/A,FALSE,"sum";#N/A,#N/A,FALSE,"MARTV";#N/A,#N/A,FALSE,"APRTV"}</x:definedName>
    <x:definedName name="wrn.BM." localSheetId="0" hidden="1">{#N/A,#N/A,FALSE,"CCTV"}</x:definedName>
    <x:definedName name="wrn.chi._.tiÆt." localSheetId="0" hidden="1">{#N/A,#N/A,FALSE,"Chi tiÆt"}</x:definedName>
    <x:definedName name="wrn.cong." localSheetId="0" hidden="1">{#N/A,#N/A,FALSE,"Sheet1"}</x:definedName>
    <x:definedName name="wrn.inv._.budget." localSheetId="0" hidden="1">{"invbud-1",#N/A,FALSE,"A";"invbud-1CW",#N/A,FALSE,"A";"Desinvesteringen",#N/A,FALSE,"C"}</x:definedName>
    <x:definedName name="wrn.re_xoa2" localSheetId="0" hidden="1">{"Offgrid",#N/A,FALSE,"OFFGRID";"Region",#N/A,FALSE,"REGION";"Offgrid -2",#N/A,FALSE,"OFFGRID";"WTP",#N/A,FALSE,"WTP";"WTP -2",#N/A,FALSE,"WTP";"Project",#N/A,FALSE,"PROJECT";"Summary -2",#N/A,FALSE,"SUMMARY"}</x:definedName>
    <x:definedName name="wrn.Report." localSheetId="0" hidden="1">{"Offgrid",#N/A,FALSE,"OFFGRID";"Region",#N/A,FALSE,"REGION";"Offgrid -2",#N/A,FALSE,"OFFGRID";"WTP",#N/A,FALSE,"WTP";"WTP -2",#N/A,FALSE,"WTP";"Project",#N/A,FALSE,"PROJECT";"Summary -2",#N/A,FALSE,"SUMMARY"}</x:definedName>
    <x:definedName name="wrn.testRapport." localSheetId="0" hidden="1">{#N/A,#N/A,TRUE,"Main";#N/A,#N/A,TRUE,"Phase 1";#N/A,#N/A,TRUE,"Phase 2";#N/A,#N/A,TRUE,"Phase 3"}</x:definedName>
    <x:definedName name="wrn.vd." localSheetId="0" hidden="1">{#N/A,#N/A,TRUE,"BT M200 da 10x20"}</x:definedName>
    <x:definedName name="wrn_xoa2" localSheetId="0" hidden="1">{#N/A,#N/A,FALSE,"Chi tiÆt"}</x:definedName>
    <x:definedName name="wrnf.report" localSheetId="0" hidden="1">{"Offgrid",#N/A,FALSE,"OFFGRID";"Region",#N/A,FALSE,"REGION";"Offgrid -2",#N/A,FALSE,"OFFGRID";"WTP",#N/A,FALSE,"WTP";"WTP -2",#N/A,FALSE,"WTP";"Project",#N/A,FALSE,"PROJECT";"Summary -2",#N/A,FALSE,"SUMMARY"}</x:definedName>
    <x:definedName name="wrnf_xoa2" localSheetId="0" hidden="1">{"Offgrid",#N/A,FALSE,"OFFGRID";"Region",#N/A,FALSE,"REGION";"Offgrid -2",#N/A,FALSE,"OFFGRID";"WTP",#N/A,FALSE,"WTP";"WTP -2",#N/A,FALSE,"WTP";"Project",#N/A,FALSE,"PROJECT";"Summary -2",#N/A,FALSE,"SUMMARY"}</x:definedName>
    <x:definedName name="wrww" localSheetId="0" hidden="1">{"Offgrid",#N/A,FALSE,"OFFGRID";"Region",#N/A,FALSE,"REGION";"Offgrid -2",#N/A,FALSE,"OFFGRID";"WTP",#N/A,FALSE,"WTP";"WTP -2",#N/A,FALSE,"WTP";"Project",#N/A,FALSE,"PROJECT";"Summary -2",#N/A,FALSE,"SUMMARY"}</x:definedName>
    <x:definedName name="wwhh" localSheetId="0" hidden="1">{#N/A,#N/A,FALSE,"Chi tiÆt"}</x:definedName>
    <x:definedName name="wwhwhwrh" localSheetId="0" hidden="1">{"'Sheet1'!$L$16"}</x:definedName>
    <x:definedName name="wwwwwwww" localSheetId="0">'Kết quả chấm'!wwwwwwww</x:definedName>
    <x:definedName name="xlttbninh" localSheetId="0" hidden="1">{"'Sheet1'!$L$16"}</x:definedName>
    <x:definedName name="xoa1" localSheetId="0" hidden="1">{"'Sheet1'!$L$16"}</x:definedName>
    <x:definedName name="xoa2" localSheetId="0" hidden="1">{#N/A,#N/A,FALSE,"Chi tiÆt"}</x:definedName>
    <x:definedName name="xoa3" localSheetId="0" hidden="1">{"Offgrid",#N/A,FALSE,"OFFGRID";"Region",#N/A,FALSE,"REGION";"Offgrid -2",#N/A,FALSE,"OFFGRID";"WTP",#N/A,FALSE,"WTP";"WTP -2",#N/A,FALSE,"WTP";"Project",#N/A,FALSE,"PROJECT";"Summary -2",#N/A,FALSE,"SUMMARY"}</x:definedName>
    <x:definedName name="xoa4" localSheetId="0" hidden="1">{"Offgrid",#N/A,FALSE,"OFFGRID";"Region",#N/A,FALSE,"REGION";"Offgrid -2",#N/A,FALSE,"OFFGRID";"WTP",#N/A,FALSE,"WTP";"WTP -2",#N/A,FALSE,"WTP";"Project",#N/A,FALSE,"PROJECT";"Summary -2",#N/A,FALSE,"SUMMARY"}</x:definedName>
    <x:definedName name="XuÊt8" localSheetId="0" hidden="1">{"'Sheet1'!$L$16"}</x:definedName>
    <x:definedName name="y" localSheetId="0" hidden="1">{"'Sheet1'!$L$16"}</x:definedName>
    <x:definedName name="ỳdhgg" localSheetId="0" hidden="1">{"'Sheet1'!$L$16"}</x:definedName>
    <x:definedName name="ỳđsgfhgfgfhghggh" localSheetId="0" hidden="1">{"'Sheet1'!$L$16"}</x:definedName>
    <x:definedName name="ytiti" localSheetId="0" hidden="1">{0}</x:definedName>
    <x:definedName name="ỵu" localSheetId="0" hidden="1">{"'Sheet1'!$L$16"}</x:definedName>
    <x:definedName name="yyjy_ukyu" localSheetId="0" hidden="1">{"'Sheet1'!$L$16"}</x:definedName>
    <x:definedName name="yyyyyyyyyyy" localSheetId="0">'Kết quả chấm'!yyyyyyyyyyy</x:definedName>
    <x:definedName name="Z590_6months" localSheetId="0" hidden="1">{"'Sheet1'!$L$16"}</x:definedName>
    <x:definedName name="zKm2" localSheetId="0" hidden="1">{"'Sheet1'!$L$16"}</x:definedName>
    <x:definedName name="ZXzX" localSheetId="0" hidden="1">{"'Sheet1'!$L$16"}</x:definedName>
    <x:definedName name="キャンセル" localSheetId="0">'Kết quả chấm'!キャンセル</x:definedName>
    <x:definedName name="ソートする" localSheetId="0">'Kết quả chấm'!ソートする</x:definedName>
    <x:definedName name="デｰタの消去" localSheetId="0">'Kết quả chấm'!デｰタの消去</x:definedName>
    <x:definedName name="견적" localSheetId="0" hidden="1">{#N/A,#N/A,FALSE,"CCTV"}</x:definedName>
    <x:definedName name="견적2" localSheetId="0" hidden="1">{#N/A,#N/A,FALSE,"CCTV"}</x:definedName>
    <x:definedName name="견적SHEET" localSheetId="0" hidden="1">{#N/A,#N/A,FALSE,"CCTV"}</x:definedName>
    <x:definedName name="래그" localSheetId="0" hidden="1">{#N/A,#N/A,FALSE,"CCTV"}</x:definedName>
    <x:definedName name="샘풀카피" localSheetId="0" hidden="1">{#N/A,#N/A,FALSE,"CCTV"}</x:definedName>
    <x:definedName name="샘플카피2" localSheetId="0" hidden="1">{#N/A,#N/A,FALSE,"CCTV"}</x:definedName>
    <x:definedName name="샘플카피3" localSheetId="0" hidden="1">{#N/A,#N/A,FALSE,"CCTV"}</x:definedName>
    <x:definedName name="品番ソートする" localSheetId="0">'Kết quả chấm'!品番ソートする</x:definedName>
    <x:definedName name="自動入力" localSheetId="0">'Kết quả chấm'!自動入力</x:definedName>
    <x:definedName name="解除" localSheetId="0">'Kết quả chấm'!解除</x:definedName>
    <x:definedName name="_xlnm.Print_Titles" localSheetId="0">'Kết quả chấm'!B:B,'Kết quả chấm'!1:3</x:definedName>
    <x:definedName name="_______________________________________________NSO2" localSheetId="1" hidden="1">{"'Sheet1'!$L$16"}</x:definedName>
    <x:definedName name="______________________________________________n23" localSheetId="1" hidden="1">{"'Sheet1'!$L$16"}</x:definedName>
    <x:definedName name="______________________________________________NSO2" localSheetId="1" hidden="1">{"'Sheet1'!$L$16"}</x:definedName>
    <x:definedName name="_____________________________________________n23" localSheetId="1" hidden="1">{"'Sheet1'!$L$16"}</x:definedName>
    <x:definedName name="_____________________________________________NSO2" localSheetId="1" hidden="1">{"'Sheet1'!$L$16"}</x:definedName>
    <x:definedName name="____________________________________________n23" localSheetId="1" hidden="1">{"'Sheet1'!$L$16"}</x:definedName>
    <x:definedName name="____________________________________________NSO2" localSheetId="1" hidden="1">{"'Sheet1'!$L$16"}</x:definedName>
    <x:definedName name="___________________________________________n23" localSheetId="1" hidden="1">{"'Sheet1'!$L$16"}</x:definedName>
    <x:definedName name="___________________________________________new3" localSheetId="1" hidden="1">{"'Sheet1'!$L$16"}</x:definedName>
    <x:definedName name="___________________________________________new5" localSheetId="1" hidden="1">{"'Sheet1'!$L$16"}</x:definedName>
    <x:definedName name="___________________________________________new6" localSheetId="1" hidden="1">{"'Sheet1'!$L$16"}</x:definedName>
    <x:definedName name="___________________________________________new7" localSheetId="1" hidden="1">{"'Sheet1'!$L$16"}</x:definedName>
    <x:definedName name="___________________________________________NSO2" localSheetId="1" hidden="1">{"'Sheet1'!$L$16"}</x:definedName>
    <x:definedName name="__________________________________________n23" localSheetId="1" hidden="1">{"'Sheet1'!$L$16"}</x:definedName>
    <x:definedName name="__________________________________________new3" localSheetId="1" hidden="1">{"'Sheet1'!$L$16"}</x:definedName>
    <x:definedName name="__________________________________________new5" localSheetId="1" hidden="1">{"'Sheet1'!$L$16"}</x:definedName>
    <x:definedName name="__________________________________________new6" localSheetId="1" hidden="1">{"'Sheet1'!$L$16"}</x:definedName>
    <x:definedName name="__________________________________________new7" localSheetId="1" hidden="1">{"'Sheet1'!$L$16"}</x:definedName>
    <x:definedName name="__________________________________________NSO2" localSheetId="1" hidden="1">{"'Sheet1'!$L$16"}</x:definedName>
    <x:definedName name="__________________________________________T8" localSheetId="1" hidden="1">{"'Sheet1'!$L$16"}</x:definedName>
    <x:definedName name="_________________________________________n23" localSheetId="1" hidden="1">{"'Sheet1'!$L$16"}</x:definedName>
    <x:definedName name="_________________________________________new3" localSheetId="1" hidden="1">{"'Sheet1'!$L$16"}</x:definedName>
    <x:definedName name="_________________________________________new5" localSheetId="1" hidden="1">{"'Sheet1'!$L$16"}</x:definedName>
    <x:definedName name="_________________________________________new6" localSheetId="1" hidden="1">{"'Sheet1'!$L$16"}</x:definedName>
    <x:definedName name="_________________________________________new7" localSheetId="1" hidden="1">{"'Sheet1'!$L$16"}</x:definedName>
    <x:definedName name="_________________________________________NSO2" localSheetId="1" hidden="1">{"'Sheet1'!$L$16"}</x:definedName>
    <x:definedName name="_________________________________________T8" localSheetId="1" hidden="1">{"'Sheet1'!$L$16"}</x:definedName>
    <x:definedName name="________________________________________n23" localSheetId="1" hidden="1">{"'Sheet1'!$L$16"}</x:definedName>
    <x:definedName name="________________________________________new3" localSheetId="1" hidden="1">{"'Sheet1'!$L$16"}</x:definedName>
    <x:definedName name="________________________________________new5" localSheetId="1" hidden="1">{"'Sheet1'!$L$16"}</x:definedName>
    <x:definedName name="________________________________________new6" localSheetId="1" hidden="1">{"'Sheet1'!$L$16"}</x:definedName>
    <x:definedName name="________________________________________new7" localSheetId="1" hidden="1">{"'Sheet1'!$L$16"}</x:definedName>
    <x:definedName name="________________________________________NSO2" localSheetId="1" hidden="1">{"'Sheet1'!$L$16"}</x:definedName>
    <x:definedName name="________________________________________T8" localSheetId="1" hidden="1">{"'Sheet1'!$L$16"}</x:definedName>
    <x:definedName name="_______________________________________n23" localSheetId="1" hidden="1">{"'Sheet1'!$L$16"}</x:definedName>
    <x:definedName name="_______________________________________new3" localSheetId="1" hidden="1">{"'Sheet1'!$L$16"}</x:definedName>
    <x:definedName name="_______________________________________new5" localSheetId="1" hidden="1">{"'Sheet1'!$L$16"}</x:definedName>
    <x:definedName name="_______________________________________new6" localSheetId="1" hidden="1">{"'Sheet1'!$L$16"}</x:definedName>
    <x:definedName name="_______________________________________new7" localSheetId="1" hidden="1">{"'Sheet1'!$L$16"}</x:definedName>
    <x:definedName name="_______________________________________NSO2" localSheetId="1" hidden="1">{"'Sheet1'!$L$16"}</x:definedName>
    <x:definedName name="_______________________________________T8" localSheetId="1" hidden="1">{"'Sheet1'!$L$16"}</x:definedName>
    <x:definedName name="______________________________________n23" localSheetId="1" hidden="1">{"'Sheet1'!$L$16"}</x:definedName>
    <x:definedName name="______________________________________new3" localSheetId="1" hidden="1">{"'Sheet1'!$L$16"}</x:definedName>
    <x:definedName name="______________________________________new5" localSheetId="1" hidden="1">{"'Sheet1'!$L$16"}</x:definedName>
    <x:definedName name="______________________________________new6" localSheetId="1" hidden="1">{"'Sheet1'!$L$16"}</x:definedName>
    <x:definedName name="______________________________________new7" localSheetId="1" hidden="1">{"'Sheet1'!$L$16"}</x:definedName>
    <x:definedName name="______________________________________NSO2" localSheetId="1" hidden="1">{"'Sheet1'!$L$16"}</x:definedName>
    <x:definedName name="______________________________________T8" localSheetId="1" hidden="1">{"'Sheet1'!$L$16"}</x:definedName>
    <x:definedName name="_____________________________________n23" localSheetId="1" hidden="1">{"'Sheet1'!$L$16"}</x:definedName>
    <x:definedName name="_____________________________________new3" localSheetId="1" hidden="1">{"'Sheet1'!$L$16"}</x:definedName>
    <x:definedName name="_____________________________________new5" localSheetId="1" hidden="1">{"'Sheet1'!$L$16"}</x:definedName>
    <x:definedName name="_____________________________________new6" localSheetId="1" hidden="1">{"'Sheet1'!$L$16"}</x:definedName>
    <x:definedName name="_____________________________________new7" localSheetId="1" hidden="1">{"'Sheet1'!$L$16"}</x:definedName>
    <x:definedName name="_____________________________________NSO2" localSheetId="1" hidden="1">{"'Sheet1'!$L$16"}</x:definedName>
    <x:definedName name="_____________________________________T8" localSheetId="1" hidden="1">{"'Sheet1'!$L$16"}</x:definedName>
    <x:definedName name="____________________________________n23" localSheetId="1" hidden="1">{"'Sheet1'!$L$16"}</x:definedName>
    <x:definedName name="____________________________________new3" localSheetId="1" hidden="1">{"'Sheet1'!$L$16"}</x:definedName>
    <x:definedName name="____________________________________new5" localSheetId="1" hidden="1">{"'Sheet1'!$L$16"}</x:definedName>
    <x:definedName name="____________________________________new6" localSheetId="1" hidden="1">{"'Sheet1'!$L$16"}</x:definedName>
    <x:definedName name="____________________________________new7" localSheetId="1" hidden="1">{"'Sheet1'!$L$16"}</x:definedName>
    <x:definedName name="____________________________________NSO2" localSheetId="1" hidden="1">{"'Sheet1'!$L$16"}</x:definedName>
    <x:definedName name="____________________________________T8" localSheetId="1" hidden="1">{"'Sheet1'!$L$16"}</x:definedName>
    <x:definedName name="___________________________________n23" localSheetId="1" hidden="1">{"'Sheet1'!$L$16"}</x:definedName>
    <x:definedName name="___________________________________new3" localSheetId="1" hidden="1">{"'Sheet1'!$L$16"}</x:definedName>
    <x:definedName name="___________________________________new5" localSheetId="1" hidden="1">{"'Sheet1'!$L$16"}</x:definedName>
    <x:definedName name="___________________________________new6" localSheetId="1" hidden="1">{"'Sheet1'!$L$16"}</x:definedName>
    <x:definedName name="___________________________________new7" localSheetId="1" hidden="1">{"'Sheet1'!$L$16"}</x:definedName>
    <x:definedName name="___________________________________NSO2" localSheetId="1" hidden="1">{"'Sheet1'!$L$16"}</x:definedName>
    <x:definedName name="___________________________________T8" localSheetId="1" hidden="1">{"'Sheet1'!$L$16"}</x:definedName>
    <x:definedName name="__________________________________n23" localSheetId="1" hidden="1">{"'Sheet1'!$L$16"}</x:definedName>
    <x:definedName name="__________________________________new3" localSheetId="1" hidden="1">{"'Sheet1'!$L$16"}</x:definedName>
    <x:definedName name="__________________________________new5" localSheetId="1" hidden="1">{"'Sheet1'!$L$16"}</x:definedName>
    <x:definedName name="__________________________________new6" localSheetId="1" hidden="1">{"'Sheet1'!$L$16"}</x:definedName>
    <x:definedName name="__________________________________new7" localSheetId="1" hidden="1">{"'Sheet1'!$L$16"}</x:definedName>
    <x:definedName name="__________________________________NSO2" localSheetId="1" hidden="1">{"'Sheet1'!$L$16"}</x:definedName>
    <x:definedName name="__________________________________T8" localSheetId="1" hidden="1">{"'Sheet1'!$L$16"}</x:definedName>
    <x:definedName name="_________________________________n23" localSheetId="1" hidden="1">{"'Sheet1'!$L$16"}</x:definedName>
    <x:definedName name="_________________________________new3" localSheetId="1" hidden="1">{"'Sheet1'!$L$16"}</x:definedName>
    <x:definedName name="_________________________________new5" localSheetId="1" hidden="1">{"'Sheet1'!$L$16"}</x:definedName>
    <x:definedName name="_________________________________new6" localSheetId="1" hidden="1">{"'Sheet1'!$L$16"}</x:definedName>
    <x:definedName name="_________________________________new7" localSheetId="1" hidden="1">{"'Sheet1'!$L$16"}</x:definedName>
    <x:definedName name="_________________________________NSO2" localSheetId="1" hidden="1">{"'Sheet1'!$L$16"}</x:definedName>
    <x:definedName name="_________________________________T8" localSheetId="1" hidden="1">{"'Sheet1'!$L$16"}</x:definedName>
    <x:definedName name="________________________________n23" localSheetId="1" hidden="1">{"'Sheet1'!$L$16"}</x:definedName>
    <x:definedName name="________________________________new3" localSheetId="1" hidden="1">{"'Sheet1'!$L$16"}</x:definedName>
    <x:definedName name="________________________________new5" localSheetId="1" hidden="1">{"'Sheet1'!$L$16"}</x:definedName>
    <x:definedName name="________________________________new6" localSheetId="1" hidden="1">{"'Sheet1'!$L$16"}</x:definedName>
    <x:definedName name="________________________________new7" localSheetId="1" hidden="1">{"'Sheet1'!$L$16"}</x:definedName>
    <x:definedName name="________________________________NSO2" localSheetId="1" hidden="1">{"'Sheet1'!$L$16"}</x:definedName>
    <x:definedName name="________________________________T8" localSheetId="1" hidden="1">{"'Sheet1'!$L$16"}</x:definedName>
    <x:definedName name="_______________________________n23" localSheetId="1" hidden="1">{"'Sheet1'!$L$16"}</x:definedName>
    <x:definedName name="_______________________________new3" localSheetId="1" hidden="1">{"'Sheet1'!$L$16"}</x:definedName>
    <x:definedName name="_______________________________new5" localSheetId="1" hidden="1">{"'Sheet1'!$L$16"}</x:definedName>
    <x:definedName name="_______________________________new6" localSheetId="1" hidden="1">{"'Sheet1'!$L$16"}</x:definedName>
    <x:definedName name="_______________________________new7" localSheetId="1" hidden="1">{"'Sheet1'!$L$16"}</x:definedName>
    <x:definedName name="_______________________________NSO2" localSheetId="1" hidden="1">{"'Sheet1'!$L$16"}</x:definedName>
    <x:definedName name="_______________________________T8" localSheetId="1" hidden="1">{"'Sheet1'!$L$16"}</x:definedName>
    <x:definedName name="______________________________n23" localSheetId="1" hidden="1">{"'Sheet1'!$L$16"}</x:definedName>
    <x:definedName name="______________________________new3" localSheetId="1" hidden="1">{"'Sheet1'!$L$16"}</x:definedName>
    <x:definedName name="______________________________new5" localSheetId="1" hidden="1">{"'Sheet1'!$L$16"}</x:definedName>
    <x:definedName name="______________________________new6" localSheetId="1" hidden="1">{"'Sheet1'!$L$16"}</x:definedName>
    <x:definedName name="______________________________new7" localSheetId="1" hidden="1">{"'Sheet1'!$L$16"}</x:definedName>
    <x:definedName name="______________________________NSO2" localSheetId="1" hidden="1">{"'Sheet1'!$L$16"}</x:definedName>
    <x:definedName name="______________________________T8" localSheetId="1" hidden="1">{"'Sheet1'!$L$16"}</x:definedName>
    <x:definedName name="_____________________________n23" localSheetId="1" hidden="1">{"'Sheet1'!$L$16"}</x:definedName>
    <x:definedName name="_____________________________new3" localSheetId="1" hidden="1">{"'Sheet1'!$L$16"}</x:definedName>
    <x:definedName name="_____________________________new5" localSheetId="1" hidden="1">{"'Sheet1'!$L$16"}</x:definedName>
    <x:definedName name="_____________________________new6" localSheetId="1" hidden="1">{"'Sheet1'!$L$16"}</x:definedName>
    <x:definedName name="_____________________________new7" localSheetId="1" hidden="1">{"'Sheet1'!$L$16"}</x:definedName>
    <x:definedName name="_____________________________NSO2" localSheetId="1" hidden="1">{"'Sheet1'!$L$16"}</x:definedName>
    <x:definedName name="_____________________________T8" localSheetId="1" hidden="1">{"'Sheet1'!$L$16"}</x:definedName>
    <x:definedName name="____________________________n23" localSheetId="1" hidden="1">{"'Sheet1'!$L$16"}</x:definedName>
    <x:definedName name="____________________________new3" localSheetId="1" hidden="1">{"'Sheet1'!$L$16"}</x:definedName>
    <x:definedName name="____________________________new5" localSheetId="1" hidden="1">{"'Sheet1'!$L$16"}</x:definedName>
    <x:definedName name="____________________________new6" localSheetId="1" hidden="1">{"'Sheet1'!$L$16"}</x:definedName>
    <x:definedName name="____________________________new7" localSheetId="1" hidden="1">{"'Sheet1'!$L$16"}</x:definedName>
    <x:definedName name="____________________________NSO2" localSheetId="1" hidden="1">{"'Sheet1'!$L$16"}</x:definedName>
    <x:definedName name="____________________________T8" localSheetId="1" hidden="1">{"'Sheet1'!$L$16"}</x:definedName>
    <x:definedName name="___________________________n23" localSheetId="1" hidden="1">{"'Sheet1'!$L$16"}</x:definedName>
    <x:definedName name="___________________________new3" localSheetId="1" hidden="1">{"'Sheet1'!$L$16"}</x:definedName>
    <x:definedName name="___________________________new5" localSheetId="1" hidden="1">{"'Sheet1'!$L$16"}</x:definedName>
    <x:definedName name="___________________________new6" localSheetId="1" hidden="1">{"'Sheet1'!$L$16"}</x:definedName>
    <x:definedName name="___________________________new7" localSheetId="1" hidden="1">{"'Sheet1'!$L$16"}</x:definedName>
    <x:definedName name="___________________________NSO2" localSheetId="1" hidden="1">{"'Sheet1'!$L$16"}</x:definedName>
    <x:definedName name="___________________________T8" localSheetId="1" hidden="1">{"'Sheet1'!$L$16"}</x:definedName>
    <x:definedName name="__________________________n23" localSheetId="1" hidden="1">{"'Sheet1'!$L$16"}</x:definedName>
    <x:definedName name="__________________________new3" localSheetId="1" hidden="1">{"'Sheet1'!$L$16"}</x:definedName>
    <x:definedName name="__________________________new5" localSheetId="1" hidden="1">{"'Sheet1'!$L$16"}</x:definedName>
    <x:definedName name="__________________________new6" localSheetId="1" hidden="1">{"'Sheet1'!$L$16"}</x:definedName>
    <x:definedName name="__________________________new7" localSheetId="1" hidden="1">{"'Sheet1'!$L$16"}</x:definedName>
    <x:definedName name="__________________________NSO2" localSheetId="1" hidden="1">{"'Sheet1'!$L$16"}</x:definedName>
    <x:definedName name="__________________________T8" localSheetId="1" hidden="1">{"'Sheet1'!$L$16"}</x:definedName>
    <x:definedName name="_________________________n23" localSheetId="1" hidden="1">{"'Sheet1'!$L$16"}</x:definedName>
    <x:definedName name="_________________________new3" localSheetId="1" hidden="1">{"'Sheet1'!$L$16"}</x:definedName>
    <x:definedName name="_________________________new5" localSheetId="1" hidden="1">{"'Sheet1'!$L$16"}</x:definedName>
    <x:definedName name="_________________________new6" localSheetId="1" hidden="1">{"'Sheet1'!$L$16"}</x:definedName>
    <x:definedName name="_________________________new7" localSheetId="1" hidden="1">{"'Sheet1'!$L$16"}</x:definedName>
    <x:definedName name="_________________________NSO2" localSheetId="1" hidden="1">{"'Sheet1'!$L$16"}</x:definedName>
    <x:definedName name="_________________________T8" localSheetId="1" hidden="1">{"'Sheet1'!$L$16"}</x:definedName>
    <x:definedName name="________________________n23" localSheetId="1" hidden="1">{"'Sheet1'!$L$16"}</x:definedName>
    <x:definedName name="________________________new3" localSheetId="1" hidden="1">{"'Sheet1'!$L$16"}</x:definedName>
    <x:definedName name="________________________new5" localSheetId="1" hidden="1">{"'Sheet1'!$L$16"}</x:definedName>
    <x:definedName name="________________________new6" localSheetId="1" hidden="1">{"'Sheet1'!$L$16"}</x:definedName>
    <x:definedName name="________________________new7" localSheetId="1" hidden="1">{"'Sheet1'!$L$16"}</x:definedName>
    <x:definedName name="________________________NSO2" localSheetId="1" hidden="1">{"'Sheet1'!$L$16"}</x:definedName>
    <x:definedName name="________________________T8" localSheetId="1" hidden="1">{"'Sheet1'!$L$16"}</x:definedName>
    <x:definedName name="_______________________n23" localSheetId="1" hidden="1">{"'Sheet1'!$L$16"}</x:definedName>
    <x:definedName name="_______________________new3" localSheetId="1" hidden="1">{"'Sheet1'!$L$16"}</x:definedName>
    <x:definedName name="_______________________new5" localSheetId="1" hidden="1">{"'Sheet1'!$L$16"}</x:definedName>
    <x:definedName name="_______________________new6" localSheetId="1" hidden="1">{"'Sheet1'!$L$16"}</x:definedName>
    <x:definedName name="_______________________new7" localSheetId="1" hidden="1">{"'Sheet1'!$L$16"}</x:definedName>
    <x:definedName name="_______________________NSO2" localSheetId="1" hidden="1">{"'Sheet1'!$L$16"}</x:definedName>
    <x:definedName name="_______________________T8" localSheetId="1" hidden="1">{"'Sheet1'!$L$16"}</x:definedName>
    <x:definedName name="______________________n23" localSheetId="1" hidden="1">{"'Sheet1'!$L$16"}</x:definedName>
    <x:definedName name="______________________new3" localSheetId="1" hidden="1">{"'Sheet1'!$L$16"}</x:definedName>
    <x:definedName name="______________________new5" localSheetId="1" hidden="1">{"'Sheet1'!$L$16"}</x:definedName>
    <x:definedName name="______________________new6" localSheetId="1" hidden="1">{"'Sheet1'!$L$16"}</x:definedName>
    <x:definedName name="______________________new7" localSheetId="1" hidden="1">{"'Sheet1'!$L$16"}</x:definedName>
    <x:definedName name="______________________NSO2" localSheetId="1" hidden="1">{"'Sheet1'!$L$16"}</x:definedName>
    <x:definedName name="______________________T8" localSheetId="1" hidden="1">{"'Sheet1'!$L$16"}</x:definedName>
    <x:definedName name="_____________________n23" localSheetId="1" hidden="1">{"'Sheet1'!$L$16"}</x:definedName>
    <x:definedName name="_____________________new3" localSheetId="1" hidden="1">{"'Sheet1'!$L$16"}</x:definedName>
    <x:definedName name="_____________________new5" localSheetId="1" hidden="1">{"'Sheet1'!$L$16"}</x:definedName>
    <x:definedName name="_____________________new6" localSheetId="1" hidden="1">{"'Sheet1'!$L$16"}</x:definedName>
    <x:definedName name="_____________________new7" localSheetId="1" hidden="1">{"'Sheet1'!$L$16"}</x:definedName>
    <x:definedName name="_____________________NSO2" localSheetId="1" hidden="1">{"'Sheet1'!$L$16"}</x:definedName>
    <x:definedName name="_____________________T8" localSheetId="1" hidden="1">{"'Sheet1'!$L$16"}</x:definedName>
    <x:definedName name="____________________n23" localSheetId="1" hidden="1">{"'Sheet1'!$L$16"}</x:definedName>
    <x:definedName name="____________________new3" localSheetId="1" hidden="1">{"'Sheet1'!$L$16"}</x:definedName>
    <x:definedName name="____________________new5" localSheetId="1" hidden="1">{"'Sheet1'!$L$16"}</x:definedName>
    <x:definedName name="____________________new6" localSheetId="1" hidden="1">{"'Sheet1'!$L$16"}</x:definedName>
    <x:definedName name="____________________new7" localSheetId="1" hidden="1">{"'Sheet1'!$L$16"}</x:definedName>
    <x:definedName name="____________________NSO2" localSheetId="1" hidden="1">{"'Sheet1'!$L$16"}</x:definedName>
    <x:definedName name="____________________T8" localSheetId="1" hidden="1">{"'Sheet1'!$L$16"}</x:definedName>
    <x:definedName name="___________________n23" localSheetId="1" hidden="1">{"'Sheet1'!$L$16"}</x:definedName>
    <x:definedName name="___________________new3" localSheetId="1" hidden="1">{"'Sheet1'!$L$16"}</x:definedName>
    <x:definedName name="___________________new5" localSheetId="1" hidden="1">{"'Sheet1'!$L$16"}</x:definedName>
    <x:definedName name="___________________new6" localSheetId="1" hidden="1">{"'Sheet1'!$L$16"}</x:definedName>
    <x:definedName name="___________________new7" localSheetId="1" hidden="1">{"'Sheet1'!$L$16"}</x:definedName>
    <x:definedName name="___________________NSO2" localSheetId="1" hidden="1">{"'Sheet1'!$L$16"}</x:definedName>
    <x:definedName name="___________________T8" localSheetId="1" hidden="1">{"'Sheet1'!$L$16"}</x:definedName>
    <x:definedName name="__________________n23" localSheetId="1" hidden="1">{"'Sheet1'!$L$16"}</x:definedName>
    <x:definedName name="__________________new3" localSheetId="1" hidden="1">{"'Sheet1'!$L$16"}</x:definedName>
    <x:definedName name="__________________new5" localSheetId="1" hidden="1">{"'Sheet1'!$L$16"}</x:definedName>
    <x:definedName name="__________________new6" localSheetId="1" hidden="1">{"'Sheet1'!$L$16"}</x:definedName>
    <x:definedName name="__________________new7" localSheetId="1" hidden="1">{"'Sheet1'!$L$16"}</x:definedName>
    <x:definedName name="__________________NSO2" localSheetId="1" hidden="1">{"'Sheet1'!$L$16"}</x:definedName>
    <x:definedName name="__________________SA1" localSheetId="1">#N/A</x:definedName>
    <x:definedName name="__________________SA2" localSheetId="1">#N/A</x:definedName>
    <x:definedName name="__________________SA4" localSheetId="1">#N/A</x:definedName>
    <x:definedName name="__________________T8" localSheetId="1" hidden="1">{"'Sheet1'!$L$16"}</x:definedName>
    <x:definedName name="_________________n23" localSheetId="1" hidden="1">{"'Sheet1'!$L$16"}</x:definedName>
    <x:definedName name="_________________new3" localSheetId="1" hidden="1">{"'Sheet1'!$L$16"}</x:definedName>
    <x:definedName name="_________________new5" localSheetId="1" hidden="1">{"'Sheet1'!$L$16"}</x:definedName>
    <x:definedName name="_________________new6" localSheetId="1" hidden="1">{"'Sheet1'!$L$16"}</x:definedName>
    <x:definedName name="_________________new7" localSheetId="1" hidden="1">{"'Sheet1'!$L$16"}</x:definedName>
    <x:definedName name="_________________NSO2" localSheetId="1" hidden="1">{"'Sheet1'!$L$16"}</x:definedName>
    <x:definedName name="_________________SA1" localSheetId="1">#N/A</x:definedName>
    <x:definedName name="_________________SA2" localSheetId="1">#N/A</x:definedName>
    <x:definedName name="_________________SA4" localSheetId="1">#N/A</x:definedName>
    <x:definedName name="_________________T8" localSheetId="1" hidden="1">{"'Sheet1'!$L$16"}</x:definedName>
    <x:definedName name="________________n23" localSheetId="1" hidden="1">{"'Sheet1'!$L$16"}</x:definedName>
    <x:definedName name="________________new3" localSheetId="1" hidden="1">{"'Sheet1'!$L$16"}</x:definedName>
    <x:definedName name="________________new5" localSheetId="1" hidden="1">{"'Sheet1'!$L$16"}</x:definedName>
    <x:definedName name="________________new6" localSheetId="1" hidden="1">{"'Sheet1'!$L$16"}</x:definedName>
    <x:definedName name="________________new7" localSheetId="1" hidden="1">{"'Sheet1'!$L$16"}</x:definedName>
    <x:definedName name="________________NSO2" localSheetId="1" hidden="1">{"'Sheet1'!$L$16"}</x:definedName>
    <x:definedName name="________________SA1" localSheetId="1">#N/A</x:definedName>
    <x:definedName name="________________SA2" localSheetId="1">#N/A</x:definedName>
    <x:definedName name="________________SA4" localSheetId="1">#N/A</x:definedName>
    <x:definedName name="________________T8" localSheetId="1" hidden="1">{"'Sheet1'!$L$16"}</x:definedName>
    <x:definedName name="_______________n23" localSheetId="1" hidden="1">{"'Sheet1'!$L$16"}</x:definedName>
    <x:definedName name="_______________new3" localSheetId="1" hidden="1">{"'Sheet1'!$L$16"}</x:definedName>
    <x:definedName name="_______________new5" localSheetId="1" hidden="1">{"'Sheet1'!$L$16"}</x:definedName>
    <x:definedName name="_______________new6" localSheetId="1" hidden="1">{"'Sheet1'!$L$16"}</x:definedName>
    <x:definedName name="_______________new7" localSheetId="1" hidden="1">{"'Sheet1'!$L$16"}</x:definedName>
    <x:definedName name="_______________NSO2" localSheetId="1" hidden="1">{"'Sheet1'!$L$16"}</x:definedName>
    <x:definedName name="_______________SA1" localSheetId="1">#N/A</x:definedName>
    <x:definedName name="_______________SA2" localSheetId="1">#N/A</x:definedName>
    <x:definedName name="_______________SA4" localSheetId="1">#N/A</x:definedName>
    <x:definedName name="_______________T8" localSheetId="1" hidden="1">{"'Sheet1'!$L$16"}</x:definedName>
    <x:definedName name="______________n23" localSheetId="1" hidden="1">{"'Sheet1'!$L$16"}</x:definedName>
    <x:definedName name="______________new3" localSheetId="1" hidden="1">{"'Sheet1'!$L$16"}</x:definedName>
    <x:definedName name="______________new5" localSheetId="1" hidden="1">{"'Sheet1'!$L$16"}</x:definedName>
    <x:definedName name="______________new6" localSheetId="1" hidden="1">{"'Sheet1'!$L$16"}</x:definedName>
    <x:definedName name="______________new7" localSheetId="1" hidden="1">{"'Sheet1'!$L$16"}</x:definedName>
    <x:definedName name="______________NSO2" localSheetId="1" hidden="1">{"'Sheet1'!$L$16"}</x:definedName>
    <x:definedName name="______________SA1" localSheetId="1">#N/A</x:definedName>
    <x:definedName name="______________SA2" localSheetId="1">#N/A</x:definedName>
    <x:definedName name="______________SA4" localSheetId="1">#N/A</x:definedName>
    <x:definedName name="______________T8" localSheetId="1" hidden="1">{"'Sheet1'!$L$16"}</x:definedName>
    <x:definedName name="_____________n23" localSheetId="1" hidden="1">{"'Sheet1'!$L$16"}</x:definedName>
    <x:definedName name="_____________new3" localSheetId="1" hidden="1">{"'Sheet1'!$L$16"}</x:definedName>
    <x:definedName name="_____________new5" localSheetId="1" hidden="1">{"'Sheet1'!$L$16"}</x:definedName>
    <x:definedName name="_____________new6" localSheetId="1" hidden="1">{"'Sheet1'!$L$16"}</x:definedName>
    <x:definedName name="_____________new7" localSheetId="1" hidden="1">{"'Sheet1'!$L$16"}</x:definedName>
    <x:definedName name="_____________NSO2" localSheetId="1" hidden="1">{"'Sheet1'!$L$16"}</x:definedName>
    <x:definedName name="_____________SA1" localSheetId="1">#N/A</x:definedName>
    <x:definedName name="_____________SA2" localSheetId="1">#N/A</x:definedName>
    <x:definedName name="_____________SA4" localSheetId="1">#N/A</x:definedName>
    <x:definedName name="_____________T8" localSheetId="1" hidden="1">{"'Sheet1'!$L$16"}</x:definedName>
    <x:definedName name="____________n23" localSheetId="1" hidden="1">{"'Sheet1'!$L$16"}</x:definedName>
    <x:definedName name="____________new3" localSheetId="1" hidden="1">{"'Sheet1'!$L$16"}</x:definedName>
    <x:definedName name="____________new5" localSheetId="1" hidden="1">{"'Sheet1'!$L$16"}</x:definedName>
    <x:definedName name="____________new6" localSheetId="1" hidden="1">{"'Sheet1'!$L$16"}</x:definedName>
    <x:definedName name="____________new7" localSheetId="1" hidden="1">{"'Sheet1'!$L$16"}</x:definedName>
    <x:definedName name="____________NSO2" localSheetId="1" hidden="1">{"'Sheet1'!$L$16"}</x:definedName>
    <x:definedName name="____________SA1" localSheetId="1">#N/A</x:definedName>
    <x:definedName name="____________SA2" localSheetId="1">#N/A</x:definedName>
    <x:definedName name="____________SA4" localSheetId="1">#N/A</x:definedName>
    <x:definedName name="____________T8" localSheetId="1" hidden="1">{"'Sheet1'!$L$16"}</x:definedName>
    <x:definedName name="___________km03" localSheetId="1" hidden="1">{"'Sheet1'!$L$16"}</x:definedName>
    <x:definedName name="___________n23" localSheetId="1" hidden="1">{"'Sheet1'!$L$16"}</x:definedName>
    <x:definedName name="___________new3" localSheetId="1" hidden="1">{"'Sheet1'!$L$16"}</x:definedName>
    <x:definedName name="___________new5" localSheetId="1" hidden="1">{"'Sheet1'!$L$16"}</x:definedName>
    <x:definedName name="___________new6" localSheetId="1" hidden="1">{"'Sheet1'!$L$16"}</x:definedName>
    <x:definedName name="___________new7" localSheetId="1" hidden="1">{"'Sheet1'!$L$16"}</x:definedName>
    <x:definedName name="___________NSO2" localSheetId="1" hidden="1">{"'Sheet1'!$L$16"}</x:definedName>
    <x:definedName name="___________SA1" localSheetId="1">#N/A</x:definedName>
    <x:definedName name="___________SA2" localSheetId="1">#N/A</x:definedName>
    <x:definedName name="___________SA4" localSheetId="1">#N/A</x:definedName>
    <x:definedName name="___________T8" localSheetId="1" hidden="1">{"'Sheet1'!$L$16"}</x:definedName>
    <x:definedName name="__________km03" localSheetId="1" hidden="1">{"'Sheet1'!$L$16"}</x:definedName>
    <x:definedName name="__________n23" localSheetId="1" hidden="1">{"'Sheet1'!$L$16"}</x:definedName>
    <x:definedName name="__________new3" localSheetId="1" hidden="1">{"'Sheet1'!$L$16"}</x:definedName>
    <x:definedName name="__________new5" localSheetId="1" hidden="1">{"'Sheet1'!$L$16"}</x:definedName>
    <x:definedName name="__________new6" localSheetId="1" hidden="1">{"'Sheet1'!$L$16"}</x:definedName>
    <x:definedName name="__________new7" localSheetId="1" hidden="1">{"'Sheet1'!$L$16"}</x:definedName>
    <x:definedName name="__________NSO2" localSheetId="1" hidden="1">{"'Sheet1'!$L$16"}</x:definedName>
    <x:definedName name="__________SA1" localSheetId="1">#N/A</x:definedName>
    <x:definedName name="__________SA2" localSheetId="1">#N/A</x:definedName>
    <x:definedName name="__________SA4" localSheetId="1">#N/A</x:definedName>
    <x:definedName name="__________T8" localSheetId="1" hidden="1">{"'Sheet1'!$L$16"}</x:definedName>
    <x:definedName name="_________km03" localSheetId="1" hidden="1">{"'Sheet1'!$L$16"}</x:definedName>
    <x:definedName name="_________n23" localSheetId="1" hidden="1">{"'Sheet1'!$L$16"}</x:definedName>
    <x:definedName name="_________new3" localSheetId="1" hidden="1">{"'Sheet1'!$L$16"}</x:definedName>
    <x:definedName name="_________new5" localSheetId="1" hidden="1">{"'Sheet1'!$L$16"}</x:definedName>
    <x:definedName name="_________new6" localSheetId="1" hidden="1">{"'Sheet1'!$L$16"}</x:definedName>
    <x:definedName name="_________new7" localSheetId="1" hidden="1">{"'Sheet1'!$L$16"}</x:definedName>
    <x:definedName name="_________NSO2" localSheetId="1" hidden="1">{"'Sheet1'!$L$16"}</x:definedName>
    <x:definedName name="_________SA1" localSheetId="1">#N/A</x:definedName>
    <x:definedName name="_________SA2" localSheetId="1">#N/A</x:definedName>
    <x:definedName name="_________SA4" localSheetId="1">#N/A</x:definedName>
    <x:definedName name="_________T8" localSheetId="1" hidden="1">{"'Sheet1'!$L$16"}</x:definedName>
    <x:definedName name="________km03" localSheetId="1" hidden="1">{"'Sheet1'!$L$16"}</x:definedName>
    <x:definedName name="________n23" localSheetId="1" hidden="1">{"'Sheet1'!$L$16"}</x:definedName>
    <x:definedName name="________new3" localSheetId="1" hidden="1">{"'Sheet1'!$L$16"}</x:definedName>
    <x:definedName name="________new5" localSheetId="1" hidden="1">{"'Sheet1'!$L$16"}</x:definedName>
    <x:definedName name="________new6" localSheetId="1" hidden="1">{"'Sheet1'!$L$16"}</x:definedName>
    <x:definedName name="________new7" localSheetId="1" hidden="1">{"'Sheet1'!$L$16"}</x:definedName>
    <x:definedName name="________NSO2" localSheetId="1" hidden="1">{"'Sheet1'!$L$16"}</x:definedName>
    <x:definedName name="________SA1" localSheetId="1">#N/A</x:definedName>
    <x:definedName name="________SA2" localSheetId="1">#N/A</x:definedName>
    <x:definedName name="________SA4" localSheetId="1">#N/A</x:definedName>
    <x:definedName name="________T8" localSheetId="1" hidden="1">{"'Sheet1'!$L$16"}</x:definedName>
    <x:definedName name="_______km03" localSheetId="1" hidden="1">{"'Sheet1'!$L$16"}</x:definedName>
    <x:definedName name="_______n23" localSheetId="1" hidden="1">{"'Sheet1'!$L$16"}</x:definedName>
    <x:definedName name="_______new3" localSheetId="1" hidden="1">{"'Sheet1'!$L$16"}</x:definedName>
    <x:definedName name="_______new5" localSheetId="1" hidden="1">{"'Sheet1'!$L$16"}</x:definedName>
    <x:definedName name="_______new6" localSheetId="1" hidden="1">{"'Sheet1'!$L$16"}</x:definedName>
    <x:definedName name="_______new7" localSheetId="1" hidden="1">{"'Sheet1'!$L$16"}</x:definedName>
    <x:definedName name="_______NSO2" localSheetId="1" hidden="1">{"'Sheet1'!$L$16"}</x:definedName>
    <x:definedName name="_______SA1" localSheetId="1">#N/A</x:definedName>
    <x:definedName name="_______SA2" localSheetId="1">#N/A</x:definedName>
    <x:definedName name="_______SA4" localSheetId="1">#N/A</x:definedName>
    <x:definedName name="_______T8" localSheetId="1" hidden="1">{"'Sheet1'!$L$16"}</x:definedName>
    <x:definedName name="______km03" localSheetId="1" hidden="1">{"'Sheet1'!$L$16"}</x:definedName>
    <x:definedName name="______n23" localSheetId="1" hidden="1">{"'Sheet1'!$L$16"}</x:definedName>
    <x:definedName name="______new3" localSheetId="1" hidden="1">{"'Sheet1'!$L$16"}</x:definedName>
    <x:definedName name="______new5" localSheetId="1" hidden="1">{"'Sheet1'!$L$16"}</x:definedName>
    <x:definedName name="______new6" localSheetId="1" hidden="1">{"'Sheet1'!$L$16"}</x:definedName>
    <x:definedName name="______new7" localSheetId="1" hidden="1">{"'Sheet1'!$L$16"}</x:definedName>
    <x:definedName name="______NSO2" localSheetId="1" hidden="1">{"'Sheet1'!$L$16"}</x:definedName>
    <x:definedName name="______SA1" localSheetId="1">#N/A</x:definedName>
    <x:definedName name="______SA2" localSheetId="1">#N/A</x:definedName>
    <x:definedName name="______SA4" localSheetId="1">#N/A</x:definedName>
    <x:definedName name="______T8" localSheetId="1" hidden="1">{"'Sheet1'!$L$16"}</x:definedName>
    <x:definedName name="_____km03" localSheetId="1" hidden="1">{"'Sheet1'!$L$16"}</x:definedName>
    <x:definedName name="_____n23" localSheetId="1" hidden="1">{"'Sheet1'!$L$16"}</x:definedName>
    <x:definedName name="_____new3" localSheetId="1" hidden="1">{"'Sheet1'!$L$16"}</x:definedName>
    <x:definedName name="_____new5" localSheetId="1" hidden="1">{"'Sheet1'!$L$16"}</x:definedName>
    <x:definedName name="_____new6" localSheetId="1" hidden="1">{"'Sheet1'!$L$16"}</x:definedName>
    <x:definedName name="_____new7" localSheetId="1" hidden="1">{"'Sheet1'!$L$16"}</x:definedName>
    <x:definedName name="_____NSO2" localSheetId="1" hidden="1">{"'Sheet1'!$L$16"}</x:definedName>
    <x:definedName name="_____SA1" localSheetId="1">#N/A</x:definedName>
    <x:definedName name="_____SA2" localSheetId="1">#N/A</x:definedName>
    <x:definedName name="_____SA4" localSheetId="1">#N/A</x:definedName>
    <x:definedName name="_____T8" localSheetId="1" hidden="1">{"'Sheet1'!$L$16"}</x:definedName>
    <x:definedName name="____km03" localSheetId="1" hidden="1">{"'Sheet1'!$L$16"}</x:definedName>
    <x:definedName name="____n23" localSheetId="1" hidden="1">{"'Sheet1'!$L$16"}</x:definedName>
    <x:definedName name="____new3" localSheetId="1" hidden="1">{"'Sheet1'!$L$16"}</x:definedName>
    <x:definedName name="____new5" localSheetId="1" hidden="1">{"'Sheet1'!$L$16"}</x:definedName>
    <x:definedName name="____new6" localSheetId="1" hidden="1">{"'Sheet1'!$L$16"}</x:definedName>
    <x:definedName name="____new7" localSheetId="1" hidden="1">{"'Sheet1'!$L$16"}</x:definedName>
    <x:definedName name="____NSO2" localSheetId="1" hidden="1">{"'Sheet1'!$L$16"}</x:definedName>
    <x:definedName name="____SA1" localSheetId="1">#N/A</x:definedName>
    <x:definedName name="____SA2" localSheetId="1">#N/A</x:definedName>
    <x:definedName name="____SA4" localSheetId="1">#N/A</x:definedName>
    <x:definedName name="____T8" localSheetId="1" hidden="1">{"'Sheet1'!$L$16"}</x:definedName>
    <x:definedName name="___a1" localSheetId="1" hidden="1">{"'Sheet1'!$L$16"}</x:definedName>
    <x:definedName name="___km03" localSheetId="1" hidden="1">{"'Sheet1'!$L$16"}</x:definedName>
    <x:definedName name="___n23" localSheetId="1" hidden="1">{"'Sheet1'!$L$16"}</x:definedName>
    <x:definedName name="___new3" localSheetId="1" hidden="1">{"'Sheet1'!$L$16"}</x:definedName>
    <x:definedName name="___new5" localSheetId="1" hidden="1">{"'Sheet1'!$L$16"}</x:definedName>
    <x:definedName name="___new6" localSheetId="1" hidden="1">{"'Sheet1'!$L$16"}</x:definedName>
    <x:definedName name="___new7" localSheetId="1" hidden="1">{"'Sheet1'!$L$16"}</x:definedName>
    <x:definedName name="___NSO2" localSheetId="1" hidden="1">{"'Sheet1'!$L$16"}</x:definedName>
    <x:definedName name="___SA1" localSheetId="1">#N/A</x:definedName>
    <x:definedName name="___SA2" localSheetId="1">#N/A</x:definedName>
    <x:definedName name="___SA4" localSheetId="1">#N/A</x:definedName>
    <x:definedName name="___T8" localSheetId="1" hidden="1">{"'Sheet1'!$L$16"}</x:definedName>
    <x:definedName name="___TK211" localSheetId="1" hidden="1">{"'Sheet1'!$L$16"}</x:definedName>
    <x:definedName name="__a1" localSheetId="1" hidden="1">{"'Sheet1'!$L$16"}</x:definedName>
    <x:definedName name="__a129" localSheetId="1" hidden="1">{"Offgrid",#N/A,FALSE,"OFFGRID";"Region",#N/A,FALSE,"REGION";"Offgrid -2",#N/A,FALSE,"OFFGRID";"WTP",#N/A,FALSE,"WTP";"WTP -2",#N/A,FALSE,"WTP";"Project",#N/A,FALSE,"PROJECT";"Summary -2",#N/A,FALSE,"SUMMARY"}</x:definedName>
    <x:definedName name="__a130" localSheetId="1" hidden="1">{"Offgrid",#N/A,FALSE,"OFFGRID";"Region",#N/A,FALSE,"REGION";"Offgrid -2",#N/A,FALSE,"OFFGRID";"WTP",#N/A,FALSE,"WTP";"WTP -2",#N/A,FALSE,"WTP";"Project",#N/A,FALSE,"PROJECT";"Summary -2",#N/A,FALSE,"SUMMARY"}</x:definedName>
    <x:definedName name="__anh1" localSheetId="1" hidden="1">{"'Sheet1'!$L$16"}</x:definedName>
    <x:definedName name="__anh10" localSheetId="1" hidden="1">{"'Sheet1'!$L$16"}</x:definedName>
    <x:definedName name="__anh12" localSheetId="1" hidden="1">{"'Sheet1'!$L$16"}</x:definedName>
    <x:definedName name="__anh13" localSheetId="1" hidden="1">{"'Sheet1'!$L$16"}</x:definedName>
    <x:definedName name="__anh15" localSheetId="1" hidden="1">{"'Sheet1'!$L$16"}</x:definedName>
    <x:definedName name="__anh18" localSheetId="1" hidden="1">{"'Sheet1'!$L$16"}</x:definedName>
    <x:definedName name="__anh19" localSheetId="1" hidden="1">{"'Sheet1'!$L$16"}</x:definedName>
    <x:definedName name="__anh2" localSheetId="1" hidden="1">{"'Sheet1'!$L$16"}</x:definedName>
    <x:definedName name="__anh20" localSheetId="1" hidden="1">{"'Sheet1'!$L$16"}</x:definedName>
    <x:definedName name="__anh21" localSheetId="1" hidden="1">{"'Sheet1'!$L$16"}</x:definedName>
    <x:definedName name="__anh22" localSheetId="1" hidden="1">{"'Sheet1'!$L$16"}</x:definedName>
    <x:definedName name="__anh27" localSheetId="1" hidden="1">{"'Sheet1'!$L$16"}</x:definedName>
    <x:definedName name="__anh28" localSheetId="1" hidden="1">{"'Sheet1'!$L$16"}</x:definedName>
    <x:definedName name="__anh356" localSheetId="1" hidden="1">{"'Sheet1'!$L$16"}</x:definedName>
    <x:definedName name="__anh41" localSheetId="1" hidden="1">{"'Sheet1'!$L$16"}</x:definedName>
    <x:definedName name="__anh56" localSheetId="1" hidden="1">{0}</x:definedName>
    <x:definedName name="__anh8" localSheetId="1" hidden="1">{"'Sheet1'!$L$16"}</x:definedName>
    <x:definedName name="__anh9" localSheetId="1" hidden="1">{"'Sheet1'!$L$16"}</x:definedName>
    <x:definedName name="__bookmark_1" localSheetId="1">#REF!</x:definedName>
    <x:definedName name="__Goi8" localSheetId="1" hidden="1">{"'Sheet1'!$L$16"}</x:definedName>
    <x:definedName name="__HNI04" localSheetId="1" hidden="1">{"'Sheet1'!$L$16"}</x:definedName>
    <x:definedName name="__km03" localSheetId="1" hidden="1">{"'Sheet1'!$L$16"}</x:definedName>
    <x:definedName name="__Lan1" localSheetId="1" hidden="1">{"'Sheet1'!$L$16"}</x:definedName>
    <x:definedName name="__LAN3" localSheetId="1" hidden="1">{"'Sheet1'!$L$16"}</x:definedName>
    <x:definedName name="__n23" localSheetId="1" hidden="1">{"'Sheet1'!$L$16"}</x:definedName>
    <x:definedName name="__new3" localSheetId="1" hidden="1">{"'Sheet1'!$L$16"}</x:definedName>
    <x:definedName name="__new5" localSheetId="1" hidden="1">{"'Sheet1'!$L$16"}</x:definedName>
    <x:definedName name="__new6" localSheetId="1" hidden="1">{"'Sheet1'!$L$16"}</x:definedName>
    <x:definedName name="__new7" localSheetId="1" hidden="1">{"'Sheet1'!$L$16"}</x:definedName>
    <x:definedName name="__NSO2" localSheetId="1" hidden="1">{"'Sheet1'!$L$16"}</x:definedName>
    <x:definedName name="__PA3" localSheetId="1" hidden="1">{"'Sheet1'!$L$16"}</x:definedName>
    <x:definedName name="__SA1" localSheetId="1">#N/A</x:definedName>
    <x:definedName name="__SA2" localSheetId="1">#N/A</x:definedName>
    <x:definedName name="__SA4" localSheetId="1">#N/A</x:definedName>
    <x:definedName name="__T11" localSheetId="1" hidden="1">{"'Sheet1'!$L$16"}</x:definedName>
    <x:definedName name="__T8" localSheetId="1" hidden="1">{"'Sheet1'!$L$16"}</x:definedName>
    <x:definedName name="__TK211" localSheetId="1" hidden="1">{"'Sheet1'!$L$16"}</x:definedName>
    <x:definedName name="__TM2" localSheetId="1" hidden="1">{"'Sheet1'!$L$16"}</x:definedName>
    <x:definedName name="__tt3" localSheetId="1" hidden="1">{"'Sheet1'!$L$16"}</x:definedName>
    <x:definedName name="_a1" localSheetId="1" hidden="1">{"'Sheet1'!$L$16"}</x:definedName>
    <x:definedName name="_a129" localSheetId="1" hidden="1">{"Offgrid",#N/A,FALSE,"OFFGRID";"Region",#N/A,FALSE,"REGION";"Offgrid -2",#N/A,FALSE,"OFFGRID";"WTP",#N/A,FALSE,"WTP";"WTP -2",#N/A,FALSE,"WTP";"Project",#N/A,FALSE,"PROJECT";"Summary -2",#N/A,FALSE,"SUMMARY"}</x:definedName>
    <x:definedName name="_a130" localSheetId="1" hidden="1">{"Offgrid",#N/A,FALSE,"OFFGRID";"Region",#N/A,FALSE,"REGION";"Offgrid -2",#N/A,FALSE,"OFFGRID";"WTP",#N/A,FALSE,"WTP";"WTP -2",#N/A,FALSE,"WTP";"Project",#N/A,FALSE,"PROJECT";"Summary -2",#N/A,FALSE,"SUMMARY"}</x:definedName>
    <x:definedName name="_anh1" localSheetId="1" hidden="1">{"'Sheet1'!$L$16"}</x:definedName>
    <x:definedName name="_anh10" localSheetId="1" hidden="1">{"'Sheet1'!$L$16"}</x:definedName>
    <x:definedName name="_anh12" localSheetId="1" hidden="1">{"'Sheet1'!$L$16"}</x:definedName>
    <x:definedName name="_anh13" localSheetId="1" hidden="1">{"'Sheet1'!$L$16"}</x:definedName>
    <x:definedName name="_anh15" localSheetId="1" hidden="1">{"'Sheet1'!$L$16"}</x:definedName>
    <x:definedName name="_anh18" localSheetId="1" hidden="1">{"'Sheet1'!$L$16"}</x:definedName>
    <x:definedName name="_anh19" localSheetId="1" hidden="1">{"'Sheet1'!$L$16"}</x:definedName>
    <x:definedName name="_anh2" localSheetId="1" hidden="1">{"'Sheet1'!$L$16"}</x:definedName>
    <x:definedName name="_anh20" localSheetId="1" hidden="1">{"'Sheet1'!$L$16"}</x:definedName>
    <x:definedName name="_anh21" localSheetId="1" hidden="1">{"'Sheet1'!$L$16"}</x:definedName>
    <x:definedName name="_anh22" localSheetId="1" hidden="1">{"'Sheet1'!$L$16"}</x:definedName>
    <x:definedName name="_anh27" localSheetId="1" hidden="1">{"'Sheet1'!$L$16"}</x:definedName>
    <x:definedName name="_anh28" localSheetId="1" hidden="1">{"'Sheet1'!$L$16"}</x:definedName>
    <x:definedName name="_anh356" localSheetId="1" hidden="1">{"'Sheet1'!$L$16"}</x:definedName>
    <x:definedName name="_anh41" localSheetId="1" hidden="1">{"'Sheet1'!$L$16"}</x:definedName>
    <x:definedName name="_anh56" localSheetId="1" hidden="1">{0}</x:definedName>
    <x:definedName name="_anh8" localSheetId="1" hidden="1">{"'Sheet1'!$L$16"}</x:definedName>
    <x:definedName name="_anh9" localSheetId="1" hidden="1">{"'Sheet1'!$L$16"}</x:definedName>
    <x:definedName name="_F1" localSheetId="1" hidden="1">{"'Sheet1'!$L$16"}</x:definedName>
    <x:definedName name="_Fill" localSheetId="1" hidden="1">#N/A</x:definedName>
    <x:definedName name="_gh1" localSheetId="1">#N/A</x:definedName>
    <x:definedName name="_Goi8" localSheetId="1" hidden="1">{"'Sheet1'!$L$16"}</x:definedName>
    <x:definedName name="_HNI04" localSheetId="1" hidden="1">{"'Sheet1'!$L$16"}</x:definedName>
    <x:definedName name="_hu1" localSheetId="1" hidden="1">{"'Sheet1'!$L$16"}</x:definedName>
    <x:definedName name="_hu2" localSheetId="1" hidden="1">{"'Sheet1'!$L$16"}</x:definedName>
    <x:definedName name="_hu5" localSheetId="1" hidden="1">{"'Sheet1'!$L$16"}</x:definedName>
    <x:definedName name="_hu6" localSheetId="1" hidden="1">{"'Sheet1'!$L$16"}</x:definedName>
    <x:definedName name="_hu7" localSheetId="1" hidden="1">{"'Sheet1'!$L$16"}</x:definedName>
    <x:definedName name="_huy1" localSheetId="1" hidden="1">{"'Sheet1'!$L$16"}</x:definedName>
    <x:definedName name="_Key1" localSheetId="1" hidden="1">#N/A</x:definedName>
    <x:definedName name="_Key2" localSheetId="1" hidden="1">#N/A</x:definedName>
    <x:definedName name="_kl11" localSheetId="1" hidden="1">{"'Sheet1'!$L$16"}</x:definedName>
    <x:definedName name="_kl4" localSheetId="1" hidden="1">{"'Sheet1'!$L$16"}</x:definedName>
    <x:definedName name="_kl6" localSheetId="1" hidden="1">{"'Sheet1'!$L$16"}</x:definedName>
    <x:definedName name="_km03" localSheetId="1" hidden="1">{"'Sheet1'!$L$16"}</x:definedName>
    <x:definedName name="_Lan1" localSheetId="1" hidden="1">{"'Sheet1'!$L$16"}</x:definedName>
    <x:definedName name="_LAN3" localSheetId="1" hidden="1">{"'Sheet1'!$L$16"}</x:definedName>
    <x:definedName name="_MCC3" localSheetId="1" hidden="1">{#N/A,#N/A,FALSE,"CCTV"}</x:definedName>
    <x:definedName name="_MEP2" localSheetId="1" hidden="1">{#N/A,#N/A,FALSE,"CCTV"}</x:definedName>
    <x:definedName name="_n23" localSheetId="1" hidden="1">{"'Sheet1'!$L$16"}</x:definedName>
    <x:definedName name="_new3" localSheetId="1" hidden="1">{"'Sheet1'!$L$16"}</x:definedName>
    <x:definedName name="_new5" localSheetId="1" hidden="1">{"'Sheet1'!$L$16"}</x:definedName>
    <x:definedName name="_new6" localSheetId="1" hidden="1">{"'Sheet1'!$L$16"}</x:definedName>
    <x:definedName name="_new7" localSheetId="1" hidden="1">{"'Sheet1'!$L$16"}</x:definedName>
    <x:definedName name="_NKT2" localSheetId="1" hidden="1">{"'Sheet1'!$L$16"}</x:definedName>
    <x:definedName name="_NS01" localSheetId="1" hidden="1">{"'Sheet1'!$L$16"}</x:definedName>
    <x:definedName name="_NSO2" localSheetId="1" hidden="1">{"'Sheet1'!$L$16"}</x:definedName>
    <x:definedName name="_NSO3" localSheetId="1" hidden="1">{"'Sheet1'!$L$16"}</x:definedName>
    <x:definedName name="_PA3" localSheetId="1" hidden="1">{"'Sheet1'!$L$16"}</x:definedName>
    <x:definedName name="_SA1" localSheetId="1">#N/A</x:definedName>
    <x:definedName name="_SA2" localSheetId="1">#N/A</x:definedName>
    <x:definedName name="_SA4" localSheetId="1">#N/A</x:definedName>
    <x:definedName name="_Sort" localSheetId="1" hidden="1">#N/A</x:definedName>
    <x:definedName name="_Sortmoi" localSheetId="1" hidden="1">#REF!</x:definedName>
    <x:definedName name="_T10" localSheetId="1" hidden="1">{"'Sheet1'!$L$16"}</x:definedName>
    <x:definedName name="_T11" localSheetId="1" hidden="1">{"'Sheet1'!$L$16"}</x:definedName>
    <x:definedName name="_T8" localSheetId="1" hidden="1">{"'Sheet1'!$L$16"}</x:definedName>
    <x:definedName name="_TH1" localSheetId="1" hidden="1">{"'Sheet1'!$L$16"}</x:definedName>
    <x:definedName name="_TK211" localSheetId="1" hidden="1">{"'Sheet1'!$L$16"}</x:definedName>
    <x:definedName name="_TM2" localSheetId="1" hidden="1">{"'Sheet1'!$L$16"}</x:definedName>
    <x:definedName name="_tt3" localSheetId="1" hidden="1">{"'Sheet1'!$L$16"}</x:definedName>
    <x:definedName name="_vl1" localSheetId="1" hidden="1">{"'Sheet1'!$L$16"}</x:definedName>
    <x:definedName name="â" localSheetId="1">{"ONGNGOAINHA.xls","Sheet1"}</x:definedName>
    <x:definedName name="ằ" localSheetId="1" hidden="1">{"'Sheet1'!$L$16"}</x:definedName>
    <x:definedName name="a129_xoa" localSheetId="1" hidden="1">{"Offgrid",#N/A,FALSE,"OFFGRID";"Region",#N/A,FALSE,"REGION";"Offgrid -2",#N/A,FALSE,"OFFGRID";"WTP",#N/A,FALSE,"WTP";"WTP -2",#N/A,FALSE,"WTP";"Project",#N/A,FALSE,"PROJECT";"Summary -2",#N/A,FALSE,"SUMMARY"}</x:definedName>
    <x:definedName name="a129_xoaxoa" localSheetId="1" hidden="1">{"Offgrid",#N/A,FALSE,"OFFGRID";"Region",#N/A,FALSE,"REGION";"Offgrid -2",#N/A,FALSE,"OFFGRID";"WTP",#N/A,FALSE,"WTP";"WTP -2",#N/A,FALSE,"WTP";"Project",#N/A,FALSE,"PROJECT";"Summary -2",#N/A,FALSE,"SUMMARY"}</x:definedName>
    <x:definedName name="a130_xoa" localSheetId="1" hidden="1">{"Offgrid",#N/A,FALSE,"OFFGRID";"Region",#N/A,FALSE,"REGION";"Offgrid -2",#N/A,FALSE,"OFFGRID";"WTP",#N/A,FALSE,"WTP";"WTP -2",#N/A,FALSE,"WTP";"Project",#N/A,FALSE,"PROJECT";"Summary -2",#N/A,FALSE,"SUMMARY"}</x:definedName>
    <x:definedName name="a130_xoaxoa" localSheetId="1" hidden="1">{"Offgrid",#N/A,FALSE,"OFFGRID";"Region",#N/A,FALSE,"REGION";"Offgrid -2",#N/A,FALSE,"OFFGRID";"WTP",#N/A,FALSE,"WTP";"WTP -2",#N/A,FALSE,"WTP";"Project",#N/A,FALSE,"PROJECT";"Summary -2",#N/A,FALSE,"SUMMARY"}</x:definedName>
    <x:definedName name="a1moi" localSheetId="1" hidden="1">{"'Sheet1'!$L$16"}</x:definedName>
    <x:definedName name="ả4513" localSheetId="1">#REF!</x:definedName>
    <x:definedName name="â9000" localSheetId="1">'[1]Chi tiet'!#REF!</x:definedName>
    <x:definedName name="aaaaaa" localSheetId="1" hidden="1">{"'Sheet1'!$L$16"}</x:definedName>
    <x:definedName name="aadd" localSheetId="1" hidden="1">{"'Sheet1'!$L$16"}</x:definedName>
    <x:definedName name="aass" localSheetId="1" hidden="1">{"'Sheet1'!$L$16"}</x:definedName>
    <x:definedName name="aavavavav" localSheetId="1" hidden="1">{#N/A,#N/A,FALSE,"Chi tiÆt"}</x:definedName>
    <x:definedName name="abc" localSheetId="1" hidden="1">{"'Sheet1'!$L$16"}</x:definedName>
    <x:definedName name="abcd" localSheetId="1" hidden="1">{"'Sheet1'!$L$16"}</x:definedName>
    <x:definedName name="acc" localSheetId="1" hidden="1">{"'Sheet1'!$L$16"}</x:definedName>
    <x:definedName name="ádfg" localSheetId="1" hidden="1">{"'Sheet1'!$L$16"}</x:definedName>
    <x:definedName name="adfgdfhgdf" localSheetId="1" hidden="1">#REF!</x:definedName>
    <x:definedName name="adfgfgdfg" localSheetId="1" hidden="1">#REF!</x:definedName>
    <x:definedName name="adfsg" localSheetId="1" hidden="1">{"'Sheet1'!$L$16"}</x:definedName>
    <x:definedName name="ae" localSheetId="1" hidden="1">{"'Sheet1'!$L$16"}</x:definedName>
    <x:definedName name="aegwhg.gk" localSheetId="1" hidden="1">{"Offgrid",#N/A,FALSE,"OFFGRID";"Region",#N/A,FALSE,"REGION";"Offgrid -2",#N/A,FALSE,"OFFGRID";"WTP",#N/A,FALSE,"WTP";"WTP -2",#N/A,FALSE,"WTP";"Project",#N/A,FALSE,"PROJECT";"Summary -2",#N/A,FALSE,"SUMMARY"}</x:definedName>
    <x:definedName name="aetg.hgrs" localSheetId="1" hidden="1">{"Offgrid",#N/A,FALSE,"OFFGRID";"Region",#N/A,FALSE,"REGION";"Offgrid -2",#N/A,FALSE,"OFFGRID";"WTP",#N/A,FALSE,"WTP";"WTP -2",#N/A,FALSE,"WTP";"Project",#N/A,FALSE,"PROJECT";"Summary -2",#N/A,FALSE,"SUMMARY"}</x:definedName>
    <x:definedName name="âétggâgqgêágghe" localSheetId="1" hidden="1">{#N/A,#N/A,FALSE,"Chi tiÆt"}</x:definedName>
    <x:definedName name="âfA" localSheetId="1" hidden="1">{"'Sheet1'!$L$16"}</x:definedName>
    <x:definedName name="afasfsagfas" localSheetId="1" hidden="1">{#N/A,#N/A,FALSE,"Chi tiÆt"}</x:definedName>
    <x:definedName name="ăg" localSheetId="1" hidden="1">{"'Sheet1'!$L$16"}</x:definedName>
    <x:definedName name="àgdfgfdgdf" localSheetId="1" hidden="1">#REF!</x:definedName>
    <x:definedName name="àgfdgfdf" localSheetId="1" hidden="1">#REF!</x:definedName>
    <x:definedName name="ẩgg" localSheetId="1" hidden="1">{"'Sheet1'!$L$16"}</x:definedName>
    <x:definedName name="ầgga" localSheetId="1" hidden="1">{"'Sheet1'!$L$16"}</x:definedName>
    <x:definedName name="amnh16" localSheetId="1" hidden="1">{"'Sheet1'!$L$16"}</x:definedName>
    <x:definedName name="amoi" localSheetId="1" hidden="1">{"'Sheet1'!$L$16"}</x:definedName>
    <x:definedName name="Antoan" localSheetId="1" hidden="1">{"'Sheet1'!$L$16"}</x:definedName>
    <x:definedName name="as" localSheetId="1" hidden="1">{"'Sheet1'!$L$16"}</x:definedName>
    <x:definedName name="asf" localSheetId="1" hidden="1">{"'Sheet1'!$L$16"}</x:definedName>
    <x:definedName name="asss" localSheetId="1" hidden="1">{"'Sheet1'!$L$16"}</x:definedName>
    <x:definedName name="asssss" localSheetId="1" hidden="1">{"'Sheet1'!$L$16"}</x:definedName>
    <x:definedName name="Attachment07" localSheetId="1" hidden="1">{"'Sheet1'!$L$16"}</x:definedName>
    <x:definedName name="AU" localSheetId="1" hidden="1">{"'Sheet1'!$L$16"}</x:definedName>
    <x:definedName name="avavgveqvaq" localSheetId="1" hidden="1">{"Offgrid",#N/A,FALSE,"OFFGRID";"Region",#N/A,FALSE,"REGION";"Offgrid -2",#N/A,FALSE,"OFFGRID";"WTP",#N/A,FALSE,"WTP";"WTP -2",#N/A,FALSE,"WTP";"Project",#N/A,FALSE,"PROJECT";"Summary -2",#N/A,FALSE,"SUMMARY"}</x:definedName>
    <x:definedName name="Bang7_THKL_HCM" localSheetId="1" hidden="1">{"'Sheet1'!$L$16"}</x:definedName>
    <x:definedName name="banQL" localSheetId="1" hidden="1">{"'Sheet1'!$L$16"}</x:definedName>
    <x:definedName name="Bao" localSheetId="1" hidden="1">{#N/A,#N/A,FALSE,"Chi tiÆt"}</x:definedName>
    <x:definedName name="bbb" localSheetId="1" hidden="1">{"'Sheet1'!$L$16"}</x:definedName>
    <x:definedName name="BBe" localSheetId="1" hidden="1">{"'Sheet1'!$L$16"}</x:definedName>
    <x:definedName name="bdv" localSheetId="1" hidden="1">{"'Sheet1'!$L$16"}</x:definedName>
    <x:definedName name="Bieu18" localSheetId="1" hidden="1">{"'Sheet1'!$L$16"}</x:definedName>
    <x:definedName name="BO" localSheetId="1" hidden="1">{"'Sheet1'!$L$16"}</x:definedName>
    <x:definedName name="BUM" localSheetId="1" hidden="1">{"'Sheet1'!$L$16"}</x:definedName>
    <x:definedName name="bvcbvb" localSheetId="1" hidden="1">{0}</x:definedName>
    <x:definedName name="CARL" localSheetId="1" hidden="1">{#N/A,#N/A,FALSE,"CCTV"}</x:definedName>
    <x:definedName name="CARL1" localSheetId="1" hidden="1">{#N/A,#N/A,FALSE,"CCTV"}</x:definedName>
    <x:definedName name="CARL2" localSheetId="1" hidden="1">{#N/A,#N/A,FALSE,"CCTV"}</x:definedName>
    <x:definedName name="CBG" localSheetId="1" hidden="1">{"'Sheet1'!$L$16"}</x:definedName>
    <x:definedName name="chilinh1" localSheetId="1">'[2]Chi tiet chuan'!$A$2:$A$7163</x:definedName>
    <x:definedName name="chilinh2" localSheetId="1">'[2]Chi tiet chuan'!$D$2:$D$7163</x:definedName>
    <x:definedName name="chilinh3" localSheetId="1">'[2]Chi tiet chuan'!$BX$2:$BX$7163</x:definedName>
    <x:definedName name="chilinh4" localSheetId="1">'[2]Chi tiet chuan'!$AJ$2:$AJ$7163</x:definedName>
    <x:definedName name="chilinh5" localSheetId="1">'[2]Chi tiet chuan'!$B$2:$B$7163</x:definedName>
    <x:definedName name="chilinh6" localSheetId="1">'[2]Chi tiet chuan'!$W$2:$W$7163</x:definedName>
    <x:definedName name="chilk" localSheetId="1" hidden="1">{"'Sheet1'!$L$16"}</x:definedName>
    <x:definedName name="chitietbgiang2" localSheetId="1" hidden="1">{"'Sheet1'!$L$16"}</x:definedName>
    <x:definedName name="Code" localSheetId="1" hidden="1">#N/A</x:definedName>
    <x:definedName name="ctbbt" localSheetId="1" hidden="1">{"'Sheet1'!$L$16"}</x:definedName>
    <x:definedName name="CTCT1" localSheetId="1" hidden="1">{"'Sheet1'!$L$16"}</x:definedName>
    <x:definedName name="CTIEN" localSheetId="1" hidden="1">{"'Sheet1'!$L$16"}</x:definedName>
    <x:definedName name="cung" localSheetId="1" hidden="1">{"'Sheet1'!$L$16"}</x:definedName>
    <x:definedName name="cuong" localSheetId="1" hidden="1">{"'Sheet1'!$L$16"}</x:definedName>
    <x:definedName name="cvcv" localSheetId="1" hidden="1">{"'Sheet1'!$L$16"}</x:definedName>
    <x:definedName name="d" localSheetId="1">[3]Sheet3!$A$1:$B$4</x:definedName>
    <x:definedName name="DAILATHANH" localSheetId="1" hidden="1">{"'Sheet1'!$L$16"}</x:definedName>
    <x:definedName name="dang" localSheetId="1" hidden="1">{"'Sheet1'!$L$16"}</x:definedName>
    <x:definedName name="data1" localSheetId="1" hidden="1">#REF!</x:definedName>
    <x:definedName name="data2" localSheetId="1" hidden="1">#REF!</x:definedName>
    <x:definedName name="data3" localSheetId="1" hidden="1">#REF!</x:definedName>
    <x:definedName name="Dautu" localSheetId="1" hidden="1">{"'Sheet1'!$L$16"}</x:definedName>
    <x:definedName name="DD" localSheetId="1" hidden="1">{"'Sheet1'!$L$16"}</x:definedName>
    <x:definedName name="ddd" localSheetId="1" hidden="1">{"'Sheet1'!$L$16"}</x:definedName>
    <x:definedName name="dddddddddd" localSheetId="1">#N/A</x:definedName>
    <x:definedName name="dddddddddddddd" localSheetId="1">#N/A</x:definedName>
    <x:definedName name="ddddddddddddddd" localSheetId="1">#N/A</x:definedName>
    <x:definedName name="deedfsd" localSheetId="1" hidden="1">{"'Sheet1'!$L$16"}</x:definedName>
    <x:definedName name="DEEE" localSheetId="1">#N/A</x:definedName>
    <x:definedName name="DES" localSheetId="1">#N/A</x:definedName>
    <x:definedName name="dfafd" localSheetId="1" hidden="1">{"'Sheet1'!$L$16"}</x:definedName>
    <x:definedName name="đfbgdgă" localSheetId="1" hidden="1">{"Offgrid",#N/A,FALSE,"OFFGRID";"Region",#N/A,FALSE,"REGION";"Offgrid -2",#N/A,FALSE,"OFFGRID";"WTP",#N/A,FALSE,"WTP";"WTP -2",#N/A,FALSE,"WTP";"Project",#N/A,FALSE,"PROJECT";"Summary -2",#N/A,FALSE,"SUMMARY"}</x:definedName>
    <x:definedName name="dfdfd" localSheetId="1" hidden="1">#REF!</x:definedName>
    <x:definedName name="dfdsf" localSheetId="1" hidden="1">{"'Sheet1'!$L$16"}</x:definedName>
    <x:definedName name="dfdsfdsf" localSheetId="1" hidden="1">#REF!</x:definedName>
    <x:definedName name="DFFFF" localSheetId="1">#N/A</x:definedName>
    <x:definedName name="dfg" localSheetId="1" hidden="1">{"'Sheet1'!$L$16"}</x:definedName>
    <x:definedName name="dfgmsdkg" localSheetId="1" hidden="1">#REF!</x:definedName>
    <x:definedName name="dfh" localSheetId="1" hidden="1">{"'Sheet1'!$L$16"}</x:definedName>
    <x:definedName name="đfnfndfn" localSheetId="1" hidden="1">{#N/A,#N/A,FALSE,"Chi tiÆt"}</x:definedName>
    <x:definedName name="dfsfsd" localSheetId="1" hidden="1">{"'Sheet1'!$L$16"}</x:definedName>
    <x:definedName name="dgdagkadfkg" localSheetId="1" hidden="1">#REF!</x:definedName>
    <x:definedName name="dgdfgdfgf" localSheetId="1" hidden="1">#REF!</x:definedName>
    <x:definedName name="dgg" localSheetId="1" hidden="1">#REF!</x:definedName>
    <x:definedName name="dgsdfgdfag" localSheetId="1" hidden="1">#REF!</x:definedName>
    <x:definedName name="đhf" localSheetId="1" hidden="1">{"'Sheet1'!$L$16"}</x:definedName>
    <x:definedName name="dhtdh" localSheetId="1" hidden="1">{"Offgrid",#N/A,FALSE,"OFFGRID";"Region",#N/A,FALSE,"REGION";"Offgrid -2",#N/A,FALSE,"OFFGRID";"WTP",#N/A,FALSE,"WTP";"WTP -2",#N/A,FALSE,"WTP";"Project",#N/A,FALSE,"PROJECT";"Summary -2",#N/A,FALSE,"SUMMARY"}</x:definedName>
    <x:definedName name="Discount" localSheetId="1" hidden="1">#N/A</x:definedName>
    <x:definedName name="display_area_2" localSheetId="1" hidden="1">#REF!</x:definedName>
    <x:definedName name="DKTT" localSheetId="1">#REF!</x:definedName>
    <x:definedName name="dmxl2" localSheetId="1" hidden="1">{"'Sheet1'!$L$16"}</x:definedName>
    <x:definedName name="Document_array" localSheetId="1">{"ONGNGOAINHA.xls","Sheet1"}</x:definedName>
    <x:definedName name="dong" localSheetId="1" hidden="1">{"'Sheet1'!$L$16"}</x:definedName>
    <x:definedName name="drrrrrrr" localSheetId="1">#N/A</x:definedName>
    <x:definedName name="dsfhkjdsfds" localSheetId="1" hidden="1">{"'Sheet1'!$L$16"}</x:definedName>
    <x:definedName name="dsfsdfsd" localSheetId="1" hidden="1">#REF!</x:definedName>
    <x:definedName name="dsgsw.sgrs.grsg_.sg" localSheetId="1" hidden="1">{#N/A,#N/A,FALSE,"Chi tiÆt"}</x:definedName>
    <x:definedName name="DSPS" localSheetId="1" hidden="1">{"'Sheet1'!$L$16"}</x:definedName>
    <x:definedName name="DTTK" localSheetId="1" hidden="1">{"'Sheet1'!$L$16"}</x:definedName>
    <x:definedName name="DTTVGM163" localSheetId="1" hidden="1">{"'Sheet1'!$L$16"}</x:definedName>
    <x:definedName name="du" localSheetId="1" hidden="1">{"'Sheet1'!$L$16"}</x:definedName>
    <x:definedName name="duc" localSheetId="1" hidden="1">{"'Sheet1'!$L$16"}</x:definedName>
    <x:definedName name="dutoanc2" localSheetId="1" hidden="1">{"'Sheet1'!$L$16"}</x:definedName>
    <x:definedName name="ED" localSheetId="1" hidden="1">{#N/A,#N/A,FALSE,"CCTV"}</x:definedName>
    <x:definedName name="EEE" localSheetId="1">#N/A</x:definedName>
    <x:definedName name="EEEEE" localSheetId="1">#N/A</x:definedName>
    <x:definedName name="eeeeeeeeeeeee" localSheetId="1">#N/A</x:definedName>
    <x:definedName name="egw" localSheetId="1" hidden="1">{"Offgrid",#N/A,FALSE,"OFFGRID";"Region",#N/A,FALSE,"REGION";"Offgrid -2",#N/A,FALSE,"OFFGRID";"WTP",#N/A,FALSE,"WTP";"WTP -2",#N/A,FALSE,"WTP";"Project",#N/A,FALSE,"PROJECT";"Summary -2",#N/A,FALSE,"SUMMARY"}</x:definedName>
    <x:definedName name="eheh" localSheetId="1" hidden="1">{"Offgrid",#N/A,FALSE,"OFFGRID";"Region",#N/A,FALSE,"REGION";"Offgrid -2",#N/A,FALSE,"OFFGRID";"WTP",#N/A,FALSE,"WTP";"WTP -2",#N/A,FALSE,"WTP";"Project",#N/A,FALSE,"PROJECT";"Summary -2",#N/A,FALSE,"SUMMARY"}</x:definedName>
    <x:definedName name="ELLEN1" localSheetId="1" hidden="1">{#N/A,#N/A,FALSE,"CCTV"}</x:definedName>
    <x:definedName name="ELLEN10" localSheetId="1" hidden="1">{#N/A,#N/A,FALSE,"CCTV"}</x:definedName>
    <x:definedName name="ELLEN11" localSheetId="1" hidden="1">{#N/A,#N/A,FALSE,"CCTV"}</x:definedName>
    <x:definedName name="ELLEN12" localSheetId="1" hidden="1">{#N/A,#N/A,FALSE,"CCTV"}</x:definedName>
    <x:definedName name="ELLEN13" localSheetId="1" hidden="1">{#N/A,#N/A,FALSE,"CCTV"}</x:definedName>
    <x:definedName name="ELLEN14" localSheetId="1" hidden="1">{#N/A,#N/A,FALSE,"CCTV"}</x:definedName>
    <x:definedName name="ELLEN15" localSheetId="1" hidden="1">{#N/A,#N/A,FALSE,"CCTV"}</x:definedName>
    <x:definedName name="ELLEN16" localSheetId="1" hidden="1">{#N/A,#N/A,FALSE,"CCTV"}</x:definedName>
    <x:definedName name="ELLEN17" localSheetId="1" hidden="1">{#N/A,#N/A,FALSE,"CCTV"}</x:definedName>
    <x:definedName name="ELLEN18" localSheetId="1" hidden="1">{#N/A,#N/A,FALSE,"CCTV"}</x:definedName>
    <x:definedName name="ELLEN19" localSheetId="1" hidden="1">{#N/A,#N/A,FALSE,"CCTV"}</x:definedName>
    <x:definedName name="ELLEN2" localSheetId="1" hidden="1">{#N/A,#N/A,FALSE,"CCTV"}</x:definedName>
    <x:definedName name="ELLEN3" localSheetId="1" hidden="1">{#N/A,#N/A,FALSE,"CCTV"}</x:definedName>
    <x:definedName name="ELLEN4" localSheetId="1" hidden="1">{#N/A,#N/A,FALSE,"CCTV"}</x:definedName>
    <x:definedName name="ELLEN5" localSheetId="1" hidden="1">{#N/A,#N/A,FALSE,"CCTV"}</x:definedName>
    <x:definedName name="ELLEN6" localSheetId="1" hidden="1">{#N/A,#N/A,FALSE,"CCTV"}</x:definedName>
    <x:definedName name="ELLEN7" localSheetId="1" hidden="1">{#N/A,#N/A,FALSE,"CCTV"}</x:definedName>
    <x:definedName name="ELLEN8" localSheetId="1" hidden="1">{#N/A,#N/A,FALSE,"CCTV"}</x:definedName>
    <x:definedName name="ELLEN9" localSheetId="1" hidden="1">{#N/A,#N/A,FALSE,"CCTV"}</x:definedName>
    <x:definedName name="esgtew" localSheetId="1" hidden="1">{#N/A,#N/A,FALSE,"Chi tiÆt"}</x:definedName>
    <x:definedName name="etethtehbdex" localSheetId="1" hidden="1">{#N/A,#N/A,FALSE,"Chi tiÆt"}</x:definedName>
    <x:definedName name="êthtêt" localSheetId="1" hidden="1">{"Offgrid",#N/A,FALSE,"OFFGRID";"Region",#N/A,FALSE,"REGION";"Offgrid -2",#N/A,FALSE,"OFFGRID";"WTP",#N/A,FALSE,"WTP";"WTP -2",#N/A,FALSE,"WTP";"Project",#N/A,FALSE,"PROJECT";"Summary -2",#N/A,FALSE,"SUMMARY"}</x:definedName>
    <x:definedName name="etqgsg_đhs" localSheetId="1" hidden="1">{"'Sheet1'!$L$16"}</x:definedName>
    <x:definedName name="etrw45.đ" localSheetId="1" hidden="1">{"Offgrid",#N/A,FALSE,"OFFGRID";"Region",#N/A,FALSE,"REGION";"Offgrid -2",#N/A,FALSE,"OFFGRID";"WTP",#N/A,FALSE,"WTP";"WTP -2",#N/A,FALSE,"WTP";"Project",#N/A,FALSE,"PROJECT";"Summary -2",#N/A,FALSE,"SUMMARY"}</x:definedName>
    <x:definedName name="Extra" localSheetId="1" hidden="1">{"'Sheet1'!$L$16"}</x:definedName>
    <x:definedName name="eygswgq" localSheetId="1" hidden="1">{#N/A,#N/A,FALSE,"Chi tiÆt"}</x:definedName>
    <x:definedName name="êyh" localSheetId="1" hidden="1">{"Offgrid",#N/A,FALSE,"OFFGRID";"Region",#N/A,FALSE,"REGION";"Offgrid -2",#N/A,FALSE,"OFFGRID";"WTP",#N/A,FALSE,"WTP";"WTP -2",#N/A,FALSE,"WTP";"Project",#N/A,FALSE,"PROJECT";"Summary -2",#N/A,FALSE,"SUMMARY"}</x:definedName>
    <x:definedName name="f" localSheetId="1">[3]Sheet3!$A$6:$B$9</x:definedName>
    <x:definedName name="fáaafafaf" localSheetId="1" hidden="1">{"'Sheet1'!$L$16"}</x:definedName>
    <x:definedName name="fasfaga" localSheetId="1" hidden="1">{"'Sheet1'!$L$16"}</x:definedName>
    <x:definedName name="FCode" localSheetId="1" hidden="1">#N/A</x:definedName>
    <x:definedName name="fdfdf" localSheetId="1" hidden="1">{"'Sheet1'!$L$16"}</x:definedName>
    <x:definedName name="fdgdfgdfg" localSheetId="1" hidden="1">#REF!</x:definedName>
    <x:definedName name="fđhbfbd" localSheetId="1" hidden="1">{#N/A,#N/A,FALSE,"Chi tiÆt"}</x:definedName>
    <x:definedName name="fđhh" localSheetId="1" hidden="1">{"'Sheet1'!$L$16"}</x:definedName>
    <x:definedName name="fdsfsdfd" localSheetId="1" hidden="1">{"'Sheet1'!$L$16"}</x:definedName>
    <x:definedName name="fdss" localSheetId="1" hidden="1">{"'Sheet1'!$L$16"}</x:definedName>
    <x:definedName name="fff" localSheetId="1" hidden="1">{"'Sheet1'!$L$16"}</x:definedName>
    <x:definedName name="fffffffffffffff" localSheetId="1" hidden="1">{"'Sheet1'!$L$16"}</x:definedName>
    <x:definedName name="fgafdfdg" localSheetId="1" hidden="1">#REF!</x:definedName>
    <x:definedName name="fgdfagfdf" localSheetId="1" hidden="1">#REF!</x:definedName>
    <x:definedName name="fgđff" localSheetId="1" hidden="1">{"'Sheet1'!$L$16"}</x:definedName>
    <x:definedName name="fgdfgddfgfd" localSheetId="1" hidden="1">#REF!</x:definedName>
    <x:definedName name="fgdfgfgfd" localSheetId="1" hidden="1">#REF!</x:definedName>
    <x:definedName name="fgfdaghffg" localSheetId="1" hidden="1">#REF!</x:definedName>
    <x:definedName name="fgh" localSheetId="1" hidden="1">{"'Sheet1'!$L$16"}</x:definedName>
    <x:definedName name="fghdfhdfg" localSheetId="1" hidden="1">#REF!</x:definedName>
    <x:definedName name="fgkjmgky.yulyu." localSheetId="1" hidden="1">{"Offgrid",#N/A,FALSE,"OFFGRID";"Region",#N/A,FALSE,"REGION";"Offgrid -2",#N/A,FALSE,"OFFGRID";"WTP",#N/A,FALSE,"WTP";"WTP -2",#N/A,FALSE,"WTP";"Project",#N/A,FALSE,"PROJECT";"Summary -2",#N/A,FALSE,"SUMMARY"}</x:definedName>
    <x:definedName name="fhfgfsdgfd" localSheetId="1" hidden="1">#REF!</x:definedName>
    <x:definedName name="fhgadfhadf" localSheetId="1" hidden="1">#REF!</x:definedName>
    <x:definedName name="fhlkdkgl" localSheetId="1" hidden="1">#REF!</x:definedName>
    <x:definedName name="fhsdgfdff" localSheetId="1" hidden="1">#REF!</x:definedName>
    <x:definedName name="fhtđhêhd" localSheetId="1" hidden="1">{"Offgrid",#N/A,FALSE,"OFFGRID";"Region",#N/A,FALSE,"REGION";"Offgrid -2",#N/A,FALSE,"OFFGRID";"WTP",#N/A,FALSE,"WTP";"WTP -2",#N/A,FALSE,"WTP";"Project",#N/A,FALSE,"PROJECT";"Summary -2",#N/A,FALSE,"SUMMARY"}</x:definedName>
    <x:definedName name="fj" localSheetId="1">#N/A</x:definedName>
    <x:definedName name="FOR" localSheetId="1" hidden="1">{#N/A,#N/A,FALSE,"CCTV"}</x:definedName>
    <x:definedName name="FORMAT" localSheetId="1" hidden="1">{#N/A,#N/A,FALSE,"CCTV"}</x:definedName>
    <x:definedName name="fsdfdsf" localSheetId="1" hidden="1">{"'Sheet1'!$L$16"}</x:definedName>
    <x:definedName name="fsfdsfsf" localSheetId="1" hidden="1">{"'Sheet1'!$L$16"}</x:definedName>
    <x:definedName name="fsfsdfasfas" localSheetId="1" hidden="1">{0}</x:definedName>
    <x:definedName name="ftgfg" localSheetId="1" hidden="1">{#N/A,#N/A,FALSE,"CCTV"}</x:definedName>
    <x:definedName name="gdfg" localSheetId="1" hidden="1">{"'Sheet1'!$L$16"}</x:definedName>
    <x:definedName name="gdfgdfgdf" localSheetId="1" hidden="1">{"'Sheet1'!$L$16"}</x:definedName>
    <x:definedName name="gfhgadfkgkadf" localSheetId="1" hidden="1">#REF!</x:definedName>
    <x:definedName name="ggaq" localSheetId="1" hidden="1">{"Offgrid",#N/A,FALSE,"OFFGRID";"Region",#N/A,FALSE,"REGION";"Offgrid -2",#N/A,FALSE,"OFFGRID";"WTP",#N/A,FALSE,"WTP";"WTP -2",#N/A,FALSE,"WTP";"Project",#N/A,FALSE,"PROJECT";"Summary -2",#N/A,FALSE,"SUMMARY"}</x:definedName>
    <x:definedName name="gggggggggg" localSheetId="1">#N/A</x:definedName>
    <x:definedName name="gghjgh" localSheetId="1" hidden="1">#REF!</x:definedName>
    <x:definedName name="ggsf" localSheetId="1" hidden="1">#REF!</x:definedName>
    <x:definedName name="ghàdgfadgdf" localSheetId="1" hidden="1">#REF!</x:definedName>
    <x:definedName name="giang" localSheetId="1" hidden="1">{"'Sheet1'!$L$16"}</x:definedName>
    <x:definedName name="gjrđjsjs" localSheetId="1" hidden="1">{"'Sheet1'!$L$16"}</x:definedName>
    <x:definedName name="grds" localSheetId="1" hidden="1">{"'Sheet1'!$L$16"}</x:definedName>
    <x:definedName name="gteyhưez" localSheetId="1" hidden="1">{"'Sheet1'!$L$16"}</x:definedName>
    <x:definedName name="GU" localSheetId="1" hidden="1">{"'Sheet1'!$L$16"}</x:definedName>
    <x:definedName name="gwf" localSheetId="1" hidden="1">{#N/A,#N/A,FALSE,"Chi tiÆt"}</x:definedName>
    <x:definedName name="h" localSheetId="1" hidden="1">{"'Sheet1'!$L$16"}</x:definedName>
    <x:definedName name="h_xoa" localSheetId="1" hidden="1">{"'Sheet1'!$L$16"}</x:definedName>
    <x:definedName name="h_xoa2" localSheetId="1" hidden="1">{"'Sheet1'!$L$16"}</x:definedName>
    <x:definedName name="haKK" localSheetId="1" hidden="1">{"'Sheet1'!$L$16"}</x:definedName>
    <x:definedName name="hanh" localSheetId="1" hidden="1">{"'Sheet1'!$L$16"}</x:definedName>
    <x:definedName name="haoif" localSheetId="1" hidden="1">{"'Sheet1'!$L$16"}</x:definedName>
    <x:definedName name="HCSL" localSheetId="1" hidden="1">{"'Sheet1'!$L$16"}</x:definedName>
    <x:definedName name="hcsla" localSheetId="1" hidden="1">{"'Sheet1'!$L$16"}</x:definedName>
    <x:definedName name="hcsld" localSheetId="1" hidden="1">{"'Sheet1'!$L$16"}</x:definedName>
    <x:definedName name="hdfgdgdg" localSheetId="1" hidden="1">#REF!</x:definedName>
    <x:definedName name="HDH" localSheetId="1" hidden="1">{"'Sheet1'!$L$16"}</x:definedName>
    <x:definedName name="heđbe" localSheetId="1" hidden="1">{"Offgrid",#N/A,FALSE,"OFFGRID";"Region",#N/A,FALSE,"REGION";"Offgrid -2",#N/A,FALSE,"OFFGRID";"WTP",#N/A,FALSE,"WTP";"WTP -2",#N/A,FALSE,"WTP";"Project",#N/A,FALSE,"PROJECT";"Summary -2",#N/A,FALSE,"SUMMARY"}</x:definedName>
    <x:definedName name="hee_opjg" localSheetId="1" hidden="1">{"'Sheet1'!$L$16"}</x:definedName>
    <x:definedName name="hẻy" localSheetId="1" hidden="1">{"'Sheet1'!$L$16"}</x:definedName>
    <x:definedName name="hfgh" localSheetId="1" hidden="1">{"'Sheet1'!$L$16"}</x:definedName>
    <x:definedName name="hgadgag" localSheetId="1" hidden="1">{"Offgrid",#N/A,FALSE,"OFFGRID";"Region",#N/A,FALSE,"REGION";"Offgrid -2",#N/A,FALSE,"OFFGRID";"WTP",#N/A,FALSE,"WTP";"WTP -2",#N/A,FALSE,"WTP";"Project",#N/A,FALSE,"PROJECT";"Summary -2",#N/A,FALSE,"SUMMARY"}</x:definedName>
    <x:definedName name="hgh" localSheetId="1" hidden="1">#REF!</x:definedName>
    <x:definedName name="hghgh" localSheetId="1" hidden="1">{0}</x:definedName>
    <x:definedName name="hgre_zdfhgfd" localSheetId="1" hidden="1">{"'Sheet1'!$L$16"}</x:definedName>
    <x:definedName name="HHHH" localSheetId="1">#N/A</x:definedName>
    <x:definedName name="hhhthrh" localSheetId="1" hidden="1">{#N/A,#N/A,FALSE,"Chi tiÆt"}</x:definedName>
    <x:definedName name="HiddenRows" localSheetId="1" hidden="1">#N/A</x:definedName>
    <x:definedName name="hj" localSheetId="1">#N/A</x:definedName>
    <x:definedName name="hkj" localSheetId="1" hidden="1">{0}</x:definedName>
    <x:definedName name="hmi" localSheetId="1" hidden="1">{"'Sheet1'!$L$16"}</x:definedName>
    <x:definedName name="hnhnhn" localSheetId="1" hidden="1">{"'Sheet1'!$L$16"}</x:definedName>
    <x:definedName name="hoa" localSheetId="1" hidden="1">{"'Sheet1'!$L$16"}</x:definedName>
    <x:definedName name="hong" localSheetId="1" hidden="1">{"'Sheet1'!$L$16"}</x:definedName>
    <x:definedName name="hongngu" localSheetId="1" hidden="1">{"'Sheet1'!$L$16"}</x:definedName>
    <x:definedName name="hp" localSheetId="1" hidden="1">{"'Sheet1'!$L$16"}</x:definedName>
    <x:definedName name="hrhe" localSheetId="1" hidden="1">{"Offgrid",#N/A,FALSE,"OFFGRID";"Region",#N/A,FALSE,"REGION";"Offgrid -2",#N/A,FALSE,"OFFGRID";"WTP",#N/A,FALSE,"WTP";"WTP -2",#N/A,FALSE,"WTP";"Project",#N/A,FALSE,"PROJECT";"Summary -2",#N/A,FALSE,"SUMMARY"}</x:definedName>
    <x:definedName name="hsduuiejkdf" localSheetId="1" hidden="1">{"'Sheet1'!$L$16"}</x:definedName>
    <x:definedName name="hsgbhtgrư" localSheetId="1" hidden="1">{#N/A,#N/A,FALSE,"Chi tiÆt"}</x:definedName>
    <x:definedName name="ht" localSheetId="1" hidden="1">{"'Sheet1'!$L$16"}</x:definedName>
    <x:definedName name="htjhtjftj" localSheetId="1" hidden="1">{#N/A,#N/A,FALSE,"Chi tiÆt"}</x:definedName>
    <x:definedName name="htlm" localSheetId="1" hidden="1">{"'Sheet1'!$L$16"}</x:definedName>
    <x:definedName name="HTML_Control" localSheetId="1" hidden="1">{"'Sheet1'!$L$16"}</x:definedName>
    <x:definedName name="html_control_xoa2" localSheetId="1" hidden="1">{"'Sheet1'!$L$16"}</x:definedName>
    <x:definedName name="HTML_Controlmoi" localSheetId="1" hidden="1">{"'Sheet1'!$L$16"}</x:definedName>
    <x:definedName name="HTMLmoi" localSheetId="1" hidden="1">{"'Sheet1'!$L$16"}</x:definedName>
    <x:definedName name="htriu4" localSheetId="1" hidden="1">{#N/A,#N/A,FALSE,"Chi tiÆt"}</x:definedName>
    <x:definedName name="hu" localSheetId="1" hidden="1">{"'Sheet1'!$L$16"}</x:definedName>
    <x:definedName name="hui" localSheetId="1" hidden="1">{"'Sheet1'!$L$16"}</x:definedName>
    <x:definedName name="hung" localSheetId="1" hidden="1">{"'Sheet1'!$L$16"}</x:definedName>
    <x:definedName name="huy" localSheetId="1" hidden="1">{"'Sheet1'!$L$16"}</x:definedName>
    <x:definedName name="huy_xoa" localSheetId="1" hidden="1">{"'Sheet1'!$L$16"}</x:definedName>
    <x:definedName name="huy_xoa2" localSheetId="1" hidden="1">{"'Sheet1'!$L$16"}</x:definedName>
    <x:definedName name="huy1moi" localSheetId="1" hidden="1">{"'Sheet1'!$L$16"}</x:definedName>
    <x:definedName name="huyhoa" localSheetId="1" hidden="1">{"'Sheet1'!$L$16"}</x:definedName>
    <x:definedName name="huymoi" localSheetId="1" hidden="1">{"'Sheet1'!$L$16"}</x:definedName>
    <x:definedName name="huyy" localSheetId="1" hidden="1">{"'Sheet1'!$L$16"}</x:definedName>
    <x:definedName name="ịth" localSheetId="1" hidden="1">{"'Sheet1'!$L$16"}</x:definedName>
    <x:definedName name="JHK" localSheetId="1" hidden="1">{0}</x:definedName>
    <x:definedName name="jjjjjjjj" localSheetId="1" hidden="1">{0}</x:definedName>
    <x:definedName name="jkhj" localSheetId="1" hidden="1">{"'Sheet1'!$L$16"}</x:definedName>
    <x:definedName name="jkjk" localSheetId="1" hidden="1">{"'Sheet1'!$L$16"}</x:definedName>
    <x:definedName name="jsajhf" localSheetId="1" hidden="1">{"'Sheet1'!$L$16"}</x:definedName>
    <x:definedName name="jýỵy" localSheetId="1" hidden="1">{"'Sheet1'!$L$16"}</x:definedName>
    <x:definedName name="k" localSheetId="1" hidden="1">{"Offgrid",#N/A,FALSE,"OFFGRID";"Region",#N/A,FALSE,"REGION";"Offgrid -2",#N/A,FALSE,"OFFGRID";"WTP",#N/A,FALSE,"WTP";"WTP -2",#N/A,FALSE,"WTP";"Project",#N/A,FALSE,"PROJECT";"Summary -2",#N/A,FALSE,"SUMMARY"}</x:definedName>
    <x:definedName name="k_xoa" localSheetId="1" hidden="1">{"Offgrid",#N/A,FALSE,"OFFGRID";"Region",#N/A,FALSE,"REGION";"Offgrid -2",#N/A,FALSE,"OFFGRID";"WTP",#N/A,FALSE,"WTP";"WTP -2",#N/A,FALSE,"WTP";"Project",#N/A,FALSE,"PROJECT";"Summary -2",#N/A,FALSE,"SUMMARY"}</x:definedName>
    <x:definedName name="k_xoa2" localSheetId="1" hidden="1">{"Offgrid",#N/A,FALSE,"OFFGRID";"Region",#N/A,FALSE,"REGION";"Offgrid -2",#N/A,FALSE,"OFFGRID";"WTP",#N/A,FALSE,"WTP";"WTP -2",#N/A,FALSE,"WTP";"Project",#N/A,FALSE,"PROJECT";"Summary -2",#N/A,FALSE,"SUMMARY"}</x:definedName>
    <x:definedName name="KCThep" localSheetId="1" hidden="1">{"'Sheet1'!$L$16"}</x:definedName>
    <x:definedName name="kdkk" localSheetId="1" hidden="1">{"'Sheet1'!$L$16"}</x:definedName>
    <x:definedName name="khongtruotgia" localSheetId="1" hidden="1">{"'Sheet1'!$L$16"}</x:definedName>
    <x:definedName name="KHSX" localSheetId="1" hidden="1">{"'Sheet1'!$L$16"}</x:definedName>
    <x:definedName name="kjkjkj" localSheetId="1" hidden="1">{"'Sheet1'!$L$16"}</x:definedName>
    <x:definedName name="KKKKKKKKK" localSheetId="1">#N/A</x:definedName>
    <x:definedName name="klm" localSheetId="1" hidden="1">{"'Sheet1'!$L$16"}</x:definedName>
    <x:definedName name="ks" localSheetId="1" hidden="1">{"'Sheet1'!$L$16"}</x:definedName>
    <x:definedName name="ksbn" localSheetId="1" hidden="1">{"'Sheet1'!$L$16"}</x:definedName>
    <x:definedName name="kshn" localSheetId="1" hidden="1">{"'Sheet1'!$L$16"}</x:definedName>
    <x:definedName name="ksls" localSheetId="1" hidden="1">{"'Sheet1'!$L$16"}</x:definedName>
    <x:definedName name="ktdk0" localSheetId="1" hidden="1">{#N/A,#N/A,FALSE,"Chi tiÆt"}</x:definedName>
    <x:definedName name="l.dat" localSheetId="1" hidden="1">{"'Sheet1'!$L$16"}</x:definedName>
    <x:definedName name="lai" localSheetId="1" hidden="1">{"'Sheet1'!$L$16"}</x:definedName>
    <x:definedName name="lan" localSheetId="1" hidden="1">{#N/A,#N/A,TRUE,"BT M200 da 10x20"}</x:definedName>
    <x:definedName name="langson" localSheetId="1" hidden="1">{"'Sheet1'!$L$16"}</x:definedName>
    <x:definedName name="line" localSheetId="1" hidden="1">{"'Sheet1'!$L$16"}</x:definedName>
    <x:definedName name="linh" localSheetId="1" hidden="1">{"'Sheet1'!$L$16"}</x:definedName>
    <x:definedName name="linhT" localSheetId="1" hidden="1">{"'Sheet1'!$L$16"}</x:definedName>
    <x:definedName name="lk" localSheetId="1" hidden="1">{"'Sheet1'!$L$16"}</x:definedName>
    <x:definedName name="lkl" localSheetId="1" hidden="1">{"'Sheet1'!$L$16"}</x:definedName>
    <x:definedName name="LTKD" localSheetId="1" hidden="1">{"'Sheet1'!$L$16"}</x:definedName>
    <x:definedName name="luyÕn" localSheetId="1" hidden="1">{"'Sheet1'!$L$16"}</x:definedName>
    <x:definedName name="lvo" localSheetId="1" hidden="1">{"'Sheet1'!$L$16"}</x:definedName>
    <x:definedName name="m" localSheetId="1" hidden="1">{"'Sheet1'!$L$16"}</x:definedName>
    <x:definedName name="M10." localSheetId="1" hidden="1">{"'Sheet1'!$L$16"}</x:definedName>
    <x:definedName name="MCCO" localSheetId="1" hidden="1">{#N/A,#N/A,FALSE,"CCTV"}</x:definedName>
    <x:definedName name="MCCO10" localSheetId="1" hidden="1">{#N/A,#N/A,FALSE,"CCTV"}</x:definedName>
    <x:definedName name="MCCO11" localSheetId="1" hidden="1">{#N/A,#N/A,FALSE,"CCTV"}</x:definedName>
    <x:definedName name="MCCO12" localSheetId="1" hidden="1">{#N/A,#N/A,FALSE,"CCTV"}</x:definedName>
    <x:definedName name="MCCO13" localSheetId="1" hidden="1">{#N/A,#N/A,FALSE,"CCTV"}</x:definedName>
    <x:definedName name="MCCO3" localSheetId="1" hidden="1">{#N/A,#N/A,FALSE,"CCTV"}</x:definedName>
    <x:definedName name="MCCO4" localSheetId="1" hidden="1">{#N/A,#N/A,FALSE,"CCTV"}</x:definedName>
    <x:definedName name="MCCO5" localSheetId="1" hidden="1">{#N/A,#N/A,FALSE,"CCTV"}</x:definedName>
    <x:definedName name="MCCO6" localSheetId="1" hidden="1">{#N/A,#N/A,FALSE,"CCTV"}</x:definedName>
    <x:definedName name="MCCO7" localSheetId="1" hidden="1">{#N/A,#N/A,FALSE,"CCTV"}</x:definedName>
    <x:definedName name="MCCO8" localSheetId="1" hidden="1">{#N/A,#N/A,FALSE,"CCTV"}</x:definedName>
    <x:definedName name="MCCO9" localSheetId="1" hidden="1">{#N/A,#N/A,FALSE,"CCTV"}</x:definedName>
    <x:definedName name="MCCOÙ" localSheetId="1" hidden="1">{#N/A,#N/A,FALSE,"CCTV"}</x:definedName>
    <x:definedName name="MH" localSheetId="1" hidden="1">{"'Sheet1'!$L$16"}</x:definedName>
    <x:definedName name="minh" localSheetId="1" hidden="1">{"'Sheet1'!$L$16"}</x:definedName>
    <x:definedName name="mm" localSheetId="1" hidden="1">{"'Sheet1'!$L$16"}</x:definedName>
    <x:definedName name="mmmm" localSheetId="1" hidden="1">{"'Sheet1'!$L$16"}</x:definedName>
    <x:definedName name="mncvhjkhj" localSheetId="1" hidden="1">{"'Sheet1'!$L$16"}</x:definedName>
    <x:definedName name="mrn.inv._.budget" localSheetId="1" hidden="1">{"invbud-1",#N/A,FALSE,"A";"invbud-1CW",#N/A,FALSE,"A";"Desinvesteringen",#N/A,FALSE,"C"}</x:definedName>
    <x:definedName name="Namna" localSheetId="1" hidden="1">{"'Sheet1'!$L$16"}</x:definedName>
    <x:definedName name="ncb" localSheetId="1">#N/A</x:definedName>
    <x:definedName name="new" localSheetId="1" hidden="1">{"'Sheet1'!$L$16"}</x:definedName>
    <x:definedName name="NEWNAME" localSheetId="1" hidden="1">{#N/A,#N/A,FALSE,"CCTV"}</x:definedName>
    <x:definedName name="ngay23" localSheetId="1" hidden="1">{"'Sheet1'!$L$16"}</x:definedName>
    <x:definedName name="nhap1" localSheetId="1">#N/A</x:definedName>
    <x:definedName name="nhap2" localSheetId="1">#N/A</x:definedName>
    <x:definedName name="nhap3" localSheetId="1">#N/A</x:definedName>
    <x:definedName name="nhapcb" localSheetId="1">#N/A</x:definedName>
    <x:definedName name="nhung" localSheetId="1" hidden="1">{"'Sheet1'!$L$16"}</x:definedName>
    <x:definedName name="nhvnbv" localSheetId="1" hidden="1">{"'Sheet1'!$L$16"}</x:definedName>
    <x:definedName name="nm" localSheetId="1" hidden="1">{"'Sheet1'!$L$16"}</x:definedName>
    <x:definedName name="nnn" localSheetId="1">#N/A</x:definedName>
    <x:definedName name="NRy" localSheetId="1" hidden="1">{"'Sheet1'!$L$16"}</x:definedName>
    <x:definedName name="NUOCHKHOAN" localSheetId="1" hidden="1">{"'Sheet1'!$L$16"}</x:definedName>
    <x:definedName name="NUOCHKHOANMOI" localSheetId="1" hidden="1">{"'Sheet1'!$L$16"}</x:definedName>
    <x:definedName name="o" localSheetId="1" hidden="1">{"'Sheet1'!$L$16"}</x:definedName>
    <x:definedName name="Ô" localSheetId="1" hidden="1">{"'Sheet1'!$L$16"}</x:definedName>
    <x:definedName name="ôi" localSheetId="1" hidden="1">#REF!</x:definedName>
    <x:definedName name="OrderTable" localSheetId="1" hidden="1">#N/A</x:definedName>
    <x:definedName name="oudom" localSheetId="1" hidden="1">{"'Sheet1'!$L$16"}</x:definedName>
    <x:definedName name="phantich3" localSheetId="1" hidden="1">{"'Sheet1'!$L$16"}</x:definedName>
    <x:definedName name="phuong" localSheetId="1" hidden="1">{"'Sheet1'!$L$16"}</x:definedName>
    <x:definedName name="ProdForm" localSheetId="1" hidden="1">#N/A</x:definedName>
    <x:definedName name="Product" localSheetId="1" hidden="1">#N/A</x:definedName>
    <x:definedName name="ptich3" localSheetId="1" hidden="1">{"'Sheet1'!$L$16"}</x:definedName>
    <x:definedName name="q" localSheetId="1" hidden="1">{"'Sheet1'!$L$16"}</x:definedName>
    <x:definedName name="qềqg" localSheetId="1" hidden="1">{"'Sheet1'!$L$16"}</x:definedName>
    <x:definedName name="QQ" localSheetId="1" hidden="1">{"'Sheet1'!$L$16"}</x:definedName>
    <x:definedName name="qqq" localSheetId="1" hidden="1">{"'Sheet1'!$L$16"}</x:definedName>
    <x:definedName name="qừq" localSheetId="1" hidden="1">{#N/A,#N/A,FALSE,"Chi tiÆt"}</x:definedName>
    <x:definedName name="Ranhxay" localSheetId="1" hidden="1">{"'Sheet1'!$L$16"}</x:definedName>
    <x:definedName name="RCArea" localSheetId="1" hidden="1">#N/A</x:definedName>
    <x:definedName name="rdrdd" localSheetId="1" hidden="1">{#N/A,#N/A,FALSE,"Chi tiÆt"}</x:definedName>
    <x:definedName name="re" localSheetId="1" hidden="1">{"'Sheet1'!$L$16"}</x:definedName>
    <x:definedName name="Result21" localSheetId="1" hidden="1">{"'Sheet1'!$L$16"}</x:definedName>
    <x:definedName name="rhgrs" localSheetId="1" hidden="1">{"'Sheet1'!$L$16"}</x:definedName>
    <x:definedName name="rhrewhehe" localSheetId="1" hidden="1">{#N/A,#N/A,FALSE,"Chi tiÆt"}</x:definedName>
    <x:definedName name="rjf" localSheetId="1" hidden="1">{"Offgrid",#N/A,FALSE,"OFFGRID";"Region",#N/A,FALSE,"REGION";"Offgrid -2",#N/A,FALSE,"OFFGRID";"WTP",#N/A,FALSE,"WTP";"WTP -2",#N/A,FALSE,"WTP";"Project",#N/A,FALSE,"PROJECT";"Summary -2",#N/A,FALSE,"SUMMARY"}</x:definedName>
    <x:definedName name="rkd" localSheetId="1" hidden="1">{#N/A,#N/A,FALSE,"CCTV"}</x:definedName>
    <x:definedName name="RREE" localSheetId="1">#N/A</x:definedName>
    <x:definedName name="RRR" localSheetId="1">#N/A</x:definedName>
    <x:definedName name="RRRDGG" localSheetId="1">#N/A</x:definedName>
    <x:definedName name="rrrfff" localSheetId="1">#N/A</x:definedName>
    <x:definedName name="rrrrrrrrrrrrrrr" localSheetId="1">#N/A</x:definedName>
    <x:definedName name="ryedfg" localSheetId="1" hidden="1">{#N/A,#N/A,FALSE,"CCTV"}</x:definedName>
    <x:definedName name="ryhtrd" localSheetId="1" hidden="1">{#N/A,#N/A,FALSE,"Chi tiÆt"}</x:definedName>
    <x:definedName name="S" localSheetId="1" hidden="1">{"'Sheet1'!$L$16"}</x:definedName>
    <x:definedName name="SAD" localSheetId="1" hidden="1">{"'Sheet1'!$L$16"}</x:definedName>
    <x:definedName name="sadec" localSheetId="1" hidden="1">{"'Sheet1'!$L$16"}</x:definedName>
    <x:definedName name="SA順にソートする" localSheetId="1">#N/A</x:definedName>
    <x:definedName name="SCTX" localSheetId="1" hidden="1">{"'Sheet1'!$L$16"}</x:definedName>
    <x:definedName name="sdcfzdcdzssaf" localSheetId="1" hidden="1">{"'Sheet1'!$L$16"}</x:definedName>
    <x:definedName name="sdfsdfsd" localSheetId="1" hidden="1">{"'Sheet1'!$L$16"}</x:definedName>
    <x:definedName name="sdgsdfgdf" localSheetId="1">{0}</x:definedName>
    <x:definedName name="sen" localSheetId="1" hidden="1">{"'Sheet1'!$L$16"}</x:definedName>
    <x:definedName name="sfasf" localSheetId="1" hidden="1">{"'Sheet1'!$L$16"}</x:definedName>
    <x:definedName name="sfdsf" localSheetId="1" hidden="1">{"'Sheet1'!$L$16"}</x:definedName>
    <x:definedName name="sff" localSheetId="1" hidden="1">{"'Sheet1'!$L$16"}</x:definedName>
    <x:definedName name="sfh" localSheetId="1" hidden="1">{"'Sheet1'!$L$16"}</x:definedName>
    <x:definedName name="sgsr" localSheetId="1" hidden="1">{"'Sheet1'!$L$16"}</x:definedName>
    <x:definedName name="shee12" localSheetId="1" hidden="1">{"'Sheet1'!$L$16"}</x:definedName>
    <x:definedName name="sheet" localSheetId="1" hidden="1">{"'Sheet1'!$L$16"}</x:definedName>
    <x:definedName name="shsrhtr" localSheetId="1" hidden="1">{"'Sheet1'!$L$16"}</x:definedName>
    <x:definedName name="sjoiseiorkl" localSheetId="1" hidden="1">{#N/A,#N/A,FALSE,"Chi tiÆt"}</x:definedName>
    <x:definedName name="So_Xau" localSheetId="1">#N/A</x:definedName>
    <x:definedName name="sodu" localSheetId="1" hidden="1">{"'Sheet1'!$L$16"}</x:definedName>
    <x:definedName name="SORT2" localSheetId="1">#N/A</x:definedName>
    <x:definedName name="SORT3" localSheetId="1">#N/A</x:definedName>
    <x:definedName name="SpecialPrice" localSheetId="1" hidden="1">#N/A</x:definedName>
    <x:definedName name="ss" localSheetId="1" hidden="1">{"'Sheet1'!$L$16"}</x:definedName>
    <x:definedName name="ssggg" localSheetId="1" hidden="1">{0}</x:definedName>
    <x:definedName name="SSSS" localSheetId="1" hidden="1">{"'Sheet1'!$L$16"}</x:definedName>
    <x:definedName name="stop" localSheetId="1" hidden="1">{0}</x:definedName>
    <x:definedName name="sua" localSheetId="1" hidden="1">{"'Sheet1'!$L$16"}</x:definedName>
    <x:definedName name="T4.06" localSheetId="1" hidden="1">{"'Sheet1'!$L$16"}</x:definedName>
    <x:definedName name="T5.06" localSheetId="1" hidden="1">{"'Sheet1'!$L$16"}</x:definedName>
    <x:definedName name="tanhong" localSheetId="1" hidden="1">{"'Sheet1'!$L$16"}</x:definedName>
    <x:definedName name="tanhong1" localSheetId="1" hidden="1">{"'Sheet1'!$L$16"}</x:definedName>
    <x:definedName name="tbl_ProdInfo" localSheetId="1" hidden="1">#N/A</x:definedName>
    <x:definedName name="tgưgz" localSheetId="1" hidden="1">{"'Sheet1'!$L$16"}</x:definedName>
    <x:definedName name="tha" localSheetId="1" hidden="1">{"'Sheet1'!$L$16"}</x:definedName>
    <x:definedName name="THAN" localSheetId="1" hidden="1">{"'Sheet1'!$L$16"}</x:definedName>
    <x:definedName name="thang" localSheetId="1" hidden="1">{"'Sheet1'!$L$16"}</x:definedName>
    <x:definedName name="Thang10" localSheetId="1" hidden="1">{"'Sheet1'!$L$16"}</x:definedName>
    <x:definedName name="thang13" localSheetId="1" hidden="1">{"'Sheet1'!$L$16"}</x:definedName>
    <x:definedName name="thang8" localSheetId="1" hidden="1">{"'Sheet1'!$L$16"}</x:definedName>
    <x:definedName name="thang9" localSheetId="1" hidden="1">{"'Sheet1'!$L$16"}</x:definedName>
    <x:definedName name="thanh" localSheetId="1" hidden="1">{"'Sheet1'!$L$16"}</x:definedName>
    <x:definedName name="thao" localSheetId="1" hidden="1">{"'Sheet1'!$L$16"}</x:definedName>
    <x:definedName name="THKP7YT" localSheetId="1" hidden="1">{"'Sheet1'!$L$16"}</x:definedName>
    <x:definedName name="tht" localSheetId="1" hidden="1">{"'Sheet1'!$L$16"}</x:definedName>
    <x:definedName name="thtt6" localSheetId="1" hidden="1">{"'Sheet1'!$L$16"}</x:definedName>
    <x:definedName name="thvlmoi" localSheetId="1" hidden="1">{"'Sheet1'!$L$16"}</x:definedName>
    <x:definedName name="thvlmoimoi" localSheetId="1" hidden="1">{"'Sheet1'!$L$16"}</x:definedName>
    <x:definedName name="tim" localSheetId="1" hidden="1">{"'Sheet1'!$L$16"}</x:definedName>
    <x:definedName name="tjhtrjntrsjnsr" localSheetId="1" hidden="1">{"'Sheet1'!$L$16"}</x:definedName>
    <x:definedName name="tjhủn" localSheetId="1" hidden="1">{"Offgrid",#N/A,FALSE,"OFFGRID";"Region",#N/A,FALSE,"REGION";"Offgrid -2",#N/A,FALSE,"OFFGRID";"WTP",#N/A,FALSE,"WTP";"WTP -2",#N/A,FALSE,"WTP";"Project",#N/A,FALSE,"PROJECT";"Summary -2",#N/A,FALSE,"SUMMARY"}</x:definedName>
    <x:definedName name="tjjrj" localSheetId="1" hidden="1">{#N/A,#N/A,FALSE,"Chi tiÆt"}</x:definedName>
    <x:definedName name="tk" localSheetId="1">#N/A</x:definedName>
    <x:definedName name="tke" localSheetId="1">#N/A</x:definedName>
    <x:definedName name="tkt" localSheetId="1" hidden="1">{"'Sheet1'!$L$16"}</x:definedName>
    <x:definedName name="toan" localSheetId="1" hidden="1">{"'Sheet1'!$L$16"}</x:definedName>
    <x:definedName name="TRAMTON" localSheetId="1" hidden="1">{"'Sheet1'!$L$16"}</x:definedName>
    <x:definedName name="trrh" localSheetId="1" hidden="1">{"'Sheet1'!$L$16"}</x:definedName>
    <x:definedName name="truc" localSheetId="1" hidden="1">{"'Sheet1'!$L$16"}</x:definedName>
    <x:definedName name="trung" localSheetId="1" hidden="1">{"'Sheet1'!$L$16"}</x:definedName>
    <x:definedName name="tscd" localSheetId="1" hidden="1">{"'Sheet1'!$L$16"}</x:definedName>
    <x:definedName name="tuankhanhtuyet" localSheetId="1" hidden="1">{0}</x:definedName>
    <x:definedName name="tv" localSheetId="1" hidden="1">{"'Sheet1'!$L$16"}</x:definedName>
    <x:definedName name="uassw_sh" localSheetId="1" hidden="1">{"'Sheet1'!$L$16"}</x:definedName>
    <x:definedName name="uipou" localSheetId="1" hidden="1">{0}</x:definedName>
    <x:definedName name="uiqwuewhjdr" localSheetId="1" hidden="1">{"'Sheet1'!$L$16"}</x:definedName>
    <x:definedName name="UL" localSheetId="1" hidden="1">{"'Sheet1'!$L$16"}</x:definedName>
    <x:definedName name="ủnt" localSheetId="1" hidden="1">{"'Sheet1'!$L$16"}</x:definedName>
    <x:definedName name="uuuuuuuuuuuuu" localSheetId="1">#N/A</x:definedName>
    <x:definedName name="uyen" localSheetId="1" hidden="1">{#N/A,#N/A,TRUE,"BT M200 da 10x20"}</x:definedName>
    <x:definedName name="uyghu" localSheetId="1" hidden="1">{0}</x:definedName>
    <x:definedName name="ủytỉt" localSheetId="1" hidden="1">{"'Sheet1'!$L$16"}</x:definedName>
    <x:definedName name="uytjhtdjtj" localSheetId="1" hidden="1">{"'Sheet1'!$L$16"}</x:definedName>
    <x:definedName name="VATM" localSheetId="1" hidden="1">{"'Sheet1'!$L$16"}</x:definedName>
    <x:definedName name="vay" localSheetId="1" hidden="1">{"'Sheet1'!$L$16"}</x:definedName>
    <x:definedName name="vbgnbvn" localSheetId="1" hidden="1">{"'Sheet1'!$L$16"}</x:definedName>
    <x:definedName name="vcbo1" localSheetId="1" hidden="1">{"'Sheet1'!$L$16"}</x:definedName>
    <x:definedName name="vcoto" localSheetId="1" hidden="1">{"'Sheet1'!$L$16"}</x:definedName>
    <x:definedName name="vcvbcb" localSheetId="1" hidden="1">{0}</x:definedName>
    <x:definedName name="vgho" localSheetId="1" hidden="1">{"'Sheet1'!$L$16"}</x:definedName>
    <x:definedName name="vi" localSheetId="1" hidden="1">{"'Sheet1'!$L$16"}</x:definedName>
    <x:definedName name="VVVVVV" localSheetId="1" hidden="1">{"'Sheet1'!$L$16"}</x:definedName>
    <x:definedName name="wgyw" localSheetId="1" hidden="1">{"'Sheet1'!$L$16"}</x:definedName>
    <x:definedName name="WRITE" localSheetId="1" hidden="1">{#N/A,#N/A,FALSE,"CCTV"}</x:definedName>
    <x:definedName name="WRN" localSheetId="1" hidden="1">{#N/A,#N/A,FALSE,"CCTV"}</x:definedName>
    <x:definedName name="wrn.aaa." localSheetId="1" hidden="1">{#N/A,#N/A,FALSE,"Sheet1";#N/A,#N/A,FALSE,"Sheet1";#N/A,#N/A,FALSE,"Sheet1"}</x:definedName>
    <x:definedName name="wrn.BAOCAO." localSheetId="1" hidden="1">{#N/A,#N/A,FALSE,"sum";#N/A,#N/A,FALSE,"MARTV";#N/A,#N/A,FALSE,"APRTV"}</x:definedName>
    <x:definedName name="wrn.BM." localSheetId="1" hidden="1">{#N/A,#N/A,FALSE,"CCTV"}</x:definedName>
    <x:definedName name="wrn.chi._.tiÆt." localSheetId="1" hidden="1">{#N/A,#N/A,FALSE,"Chi tiÆt"}</x:definedName>
    <x:definedName name="wrn.cong." localSheetId="1" hidden="1">{#N/A,#N/A,FALSE,"Sheet1"}</x:definedName>
    <x:definedName name="wrn.inv._.budget." localSheetId="1" hidden="1">{"invbud-1",#N/A,FALSE,"A";"invbud-1CW",#N/A,FALSE,"A";"Desinvesteringen",#N/A,FALSE,"C"}</x:definedName>
    <x:definedName name="wrn.re_xoa2" localSheetId="1" hidden="1">{"Offgrid",#N/A,FALSE,"OFFGRID";"Region",#N/A,FALSE,"REGION";"Offgrid -2",#N/A,FALSE,"OFFGRID";"WTP",#N/A,FALSE,"WTP";"WTP -2",#N/A,FALSE,"WTP";"Project",#N/A,FALSE,"PROJECT";"Summary -2",#N/A,FALSE,"SUMMARY"}</x:definedName>
    <x:definedName name="wrn.Report." localSheetId="1" hidden="1">{"Offgrid",#N/A,FALSE,"OFFGRID";"Region",#N/A,FALSE,"REGION";"Offgrid -2",#N/A,FALSE,"OFFGRID";"WTP",#N/A,FALSE,"WTP";"WTP -2",#N/A,FALSE,"WTP";"Project",#N/A,FALSE,"PROJECT";"Summary -2",#N/A,FALSE,"SUMMARY"}</x:definedName>
    <x:definedName name="wrn.testRapport." localSheetId="1" hidden="1">{#N/A,#N/A,TRUE,"Main";#N/A,#N/A,TRUE,"Phase 1";#N/A,#N/A,TRUE,"Phase 2";#N/A,#N/A,TRUE,"Phase 3"}</x:definedName>
    <x:definedName name="wrn.vd." localSheetId="1" hidden="1">{#N/A,#N/A,TRUE,"BT M200 da 10x20"}</x:definedName>
    <x:definedName name="wrn_xoa2" localSheetId="1" hidden="1">{#N/A,#N/A,FALSE,"Chi tiÆt"}</x:definedName>
    <x:definedName name="wrnf.report" localSheetId="1" hidden="1">{"Offgrid",#N/A,FALSE,"OFFGRID";"Region",#N/A,FALSE,"REGION";"Offgrid -2",#N/A,FALSE,"OFFGRID";"WTP",#N/A,FALSE,"WTP";"WTP -2",#N/A,FALSE,"WTP";"Project",#N/A,FALSE,"PROJECT";"Summary -2",#N/A,FALSE,"SUMMARY"}</x:definedName>
    <x:definedName name="wrnf_xoa2" localSheetId="1" hidden="1">{"Offgrid",#N/A,FALSE,"OFFGRID";"Region",#N/A,FALSE,"REGION";"Offgrid -2",#N/A,FALSE,"OFFGRID";"WTP",#N/A,FALSE,"WTP";"WTP -2",#N/A,FALSE,"WTP";"Project",#N/A,FALSE,"PROJECT";"Summary -2",#N/A,FALSE,"SUMMARY"}</x:definedName>
    <x:definedName name="wrww" localSheetId="1" hidden="1">{"Offgrid",#N/A,FALSE,"OFFGRID";"Region",#N/A,FALSE,"REGION";"Offgrid -2",#N/A,FALSE,"OFFGRID";"WTP",#N/A,FALSE,"WTP";"WTP -2",#N/A,FALSE,"WTP";"Project",#N/A,FALSE,"PROJECT";"Summary -2",#N/A,FALSE,"SUMMARY"}</x:definedName>
    <x:definedName name="wwhh" localSheetId="1" hidden="1">{#N/A,#N/A,FALSE,"Chi tiÆt"}</x:definedName>
    <x:definedName name="wwhwhwrh" localSheetId="1" hidden="1">{"'Sheet1'!$L$16"}</x:definedName>
    <x:definedName name="wwwwwwww" localSheetId="1">#N/A</x:definedName>
    <x:definedName name="xlttbninh" localSheetId="1" hidden="1">{"'Sheet1'!$L$16"}</x:definedName>
    <x:definedName name="xoa1" localSheetId="1" hidden="1">{"'Sheet1'!$L$16"}</x:definedName>
    <x:definedName name="xoa2" localSheetId="1" hidden="1">{#N/A,#N/A,FALSE,"Chi tiÆt"}</x:definedName>
    <x:definedName name="xoa3" localSheetId="1" hidden="1">{"Offgrid",#N/A,FALSE,"OFFGRID";"Region",#N/A,FALSE,"REGION";"Offgrid -2",#N/A,FALSE,"OFFGRID";"WTP",#N/A,FALSE,"WTP";"WTP -2",#N/A,FALSE,"WTP";"Project",#N/A,FALSE,"PROJECT";"Summary -2",#N/A,FALSE,"SUMMARY"}</x:definedName>
    <x:definedName name="xoa4" localSheetId="1" hidden="1">{"Offgrid",#N/A,FALSE,"OFFGRID";"Region",#N/A,FALSE,"REGION";"Offgrid -2",#N/A,FALSE,"OFFGRID";"WTP",#N/A,FALSE,"WTP";"WTP -2",#N/A,FALSE,"WTP";"Project",#N/A,FALSE,"PROJECT";"Summary -2",#N/A,FALSE,"SUMMARY"}</x:definedName>
    <x:definedName name="XuÊt8" localSheetId="1" hidden="1">{"'Sheet1'!$L$16"}</x:definedName>
    <x:definedName name="y" localSheetId="1" hidden="1">{"'Sheet1'!$L$16"}</x:definedName>
    <x:definedName name="ỳdhgg" localSheetId="1" hidden="1">{"'Sheet1'!$L$16"}</x:definedName>
    <x:definedName name="ỳđsgfhgfgfhghggh" localSheetId="1" hidden="1">{"'Sheet1'!$L$16"}</x:definedName>
    <x:definedName name="ytiti" localSheetId="1" hidden="1">{0}</x:definedName>
    <x:definedName name="ỵu" localSheetId="1" hidden="1">{"'Sheet1'!$L$16"}</x:definedName>
    <x:definedName name="yyjy_ukyu" localSheetId="1" hidden="1">{"'Sheet1'!$L$16"}</x:definedName>
    <x:definedName name="yyyyyyyyyyy" localSheetId="1">#N/A</x:definedName>
    <x:definedName name="Z590_6months" localSheetId="1" hidden="1">{"'Sheet1'!$L$16"}</x:definedName>
    <x:definedName name="zKm2" localSheetId="1" hidden="1">{"'Sheet1'!$L$16"}</x:definedName>
    <x:definedName name="ZXzX" localSheetId="1" hidden="1">{"'Sheet1'!$L$16"}</x:definedName>
    <x:definedName name="キャンセル" localSheetId="1">#N/A</x:definedName>
    <x:definedName name="ソートする" localSheetId="1">#N/A</x:definedName>
    <x:definedName name="デｰタの消去" localSheetId="1">#N/A</x:definedName>
    <x:definedName name="견적" localSheetId="1" hidden="1">{#N/A,#N/A,FALSE,"CCTV"}</x:definedName>
    <x:definedName name="견적2" localSheetId="1" hidden="1">{#N/A,#N/A,FALSE,"CCTV"}</x:definedName>
    <x:definedName name="견적SHEET" localSheetId="1" hidden="1">{#N/A,#N/A,FALSE,"CCTV"}</x:definedName>
    <x:definedName name="래그" localSheetId="1" hidden="1">{#N/A,#N/A,FALSE,"CCTV"}</x:definedName>
    <x:definedName name="샘풀카피" localSheetId="1" hidden="1">{#N/A,#N/A,FALSE,"CCTV"}</x:definedName>
    <x:definedName name="샘플카피2" localSheetId="1" hidden="1">{#N/A,#N/A,FALSE,"CCTV"}</x:definedName>
    <x:definedName name="샘플카피3" localSheetId="1" hidden="1">{#N/A,#N/A,FALSE,"CCTV"}</x:definedName>
    <x:definedName name="品番ソートする" localSheetId="1">#N/A</x:definedName>
    <x:definedName name="自動入力" localSheetId="1">#N/A</x:definedName>
    <x:definedName name="解除" localSheetId="1">#N/A</x:definedName>
    <x:definedName name="_xlnm.Print_Titles" localSheetId="1">'TH điểm'!B:B,'TH điểm'!1:6</x:definedName>
    <x:definedName name="_xlnm.Print_Area" localSheetId="7">'PLI- KPI cham diem tinh'!$A$1:$U$69</x:definedName>
    <x:definedName name="_xlnm.Print_Titles" localSheetId="7">'PLI- KPI cham diem tinh'!2:4</x:definedName>
    <x:definedName name="\0">#N/A</x:definedName>
    <x:definedName name="\a">#N/A</x:definedName>
    <x:definedName name="\d">#N/A</x:definedName>
    <x:definedName name="\e">#N/A</x:definedName>
    <x:definedName name="\f">#N/A</x:definedName>
    <x:definedName name="\g">#N/A</x:definedName>
    <x:definedName name="\h">#N/A</x:definedName>
    <x:definedName name="\i">#N/A</x:definedName>
    <x:definedName name="\j">#N/A</x:definedName>
    <x:definedName name="\k">#N/A</x:definedName>
    <x:definedName name="\l">#N/A</x:definedName>
    <x:definedName name="\m">#N/A</x:definedName>
    <x:definedName name="\n">#N/A</x:definedName>
    <x:definedName name="\o">#N/A</x:definedName>
    <x:definedName name="\p">#N/A</x:definedName>
    <x:definedName name="\z">#N/A</x:definedName>
    <x:definedName name="_______________________________________________NSO2" hidden="1">{"'Sheet1'!$L$16"}</x:definedName>
    <x:definedName name="______________________________________________n23" hidden="1">{"'Sheet1'!$L$16"}</x:definedName>
    <x:definedName name="______________________________________________NSO2" hidden="1">{"'Sheet1'!$L$16"}</x:definedName>
    <x:definedName name="_____________________________________________n23" hidden="1">{"'Sheet1'!$L$16"}</x:definedName>
    <x:definedName name="_____________________________________________NSO2" hidden="1">{"'Sheet1'!$L$16"}</x:definedName>
    <x:definedName name="____________________________________________n23" hidden="1">{"'Sheet1'!$L$16"}</x:definedName>
    <x:definedName name="____________________________________________NSO2" hidden="1">{"'Sheet1'!$L$16"}</x:definedName>
    <x:definedName name="___________________________________________n23" hidden="1">{"'Sheet1'!$L$16"}</x:definedName>
    <x:definedName name="___________________________________________new3" hidden="1">{"'Sheet1'!$L$16"}</x:definedName>
    <x:definedName name="___________________________________________new5" hidden="1">{"'Sheet1'!$L$16"}</x:definedName>
    <x:definedName name="___________________________________________new6" hidden="1">{"'Sheet1'!$L$16"}</x:definedName>
    <x:definedName name="___________________________________________new7" hidden="1">{"'Sheet1'!$L$16"}</x:definedName>
    <x:definedName name="___________________________________________NSO2" hidden="1">{"'Sheet1'!$L$16"}</x:definedName>
    <x:definedName name="__________________________________________n23" hidden="1">{"'Sheet1'!$L$16"}</x:definedName>
    <x:definedName name="__________________________________________new3" hidden="1">{"'Sheet1'!$L$16"}</x:definedName>
    <x:definedName name="__________________________________________new5" hidden="1">{"'Sheet1'!$L$16"}</x:definedName>
    <x:definedName name="__________________________________________new6" hidden="1">{"'Sheet1'!$L$16"}</x:definedName>
    <x:definedName name="__________________________________________new7" hidden="1">{"'Sheet1'!$L$16"}</x:definedName>
    <x:definedName name="__________________________________________NSO2" hidden="1">{"'Sheet1'!$L$16"}</x:definedName>
    <x:definedName name="__________________________________________T8" hidden="1">{"'Sheet1'!$L$16"}</x:definedName>
    <x:definedName name="_________________________________________n23" hidden="1">{"'Sheet1'!$L$16"}</x:definedName>
    <x:definedName name="_________________________________________new3" hidden="1">{"'Sheet1'!$L$16"}</x:definedName>
    <x:definedName name="_________________________________________new5" hidden="1">{"'Sheet1'!$L$16"}</x:definedName>
    <x:definedName name="_________________________________________new6" hidden="1">{"'Sheet1'!$L$16"}</x:definedName>
    <x:definedName name="_________________________________________new7" hidden="1">{"'Sheet1'!$L$16"}</x:definedName>
    <x:definedName name="_________________________________________NSO2" hidden="1">{"'Sheet1'!$L$16"}</x:definedName>
    <x:definedName name="_________________________________________T8" hidden="1">{"'Sheet1'!$L$16"}</x:definedName>
    <x:definedName name="________________________________________n23" hidden="1">{"'Sheet1'!$L$16"}</x:definedName>
    <x:definedName name="________________________________________new3" hidden="1">{"'Sheet1'!$L$16"}</x:definedName>
    <x:definedName name="________________________________________new5" hidden="1">{"'Sheet1'!$L$16"}</x:definedName>
    <x:definedName name="________________________________________new6" hidden="1">{"'Sheet1'!$L$16"}</x:definedName>
    <x:definedName name="________________________________________new7" hidden="1">{"'Sheet1'!$L$16"}</x:definedName>
    <x:definedName name="________________________________________NSO2" hidden="1">{"'Sheet1'!$L$16"}</x:definedName>
    <x:definedName name="________________________________________T8" hidden="1">{"'Sheet1'!$L$16"}</x:definedName>
    <x:definedName name="_______________________________________n23" hidden="1">{"'Sheet1'!$L$16"}</x:definedName>
    <x:definedName name="_______________________________________new3" hidden="1">{"'Sheet1'!$L$16"}</x:definedName>
    <x:definedName name="_______________________________________new5" hidden="1">{"'Sheet1'!$L$16"}</x:definedName>
    <x:definedName name="_______________________________________new6" hidden="1">{"'Sheet1'!$L$16"}</x:definedName>
    <x:definedName name="_______________________________________new7" hidden="1">{"'Sheet1'!$L$16"}</x:definedName>
    <x:definedName name="_______________________________________NSO2" hidden="1">{"'Sheet1'!$L$16"}</x:definedName>
    <x:definedName name="_______________________________________T8" hidden="1">{"'Sheet1'!$L$16"}</x:definedName>
    <x:definedName name="______________________________________n23" hidden="1">{"'Sheet1'!$L$16"}</x:definedName>
    <x:definedName name="______________________________________new3" hidden="1">{"'Sheet1'!$L$16"}</x:definedName>
    <x:definedName name="______________________________________new5" hidden="1">{"'Sheet1'!$L$16"}</x:definedName>
    <x:definedName name="______________________________________new6" hidden="1">{"'Sheet1'!$L$16"}</x:definedName>
    <x:definedName name="______________________________________new7" hidden="1">{"'Sheet1'!$L$16"}</x:definedName>
    <x:definedName name="______________________________________NSO2" hidden="1">{"'Sheet1'!$L$16"}</x:definedName>
    <x:definedName name="______________________________________T8" hidden="1">{"'Sheet1'!$L$16"}</x:definedName>
    <x:definedName name="_____________________________________n23" hidden="1">{"'Sheet1'!$L$16"}</x:definedName>
    <x:definedName name="_____________________________________new3" hidden="1">{"'Sheet1'!$L$16"}</x:definedName>
    <x:definedName name="_____________________________________new5" hidden="1">{"'Sheet1'!$L$16"}</x:definedName>
    <x:definedName name="_____________________________________new6" hidden="1">{"'Sheet1'!$L$16"}</x:definedName>
    <x:definedName name="_____________________________________new7" hidden="1">{"'Sheet1'!$L$16"}</x:definedName>
    <x:definedName name="_____________________________________NSO2" hidden="1">{"'Sheet1'!$L$16"}</x:definedName>
    <x:definedName name="_____________________________________T8" hidden="1">{"'Sheet1'!$L$16"}</x:definedName>
    <x:definedName name="____________________________________n23" hidden="1">{"'Sheet1'!$L$16"}</x:definedName>
    <x:definedName name="____________________________________new3" hidden="1">{"'Sheet1'!$L$16"}</x:definedName>
    <x:definedName name="____________________________________new5" hidden="1">{"'Sheet1'!$L$16"}</x:definedName>
    <x:definedName name="____________________________________new6" hidden="1">{"'Sheet1'!$L$16"}</x:definedName>
    <x:definedName name="____________________________________new7" hidden="1">{"'Sheet1'!$L$16"}</x:definedName>
    <x:definedName name="____________________________________NSO2" hidden="1">{"'Sheet1'!$L$16"}</x:definedName>
    <x:definedName name="____________________________________T8" hidden="1">{"'Sheet1'!$L$16"}</x:definedName>
    <x:definedName name="___________________________________n23" hidden="1">{"'Sheet1'!$L$16"}</x:definedName>
    <x:definedName name="___________________________________new3" hidden="1">{"'Sheet1'!$L$16"}</x:definedName>
    <x:definedName name="___________________________________new5" hidden="1">{"'Sheet1'!$L$16"}</x:definedName>
    <x:definedName name="___________________________________new6" hidden="1">{"'Sheet1'!$L$16"}</x:definedName>
    <x:definedName name="___________________________________new7" hidden="1">{"'Sheet1'!$L$16"}</x:definedName>
    <x:definedName name="___________________________________NSO2" hidden="1">{"'Sheet1'!$L$16"}</x:definedName>
    <x:definedName name="___________________________________T8" hidden="1">{"'Sheet1'!$L$16"}</x:definedName>
    <x:definedName name="__________________________________n23" hidden="1">{"'Sheet1'!$L$16"}</x:definedName>
    <x:definedName name="__________________________________new3" hidden="1">{"'Sheet1'!$L$16"}</x:definedName>
    <x:definedName name="__________________________________new5" hidden="1">{"'Sheet1'!$L$16"}</x:definedName>
    <x:definedName name="__________________________________new6" hidden="1">{"'Sheet1'!$L$16"}</x:definedName>
    <x:definedName name="__________________________________new7" hidden="1">{"'Sheet1'!$L$16"}</x:definedName>
    <x:definedName name="__________________________________NSO2" hidden="1">{"'Sheet1'!$L$16"}</x:definedName>
    <x:definedName name="__________________________________T8" hidden="1">{"'Sheet1'!$L$16"}</x:definedName>
    <x:definedName name="_________________________________n23" hidden="1">{"'Sheet1'!$L$16"}</x:definedName>
    <x:definedName name="_________________________________new3" hidden="1">{"'Sheet1'!$L$16"}</x:definedName>
    <x:definedName name="_________________________________new5" hidden="1">{"'Sheet1'!$L$16"}</x:definedName>
    <x:definedName name="_________________________________new6" hidden="1">{"'Sheet1'!$L$16"}</x:definedName>
    <x:definedName name="_________________________________new7" hidden="1">{"'Sheet1'!$L$16"}</x:definedName>
    <x:definedName name="_________________________________NSO2" hidden="1">{"'Sheet1'!$L$16"}</x:definedName>
    <x:definedName name="_________________________________T8" hidden="1">{"'Sheet1'!$L$16"}</x:definedName>
    <x:definedName name="________________________________n23" hidden="1">{"'Sheet1'!$L$16"}</x:definedName>
    <x:definedName name="________________________________new3" hidden="1">{"'Sheet1'!$L$16"}</x:definedName>
    <x:definedName name="________________________________new5" hidden="1">{"'Sheet1'!$L$16"}</x:definedName>
    <x:definedName name="________________________________new6" hidden="1">{"'Sheet1'!$L$16"}</x:definedName>
    <x:definedName name="________________________________new7" hidden="1">{"'Sheet1'!$L$16"}</x:definedName>
    <x:definedName name="________________________________NSO2" hidden="1">{"'Sheet1'!$L$16"}</x:definedName>
    <x:definedName name="________________________________T8" hidden="1">{"'Sheet1'!$L$16"}</x:definedName>
    <x:definedName name="_______________________________n23" hidden="1">{"'Sheet1'!$L$16"}</x:definedName>
    <x:definedName name="_______________________________new3" hidden="1">{"'Sheet1'!$L$16"}</x:definedName>
    <x:definedName name="_______________________________new5" hidden="1">{"'Sheet1'!$L$16"}</x:definedName>
    <x:definedName name="_______________________________new6" hidden="1">{"'Sheet1'!$L$16"}</x:definedName>
    <x:definedName name="_______________________________new7" hidden="1">{"'Sheet1'!$L$16"}</x:definedName>
    <x:definedName name="_______________________________NSO2" hidden="1">{"'Sheet1'!$L$16"}</x:definedName>
    <x:definedName name="_______________________________T8" hidden="1">{"'Sheet1'!$L$16"}</x:definedName>
    <x:definedName name="______________________________n23" hidden="1">{"'Sheet1'!$L$16"}</x:definedName>
    <x:definedName name="______________________________new3" hidden="1">{"'Sheet1'!$L$16"}</x:definedName>
    <x:definedName name="______________________________new5" hidden="1">{"'Sheet1'!$L$16"}</x:definedName>
    <x:definedName name="______________________________new6" hidden="1">{"'Sheet1'!$L$16"}</x:definedName>
    <x:definedName name="______________________________new7" hidden="1">{"'Sheet1'!$L$16"}</x:definedName>
    <x:definedName name="______________________________NSO2" hidden="1">{"'Sheet1'!$L$16"}</x:definedName>
    <x:definedName name="______________________________T8" hidden="1">{"'Sheet1'!$L$16"}</x:definedName>
    <x:definedName name="_____________________________n23" hidden="1">{"'Sheet1'!$L$16"}</x:definedName>
    <x:definedName name="_____________________________new3" hidden="1">{"'Sheet1'!$L$16"}</x:definedName>
    <x:definedName name="_____________________________new5" hidden="1">{"'Sheet1'!$L$16"}</x:definedName>
    <x:definedName name="_____________________________new6" hidden="1">{"'Sheet1'!$L$16"}</x:definedName>
    <x:definedName name="_____________________________new7" hidden="1">{"'Sheet1'!$L$16"}</x:definedName>
    <x:definedName name="_____________________________NSO2" hidden="1">{"'Sheet1'!$L$16"}</x:definedName>
    <x:definedName name="_____________________________T8" hidden="1">{"'Sheet1'!$L$16"}</x:definedName>
    <x:definedName name="____________________________n23" hidden="1">{"'Sheet1'!$L$16"}</x:definedName>
    <x:definedName name="____________________________new3" hidden="1">{"'Sheet1'!$L$16"}</x:definedName>
    <x:definedName name="____________________________new5" hidden="1">{"'Sheet1'!$L$16"}</x:definedName>
    <x:definedName name="____________________________new6" hidden="1">{"'Sheet1'!$L$16"}</x:definedName>
    <x:definedName name="____________________________new7" hidden="1">{"'Sheet1'!$L$16"}</x:definedName>
    <x:definedName name="____________________________NSO2" hidden="1">{"'Sheet1'!$L$16"}</x:definedName>
    <x:definedName name="____________________________T8" hidden="1">{"'Sheet1'!$L$16"}</x:definedName>
    <x:definedName name="___________________________n23" hidden="1">{"'Sheet1'!$L$16"}</x:definedName>
    <x:definedName name="___________________________new3" hidden="1">{"'Sheet1'!$L$16"}</x:definedName>
    <x:definedName name="___________________________new5" hidden="1">{"'Sheet1'!$L$16"}</x:definedName>
    <x:definedName name="___________________________new6" hidden="1">{"'Sheet1'!$L$16"}</x:definedName>
    <x:definedName name="___________________________new7" hidden="1">{"'Sheet1'!$L$16"}</x:definedName>
    <x:definedName name="___________________________NSO2" hidden="1">{"'Sheet1'!$L$16"}</x:definedName>
    <x:definedName name="___________________________T8" hidden="1">{"'Sheet1'!$L$16"}</x:definedName>
    <x:definedName name="__________________________n23" hidden="1">{"'Sheet1'!$L$16"}</x:definedName>
    <x:definedName name="__________________________new3" hidden="1">{"'Sheet1'!$L$16"}</x:definedName>
    <x:definedName name="__________________________new5" hidden="1">{"'Sheet1'!$L$16"}</x:definedName>
    <x:definedName name="__________________________new6" hidden="1">{"'Sheet1'!$L$16"}</x:definedName>
    <x:definedName name="__________________________new7" hidden="1">{"'Sheet1'!$L$16"}</x:definedName>
    <x:definedName name="__________________________NSO2" hidden="1">{"'Sheet1'!$L$16"}</x:definedName>
    <x:definedName name="__________________________T8" hidden="1">{"'Sheet1'!$L$16"}</x:definedName>
    <x:definedName name="_________________________n23" hidden="1">{"'Sheet1'!$L$16"}</x:definedName>
    <x:definedName name="_________________________new3" hidden="1">{"'Sheet1'!$L$16"}</x:definedName>
    <x:definedName name="_________________________new5" hidden="1">{"'Sheet1'!$L$16"}</x:definedName>
    <x:definedName name="_________________________new6" hidden="1">{"'Sheet1'!$L$16"}</x:definedName>
    <x:definedName name="_________________________new7" hidden="1">{"'Sheet1'!$L$16"}</x:definedName>
    <x:definedName name="_________________________NSO2" hidden="1">{"'Sheet1'!$L$16"}</x:definedName>
    <x:definedName name="_________________________T8" hidden="1">{"'Sheet1'!$L$16"}</x:definedName>
    <x:definedName name="________________________n23" hidden="1">{"'Sheet1'!$L$16"}</x:definedName>
    <x:definedName name="________________________new3" hidden="1">{"'Sheet1'!$L$16"}</x:definedName>
    <x:definedName name="________________________new5" hidden="1">{"'Sheet1'!$L$16"}</x:definedName>
    <x:definedName name="________________________new6" hidden="1">{"'Sheet1'!$L$16"}</x:definedName>
    <x:definedName name="________________________new7" hidden="1">{"'Sheet1'!$L$16"}</x:definedName>
    <x:definedName name="________________________NSO2" hidden="1">{"'Sheet1'!$L$16"}</x:definedName>
    <x:definedName name="________________________T8" hidden="1">{"'Sheet1'!$L$16"}</x:definedName>
    <x:definedName name="_______________________n23" hidden="1">{"'Sheet1'!$L$16"}</x:definedName>
    <x:definedName name="_______________________new3" hidden="1">{"'Sheet1'!$L$16"}</x:definedName>
    <x:definedName name="_______________________new5" hidden="1">{"'Sheet1'!$L$16"}</x:definedName>
    <x:definedName name="_______________________new6" hidden="1">{"'Sheet1'!$L$16"}</x:definedName>
    <x:definedName name="_______________________new7" hidden="1">{"'Sheet1'!$L$16"}</x:definedName>
    <x:definedName name="_______________________NSO2" hidden="1">{"'Sheet1'!$L$16"}</x:definedName>
    <x:definedName name="_______________________T8" hidden="1">{"'Sheet1'!$L$16"}</x:definedName>
    <x:definedName name="______________________n23" hidden="1">{"'Sheet1'!$L$16"}</x:definedName>
    <x:definedName name="______________________new3" hidden="1">{"'Sheet1'!$L$16"}</x:definedName>
    <x:definedName name="______________________new5" hidden="1">{"'Sheet1'!$L$16"}</x:definedName>
    <x:definedName name="______________________new6" hidden="1">{"'Sheet1'!$L$16"}</x:definedName>
    <x:definedName name="______________________new7" hidden="1">{"'Sheet1'!$L$16"}</x:definedName>
    <x:definedName name="______________________NSO2" hidden="1">{"'Sheet1'!$L$16"}</x:definedName>
    <x:definedName name="______________________T8" hidden="1">{"'Sheet1'!$L$16"}</x:definedName>
    <x:definedName name="_____________________n23" hidden="1">{"'Sheet1'!$L$16"}</x:definedName>
    <x:definedName name="_____________________new3" hidden="1">{"'Sheet1'!$L$16"}</x:definedName>
    <x:definedName name="_____________________new5" hidden="1">{"'Sheet1'!$L$16"}</x:definedName>
    <x:definedName name="_____________________new6" hidden="1">{"'Sheet1'!$L$16"}</x:definedName>
    <x:definedName name="_____________________new7" hidden="1">{"'Sheet1'!$L$16"}</x:definedName>
    <x:definedName name="_____________________NSO2" hidden="1">{"'Sheet1'!$L$16"}</x:definedName>
    <x:definedName name="_____________________T8" hidden="1">{"'Sheet1'!$L$16"}</x:definedName>
    <x:definedName name="____________________n23" hidden="1">{"'Sheet1'!$L$16"}</x:definedName>
    <x:definedName name="____________________new3" hidden="1">{"'Sheet1'!$L$16"}</x:definedName>
    <x:definedName name="____________________new5" hidden="1">{"'Sheet1'!$L$16"}</x:definedName>
    <x:definedName name="____________________new6" hidden="1">{"'Sheet1'!$L$16"}</x:definedName>
    <x:definedName name="____________________new7" hidden="1">{"'Sheet1'!$L$16"}</x:definedName>
    <x:definedName name="____________________NSO2" hidden="1">{"'Sheet1'!$L$16"}</x:definedName>
    <x:definedName name="____________________T8" hidden="1">{"'Sheet1'!$L$16"}</x:definedName>
    <x:definedName name="___________________n23" hidden="1">{"'Sheet1'!$L$16"}</x:definedName>
    <x:definedName name="___________________new3" hidden="1">{"'Sheet1'!$L$16"}</x:definedName>
    <x:definedName name="___________________new5" hidden="1">{"'Sheet1'!$L$16"}</x:definedName>
    <x:definedName name="___________________new6" hidden="1">{"'Sheet1'!$L$16"}</x:definedName>
    <x:definedName name="___________________new7" hidden="1">{"'Sheet1'!$L$16"}</x:definedName>
    <x:definedName name="___________________NSO2" hidden="1">{"'Sheet1'!$L$16"}</x:definedName>
    <x:definedName name="___________________T8" hidden="1">{"'Sheet1'!$L$16"}</x:definedName>
    <x:definedName name="__________________n23" hidden="1">{"'Sheet1'!$L$16"}</x:definedName>
    <x:definedName name="__________________new3" hidden="1">{"'Sheet1'!$L$16"}</x:definedName>
    <x:definedName name="__________________new5" hidden="1">{"'Sheet1'!$L$16"}</x:definedName>
    <x:definedName name="__________________new6" hidden="1">{"'Sheet1'!$L$16"}</x:definedName>
    <x:definedName name="__________________new7" hidden="1">{"'Sheet1'!$L$16"}</x:definedName>
    <x:definedName name="__________________NSO2" hidden="1">{"'Sheet1'!$L$16"}</x:definedName>
    <x:definedName name="__________________SA1">[0]!__________________SA1</x:definedName>
    <x:definedName name="__________________SA2">[0]!__________________SA2</x:definedName>
    <x:definedName name="__________________SA4">[0]!__________________SA4</x:definedName>
    <x:definedName name="__________________T8" hidden="1">{"'Sheet1'!$L$16"}</x:definedName>
    <x:definedName name="_________________n23" hidden="1">{"'Sheet1'!$L$16"}</x:definedName>
    <x:definedName name="_________________new3" hidden="1">{"'Sheet1'!$L$16"}</x:definedName>
    <x:definedName name="_________________new5" hidden="1">{"'Sheet1'!$L$16"}</x:definedName>
    <x:definedName name="_________________new6" hidden="1">{"'Sheet1'!$L$16"}</x:definedName>
    <x:definedName name="_________________new7" hidden="1">{"'Sheet1'!$L$16"}</x:definedName>
    <x:definedName name="_________________NSO2" hidden="1">{"'Sheet1'!$L$16"}</x:definedName>
    <x:definedName name="_________________SA1">[0]!_________________SA1</x:definedName>
    <x:definedName name="_________________SA2">[0]!_________________SA2</x:definedName>
    <x:definedName name="_________________SA4">[0]!_________________SA4</x:definedName>
    <x:definedName name="_________________T8" hidden="1">{"'Sheet1'!$L$16"}</x:definedName>
    <x:definedName name="________________n23" hidden="1">{"'Sheet1'!$L$16"}</x:definedName>
    <x:definedName name="________________new3" hidden="1">{"'Sheet1'!$L$16"}</x:definedName>
    <x:definedName name="________________new5" hidden="1">{"'Sheet1'!$L$16"}</x:definedName>
    <x:definedName name="________________new6" hidden="1">{"'Sheet1'!$L$16"}</x:definedName>
    <x:definedName name="________________new7" hidden="1">{"'Sheet1'!$L$16"}</x:definedName>
    <x:definedName name="________________NSO2" hidden="1">{"'Sheet1'!$L$16"}</x:definedName>
    <x:definedName name="________________SA1">[0]!________________SA1</x:definedName>
    <x:definedName name="________________SA2">[0]!________________SA2</x:definedName>
    <x:definedName name="________________SA4">[0]!________________SA4</x:definedName>
    <x:definedName name="________________T8" hidden="1">{"'Sheet1'!$L$16"}</x:definedName>
    <x:definedName name="_______________n23" hidden="1">{"'Sheet1'!$L$16"}</x:definedName>
    <x:definedName name="_______________new3" hidden="1">{"'Sheet1'!$L$16"}</x:definedName>
    <x:definedName name="_______________new5" hidden="1">{"'Sheet1'!$L$16"}</x:definedName>
    <x:definedName name="_______________new6" hidden="1">{"'Sheet1'!$L$16"}</x:definedName>
    <x:definedName name="_______________new7" hidden="1">{"'Sheet1'!$L$16"}</x:definedName>
    <x:definedName name="_______________NSO2" hidden="1">{"'Sheet1'!$L$16"}</x:definedName>
    <x:definedName name="_______________SA1">[0]!_______________SA1</x:definedName>
    <x:definedName name="_______________SA2">[0]!_______________SA2</x:definedName>
    <x:definedName name="_______________SA4">[0]!_______________SA4</x:definedName>
    <x:definedName name="_______________T8" hidden="1">{"'Sheet1'!$L$16"}</x:definedName>
    <x:definedName name="______________n23" hidden="1">{"'Sheet1'!$L$16"}</x:definedName>
    <x:definedName name="______________new3" hidden="1">{"'Sheet1'!$L$16"}</x:definedName>
    <x:definedName name="______________new5" hidden="1">{"'Sheet1'!$L$16"}</x:definedName>
    <x:definedName name="______________new6" hidden="1">{"'Sheet1'!$L$16"}</x:definedName>
    <x:definedName name="______________new7" hidden="1">{"'Sheet1'!$L$16"}</x:definedName>
    <x:definedName name="______________NSO2" hidden="1">{"'Sheet1'!$L$16"}</x:definedName>
    <x:definedName name="______________SA1">[0]!______________SA1</x:definedName>
    <x:definedName name="______________SA2">[0]!______________SA2</x:definedName>
    <x:definedName name="______________SA4">[0]!______________SA4</x:definedName>
    <x:definedName name="______________T8" hidden="1">{"'Sheet1'!$L$16"}</x:definedName>
    <x:definedName name="_____________n23" hidden="1">{"'Sheet1'!$L$16"}</x:definedName>
    <x:definedName name="_____________new3" hidden="1">{"'Sheet1'!$L$16"}</x:definedName>
    <x:definedName name="_____________new5" hidden="1">{"'Sheet1'!$L$16"}</x:definedName>
    <x:definedName name="_____________new6" hidden="1">{"'Sheet1'!$L$16"}</x:definedName>
    <x:definedName name="_____________new7" hidden="1">{"'Sheet1'!$L$16"}</x:definedName>
    <x:definedName name="_____________NSO2" hidden="1">{"'Sheet1'!$L$16"}</x:definedName>
    <x:definedName name="_____________SA1">[0]!_____________SA1</x:definedName>
    <x:definedName name="_____________SA2">[0]!_____________SA2</x:definedName>
    <x:definedName name="_____________SA4">[0]!_____________SA4</x:definedName>
    <x:definedName name="_____________T8" hidden="1">{"'Sheet1'!$L$16"}</x:definedName>
    <x:definedName name="____________n23" hidden="1">{"'Sheet1'!$L$16"}</x:definedName>
    <x:definedName name="____________new3" hidden="1">{"'Sheet1'!$L$16"}</x:definedName>
    <x:definedName name="____________new5" hidden="1">{"'Sheet1'!$L$16"}</x:definedName>
    <x:definedName name="____________new6" hidden="1">{"'Sheet1'!$L$16"}</x:definedName>
    <x:definedName name="____________new7" hidden="1">{"'Sheet1'!$L$16"}</x:definedName>
    <x:definedName name="____________NSO2" hidden="1">{"'Sheet1'!$L$16"}</x:definedName>
    <x:definedName name="____________SA1">[0]!____________SA1</x:definedName>
    <x:definedName name="____________SA2">[0]!____________SA2</x:definedName>
    <x:definedName name="____________SA4">[0]!____________SA4</x:definedName>
    <x:definedName name="____________T8" hidden="1">{"'Sheet1'!$L$16"}</x:definedName>
    <x:definedName name="___________km03" hidden="1">{"'Sheet1'!$L$16"}</x:definedName>
    <x:definedName name="___________n23" hidden="1">{"'Sheet1'!$L$16"}</x:definedName>
    <x:definedName name="___________new3" hidden="1">{"'Sheet1'!$L$16"}</x:definedName>
    <x:definedName name="___________new5" hidden="1">{"'Sheet1'!$L$16"}</x:definedName>
    <x:definedName name="___________new6" hidden="1">{"'Sheet1'!$L$16"}</x:definedName>
    <x:definedName name="___________new7" hidden="1">{"'Sheet1'!$L$16"}</x:definedName>
    <x:definedName name="___________NSO2" hidden="1">{"'Sheet1'!$L$16"}</x:definedName>
    <x:definedName name="___________SA1">[0]!___________SA1</x:definedName>
    <x:definedName name="___________SA2">[0]!___________SA2</x:definedName>
    <x:definedName name="___________SA4">[0]!___________SA4</x:definedName>
    <x:definedName name="___________T8" hidden="1">{"'Sheet1'!$L$16"}</x:definedName>
    <x:definedName name="__________km03" hidden="1">{"'Sheet1'!$L$16"}</x:definedName>
    <x:definedName name="__________n23" hidden="1">{"'Sheet1'!$L$16"}</x:definedName>
    <x:definedName name="__________new3" hidden="1">{"'Sheet1'!$L$16"}</x:definedName>
    <x:definedName name="__________new5" hidden="1">{"'Sheet1'!$L$16"}</x:definedName>
    <x:definedName name="__________new6" hidden="1">{"'Sheet1'!$L$16"}</x:definedName>
    <x:definedName name="__________new7" hidden="1">{"'Sheet1'!$L$16"}</x:definedName>
    <x:definedName name="__________NSO2" hidden="1">{"'Sheet1'!$L$16"}</x:definedName>
    <x:definedName name="__________SA1">[0]!__________SA1</x:definedName>
    <x:definedName name="__________SA2">[0]!__________SA2</x:definedName>
    <x:definedName name="__________SA4">[0]!__________SA4</x:definedName>
    <x:definedName name="__________T8" hidden="1">{"'Sheet1'!$L$16"}</x:definedName>
    <x:definedName name="_________km03" hidden="1">{"'Sheet1'!$L$16"}</x:definedName>
    <x:definedName name="_________n23" hidden="1">{"'Sheet1'!$L$16"}</x:definedName>
    <x:definedName name="_________new3" hidden="1">{"'Sheet1'!$L$16"}</x:definedName>
    <x:definedName name="_________new5" hidden="1">{"'Sheet1'!$L$16"}</x:definedName>
    <x:definedName name="_________new6" hidden="1">{"'Sheet1'!$L$16"}</x:definedName>
    <x:definedName name="_________new7" hidden="1">{"'Sheet1'!$L$16"}</x:definedName>
    <x:definedName name="_________NSO2" hidden="1">{"'Sheet1'!$L$16"}</x:definedName>
    <x:definedName name="_________SA1">[0]!_________SA1</x:definedName>
    <x:definedName name="_________SA2">[0]!_________SA2</x:definedName>
    <x:definedName name="_________SA4">[0]!_________SA4</x:definedName>
    <x:definedName name="_________T8" hidden="1">{"'Sheet1'!$L$16"}</x:definedName>
    <x:definedName name="________km03" hidden="1">{"'Sheet1'!$L$16"}</x:definedName>
    <x:definedName name="________n23" hidden="1">{"'Sheet1'!$L$16"}</x:definedName>
    <x:definedName name="________new3" hidden="1">{"'Sheet1'!$L$16"}</x:definedName>
    <x:definedName name="________new5" hidden="1">{"'Sheet1'!$L$16"}</x:definedName>
    <x:definedName name="________new6" hidden="1">{"'Sheet1'!$L$16"}</x:definedName>
    <x:definedName name="________new7" hidden="1">{"'Sheet1'!$L$16"}</x:definedName>
    <x:definedName name="________NSO2" hidden="1">{"'Sheet1'!$L$16"}</x:definedName>
    <x:definedName name="________SA1">[0]!________SA1</x:definedName>
    <x:definedName name="________SA2">[0]!________SA2</x:definedName>
    <x:definedName name="________SA4">[0]!________SA4</x:definedName>
    <x:definedName name="________T8" hidden="1">{"'Sheet1'!$L$16"}</x:definedName>
    <x:definedName name="_______km03" hidden="1">{"'Sheet1'!$L$16"}</x:definedName>
    <x:definedName name="_______n23" hidden="1">{"'Sheet1'!$L$16"}</x:definedName>
    <x:definedName name="_______new3" hidden="1">{"'Sheet1'!$L$16"}</x:definedName>
    <x:definedName name="_______new5" hidden="1">{"'Sheet1'!$L$16"}</x:definedName>
    <x:definedName name="_______new6" hidden="1">{"'Sheet1'!$L$16"}</x:definedName>
    <x:definedName name="_______new7" hidden="1">{"'Sheet1'!$L$16"}</x:definedName>
    <x:definedName name="_______NSO2" hidden="1">{"'Sheet1'!$L$16"}</x:definedName>
    <x:definedName name="_______SA1">[0]!_______SA1</x:definedName>
    <x:definedName name="_______SA2">[0]!_______SA2</x:definedName>
    <x:definedName name="_______SA4">[0]!_______SA4</x:definedName>
    <x:definedName name="_______T8" hidden="1">{"'Sheet1'!$L$16"}</x:definedName>
    <x:definedName name="______km03" hidden="1">{"'Sheet1'!$L$16"}</x:definedName>
    <x:definedName name="______n23" hidden="1">{"'Sheet1'!$L$16"}</x:definedName>
    <x:definedName name="______new3" hidden="1">{"'Sheet1'!$L$16"}</x:definedName>
    <x:definedName name="______new5" hidden="1">{"'Sheet1'!$L$16"}</x:definedName>
    <x:definedName name="______new6" hidden="1">{"'Sheet1'!$L$16"}</x:definedName>
    <x:definedName name="______new7" hidden="1">{"'Sheet1'!$L$16"}</x:definedName>
    <x:definedName name="______NSO2" hidden="1">{"'Sheet1'!$L$16"}</x:definedName>
    <x:definedName name="______SA1">[0]!______SA1</x:definedName>
    <x:definedName name="______SA2">[0]!______SA2</x:definedName>
    <x:definedName name="______SA4">[0]!______SA4</x:definedName>
    <x:definedName name="______T8" hidden="1">{"'Sheet1'!$L$16"}</x:definedName>
    <x:definedName name="_____km03" hidden="1">{"'Sheet1'!$L$16"}</x:definedName>
    <x:definedName name="_____n23" hidden="1">{"'Sheet1'!$L$16"}</x:definedName>
    <x:definedName name="_____new3" hidden="1">{"'Sheet1'!$L$16"}</x:definedName>
    <x:definedName name="_____new5" hidden="1">{"'Sheet1'!$L$16"}</x:definedName>
    <x:definedName name="_____new6" hidden="1">{"'Sheet1'!$L$16"}</x:definedName>
    <x:definedName name="_____new7" hidden="1">{"'Sheet1'!$L$16"}</x:definedName>
    <x:definedName name="_____NSO2" hidden="1">{"'Sheet1'!$L$16"}</x:definedName>
    <x:definedName name="_____SA1">[0]!_____SA1</x:definedName>
    <x:definedName name="_____SA2">[0]!_____SA2</x:definedName>
    <x:definedName name="_____SA4">[0]!_____SA4</x:definedName>
    <x:definedName name="_____T8" hidden="1">{"'Sheet1'!$L$16"}</x:definedName>
    <x:definedName name="____km03" hidden="1">{"'Sheet1'!$L$16"}</x:definedName>
    <x:definedName name="____n23" hidden="1">{"'Sheet1'!$L$16"}</x:definedName>
    <x:definedName name="____new3" hidden="1">{"'Sheet1'!$L$16"}</x:definedName>
    <x:definedName name="____new5" hidden="1">{"'Sheet1'!$L$16"}</x:definedName>
    <x:definedName name="____new6" hidden="1">{"'Sheet1'!$L$16"}</x:definedName>
    <x:definedName name="____new7" hidden="1">{"'Sheet1'!$L$16"}</x:definedName>
    <x:definedName name="____NSO2" hidden="1">{"'Sheet1'!$L$16"}</x:definedName>
    <x:definedName name="____SA1">[0]!____SA1</x:definedName>
    <x:definedName name="____SA2">[0]!____SA2</x:definedName>
    <x:definedName name="____SA4">[0]!____SA4</x:definedName>
    <x:definedName name="____T8" hidden="1">{"'Sheet1'!$L$16"}</x:definedName>
    <x:definedName name="___a1" hidden="1">{"'Sheet1'!$L$16"}</x:definedName>
    <x:definedName name="___km03" hidden="1">{"'Sheet1'!$L$16"}</x:definedName>
    <x:definedName name="___n23" hidden="1">{"'Sheet1'!$L$16"}</x:definedName>
    <x:definedName name="___new3" hidden="1">{"'Sheet1'!$L$16"}</x:definedName>
    <x:definedName name="___new5" hidden="1">{"'Sheet1'!$L$16"}</x:definedName>
    <x:definedName name="___new6" hidden="1">{"'Sheet1'!$L$16"}</x:definedName>
    <x:definedName name="___new7" hidden="1">{"'Sheet1'!$L$16"}</x:definedName>
    <x:definedName name="___NSO2" hidden="1">{"'Sheet1'!$L$16"}</x:definedName>
    <x:definedName name="___SA1">[0]!___SA1</x:definedName>
    <x:definedName name="___SA2">[0]!___SA2</x:definedName>
    <x:definedName name="___SA4">[0]!___SA4</x:definedName>
    <x:definedName name="___T8" hidden="1">{"'Sheet1'!$L$16"}</x:definedName>
    <x:definedName name="___TK211" hidden="1">{"'Sheet1'!$L$16"}</x:definedName>
    <x:definedName name="__a1" hidden="1">{"'Sheet1'!$L$16"}</x:definedName>
    <x:definedName name="__a129" hidden="1">{"Offgrid",#N/A,FALSE,"OFFGRID";"Region",#N/A,FALSE,"REGION";"Offgrid -2",#N/A,FALSE,"OFFGRID";"WTP",#N/A,FALSE,"WTP";"WTP -2",#N/A,FALSE,"WTP";"Project",#N/A,FALSE,"PROJECT";"Summary -2",#N/A,FALSE,"SUMMARY"}</x:definedName>
    <x:definedName name="__a130" hidden="1">{"Offgrid",#N/A,FALSE,"OFFGRID";"Region",#N/A,FALSE,"REGION";"Offgrid -2",#N/A,FALSE,"OFFGRID";"WTP",#N/A,FALSE,"WTP";"WTP -2",#N/A,FALSE,"WTP";"Project",#N/A,FALSE,"PROJECT";"Summary -2",#N/A,FALSE,"SUMMARY"}</x:definedName>
    <x:definedName name="__anh1" hidden="1">{"'Sheet1'!$L$16"}</x:definedName>
    <x:definedName name="__anh10" hidden="1">{"'Sheet1'!$L$16"}</x:definedName>
    <x:definedName name="__anh12" hidden="1">{"'Sheet1'!$L$16"}</x:definedName>
    <x:definedName name="__anh13" hidden="1">{"'Sheet1'!$L$16"}</x:definedName>
    <x:definedName name="__anh15" hidden="1">{"'Sheet1'!$L$16"}</x:definedName>
    <x:definedName name="__anh18" hidden="1">{"'Sheet1'!$L$16"}</x:definedName>
    <x:definedName name="__anh19" hidden="1">{"'Sheet1'!$L$16"}</x:definedName>
    <x:definedName name="__anh2" hidden="1">{"'Sheet1'!$L$16"}</x:definedName>
    <x:definedName name="__anh20" hidden="1">{"'Sheet1'!$L$16"}</x:definedName>
    <x:definedName name="__anh21" hidden="1">{"'Sheet1'!$L$16"}</x:definedName>
    <x:definedName name="__anh22" hidden="1">{"'Sheet1'!$L$16"}</x:definedName>
    <x:definedName name="__anh27" hidden="1">{"'Sheet1'!$L$16"}</x:definedName>
    <x:definedName name="__anh28" hidden="1">{"'Sheet1'!$L$16"}</x:definedName>
    <x:definedName name="__anh356" hidden="1">{"'Sheet1'!$L$16"}</x:definedName>
    <x:definedName name="__anh41" hidden="1">{"'Sheet1'!$L$16"}</x:definedName>
    <x:definedName name="__anh56" hidden="1">{0}</x:definedName>
    <x:definedName name="__anh8" hidden="1">{"'Sheet1'!$L$16"}</x:definedName>
    <x:definedName name="__anh9" hidden="1">{"'Sheet1'!$L$16"}</x:definedName>
    <x:definedName name="__bookmark_1">#REF!</x:definedName>
    <x:definedName name="__Goi8" hidden="1">{"'Sheet1'!$L$16"}</x:definedName>
    <x:definedName name="__HNI04" hidden="1">{"'Sheet1'!$L$16"}</x:definedName>
    <x:definedName name="__IntlFixup" hidden="1">TRUE</x:definedName>
    <x:definedName name="__km03" hidden="1">{"'Sheet1'!$L$16"}</x:definedName>
    <x:definedName name="__Lan1" hidden="1">{"'Sheet1'!$L$16"}</x:definedName>
    <x:definedName name="__LAN3" hidden="1">{"'Sheet1'!$L$16"}</x:definedName>
    <x:definedName name="__n23" hidden="1">{"'Sheet1'!$L$16"}</x:definedName>
    <x:definedName name="__new3" hidden="1">{"'Sheet1'!$L$16"}</x:definedName>
    <x:definedName name="__new5" hidden="1">{"'Sheet1'!$L$16"}</x:definedName>
    <x:definedName name="__new6" hidden="1">{"'Sheet1'!$L$16"}</x:definedName>
    <x:definedName name="__new7" hidden="1">{"'Sheet1'!$L$16"}</x:definedName>
    <x:definedName name="__NSO2" hidden="1">{"'Sheet1'!$L$16"}</x:definedName>
    <x:definedName name="__PA3" hidden="1">{"'Sheet1'!$L$16"}</x:definedName>
    <x:definedName name="__SA1">[0]!__SA1</x:definedName>
    <x:definedName name="__SA2">[0]!__SA2</x:definedName>
    <x:definedName name="__SA4">[0]!__SA4</x:definedName>
    <x:definedName name="__T11" hidden="1">{"'Sheet1'!$L$16"}</x:definedName>
    <x:definedName name="__T8" hidden="1">{"'Sheet1'!$L$16"}</x:definedName>
    <x:definedName name="__TK211" hidden="1">{"'Sheet1'!$L$16"}</x:definedName>
    <x:definedName name="__TM2" hidden="1">{"'Sheet1'!$L$16"}</x:definedName>
    <x:definedName name="__tt3" hidden="1">{"'Sheet1'!$L$16"}</x:definedName>
    <x:definedName name="_01_01_99">#N/A</x:definedName>
    <x:definedName name="_01_02_99">#N/A</x:definedName>
    <x:definedName name="_01_03_99">#N/A</x:definedName>
    <x:definedName name="_01_04_99">#N/A</x:definedName>
    <x:definedName name="_01_05_99">#N/A</x:definedName>
    <x:definedName name="_01_06_99">#N/A</x:definedName>
    <x:definedName name="_01_07_99">#N/A</x:definedName>
    <x:definedName name="_01_08_1999">#N/A</x:definedName>
    <x:definedName name="_01_11_2001">#N/A</x:definedName>
    <x:definedName name="_1">#N/A</x:definedName>
    <x:definedName name="_1000A01">#N/A</x:definedName>
    <x:definedName name="_1Lôùp2D114_1Lôùp4D114_1Lôùp2D60">#N/A</x:definedName>
    <x:definedName name="_1Lôùp2D114_1Lôùp4D114_1Lôùp6D60">#N/A</x:definedName>
    <x:definedName name="_1Lôùp2D114_2Lôùp4D114_1Lôùp3D60">#N/A</x:definedName>
    <x:definedName name="_1Lôùp2D114_2Lôùp4D114_1Lôùp4D60">#N/A</x:definedName>
    <x:definedName name="_1Lôùp2D114_3Lôùp_4D114_4D60">#N/A</x:definedName>
    <x:definedName name="_1Lôùp2D114_3Lôùp_4D114_5D60">#N/A</x:definedName>
    <x:definedName name="_1Lôùp2D114_3Lôùp_4D114_6D60">#N/A</x:definedName>
    <x:definedName name="_1Lôùp4_1Lôùp2">#N/A</x:definedName>
    <x:definedName name="_1Lôùp4D114_1Lôùp2D114_1Lôùp2D60">#N/A</x:definedName>
    <x:definedName name="_1Lôùp4D114_1Lôùp2D114_1Lôùp3D60">#N/A</x:definedName>
    <x:definedName name="_1Lôùp4D114_1Lôùp2D114_1Lôùp4D60">#N/A</x:definedName>
    <x:definedName name="_1P114">#N/A</x:definedName>
    <x:definedName name="_2">#N/A</x:definedName>
    <x:definedName name="_2Lôùp_4D114_1_Lôùp_2D60">#N/A</x:definedName>
    <x:definedName name="_2Lôùp_x_6Coät">#N/A</x:definedName>
    <x:definedName name="_2Lôùp_x3Coät">#N/A</x:definedName>
    <x:definedName name="_2Lôùp2_2Lôùp4">#N/A</x:definedName>
    <x:definedName name="_2Lôùp2D114_1Lôùp2D60">#N/A</x:definedName>
    <x:definedName name="_2Lôùp2D114_1Lôùp3D60">#N/A</x:definedName>
    <x:definedName name="_2Lôùp2D114_1Lôùp4D114_1Lôùp2D60">#N/A</x:definedName>
    <x:definedName name="_2Lôùp2D114_1Lôùp4D114_1Lôùp4D60">#N/A</x:definedName>
    <x:definedName name="_2Lôùp2D114_1Lôùp4D114_2D60">#N/A</x:definedName>
    <x:definedName name="_2Lôùp2D114_1Lôùp4D114_3D60">#N/A</x:definedName>
    <x:definedName name="_2Lôùp2D114_1Lôùp4D114_4D60">#N/A</x:definedName>
    <x:definedName name="_2Lôùp2D114_1Lôùp4D114_5D60">#N/A</x:definedName>
    <x:definedName name="_2Lôùp2D114_1Lôùp4D60">#N/A</x:definedName>
    <x:definedName name="_2Lôùp2D114_1Lôùp4D60_1Lôùp1D60">#N/A</x:definedName>
    <x:definedName name="_2Lôùp2D114_1Lôùp4D60_1Lôùp2D60">#N/A</x:definedName>
    <x:definedName name="_2Lôùp2D114_1Lôùp4D60_1Lôùp3D60">#N/A</x:definedName>
    <x:definedName name="_2Lôùp2D114_2Lôùp4D114_2D60">#N/A</x:definedName>
    <x:definedName name="_2Lôùp2D114_2Lôùp4D114_3D60">#N/A</x:definedName>
    <x:definedName name="_2Lôùp2D114_2Lôùp4D114_4D60">#N/A</x:definedName>
    <x:definedName name="_2Lôùp2D114_2Lôùp4D114_5D60">#N/A</x:definedName>
    <x:definedName name="_2Lôùp2D114_2Lôùp4D114_6D60">#N/A</x:definedName>
    <x:definedName name="_2Lôùp2D114_2Lôùp4D60">#N/A</x:definedName>
    <x:definedName name="_2Lôùp3_1Lôùp4">#N/A</x:definedName>
    <x:definedName name="_2Lôùp4_1Lôùp2">#N/A</x:definedName>
    <x:definedName name="_2Lôùpx5coät">#N/A</x:definedName>
    <x:definedName name="_2P114_1P60">#N/A</x:definedName>
    <x:definedName name="_2P114_2P114_2P60">#N/A</x:definedName>
    <x:definedName name="_2P114_2P114_4P60">#N/A</x:definedName>
    <x:definedName name="_2P114_2P114_5P60">#N/A</x:definedName>
    <x:definedName name="_2P114_2P60">#N/A</x:definedName>
    <x:definedName name="_2P114_3P114_23P60">#N/A</x:definedName>
    <x:definedName name="_2P114_3P114_2P60">#N/A</x:definedName>
    <x:definedName name="_2P114_3P60">#N/A</x:definedName>
    <x:definedName name="_2P114_4P114_2P60">#N/A</x:definedName>
    <x:definedName name="_2P114_4P114_3P60">#N/A</x:definedName>
    <x:definedName name="_2P114_4P114_4P60">#N/A</x:definedName>
    <x:definedName name="_2P114_4P114_5P60">#N/A</x:definedName>
    <x:definedName name="_2P114_4P114_6P60">#N/A</x:definedName>
    <x:definedName name="_2P114_4P60">#N/A</x:definedName>
    <x:definedName name="_3Lôùp2D114_1Lôùp2D60">#N/A</x:definedName>
    <x:definedName name="_3Lôùp2D114_1Lôùp3D60">#N/A</x:definedName>
    <x:definedName name="_3Lôùp2D114_1Lôùp4D114_2D60">#N/A</x:definedName>
    <x:definedName name="_3Lôùp2D114_1Lôùp4D114_3D60">#N/A</x:definedName>
    <x:definedName name="_3Lôùp2D114_1Lôùp4D114_4D60">#N/A</x:definedName>
    <x:definedName name="_3Lôùp2D114_1Lôùp4D114_5D60">#N/A</x:definedName>
    <x:definedName name="_3Lôùp2D114_1Lôùp4D114_6D60">#N/A</x:definedName>
    <x:definedName name="_3Lôùp2D114_1Lôùp4D60">#N/A</x:definedName>
    <x:definedName name="_3Lôùp2D114_1Lôùp4D60_1Lôùp1D60">#N/A</x:definedName>
    <x:definedName name="_3Lôùp2D114_1Lôùp4D60_1Lôùp2D60">#N/A</x:definedName>
    <x:definedName name="_3Lôùp2D114_1Lôùp4D60_1Lôùp3D60">#N/A</x:definedName>
    <x:definedName name="_3Lôùp2D114_2Lôùp4D60">#N/A</x:definedName>
    <x:definedName name="_3Lôùp4_1Lôùp2">#N/A</x:definedName>
    <x:definedName name="_3Lôùp4D114_1Lôùp2D60">#N/A</x:definedName>
    <x:definedName name="_3Lôùpx2coät">#N/A</x:definedName>
    <x:definedName name="_3Lôùpx3coät">#N/A</x:definedName>
    <x:definedName name="_3P114">#N/A</x:definedName>
    <x:definedName name="_413565">"hdong+Sheet1!$A$2:$J$24263!$A$13374"</x:definedName>
    <x:definedName name="_4Lôùp_x_4Coät">#N/A</x:definedName>
    <x:definedName name="_4Lôùp_x_6Coät">#N/A</x:definedName>
    <x:definedName name="_4Lôùp2_1Lôùp4">#N/A</x:definedName>
    <x:definedName name="_4Lôùp2_2Lôùp4">#N/A</x:definedName>
    <x:definedName name="_4Lôùp2D114_1Lôùp2D60">#N/A</x:definedName>
    <x:definedName name="_4Lôùp2D114_1Lôùp3D60">#N/A</x:definedName>
    <x:definedName name="_4Lôùp2D114_1Lôùp4D60">#N/A</x:definedName>
    <x:definedName name="_4Lôùp2D114_1Lôùp4D60_1Lôùp2D60">#N/A</x:definedName>
    <x:definedName name="_4Lôùp2D114_1Lôùp4D60_1Lôùp3D60">#N/A</x:definedName>
    <x:definedName name="_4Lôùp2D114_1Lôùp5D60">#N/A</x:definedName>
    <x:definedName name="_4Lôùp2D114_2Lôùp4D60">#N/A</x:definedName>
    <x:definedName name="_4Lôùp3D114_1Lôùp2D60">#N/A</x:definedName>
    <x:definedName name="_4Lôùp4_1Lôùp2">#N/A</x:definedName>
    <x:definedName name="_4P114">#N/A</x:definedName>
    <x:definedName name="_4P114_2P60">#N/A</x:definedName>
    <x:definedName name="_4P114_3P60">#N/A</x:definedName>
    <x:definedName name="_4P114_4P60">#N/A</x:definedName>
    <x:definedName name="_5Lôùp_x_4Coät">#N/A</x:definedName>
    <x:definedName name="_6Lôùp_x_4Coät">#N/A</x:definedName>
    <x:definedName name="_6Lôùp_x_6Coät">#N/A</x:definedName>
    <x:definedName name="_a1" hidden="1">{"'Sheet1'!$L$16"}</x:definedName>
    <x:definedName name="_a129" hidden="1">{"Offgrid",#N/A,FALSE,"OFFGRID";"Region",#N/A,FALSE,"REGION";"Offgrid -2",#N/A,FALSE,"OFFGRID";"WTP",#N/A,FALSE,"WTP";"WTP -2",#N/A,FALSE,"WTP";"Project",#N/A,FALSE,"PROJECT";"Summary -2",#N/A,FALSE,"SUMMARY"}</x:definedName>
    <x:definedName name="_a130" hidden="1">{"Offgrid",#N/A,FALSE,"OFFGRID";"Region",#N/A,FALSE,"REGION";"Offgrid -2",#N/A,FALSE,"OFFGRID";"WTP",#N/A,FALSE,"WTP";"WTP -2",#N/A,FALSE,"WTP";"Project",#N/A,FALSE,"PROJECT";"Summary -2",#N/A,FALSE,"SUMMARY"}</x:definedName>
    <x:definedName name="_A65700">#N/A</x:definedName>
    <x:definedName name="_A65800">#N/A</x:definedName>
    <x:definedName name="_A66000">#N/A</x:definedName>
    <x:definedName name="_A67000">#N/A</x:definedName>
    <x:definedName name="_A68000">#N/A</x:definedName>
    <x:definedName name="_A70000">#N/A</x:definedName>
    <x:definedName name="_A75000">#N/A</x:definedName>
    <x:definedName name="_A85000">#N/A</x:definedName>
    <x:definedName name="_abb91">#N/A</x:definedName>
    <x:definedName name="_anh1" hidden="1">{"'Sheet1'!$L$16"}</x:definedName>
    <x:definedName name="_anh10" hidden="1">{"'Sheet1'!$L$16"}</x:definedName>
    <x:definedName name="_anh12" hidden="1">{"'Sheet1'!$L$16"}</x:definedName>
    <x:definedName name="_anh13" hidden="1">{"'Sheet1'!$L$16"}</x:definedName>
    <x:definedName name="_anh15" hidden="1">{"'Sheet1'!$L$16"}</x:definedName>
    <x:definedName name="_anh18" hidden="1">{"'Sheet1'!$L$16"}</x:definedName>
    <x:definedName name="_anh19" hidden="1">{"'Sheet1'!$L$16"}</x:definedName>
    <x:definedName name="_anh2" hidden="1">{"'Sheet1'!$L$16"}</x:definedName>
    <x:definedName name="_anh20" hidden="1">{"'Sheet1'!$L$16"}</x:definedName>
    <x:definedName name="_anh21" hidden="1">{"'Sheet1'!$L$16"}</x:definedName>
    <x:definedName name="_anh22" hidden="1">{"'Sheet1'!$L$16"}</x:definedName>
    <x:definedName name="_anh27" hidden="1">{"'Sheet1'!$L$16"}</x:definedName>
    <x:definedName name="_anh28" hidden="1">{"'Sheet1'!$L$16"}</x:definedName>
    <x:definedName name="_anh356" hidden="1">{"'Sheet1'!$L$16"}</x:definedName>
    <x:definedName name="_anh41" hidden="1">{"'Sheet1'!$L$16"}</x:definedName>
    <x:definedName name="_anh56" hidden="1">{0}</x:definedName>
    <x:definedName name="_anh8" hidden="1">{"'Sheet1'!$L$16"}</x:definedName>
    <x:definedName name="_anh9" hidden="1">{"'Sheet1'!$L$16"}</x:definedName>
    <x:definedName name="_atn1">#N/A</x:definedName>
    <x:definedName name="_atn10">#N/A</x:definedName>
    <x:definedName name="_atn2">#N/A</x:definedName>
    <x:definedName name="_atn3">#N/A</x:definedName>
    <x:definedName name="_atn4">#N/A</x:definedName>
    <x:definedName name="_atn5">#N/A</x:definedName>
    <x:definedName name="_atn6">#N/A</x:definedName>
    <x:definedName name="_atn7">#N/A</x:definedName>
    <x:definedName name="_atn8">#N/A</x:definedName>
    <x:definedName name="_atn9">#N/A</x:definedName>
    <x:definedName name="_Aug03">#N/A</x:definedName>
    <x:definedName name="_B">#N/A</x:definedName>
    <x:definedName name="_bnc2">#N/A</x:definedName>
    <x:definedName name="_boi1">#N/A</x:definedName>
    <x:definedName name="_boi2">#N/A</x:definedName>
    <x:definedName name="_btm100">#N/A</x:definedName>
    <x:definedName name="_btm200">#N/A</x:definedName>
    <x:definedName name="_BTM250">#N/A</x:definedName>
    <x:definedName name="_BTM50">#N/A</x:definedName>
    <x:definedName name="_Builtin155" hidden="1">#N/A</x:definedName>
    <x:definedName name="_C_Lphi_4ab">#N/A</x:definedName>
    <x:definedName name="_chk1">#N/A</x:definedName>
    <x:definedName name="_CON1">#N/A</x:definedName>
    <x:definedName name="_CON2">#N/A</x:definedName>
    <x:definedName name="_Cot">#N/A</x:definedName>
    <x:definedName name="_CPC2">#N/A</x:definedName>
    <x:definedName name="_cpd1">#N/A</x:definedName>
    <x:definedName name="_cpd2">#N/A</x:definedName>
    <x:definedName name="_CPhi_Bhiem">#N/A</x:definedName>
    <x:definedName name="_CPhi_BQLDA">#N/A</x:definedName>
    <x:definedName name="_CPhi_DBaoGT">#N/A</x:definedName>
    <x:definedName name="_CPhi_Kdinh">#N/A</x:definedName>
    <x:definedName name="_CPhi_Nthu_KThanh">#N/A</x:definedName>
    <x:definedName name="_CPhi_QToan">#N/A</x:definedName>
    <x:definedName name="_CPhiTKe_13">#N/A</x:definedName>
    <x:definedName name="_cs805">#N/A</x:definedName>
    <x:definedName name="_CT250">#N/A</x:definedName>
    <x:definedName name="_d2">#N/A</x:definedName>
    <x:definedName name="_dao1">#N/A</x:definedName>
    <x:definedName name="_dao2">#N/A</x:definedName>
    <x:definedName name="_dap2">#N/A</x:definedName>
    <x:definedName name="_day1">#N/A</x:definedName>
    <x:definedName name="_day2">#N/A</x:definedName>
    <x:definedName name="_DayNeo">#N/A</x:definedName>
    <x:definedName name="_dbu1">#N/A</x:definedName>
    <x:definedName name="_dbu2">#N/A</x:definedName>
    <x:definedName name="_ddn400">#N/A</x:definedName>
    <x:definedName name="_ddn600">#N/A</x:definedName>
    <x:definedName name="_deo1">#N/A</x:definedName>
    <x:definedName name="_deo10">#N/A</x:definedName>
    <x:definedName name="_deo2">#N/A</x:definedName>
    <x:definedName name="_deo3">#N/A</x:definedName>
    <x:definedName name="_deo4">#N/A</x:definedName>
    <x:definedName name="_deo5">#N/A</x:definedName>
    <x:definedName name="_deo6">#N/A</x:definedName>
    <x:definedName name="_deo7">#N/A</x:definedName>
    <x:definedName name="_deo8">#N/A</x:definedName>
    <x:definedName name="_deo9">#N/A</x:definedName>
    <x:definedName name="_dgt100">#N/A</x:definedName>
    <x:definedName name="_F1" hidden="1">{"'Sheet1'!$L$16"}</x:definedName>
    <x:definedName name="_Fill" hidden="1">#REF!</x:definedName>
    <x:definedName name="_xlnm._FilterDatabase" hidden="1">#REF!</x:definedName>
    <x:definedName name="_gdc1">#N/A</x:definedName>
    <x:definedName name="_gdw2">#N/A</x:definedName>
    <x:definedName name="_gh1">[0]!_gh1</x:definedName>
    <x:definedName name="_GID1">#N/A</x:definedName>
    <x:definedName name="_Goi8" hidden="1">{"'Sheet1'!$L$16"}</x:definedName>
    <x:definedName name="_gon4">#N/A</x:definedName>
    <x:definedName name="_H500866">#N/A</x:definedName>
    <x:definedName name="_han23">#N/A</x:definedName>
    <x:definedName name="_HNI04" hidden="1">{"'Sheet1'!$L$16"}</x:definedName>
    <x:definedName name="_hom2">#N/A</x:definedName>
    <x:definedName name="_hom4">#N/A</x:definedName>
    <x:definedName name="_htb1">#N/A</x:definedName>
    <x:definedName name="_hu1" hidden="1">{"'Sheet1'!$L$16"}</x:definedName>
    <x:definedName name="_hu2" hidden="1">{"'Sheet1'!$L$16"}</x:definedName>
    <x:definedName name="_hu5" hidden="1">{"'Sheet1'!$L$16"}</x:definedName>
    <x:definedName name="_hu6" hidden="1">{"'Sheet1'!$L$16"}</x:definedName>
    <x:definedName name="_hu7" hidden="1">{"'Sheet1'!$L$16"}</x:definedName>
    <x:definedName name="_huy1" hidden="1">{"'Sheet1'!$L$16"}</x:definedName>
    <x:definedName name="_Kcdon">#N/A</x:definedName>
    <x:definedName name="_Key1" hidden="1">#REF!</x:definedName>
    <x:definedName name="_Key2" hidden="1">#REF!</x:definedName>
    <x:definedName name="_kl11" hidden="1">{"'Sheet1'!$L$16"}</x:definedName>
    <x:definedName name="_kl4" hidden="1">{"'Sheet1'!$L$16"}</x:definedName>
    <x:definedName name="_kl6" hidden="1">{"'Sheet1'!$L$16"}</x:definedName>
    <x:definedName name="_km03" hidden="1">{"'Sheet1'!$L$16"}</x:definedName>
    <x:definedName name="_KyHieu">#N/A</x:definedName>
    <x:definedName name="_L">#N/A</x:definedName>
    <x:definedName name="_Lan1" hidden="1">{"'Sheet1'!$L$16"}</x:definedName>
    <x:definedName name="_LAN3" hidden="1">{"'Sheet1'!$L$16"}</x:definedName>
    <x:definedName name="_lap1">#N/A</x:definedName>
    <x:definedName name="_lap2">#N/A</x:definedName>
    <x:definedName name="_LL2">#N/A</x:definedName>
    <x:definedName name="_LL21">#N/A</x:definedName>
    <x:definedName name="_LL22">#N/A</x:definedName>
    <x:definedName name="_LN2">#N/A</x:definedName>
    <x:definedName name="_Ls">#N/A</x:definedName>
    <x:definedName name="_m">#N/A</x:definedName>
    <x:definedName name="_MAC12">#N/A</x:definedName>
    <x:definedName name="_MAC46">#N/A</x:definedName>
    <x:definedName name="_MCC3" hidden="1">{#N/A,#N/A,FALSE,"CCTV"}</x:definedName>
    <x:definedName name="_MEP2" hidden="1">{#N/A,#N/A,FALSE,"CCTV"}</x:definedName>
    <x:definedName name="_MoM11">#N/A</x:definedName>
    <x:definedName name="_Mong">#N/A</x:definedName>
    <x:definedName name="_MongCotNeo">#N/A</x:definedName>
    <x:definedName name="_MongNeo">#N/A</x:definedName>
    <x:definedName name="_n">#N/A</x:definedName>
    <x:definedName name="_n23" hidden="1">{"'Sheet1'!$L$16"}</x:definedName>
    <x:definedName name="_NC100">#N/A</x:definedName>
    <x:definedName name="_NC150">#N/A</x:definedName>
    <x:definedName name="_nc151">#N/A</x:definedName>
    <x:definedName name="_NC2">#N/A</x:definedName>
    <x:definedName name="_NC200">#N/A</x:definedName>
    <x:definedName name="_nc27">#N/A</x:definedName>
    <x:definedName name="_nc50">#N/A</x:definedName>
    <x:definedName name="_NCL100">#N/A</x:definedName>
    <x:definedName name="_NCL200">#N/A</x:definedName>
    <x:definedName name="_NCL250">#N/A</x:definedName>
    <x:definedName name="_ncm200">#N/A</x:definedName>
    <x:definedName name="_NET2">#N/A</x:definedName>
    <x:definedName name="_new3" hidden="1">{"'Sheet1'!$L$16"}</x:definedName>
    <x:definedName name="_new5" hidden="1">{"'Sheet1'!$L$16"}</x:definedName>
    <x:definedName name="_new6" hidden="1">{"'Sheet1'!$L$16"}</x:definedName>
    <x:definedName name="_new7" hidden="1">{"'Sheet1'!$L$16"}</x:definedName>
    <x:definedName name="_nga3">#N/A</x:definedName>
    <x:definedName name="_nin190">#N/A</x:definedName>
    <x:definedName name="_NKT2" hidden="1">{"'Sheet1'!$L$16"}</x:definedName>
    <x:definedName name="_NPV11">#N/A</x:definedName>
    <x:definedName name="_npv22">#N/A</x:definedName>
    <x:definedName name="_NS01" hidden="1">{"'Sheet1'!$L$16"}</x:definedName>
    <x:definedName name="_NSO2" hidden="1">{"'Sheet1'!$L$16"}</x:definedName>
    <x:definedName name="_NSO3" hidden="1">{"'Sheet1'!$L$16"}</x:definedName>
    <x:definedName name="_Order1" hidden="1">255</x:definedName>
    <x:definedName name="_Order2" hidden="1">255</x:definedName>
    <x:definedName name="_oto10">#N/A</x:definedName>
    <x:definedName name="_PA3" hidden="1">{"'Sheet1'!$L$16"}</x:definedName>
    <x:definedName name="_pc30">#N/A</x:definedName>
    <x:definedName name="_pc40">#N/A</x:definedName>
    <x:definedName name="_SA1">[0]!_SA1</x:definedName>
    <x:definedName name="_SA2">[0]!_SA2</x:definedName>
    <x:definedName name="_SA4">[0]!_SA4</x:definedName>
    <x:definedName name="_san110">#N/A</x:definedName>
    <x:definedName name="_sat10">#N/A</x:definedName>
    <x:definedName name="_sat12">#N/A</x:definedName>
    <x:definedName name="_sat14">#N/A</x:definedName>
    <x:definedName name="_sat16">#N/A</x:definedName>
    <x:definedName name="_sat20">#N/A</x:definedName>
    <x:definedName name="_Sat27">#N/A</x:definedName>
    <x:definedName name="_Sat6">#N/A</x:definedName>
    <x:definedName name="_sat8">#N/A</x:definedName>
    <x:definedName name="_sc1">#N/A</x:definedName>
    <x:definedName name="_SC2">#N/A</x:definedName>
    <x:definedName name="_sc3">#N/A</x:definedName>
    <x:definedName name="_Sdd33">#N/A</x:definedName>
    <x:definedName name="_Sdh33">#N/A</x:definedName>
    <x:definedName name="_SHR1">#N/A</x:definedName>
    <x:definedName name="_SHR2">#N/A</x:definedName>
    <x:definedName name="_SN3">#N/A</x:definedName>
    <x:definedName name="_Sort" hidden="1">#REF!</x:definedName>
    <x:definedName name="_Sortmoi" hidden="1">#REF!</x:definedName>
    <x:definedName name="_Stb33">#N/A</x:definedName>
    <x:definedName name="_STD0898">#N/A</x:definedName>
    <x:definedName name="_Su">#N/A</x:definedName>
    <x:definedName name="_su12">#N/A</x:definedName>
    <x:definedName name="_Su70">#N/A</x:definedName>
    <x:definedName name="_sua20">#N/A</x:definedName>
    <x:definedName name="_sua30">#N/A</x:definedName>
    <x:definedName name="_T01" hidden="1">#N/A</x:definedName>
    <x:definedName name="_T10" hidden="1">{"'Sheet1'!$L$16"}</x:definedName>
    <x:definedName name="_T11" hidden="1">{"'Sheet1'!$L$16"}</x:definedName>
    <x:definedName name="_T8" hidden="1">{"'Sheet1'!$L$16"}</x:definedName>
    <x:definedName name="_tax1">#N/A</x:definedName>
    <x:definedName name="_tax2">#N/A</x:definedName>
    <x:definedName name="_tax3">#N/A</x:definedName>
    <x:definedName name="_tax4">#N/A</x:definedName>
    <x:definedName name="_tct3">#N/A</x:definedName>
    <x:definedName name="_tct5">#N/A</x:definedName>
    <x:definedName name="_TDT35">#N/A</x:definedName>
    <x:definedName name="_tg427">#N/A</x:definedName>
    <x:definedName name="_TH1" hidden="1">{"'Sheet1'!$L$16"}</x:definedName>
    <x:definedName name="_th100">#N/A</x:definedName>
    <x:definedName name="_TH160">#N/A</x:definedName>
    <x:definedName name="_TH20">#N/A</x:definedName>
    <x:definedName name="_TK1">#N/A</x:definedName>
    <x:definedName name="_TK2">#N/A</x:definedName>
    <x:definedName name="_TK211" hidden="1">{"'Sheet1'!$L$16"}</x:definedName>
    <x:definedName name="_TK3">#N/A</x:definedName>
    <x:definedName name="_TKP2">#N/A</x:definedName>
    <x:definedName name="_TL1">#N/A</x:definedName>
    <x:definedName name="_TL2">#N/A</x:definedName>
    <x:definedName name="_TL3">#N/A</x:definedName>
    <x:definedName name="_TLA120">#N/A</x:definedName>
    <x:definedName name="_TLA35">#N/A</x:definedName>
    <x:definedName name="_TLA50">#N/A</x:definedName>
    <x:definedName name="_TLA70">#N/A</x:definedName>
    <x:definedName name="_TLA95">#N/A</x:definedName>
    <x:definedName name="_TM2" hidden="1">{"'Sheet1'!$L$16"}</x:definedName>
    <x:definedName name="_TR250">#N/A</x:definedName>
    <x:definedName name="_tr375">#N/A</x:definedName>
    <x:definedName name="_tra100">#N/A</x:definedName>
    <x:definedName name="_tra102">#N/A</x:definedName>
    <x:definedName name="_tra104">#N/A</x:definedName>
    <x:definedName name="_tra106">#N/A</x:definedName>
    <x:definedName name="_tra108">#N/A</x:definedName>
    <x:definedName name="_tra110">#N/A</x:definedName>
    <x:definedName name="_tra112">#N/A</x:definedName>
    <x:definedName name="_tra114">#N/A</x:definedName>
    <x:definedName name="_tra116">#N/A</x:definedName>
    <x:definedName name="_tra118">#N/A</x:definedName>
    <x:definedName name="_tra120">#N/A</x:definedName>
    <x:definedName name="_tra122">#N/A</x:definedName>
    <x:definedName name="_tra124">#N/A</x:definedName>
    <x:definedName name="_tra126">#N/A</x:definedName>
    <x:definedName name="_tra128">#N/A</x:definedName>
    <x:definedName name="_tra130">#N/A</x:definedName>
    <x:definedName name="_tra132">#N/A</x:definedName>
    <x:definedName name="_tra134">#N/A</x:definedName>
    <x:definedName name="_tra136">#N/A</x:definedName>
    <x:definedName name="_tra138">#N/A</x:definedName>
    <x:definedName name="_tra140">#N/A</x:definedName>
    <x:definedName name="_tra70">#N/A</x:definedName>
    <x:definedName name="_tra72">#N/A</x:definedName>
    <x:definedName name="_tra74">#N/A</x:definedName>
    <x:definedName name="_tra76">#N/A</x:definedName>
    <x:definedName name="_tra78">#N/A</x:definedName>
    <x:definedName name="_tra80">#N/A</x:definedName>
    <x:definedName name="_tra82">#N/A</x:definedName>
    <x:definedName name="_tra84">#N/A</x:definedName>
    <x:definedName name="_tra86">#N/A</x:definedName>
    <x:definedName name="_tra88">#N/A</x:definedName>
    <x:definedName name="_tra90">#N/A</x:definedName>
    <x:definedName name="_tra92">#N/A</x:definedName>
    <x:definedName name="_tra94">#N/A</x:definedName>
    <x:definedName name="_tra96">#N/A</x:definedName>
    <x:definedName name="_tra98">#N/A</x:definedName>
    <x:definedName name="_tt3" hidden="1">{"'Sheet1'!$L$16"}</x:definedName>
    <x:definedName name="_ui110">#N/A</x:definedName>
    <x:definedName name="_V10">#N/A</x:definedName>
    <x:definedName name="_VAT2">#N/A</x:definedName>
    <x:definedName name="_vc1">#N/A</x:definedName>
    <x:definedName name="_vc2">#N/A</x:definedName>
    <x:definedName name="_vc3">#N/A</x:definedName>
    <x:definedName name="_vl1" hidden="1">{"'Sheet1'!$L$16"}</x:definedName>
    <x:definedName name="_VL100">#N/A</x:definedName>
    <x:definedName name="_VL150">#N/A</x:definedName>
    <x:definedName name="_VL2">#N/A</x:definedName>
    <x:definedName name="_VL200">#N/A</x:definedName>
    <x:definedName name="_VL250">#N/A</x:definedName>
    <x:definedName name="_VL50">#N/A</x:definedName>
    <x:definedName name="_vm150">#N/A</x:definedName>
    <x:definedName name="_W">#N/A</x:definedName>
    <x:definedName name="_Xa">#N/A</x:definedName>
    <x:definedName name="_XM30">#N/A</x:definedName>
    <x:definedName name="A">#N/A</x:definedName>
    <x:definedName name="â">{"ONGNGOAINHA.xls","Sheet1"}</x:definedName>
    <x:definedName name="ằ" hidden="1">{"'Sheet1'!$L$16"}</x:definedName>
    <x:definedName name="a.">#N/A</x:definedName>
    <x:definedName name="A01_">#N/A</x:definedName>
    <x:definedName name="A01AC">#N/A</x:definedName>
    <x:definedName name="A01CAT">#N/A</x:definedName>
    <x:definedName name="A01CODE">#N/A</x:definedName>
    <x:definedName name="A01DATA">#N/A</x:definedName>
    <x:definedName name="A01MI">#N/A</x:definedName>
    <x:definedName name="A01TO">#N/A</x:definedName>
    <x:definedName name="a1.">#N/A</x:definedName>
    <x:definedName name="a1_">#N/A</x:definedName>
    <x:definedName name="a10.">#N/A</x:definedName>
    <x:definedName name="a11.">#N/A</x:definedName>
    <x:definedName name="a12.">#N/A</x:definedName>
    <x:definedName name="A120_">#N/A</x:definedName>
    <x:definedName name="a129_xoa" hidden="1">{"Offgrid",#N/A,FALSE,"OFFGRID";"Region",#N/A,FALSE,"REGION";"Offgrid -2",#N/A,FALSE,"OFFGRID";"WTP",#N/A,FALSE,"WTP";"WTP -2",#N/A,FALSE,"WTP";"Project",#N/A,FALSE,"PROJECT";"Summary -2",#N/A,FALSE,"SUMMARY"}</x:definedName>
    <x:definedName name="a129_xoaxoa" hidden="1">{"Offgrid",#N/A,FALSE,"OFFGRID";"Region",#N/A,FALSE,"REGION";"Offgrid -2",#N/A,FALSE,"OFFGRID";"WTP",#N/A,FALSE,"WTP";"WTP -2",#N/A,FALSE,"WTP";"Project",#N/A,FALSE,"PROJECT";"Summary -2",#N/A,FALSE,"SUMMARY"}</x:definedName>
    <x:definedName name="a130_xoa" hidden="1">{"Offgrid",#N/A,FALSE,"OFFGRID";"Region",#N/A,FALSE,"REGION";"Offgrid -2",#N/A,FALSE,"OFFGRID";"WTP",#N/A,FALSE,"WTP";"WTP -2",#N/A,FALSE,"WTP";"Project",#N/A,FALSE,"PROJECT";"Summary -2",#N/A,FALSE,"SUMMARY"}</x:definedName>
    <x:definedName name="a130_xoaxoa" hidden="1">{"Offgrid",#N/A,FALSE,"OFFGRID";"Region",#N/A,FALSE,"REGION";"Offgrid -2",#N/A,FALSE,"OFFGRID";"WTP",#N/A,FALSE,"WTP";"WTP -2",#N/A,FALSE,"WTP";"Project",#N/A,FALSE,"PROJECT";"Summary -2",#N/A,FALSE,"SUMMARY"}</x:definedName>
    <x:definedName name="a1moi" hidden="1">{"'Sheet1'!$L$16"}</x:definedName>
    <x:definedName name="A1Xc7">#N/A</x:definedName>
    <x:definedName name="a2.">#N/A</x:definedName>
    <x:definedName name="A2_">#N/A</x:definedName>
    <x:definedName name="a277Print_Titles">#N/A</x:definedName>
    <x:definedName name="a3.">#N/A</x:definedName>
    <x:definedName name="a3_">#N/A</x:definedName>
    <x:definedName name="A35_">#N/A</x:definedName>
    <x:definedName name="A372m372">#N/A</x:definedName>
    <x:definedName name="a4.">#N/A</x:definedName>
    <x:definedName name="a4_">#N/A</x:definedName>
    <x:definedName name="ả4513">#REF!</x:definedName>
    <x:definedName name="a5.">#N/A</x:definedName>
    <x:definedName name="a5_">#N/A</x:definedName>
    <x:definedName name="A50_">#N/A</x:definedName>
    <x:definedName name="a6.">#N/A</x:definedName>
    <x:definedName name="a6_">#N/A</x:definedName>
    <x:definedName name="A6N3">#N/A</x:definedName>
    <x:definedName name="a7.">#N/A</x:definedName>
    <x:definedName name="a7_">#N/A</x:definedName>
    <x:definedName name="A70_">#N/A</x:definedName>
    <x:definedName name="a8.">#N/A</x:definedName>
    <x:definedName name="a9.">#N/A</x:definedName>
    <x:definedName name="â9000">'[1]Chi tiet'!#REF!</x:definedName>
    <x:definedName name="A95_">#N/A</x:definedName>
    <x:definedName name="AA">#N/A</x:definedName>
    <x:definedName name="AAA">#N/A</x:definedName>
    <x:definedName name="aaaa">#N/A</x:definedName>
    <x:definedName name="aaaaaa" hidden="1">{"'Sheet1'!$L$16"}</x:definedName>
    <x:definedName name="aadd" hidden="1">{"'Sheet1'!$L$16"}</x:definedName>
    <x:definedName name="aass" hidden="1">{"'Sheet1'!$L$16"}</x:definedName>
    <x:definedName name="aavavavav" hidden="1">{#N/A,#N/A,FALSE,"Chi tiÆt"}</x:definedName>
    <x:definedName name="Ab">#N/A</x:definedName>
    <x:definedName name="abc" hidden="1">{"'Sheet1'!$L$16"}</x:definedName>
    <x:definedName name="abcd" hidden="1">{"'Sheet1'!$L$16"}</x:definedName>
    <x:definedName name="ac">#N/A</x:definedName>
    <x:definedName name="AC120_">#N/A</x:definedName>
    <x:definedName name="AC35_">#N/A</x:definedName>
    <x:definedName name="AC50_">#N/A</x:definedName>
    <x:definedName name="AC70_">#N/A</x:definedName>
    <x:definedName name="AC95_">#N/A</x:definedName>
    <x:definedName name="acc" hidden="1">{"'Sheet1'!$L$16"}</x:definedName>
    <x:definedName name="AccessDatabase" hidden="1">"C:\My Documents\LeBinh\Xls\VP Cong ty\FORM.mdb"</x:definedName>
    <x:definedName name="ádfg" hidden="1">{"'Sheet1'!$L$16"}</x:definedName>
    <x:definedName name="adfgdfhgdf" hidden="1">#REF!</x:definedName>
    <x:definedName name="adfgfgdfg" hidden="1">#REF!</x:definedName>
    <x:definedName name="adfsg" hidden="1">{"'Sheet1'!$L$16"}</x:definedName>
    <x:definedName name="ae" hidden="1">{"'Sheet1'!$L$16"}</x:definedName>
    <x:definedName name="aegwhg.gk" hidden="1">{"Offgrid",#N/A,FALSE,"OFFGRID";"Region",#N/A,FALSE,"REGION";"Offgrid -2",#N/A,FALSE,"OFFGRID";"WTP",#N/A,FALSE,"WTP";"WTP -2",#N/A,FALSE,"WTP";"Project",#N/A,FALSE,"PROJECT";"Summary -2",#N/A,FALSE,"SUMMARY"}</x:definedName>
    <x:definedName name="aetg.hgrs" hidden="1">{"Offgrid",#N/A,FALSE,"OFFGRID";"Region",#N/A,FALSE,"REGION";"Offgrid -2",#N/A,FALSE,"OFFGRID";"WTP",#N/A,FALSE,"WTP";"WTP -2",#N/A,FALSE,"WTP";"Project",#N/A,FALSE,"PROJECT";"Summary -2",#N/A,FALSE,"SUMMARY"}</x:definedName>
    <x:definedName name="âétggâgqgêágghe" hidden="1">{#N/A,#N/A,FALSE,"Chi tiÆt"}</x:definedName>
    <x:definedName name="âfA" hidden="1">{"'Sheet1'!$L$16"}</x:definedName>
    <x:definedName name="afasfsagfas" hidden="1">{#N/A,#N/A,FALSE,"Chi tiÆt"}</x:definedName>
    <x:definedName name="ăg" hidden="1">{"'Sheet1'!$L$16"}</x:definedName>
    <x:definedName name="ag142X42">#N/A</x:definedName>
    <x:definedName name="ag267N59">#N/A</x:definedName>
    <x:definedName name="àgdfgfdgdf" hidden="1">#REF!</x:definedName>
    <x:definedName name="àgfdgfdf" hidden="1">#REF!</x:definedName>
    <x:definedName name="ẩgg" hidden="1">{"'Sheet1'!$L$16"}</x:definedName>
    <x:definedName name="ầgga" hidden="1">{"'Sheet1'!$L$16"}</x:definedName>
    <x:definedName name="All_Item">#N/A</x:definedName>
    <x:definedName name="ALPIN">#N/A</x:definedName>
    <x:definedName name="ALPJYOU">#N/A</x:definedName>
    <x:definedName name="ALPTOI">#N/A</x:definedName>
    <x:definedName name="amiang">#N/A</x:definedName>
    <x:definedName name="amnh16" hidden="1">{"'Sheet1'!$L$16"}</x:definedName>
    <x:definedName name="amoi" hidden="1">{"'Sheet1'!$L$16"}</x:definedName>
    <x:definedName name="anhnv29" hidden="1">#N/A</x:definedName>
    <x:definedName name="anhnv30" hidden="1">#N/A</x:definedName>
    <x:definedName name="anhnv38" hidden="1">#N/A</x:definedName>
    <x:definedName name="anpha">#N/A</x:definedName>
    <x:definedName name="anscount" hidden="1">8</x:definedName>
    <x:definedName name="Antoan" hidden="1">{"'Sheet1'!$L$16"}</x:definedName>
    <x:definedName name="ap">#N/A</x:definedName>
    <x:definedName name="as" hidden="1">{"'Sheet1'!$L$16"}</x:definedName>
    <x:definedName name="As_">#N/A</x:definedName>
    <x:definedName name="AS2DocOpenMode" hidden="1">"AS2DocumentEdit"</x:definedName>
    <x:definedName name="AS2HasNoAutoHeaderFooter" hidden="1">" "</x:definedName>
    <x:definedName name="AS2ReportLS" hidden="1">1</x:definedName>
    <x:definedName name="AS2SyncStepLS" hidden="1">0</x:definedName>
    <x:definedName name="AS2VersionLS" hidden="1">300</x:definedName>
    <x:definedName name="asd">#N/A</x:definedName>
    <x:definedName name="asf" hidden="1">{"'Sheet1'!$L$16"}</x:definedName>
    <x:definedName name="asss" hidden="1">{"'Sheet1'!$L$16"}</x:definedName>
    <x:definedName name="asssss" hidden="1">{"'Sheet1'!$L$16"}</x:definedName>
    <x:definedName name="At">#N/A</x:definedName>
    <x:definedName name="Attachment07" hidden="1">{"'Sheet1'!$L$16"}</x:definedName>
    <x:definedName name="AU" hidden="1">{"'Sheet1'!$L$16"}</x:definedName>
    <x:definedName name="Aug03_PPS">#N/A</x:definedName>
    <x:definedName name="Av">#N/A</x:definedName>
    <x:definedName name="avavgveqvaq" hidden="1">{"Offgrid",#N/A,FALSE,"OFFGRID";"Region",#N/A,FALSE,"REGION";"Offgrid -2",#N/A,FALSE,"OFFGRID";"WTP",#N/A,FALSE,"WTP";"WTP -2",#N/A,FALSE,"WTP";"Project",#N/A,FALSE,"PROJECT";"Summary -2",#N/A,FALSE,"SUMMARY"}</x:definedName>
    <x:definedName name="B">#N/A</x:definedName>
    <x:definedName name="b_1">#N/A</x:definedName>
    <x:definedName name="b_2">#N/A</x:definedName>
    <x:definedName name="b_240">#N/A</x:definedName>
    <x:definedName name="b_280">#N/A</x:definedName>
    <x:definedName name="b_3">#N/A</x:definedName>
    <x:definedName name="b_320">#N/A</x:definedName>
    <x:definedName name="b_4">#N/A</x:definedName>
    <x:definedName name="b_5">#N/A</x:definedName>
    <x:definedName name="b_6">#N/A</x:definedName>
    <x:definedName name="b_dd1">#N/A</x:definedName>
    <x:definedName name="b_DL">#N/A</x:definedName>
    <x:definedName name="b_eh">#N/A</x:definedName>
    <x:definedName name="b_eh1">#N/A</x:definedName>
    <x:definedName name="b_ev">#N/A</x:definedName>
    <x:definedName name="b_ev1">#N/A</x:definedName>
    <x:definedName name="b_FR">#N/A</x:definedName>
    <x:definedName name="b_fr1">#N/A</x:definedName>
    <x:definedName name="b_LL">#N/A</x:definedName>
    <x:definedName name="b_ll1">#N/A</x:definedName>
    <x:definedName name="b_qd">#N/A</x:definedName>
    <x:definedName name="b_tru">#N/A</x:definedName>
    <x:definedName name="b_WL">#N/A</x:definedName>
    <x:definedName name="b_WL1">#N/A</x:definedName>
    <x:definedName name="b_WS">#N/A</x:definedName>
    <x:definedName name="b_ws1">#N/A</x:definedName>
    <x:definedName name="b1.">#N/A</x:definedName>
    <x:definedName name="b1_">#N/A</x:definedName>
    <x:definedName name="b10.">#N/A</x:definedName>
    <x:definedName name="b11.">#N/A</x:definedName>
    <x:definedName name="b2.">#N/A</x:definedName>
    <x:definedName name="B2_">#N/A</x:definedName>
    <x:definedName name="b3.">#N/A</x:definedName>
    <x:definedName name="b3_">#N/A</x:definedName>
    <x:definedName name="b4.">#N/A</x:definedName>
    <x:definedName name="b4_">#N/A</x:definedName>
    <x:definedName name="b5.">#N/A</x:definedName>
    <x:definedName name="b5_">#N/A</x:definedName>
    <x:definedName name="b6.">#N/A</x:definedName>
    <x:definedName name="b6_">#N/A</x:definedName>
    <x:definedName name="b7.">#N/A</x:definedName>
    <x:definedName name="b7_">#N/A</x:definedName>
    <x:definedName name="b8.">#N/A</x:definedName>
    <x:definedName name="b9.">#N/A</x:definedName>
    <x:definedName name="ban">#N/A</x:definedName>
    <x:definedName name="Bang">#N/A</x:definedName>
    <x:definedName name="Bang_cly">#N/A</x:definedName>
    <x:definedName name="Bang_CVC">#N/A</x:definedName>
    <x:definedName name="bang_gia">#N/A</x:definedName>
    <x:definedName name="Bang_travl">#N/A</x:definedName>
    <x:definedName name="Bang7_THKL_HCM" hidden="1">{"'Sheet1'!$L$16"}</x:definedName>
    <x:definedName name="bangciti">#N/A</x:definedName>
    <x:definedName name="banggia">#N/A</x:definedName>
    <x:definedName name="bangtinh">#N/A</x:definedName>
    <x:definedName name="banQL" hidden="1">{"'Sheet1'!$L$16"}</x:definedName>
    <x:definedName name="Bao" hidden="1">{#N/A,#N/A,FALSE,"Chi tiÆt"}</x:definedName>
    <x:definedName name="Bar">#N/A</x:definedName>
    <x:definedName name="BarData">#N/A</x:definedName>
    <x:definedName name="BB">#N/A</x:definedName>
    <x:definedName name="bbb" hidden="1">{"'Sheet1'!$L$16"}</x:definedName>
    <x:definedName name="BBe" hidden="1">{"'Sheet1'!$L$16"}</x:definedName>
    <x:definedName name="bc">#N/A</x:definedName>
    <x:definedName name="bchcj" hidden="1">#N/A</x:definedName>
    <x:definedName name="bchvch" hidden="1">#N/A</x:definedName>
    <x:definedName name="bd">#N/A</x:definedName>
    <x:definedName name="Bdab">#N/A</x:definedName>
    <x:definedName name="bDF_">#N/A</x:definedName>
    <x:definedName name="bdht15nc">#N/A</x:definedName>
    <x:definedName name="bdht15vl">#N/A</x:definedName>
    <x:definedName name="bdht25nc">#N/A</x:definedName>
    <x:definedName name="bdht25vl">#N/A</x:definedName>
    <x:definedName name="bdht325nc">#N/A</x:definedName>
    <x:definedName name="bdht325vl">#N/A</x:definedName>
    <x:definedName name="Bdib">#N/A</x:definedName>
    <x:definedName name="bdn">#N/A</x:definedName>
    <x:definedName name="bdv" hidden="1">{"'Sheet1'!$L$16"}</x:definedName>
    <x:definedName name="BE100M">#N/A</x:definedName>
    <x:definedName name="BE150M">#N/A</x:definedName>
    <x:definedName name="BE200M">#N/A</x:definedName>
    <x:definedName name="BE50M">#N/A</x:definedName>
    <x:definedName name="beta">#N/A</x:definedName>
    <x:definedName name="betong">#N/A</x:definedName>
    <x:definedName name="BetongM150">#N/A</x:definedName>
    <x:definedName name="BetongM200">#N/A</x:definedName>
    <x:definedName name="BetongM50">#N/A</x:definedName>
    <x:definedName name="bfd">#N/A</x:definedName>
    <x:definedName name="BG_Del" hidden="1">15</x:definedName>
    <x:definedName name="BG_Ins" hidden="1">4</x:definedName>
    <x:definedName name="BG_Mod" hidden="1">6</x:definedName>
    <x:definedName name="bh">#N/A</x:definedName>
    <x:definedName name="bia">#N/A</x:definedName>
    <x:definedName name="Bieu18" hidden="1">{"'Sheet1'!$L$16"}</x:definedName>
    <x:definedName name="BL">"$A$1:$f$11"</x:definedName>
    <x:definedName name="blang">#N/A</x:definedName>
    <x:definedName name="blcd">#N/A</x:definedName>
    <x:definedName name="BLDG">#N/A</x:definedName>
    <x:definedName name="BLDGIMP">#N/A</x:definedName>
    <x:definedName name="BLDGREV">#N/A</x:definedName>
    <x:definedName name="bLF_">#N/A</x:definedName>
    <x:definedName name="blong">#N/A</x:definedName>
    <x:definedName name="blop">#N/A</x:definedName>
    <x:definedName name="bluong">#N/A</x:definedName>
    <x:definedName name="BMNV">#N/A</x:definedName>
    <x:definedName name="bn">#N/A</x:definedName>
    <x:definedName name="bng">#N/A</x:definedName>
    <x:definedName name="BO" hidden="1">{"'Sheet1'!$L$16"}</x:definedName>
    <x:definedName name="Book2">#N/A</x:definedName>
    <x:definedName name="BOQ">#N/A</x:definedName>
    <x:definedName name="Border1">#N/A</x:definedName>
    <x:definedName name="Border2">#N/A</x:definedName>
    <x:definedName name="Botanical2">#N/A</x:definedName>
    <x:definedName name="Botanical2.Jun">#N/A</x:definedName>
    <x:definedName name="boxes">#N/A</x:definedName>
    <x:definedName name="BR">#N/A</x:definedName>
    <x:definedName name="bSF_">#N/A</x:definedName>
    <x:definedName name="bson">#N/A</x:definedName>
    <x:definedName name="bt">#N/A</x:definedName>
    <x:definedName name="bt250.0">#N/A</x:definedName>
    <x:definedName name="btai">#N/A</x:definedName>
    <x:definedName name="btchiuaxitm300">#N/A</x:definedName>
    <x:definedName name="BTchiuaxm200">#N/A</x:definedName>
    <x:definedName name="btcocM400">#N/A</x:definedName>
    <x:definedName name="btd">#N/A</x:definedName>
    <x:definedName name="btds">#N/A</x:definedName>
    <x:definedName name="btham">#N/A</x:definedName>
    <x:definedName name="BTlotm100">#N/A</x:definedName>
    <x:definedName name="btm1002x4">#N/A</x:definedName>
    <x:definedName name="btm1502x4">#N/A</x:definedName>
    <x:definedName name="btm2002x4">#N/A</x:definedName>
    <x:definedName name="btong">#N/A</x:definedName>
    <x:definedName name="BTPCP">#N/A</x:definedName>
    <x:definedName name="bttc">#N/A</x:definedName>
    <x:definedName name="Bu_long">#N/A</x:definedName>
    <x:definedName name="BUM" hidden="1">{"'Sheet1'!$L$16"}</x:definedName>
    <x:definedName name="buoc">#N/A</x:definedName>
    <x:definedName name="Bust">#N/A</x:definedName>
    <x:definedName name="button_area_1">#N/A</x:definedName>
    <x:definedName name="bv">#N/A</x:definedName>
    <x:definedName name="bvcbvb" hidden="1">{0}</x:definedName>
    <x:definedName name="BVCISUMMARY">#N/A</x:definedName>
    <x:definedName name="bW">#N/A</x:definedName>
    <x:definedName name="bw_">#N/A</x:definedName>
    <x:definedName name="bWF_">#N/A</x:definedName>
    <x:definedName name="bWL">#N/A</x:definedName>
    <x:definedName name="bWLF_">#N/A</x:definedName>
    <x:definedName name="C.1.1..Phat_tuyen">#N/A</x:definedName>
    <x:definedName name="C.1.10..VC_Thu_cong_CG">#N/A</x:definedName>
    <x:definedName name="C.1.2..Chat_cay_thu_cong">#N/A</x:definedName>
    <x:definedName name="C.1.3..Chat_cay_may">#N/A</x:definedName>
    <x:definedName name="C.1.4..Dao_goc_cay">#N/A</x:definedName>
    <x:definedName name="C.1.5..Lam_duong_tam">#N/A</x:definedName>
    <x:definedName name="C.1.6..Lam_cau_tam">#N/A</x:definedName>
    <x:definedName name="C.1.7..Rai_da_chong_lun">#N/A</x:definedName>
    <x:definedName name="C.1.8..Lam_kho_tam">#N/A</x:definedName>
    <x:definedName name="C.1.8..San_mat_bang">#N/A</x:definedName>
    <x:definedName name="C.2.1..VC_Thu_cong">#N/A</x:definedName>
    <x:definedName name="C.2.2..VC_T_cong_CG">#N/A</x:definedName>
    <x:definedName name="C.2.3..Boc_do">#N/A</x:definedName>
    <x:definedName name="C.3.1..Dao_dat_mong_cot">#N/A</x:definedName>
    <x:definedName name="C.3.2..Dao_dat_de_dap">#N/A</x:definedName>
    <x:definedName name="C.3.3..Dap_dat_mong">#N/A</x:definedName>
    <x:definedName name="C.3.4..Dao_dap_TDia">#N/A</x:definedName>
    <x:definedName name="C.3.5..Dap_bo_bao">#N/A</x:definedName>
    <x:definedName name="C.3.6..Bom_tat_nuoc">#N/A</x:definedName>
    <x:definedName name="C.3.7..Dao_bun">#N/A</x:definedName>
    <x:definedName name="C.3.8..Dap_cat_CT">#N/A</x:definedName>
    <x:definedName name="C.3.9..Dao_pha_da">#N/A</x:definedName>
    <x:definedName name="C.4.1.Cot_thep">#N/A</x:definedName>
    <x:definedName name="C.4.2..Van_khuon">#N/A</x:definedName>
    <x:definedName name="C.4.3..Be_tong">#N/A</x:definedName>
    <x:definedName name="C.4.4..Lap_BT_D.San">#N/A</x:definedName>
    <x:definedName name="C.4.5..Xay_da_hoc">#N/A</x:definedName>
    <x:definedName name="C.4.6..Dong_coc">#N/A</x:definedName>
    <x:definedName name="C.4.7..Quet_Bi_tum">#N/A</x:definedName>
    <x:definedName name="C.5.1..Lap_cot_thep">#N/A</x:definedName>
    <x:definedName name="C.5.2..Lap_cot_BT">#N/A</x:definedName>
    <x:definedName name="C.5.3..Lap_dat_xa">#N/A</x:definedName>
    <x:definedName name="C.5.4..Lap_tiep_dia">#N/A</x:definedName>
    <x:definedName name="C.5.5..Son_sat_thep">#N/A</x:definedName>
    <x:definedName name="C.6.1..Lap_su_dung">#N/A</x:definedName>
    <x:definedName name="C.6.2..Lap_su_CS">#N/A</x:definedName>
    <x:definedName name="C.6.3..Su_chuoi_do">#N/A</x:definedName>
    <x:definedName name="C.6.4..Su_chuoi_neo">#N/A</x:definedName>
    <x:definedName name="C.6.5..Lap_phu_kien">#N/A</x:definedName>
    <x:definedName name="C.6.6..Ep_noi_day">#N/A</x:definedName>
    <x:definedName name="C.6.7..KD_vuot_CN">#N/A</x:definedName>
    <x:definedName name="C.6.8..Rai_cang_day">#N/A</x:definedName>
    <x:definedName name="C.6.9..Cap_quang">#N/A</x:definedName>
    <x:definedName name="C_">#N/A</x:definedName>
    <x:definedName name="c_1">#N/A</x:definedName>
    <x:definedName name="c_2">#N/A</x:definedName>
    <x:definedName name="c1.">#N/A</x:definedName>
    <x:definedName name="c2.">#N/A</x:definedName>
    <x:definedName name="C2.7">#N/A</x:definedName>
    <x:definedName name="c3.">#N/A</x:definedName>
    <x:definedName name="C3.0">#N/A</x:definedName>
    <x:definedName name="C3.5">#N/A</x:definedName>
    <x:definedName name="C3.7">#N/A</x:definedName>
    <x:definedName name="c4.">#N/A</x:definedName>
    <x:definedName name="C4.0">#N/A</x:definedName>
    <x:definedName name="c5.">#N/A</x:definedName>
    <x:definedName name="CABLE2">#N/A</x:definedName>
    <x:definedName name="cancu2">#N/A</x:definedName>
    <x:definedName name="cap">#N/A</x:definedName>
    <x:definedName name="cap0.7">#N/A</x:definedName>
    <x:definedName name="CAPDAT">#N/A</x:definedName>
    <x:definedName name="CARL" hidden="1">{#N/A,#N/A,FALSE,"CCTV"}</x:definedName>
    <x:definedName name="CARL1" hidden="1">{#N/A,#N/A,FALSE,"CCTV"}</x:definedName>
    <x:definedName name="CARL2" hidden="1">{#N/A,#N/A,FALSE,"CCTV"}</x:definedName>
    <x:definedName name="Case_Linkw_AT_211_Fdd">#N/A</x:definedName>
    <x:definedName name="Case_Linkw_ATX">#N/A</x:definedName>
    <x:definedName name="Case_Linkw_ATX_218_Fdd">#N/A</x:definedName>
    <x:definedName name="Cat">#N/A</x:definedName>
    <x:definedName name="Category_All">#N/A</x:definedName>
    <x:definedName name="CATIN">#N/A</x:definedName>
    <x:definedName name="CATJYOU">#N/A</x:definedName>
    <x:definedName name="CATREC">#N/A</x:definedName>
    <x:definedName name="CATSYU">#N/A</x:definedName>
    <x:definedName name="catuon">#N/A</x:definedName>
    <x:definedName name="catvang">#N/A</x:definedName>
    <x:definedName name="CatVang_HamYen">#N/A</x:definedName>
    <x:definedName name="cau">#N/A</x:definedName>
    <x:definedName name="Cb">#N/A</x:definedName>
    <x:definedName name="CBE100M">#N/A</x:definedName>
    <x:definedName name="CBE150M">#N/A</x:definedName>
    <x:definedName name="CBE200M">#N/A</x:definedName>
    <x:definedName name="CBE50M">#N/A</x:definedName>
    <x:definedName name="CBG" hidden="1">{"'Sheet1'!$L$16"}</x:definedName>
    <x:definedName name="CC">#N/A</x:definedName>
    <x:definedName name="CC.M14.1">#N/A</x:definedName>
    <x:definedName name="CC.M14.2">#N/A</x:definedName>
    <x:definedName name="CC.MTCat">#N/A</x:definedName>
    <x:definedName name="CCS">#N/A</x:definedName>
    <x:definedName name="CCT">#N/A</x:definedName>
    <x:definedName name="cd">#N/A</x:definedName>
    <x:definedName name="CDAM">#N/A</x:definedName>
    <x:definedName name="CDB">#N/A</x:definedName>
    <x:definedName name="CDD">#N/A</x:definedName>
    <x:definedName name="CDDB">#N/A</x:definedName>
    <x:definedName name="CDDD">#N/A</x:definedName>
    <x:definedName name="cddd1p">#N/A</x:definedName>
    <x:definedName name="cddd3p">#N/A</x:definedName>
    <x:definedName name="CDDR_Acer40X_IDE">#N/A</x:definedName>
    <x:definedName name="CDDR_Acer48X_IDE">#N/A</x:definedName>
    <x:definedName name="CDDR_Acer50X_IDE">#N/A</x:definedName>
    <x:definedName name="CDDT">#N/A</x:definedName>
    <x:definedName name="CDIM">#N/A</x:definedName>
    <x:definedName name="CDMD">#N/A</x:definedName>
    <x:definedName name="cdn">#N/A</x:definedName>
    <x:definedName name="Cdnum">#N/A</x:definedName>
    <x:definedName name="CDTRAMD1">#N/A</x:definedName>
    <x:definedName name="CE">#N/A</x:definedName>
    <x:definedName name="celltips_area">#N/A</x:definedName>
    <x:definedName name="cfc">#N/A</x:definedName>
    <x:definedName name="cfk">#N/A</x:definedName>
    <x:definedName name="cgionc">#N/A</x:definedName>
    <x:definedName name="cgiovl">#N/A</x:definedName>
    <x:definedName name="CH">#N/A</x:definedName>
    <x:definedName name="chan">#N/A</x:definedName>
    <x:definedName name="chay1">#N/A</x:definedName>
    <x:definedName name="chay10">#N/A</x:definedName>
    <x:definedName name="chay2">#N/A</x:definedName>
    <x:definedName name="chay3">#N/A</x:definedName>
    <x:definedName name="chay4">#N/A</x:definedName>
    <x:definedName name="chay5">#N/A</x:definedName>
    <x:definedName name="chay6">#N/A</x:definedName>
    <x:definedName name="chay7">#N/A</x:definedName>
    <x:definedName name="chay8">#N/A</x:definedName>
    <x:definedName name="chay9">#N/A</x:definedName>
    <x:definedName name="chhtnc">#N/A</x:definedName>
    <x:definedName name="chhtvl">#N/A</x:definedName>
    <x:definedName name="Chiemhoa">#N/A</x:definedName>
    <x:definedName name="chilinh1">'[4]Chi tiet chuan'!$A$2:$A$7163</x:definedName>
    <x:definedName name="chilinh2">'[4]Chi tiet chuan'!$D$2:$D$7163</x:definedName>
    <x:definedName name="chilinh3">'[4]Chi tiet chuan'!$BX$2:$BX$7163</x:definedName>
    <x:definedName name="chilinh4">'[4]Chi tiet chuan'!$AJ$2:$AJ$7163</x:definedName>
    <x:definedName name="chilinh5">'[4]Chi tiet chuan'!$B$2:$B$7163</x:definedName>
    <x:definedName name="chilinh6">'[4]Chi tiet chuan'!$W$2:$W$7163</x:definedName>
    <x:definedName name="chilk" hidden="1">{"'Sheet1'!$L$16"}</x:definedName>
    <x:definedName name="chitietbgiang2" hidden="1">{"'Sheet1'!$L$16"}</x:definedName>
    <x:definedName name="chk">#N/A</x:definedName>
    <x:definedName name="chnc">#N/A</x:definedName>
    <x:definedName name="Chøng_tõ">#N/A</x:definedName>
    <x:definedName name="Chtinh">#N/A</x:definedName>
    <x:definedName name="Chu">#N/A</x:definedName>
    <x:definedName name="chuc1">#N/A</x:definedName>
    <x:definedName name="CHUNG" hidden="1">66</x:definedName>
    <x:definedName name="chvl">#N/A</x:definedName>
    <x:definedName name="citidd">#N/A</x:definedName>
    <x:definedName name="CK">#N/A</x:definedName>
    <x:definedName name="cknc">#N/A</x:definedName>
    <x:definedName name="ckvl">#N/A</x:definedName>
    <x:definedName name="CL">#N/A</x:definedName>
    <x:definedName name="CLECT">#N/A</x:definedName>
    <x:definedName name="CLIEOS">#N/A</x:definedName>
    <x:definedName name="clvc1">#N/A</x:definedName>
    <x:definedName name="CLVC3">0.1</x:definedName>
    <x:definedName name="CLVCTB">#N/A</x:definedName>
    <x:definedName name="CLVL">#N/A</x:definedName>
    <x:definedName name="CLVL2">#N/A</x:definedName>
    <x:definedName name="cly">#N/A</x:definedName>
    <x:definedName name="CN3p">#N/A</x:definedName>
    <x:definedName name="CNC">#N/A</x:definedName>
    <x:definedName name="CND">#N/A</x:definedName>
    <x:definedName name="CNG">#N/A</x:definedName>
    <x:definedName name="Co">#N/A</x:definedName>
    <x:definedName name="COAT">#N/A</x:definedName>
    <x:definedName name="coc">#N/A</x:definedName>
    <x:definedName name="coc20x20">#N/A</x:definedName>
    <x:definedName name="Code" hidden="1">#REF!</x:definedName>
    <x:definedName name="Cöï_ly_vaän_chuyeãn">#N/A</x:definedName>
    <x:definedName name="CÖÏ_LY_VAÄN_CHUYEÅN">#N/A</x:definedName>
    <x:definedName name="coldex">#N/A</x:definedName>
    <x:definedName name="COMMON">#N/A</x:definedName>
    <x:definedName name="COMP">#N/A</x:definedName>
    <x:definedName name="CON_EQP_COS">#N/A</x:definedName>
    <x:definedName name="CON_EQP_COST">#N/A</x:definedName>
    <x:definedName name="Concrete">#N/A</x:definedName>
    <x:definedName name="Cong_HM_DTCT">#N/A</x:definedName>
    <x:definedName name="Cong_M_DTCT">#N/A</x:definedName>
    <x:definedName name="Cong_NC_DTCT">#N/A</x:definedName>
    <x:definedName name="Cong_VL_DTCT">#N/A</x:definedName>
    <x:definedName name="cong1x15">#N/A</x:definedName>
    <x:definedName name="Congdoc">#N/A</x:definedName>
    <x:definedName name="CONGTIEN">#N/A</x:definedName>
    <x:definedName name="CONST_EQ">#N/A</x:definedName>
    <x:definedName name="Continue">#N/A</x:definedName>
    <x:definedName name="copy">#N/A</x:definedName>
    <x:definedName name="copyl">#N/A</x:definedName>
    <x:definedName name="cot">#N/A</x:definedName>
    <x:definedName name="Cot_thep">#N/A</x:definedName>
    <x:definedName name="Cot12b">#N/A</x:definedName>
    <x:definedName name="cot7.5">#N/A</x:definedName>
    <x:definedName name="cot8.5">#N/A</x:definedName>
    <x:definedName name="COTBTPCP">#N/A</x:definedName>
    <x:definedName name="COVER">#N/A</x:definedName>
    <x:definedName name="CP" hidden="1">#N/A</x:definedName>
    <x:definedName name="CP.M10.1a">#N/A</x:definedName>
    <x:definedName name="CP.M10.1b">#N/A</x:definedName>
    <x:definedName name="CP.M10.1c">#N/A</x:definedName>
    <x:definedName name="CP.M10.1d">#N/A</x:definedName>
    <x:definedName name="CP.M10.1e">#N/A</x:definedName>
    <x:definedName name="CP.M10.2a">#N/A</x:definedName>
    <x:definedName name="CP.M10.2b">#N/A</x:definedName>
    <x:definedName name="CP.M10.2c">#N/A</x:definedName>
    <x:definedName name="CP.M10.2d">#N/A</x:definedName>
    <x:definedName name="CP.M10.2e">#N/A</x:definedName>
    <x:definedName name="CP.M14.1a">#N/A</x:definedName>
    <x:definedName name="CP.M14.1b">#N/A</x:definedName>
    <x:definedName name="CP.M14.1c">#N/A</x:definedName>
    <x:definedName name="CP.M14.1d">#N/A</x:definedName>
    <x:definedName name="CP.M14.1e">#N/A</x:definedName>
    <x:definedName name="CP.M14.2a">#N/A</x:definedName>
    <x:definedName name="CP.M14.2b">#N/A</x:definedName>
    <x:definedName name="CP.M14.2c">#N/A</x:definedName>
    <x:definedName name="CP.M14.2d">#N/A</x:definedName>
    <x:definedName name="CP.M14.2e">#N/A</x:definedName>
    <x:definedName name="CP.MDTa">#N/A</x:definedName>
    <x:definedName name="CP.MDTb">#N/A</x:definedName>
    <x:definedName name="CP.MDTc">#N/A</x:definedName>
    <x:definedName name="CP.MDTd">#N/A</x:definedName>
    <x:definedName name="CP.MDTe">#N/A</x:definedName>
    <x:definedName name="CP.MTCata">#N/A</x:definedName>
    <x:definedName name="CP.MTCatb">#N/A</x:definedName>
    <x:definedName name="CP.MTCatc">#N/A</x:definedName>
    <x:definedName name="CP.MTCatd">#N/A</x:definedName>
    <x:definedName name="CP.MTCate">#N/A</x:definedName>
    <x:definedName name="CPC">#N/A</x:definedName>
    <x:definedName name="cpd">#N/A</x:definedName>
    <x:definedName name="cpdd">#N/A</x:definedName>
    <x:definedName name="cpdd1">#N/A</x:definedName>
    <x:definedName name="cpdd2">#N/A</x:definedName>
    <x:definedName name="CPDD22cm">#N/A</x:definedName>
    <x:definedName name="cpdd35cm">#N/A</x:definedName>
    <x:definedName name="CPHA">#N/A</x:definedName>
    <x:definedName name="CPU_AMD_K6II_550">#N/A</x:definedName>
    <x:definedName name="CPU_Intel_P4_1.7_256K_256RIMM">#N/A</x:definedName>
    <x:definedName name="CPU_Intel_PIII500E_256Kdie_Copp">#N/A</x:definedName>
    <x:definedName name="CPU_Intel_PIII550E_256Kdie_Copp">#N/A</x:definedName>
    <x:definedName name="CPVC100">#N/A</x:definedName>
    <x:definedName name="CPVC1KM">#N/A</x:definedName>
    <x:definedName name="CPVCDN">#N/A</x:definedName>
    <x:definedName name="CR">#N/A</x:definedName>
    <x:definedName name="CRD">#N/A</x:definedName>
    <x:definedName name="_xlnm.Criteria">#N/A</x:definedName>
    <x:definedName name="CRITINST">#N/A</x:definedName>
    <x:definedName name="CRITPURC">#N/A</x:definedName>
    <x:definedName name="CRS">#N/A</x:definedName>
    <x:definedName name="CS">#N/A</x:definedName>
    <x:definedName name="CS_10">#N/A</x:definedName>
    <x:definedName name="CS_100">#N/A</x:definedName>
    <x:definedName name="CS_10S">#N/A</x:definedName>
    <x:definedName name="CS_120">#N/A</x:definedName>
    <x:definedName name="CS_140">#N/A</x:definedName>
    <x:definedName name="CS_160">#N/A</x:definedName>
    <x:definedName name="CS_20">#N/A</x:definedName>
    <x:definedName name="CS_30">#N/A</x:definedName>
    <x:definedName name="CS_40">#N/A</x:definedName>
    <x:definedName name="CS_40S">#N/A</x:definedName>
    <x:definedName name="CS_5S">#N/A</x:definedName>
    <x:definedName name="CS_60">#N/A</x:definedName>
    <x:definedName name="CS_80">#N/A</x:definedName>
    <x:definedName name="CS_80S">#N/A</x:definedName>
    <x:definedName name="CS_STD">#N/A</x:definedName>
    <x:definedName name="CS_XS">#N/A</x:definedName>
    <x:definedName name="CS_XXS">#N/A</x:definedName>
    <x:definedName name="csd3p">#N/A</x:definedName>
    <x:definedName name="csddg1p">#N/A</x:definedName>
    <x:definedName name="csddt1p">#N/A</x:definedName>
    <x:definedName name="csht3p">#N/A</x:definedName>
    <x:definedName name="CSMBA">#N/A</x:definedName>
    <x:definedName name="CT.M10.1">#N/A</x:definedName>
    <x:definedName name="CT.M10.2">#N/A</x:definedName>
    <x:definedName name="CT.M14.1">#N/A</x:definedName>
    <x:definedName name="CT.M14.2">#N/A</x:definedName>
    <x:definedName name="CT.MDT">#N/A</x:definedName>
    <x:definedName name="CT.MTCat">#N/A</x:definedName>
    <x:definedName name="ctbbt" hidden="1">{"'Sheet1'!$L$16"}</x:definedName>
    <x:definedName name="CTCT1" hidden="1">{"'Sheet1'!$L$16"}</x:definedName>
    <x:definedName name="ctdg">#N/A</x:definedName>
    <x:definedName name="ctdn9697">#N/A</x:definedName>
    <x:definedName name="CTDZ">#N/A</x:definedName>
    <x:definedName name="CTHT">#N/A</x:definedName>
    <x:definedName name="cti3x15">#N/A</x:definedName>
    <x:definedName name="CTIEN" hidden="1">{"'Sheet1'!$L$16"}</x:definedName>
    <x:definedName name="ctiep">#N/A</x:definedName>
    <x:definedName name="ctinh">#N/A</x:definedName>
    <x:definedName name="ctmai">#N/A</x:definedName>
    <x:definedName name="CTNC">#N/A</x:definedName>
    <x:definedName name="CTO">#N/A</x:definedName>
    <x:definedName name="ctong">#N/A</x:definedName>
    <x:definedName name="ctre">#N/A</x:definedName>
    <x:definedName name="CTTra">#N/A</x:definedName>
    <x:definedName name="CTTraD">#N/A</x:definedName>
    <x:definedName name="CTTramDD">#N/A</x:definedName>
    <x:definedName name="CTVL">#N/A</x:definedName>
    <x:definedName name="CU_LY">#N/A</x:definedName>
    <x:definedName name="cu_ly_1">#N/A</x:definedName>
    <x:definedName name="cui">#N/A</x:definedName>
    <x:definedName name="culy1">#N/A</x:definedName>
    <x:definedName name="culy2">#N/A</x:definedName>
    <x:definedName name="culy3">#N/A</x:definedName>
    <x:definedName name="culy4">#N/A</x:definedName>
    <x:definedName name="culy5">#N/A</x:definedName>
    <x:definedName name="cung" hidden="1">{"'Sheet1'!$L$16"}</x:definedName>
    <x:definedName name="cuoc">#N/A</x:definedName>
    <x:definedName name="cuoc_vc">#N/A</x:definedName>
    <x:definedName name="Cuoc_vc_1">#N/A</x:definedName>
    <x:definedName name="cuong" hidden="1">{"'Sheet1'!$L$16"}</x:definedName>
    <x:definedName name="CURRENCY">#N/A</x:definedName>
    <x:definedName name="cv">#N/A</x:definedName>
    <x:definedName name="CV.M10.1">#N/A</x:definedName>
    <x:definedName name="CV.M10.2">#N/A</x:definedName>
    <x:definedName name="CV.M14.1">#N/A</x:definedName>
    <x:definedName name="CV.M14.2">#N/A</x:definedName>
    <x:definedName name="CV.MDT">#N/A</x:definedName>
    <x:definedName name="CV.MTCat">#N/A</x:definedName>
    <x:definedName name="cvcv" hidden="1">{"'Sheet1'!$L$16"}</x:definedName>
    <x:definedName name="cx">#N/A</x:definedName>
    <x:definedName name="cxhtnc">#N/A</x:definedName>
    <x:definedName name="cxhtvl">#N/A</x:definedName>
    <x:definedName name="cxnc">#N/A</x:definedName>
    <x:definedName name="cxvl">#N/A</x:definedName>
    <x:definedName name="cxxnc">#N/A</x:definedName>
    <x:definedName name="cxxvl">#N/A</x:definedName>
    <x:definedName name="d">[5]Sheet3!$A$1:$B$4</x:definedName>
    <x:definedName name="d.d">#N/A</x:definedName>
    <x:definedName name="d.d1">#N/A</x:definedName>
    <x:definedName name="d.d2">#N/A</x:definedName>
    <x:definedName name="D.M10.1a">#N/A</x:definedName>
    <x:definedName name="D.M10.1b">#N/A</x:definedName>
    <x:definedName name="D.M10.2a">#N/A</x:definedName>
    <x:definedName name="D.M10.2b">#N/A</x:definedName>
    <x:definedName name="D.M14.1">#N/A</x:definedName>
    <x:definedName name="D.M14.1b">#N/A</x:definedName>
    <x:definedName name="D.M14.2">#N/A</x:definedName>
    <x:definedName name="D.M14.2b">#N/A</x:definedName>
    <x:definedName name="D.MDTa">#N/A</x:definedName>
    <x:definedName name="D.MDTb">#N/A</x:definedName>
    <x:definedName name="D.MTCat">#N/A</x:definedName>
    <x:definedName name="D.MTCatb">#N/A</x:definedName>
    <x:definedName name="d_">#N/A</x:definedName>
    <x:definedName name="d_1">#N/A</x:definedName>
    <x:definedName name="d_1I">#N/A</x:definedName>
    <x:definedName name="d_1II">#N/A</x:definedName>
    <x:definedName name="d_1III">#N/A</x:definedName>
    <x:definedName name="d_1IV">#N/A</x:definedName>
    <x:definedName name="d_2">#N/A</x:definedName>
    <x:definedName name="d_2I">#N/A</x:definedName>
    <x:definedName name="d_2II">#N/A</x:definedName>
    <x:definedName name="d_2III">#N/A</x:definedName>
    <x:definedName name="d_2IV">#N/A</x:definedName>
    <x:definedName name="d_3">#N/A</x:definedName>
    <x:definedName name="d_3I">#N/A</x:definedName>
    <x:definedName name="d_3II">#N/A</x:definedName>
    <x:definedName name="d_3III">#N/A</x:definedName>
    <x:definedName name="d_3IV">#N/A</x:definedName>
    <x:definedName name="d_4">#N/A</x:definedName>
    <x:definedName name="d_4I">#N/A</x:definedName>
    <x:definedName name="d_4II">#N/A</x:definedName>
    <x:definedName name="d_4III">#N/A</x:definedName>
    <x:definedName name="d_4IV">#N/A</x:definedName>
    <x:definedName name="D_7101A_B">#N/A</x:definedName>
    <x:definedName name="d_9bI">#N/A</x:definedName>
    <x:definedName name="d_9bII">#N/A</x:definedName>
    <x:definedName name="d_9bIII">#N/A</x:definedName>
    <x:definedName name="d_9bIV">#N/A</x:definedName>
    <x:definedName name="d_9I">#N/A</x:definedName>
    <x:definedName name="d_9II">#N/A</x:definedName>
    <x:definedName name="d_9III">#N/A</x:definedName>
    <x:definedName name="d_9IV">#N/A</x:definedName>
    <x:definedName name="d1_">#N/A</x:definedName>
    <x:definedName name="D1x49">#N/A</x:definedName>
    <x:definedName name="D1x49x49">#N/A</x:definedName>
    <x:definedName name="d1x6">#N/A</x:definedName>
    <x:definedName name="D1Z">#N/A</x:definedName>
    <x:definedName name="d2.7">#N/A</x:definedName>
    <x:definedName name="d2_">#N/A</x:definedName>
    <x:definedName name="d24nc">#N/A</x:definedName>
    <x:definedName name="d24vl">#N/A</x:definedName>
    <x:definedName name="d3.0">#N/A</x:definedName>
    <x:definedName name="d3.5">#N/A</x:definedName>
    <x:definedName name="d3_">#N/A</x:definedName>
    <x:definedName name="D4.0">#N/A</x:definedName>
    <x:definedName name="d4_">#N/A</x:definedName>
    <x:definedName name="D4Z">#N/A</x:definedName>
    <x:definedName name="d5_">#N/A</x:definedName>
    <x:definedName name="DA">#N/A</x:definedName>
    <x:definedName name="da1x2">#N/A</x:definedName>
    <x:definedName name="da2x4">#N/A</x:definedName>
    <x:definedName name="da4x6">#N/A</x:definedName>
    <x:definedName name="dadas">#N/A</x:definedName>
    <x:definedName name="DAILATHANH" hidden="1">{"'Sheet1'!$L$16"}</x:definedName>
    <x:definedName name="Dalan">#N/A</x:definedName>
    <x:definedName name="DALANPASTE">#N/A</x:definedName>
    <x:definedName name="Dam33_Bdien">#N/A</x:definedName>
    <x:definedName name="Dam33va24m">#N/A</x:definedName>
    <x:definedName name="Damhop">#N/A</x:definedName>
    <x:definedName name="DamHop33m">#N/A</x:definedName>
    <x:definedName name="DamThepTraBong">#N/A</x:definedName>
    <x:definedName name="dang" hidden="1">{"'Sheet1'!$L$16"}</x:definedName>
    <x:definedName name="Danh_sach_hang">#N/A</x:definedName>
    <x:definedName name="Daodat">#N/A</x:definedName>
    <x:definedName name="daotd">#N/A</x:definedName>
    <x:definedName name="dap">#N/A</x:definedName>
    <x:definedName name="Dapcat">#N/A</x:definedName>
    <x:definedName name="dapdbm1">#N/A</x:definedName>
    <x:definedName name="dapdbm2">#N/A</x:definedName>
    <x:definedName name="daptd">#N/A</x:definedName>
    <x:definedName name="DAT">#N/A</x:definedName>
    <x:definedName name="data">#N/A</x:definedName>
    <x:definedName name="data1" hidden="1">#REF!</x:definedName>
    <x:definedName name="data10">#N/A</x:definedName>
    <x:definedName name="data11">#N/A</x:definedName>
    <x:definedName name="data12">#N/A</x:definedName>
    <x:definedName name="data13">#N/A</x:definedName>
    <x:definedName name="data14">#N/A</x:definedName>
    <x:definedName name="data15">#N/A</x:definedName>
    <x:definedName name="data16">#N/A</x:definedName>
    <x:definedName name="data17">#N/A</x:definedName>
    <x:definedName name="data18">#N/A</x:definedName>
    <x:definedName name="data19">#N/A</x:definedName>
    <x:definedName name="data2" hidden="1">#REF!</x:definedName>
    <x:definedName name="data20">#N/A</x:definedName>
    <x:definedName name="data21">#N/A</x:definedName>
    <x:definedName name="data22">#N/A</x:definedName>
    <x:definedName name="data23">#N/A</x:definedName>
    <x:definedName name="data24">#N/A</x:definedName>
    <x:definedName name="data25">#N/A</x:definedName>
    <x:definedName name="data26">#N/A</x:definedName>
    <x:definedName name="data27">#N/A</x:definedName>
    <x:definedName name="data28">#N/A</x:definedName>
    <x:definedName name="data29">#N/A</x:definedName>
    <x:definedName name="data3" hidden="1">#REF!</x:definedName>
    <x:definedName name="data30">#N/A</x:definedName>
    <x:definedName name="data31">#N/A</x:definedName>
    <x:definedName name="data32">#N/A</x:definedName>
    <x:definedName name="data33">#N/A</x:definedName>
    <x:definedName name="data34">#N/A</x:definedName>
    <x:definedName name="data35">#N/A</x:definedName>
    <x:definedName name="data36">#N/A</x:definedName>
    <x:definedName name="data37">#N/A</x:definedName>
    <x:definedName name="data38">#N/A</x:definedName>
    <x:definedName name="data39">#N/A</x:definedName>
    <x:definedName name="data4">#N/A</x:definedName>
    <x:definedName name="data40">#N/A</x:definedName>
    <x:definedName name="data41">#N/A</x:definedName>
    <x:definedName name="data42">#N/A</x:definedName>
    <x:definedName name="data43">#N/A</x:definedName>
    <x:definedName name="data44">#N/A</x:definedName>
    <x:definedName name="data45">#N/A</x:definedName>
    <x:definedName name="data46">#N/A</x:definedName>
    <x:definedName name="data47">#N/A</x:definedName>
    <x:definedName name="data48">#N/A</x:definedName>
    <x:definedName name="data49">#N/A</x:definedName>
    <x:definedName name="data5">#N/A</x:definedName>
    <x:definedName name="data50">#N/A</x:definedName>
    <x:definedName name="data51">#N/A</x:definedName>
    <x:definedName name="data52">#N/A</x:definedName>
    <x:definedName name="data53">#N/A</x:definedName>
    <x:definedName name="data54">#N/A</x:definedName>
    <x:definedName name="data55">#N/A</x:definedName>
    <x:definedName name="data56">#N/A</x:definedName>
    <x:definedName name="data57">#N/A</x:definedName>
    <x:definedName name="data58">#N/A</x:definedName>
    <x:definedName name="data59">#N/A</x:definedName>
    <x:definedName name="data6">#N/A</x:definedName>
    <x:definedName name="data60">#N/A</x:definedName>
    <x:definedName name="data61">#N/A</x:definedName>
    <x:definedName name="data62">#N/A</x:definedName>
    <x:definedName name="data63">#N/A</x:definedName>
    <x:definedName name="data64">#N/A</x:definedName>
    <x:definedName name="data65">#N/A</x:definedName>
    <x:definedName name="data66">#N/A</x:definedName>
    <x:definedName name="data67">#N/A</x:definedName>
    <x:definedName name="data68">#N/A</x:definedName>
    <x:definedName name="data69">#N/A</x:definedName>
    <x:definedName name="data7">#N/A</x:definedName>
    <x:definedName name="data70">#N/A</x:definedName>
    <x:definedName name="data8">#N/A</x:definedName>
    <x:definedName name="data9">#N/A</x:definedName>
    <x:definedName name="_xlnm.Database">#N/A</x:definedName>
    <x:definedName name="DataFilter">#N/A</x:definedName>
    <x:definedName name="datak">#N/A</x:definedName>
    <x:definedName name="datal">#N/A</x:definedName>
    <x:definedName name="DataSort">#N/A</x:definedName>
    <x:definedName name="Datdoi">#N/A</x:definedName>
    <x:definedName name="Dautu" hidden="1">{"'Sheet1'!$L$16"}</x:definedName>
    <x:definedName name="dayAE35">#N/A</x:definedName>
    <x:definedName name="dayAE50">#N/A</x:definedName>
    <x:definedName name="dayAE70">#N/A</x:definedName>
    <x:definedName name="dayAE95">#N/A</x:definedName>
    <x:definedName name="Daythep">#N/A</x:definedName>
    <x:definedName name="db">#N/A</x:definedName>
    <x:definedName name="dc">#N/A</x:definedName>
    <x:definedName name="Dcap">#N/A</x:definedName>
    <x:definedName name="dcc">#N/A</x:definedName>
    <x:definedName name="DCda">#N/A</x:definedName>
    <x:definedName name="DCdi">#N/A</x:definedName>
    <x:definedName name="Dch">#N/A</x:definedName>
    <x:definedName name="dche">#N/A</x:definedName>
    <x:definedName name="DCKT">#N/A</x:definedName>
    <x:definedName name="dcl">#N/A</x:definedName>
    <x:definedName name="DCm">#N/A</x:definedName>
    <x:definedName name="Dcol">#N/A</x:definedName>
    <x:definedName name="DCp">#N/A</x:definedName>
    <x:definedName name="DD" hidden="1">{"'Sheet1'!$L$16"}</x:definedName>
    <x:definedName name="dd0.5x1">#N/A</x:definedName>
    <x:definedName name="dd1pnc">#N/A</x:definedName>
    <x:definedName name="dd1pvl">#N/A</x:definedName>
    <x:definedName name="dd1x2">#N/A</x:definedName>
    <x:definedName name="dd2x4">#N/A</x:definedName>
    <x:definedName name="dd3pctnc">#N/A</x:definedName>
    <x:definedName name="dd3pctvl">#N/A</x:definedName>
    <x:definedName name="dd3plmvl">#N/A</x:definedName>
    <x:definedName name="dd3pnc">#N/A</x:definedName>
    <x:definedName name="dd3pvl">#N/A</x:definedName>
    <x:definedName name="dd4x6">#N/A</x:definedName>
    <x:definedName name="ddabm">#N/A</x:definedName>
    <x:definedName name="dday">#N/A</x:definedName>
    <x:definedName name="ddbm500">#N/A</x:definedName>
    <x:definedName name="ddd" hidden="1">{"'Sheet1'!$L$16"}</x:definedName>
    <x:definedName name="dddddddddd">[0]!dddddddddd</x:definedName>
    <x:definedName name="dddddddddddddd">[0]!dddddddddddddd</x:definedName>
    <x:definedName name="ddddddddddddddd">[0]!ddddddddddddddd</x:definedName>
    <x:definedName name="ddddddddddddddddd">'[6]Danh mục'!$A$5:$A$1467</x:definedName>
    <x:definedName name="dden">#N/A</x:definedName>
    <x:definedName name="ddhtnc">#N/A</x:definedName>
    <x:definedName name="ddhtvl">#N/A</x:definedName>
    <x:definedName name="ddia">#N/A</x:definedName>
    <x:definedName name="ddien">#N/A</x:definedName>
    <x:definedName name="DDK">#N/A</x:definedName>
    <x:definedName name="ddt2nc">#N/A</x:definedName>
    <x:definedName name="ddt2vl">#N/A</x:definedName>
    <x:definedName name="ddtd3pnc">#N/A</x:definedName>
    <x:definedName name="ddtt1pnc">#N/A</x:definedName>
    <x:definedName name="ddtt1pvl">#N/A</x:definedName>
    <x:definedName name="ddtt3pnc">#N/A</x:definedName>
    <x:definedName name="ddtt3pvl">#N/A</x:definedName>
    <x:definedName name="de">#N/A</x:definedName>
    <x:definedName name="deedfsd" hidden="1">{"'Sheet1'!$L$16"}</x:definedName>
    <x:definedName name="DEEE">[0]!DEEE</x:definedName>
    <x:definedName name="den_bu">#N/A</x:definedName>
    <x:definedName name="denbu">#N/A</x:definedName>
    <x:definedName name="DES">[0]!DES</x:definedName>
    <x:definedName name="Det32x3">#N/A</x:definedName>
    <x:definedName name="Det35x3">#N/A</x:definedName>
    <x:definedName name="Det40x4">#N/A</x:definedName>
    <x:definedName name="Det50x5">#N/A</x:definedName>
    <x:definedName name="Det63x6">#N/A</x:definedName>
    <x:definedName name="Det75x6">#N/A</x:definedName>
    <x:definedName name="df">#N/A</x:definedName>
    <x:definedName name="dfafd" hidden="1">{"'Sheet1'!$L$16"}</x:definedName>
    <x:definedName name="đfbgdgă" hidden="1">{"Offgrid",#N/A,FALSE,"OFFGRID";"Region",#N/A,FALSE,"REGION";"Offgrid -2",#N/A,FALSE,"OFFGRID";"WTP",#N/A,FALSE,"WTP";"WTP -2",#N/A,FALSE,"WTP";"Project",#N/A,FALSE,"PROJECT";"Summary -2",#N/A,FALSE,"SUMMARY"}</x:definedName>
    <x:definedName name="dfd" hidden="1">#N/A</x:definedName>
    <x:definedName name="dfdfd" hidden="1">#REF!</x:definedName>
    <x:definedName name="dfdsf" hidden="1">{"'Sheet1'!$L$16"}</x:definedName>
    <x:definedName name="dfdsfdsf" hidden="1">#REF!</x:definedName>
    <x:definedName name="DFFFF">[0]!DFFFF</x:definedName>
    <x:definedName name="dfg" hidden="1">{"'Sheet1'!$L$16"}</x:definedName>
    <x:definedName name="dfgdf">#N/A</x:definedName>
    <x:definedName name="dfgdfggf">#N/A</x:definedName>
    <x:definedName name="dfgmsdkg" hidden="1">#REF!</x:definedName>
    <x:definedName name="dfh" hidden="1">{"'Sheet1'!$L$16"}</x:definedName>
    <x:definedName name="dflk">#N/A</x:definedName>
    <x:definedName name="dflt1">#N/A</x:definedName>
    <x:definedName name="dflt2">#N/A</x:definedName>
    <x:definedName name="dflt3">#N/A</x:definedName>
    <x:definedName name="dflt4">#N/A</x:definedName>
    <x:definedName name="dflt5">#N/A</x:definedName>
    <x:definedName name="dflt6">#N/A</x:definedName>
    <x:definedName name="dflt7">#N/A</x:definedName>
    <x:definedName name="đfnfndfn" hidden="1">{#N/A,#N/A,FALSE,"Chi tiÆt"}</x:definedName>
    <x:definedName name="dfsfsd" hidden="1">{"'Sheet1'!$L$16"}</x:definedName>
    <x:definedName name="dg">#N/A</x:definedName>
    <x:definedName name="dg_cau">#N/A</x:definedName>
    <x:definedName name="dg_duong">#N/A</x:definedName>
    <x:definedName name="DG1M3BETONG">#N/A</x:definedName>
    <x:definedName name="dgbdII">#N/A</x:definedName>
    <x:definedName name="DGCocKhoanNhoi">#N/A</x:definedName>
    <x:definedName name="DGCocOng_D1M">#N/A</x:definedName>
    <x:definedName name="DGCTDam33">#N/A</x:definedName>
    <x:definedName name="DGCTdamKhungT">#N/A</x:definedName>
    <x:definedName name="DGCTI592">#N/A</x:definedName>
    <x:definedName name="DGCTMatCauLanCan">#N/A</x:definedName>
    <x:definedName name="DGCTPhanDuoi">#N/A</x:definedName>
    <x:definedName name="dgdagkadfkg" hidden="1">#REF!</x:definedName>
    <x:definedName name="dgdfgdfgf" hidden="1">#REF!</x:definedName>
    <x:definedName name="dgdz">#N/A</x:definedName>
    <x:definedName name="dgg" hidden="1">#REF!</x:definedName>
    <x:definedName name="DGM">#N/A</x:definedName>
    <x:definedName name="DGNC">#N/A</x:definedName>
    <x:definedName name="dgqndn">#N/A</x:definedName>
    <x:definedName name="dgsdfgdfag" hidden="1">#REF!</x:definedName>
    <x:definedName name="DGTH">#N/A</x:definedName>
    <x:definedName name="DGTH1">#N/A</x:definedName>
    <x:definedName name="dgth2">#N/A</x:definedName>
    <x:definedName name="DGTR">#N/A</x:definedName>
    <x:definedName name="dgvl">#N/A</x:definedName>
    <x:definedName name="DGVL1">#N/A</x:definedName>
    <x:definedName name="DGVT">#N/A</x:definedName>
    <x:definedName name="dh">#N/A</x:definedName>
    <x:definedName name="đhf" hidden="1">{"'Sheet1'!$L$16"}</x:definedName>
    <x:definedName name="dhom">#N/A</x:definedName>
    <x:definedName name="dhtdh" hidden="1">{"Offgrid",#N/A,FALSE,"OFFGRID";"Region",#N/A,FALSE,"REGION";"Offgrid -2",#N/A,FALSE,"OFFGRID";"WTP",#N/A,FALSE,"WTP";"WTP -2",#N/A,FALSE,"WTP";"Project",#N/A,FALSE,"PROJECT";"Summary -2",#N/A,FALSE,"SUMMARY"}</x:definedName>
    <x:definedName name="Dia_Chi_Congty_E" hidden="1">[7]Thong_tin!$E$13</x:definedName>
    <x:definedName name="Dia_Chi_Congty_V" hidden="1">[7]Thong_tin!$D$13</x:definedName>
    <x:definedName name="DICH11">#N/A</x:definedName>
    <x:definedName name="dich22">#N/A</x:definedName>
    <x:definedName name="Diem.Apr" hidden="1">#N/A</x:definedName>
    <x:definedName name="dien">#N/A</x:definedName>
    <x:definedName name="dim">#N/A</x:definedName>
    <x:definedName name="DIMM_64MB_ECC_PC133">#N/A</x:definedName>
    <x:definedName name="dinhdia">#N/A</x:definedName>
    <x:definedName name="Discount" hidden="1">#REF!</x:definedName>
    <x:definedName name="display_area_1">#N/A</x:definedName>
    <x:definedName name="display_area_2" hidden="1">#REF!</x:definedName>
    <x:definedName name="Dist">#N/A</x:definedName>
    <x:definedName name="DKTT">#REF!</x:definedName>
    <x:definedName name="dl">#N/A</x:definedName>
    <x:definedName name="DL15HT">#N/A</x:definedName>
    <x:definedName name="DL16HT">#N/A</x:definedName>
    <x:definedName name="DL19HT">#N/A</x:definedName>
    <x:definedName name="DL20HT">#N/A</x:definedName>
    <x:definedName name="DLSE">#N/A</x:definedName>
    <x:definedName name="DLST">#N/A</x:definedName>
    <x:definedName name="dm">#N/A</x:definedName>
    <x:definedName name="DM_HH">#N/A</x:definedName>
    <x:definedName name="dm1.">#N/A</x:definedName>
    <x:definedName name="dm2.">#N/A</x:definedName>
    <x:definedName name="dm56bxd">#N/A</x:definedName>
    <x:definedName name="dmat">#N/A</x:definedName>
    <x:definedName name="DMC">#N/A</x:definedName>
    <x:definedName name="DMCa">#N/A</x:definedName>
    <x:definedName name="DMDTKH">#N/A</x:definedName>
    <x:definedName name="dmdv">#N/A</x:definedName>
    <x:definedName name="DMHH">#N/A</x:definedName>
    <x:definedName name="DMnhanvien">#N/A</x:definedName>
    <x:definedName name="dmoi">#N/A</x:definedName>
    <x:definedName name="dmxl2" hidden="1">{"'Sheet1'!$L$16"}</x:definedName>
    <x:definedName name="dmz">#N/A</x:definedName>
    <x:definedName name="dn">#N/A</x:definedName>
    <x:definedName name="dno">#N/A</x:definedName>
    <x:definedName name="DÑt45x4">#N/A</x:definedName>
    <x:definedName name="DOANH_SO">#N/A</x:definedName>
    <x:definedName name="Doanh_thu">#N/A</x:definedName>
    <x:definedName name="dobt">#N/A</x:definedName>
    <x:definedName name="Document_array">{"ONGNGOAINHA.xls","Sheet1"}</x:definedName>
    <x:definedName name="Documents_array">#N/A</x:definedName>
    <x:definedName name="Don_Vi_Tinh_E" hidden="1">[7]Thong_tin!$E$22</x:definedName>
    <x:definedName name="dong" hidden="1">{"'Sheet1'!$L$16"}</x:definedName>
    <x:definedName name="dongia">#N/A</x:definedName>
    <x:definedName name="dongia1">#N/A</x:definedName>
    <x:definedName name="DonGiaDamMabey">#N/A</x:definedName>
    <x:definedName name="DoorWindow">#N/A</x:definedName>
    <x:definedName name="Dp">#N/A</x:definedName>
    <x:definedName name="drda">#N/A</x:definedName>
    <x:definedName name="drdat">#N/A</x:definedName>
    <x:definedName name="Drop2">#N/A</x:definedName>
    <x:definedName name="Drop3">#N/A</x:definedName>
    <x:definedName name="drop4">#N/A</x:definedName>
    <x:definedName name="drrrrrrr">[0]!drrrrrrr</x:definedName>
    <x:definedName name="ds">#N/A</x:definedName>
    <x:definedName name="ds1pnc">#N/A</x:definedName>
    <x:definedName name="ds1pvl">#N/A</x:definedName>
    <x:definedName name="ds3pnc">#N/A</x:definedName>
    <x:definedName name="ds3pvl">#N/A</x:definedName>
    <x:definedName name="dsa">#N/A</x:definedName>
    <x:definedName name="dsct3pnc">#N/A</x:definedName>
    <x:definedName name="dsct3pvl">#N/A</x:definedName>
    <x:definedName name="dsfhkjdsfds" hidden="1">{"'Sheet1'!$L$16"}</x:definedName>
    <x:definedName name="dsfsdfsd" hidden="1">#REF!</x:definedName>
    <x:definedName name="dsgsw.sgrs.grsg_.sg" hidden="1">{#N/A,#N/A,FALSE,"Chi tiÆt"}</x:definedName>
    <x:definedName name="Dsoil">#N/A</x:definedName>
    <x:definedName name="DSPS" hidden="1">{"'Sheet1'!$L$16"}</x:definedName>
    <x:definedName name="DSUMDATA">#N/A</x:definedName>
    <x:definedName name="Dsup">#N/A</x:definedName>
    <x:definedName name="DTBH">#N/A</x:definedName>
    <x:definedName name="dtg">#N/A</x:definedName>
    <x:definedName name="DTTK" hidden="1">{"'Sheet1'!$L$16"}</x:definedName>
    <x:definedName name="DTTVGM163" hidden="1">{"'Sheet1'!$L$16"}</x:definedName>
    <x:definedName name="du" hidden="1">{"'Sheet1'!$L$16"}</x:definedName>
    <x:definedName name="duc" hidden="1">{"'Sheet1'!$L$16"}</x:definedName>
    <x:definedName name="DUCKY_CO_CD">#N/A</x:definedName>
    <x:definedName name="DUCKY_NO_CD">#N/A</x:definedName>
    <x:definedName name="DUDKY_CO_CD">#N/A</x:definedName>
    <x:definedName name="DUDKY_NO_CD">#N/A</x:definedName>
    <x:definedName name="dui1.5">#N/A</x:definedName>
    <x:definedName name="duong">#N/A</x:definedName>
    <x:definedName name="duong04">#N/A</x:definedName>
    <x:definedName name="duong1">#N/A</x:definedName>
    <x:definedName name="duong2">#N/A</x:definedName>
    <x:definedName name="duong3">#N/A</x:definedName>
    <x:definedName name="duong35">#N/A</x:definedName>
    <x:definedName name="duong4">#N/A</x:definedName>
    <x:definedName name="duong5">#N/A</x:definedName>
    <x:definedName name="dutoanc2" hidden="1">{"'Sheet1'!$L$16"}</x:definedName>
    <x:definedName name="DutoanDongmo">#N/A</x:definedName>
    <x:definedName name="DV">#N/A</x:definedName>
    <x:definedName name="DW">#N/A</x:definedName>
    <x:definedName name="DWc">#N/A</x:definedName>
    <x:definedName name="DWp">#N/A</x:definedName>
    <x:definedName name="dxd">#N/A</x:definedName>
    <x:definedName name="dz">#N/A</x:definedName>
    <x:definedName name="Dz_35">#N/A</x:definedName>
    <x:definedName name="E">#N/A</x:definedName>
    <x:definedName name="E1.000">#N/A</x:definedName>
    <x:definedName name="E1.010">#N/A</x:definedName>
    <x:definedName name="E1.020">#N/A</x:definedName>
    <x:definedName name="E1.200">#N/A</x:definedName>
    <x:definedName name="E1.210">#N/A</x:definedName>
    <x:definedName name="E1.220">#N/A</x:definedName>
    <x:definedName name="E1.300">#N/A</x:definedName>
    <x:definedName name="E1.310">#N/A</x:definedName>
    <x:definedName name="E1.320">#N/A</x:definedName>
    <x:definedName name="E1.400">#N/A</x:definedName>
    <x:definedName name="E1.410">#N/A</x:definedName>
    <x:definedName name="E1.420">#N/A</x:definedName>
    <x:definedName name="E1.500">#N/A</x:definedName>
    <x:definedName name="E1.510">#N/A</x:definedName>
    <x:definedName name="E1.520">#N/A</x:definedName>
    <x:definedName name="E1.600">#N/A</x:definedName>
    <x:definedName name="E1.611">#N/A</x:definedName>
    <x:definedName name="E1.631">#N/A</x:definedName>
    <x:definedName name="E2.000">#N/A</x:definedName>
    <x:definedName name="E2.000A">#N/A</x:definedName>
    <x:definedName name="E2.010">#N/A</x:definedName>
    <x:definedName name="E2.010A">#N/A</x:definedName>
    <x:definedName name="E2.020">#N/A</x:definedName>
    <x:definedName name="E2.020A">#N/A</x:definedName>
    <x:definedName name="E2.100">#N/A</x:definedName>
    <x:definedName name="E2.100A">#N/A</x:definedName>
    <x:definedName name="E2.110">#N/A</x:definedName>
    <x:definedName name="E2.110A">#N/A</x:definedName>
    <x:definedName name="E2.120">#N/A</x:definedName>
    <x:definedName name="E2.120A">#N/A</x:definedName>
    <x:definedName name="E3.000">#N/A</x:definedName>
    <x:definedName name="E3.010">#N/A</x:definedName>
    <x:definedName name="E3.020">#N/A</x:definedName>
    <x:definedName name="E3.031">#N/A</x:definedName>
    <x:definedName name="E3.032">#N/A</x:definedName>
    <x:definedName name="E3.033">#N/A</x:definedName>
    <x:definedName name="E4.001">#N/A</x:definedName>
    <x:definedName name="E4.011">#N/A</x:definedName>
    <x:definedName name="E4.021">#N/A</x:definedName>
    <x:definedName name="E4.101">#N/A</x:definedName>
    <x:definedName name="E4.111">#N/A</x:definedName>
    <x:definedName name="E4.121">#N/A</x:definedName>
    <x:definedName name="E5.010">#N/A</x:definedName>
    <x:definedName name="E5.020">#N/A</x:definedName>
    <x:definedName name="E5.030">#N/A</x:definedName>
    <x:definedName name="E6.001">#N/A</x:definedName>
    <x:definedName name="E6.002">#N/A</x:definedName>
    <x:definedName name="E6.011">#N/A</x:definedName>
    <x:definedName name="E6.012">#N/A</x:definedName>
    <x:definedName name="Earthwork">#N/A</x:definedName>
    <x:definedName name="Ec">#N/A</x:definedName>
    <x:definedName name="ED" hidden="1">{#N/A,#N/A,FALSE,"CCTV"}</x:definedName>
    <x:definedName name="EEE">[0]!EEE</x:definedName>
    <x:definedName name="EEEEE">[0]!EEEEE</x:definedName>
    <x:definedName name="eeeeeeeeeeeee">[0]!eeeeeeeeeeeee</x:definedName>
    <x:definedName name="egw" hidden="1">{"Offgrid",#N/A,FALSE,"OFFGRID";"Region",#N/A,FALSE,"REGION";"Offgrid -2",#N/A,FALSE,"OFFGRID";"WTP",#N/A,FALSE,"WTP";"WTP -2",#N/A,FALSE,"WTP";"Project",#N/A,FALSE,"PROJECT";"Summary -2",#N/A,FALSE,"SUMMARY"}</x:definedName>
    <x:definedName name="eheh" hidden="1">{"Offgrid",#N/A,FALSE,"OFFGRID";"Region",#N/A,FALSE,"REGION";"Offgrid -2",#N/A,FALSE,"OFFGRID";"WTP",#N/A,FALSE,"WTP";"WTP -2",#N/A,FALSE,"WTP";"Project",#N/A,FALSE,"PROJECT";"Summary -2",#N/A,FALSE,"SUMMARY"}</x:definedName>
    <x:definedName name="EIRR11">#N/A</x:definedName>
    <x:definedName name="EIRR22">#N/A</x:definedName>
    <x:definedName name="EL1_">#N/A</x:definedName>
    <x:definedName name="EL2_">#N/A</x:definedName>
    <x:definedName name="EL3_">#N/A</x:definedName>
    <x:definedName name="EL4_">#N/A</x:definedName>
    <x:definedName name="EL5_">#N/A</x:definedName>
    <x:definedName name="EL6_">#N/A</x:definedName>
    <x:definedName name="ELb">#N/A</x:definedName>
    <x:definedName name="ELc">#N/A</x:definedName>
    <x:definedName name="elev1">#N/A</x:definedName>
    <x:definedName name="elev2">#N/A</x:definedName>
    <x:definedName name="elev3">#N/A</x:definedName>
    <x:definedName name="ELLEN1" hidden="1">{#N/A,#N/A,FALSE,"CCTV"}</x:definedName>
    <x:definedName name="ELLEN10" hidden="1">{#N/A,#N/A,FALSE,"CCTV"}</x:definedName>
    <x:definedName name="ELLEN11" hidden="1">{#N/A,#N/A,FALSE,"CCTV"}</x:definedName>
    <x:definedName name="ELLEN12" hidden="1">{#N/A,#N/A,FALSE,"CCTV"}</x:definedName>
    <x:definedName name="ELLEN13" hidden="1">{#N/A,#N/A,FALSE,"CCTV"}</x:definedName>
    <x:definedName name="ELLEN14" hidden="1">{#N/A,#N/A,FALSE,"CCTV"}</x:definedName>
    <x:definedName name="ELLEN15" hidden="1">{#N/A,#N/A,FALSE,"CCTV"}</x:definedName>
    <x:definedName name="ELLEN16" hidden="1">{#N/A,#N/A,FALSE,"CCTV"}</x:definedName>
    <x:definedName name="ELLEN17" hidden="1">{#N/A,#N/A,FALSE,"CCTV"}</x:definedName>
    <x:definedName name="ELLEN18" hidden="1">{#N/A,#N/A,FALSE,"CCTV"}</x:definedName>
    <x:definedName name="ELLEN19" hidden="1">{#N/A,#N/A,FALSE,"CCTV"}</x:definedName>
    <x:definedName name="ELLEN2" hidden="1">{#N/A,#N/A,FALSE,"CCTV"}</x:definedName>
    <x:definedName name="ELLEN3" hidden="1">{#N/A,#N/A,FALSE,"CCTV"}</x:definedName>
    <x:definedName name="ELLEN4" hidden="1">{#N/A,#N/A,FALSE,"CCTV"}</x:definedName>
    <x:definedName name="ELLEN5" hidden="1">{#N/A,#N/A,FALSE,"CCTV"}</x:definedName>
    <x:definedName name="ELLEN6" hidden="1">{#N/A,#N/A,FALSE,"CCTV"}</x:definedName>
    <x:definedName name="ELLEN7" hidden="1">{#N/A,#N/A,FALSE,"CCTV"}</x:definedName>
    <x:definedName name="ELLEN8" hidden="1">{#N/A,#N/A,FALSE,"CCTV"}</x:definedName>
    <x:definedName name="ELLEN9" hidden="1">{#N/A,#N/A,FALSE,"CCTV"}</x:definedName>
    <x:definedName name="elp">#N/A</x:definedName>
    <x:definedName name="ELsf">#N/A</x:definedName>
    <x:definedName name="ELso">#N/A</x:definedName>
    <x:definedName name="End_1">#N/A</x:definedName>
    <x:definedName name="End_10">#N/A</x:definedName>
    <x:definedName name="End_11">#N/A</x:definedName>
    <x:definedName name="End_12">#N/A</x:definedName>
    <x:definedName name="End_13">#N/A</x:definedName>
    <x:definedName name="End_2">#N/A</x:definedName>
    <x:definedName name="End_3">#N/A</x:definedName>
    <x:definedName name="End_4">#N/A</x:definedName>
    <x:definedName name="End_5">#N/A</x:definedName>
    <x:definedName name="End_6">#N/A</x:definedName>
    <x:definedName name="End_7">#N/A</x:definedName>
    <x:definedName name="End_8">#N/A</x:definedName>
    <x:definedName name="End_9">#N/A</x:definedName>
    <x:definedName name="Es">#N/A</x:definedName>
    <x:definedName name="esgtew" hidden="1">{#N/A,#N/A,FALSE,"Chi tiÆt"}</x:definedName>
    <x:definedName name="etethtehbdex" hidden="1">{#N/A,#N/A,FALSE,"Chi tiÆt"}</x:definedName>
    <x:definedName name="êthtêt" hidden="1">{"Offgrid",#N/A,FALSE,"OFFGRID";"Region",#N/A,FALSE,"REGION";"Offgrid -2",#N/A,FALSE,"OFFGRID";"WTP",#N/A,FALSE,"WTP";"WTP -2",#N/A,FALSE,"WTP";"Project",#N/A,FALSE,"PROJECT";"Summary -2",#N/A,FALSE,"SUMMARY"}</x:definedName>
    <x:definedName name="etqgsg_đhs" hidden="1">{"'Sheet1'!$L$16"}</x:definedName>
    <x:definedName name="etrw45.đ" hidden="1">{"Offgrid",#N/A,FALSE,"OFFGRID";"Region",#N/A,FALSE,"REGION";"Offgrid -2",#N/A,FALSE,"OFFGRID";"WTP",#N/A,FALSE,"WTP";"WTP -2",#N/A,FALSE,"WTP";"Project",#N/A,FALSE,"PROJECT";"Summary -2",#N/A,FALSE,"SUMMARY"}</x:definedName>
    <x:definedName name="ewrew" hidden="1">#N/A</x:definedName>
    <x:definedName name="ewt" hidden="1">#N/A</x:definedName>
    <x:definedName name="ex">#N/A</x:definedName>
    <x:definedName name="ExactAddinConnection" hidden="1">"003"</x:definedName>
    <x:definedName name="ExactAddinConnection.002" hidden="1">"CPNT01;003;mengtalekk;1"</x:definedName>
    <x:definedName name="ExactAddinConnection.003" hidden="1">"CPNT01;006;mengtalekk;1"</x:definedName>
    <x:definedName name="ExactAddinReports" hidden="1">2</x:definedName>
    <x:definedName name="Extra" hidden="1">{"'Sheet1'!$L$16"}</x:definedName>
    <x:definedName name="_xlnm.Extract">#N/A</x:definedName>
    <x:definedName name="ey">#N/A</x:definedName>
    <x:definedName name="eygswgq" hidden="1">{#N/A,#N/A,FALSE,"Chi tiÆt"}</x:definedName>
    <x:definedName name="êyh" hidden="1">{"Offgrid",#N/A,FALSE,"OFFGRID";"Region",#N/A,FALSE,"REGION";"Offgrid -2",#N/A,FALSE,"OFFGRID";"WTP",#N/A,FALSE,"WTP";"WTP -2",#N/A,FALSE,"WTP";"Project",#N/A,FALSE,"PROJECT";"Summary -2",#N/A,FALSE,"SUMMARY"}</x:definedName>
    <x:definedName name="f">[5]Sheet3!$A$6:$B$9</x:definedName>
    <x:definedName name="F.10">#N/A</x:definedName>
    <x:definedName name="F.7">#N/A</x:definedName>
    <x:definedName name="F.8">#N/A</x:definedName>
    <x:definedName name="F.9">#N/A</x:definedName>
    <x:definedName name="f_2">#N/A</x:definedName>
    <x:definedName name="f_21">#N/A</x:definedName>
    <x:definedName name="f_22">#N/A</x:definedName>
    <x:definedName name="f_23">#N/A</x:definedName>
    <x:definedName name="f_24">#N/A</x:definedName>
    <x:definedName name="f_3">#N/A</x:definedName>
    <x:definedName name="f_31">#N/A</x:definedName>
    <x:definedName name="f_32">#N/A</x:definedName>
    <x:definedName name="F_33">#N/A</x:definedName>
    <x:definedName name="f_34">#N/A</x:definedName>
    <x:definedName name="f_4">#N/A</x:definedName>
    <x:definedName name="f_41">#N/A</x:definedName>
    <x:definedName name="f_42">#N/A</x:definedName>
    <x:definedName name="f_43">#N/A</x:definedName>
    <x:definedName name="f_44">#N/A</x:definedName>
    <x:definedName name="f_9a1">#N/A</x:definedName>
    <x:definedName name="f_9a2">#N/A</x:definedName>
    <x:definedName name="f_9a3">#N/A</x:definedName>
    <x:definedName name="f_9a4">#N/A</x:definedName>
    <x:definedName name="f_9b1">#N/A</x:definedName>
    <x:definedName name="f_9b2">#N/A</x:definedName>
    <x:definedName name="f_9b3">#N/A</x:definedName>
    <x:definedName name="f_9b4">#N/A</x:definedName>
    <x:definedName name="F_ChonMong">#N/A</x:definedName>
    <x:definedName name="F_CongDon">#N/A</x:definedName>
    <x:definedName name="F0.000">#N/A</x:definedName>
    <x:definedName name="F0.010">#N/A</x:definedName>
    <x:definedName name="F0.020">#N/A</x:definedName>
    <x:definedName name="F0.100">#N/A</x:definedName>
    <x:definedName name="F0.110">#N/A</x:definedName>
    <x:definedName name="F0.120">#N/A</x:definedName>
    <x:definedName name="F0.200">#N/A</x:definedName>
    <x:definedName name="F0.210">#N/A</x:definedName>
    <x:definedName name="F0.220">#N/A</x:definedName>
    <x:definedName name="F0.300">#N/A</x:definedName>
    <x:definedName name="F0.310">#N/A</x:definedName>
    <x:definedName name="F0.320">#N/A</x:definedName>
    <x:definedName name="F1.000">#N/A</x:definedName>
    <x:definedName name="F1.010">#N/A</x:definedName>
    <x:definedName name="F1.020">#N/A</x:definedName>
    <x:definedName name="F1.100">#N/A</x:definedName>
    <x:definedName name="F1.110">#N/A</x:definedName>
    <x:definedName name="F1.120">#N/A</x:definedName>
    <x:definedName name="F1.130">#N/A</x:definedName>
    <x:definedName name="F1.140">#N/A</x:definedName>
    <x:definedName name="F1.150">#N/A</x:definedName>
    <x:definedName name="F2.001">#N/A</x:definedName>
    <x:definedName name="F2.011">#N/A</x:definedName>
    <x:definedName name="F2.021">#N/A</x:definedName>
    <x:definedName name="F2.031">#N/A</x:definedName>
    <x:definedName name="F2.041">#N/A</x:definedName>
    <x:definedName name="F2.051">#N/A</x:definedName>
    <x:definedName name="F2.052">#N/A</x:definedName>
    <x:definedName name="F2.061">#N/A</x:definedName>
    <x:definedName name="F2.071">#N/A</x:definedName>
    <x:definedName name="F2.101">#N/A</x:definedName>
    <x:definedName name="F2.111">#N/A</x:definedName>
    <x:definedName name="F2.121">#N/A</x:definedName>
    <x:definedName name="F2.131">#N/A</x:definedName>
    <x:definedName name="F2.141">#N/A</x:definedName>
    <x:definedName name="F2.200">#N/A</x:definedName>
    <x:definedName name="F2.210">#N/A</x:definedName>
    <x:definedName name="F2.220">#N/A</x:definedName>
    <x:definedName name="F2.230">#N/A</x:definedName>
    <x:definedName name="F2.240">#N/A</x:definedName>
    <x:definedName name="F2.250">#N/A</x:definedName>
    <x:definedName name="F2.300">#N/A</x:definedName>
    <x:definedName name="F2.310">#N/A</x:definedName>
    <x:definedName name="F2.320">#N/A</x:definedName>
    <x:definedName name="F3.000">#N/A</x:definedName>
    <x:definedName name="F3.010">#N/A</x:definedName>
    <x:definedName name="F3.020">#N/A</x:definedName>
    <x:definedName name="F3.030">#N/A</x:definedName>
    <x:definedName name="F3.100">#N/A</x:definedName>
    <x:definedName name="F3.110">#N/A</x:definedName>
    <x:definedName name="F3.120">#N/A</x:definedName>
    <x:definedName name="F3.130">#N/A</x:definedName>
    <x:definedName name="F4.000">#N/A</x:definedName>
    <x:definedName name="F4.010">#N/A</x:definedName>
    <x:definedName name="F4.020">#N/A</x:definedName>
    <x:definedName name="F4.030">#N/A</x:definedName>
    <x:definedName name="F4.100">#N/A</x:definedName>
    <x:definedName name="F4.120">#N/A</x:definedName>
    <x:definedName name="F4.140">#N/A</x:definedName>
    <x:definedName name="F4.160">#N/A</x:definedName>
    <x:definedName name="F4.200">#N/A</x:definedName>
    <x:definedName name="F4.220">#N/A</x:definedName>
    <x:definedName name="F4.240">#N/A</x:definedName>
    <x:definedName name="F4.260">#N/A</x:definedName>
    <x:definedName name="F4.300">#N/A</x:definedName>
    <x:definedName name="F4.320">#N/A</x:definedName>
    <x:definedName name="F4.340">#N/A</x:definedName>
    <x:definedName name="F4.400">#N/A</x:definedName>
    <x:definedName name="F4.420">#N/A</x:definedName>
    <x:definedName name="F4.440">#N/A</x:definedName>
    <x:definedName name="F4.500">#N/A</x:definedName>
    <x:definedName name="F4.530">#N/A</x:definedName>
    <x:definedName name="F4.550">#N/A</x:definedName>
    <x:definedName name="F4.570">#N/A</x:definedName>
    <x:definedName name="F4.600">#N/A</x:definedName>
    <x:definedName name="F4.610">#N/A</x:definedName>
    <x:definedName name="F4.620">#N/A</x:definedName>
    <x:definedName name="F4.700">#N/A</x:definedName>
    <x:definedName name="F4.730">#N/A</x:definedName>
    <x:definedName name="F4.740">#N/A</x:definedName>
    <x:definedName name="F4.800">#N/A</x:definedName>
    <x:definedName name="F4.830">#N/A</x:definedName>
    <x:definedName name="F4.840">#N/A</x:definedName>
    <x:definedName name="F5.01">#N/A</x:definedName>
    <x:definedName name="F5.02">#N/A</x:definedName>
    <x:definedName name="F5.03">#N/A</x:definedName>
    <x:definedName name="F5.04">#N/A</x:definedName>
    <x:definedName name="F5.05">#N/A</x:definedName>
    <x:definedName name="F5.11">#N/A</x:definedName>
    <x:definedName name="F5.12">#N/A</x:definedName>
    <x:definedName name="F5.13">#N/A</x:definedName>
    <x:definedName name="F5.14">#N/A</x:definedName>
    <x:definedName name="F5.15">#N/A</x:definedName>
    <x:definedName name="F6.001">#N/A</x:definedName>
    <x:definedName name="F6.002">#N/A</x:definedName>
    <x:definedName name="F6.003">#N/A</x:definedName>
    <x:definedName name="F6.004">#N/A</x:definedName>
    <x:definedName name="f92F56">#N/A</x:definedName>
    <x:definedName name="fáaafafaf" hidden="1">{"'Sheet1'!$L$16"}</x:definedName>
    <x:definedName name="FACTOR">#N/A</x:definedName>
    <x:definedName name="fasdvc">#N/A</x:definedName>
    <x:definedName name="fasfaga" hidden="1">{"'Sheet1'!$L$16"}</x:definedName>
    <x:definedName name="Fax">#N/A</x:definedName>
    <x:definedName name="Fay">#N/A</x:definedName>
    <x:definedName name="fb">#N/A</x:definedName>
    <x:definedName name="fc">#N/A</x:definedName>
    <x:definedName name="FCode" hidden="1">#REF!</x:definedName>
    <x:definedName name="fdf" hidden="1">#N/A</x:definedName>
    <x:definedName name="fdfdf" hidden="1">{"'Sheet1'!$L$16"}</x:definedName>
    <x:definedName name="fdgdfgdfg" hidden="1">#REF!</x:definedName>
    <x:definedName name="fdgf">#N/A</x:definedName>
    <x:definedName name="fđhbfbd" hidden="1">{#N/A,#N/A,FALSE,"Chi tiÆt"}</x:definedName>
    <x:definedName name="fđhh" hidden="1">{"'Sheet1'!$L$16"}</x:definedName>
    <x:definedName name="fdsfsdfd" hidden="1">{"'Sheet1'!$L$16"}</x:definedName>
    <x:definedName name="fdss" hidden="1">{"'Sheet1'!$L$16"}</x:definedName>
    <x:definedName name="feqgfg">#N/A</x:definedName>
    <x:definedName name="feqw">#N/A</x:definedName>
    <x:definedName name="FF">#N/A</x:definedName>
    <x:definedName name="fff" hidden="1">{"'Sheet1'!$L$16"}</x:definedName>
    <x:definedName name="fffffffffffffff" hidden="1">{"'Sheet1'!$L$16"}</x:definedName>
    <x:definedName name="Fg">#N/A</x:definedName>
    <x:definedName name="fgafdfdg" hidden="1">#REF!</x:definedName>
    <x:definedName name="fgdfagfdf" hidden="1">#REF!</x:definedName>
    <x:definedName name="fgđff" hidden="1">{"'Sheet1'!$L$16"}</x:definedName>
    <x:definedName name="fgdfgddfgfd" hidden="1">#REF!</x:definedName>
    <x:definedName name="fgdfgfgfd" hidden="1">#REF!</x:definedName>
    <x:definedName name="fgf">#N/A</x:definedName>
    <x:definedName name="fgfdaghffg" hidden="1">#REF!</x:definedName>
    <x:definedName name="fgh" hidden="1">{"'Sheet1'!$L$16"}</x:definedName>
    <x:definedName name="fghdfhdfg" hidden="1">#REF!</x:definedName>
    <x:definedName name="fghghgh">#N/A</x:definedName>
    <x:definedName name="fgkjmgky.yulyu." hidden="1">{"Offgrid",#N/A,FALSE,"OFFGRID";"Region",#N/A,FALSE,"REGION";"Offgrid -2",#N/A,FALSE,"OFFGRID";"WTP",#N/A,FALSE,"WTP";"WTP -2",#N/A,FALSE,"WTP";"Project",#N/A,FALSE,"PROJECT";"Summary -2",#N/A,FALSE,"SUMMARY"}</x:definedName>
    <x:definedName name="fgmdfmgf">#N/A</x:definedName>
    <x:definedName name="fhfgfsdgfd" hidden="1">#REF!</x:definedName>
    <x:definedName name="fhgadfhadf" hidden="1">#REF!</x:definedName>
    <x:definedName name="fhlkdkgl" hidden="1">#REF!</x:definedName>
    <x:definedName name="fhsdgfdff" hidden="1">#REF!</x:definedName>
    <x:definedName name="fhtđhêhd" hidden="1">{"Offgrid",#N/A,FALSE,"OFFGRID";"Region",#N/A,FALSE,"REGION";"Offgrid -2",#N/A,FALSE,"OFFGRID";"WTP",#N/A,FALSE,"WTP";"WTP -2",#N/A,FALSE,"WTP";"Project",#N/A,FALSE,"PROJECT";"Summary -2",#N/A,FALSE,"SUMMARY"}</x:definedName>
    <x:definedName name="FinishWork">#N/A</x:definedName>
    <x:definedName name="fj">[0]!fj</x:definedName>
    <x:definedName name="Flc">#N/A</x:definedName>
    <x:definedName name="FlexZZ">#N/A</x:definedName>
    <x:definedName name="FOR" hidden="1">{#N/A,#N/A,FALSE,"CCTV"}</x:definedName>
    <x:definedName name="FORK">#N/A</x:definedName>
    <x:definedName name="FORMAT" hidden="1">{#N/A,#N/A,FALSE,"CCTV"}</x:definedName>
    <x:definedName name="FP">#N/A</x:definedName>
    <x:definedName name="fpc">#N/A</x:definedName>
    <x:definedName name="fpu">#N/A</x:definedName>
    <x:definedName name="fpy">#N/A</x:definedName>
    <x:definedName name="fqeưfdsa">#N/A</x:definedName>
    <x:definedName name="FS">#N/A</x:definedName>
    <x:definedName name="fsdfdsf" hidden="1">{"'Sheet1'!$L$16"}</x:definedName>
    <x:definedName name="fsfdsfsf" hidden="1">{"'Sheet1'!$L$16"}</x:definedName>
    <x:definedName name="fsfsdfasfas" hidden="1">{0}</x:definedName>
    <x:definedName name="ftgfg" hidden="1">{#N/A,#N/A,FALSE,"CCTV"}</x:definedName>
    <x:definedName name="fv">#N/A</x:definedName>
    <x:definedName name="fwef">#N/A</x:definedName>
    <x:definedName name="fwefef">#N/A</x:definedName>
    <x:definedName name="fy">#N/A</x:definedName>
    <x:definedName name="fy_">#N/A</x:definedName>
    <x:definedName name="g">#N/A</x:definedName>
    <x:definedName name="G_C">#N/A</x:definedName>
    <x:definedName name="G_ME">#N/A</x:definedName>
    <x:definedName name="G0.000">#N/A</x:definedName>
    <x:definedName name="G0.010">#N/A</x:definedName>
    <x:definedName name="G0.020">#N/A</x:definedName>
    <x:definedName name="G0.100">#N/A</x:definedName>
    <x:definedName name="G0.110">#N/A</x:definedName>
    <x:definedName name="G0.120">#N/A</x:definedName>
    <x:definedName name="G1.000">#N/A</x:definedName>
    <x:definedName name="G1.011">#N/A</x:definedName>
    <x:definedName name="G1.021">#N/A</x:definedName>
    <x:definedName name="G1.031">#N/A</x:definedName>
    <x:definedName name="G1.041">#N/A</x:definedName>
    <x:definedName name="G1.051">#N/A</x:definedName>
    <x:definedName name="G2.000">#N/A</x:definedName>
    <x:definedName name="G2.010">#N/A</x:definedName>
    <x:definedName name="G2.020">#N/A</x:definedName>
    <x:definedName name="G2.030">#N/A</x:definedName>
    <x:definedName name="G2_">#N/A</x:definedName>
    <x:definedName name="G3.000">#N/A</x:definedName>
    <x:definedName name="G3.011">#N/A</x:definedName>
    <x:definedName name="G3.021">#N/A</x:definedName>
    <x:definedName name="G3.031">#N/A</x:definedName>
    <x:definedName name="G3.041">#N/A</x:definedName>
    <x:definedName name="G3.100">#N/A</x:definedName>
    <x:definedName name="G3.111">#N/A</x:definedName>
    <x:definedName name="G3.121">#N/A</x:definedName>
    <x:definedName name="G3.131">#N/A</x:definedName>
    <x:definedName name="G3.141">#N/A</x:definedName>
    <x:definedName name="G3.201">#N/A</x:definedName>
    <x:definedName name="G3.211">#N/A</x:definedName>
    <x:definedName name="G3.221">#N/A</x:definedName>
    <x:definedName name="G3.231">#N/A</x:definedName>
    <x:definedName name="G3.241">#N/A</x:definedName>
    <x:definedName name="G3.301">#N/A</x:definedName>
    <x:definedName name="G3.311">#N/A</x:definedName>
    <x:definedName name="G3.321">#N/A</x:definedName>
    <x:definedName name="G3.331">#N/A</x:definedName>
    <x:definedName name="G3.341">#N/A</x:definedName>
    <x:definedName name="G4.000">#N/A</x:definedName>
    <x:definedName name="G4.010">#N/A</x:definedName>
    <x:definedName name="G4.020">#N/A</x:definedName>
    <x:definedName name="G4.030">#N/A</x:definedName>
    <x:definedName name="G4.040">#N/A</x:definedName>
    <x:definedName name="G4.101">#N/A</x:definedName>
    <x:definedName name="G4.111">#N/A</x:definedName>
    <x:definedName name="G4.121">#N/A</x:definedName>
    <x:definedName name="G4.131">#N/A</x:definedName>
    <x:definedName name="G4.141">#N/A</x:definedName>
    <x:definedName name="G4.151">#N/A</x:definedName>
    <x:definedName name="G4.161">#N/A</x:definedName>
    <x:definedName name="G4.171">#N/A</x:definedName>
    <x:definedName name="G4.200">#N/A</x:definedName>
    <x:definedName name="G4.210">#N/A</x:definedName>
    <x:definedName name="G4.220">#N/A</x:definedName>
    <x:definedName name="g40g40">#N/A</x:definedName>
    <x:definedName name="gach">#N/A</x:definedName>
    <x:definedName name="gamatc">#N/A</x:definedName>
    <x:definedName name="gas">#N/A</x:definedName>
    <x:definedName name="gc">#N/A</x:definedName>
    <x:definedName name="GC_CT">#N/A</x:definedName>
    <x:definedName name="GC_CT1">#N/A</x:definedName>
    <x:definedName name="gchi">#N/A</x:definedName>
    <x:definedName name="gcHT">#N/A</x:definedName>
    <x:definedName name="gcl">#N/A</x:definedName>
    <x:definedName name="GCS">#N/A</x:definedName>
    <x:definedName name="gcv">#N/A</x:definedName>
    <x:definedName name="gd">#N/A</x:definedName>
    <x:definedName name="gd.">#N/A</x:definedName>
    <x:definedName name="gDC">#N/A</x:definedName>
    <x:definedName name="gdcf">#N/A</x:definedName>
    <x:definedName name="gdcf1">#N/A</x:definedName>
    <x:definedName name="gdcs">#N/A</x:definedName>
    <x:definedName name="gdfg" hidden="1">{"'Sheet1'!$L$16"}</x:definedName>
    <x:definedName name="gdfgdfgdf" hidden="1">{"'Sheet1'!$L$16"}</x:definedName>
    <x:definedName name="gdfh" hidden="1">#N/A</x:definedName>
    <x:definedName name="gdh" hidden="1">#N/A</x:definedName>
    <x:definedName name="gdkcn">#N/A</x:definedName>
    <x:definedName name="gdkcn25">#N/A</x:definedName>
    <x:definedName name="GDL">#N/A</x:definedName>
    <x:definedName name="gdlc">#N/A</x:definedName>
    <x:definedName name="gdlc25">#N/A</x:definedName>
    <x:definedName name="GDTD">#N/A</x:definedName>
    <x:definedName name="gdtt">#N/A</x:definedName>
    <x:definedName name="gdtt25">#N/A</x:definedName>
    <x:definedName name="gDW">#N/A</x:definedName>
    <x:definedName name="gdwf">#N/A</x:definedName>
    <x:definedName name="gdxm">#N/A</x:definedName>
    <x:definedName name="gdxm25">#N/A</x:definedName>
    <x:definedName name="geff">#N/A</x:definedName>
    <x:definedName name="gegrth">#N/A</x:definedName>
    <x:definedName name="geq">#N/A</x:definedName>
    <x:definedName name="ges">#N/A</x:definedName>
    <x:definedName name="gesf">#N/A</x:definedName>
    <x:definedName name="gfhgadfkgkadf" hidden="1">#REF!</x:definedName>
    <x:definedName name="gfr">#N/A</x:definedName>
    <x:definedName name="ggaq" hidden="1">{"Offgrid",#N/A,FALSE,"OFFGRID";"Region",#N/A,FALSE,"REGION";"Offgrid -2",#N/A,FALSE,"OFFGRID";"WTP",#N/A,FALSE,"WTP";"WTP -2",#N/A,FALSE,"WTP";"Project",#N/A,FALSE,"PROJECT";"Summary -2",#N/A,FALSE,"SUMMARY"}</x:definedName>
    <x:definedName name="gggggggggg">[0]!gggggggggg</x:definedName>
    <x:definedName name="gghjgh" hidden="1">#REF!</x:definedName>
    <x:definedName name="ggsf" hidden="1">#REF!</x:definedName>
    <x:definedName name="ghàdgfadgdf" hidden="1">#REF!</x:definedName>
    <x:definedName name="ghichu">#N/A</x:definedName>
    <x:definedName name="ghip">#N/A</x:definedName>
    <x:definedName name="gia">#N/A</x:definedName>
    <x:definedName name="gia_tien">#N/A</x:definedName>
    <x:definedName name="gia_tien_BTN">#N/A</x:definedName>
    <x:definedName name="GiaCaMay">#N/A</x:definedName>
    <x:definedName name="giang" hidden="1">{"'Sheet1'!$L$16"}</x:definedName>
    <x:definedName name="Giocong">#N/A</x:definedName>
    <x:definedName name="gipa5">#N/A</x:definedName>
    <x:definedName name="gjrđjsjs" hidden="1">{"'Sheet1'!$L$16"}</x:definedName>
    <x:definedName name="gkcnc">#N/A</x:definedName>
    <x:definedName name="GL">#N/A</x:definedName>
    <x:definedName name="gl3p">#N/A</x:definedName>
    <x:definedName name="Glazing">#N/A</x:definedName>
    <x:definedName name="gld">#N/A</x:definedName>
    <x:definedName name="gLL">#N/A</x:definedName>
    <x:definedName name="gllf">#N/A</x:definedName>
    <x:definedName name="glls">#N/A</x:definedName>
    <x:definedName name="gnkcn">#N/A</x:definedName>
    <x:definedName name="gnkcn25">#N/A</x:definedName>
    <x:definedName name="gnkcnc25">#N/A</x:definedName>
    <x:definedName name="gnlc">#N/A</x:definedName>
    <x:definedName name="gnlc25">#N/A</x:definedName>
    <x:definedName name="gntt">#N/A</x:definedName>
    <x:definedName name="gntt25">#N/A</x:definedName>
    <x:definedName name="gnxm">#N/A</x:definedName>
    <x:definedName name="gnxm25">#N/A</x:definedName>
    <x:definedName name="Go">#N/A</x:definedName>
    <x:definedName name="GoBack">#N/A</x:definedName>
    <x:definedName name="goc">#N/A</x:definedName>
    <x:definedName name="Goc32x3">#N/A</x:definedName>
    <x:definedName name="Goc35x3">#N/A</x:definedName>
    <x:definedName name="Goc40x4">#N/A</x:definedName>
    <x:definedName name="Goc45x4">#N/A</x:definedName>
    <x:definedName name="Goc50x5">#N/A</x:definedName>
    <x:definedName name="Goc63x6">#N/A</x:definedName>
    <x:definedName name="Goc75x6">#N/A</x:definedName>
    <x:definedName name="gochong">#N/A</x:definedName>
    <x:definedName name="GocTieuChuan">#N/A</x:definedName>
    <x:definedName name="GP">#N/A</x:definedName>
    <x:definedName name="gpt">#N/A</x:definedName>
    <x:definedName name="GPT_GROUNDING_PT">#N/A</x:definedName>
    <x:definedName name="grB">#N/A</x:definedName>
    <x:definedName name="grC">#N/A</x:definedName>
    <x:definedName name="grD">#N/A</x:definedName>
    <x:definedName name="grds" hidden="1">{"'Sheet1'!$L$16"}</x:definedName>
    <x:definedName name="GRFICM">#N/A</x:definedName>
    <x:definedName name="grst">#N/A</x:definedName>
    <x:definedName name="grstf">#N/A</x:definedName>
    <x:definedName name="gs">#N/A</x:definedName>
    <x:definedName name="gse">#N/A</x:definedName>
    <x:definedName name="gSH">#N/A</x:definedName>
    <x:definedName name="gt">#N/A</x:definedName>
    <x:definedName name="gtc">#N/A</x:definedName>
    <x:definedName name="gteyhưez" hidden="1">{"'Sheet1'!$L$16"}</x:definedName>
    <x:definedName name="gTG">#N/A</x:definedName>
    <x:definedName name="gtgsằq">#N/A</x:definedName>
    <x:definedName name="gTL">#N/A</x:definedName>
    <x:definedName name="GTTMC">#N/A</x:definedName>
    <x:definedName name="GTTMCa">#N/A</x:definedName>
    <x:definedName name="GTXL">#N/A</x:definedName>
    <x:definedName name="GU" hidden="1">{"'Sheet1'!$L$16"}</x:definedName>
    <x:definedName name="gv">#N/A</x:definedName>
    <x:definedName name="gvl">#N/A</x:definedName>
    <x:definedName name="gWA">#N/A</x:definedName>
    <x:definedName name="gwaf">#N/A</x:definedName>
    <x:definedName name="gwas">#N/A</x:definedName>
    <x:definedName name="gwc">#N/A</x:definedName>
    <x:definedName name="gwf" hidden="1">{#N/A,#N/A,FALSE,"Chi tiÆt"}</x:definedName>
    <x:definedName name="gWL">#N/A</x:definedName>
    <x:definedName name="gwlf">#N/A</x:definedName>
    <x:definedName name="gwls">#N/A</x:definedName>
    <x:definedName name="gWS">#N/A</x:definedName>
    <x:definedName name="gwsf">#N/A</x:definedName>
    <x:definedName name="gwss">#N/A</x:definedName>
    <x:definedName name="gxm">#N/A</x:definedName>
    <x:definedName name="h" hidden="1">{"'Sheet1'!$L$16"}</x:definedName>
    <x:definedName name="H.">#N/A</x:definedName>
    <x:definedName name="h.2">#N/A</x:definedName>
    <x:definedName name="h_qd">#N/A</x:definedName>
    <x:definedName name="h_tru">#N/A</x:definedName>
    <x:definedName name="h_xoa" hidden="1">{"'Sheet1'!$L$16"}</x:definedName>
    <x:definedName name="h_xoa2" hidden="1">{"'Sheet1'!$L$16"}</x:definedName>
    <x:definedName name="H0.001">#N/A</x:definedName>
    <x:definedName name="H0.011">#N/A</x:definedName>
    <x:definedName name="H0.021">#N/A</x:definedName>
    <x:definedName name="H0.031">#N/A</x:definedName>
    <x:definedName name="h1.">#N/A</x:definedName>
    <x:definedName name="h1_">#N/A</x:definedName>
    <x:definedName name="h2.">#N/A</x:definedName>
    <x:definedName name="h2_">#N/A</x:definedName>
    <x:definedName name="h3.">#N/A</x:definedName>
    <x:definedName name="h3_">#N/A</x:definedName>
    <x:definedName name="h4.">#N/A</x:definedName>
    <x:definedName name="h4_">#N/A</x:definedName>
    <x:definedName name="h5_">#N/A</x:definedName>
    <x:definedName name="h6_">#N/A</x:definedName>
    <x:definedName name="h7.5">#N/A</x:definedName>
    <x:definedName name="h7_">#N/A</x:definedName>
    <x:definedName name="h8.5">#N/A</x:definedName>
    <x:definedName name="Ha">#N/A</x:definedName>
    <x:definedName name="ha.">#N/A</x:definedName>
    <x:definedName name="haichau">#N/A</x:definedName>
    <x:definedName name="haichau6">#N/A</x:definedName>
    <x:definedName name="haKK" hidden="1">{"'Sheet1'!$L$16"}</x:definedName>
    <x:definedName name="Hang">#N/A</x:definedName>
    <x:definedName name="hang1">#N/A</x:definedName>
    <x:definedName name="hangdong">#N/A</x:definedName>
    <x:definedName name="hangsm">#N/A</x:definedName>
    <x:definedName name="hangtren">#N/A</x:definedName>
    <x:definedName name="hanh" hidden="1">{"'Sheet1'!$L$16"}</x:definedName>
    <x:definedName name="haoif" hidden="1">{"'Sheet1'!$L$16"}</x:definedName>
    <x:definedName name="hap">#N/A</x:definedName>
    <x:definedName name="hb">#N/A</x:definedName>
    <x:definedName name="hb.">#N/A</x:definedName>
    <x:definedName name="hbr">#N/A</x:definedName>
    <x:definedName name="hc">#N/A</x:definedName>
    <x:definedName name="hc.">#N/A</x:definedName>
    <x:definedName name="hcb">#N/A</x:definedName>
    <x:definedName name="hcg">#N/A</x:definedName>
    <x:definedName name="Hch">#N/A</x:definedName>
    <x:definedName name="HCM">#N/A</x:definedName>
    <x:definedName name="HCSL" hidden="1">{"'Sheet1'!$L$16"}</x:definedName>
    <x:definedName name="hcsla" hidden="1">{"'Sheet1'!$L$16"}</x:definedName>
    <x:definedName name="hcsld" hidden="1">{"'Sheet1'!$L$16"}</x:definedName>
    <x:definedName name="hd">#N/A</x:definedName>
    <x:definedName name="hdfgdgdg" hidden="1">#REF!</x:definedName>
    <x:definedName name="HDH" hidden="1">{"'Sheet1'!$L$16"}</x:definedName>
    <x:definedName name="Heä_soá_laép_xaø_H">1.7</x:definedName>
    <x:definedName name="heä_soá_sình_laày">#N/A</x:definedName>
    <x:definedName name="heđbe" hidden="1">{"Offgrid",#N/A,FALSE,"OFFGRID";"Region",#N/A,FALSE,"REGION";"Offgrid -2",#N/A,FALSE,"OFFGRID";"WTP",#N/A,FALSE,"WTP";"WTP -2",#N/A,FALSE,"WTP";"Project",#N/A,FALSE,"PROJECT";"Summary -2",#N/A,FALSE,"SUMMARY"}</x:definedName>
    <x:definedName name="hee_opjg" hidden="1">{"'Sheet1'!$L$16"}</x:definedName>
    <x:definedName name="Hello">#N/A</x:definedName>
    <x:definedName name="Hematcau">#N/A</x:definedName>
    <x:definedName name="hẻy" hidden="1">{"'Sheet1'!$L$16"}</x:definedName>
    <x:definedName name="hfgh" hidden="1">{"'Sheet1'!$L$16"}</x:definedName>
    <x:definedName name="hfhfg" hidden="1">#N/A</x:definedName>
    <x:definedName name="hg">#N/A</x:definedName>
    <x:definedName name="hgadgag" hidden="1">{"Offgrid",#N/A,FALSE,"OFFGRID";"Region",#N/A,FALSE,"REGION";"Offgrid -2",#N/A,FALSE,"OFFGRID";"WTP",#N/A,FALSE,"WTP";"WTP -2",#N/A,FALSE,"WTP";"Project",#N/A,FALSE,"PROJECT";"Summary -2",#N/A,FALSE,"SUMMARY"}</x:definedName>
    <x:definedName name="hgh" hidden="1">#REF!</x:definedName>
    <x:definedName name="hghgh" hidden="1">{0}</x:definedName>
    <x:definedName name="hgre_zdfhgfd" hidden="1">{"'Sheet1'!$L$16"}</x:definedName>
    <x:definedName name="HH">#N/A</x:definedName>
    <x:definedName name="HH15HT">#N/A</x:definedName>
    <x:definedName name="HH16HT">#N/A</x:definedName>
    <x:definedName name="HH19HT">#N/A</x:definedName>
    <x:definedName name="HH20HT">#N/A</x:definedName>
    <x:definedName name="HHcat">#N/A</x:definedName>
    <x:definedName name="hhcv">#N/A</x:definedName>
    <x:definedName name="HHda">#N/A</x:definedName>
    <x:definedName name="hhda4x6">#N/A</x:definedName>
    <x:definedName name="HHHH">[0]!HHHH</x:definedName>
    <x:definedName name="hhhthrh" hidden="1">{#N/A,#N/A,FALSE,"Chi tiÆt"}</x:definedName>
    <x:definedName name="hhsc">#N/A</x:definedName>
    <x:definedName name="hhtd">#N/A</x:definedName>
    <x:definedName name="hhxm">#N/A</x:definedName>
    <x:definedName name="HiddenRows" hidden="1">#REF!</x:definedName>
    <x:definedName name="hien">#N/A</x:definedName>
    <x:definedName name="hj">[0]!hj</x:definedName>
    <x:definedName name="hkj" hidden="1">{0}</x:definedName>
    <x:definedName name="hl">#N/A</x:definedName>
    <x:definedName name="HLL">#N/A</x:definedName>
    <x:definedName name="hmax">#N/A</x:definedName>
    <x:definedName name="hmi" hidden="1">{"'Sheet1'!$L$16"}</x:definedName>
    <x:definedName name="hmin">#N/A</x:definedName>
    <x:definedName name="hn">#N/A</x:definedName>
    <x:definedName name="hnhnhn" hidden="1">{"'Sheet1'!$L$16"}</x:definedName>
    <x:definedName name="ho">#N/A</x:definedName>
    <x:definedName name="hoa" hidden="1">{"'Sheet1'!$L$16"}</x:definedName>
    <x:definedName name="HOME_MANP">#N/A</x:definedName>
    <x:definedName name="HOMEOFFICE_COST">#N/A</x:definedName>
    <x:definedName name="hong" hidden="1">{"'Sheet1'!$L$16"}</x:definedName>
    <x:definedName name="hongngu" hidden="1">{"'Sheet1'!$L$16"}</x:definedName>
    <x:definedName name="hp" hidden="1">{"'Sheet1'!$L$16"}</x:definedName>
    <x:definedName name="hpa">#N/A</x:definedName>
    <x:definedName name="Hpc">#N/A</x:definedName>
    <x:definedName name="hpier">#N/A</x:definedName>
    <x:definedName name="hrhe" hidden="1">{"Offgrid",#N/A,FALSE,"OFFGRID";"Region",#N/A,FALSE,"REGION";"Offgrid -2",#N/A,FALSE,"OFFGRID";"WTP",#N/A,FALSE,"WTP";"WTP -2",#N/A,FALSE,"WTP";"Project",#N/A,FALSE,"PROJECT";"Summary -2",#N/A,FALSE,"SUMMARY"}</x:definedName>
    <x:definedName name="hs">#N/A</x:definedName>
    <x:definedName name="HSCT3">0.1</x:definedName>
    <x:definedName name="hsdc">#N/A</x:definedName>
    <x:definedName name="hsdc1">#N/A</x:definedName>
    <x:definedName name="HSDD">#N/A</x:definedName>
    <x:definedName name="HSDN">2.5</x:definedName>
    <x:definedName name="hsduuiejkdf" hidden="1">{"'Sheet1'!$L$16"}</x:definedName>
    <x:definedName name="hSF">#N/A</x:definedName>
    <x:definedName name="hsgbhtgrư" hidden="1">{#N/A,#N/A,FALSE,"Chi tiÆt"}</x:definedName>
    <x:definedName name="HSHH">#N/A</x:definedName>
    <x:definedName name="HSHHUT">#N/A</x:definedName>
    <x:definedName name="hsk">#N/A</x:definedName>
    <x:definedName name="hskk1">#N/A</x:definedName>
    <x:definedName name="HSlanxe">#N/A</x:definedName>
    <x:definedName name="HSNC">#N/A</x:definedName>
    <x:definedName name="hso">#N/A</x:definedName>
    <x:definedName name="Hsp">#N/A</x:definedName>
    <x:definedName name="HSSL">#N/A</x:definedName>
    <x:definedName name="hßm4">#N/A</x:definedName>
    <x:definedName name="HSVC1">#N/A</x:definedName>
    <x:definedName name="HSVC2">#N/A</x:definedName>
    <x:definedName name="HSVC3">#N/A</x:definedName>
    <x:definedName name="HsVCVLTH">#N/A</x:definedName>
    <x:definedName name="ht" hidden="1">{"'Sheet1'!$L$16"}</x:definedName>
    <x:definedName name="ht25nc">#N/A</x:definedName>
    <x:definedName name="ht25vl">#N/A</x:definedName>
    <x:definedName name="ht325nc">#N/A</x:definedName>
    <x:definedName name="ht325vl">#N/A</x:definedName>
    <x:definedName name="ht37k">#N/A</x:definedName>
    <x:definedName name="ht37nc">#N/A</x:definedName>
    <x:definedName name="ht50nc">#N/A</x:definedName>
    <x:definedName name="ht50vl">#N/A</x:definedName>
    <x:definedName name="htb">#N/A</x:definedName>
    <x:definedName name="htc">#N/A</x:definedName>
    <x:definedName name="htjhtjftj" hidden="1">{#N/A,#N/A,FALSE,"Chi tiÆt"}</x:definedName>
    <x:definedName name="htlm" hidden="1">{"'Sheet1'!$L$16"}</x:definedName>
    <x:definedName name="HTML_CodePage" hidden="1">950</x:definedName>
    <x:definedName name="HTML_Control" hidden="1">{"'Sheet1'!$L$16"}</x:definedName>
    <x:definedName name="html_control_xoa2" hidden="1">{"'Sheet1'!$L$16"}</x:definedName>
    <x:definedName name="HTML_Controlmoi" hidden="1">{"'Sheet1'!$L$16"}</x:definedName>
    <x:definedName name="HTML_Description" hidden="1">""</x:definedName>
    <x:definedName name="HTML_Email" hidden="1">""</x:definedName>
    <x:definedName name="HTML_Header" hidden="1">"Sheet1"</x:definedName>
    <x:definedName name="HTML_LastUpdate" hidden="1">"2000/9/14"</x:definedName>
    <x:definedName name="HTML_LineAfter" hidden="1">FALSE</x:definedName>
    <x:definedName name="HTML_LineBefore" hidden="1">FALSE</x:definedName>
    <x:definedName name="HTML_Name" hidden="1">"J.C.WONG"</x:definedName>
    <x:definedName name="HTML_OBDlg2" hidden="1">TRUE</x:definedName>
    <x:definedName name="HTML_OBDlg4" hidden="1">TRUE</x:definedName>
    <x:definedName name="HTML_OS" hidden="1">0</x:definedName>
    <x:definedName name="HTML_PathFile" hidden="1">"C:\2689\Q\國內\00q3961台化龍德PTA3建造\MyHTML.htm"</x:definedName>
    <x:definedName name="HTML_PathFilemoi" hidden="1">"C:\2689\Q\國內\00q3961台化龍德PTA3建造\MyHTML.htm"</x:definedName>
    <x:definedName name="HTML_Title" hidden="1">"00Q3961-SUM"</x:definedName>
    <x:definedName name="HTMLmoi" hidden="1">{"'Sheet1'!$L$16"}</x:definedName>
    <x:definedName name="HTNC">#N/A</x:definedName>
    <x:definedName name="htriu4" hidden="1">{#N/A,#N/A,FALSE,"Chi tiÆt"}</x:definedName>
    <x:definedName name="HTVL">#N/A</x:definedName>
    <x:definedName name="hu" hidden="1">{"'Sheet1'!$L$16"}</x:definedName>
    <x:definedName name="hui" hidden="1">{"'Sheet1'!$L$16"}</x:definedName>
    <x:definedName name="hung" hidden="1">{"'Sheet1'!$L$16"}</x:definedName>
    <x:definedName name="huy" hidden="1">{"'Sheet1'!$L$16"}</x:definedName>
    <x:definedName name="huy_xoa" hidden="1">{"'Sheet1'!$L$16"}</x:definedName>
    <x:definedName name="huy_xoa2" hidden="1">{"'Sheet1'!$L$16"}</x:definedName>
    <x:definedName name="huy1moi" hidden="1">{"'Sheet1'!$L$16"}</x:definedName>
    <x:definedName name="huyhoa" hidden="1">{"'Sheet1'!$L$16"}</x:definedName>
    <x:definedName name="huymoi" hidden="1">{"'Sheet1'!$L$16"}</x:definedName>
    <x:definedName name="huynhhaichau">#N/A</x:definedName>
    <x:definedName name="huyy" hidden="1">{"'Sheet1'!$L$16"}</x:definedName>
    <x:definedName name="hw">#N/A</x:definedName>
    <x:definedName name="I">#N/A</x:definedName>
    <x:definedName name="I2É6">#N/A</x:definedName>
    <x:definedName name="IDLAB_COST">#N/A</x:definedName>
    <x:definedName name="IM">#N/A</x:definedName>
    <x:definedName name="IM2.">#N/A</x:definedName>
    <x:definedName name="IM21.">#N/A</x:definedName>
    <x:definedName name="IM22.">#N/A</x:definedName>
    <x:definedName name="IND_LAB">#N/A</x:definedName>
    <x:definedName name="INDMANP">#N/A</x:definedName>
    <x:definedName name="InteriorWork">#N/A</x:definedName>
    <x:definedName name="IO">#N/A</x:definedName>
    <x:definedName name="Ip">#N/A</x:definedName>
    <x:definedName name="ịth" hidden="1">{"'Sheet1'!$L$16"}</x:definedName>
    <x:definedName name="ixy">#N/A</x:definedName>
    <x:definedName name="j">#N/A</x:definedName>
    <x:definedName name="j356C8">#N/A</x:definedName>
    <x:definedName name="JHK" hidden="1">{0}</x:definedName>
    <x:definedName name="jjjjjjjj" hidden="1">{0}</x:definedName>
    <x:definedName name="jkhj" hidden="1">{"'Sheet1'!$L$16"}</x:definedName>
    <x:definedName name="jkjk" hidden="1">{"'Sheet1'!$L$16"}</x:definedName>
    <x:definedName name="js">#N/A</x:definedName>
    <x:definedName name="jsajhf" hidden="1">{"'Sheet1'!$L$16"}</x:definedName>
    <x:definedName name="jýỵy" hidden="1">{"'Sheet1'!$L$16"}</x:definedName>
    <x:definedName name="k" hidden="1">{"Offgrid",#N/A,FALSE,"OFFGRID";"Region",#N/A,FALSE,"REGION";"Offgrid -2",#N/A,FALSE,"OFFGRID";"WTP",#N/A,FALSE,"WTP";"WTP -2",#N/A,FALSE,"WTP";"Project",#N/A,FALSE,"PROJECT";"Summary -2",#N/A,FALSE,"SUMMARY"}</x:definedName>
    <x:definedName name="k..">#N/A</x:definedName>
    <x:definedName name="k_xoa" hidden="1">{"Offgrid",#N/A,FALSE,"OFFGRID";"Region",#N/A,FALSE,"REGION";"Offgrid -2",#N/A,FALSE,"OFFGRID";"WTP",#N/A,FALSE,"WTP";"WTP -2",#N/A,FALSE,"WTP";"Project",#N/A,FALSE,"PROJECT";"Summary -2",#N/A,FALSE,"SUMMARY"}</x:definedName>
    <x:definedName name="k_xoa2" hidden="1">{"Offgrid",#N/A,FALSE,"OFFGRID";"Region",#N/A,FALSE,"REGION";"Offgrid -2",#N/A,FALSE,"OFFGRID";"WTP",#N/A,FALSE,"WTP";"WTP -2",#N/A,FALSE,"WTP";"Project",#N/A,FALSE,"PROJECT";"Summary -2",#N/A,FALSE,"SUMMARY"}</x:definedName>
    <x:definedName name="K0.001">#N/A</x:definedName>
    <x:definedName name="K0.011">#N/A</x:definedName>
    <x:definedName name="K0.101">#N/A</x:definedName>
    <x:definedName name="K0.111">#N/A</x:definedName>
    <x:definedName name="K0.201">#N/A</x:definedName>
    <x:definedName name="K0.211">#N/A</x:definedName>
    <x:definedName name="K0.301">#N/A</x:definedName>
    <x:definedName name="K0.311">#N/A</x:definedName>
    <x:definedName name="K0.400">#N/A</x:definedName>
    <x:definedName name="K0.410">#N/A</x:definedName>
    <x:definedName name="K0.501">#N/A</x:definedName>
    <x:definedName name="K0.511">#N/A</x:definedName>
    <x:definedName name="K0.61">#N/A</x:definedName>
    <x:definedName name="K0.71">#N/A</x:definedName>
    <x:definedName name="K1.001">#N/A</x:definedName>
    <x:definedName name="K1.021">#N/A</x:definedName>
    <x:definedName name="K1.041">#N/A</x:definedName>
    <x:definedName name="K1.121">#N/A</x:definedName>
    <x:definedName name="K1.201">#N/A</x:definedName>
    <x:definedName name="K1.211">#N/A</x:definedName>
    <x:definedName name="K1.221">#N/A</x:definedName>
    <x:definedName name="K1.301">#N/A</x:definedName>
    <x:definedName name="K1.321">#N/A</x:definedName>
    <x:definedName name="K1.331">#N/A</x:definedName>
    <x:definedName name="K1.341">#N/A</x:definedName>
    <x:definedName name="K1.401">#N/A</x:definedName>
    <x:definedName name="K1.411">#N/A</x:definedName>
    <x:definedName name="K1.421">#N/A</x:definedName>
    <x:definedName name="K1.431">#N/A</x:definedName>
    <x:definedName name="K1.441">#N/A</x:definedName>
    <x:definedName name="K2.001">#N/A</x:definedName>
    <x:definedName name="K2.011">#N/A</x:definedName>
    <x:definedName name="K2.021">#N/A</x:definedName>
    <x:definedName name="K2.031">#N/A</x:definedName>
    <x:definedName name="K2.041">#N/A</x:definedName>
    <x:definedName name="K2.101">#N/A</x:definedName>
    <x:definedName name="K2.111">#N/A</x:definedName>
    <x:definedName name="K2.121">#N/A</x:definedName>
    <x:definedName name="K2.131">#N/A</x:definedName>
    <x:definedName name="K2.141">#N/A</x:definedName>
    <x:definedName name="K2.201">#N/A</x:definedName>
    <x:definedName name="K2.211">#N/A</x:definedName>
    <x:definedName name="K2.221">#N/A</x:definedName>
    <x:definedName name="K2.231">#N/A</x:definedName>
    <x:definedName name="K2.241">#N/A</x:definedName>
    <x:definedName name="K2.301">#N/A</x:definedName>
    <x:definedName name="K2.321">#N/A</x:definedName>
    <x:definedName name="K2.341">#N/A</x:definedName>
    <x:definedName name="K2.400">#N/A</x:definedName>
    <x:definedName name="K2.420">#N/A</x:definedName>
    <x:definedName name="K2.440">#N/A</x:definedName>
    <x:definedName name="K2.500">#N/A</x:definedName>
    <x:definedName name="K2.520">#N/A</x:definedName>
    <x:definedName name="K2.540">#N/A</x:definedName>
    <x:definedName name="k2b">#N/A</x:definedName>
    <x:definedName name="K3.210">#N/A</x:definedName>
    <x:definedName name="K3.220">#N/A</x:definedName>
    <x:definedName name="K3.230">#N/A</x:definedName>
    <x:definedName name="K3.310">#N/A</x:definedName>
    <x:definedName name="K3.320">#N/A</x:definedName>
    <x:definedName name="K3.330">#N/A</x:definedName>
    <x:definedName name="K3.410">#N/A</x:definedName>
    <x:definedName name="K3.430">#N/A</x:definedName>
    <x:definedName name="K3.450">#N/A</x:definedName>
    <x:definedName name="K4.010">#N/A</x:definedName>
    <x:definedName name="K4.020">#N/A</x:definedName>
    <x:definedName name="K4.110">#N/A</x:definedName>
    <x:definedName name="K4.120">#N/A</x:definedName>
    <x:definedName name="K4.210">#N/A</x:definedName>
    <x:definedName name="K4.220">#N/A</x:definedName>
    <x:definedName name="K4.230">#N/A</x:definedName>
    <x:definedName name="K4.240">#N/A</x:definedName>
    <x:definedName name="KA">#N/A</x:definedName>
    <x:definedName name="ka.">#N/A</x:definedName>
    <x:definedName name="KAE">#N/A</x:definedName>
    <x:definedName name="kcong">#N/A</x:definedName>
    <x:definedName name="KCThep" hidden="1">{"'Sheet1'!$L$16"}</x:definedName>
    <x:definedName name="KcTieuChuan">#N/A</x:definedName>
    <x:definedName name="KDC">#N/A</x:definedName>
    <x:definedName name="kdien">#N/A</x:definedName>
    <x:definedName name="kdkk" hidden="1">{"'Sheet1'!$L$16"}</x:definedName>
    <x:definedName name="Kf">#N/A</x:definedName>
    <x:definedName name="Khocau">#N/A</x:definedName>
    <x:definedName name="khongtruotgia" hidden="1">{"'Sheet1'!$L$16"}</x:definedName>
    <x:definedName name="KHSX" hidden="1">{"'Sheet1'!$L$16"}</x:definedName>
    <x:definedName name="KhuyenmaiUPS">"AutoShape 264"</x:definedName>
    <x:definedName name="kiem">#N/A</x:definedName>
    <x:definedName name="Kiem_tra_trung_ten">#N/A</x:definedName>
    <x:definedName name="kjkjkj" hidden="1">{"'Sheet1'!$L$16"}</x:definedName>
    <x:definedName name="kkk">#N/A</x:definedName>
    <x:definedName name="KKKKKKKKK">[0]!KKKKKKKKK</x:definedName>
    <x:definedName name="kl">#N/A</x:definedName>
    <x:definedName name="KL_C">#N/A</x:definedName>
    <x:definedName name="kl_ME">#N/A</x:definedName>
    <x:definedName name="kldd1p">#N/A</x:definedName>
    <x:definedName name="kldd3p">#N/A</x:definedName>
    <x:definedName name="kll">#N/A</x:definedName>
    <x:definedName name="klm" hidden="1">{"'Sheet1'!$L$16"}</x:definedName>
    <x:definedName name="KLtru">#N/A</x:definedName>
    <x:definedName name="Kmb">#N/A</x:definedName>
    <x:definedName name="kmong">#N/A</x:definedName>
    <x:definedName name="Kmt">#N/A</x:definedName>
    <x:definedName name="kn">#N/A</x:definedName>
    <x:definedName name="KN_1331b" hidden="1">[7]Tong_hop!$BV$381</x:definedName>
    <x:definedName name="KN_1332b" hidden="1">[7]Tong_hop!$BV$382</x:definedName>
    <x:definedName name="KN_33311a" hidden="1">[7]Tong_hop!$BV$195</x:definedName>
    <x:definedName name="KN_33311b" hidden="1">[7]Tong_hop!$BV$370</x:definedName>
    <x:definedName name="KN_33312a" hidden="1">[7]Tong_hop!$BV$196</x:definedName>
    <x:definedName name="KN_33312b" hidden="1">[7]Tong_hop!$BV$371</x:definedName>
    <x:definedName name="KN_3332a" hidden="1">[7]Tong_hop!$BV$197</x:definedName>
    <x:definedName name="KN_3332b" hidden="1">[7]Tong_hop!$BV$372</x:definedName>
    <x:definedName name="KN_3333a" hidden="1">[7]Tong_hop!$BV$198</x:definedName>
    <x:definedName name="KN_3333b" hidden="1">[7]Tong_hop!$BV$373</x:definedName>
    <x:definedName name="KN_3334a" hidden="1">[7]Tong_hop!$BV$199</x:definedName>
    <x:definedName name="KN_3334b" hidden="1">[7]Tong_hop!$BV$374</x:definedName>
    <x:definedName name="KN_3335a" hidden="1">[7]Tong_hop!$BV$200</x:definedName>
    <x:definedName name="KN_3335b" hidden="1">[7]Tong_hop!$BV$375</x:definedName>
    <x:definedName name="KN_3336a" hidden="1">[7]Tong_hop!$BV$201</x:definedName>
    <x:definedName name="KN_3336b" hidden="1">[7]Tong_hop!$BV$376</x:definedName>
    <x:definedName name="KN_3337a" hidden="1">[7]Tong_hop!$BV$202</x:definedName>
    <x:definedName name="KN_3337b" hidden="1">[7]Tong_hop!$BV$377</x:definedName>
    <x:definedName name="KN_33381a" hidden="1">[7]Tong_hop!$BV$203</x:definedName>
    <x:definedName name="KN_33381b" hidden="1">[7]Tong_hop!$BV$378</x:definedName>
    <x:definedName name="KN_33382a" hidden="1">[7]Tong_hop!$BV$204</x:definedName>
    <x:definedName name="KN_33382b" hidden="1">[7]Tong_hop!$BV$379</x:definedName>
    <x:definedName name="KN_3339a" hidden="1">[7]Tong_hop!$BV$205</x:definedName>
    <x:definedName name="KN_3339b" hidden="1">[7]Tong_hop!$BV$380</x:definedName>
    <x:definedName name="KN_CT153" hidden="1">[7]Tong_hop!$BV$194</x:definedName>
    <x:definedName name="KN_CT313" hidden="1">[7]Tong_hop!$BV$369</x:definedName>
    <x:definedName name="kno">#N/A</x:definedName>
    <x:definedName name="KP">#N/A</x:definedName>
    <x:definedName name="kp1ph">#N/A</x:definedName>
    <x:definedName name="Kqb">#N/A</x:definedName>
    <x:definedName name="Kqt">#N/A</x:definedName>
    <x:definedName name="ks" hidden="1">{"'Sheet1'!$L$16"}</x:definedName>
    <x:definedName name="ksbn" hidden="1">{"'Sheet1'!$L$16"}</x:definedName>
    <x:definedName name="kshn" hidden="1">{"'Sheet1'!$L$16"}</x:definedName>
    <x:definedName name="ksls" hidden="1">{"'Sheet1'!$L$16"}</x:definedName>
    <x:definedName name="Ksp">#N/A</x:definedName>
    <x:definedName name="kstk">#N/A</x:definedName>
    <x:definedName name="KT_1331b" hidden="1">[7]Tong_hop!$EM$381</x:definedName>
    <x:definedName name="KT_1332b" hidden="1">[7]Tong_hop!$EM$382</x:definedName>
    <x:definedName name="KT_33311a" hidden="1">[7]Tong_hop!$EM$195</x:definedName>
    <x:definedName name="KT_33311b" hidden="1">[7]Tong_hop!$EM$370</x:definedName>
    <x:definedName name="KT_33312a" hidden="1">[7]Tong_hop!$EM$196</x:definedName>
    <x:definedName name="KT_33312b" hidden="1">[7]Tong_hop!$EM$371</x:definedName>
    <x:definedName name="KT_3332a" hidden="1">[7]Tong_hop!$EM$197</x:definedName>
    <x:definedName name="KT_3332b" hidden="1">[7]Tong_hop!$EM$372</x:definedName>
    <x:definedName name="KT_3333a" hidden="1">[7]Tong_hop!$EM$198</x:definedName>
    <x:definedName name="KT_3333b" hidden="1">[7]Tong_hop!$EM$373</x:definedName>
    <x:definedName name="KT_3334a" hidden="1">[7]Tong_hop!$EM$199</x:definedName>
    <x:definedName name="KT_3334b" hidden="1">[7]Tong_hop!$EM$374</x:definedName>
    <x:definedName name="KT_3335a" hidden="1">[7]Tong_hop!$EM$200</x:definedName>
    <x:definedName name="KT_3335b" hidden="1">[7]Tong_hop!$EM$375</x:definedName>
    <x:definedName name="KT_3336a" hidden="1">[7]Tong_hop!$EM$201</x:definedName>
    <x:definedName name="KT_3336b" hidden="1">[7]Tong_hop!$EM$376</x:definedName>
    <x:definedName name="KT_3337a" hidden="1">[7]Tong_hop!$EM$202</x:definedName>
    <x:definedName name="KT_3337b" hidden="1">[7]Tong_hop!$EM$377</x:definedName>
    <x:definedName name="KT_33381a" hidden="1">[7]Tong_hop!$EM$203</x:definedName>
    <x:definedName name="KT_33381b" hidden="1">[7]Tong_hop!$EM$378</x:definedName>
    <x:definedName name="KT_33382a" hidden="1">[7]Tong_hop!$EM$204</x:definedName>
    <x:definedName name="KT_33382b" hidden="1">[7]Tong_hop!$EM$379</x:definedName>
    <x:definedName name="KT_3339a" hidden="1">[7]Tong_hop!$EM$205</x:definedName>
    <x:definedName name="KT_3339b" hidden="1">[7]Tong_hop!$EM$380</x:definedName>
    <x:definedName name="KT_CT153" hidden="1">[7]Tong_hop!$EM$194</x:definedName>
    <x:definedName name="KT_CT313" hidden="1">[7]Tong_hop!$EM$369</x:definedName>
    <x:definedName name="ktdk0" hidden="1">{#N/A,#N/A,FALSE,"Chi tiÆt"}</x:definedName>
    <x:definedName name="KTHD">#N/A</x:definedName>
    <x:definedName name="KTTRAMD1">#N/A</x:definedName>
    <x:definedName name="KVC">#N/A</x:definedName>
    <x:definedName name="Ky_ke_toan_E" hidden="1">[7]Thong_tin!$E$14</x:definedName>
    <x:definedName name="Ky_ke_toan_V" hidden="1">[7]Thong_tin!$D$14</x:definedName>
    <x:definedName name="L">#N/A</x:definedName>
    <x:definedName name="l.dat" hidden="1">{"'Sheet1'!$L$16"}</x:definedName>
    <x:definedName name="lai" hidden="1">{"'Sheet1'!$L$16"}</x:definedName>
    <x:definedName name="LAMTHEM">#N/A</x:definedName>
    <x:definedName name="LAMTUBE">#N/A</x:definedName>
    <x:definedName name="lan" hidden="1">{#N/A,#N/A,TRUE,"BT M200 da 10x20"}</x:definedName>
    <x:definedName name="LANDIMP">#N/A</x:definedName>
    <x:definedName name="LANDREV">#N/A</x:definedName>
    <x:definedName name="Lane">#N/A</x:definedName>
    <x:definedName name="langson" hidden="1">{"'Sheet1'!$L$16"}</x:definedName>
    <x:definedName name="LaoLapDam">#N/A</x:definedName>
    <x:definedName name="lapa">#N/A</x:definedName>
    <x:definedName name="lapb">#N/A</x:definedName>
    <x:definedName name="lapc">#N/A</x:definedName>
    <x:definedName name="LargerSpan">#N/A</x:definedName>
    <x:definedName name="Lb">#N/A</x:definedName>
    <x:definedName name="Lf">#N/A</x:definedName>
    <x:definedName name="LgL">#N/A</x:definedName>
    <x:definedName name="lh">#N/A</x:definedName>
    <x:definedName name="LI">#N/A</x:definedName>
    <x:definedName name="limcount" hidden="1">2</x:definedName>
    <x:definedName name="line" hidden="1">{"'Sheet1'!$L$16"}</x:definedName>
    <x:definedName name="linh" hidden="1">{"'Sheet1'!$L$16"}</x:definedName>
    <x:definedName name="linhT" hidden="1">{"'Sheet1'!$L$16"}</x:definedName>
    <x:definedName name="lk" hidden="1">{"'Sheet1'!$L$16"}</x:definedName>
    <x:definedName name="lkl" hidden="1">{"'Sheet1'!$L$16"}</x:definedName>
    <x:definedName name="LKPS">#N/A</x:definedName>
    <x:definedName name="LLs">#N/A</x:definedName>
    <x:definedName name="Lmk">#N/A</x:definedName>
    <x:definedName name="LN">#N/A</x:definedName>
    <x:definedName name="lo">#N/A</x:definedName>
    <x:definedName name="Loai_BCTC" hidden="1">[7]Thong_tin!$D$7</x:definedName>
    <x:definedName name="LOAI_BM">#N/A</x:definedName>
    <x:definedName name="LOAI_MB">#N/A</x:definedName>
    <x:definedName name="LOC">#N/A</x:definedName>
    <x:definedName name="lomo">#N/A</x:definedName>
    <x:definedName name="lón2">#N/A</x:definedName>
    <x:definedName name="lón3">#N/A</x:definedName>
    <x:definedName name="lón5">#N/A</x:definedName>
    <x:definedName name="long">#N/A</x:definedName>
    <x:definedName name="Lop">#N/A</x:definedName>
    <x:definedName name="Lp">#N/A</x:definedName>
    <x:definedName name="Ls">#N/A</x:definedName>
    <x:definedName name="lsl">#N/A</x:definedName>
    <x:definedName name="lsp">#N/A</x:definedName>
    <x:definedName name="lsr">#N/A</x:definedName>
    <x:definedName name="lss">#N/A</x:definedName>
    <x:definedName name="Lt">#N/A</x:definedName>
    <x:definedName name="LT_TB">#N/A</x:definedName>
    <x:definedName name="LTKD" hidden="1">{"'Sheet1'!$L$16"}</x:definedName>
    <x:definedName name="LTR">#N/A</x:definedName>
    <x:definedName name="ltre">#N/A</x:definedName>
    <x:definedName name="Ltt">#N/A</x:definedName>
    <x:definedName name="Luanthanh">#N/A</x:definedName>
    <x:definedName name="LUONG">#N/A</x:definedName>
    <x:definedName name="luyÕn" hidden="1">{"'Sheet1'!$L$16"}</x:definedName>
    <x:definedName name="lVC">#N/A</x:definedName>
    <x:definedName name="lvo" hidden="1">{"'Sheet1'!$L$16"}</x:definedName>
    <x:definedName name="m" hidden="1">{"'Sheet1'!$L$16"}</x:definedName>
    <x:definedName name="m_1">#N/A</x:definedName>
    <x:definedName name="m_2">#N/A</x:definedName>
    <x:definedName name="m_3">#N/A</x:definedName>
    <x:definedName name="m_4">#N/A</x:definedName>
    <x:definedName name="M0.4">#N/A</x:definedName>
    <x:definedName name="M10." hidden="1">{"'Sheet1'!$L$16"}</x:definedName>
    <x:definedName name="M10.1">#N/A</x:definedName>
    <x:definedName name="M10.1a">#N/A</x:definedName>
    <x:definedName name="M10.2">#N/A</x:definedName>
    <x:definedName name="M10.2a">#N/A</x:definedName>
    <x:definedName name="m102bnnc">#N/A</x:definedName>
    <x:definedName name="m102bnvl">#N/A</x:definedName>
    <x:definedName name="m10aamtc">#N/A</x:definedName>
    <x:definedName name="m10aanc">#N/A</x:definedName>
    <x:definedName name="m10aavl">#N/A</x:definedName>
    <x:definedName name="m10anc">#N/A</x:definedName>
    <x:definedName name="m10avl">#N/A</x:definedName>
    <x:definedName name="m10banc">#N/A</x:definedName>
    <x:definedName name="m10bavl">#N/A</x:definedName>
    <x:definedName name="m122bnnc">#N/A</x:definedName>
    <x:definedName name="m122bnvl">#N/A</x:definedName>
    <x:definedName name="m12aanc">#N/A</x:definedName>
    <x:definedName name="m12aavl">#N/A</x:definedName>
    <x:definedName name="m12anc">#N/A</x:definedName>
    <x:definedName name="m12avl">#N/A</x:definedName>
    <x:definedName name="M12ba3p">#N/A</x:definedName>
    <x:definedName name="m12banc">#N/A</x:definedName>
    <x:definedName name="m12bavl">#N/A</x:definedName>
    <x:definedName name="M12bb1p">#N/A</x:definedName>
    <x:definedName name="m12bbnc">#N/A</x:definedName>
    <x:definedName name="m12bbvl">#N/A</x:definedName>
    <x:definedName name="M12bnnc">#N/A</x:definedName>
    <x:definedName name="M12bnvl">#N/A</x:definedName>
    <x:definedName name="M12cbnc">#N/A</x:definedName>
    <x:definedName name="M12cbvl">#N/A</x:definedName>
    <x:definedName name="M14.1">#N/A</x:definedName>
    <x:definedName name="M14.1a">#N/A</x:definedName>
    <x:definedName name="M14.2">#N/A</x:definedName>
    <x:definedName name="M14.2a">#N/A</x:definedName>
    <x:definedName name="m142bnnc">#N/A</x:definedName>
    <x:definedName name="m142bnvl">#N/A</x:definedName>
    <x:definedName name="M14bb1p">#N/A</x:definedName>
    <x:definedName name="m14bbnc">#N/A</x:definedName>
    <x:definedName name="M14bbvc">#N/A</x:definedName>
    <x:definedName name="m14bbvl">#N/A</x:definedName>
    <x:definedName name="M2_">#N/A</x:definedName>
    <x:definedName name="M8a">#N/A</x:definedName>
    <x:definedName name="M8aa">#N/A</x:definedName>
    <x:definedName name="m8aanc">#N/A</x:definedName>
    <x:definedName name="m8aavl">#N/A</x:definedName>
    <x:definedName name="m8amtc">#N/A</x:definedName>
    <x:definedName name="m8anc">#N/A</x:definedName>
    <x:definedName name="m8avl">#N/A</x:definedName>
    <x:definedName name="Ma_hang">#N/A</x:definedName>
    <x:definedName name="Ma3pnc">#N/A</x:definedName>
    <x:definedName name="Ma3pvl">#N/A</x:definedName>
    <x:definedName name="Maa3pnc">#N/A</x:definedName>
    <x:definedName name="Maa3pvl">#N/A</x:definedName>
    <x:definedName name="MAJ_CON_EQP">#N/A</x:definedName>
    <x:definedName name="MANG_MC">#N/A</x:definedName>
    <x:definedName name="Masonry">#N/A</x:definedName>
    <x:definedName name="MAT">#N/A</x:definedName>
    <x:definedName name="matit">#N/A</x:definedName>
    <x:definedName name="MATK">#N/A</x:definedName>
    <x:definedName name="MATK_CD">#N/A</x:definedName>
    <x:definedName name="MATK_M">#N/A</x:definedName>
    <x:definedName name="MAY">#N/A</x:definedName>
    <x:definedName name="MB_Intel_Server_C440GX_Dual_Sl2_ATX">#N/A</x:definedName>
    <x:definedName name="MB_Tomato_810B_Twin">#N/A</x:definedName>
    <x:definedName name="Mba1p">#N/A</x:definedName>
    <x:definedName name="Mba3p">#N/A</x:definedName>
    <x:definedName name="Mbb3p">#N/A</x:definedName>
    <x:definedName name="Mbn1p">#N/A</x:definedName>
    <x:definedName name="mbnc">#N/A</x:definedName>
    <x:definedName name="mbvl">#N/A</x:definedName>
    <x:definedName name="mc">#N/A</x:definedName>
    <x:definedName name="MCCO" hidden="1">{#N/A,#N/A,FALSE,"CCTV"}</x:definedName>
    <x:definedName name="MCCO10" hidden="1">{#N/A,#N/A,FALSE,"CCTV"}</x:definedName>
    <x:definedName name="MCCO11" hidden="1">{#N/A,#N/A,FALSE,"CCTV"}</x:definedName>
    <x:definedName name="MCCO12" hidden="1">{#N/A,#N/A,FALSE,"CCTV"}</x:definedName>
    <x:definedName name="MCCO13" hidden="1">{#N/A,#N/A,FALSE,"CCTV"}</x:definedName>
    <x:definedName name="MCCO3" hidden="1">{#N/A,#N/A,FALSE,"CCTV"}</x:definedName>
    <x:definedName name="MCCO4" hidden="1">{#N/A,#N/A,FALSE,"CCTV"}</x:definedName>
    <x:definedName name="MCCO5" hidden="1">{#N/A,#N/A,FALSE,"CCTV"}</x:definedName>
    <x:definedName name="MCCO6" hidden="1">{#N/A,#N/A,FALSE,"CCTV"}</x:definedName>
    <x:definedName name="MCCO7" hidden="1">{#N/A,#N/A,FALSE,"CCTV"}</x:definedName>
    <x:definedName name="MCCO8" hidden="1">{#N/A,#N/A,FALSE,"CCTV"}</x:definedName>
    <x:definedName name="MCCO9" hidden="1">{#N/A,#N/A,FALSE,"CCTV"}</x:definedName>
    <x:definedName name="MCCOÙ" hidden="1">{#N/A,#N/A,FALSE,"CCTV"}</x:definedName>
    <x:definedName name="MDT">#N/A</x:definedName>
    <x:definedName name="MDTa">#N/A</x:definedName>
    <x:definedName name="MDTN">#N/A</x:definedName>
    <x:definedName name="me">#N/A</x:definedName>
    <x:definedName name="MetalWork">#N/A</x:definedName>
    <x:definedName name="MF">#N/A</x:definedName>
    <x:definedName name="mg">#N/A</x:definedName>
    <x:definedName name="MG_A">#N/A</x:definedName>
    <x:definedName name="mg1.">#N/A</x:definedName>
    <x:definedName name="mg2.">#N/A</x:definedName>
    <x:definedName name="MH" hidden="1">{"'Sheet1'!$L$16"}</x:definedName>
    <x:definedName name="minh" hidden="1">{"'Sheet1'!$L$16"}</x:definedName>
    <x:definedName name="MINH1">#N/A</x:definedName>
    <x:definedName name="MINH2">#N/A</x:definedName>
    <x:definedName name="MiscellaneousWork">#N/A</x:definedName>
    <x:definedName name="mL">#N/A</x:definedName>
    <x:definedName name="mm" hidden="1">{"'Sheet1'!$L$16"}</x:definedName>
    <x:definedName name="mmm">#N/A</x:definedName>
    <x:definedName name="mmmm" hidden="1">{"'Sheet1'!$L$16"}</x:definedName>
    <x:definedName name="mn">#N/A</x:definedName>
    <x:definedName name="mnb">#N/A</x:definedName>
    <x:definedName name="mncvhjkhj" hidden="1">{"'Sheet1'!$L$16"}</x:definedName>
    <x:definedName name="MNTB">#N/A</x:definedName>
    <x:definedName name="MNTC">#N/A</x:definedName>
    <x:definedName name="MNTHTH">#N/A</x:definedName>
    <x:definedName name="MNTN">#N/A</x:definedName>
    <x:definedName name="MNTT">#N/A</x:definedName>
    <x:definedName name="mo">#N/A</x:definedName>
    <x:definedName name="Mo_BinhDien">#N/A</x:definedName>
    <x:definedName name="Mo5_BinhDien">#N/A</x:definedName>
    <x:definedName name="Moi">#N/A</x:definedName>
    <x:definedName name="MoM0">#N/A</x:definedName>
    <x:definedName name="mot">#N/A</x:definedName>
    <x:definedName name="mp1x25">#N/A</x:definedName>
    <x:definedName name="Mpld">#N/A</x:definedName>
    <x:definedName name="Mr">#N/A</x:definedName>
    <x:definedName name="mrn.inv._.budget" hidden="1">{"invbud-1",#N/A,FALSE,"A";"invbud-1CW",#N/A,FALSE,"A";"Desinvesteringen",#N/A,FALSE,"C"}</x:definedName>
    <x:definedName name="ms">#N/A</x:definedName>
    <x:definedName name="mt">#N/A</x:definedName>
    <x:definedName name="MTC1P">#N/A</x:definedName>
    <x:definedName name="MTC3P">#N/A</x:definedName>
    <x:definedName name="MTcat">#N/A</x:definedName>
    <x:definedName name="MTCata">#N/A</x:definedName>
    <x:definedName name="MTCHC">#N/A</x:definedName>
    <x:definedName name="MTCMB">#N/A</x:definedName>
    <x:definedName name="MTMAC12">#N/A</x:definedName>
    <x:definedName name="mtr">#N/A</x:definedName>
    <x:definedName name="mtram">#N/A</x:definedName>
    <x:definedName name="MUN">#N/A</x:definedName>
    <x:definedName name="MV">#N/A</x:definedName>
    <x:definedName name="myle">#N/A</x:definedName>
    <x:definedName name="n">#N/A</x:definedName>
    <x:definedName name="n.d1">#N/A</x:definedName>
    <x:definedName name="n.d2">#N/A</x:definedName>
    <x:definedName name="N.M14.1">#N/A</x:definedName>
    <x:definedName name="N.M14.2">#N/A</x:definedName>
    <x:definedName name="N.MTCat">#N/A</x:definedName>
    <x:definedName name="n1_">#N/A</x:definedName>
    <x:definedName name="N1IN">#N/A</x:definedName>
    <x:definedName name="n1pig">#N/A</x:definedName>
    <x:definedName name="n1pignc">#N/A</x:definedName>
    <x:definedName name="n1pigvl">#N/A</x:definedName>
    <x:definedName name="n1pind">#N/A</x:definedName>
    <x:definedName name="n1pindnc">#N/A</x:definedName>
    <x:definedName name="n1pindvl">#N/A</x:definedName>
    <x:definedName name="n1ping">#N/A</x:definedName>
    <x:definedName name="n1pingnc">#N/A</x:definedName>
    <x:definedName name="n1pingvl">#N/A</x:definedName>
    <x:definedName name="n1pint">#N/A</x:definedName>
    <x:definedName name="n1pintnc">#N/A</x:definedName>
    <x:definedName name="n1pintvl">#N/A</x:definedName>
    <x:definedName name="n2_">#N/A</x:definedName>
    <x:definedName name="n24nc">#N/A</x:definedName>
    <x:definedName name="n24vl">#N/A</x:definedName>
    <x:definedName name="n2mignc">#N/A</x:definedName>
    <x:definedName name="n2migvl">#N/A</x:definedName>
    <x:definedName name="n2min1nc">#N/A</x:definedName>
    <x:definedName name="n2min1vl">#N/A</x:definedName>
    <x:definedName name="n3_">#N/A</x:definedName>
    <x:definedName name="n4_">#N/A</x:definedName>
    <x:definedName name="Namna" hidden="1">{"'Sheet1'!$L$16"}</x:definedName>
    <x:definedName name="Nc">#N/A</x:definedName>
    <x:definedName name="NC.DMC">#N/A</x:definedName>
    <x:definedName name="NC.GTTMC">#N/A</x:definedName>
    <x:definedName name="NC.M10.1">#N/A</x:definedName>
    <x:definedName name="NC.M10.2">#N/A</x:definedName>
    <x:definedName name="NC.M14.1">#N/A</x:definedName>
    <x:definedName name="NC.M14.2">#N/A</x:definedName>
    <x:definedName name="NC.MDT">#N/A</x:definedName>
    <x:definedName name="NC.MTCat">#N/A</x:definedName>
    <x:definedName name="NC.T1C.CDFD">#N/A</x:definedName>
    <x:definedName name="NC.T1C.M14">#N/A</x:definedName>
    <x:definedName name="NC.TTC">#N/A</x:definedName>
    <x:definedName name="NC.X.CSV">#N/A</x:definedName>
    <x:definedName name="NC.XL">#N/A</x:definedName>
    <x:definedName name="nc1nc">#N/A</x:definedName>
    <x:definedName name="nc1p">#N/A</x:definedName>
    <x:definedName name="nc1vl">#N/A</x:definedName>
    <x:definedName name="nc24nc">#N/A</x:definedName>
    <x:definedName name="nc24vl">#N/A</x:definedName>
    <x:definedName name="nc3p">#N/A</x:definedName>
    <x:definedName name="ncb">[0]!ncb</x:definedName>
    <x:definedName name="NCBD100">#N/A</x:definedName>
    <x:definedName name="NCBD200">#N/A</x:definedName>
    <x:definedName name="NCBD250">#N/A</x:definedName>
    <x:definedName name="ncbt">#N/A</x:definedName>
    <x:definedName name="NCcap0.7">#N/A</x:definedName>
    <x:definedName name="NCcap1">#N/A</x:definedName>
    <x:definedName name="nccc2">#N/A</x:definedName>
    <x:definedName name="ncday35">#N/A</x:definedName>
    <x:definedName name="ncday50">#N/A</x:definedName>
    <x:definedName name="ncday70">#N/A</x:definedName>
    <x:definedName name="ncday95">#N/A</x:definedName>
    <x:definedName name="ncdd">#N/A</x:definedName>
    <x:definedName name="NCDD2">#N/A</x:definedName>
    <x:definedName name="NCHC">#N/A</x:definedName>
    <x:definedName name="NCKT">#N/A</x:definedName>
    <x:definedName name="Ncol">#N/A</x:definedName>
    <x:definedName name="nctr">#N/A</x:definedName>
    <x:definedName name="nctram">#N/A</x:definedName>
    <x:definedName name="NCVC100">#N/A</x:definedName>
    <x:definedName name="NCVC200">#N/A</x:definedName>
    <x:definedName name="NCVC250">#N/A</x:definedName>
    <x:definedName name="NCVC3P">#N/A</x:definedName>
    <x:definedName name="nd">#N/A</x:definedName>
    <x:definedName name="nd_8">#N/A</x:definedName>
    <x:definedName name="nd_9">#N/A</x:definedName>
    <x:definedName name="Ndn">#N/A</x:definedName>
    <x:definedName name="Néi_dung">#N/A</x:definedName>
    <x:definedName name="NET">#N/A</x:definedName>
    <x:definedName name="NET_1">#N/A</x:definedName>
    <x:definedName name="NET_ANA">#N/A</x:definedName>
    <x:definedName name="NET_ANA_1">#N/A</x:definedName>
    <x:definedName name="NET_ANA_2">#N/A</x:definedName>
    <x:definedName name="new" hidden="1">{"'Sheet1'!$L$16"}</x:definedName>
    <x:definedName name="NEWNAME" hidden="1">{#N/A,#N/A,FALSE,"CCTV"}</x:definedName>
    <x:definedName name="NewPOS">#N/A</x:definedName>
    <x:definedName name="Ng">#N/A</x:definedName>
    <x:definedName name="ng.">#N/A</x:definedName>
    <x:definedName name="Ng_y__i">#N/A</x:definedName>
    <x:definedName name="ng1.">#N/A</x:definedName>
    <x:definedName name="ng2.">#N/A</x:definedName>
    <x:definedName name="ngau">#N/A</x:definedName>
    <x:definedName name="ngay23" hidden="1">{"'Sheet1'!$L$16"}</x:definedName>
    <x:definedName name="Ngaycong">#N/A</x:definedName>
    <x:definedName name="NGAYCTU_B">#N/A</x:definedName>
    <x:definedName name="NGHI">#N/A</x:definedName>
    <x:definedName name="Nghiepvu">'[8]Danh muc'!$F$17:$F$35</x:definedName>
    <x:definedName name="NH">#N/A</x:definedName>
    <x:definedName name="Nhancong">#N/A</x:definedName>
    <x:definedName name="NHANTIEN">#N/A</x:definedName>
    <x:definedName name="nhap1">[0]!nhap1</x:definedName>
    <x:definedName name="nhap2">[0]!nhap2</x:definedName>
    <x:definedName name="nhap3">[0]!nhap3</x:definedName>
    <x:definedName name="nhapcb">[0]!nhapcb</x:definedName>
    <x:definedName name="nhapngay">'[6]Danh mục'!$A$5:$A$1467</x:definedName>
    <x:definedName name="nhn">#N/A</x:definedName>
    <x:definedName name="NhNgam">#N/A</x:definedName>
    <x:definedName name="nhnnc">#N/A</x:definedName>
    <x:definedName name="nhnvl">#N/A</x:definedName>
    <x:definedName name="NHot">#N/A</x:definedName>
    <x:definedName name="NhTreo">#N/A</x:definedName>
    <x:definedName name="nhua">#N/A</x:definedName>
    <x:definedName name="nhung" hidden="1">{"'Sheet1'!$L$16"}</x:definedName>
    <x:definedName name="nhvnbv" hidden="1">{"'Sheet1'!$L$16"}</x:definedName>
    <x:definedName name="nig">#N/A</x:definedName>
    <x:definedName name="NIG13p">#N/A</x:definedName>
    <x:definedName name="nig1p">#N/A</x:definedName>
    <x:definedName name="nig3p">#N/A</x:definedName>
    <x:definedName name="nightnc">#N/A</x:definedName>
    <x:definedName name="nightvl">#N/A</x:definedName>
    <x:definedName name="nignc1p">#N/A</x:definedName>
    <x:definedName name="nignc3p">#N/A</x:definedName>
    <x:definedName name="nigvl1p">#N/A</x:definedName>
    <x:definedName name="nigvl3p">#N/A</x:definedName>
    <x:definedName name="nin">#N/A</x:definedName>
    <x:definedName name="nin14nc3p">#N/A</x:definedName>
    <x:definedName name="nin14vl3p">#N/A</x:definedName>
    <x:definedName name="nin1903p">#N/A</x:definedName>
    <x:definedName name="nin190nc">#N/A</x:definedName>
    <x:definedName name="nin190nc3p">#N/A</x:definedName>
    <x:definedName name="nin190vl">#N/A</x:definedName>
    <x:definedName name="nin190vl3p">#N/A</x:definedName>
    <x:definedName name="nin1pnc">#N/A</x:definedName>
    <x:definedName name="nin1pvl">#N/A</x:definedName>
    <x:definedName name="nin2903p">#N/A</x:definedName>
    <x:definedName name="nin290nc3p">#N/A</x:definedName>
    <x:definedName name="nin290vl3p">#N/A</x:definedName>
    <x:definedName name="nin3p">#N/A</x:definedName>
    <x:definedName name="nind">#N/A</x:definedName>
    <x:definedName name="nind1p">#N/A</x:definedName>
    <x:definedName name="nind3p">#N/A</x:definedName>
    <x:definedName name="nindnc">#N/A</x:definedName>
    <x:definedName name="nindnc1p">#N/A</x:definedName>
    <x:definedName name="nindnc3p">#N/A</x:definedName>
    <x:definedName name="nindvl">#N/A</x:definedName>
    <x:definedName name="nindvl1p">#N/A</x:definedName>
    <x:definedName name="nindvl3p">#N/A</x:definedName>
    <x:definedName name="ning1p">#N/A</x:definedName>
    <x:definedName name="ningnc1p">#N/A</x:definedName>
    <x:definedName name="ningvl1p">#N/A</x:definedName>
    <x:definedName name="NinhBinh_Nhoquan110">#N/A</x:definedName>
    <x:definedName name="ninnc">#N/A</x:definedName>
    <x:definedName name="ninnc3p">#N/A</x:definedName>
    <x:definedName name="nint1p">#N/A</x:definedName>
    <x:definedName name="nintnc1p">#N/A</x:definedName>
    <x:definedName name="nintvl1p">#N/A</x:definedName>
    <x:definedName name="ninvl">#N/A</x:definedName>
    <x:definedName name="ninvl3p">#N/A</x:definedName>
    <x:definedName name="nL">#N/A</x:definedName>
    <x:definedName name="NL12nc">#N/A</x:definedName>
    <x:definedName name="NL12vl">#N/A</x:definedName>
    <x:definedName name="nl1p">#N/A</x:definedName>
    <x:definedName name="nl3p">#N/A</x:definedName>
    <x:definedName name="nlht">#N/A</x:definedName>
    <x:definedName name="nlmtc">#N/A</x:definedName>
    <x:definedName name="nlnc">#N/A</x:definedName>
    <x:definedName name="nlnc3p">#N/A</x:definedName>
    <x:definedName name="nlnc3pha">#N/A</x:definedName>
    <x:definedName name="NLTK1p">#N/A</x:definedName>
    <x:definedName name="nlvl">#N/A</x:definedName>
    <x:definedName name="nlvl1">#N/A</x:definedName>
    <x:definedName name="nlvl3p">#N/A</x:definedName>
    <x:definedName name="nm" hidden="1">{"'Sheet1'!$L$16"}</x:definedName>
    <x:definedName name="Nmn">#N/A</x:definedName>
    <x:definedName name="nn">#N/A</x:definedName>
    <x:definedName name="nn1p">#N/A</x:definedName>
    <x:definedName name="nn3p">#N/A</x:definedName>
    <x:definedName name="nng">#N/A</x:definedName>
    <x:definedName name="nnn">[0]!nnn</x:definedName>
    <x:definedName name="nnnc">#N/A</x:definedName>
    <x:definedName name="nnnc3p">#N/A</x:definedName>
    <x:definedName name="nnvl">#N/A</x:definedName>
    <x:definedName name="nnvl3p">#N/A</x:definedName>
    <x:definedName name="NO">#N/A</x:definedName>
    <x:definedName name="NOCU">#N/A</x:definedName>
    <x:definedName name="none">#N/A</x:definedName>
    <x:definedName name="Np">#N/A</x:definedName>
    <x:definedName name="Nq">#N/A</x:definedName>
    <x:definedName name="NRy" hidden="1">{"'Sheet1'!$L$16"}</x:definedName>
    <x:definedName name="NS">#N/A</x:definedName>
    <x:definedName name="nuoc">#N/A</x:definedName>
    <x:definedName name="NUOCHKHOAN" hidden="1">{"'Sheet1'!$L$16"}</x:definedName>
    <x:definedName name="NUOCHKHOANMOI" hidden="1">{"'Sheet1'!$L$16"}</x:definedName>
    <x:definedName name="nv">#N/A</x:definedName>
    <x:definedName name="nx">#N/A</x:definedName>
    <x:definedName name="nxmtc">#N/A</x:definedName>
    <x:definedName name="o" hidden="1">{"'Sheet1'!$L$16"}</x:definedName>
    <x:definedName name="Ô" hidden="1">{"'Sheet1'!$L$16"}</x:definedName>
    <x:definedName name="oc">#N/A</x:definedName>
    <x:definedName name="OE">#N/A</x:definedName>
    <x:definedName name="ôi" hidden="1">#REF!</x:definedName>
    <x:definedName name="ol">#N/A</x:definedName>
    <x:definedName name="ong">#N/A</x:definedName>
    <x:definedName name="ophom">#N/A</x:definedName>
    <x:definedName name="OrderTable" hidden="1">#REF!</x:definedName>
    <x:definedName name="osc">#N/A</x:definedName>
    <x:definedName name="OTHER_PANEL">#N/A</x:definedName>
    <x:definedName name="OtherWork">#N/A</x:definedName>
    <x:definedName name="oudom" hidden="1">{"'Sheet1'!$L$16"}</x:definedName>
    <x:definedName name="oxy">#N/A</x:definedName>
    <x:definedName name="P">#N/A</x:definedName>
    <x:definedName name="P_M">#N/A</x:definedName>
    <x:definedName name="p1_">#N/A</x:definedName>
    <x:definedName name="p2_">#N/A</x:definedName>
    <x:definedName name="PA">#N/A</x:definedName>
    <x:definedName name="Painting">#N/A</x:definedName>
    <x:definedName name="PB">#N/A</x:definedName>
    <x:definedName name="Pd">#N/A</x:definedName>
    <x:definedName name="Pda">#N/A</x:definedName>
    <x:definedName name="Pdi">#N/A</x:definedName>
    <x:definedName name="PEJM">#N/A</x:definedName>
    <x:definedName name="PF">#N/A</x:definedName>
    <x:definedName name="pgia">#N/A</x:definedName>
    <x:definedName name="PGV" hidden="1">#N/A</x:definedName>
    <x:definedName name="phada">#N/A</x:definedName>
    <x:definedName name="phantich3" hidden="1">{"'Sheet1'!$L$16"}</x:definedName>
    <x:definedName name="phu_luc_vua">#N/A</x:definedName>
    <x:definedName name="phugia">#N/A</x:definedName>
    <x:definedName name="phuong" hidden="1">{"'Sheet1'!$L$16"}</x:definedName>
    <x:definedName name="PileSize">#N/A</x:definedName>
    <x:definedName name="PileType">#N/A</x:definedName>
    <x:definedName name="PK">#N/A</x:definedName>
    <x:definedName name="pl">#N/A</x:definedName>
    <x:definedName name="PL_???___P.B.___REST_P.B._????">#N/A</x:definedName>
    <x:definedName name="PL_指示燈___P.B.___REST_P.B._壓扣開關">#N/A</x:definedName>
    <x:definedName name="Plaster">#N/A</x:definedName>
    <x:definedName name="PLp">#N/A</x:definedName>
    <x:definedName name="PLt">#N/A</x:definedName>
    <x:definedName name="PLvuaBT">#N/A</x:definedName>
    <x:definedName name="PM">#N/A</x:definedName>
    <x:definedName name="PowerCord">#N/A</x:definedName>
    <x:definedName name="PP114_2P114_3P60">#N/A</x:definedName>
    <x:definedName name="PRICE">#N/A</x:definedName>
    <x:definedName name="PRICE1">#N/A</x:definedName>
    <x:definedName name="prin_area">#N/A</x:definedName>
    <x:definedName name="Print_Area_MI">#N/A</x:definedName>
    <x:definedName name="Print_Titles_MI">#N/A</x:definedName>
    <x:definedName name="PRINTA">#N/A</x:definedName>
    <x:definedName name="PRINTB">#N/A</x:definedName>
    <x:definedName name="PRINTC">#N/A</x:definedName>
    <x:definedName name="ProdForm" hidden="1">#REF!</x:definedName>
    <x:definedName name="Product" hidden="1">#REF!</x:definedName>
    <x:definedName name="PROPOSAL">#N/A</x:definedName>
    <x:definedName name="Protex">#N/A</x:definedName>
    <x:definedName name="PSCO_CD">#N/A</x:definedName>
    <x:definedName name="PSNO_CD">#N/A</x:definedName>
    <x:definedName name="PST">#N/A</x:definedName>
    <x:definedName name="pt">#N/A</x:definedName>
    <x:definedName name="PT_Duong">#N/A</x:definedName>
    <x:definedName name="ptdg">#N/A</x:definedName>
    <x:definedName name="PTDG_cau">#N/A</x:definedName>
    <x:definedName name="ptdg_cong">#N/A</x:definedName>
    <x:definedName name="ptdg_duong">#N/A</x:definedName>
    <x:definedName name="ptich3" hidden="1">{"'Sheet1'!$L$16"}</x:definedName>
    <x:definedName name="PTNC">#N/A</x:definedName>
    <x:definedName name="PTST">#N/A</x:definedName>
    <x:definedName name="ptvt">#N/A</x:definedName>
    <x:definedName name="Pvc">#N/A</x:definedName>
    <x:definedName name="Pvd">#N/A</x:definedName>
    <x:definedName name="Px">#N/A</x:definedName>
    <x:definedName name="Py">#N/A</x:definedName>
    <x:definedName name="q" hidden="1">{"'Sheet1'!$L$16"}</x:definedName>
    <x:definedName name="qc">#N/A</x:definedName>
    <x:definedName name="QDD">#N/A</x:definedName>
    <x:definedName name="qềqg" hidden="1">{"'Sheet1'!$L$16"}</x:definedName>
    <x:definedName name="qfè">#N/A</x:definedName>
    <x:definedName name="qh">#N/A</x:definedName>
    <x:definedName name="ql">#N/A</x:definedName>
    <x:definedName name="qp">#N/A</x:definedName>
    <x:definedName name="QQ" hidden="1">{"'Sheet1'!$L$16"}</x:definedName>
    <x:definedName name="qqq" hidden="1">{"'Sheet1'!$L$16"}</x:definedName>
    <x:definedName name="qSF">#N/A</x:definedName>
    <x:definedName name="qtdm">#N/A</x:definedName>
    <x:definedName name="qtebt">#N/A</x:definedName>
    <x:definedName name="qu">#N/A</x:definedName>
    <x:definedName name="quehan">#N/A</x:definedName>
    <x:definedName name="Query1">#N/A</x:definedName>
    <x:definedName name="qừq" hidden="1">{#N/A,#N/A,FALSE,"Chi tiÆt"}</x:definedName>
    <x:definedName name="qx">#N/A</x:definedName>
    <x:definedName name="qy">#N/A</x:definedName>
    <x:definedName name="qzqzqz10">#N/A</x:definedName>
    <x:definedName name="qzqzqz11">#N/A</x:definedName>
    <x:definedName name="qzqzqz12">#N/A</x:definedName>
    <x:definedName name="qzqzqz13">#N/A</x:definedName>
    <x:definedName name="qzqzqz14">#N/A</x:definedName>
    <x:definedName name="qzqzqz15">#N/A</x:definedName>
    <x:definedName name="qzqzqz16">#N/A</x:definedName>
    <x:definedName name="qzqzqz17">#N/A</x:definedName>
    <x:definedName name="qzqzqz18">#N/A</x:definedName>
    <x:definedName name="qzqzqz19">#N/A</x:definedName>
    <x:definedName name="qzqzqz20">#N/A</x:definedName>
    <x:definedName name="qzqzqz21">#N/A</x:definedName>
    <x:definedName name="qzqzqz22">#N/A</x:definedName>
    <x:definedName name="qzqzqz23">#N/A</x:definedName>
    <x:definedName name="qzqzqz24">#N/A</x:definedName>
    <x:definedName name="qzqzqz25">#N/A</x:definedName>
    <x:definedName name="qzqzqz26">#N/A</x:definedName>
    <x:definedName name="qzqzqz27">#N/A</x:definedName>
    <x:definedName name="qzqzqz28">#N/A</x:definedName>
    <x:definedName name="qzqzqz29">#N/A</x:definedName>
    <x:definedName name="qzqzqz30">#N/A</x:definedName>
    <x:definedName name="qzqzqz31">#N/A</x:definedName>
    <x:definedName name="qzqzqz32">#N/A</x:definedName>
    <x:definedName name="qzqzqz6">#N/A</x:definedName>
    <x:definedName name="qzqzqz7">#N/A</x:definedName>
    <x:definedName name="qzqzqz8">#N/A</x:definedName>
    <x:definedName name="qzqzqz9">#N/A</x:definedName>
    <x:definedName name="r_">#N/A</x:definedName>
    <x:definedName name="R0_1">#N/A</x:definedName>
    <x:definedName name="R0_2">#N/A</x:definedName>
    <x:definedName name="R00">#N/A</x:definedName>
    <x:definedName name="R00t">#N/A</x:definedName>
    <x:definedName name="ra11p">#N/A</x:definedName>
    <x:definedName name="ra13p">#N/A</x:definedName>
    <x:definedName name="rack1">#N/A</x:definedName>
    <x:definedName name="rack2">#N/A</x:definedName>
    <x:definedName name="rack3">#N/A</x:definedName>
    <x:definedName name="rack4">#N/A</x:definedName>
    <x:definedName name="rang1">#N/A</x:definedName>
    <x:definedName name="range">#N/A</x:definedName>
    <x:definedName name="Ranhxay" hidden="1">{"'Sheet1'!$L$16"}</x:definedName>
    <x:definedName name="Rate">14563</x:definedName>
    <x:definedName name="RCArea" hidden="1">#REF!</x:definedName>
    <x:definedName name="rdrdd" hidden="1">{#N/A,#N/A,FALSE,"Chi tiÆt"}</x:definedName>
    <x:definedName name="Rdtc">#N/A</x:definedName>
    <x:definedName name="re" hidden="1">{"'Sheet1'!$L$16"}</x:definedName>
    <x:definedName name="RECOUT">#N/A</x:definedName>
    <x:definedName name="REPORT01">#N/A</x:definedName>
    <x:definedName name="REPORT02">#N/A</x:definedName>
    <x:definedName name="Result21" hidden="1">{"'Sheet1'!$L$16"}</x:definedName>
    <x:definedName name="RFP003A">#N/A</x:definedName>
    <x:definedName name="RFP003B">#N/A</x:definedName>
    <x:definedName name="RFP003C">#N/A</x:definedName>
    <x:definedName name="RFP003D">#N/A</x:definedName>
    <x:definedName name="RFP003E">#N/A</x:definedName>
    <x:definedName name="RFP003F">#N/A</x:definedName>
    <x:definedName name="rhgrs" hidden="1">{"'Sheet1'!$L$16"}</x:definedName>
    <x:definedName name="rhrewhehe" hidden="1">{#N/A,#N/A,FALSE,"Chi tiÆt"}</x:definedName>
    <x:definedName name="ri">#N/A</x:definedName>
    <x:definedName name="rjf" hidden="1">{"Offgrid",#N/A,FALSE,"OFFGRID";"Region",#N/A,FALSE,"REGION";"Offgrid -2",#N/A,FALSE,"OFFGRID";"WTP",#N/A,FALSE,"WTP";"WTP -2",#N/A,FALSE,"WTP";"Project",#N/A,FALSE,"PROJECT";"Summary -2",#N/A,FALSE,"SUMMARY"}</x:definedName>
    <x:definedName name="rkd" hidden="1">{#N/A,#N/A,FALSE,"CCTV"}</x:definedName>
    <x:definedName name="RoofingWork">#N/A</x:definedName>
    <x:definedName name="Round">#N/A</x:definedName>
    <x:definedName name="rowdex">#N/A</x:definedName>
    <x:definedName name="RREE">[0]!RREE</x:definedName>
    <x:definedName name="RRR">[0]!RRR</x:definedName>
    <x:definedName name="RRRDGG">[0]!RRRDGG</x:definedName>
    <x:definedName name="rrrfff">[0]!rrrfff</x:definedName>
    <x:definedName name="rrrrrrrrrrrrrrr">[0]!rrrrrrrrrrrrrrr</x:definedName>
    <x:definedName name="RT">#N/A</x:definedName>
    <x:definedName name="Rtd">#N/A</x:definedName>
    <x:definedName name="rung25">#N/A</x:definedName>
    <x:definedName name="ryedfg" hidden="1">{#N/A,#N/A,FALSE,"CCTV"}</x:definedName>
    <x:definedName name="ryhtrd" hidden="1">{#N/A,#N/A,FALSE,"Chi tiÆt"}</x:definedName>
    <x:definedName name="S" hidden="1">{"'Sheet1'!$L$16"}</x:definedName>
    <x:definedName name="s_0cd">#N/A</x:definedName>
    <x:definedName name="s_58">#N/A</x:definedName>
    <x:definedName name="s_58g">#N/A</x:definedName>
    <x:definedName name="s_59">#N/A</x:definedName>
    <x:definedName name="s_59g">#N/A</x:definedName>
    <x:definedName name="s_Icd">#N/A</x:definedName>
    <x:definedName name="s1_">#N/A</x:definedName>
    <x:definedName name="s2_">#N/A</x:definedName>
    <x:definedName name="s3_">#N/A</x:definedName>
    <x:definedName name="s4_">#N/A</x:definedName>
    <x:definedName name="sa">#N/A</x:definedName>
    <x:definedName name="SAD" hidden="1">{"'Sheet1'!$L$16"}</x:definedName>
    <x:definedName name="sadec" hidden="1">{"'Sheet1'!$L$16"}</x:definedName>
    <x:definedName name="San_truoc">#N/A</x:definedName>
    <x:definedName name="SAPBEXrevision" hidden="1">7</x:definedName>
    <x:definedName name="SAPBEXsysID" hidden="1">"P57"</x:definedName>
    <x:definedName name="SAPBEXwbID" hidden="1">"3JX5BV41R2KVEX9FV6LB6ZNYC"</x:definedName>
    <x:definedName name="sat">#N/A</x:definedName>
    <x:definedName name="satt">#N/A</x:definedName>
    <x:definedName name="satu">#N/A</x:definedName>
    <x:definedName name="sau">#N/A</x:definedName>
    <x:definedName name="SA順にソートする">[0]!SA順にソートする</x:definedName>
    <x:definedName name="SB">#N/A</x:definedName>
    <x:definedName name="sb_8">#N/A</x:definedName>
    <x:definedName name="sb_8g">#N/A</x:definedName>
    <x:definedName name="sb_9">#N/A</x:definedName>
    <x:definedName name="sb_9g">#N/A</x:definedName>
    <x:definedName name="SCCR">#N/A</x:definedName>
    <x:definedName name="scdk">#N/A</x:definedName>
    <x:definedName name="scdl">#N/A</x:definedName>
    <x:definedName name="SCDT">#N/A</x:definedName>
    <x:definedName name="SCH">#N/A</x:definedName>
    <x:definedName name="scm">#N/A</x:definedName>
    <x:definedName name="scr">#N/A</x:definedName>
    <x:definedName name="sctdk">#N/A</x:definedName>
    <x:definedName name="sctdl">#N/A</x:definedName>
    <x:definedName name="sctqdl">#N/A</x:definedName>
    <x:definedName name="SCTX" hidden="1">{"'Sheet1'!$L$16"}</x:definedName>
    <x:definedName name="sd3p">#N/A</x:definedName>
    <x:definedName name="sdcfzdcdzssaf" hidden="1">{"'Sheet1'!$L$16"}</x:definedName>
    <x:definedName name="sdfs">#N/A</x:definedName>
    <x:definedName name="sdfsdfsd" hidden="1">{"'Sheet1'!$L$16"}</x:definedName>
    <x:definedName name="sdgsdfgdf">{0}</x:definedName>
    <x:definedName name="Sdh">#N/A</x:definedName>
    <x:definedName name="SDMONG">#N/A</x:definedName>
    <x:definedName name="Sdnn">#N/A</x:definedName>
    <x:definedName name="Sdnt">#N/A</x:definedName>
    <x:definedName name="Sdntb">#N/A</x:definedName>
    <x:definedName name="sdo">#N/A</x:definedName>
    <x:definedName name="sen" hidden="1">{"'Sheet1'!$L$16"}</x:definedName>
    <x:definedName name="sencount" hidden="1">1</x:definedName>
    <x:definedName name="Sensation">#N/A</x:definedName>
    <x:definedName name="sf">#N/A</x:definedName>
    <x:definedName name="sfasf" hidden="1">{"'Sheet1'!$L$16"}</x:definedName>
    <x:definedName name="sfdsf" hidden="1">{"'Sheet1'!$L$16"}</x:definedName>
    <x:definedName name="sff" hidden="1">{"'Sheet1'!$L$16"}</x:definedName>
    <x:definedName name="sfh" hidden="1">{"'Sheet1'!$L$16"}</x:definedName>
    <x:definedName name="sfsaf">#N/A</x:definedName>
    <x:definedName name="sg">#N/A</x:definedName>
    <x:definedName name="sg1.">#N/A</x:definedName>
    <x:definedName name="sg2.">#N/A</x:definedName>
    <x:definedName name="sgnc">#N/A</x:definedName>
    <x:definedName name="sgsr" hidden="1">{"'Sheet1'!$L$16"}</x:definedName>
    <x:definedName name="sgvl">#N/A</x:definedName>
    <x:definedName name="shee12" hidden="1">{"'Sheet1'!$L$16"}</x:definedName>
    <x:definedName name="sheet" hidden="1">{"'Sheet1'!$L$16"}</x:definedName>
    <x:definedName name="Sheet1">#N/A</x:definedName>
    <x:definedName name="Sheet1_Without_Matching_CUOC_INTERNET_TRU_T4">#N/A</x:definedName>
    <x:definedName name="shn">#N/A</x:definedName>
    <x:definedName name="sho">#N/A</x:definedName>
    <x:definedName name="Shoes">#N/A</x:definedName>
    <x:definedName name="shsrhtr" hidden="1">{"'Sheet1'!$L$16"}</x:definedName>
    <x:definedName name="sht">#N/A</x:definedName>
    <x:definedName name="sht3p">#N/A</x:definedName>
    <x:definedName name="SIZE">#N/A</x:definedName>
    <x:definedName name="sjoiseiorkl" hidden="1">{#N/A,#N/A,FALSE,"Chi tiÆt"}</x:definedName>
    <x:definedName name="skd">#N/A</x:definedName>
    <x:definedName name="SKUcoverage">#N/A</x:definedName>
    <x:definedName name="SL">#N/A</x:definedName>
    <x:definedName name="SL_CRD">#N/A</x:definedName>
    <x:definedName name="SL_CRS">#N/A</x:definedName>
    <x:definedName name="SL_CS">#N/A</x:definedName>
    <x:definedName name="SL_DD">#N/A</x:definedName>
    <x:definedName name="slk">#N/A</x:definedName>
    <x:definedName name="sll">#N/A</x:definedName>
    <x:definedName name="SMBA">#N/A</x:definedName>
    <x:definedName name="Smn">#N/A</x:definedName>
    <x:definedName name="So_Chu.Drop1">#N/A</x:definedName>
    <x:definedName name="So_Chu.Drop3">#N/A</x:definedName>
    <x:definedName name="so_chu.So_Xau">#N/A</x:definedName>
    <x:definedName name="So_ctu">#N/A</x:definedName>
    <x:definedName name="So_luong">#N/A</x:definedName>
    <x:definedName name="So_Xau">[0]!So_Xau</x:definedName>
    <x:definedName name="soc3p">#N/A</x:definedName>
    <x:definedName name="SOCTU_B">#N/A</x:definedName>
    <x:definedName name="SOCTU_NK">#N/A</x:definedName>
    <x:definedName name="SOCTU_NK_BH">#N/A</x:definedName>
    <x:definedName name="sodu" hidden="1">{"'Sheet1'!$L$16"}</x:definedName>
    <x:definedName name="soho">#N/A</x:definedName>
    <x:definedName name="Soi">#N/A</x:definedName>
    <x:definedName name="Soi_HamYen">#N/A</x:definedName>
    <x:definedName name="SoilType">#N/A</x:definedName>
    <x:definedName name="Solan">#N/A</x:definedName>
    <x:definedName name="soluong">#N/A</x:definedName>
    <x:definedName name="Sonth">#N/A</x:definedName>
    <x:definedName name="SORT">#N/A</x:definedName>
    <x:definedName name="SORT_AREA">#N/A</x:definedName>
    <x:definedName name="SORT2">[0]!SORT2</x:definedName>
    <x:definedName name="SORT3">[0]!SORT3</x:definedName>
    <x:definedName name="SOTIEN_B">#N/A</x:definedName>
    <x:definedName name="SOTIEN_CO_NK">#N/A</x:definedName>
    <x:definedName name="SOTIEN_NO_NK">#N/A</x:definedName>
    <x:definedName name="SP">#N/A</x:definedName>
    <x:definedName name="SPEC">#N/A</x:definedName>
    <x:definedName name="SpecialPrice" hidden="1">#REF!</x:definedName>
    <x:definedName name="SPECSUMMARY">#N/A</x:definedName>
    <x:definedName name="spk">#N/A</x:definedName>
    <x:definedName name="spk1p">#N/A</x:definedName>
    <x:definedName name="spk3p">#N/A</x:definedName>
    <x:definedName name="ss" hidden="1">{"'Sheet1'!$L$16"}</x:definedName>
    <x:definedName name="ssggg" hidden="1">{0}</x:definedName>
    <x:definedName name="SSSS" hidden="1">{"'Sheet1'!$L$16"}</x:definedName>
    <x:definedName name="st3p">#N/A</x:definedName>
    <x:definedName name="Start_1">#N/A</x:definedName>
    <x:definedName name="Start_10">#N/A</x:definedName>
    <x:definedName name="Start_11">#N/A</x:definedName>
    <x:definedName name="Start_12">#N/A</x:definedName>
    <x:definedName name="Start_13">#N/A</x:definedName>
    <x:definedName name="Start_2">#N/A</x:definedName>
    <x:definedName name="Start_3">#N/A</x:definedName>
    <x:definedName name="Start_4">#N/A</x:definedName>
    <x:definedName name="Start_5">#N/A</x:definedName>
    <x:definedName name="Start_6">#N/A</x:definedName>
    <x:definedName name="Start_7">#N/A</x:definedName>
    <x:definedName name="Start_8">#N/A</x:definedName>
    <x:definedName name="Start_9">#N/A</x:definedName>
    <x:definedName name="STD">#N/A</x:definedName>
    <x:definedName name="std.">#N/A</x:definedName>
    <x:definedName name="stop" hidden="1">{0}</x:definedName>
    <x:definedName name="str">#N/A</x:definedName>
    <x:definedName name="STT">#N/A</x:definedName>
    <x:definedName name="STT_CT">#N/A</x:definedName>
    <x:definedName name="STT_NC">#N/A</x:definedName>
    <x:definedName name="STT_NCT">#N/A</x:definedName>
    <x:definedName name="STT_PH">#N/A</x:definedName>
    <x:definedName name="sua" hidden="1">{"'Sheet1'!$L$16"}</x:definedName>
    <x:definedName name="SUM">#N/A</x:definedName>
    <x:definedName name="SUMMARY">#N/A</x:definedName>
    <x:definedName name="sv">#N/A</x:definedName>
    <x:definedName name="svn">#N/A</x:definedName>
    <x:definedName name="SXDam24mA">#N/A</x:definedName>
    <x:definedName name="SXdam24mB">#N/A</x:definedName>
    <x:definedName name="SXDam33mBien">#N/A</x:definedName>
    <x:definedName name="SXdam33mGiua">#N/A</x:definedName>
    <x:definedName name="t">#N/A</x:definedName>
    <x:definedName name="T.">#N/A</x:definedName>
    <x:definedName name="t_1">#N/A</x:definedName>
    <x:definedName name="T_Hoanvon">#N/A</x:definedName>
    <x:definedName name="t101p">#N/A</x:definedName>
    <x:definedName name="t103p">#N/A</x:definedName>
    <x:definedName name="t105mnc">#N/A</x:definedName>
    <x:definedName name="t10m">#N/A</x:definedName>
    <x:definedName name="t10nc">#N/A</x:definedName>
    <x:definedName name="t10nc1p">#N/A</x:definedName>
    <x:definedName name="t10ncm">#N/A</x:definedName>
    <x:definedName name="t10vl">#N/A</x:definedName>
    <x:definedName name="t10vl1p">#N/A</x:definedName>
    <x:definedName name="T12_">#N/A</x:definedName>
    <x:definedName name="t121p">#N/A</x:definedName>
    <x:definedName name="t123p">#N/A</x:definedName>
    <x:definedName name="t12m">#N/A</x:definedName>
    <x:definedName name="t12mnc">#N/A</x:definedName>
    <x:definedName name="t12nc">#N/A</x:definedName>
    <x:definedName name="t12nc3p">#N/A</x:definedName>
    <x:definedName name="t12ncm">#N/A</x:definedName>
    <x:definedName name="t12vl">#N/A</x:definedName>
    <x:definedName name="t12vl3p">#N/A</x:definedName>
    <x:definedName name="t141p">#N/A</x:definedName>
    <x:definedName name="t143p">#N/A</x:definedName>
    <x:definedName name="t14m">#N/A</x:definedName>
    <x:definedName name="t14mnc">#N/A</x:definedName>
    <x:definedName name="t14nc">#N/A</x:definedName>
    <x:definedName name="t14nc3p">#N/A</x:definedName>
    <x:definedName name="t14ncm">#N/A</x:definedName>
    <x:definedName name="T14vc">#N/A</x:definedName>
    <x:definedName name="t14vl">#N/A</x:definedName>
    <x:definedName name="t14vl3p">#N/A</x:definedName>
    <x:definedName name="T1C.CDFD">#N/A</x:definedName>
    <x:definedName name="T1C.CDFDa">#N/A</x:definedName>
    <x:definedName name="T1C.M14">#N/A</x:definedName>
    <x:definedName name="T1C.M14a">#N/A</x:definedName>
    <x:definedName name="T2_">#N/A</x:definedName>
    <x:definedName name="T203P">#N/A</x:definedName>
    <x:definedName name="t20m">#N/A</x:definedName>
    <x:definedName name="t20ncm">#N/A</x:definedName>
    <x:definedName name="T4.06" hidden="1">{"'Sheet1'!$L$16"}</x:definedName>
    <x:definedName name="T4CHINH_SUA">#N/A</x:definedName>
    <x:definedName name="T5.06" hidden="1">{"'Sheet1'!$L$16"}</x:definedName>
    <x:definedName name="t7m">#N/A</x:definedName>
    <x:definedName name="t7nc">#N/A</x:definedName>
    <x:definedName name="t7vl">#N/A</x:definedName>
    <x:definedName name="t84mnc">#N/A</x:definedName>
    <x:definedName name="t8m">#N/A</x:definedName>
    <x:definedName name="t8nc">#N/A</x:definedName>
    <x:definedName name="t8vl">#N/A</x:definedName>
    <x:definedName name="tadao">#N/A</x:definedName>
    <x:definedName name="Tæng">#N/A</x:definedName>
    <x:definedName name="Taikhoan">#N/A</x:definedName>
    <x:definedName name="taikhoanco">#N/A</x:definedName>
    <x:definedName name="taikhoanno">#N/A</x:definedName>
    <x:definedName name="TAMUNG">#N/A</x:definedName>
    <x:definedName name="tanhong" hidden="1">{"'Sheet1'!$L$16"}</x:definedName>
    <x:definedName name="tanhong1" hidden="1">{"'Sheet1'!$L$16"}</x:definedName>
    <x:definedName name="TaxTV">10%</x:definedName>
    <x:definedName name="TaxXL">5%</x:definedName>
    <x:definedName name="tb">#N/A</x:definedName>
    <x:definedName name="TB_CTO">#N/A</x:definedName>
    <x:definedName name="TBA">#N/A</x:definedName>
    <x:definedName name="tbdd1p">#N/A</x:definedName>
    <x:definedName name="tbdd3p">#N/A</x:definedName>
    <x:definedName name="tbddsdl">#N/A</x:definedName>
    <x:definedName name="TBI">#N/A</x:definedName>
    <x:definedName name="tbl_ProdInfo" hidden="1">#REF!</x:definedName>
    <x:definedName name="TBSGP">#N/A</x:definedName>
    <x:definedName name="tbtr">#N/A</x:definedName>
    <x:definedName name="tbtram">#N/A</x:definedName>
    <x:definedName name="tc">#N/A</x:definedName>
    <x:definedName name="TC_NHANH1">#N/A</x:definedName>
    <x:definedName name="tcxxnc">#N/A</x:definedName>
    <x:definedName name="TD">#N/A</x:definedName>
    <x:definedName name="td10vl">#N/A</x:definedName>
    <x:definedName name="td12nc">#N/A</x:definedName>
    <x:definedName name="td1cnc">#N/A</x:definedName>
    <x:definedName name="td1cvl">#N/A</x:definedName>
    <x:definedName name="td1p">#N/A</x:definedName>
    <x:definedName name="TD1pnc">#N/A</x:definedName>
    <x:definedName name="TD1pvl">#N/A</x:definedName>
    <x:definedName name="td3p">#N/A</x:definedName>
    <x:definedName name="tdc84nc">#N/A</x:definedName>
    <x:definedName name="tdcnc">#N/A</x:definedName>
    <x:definedName name="tdgnc">#N/A</x:definedName>
    <x:definedName name="tdgvl">#N/A</x:definedName>
    <x:definedName name="tdhtnc">#N/A</x:definedName>
    <x:definedName name="tdhtvl">#N/A</x:definedName>
    <x:definedName name="tdia">#N/A</x:definedName>
    <x:definedName name="tdnc">#N/A</x:definedName>
    <x:definedName name="tdnc1p">#N/A</x:definedName>
    <x:definedName name="tdnc3p">#N/A</x:definedName>
    <x:definedName name="tdo">#N/A</x:definedName>
    <x:definedName name="tdt">#N/A</x:definedName>
    <x:definedName name="tdt1pnc">#N/A</x:definedName>
    <x:definedName name="tdt1pvl">#N/A</x:definedName>
    <x:definedName name="tdt2cnc">#N/A</x:definedName>
    <x:definedName name="tdt2cvl">#N/A</x:definedName>
    <x:definedName name="tdtr2cnc">#N/A</x:definedName>
    <x:definedName name="tdtr2cvl">#N/A</x:definedName>
    <x:definedName name="tdtrnc">#N/A</x:definedName>
    <x:definedName name="tdtrvl">#N/A</x:definedName>
    <x:definedName name="tdvl">#N/A</x:definedName>
    <x:definedName name="tdvl1p">#N/A</x:definedName>
    <x:definedName name="tdvl3p">#N/A</x:definedName>
    <x:definedName name="TemporaryWork">#N/A</x:definedName>
    <x:definedName name="Ten_CongTy_TieuDe_E" hidden="1">[7]Thong_tin!$E$11</x:definedName>
    <x:definedName name="Ten_CongTy_TieuDe_V" hidden="1">[7]Thong_tin!$D$11</x:definedName>
    <x:definedName name="Ten_DVChuQuan_E" hidden="1">[7]Thong_tin!$E$9</x:definedName>
    <x:definedName name="Ten_DVChuQuan_V" hidden="1">[7]Thong_tin!$D$9</x:definedName>
    <x:definedName name="TenNgam">#N/A</x:definedName>
    <x:definedName name="TenTreo">#N/A</x:definedName>
    <x:definedName name="ter">#N/A</x:definedName>
    <x:definedName name="TextRefCopyRangeCount" hidden="1">5</x:definedName>
    <x:definedName name="TG">#N/A</x:definedName>
    <x:definedName name="TGLS">#N/A</x:definedName>
    <x:definedName name="tgưgz" hidden="1">{"'Sheet1'!$L$16"}</x:definedName>
    <x:definedName name="th">#N/A</x:definedName>
    <x:definedName name="th3x15">#N/A</x:definedName>
    <x:definedName name="tha" hidden="1">{"'Sheet1'!$L$16"}</x:definedName>
    <x:definedName name="thai">#N/A</x:definedName>
    <x:definedName name="Than" hidden="1">{"'Sheet1'!$L$16"}</x:definedName>
    <x:definedName name="thang" hidden="1">{"'Sheet1'!$L$16"}</x:definedName>
    <x:definedName name="Thang10" hidden="1">{"'Sheet1'!$L$16"}</x:definedName>
    <x:definedName name="thang13" hidden="1">{"'Sheet1'!$L$16"}</x:definedName>
    <x:definedName name="thang4">#N/A</x:definedName>
    <x:definedName name="thang8" hidden="1">{"'Sheet1'!$L$16"}</x:definedName>
    <x:definedName name="thang9" hidden="1">{"'Sheet1'!$L$16"}</x:definedName>
    <x:definedName name="thanh" hidden="1">{"'Sheet1'!$L$16"}</x:definedName>
    <x:definedName name="Thanh_tien_nhap">#N/A</x:definedName>
    <x:definedName name="Thanh_tien_xuat">#N/A</x:definedName>
    <x:definedName name="THANHTIEN">#N/A</x:definedName>
    <x:definedName name="ThanhXuan110">#N/A</x:definedName>
    <x:definedName name="thao" hidden="1">{"'Sheet1'!$L$16"}</x:definedName>
    <x:definedName name="THCTO">#N/A</x:definedName>
    <x:definedName name="thdt">#N/A</x:definedName>
    <x:definedName name="thepbuoc">#N/A</x:definedName>
    <x:definedName name="ThepCT3">#N/A</x:definedName>
    <x:definedName name="thepCT5">#N/A</x:definedName>
    <x:definedName name="ThepDet32x3">#N/A</x:definedName>
    <x:definedName name="ThepDet35x3">#N/A</x:definedName>
    <x:definedName name="ThepDet40x4">#N/A</x:definedName>
    <x:definedName name="ThepDet45x4">#N/A</x:definedName>
    <x:definedName name="ThepDet50x5">#N/A</x:definedName>
    <x:definedName name="ThepDet63x6">#N/A</x:definedName>
    <x:definedName name="ThepDet75x6">#N/A</x:definedName>
    <x:definedName name="thepDet75x7">#N/A</x:definedName>
    <x:definedName name="ThepGoc32x32x3">#N/A</x:definedName>
    <x:definedName name="ThepGoc35x35x3">#N/A</x:definedName>
    <x:definedName name="ThepGoc40x40x4">#N/A</x:definedName>
    <x:definedName name="ThepGoc45x45x4">#N/A</x:definedName>
    <x:definedName name="ThepGoc50x50x5">#N/A</x:definedName>
    <x:definedName name="ThepGoc63x63x6">#N/A</x:definedName>
    <x:definedName name="ThepGoc75x6">#N/A</x:definedName>
    <x:definedName name="ThepGoc75x75x6">#N/A</x:definedName>
    <x:definedName name="thephinh">#N/A</x:definedName>
    <x:definedName name="theptam">#N/A</x:definedName>
    <x:definedName name="ThepTronD10D18">#N/A</x:definedName>
    <x:definedName name="ThepTronD6D8">#N/A</x:definedName>
    <x:definedName name="thepU">#N/A</x:definedName>
    <x:definedName name="THGO1pnc">#N/A</x:definedName>
    <x:definedName name="thht">#N/A</x:definedName>
    <x:definedName name="THI">#N/A</x:definedName>
    <x:definedName name="THIETBI">#N/A</x:definedName>
    <x:definedName name="thinh">#N/A</x:definedName>
    <x:definedName name="THK">#N/A</x:definedName>
    <x:definedName name="THKP160">#N/A</x:definedName>
    <x:definedName name="thkp3">#N/A</x:definedName>
    <x:definedName name="THKP7YT" hidden="1">{"'Sheet1'!$L$16"}</x:definedName>
    <x:definedName name="THQT">#N/A</x:definedName>
    <x:definedName name="tht" hidden="1">{"'Sheet1'!$L$16"}</x:definedName>
    <x:definedName name="thtr15">#N/A</x:definedName>
    <x:definedName name="thtt">#N/A</x:definedName>
    <x:definedName name="thtt6" hidden="1">{"'Sheet1'!$L$16"}</x:definedName>
    <x:definedName name="Thu__GTGT">#N/A</x:definedName>
    <x:definedName name="thucthanh">#N/A</x:definedName>
    <x:definedName name="THUE_GTGT">#N/A</x:definedName>
    <x:definedName name="THUONG">#N/A</x:definedName>
    <x:definedName name="THUYETMINH">#N/A</x:definedName>
    <x:definedName name="thvl">#N/A</x:definedName>
    <x:definedName name="thvlmoi" hidden="1">{"'Sheet1'!$L$16"}</x:definedName>
    <x:definedName name="thvlmoimoi" hidden="1">{"'Sheet1'!$L$16"}</x:definedName>
    <x:definedName name="TI">#N/A</x:definedName>
    <x:definedName name="Tien">#N/A</x:definedName>
    <x:definedName name="TIENLUONG">#N/A</x:definedName>
    <x:definedName name="Tiep_dia">#N/A</x:definedName>
    <x:definedName name="Tiepdia">#N/A</x:definedName>
    <x:definedName name="TileStone">#N/A</x:definedName>
    <x:definedName name="tim" hidden="1">{"'Sheet1'!$L$16"}</x:definedName>
    <x:definedName name="Tim_lan_xuat_hien">#N/A</x:definedName>
    <x:definedName name="tim_xuat_hien">#N/A</x:definedName>
    <x:definedName name="TITAN">#N/A</x:definedName>
    <x:definedName name="tjhtrjntrsjnsr" hidden="1">{"'Sheet1'!$L$16"}</x:definedName>
    <x:definedName name="tjhủn" hidden="1">{"Offgrid",#N/A,FALSE,"OFFGRID";"Region",#N/A,FALSE,"REGION";"Offgrid -2",#N/A,FALSE,"OFFGRID";"WTP",#N/A,FALSE,"WTP";"WTP -2",#N/A,FALSE,"WTP";"Project",#N/A,FALSE,"PROJECT";"Summary -2",#N/A,FALSE,"SUMMARY"}</x:definedName>
    <x:definedName name="tjjrj" hidden="1">{#N/A,#N/A,FALSE,"Chi tiÆt"}</x:definedName>
    <x:definedName name="tk">[0]!tk</x:definedName>
    <x:definedName name="TKCO_NK">#N/A</x:definedName>
    <x:definedName name="tke">[0]!tke</x:definedName>
    <x:definedName name="TKNO_NK">#N/A</x:definedName>
    <x:definedName name="TKP">#N/A</x:definedName>
    <x:definedName name="tkt" hidden="1">{"'Sheet1'!$L$16"}</x:definedName>
    <x:definedName name="TKYB">"TKYB"</x:definedName>
    <x:definedName name="TL">#N/A</x:definedName>
    <x:definedName name="TLAC120">#N/A</x:definedName>
    <x:definedName name="TLAC35">#N/A</x:definedName>
    <x:definedName name="TLAC50">#N/A</x:definedName>
    <x:definedName name="TLAC70">#N/A</x:definedName>
    <x:definedName name="TLAC95">#N/A</x:definedName>
    <x:definedName name="TLDa">#N/A</x:definedName>
    <x:definedName name="TLdat">#N/A</x:definedName>
    <x:definedName name="TLDM">#N/A</x:definedName>
    <x:definedName name="Tle">#N/A</x:definedName>
    <x:definedName name="TM">#N/A</x:definedName>
    <x:definedName name="TMProtection">#N/A</x:definedName>
    <x:definedName name="TN">"$A$1:$I$11"</x:definedName>
    <x:definedName name="TN_CTO">#N/A</x:definedName>
    <x:definedName name="tn1pinnc">#N/A</x:definedName>
    <x:definedName name="tn2mhnnc">#N/A</x:definedName>
    <x:definedName name="TNCM">#N/A</x:definedName>
    <x:definedName name="tnhnnc">#N/A</x:definedName>
    <x:definedName name="tnignc">#N/A</x:definedName>
    <x:definedName name="tnin190nc">#N/A</x:definedName>
    <x:definedName name="tnlnc">#N/A</x:definedName>
    <x:definedName name="tnnnc">#N/A</x:definedName>
    <x:definedName name="tno">#N/A</x:definedName>
    <x:definedName name="toan" hidden="1">{"'Sheet1'!$L$16"}</x:definedName>
    <x:definedName name="ton">#N/A</x:definedName>
    <x:definedName name="tongdt">#N/A</x:definedName>
    <x:definedName name="TOT">#N/A</x:definedName>
    <x:definedName name="totb">#N/A</x:definedName>
    <x:definedName name="totb1">#N/A</x:definedName>
    <x:definedName name="totb2">#N/A</x:definedName>
    <x:definedName name="totb3">#N/A</x:definedName>
    <x:definedName name="totb4">#N/A</x:definedName>
    <x:definedName name="totb5">#N/A</x:definedName>
    <x:definedName name="totb6">#N/A</x:definedName>
    <x:definedName name="TPLRP">#N/A</x:definedName>
    <x:definedName name="TR15HT">#N/A</x:definedName>
    <x:definedName name="TR16HT">#N/A</x:definedName>
    <x:definedName name="TR19HT">#N/A</x:definedName>
    <x:definedName name="tr1x15">#N/A</x:definedName>
    <x:definedName name="TR20HT">#N/A</x:definedName>
    <x:definedName name="tr3x100">#N/A</x:definedName>
    <x:definedName name="Tra_DM_su_dung">#N/A</x:definedName>
    <x:definedName name="Tra_don_gia_KS">#N/A</x:definedName>
    <x:definedName name="Tra_DTCT">#N/A</x:definedName>
    <x:definedName name="Tra_GTXLST">#N/A</x:definedName>
    <x:definedName name="Tra_phan_tram">#N/A</x:definedName>
    <x:definedName name="Tra_tim_hang_mucPT_trung">#N/A</x:definedName>
    <x:definedName name="Tra_TL">#N/A</x:definedName>
    <x:definedName name="Tra_ty_le2">#N/A</x:definedName>
    <x:definedName name="Tra_ty_le3">#N/A</x:definedName>
    <x:definedName name="Tra_ty_le4">#N/A</x:definedName>
    <x:definedName name="Tra_ty_le5">#N/A</x:definedName>
    <x:definedName name="TRA_VAT_LIEU">#N/A</x:definedName>
    <x:definedName name="tra_vat_lieu1">#N/A</x:definedName>
    <x:definedName name="TRA_VL">#N/A</x:definedName>
    <x:definedName name="tra_VL_1">#N/A</x:definedName>
    <x:definedName name="traA103">#N/A</x:definedName>
    <x:definedName name="TRADE2">#N/A</x:definedName>
    <x:definedName name="tram">#N/A</x:definedName>
    <x:definedName name="tram100">#N/A</x:definedName>
    <x:definedName name="tram1x25">#N/A</x:definedName>
    <x:definedName name="tramatcong1">#N/A</x:definedName>
    <x:definedName name="tramatcong2">#N/A</x:definedName>
    <x:definedName name="TRAMTON" hidden="1">{"'Sheet1'!$L$16"}</x:definedName>
    <x:definedName name="tranhietdo">#N/A</x:definedName>
    <x:definedName name="TRANO">#N/A</x:definedName>
    <x:definedName name="TRANSFORMER">#N/A</x:definedName>
    <x:definedName name="TraTH">#N/A</x:definedName>
    <x:definedName name="TRAVL">#N/A</x:definedName>
    <x:definedName name="Trinhdo">'[8]Danh muc'!$A$17:$A$24</x:definedName>
    <x:definedName name="TronD10D18">#N/A</x:definedName>
    <x:definedName name="TronD6D8">#N/A</x:definedName>
    <x:definedName name="trrh" hidden="1">{"'Sheet1'!$L$16"}</x:definedName>
    <x:definedName name="trt">#N/A</x:definedName>
    <x:definedName name="tru10mtc">#N/A</x:definedName>
    <x:definedName name="Tru4_Bdien">#N/A</x:definedName>
    <x:definedName name="tru8mtc">#N/A</x:definedName>
    <x:definedName name="truc" hidden="1">{"'Sheet1'!$L$16"}</x:definedName>
    <x:definedName name="trung" hidden="1">{"'Sheet1'!$L$16"}</x:definedName>
    <x:definedName name="TRUNGHI">#N/A</x:definedName>
    <x:definedName name="TruT10">#N/A</x:definedName>
    <x:definedName name="TruT2">#N/A</x:definedName>
    <x:definedName name="TruT3">#N/A</x:definedName>
    <x:definedName name="TruT5">#N/A</x:definedName>
    <x:definedName name="TruT6">#N/A</x:definedName>
    <x:definedName name="TruT7">#N/A</x:definedName>
    <x:definedName name="TruT8">#N/A</x:definedName>
    <x:definedName name="TruT9">#N/A</x:definedName>
    <x:definedName name="tscd" hidden="1">{"'Sheet1'!$L$16"}</x:definedName>
    <x:definedName name="TT">#N/A</x:definedName>
    <x:definedName name="TT_1P">#N/A</x:definedName>
    <x:definedName name="TT_3p">#N/A</x:definedName>
    <x:definedName name="tt1pnc">#N/A</x:definedName>
    <x:definedName name="tt1pvl">#N/A</x:definedName>
    <x:definedName name="tt3pnc">#N/A</x:definedName>
    <x:definedName name="tt3pvl">#N/A</x:definedName>
    <x:definedName name="ttam">#N/A</x:definedName>
    <x:definedName name="ttao">#N/A</x:definedName>
    <x:definedName name="ttbt">#N/A</x:definedName>
    <x:definedName name="TTC">#N/A</x:definedName>
    <x:definedName name="TTCa">#N/A</x:definedName>
    <x:definedName name="TTDD">#N/A</x:definedName>
    <x:definedName name="TTDD1P">#N/A</x:definedName>
    <x:definedName name="TTDD3P">#N/A</x:definedName>
    <x:definedName name="ttdd3pct">#N/A</x:definedName>
    <x:definedName name="TTDDCT3p">#N/A</x:definedName>
    <x:definedName name="TTDKKH">#N/A</x:definedName>
    <x:definedName name="TTDZ">#N/A</x:definedName>
    <x:definedName name="TTDZ35">#N/A</x:definedName>
    <x:definedName name="tthi">#N/A</x:definedName>
    <x:definedName name="TTK3p">#N/A</x:definedName>
    <x:definedName name="ttronmk">#N/A</x:definedName>
    <x:definedName name="ttt">#N/A</x:definedName>
    <x:definedName name="tttb">#N/A</x:definedName>
    <x:definedName name="TTTR">#N/A</x:definedName>
    <x:definedName name="tuan">#N/A</x:definedName>
    <x:definedName name="TUAN1">#N/A</x:definedName>
    <x:definedName name="TUAN2">#N/A</x:definedName>
    <x:definedName name="TUAN3">#N/A</x:definedName>
    <x:definedName name="TuanGiao">#N/A</x:definedName>
    <x:definedName name="tuankhanhtuyet" hidden="1">{0}</x:definedName>
    <x:definedName name="TuVan">#N/A</x:definedName>
    <x:definedName name="tv" hidden="1">{"'Sheet1'!$L$16"}</x:definedName>
    <x:definedName name="tv75nc">#N/A</x:definedName>
    <x:definedName name="tv75vl">#N/A</x:definedName>
    <x:definedName name="Twister">#N/A</x:definedName>
    <x:definedName name="tx1pignc">#N/A</x:definedName>
    <x:definedName name="tx1pindnc">#N/A</x:definedName>
    <x:definedName name="tx1pingnc">#N/A</x:definedName>
    <x:definedName name="tx1pintnc">#N/A</x:definedName>
    <x:definedName name="tx1pitnc">#N/A</x:definedName>
    <x:definedName name="tx2mhnnc">#N/A</x:definedName>
    <x:definedName name="tx2mitnc">#N/A</x:definedName>
    <x:definedName name="txhnnc">#N/A</x:definedName>
    <x:definedName name="txig1nc">#N/A</x:definedName>
    <x:definedName name="txin190nc">#N/A</x:definedName>
    <x:definedName name="txinnc">#N/A</x:definedName>
    <x:definedName name="txit1nc">#N/A</x:definedName>
    <x:definedName name="ty">#N/A</x:definedName>
    <x:definedName name="ty_le">#N/A</x:definedName>
    <x:definedName name="ty_le_BTN">#N/A</x:definedName>
    <x:definedName name="Ty_le1">#N/A</x:definedName>
    <x:definedName name="u">#N/A</x:definedName>
    <x:definedName name="uassw_sh" hidden="1">{"'Sheet1'!$L$16"}</x:definedName>
    <x:definedName name="uipou" hidden="1">{0}</x:definedName>
    <x:definedName name="uiqwuewhjdr" hidden="1">{"'Sheet1'!$L$16"}</x:definedName>
    <x:definedName name="UL" hidden="1">{"'Sheet1'!$L$16"}</x:definedName>
    <x:definedName name="ủnt" hidden="1">{"'Sheet1'!$L$16"}</x:definedName>
    <x:definedName name="UP">#N/A</x:definedName>
    <x:definedName name="usd">#N/A</x:definedName>
    <x:definedName name="uuuuuuuuuuuuu">[0]!uuuuuuuuuuuuu</x:definedName>
    <x:definedName name="uyen" hidden="1">{#N/A,#N/A,TRUE,"BT M200 da 10x20"}</x:definedName>
    <x:definedName name="uyghu" hidden="1">{0}</x:definedName>
    <x:definedName name="ủytỉt" hidden="1">{"'Sheet1'!$L$16"}</x:definedName>
    <x:definedName name="uytjhtdjtj" hidden="1">{"'Sheet1'!$L$16"}</x:definedName>
    <x:definedName name="v">#N/A</x:definedName>
    <x:definedName name="V_1">#N/A</x:definedName>
    <x:definedName name="V_2">#N/A</x:definedName>
    <x:definedName name="v_25">#N/A</x:definedName>
    <x:definedName name="V_3">#N/A</x:definedName>
    <x:definedName name="V_4">#N/A</x:definedName>
    <x:definedName name="V0">#N/A</x:definedName>
    <x:definedName name="VA">#N/A</x:definedName>
    <x:definedName name="Value0">#N/A</x:definedName>
    <x:definedName name="Value1">#N/A</x:definedName>
    <x:definedName name="Value10">#N/A</x:definedName>
    <x:definedName name="Value11">#N/A</x:definedName>
    <x:definedName name="Value12">#N/A</x:definedName>
    <x:definedName name="Value13">#N/A</x:definedName>
    <x:definedName name="Value14">#N/A</x:definedName>
    <x:definedName name="Value15">#N/A</x:definedName>
    <x:definedName name="Value16">#N/A</x:definedName>
    <x:definedName name="Value17">#N/A</x:definedName>
    <x:definedName name="Value18">#N/A</x:definedName>
    <x:definedName name="Value19">#N/A</x:definedName>
    <x:definedName name="Value2">#N/A</x:definedName>
    <x:definedName name="Value20">#N/A</x:definedName>
    <x:definedName name="Value21">#N/A</x:definedName>
    <x:definedName name="Value22">#N/A</x:definedName>
    <x:definedName name="Value23">#N/A</x:definedName>
    <x:definedName name="Value24">#N/A</x:definedName>
    <x:definedName name="Value25">#N/A</x:definedName>
    <x:definedName name="Value26">#N/A</x:definedName>
    <x:definedName name="Value27">#N/A</x:definedName>
    <x:definedName name="Value28">#N/A</x:definedName>
    <x:definedName name="Value29">#N/A</x:definedName>
    <x:definedName name="Value3">#N/A</x:definedName>
    <x:definedName name="Value30">#N/A</x:definedName>
    <x:definedName name="Value31">#N/A</x:definedName>
    <x:definedName name="Value32">#N/A</x:definedName>
    <x:definedName name="Value33">#N/A</x:definedName>
    <x:definedName name="Value34">#N/A</x:definedName>
    <x:definedName name="Value35">#N/A</x:definedName>
    <x:definedName name="Value36">#N/A</x:definedName>
    <x:definedName name="Value37">#N/A</x:definedName>
    <x:definedName name="Value38">#N/A</x:definedName>
    <x:definedName name="Value39">#N/A</x:definedName>
    <x:definedName name="Value4">#N/A</x:definedName>
    <x:definedName name="Value40">#N/A</x:definedName>
    <x:definedName name="Value41">#N/A</x:definedName>
    <x:definedName name="Value42">#N/A</x:definedName>
    <x:definedName name="Value43">#N/A</x:definedName>
    <x:definedName name="Value44">#N/A</x:definedName>
    <x:definedName name="Value45">#N/A</x:definedName>
    <x:definedName name="Value46">#N/A</x:definedName>
    <x:definedName name="Value47">#N/A</x:definedName>
    <x:definedName name="Value48">#N/A</x:definedName>
    <x:definedName name="Value49">#N/A</x:definedName>
    <x:definedName name="Value5">#N/A</x:definedName>
    <x:definedName name="Value50">#N/A</x:definedName>
    <x:definedName name="Value51">#N/A</x:definedName>
    <x:definedName name="Value52">#N/A</x:definedName>
    <x:definedName name="Value53">#N/A</x:definedName>
    <x:definedName name="Value54">#N/A</x:definedName>
    <x:definedName name="Value55">#N/A</x:definedName>
    <x:definedName name="Value6">#N/A</x:definedName>
    <x:definedName name="Value7">#N/A</x:definedName>
    <x:definedName name="Value8">#N/A</x:definedName>
    <x:definedName name="Value9">#N/A</x:definedName>
    <x:definedName name="VARIINST">#N/A</x:definedName>
    <x:definedName name="VARIPURC">#N/A</x:definedName>
    <x:definedName name="VAT">#N/A</x:definedName>
    <x:definedName name="VAT_22">#N/A</x:definedName>
    <x:definedName name="vatlieu">#N/A</x:definedName>
    <x:definedName name="VATM" hidden="1">{"'Sheet1'!$L$16"}</x:definedName>
    <x:definedName name="vay" hidden="1">{"'Sheet1'!$L$16"}</x:definedName>
    <x:definedName name="VB">#N/A</x:definedName>
    <x:definedName name="vbgnbvn" hidden="1">{"'Sheet1'!$L$16"}</x:definedName>
    <x:definedName name="vbnmb">#N/A</x:definedName>
    <x:definedName name="vbtchongnuocm300">#N/A</x:definedName>
    <x:definedName name="vbtm150">#N/A</x:definedName>
    <x:definedName name="vbtm300">#N/A</x:definedName>
    <x:definedName name="vbtm400">#N/A</x:definedName>
    <x:definedName name="Vc">#N/A</x:definedName>
    <x:definedName name="vc3.">#N/A</x:definedName>
    <x:definedName name="vca">#N/A</x:definedName>
    <x:definedName name="vcbo1" hidden="1">{"'Sheet1'!$L$16"}</x:definedName>
    <x:definedName name="vcbt35">#N/A</x:definedName>
    <x:definedName name="VCC">#N/A</x:definedName>
    <x:definedName name="vccat">#N/A</x:definedName>
    <x:definedName name="vccat35">#N/A</x:definedName>
    <x:definedName name="vccot">#N/A</x:definedName>
    <x:definedName name="vccot.">#N/A</x:definedName>
    <x:definedName name="vccot35">#N/A</x:definedName>
    <x:definedName name="VCD">#N/A</x:definedName>
    <x:definedName name="vcda">#N/A</x:definedName>
    <x:definedName name="vcda35">#N/A</x:definedName>
    <x:definedName name="vcdatd">#N/A</x:definedName>
    <x:definedName name="vcdayct">#N/A</x:definedName>
    <x:definedName name="vcdbt">#N/A</x:definedName>
    <x:definedName name="vcdc">#N/A</x:definedName>
    <x:definedName name="vcdc.">#N/A</x:definedName>
    <x:definedName name="vcdd">#N/A</x:definedName>
    <x:definedName name="VCDD3p">#N/A</x:definedName>
    <x:definedName name="vcddx">#N/A</x:definedName>
    <x:definedName name="vcdt">#N/A</x:definedName>
    <x:definedName name="vcdtb">#N/A</x:definedName>
    <x:definedName name="vcdungcu35">#N/A</x:definedName>
    <x:definedName name="VCHT">#N/A</x:definedName>
    <x:definedName name="vcoto" hidden="1">{"'Sheet1'!$L$16"}</x:definedName>
    <x:definedName name="VCP">#N/A</x:definedName>
    <x:definedName name="vcsat">#N/A</x:definedName>
    <x:definedName name="vcsat35">#N/A</x:definedName>
    <x:definedName name="vcsatct">#N/A</x:definedName>
    <x:definedName name="vcsuct">#N/A</x:definedName>
    <x:definedName name="vctb">#N/A</x:definedName>
    <x:definedName name="vctre">#N/A</x:definedName>
    <x:definedName name="vctt">#N/A</x:definedName>
    <x:definedName name="vcvbcb" hidden="1">{0}</x:definedName>
    <x:definedName name="VCVBT1">#N/A</x:definedName>
    <x:definedName name="VCVBT2">#N/A</x:definedName>
    <x:definedName name="vcxa">#N/A</x:definedName>
    <x:definedName name="vcxa35">#N/A</x:definedName>
    <x:definedName name="vcxm">#N/A</x:definedName>
    <x:definedName name="vcxm35">#N/A</x:definedName>
    <x:definedName name="vd3p">#N/A</x:definedName>
    <x:definedName name="vdkt">#N/A</x:definedName>
    <x:definedName name="VDZ">#N/A</x:definedName>
    <x:definedName name="Vf">#N/A</x:definedName>
    <x:definedName name="vgho" hidden="1">{"'Sheet1'!$L$16"}</x:definedName>
    <x:definedName name="vgio">#N/A</x:definedName>
    <x:definedName name="vi" hidden="1">{"'Sheet1'!$L$16"}</x:definedName>
    <x:definedName name="vital1">#N/A</x:definedName>
    <x:definedName name="vital2">#N/A</x:definedName>
    <x:definedName name="vital4">#N/A</x:definedName>
    <x:definedName name="vital5">#N/A</x:definedName>
    <x:definedName name="vital6">#N/A</x:definedName>
    <x:definedName name="vital8">#N/A</x:definedName>
    <x:definedName name="vital9">#N/A</x:definedName>
    <x:definedName name="vkcauthang">#N/A</x:definedName>
    <x:definedName name="vkds">#N/A</x:definedName>
    <x:definedName name="vksan">#N/A</x:definedName>
    <x:definedName name="vktc">#N/A</x:definedName>
    <x:definedName name="vl">#N/A</x:definedName>
    <x:definedName name="VL.DMC">#N/A</x:definedName>
    <x:definedName name="VL.GTTMC">#N/A</x:definedName>
    <x:definedName name="VL.M10.1">#N/A</x:definedName>
    <x:definedName name="VL.M10.2">#N/A</x:definedName>
    <x:definedName name="VL.M14.1">#N/A</x:definedName>
    <x:definedName name="VL.M14.2">#N/A</x:definedName>
    <x:definedName name="VL.MDT">#N/A</x:definedName>
    <x:definedName name="VL.MTCat">#N/A</x:definedName>
    <x:definedName name="VL.T1C.CDFD">#N/A</x:definedName>
    <x:definedName name="VL.T1C.M14">#N/A</x:definedName>
    <x:definedName name="VL.TTC">#N/A</x:definedName>
    <x:definedName name="VL.X.CSV">#N/A</x:definedName>
    <x:definedName name="VL.XL">#N/A</x:definedName>
    <x:definedName name="vl1p">#N/A</x:definedName>
    <x:definedName name="vl3p">#N/A</x:definedName>
    <x:definedName name="vlc">#N/A</x:definedName>
    <x:definedName name="Vlcap0.7">#N/A</x:definedName>
    <x:definedName name="VLcap1">#N/A</x:definedName>
    <x:definedName name="vldd">#N/A</x:definedName>
    <x:definedName name="vldn400">#N/A</x:definedName>
    <x:definedName name="vldn600">#N/A</x:definedName>
    <x:definedName name="VLHC">#N/A</x:definedName>
    <x:definedName name="VLIEU">#N/A</x:definedName>
    <x:definedName name="vltco">#N/A</x:definedName>
    <x:definedName name="vltr">#N/A</x:definedName>
    <x:definedName name="vltram">#N/A</x:definedName>
    <x:definedName name="vm">#N/A</x:definedName>
    <x:definedName name="vm1.">#N/A</x:definedName>
    <x:definedName name="vm2.">#N/A</x:definedName>
    <x:definedName name="vn1.">#N/A</x:definedName>
    <x:definedName name="vn2.">#N/A</x:definedName>
    <x:definedName name="voi">#N/A</x:definedName>
    <x:definedName name="Vr">#N/A</x:definedName>
    <x:definedName name="vr3p">#N/A</x:definedName>
    <x:definedName name="Vs">#N/A</x:definedName>
    <x:definedName name="VT">#N/A</x:definedName>
    <x:definedName name="vt1pbs">#N/A</x:definedName>
    <x:definedName name="vtbs">#N/A</x:definedName>
    <x:definedName name="VuaBT200">#N/A</x:definedName>
    <x:definedName name="vungdcd">#N/A</x:definedName>
    <x:definedName name="vungdcl">#N/A</x:definedName>
    <x:definedName name="vungnhapk">#N/A</x:definedName>
    <x:definedName name="vungnhapl">#N/A</x:definedName>
    <x:definedName name="vungxuatk">#N/A</x:definedName>
    <x:definedName name="vungxuatl">#N/A</x:definedName>
    <x:definedName name="VVVVVV" hidden="1">{"'Sheet1'!$L$16"}</x:definedName>
    <x:definedName name="vxgf" hidden="1">#N/A</x:definedName>
    <x:definedName name="W">#N/A</x:definedName>
    <x:definedName name="wb">#N/A</x:definedName>
    <x:definedName name="WC">#N/A</x:definedName>
    <x:definedName name="wgyw" hidden="1">{"'Sheet1'!$L$16"}</x:definedName>
    <x:definedName name="WL">#N/A</x:definedName>
    <x:definedName name="WLd">#N/A</x:definedName>
    <x:definedName name="WLL">#N/A</x:definedName>
    <x:definedName name="WRITE" hidden="1">{#N/A,#N/A,FALSE,"CCTV"}</x:definedName>
    <x:definedName name="WRN" hidden="1">{#N/A,#N/A,FALSE,"CCTV"}</x:definedName>
    <x:definedName name="wrn.aaa." hidden="1">{#N/A,#N/A,FALSE,"Sheet1";#N/A,#N/A,FALSE,"Sheet1";#N/A,#N/A,FALSE,"Sheet1"}</x:definedName>
    <x:definedName name="wrn.BAOCAO." hidden="1">{#N/A,#N/A,FALSE,"sum";#N/A,#N/A,FALSE,"MARTV";#N/A,#N/A,FALSE,"APRTV"}</x:definedName>
    <x:definedName name="wrn.BM." hidden="1">{#N/A,#N/A,FALSE,"CCTV"}</x:definedName>
    <x:definedName name="wrn.chi._.tiÆt." hidden="1">{#N/A,#N/A,FALSE,"Chi tiÆt"}</x:definedName>
    <x:definedName name="wrn.cong." hidden="1">{#N/A,#N/A,FALSE,"Sheet1"}</x:definedName>
    <x:definedName name="wrn.inv._.budget." hidden="1">{"invbud-1",#N/A,FALSE,"A";"invbud-1CW",#N/A,FALSE,"A";"Desinvesteringen",#N/A,FALSE,"C"}</x:definedName>
    <x:definedName name="wrn.re_xoa2" hidden="1">{"Offgrid",#N/A,FALSE,"OFFGRID";"Region",#N/A,FALSE,"REGION";"Offgrid -2",#N/A,FALSE,"OFFGRID";"WTP",#N/A,FALSE,"WTP";"WTP -2",#N/A,FALSE,"WTP";"Project",#N/A,FALSE,"PROJECT";"Summary -2",#N/A,FALSE,"SUMMARY"}</x:definedName>
    <x:definedName name="wrn.Report." hidden="1">{"Offgrid",#N/A,FALSE,"OFFGRID";"Region",#N/A,FALSE,"REGION";"Offgrid -2",#N/A,FALSE,"OFFGRID";"WTP",#N/A,FALSE,"WTP";"WTP -2",#N/A,FALSE,"WTP";"Project",#N/A,FALSE,"PROJECT";"Summary -2",#N/A,FALSE,"SUMMARY"}</x:definedName>
    <x:definedName name="wrn.testRapport." hidden="1">{#N/A,#N/A,TRUE,"Main";#N/A,#N/A,TRUE,"Phase 1";#N/A,#N/A,TRUE,"Phase 2";#N/A,#N/A,TRUE,"Phase 3"}</x:definedName>
    <x:definedName name="wrn.vd." hidden="1">{#N/A,#N/A,TRUE,"BT M200 da 10x20"}</x:definedName>
    <x:definedName name="wrn_xoa2" hidden="1">{#N/A,#N/A,FALSE,"Chi tiÆt"}</x:definedName>
    <x:definedName name="wrnf.report" hidden="1">{"Offgrid",#N/A,FALSE,"OFFGRID";"Region",#N/A,FALSE,"REGION";"Offgrid -2",#N/A,FALSE,"OFFGRID";"WTP",#N/A,FALSE,"WTP";"WTP -2",#N/A,FALSE,"WTP";"Project",#N/A,FALSE,"PROJECT";"Summary -2",#N/A,FALSE,"SUMMARY"}</x:definedName>
    <x:definedName name="wrnf_xoa2" hidden="1">{"Offgrid",#N/A,FALSE,"OFFGRID";"Region",#N/A,FALSE,"REGION";"Offgrid -2",#N/A,FALSE,"OFFGRID";"WTP",#N/A,FALSE,"WTP";"WTP -2",#N/A,FALSE,"WTP";"Project",#N/A,FALSE,"PROJECT";"Summary -2",#N/A,FALSE,"SUMMARY"}</x:definedName>
    <x:definedName name="wrww" hidden="1">{"Offgrid",#N/A,FALSE,"OFFGRID";"Region",#N/A,FALSE,"REGION";"Offgrid -2",#N/A,FALSE,"OFFGRID";"WTP",#N/A,FALSE,"WTP";"WTP -2",#N/A,FALSE,"WTP";"Project",#N/A,FALSE,"PROJECT";"Summary -2",#N/A,FALSE,"SUMMARY"}</x:definedName>
    <x:definedName name="wup">#N/A</x:definedName>
    <x:definedName name="wwhh" hidden="1">{#N/A,#N/A,FALSE,"Chi tiÆt"}</x:definedName>
    <x:definedName name="wwhwhwrh" hidden="1">{"'Sheet1'!$L$16"}</x:definedName>
    <x:definedName name="wwwwwwww">[0]!wwwwwwww</x:definedName>
    <x:definedName name="X">#N/A</x:definedName>
    <x:definedName name="X.CSV">#N/A</x:definedName>
    <x:definedName name="X.CSVa">#N/A</x:definedName>
    <x:definedName name="x_1">#N/A</x:definedName>
    <x:definedName name="x_2">#N/A</x:definedName>
    <x:definedName name="x_3">#N/A</x:definedName>
    <x:definedName name="x_4">#N/A</x:definedName>
    <x:definedName name="x_8I">#N/A</x:definedName>
    <x:definedName name="x_8IV">#N/A</x:definedName>
    <x:definedName name="x_9I">#N/A</x:definedName>
    <x:definedName name="x_9IV">#N/A</x:definedName>
    <x:definedName name="x_list">#N/A</x:definedName>
    <x:definedName name="x1_">#N/A</x:definedName>
    <x:definedName name="x17dnc">#N/A</x:definedName>
    <x:definedName name="x17dvl">#N/A</x:definedName>
    <x:definedName name="x17knc">#N/A</x:definedName>
    <x:definedName name="x17kvl">#N/A</x:definedName>
    <x:definedName name="X1pFCOnc">#N/A</x:definedName>
    <x:definedName name="X1pFCOvc">#N/A</x:definedName>
    <x:definedName name="X1pFCOvl">#N/A</x:definedName>
    <x:definedName name="x1pignc">#N/A</x:definedName>
    <x:definedName name="X1pIGvc">#N/A</x:definedName>
    <x:definedName name="x1pigvl">#N/A</x:definedName>
    <x:definedName name="x1pind">#N/A</x:definedName>
    <x:definedName name="x1pindnc">#N/A</x:definedName>
    <x:definedName name="x1pindvl">#N/A</x:definedName>
    <x:definedName name="x1ping">#N/A</x:definedName>
    <x:definedName name="x1pingnc">#N/A</x:definedName>
    <x:definedName name="x1pingvl">#N/A</x:definedName>
    <x:definedName name="x1pint">#N/A</x:definedName>
    <x:definedName name="x1pintnc">#N/A</x:definedName>
    <x:definedName name="X1pINTvc">#N/A</x:definedName>
    <x:definedName name="x1pintvl">#N/A</x:definedName>
    <x:definedName name="x1pitnc">#N/A</x:definedName>
    <x:definedName name="X1pITvc">#N/A</x:definedName>
    <x:definedName name="x1pitvl">#N/A</x:definedName>
    <x:definedName name="x2_">#N/A</x:definedName>
    <x:definedName name="x20knc">#N/A</x:definedName>
    <x:definedName name="x20kvl">#N/A</x:definedName>
    <x:definedName name="x22knc">#N/A</x:definedName>
    <x:definedName name="x22kvl">#N/A</x:definedName>
    <x:definedName name="x2mig1nc">#N/A</x:definedName>
    <x:definedName name="x2mig1vl">#N/A</x:definedName>
    <x:definedName name="x2min1nc">#N/A</x:definedName>
    <x:definedName name="x2min1vl">#N/A</x:definedName>
    <x:definedName name="x2mit1vl">#N/A</x:definedName>
    <x:definedName name="x2mitnc">#N/A</x:definedName>
    <x:definedName name="xa">#N/A</x:definedName>
    <x:definedName name="xaylap">#N/A</x:definedName>
    <x:definedName name="XCCT">0.5</x:definedName>
    <x:definedName name="xcp">#N/A</x:definedName>
    <x:definedName name="xd0.6">#N/A</x:definedName>
    <x:definedName name="xd1.3">#N/A</x:definedName>
    <x:definedName name="xd1.5">#N/A</x:definedName>
    <x:definedName name="xdd">#N/A</x:definedName>
    <x:definedName name="XDDHT">#N/A</x:definedName>
    <x:definedName name="xdra">#N/A</x:definedName>
    <x:definedName name="xdsnc">#N/A</x:definedName>
    <x:definedName name="xdsvl">#N/A</x:definedName>
    <x:definedName name="xe">#N/A</x:definedName>
    <x:definedName name="xfco">#N/A</x:definedName>
    <x:definedName name="xfco3p">#N/A</x:definedName>
    <x:definedName name="xfconc">#N/A</x:definedName>
    <x:definedName name="xfconc3p">#N/A</x:definedName>
    <x:definedName name="xfcotnc">#N/A</x:definedName>
    <x:definedName name="xfcotvl">#N/A</x:definedName>
    <x:definedName name="xfcovl">#N/A</x:definedName>
    <x:definedName name="xfcovl3p">#N/A</x:definedName>
    <x:definedName name="xfnc">#N/A</x:definedName>
    <x:definedName name="xfvl">#N/A</x:definedName>
    <x:definedName name="xh">#N/A</x:definedName>
    <x:definedName name="xhn">#N/A</x:definedName>
    <x:definedName name="xhnnc">#N/A</x:definedName>
    <x:definedName name="xhnvl">#N/A</x:definedName>
    <x:definedName name="Xi_m_ng_PC30">#N/A</x:definedName>
    <x:definedName name="xig">#N/A</x:definedName>
    <x:definedName name="xig1">#N/A</x:definedName>
    <x:definedName name="xig1nc">#N/A</x:definedName>
    <x:definedName name="xig1p">#N/A</x:definedName>
    <x:definedName name="xig1pnc">#N/A</x:definedName>
    <x:definedName name="xig1pvl">#N/A</x:definedName>
    <x:definedName name="xig1vl">#N/A</x:definedName>
    <x:definedName name="xig2nc">#N/A</x:definedName>
    <x:definedName name="xig2vl">#N/A</x:definedName>
    <x:definedName name="xig3p">#N/A</x:definedName>
    <x:definedName name="xiggnc">#N/A</x:definedName>
    <x:definedName name="xiggvl">#N/A</x:definedName>
    <x:definedName name="xignc">#N/A</x:definedName>
    <x:definedName name="xignc3p">#N/A</x:definedName>
    <x:definedName name="xigvl">#N/A</x:definedName>
    <x:definedName name="xigvl3p">#N/A</x:definedName>
    <x:definedName name="ximang">#N/A</x:definedName>
    <x:definedName name="XiMangPCB30">#N/A</x:definedName>
    <x:definedName name="xin">#N/A</x:definedName>
    <x:definedName name="xin190">#N/A</x:definedName>
    <x:definedName name="xin1903p">#N/A</x:definedName>
    <x:definedName name="xin190nc">#N/A</x:definedName>
    <x:definedName name="xin190nc3p">#N/A</x:definedName>
    <x:definedName name="xin190vl">#N/A</x:definedName>
    <x:definedName name="xin190vl3p">#N/A</x:definedName>
    <x:definedName name="xin2903p">#N/A</x:definedName>
    <x:definedName name="xin290nc3p">#N/A</x:definedName>
    <x:definedName name="xin290vl3p">#N/A</x:definedName>
    <x:definedName name="xin3p">#N/A</x:definedName>
    <x:definedName name="xin901nc">#N/A</x:definedName>
    <x:definedName name="xin901vl">#N/A</x:definedName>
    <x:definedName name="xind">#N/A</x:definedName>
    <x:definedName name="xind1p">#N/A</x:definedName>
    <x:definedName name="xind1pnc">#N/A</x:definedName>
    <x:definedName name="xind1pvl">#N/A</x:definedName>
    <x:definedName name="xind3p">#N/A</x:definedName>
    <x:definedName name="xindnc">#N/A</x:definedName>
    <x:definedName name="xindnc1p">#N/A</x:definedName>
    <x:definedName name="xindnc3p">#N/A</x:definedName>
    <x:definedName name="xindvl">#N/A</x:definedName>
    <x:definedName name="xindvl1p">#N/A</x:definedName>
    <x:definedName name="xindvl3p">#N/A</x:definedName>
    <x:definedName name="xing1p">#N/A</x:definedName>
    <x:definedName name="xing1pnc">#N/A</x:definedName>
    <x:definedName name="xing1pvl">#N/A</x:definedName>
    <x:definedName name="xingnc1p">#N/A</x:definedName>
    <x:definedName name="xingvl1p">#N/A</x:definedName>
    <x:definedName name="xinnc">#N/A</x:definedName>
    <x:definedName name="xinnc3p">#N/A</x:definedName>
    <x:definedName name="xint1p">#N/A</x:definedName>
    <x:definedName name="xinvl">#N/A</x:definedName>
    <x:definedName name="xinvl3p">#N/A</x:definedName>
    <x:definedName name="xit">#N/A</x:definedName>
    <x:definedName name="xit1">#N/A</x:definedName>
    <x:definedName name="xit1nc">#N/A</x:definedName>
    <x:definedName name="xit1p">#N/A</x:definedName>
    <x:definedName name="xit1pnc">#N/A</x:definedName>
    <x:definedName name="xit1pvl">#N/A</x:definedName>
    <x:definedName name="xit1vl">#N/A</x:definedName>
    <x:definedName name="xit2nc">#N/A</x:definedName>
    <x:definedName name="xit2nc3p">#N/A</x:definedName>
    <x:definedName name="xit2vl">#N/A</x:definedName>
    <x:definedName name="xit2vl3p">#N/A</x:definedName>
    <x:definedName name="xit3p">#N/A</x:definedName>
    <x:definedName name="xitnc">#N/A</x:definedName>
    <x:definedName name="xitnc3p">#N/A</x:definedName>
    <x:definedName name="xittnc">#N/A</x:definedName>
    <x:definedName name="xittvl">#N/A</x:definedName>
    <x:definedName name="xitvl">#N/A</x:definedName>
    <x:definedName name="xitvl3p">#N/A</x:definedName>
    <x:definedName name="xk0.6">#N/A</x:definedName>
    <x:definedName name="xk1.3">#N/A</x:definedName>
    <x:definedName name="xk1.5">#N/A</x:definedName>
    <x:definedName name="xl">#N/A</x:definedName>
    <x:definedName name="Xl_CTO">#N/A</x:definedName>
    <x:definedName name="XLa">#N/A</x:definedName>
    <x:definedName name="xlc">#N/A</x:definedName>
    <x:definedName name="xld1.4">#N/A</x:definedName>
    <x:definedName name="xlk">#N/A</x:definedName>
    <x:definedName name="xlk1.4">#N/A</x:definedName>
    <x:definedName name="xlttbninh" hidden="1">{"'Sheet1'!$L$16"}</x:definedName>
    <x:definedName name="xm">#N/A</x:definedName>
    <x:definedName name="XM.M10.1">#N/A</x:definedName>
    <x:definedName name="XM.M10.2">#N/A</x:definedName>
    <x:definedName name="XM.M14.1">#N/A</x:definedName>
    <x:definedName name="XM.M14.2">#N/A</x:definedName>
    <x:definedName name="XM.MDT">#N/A</x:definedName>
    <x:definedName name="XM.MTCat">#N/A</x:definedName>
    <x:definedName name="XMBT">#N/A</x:definedName>
    <x:definedName name="xmcax">#N/A</x:definedName>
    <x:definedName name="xmp40">#N/A</x:definedName>
    <x:definedName name="xn">#N/A</x:definedName>
    <x:definedName name="xoa1" hidden="1">{"'Sheet1'!$L$16"}</x:definedName>
    <x:definedName name="xoa2" hidden="1">{#N/A,#N/A,FALSE,"Chi tiÆt"}</x:definedName>
    <x:definedName name="xoa3" hidden="1">{"Offgrid",#N/A,FALSE,"OFFGRID";"Region",#N/A,FALSE,"REGION";"Offgrid -2",#N/A,FALSE,"OFFGRID";"WTP",#N/A,FALSE,"WTP";"WTP -2",#N/A,FALSE,"WTP";"Project",#N/A,FALSE,"PROJECT";"Summary -2",#N/A,FALSE,"SUMMARY"}</x:definedName>
    <x:definedName name="xoa4" hidden="1">{"Offgrid",#N/A,FALSE,"OFFGRID";"Region",#N/A,FALSE,"REGION";"Offgrid -2",#N/A,FALSE,"OFFGRID";"WTP",#N/A,FALSE,"WTP";"WTP -2",#N/A,FALSE,"WTP";"Project",#N/A,FALSE,"PROJECT";"Summary -2",#N/A,FALSE,"SUMMARY"}</x:definedName>
    <x:definedName name="XOANHAP">#N/A</x:definedName>
    <x:definedName name="xoanhapk">#N/A</x:definedName>
    <x:definedName name="xoanhapl">#N/A</x:definedName>
    <x:definedName name="xoaxuatk">#N/A</x:definedName>
    <x:definedName name="xoaxuatl">#N/A</x:definedName>
    <x:definedName name="XP">#N/A</x:definedName>
    <x:definedName name="xr1nc">#N/A</x:definedName>
    <x:definedName name="xr1vl">#N/A</x:definedName>
    <x:definedName name="XRefColumnsCount" hidden="1">5</x:definedName>
    <x:definedName name="XRefCopyRangeCount" hidden="1">6</x:definedName>
    <x:definedName name="XRefPasteRangeCount" hidden="1">5</x:definedName>
    <x:definedName name="Xsi">#N/A</x:definedName>
    <x:definedName name="XTN">#N/A</x:definedName>
    <x:definedName name="xtr3pnc">#N/A</x:definedName>
    <x:definedName name="xtr3pvl">#N/A</x:definedName>
    <x:definedName name="xuat_hien">#N/A</x:definedName>
    <x:definedName name="Xuat_hien1">#N/A</x:definedName>
    <x:definedName name="XuÊt8" hidden="1">{"'Sheet1'!$L$16"}</x:definedName>
    <x:definedName name="XXT">#N/A</x:definedName>
    <x:definedName name="y" hidden="1">{"'Sheet1'!$L$16"}</x:definedName>
    <x:definedName name="y_1I">#N/A</x:definedName>
    <x:definedName name="y_1II">#N/A</x:definedName>
    <x:definedName name="y_1III">#N/A</x:definedName>
    <x:definedName name="y_1IV">#N/A</x:definedName>
    <x:definedName name="y_2I">#N/A</x:definedName>
    <x:definedName name="y_2II">#N/A</x:definedName>
    <x:definedName name="y_2III">#N/A</x:definedName>
    <x:definedName name="y_2IV">#N/A</x:definedName>
    <x:definedName name="y_3I">#N/A</x:definedName>
    <x:definedName name="y_3II">#N/A</x:definedName>
    <x:definedName name="y_3III">#N/A</x:definedName>
    <x:definedName name="y_3IV">#N/A</x:definedName>
    <x:definedName name="y_4I">#N/A</x:definedName>
    <x:definedName name="y_4II">#N/A</x:definedName>
    <x:definedName name="y_4III">#N/A</x:definedName>
    <x:definedName name="y_4IV">#N/A</x:definedName>
    <x:definedName name="y_9bI">#N/A</x:definedName>
    <x:definedName name="y_9bII">#N/A</x:definedName>
    <x:definedName name="y_9bIII">#N/A</x:definedName>
    <x:definedName name="y_9bIV">#N/A</x:definedName>
    <x:definedName name="y_9I">#N/A</x:definedName>
    <x:definedName name="y_9II">#N/A</x:definedName>
    <x:definedName name="y_9III">#N/A</x:definedName>
    <x:definedName name="y_9IV">#N/A</x:definedName>
    <x:definedName name="y_list">#N/A</x:definedName>
    <x:definedName name="yc.">#N/A</x:definedName>
    <x:definedName name="ycp">#N/A</x:definedName>
    <x:definedName name="ỳdhgg" hidden="1">{"'Sheet1'!$L$16"}</x:definedName>
    <x:definedName name="ỳđsgfhgfgfhghggh" hidden="1">{"'Sheet1'!$L$16"}</x:definedName>
    <x:definedName name="Yellow2000">#N/A</x:definedName>
    <x:definedName name="ytiti" hidden="1">{0}</x:definedName>
    <x:definedName name="ỵu" hidden="1">{"'Sheet1'!$L$16"}</x:definedName>
    <x:definedName name="YvNgam">#N/A</x:definedName>
    <x:definedName name="YvTreo">#N/A</x:definedName>
    <x:definedName name="yyjy_ukyu" hidden="1">{"'Sheet1'!$L$16"}</x:definedName>
    <x:definedName name="yyyyyyyyyyy">[0]!yyyyyyyyyyy</x:definedName>
    <x:definedName name="Z">#N/A</x:definedName>
    <x:definedName name="Z0">#N/A</x:definedName>
    <x:definedName name="Z12_">#N/A</x:definedName>
    <x:definedName name="Z590_6months" hidden="1">{"'Sheet1'!$L$16"}</x:definedName>
    <x:definedName name="zKm2" hidden="1">{"'Sheet1'!$L$16"}</x:definedName>
    <x:definedName name="ZXzX" hidden="1">{"'Sheet1'!$L$16"}</x:definedName>
    <x:definedName name="ZYX">#N/A</x:definedName>
    <x:definedName name="ZZZ">#N/A</x:definedName>
    <x:definedName name="キャンセル">[0]!キャンセル</x:definedName>
    <x:definedName name="ソートする">[0]!ソートする</x:definedName>
    <x:definedName name="デｰタの消去">[0]!デｰタの消去</x:definedName>
    <x:definedName name="견적" hidden="1">{#N/A,#N/A,FALSE,"CCTV"}</x:definedName>
    <x:definedName name="견적2" hidden="1">{#N/A,#N/A,FALSE,"CCTV"}</x:definedName>
    <x:definedName name="견적SHEET" hidden="1">{#N/A,#N/A,FALSE,"CCTV"}</x:definedName>
    <x:definedName name="래그" hidden="1">{#N/A,#N/A,FALSE,"CCTV"}</x:definedName>
    <x:definedName name="샘풀카피" hidden="1">{#N/A,#N/A,FALSE,"CCTV"}</x:definedName>
    <x:definedName name="샘플카피2" hidden="1">{#N/A,#N/A,FALSE,"CCTV"}</x:definedName>
    <x:definedName name="샘플카피3" hidden="1">{#N/A,#N/A,FALSE,"CCTV"}</x:definedName>
    <x:definedName name="영업장타입">#N/A</x:definedName>
    <x:definedName name="品番ソートする">[0]!品番ソートする</x:definedName>
    <x:definedName name="自動入力">[0]!自動入力</x:definedName>
    <x:definedName name="解除">[0]!解除</x:definedName>
  </x:definedNames>
  <x:calcPr calcId="181029"/>
  <x:extLst>
    <x:ext xmlns:x15="http://schemas.microsoft.com/office/spreadsheetml/2010/11/main" uri="{140A7094-0E35-4892-8432-C4D2E57EDEB5}">
      <x15:workbookPr chartTrackingRefBase="1"/>
    </x:ext>
  </x:extLst>
</x:workbook>
</file>

<file path=xl/calcChain.xml><?xml version="1.0" encoding="utf-8"?>
<x:calcChain xmlns:x="http://schemas.openxmlformats.org/spreadsheetml/2006/main">
  <x:c r="C4" i="2"/>
  <x:c r="D4" i="2"/>
  <x:c r="E4" i="2"/>
  <x:c r="F4" i="2"/>
  <x:c r="G4" i="2"/>
  <x:c r="A5" i="2"/>
  <x:c r="C5" i="2"/>
  <x:c r="D5" i="2"/>
  <x:c r="E5" i="2"/>
  <x:c r="F5" i="2"/>
  <x:c r="G5" i="2"/>
  <x:c r="A6" i="2"/>
  <x:c r="C6" i="2"/>
  <x:c r="D6" i="2"/>
  <x:c r="E6" i="2"/>
  <x:c r="F6" i="2"/>
  <x:c r="G6" i="2"/>
  <x:c r="A7" i="2"/>
  <x:c r="C7" i="2"/>
  <x:c r="D7" i="2"/>
  <x:c r="E7" i="2"/>
  <x:c r="F7" i="2"/>
  <x:c r="G7" i="2"/>
  <x:c r="A8" i="2"/>
  <x:c r="C8" i="2"/>
  <x:c r="D8" i="2"/>
  <x:c r="E8" i="2"/>
  <x:c r="F8" i="2"/>
  <x:c r="G8" i="2"/>
  <x:c r="A9" i="2"/>
  <x:c r="C9" i="2"/>
  <x:c r="D9" i="2"/>
  <x:c r="E9" i="2"/>
  <x:c r="F9" i="2"/>
  <x:c r="G9" i="2"/>
  <x:c r="A10" i="2"/>
  <x:c r="C10" i="2"/>
  <x:c r="D10" i="2"/>
  <x:c r="E10" i="2"/>
  <x:c r="F10" i="2"/>
  <x:c r="G10" i="2"/>
  <x:c r="A11" i="2"/>
  <x:c r="C11" i="2"/>
  <x:c r="D11" i="2"/>
  <x:c r="E11" i="2"/>
  <x:c r="F11" i="2"/>
  <x:c r="G11" i="2"/>
  <x:c r="C8" i="4"/>
  <x:c r="D8" i="4"/>
  <x:c r="AD8" i="4"/>
  <x:c r="AE8" i="4"/>
  <x:c r="A9" i="4"/>
  <x:c r="C9" i="4"/>
  <x:c r="D9" i="4"/>
  <x:c r="AD9" i="4"/>
  <x:c r="AE9" i="4"/>
  <x:c r="A10" i="4"/>
  <x:c r="C10" i="4"/>
  <x:c r="D10" i="4"/>
  <x:c r="AD10" i="4"/>
  <x:c r="AE10" i="4"/>
  <x:c r="A11" i="4"/>
  <x:c r="C11" i="4"/>
  <x:c r="D11" i="4"/>
  <x:c r="AD11" i="4"/>
  <x:c r="AE11" i="4"/>
  <x:c r="A12" i="4"/>
  <x:c r="C12" i="4"/>
  <x:c r="D12" i="4"/>
  <x:c r="AD12" i="4"/>
  <x:c r="AE12" i="4"/>
  <x:c r="A13" i="4"/>
  <x:c r="C13" i="4"/>
  <x:c r="D13" i="4"/>
  <x:c r="AD13" i="4"/>
  <x:c r="AE13" i="4"/>
  <x:c r="A14" i="4"/>
  <x:c r="C14" i="4"/>
  <x:c r="D14" i="4"/>
  <x:c r="AD14" i="4"/>
  <x:c r="AE14" i="4"/>
  <x:c r="A15" i="4"/>
  <x:c r="C15" i="4"/>
  <x:c r="D15" i="4"/>
  <x:c r="AD15" i="4"/>
  <x:c r="AE15" i="4"/>
  <x:c r="G2" i="7"/>
  <x:c r="H2" i="7"/>
  <x:c r="I2" i="7"/>
  <x:c r="G3" i="7"/>
  <x:c r="H3" i="7"/>
  <x:c r="I3" i="7"/>
  <x:c r="G4" i="7"/>
  <x:c r="H4" i="7"/>
  <x:c r="I4" i="7"/>
  <x:c r="G5" i="7"/>
  <x:c r="H5" i="7"/>
  <x:c r="I5" i="7"/>
  <x:c r="G6" i="7"/>
  <x:c r="H6" i="7"/>
  <x:c r="I6" i="7"/>
  <x:c r="G7" i="7"/>
  <x:c r="H7" i="7"/>
  <x:c r="I7" i="7"/>
  <x:c r="G8" i="7"/>
  <x:c r="H8" i="7"/>
  <x:c r="I8" i="7"/>
  <x:c r="G9" i="7"/>
  <x:c r="H9" i="7"/>
  <x:c r="I9" i="7"/>
  <x:c r="G10" i="7"/>
  <x:c r="H10" i="7"/>
  <x:c r="I10" i="7"/>
  <x:c r="G11" i="7"/>
  <x:c r="H11" i="7"/>
  <x:c r="I11" i="7"/>
  <x:c r="G12" i="7"/>
  <x:c r="H12" i="7"/>
  <x:c r="I12" i="7"/>
  <x:c r="G13" i="7"/>
  <x:c r="H13" i="7"/>
  <x:c r="I13" i="7"/>
  <x:c r="G14" i="7"/>
  <x:c r="H14" i="7"/>
  <x:c r="I14" i="7"/>
  <x:c r="G15" i="7"/>
  <x:c r="H15" i="7"/>
  <x:c r="I15" i="7"/>
  <x:c r="G16" i="7"/>
  <x:c r="H16" i="7"/>
  <x:c r="I16" i="7"/>
  <x:c r="G17" i="7"/>
  <x:c r="H17" i="7"/>
  <x:c r="I17" i="7"/>
  <x:c r="G18" i="7"/>
  <x:c r="H18" i="7"/>
  <x:c r="I18" i="7"/>
  <x:c r="G19" i="7"/>
  <x:c r="H19" i="7"/>
  <x:c r="I19" i="7"/>
  <x:c r="G20" i="7"/>
  <x:c r="H20" i="7"/>
  <x:c r="I20" i="7"/>
  <x:c r="G21" i="7"/>
  <x:c r="H21" i="7"/>
  <x:c r="I21" i="7"/>
  <x:c r="G22" i="7"/>
  <x:c r="H22" i="7"/>
  <x:c r="I22" i="7"/>
  <x:c r="G23" i="7"/>
  <x:c r="H23" i="7"/>
  <x:c r="I23" i="7"/>
  <x:c r="G24" i="7"/>
  <x:c r="H24" i="7"/>
  <x:c r="I24" i="7"/>
  <x:c r="G25" i="7"/>
  <x:c r="H25" i="7"/>
  <x:c r="I25" i="7"/>
  <x:c r="G26" i="7"/>
  <x:c r="H26" i="7"/>
  <x:c r="I26" i="7"/>
  <x:c r="G27" i="7"/>
  <x:c r="H27" i="7"/>
  <x:c r="I27" i="7"/>
  <x:c r="G28" i="7"/>
  <x:c r="H28" i="7"/>
  <x:c r="I28" i="7"/>
  <x:c r="G29" i="7"/>
  <x:c r="H29" i="7"/>
  <x:c r="I29" i="7"/>
  <x:c r="G30" i="7"/>
  <x:c r="H30" i="7"/>
  <x:c r="I30" i="7"/>
  <x:c r="G31" i="7"/>
  <x:c r="H31" i="7"/>
  <x:c r="I31" i="7"/>
  <x:c r="G32" i="7"/>
  <x:c r="H32" i="7"/>
  <x:c r="I32" i="7"/>
  <x:c r="G33" i="7"/>
  <x:c r="H33" i="7"/>
  <x:c r="I33" i="7"/>
  <x:c r="G34" i="7"/>
  <x:c r="H34" i="7"/>
  <x:c r="I34" i="7"/>
  <x:c r="G35" i="7"/>
  <x:c r="H35" i="7"/>
  <x:c r="I35" i="7"/>
  <x:c r="G2" i="9"/>
  <x:c r="H2" i="9"/>
  <x:c r="G3" i="9"/>
  <x:c r="H3" i="9"/>
  <x:c r="G4" i="9"/>
  <x:c r="H4" i="9"/>
  <x:c r="G5" i="9"/>
  <x:c r="H5" i="9"/>
  <x:c r="G6" i="9"/>
  <x:c r="H6" i="9"/>
  <x:c r="G7" i="9"/>
  <x:c r="H7" i="9"/>
  <x:c r="G8" i="9"/>
  <x:c r="H8" i="9"/>
  <x:c r="G9" i="9"/>
  <x:c r="H9" i="9"/>
  <x:c r="G10" i="9"/>
  <x:c r="H10" i="9"/>
  <x:c r="G11" i="9"/>
  <x:c r="H11" i="9"/>
  <x:c r="G12" i="9"/>
  <x:c r="H12" i="9"/>
  <x:c r="G13" i="9"/>
  <x:c r="H13" i="9"/>
  <x:c r="G14" i="9"/>
  <x:c r="H14" i="9"/>
  <x:c r="G15" i="9"/>
  <x:c r="H15" i="9"/>
  <x:c r="G16" i="9"/>
  <x:c r="H16" i="9"/>
  <x:c r="G17" i="9"/>
  <x:c r="H17" i="9"/>
  <x:c r="G18" i="9"/>
  <x:c r="H18" i="9"/>
  <x:c r="G19" i="9"/>
  <x:c r="H19" i="9"/>
  <x:c r="G20" i="9"/>
  <x:c r="H20" i="9"/>
  <x:c r="G21" i="9"/>
  <x:c r="H21" i="9"/>
  <x:c r="G22" i="9"/>
  <x:c r="H22" i="9"/>
  <x:c r="G23" i="9"/>
  <x:c r="H23" i="9"/>
  <x:c r="G24" i="9"/>
  <x:c r="H24" i="9"/>
  <x:c r="G25" i="9"/>
  <x:c r="H25" i="9"/>
  <x:c r="G26" i="9"/>
  <x:c r="H26" i="9"/>
  <x:c r="G27" i="9"/>
  <x:c r="H27" i="9"/>
  <x:c r="G28" i="9"/>
  <x:c r="H28" i="9"/>
  <x:c r="G29" i="9"/>
  <x:c r="H29" i="9"/>
  <x:c r="G30" i="9"/>
  <x:c r="H30" i="9"/>
  <x:c r="G31" i="9"/>
  <x:c r="H31" i="9"/>
  <x:c r="G32" i="9"/>
  <x:c r="H32" i="9"/>
  <x:c r="G33" i="9"/>
  <x:c r="H33" i="9"/>
  <x:c r="G34" i="9"/>
  <x:c r="H34" i="9"/>
  <x:c r="G35" i="9"/>
  <x:c r="H35" i="9"/>
  <x:c r="F2" i="8"/>
  <x:c r="G2" i="8"/>
  <x:c r="H2" i="8"/>
  <x:c r="F3" i="8"/>
  <x:c r="G3" i="8"/>
  <x:c r="H3" i="8"/>
  <x:c r="C4" i="8"/>
  <x:c r="D4" i="8"/>
  <x:c r="E4" i="8"/>
  <x:c r="H4" i="8"/>
  <x:c r="C5" i="8"/>
  <x:c r="D5" i="8"/>
  <x:c r="E5" i="8"/>
  <x:c r="H5" i="8"/>
  <x:c r="H6" i="8"/>
  <x:c r="C7" i="8"/>
  <x:c r="D7" i="8"/>
  <x:c r="E7" i="8"/>
  <x:c r="H7" i="8"/>
  <x:c r="E8" i="8"/>
  <x:c r="H8" i="8"/>
  <x:c r="E9" i="8"/>
  <x:c r="H9" i="8"/>
  <x:c r="E10" i="8"/>
  <x:c r="H10" i="8"/>
  <x:c r="E11" i="8"/>
  <x:c r="H11" i="8"/>
  <x:c r="H12" i="8"/>
  <x:c r="H13" i="8"/>
  <x:c r="H14" i="8"/>
  <x:c r="H15" i="8"/>
  <x:c r="F16" i="8"/>
  <x:c r="G16" i="8"/>
  <x:c r="H16" i="8"/>
  <x:c r="H17" i="8"/>
  <x:c r="H18" i="8"/>
  <x:c r="H19" i="8"/>
  <x:c r="H20" i="8"/>
  <x:c r="H21" i="8"/>
  <x:c r="F22" i="8"/>
  <x:c r="G22" i="8"/>
  <x:c r="H22" i="8"/>
  <x:c r="H23" i="8"/>
  <x:c r="H24" i="8"/>
  <x:c r="H25" i="8"/>
  <x:c r="H26" i="8"/>
  <x:c r="F27" i="8"/>
  <x:c r="G27" i="8"/>
  <x:c r="H27" i="8"/>
  <x:c r="H28" i="8"/>
  <x:c r="H29" i="8"/>
  <x:c r="H30" i="8"/>
  <x:c r="P4" i="10"/>
  <x:c r="R4" i="10"/>
  <x:c r="S4" i="10"/>
  <x:c r="T4" i="10"/>
  <x:c r="U4" i="10"/>
  <x:c r="V4" i="10"/>
  <x:c r="W4" i="10"/>
  <x:c r="X4" i="10"/>
  <x:c r="Y4" i="10"/>
  <x:c r="P5" i="10"/>
  <x:c r="R5" i="10"/>
  <x:c r="S5" i="10"/>
  <x:c r="T5" i="10"/>
  <x:c r="U5" i="10"/>
  <x:c r="V5" i="10"/>
  <x:c r="W5" i="10"/>
  <x:c r="X5" i="10"/>
  <x:c r="Y5" i="10"/>
  <x:c r="D5" i="6"/>
  <x:c r="E5" i="6"/>
  <x:c r="F5" i="6"/>
  <x:c r="G5" i="6"/>
  <x:c r="H5" i="6"/>
  <x:c r="I5" i="6"/>
  <x:c r="J5" i="6"/>
  <x:c r="K5" i="6"/>
  <x:c r="L5" i="6"/>
  <x:c r="M5" i="6"/>
  <x:c r="N5" i="6"/>
  <x:c r="O5" i="6"/>
  <x:c r="C6" i="6"/>
  <x:c r="D6" i="6"/>
  <x:c r="E6" i="6"/>
  <x:c r="G6" i="6"/>
  <x:c r="H6" i="6"/>
  <x:c r="L6" i="6"/>
  <x:c r="M6" i="6"/>
  <x:c r="N6" i="6"/>
  <x:c r="O6" i="6"/>
  <x:c r="P6" i="6"/>
  <x:c r="Q6" i="6"/>
  <x:c r="R6" i="6"/>
  <x:c r="S6" i="6"/>
  <x:c r="T6" i="6"/>
  <x:c r="U6" i="6"/>
  <x:c r="A7" i="6"/>
  <x:c r="C7" i="6"/>
  <x:c r="D7" i="6"/>
  <x:c r="E7" i="6"/>
  <x:c r="F7" i="6"/>
  <x:c r="G7" i="6"/>
  <x:c r="H7" i="6"/>
  <x:c r="I7" i="6"/>
  <x:c r="J7" i="6"/>
  <x:c r="K7" i="6"/>
  <x:c r="L7" i="6"/>
  <x:c r="M7" i="6"/>
  <x:c r="N7" i="6"/>
  <x:c r="O7" i="6"/>
  <x:c r="P7" i="6"/>
  <x:c r="Q7" i="6"/>
  <x:c r="R7" i="6"/>
  <x:c r="S7" i="6"/>
  <x:c r="T7" i="6"/>
  <x:c r="U7" i="6"/>
  <x:c r="A8" i="6"/>
  <x:c r="C8" i="6"/>
  <x:c r="D8" i="6"/>
  <x:c r="E8" i="6"/>
  <x:c r="F8" i="6"/>
  <x:c r="G8" i="6"/>
  <x:c r="H8" i="6"/>
  <x:c r="I8" i="6"/>
  <x:c r="J8" i="6"/>
  <x:c r="K8" i="6"/>
  <x:c r="L8" i="6"/>
  <x:c r="M8" i="6"/>
  <x:c r="N8" i="6"/>
  <x:c r="O8" i="6"/>
  <x:c r="P8" i="6"/>
  <x:c r="Q8" i="6"/>
  <x:c r="R8" i="6"/>
  <x:c r="S8" i="6"/>
  <x:c r="T8" i="6"/>
  <x:c r="U8" i="6"/>
  <x:c r="A9" i="6"/>
  <x:c r="C9" i="6"/>
  <x:c r="D9" i="6"/>
  <x:c r="E9" i="6"/>
  <x:c r="F9" i="6"/>
  <x:c r="G9" i="6"/>
  <x:c r="H9" i="6"/>
  <x:c r="I9" i="6"/>
  <x:c r="J9" i="6"/>
  <x:c r="K9" i="6"/>
  <x:c r="L9" i="6"/>
  <x:c r="M9" i="6"/>
  <x:c r="N9" i="6"/>
  <x:c r="O9" i="6"/>
  <x:c r="P9" i="6"/>
  <x:c r="Q9" i="6"/>
  <x:c r="R9" i="6"/>
  <x:c r="S9" i="6"/>
  <x:c r="T9" i="6"/>
  <x:c r="U9" i="6"/>
  <x:c r="A10" i="6"/>
  <x:c r="C10" i="6"/>
  <x:c r="D10" i="6"/>
  <x:c r="E10" i="6"/>
  <x:c r="F10" i="6"/>
  <x:c r="G10" i="6"/>
  <x:c r="H10" i="6"/>
  <x:c r="I10" i="6"/>
  <x:c r="J10" i="6"/>
  <x:c r="K10" i="6"/>
  <x:c r="L10" i="6"/>
  <x:c r="M10" i="6"/>
  <x:c r="N10" i="6"/>
  <x:c r="O10" i="6"/>
  <x:c r="P10" i="6"/>
  <x:c r="Q10" i="6"/>
  <x:c r="R10" i="6"/>
  <x:c r="S10" i="6"/>
  <x:c r="T10" i="6"/>
  <x:c r="U10" i="6"/>
  <x:c r="A11" i="6"/>
  <x:c r="C11" i="6"/>
  <x:c r="D11" i="6"/>
  <x:c r="E11" i="6"/>
  <x:c r="F11" i="6"/>
  <x:c r="G11" i="6"/>
  <x:c r="H11" i="6"/>
  <x:c r="I11" i="6"/>
  <x:c r="J11" i="6"/>
  <x:c r="K11" i="6"/>
  <x:c r="L11" i="6"/>
  <x:c r="M11" i="6"/>
  <x:c r="N11" i="6"/>
  <x:c r="O11" i="6"/>
  <x:c r="P11" i="6"/>
  <x:c r="Q11" i="6"/>
  <x:c r="R11" i="6"/>
  <x:c r="S11" i="6"/>
  <x:c r="T11" i="6"/>
  <x:c r="U11" i="6"/>
  <x:c r="A12" i="6"/>
  <x:c r="C12" i="6"/>
  <x:c r="D12" i="6"/>
  <x:c r="E12" i="6"/>
  <x:c r="F12" i="6"/>
  <x:c r="G12" i="6"/>
  <x:c r="H12" i="6"/>
  <x:c r="I12" i="6"/>
  <x:c r="J12" i="6"/>
  <x:c r="K12" i="6"/>
  <x:c r="L12" i="6"/>
  <x:c r="M12" i="6"/>
  <x:c r="N12" i="6"/>
  <x:c r="O12" i="6"/>
  <x:c r="P12" i="6"/>
  <x:c r="Q12" i="6"/>
  <x:c r="R12" i="6"/>
  <x:c r="S12" i="6"/>
  <x:c r="T12" i="6"/>
  <x:c r="U12" i="6"/>
  <x:c r="A13" i="6"/>
  <x:c r="C13" i="6"/>
  <x:c r="D13" i="6"/>
  <x:c r="E13" i="6"/>
  <x:c r="F13" i="6"/>
  <x:c r="G13" i="6"/>
  <x:c r="H13" i="6"/>
  <x:c r="I13" i="6"/>
  <x:c r="J13" i="6"/>
  <x:c r="K13" i="6"/>
  <x:c r="L13" i="6"/>
  <x:c r="M13" i="6"/>
  <x:c r="N13" i="6"/>
  <x:c r="O13" i="6"/>
  <x:c r="P13" i="6"/>
  <x:c r="Q13" i="6"/>
  <x:c r="R13" i="6"/>
  <x:c r="S13" i="6"/>
  <x:c r="T13" i="6"/>
  <x:c r="U13" i="6"/>
  <x:c r="A14" i="6"/>
  <x:c r="C14" i="6"/>
  <x:c r="D14" i="6"/>
  <x:c r="E14" i="6"/>
  <x:c r="F14" i="6"/>
  <x:c r="G14" i="6"/>
  <x:c r="H14" i="6"/>
  <x:c r="I14" i="6"/>
  <x:c r="J14" i="6"/>
  <x:c r="K14" i="6"/>
  <x:c r="L14" i="6"/>
  <x:c r="M14" i="6"/>
  <x:c r="N14" i="6"/>
  <x:c r="O14" i="6"/>
  <x:c r="P14" i="6"/>
  <x:c r="Q14" i="6"/>
  <x:c r="R14" i="6"/>
  <x:c r="S14" i="6"/>
  <x:c r="T14" i="6"/>
  <x:c r="U14" i="6"/>
  <x:c r="A15" i="6"/>
  <x:c r="C15" i="6"/>
  <x:c r="D15" i="6"/>
  <x:c r="E15" i="6"/>
  <x:c r="F15" i="6"/>
  <x:c r="G15" i="6"/>
  <x:c r="H15" i="6"/>
  <x:c r="I15" i="6"/>
  <x:c r="J15" i="6"/>
  <x:c r="K15" i="6"/>
  <x:c r="L15" i="6"/>
  <x:c r="M15" i="6"/>
  <x:c r="N15" i="6"/>
  <x:c r="O15" i="6"/>
  <x:c r="P15" i="6"/>
  <x:c r="Q15" i="6"/>
  <x:c r="R15" i="6"/>
  <x:c r="S15" i="6"/>
  <x:c r="T15" i="6"/>
  <x:c r="U15" i="6"/>
  <x:c r="C16" i="6"/>
  <x:c r="D16" i="6"/>
  <x:c r="E16" i="6"/>
  <x:c r="F16" i="6"/>
  <x:c r="G16" i="6"/>
  <x:c r="H16" i="6"/>
  <x:c r="I16" i="6"/>
  <x:c r="J16" i="6"/>
  <x:c r="K16" i="6"/>
  <x:c r="L16" i="6"/>
  <x:c r="M16" i="6"/>
  <x:c r="N16" i="6"/>
  <x:c r="O16" i="6"/>
  <x:c r="P16" i="6"/>
  <x:c r="Q16" i="6"/>
  <x:c r="R16" i="6"/>
  <x:c r="D17" i="6"/>
  <x:c r="E17" i="6"/>
  <x:c r="F17" i="6"/>
  <x:c r="G17" i="6"/>
  <x:c r="H17" i="6"/>
  <x:c r="I17" i="6"/>
  <x:c r="J17" i="6"/>
  <x:c r="K17" i="6"/>
  <x:c r="L17" i="6"/>
  <x:c r="M17" i="6"/>
  <x:c r="N17" i="6"/>
  <x:c r="O17" i="6"/>
  <x:c r="D18" i="6"/>
  <x:c r="E18" i="6"/>
  <x:c r="F18" i="6"/>
  <x:c r="G18" i="6"/>
  <x:c r="H18" i="6"/>
  <x:c r="I18" i="6"/>
  <x:c r="J18" i="6"/>
  <x:c r="K18" i="6"/>
  <x:c r="L18" i="6"/>
  <x:c r="M18" i="6"/>
  <x:c r="N18" i="6"/>
  <x:c r="O18" i="6"/>
  <x:c r="D19" i="6"/>
  <x:c r="E19" i="6"/>
  <x:c r="F19" i="6"/>
  <x:c r="G19" i="6"/>
  <x:c r="H19" i="6"/>
  <x:c r="I19" i="6"/>
  <x:c r="J19" i="6"/>
  <x:c r="K19" i="6"/>
  <x:c r="L19" i="6"/>
  <x:c r="M19" i="6"/>
  <x:c r="N19" i="6"/>
  <x:c r="O19" i="6"/>
  <x:c r="E20" i="6"/>
  <x:c r="G20" i="6"/>
  <x:c r="L20" i="6"/>
  <x:c r="M20" i="6"/>
  <x:c r="N20" i="6"/>
  <x:c r="O20" i="6"/>
  <x:c r="E21" i="6"/>
  <x:c r="G21" i="6"/>
  <x:c r="L21" i="6"/>
  <x:c r="M21" i="6"/>
  <x:c r="N21" i="6"/>
  <x:c r="O21" i="6"/>
  <x:c r="E22" i="6"/>
  <x:c r="G22" i="6"/>
  <x:c r="L22" i="6"/>
  <x:c r="M22" i="6"/>
  <x:c r="N22" i="6"/>
  <x:c r="O22" i="6"/>
  <x:c r="L23" i="6"/>
  <x:c r="M23" i="6"/>
  <x:c r="N23" i="6"/>
  <x:c r="O23" i="6"/>
  <x:c r="E24" i="6"/>
  <x:c r="G24" i="6"/>
  <x:c r="L24" i="6"/>
  <x:c r="M24" i="6"/>
  <x:c r="N24" i="6"/>
  <x:c r="O24" i="6"/>
  <x:c r="D25" i="6"/>
  <x:c r="E25" i="6"/>
  <x:c r="F25" i="6"/>
  <x:c r="G25" i="6"/>
  <x:c r="H25" i="6"/>
  <x:c r="I25" i="6"/>
  <x:c r="J25" i="6"/>
  <x:c r="K25" i="6"/>
  <x:c r="L25" i="6"/>
  <x:c r="M25" i="6"/>
  <x:c r="N25" i="6"/>
  <x:c r="O25" i="6"/>
  <x:c r="E26" i="6"/>
  <x:c r="G26" i="6"/>
  <x:c r="L26" i="6"/>
  <x:c r="M26" i="6"/>
  <x:c r="N26" i="6"/>
  <x:c r="O26" i="6"/>
  <x:c r="E27" i="6"/>
  <x:c r="G27" i="6"/>
  <x:c r="L27" i="6"/>
  <x:c r="M27" i="6"/>
  <x:c r="N27" i="6"/>
  <x:c r="O27" i="6"/>
  <x:c r="D28" i="6"/>
  <x:c r="E28" i="6"/>
  <x:c r="F28" i="6"/>
  <x:c r="G28" i="6"/>
  <x:c r="H28" i="6"/>
  <x:c r="I28" i="6"/>
  <x:c r="J28" i="6"/>
  <x:c r="K28" i="6"/>
  <x:c r="L28" i="6"/>
  <x:c r="M28" i="6"/>
  <x:c r="N28" i="6"/>
  <x:c r="O28" i="6"/>
  <x:c r="E29" i="6"/>
  <x:c r="G29" i="6"/>
  <x:c r="L29" i="6"/>
  <x:c r="M29" i="6"/>
  <x:c r="N29" i="6"/>
  <x:c r="O29" i="6"/>
  <x:c r="D30" i="6"/>
  <x:c r="E30" i="6"/>
  <x:c r="F30" i="6"/>
  <x:c r="G30" i="6"/>
  <x:c r="H30" i="6"/>
  <x:c r="I30" i="6"/>
  <x:c r="J30" i="6"/>
  <x:c r="K30" i="6"/>
  <x:c r="L30" i="6"/>
  <x:c r="M30" i="6"/>
  <x:c r="N30" i="6"/>
  <x:c r="O30" i="6"/>
  <x:c r="E31" i="6"/>
  <x:c r="G31" i="6"/>
  <x:c r="L31" i="6"/>
  <x:c r="M31" i="6"/>
  <x:c r="N31" i="6"/>
  <x:c r="O31" i="6"/>
  <x:c r="E32" i="6"/>
  <x:c r="G32" i="6"/>
  <x:c r="L32" i="6"/>
  <x:c r="M32" i="6"/>
  <x:c r="N32" i="6"/>
  <x:c r="O32" i="6"/>
  <x:c r="E33" i="6"/>
  <x:c r="G33" i="6"/>
  <x:c r="I33" i="6"/>
  <x:c r="K33" i="6"/>
  <x:c r="L33" i="6"/>
  <x:c r="M33" i="6"/>
  <x:c r="N33" i="6"/>
  <x:c r="O33" i="6"/>
  <x:c r="D34" i="6"/>
  <x:c r="E34" i="6"/>
  <x:c r="F34" i="6"/>
  <x:c r="G34" i="6"/>
  <x:c r="H34" i="6"/>
  <x:c r="I34" i="6"/>
  <x:c r="J34" i="6"/>
  <x:c r="K34" i="6"/>
  <x:c r="L34" i="6"/>
  <x:c r="M34" i="6"/>
  <x:c r="N34" i="6"/>
  <x:c r="O34" i="6"/>
  <x:c r="E35" i="6"/>
  <x:c r="G35" i="6"/>
  <x:c r="L35" i="6"/>
  <x:c r="M35" i="6"/>
  <x:c r="N35" i="6"/>
  <x:c r="O35" i="6"/>
  <x:c r="E36" i="6"/>
  <x:c r="G36" i="6"/>
  <x:c r="L36" i="6"/>
  <x:c r="M36" i="6"/>
  <x:c r="N36" i="6"/>
  <x:c r="O36" i="6"/>
  <x:c r="E37" i="6"/>
  <x:c r="G37" i="6"/>
  <x:c r="L37" i="6"/>
  <x:c r="M37" i="6"/>
  <x:c r="N37" i="6"/>
  <x:c r="O37" i="6"/>
  <x:c r="D38" i="6"/>
  <x:c r="E38" i="6"/>
  <x:c r="F38" i="6"/>
  <x:c r="G38" i="6"/>
  <x:c r="H38" i="6"/>
  <x:c r="I38" i="6"/>
  <x:c r="J38" i="6"/>
  <x:c r="K38" i="6"/>
  <x:c r="L38" i="6"/>
  <x:c r="M38" i="6"/>
  <x:c r="N38" i="6"/>
  <x:c r="O38" i="6"/>
  <x:c r="E39" i="6"/>
  <x:c r="G39" i="6"/>
  <x:c r="L39" i="6"/>
  <x:c r="M39" i="6"/>
  <x:c r="N39" i="6"/>
  <x:c r="O39" i="6"/>
  <x:c r="E40" i="6"/>
  <x:c r="G40" i="6"/>
  <x:c r="L40" i="6"/>
  <x:c r="M40" i="6"/>
  <x:c r="N40" i="6"/>
  <x:c r="O40" i="6"/>
  <x:c r="E41" i="6"/>
  <x:c r="G41" i="6"/>
  <x:c r="L41" i="6"/>
  <x:c r="M41" i="6"/>
  <x:c r="N41" i="6"/>
  <x:c r="O41" i="6"/>
  <x:c r="D42" i="6"/>
  <x:c r="E42" i="6"/>
  <x:c r="F42" i="6"/>
  <x:c r="G42" i="6"/>
  <x:c r="H42" i="6"/>
  <x:c r="I42" i="6"/>
  <x:c r="J42" i="6"/>
  <x:c r="K42" i="6"/>
  <x:c r="L42" i="6"/>
  <x:c r="M42" i="6"/>
  <x:c r="N42" i="6"/>
  <x:c r="O42" i="6"/>
  <x:c r="E43" i="6"/>
  <x:c r="G43" i="6"/>
  <x:c r="L43" i="6"/>
  <x:c r="M43" i="6"/>
  <x:c r="N43" i="6"/>
  <x:c r="O43" i="6"/>
  <x:c r="E44" i="6"/>
  <x:c r="G44" i="6"/>
  <x:c r="L44" i="6"/>
  <x:c r="M44" i="6"/>
  <x:c r="N44" i="6"/>
  <x:c r="O44" i="6"/>
  <x:c r="E45" i="6"/>
  <x:c r="G45" i="6"/>
  <x:c r="L45" i="6"/>
  <x:c r="M45" i="6"/>
  <x:c r="N45" i="6"/>
  <x:c r="O45" i="6"/>
  <x:c r="E46" i="6"/>
  <x:c r="G46" i="6"/>
  <x:c r="L46" i="6"/>
  <x:c r="M46" i="6"/>
  <x:c r="N46" i="6"/>
  <x:c r="O46" i="6"/>
  <x:c r="D47" i="6"/>
  <x:c r="E47" i="6"/>
  <x:c r="F47" i="6"/>
  <x:c r="G47" i="6"/>
  <x:c r="H47" i="6"/>
  <x:c r="I47" i="6"/>
  <x:c r="J47" i="6"/>
  <x:c r="K47" i="6"/>
  <x:c r="L47" i="6"/>
  <x:c r="M47" i="6"/>
  <x:c r="N47" i="6"/>
  <x:c r="O47" i="6"/>
  <x:c r="E48" i="6"/>
  <x:c r="G48" i="6"/>
  <x:c r="I48" i="6"/>
  <x:c r="K48" i="6"/>
  <x:c r="L48" i="6"/>
  <x:c r="M48" i="6"/>
  <x:c r="N48" i="6"/>
  <x:c r="O48" i="6"/>
  <x:c r="E49" i="6"/>
  <x:c r="G49" i="6"/>
  <x:c r="I49" i="6"/>
  <x:c r="K49" i="6"/>
  <x:c r="L49" i="6"/>
  <x:c r="M49" i="6"/>
  <x:c r="N49" i="6"/>
  <x:c r="O49" i="6"/>
  <x:c r="E50" i="6"/>
  <x:c r="G50" i="6"/>
  <x:c r="I50" i="6"/>
  <x:c r="K50" i="6"/>
  <x:c r="L50" i="6"/>
  <x:c r="M50" i="6"/>
  <x:c r="N50" i="6"/>
  <x:c r="O50" i="6"/>
  <x:c r="D51" i="6"/>
  <x:c r="E51" i="6"/>
  <x:c r="F51" i="6"/>
  <x:c r="G51" i="6"/>
  <x:c r="H51" i="6"/>
  <x:c r="I51" i="6"/>
  <x:c r="J51" i="6"/>
  <x:c r="K51" i="6"/>
  <x:c r="L51" i="6"/>
  <x:c r="M51" i="6"/>
  <x:c r="N51" i="6"/>
  <x:c r="O51" i="6"/>
  <x:c r="E52" i="6"/>
  <x:c r="G52" i="6"/>
  <x:c r="I52" i="6"/>
  <x:c r="K52" i="6"/>
  <x:c r="L52" i="6"/>
  <x:c r="M52" i="6"/>
  <x:c r="N52" i="6"/>
  <x:c r="O52" i="6"/>
  <x:c r="E53" i="6"/>
  <x:c r="G53" i="6"/>
  <x:c r="I53" i="6"/>
  <x:c r="K53" i="6"/>
  <x:c r="L53" i="6"/>
  <x:c r="M53" i="6"/>
  <x:c r="N53" i="6"/>
  <x:c r="O53" i="6"/>
  <x:c r="G54" i="6"/>
  <x:c r="K54" i="6"/>
  <x:c r="L54" i="6"/>
  <x:c r="M54" i="6"/>
  <x:c r="N54" i="6"/>
  <x:c r="O54" i="6"/>
  <x:c r="D55" i="6"/>
  <x:c r="E55" i="6"/>
  <x:c r="F55" i="6"/>
  <x:c r="G55" i="6"/>
  <x:c r="H55" i="6"/>
  <x:c r="I55" i="6"/>
  <x:c r="J55" i="6"/>
  <x:c r="K55" i="6"/>
  <x:c r="L55" i="6"/>
  <x:c r="M55" i="6"/>
  <x:c r="N55" i="6"/>
  <x:c r="O55" i="6"/>
  <x:c r="L56" i="6"/>
  <x:c r="M56" i="6"/>
  <x:c r="N56" i="6"/>
  <x:c r="O56" i="6"/>
  <x:c r="L57" i="6"/>
  <x:c r="M57" i="6"/>
  <x:c r="N57" i="6"/>
  <x:c r="O57" i="6"/>
  <x:c r="L58" i="6"/>
  <x:c r="M58" i="6"/>
  <x:c r="N58" i="6"/>
  <x:c r="O58" i="6"/>
  <x:c r="E59" i="6"/>
  <x:c r="G59" i="6"/>
  <x:c r="K59" i="6"/>
  <x:c r="L59" i="6"/>
  <x:c r="M59" i="6"/>
  <x:c r="N59" i="6"/>
  <x:c r="O59" i="6"/>
</x:calcChain>
</file>

<file path=xl/comments1.xml><?xml version="1.0" encoding="utf-8"?>
<x:comments xmlns:x="http://schemas.openxmlformats.org/spreadsheetml/2006/main">
  <x:authors>
    <x:author>ADMIN</x:author>
  </x:authors>
  <x:commentList>
    <x:comment ref="Y4" authorId="0">
      <x:text>
        <x:r>
          <x:rPr>
            <x:b/>
            <x:vertAlign val="baseline"/>
            <x:sz val="9"/>
            <x:color rgb="FF000000"/>
            <x:rFont val="Tahoma"/>
            <x:family val="2"/>
          </x:rPr>
          <x:t>Phunv</x:t>
        </x:r>
      </x:text>
    </x:comment>
    <x:comment ref="AA4" authorId="0">
      <x:text>
        <x:r>
          <x:rPr>
            <x:b/>
            <x:vertAlign val="baseline"/>
            <x:sz val="9"/>
            <x:color rgb="FF000000"/>
            <x:rFont val="Tahoma"/>
            <x:family val="2"/>
          </x:rPr>
          <x:t>Bich Ngoc</x:t>
        </x:r>
      </x:text>
    </x:comment>
    <x:comment ref="AN4" authorId="0">
      <x:text>
        <x:r>
          <x:rPr>
            <x:b/>
            <x:vertAlign val="baseline"/>
            <x:sz val="9"/>
            <x:color rgb="FF000000"/>
            <x:rFont val="Tahoma"/>
            <x:family val="2"/>
          </x:rPr>
          <x:t>Tannt1</x:t>
        </x:r>
      </x:text>
    </x:comment>
  </x:commentList>
</x:comments>
</file>

<file path=xl/sharedStrings.xml><?xml version="1.0" encoding="utf-8"?>
<x:sst xmlns:x="http://schemas.openxmlformats.org/spreadsheetml/2006/main">
  <x:si>
    <x:t>Phụ lục: Bảng điểm đánh giá 8 Viettel tỉnh/TP KV2 tháng 7/2025
(Công văn số 1085/VTNet-BQLDAHTVT ngày 26/4/2024)</x:t>
  </x:si>
  <x:si>
    <x:t>STT</x:t>
  </x:si>
  <x:si>
    <x:t>Tỉnh</x:t>
  </x:si>
  <x:si>
    <x:t xml:space="preserve">Tổng điểm </x:t>
  </x:si>
  <x:si>
    <x:t>Điểm KPI  hạ tầng</x:t>
  </x:si>
  <x:si>
    <x:t>Điểm KPI về pháp lý, triển khai hạ tầng khách hàng và quản lý tài sản</x:t>
  </x:si>
  <x:si>
    <x:t>Điểm trung bình tháng 7/2025</x:t>
  </x:si>
  <x:si>
    <x:t>Xếp hạng</x:t>
  </x:si>
  <x:si>
    <x:t>HUE</x:t>
  </x:si>
  <x:si>
    <x:t>QNI</x:t>
  </x:si>
  <x:si>
    <x:t>DNG</x:t>
  </x:si>
  <x:si>
    <x:t>DLK</x:t>
  </x:si>
  <x:si>
    <x:t>GLI</x:t>
  </x:si>
  <x:si>
    <x:t>KHA</x:t>
  </x:si>
  <x:si>
    <x:t>QTI</x:t>
  </x:si>
  <x:si>
    <x:t>LDG</x:t>
  </x:si>
  <x:si>
    <x:t>Phụ lục 01: Bảng điểm đánh giá KPI công tác kỹ thuật 8 Viettel tỉnh/TP thuộc KV2 tháng 7/2025</x:t>
  </x:si>
  <x:si>
    <x:t>Nhóm chỉ tiêu PTHT</x:t>
  </x:si>
  <x:si>
    <x:t>Nhóm chỉ tiêu KPI về pháp lý, triển khai hạ tầng khách hàng và quản lý tài sản của VTNet, VTT, VTS</x:t>
  </x:si>
  <x:si>
    <x:t>Điểm phân bổ theo chỉ tiêu</x:t>
  </x:si>
  <x:si>
    <x:t>Điểm đạt</x:t>
  </x:si>
  <x:si>
    <x:t>Chỉ tiêu triển khai BTS</x:t>
  </x:si>
  <x:si>
    <x:t>Chỉ tiêu triển khai GPON (hạ tầng)</x:t>
  </x:si>
  <x:si>
    <x:t>Chỉ tiêu triển khai dự án tòa nhà, KĐT&amp;KCN đảm bảo kinh doanh</x:t>
  </x:si>
  <x:si>
    <x:t>Chỉ tiêu triển khai truyền dẫn</x:t>
  </x:si>
  <x:si>
    <x:t>Nâng cao chất lượng mạng</x:t>
  </x:si>
  <x:si>
    <x:t>Nghiệm thu, BGTS</x:t>
  </x:si>
  <x:si>
    <x:t>Kiểm soát CLCT</x:t>
  </x:si>
  <x:si>
    <x:t>Củng cố, bảo dưỡng, cơ điện</x:t>
  </x:si>
  <x:si>
    <x:t>Chỉ tiêu lập HSHC và QT điện tử</x:t>
  </x:si>
  <x:si>
    <x:t>Các KPI quy trình</x:t>
  </x:si>
  <x:si>
    <x:t>Quyết toán công trình/thanh lý hợp đồng ủy quyền</x:t>
  </x:si>
  <x:si>
    <x:t>Quản lý chi phí</x:t>
  </x:si>
  <x:si>
    <x:t>KPI đảm bảo công tác pháp lý</x:t>
  </x:si>
  <x:si>
    <x:t>KPI quản lý, điều hành, nề nếp phối hợp</x:t>
  </x:si>
  <x:si>
    <x:t>Tỷ lệ SR hoàn thành xử lý đúng hạn</x:t>
  </x:si>
  <x:si>
    <x:t>Số trạm 4G giao trong quý có TU đạt ngưỡng sử dụng hiệu quả</x:t>
  </x:si>
  <x:si>
    <x:t>Đánh giá công tác quản lý kho, tài sản</x:t>
  </x:si>
  <x:si>
    <x:t>Chỉ tiêu PS vị trí, CS, XD, thuê trạm...</x:t>
  </x:si>
  <x:si>
    <x:t>Chỉ tiêu thiết kế, hàn nối, nhập NIMS GPON</x:t>
  </x:si>
  <x:si>
    <x:t>Chỉ tiêu triển khai truyền dẫn ngầm, treo</x:t>
  </x:si>
  <x:si>
    <x:t>Chỉ tiêu triển khai các KH nâng cao CLM, LHSK, thu/rút thiết bị…</x:t>
  </x:si>
  <x:si>
    <x:t>Các chỉ tiêu kiên cố: Cột quá tải trọng, xây nhà máy nổ, nhà X4, kiên cố cơ điện….</x:t>
  </x:si>
  <x:si>
    <x:t>Nề nếp, hình ảnh; khắc phục lỗi, KPI kiểm tra</x:t>
  </x:si>
  <x:si>
    <x:t>Nghiệm thu các CT, BGTS các CT</x:t>
  </x:si>
  <x:si>
    <x:t>Các chỉ tiêu HCQT HĐ Vtnet, tỉnh ký HĐ</x:t>
  </x:si>
  <x:si>
    <x:t>1. Báo cáo các khó khăn vướng mắc theo quy định 273104</x:t>
  </x:si>
  <x:si>
    <x:t>2. Tiến độ hạ tầng trạm 5G</x:t>
  </x:si>
  <x:si>
    <x:t>3. Tiến độ hạ tầng 4G new-site</x:t>
  </x:si>
  <x:si>
    <x:t>4. Kiểm soát công tác VHKT dịch vụ CĐBR</x:t>
  </x:si>
  <x:si>
    <x:t>5. Thời gian xử lý sự cố Vtracking, Stracking</x:t>
  </x:si>
  <x:si>
    <x:t>Tổng điểm VTT</x:t>
  </x:si>
  <x:si>
    <x:t>CBG</x:t>
  </x:si>
  <x:si>
    <x:t>DBN</x:t>
  </x:si>
  <x:si>
    <x:t>HNI</x:t>
  </x:si>
  <x:si>
    <x:t>LCU</x:t>
  </x:si>
  <x:si>
    <x:t>LSN</x:t>
  </x:si>
  <x:si>
    <x:t>NAN</x:t>
  </x:si>
  <x:si>
    <x:t>QNH</x:t>
  </x:si>
  <x:si>
    <x:t>SLA</x:t>
  </x:si>
  <x:si>
    <x:t>THA</x:t>
  </x:si>
  <x:si>
    <x:t>TQG</x:t>
  </x:si>
  <x:si>
    <x:t>LCI</x:t>
  </x:si>
  <x:si>
    <x:t>TNN</x:t>
  </x:si>
  <x:si>
    <x:t>PTO</x:t>
  </x:si>
  <x:si>
    <x:t>BNH</x:t>
  </x:si>
  <x:si>
    <x:t>HYN</x:t>
  </x:si>
  <x:si>
    <x:t>HPG</x:t>
  </x:si>
  <x:si>
    <x:t>NBH</x:t>
  </x:si>
  <x:si>
    <x:t>HTH</x:t>
  </x:si>
  <x:si>
    <x:t>HCM</x:t>
  </x:si>
  <x:si>
    <x:t>DNI</x:t>
  </x:si>
  <x:si>
    <x:t>TNH</x:t>
  </x:si>
  <x:si>
    <x:t>CTO</x:t>
  </x:si>
  <x:si>
    <x:t>VLG</x:t>
  </x:si>
  <x:si>
    <x:t>AGG</x:t>
  </x:si>
  <x:si>
    <x:t>DTP</x:t>
  </x:si>
  <x:si>
    <x:t>CMU</x:t>
  </x:si>
  <x:si>
    <x:t>Tổng điểm</x:t>
  </x:si>
  <x:si>
    <x:t>Tỷ lệ hoàn thành SR khảo sát, thiết kế, lập dự toán kinh phí
nhân công, vật tư triển khai cáp nhiều đôi</x:t>
  </x:si>
  <x:si>
    <x:t>Tỷ lệ hoàn thành SR ký hợp đồng và điều hành đối tác
triển khai cáp nhiều đôi</x:t>
  </x:si>
  <x:si>
    <x:t>Tỷ lệ hoàn thành SR hoàn công quyết toán các kênh triển
khai cáp lớn</x:t>
  </x:si>
  <x:si>
    <x:t>TTH</x:t>
  </x:si>
  <x:si>
    <x:t>T7</x:t>
  </x:si>
  <x:si>
    <x:t>KH</x:t>
  </x:si>
  <x:si>
    <x:t>Thực hiện</x:t>
  </x:si>
  <x:si>
    <x:t>%TH/KH</x:t>
  </x:si>
  <x:si>
    <x:t xml:space="preserve">Điểm phân bổ </x:t>
  </x:si>
  <x:si>
    <x:t>Đạt/KPI</x:t>
  </x:si>
  <x:si>
    <x:t>T6</x:t>
  </x:si>
  <x:si>
    <x:t>T7/T6</x:t>
  </x:si>
  <x:si>
    <x:t>Lũy kế 2025</x:t>
  </x:si>
  <x:si>
    <x:t>Thực hiện năm 2024</x:t>
  </x:si>
  <x:si>
    <x:t>2025/2024</x:t>
  </x:si>
  <x:si>
    <x:t>I</x:t>
  </x:si>
  <x:si>
    <x:t>Chỉ tiêu triển khai dự án tòa nhà, KĐT&amp;KCN 
đảm bảo kinh doanh</x:t>
  </x:si>
  <x:si>
    <x:t>II</x:t>
  </x:si>
  <x:si>
    <x:t>III</x:t>
  </x:si>
  <x:si>
    <x:t>VTT</x:t>
  </x:si>
  <x:si>
    <x:t>IV</x:t>
  </x:si>
  <x:si>
    <x:t>VTS</x:t>
  </x:si>
  <x:si>
    <x:t>Tỷ lệ hoàn thành SR khảo sát, thiết kế, lập dự toán kinh phínhân công, vật tư triển khai cáp nhiều đôi</x:t>
  </x:si>
  <x:si>
    <x:t>Nội dung</x:t>
  </x:si>
  <x:si>
    <x:t>ĐVT</x:t>
  </x:si>
  <x:si>
    <x:t xml:space="preserve">Tháng 7/2025 </x:t>
  </x:si>
  <x:si>
    <x:t>Quý 3/2025</x:t>
  </x:si>
  <x:si>
    <x:t>Năm 2025</x:t>
  </x:si>
  <x:si>
    <x:t>id</x:t>
  </x:si>
  <x:si>
    <x:t>TH Quý 1</x:t>
  </x:si>
  <x:si>
    <x:t>TH Quý 2</x:t>
  </x:si>
  <x:si>
    <x:t>TH Quý 3</x:t>
  </x:si>
  <x:si>
    <x:t>Kế hoạch</x:t>
  </x:si>
  <x:si>
    <x:t>% HT</x:t>
  </x:si>
  <x:si>
    <x:t>Nhân sự thực hiện</x:t>
  </x:si>
  <x:si>
    <x:t>BTS</x:t>
  </x:si>
  <x:si>
    <x:t>Phát sóng vị trí BTS</x:t>
  </x:si>
  <x:si>
    <x:t>Vị trí</x:t>
  </x:si>
  <x:si>
    <x:t>18</x:t>
  </x:si>
  <x:si>
    <x:t>19</x:t>
  </x:si>
  <x:si>
    <x:t>đc Duy + Đạt</x:t>
  </x:si>
  <x:si>
    <x:t>phatsongvitribts</x:t>
  </x:si>
  <x:si>
    <x:t>Triển khai truyền dẫn</x:t>
  </x:si>
  <x:si>
    <x:t>Kéo cáp ngầm</x:t>
  </x:si>
  <x:si>
    <x:t>Km</x:t>
  </x:si>
  <x:si>
    <x:t/>
  </x:si>
  <x:si>
    <x:t>keocapngam</x:t>
  </x:si>
  <x:si>
    <x:t>Tuyến ngầm ĐVSD</x:t>
  </x:si>
  <x:si>
    <x:t>Tuyến</x:t>
  </x:si>
  <x:si>
    <x:t>tuyenngamđvsd</x:t>
  </x:si>
  <x:si>
    <x:t>Kéo cáp treo</x:t>
  </x:si>
  <x:si>
    <x:t>đc Thạch</x:t>
  </x:si>
  <x:si>
    <x:t>keocaptreo</x:t>
  </x:si>
  <x:si>
    <x:t>Tuyến treo ĐVSD</x:t>
  </x:si>
  <x:si>
    <x:t>tuyentreođvsd</x:t>
  </x:si>
  <x:si>
    <x:t>GPON</x:t>
  </x:si>
  <x:si>
    <x:t>Nhập NIMS GPON</x:t>
  </x:si>
  <x:si>
    <x:t>Cổng</x:t>
  </x:si>
  <x:si>
    <x:t>đc Hiền + đc Tàu</x:t>
  </x:si>
  <x:si>
    <x:t>nhapnimsgpon</x:t>
  </x:si>
  <x:si>
    <x:t>Kiên cố, củng cố</x:t>
  </x:si>
  <x:si>
    <x:t>Kiên cố cột quá tải trọng</x:t>
  </x:si>
  <x:si>
    <x:t>GP</x:t>
  </x:si>
  <x:si>
    <x:t>đc Hà</x:t>
  </x:si>
  <x:si>
    <x:t>kiencocotquataitrong</x:t>
  </x:si>
  <x:si>
    <x:t>Củng cố cột và nhà trạm BTS</x:t>
  </x:si>
  <x:si>
    <x:t>Trạm</x:t>
  </x:si>
  <x:si>
    <x:t>cungcocotvanhatrambts</x:t>
  </x:si>
  <x:si>
    <x:t>Củng cố tuyến truyền dẫn</x:t>
  </x:si>
  <x:si>
    <x:t>đc Chánh</x:t>
  </x:si>
  <x:si>
    <x:t>cungcotuyentruyendan</x:t>
  </x:si>
  <x:si>
    <x:t>Củng cố tuyến CĐBR</x:t>
  </x:si>
  <x:si>
    <x:t>20</x:t>
  </x:si>
  <x:si>
    <x:t>cungcotuyencđbr</x:t>
  </x:si>
  <x:si>
    <x:t>Quản lý
 tài sản</x:t>
  </x:si>
  <x:si>
    <x:t>BGTS Công trình</x:t>
  </x:si>
  <x:si>
    <x:t>121</x:t>
  </x:si>
  <x:si>
    <x:t>15</x:t>
  </x:si>
  <x:si>
    <x:t>đc Hòa + Sơn</x:t>
  </x:si>
  <x:si>
    <x:t>bgtscongtrinh</x:t>
  </x:si>
  <x:si>
    <x:t>Bàn giao tài sản công trình CT BTS 
(theo CT nghiệm thu hàng tháng)</x:t>
  </x:si>
  <x:si>
    <x:t>59</x:t>
  </x:si>
  <x:si>
    <x:t>0</x:t>
  </x:si>
  <x:si>
    <x:t>bangiaotaisancongtrinhctbts
(theoctnghiemthuhangthang)</x:t>
  </x:si>
  <x:si>
    <x:t>Bàn giao tài sản công trình CT truyền dẫn 
(theo CT nghiệm thu hàng tháng)</x:t>
  </x:si>
  <x:si>
    <x:t>bangiaotaisancongtrinhcttruyendan
(theoctnghiemthuhangthang)</x:t>
  </x:si>
  <x:si>
    <x:t>Bàn giao tài sản công trình CT GPON 
(theo CT nghiệm thu hàng tháng)</x:t>
  </x:si>
  <x:si>
    <x:t>bangiaotaisancongtrinhctgpon
(theoctnghiemthuhangthang)</x:t>
  </x:si>
  <x:si>
    <x:t>Bàn giao tài sản công trình CT cơ điện</x:t>
  </x:si>
  <x:si>
    <x:t>bangiaotaisancongtrinhctcođien</x:t>
  </x:si>
  <x:si>
    <x:t>Kiểm tra tài sản trạm</x:t>
  </x:si>
  <x:si>
    <x:t>kiemtrataisantram</x:t>
  </x:si>
  <x:si>
    <x:t>Hoàn công thanh
 quyết toán</x:t>
  </x:si>
  <x:si>
    <x:t>Lập hồ sơ theo tiến độ thi công</x:t>
  </x:si>
  <x:si>
    <x:t>đc Thạch + Thuận</x:t>
  </x:si>
  <x:si>
    <x:t>laphosotheotienđothicong</x:t>
  </x:si>
  <x:si>
    <x:t>Công trình BTS</x:t>
  </x:si>
  <x:si>
    <x:t>congtrinhbts</x:t>
  </x:si>
  <x:si>
    <x:t>Công trình cơ điện</x:t>
  </x:si>
  <x:si>
    <x:t>congtrinhcođien</x:t>
  </x:si>
  <x:si>
    <x:t>Hoàn thành bộ hồ sơ hoàn công đến BC4A</x:t>
  </x:si>
  <x:si>
    <x:t>hoanthanhbohosohoancongđenbc4a</x:t>
  </x:si>
  <x:si>
    <x:t>Tòa nhà, KCN, KĐT</x:t>
  </x:si>
  <x:si>
    <x:t>Triển khai dự án mới</x:t>
  </x:si>
  <x:si>
    <x:t>DA</x:t>
  </x:si>
  <x:si>
    <x:t>trienkhaiduanmoi</x:t>
  </x:si>
  <x:si>
    <x:t>Ten</x:t>
  </x:si>
  <x:si>
    <x:t>Thang</x:t>
  </x:si>
  <x:si>
    <x:t>Quy</x:t>
  </x:si>
  <x:si>
    <x:t>Nam</x:t>
  </x:si>
  <x:si>
    <x:t>TH</x:t>
  </x:si>
  <x:si>
    <x:r>
      <x:rPr>
        <x:b/>
        <x:vertAlign val="baseline"/>
        <x:sz val="20"/>
        <x:color rgb="FF000000"/>
        <x:rFont val="Times New Roman"/>
        <x:family val="1"/>
      </x:rPr>
      <x:t xml:space="preserve">PHỤ LỤC I: DANH SÁCH KPI HẠ TẦNG GIAO CHO GIÁM ĐỐC VIETTEL TỈNH/TP
</x:t>
    </x:r>
    <x:r>
      <x:rPr>
        <x:i/>
        <x:vertAlign val="baseline"/>
        <x:sz val="20"/>
        <x:color rgb="FF000000"/>
        <x:rFont val="Times New Roman"/>
        <x:family val="1"/>
      </x:rPr>
      <x:t>(Kèm theo Công văn số             ngày       tháng       năm 2024)</x:t>
    </x:r>
  </x:si>
  <x:si>
    <x:t>TT</x:t>
  </x:si>
  <x:si>
    <x:t>Thông tin KPI</x:t>
  </x:si>
  <x:si>
    <x:t>Mới</x:t>
  </x:si>
  <x:si>
    <x:t>Cũ</x:t>
  </x:si>
  <x:si>
    <x:t>Tăng/giảm</x:t>
  </x:si>
  <x:si>
    <x:t>Phân bổ theo mức</x:t>
  </x:si>
  <x:si>
    <x:t>Đơn vị đánh giá trực tiếp</x:t>
  </x:si>
  <x:si>
    <x:t>Ghi chú</x:t>
  </x:si>
  <x:si>
    <x:t>Tên KPI</x:t>
  </x:si>
  <x:si>
    <x:t>Cách đánh giá/chỉ số đo lường</x:t>
  </x:si>
  <x:si>
    <x:t>61 VT tỉnh/TP</x:t>
  </x:si>
  <x:si>
    <x:t>VT HNI, HCM</x:t>
  </x:si>
  <x:si>
    <x:t>Đầu mối đề xuất</x:t>
  </x:si>
  <x:si>
    <x:t>Điểm chấm</x:t>
  </x:si>
  <x:si>
    <x:t>Tỷ trọng</x:t>
  </x:si>
  <x:si>
    <x:t>Tối thiểu</x:t>
  </x:si>
  <x:si>
    <x:t>Mong đợi</x:t>
  </x:si>
  <x:si>
    <x:t>Thách thức</x:t>
  </x:si>
  <x:si>
    <x:t>*</x:t>
  </x:si>
  <x:si>
    <x:t>Tổng KPI triển khai hạ tầng</x:t>
  </x:si>
  <x:si>
    <x:t>Triển khai trạm BTS đảm bảo hạ tầng kinh doanh</x:t>
  </x:si>
  <x:si>
    <x:r>
      <x:rPr>
        <x:vertAlign val="baseline"/>
        <x:sz val="12"/>
        <x:color rgb="FF000000"/>
        <x:rFont val="Times New Roman"/>
        <x:family val="1"/>
      </x:rPr>
      <x:t xml:space="preserve">Triển khai Gpon đảm bảo hạ tầng kinh doanh </x:t>
    </x:r>
    <x:r>
      <x:rPr>
        <x:i/>
        <x:vertAlign val="baseline"/>
        <x:sz val="12"/>
        <x:color rgb="FF000000"/>
        <x:rFont val="Times New Roman"/>
        <x:family val="1"/>
      </x:rPr>
      <x:t>(bao gồm cả ngoài trời và trong nhà)</x:t>
    </x:r>
  </x:si>
  <x:si>
    <x:t>Triển khai dự án tòa nhà, khu đô thị, khu công nghiệp đảm bảo kinh doanh</x:t>
  </x:si>
  <x:si>
    <x:t>Giảm 0,1</x:t>
  </x:si>
  <x:si>
    <x:t>Triển khai truyền dẫn (ngầm/treo)</x:t>
  </x:si>
  <x:si>
    <x:t>Triển khai các kế hoạch NCCLM, LHSK, thu/rút thiết bị….</x:t>
  </x:si>
  <x:si>
    <x:t>Nghiệm thu/giảm tồn tài sản</x:t>
  </x:si>
  <x:si>
    <x:t>Giảm 0,3</x:t>
  </x:si>
  <x:si>
    <x:t>Kiểm soát chất lượng công trình</x:t>
  </x:si>
  <x:si>
    <x:r>
      <x:rPr>
        <x:vertAlign val="baseline"/>
        <x:sz val="12"/>
        <x:color rgb="FF000000"/>
        <x:rFont val="Times New Roman"/>
        <x:family val="1"/>
      </x:rPr>
      <x:t xml:space="preserve">Quyết toán công trình/thanh lý hợp đồng </x:t>
    </x:r>
    <x:r>
      <x:rPr>
        <x:i/>
        <x:vertAlign val="baseline"/>
        <x:sz val="12"/>
        <x:color rgb="FF000000"/>
        <x:rFont val="Times New Roman"/>
        <x:family val="1"/>
      </x:rPr>
      <x:t>(bao gồm hợp đồng VTNet và hợp đồng ủy quyền)</x:t>
    </x:r>
  </x:si>
  <x:si>
    <x:r>
      <x:rPr>
        <x:vertAlign val="baseline"/>
        <x:sz val="12"/>
        <x:color rgb="FF000000"/>
        <x:rFont val="Times New Roman"/>
        <x:family val="1"/>
      </x:rPr>
      <x:t xml:space="preserve">Quản lý chi phí </x:t>
    </x:r>
    <x:r>
      <x:rPr>
        <x:i/>
        <x:vertAlign val="baseline"/>
        <x:sz val="12"/>
        <x:color rgb="FF000000"/>
        <x:rFont val="Times New Roman"/>
        <x:family val="1"/>
      </x:rPr>
      <x:t>(thanh quyết toán hợp đồng nguồn chi phí VHKT, đàm phán gia hạn, kết quả thực hiện chi phí VHKT)</x:t>
    </x:r>
  </x:si>
  <x:si>
    <x:t>Các KPI quy trình trọng yếu</x:t>
  </x:si>
  <x:si>
    <x:t>Kết quả thực hiện đánh giá theo tỷ lệ KPI hoàn thành:
- Dưới 7 KPI đạt: 0 điểm
- Từ 07-10 KPI  đạt: 
+ Điểm = số KPI đạt * 0,5/10 ( đối với 61 Viettel tỉnh/TP); 
+ Điểm = số KPI đạt * 0,6/10  (đối với Viettel HNI, HCM)</x:t>
  </x:si>
  <x:si>
    <x:t>Target</x:t>
  </x:si>
  <x:si>
    <x:r>
      <x:rPr>
        <x:b/>
        <x:vertAlign val="baseline"/>
        <x:sz val="12"/>
        <x:color rgb="FF000000"/>
        <x:rFont val="Times New Roman"/>
        <x:family val="1"/>
      </x:rPr>
      <x:t xml:space="preserve">Chi tiết các KPI con cho KPI chính </x:t>
    </x:r>
    <x:r>
      <x:rPr>
        <x:i/>
        <x:vertAlign val="baseline"/>
        <x:sz val="12"/>
        <x:color rgb="FF000000"/>
        <x:rFont val="Times New Roman"/>
        <x:family val="1"/>
      </x:rPr>
      <x:t>(Đối với các KPI con mà không có kế hoạch tháng =&gt; Điểm phân bổ được chia cho các KPI còn lại)</x:t>
    </x:r>
  </x:si>
  <x:si>
    <x:t>Triển khai BTS đảm bảo hạ tầng kinh doanh</x:t>
  </x:si>
  <x:si>
    <x:t>98%-100%</x:t>
  </x:si>
  <x:si>
    <x:t>TTKTKV</x:t>
  </x:si>
  <x:si>
    <x:t>BQLDAHTVT kiểm soát trước khi TTKTKV phê duyệt</x:t>
  </x:si>
  <x:si>
    <x:t>Thanhlv4</x:t>
  </x:si>
  <x:si>
    <x:t>-</x:t>
  </x:si>
  <x:si>
    <x:t>Phát sóng vị trí mới</x:t>
  </x:si>
  <x:si>
    <x:r>
      <x:rPr>
        <x:b/>
        <x:vertAlign val="baseline"/>
        <x:sz val="12"/>
        <x:color rgb="FF000000"/>
        <x:rFont val="Times New Roman"/>
        <x:family val="1"/>
      </x:rPr>
      <x:t>1. Định nghĩa:</x:t>
    </x:r>
    <x:r>
      <x:rPr>
        <x:vertAlign val="baseline"/>
        <x:sz val="12"/>
        <x:color rgb="FF000000"/>
        <x:rFont val="Times New Roman"/>
        <x:family val="1"/>
      </x:rPr>
      <x:t xml:space="preserve"> Tỉ lệ % hoàn thành các chỉ tiêu theo kế hoạch.
</x:t>
    </x:r>
    <x:r>
      <x:rPr>
        <x:b/>
        <x:vertAlign val="baseline"/>
        <x:sz val="12"/>
        <x:color rgb="FF000000"/>
        <x:rFont val="Times New Roman"/>
        <x:family val="1"/>
      </x:rPr>
      <x:t xml:space="preserve">2. Cách tính: </x:t>
    </x:r>
    <x:r>
      <x:rPr>
        <x:vertAlign val="baseline"/>
        <x:sz val="12"/>
        <x:color rgb="FF000000"/>
        <x:rFont val="Times New Roman"/>
        <x:family val="1"/>
      </x:rPr>
      <x:t xml:space="preserve"> Tỷ lệ % hoàn thành kế hoạch x tỷ trọng từng hạng mục
</x:t>
    </x:r>
    <x:r>
      <x:rPr>
        <x:b/>
        <x:vertAlign val="baseline"/>
        <x:sz val="12"/>
        <x:color rgb="FF000000"/>
        <x:rFont val="Times New Roman"/>
        <x:family val="1"/>
      </x:rPr>
      <x:t>3. Phương pháp:</x:t>
    </x:r>
    <x:r>
      <x:rPr>
        <x:vertAlign val="baseline"/>
        <x:sz val="12"/>
        <x:color rgb="FF000000"/>
        <x:rFont val="Times New Roman"/>
        <x:family val="1"/>
      </x:rPr>
      <x:t xml:space="preserve"> Căn cứ kết quả thực hiện so với kế hoạch giao quý/năm. 
</x:t>
    </x:r>
    <x:r>
      <x:rPr>
        <x:b/>
        <x:vertAlign val="baseline"/>
        <x:sz val="12"/>
        <x:color rgb="FF000000"/>
        <x:rFont val="Times New Roman"/>
        <x:family val="1"/>
      </x:rPr>
      <x:t>4. Hình thức báo cáo:</x:t>
    </x:r>
    <x:r>
      <x:rPr>
        <x:vertAlign val="baseline"/>
        <x:sz val="12"/>
        <x:color rgb="FF000000"/>
        <x:rFont val="Times New Roman"/>
        <x:family val="1"/>
      </x:rPr>
      <x:t xml:space="preserve"> Thông qua Phần mềm</x:t>
    </x:r>
  </x:si>
  <x:si>
    <x:t>Phát sóng trạm BTS cosite</x:t>
  </x:si>
  <x:si>
    <x:t>Xây dựng đồng bộ nhà trạm</x:t>
  </x:si>
  <x:si>
    <x:t>Thuê, đảm bảo mặt bằng xây dựng</x:t>
  </x:si>
  <x:si>
    <x:t>95%-98%</x:t>
  </x:si>
  <x:si>
    <x:t>Xin Giấy phép xây dựng</x:t>
  </x:si>
  <x:si>
    <x:t>Triển khai Gpon đảm bảo hạ tầng kinh doanh</x:t>
  </x:si>
  <x:si>
    <x:t>Nhập NIMS cổng Gpon ngoài trời</x:t>
  </x:si>
  <x:si>
    <x:t>dungnh2</x:t>
  </x:si>
  <x:si>
    <x:t>Nhập NIMS cổng Gpon trong nhà</x:t>
  </x:si>
  <x:si>
    <x:t>Triển khai dự án Tòa nhà - KCN - KĐT đảm bảo kinh doanh</x:t>
  </x:si>
  <x:si>
    <x:t xml:space="preserve">Hoàn thành triển khai dự án </x:t>
  </x:si>
  <x:si>
    <x:t>Hoàn thành tuyến truyền dẫn ngầm</x:t>
  </x:si>
  <x:si>
    <x:t>Triển khai truyền dẫn (Ngầm/treo)</x:t>
  </x:si>
  <x:si>
    <x:t>Triển khai km cáp ngầm</x:t>
  </x:si>
  <x:si>
    <x:t>Triển khai các kế hoạch NCCLM, LHSK, thu/rút thiết bị/cơ điện….</x:t>
  </x:si>
  <x:si>
    <x:r>
      <x:rPr>
        <x:b/>
        <x:vertAlign val="baseline"/>
        <x:sz val="12"/>
        <x:color rgb="FF000000"/>
        <x:rFont val="Times New Roman"/>
        <x:family val="1"/>
      </x:rPr>
      <x:t>1. Định nghĩa:</x:t>
    </x:r>
    <x:r>
      <x:rPr>
        <x:vertAlign val="baseline"/>
        <x:sz val="12"/>
        <x:color rgb="FF000000"/>
        <x:rFont val="Times New Roman"/>
        <x:family val="1"/>
      </x:rPr>
      <x:t xml:space="preserve"> Trung bình % kế hoạch hoàn thành 
</x:t>
    </x:r>
    <x:r>
      <x:rPr>
        <x:b/>
        <x:vertAlign val="baseline"/>
        <x:sz val="12"/>
        <x:color rgb="FF000000"/>
        <x:rFont val="Times New Roman"/>
        <x:family val="1"/>
      </x:rPr>
      <x:t>2. Cách tính:</x:t>
    </x:r>
    <x:r>
      <x:rPr>
        <x:vertAlign val="baseline"/>
        <x:sz val="12"/>
        <x:color rgb="FF000000"/>
        <x:rFont val="Times New Roman"/>
        <x:family val="1"/>
      </x:rPr>
      <x:t xml:space="preserve"> Σ tỷ lệ hoàn thành x tỷ trọng
</x:t>
    </x:r>
    <x:r>
      <x:rPr>
        <x:b/>
        <x:vertAlign val="baseline"/>
        <x:sz val="12"/>
        <x:color rgb="FF000000"/>
        <x:rFont val="Times New Roman"/>
        <x:family val="1"/>
      </x:rPr>
      <x:t xml:space="preserve">3. Phương pháp đánh giá: </x:t>
    </x:r>
    <x:r>
      <x:rPr>
        <x:vertAlign val="baseline"/>
        <x:sz val="12"/>
        <x:color rgb="FF000000"/>
        <x:rFont val="Times New Roman"/>
        <x:family val="1"/>
      </x:rPr>
      <x:t xml:space="preserve">Căn cứ theo kết quả thực hiện so với kế hoạch 
</x:t>
    </x:r>
    <x:r>
      <x:rPr>
        <x:b/>
        <x:vertAlign val="baseline"/>
        <x:sz val="12"/>
        <x:color rgb="FF000000"/>
        <x:rFont val="Times New Roman"/>
        <x:family val="1"/>
      </x:rPr>
      <x:t xml:space="preserve">4. Hình thức báo cáo: </x:t>
    </x:r>
    <x:r>
      <x:rPr>
        <x:vertAlign val="baseline"/>
        <x:sz val="12"/>
        <x:color rgb="FF000000"/>
        <x:rFont val="Times New Roman"/>
        <x:family val="1"/>
      </x:rPr>
      <x:t>Thông qua biên bản bàn giao hoàn thành công việc.</x:t>
    </x:r>
  </x:si>
  <x:si>
    <x:t>Nghiệm thu/Giảm tồn tài sản</x:t>
  </x:si>
  <x:si>
    <x:r>
      <x:rPr>
        <x:b/>
        <x:vertAlign val="baseline"/>
        <x:sz val="12"/>
        <x:color rgb="FF000000"/>
        <x:rFont val="Times New Roman"/>
        <x:family val="1"/>
      </x:rPr>
      <x:t>1. Định nghĩa:</x:t>
    </x:r>
    <x:r>
      <x:rPr>
        <x:vertAlign val="baseline"/>
        <x:sz val="12"/>
        <x:color rgb="FF000000"/>
        <x:rFont val="Times New Roman"/>
        <x:family val="1"/>
      </x:rPr>
      <x:t xml:space="preserve"> Tỉ lệ % hoàn thành các chỉ tiêu theo kế hoạch
</x:t>
    </x:r>
    <x:r>
      <x:rPr>
        <x:b/>
        <x:vertAlign val="baseline"/>
        <x:sz val="12"/>
        <x:color rgb="FF000000"/>
        <x:rFont val="Times New Roman"/>
        <x:family val="1"/>
      </x:rPr>
      <x:t>2. Cách tính:</x:t>
    </x:r>
    <x:r>
      <x:rPr>
        <x:vertAlign val="baseline"/>
        <x:sz val="12"/>
        <x:color rgb="FF000000"/>
        <x:rFont val="Times New Roman"/>
        <x:family val="1"/>
      </x:rPr>
      <x:t xml:space="preserve"> Tỷ lệ % hoàn thành kế hoạch x tỷ trọng từng hạng mục
</x:t>
    </x:r>
    <x:r>
      <x:rPr>
        <x:b/>
        <x:vertAlign val="baseline"/>
        <x:sz val="12"/>
        <x:color rgb="FF000000"/>
        <x:rFont val="Times New Roman"/>
        <x:family val="1"/>
      </x:rPr>
      <x:t xml:space="preserve">3. Phương pháp đánh giá: 
- </x:t>
    </x:r>
    <x:r>
      <x:rPr>
        <x:vertAlign val="baseline"/>
        <x:sz val="12"/>
        <x:color rgb="FF000000"/>
        <x:rFont val="Times New Roman"/>
        <x:family val="1"/>
      </x:rPr>
      <x:t xml:space="preserve">Căn cứ theo kết quả thực hiện so với kế hoạch 
- Căn cứ kết quả nghiệm thu hạng mục BTS, Ngầm, CĐBR, Củng cố phải đạt tổi thiểu 90% thì với được tính điểm </x:t>
    </x:r>
    <x:r>
      <x:rPr>
        <x:i/>
        <x:vertAlign val="baseline"/>
        <x:sz val="12"/>
        <x:color rgb="FF000000"/>
        <x:rFont val="Times New Roman"/>
        <x:family val="1"/>
      </x:rPr>
      <x:t>(điều kiện bắt buộc)</x:t>
    </x:r>
    <x:r>
      <x:rPr>
        <x:vertAlign val="baseline"/>
        <x:sz val="12"/>
        <x:color rgb="FF000000"/>
        <x:rFont val="Times New Roman"/>
        <x:family val="1"/>
      </x:rPr>
      <x:t xml:space="preserve">
</x:t>
    </x:r>
    <x:r>
      <x:rPr>
        <x:b/>
        <x:vertAlign val="baseline"/>
        <x:sz val="12"/>
        <x:color rgb="FF000000"/>
        <x:rFont val="Times New Roman"/>
        <x:family val="1"/>
      </x:rPr>
      <x:t xml:space="preserve">4. Hình thức báo cáo: </x:t>
    </x:r>
    <x:r>
      <x:rPr>
        <x:vertAlign val="baseline"/>
        <x:sz val="12"/>
        <x:color rgb="FF000000"/>
        <x:rFont val="Times New Roman"/>
        <x:family val="1"/>
      </x:rPr>
      <x:t>Thông qua biên bản bàn giao hoàn thành công việc.</x:t>
    </x:r>
  </x:si>
  <x:si>
    <x:t>Nghiệm thu ĐVSD công trình</x:t>
  </x:si>
  <x:si>
    <x:t>Hoàn thành ký đối soát vật tư A cấp (4A)</x:t>
  </x:si>
  <x:si>
    <x:t>Bàn giao tài sản công trình</x:t>
  </x:si>
  <x:si>
    <x:r>
      <x:rPr>
        <x:b/>
        <x:vertAlign val="baseline"/>
        <x:sz val="12"/>
        <x:color rgb="FF000000"/>
        <x:rFont val="Times New Roman"/>
        <x:family val="1"/>
      </x:rPr>
      <x:t>1. Định nghĩa:</x:t>
    </x:r>
    <x:r>
      <x:rPr>
        <x:vertAlign val="baseline"/>
        <x:sz val="12"/>
        <x:color rgb="FF000000"/>
        <x:rFont val="Times New Roman"/>
        <x:family val="1"/>
      </x:rPr>
      <x:t xml:space="preserve"> Tỉ lệ % hoàn thành các chỉ tiêu theo kế hoạch
</x:t>
    </x:r>
    <x:r>
      <x:rPr>
        <x:b/>
        <x:vertAlign val="baseline"/>
        <x:sz val="12"/>
        <x:color rgb="FF000000"/>
        <x:rFont val="Times New Roman"/>
        <x:family val="1"/>
      </x:rPr>
      <x:t>2. Cách tính:</x:t>
    </x:r>
    <x:r>
      <x:rPr>
        <x:vertAlign val="baseline"/>
        <x:sz val="12"/>
        <x:color rgb="FF000000"/>
        <x:rFont val="Times New Roman"/>
        <x:family val="1"/>
      </x:rPr>
      <x:t xml:space="preserve"> 
- Điểm nề nếp và khắc phục lỗi: % hoàn thành kế hoạch x tỷ trọng từng hạng mục
- Điểm kiểm tra KPI lỗi: Không đạt KPI =&gt; Trừ hết quỹ điểm
</x:t>
    </x:r>
    <x:r>
      <x:rPr>
        <x:b/>
        <x:vertAlign val="baseline"/>
        <x:sz val="12"/>
        <x:color rgb="FF000000"/>
        <x:rFont val="Times New Roman"/>
        <x:family val="1"/>
      </x:rPr>
      <x:t xml:space="preserve">3. Phương pháp đánh giá: </x:t>
    </x:r>
    <x:r>
      <x:rPr>
        <x:vertAlign val="baseline"/>
        <x:sz val="12"/>
        <x:color rgb="FF000000"/>
        <x:rFont val="Times New Roman"/>
        <x:family val="1"/>
      </x:rPr>
      <x:t xml:space="preserve">Căn cứ theo kết quả thực hiện so với kế hoạch 
</x:t>
    </x:r>
    <x:r>
      <x:rPr>
        <x:b/>
        <x:vertAlign val="baseline"/>
        <x:sz val="12"/>
        <x:color rgb="FF000000"/>
        <x:rFont val="Times New Roman"/>
        <x:family val="1"/>
      </x:rPr>
      <x:t xml:space="preserve">4. Hình thức báo cáo: </x:t>
    </x:r>
    <x:r>
      <x:rPr>
        <x:vertAlign val="baseline"/>
        <x:sz val="12"/>
        <x:color rgb="FF000000"/>
        <x:rFont val="Times New Roman"/>
        <x:family val="1"/>
      </x:rPr>
      <x:t>Thông qua phần mềm và biên bản kiểm tra</x:t>
    </x:r>
  </x:si>
  <x:si>
    <x:t>Nề nếp hình ảnh: Giao NVGS; Cập nhật, phê duyệt hình ảnh trên PM QLCL</x:t>
  </x:si>
  <x:si>
    <x:t>Khắc phục lỗi công trình theo KH</x:t>
  </x:si>
  <x:si>
    <x:t>KPI kiểm tra trực tiếp:
- Lỗi nghiêm trọng ≤ 5%/tổng số công trình kiểm tra.
- Lỗi thông thường ≤ 10 %/tổng số công trình kiểm tra</x:t>
  </x:si>
  <x:si>
    <x:t>- Lỗi NT ≤ 5%
- Lỗi TT ≤ 10 %</x:t>
  </x:si>
  <x:si>
    <x:t>- Lỗi NT ≤ 4%
- Lỗi TT ≤ 8 %</x:t>
  </x:si>
  <x:si>
    <x:t>- Lỗi NT ≤ 3%
- Lỗi TT ≤ 5%</x:t>
  </x:si>
  <x:si>
    <x:r>
      <x:rPr>
        <x:b/>
        <x:vertAlign val="baseline"/>
        <x:sz val="12"/>
        <x:color rgb="FF000000"/>
        <x:rFont val="Times New Roman"/>
        <x:family val="1"/>
      </x:rPr>
      <x:t>1. Định nghĩa:</x:t>
    </x:r>
    <x:r>
      <x:rPr>
        <x:vertAlign val="baseline"/>
        <x:sz val="12"/>
        <x:color rgb="FF000000"/>
        <x:rFont val="Times New Roman"/>
        <x:family val="1"/>
      </x:rPr>
      <x:t xml:space="preserve"> Tỉ lệ % hoàn thành các chỉ tiêu theo kế hoạch
</x:t>
    </x:r>
    <x:r>
      <x:rPr>
        <x:b/>
        <x:vertAlign val="baseline"/>
        <x:sz val="12"/>
        <x:color rgb="FF000000"/>
        <x:rFont val="Times New Roman"/>
        <x:family val="1"/>
      </x:rPr>
      <x:t>2. Cách tính:</x:t>
    </x:r>
    <x:r>
      <x:rPr>
        <x:vertAlign val="baseline"/>
        <x:sz val="12"/>
        <x:color rgb="FF000000"/>
        <x:rFont val="Times New Roman"/>
        <x:family val="1"/>
      </x:rPr>
      <x:t xml:space="preserve"> Tỷ lệ % hoàn thành kế hoạch x tỷ trọng từng hạng mục
</x:t>
    </x:r>
    <x:r>
      <x:rPr>
        <x:b/>
        <x:vertAlign val="baseline"/>
        <x:sz val="12"/>
        <x:color rgb="FF000000"/>
        <x:rFont val="Times New Roman"/>
        <x:family val="1"/>
      </x:rPr>
      <x:t xml:space="preserve">3. Phương pháp đánh giá: </x:t>
    </x:r>
    <x:r>
      <x:rPr>
        <x:vertAlign val="baseline"/>
        <x:sz val="12"/>
        <x:color rgb="FF000000"/>
        <x:rFont val="Times New Roman"/>
        <x:family val="1"/>
      </x:rPr>
      <x:t xml:space="preserve">Căn cứ theo kết quả thực hiện so với kế hoạch 
</x:t>
    </x:r>
    <x:r>
      <x:rPr>
        <x:b/>
        <x:vertAlign val="baseline"/>
        <x:sz val="12"/>
        <x:color rgb="FF000000"/>
        <x:rFont val="Times New Roman"/>
        <x:family val="1"/>
      </x:rPr>
      <x:t xml:space="preserve">4. Hình thức báo cáo: </x:t>
    </x:r>
    <x:r>
      <x:rPr>
        <x:vertAlign val="baseline"/>
        <x:sz val="12"/>
        <x:color rgb="FF000000"/>
        <x:rFont val="Times New Roman"/>
        <x:family val="1"/>
      </x:rPr>
      <x:t>Thông qua biên bản bàn giao hoàn thành công việc.</x:t>
    </x:r>
  </x:si>
  <x:si>
    <x:t>Củng cố cột BTS</x:t>
  </x:si>
  <x:si>
    <x:t>Củng cố nhà trạm BTS</x:t>
  </x:si>
  <x:si>
    <x:t>Củng cố mạng CĐBR</x:t>
  </x:si>
  <x:si>
    <x:r>
      <x:rPr>
        <x:b/>
        <x:vertAlign val="baseline"/>
        <x:sz val="12"/>
        <x:color rgb="FF000000"/>
        <x:rFont val="Times New Roman"/>
        <x:family val="1"/>
      </x:rPr>
      <x:t xml:space="preserve">Quyết toán công trình/thanh lý hợp đồng </x:t>
    </x:r>
    <x:r>
      <x:rPr>
        <x:i/>
        <x:vertAlign val="baseline"/>
        <x:sz val="12"/>
        <x:color rgb="FF000000"/>
        <x:rFont val="Times New Roman"/>
        <x:family val="1"/>
      </x:rPr>
      <x:t>(bao gồm hợp đồng VTNet và hợp đồng ủy quyền)</x:t>
    </x:r>
  </x:si>
  <x:si>
    <x:r>
      <x:rPr>
        <x:b/>
        <x:vertAlign val="baseline"/>
        <x:sz val="12"/>
        <x:color rgb="FF000000"/>
        <x:rFont val="Times New Roman"/>
        <x:family val="1"/>
      </x:rPr>
      <x:t>1. Định nghĩa:</x:t>
    </x:r>
    <x:r>
      <x:rPr>
        <x:vertAlign val="baseline"/>
        <x:sz val="12"/>
        <x:color rgb="FF000000"/>
        <x:rFont val="Times New Roman"/>
        <x:family val="1"/>
      </x:rPr>
      <x:t xml:space="preserve"> Tỉ lệ % hoàn thành các chỉ tiêu theo kế hoạch
</x:t>
    </x:r>
    <x:r>
      <x:rPr>
        <x:b/>
        <x:vertAlign val="baseline"/>
        <x:sz val="12"/>
        <x:color rgb="FF000000"/>
        <x:rFont val="Times New Roman"/>
        <x:family val="1"/>
      </x:rPr>
      <x:t>2. Cách tính:</x:t>
    </x:r>
    <x:r>
      <x:rPr>
        <x:vertAlign val="baseline"/>
        <x:sz val="12"/>
        <x:color rgb="FF000000"/>
        <x:rFont val="Times New Roman"/>
        <x:family val="1"/>
      </x:rPr>
      <x:t xml:space="preserve"> Tỷ lệ % hoàn thành kế hoạch x tỷ trọng từng hạng mục
</x:t>
    </x:r>
    <x:r>
      <x:rPr>
        <x:b/>
        <x:vertAlign val="baseline"/>
        <x:sz val="12"/>
        <x:color rgb="FF000000"/>
        <x:rFont val="Times New Roman"/>
        <x:family val="1"/>
      </x:rPr>
      <x:t xml:space="preserve">3. Phương pháp đánh giá: </x:t>
    </x:r>
    <x:r>
      <x:rPr>
        <x:vertAlign val="baseline"/>
        <x:sz val="12"/>
        <x:color rgb="FF000000"/>
        <x:rFont val="Times New Roman"/>
        <x:family val="1"/>
      </x:rPr>
      <x:t xml:space="preserve">Căn cứ theo kết quả thực hiện so với kế hoạch 
</x:t>
    </x:r>
    <x:r>
      <x:rPr>
        <x:b/>
        <x:vertAlign val="baseline"/>
        <x:sz val="12"/>
        <x:color rgb="FF000000"/>
        <x:rFont val="Times New Roman"/>
        <x:family val="1"/>
      </x:rPr>
      <x:t xml:space="preserve">4. Hình thức báo cáo: </x:t>
    </x:r>
    <x:r>
      <x:rPr>
        <x:vertAlign val="baseline"/>
        <x:sz val="12"/>
        <x:color rgb="FF000000"/>
        <x:rFont val="Times New Roman"/>
        <x:family val="1"/>
      </x:rPr>
      <x:t>HĐ được thanh lý, Công trình được quyết toán trên PM tài chính ERP 2.0; Hồ sơ quyết toán gửi về Ban QLDAHTVT; Hồ sơ và bảng tổng hợp quyết toán vật tư trên PM tài chính ERP 2.0</x:t>
    </x:r>
  </x:si>
  <x:si>
    <x:t>P.QT - BQLDAHTVT</x:t>
  </x:si>
  <x:si>
    <x:t>BQLDAHTVT chấm trực tiếp và gửi TTKTKV ký ban hành</x:t>
  </x:si>
  <x:si>
    <x:t>Phunv</x:t>
  </x:si>
  <x:si>
    <x:t>Quyết toán, xử lý công nợ vật tư công trình và thanh lý hợp đồng ủy quyền</x:t>
  </x:si>
  <x:si>
    <x:t>Quyết toán công trình theo KPI 2 tháng tính từ khi công trình được NTĐVSD</x:t>
  </x:si>
  <x:si>
    <x:t>Gửi hồ sơ hoàn công quyết toán công trình/hợp đồng ủy quyền đã được quyết toán trên PM ERP 2.0 về BQLDAHTVT</x:t>
  </x:si>
  <x:si>
    <x:t>Quản lý chi phí (thanh quyết toán chi phí)</x:t>
  </x:si>
  <x:si>
    <x:t>Đạt điểm = Điểm theo KPI * % hoàn thành * tỉ trọng từng chỉ tiêu</x:t>
  </x:si>
  <x:si>
    <x:t>P.QLCP - BQLDAHTVT</x:t>
  </x:si>
  <x:si>
    <x:t>Bichngoc</x:t>
  </x:si>
  <x:si>
    <x:t>bichngoc</x:t>
  </x:si>
  <x:si>
    <x:t>Kết quả quyết toán hợp đồng sử dụng nguồn chi phí VHKT tại tỉnh</x:t>
  </x:si>
  <x:si>
    <x:r>
      <x:rPr>
        <x:b/>
        <x:vertAlign val="baseline"/>
        <x:sz val="12"/>
        <x:color rgb="FF000000"/>
        <x:rFont val="Times New Roman"/>
        <x:family val="1"/>
      </x:rPr>
      <x:t xml:space="preserve">1. Cách tính: </x:t>
    </x:r>
    <x:r>
      <x:rPr>
        <x:vertAlign val="baseline"/>
        <x:sz val="12"/>
        <x:color rgb="FF000000"/>
        <x:rFont val="Times New Roman"/>
        <x:family val="1"/>
      </x:rPr>
      <x:t xml:space="preserve">Theo kết quả báo cáo của tỉnh hoặc kết quả trên phần mềm ERP
</x:t>
    </x:r>
    <x:r>
      <x:rPr>
        <x:b/>
        <x:vertAlign val="baseline"/>
        <x:sz val="12"/>
        <x:color rgb="FF000000"/>
        <x:rFont val="Times New Roman"/>
        <x:family val="1"/>
      </x:rPr>
      <x:t>2. Phương pháp đánh giá:</x:t>
    </x:r>
    <x:r>
      <x:rPr>
        <x:vertAlign val="baseline"/>
        <x:sz val="12"/>
        <x:color rgb="FF000000"/>
        <x:rFont val="Times New Roman"/>
        <x:family val="1"/>
      </x:rPr>
      <x:t xml:space="preserve"> Số lượng hợp đồng hoàn thành quyết toán trong tháng/số lượng hợp đồng đến hạn quyết toán được giao : KPI quyết toán hợp đồng chi phí = A/B * 100%
</x:t>
    </x:r>
    <x:r>
      <x:rPr>
        <x:i/>
        <x:vertAlign val="baseline"/>
        <x:sz val="12"/>
        <x:color rgb="FF000000"/>
        <x:rFont val="Times New Roman"/>
        <x:family val="1"/>
      </x:rPr>
      <x:t xml:space="preserve">A: Số lượng hợp đồng hoàn thành quyết toán
B: Số lượng hợp đồng đến hạn quyết toán</x:t>
    </x:r>
  </x:si>
  <x:si>
    <x:t>Tuantn1</x:t>
  </x:si>
  <x:si>
    <x:t>Đánh giá kết quả đàm phán trạm gia hạn thuê vị trí</x:t>
  </x:si>
  <x:si>
    <x:r>
      <x:rPr>
        <x:b/>
        <x:vertAlign val="baseline"/>
        <x:sz val="12"/>
        <x:color rgb="FF000000"/>
        <x:rFont val="Times New Roman"/>
        <x:family val="1"/>
      </x:rPr>
      <x:t xml:space="preserve">1. Cách tính: </x:t>
    </x:r>
    <x:r>
      <x:rPr>
        <x:vertAlign val="baseline"/>
        <x:sz val="12"/>
        <x:color rgb="FF000000"/>
        <x:rFont val="Times New Roman"/>
        <x:family val="1"/>
      </x:rPr>
      <x:t xml:space="preserve">Theo kết quả báo cáo của tỉnh hoặc kết quả trên phần mềm 2.0.
</x:t>
    </x:r>
    <x:r>
      <x:rPr>
        <x:b/>
        <x:vertAlign val="baseline"/>
        <x:sz val="12"/>
        <x:color rgb="FF000000"/>
        <x:rFont val="Times New Roman"/>
        <x:family val="1"/>
      </x:rPr>
      <x:t>2. Phương pháp đánh giá:</x:t>
    </x:r>
    <x:r>
      <x:rPr>
        <x:vertAlign val="baseline"/>
        <x:sz val="12"/>
        <x:color rgb="FF000000"/>
        <x:rFont val="Times New Roman"/>
        <x:family val="1"/>
      </x:rPr>
      <x:t xml:space="preserve"> Trạm hoàn thành ký hợp đồng gia hạn trước 3 tháng khi hợp đồng hết hạn: KPI ký hợp đồng gia hạn = A/B * 100%
</x:t>
    </x:r>
    <x:r>
      <x:rPr>
        <x:i/>
        <x:vertAlign val="baseline"/>
        <x:sz val="12"/>
        <x:color rgb="FF000000"/>
        <x:rFont val="Times New Roman"/>
        <x:family val="1"/>
      </x:rPr>
      <x:t xml:space="preserve">A: Số trạm hoàn thành ký hợp đồng
B: Số trạm giao ký hợp đồng của tháng N</x:t>
    </x:r>
  </x:si>
  <x:si>
    <x:t>Kết quả sử dụng chi phí VHKT theo tháng</x:t>
  </x:si>
  <x:si>
    <x:r>
      <x:rPr>
        <x:b/>
        <x:vertAlign val="baseline"/>
        <x:sz val="12"/>
        <x:color rgb="FF000000"/>
        <x:rFont val="Times New Roman"/>
        <x:family val="1"/>
      </x:rPr>
      <x:t xml:space="preserve">1. Cách tính: </x:t>
    </x:r>
    <x:r>
      <x:rPr>
        <x:vertAlign val="baseline"/>
        <x:sz val="12"/>
        <x:color rgb="FF000000"/>
        <x:rFont val="Times New Roman"/>
        <x:family val="1"/>
      </x:rPr>
      <x:t xml:space="preserve">Theo kết quả ghi nhận thực hiện chi phí tháng trên hệ thống ERP vào ngày 3 hàng tháng.
</x:t>
    </x:r>
    <x:r>
      <x:rPr>
        <x:b/>
        <x:vertAlign val="baseline"/>
        <x:sz val="12"/>
        <x:color rgb="FF000000"/>
        <x:rFont val="Times New Roman"/>
        <x:family val="1"/>
      </x:rPr>
      <x:t>2. Phương pháp đánh giá:</x:t>
    </x:r>
    <x:r>
      <x:rPr>
        <x:vertAlign val="baseline"/>
        <x:sz val="12"/>
        <x:color rgb="FF000000"/>
        <x:rFont val="Times New Roman"/>
        <x:family val="1"/>
      </x:rPr>
      <x:t xml:space="preserve"> Kết quả thực hiện chi phí so với Kế hoạch chi phí tháng nằm trong khoảng từ 90% đến 100%: KPI thực hiện chi phí tháng = A/B * 100%
</x:t>
    </x:r>
    <x:r>
      <x:rPr>
        <x:i/>
        <x:vertAlign val="baseline"/>
        <x:sz val="12"/>
        <x:color rgb="FF000000"/>
        <x:rFont val="Times New Roman"/>
        <x:family val="1"/>
      </x:rPr>
      <x:t xml:space="preserve">A: Kết quả thực hiện chi phí tháng N được ghi nhận trên ERP
B: Số chi phí theo kế hoạch đã được TGĐ TCT giao tháng  N</x:t>
    </x:r>
  </x:si>
  <x:si>
    <x:t>Tungtt17</x:t>
  </x:si>
  <x:si>
    <x:r>
      <x:rPr>
        <x:b/>
        <x:vertAlign val="baseline"/>
        <x:sz val="12"/>
        <x:color rgb="FF000000"/>
        <x:rFont val="Times New Roman"/>
        <x:family val="1"/>
      </x:rPr>
      <x:t xml:space="preserve">1. Cách tính: </x:t>
    </x:r>
    <x:r>
      <x:rPr>
        <x:vertAlign val="baseline"/>
        <x:sz val="12"/>
        <x:color rgb="FF000000"/>
        <x:rFont val="Times New Roman"/>
        <x:family val="1"/>
      </x:rPr>
      <x:t xml:space="preserve">Theo kết quả ghi nhận trên PM SAP và NON SAP
</x:t>
    </x:r>
    <x:r>
      <x:rPr>
        <x:b/>
        <x:vertAlign val="baseline"/>
        <x:sz val="12"/>
        <x:color rgb="FF000000"/>
        <x:rFont val="Times New Roman"/>
        <x:family val="1"/>
      </x:rPr>
      <x:t>2. Phương pháp đánh giá:</x:t>
    </x:r>
    <x:r>
      <x:rPr>
        <x:vertAlign val="baseline"/>
        <x:sz val="12"/>
        <x:color rgb="FF000000"/>
        <x:rFont val="Times New Roman"/>
        <x:family val="1"/>
      </x:rPr>
      <x:t xml:space="preserve"> Kết quả thực hiện /Chỉ tiêu tháng/quý = A/B
</x:t>
    </x:r>
    <x:r>
      <x:rPr>
        <x:i/>
        <x:vertAlign val="baseline"/>
        <x:sz val="12"/>
        <x:color rgb="FF000000"/>
        <x:rFont val="Times New Roman"/>
        <x:family val="1"/>
      </x:rPr>
      <x:t xml:space="preserve">A: Kết quả thực hiện trên PM NON SAP (tính các hồ sơ đã được ký)
B: KH giao chỉ tiêu</x:t>
    </x:r>
  </x:si>
  <x:si>
    <x:t>Chỉ tiêu lập HSHC điện tử từ BBBG MB đến các biên bản trong thi công, BB hiện trường công trình (trừ BBNT ĐVSD, BC4A)</x:t>
  </x:si>
  <x:si>
    <x:t>Chỉ tiêu BBNT ĐVSD</x:t>
  </x:si>
  <x:si>
    <x:t>Chỉ tiêu BC4A</x:t>
  </x:si>
  <x:si>
    <x:t>Kết quả thực hiện đánh giá theo tỷ lệ KPI hoàn thành:
- Dưới 5 KPI đạt: 0 điểm
- 5-6/10 KPI đạt: 0,3 điểm
- 7-8/10 KPI đạt: 0,4 điểm
-9-10/10 KPI đạt: 0.5 điểm</x:t>
  </x:si>
  <x:si>
    <x:t>liendtp</x:t>
  </x:si>
  <x:si>
    <x:t xml:space="preserve">Tỷ lệ công trình BTS phát sóng trong 06 tháng </x:t>
  </x:si>
  <x:si>
    <x:t>Tỷ lệ CT phát sóng trong 6 tháng = A/B*100%
B: Là số công trình đến hạn hoàn thành phát sóng trong 6 tháng mà chưa hoàn thành phát sóng.
A: Là các công trình thuộc danh sách B và đã hoàn thành phát sóng trong tháng thống kê báo cáo.
- Điều kiện tính: Từ thời điểm xuất VTTB vào công trình lần đầu tiên hoặc tính thời điểm khởi công và CT còn tồn VTTB chưa đưa vào sử dụng
- Giảm trừ các trường hợp vướng khách quan:
+ Do phát sinh dân kiện chưa giải quyết được, yêu cầu có bằng chứng biên bản của Viettel Tỉnh/TP đề xuất.
+ Do phát sinh phải viết dự án cải tạo điện, TD ngầm. Khi triển khai cáp TD ngầm, trồng cột treo cáp cần thời gian xin phép đơn vị quản lý giao thông…
+ Do một số trạm vướng VTTB không đồng bộ cùng 1 dự án dẫn đến phải bổ sung thêm các CT khác để đồng bộ lắp cho 1 trạm.
+ Do không có VTTB: Đầu tư mua sắm, dồn dịch VTTB tồn kho chưa kịp tiến độ.
+ Do các CT vướng bất khả kháng (có TTr/BC được duyệt)</x:t>
  </x:si>
  <x:si>
    <x:t xml:space="preserve">Tỷ lệ công trình GPON hoàn thành thi công trong 04 tháng </x:t>
  </x:si>
  <x:si>
    <x:t>Tỷ lệ CT GPON ngoại vi hoàn thành thi công trong 04 tháng = A/B*100%
B: Là số công trình đến hạn hoàn thành thi công trong 04 tháng mà chưa hoàn thành chuyển trạng thái (hoàn thành).
A: Là các công trình thuộc danh sách B và đã hoàn thành thi công trong tháng thống kê báo cáo đã chuyển trạng thái (hoàn thành).
- Điều kiện tính: Từ thời điểm khởi công công trình và CT còn tồn VTTB chưa đưa vào sử dụng
- Giảm trừ các trường hợp vướng khách quan:
+ Do Điện lực tạm dừng triển khai sửa chữa cột, đường diện, chỉnh trang cáp, xử lý an toàn điện hoặc chưa cấp phép,
+ Do chưa được cấp phép của các cơ quan ban ngành: Cục QL Đường bộ, Sở giao thông, Quản lý đường sắt, Phòng Quản lý đô thị các tỉnh… và Điện lực.
+ Do một số tuyến cáp trồng bổ sung cột phải xin cấp phép các đơn vị quản lý giao thông, UBND tỉnh, huyện, xã, thôn xóm để trồng cột điện mới hoặc làm cống bể ngầm cấp tỉnh, TP, quận, huyện, phường, xã, tổ dân phố... cho phép triển khai tiếp.
+ Do có đoạn chờ giải phóng mặt bằng mới thi công tiếp được/quy hoạch mở đường...
+ Do một số trạm vướng VTTB không đồng bộ cùng 1 dự án dẫn đến phải bổ sung thêm các CT khác để đồng bộ lắp cho công trình.
+ Do các công trình vướng bất khả kháng đã có tờ trình được duyệt</x:t>
  </x:si>
  <x:si>
    <x:t xml:space="preserve">Tỷ lệ tuyến ngầm hoàn thành hàn nối ĐVSD trong 09 tháng </x:t>
  </x:si>
  <x:si>
    <x:t>Tỷ lệ tuyến ngầm hoàn thành hàn nối ĐVSD trong 09 tháng = A/B*100%
B: Là số công trình đến hạn đến hạn hoàn thành hàn nối ĐVSD trong 09 tháng mà chưa hoàn thành hàn nối ĐVSD.
A: Là các công trình thuộc danh sách B và đã hoàn thành hàn nối ĐVSD trong tháng thống kê báo cáo.
- Điều kiện tính: Từ thời điểm khởi công công trình và CT còn tồn VTTB chưa đưa vào sử dụng.
- Giảm trừ các trường hợp vướng khách quan:
+ Do tuyến ngầm vào đoạn đường sửa chữa, nâng cấp, mở rộng của đơn vị quan lý giao thông, đơn vị quản lý đường sắt, cầu vượt sông....
- Do có đoạn chờ giải phóng mặt bằng mới thi công tiếp được/quy hoạch mở đường...yêu 
- Do chưa được cấp phép của các cơ quan ban ngành: Cục QL Đường bộ, Sở giao thông, Quản lý đường sắt, Phòng Quản lý đô thị các tỉnh… và Điện lực.
- Do không có VTTB: Đầu tư mua sắm, dồn dịch VTTB tồn kho chưa kịp tiến độ.
- Do các CT vướng bất khả kháng (có TTr/BC được duyệt)</x:t>
  </x:si>
  <x:si>
    <x:t xml:space="preserve">Tỷ lệ tuyến ngầm hoàn thành hàn nối ĐVSD trong 12 tháng </x:t>
  </x:si>
  <x:si>
    <x:t>Tỷ lệ tuyến ngầm hoàn thành hàn nối ĐVSD trong 12 tháng = A/B*100
B: Là lũy kế số công trình đến hạn đến hạn hoàn thành hàn nối ĐVSD trong 12 tháng mà chưa hoàn thành hàn nối ĐVSD.
A: Là các công trình thuộc danh sách B và đã hoàn thành hàn nối ĐVSD trong tháng thống kê báo cáo.
Mục tiêu sau 12 tháng, không tồn công trình đã khởi công chưa ĐVSD.
- Điều kiện tính: Từ thời điểm khởi công công trình và CT còn tồn VTTB chưa đưa vào sử dụng.
- Giảm trừ các trường hợp vướng khách quan:
+ Do tuyến ngầm vào đoạn đường sửa chữa, nâng cấp, mở rộng của đơn vị quan lý giao thông, đơn vị quản lý đường sắt, cầu vượt sông....
- Do có đoạn chờ giải phóng mặt bằng mới thi công tiếp được/quy hoạch mở đường...yêu 
- Do chưa được cấp phép của các cơ quan ban ngành: Cục QL Đường bộ, Sở giao thông, Quản lý đường sắt, Phòng Quản lý đô thị các tỉnh… và Điện lực.
- Do không có VTTB: Đầu tư mua sắm, dồn dịch VTTB tồn kho chưa kịp tiến độ.
- Do các CT vướng bất khả kháng (có TTr/BC được duyệt)</x:t>
  </x:si>
  <x:si>
    <x:t>Tỷ lệ  công trình phụ trợ_HT thi công trong 4 tháng</x:t>
  </x:si>
  <x:si>
    <x:t>KPI Phụ trợ_ HT = (A/B)*100%
B: Là số công trình phụ trợ đến hạn hoàn thành thi công trong 04 tháng mà chưa hoàn thành thi công.
A: Là các công trình phụ trợ thuộc danh sách B và đã hoàn thành thi công trong tháng thống kê báo cáo.
Mục tiêu sau 04 tháng, không tồn CT đã khởi công chưa hoàn thành.
Điều kiện tính: Tính từ thời điểm CT đã xuất VTTB,  tính thời điểm khởi công hoặc tính thời điểm xuất vật tư lần đầu tiên cho công trình.
- Giảm trừ các trường hợp vướng khách quan:
- Do phát sinh dân kiện chưa giải quyết được
- Do phát sinh phải viết dự án cải tạo điện, TD ngầm, khi triển khai cáp TD ngầm, trồng cột treo cáp  phải xin phép đơn vị quản lý giao thông...mất nhiều thời gian
- Do một số trạm VTTB không đồng bộ cùng 1 dự án dẫn đến phải bổ sung thêm các CT khác để đồng bộ lắp cho 1 trạm
- Do không có VTTB: Đầu tư mua sắm, dồn dịch VTTB tồn kho chưa kịp tiến độ.
- Do các CT vướng bất khả kháng (có TTr/BC được duyệt)</x:t>
  </x:si>
  <x:si>
    <x:t xml:space="preserve">Tỷ lệ tỷ lệ công trình mắc lỗi nghiêm trọng </x:t>
  </x:si>
  <x:si>
    <x:t>KPI KSCL_Lỗi nghiêm trọng: = (A/B)*100%
A = Số công trình kiểm tra có lỗi nghiêm trọng theo quy định mã lỗi tại phụ lục OLA/WLA Quy trình phạt hợp đồng.
B = Tổng số công trình kiểm tra thi công trong tháng.</x:t>
  </x:si>
  <x:si>
    <x:t>NTĐVSD: Tỷ lệ công trình nghiệm thu ĐVSD đúng hạn</x:t>
  </x:si>
  <x:si>
    <x:t>KPI NTĐVSD = (A/B)*100%
A = Số công trình được NT ĐVSD trên PM vòng 30 ngày từ khi  hoàn thành thi công (BTS  hoàn thành phát sóng và Công trình khác hoàn thành thi công).
B = Tổng số công trình đủ điều kiện giao nghiệm thu ĐVSD trong tháng.
- Phạm vi loại CT: BTS vị trí, truyền dẫn treo, GPON và ngầm hóa. Không bao gồm  các CT thực hiện theo kế hoạch lớn/chiến dịch như thêm cell, giải pháp cơ điện…: Thi công số lượng trạm ít, các nhà thầu gom lại nghiệm thu tổng thể khi xong kế hoạch.
- Giảm trừ các trường hợp vướng khách quan:
+ Do các CT không đủ nguồn VTTB trên SAP để thực hiện NT VTTB A cấp. Do phải thực hiện điều chuyển các VTTB không cùng thuộc tính dự án trên SAP
+ Do liên quan phần mềm</x:t>
  </x:si>
  <x:si>
    <x:t>BGTS _CT_đúng hạn: Tỷ lệ công trình BGTS đúng hạn</x:t>
  </x:si>
  <x:si>
    <x:t>KPI BGTS _CT_đúng hạn = (A/B)*100%
A = Số công trình được BGTS trên phần mềm trong vòng 35 ngày từ khi hoàn thành nghiệm thu ĐVSD.
B = Tổng số công trình thi công hoàn thành nghiệm thu ĐVSD cần hoàn thành BGTS trong tháng
- Giảm trừ các trường hợp vướng khách quan do phần mềm</x:t>
  </x:si>
  <x:si>
    <x:t>BGTS_CT_tồn: Tỷ lệ công trình BGTS đúng hạn</x:t>
  </x:si>
  <x:si>
    <x:t>KPI BGTS_CT_tồn  = (A/B)*100%
A = Số công trình được BGTS trên phần mềm vòng 45 ngày từ khi hoàn thành nghiệm thu ĐVSD.
B = Tổng số lũy kế công trình thi công hoàn thành nghiệm thu ĐVSD cần hoàn thành BGTS trong tháng.
- Giảm trừ các trường hợp vướng khách quan do phần mềm</x:t>
  </x:si>
  <x:si>
    <x:t>Tỷ lệ hoàn thành khắc phục lỗi thông thường sau khi đã nghiệm thu phát sóng trạm BTS mới</x:t>
  </x:si>
  <x:si>
    <x:t>KPI KSCL_Lỗi thông thường = (A/B)*100%
A = Số WO kiểm tra hoàn thành khắc phục lỗi thông thường trong vòng 4 tháng.
B = Tổng số WO kiểm tra thi công có lỗi thông thường trong 4 tháng.
- Giảm trừ các trường hợp vướng khách quan:
+ Do phát sinh dân kiện chưa giải quyết được.
+ Do không có VTTB: Đầu tư mua sắm, dồn dịch VTTB tồn kho chưa kịp tiến độ.
+ Do các CT vướng bất khả kháng (có TTr/BC được duyệt).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</x:si>
</x:sst>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43" formatCode="_(* #,##0.00_);_(* \(#,##0.00\);_(* &quot;-&quot;??_);_(@_)"/>
    <x:numFmt numFmtId="164" formatCode="0.0%"/>
  </x:numFmts>
  <x:fonts count="47" x14ac:knownFonts="1">
    <x:font>
      <x:sz val="11"/>
      <x:color theme="1"/>
      <x:name val="Calibri"/>
      <x:family val="2"/>
      <x:scheme val="minor"/>
    </x:font>
    <x:font>
      <x:sz val="11"/>
      <x:color theme="1"/>
      <x:name val="Calibri"/>
      <x:family val="2"/>
      <x:charset val="163"/>
      <x:scheme val="minor"/>
    </x:font>
    <x:font>
      <x:sz val="11"/>
      <x:color theme="1"/>
      <x:name val="Calibri"/>
      <x:family val="2"/>
      <x:scheme val="minor"/>
    </x:font>
    <x:font>
      <x:b/>
      <x:sz val="14"/>
      <x:name val="Times New Roman"/>
      <x:family val="1"/>
    </x:font>
    <x:font>
      <x:sz val="11"/>
      <x:name val="Times New Roman"/>
      <x:family val="1"/>
    </x:font>
    <x:font>
      <x:i/>
      <x:sz val="9"/>
      <x:name val="Times New Roman"/>
      <x:family val="1"/>
    </x:font>
    <x:font>
      <x:b/>
      <x:i/>
      <x:sz val="9"/>
      <x:name val="Times New Roman"/>
      <x:family val="1"/>
    </x:font>
    <x:font>
      <x:b/>
      <x:sz val="10"/>
      <x:name val="Times New Roman"/>
      <x:family val="1"/>
    </x:font>
    <x:font>
      <x:b/>
      <x:sz val="11"/>
      <x:name val="Times New Roman"/>
      <x:family val="1"/>
    </x:font>
    <x:font>
      <x:sz val="10"/>
      <x:name val="Times New Roman"/>
      <x:family val="1"/>
    </x:font>
    <x:font>
      <x:sz val="10"/>
      <x:name val="Arial"/>
      <x:family val="2"/>
      <x:charset val="204"/>
    </x:font>
    <x:font>
      <x:b/>
      <x:sz val="14"/>
      <x:color rgb="FF0070C0"/>
      <x:name val="Times New Roman"/>
      <x:family val="1"/>
    </x:font>
    <x:font>
      <x:sz val="12"/>
      <x:name val="Times New Roman"/>
      <x:family val="1"/>
    </x:font>
    <x:font>
      <x:b/>
      <x:sz val="12"/>
      <x:name val="Times New Roman"/>
      <x:family val="1"/>
    </x:font>
    <x:font>
      <x:sz val="11"/>
      <x:color rgb="FF0070C0"/>
      <x:name val="Times New Roman"/>
      <x:family val="1"/>
    </x:font>
    <x:font>
      <x:sz val="12"/>
      <x:color rgb="FFFF0000"/>
      <x:name val="Times New Roman"/>
      <x:family val="1"/>
    </x:font>
    <x:font>
      <x:sz val="10"/>
      <x:color rgb="FFFF0000"/>
      <x:name val="Times New Roman"/>
      <x:family val="1"/>
    </x:font>
    <x:font>
      <x:b/>
      <x:sz val="9"/>
      <x:name val="Times New Roman"/>
      <x:family val="1"/>
    </x:font>
    <x:font>
      <x:b/>
      <x:sz val="9"/>
      <x:color rgb="FFFF0000"/>
      <x:name val="Times New Roman"/>
      <x:family val="1"/>
    </x:font>
    <x:font>
      <x:sz val="9"/>
      <x:name val="Times New Roman"/>
      <x:family val="1"/>
    </x:font>
    <x:font>
      <x:i/>
      <x:sz val="12"/>
      <x:name val="Times New Roman"/>
      <x:family val="1"/>
    </x:font>
    <x:font>
      <x:b/>
      <x:sz val="20"/>
      <x:name val="Times New Roman"/>
      <x:family val="1"/>
    </x:font>
    <x:font>
      <x:b/>
      <x:sz val="20"/>
      <x:color rgb="FFFF0000"/>
      <x:name val="Times New Roman"/>
      <x:family val="1"/>
    </x:font>
    <x:font>
      <x:sz val="15"/>
      <x:name val="Times New Roman"/>
      <x:family val="1"/>
    </x:font>
    <x:font>
      <x:b/>
      <x:sz val="11"/>
      <x:color theme="1"/>
      <x:name val="Calibri"/>
      <x:family val="2"/>
      <x:scheme val="minor"/>
    </x:font>
    <x:font>
      <x:b/>
      <x:sz val="11"/>
      <x:color rgb="FF000000"/>
      <x:name val="Times New Roman"/>
      <x:family val="1"/>
      <x:charset val="163"/>
    </x:font>
    <x:font>
      <x:sz val="11"/>
      <x:color rgb="FF000000"/>
      <x:name val="Times New Roman"/>
      <x:family val="1"/>
      <x:charset val="163"/>
    </x:font>
    <x:font>
      <x:sz val="11"/>
      <x:color theme="1"/>
      <x:name val="Times New Roman"/>
      <x:family val="1"/>
    </x:font>
    <x:font>
      <x:b/>
      <x:sz val="11"/>
      <x:color theme="1"/>
      <x:name val="Times New Roman"/>
      <x:family val="1"/>
    </x:font>
    <x:font>
      <x:sz val="14"/>
      <x:color theme="1"/>
      <x:name val="Times New Roman"/>
      <x:family val="1"/>
    </x:font>
    <x:font>
      <x:b/>
      <x:sz val="14"/>
      <x:color theme="1"/>
      <x:name val="Times New Roman"/>
      <x:family val="1"/>
    </x:font>
    <x:font>
      <x:sz val="14"/>
      <x:name val="Times New Roman"/>
      <x:family val="1"/>
    </x:font>
    <x:font>
      <x:sz val="13"/>
      <x:color theme="1"/>
      <x:name val="Times New Roman"/>
      <x:family val="1"/>
    </x:font>
    <x:font>
      <x:b/>
      <x:sz val="13"/>
      <x:color theme="1"/>
      <x:name val="Times New Roman"/>
      <x:family val="1"/>
    </x:font>
    <x:font>
      <x:b/>
      <x:sz val="13"/>
      <x:name val="Times New Roman"/>
      <x:family val="1"/>
    </x:font>
    <x:font>
      <x:sz val="13"/>
      <x:name val="Times New Roman"/>
      <x:family val="1"/>
    </x:font>
    <x:font>
      <x:i/>
      <x:sz val="24"/>
      <x:color theme="1"/>
      <x:name val="Times New Roman"/>
      <x:family val="1"/>
    </x:font>
    <x:font>
      <x:b/>
      <x:sz val="20"/>
      <x:color rgb="FF000000"/>
      <x:name val="Times New Roman"/>
      <x:family val="1"/>
    </x:font>
    <x:font>
      <x:i/>
      <x:sz val="20"/>
      <x:color rgb="FF000000"/>
      <x:name val="Times New Roman"/>
      <x:family val="1"/>
    </x:font>
    <x:font>
      <x:sz val="12"/>
      <x:color rgb="FF000000"/>
      <x:name val="Times New Roman"/>
      <x:family val="1"/>
    </x:font>
    <x:font>
      <x:i/>
      <x:sz val="12"/>
      <x:color rgb="FF000000"/>
      <x:name val="Times New Roman"/>
      <x:family val="1"/>
    </x:font>
    <x:font>
      <x:b/>
      <x:sz val="12"/>
      <x:color rgb="FF000000"/>
      <x:name val="Times New Roman"/>
      <x:family val="1"/>
    </x:font>
    <x:font>
      <x:b/>
      <x:sz val="9"/>
      <x:color rgb="FF000000"/>
      <x:name val="Tahoma"/>
      <x:family val="2"/>
    </x:font>
    <x:font>
      <x:sz val="12"/>
      <x:color theme="1"/>
      <x:name val="Times New Roman"/>
      <x:family val="1"/>
    </x:font>
    <x:font>
      <x:sz val="12"/>
      <x:color theme="1"/>
      <x:name val="Calibri"/>
      <x:family val="2"/>
      <x:scheme val="minor"/>
    </x:font>
    <x:font>
      <x:b/>
      <x:sz val="12"/>
      <x:color theme="1"/>
      <x:name val="Times New Roman"/>
      <x:family val="1"/>
    </x:font>
    <x:font>
      <x:vertAlign val="baseline"/>
      <x:sz val="11"/>
      <x:color rgb="FF000000"/>
      <x:name val="Calibri"/>
      <x:family val="2"/>
    </x:font>
  </x:fonts>
  <x:fills count="10">
    <x:fill>
      <x:patternFill patternType="none"/>
    </x:fill>
    <x:fill>
      <x:patternFill patternType="gray125"/>
    </x:fill>
    <x:fill>
      <x:patternFill patternType="solid">
        <x:fgColor theme="9" tint="0.79998168889431442"/>
        <x:bgColor indexed="64"/>
      </x:patternFill>
    </x:fill>
    <x:fill>
      <x:patternFill patternType="solid">
        <x:fgColor theme="6" tint="0.59999389629810485"/>
        <x:bgColor indexed="64"/>
      </x:patternFill>
    </x:fill>
    <x:fill>
      <x:patternFill patternType="solid">
        <x:fgColor rgb="FFFFC000"/>
        <x:bgColor indexed="64"/>
      </x:patternFill>
    </x:fill>
    <x:fill>
      <x:patternFill patternType="solid">
        <x:fgColor rgb="FFFFFF00"/>
        <x:bgColor indexed="64"/>
      </x:patternFill>
    </x:fill>
    <x:fill>
      <x:patternFill patternType="solid">
        <x:fgColor theme="8" tint="0.39997558519241921"/>
        <x:bgColor indexed="64"/>
      </x:patternFill>
    </x:fill>
    <x:fill>
      <x:patternFill patternType="solid">
        <x:fgColor rgb="FF00B0F0"/>
        <x:bgColor indexed="64"/>
      </x:patternFill>
    </x:fill>
    <x:fill>
      <x:patternFill patternType="solid">
        <x:fgColor theme="0"/>
        <x:bgColor indexed="64"/>
      </x:patternFill>
    </x:fill>
    <x:fill>
      <x:patternFill patternType="solid">
        <x:fgColor theme="9" tint="0.59999389629810485"/>
        <x:bgColor indexed="64"/>
      </x:patternFill>
    </x:fill>
  </x:fills>
  <x:borders count="14">
    <x:border>
      <x:left/>
      <x:right/>
      <x:top/>
      <x:bottom/>
      <x:diagonal/>
    </x:border>
    <x:border>
      <x:left/>
      <x:right/>
      <x:top/>
      <x:bottom style="thin">
        <x:color indexed="64"/>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style="thin">
        <x:color indexed="64"/>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x:bottom/>
      <x:diagonal/>
    </x:border>
    <x:border>
      <x:left/>
      <x:right/>
      <x:top style="thin">
        <x:color indexed="64"/>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x:diagonal/>
    </x:border>
    <x:border>
      <x:left/>
      <x:right style="thin">
        <x:color indexed="64"/>
      </x:right>
      <x:top style="thin">
        <x:color indexed="64"/>
      </x:top>
      <x:bottom/>
      <x:diagonal/>
    </x:border>
    <x:border>
      <x:left style="thin">
        <x:color indexed="64"/>
      </x:left>
      <x:right/>
      <x:top/>
      <x:bottom style="thin">
        <x:color indexed="64"/>
      </x:bottom>
      <x:diagonal/>
    </x:border>
    <x:border>
      <x:left/>
      <x:right style="thin">
        <x:color indexed="64"/>
      </x:right>
      <x:top/>
      <x:bottom style="thin">
        <x:color indexed="64"/>
      </x:bottom>
      <x:diagonal/>
    </x:border>
  </x:borders>
  <x:cellStyleXfs count="163">
    <x:xf numFmtId="0" fontId="0" fillId="0" borderId="0"/>
    <x:xf numFmtId="43" fontId="2" fillId="0" borderId="0" applyFont="0" applyFill="0" applyBorder="0" applyAlignment="0" applyProtection="0"/>
    <x:xf numFmtId="0" fontId="2" fillId="0" borderId="0"/>
    <x:xf numFmtId="0" fontId="2" fillId="0" borderId="0"/>
    <x:xf numFmtId="9" fontId="10" fillId="0" borderId="0" applyFont="0" applyFill="0" applyBorder="0" applyAlignment="0" applyProtection="0"/>
    <x:xf numFmtId="9" fontId="2" fillId="0" borderId="0" applyFont="0" applyFill="0" applyBorder="0" applyAlignment="0" applyProtection="0"/>
    <x:xf numFmtId="0" fontId="1" fillId="0" borderId="0"/>
    <x:xf numFmtId="9" fontId="1" fillId="0" borderId="0" applyFont="0" applyFill="0" applyBorder="0" applyAlignment="0" applyProtection="0"/>
    <x:xf numFmtId="43" fontId="1" fillId="0" borderId="0" applyFont="0" applyFill="0" applyBorder="0" applyAlignment="0" applyProtection="0"/>
    <x:xf numFmtId="0" fontId="2" fillId="0" borderId="0"/>
    <x:xf numFmtId="0" fontId="1" fillId="0" borderId="0"/>
    <x:xf numFmtId="9" fontId="2" fillId="0" borderId="0" applyFont="0" applyFill="0" applyBorder="0" applyAlignment="0" applyProtection="0"/>
    <x:xf numFmtId="0" fontId="4"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8" fillId="3" borderId="2" applyNumberFormat="1" applyFill="0" applyBorder="1" applyAlignment="1" applyProtection="1">
      <x:protection locked="1" hidden="0"/>
    </x:xf>
    <x:xf numFmtId="0" fontId="4" fillId="0" borderId="2" applyNumberFormat="1" applyFill="1" applyBorder="1" applyAlignment="1" applyProtection="1">
      <x:protection locked="1" hidden="0"/>
    </x:xf>
    <x:xf numFmtId="0" fontId="12" fillId="0" borderId="2" applyNumberFormat="1" applyFill="1" applyBorder="1" applyAlignment="1" applyProtection="1">
      <x:protection locked="1" hidden="0"/>
    </x:xf>
    <x:xf numFmtId="2" fontId="13" fillId="0" borderId="2" applyNumberFormat="1" applyFill="1" applyBorder="1" applyAlignment="1" applyProtection="1">
      <x:protection locked="1" hidden="0"/>
    </x:xf>
    <x:xf numFmtId="2" fontId="12" fillId="0" borderId="2" applyNumberFormat="1" applyFill="1" applyBorder="1" applyAlignment="1" applyProtection="1">
      <x:protection locked="1" hidden="0"/>
    </x:xf>
    <x:xf numFmtId="1" fontId="13" fillId="0" borderId="2" applyNumberFormat="1" applyFill="1" applyBorder="1" applyAlignment="1" applyProtection="1">
      <x:protection locked="1" hidden="0"/>
    </x:xf>
    <x:xf numFmtId="0" fontId="5" fillId="0" borderId="0" applyNumberFormat="1" applyFill="1" applyBorder="0" applyAlignment="1" applyProtection="1">
      <x:protection locked="1" hidden="0"/>
    </x:xf>
    <x:xf numFmtId="0" fontId="17" fillId="0" borderId="0" applyNumberFormat="1" applyFill="1" applyBorder="0" applyAlignment="1" applyProtection="1">
      <x:protection locked="1" hidden="0"/>
    </x:xf>
    <x:xf numFmtId="0" fontId="19"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4" fillId="5" borderId="0" applyNumberFormat="1" applyFill="0" applyBorder="0" applyAlignment="1" applyProtection="1">
      <x:protection locked="1" hidden="0"/>
    </x:xf>
    <x:xf numFmtId="9" fontId="6"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2" borderId="2" applyNumberFormat="1" applyFill="0" applyBorder="1" applyAlignment="1" applyProtection="1">
      <x:protection locked="1" hidden="0"/>
    </x:xf>
    <x:xf numFmtId="0" fontId="7" fillId="2" borderId="4" applyNumberFormat="1" applyFill="0" applyBorder="1" applyAlignment="1" applyProtection="1">
      <x:protection locked="1" hidden="0"/>
    </x:xf>
    <x:xf numFmtId="0" fontId="7" fillId="2" borderId="5" applyNumberFormat="1" applyFill="0" applyBorder="1" applyAlignment="1" applyProtection="1">
      <x:protection locked="1" hidden="0"/>
    </x:xf>
    <x:xf numFmtId="0" fontId="7" fillId="2" borderId="6" applyNumberFormat="1" applyFill="0" applyBorder="1" applyAlignment="1" applyProtection="1">
      <x:protection locked="1" hidden="0"/>
    </x:xf>
    <x:xf numFmtId="0" fontId="7" fillId="6" borderId="2" applyNumberFormat="1" applyFill="0" applyBorder="1" applyAlignment="1" applyProtection="1">
      <x:protection locked="1" hidden="0"/>
    </x:xf>
    <x:xf numFmtId="0" fontId="7" fillId="6" borderId="4" applyNumberFormat="1" applyFill="0" applyBorder="1" applyAlignment="1" applyProtection="1">
      <x:protection locked="1" hidden="0"/>
    </x:xf>
    <x:xf numFmtId="0" fontId="7" fillId="6" borderId="5" applyNumberFormat="1" applyFill="0" applyBorder="1" applyAlignment="1" applyProtection="1">
      <x:protection locked="1" hidden="0"/>
    </x:xf>
    <x:xf numFmtId="0" fontId="7" fillId="2" borderId="3" applyNumberFormat="1" applyFill="0" applyBorder="1" applyAlignment="1" applyProtection="1">
      <x:protection locked="1" hidden="0"/>
    </x:xf>
    <x:xf numFmtId="0" fontId="17" fillId="2" borderId="4" quotePrefix="1" applyNumberFormat="1" applyFill="0" applyBorder="1" applyAlignment="1" applyProtection="1">
      <x:protection locked="1" hidden="0"/>
    </x:xf>
    <x:xf numFmtId="0" fontId="17" fillId="2" borderId="6" quotePrefix="1" applyNumberFormat="1" applyFill="0" applyBorder="1" applyAlignment="1" applyProtection="1">
      <x:protection locked="1" hidden="0"/>
    </x:xf>
    <x:xf numFmtId="0" fontId="17" fillId="2" borderId="4" applyNumberFormat="1" applyFill="0" applyBorder="1" applyAlignment="1" applyProtection="1">
      <x:protection locked="1" hidden="0"/>
    </x:xf>
    <x:xf numFmtId="0" fontId="17" fillId="2" borderId="6" applyNumberFormat="1" applyFill="0" applyBorder="1" applyAlignment="1" applyProtection="1">
      <x:protection locked="1" hidden="0"/>
    </x:xf>
    <x:xf numFmtId="0" fontId="17" fillId="2" borderId="2" applyNumberFormat="1" applyFill="0" applyBorder="1" applyAlignment="1" applyProtection="1">
      <x:protection locked="1" hidden="0"/>
    </x:xf>
    <x:xf numFmtId="0" fontId="7" fillId="6" borderId="3" applyNumberFormat="1" applyFill="0" applyBorder="1" applyAlignment="1" applyProtection="1">
      <x:protection locked="1" hidden="0"/>
    </x:xf>
    <x:xf numFmtId="0" fontId="17" fillId="6" borderId="2" quotePrefix="1" applyNumberFormat="1" applyFill="0" applyBorder="1" applyAlignment="1" applyProtection="1">
      <x:protection locked="1" hidden="0"/>
    </x:xf>
    <x:xf numFmtId="0" fontId="17" fillId="6" borderId="2" applyNumberFormat="1" applyFill="0" applyBorder="1" applyAlignment="1" applyProtection="1">
      <x:protection locked="1" hidden="0"/>
    </x:xf>
    <x:xf numFmtId="0" fontId="7" fillId="2" borderId="7" applyNumberFormat="1" applyFill="0" applyBorder="1" applyAlignment="1" applyProtection="1">
      <x:protection locked="1" hidden="0"/>
    </x:xf>
    <x:xf numFmtId="0" fontId="18" fillId="2" borderId="2" quotePrefix="1" applyNumberFormat="1" applyFill="0" applyBorder="1" applyAlignment="1" applyProtection="1">
      <x:protection locked="1" hidden="0"/>
    </x:xf>
    <x:xf numFmtId="0" fontId="18" fillId="2" borderId="2" applyNumberFormat="1" applyFill="0" applyBorder="1" applyAlignment="1" applyProtection="1">
      <x:protection locked="1" hidden="0"/>
    </x:xf>
    <x:xf numFmtId="0" fontId="7" fillId="6" borderId="7" applyNumberFormat="1" applyFill="0" applyBorder="1" applyAlignment="1" applyProtection="1">
      <x:protection locked="1" hidden="0"/>
    </x:xf>
    <x:xf numFmtId="0" fontId="18" fillId="6" borderId="2" quotePrefix="1" applyNumberFormat="1" applyFill="0" applyBorder="1" applyAlignment="1" applyProtection="1">
      <x:protection locked="1" hidden="0"/>
    </x:xf>
    <x:xf numFmtId="0" fontId="18" fillId="6" borderId="2" applyNumberFormat="1" applyFill="0" applyBorder="1" applyAlignment="1" applyProtection="1">
      <x:protection locked="1" hidden="0"/>
    </x:xf>
    <x:xf numFmtId="0" fontId="7" fillId="2" borderId="9" applyNumberFormat="1" applyFill="0" applyBorder="1" applyAlignment="1" applyProtection="1">
      <x:protection locked="1" hidden="0"/>
    </x:xf>
    <x:xf numFmtId="0" fontId="7" fillId="6" borderId="9" applyNumberFormat="1" applyFill="0" applyBorder="1" applyAlignment="1" applyProtection="1">
      <x:protection locked="1" hidden="0"/>
    </x:xf>
    <x:xf numFmtId="0" fontId="9" fillId="5" borderId="2" applyNumberFormat="1" applyFill="0" applyBorder="1" applyAlignment="1" applyProtection="1">
      <x:protection locked="1" hidden="0"/>
    </x:xf>
    <x:xf numFmtId="2" fontId="7" fillId="5" borderId="2" applyNumberFormat="1" applyFill="0" applyBorder="1" applyAlignment="1" applyProtection="1">
      <x:protection locked="1" hidden="0"/>
    </x:xf>
    <x:xf numFmtId="4" fontId="16" fillId="5" borderId="2" applyNumberFormat="1" applyFill="0" applyBorder="1" applyAlignment="1" applyProtection="1">
      <x:protection locked="1" hidden="0"/>
    </x:xf>
    <x:xf numFmtId="2" fontId="9" fillId="5" borderId="2" applyNumberFormat="1" applyFill="0" applyBorder="1" applyAlignment="1" applyProtection="1">
      <x:protection locked="1" hidden="0"/>
    </x:xf>
    <x:xf numFmtId="2" fontId="16" fillId="5" borderId="2" applyNumberFormat="1" applyFill="0" applyBorder="1" applyAlignment="1" applyProtection="1">
      <x:protection locked="1" hidden="0"/>
    </x:xf>
    <x:xf numFmtId="4" fontId="9" fillId="5" borderId="2" applyNumberFormat="1" applyFill="0" applyBorder="1" applyAlignment="1" applyProtection="1">
      <x:protection locked="1" hidden="0"/>
    </x:xf>
    <x:xf numFmtId="0" fontId="9" fillId="0" borderId="2" applyNumberFormat="1" applyFill="1" applyBorder="1" applyAlignment="1" applyProtection="1">
      <x:protection locked="1" hidden="0"/>
    </x:xf>
    <x:xf numFmtId="2" fontId="7" fillId="4" borderId="2" applyNumberFormat="1" applyFill="0" applyBorder="1" applyAlignment="1" applyProtection="1">
      <x:protection locked="1" hidden="0"/>
    </x:xf>
    <x:xf numFmtId="4" fontId="16" fillId="0" borderId="2" applyNumberFormat="1" applyFill="1" applyBorder="1" applyAlignment="1" applyProtection="1">
      <x:protection locked="1" hidden="0"/>
    </x:xf>
    <x:xf numFmtId="2" fontId="9" fillId="0" borderId="2" applyNumberFormat="1" applyFill="1" applyBorder="1" applyAlignment="1" applyProtection="1">
      <x:protection locked="1" hidden="0"/>
    </x:xf>
    <x:xf numFmtId="2" fontId="16" fillId="0" borderId="2" applyNumberFormat="1" applyFill="1" applyBorder="1" applyAlignment="1" applyProtection="1">
      <x:protection locked="1" hidden="0"/>
    </x:xf>
    <x:xf numFmtId="4" fontId="9" fillId="0" borderId="2" applyNumberFormat="1" applyFill="1" applyBorder="1" applyAlignment="1" applyProtection="1">
      <x:protection locked="1" hidden="0"/>
    </x:xf>
    <x:xf numFmtId="0" fontId="0" fillId="5" borderId="0" applyNumberFormat="1" applyFill="0" applyBorder="0" applyAlignment="1" applyProtection="1">
      <x:protection locked="1" hidden="0"/>
    </x:xf>
    <x:xf numFmtId="0" fontId="25" fillId="5" borderId="2" applyNumberFormat="1" applyFill="0" applyBorder="1" applyAlignment="1" applyProtection="1">
      <x:protection locked="1" hidden="0"/>
    </x:xf>
    <x:xf numFmtId="0" fontId="25" fillId="5" borderId="2" quotePrefix="1" applyNumberFormat="1" applyFill="0" applyBorder="1" applyAlignment="1" applyProtection="1">
      <x:protection locked="1" hidden="0"/>
    </x:xf>
    <x:xf numFmtId="0" fontId="25" fillId="5" borderId="7" quotePrefix="1" applyNumberFormat="1" applyFill="0" applyBorder="1" applyAlignment="1" applyProtection="1">
      <x:protection locked="1" hidden="0"/>
    </x:xf>
    <x:xf numFmtId="0" fontId="25" fillId="5" borderId="7" applyNumberFormat="1" applyFill="0" applyBorder="1" applyAlignment="1" applyProtection="1">
      <x:protection locked="1" hidden="0"/>
    </x:xf>
    <x:xf numFmtId="0" fontId="26" fillId="0" borderId="2" applyNumberFormat="1" applyFill="1" applyBorder="1" applyAlignment="1" applyProtection="1">
      <x:protection locked="1" hidden="0"/>
    </x:xf>
    <x:xf numFmtId="4" fontId="27" fillId="0" borderId="2" applyNumberFormat="1" applyFill="1" applyBorder="1" applyAlignment="1" applyProtection="1">
      <x:protection locked="1" hidden="0"/>
    </x:xf>
    <x:xf numFmtId="2" fontId="27" fillId="0" borderId="2" applyNumberFormat="1" applyFill="1" applyBorder="1" applyAlignment="1" applyProtection="1">
      <x:protection locked="1" hidden="0"/>
    </x:xf>
    <x:xf numFmtId="2" fontId="26" fillId="0" borderId="2" applyNumberFormat="1" applyFill="1" applyBorder="1" applyAlignment="1" applyProtection="1">
      <x:protection locked="1" hidden="0"/>
    </x:xf>
    <x:xf numFmtId="0" fontId="26" fillId="5" borderId="2" applyNumberFormat="1" applyFill="0" applyBorder="1" applyAlignment="1" applyProtection="1">
      <x:protection locked="1" hidden="0"/>
    </x:xf>
    <x:xf numFmtId="4" fontId="27" fillId="5" borderId="2" applyNumberFormat="1" applyFill="0" applyBorder="1" applyAlignment="1" applyProtection="1">
      <x:protection locked="1" hidden="0"/>
    </x:xf>
    <x:xf numFmtId="2" fontId="27" fillId="5" borderId="2" applyNumberFormat="1" applyFill="0" applyBorder="1" applyAlignment="1" applyProtection="1">
      <x:protection locked="1" hidden="0"/>
    </x:xf>
    <x:xf numFmtId="0" fontId="27" fillId="0" borderId="0" applyNumberFormat="1" applyFill="1" applyBorder="0" applyAlignment="1" applyProtection="1">
      <x:protection locked="1" hidden="0"/>
    </x:xf>
    <x:xf numFmtId="0" fontId="28" fillId="9" borderId="2" applyNumberFormat="1" applyFill="0" applyBorder="1" applyAlignment="1" applyProtection="1">
      <x:protection locked="1" hidden="0"/>
    </x:xf>
    <x:xf numFmtId="0" fontId="8" fillId="5" borderId="2" applyNumberFormat="1" applyFill="0" applyBorder="1" applyAlignment="1" applyProtection="1">
      <x:protection locked="1" hidden="0"/>
    </x:xf>
    <x:xf numFmtId="2" fontId="4" fillId="0" borderId="2" applyNumberFormat="1" applyFill="1" applyBorder="1" applyAlignment="1" applyProtection="1">
      <x:protection locked="1" hidden="0"/>
    </x:xf>
    <x:xf numFmtId="0" fontId="3" fillId="2" borderId="2" applyNumberFormat="1" applyFill="0" applyBorder="1" applyAlignment="1" applyProtection="1">
      <x:protection locked="1" hidden="0"/>
    </x:xf>
    <x:xf numFmtId="0" fontId="27" fillId="8" borderId="2" applyNumberFormat="1" applyFill="0" applyBorder="1" applyAlignment="1" applyProtection="1">
      <x:protection locked="1" hidden="0"/>
    </x:xf>
    <x:xf numFmtId="0" fontId="36" fillId="8" borderId="2" applyNumberFormat="1" applyFill="0" applyBorder="1" applyAlignment="1" applyProtection="1">
      <x:protection locked="1" hidden="0"/>
    </x:xf>
    <x:xf numFmtId="4" fontId="3" fillId="8" borderId="2" applyNumberFormat="1" applyFill="0" applyBorder="1" applyAlignment="1" applyProtection="1">
      <x:protection locked="1" hidden="0"/>
    </x:xf>
    <x:xf numFmtId="0" fontId="0" fillId="0" borderId="2" applyNumberFormat="1" applyFill="1" applyBorder="1" applyAlignment="1" applyProtection="1">
      <x:protection locked="1" hidden="0"/>
    </x:xf>
    <x:xf numFmtId="0" fontId="33" fillId="8" borderId="2" applyNumberFormat="1" applyFill="0" applyBorder="1" applyAlignment="1" applyProtection="1">
      <x:protection locked="1" hidden="0"/>
    </x:xf>
    <x:xf numFmtId="4" fontId="0" fillId="0" borderId="2" applyNumberFormat="1" applyFill="1" applyBorder="1" applyAlignment="1" applyProtection="1">
      <x:protection locked="1" hidden="0"/>
    </x:xf>
    <x:xf numFmtId="0" fontId="35" fillId="8" borderId="2" applyNumberFormat="1" applyFill="0" applyBorder="1" applyAlignment="1" applyProtection="1">
      <x:protection locked="1" hidden="0"/>
    </x:xf>
    <x:xf numFmtId="2" fontId="35" fillId="8" borderId="2" applyNumberFormat="1" applyFill="0" applyBorder="1" applyAlignment="1" applyProtection="1">
      <x:protection locked="1" hidden="0"/>
    </x:xf>
    <x:xf numFmtId="9" fontId="35" fillId="8" borderId="2" applyNumberFormat="1" applyFill="0" applyBorder="1" applyAlignment="1" applyProtection="1">
      <x:protection locked="1" hidden="0"/>
    </x:xf>
    <x:xf numFmtId="4" fontId="31" fillId="8" borderId="2" applyNumberFormat="1" applyFill="0" applyBorder="1" applyAlignment="1" applyProtection="1">
      <x:protection locked="1" hidden="0"/>
    </x:xf>
    <x:xf numFmtId="4" fontId="29" fillId="8" borderId="2" applyNumberFormat="1" applyFill="0" applyBorder="1" applyAlignment="1" applyProtection="1">
      <x:protection locked="1" hidden="0"/>
    </x:xf>
    <x:xf numFmtId="0" fontId="32" fillId="8" borderId="2" applyNumberFormat="1" applyFill="0" applyBorder="1" applyAlignment="1" applyProtection="1">
      <x:protection locked="1" hidden="0"/>
    </x:xf>
    <x:xf numFmtId="4" fontId="35" fillId="8" borderId="2" applyNumberFormat="1" applyFill="0" applyBorder="1" applyAlignment="1" applyProtection="1">
      <x:protection locked="1" hidden="0"/>
    </x:xf>
    <x:xf numFmtId="2" fontId="31" fillId="8" borderId="2" applyNumberFormat="1" applyFill="0" applyBorder="1" applyAlignment="1" applyProtection="1">
      <x:protection locked="1" hidden="0"/>
    </x:xf>
    <x:xf numFmtId="0" fontId="34" fillId="8" borderId="2" applyNumberFormat="1" applyFill="0" applyBorder="1" applyAlignment="1" applyProtection="1">
      <x:protection locked="1" hidden="0"/>
    </x:xf>
    <x:xf numFmtId="4" fontId="30" fillId="8" borderId="2" applyNumberFormat="1" applyFill="0" applyBorder="1" applyAlignment="1" applyProtection="1">
      <x:protection locked="1" hidden="0"/>
    </x:xf>
    <x:xf numFmtId="0" fontId="35" fillId="8" borderId="2" quotePrefix="1" applyNumberFormat="1" applyFill="0" applyBorder="1" applyAlignment="1" applyProtection="1">
      <x:protection locked="1" hidden="0"/>
    </x:xf>
    <x:xf numFmtId="0" fontId="24" fillId="8" borderId="2" applyNumberFormat="1" applyFill="0" applyBorder="1" applyAlignment="1" applyProtection="1">
      <x:protection locked="1" hidden="0"/>
    </x:xf>
    <x:xf numFmtId="2" fontId="29" fillId="8" borderId="2" applyNumberFormat="1" applyFill="0" applyBorder="1" applyAlignment="1" applyProtection="1">
      <x:protection locked="1" hidden="0"/>
    </x:xf>
    <x:xf numFmtId="0" fontId="0" fillId="8" borderId="2" applyNumberFormat="1" applyFill="0" applyBorder="1" applyAlignment="1" applyProtection="1">
      <x:protection locked="1" hidden="0"/>
    </x:xf>
    <x:xf numFmtId="0" fontId="8" fillId="8" borderId="2" applyNumberFormat="1" applyFill="0" applyBorder="1" applyAlignment="1" applyProtection="1">
      <x:protection locked="1" hidden="0"/>
    </x:xf>
    <x:xf numFmtId="0" fontId="0" fillId="8" borderId="0" applyNumberFormat="1" applyFill="0" applyBorder="0" applyAlignment="1" applyProtection="1">
      <x:protection locked="1" hidden="0"/>
    </x:xf>
    <x:xf numFmtId="0" fontId="13" fillId="5" borderId="2" applyNumberFormat="1" applyFill="0" applyBorder="1" applyAlignment="1" applyProtection="1">
      <x:protection locked="1" hidden="0"/>
    </x:xf>
    <x:xf numFmtId="0" fontId="43" fillId="5" borderId="2" applyNumberFormat="1" applyFill="0" applyBorder="1" applyAlignment="1" applyProtection="1">
      <x:protection locked="1" hidden="0"/>
    </x:xf>
    <x:xf numFmtId="0" fontId="44" fillId="0" borderId="0" applyNumberFormat="1" applyFill="1" applyBorder="0" applyAlignment="1" applyProtection="1">
      <x:protection locked="1" hidden="0"/>
    </x:xf>
    <x:xf numFmtId="0" fontId="13" fillId="0" borderId="2" applyNumberFormat="1" applyFill="1" applyBorder="1" applyAlignment="1" applyProtection="1">
      <x:protection locked="1" hidden="0"/>
    </x:xf>
    <x:xf numFmtId="0" fontId="13" fillId="8" borderId="2" applyNumberFormat="1" applyFill="0" applyBorder="1" applyAlignment="1" applyProtection="1">
      <x:protection locked="1" hidden="0"/>
    </x:xf>
    <x:xf numFmtId="9" fontId="20" fillId="0" borderId="2" applyNumberFormat="1" applyFill="1" applyBorder="1" applyAlignment="1" applyProtection="1">
      <x:protection locked="1" hidden="0"/>
    </x:xf>
    <x:xf numFmtId="0" fontId="12" fillId="8" borderId="2" applyNumberFormat="1" applyFill="0" applyBorder="1" applyAlignment="1" applyProtection="1">
      <x:protection locked="1" hidden="0"/>
    </x:xf>
    <x:xf numFmtId="9" fontId="12" fillId="8" borderId="2" applyNumberFormat="1" applyFill="0" applyBorder="1" applyAlignment="1" applyProtection="1">
      <x:protection locked="1" hidden="0"/>
    </x:xf>
    <x:xf numFmtId="0" fontId="43" fillId="0" borderId="2" applyNumberFormat="1" applyFill="1" applyBorder="1" applyAlignment="1" applyProtection="1">
      <x:protection locked="1" hidden="0"/>
    </x:xf>
    <x:xf numFmtId="2" fontId="20" fillId="0" borderId="2" applyNumberFormat="1" applyFill="1" applyBorder="1" applyAlignment="1" applyProtection="1">
      <x:protection locked="1" hidden="0"/>
    </x:xf>
    <x:xf numFmtId="0" fontId="20" fillId="0" borderId="2" applyNumberFormat="1" applyFill="1" applyBorder="1" applyAlignment="1" applyProtection="1">
      <x:protection locked="1" hidden="0"/>
    </x:xf>
    <x:xf numFmtId="3" fontId="12" fillId="0" borderId="2" applyNumberFormat="1" applyFill="1" applyBorder="1" applyAlignment="1" applyProtection="1">
      <x:protection locked="1" hidden="0"/>
    </x:xf>
    <x:xf numFmtId="0" fontId="44" fillId="8" borderId="0" applyNumberFormat="1" applyFill="0" applyBorder="0" applyAlignment="1" applyProtection="1">
      <x:protection locked="1" hidden="0"/>
    </x:xf>
    <x:xf numFmtId="9" fontId="44" fillId="0" borderId="0" applyNumberFormat="1" applyFill="1" applyBorder="0" applyAlignment="1" applyProtection="1">
      <x:protection locked="1" hidden="0"/>
    </x:xf>
    <x:xf numFmtId="0" fontId="45" fillId="0" borderId="2" applyNumberFormat="1" applyFill="1" applyBorder="1" applyAlignment="1" applyProtection="1">
      <x:protection locked="1" hidden="0"/>
    </x:xf>
    <x:xf numFmtId="0" fontId="44" fillId="0" borderId="2" applyNumberFormat="1" applyFill="1" applyBorder="1" applyAlignment="1" applyProtection="1">
      <x:protection locked="1" hidden="0"/>
    </x:xf>
    <x:xf numFmtId="2" fontId="44" fillId="0" borderId="2" applyNumberFormat="1" applyFill="1" applyBorder="1" applyAlignment="1" applyProtection="1">
      <x:protection locked="1" hidden="0"/>
    </x:xf>
    <x:xf numFmtId="0" fontId="44" fillId="8" borderId="2" applyNumberFormat="1" applyFill="0" applyBorder="1" applyAlignment="1" applyProtection="1">
      <x:protection locked="1" hidden="0"/>
    </x:xf>
    <x:xf numFmtId="0" fontId="0" fillId="0" borderId="3" applyNumberFormat="1" applyFill="1" applyBorder="1" applyAlignment="1" applyProtection="1">
      <x:protection locked="1" hidden="0"/>
    </x:xf>
    <x:xf numFmtId="0" fontId="0" fillId="0" borderId="9" applyNumberFormat="1" applyFill="1" applyBorder="1" applyAlignment="1" applyProtection="1">
      <x:protection locked="1" hidden="0"/>
    </x:xf>
    <x:xf numFmtId="0" fontId="12" fillId="0" borderId="0" applyNumberFormat="1" applyFill="1" applyBorder="0" applyAlignment="1" applyProtection="1">
      <x:protection locked="1" hidden="0"/>
    </x:xf>
    <x:xf numFmtId="9" fontId="12"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9" fontId="15" fillId="0" borderId="0" applyNumberFormat="1" applyFill="1" applyBorder="0" applyAlignment="1" applyProtection="1">
      <x:protection locked="1" hidden="0"/>
    </x:xf>
    <x:xf numFmtId="0" fontId="13" fillId="0" borderId="0" applyNumberFormat="1" applyFill="1" applyBorder="0" applyAlignment="1" applyProtection="1">
      <x:protection locked="1" hidden="0"/>
    </x:xf>
    <x:xf numFmtId="0" fontId="23" fillId="0" borderId="0" applyNumberFormat="1" applyFill="1" applyBorder="0" applyAlignment="1" applyProtection="1">
      <x:protection locked="1" hidden="0"/>
    </x:xf>
    <x:xf numFmtId="0" fontId="12" fillId="7" borderId="0" applyNumberFormat="1" applyFill="0" applyBorder="0" applyAlignment="1" applyProtection="1">
      <x:protection locked="1" hidden="0"/>
    </x:xf>
    <x:xf numFmtId="0" fontId="15" fillId="4" borderId="0" applyNumberFormat="1" applyFill="0" applyBorder="0" applyAlignment="1" applyProtection="1">
      <x:protection locked="1" hidden="0"/>
    </x:xf>
    <x:xf numFmtId="0" fontId="15" fillId="7" borderId="0" applyNumberFormat="1" applyFill="0" applyBorder="0" applyAlignment="1" applyProtection="1">
      <x:protection locked="1" hidden="0"/>
    </x:xf>
    <x:xf numFmtId="0" fontId="13" fillId="7" borderId="0" applyNumberFormat="1" applyFill="0" applyBorder="0" applyAlignment="1" applyProtection="1">
      <x:protection locked="1" hidden="0"/>
    </x:xf>
    <x:xf numFmtId="0" fontId="21" fillId="0" borderId="0" applyNumberFormat="1" applyFill="1" applyBorder="0" applyAlignment="1" applyProtection="1">
      <x:protection locked="1" hidden="0"/>
    </x:xf>
    <x:xf numFmtId="0" fontId="22" fillId="0" borderId="0" applyNumberFormat="1" applyFill="1" applyBorder="0" applyAlignment="1" applyProtection="1">
      <x:protection locked="1" hidden="0"/>
    </x:xf>
    <x:xf numFmtId="0" fontId="13" fillId="0" borderId="10" applyNumberFormat="1" applyFill="1" applyBorder="1" applyAlignment="1" applyProtection="1">
      <x:protection locked="1" hidden="0"/>
    </x:xf>
    <x:xf numFmtId="0" fontId="13" fillId="0" borderId="8" applyNumberFormat="1" applyFill="1" applyBorder="1" applyAlignment="1" applyProtection="1">
      <x:protection locked="1" hidden="0"/>
    </x:xf>
    <x:xf numFmtId="0" fontId="13" fillId="0" borderId="11" applyNumberFormat="1" applyFill="1" applyBorder="1" applyAlignment="1" applyProtection="1">
      <x:protection locked="1" hidden="0"/>
    </x:xf>
    <x:xf numFmtId="0" fontId="13" fillId="0" borderId="3" applyNumberFormat="1" applyFill="1" applyBorder="1" applyAlignment="1" applyProtection="1">
      <x:protection locked="1" hidden="0"/>
    </x:xf>
    <x:xf numFmtId="0" fontId="13" fillId="0" borderId="12" applyNumberFormat="1" applyFill="1" applyBorder="1" applyAlignment="1" applyProtection="1">
      <x:protection locked="1" hidden="0"/>
    </x:xf>
    <x:xf numFmtId="0" fontId="13" fillId="0" borderId="1" applyNumberFormat="1" applyFill="1" applyBorder="1" applyAlignment="1" applyProtection="1">
      <x:protection locked="1" hidden="0"/>
    </x:xf>
    <x:xf numFmtId="0" fontId="13" fillId="0" borderId="13" applyNumberFormat="1" applyFill="1" applyBorder="1" applyAlignment="1" applyProtection="1">
      <x:protection locked="1" hidden="0"/>
    </x:xf>
    <x:xf numFmtId="0" fontId="13" fillId="0" borderId="7" applyNumberFormat="1" applyFill="1" applyBorder="1" applyAlignment="1" applyProtection="1">
      <x:protection locked="1" hidden="0"/>
    </x:xf>
    <x:xf numFmtId="43" fontId="12" fillId="0" borderId="0" applyNumberFormat="1" applyFill="1" applyBorder="0" applyAlignment="1" applyProtection="1">
      <x:protection locked="1" hidden="0"/>
    </x:xf>
    <x:xf numFmtId="9" fontId="13" fillId="0" borderId="2" applyNumberFormat="1" applyFill="1" applyBorder="1" applyAlignment="1" applyProtection="1">
      <x:protection locked="1" hidden="0"/>
    </x:xf>
    <x:xf numFmtId="0" fontId="13" fillId="0" borderId="9" applyNumberFormat="1" applyFill="1" applyBorder="1" applyAlignment="1" applyProtection="1">
      <x:protection locked="1" hidden="0"/>
    </x:xf>
    <x:xf numFmtId="43" fontId="13" fillId="0" borderId="2" applyNumberFormat="1" applyFill="1" applyBorder="1" applyAlignment="1" applyProtection="1">
      <x:protection locked="1" hidden="0"/>
    </x:xf>
    <x:xf numFmtId="164" fontId="13" fillId="0" borderId="2" applyNumberFormat="1" applyFill="1" applyBorder="1" applyAlignment="1" applyProtection="1">
      <x:protection locked="1" hidden="0"/>
    </x:xf>
    <x:xf numFmtId="43" fontId="12" fillId="0" borderId="2" applyNumberFormat="1" applyFill="1" applyBorder="1" applyAlignment="1" applyProtection="1">
      <x:protection locked="1" hidden="0"/>
    </x:xf>
    <x:xf numFmtId="164" fontId="12" fillId="0" borderId="2" applyNumberFormat="1" applyFill="1" applyBorder="1" applyAlignment="1" applyProtection="1">
      <x:protection locked="1" hidden="0"/>
    </x:xf>
    <x:xf numFmtId="9" fontId="12" fillId="0" borderId="2" applyNumberFormat="1" applyFill="1" applyBorder="1" applyAlignment="1" applyProtection="1">
      <x:protection locked="1" hidden="0"/>
    </x:xf>
    <x:xf numFmtId="2" fontId="12" fillId="0" borderId="0" applyNumberFormat="1" applyFill="1" applyBorder="0" applyAlignment="1" applyProtection="1">
      <x:protection locked="1" hidden="0"/>
    </x:xf>
    <x:xf numFmtId="43" fontId="12" fillId="7" borderId="0" applyNumberFormat="1" applyFill="0" applyBorder="0" applyAlignment="1" applyProtection="1">
      <x:protection locked="1" hidden="0"/>
    </x:xf>
    <x:xf numFmtId="0" fontId="12" fillId="0" borderId="2" quotePrefix="1" applyNumberFormat="1" applyFill="1" applyBorder="1" applyAlignment="1" applyProtection="1">
      <x:protection locked="1" hidden="0"/>
    </x:xf>
    <x:xf numFmtId="43" fontId="15" fillId="7" borderId="0" applyNumberFormat="1" applyFill="0" applyBorder="0" applyAlignment="1" applyProtection="1">
      <x:protection locked="1" hidden="0"/>
    </x:xf>
    <x:xf numFmtId="9" fontId="12" fillId="0" borderId="2" quotePrefix="1" applyNumberFormat="1" applyFill="1" applyBorder="1" applyAlignment="1" applyProtection="1">
      <x:protection locked="1" hidden="0"/>
    </x:xf>
    <x:xf numFmtId="0" fontId="12" fillId="0" borderId="6" applyNumberFormat="1" applyFill="1" applyBorder="1" applyAlignment="1" applyProtection="1">
      <x:protection locked="1" hidden="0"/>
    </x:xf>
    <x:xf numFmtId="43" fontId="12" fillId="5" borderId="0" applyNumberFormat="1" applyFill="0" applyBorder="0" applyAlignment="1" applyProtection="1">
      <x:protection locked="1" hidden="0"/>
    </x:xf>
    <x:xf numFmtId="0" fontId="12" fillId="5" borderId="0" applyNumberFormat="1" applyFill="0" applyBorder="0" applyAlignment="1" applyProtection="1">
      <x:protection locked="1" hidden="0"/>
    </x:xf>
    <x:xf numFmtId="43" fontId="15" fillId="5" borderId="0" applyNumberFormat="1" applyFill="0" applyBorder="0" applyAlignment="1" applyProtection="1">
      <x:protection locked="1" hidden="0"/>
    </x:xf>
    <x:xf numFmtId="0" fontId="15" fillId="5" borderId="0" applyNumberFormat="1" applyFill="0" applyBorder="0" applyAlignment="1" applyProtection="1">
      <x:protection locked="1" hidden="0"/>
    </x:xf>
  </x:cellStyleXfs>
  <x:cellXfs count="294">
    <x:xf numFmtId="0" fontId="0" fillId="0" borderId="0" xfId="0"/>
    <x:xf numFmtId="0" fontId="12" fillId="0" borderId="2" xfId="6" applyFont="1" applyBorder="1" applyAlignment="1">
      <x:alignment horizontal="left" vertical="center" wrapText="1"/>
    </x:xf>
    <x:xf numFmtId="0" fontId="12" fillId="0" borderId="2" xfId="6" quotePrefix="1" applyFont="1" applyBorder="1" applyAlignment="1">
      <x:alignment horizontal="left" vertical="center" wrapText="1"/>
    </x:xf>
    <x:xf numFmtId="0" fontId="13" fillId="0" borderId="9" xfId="6" applyFont="1" applyBorder="1" applyAlignment="1">
      <x:alignment horizontal="center" vertical="center" wrapText="1"/>
    </x:xf>
    <x:xf numFmtId="0" fontId="13" fillId="0" borderId="7" xfId="6" applyFont="1" applyBorder="1" applyAlignment="1">
      <x:alignment horizontal="center" vertical="center" wrapText="1"/>
    </x:xf>
    <x:xf numFmtId="0" fontId="13" fillId="0" borderId="3" xfId="6" applyFont="1" applyBorder="1" applyAlignment="1">
      <x:alignment horizontal="center" vertical="center" wrapText="1"/>
    </x:xf>
    <x:xf numFmtId="0" fontId="13" fillId="0" borderId="13" xfId="6" applyFont="1" applyBorder="1" applyAlignment="1">
      <x:alignment horizontal="center" vertical="center" wrapText="1"/>
    </x:xf>
    <x:xf numFmtId="0" fontId="13" fillId="0" borderId="1" xfId="6" applyFont="1" applyBorder="1" applyAlignment="1">
      <x:alignment horizontal="center" vertical="center" wrapText="1"/>
    </x:xf>
    <x:xf numFmtId="0" fontId="13" fillId="0" borderId="12" xfId="6" applyFont="1" applyBorder="1" applyAlignment="1">
      <x:alignment horizontal="center" vertical="center" wrapText="1"/>
    </x:xf>
    <x:xf numFmtId="0" fontId="13" fillId="0" borderId="11" xfId="6" applyFont="1" applyBorder="1" applyAlignment="1">
      <x:alignment horizontal="center" vertical="center" wrapText="1"/>
    </x:xf>
    <x:xf numFmtId="0" fontId="13" fillId="0" borderId="8" xfId="6" applyFont="1" applyBorder="1" applyAlignment="1">
      <x:alignment horizontal="center" vertical="center" wrapText="1"/>
    </x:xf>
    <x:xf numFmtId="0" fontId="13" fillId="0" borderId="10" xfId="6" applyFont="1" applyBorder="1" applyAlignment="1">
      <x:alignment horizontal="center" vertical="center" wrapText="1"/>
    </x:xf>
    <x:xf numFmtId="0" fontId="13" fillId="0" borderId="2" xfId="6" applyFont="1" applyBorder="1" applyAlignment="1">
      <x:alignment horizontal="center" vertical="center"/>
    </x:xf>
    <x:xf numFmtId="0" fontId="22" fillId="0" borderId="0" xfId="6" applyFont="1" applyAlignment="1">
      <x:alignment horizontal="center" vertical="center"/>
    </x:xf>
    <x:xf numFmtId="0" fontId="21" fillId="0" borderId="0" xfId="6" applyFont="1" applyAlignment="1">
      <x:alignment horizontal="center" vertical="center"/>
    </x:xf>
    <x:xf numFmtId="0" fontId="21" fillId="0" borderId="0" xfId="6" applyFont="1" applyAlignment="1">
      <x:alignment horizontal="center" vertical="center" wrapText="1"/>
    </x:xf>
    <x:xf numFmtId="0" fontId="0" fillId="0" borderId="2" xfId="0" applyBorder="1" applyAlignment="1">
      <x:alignment horizontal="center"/>
    </x:xf>
    <x:xf numFmtId="0" fontId="0" fillId="0" borderId="9" xfId="0" applyBorder="1" applyAlignment="1">
      <x:alignment horizontal="center" vertical="center"/>
    </x:xf>
    <x:xf numFmtId="0" fontId="0" fillId="0" borderId="3" xfId="0" applyBorder="1" applyAlignment="1">
      <x:alignment horizontal="center" vertical="center"/>
    </x:xf>
    <x:xf numFmtId="0" fontId="45" fillId="0" borderId="2" xfId="0" applyFont="1" applyBorder="1" applyAlignment="1">
      <x:alignment horizontal="center" vertical="center"/>
    </x:xf>
    <x:xf numFmtId="0" fontId="45" fillId="0" borderId="2" xfId="0" applyFont="1" applyBorder="1" applyAlignment="1">
      <x:alignment horizontal="center" vertical="center" wrapText="1"/>
    </x:xf>
    <x:xf numFmtId="0" fontId="13" fillId="0" borderId="2" xfId="0" applyFont="1" applyBorder="1" applyAlignment="1">
      <x:alignment horizontal="center" vertical="center" wrapText="1"/>
    </x:xf>
    <x:xf numFmtId="0" fontId="13" fillId="5" borderId="2" xfId="0" applyFont="1" applyFill="1" applyBorder="1" applyAlignment="1">
      <x:alignment horizontal="center" vertical="center" wrapText="1"/>
    </x:xf>
    <x:xf numFmtId="0" fontId="18" fillId="6" borderId="2" xfId="0" applyFont="1" applyFill="1" applyBorder="1" applyAlignment="1">
      <x:alignment horizontal="center" vertical="center" wrapText="1"/>
    </x:xf>
    <x:xf numFmtId="0" fontId="18" fillId="6" borderId="2" xfId="0" quotePrefix="1" applyFont="1" applyFill="1" applyBorder="1" applyAlignment="1">
      <x:alignment horizontal="center" vertical="center" wrapText="1"/>
    </x:xf>
    <x:xf numFmtId="0" fontId="18" fillId="2" borderId="2" xfId="0" applyFont="1" applyFill="1" applyBorder="1" applyAlignment="1">
      <x:alignment horizontal="center" vertical="center" wrapText="1"/>
    </x:xf>
    <x:xf numFmtId="0" fontId="18" fillId="2" borderId="2" xfId="0" quotePrefix="1" applyFont="1" applyFill="1" applyBorder="1" applyAlignment="1">
      <x:alignment horizontal="center" vertical="center" wrapText="1"/>
    </x:xf>
    <x:xf numFmtId="0" fontId="17" fillId="6" borderId="2" xfId="0" applyFont="1" applyFill="1" applyBorder="1" applyAlignment="1">
      <x:alignment horizontal="center" vertical="center" wrapText="1"/>
    </x:xf>
    <x:xf numFmtId="0" fontId="17" fillId="6" borderId="2" xfId="0" quotePrefix="1" applyFont="1" applyFill="1" applyBorder="1" applyAlignment="1">
      <x:alignment horizontal="center" vertical="center" wrapText="1"/>
    </x:xf>
    <x:xf numFmtId="0" fontId="7" fillId="6" borderId="9" xfId="0" applyFont="1" applyFill="1" applyBorder="1" applyAlignment="1">
      <x:alignment horizontal="center" vertical="center" wrapText="1"/>
    </x:xf>
    <x:xf numFmtId="0" fontId="7" fillId="6" borderId="7" xfId="0" applyFont="1" applyFill="1" applyBorder="1" applyAlignment="1">
      <x:alignment horizontal="center" vertical="center" wrapText="1"/>
    </x:xf>
    <x:xf numFmtId="0" fontId="7" fillId="6" borderId="3" xfId="0" applyFont="1" applyFill="1" applyBorder="1" applyAlignment="1">
      <x:alignment horizontal="center" vertical="center" wrapText="1"/>
    </x:xf>
    <x:xf numFmtId="0" fontId="17" fillId="2" borderId="2" xfId="0" applyFont="1" applyFill="1" applyBorder="1" applyAlignment="1">
      <x:alignment horizontal="center" vertical="center" wrapText="1"/>
    </x:xf>
    <x:xf numFmtId="0" fontId="17" fillId="2" borderId="6" xfId="0" applyFont="1" applyFill="1" applyBorder="1" applyAlignment="1">
      <x:alignment horizontal="center" vertical="center" wrapText="1"/>
    </x:xf>
    <x:xf numFmtId="0" fontId="17" fillId="2" borderId="4" xfId="0" applyFont="1" applyFill="1" applyBorder="1" applyAlignment="1">
      <x:alignment horizontal="center" vertical="center" wrapText="1"/>
    </x:xf>
    <x:xf numFmtId="0" fontId="17" fillId="2" borderId="6" xfId="0" quotePrefix="1" applyFont="1" applyFill="1" applyBorder="1" applyAlignment="1">
      <x:alignment horizontal="center" vertical="center" wrapText="1"/>
    </x:xf>
    <x:xf numFmtId="0" fontId="17" fillId="2" borderId="4" xfId="0" quotePrefix="1" applyFont="1" applyFill="1" applyBorder="1" applyAlignment="1">
      <x:alignment horizontal="center" vertical="center" wrapText="1"/>
    </x:xf>
    <x:xf numFmtId="0" fontId="7" fillId="2" borderId="9" xfId="0" applyFont="1" applyFill="1" applyBorder="1" applyAlignment="1">
      <x:alignment horizontal="center" vertical="center" wrapText="1"/>
    </x:xf>
    <x:xf numFmtId="0" fontId="7" fillId="2" borderId="7" xfId="0" applyFont="1" applyFill="1" applyBorder="1" applyAlignment="1">
      <x:alignment horizontal="center" vertical="center" wrapText="1"/>
    </x:xf>
    <x:xf numFmtId="0" fontId="7" fillId="2" borderId="3" xfId="0" applyFont="1" applyFill="1" applyBorder="1" applyAlignment="1">
      <x:alignment horizontal="center" vertical="center" wrapText="1"/>
    </x:xf>
    <x:xf numFmtId="0" fontId="7" fillId="6" borderId="5" xfId="0" applyFont="1" applyFill="1" applyBorder="1" applyAlignment="1">
      <x:alignment horizontal="center" vertical="center" wrapText="1"/>
    </x:xf>
    <x:xf numFmtId="0" fontId="7" fillId="6" borderId="4" xfId="0" applyFont="1" applyFill="1" applyBorder="1" applyAlignment="1">
      <x:alignment horizontal="center" vertical="center" wrapText="1"/>
    </x:xf>
    <x:xf numFmtId="0" fontId="7" fillId="6" borderId="2" xfId="0" applyFont="1" applyFill="1" applyBorder="1" applyAlignment="1">
      <x:alignment horizontal="center" vertical="center" wrapText="1"/>
    </x:xf>
    <x:xf numFmtId="0" fontId="7" fillId="2" borderId="6" xfId="0" applyFont="1" applyFill="1" applyBorder="1" applyAlignment="1">
      <x:alignment horizontal="center" vertical="center" wrapText="1"/>
    </x:xf>
    <x:xf numFmtId="0" fontId="7" fillId="2" borderId="5" xfId="0" applyFont="1" applyFill="1" applyBorder="1" applyAlignment="1">
      <x:alignment horizontal="center" vertical="center" wrapText="1"/>
    </x:xf>
    <x:xf numFmtId="0" fontId="7" fillId="2" borderId="4" xfId="0" applyFont="1" applyFill="1" applyBorder="1" applyAlignment="1">
      <x:alignment horizontal="center" vertical="center" wrapText="1"/>
    </x:xf>
    <x:xf numFmtId="0" fontId="7" fillId="2" borderId="2" xfId="0" applyFont="1" applyFill="1" applyBorder="1" applyAlignment="1">
      <x:alignment horizontal="center" vertical="center" wrapText="1"/>
    </x:xf>
    <x:xf numFmtId="0" fontId="3" fillId="0" borderId="0" xfId="0" applyFont="1" applyAlignment="1">
      <x:alignment horizontal="center" vertical="center"/>
    </x:xf>
    <x:xf numFmtId="0" fontId="0" fillId="0" borderId="0" xfId="0" applyAlignment="1">
      <x:alignment horizontal="center" vertical="center" wrapText="1"/>
    </x:xf>
    <x:xf numFmtId="0" fontId="3" fillId="0" borderId="0" xfId="0" applyFont="1" applyAlignment="1">
      <x:alignment horizontal="center" vertical="center" wrapText="1"/>
    </x:xf>
    <x:xf numFmtId="0" fontId="12" fillId="0" borderId="2" xfId="6" applyFont="1" applyBorder="1" applyAlignment="1">
      <x:alignment horizontal="left" vertical="center" wrapText="1"/>
    </x:xf>
    <x:xf numFmtId="0" fontId="12" fillId="0" borderId="2" xfId="6" quotePrefix="1" applyFont="1" applyBorder="1" applyAlignment="1">
      <x:alignment horizontal="left" vertical="center" wrapText="1"/>
    </x:xf>
    <x:xf numFmtId="0" fontId="13" fillId="0" borderId="2" xfId="6" applyFont="1" applyBorder="1" applyAlignment="1">
      <x:alignment horizontal="center" vertical="center"/>
    </x:xf>
    <x:xf numFmtId="0" fontId="13" fillId="0" borderId="2" xfId="0" applyFont="1" applyBorder="1" applyAlignment="1">
      <x:alignment horizontal="center" vertical="center" wrapText="1"/>
    </x:xf>
    <x:xf numFmtId="0" fontId="13" fillId="5" borderId="2" xfId="0" applyFont="1" applyFill="1" applyBorder="1" applyAlignment="1">
      <x:alignment horizontal="center" vertical="center" wrapText="1"/>
    </x:xf>
    <x:xf numFmtId="0" fontId="18" fillId="2" borderId="2" xfId="0" applyFont="1" applyFill="1" applyBorder="1" applyAlignment="1">
      <x:alignment horizontal="center" vertical="center" wrapText="1"/>
    </x:xf>
    <x:xf numFmtId="0" fontId="17" fillId="6" borderId="2" xfId="0" applyFont="1" applyFill="1" applyBorder="1" applyAlignment="1">
      <x:alignment horizontal="center" vertical="center" wrapText="1"/>
    </x:xf>
    <x:xf numFmtId="0" fontId="17" fillId="2" borderId="2" xfId="0" applyFont="1" applyFill="1" applyBorder="1" applyAlignment="1">
      <x:alignment horizontal="center" vertical="center" wrapText="1"/>
    </x:xf>
    <x:xf numFmtId="0" fontId="7" fillId="2" borderId="2" xfId="0" applyFont="1" applyFill="1" applyBorder="1" applyAlignment="1">
      <x:alignment horizontal="center" vertical="center" wrapText="1"/>
    </x:xf>
    <x:xf numFmtId="2" fontId="35" fillId="8" borderId="2" xfId="0" applyNumberFormat="1" applyFont="1" applyFill="1" applyBorder="1"/>
    <x:xf numFmtId="0" fontId="12" fillId="0" borderId="2" xfId="0" applyFont="1" applyBorder="1" applyAlignment="1">
      <x:alignment horizontal="center" vertical="center" wrapText="1"/>
    </x:xf>
    <x:xf numFmtId="2" fontId="44" fillId="0" borderId="2" xfId="0" applyNumberFormat="1" applyFont="1" applyBorder="1" applyAlignment="1">
      <x:alignment horizontal="center"/>
    </x:xf>
    <x:xf numFmtId="2" fontId="20" fillId="0" borderId="2" xfId="0" applyNumberFormat="1" applyFont="1" applyBorder="1" applyAlignment="1">
      <x:alignment horizontal="center" vertical="center" wrapText="1"/>
    </x:xf>
    <x:xf numFmtId="2" fontId="12" fillId="0" borderId="2" xfId="0" applyNumberFormat="1" applyFont="1" applyBorder="1" applyAlignment="1">
      <x:alignment horizontal="center" vertical="center" wrapText="1"/>
    </x:xf>
    <x:xf numFmtId="4" fontId="35" fillId="8" borderId="2" xfId="0" applyNumberFormat="1" applyFont="1" applyFill="1" applyBorder="1"/>
    <x:xf numFmtId="0" fontId="44" fillId="8" borderId="0" xfId="0" applyFont="1" applyFill="1" applyAlignment="1">
      <x:alignment horizontal="center"/>
    </x:xf>
    <x:xf numFmtId="0" fontId="13" fillId="8" borderId="2" xfId="0" applyFont="1" applyFill="1" applyBorder="1" applyAlignment="1">
      <x:alignment vertical="center" wrapText="1"/>
    </x:xf>
    <x:xf numFmtId="0" fontId="44" fillId="0" borderId="2" xfId="0" applyFont="1" applyBorder="1" applyAlignment="1">
      <x:alignment horizontal="center"/>
    </x:xf>
    <x:xf numFmtId="3" fontId="12" fillId="0" borderId="2" xfId="0" applyNumberFormat="1" applyFont="1" applyBorder="1" applyAlignment="1">
      <x:alignment horizontal="center" vertical="center" wrapText="1"/>
    </x:xf>
    <x:xf numFmtId="0" fontId="20" fillId="0" borderId="2" xfId="0" applyFont="1" applyBorder="1" applyAlignment="1">
      <x:alignment horizontal="center" vertical="center" wrapText="1"/>
    </x:xf>
    <x:xf numFmtId="9" fontId="12" fillId="8" borderId="2" xfId="0" applyNumberFormat="1" applyFont="1" applyFill="1" applyBorder="1" applyAlignment="1">
      <x:alignment horizontal="center" vertical="center" wrapText="1"/>
    </x:xf>
    <x:xf numFmtId="0" fontId="12" fillId="8" borderId="2" xfId="0" applyFont="1" applyFill="1" applyBorder="1" applyAlignment="1">
      <x:alignment horizontal="center" vertical="center" wrapText="1"/>
    </x:xf>
    <x:xf numFmtId="9" fontId="20" fillId="0" borderId="2" xfId="0" applyNumberFormat="1" applyFont="1" applyBorder="1" applyAlignment="1">
      <x:alignment horizontal="center" vertical="center" wrapText="1"/>
    </x:xf>
    <x:xf numFmtId="0" fontId="12" fillId="0" borderId="2" xfId="0" applyFont="1" applyBorder="1" applyAlignment="1">
      <x:alignment vertical="center" wrapText="1"/>
    </x:xf>
    <x:xf numFmtId="0" fontId="44" fillId="8" borderId="2" xfId="0" applyFont="1" applyFill="1" applyBorder="1"/>
    <x:xf numFmtId="0" fontId="44" fillId="0" borderId="2" xfId="0" applyFont="1" applyBorder="1"/>
    <x:xf numFmtId="9" fontId="44" fillId="0" borderId="0" xfId="11" applyFont="1"/>
    <x:xf numFmtId="0" fontId="43" fillId="0" borderId="2" xfId="0" applyFont="1" applyBorder="1"/>
    <x:xf numFmtId="0" fontId="13" fillId="0" borderId="2" xfId="0" applyFont="1" applyBorder="1" applyAlignment="1">
      <x:alignment vertical="center" wrapText="1"/>
    </x:xf>
    <x:xf numFmtId="0" fontId="44" fillId="0" borderId="0" xfId="0" applyFont="1"/>
    <x:xf numFmtId="0" fontId="43" fillId="5" borderId="2" xfId="0" applyFont="1" applyFill="1" applyBorder="1"/>
    <x:xf numFmtId="0" fontId="0" fillId="8" borderId="0" xfId="0" applyFill="1"/>
    <x:xf numFmtId="0" fontId="3" fillId="0" borderId="0" xfId="0" applyFont="1" applyAlignment="1">
      <x:alignment horizontal="center"/>
    </x:xf>
    <x:xf numFmtId="0" fontId="4" fillId="0" borderId="0" xfId="0" applyFont="1"/>
    <x:xf numFmtId="0" fontId="4" fillId="0" borderId="0" xfId="0" applyFont="1" applyAlignment="1">
      <x:alignment horizontal="center"/>
    </x:xf>
    <x:xf numFmtId="0" fontId="5" fillId="0" borderId="0" xfId="0" applyFont="1"/>
    <x:xf numFmtId="0" fontId="8" fillId="0" borderId="0" xfId="0" applyFont="1" applyAlignment="1">
      <x:alignment horizontal="center" vertical="center" wrapText="1"/>
    </x:xf>
    <x:xf numFmtId="0" fontId="9" fillId="0" borderId="0" xfId="0" applyFont="1" applyAlignment="1">
      <x:alignment horizontal="center" vertical="center" wrapText="1"/>
    </x:xf>
    <x:xf numFmtId="0" fontId="11" fillId="0" borderId="0" xfId="0" applyFont="1" applyAlignment="1">
      <x:alignment horizontal="center"/>
    </x:xf>
    <x:xf numFmtId="0" fontId="4" fillId="0" borderId="2" xfId="0" applyFont="1" applyBorder="1" applyAlignment="1">
      <x:alignment horizontal="center" vertical="center"/>
    </x:xf>
    <x:xf numFmtId="2" fontId="12" fillId="0" borderId="2" xfId="0" applyNumberFormat="1" applyFont="1" applyBorder="1" applyAlignment="1">
      <x:alignment horizontal="center" vertical="center"/>
    </x:xf>
    <x:xf numFmtId="1" fontId="13" fillId="0" borderId="2" xfId="2" applyNumberFormat="1" applyFont="1" applyBorder="1" applyAlignment="1">
      <x:alignment horizontal="center" vertical="center" wrapText="1"/>
    </x:xf>
    <x:xf numFmtId="0" fontId="14" fillId="0" borderId="0" xfId="0" applyFont="1" applyAlignment="1">
      <x:alignment horizontal="center"/>
    </x:xf>
    <x:xf numFmtId="0" fontId="17" fillId="0" borderId="0" xfId="0" applyFont="1" applyAlignment="1">
      <x:alignment horizontal="center" vertical="center" wrapText="1"/>
    </x:xf>
    <x:xf numFmtId="0" fontId="19" fillId="0" borderId="0" xfId="0" applyFont="1" applyAlignment="1">
      <x:alignment horizontal="center" vertical="center" wrapText="1"/>
    </x:xf>
    <x:xf numFmtId="2" fontId="9" fillId="0" borderId="2" xfId="4" applyNumberFormat="1" applyFont="1" applyFill="1" applyBorder="1" applyAlignment="1">
      <x:alignment horizontal="center" vertical="center"/>
    </x:xf>
    <x:xf numFmtId="0" fontId="9" fillId="0" borderId="2" xfId="2" applyFont="1" applyBorder="1" applyAlignment="1">
      <x:alignment horizontal="center" vertical="center" wrapText="1"/>
    </x:xf>
    <x:xf numFmtId="2" fontId="13" fillId="0" borderId="2" xfId="0" applyNumberFormat="1" applyFont="1" applyBorder="1" applyAlignment="1">
      <x:alignment horizontal="center" vertical="center"/>
    </x:xf>
    <x:xf numFmtId="0" fontId="23" fillId="0" borderId="0" xfId="6" applyFont="1" applyAlignment="1">
      <x:alignment vertical="center"/>
    </x:xf>
    <x:xf numFmtId="0" fontId="12" fillId="0" borderId="0" xfId="6" applyFont="1" applyAlignment="1">
      <x:alignment horizontal="center" vertical="center"/>
    </x:xf>
    <x:xf numFmtId="0" fontId="12" fillId="0" borderId="0" xfId="6" applyFont="1" applyAlignment="1">
      <x:alignment vertical="center"/>
    </x:xf>
    <x:xf numFmtId="43" fontId="12" fillId="0" borderId="0" xfId="6" applyNumberFormat="1" applyFont="1" applyAlignment="1">
      <x:alignment vertical="center"/>
    </x:xf>
    <x:xf numFmtId="9" fontId="13" fillId="0" borderId="2" xfId="7" applyFont="1" applyFill="1" applyBorder="1" applyAlignment="1">
      <x:alignment horizontal="center" vertical="center" wrapText="1"/>
    </x:xf>
    <x:xf numFmtId="0" fontId="13" fillId="0" borderId="2" xfId="6" applyFont="1" applyBorder="1" applyAlignment="1">
      <x:alignment horizontal="left" vertical="center" wrapText="1"/>
    </x:xf>
    <x:xf numFmtId="43" fontId="13" fillId="0" borderId="2" xfId="8" applyFont="1" applyFill="1" applyBorder="1" applyAlignment="1">
      <x:alignment horizontal="center" vertical="center" wrapText="1"/>
    </x:xf>
    <x:xf numFmtId="164" fontId="13" fillId="0" borderId="2" xfId="6" applyNumberFormat="1" applyFont="1" applyBorder="1" applyAlignment="1">
      <x:alignment horizontal="center" vertical="center" wrapText="1"/>
    </x:xf>
    <x:xf numFmtId="43" fontId="12" fillId="0" borderId="2" xfId="8" applyFont="1" applyFill="1" applyBorder="1" applyAlignment="1">
      <x:alignment horizontal="left" vertical="center" wrapText="1"/>
    </x:xf>
    <x:xf numFmtId="164" fontId="12" fillId="0" borderId="2" xfId="6" applyNumberFormat="1" applyFont="1" applyBorder="1" applyAlignment="1">
      <x:alignment horizontal="center" vertical="center" wrapText="1"/>
    </x:xf>
    <x:xf numFmtId="9" fontId="12" fillId="0" borderId="2" xfId="7" applyFont="1" applyFill="1" applyBorder="1" applyAlignment="1">
      <x:alignment horizontal="center" vertical="center" wrapText="1"/>
    </x:xf>
    <x:xf numFmtId="2" fontId="12" fillId="0" borderId="0" xfId="6" applyNumberFormat="1" applyFont="1" applyAlignment="1">
      <x:alignment vertical="center"/>
    </x:xf>
    <x:xf numFmtId="0" fontId="13" fillId="0" borderId="2" xfId="6" applyFont="1" applyBorder="1" applyAlignment="1">
      <x:alignment vertical="center"/>
    </x:xf>
    <x:xf numFmtId="0" fontId="12" fillId="0" borderId="2" xfId="6" applyFont="1" applyBorder="1" applyAlignment="1">
      <x:alignment horizontal="left" vertical="center"/>
    </x:xf>
    <x:xf numFmtId="0" fontId="15" fillId="0" borderId="0" xfId="6" applyFont="1" applyAlignment="1">
      <x:alignment horizontal="center" vertical="center"/>
    </x:xf>
    <x:xf numFmtId="0" fontId="15" fillId="0" borderId="0" xfId="6" applyFont="1" applyAlignment="1">
      <x:alignment vertical="center"/>
    </x:xf>
    <x:xf numFmtId="0" fontId="20" fillId="0" borderId="2" xfId="6" applyFont="1" applyBorder="1" applyAlignment="1">
      <x:alignment vertical="center" wrapText="1"/>
    </x:xf>
    <x:xf numFmtId="0" fontId="12" fillId="0" borderId="2" xfId="6" quotePrefix="1" applyFont="1" applyBorder="1" applyAlignment="1">
      <x:alignment vertical="center" wrapText="1"/>
    </x:xf>
    <x:xf numFmtId="0" fontId="13" fillId="0" borderId="0" xfId="6" applyFont="1" applyAlignment="1">
      <x:alignment vertical="center"/>
    </x:xf>
    <x:xf numFmtId="9" fontId="12" fillId="0" borderId="2" xfId="6" quotePrefix="1" applyNumberFormat="1" applyFont="1" applyBorder="1" applyAlignment="1">
      <x:alignment horizontal="center" vertical="center" wrapText="1"/>
    </x:xf>
    <x:xf numFmtId="43" fontId="12" fillId="0" borderId="2" xfId="8" applyFont="1" applyFill="1" applyBorder="1" applyAlignment="1">
      <x:alignment horizontal="center" vertical="center" wrapText="1"/>
    </x:xf>
    <x:xf numFmtId="0" fontId="12" fillId="0" borderId="6" xfId="6" applyFont="1" applyBorder="1" applyAlignment="1">
      <x:alignment horizontal="center" vertical="center" wrapText="1"/>
    </x:xf>
    <x:xf numFmtId="0" fontId="12" fillId="0" borderId="2" xfId="6" applyFont="1" applyBorder="1" applyAlignment="1">
      <x:alignment vertical="center"/>
    </x:xf>
    <x:xf numFmtId="9" fontId="12" fillId="0" borderId="2" xfId="7" applyFont="1" applyFill="1" applyBorder="1" applyAlignment="1">
      <x:alignment vertical="center"/>
    </x:xf>
    <x:xf numFmtId="9" fontId="13" fillId="0" borderId="2" xfId="7" applyFont="1" applyFill="1" applyBorder="1" applyAlignment="1">
      <x:alignment vertical="center"/>
    </x:xf>
    <x:xf numFmtId="0" fontId="12" fillId="0" borderId="2" xfId="6" applyFont="1" applyBorder="1" applyAlignment="1">
      <x:alignment horizontal="justify" vertical="center" wrapText="1"/>
    </x:xf>
    <x:xf numFmtId="0" fontId="12" fillId="0" borderId="2" xfId="10" applyFont="1" applyBorder="1" applyAlignment="1">
      <x:alignment vertical="top" wrapText="1"/>
    </x:xf>
    <x:xf numFmtId="0" fontId="1" fillId="0" borderId="0" xfId="6"/>
    <x:xf numFmtId="9" fontId="12" fillId="0" borderId="0" xfId="7" applyFont="1" applyAlignment="1">
      <x:alignment vertical="center"/>
    </x:xf>
    <x:xf numFmtId="9" fontId="15" fillId="0" borderId="0" xfId="7" applyFont="1" applyAlignment="1">
      <x:alignment vertical="center"/>
    </x:xf>
    <x:xf numFmtId="0" fontId="12" fillId="0" borderId="0" xfId="6" applyFont="1" applyAlignment="1">
      <x:alignment horizontal="left" vertical="center"/>
    </x:xf>
    <x:xf numFmtId="2" fontId="16" fillId="0" borderId="2" xfId="4" applyNumberFormat="1" applyFont="1" applyFill="1" applyBorder="1" applyAlignment="1">
      <x:alignment horizontal="center" vertical="center"/>
    </x:xf>
    <x:xf numFmtId="4" fontId="16" fillId="0" borderId="2" xfId="0" applyNumberFormat="1" applyFont="1" applyBorder="1" applyAlignment="1">
      <x:alignment horizontal="center" vertical="center" wrapText="1"/>
    </x:xf>
    <x:xf numFmtId="0" fontId="6" fillId="0" borderId="0" xfId="0" applyFont="1" applyAlignment="1">
      <x:alignment horizontal="center" vertical="center"/>
    </x:xf>
    <x:xf numFmtId="9" fontId="6" fillId="0" borderId="0" xfId="0" applyNumberFormat="1" applyFont="1" applyAlignment="1">
      <x:alignment horizontal="center" vertical="center"/>
    </x:xf>
    <x:xf numFmtId="0" fontId="4" fillId="0" borderId="0" xfId="0" applyFont="1" applyAlignment="1">
      <x:alignment horizontal="center" vertical="center"/>
    </x:xf>
    <x:xf numFmtId="0" fontId="5" fillId="0" borderId="0" xfId="0" applyFont="1" applyAlignment="1">
      <x:alignment horizontal="center" vertical="center"/>
    </x:xf>
    <x:xf numFmtId="4" fontId="9" fillId="0" borderId="2" xfId="1" applyNumberFormat="1" applyFont="1" applyFill="1" applyBorder="1" applyAlignment="1">
      <x:alignment horizontal="center" vertical="center"/>
    </x:xf>
    <x:xf numFmtId="4" fontId="16" fillId="0" borderId="2" xfId="1" applyNumberFormat="1" applyFont="1" applyFill="1" applyBorder="1" applyAlignment="1">
      <x:alignment horizontal="center" vertical="center"/>
    </x:xf>
    <x:xf numFmtId="0" fontId="9" fillId="0" borderId="2" xfId="0" applyFont="1" applyBorder="1" applyAlignment="1">
      <x:alignment horizontal="center" vertical="center"/>
    </x:xf>
    <x:xf numFmtId="0" fontId="0" fillId="0" borderId="2" xfId="0" applyBorder="1"/>
    <x:xf numFmtId="0" fontId="26" fillId="0" borderId="2" xfId="2" applyFont="1" applyBorder="1" applyAlignment="1">
      <x:alignment horizontal="center" vertical="center"/>
    </x:xf>
    <x:xf numFmtId="4" fontId="27" fillId="0" borderId="2" xfId="0" applyNumberFormat="1" applyFont="1" applyBorder="1" applyAlignment="1">
      <x:alignment horizontal="center"/>
    </x:xf>
    <x:xf numFmtId="2" fontId="27" fillId="0" borderId="2" xfId="0" applyNumberFormat="1" applyFont="1" applyBorder="1" applyAlignment="1">
      <x:alignment horizontal="center"/>
    </x:xf>
    <x:xf numFmtId="2" fontId="26" fillId="0" borderId="2" xfId="2" applyNumberFormat="1" applyFont="1" applyBorder="1" applyAlignment="1">
      <x:alignment horizontal="center" vertical="center"/>
    </x:xf>
    <x:xf numFmtId="0" fontId="0" fillId="0" borderId="0" xfId="0" applyAlignment="1">
      <x:alignment horizontal="center"/>
    </x:xf>
    <x:xf numFmtId="0" fontId="27" fillId="0" borderId="0" xfId="2" applyFont="1" applyAlignment="1">
      <x:alignment horizontal="center"/>
    </x:xf>
    <x:xf numFmtId="4" fontId="0" fillId="0" borderId="2" xfId="0" applyNumberFormat="1" applyBorder="1"/>
    <x:xf numFmtId="2" fontId="4" fillId="0" borderId="2" xfId="0" applyNumberFormat="1" applyFont="1" applyBorder="1" applyAlignment="1">
      <x:alignment horizontal="center" vertical="center"/>
    </x:xf>
    <x:xf numFmtId="0" fontId="8" fillId="3" borderId="2" xfId="0" applyFont="1" applyFill="1" applyBorder="1" applyAlignment="1">
      <x:alignment horizontal="center" vertical="center" wrapText="1"/>
    </x:xf>
    <x:xf numFmtId="0" fontId="4" fillId="5" borderId="0" xfId="0" applyFont="1" applyFill="1"/>
    <x:xf numFmtId="0" fontId="9" fillId="5" borderId="2" xfId="0" applyFont="1" applyFill="1" applyBorder="1" applyAlignment="1">
      <x:alignment horizontal="center" vertical="center"/>
    </x:xf>
    <x:xf numFmtId="0" fontId="9" fillId="5" borderId="2" xfId="0" applyFont="1" applyFill="1" applyBorder="1" applyAlignment="1">
      <x:alignment horizontal="center" vertical="center" wrapText="1"/>
    </x:xf>
    <x:xf numFmtId="2" fontId="7" fillId="5" borderId="2" xfId="0" applyNumberFormat="1" applyFont="1" applyFill="1" applyBorder="1" applyAlignment="1">
      <x:alignment horizontal="center" vertical="center"/>
    </x:xf>
    <x:xf numFmtId="4" fontId="16" fillId="5" borderId="2" xfId="0" applyNumberFormat="1" applyFont="1" applyFill="1" applyBorder="1" applyAlignment="1">
      <x:alignment horizontal="center" vertical="center" wrapText="1"/>
    </x:xf>
    <x:xf numFmtId="2" fontId="9" fillId="5" borderId="2" xfId="0" applyNumberFormat="1" applyFont="1" applyFill="1" applyBorder="1" applyAlignment="1">
      <x:alignment horizontal="center" vertical="center"/>
    </x:xf>
    <x:xf numFmtId="2" fontId="16" fillId="5" borderId="2" xfId="0" applyNumberFormat="1" applyFont="1" applyFill="1" applyBorder="1" applyAlignment="1">
      <x:alignment horizontal="center" vertical="center"/>
    </x:xf>
    <x:xf numFmtId="4" fontId="9" fillId="5" borderId="2" xfId="0" applyNumberFormat="1" applyFont="1" applyFill="1" applyBorder="1" applyAlignment="1">
      <x:alignment horizontal="center" vertical="center"/>
    </x:xf>
    <x:xf numFmtId="4" fontId="16" fillId="5" borderId="2" xfId="0" applyNumberFormat="1" applyFont="1" applyFill="1" applyBorder="1" applyAlignment="1">
      <x:alignment horizontal="center" vertical="center"/>
    </x:xf>
    <x:xf numFmtId="2" fontId="7" fillId="4" borderId="2" xfId="0" applyNumberFormat="1" applyFont="1" applyFill="1" applyBorder="1" applyAlignment="1">
      <x:alignment horizontal="center" vertical="center"/>
    </x:xf>
    <x:xf numFmtId="0" fontId="0" fillId="5" borderId="0" xfId="0" applyFill="1"/>
    <x:xf numFmtId="0" fontId="25" fillId="5" borderId="2" xfId="0" applyFont="1" applyFill="1" applyBorder="1" applyAlignment="1">
      <x:alignment horizontal="center" vertical="center" wrapText="1"/>
    </x:xf>
    <x:xf numFmtId="0" fontId="25" fillId="5" borderId="2" xfId="0" quotePrefix="1" applyFont="1" applyFill="1" applyBorder="1" applyAlignment="1">
      <x:alignment horizontal="center" vertical="center" wrapText="1"/>
    </x:xf>
    <x:xf numFmtId="0" fontId="25" fillId="5" borderId="7" xfId="0" quotePrefix="1" applyFont="1" applyFill="1" applyBorder="1" applyAlignment="1">
      <x:alignment horizontal="center" vertical="center" wrapText="1"/>
    </x:xf>
    <x:xf numFmtId="0" fontId="25" fillId="5" borderId="7" xfId="0" applyFont="1" applyFill="1" applyBorder="1" applyAlignment="1">
      <x:alignment horizontal="center" vertical="center" wrapText="1"/>
    </x:xf>
    <x:xf numFmtId="0" fontId="26" fillId="5" borderId="2" xfId="0" applyFont="1" applyFill="1" applyBorder="1" applyAlignment="1">
      <x:alignment horizontal="center" vertical="center"/>
    </x:xf>
    <x:xf numFmtId="4" fontId="27" fillId="5" borderId="2" xfId="0" applyNumberFormat="1" applyFont="1" applyFill="1" applyBorder="1" applyAlignment="1">
      <x:alignment horizontal="center"/>
    </x:xf>
    <x:xf numFmtId="2" fontId="27" fillId="5" borderId="2" xfId="0" applyNumberFormat="1" applyFont="1" applyFill="1" applyBorder="1" applyAlignment="1">
      <x:alignment horizontal="center"/>
    </x:xf>
    <x:xf numFmtId="0" fontId="28" fillId="9" borderId="2" xfId="0" applyFont="1" applyFill="1" applyBorder="1" applyAlignment="1">
      <x:alignment horizontal="center" vertical="center" wrapText="1"/>
    </x:xf>
    <x:xf numFmtId="0" fontId="8" fillId="5" borderId="2" xfId="0" applyFont="1" applyFill="1" applyBorder="1" applyAlignment="1">
      <x:alignment horizontal="center" vertical="center" wrapText="1"/>
    </x:xf>
    <x:xf numFmtId="0" fontId="3" fillId="2" borderId="2" xfId="0" applyFont="1" applyFill="1" applyBorder="1" applyAlignment="1">
      <x:alignment horizontal="center" vertical="center" wrapText="1"/>
    </x:xf>
    <x:xf numFmtId="0" fontId="27" fillId="8" borderId="2" xfId="0" applyFont="1" applyFill="1" applyBorder="1" applyAlignment="1">
      <x:alignment horizontal="center"/>
    </x:xf>
    <x:xf numFmtId="0" fontId="36" fillId="8" borderId="2" xfId="0" applyFont="1" applyFill="1" applyBorder="1"/>
    <x:xf numFmtId="4" fontId="3" fillId="8" borderId="2" xfId="0" applyNumberFormat="1" applyFont="1" applyFill="1" applyBorder="1" applyAlignment="1">
      <x:alignment horizontal="center" vertical="center" wrapText="1"/>
    </x:xf>
    <x:xf numFmtId="0" fontId="33" fillId="8" borderId="2" xfId="0" applyFont="1" applyFill="1" applyBorder="1" applyAlignment="1">
      <x:alignment horizontal="center"/>
    </x:xf>
    <x:xf numFmtId="0" fontId="33" fillId="8" borderId="2" xfId="0" applyFont="1" applyFill="1" applyBorder="1"/>
    <x:xf numFmtId="0" fontId="35" fillId="8" borderId="2" xfId="0" applyFont="1" applyFill="1" applyBorder="1"/>
    <x:xf numFmtId="4" fontId="31" fillId="8" borderId="2" xfId="0" applyNumberFormat="1" applyFont="1" applyFill="1" applyBorder="1" applyAlignment="1">
      <x:alignment horizontal="center" vertical="center" wrapText="1"/>
    </x:xf>
    <x:xf numFmtId="4" fontId="29" fillId="8" borderId="2" xfId="0" applyNumberFormat="1" applyFont="1" applyFill="1" applyBorder="1"/>
    <x:xf numFmtId="0" fontId="32" fillId="8" borderId="2" xfId="0" applyFont="1" applyFill="1" applyBorder="1"/>
    <x:xf numFmtId="0" fontId="35" fillId="8" borderId="2" xfId="0" applyFont="1" applyFill="1" applyBorder="1" applyAlignment="1">
      <x:alignment wrapText="1"/>
    </x:xf>
    <x:xf numFmtId="2" fontId="31" fillId="8" borderId="2" xfId="0" applyNumberFormat="1" applyFont="1" applyFill="1" applyBorder="1" applyAlignment="1">
      <x:alignment horizontal="center" vertical="center"/>
    </x:xf>
    <x:xf numFmtId="0" fontId="34" fillId="8" borderId="2" xfId="0" applyFont="1" applyFill="1" applyBorder="1" applyAlignment="1">
      <x:alignment wrapText="1"/>
    </x:xf>
    <x:xf numFmtId="4" fontId="30" fillId="8" borderId="2" xfId="0" applyNumberFormat="1" applyFont="1" applyFill="1" applyBorder="1"/>
    <x:xf numFmtId="4" fontId="31" fillId="8" borderId="2" xfId="0" applyNumberFormat="1" applyFont="1" applyFill="1" applyBorder="1" applyAlignment="1">
      <x:alignment horizontal="center" vertical="center"/>
    </x:xf>
    <x:xf numFmtId="0" fontId="34" fillId="8" borderId="2" xfId="0" applyFont="1" applyFill="1" applyBorder="1"/>
    <x:xf numFmtId="0" fontId="35" fillId="8" borderId="2" xfId="0" quotePrefix="1" applyFont="1" applyFill="1" applyBorder="1" applyAlignment="1">
      <x:alignment horizontal="left" vertical="center" wrapText="1"/>
    </x:xf>
    <x:xf numFmtId="4" fontId="31" fillId="8" borderId="2" xfId="0" applyNumberFormat="1" applyFont="1" applyFill="1" applyBorder="1" applyAlignment="1">
      <x:alignment horizontal="center"/>
    </x:xf>
    <x:xf numFmtId="2" fontId="31" fillId="8" borderId="2" xfId="0" applyNumberFormat="1" applyFont="1" applyFill="1" applyBorder="1" applyAlignment="1">
      <x:alignment horizontal="center"/>
    </x:xf>
    <x:xf numFmtId="0" fontId="24" fillId="8" borderId="2" xfId="0" applyFont="1" applyFill="1" applyBorder="1" applyAlignment="1">
      <x:alignment horizontal="center"/>
    </x:xf>
    <x:xf numFmtId="0" fontId="34" fillId="8" borderId="2" xfId="0" applyFont="1" applyFill="1" applyBorder="1" applyAlignment="1">
      <x:alignment horizontal="left" vertical="center" wrapText="1"/>
    </x:xf>
    <x:xf numFmtId="2" fontId="29" fillId="8" borderId="2" xfId="0" applyNumberFormat="1" applyFont="1" applyFill="1" applyBorder="1"/>
    <x:xf numFmtId="0" fontId="0" fillId="8" borderId="2" xfId="0" applyFill="1" applyBorder="1"/>
    <x:xf numFmtId="0" fontId="8" fillId="8" borderId="2" xfId="0" applyFont="1" applyFill="1" applyBorder="1" applyAlignment="1">
      <x:alignment horizontal="left" vertical="center" wrapText="1"/>
    </x:xf>
    <x:xf numFmtId="0" fontId="12" fillId="7" borderId="0" xfId="0" applyFont="1" applyFill="1" applyAlignment="1">
      <x:alignment vertical="center"/>
    </x:xf>
    <x:xf numFmtId="0" fontId="15" fillId="4" borderId="0" xfId="0" applyFont="1" applyFill="1" applyAlignment="1">
      <x:alignment vertical="center"/>
    </x:xf>
    <x:xf numFmtId="0" fontId="15" fillId="7" borderId="0" xfId="0" applyFont="1" applyFill="1" applyAlignment="1">
      <x:alignment vertical="center"/>
    </x:xf>
    <x:xf numFmtId="0" fontId="13" fillId="7" borderId="0" xfId="0" applyFont="1" applyFill="1" applyAlignment="1">
      <x:alignment vertical="center"/>
    </x:xf>
    <x:xf numFmtId="43" fontId="12" fillId="7" borderId="0" xfId="0" applyNumberFormat="1" applyFont="1" applyFill="1" applyAlignment="1">
      <x:alignment vertical="center"/>
    </x:xf>
    <x:xf numFmtId="43" fontId="15" fillId="7" borderId="0" xfId="0" applyNumberFormat="1" applyFont="1" applyFill="1" applyAlignment="1">
      <x:alignment vertical="center"/>
    </x:xf>
    <x:xf numFmtId="43" fontId="12" fillId="5" borderId="0" xfId="0" applyNumberFormat="1" applyFont="1" applyFill="1" applyAlignment="1">
      <x:alignment vertical="center"/>
    </x:xf>
    <x:xf numFmtId="0" fontId="12" fillId="5" borderId="0" xfId="0" applyFont="1" applyFill="1" applyAlignment="1">
      <x:alignment vertical="center"/>
    </x:xf>
    <x:xf numFmtId="43" fontId="15" fillId="5" borderId="0" xfId="0" applyNumberFormat="1" applyFont="1" applyFill="1" applyAlignment="1">
      <x:alignment vertical="center"/>
    </x:xf>
    <x:xf numFmtId="0" fontId="15" fillId="5" borderId="0" xfId="0" applyFont="1" applyFill="1" applyAlignment="1">
      <x:alignment vertical="center"/>
    </x:xf>
    <x:xf numFmtId="9" fontId="35" fillId="8" borderId="2" xfId="0" applyNumberFormat="1" applyFont="1" applyFill="1" applyBorder="1"/>
    <x:xf numFmtId="0" fontId="0" fillId="0" borderId="2" xfId="0" applyBorder="1" applyAlignment="1">
      <x:alignment horizontal="center" vertical="center"/>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7" fillId="2"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7" fillId="2" borderId="5" xfId="0" applyNumberFormat="1" applyFill="0" applyBorder="1" applyAlignment="1" applyProtection="1">
      <x:alignment horizontal="center" vertical="center" textRotation="0" wrapText="1" indent="0" relativeIndent="0" justifyLastLine="0" shrinkToFit="0" readingOrder="0"/>
      <x:protection locked="1" hidden="0"/>
    </x:xf>
    <x:xf numFmtId="0" fontId="7" fillId="2" borderId="6" xfId="0" applyNumberFormat="1" applyFill="0" applyBorder="1" applyAlignment="1" applyProtection="1">
      <x:alignment horizontal="center" vertical="center" textRotation="0" wrapText="1" indent="0" relativeIndent="0" justifyLastLine="0" shrinkToFit="0" readingOrder="0"/>
      <x:protection locked="1" hidden="0"/>
    </x:xf>
    <x:xf numFmtId="0" fontId="7" fillId="6"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7" fillId="6"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7" fillId="6" borderId="5" xfId="0" applyNumberFormat="1" applyFill="0" applyBorder="1" applyAlignment="1" applyProtection="1">
      <x:alignment horizontal="center" vertical="center" textRotation="0" wrapText="1" indent="0" relativeIndent="0" justifyLastLine="0" shrinkToFit="0" readingOrder="0"/>
      <x:protection locked="1" hidden="0"/>
    </x:xf>
    <x:xf numFmtId="0" fontId="7"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7" fillId="2" borderId="4"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17" fillId="2" borderId="6"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17" fillId="2"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17" fillId="2" borderId="6" xfId="0" applyNumberFormat="1" applyFill="0" applyBorder="1" applyAlignment="1" applyProtection="1">
      <x:alignment horizontal="center" vertical="center" textRotation="0" wrapText="1" indent="0" relativeIndent="0" justifyLastLine="0" shrinkToFit="0" readingOrder="0"/>
      <x:protection locked="1" hidden="0"/>
    </x:xf>
    <x:xf numFmtId="0" fontId="17"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7" fillId="6"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7" fillId="6" borderId="2"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17" fillId="6"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7" fillId="2"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18" fillId="2" borderId="2"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1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7" fillId="6"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18" fillId="6" borderId="2"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18" fillId="6"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7" fillId="2" borderId="9" xfId="0" applyNumberFormat="1" applyFill="0" applyBorder="1" applyAlignment="1" applyProtection="1">
      <x:alignment horizontal="center" vertical="center" textRotation="0" wrapText="1" indent="0" relativeIndent="0" justifyLastLine="0" shrinkToFit="0" readingOrder="0"/>
      <x:protection locked="1" hidden="0"/>
    </x:xf>
    <x:xf numFmtId="0" fontId="7" fillId="6" borderId="9" xfId="0" applyNumberFormat="1" applyFill="0" applyBorder="1" applyAlignment="1" applyProtection="1">
      <x:alignment horizontal="center" vertical="center" textRotation="0" wrapText="1" indent="0" relativeIndent="0" justifyLastLine="0" shrinkToFit="0" readingOrder="0"/>
      <x:protection locked="1" hidden="0"/>
    </x:xf>
    <x:xf numFmtId="0" fontId="9"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9" fillId="5" borderId="2" xfId="0" applyNumberFormat="1" applyFill="0" applyBorder="1" applyAlignment="1" applyProtection="1">
      <x:alignment horizontal="center" vertical="center" textRotation="0" wrapText="1" indent="0" relativeIndent="0" justifyLastLine="0" shrinkToFit="0" readingOrder="0"/>
      <x:protection locked="1" hidden="0"/>
    </x:xf>
    <x:xf numFmtId="2" fontId="7"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4" fontId="16" fillId="5" borderId="2" xfId="0" applyNumberFormat="1" applyFill="0" applyBorder="1" applyAlignment="1" applyProtection="1">
      <x:alignment horizontal="center" vertical="center" textRotation="0" wrapText="1" indent="0" relativeIndent="0" justifyLastLine="0" shrinkToFit="0" readingOrder="0"/>
      <x:protection locked="1" hidden="0"/>
    </x:xf>
    <x:xf numFmtId="2" fontId="9"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2" fontId="16"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4" fontId="9"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4" fontId="16"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2" fontId="7" fillId="4"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5" fillId="5"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5" fillId="5" borderId="2"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25" fillId="5" borderId="7"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25" fillId="5"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6"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4" fontId="2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2" fontId="2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9"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5"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3"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7" fillId="8"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36"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4" fontId="3" fillId="8"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33" fillId="8"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2" fontId="35"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9" fontId="35"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4" fontId="31" fillId="8" borderId="2" xfId="0" applyNumberFormat="1" applyFill="0" applyBorder="1" applyAlignment="1" applyProtection="1">
      <x:alignment horizontal="center" vertical="center" textRotation="0" wrapText="1" indent="0" relativeIndent="0" justifyLastLine="0" shrinkToFit="0" readingOrder="0"/>
      <x:protection locked="1" hidden="0"/>
    </x:xf>
    <x:xf numFmtId="4" fontId="29"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8" borderId="2" xfId="0" applyNumberFormat="1" applyFill="0" applyBorder="1" applyAlignment="1" applyProtection="1">
      <x:alignment horizontal="general" vertical="bottom" textRotation="0" wrapText="1" indent="0" relativeIndent="0" justifyLastLine="0" shrinkToFit="0" readingOrder="0"/>
      <x:protection locked="1" hidden="0"/>
    </x:xf>
    <x:xf numFmtId="4" fontId="35"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2" fontId="31" fillId="8"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34" fillId="8" borderId="2" xfId="0" applyNumberFormat="1" applyFill="0" applyBorder="1" applyAlignment="1" applyProtection="1">
      <x:alignment horizontal="general" vertical="bottom" textRotation="0" wrapText="1" indent="0" relativeIndent="0" justifyLastLine="0" shrinkToFit="0" readingOrder="0"/>
      <x:protection locked="1" hidden="0"/>
    </x:xf>
    <x:xf numFmtId="4" fontId="30"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4" fontId="31" fillId="8"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34"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8" borderId="2" xfId="0" quotePrefix="1" applyNumberFormat="1" applyFill="0" applyBorder="1" applyAlignment="1" applyProtection="1">
      <x:alignment horizontal="left" vertical="center" textRotation="0" wrapText="1" indent="0" relativeIndent="0" justifyLastLine="0" shrinkToFit="0" readingOrder="0"/>
      <x:protection locked="1" hidden="0"/>
    </x:xf>
    <x:xf numFmtId="4" fontId="31" fillId="8" borderId="2" xfId="0" applyNumberFormat="1" applyFill="0" applyBorder="1" applyAlignment="1" applyProtection="1">
      <x:alignment horizontal="center" vertical="bottom" textRotation="0" wrapText="0" indent="0" relativeIndent="0" justifyLastLine="0" shrinkToFit="0" readingOrder="0"/>
      <x:protection locked="1" hidden="0"/>
    </x:xf>
    <x:xf numFmtId="2" fontId="31" fillId="8"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24" fillId="8"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34" fillId="8" borderId="2" xfId="0" applyNumberFormat="1" applyFill="0" applyBorder="1" applyAlignment="1" applyProtection="1">
      <x:alignment horizontal="left" vertical="center" textRotation="0" wrapText="1" indent="0" relativeIndent="0" justifyLastLine="0" shrinkToFit="0" readingOrder="0"/>
      <x:protection locked="1" hidden="0"/>
    </x:xf>
    <x:xf numFmtId="2" fontId="29"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8" fillId="8" borderId="2" xfId="0" applyNumberFormat="1" applyFill="0" applyBorder="1" applyAlignment="1" applyProtection="1">
      <x:alignment horizontal="left" vertical="center" textRotation="0" wrapText="1" indent="0" relativeIndent="0" justifyLastLine="0" shrinkToFit="0" readingOrder="0"/>
      <x:protection locked="1" hidden="0"/>
    </x:xf>
    <x:xf numFmtId="0" fontId="0" fillId="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5"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43"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3" fillId="8" borderId="2" xfId="0" applyNumberFormat="1" applyFill="0" applyBorder="1" applyAlignment="1" applyProtection="1">
      <x:alignment horizontal="general" vertical="center" textRotation="0" wrapText="1" indent="0" relativeIndent="0" justifyLastLine="0" shrinkToFit="0" readingOrder="0"/>
      <x:protection locked="1" hidden="0"/>
    </x:xf>
    <x:xf numFmtId="0" fontId="12" fillId="8" borderId="2" xfId="0" applyNumberFormat="1" applyFill="0" applyBorder="1" applyAlignment="1" applyProtection="1">
      <x:alignment horizontal="center" vertical="center" textRotation="0" wrapText="1" indent="0" relativeIndent="0" justifyLastLine="0" shrinkToFit="0" readingOrder="0"/>
      <x:protection locked="1" hidden="0"/>
    </x:xf>
    <x:xf numFmtId="9" fontId="12" fillId="8"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44" fillId="8"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4"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2" fillId="7"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5" fillId="4"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5" fillId="7"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3" fillId="7" borderId="0" xfId="0" applyNumberFormat="1" applyFill="0" applyBorder="0" applyAlignment="1" applyProtection="1">
      <x:alignment horizontal="general" vertical="center" textRotation="0" wrapText="0" indent="0" relativeIndent="0" justifyLastLine="0" shrinkToFit="0" readingOrder="0"/>
      <x:protection locked="1" hidden="0"/>
    </x:xf>
    <x:xf numFmtId="43" fontId="12" fillId="7" borderId="0" xfId="0" applyNumberFormat="1" applyFill="0" applyBorder="0" applyAlignment="1" applyProtection="1">
      <x:alignment horizontal="general" vertical="center" textRotation="0" wrapText="0" indent="0" relativeIndent="0" justifyLastLine="0" shrinkToFit="0" readingOrder="0"/>
      <x:protection locked="1" hidden="0"/>
    </x:xf>
    <x:xf numFmtId="43" fontId="15" fillId="7" borderId="0" xfId="0" applyNumberFormat="1" applyFill="0" applyBorder="0" applyAlignment="1" applyProtection="1">
      <x:alignment horizontal="general" vertical="center" textRotation="0" wrapText="0" indent="0" relativeIndent="0" justifyLastLine="0" shrinkToFit="0" readingOrder="0"/>
      <x:protection locked="1" hidden="0"/>
    </x:xf>
    <x:xf numFmtId="43" fontId="12"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2"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43" fontId="15"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5" fillId="5" borderId="0" xfId="0" applyNumberFormat="1" applyFill="0" applyBorder="0" applyAlignment="1" applyProtection="1">
      <x:alignment horizontal="general" vertical="center" textRotation="0" wrapText="0" indent="0" relativeIndent="0" justifyLastLine="0" shrinkToFit="0" readingOrder="0"/>
      <x:protection locked="1" hidden="0"/>
    </x:xf>
  </x:cellXfs>
  <x:cellStyles count="12">
    <x:cellStyle name="Comma" xfId="1" builtinId="3"/>
    <x:cellStyle name="Comma 2" xfId="8" xr:uid="{00000000-0005-0000-0000-000001000000}"/>
    <x:cellStyle name="Normal" xfId="0" builtinId="0"/>
    <x:cellStyle name="Normal 2" xfId="6" xr:uid="{00000000-0005-0000-0000-000003000000}"/>
    <x:cellStyle name="Normal 2 2 2 2 3" xfId="2" xr:uid="{00000000-0005-0000-0000-000004000000}"/>
    <x:cellStyle name="Normal 3 2 2 10" xfId="3" xr:uid="{00000000-0005-0000-0000-000005000000}"/>
    <x:cellStyle name="Normal 6 2 2 2 2 2 2" xfId="10" xr:uid="{00000000-0005-0000-0000-000006000000}"/>
    <x:cellStyle name="Normal 7 2" xfId="9" xr:uid="{00000000-0005-0000-0000-000007000000}"/>
    <x:cellStyle name="Percent" xfId="11" builtinId="5"/>
    <x:cellStyle name="Percent 2" xfId="7" xr:uid="{00000000-0005-0000-0000-000009000000}"/>
    <x:cellStyle name="Percent 8" xfId="5" xr:uid="{00000000-0005-0000-0000-00000A000000}"/>
    <x:cellStyle name="Percent 8 6" xfId="4" xr:uid="{00000000-0005-0000-0000-00000B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BC%20NGAY\25.06\TONG%2025.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15/BC%20XLSC/BC%20ngay/XLDL%20Chi.gamdt1/Thang%207/4.%20NHOM%20AP/1.%20BAO%20CAO/BAO%20CAO%20BAN%20NGAY%20-%20TUAN%20-%20THANG/Ham%20tinh%20chi%20tieu%20F,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15/BC%20XLSC/BC%20ngay/XLDL%20Chi.gamdt1/Thang%207/Documents%20and%20Settings/ktbh_gam131_cc1/Local%20Settings/Temporary%20Internet%20Files/Content.Outlook/RD2PD5N1/Cong%20thuc%20BC%20ngay%20chua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15\BC%20XLSC\BC%20ngay\XLDL%20Chi.gamdt1\Thang%207\4.%20NHOM%20AP\1.%20BAO%20CAO\BAO%20CAO%20BAN%20NGAY%20-%20TUAN%20-%20THANG\Ham%20tinh%20chi%20tieu%20F,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2015\BC%20XLSC\BC%20ngay\XLDL%20Chi.gamdt1\Thang%207\Documents%20and%20Settings\ktbh_gam131_cc1\Local%20Settings\Temporary%20Internet%20Files\Content.Outlook\RD2PD5N1\Cong%20thuc%20BC%20ngay%20chua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locdv\Local%20Settings\Temporary%20Internet%20Files\Content.Outlook\IHXA0Y0Z\NC_CLML_ng&#224;y_28-02-201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dangnh7/Downloads/VTT_28072016-BCQ1602_BCTC%20TT200_v20160726.xlsb"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ungPA/Du%20lieu%20Viettel/HungPA-%20Co%20so%20du%20lieu%20tinh%20Son%20L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QuangDa\AppData\Roaming\Microsoft\Excel\VTNET%20TH%20ket%20qua%20diem%20ky%20thuat%20tinh%20thang%2007_2025%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 tiet"/>
      <sheetName val="TH"/>
      <sheetName val="HD 2013"/>
      <sheetName val="HD theo CNT"/>
      <sheetName val="BTS"/>
      <sheetName val="Sheet8"/>
      <sheetName val="HT tuyến 2013"/>
      <sheetName val="HT tuyến 2013 (đầu tỉnh)"/>
      <sheetName val="Sheet1"/>
      <sheetName val="TONG 25.06"/>
      <sheetName val="Chi_tiet"/>
      <sheetName val="HD_2013"/>
      <sheetName val="HD_theo_CNT"/>
      <sheetName val="HT_tuyến_2013"/>
      <sheetName val="HT_tuyến_2013_(đầu_tỉnh)"/>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NIMS"/>
      <sheetName val="Chi tiet chuan"/>
      <sheetName val="Tong hop"/>
    </sheetNames>
    <sheetDataSet>
      <sheetData sheetId="0"/>
      <sheetData sheetId="1"/>
      <sheetData sheetId="2">
        <row r="2">
          <cell r="A2" t="str">
            <v>ON</v>
          </cell>
          <cell r="B2" t="str">
            <v>Trong 24h</v>
          </cell>
          <cell r="D2" t="str">
            <v>Khiếu nại về dịch vụ FTTH</v>
          </cell>
          <cell r="W2" t="str">
            <v>Đã đóng</v>
          </cell>
          <cell r="AJ2" t="str">
            <v>TP HCM</v>
          </cell>
          <cell r="BX2" t="str">
            <v>AON</v>
          </cell>
        </row>
        <row r="3">
          <cell r="A3" t="str">
            <v>ON</v>
          </cell>
          <cell r="B3" t="str">
            <v>Trong 24h</v>
          </cell>
          <cell r="D3" t="str">
            <v>Khiếu nại về dịch vụ NextTV</v>
          </cell>
          <cell r="W3" t="str">
            <v>Đã đóng</v>
          </cell>
          <cell r="AJ3" t="str">
            <v>Bạc Liêu</v>
          </cell>
          <cell r="BX3" t="str">
            <v>AON</v>
          </cell>
        </row>
        <row r="4">
          <cell r="A4" t="str">
            <v>ON</v>
          </cell>
          <cell r="B4" t="str">
            <v>Trong 24h</v>
          </cell>
          <cell r="D4" t="str">
            <v>Khiếu nại về dịch vụ NextTV</v>
          </cell>
          <cell r="W4" t="str">
            <v>Đã đóng</v>
          </cell>
          <cell r="AJ4" t="str">
            <v>Bạc Liêu</v>
          </cell>
          <cell r="BX4" t="str">
            <v>AON</v>
          </cell>
        </row>
        <row r="5">
          <cell r="A5" t="str">
            <v>ON</v>
          </cell>
          <cell r="B5" t="str">
            <v>Trong 24h</v>
          </cell>
          <cell r="D5" t="str">
            <v>Khiếu nại về dịch vụ FTTH</v>
          </cell>
          <cell r="W5" t="str">
            <v>Đã đóng</v>
          </cell>
          <cell r="AJ5" t="str">
            <v>TP HCM</v>
          </cell>
          <cell r="BX5" t="str">
            <v>AON</v>
          </cell>
        </row>
        <row r="6">
          <cell r="A6" t="str">
            <v>ON</v>
          </cell>
          <cell r="B6" t="str">
            <v>Trong 24h</v>
          </cell>
          <cell r="D6" t="str">
            <v>Khiếu nại về dịch vụ FTTH</v>
          </cell>
          <cell r="W6" t="str">
            <v>Đã đóng</v>
          </cell>
          <cell r="AJ6" t="str">
            <v>TP HCM</v>
          </cell>
          <cell r="BX6" t="str">
            <v>AON</v>
          </cell>
        </row>
        <row r="7">
          <cell r="A7" t="str">
            <v>ON</v>
          </cell>
          <cell r="B7" t="str">
            <v>Trong 24h</v>
          </cell>
          <cell r="D7" t="str">
            <v>Khiếu nại về dịch vụ FTTH</v>
          </cell>
          <cell r="W7" t="str">
            <v>Đã đóng</v>
          </cell>
          <cell r="AJ7" t="str">
            <v>Bình Dương</v>
          </cell>
          <cell r="BX7" t="str">
            <v>AON</v>
          </cell>
        </row>
        <row r="8">
          <cell r="A8" t="str">
            <v>ON</v>
          </cell>
          <cell r="B8" t="str">
            <v>Trong 24h</v>
          </cell>
          <cell r="D8" t="str">
            <v>Khiếu nại về dịch vụ FTTH</v>
          </cell>
          <cell r="W8" t="str">
            <v>Đang xử lý</v>
          </cell>
          <cell r="AJ8" t="str">
            <v>Thái Nguyên</v>
          </cell>
          <cell r="BX8" t="str">
            <v>AON</v>
          </cell>
        </row>
        <row r="9">
          <cell r="A9" t="str">
            <v>ON</v>
          </cell>
          <cell r="B9" t="str">
            <v>Trong 24h</v>
          </cell>
          <cell r="D9" t="str">
            <v>Khiếu nại về dịch vụ NextTV</v>
          </cell>
          <cell r="W9" t="str">
            <v>Đã đóng</v>
          </cell>
          <cell r="AJ9" t="str">
            <v>Bình Dương</v>
          </cell>
          <cell r="BX9" t="str">
            <v>AON</v>
          </cell>
        </row>
        <row r="10">
          <cell r="A10" t="str">
            <v>ON</v>
          </cell>
          <cell r="B10" t="str">
            <v>Trong 24h</v>
          </cell>
          <cell r="D10" t="str">
            <v>Khiếu nại về dịch vụ FTTH</v>
          </cell>
          <cell r="W10" t="str">
            <v>Đã đóng</v>
          </cell>
          <cell r="AJ10" t="str">
            <v>TP HCM</v>
          </cell>
          <cell r="BX10" t="str">
            <v>AON</v>
          </cell>
        </row>
        <row r="11">
          <cell r="A11" t="str">
            <v>ON</v>
          </cell>
          <cell r="B11" t="str">
            <v>Trong 24h</v>
          </cell>
          <cell r="D11" t="str">
            <v>Khiếu nại về dịch vụ FTTH</v>
          </cell>
          <cell r="W11" t="str">
            <v>Đã đóng</v>
          </cell>
          <cell r="AJ11" t="str">
            <v>Bình Dương</v>
          </cell>
          <cell r="BX11" t="str">
            <v>AON</v>
          </cell>
        </row>
        <row r="12">
          <cell r="A12" t="str">
            <v>ON</v>
          </cell>
          <cell r="B12" t="str">
            <v>Trong 24h</v>
          </cell>
          <cell r="D12" t="str">
            <v>Khiếu nại về dịch vụ FTTH</v>
          </cell>
          <cell r="W12" t="str">
            <v>Đã đóng</v>
          </cell>
          <cell r="AJ12" t="str">
            <v>Đắc Nông</v>
          </cell>
          <cell r="BX12" t="str">
            <v>AON</v>
          </cell>
        </row>
        <row r="13">
          <cell r="A13" t="str">
            <v>ON</v>
          </cell>
          <cell r="B13" t="str">
            <v>Trong 24h</v>
          </cell>
          <cell r="D13" t="str">
            <v>Khiếu nại về dịch vụ FTTH</v>
          </cell>
          <cell r="W13" t="str">
            <v>Đã đóng</v>
          </cell>
          <cell r="AJ13" t="str">
            <v>Bình Phước</v>
          </cell>
          <cell r="BX13" t="str">
            <v>AON</v>
          </cell>
        </row>
        <row r="14">
          <cell r="A14" t="str">
            <v>ON</v>
          </cell>
          <cell r="B14" t="str">
            <v>Trong 24h</v>
          </cell>
          <cell r="D14" t="str">
            <v>Khiếu nại về dịch vụ FTTH</v>
          </cell>
          <cell r="W14" t="str">
            <v>Đã đóng</v>
          </cell>
          <cell r="AJ14" t="str">
            <v>Quảng Ninh</v>
          </cell>
          <cell r="BX14" t="str">
            <v>AON</v>
          </cell>
        </row>
        <row r="15">
          <cell r="A15" t="str">
            <v>ON</v>
          </cell>
          <cell r="B15" t="str">
            <v>Trong 24h</v>
          </cell>
          <cell r="D15" t="str">
            <v>Khiếu nại về dịch vụ FTTH</v>
          </cell>
          <cell r="W15" t="str">
            <v>Đã đóng</v>
          </cell>
          <cell r="AJ15" t="str">
            <v>An Giang</v>
          </cell>
          <cell r="BX15" t="str">
            <v>AON</v>
          </cell>
        </row>
        <row r="16">
          <cell r="A16" t="str">
            <v>ON</v>
          </cell>
          <cell r="B16" t="str">
            <v>Trong 24h</v>
          </cell>
          <cell r="D16" t="str">
            <v>Khiếu nại về dịch vụ FTTH</v>
          </cell>
          <cell r="W16" t="str">
            <v>Đã đóng</v>
          </cell>
          <cell r="AJ16" t="str">
            <v>Tây Ninh</v>
          </cell>
          <cell r="BX16" t="str">
            <v>AON</v>
          </cell>
        </row>
        <row r="17">
          <cell r="A17" t="str">
            <v>ON</v>
          </cell>
          <cell r="B17" t="str">
            <v>Trong 24h</v>
          </cell>
          <cell r="D17" t="str">
            <v>Khiếu nại về dịch vụ FTTH</v>
          </cell>
          <cell r="W17" t="str">
            <v>Đã đóng</v>
          </cell>
          <cell r="AJ17" t="str">
            <v>Bình Thuận</v>
          </cell>
          <cell r="BX17" t="str">
            <v>AON</v>
          </cell>
        </row>
        <row r="18">
          <cell r="A18" t="str">
            <v>ON</v>
          </cell>
          <cell r="B18" t="str">
            <v>Trong 24h</v>
          </cell>
          <cell r="D18" t="str">
            <v>Khiếu nại về dịch vụ FTTH</v>
          </cell>
          <cell r="W18" t="str">
            <v>Đã đóng</v>
          </cell>
          <cell r="AJ18" t="str">
            <v>Ninh Bình</v>
          </cell>
          <cell r="BX18" t="str">
            <v>AON</v>
          </cell>
        </row>
        <row r="19">
          <cell r="A19" t="str">
            <v>ON</v>
          </cell>
          <cell r="B19" t="str">
            <v>Trong 24h</v>
          </cell>
          <cell r="D19" t="str">
            <v>Khiếu nại về dịch vụ FTTH</v>
          </cell>
          <cell r="W19" t="str">
            <v>Đã đóng</v>
          </cell>
          <cell r="AJ19" t="str">
            <v>Đồng Tháp</v>
          </cell>
          <cell r="BX19" t="str">
            <v>AON</v>
          </cell>
        </row>
        <row r="20">
          <cell r="A20" t="str">
            <v>ON</v>
          </cell>
          <cell r="B20" t="str">
            <v>Trong 24h</v>
          </cell>
          <cell r="D20" t="str">
            <v>Khiếu nại về dịch vụ FTTH</v>
          </cell>
          <cell r="W20" t="str">
            <v>Đã đóng</v>
          </cell>
          <cell r="AJ20" t="str">
            <v>Bến Tre</v>
          </cell>
          <cell r="BX20" t="str">
            <v>AON</v>
          </cell>
        </row>
        <row r="21">
          <cell r="A21" t="str">
            <v>ON</v>
          </cell>
          <cell r="B21" t="str">
            <v>Trong 24h</v>
          </cell>
          <cell r="D21" t="str">
            <v>Khiếu nại về dịch vụ FTTH</v>
          </cell>
          <cell r="W21" t="str">
            <v>Đang xử lý</v>
          </cell>
          <cell r="AJ21" t="str">
            <v>Bắc Ninh</v>
          </cell>
          <cell r="BX21" t="str">
            <v>AON</v>
          </cell>
        </row>
        <row r="22">
          <cell r="A22" t="str">
            <v>ON</v>
          </cell>
          <cell r="B22" t="str">
            <v>Trong 24h</v>
          </cell>
          <cell r="D22" t="str">
            <v>Khiếu nại về dịch vụ FTTH</v>
          </cell>
          <cell r="W22" t="str">
            <v>Đã đóng</v>
          </cell>
          <cell r="AJ22" t="str">
            <v>Lâm Đồng</v>
          </cell>
          <cell r="BX22" t="str">
            <v>AON</v>
          </cell>
        </row>
        <row r="23">
          <cell r="A23" t="str">
            <v>ON</v>
          </cell>
          <cell r="B23" t="str">
            <v>Trong 24h</v>
          </cell>
          <cell r="D23" t="str">
            <v>Khiếu nại về dịch vụ FTTH</v>
          </cell>
          <cell r="W23" t="str">
            <v>Đã đóng</v>
          </cell>
          <cell r="AJ23" t="str">
            <v>Bà Rịa - Vũng Tàu</v>
          </cell>
          <cell r="BX23" t="str">
            <v>AON</v>
          </cell>
        </row>
        <row r="24">
          <cell r="A24" t="str">
            <v>ON</v>
          </cell>
          <cell r="B24" t="str">
            <v>Trong 24h</v>
          </cell>
          <cell r="D24" t="str">
            <v>Khiếu nại về dịch vụ FTTH</v>
          </cell>
          <cell r="W24" t="str">
            <v>Đã đóng</v>
          </cell>
          <cell r="AJ24" t="str">
            <v>Phú Yên</v>
          </cell>
          <cell r="BX24" t="str">
            <v>AON</v>
          </cell>
        </row>
        <row r="25">
          <cell r="A25" t="str">
            <v>ON</v>
          </cell>
          <cell r="B25" t="str">
            <v>Trong 24h</v>
          </cell>
          <cell r="D25" t="str">
            <v>Khiếu nại về dịch vụ FTTH</v>
          </cell>
          <cell r="W25" t="str">
            <v>Đã đóng</v>
          </cell>
          <cell r="AJ25" t="str">
            <v xml:space="preserve">Đồng Nai </v>
          </cell>
          <cell r="BX25" t="str">
            <v>AON</v>
          </cell>
        </row>
        <row r="26">
          <cell r="A26" t="str">
            <v>ON</v>
          </cell>
          <cell r="B26" t="str">
            <v>Trong 24h</v>
          </cell>
          <cell r="D26" t="str">
            <v>Khiếu nại về dịch vụ FTTH</v>
          </cell>
          <cell r="W26" t="str">
            <v>Đã đóng</v>
          </cell>
          <cell r="AJ26" t="str">
            <v>TP HCM</v>
          </cell>
          <cell r="BX26" t="str">
            <v>AON</v>
          </cell>
        </row>
        <row r="27">
          <cell r="A27" t="str">
            <v>ON</v>
          </cell>
          <cell r="B27" t="str">
            <v>Trong 24h</v>
          </cell>
          <cell r="D27" t="str">
            <v>Khiếu nại về dịch vụ FTTH</v>
          </cell>
          <cell r="W27" t="str">
            <v>Đã đóng</v>
          </cell>
          <cell r="AJ27" t="str">
            <v>Bắc Ninh</v>
          </cell>
          <cell r="BX27" t="str">
            <v>AON</v>
          </cell>
        </row>
        <row r="28">
          <cell r="A28" t="str">
            <v>ON</v>
          </cell>
          <cell r="B28" t="str">
            <v>Trong 24h</v>
          </cell>
          <cell r="D28" t="str">
            <v>Khiếu nại về dịch vụ FTTH</v>
          </cell>
          <cell r="W28" t="str">
            <v>Đã đóng</v>
          </cell>
          <cell r="AJ28" t="str">
            <v>Bình Phước</v>
          </cell>
          <cell r="BX28" t="str">
            <v>AON</v>
          </cell>
        </row>
        <row r="29">
          <cell r="A29" t="str">
            <v>ON</v>
          </cell>
          <cell r="B29" t="str">
            <v>Trong 24h</v>
          </cell>
          <cell r="D29" t="str">
            <v>Khiếu nại về dịch vụ FTTH</v>
          </cell>
          <cell r="W29" t="str">
            <v>Đã đóng</v>
          </cell>
          <cell r="AJ29" t="str">
            <v>An Giang</v>
          </cell>
          <cell r="BX29" t="str">
            <v>AON</v>
          </cell>
        </row>
        <row r="30">
          <cell r="A30" t="str">
            <v>ON</v>
          </cell>
          <cell r="B30" t="str">
            <v>Trong 24h</v>
          </cell>
          <cell r="D30" t="str">
            <v>Khiếu nại về dịch vụ FTTH</v>
          </cell>
          <cell r="W30" t="str">
            <v>Đã đóng</v>
          </cell>
          <cell r="AJ30" t="str">
            <v>TP HCM</v>
          </cell>
          <cell r="BX30" t="str">
            <v>GPON</v>
          </cell>
        </row>
        <row r="31">
          <cell r="A31" t="str">
            <v>ON</v>
          </cell>
          <cell r="B31" t="str">
            <v>Trong 24h</v>
          </cell>
          <cell r="D31" t="str">
            <v>Khiếu nại về dịch vụ FTTH</v>
          </cell>
          <cell r="W31" t="str">
            <v>Đã đóng</v>
          </cell>
          <cell r="AJ31" t="str">
            <v>Quảng Bình</v>
          </cell>
          <cell r="BX31" t="str">
            <v>AON</v>
          </cell>
        </row>
        <row r="32">
          <cell r="A32" t="str">
            <v>ON</v>
          </cell>
          <cell r="B32" t="str">
            <v>Trong 24h</v>
          </cell>
          <cell r="D32" t="str">
            <v>Khiếu nại về dịch vụ FTTH</v>
          </cell>
          <cell r="W32" t="str">
            <v>Đang xử lý</v>
          </cell>
          <cell r="AJ32" t="str">
            <v>Vĩnh Phúc</v>
          </cell>
          <cell r="BX32" t="str">
            <v>AON</v>
          </cell>
        </row>
        <row r="33">
          <cell r="A33" t="str">
            <v>ON</v>
          </cell>
          <cell r="B33" t="str">
            <v>Trong 24h</v>
          </cell>
          <cell r="D33" t="str">
            <v>Khiếu nại về dịch vụ FTTH</v>
          </cell>
          <cell r="W33" t="str">
            <v>Đang xử lý</v>
          </cell>
          <cell r="AJ33" t="str">
            <v>Bắc Ninh</v>
          </cell>
          <cell r="BX33" t="str">
            <v>AON</v>
          </cell>
        </row>
        <row r="34">
          <cell r="A34" t="str">
            <v>ON</v>
          </cell>
          <cell r="B34" t="str">
            <v>Trong 24h</v>
          </cell>
          <cell r="D34" t="str">
            <v>Khiếu nại về dịch vụ FTTH</v>
          </cell>
          <cell r="W34" t="str">
            <v>Đã đóng</v>
          </cell>
          <cell r="AJ34" t="str">
            <v>Bình Dương</v>
          </cell>
          <cell r="BX34" t="str">
            <v>AON</v>
          </cell>
        </row>
        <row r="35">
          <cell r="A35" t="str">
            <v>ON</v>
          </cell>
          <cell r="B35" t="str">
            <v>Trong 24h</v>
          </cell>
          <cell r="D35" t="str">
            <v>Khiếu nại về dịch vụ FTTH</v>
          </cell>
          <cell r="W35" t="str">
            <v>Đã đóng</v>
          </cell>
          <cell r="AJ35" t="str">
            <v>Quảng Ngãi</v>
          </cell>
          <cell r="BX35" t="str">
            <v>AON</v>
          </cell>
        </row>
        <row r="36">
          <cell r="A36" t="str">
            <v>ON</v>
          </cell>
          <cell r="B36" t="str">
            <v>Trong 24h</v>
          </cell>
          <cell r="D36" t="str">
            <v>Khiếu nại về dịch vụ FTTH</v>
          </cell>
          <cell r="W36" t="str">
            <v>Đã đóng</v>
          </cell>
          <cell r="AJ36" t="str">
            <v>Lâm Đồng</v>
          </cell>
          <cell r="BX36" t="str">
            <v>AON</v>
          </cell>
        </row>
        <row r="37">
          <cell r="A37" t="str">
            <v>ON</v>
          </cell>
          <cell r="B37" t="str">
            <v>Trong 24h</v>
          </cell>
          <cell r="D37" t="str">
            <v>Khiếu nại về dịch vụ FTTH</v>
          </cell>
          <cell r="W37" t="str">
            <v>Đã đóng</v>
          </cell>
          <cell r="AJ37" t="str">
            <v>TP HCM</v>
          </cell>
          <cell r="BX37" t="str">
            <v>AON</v>
          </cell>
        </row>
        <row r="38">
          <cell r="A38" t="str">
            <v>ON</v>
          </cell>
          <cell r="B38" t="str">
            <v>Trong 24h</v>
          </cell>
          <cell r="D38" t="str">
            <v>Khiếu nại về dịch vụ FTTH</v>
          </cell>
          <cell r="W38" t="str">
            <v>Đã đóng</v>
          </cell>
          <cell r="AJ38" t="str">
            <v>TP HCM</v>
          </cell>
          <cell r="BX38" t="str">
            <v>AON</v>
          </cell>
        </row>
        <row r="39">
          <cell r="A39" t="str">
            <v>ON</v>
          </cell>
          <cell r="B39" t="str">
            <v>Trong 24h</v>
          </cell>
          <cell r="D39" t="str">
            <v>Khiếu nại về dịch vụ FTTH</v>
          </cell>
          <cell r="W39" t="str">
            <v>Đã đóng</v>
          </cell>
          <cell r="AJ39" t="str">
            <v>Thái Nguyên</v>
          </cell>
          <cell r="BX39" t="str">
            <v>AON</v>
          </cell>
        </row>
        <row r="40">
          <cell r="A40" t="str">
            <v>ON</v>
          </cell>
          <cell r="B40" t="str">
            <v>Trong 24h</v>
          </cell>
          <cell r="D40" t="str">
            <v>Khiếu nại về dịch vụ FTTH</v>
          </cell>
          <cell r="W40" t="str">
            <v>Đã đóng</v>
          </cell>
          <cell r="AJ40" t="str">
            <v>TP HCM</v>
          </cell>
          <cell r="BX40" t="str">
            <v>AON</v>
          </cell>
        </row>
        <row r="41">
          <cell r="A41" t="str">
            <v>ON</v>
          </cell>
          <cell r="B41" t="str">
            <v>Trong 24h</v>
          </cell>
          <cell r="D41" t="str">
            <v>Khiếu nại về dịch vụ FTTH</v>
          </cell>
          <cell r="W41" t="str">
            <v>Đã đóng</v>
          </cell>
          <cell r="AJ41" t="str">
            <v>Bắc Ninh</v>
          </cell>
          <cell r="BX41" t="str">
            <v>AON</v>
          </cell>
        </row>
        <row r="42">
          <cell r="A42" t="str">
            <v>ON</v>
          </cell>
          <cell r="B42" t="str">
            <v>Trong 24h</v>
          </cell>
          <cell r="D42" t="str">
            <v>Khiếu nại về dịch vụ FTTH</v>
          </cell>
          <cell r="W42" t="str">
            <v>Đã đóng</v>
          </cell>
          <cell r="AJ42" t="str">
            <v>Bình Dương</v>
          </cell>
          <cell r="BX42" t="str">
            <v>AON</v>
          </cell>
        </row>
        <row r="43">
          <cell r="A43" t="str">
            <v>ON</v>
          </cell>
          <cell r="B43" t="str">
            <v>Trong 24h</v>
          </cell>
          <cell r="D43" t="str">
            <v>Khiếu nại về dịch vụ FTTH</v>
          </cell>
          <cell r="W43" t="str">
            <v>Đã đóng</v>
          </cell>
          <cell r="AJ43" t="str">
            <v>Thái Nguyên</v>
          </cell>
          <cell r="BX43" t="str">
            <v>AON</v>
          </cell>
        </row>
        <row r="44">
          <cell r="A44" t="str">
            <v>ON</v>
          </cell>
          <cell r="B44" t="str">
            <v>Trong 24h</v>
          </cell>
          <cell r="D44" t="str">
            <v>Khiếu nại về dịch vụ FTTH</v>
          </cell>
          <cell r="W44" t="str">
            <v>Đã đóng</v>
          </cell>
          <cell r="AJ44" t="str">
            <v>TP HCM</v>
          </cell>
          <cell r="BX44" t="str">
            <v>AON</v>
          </cell>
        </row>
        <row r="45">
          <cell r="A45" t="str">
            <v>ON</v>
          </cell>
          <cell r="B45" t="str">
            <v>Trong 24h</v>
          </cell>
          <cell r="D45" t="str">
            <v>Khiếu nại về dịch vụ FTTH</v>
          </cell>
          <cell r="W45" t="str">
            <v>Đang xử lý</v>
          </cell>
          <cell r="AJ45" t="str">
            <v>Lâm Đồng</v>
          </cell>
          <cell r="BX45" t="str">
            <v>AON</v>
          </cell>
        </row>
        <row r="46">
          <cell r="A46" t="str">
            <v>ON</v>
          </cell>
          <cell r="B46" t="str">
            <v>Trong 24h</v>
          </cell>
          <cell r="D46" t="str">
            <v>Khiếu nại về dịch vụ FTTH</v>
          </cell>
          <cell r="W46" t="str">
            <v>Đang xử lý</v>
          </cell>
          <cell r="AJ46" t="str">
            <v>TP HCM</v>
          </cell>
          <cell r="BX46" t="str">
            <v>AON</v>
          </cell>
        </row>
        <row r="47">
          <cell r="A47" t="str">
            <v>ON</v>
          </cell>
          <cell r="B47" t="str">
            <v>Trong 24h</v>
          </cell>
          <cell r="D47" t="str">
            <v>Khiếu nại về dịch vụ FTTH</v>
          </cell>
          <cell r="W47" t="str">
            <v>Đã đóng</v>
          </cell>
          <cell r="AJ47" t="str">
            <v>Nam Định</v>
          </cell>
          <cell r="BX47" t="str">
            <v>AON</v>
          </cell>
        </row>
        <row r="48">
          <cell r="A48" t="str">
            <v>ON</v>
          </cell>
          <cell r="B48" t="str">
            <v>Trong 24h</v>
          </cell>
          <cell r="D48" t="str">
            <v>Khiếu nại về dịch vụ FTTH</v>
          </cell>
          <cell r="W48" t="str">
            <v>Đã đóng</v>
          </cell>
          <cell r="AJ48" t="str">
            <v>Phú Yên</v>
          </cell>
          <cell r="BX48" t="str">
            <v>AON</v>
          </cell>
        </row>
        <row r="49">
          <cell r="A49" t="str">
            <v>ON</v>
          </cell>
          <cell r="B49" t="str">
            <v>Trong 24h</v>
          </cell>
          <cell r="D49" t="str">
            <v>Khiếu nại về dịch vụ FTTH</v>
          </cell>
          <cell r="W49" t="str">
            <v>Đã đóng</v>
          </cell>
          <cell r="AJ49" t="str">
            <v>Ninh Thuận</v>
          </cell>
          <cell r="BX49" t="str">
            <v>AON</v>
          </cell>
        </row>
        <row r="50">
          <cell r="A50" t="str">
            <v>ON</v>
          </cell>
          <cell r="B50" t="str">
            <v>Trong 24h</v>
          </cell>
          <cell r="D50" t="str">
            <v>Khiếu nại về dịch vụ FTTH</v>
          </cell>
          <cell r="W50" t="str">
            <v>Đã đóng</v>
          </cell>
          <cell r="AJ50" t="str">
            <v>TP HCM</v>
          </cell>
          <cell r="BX50" t="str">
            <v>AON</v>
          </cell>
        </row>
        <row r="51">
          <cell r="A51" t="str">
            <v>ON</v>
          </cell>
          <cell r="B51" t="str">
            <v>Trong 24h</v>
          </cell>
          <cell r="D51" t="str">
            <v>Khiếu nại về dịch vụ FTTH</v>
          </cell>
          <cell r="W51" t="str">
            <v>Đã đóng</v>
          </cell>
          <cell r="AJ51" t="str">
            <v>Hải Phòng</v>
          </cell>
          <cell r="BX51" t="str">
            <v>AON</v>
          </cell>
        </row>
        <row r="52">
          <cell r="A52" t="str">
            <v>ON</v>
          </cell>
          <cell r="B52" t="str">
            <v>Trong 24h</v>
          </cell>
          <cell r="D52" t="str">
            <v>Khiếu nại về dịch vụ FTTH</v>
          </cell>
          <cell r="W52" t="str">
            <v>Đã đóng</v>
          </cell>
          <cell r="AJ52" t="str">
            <v>Bình Phước</v>
          </cell>
          <cell r="BX52" t="str">
            <v>AON</v>
          </cell>
        </row>
        <row r="53">
          <cell r="A53" t="str">
            <v>ON</v>
          </cell>
          <cell r="B53" t="str">
            <v>Trong 24h</v>
          </cell>
          <cell r="D53" t="str">
            <v>Khiếu nại về dịch vụ FTTH</v>
          </cell>
          <cell r="W53" t="str">
            <v>Đã đóng</v>
          </cell>
          <cell r="AJ53" t="str">
            <v>TP HCM</v>
          </cell>
          <cell r="BX53" t="str">
            <v>AON</v>
          </cell>
        </row>
        <row r="54">
          <cell r="A54" t="str">
            <v>ON</v>
          </cell>
          <cell r="B54" t="str">
            <v>Trong 24h</v>
          </cell>
          <cell r="D54" t="str">
            <v>Khiếu nại về dịch vụ FTTH</v>
          </cell>
          <cell r="W54" t="str">
            <v>Đã đóng</v>
          </cell>
          <cell r="AJ54" t="str">
            <v>Bạc Liêu</v>
          </cell>
          <cell r="BX54" t="str">
            <v>AON</v>
          </cell>
        </row>
        <row r="55">
          <cell r="A55" t="str">
            <v>ON</v>
          </cell>
          <cell r="B55" t="str">
            <v>Trong 24h</v>
          </cell>
          <cell r="D55" t="str">
            <v>Khiếu nại về dịch vụ FTTH</v>
          </cell>
          <cell r="W55" t="str">
            <v>Đã đóng</v>
          </cell>
          <cell r="AJ55" t="str">
            <v>Quảng Ngãi</v>
          </cell>
          <cell r="BX55" t="str">
            <v>AON</v>
          </cell>
        </row>
        <row r="56">
          <cell r="A56" t="str">
            <v>ON</v>
          </cell>
          <cell r="B56" t="str">
            <v>Trong 24h</v>
          </cell>
          <cell r="D56" t="str">
            <v>Khiếu nại về dịch vụ FTTH</v>
          </cell>
          <cell r="W56" t="str">
            <v>Đã đóng</v>
          </cell>
          <cell r="AJ56" t="str">
            <v>Hậu Giang</v>
          </cell>
          <cell r="BX56" t="str">
            <v>AON</v>
          </cell>
        </row>
        <row r="57">
          <cell r="A57" t="str">
            <v>ON</v>
          </cell>
          <cell r="B57" t="str">
            <v>Trong 24h</v>
          </cell>
          <cell r="D57" t="str">
            <v>Khiếu nại về dịch vụ FTTH</v>
          </cell>
          <cell r="W57" t="str">
            <v>Đã đóng</v>
          </cell>
          <cell r="AJ57" t="str">
            <v>TP HCM</v>
          </cell>
          <cell r="BX57" t="str">
            <v>AON</v>
          </cell>
        </row>
        <row r="58">
          <cell r="A58" t="str">
            <v>ON</v>
          </cell>
          <cell r="B58" t="str">
            <v>Trong 24h</v>
          </cell>
          <cell r="D58" t="str">
            <v>Khiếu nại về dịch vụ FTTH</v>
          </cell>
          <cell r="W58" t="str">
            <v>Đã đóng</v>
          </cell>
          <cell r="AJ58" t="str">
            <v>Sơn La</v>
          </cell>
          <cell r="BX58" t="str">
            <v>AON</v>
          </cell>
        </row>
        <row r="59">
          <cell r="A59" t="str">
            <v>ON</v>
          </cell>
          <cell r="B59" t="str">
            <v>Trong 24h</v>
          </cell>
          <cell r="D59" t="str">
            <v>Khiếu nại về dịch vụ FTTH</v>
          </cell>
          <cell r="W59" t="str">
            <v>Đã đóng</v>
          </cell>
          <cell r="AJ59" t="str">
            <v>Vĩnh Phúc</v>
          </cell>
          <cell r="BX59" t="str">
            <v>AON</v>
          </cell>
        </row>
        <row r="60">
          <cell r="A60" t="str">
            <v>ON</v>
          </cell>
          <cell r="B60" t="str">
            <v>Trong 24h</v>
          </cell>
          <cell r="D60" t="str">
            <v>Khiếu nại về dịch vụ FTTH</v>
          </cell>
          <cell r="W60" t="str">
            <v>Đã đóng</v>
          </cell>
          <cell r="AJ60" t="str">
            <v>Hậu Giang</v>
          </cell>
          <cell r="BX60" t="str">
            <v>AON</v>
          </cell>
        </row>
        <row r="61">
          <cell r="A61" t="str">
            <v>ON</v>
          </cell>
          <cell r="B61" t="str">
            <v>Trong 24h</v>
          </cell>
          <cell r="D61" t="str">
            <v>Khiếu nại về dịch vụ FTTH</v>
          </cell>
          <cell r="W61" t="str">
            <v>Đã đóng</v>
          </cell>
          <cell r="AJ61" t="str">
            <v>Hậu Giang</v>
          </cell>
          <cell r="BX61" t="str">
            <v>AON</v>
          </cell>
        </row>
        <row r="62">
          <cell r="A62" t="str">
            <v>ON</v>
          </cell>
          <cell r="B62" t="str">
            <v>Trong 24h</v>
          </cell>
          <cell r="D62" t="str">
            <v>Khiếu nại về dịch vụ FTTH</v>
          </cell>
          <cell r="W62" t="str">
            <v>Đã đóng</v>
          </cell>
          <cell r="AJ62" t="str">
            <v xml:space="preserve">Quảng Nam </v>
          </cell>
          <cell r="BX62" t="str">
            <v>AON</v>
          </cell>
        </row>
        <row r="63">
          <cell r="A63" t="str">
            <v>ON</v>
          </cell>
          <cell r="B63" t="str">
            <v>Trong 24h</v>
          </cell>
          <cell r="D63" t="str">
            <v>Khiếu nại về dịch vụ FTTH</v>
          </cell>
          <cell r="W63" t="str">
            <v>Đã đóng</v>
          </cell>
          <cell r="AJ63" t="str">
            <v>TP HCM</v>
          </cell>
          <cell r="BX63" t="str">
            <v>AON</v>
          </cell>
        </row>
        <row r="64">
          <cell r="A64" t="str">
            <v>ON</v>
          </cell>
          <cell r="B64" t="str">
            <v>Trong 24h</v>
          </cell>
          <cell r="D64" t="str">
            <v>Khiếu nại về dịch vụ FTTH</v>
          </cell>
          <cell r="W64" t="str">
            <v>Đã đóng</v>
          </cell>
          <cell r="AJ64" t="str">
            <v>Hà Nội 2</v>
          </cell>
          <cell r="BX64" t="str">
            <v>AON</v>
          </cell>
        </row>
        <row r="65">
          <cell r="A65" t="str">
            <v>ON</v>
          </cell>
          <cell r="B65" t="str">
            <v>Trong 24h</v>
          </cell>
          <cell r="D65" t="str">
            <v>Khiếu nại về dịch vụ FTTH</v>
          </cell>
          <cell r="W65" t="str">
            <v>Đã đóng</v>
          </cell>
          <cell r="AJ65" t="str">
            <v>Cần Thơ</v>
          </cell>
          <cell r="BX65" t="str">
            <v>AON</v>
          </cell>
        </row>
        <row r="66">
          <cell r="A66" t="str">
            <v>ON</v>
          </cell>
          <cell r="B66" t="str">
            <v>Trong 24h</v>
          </cell>
          <cell r="D66" t="str">
            <v>Khiếu nại về dịch vụ FTTH</v>
          </cell>
          <cell r="W66" t="str">
            <v>Đang xử lý</v>
          </cell>
          <cell r="AJ66" t="str">
            <v>Bình Định</v>
          </cell>
          <cell r="BX66" t="str">
            <v>AON</v>
          </cell>
        </row>
        <row r="67">
          <cell r="A67" t="str">
            <v>ON</v>
          </cell>
          <cell r="B67" t="str">
            <v>Trong 24h</v>
          </cell>
          <cell r="D67" t="str">
            <v>Khiếu nại về dịch vụ FTTH</v>
          </cell>
          <cell r="W67" t="str">
            <v>Đã đóng</v>
          </cell>
          <cell r="AJ67" t="str">
            <v>Quảng Ninh</v>
          </cell>
          <cell r="BX67" t="str">
            <v>AON</v>
          </cell>
        </row>
        <row r="68">
          <cell r="A68" t="str">
            <v>ON</v>
          </cell>
          <cell r="B68" t="str">
            <v>Trong 24h</v>
          </cell>
          <cell r="D68" t="str">
            <v>Khiếu nại về dịch vụ FTTH</v>
          </cell>
          <cell r="W68" t="str">
            <v>Đã đóng</v>
          </cell>
          <cell r="AJ68" t="str">
            <v>Vĩnh Long</v>
          </cell>
          <cell r="BX68" t="str">
            <v>AON</v>
          </cell>
        </row>
        <row r="69">
          <cell r="A69" t="str">
            <v>ON</v>
          </cell>
          <cell r="B69" t="str">
            <v>Trong 24h</v>
          </cell>
          <cell r="D69" t="str">
            <v>Khiếu nại về dịch vụ FTTH</v>
          </cell>
          <cell r="W69" t="str">
            <v>Đã đóng</v>
          </cell>
          <cell r="AJ69" t="str">
            <v>Hậu Giang</v>
          </cell>
          <cell r="BX69" t="str">
            <v>AON</v>
          </cell>
        </row>
        <row r="70">
          <cell r="A70" t="str">
            <v>ON</v>
          </cell>
          <cell r="B70" t="str">
            <v>Trong 24h</v>
          </cell>
          <cell r="D70" t="str">
            <v>Khiếu nại về dịch vụ FTTH</v>
          </cell>
          <cell r="W70" t="str">
            <v>Đã đóng</v>
          </cell>
          <cell r="AJ70" t="str">
            <v>Nghệ An</v>
          </cell>
          <cell r="BX70" t="str">
            <v>AON</v>
          </cell>
        </row>
        <row r="71">
          <cell r="A71" t="str">
            <v>ON</v>
          </cell>
          <cell r="B71" t="str">
            <v>Trong 24h</v>
          </cell>
          <cell r="D71" t="str">
            <v>Khiếu nại về dịch vụ FTTH</v>
          </cell>
          <cell r="W71" t="str">
            <v>Đã đóng</v>
          </cell>
          <cell r="AJ71" t="str">
            <v>Lào Cai</v>
          </cell>
          <cell r="BX71" t="str">
            <v>AON</v>
          </cell>
        </row>
        <row r="72">
          <cell r="A72" t="str">
            <v>ON</v>
          </cell>
          <cell r="B72" t="str">
            <v>Trong 24h</v>
          </cell>
          <cell r="D72" t="str">
            <v>Khiếu nại về dịch vụ FTTH</v>
          </cell>
          <cell r="W72" t="str">
            <v>Đang xử lý</v>
          </cell>
          <cell r="AJ72" t="str">
            <v>Bến Tre</v>
          </cell>
          <cell r="BX72" t="str">
            <v>AON</v>
          </cell>
        </row>
        <row r="73">
          <cell r="A73" t="str">
            <v>ON</v>
          </cell>
          <cell r="B73" t="str">
            <v>Trong 24h</v>
          </cell>
          <cell r="D73" t="str">
            <v>Khiếu nại về dịch vụ FTTH</v>
          </cell>
          <cell r="W73" t="str">
            <v>Đã đóng</v>
          </cell>
          <cell r="AJ73" t="str">
            <v>Khánh Hoà</v>
          </cell>
          <cell r="BX73" t="str">
            <v>AON</v>
          </cell>
        </row>
        <row r="74">
          <cell r="A74" t="str">
            <v>ON</v>
          </cell>
          <cell r="B74" t="str">
            <v>Trong 24h</v>
          </cell>
          <cell r="D74" t="str">
            <v>Khiếu nại về dịch vụ FTTH</v>
          </cell>
          <cell r="W74" t="str">
            <v>Đã đóng</v>
          </cell>
          <cell r="AJ74" t="str">
            <v>Bạc Liêu</v>
          </cell>
          <cell r="BX74" t="str">
            <v>AON</v>
          </cell>
        </row>
        <row r="75">
          <cell r="A75" t="str">
            <v>ON</v>
          </cell>
          <cell r="B75" t="str">
            <v>Trong 24h</v>
          </cell>
          <cell r="D75" t="str">
            <v>Khiếu nại về dịch vụ FTTH</v>
          </cell>
          <cell r="W75" t="str">
            <v>Đã đóng</v>
          </cell>
          <cell r="AJ75" t="str">
            <v>TP HCM</v>
          </cell>
          <cell r="BX75" t="str">
            <v>AON</v>
          </cell>
        </row>
        <row r="76">
          <cell r="A76" t="str">
            <v>ON</v>
          </cell>
          <cell r="B76" t="str">
            <v>Trong 24h</v>
          </cell>
          <cell r="D76" t="str">
            <v>Khiếu nại về dịch vụ FTTH</v>
          </cell>
          <cell r="W76" t="str">
            <v>Đã đóng</v>
          </cell>
          <cell r="AJ76" t="str">
            <v>Quảng Ngãi</v>
          </cell>
          <cell r="BX76" t="str">
            <v>AON</v>
          </cell>
        </row>
        <row r="77">
          <cell r="A77" t="str">
            <v>ON</v>
          </cell>
          <cell r="B77" t="str">
            <v>Trong 24h</v>
          </cell>
          <cell r="D77" t="str">
            <v>Khiếu nại về dịch vụ FTTH</v>
          </cell>
          <cell r="W77" t="str">
            <v>Đã đóng</v>
          </cell>
          <cell r="AJ77" t="str">
            <v>Bình Dương</v>
          </cell>
          <cell r="BX77" t="str">
            <v>AON</v>
          </cell>
        </row>
        <row r="78">
          <cell r="A78" t="str">
            <v>ON</v>
          </cell>
          <cell r="B78" t="str">
            <v>Trong 24h</v>
          </cell>
          <cell r="D78" t="str">
            <v>Khiếu nại về dịch vụ FTTH</v>
          </cell>
          <cell r="W78" t="str">
            <v>Đã đóng</v>
          </cell>
          <cell r="AJ78" t="str">
            <v>Gia Lai</v>
          </cell>
          <cell r="BX78" t="str">
            <v>AON</v>
          </cell>
        </row>
        <row r="79">
          <cell r="A79" t="str">
            <v>ON</v>
          </cell>
          <cell r="B79" t="str">
            <v>Trong 24h</v>
          </cell>
          <cell r="D79" t="str">
            <v>Khiếu nại về dịch vụ FTTH</v>
          </cell>
          <cell r="W79" t="str">
            <v>Đã đóng</v>
          </cell>
          <cell r="AJ79" t="str">
            <v>TP HCM</v>
          </cell>
          <cell r="BX79" t="str">
            <v>AON</v>
          </cell>
        </row>
        <row r="80">
          <cell r="A80" t="str">
            <v>ON</v>
          </cell>
          <cell r="B80" t="str">
            <v>Trong 24h</v>
          </cell>
          <cell r="D80" t="str">
            <v>Khiếu nại về dịch vụ FTTH</v>
          </cell>
          <cell r="W80" t="str">
            <v>Đã đóng</v>
          </cell>
          <cell r="AJ80" t="str">
            <v>Cần Thơ</v>
          </cell>
          <cell r="BX80" t="str">
            <v>AON</v>
          </cell>
        </row>
        <row r="81">
          <cell r="A81" t="str">
            <v>ON</v>
          </cell>
          <cell r="B81" t="str">
            <v>Trong 24h</v>
          </cell>
          <cell r="D81" t="str">
            <v>Khiếu nại về dịch vụ FTTH</v>
          </cell>
          <cell r="W81" t="str">
            <v>Đã đóng</v>
          </cell>
          <cell r="AJ81" t="str">
            <v>Khánh Hoà</v>
          </cell>
          <cell r="BX81" t="str">
            <v>AON</v>
          </cell>
        </row>
        <row r="82">
          <cell r="A82" t="str">
            <v>ON</v>
          </cell>
          <cell r="B82" t="str">
            <v>Trong 24h</v>
          </cell>
          <cell r="D82" t="str">
            <v>Khiếu nại về dịch vụ FTTH</v>
          </cell>
          <cell r="W82" t="str">
            <v>Đã đóng</v>
          </cell>
          <cell r="AJ82" t="str">
            <v>Đồng Tháp</v>
          </cell>
          <cell r="BX82" t="str">
            <v>AON</v>
          </cell>
        </row>
        <row r="83">
          <cell r="A83" t="str">
            <v>ON</v>
          </cell>
          <cell r="B83" t="str">
            <v>Trong 24h</v>
          </cell>
          <cell r="D83" t="str">
            <v>Khiếu nại về dịch vụ FTTH</v>
          </cell>
          <cell r="W83" t="str">
            <v>Đang xử lý</v>
          </cell>
          <cell r="AJ83" t="str">
            <v>Bến Tre</v>
          </cell>
          <cell r="BX83" t="str">
            <v>AON</v>
          </cell>
        </row>
        <row r="84">
          <cell r="A84" t="str">
            <v>ON</v>
          </cell>
          <cell r="B84" t="str">
            <v>Trong 24h</v>
          </cell>
          <cell r="D84" t="str">
            <v>Khiếu nại về dịch vụ FTTH</v>
          </cell>
          <cell r="W84" t="str">
            <v>Đã đóng</v>
          </cell>
          <cell r="AJ84" t="str">
            <v>Thái Bình</v>
          </cell>
          <cell r="BX84" t="str">
            <v>AON</v>
          </cell>
        </row>
        <row r="85">
          <cell r="A85" t="str">
            <v>ON</v>
          </cell>
          <cell r="B85" t="str">
            <v>Trong 24h</v>
          </cell>
          <cell r="D85" t="str">
            <v>Khiếu nại về dịch vụ FTTH</v>
          </cell>
          <cell r="W85" t="str">
            <v>Đã đóng</v>
          </cell>
          <cell r="AJ85" t="str">
            <v>TP HCM</v>
          </cell>
          <cell r="BX85" t="str">
            <v>AON</v>
          </cell>
        </row>
        <row r="86">
          <cell r="A86" t="str">
            <v>ON</v>
          </cell>
          <cell r="B86" t="str">
            <v>Trong 24h</v>
          </cell>
          <cell r="D86" t="str">
            <v>Khiếu nại về dịch vụ FTTH</v>
          </cell>
          <cell r="W86" t="str">
            <v>Đang xử lý</v>
          </cell>
          <cell r="AJ86" t="str">
            <v>Bắc Ninh</v>
          </cell>
          <cell r="BX86" t="str">
            <v>AON</v>
          </cell>
        </row>
        <row r="87">
          <cell r="A87" t="str">
            <v>ON</v>
          </cell>
          <cell r="B87" t="str">
            <v>Trong 24h</v>
          </cell>
          <cell r="D87" t="str">
            <v>Khiếu nại về dịch vụ NextTV</v>
          </cell>
          <cell r="W87" t="str">
            <v>Đang xử lý</v>
          </cell>
          <cell r="AJ87" t="str">
            <v>Bến Tre</v>
          </cell>
          <cell r="BX87" t="str">
            <v>AON</v>
          </cell>
        </row>
        <row r="88">
          <cell r="A88" t="str">
            <v>ON</v>
          </cell>
          <cell r="B88" t="str">
            <v>Trong 24h</v>
          </cell>
          <cell r="D88" t="str">
            <v>Khiếu nại về dịch vụ FTTH</v>
          </cell>
          <cell r="W88" t="str">
            <v>Đã đóng</v>
          </cell>
          <cell r="AJ88" t="str">
            <v>TP HCM</v>
          </cell>
          <cell r="BX88" t="str">
            <v>AON</v>
          </cell>
        </row>
        <row r="89">
          <cell r="A89" t="str">
            <v>ON</v>
          </cell>
          <cell r="B89" t="str">
            <v>Trong 24h</v>
          </cell>
          <cell r="D89" t="str">
            <v>Khiếu nại về dịch vụ FTTH</v>
          </cell>
          <cell r="W89" t="str">
            <v>Đã đóng</v>
          </cell>
          <cell r="AJ89" t="str">
            <v>Bà Rịa - Vũng Tàu</v>
          </cell>
          <cell r="BX89" t="str">
            <v>AON</v>
          </cell>
        </row>
        <row r="90">
          <cell r="A90" t="str">
            <v>ON</v>
          </cell>
          <cell r="B90" t="str">
            <v>Trong 24h</v>
          </cell>
          <cell r="D90" t="str">
            <v>Khiếu nại về dịch vụ FTTH</v>
          </cell>
          <cell r="W90" t="str">
            <v>Đã đóng</v>
          </cell>
          <cell r="AJ90" t="str">
            <v xml:space="preserve">Đà Nẵng </v>
          </cell>
          <cell r="BX90" t="str">
            <v>AON</v>
          </cell>
        </row>
        <row r="91">
          <cell r="A91" t="str">
            <v>ON</v>
          </cell>
          <cell r="B91" t="str">
            <v>Trong 24h</v>
          </cell>
          <cell r="D91" t="str">
            <v>Khiếu nại về dịch vụ FTTH</v>
          </cell>
          <cell r="W91" t="str">
            <v>Đã đóng</v>
          </cell>
          <cell r="AJ91" t="str">
            <v>Hậu Giang</v>
          </cell>
          <cell r="BX91" t="str">
            <v>AON</v>
          </cell>
        </row>
        <row r="92">
          <cell r="A92" t="str">
            <v>ON</v>
          </cell>
          <cell r="B92" t="str">
            <v>Trong 24h</v>
          </cell>
          <cell r="D92" t="str">
            <v>Khiếu nại về dịch vụ FTTH</v>
          </cell>
          <cell r="W92" t="str">
            <v>Đã đóng</v>
          </cell>
          <cell r="AJ92" t="str">
            <v>TP HCM</v>
          </cell>
          <cell r="BX92" t="str">
            <v>AON</v>
          </cell>
        </row>
        <row r="93">
          <cell r="A93" t="str">
            <v>ON</v>
          </cell>
          <cell r="B93" t="str">
            <v>Trong 24h</v>
          </cell>
          <cell r="D93" t="str">
            <v>Khiếu nại về dịch vụ FTTH</v>
          </cell>
          <cell r="W93" t="str">
            <v>Đã đóng</v>
          </cell>
          <cell r="AJ93" t="str">
            <v>Cần Thơ</v>
          </cell>
          <cell r="BX93" t="str">
            <v>AON</v>
          </cell>
        </row>
        <row r="94">
          <cell r="A94" t="str">
            <v>ON</v>
          </cell>
          <cell r="B94" t="str">
            <v>Trong 24h</v>
          </cell>
          <cell r="D94" t="str">
            <v>Khiếu nại về dịch vụ FTTH</v>
          </cell>
          <cell r="W94" t="str">
            <v>Đã đóng</v>
          </cell>
          <cell r="AJ94" t="str">
            <v>Hà Nội 1</v>
          </cell>
          <cell r="BX94" t="str">
            <v>AON</v>
          </cell>
        </row>
        <row r="95">
          <cell r="A95" t="str">
            <v>ON</v>
          </cell>
          <cell r="B95" t="str">
            <v>Trong 24h</v>
          </cell>
          <cell r="D95" t="str">
            <v>Khiếu nại về dịch vụ FTTH</v>
          </cell>
          <cell r="W95" t="str">
            <v>Đã đóng</v>
          </cell>
          <cell r="AJ95" t="str">
            <v xml:space="preserve">Quảng Nam </v>
          </cell>
          <cell r="BX95" t="str">
            <v>AON</v>
          </cell>
        </row>
        <row r="96">
          <cell r="A96" t="str">
            <v>ON</v>
          </cell>
          <cell r="B96" t="str">
            <v>Trong 24h</v>
          </cell>
          <cell r="D96" t="str">
            <v>Khiếu nại về dịch vụ FTTH</v>
          </cell>
          <cell r="W96" t="str">
            <v>Đã đóng</v>
          </cell>
          <cell r="AJ96" t="str">
            <v>TP HCM</v>
          </cell>
          <cell r="BX96" t="str">
            <v>AON</v>
          </cell>
        </row>
        <row r="97">
          <cell r="A97" t="str">
            <v>ON</v>
          </cell>
          <cell r="B97" t="str">
            <v>Trong 24h</v>
          </cell>
          <cell r="D97" t="str">
            <v>Khiếu nại về dịch vụ FTTH</v>
          </cell>
          <cell r="W97" t="str">
            <v>Đã đóng</v>
          </cell>
          <cell r="AJ97" t="str">
            <v>Hà Nội 2</v>
          </cell>
          <cell r="BX97" t="str">
            <v>AON</v>
          </cell>
        </row>
        <row r="98">
          <cell r="A98" t="str">
            <v>ON</v>
          </cell>
          <cell r="B98" t="str">
            <v>Trong 24h</v>
          </cell>
          <cell r="D98" t="str">
            <v>Khiếu nại về dịch vụ FTTH</v>
          </cell>
          <cell r="W98" t="str">
            <v>Đã đóng</v>
          </cell>
          <cell r="AJ98" t="str">
            <v>Bà Rịa - Vũng Tàu</v>
          </cell>
          <cell r="BX98" t="str">
            <v>AON</v>
          </cell>
        </row>
        <row r="99">
          <cell r="A99" t="str">
            <v>ON</v>
          </cell>
          <cell r="B99" t="str">
            <v>Trong 24h</v>
          </cell>
          <cell r="D99" t="str">
            <v>Khiếu nại về dịch vụ FTTH</v>
          </cell>
          <cell r="W99" t="str">
            <v>Đã đóng</v>
          </cell>
          <cell r="AJ99" t="str">
            <v>Hưng Yên</v>
          </cell>
          <cell r="BX99" t="str">
            <v>AON</v>
          </cell>
        </row>
        <row r="100">
          <cell r="A100" t="str">
            <v>ON</v>
          </cell>
          <cell r="B100" t="str">
            <v>Trong 24h</v>
          </cell>
          <cell r="D100" t="str">
            <v>Khiếu nại về dịch vụ FTTH</v>
          </cell>
          <cell r="W100" t="str">
            <v>Đã đóng</v>
          </cell>
          <cell r="AJ100" t="str">
            <v>TP HCM</v>
          </cell>
          <cell r="BX100" t="str">
            <v>AON</v>
          </cell>
        </row>
        <row r="101">
          <cell r="A101" t="str">
            <v>ON</v>
          </cell>
          <cell r="B101" t="str">
            <v>Trong 24h</v>
          </cell>
          <cell r="D101" t="str">
            <v>Khiếu nại về dịch vụ FTTH</v>
          </cell>
          <cell r="W101" t="str">
            <v>Đang xử lý</v>
          </cell>
          <cell r="AJ101" t="str">
            <v>Bình Dương</v>
          </cell>
          <cell r="BX101" t="str">
            <v>AON</v>
          </cell>
        </row>
        <row r="102">
          <cell r="A102" t="str">
            <v>ON</v>
          </cell>
          <cell r="B102" t="str">
            <v>Trong 24h</v>
          </cell>
          <cell r="D102" t="str">
            <v>Khiếu nại về dịch vụ FTTH</v>
          </cell>
          <cell r="W102" t="str">
            <v>Đã đóng</v>
          </cell>
          <cell r="AJ102" t="str">
            <v>Bà Rịa - Vũng Tàu</v>
          </cell>
          <cell r="BX102" t="str">
            <v>AON</v>
          </cell>
        </row>
        <row r="103">
          <cell r="A103" t="str">
            <v>ON</v>
          </cell>
          <cell r="B103" t="str">
            <v>Trong 24h</v>
          </cell>
          <cell r="D103" t="str">
            <v>Khiếu nại về dịch vụ FTTH</v>
          </cell>
          <cell r="W103" t="str">
            <v>Đã đóng</v>
          </cell>
          <cell r="AJ103" t="str">
            <v>Kiên Giang</v>
          </cell>
          <cell r="BX103" t="str">
            <v>AON</v>
          </cell>
        </row>
        <row r="104">
          <cell r="A104" t="str">
            <v>ON</v>
          </cell>
          <cell r="B104" t="str">
            <v>Trong 24h</v>
          </cell>
          <cell r="D104" t="str">
            <v>Khiếu nại về dịch vụ FTTH</v>
          </cell>
          <cell r="W104" t="str">
            <v>Đang xử lý</v>
          </cell>
          <cell r="AJ104" t="str">
            <v>TP HCM</v>
          </cell>
          <cell r="BX104" t="str">
            <v>AON</v>
          </cell>
        </row>
        <row r="105">
          <cell r="A105" t="str">
            <v>ON</v>
          </cell>
          <cell r="B105" t="str">
            <v>Trong 24h</v>
          </cell>
          <cell r="D105" t="str">
            <v>Khiếu nại về dịch vụ FTTH</v>
          </cell>
          <cell r="W105" t="str">
            <v>Đã đóng</v>
          </cell>
          <cell r="AJ105" t="str">
            <v>Hà Nội 1</v>
          </cell>
          <cell r="BX105" t="str">
            <v>AON</v>
          </cell>
        </row>
        <row r="106">
          <cell r="A106" t="str">
            <v>ON</v>
          </cell>
          <cell r="B106" t="str">
            <v>Trong 24h</v>
          </cell>
          <cell r="D106" t="str">
            <v>Khiếu nại về dịch vụ FTTH</v>
          </cell>
          <cell r="W106" t="str">
            <v>Đã đóng</v>
          </cell>
          <cell r="AJ106" t="str">
            <v>Thái Nguyên</v>
          </cell>
          <cell r="BX106" t="str">
            <v>AON</v>
          </cell>
        </row>
        <row r="107">
          <cell r="A107" t="str">
            <v>ON</v>
          </cell>
          <cell r="B107" t="str">
            <v>Trong 24h</v>
          </cell>
          <cell r="D107" t="str">
            <v>Khiếu nại về dịch vụ FTTH</v>
          </cell>
          <cell r="W107" t="str">
            <v>Đang xử lý</v>
          </cell>
          <cell r="AJ107" t="str">
            <v>TP HCM</v>
          </cell>
          <cell r="BX107" t="str">
            <v>AON</v>
          </cell>
        </row>
        <row r="108">
          <cell r="A108" t="str">
            <v>ON</v>
          </cell>
          <cell r="B108" t="str">
            <v>Trong 24h</v>
          </cell>
          <cell r="D108" t="str">
            <v>Khiếu nại về dịch vụ FTTH</v>
          </cell>
          <cell r="W108" t="str">
            <v>Đã đóng</v>
          </cell>
          <cell r="AJ108" t="str">
            <v xml:space="preserve">Đồng Nai </v>
          </cell>
          <cell r="BX108" t="str">
            <v>AON</v>
          </cell>
        </row>
        <row r="109">
          <cell r="A109" t="str">
            <v>ON</v>
          </cell>
          <cell r="B109" t="str">
            <v>Trong 24h</v>
          </cell>
          <cell r="D109" t="str">
            <v>Khiếu nại về dịch vụ FTTH</v>
          </cell>
          <cell r="W109" t="str">
            <v>Đang xử lý</v>
          </cell>
          <cell r="AJ109" t="str">
            <v>Bắc Ninh</v>
          </cell>
          <cell r="BX109" t="str">
            <v>AON</v>
          </cell>
        </row>
        <row r="110">
          <cell r="A110" t="str">
            <v>ON</v>
          </cell>
          <cell r="B110" t="str">
            <v>Trong 24h</v>
          </cell>
          <cell r="D110" t="str">
            <v>Khiếu nại về dịch vụ FTTH</v>
          </cell>
          <cell r="W110" t="str">
            <v>Đã đóng</v>
          </cell>
          <cell r="AJ110" t="str">
            <v>Hậu Giang</v>
          </cell>
          <cell r="BX110" t="str">
            <v>AON</v>
          </cell>
        </row>
        <row r="111">
          <cell r="A111" t="str">
            <v>ON</v>
          </cell>
          <cell r="B111" t="str">
            <v>Trong 24h</v>
          </cell>
          <cell r="D111" t="str">
            <v>Khiếu nại về dịch vụ FTTH</v>
          </cell>
          <cell r="W111" t="str">
            <v>Đã đóng</v>
          </cell>
          <cell r="AJ111" t="str">
            <v>Cần Thơ</v>
          </cell>
          <cell r="BX111" t="str">
            <v>AON</v>
          </cell>
        </row>
        <row r="112">
          <cell r="A112" t="str">
            <v>ON</v>
          </cell>
          <cell r="B112" t="str">
            <v>Trong 24h</v>
          </cell>
          <cell r="D112" t="str">
            <v>Khiếu nại về dịch vụ FTTH</v>
          </cell>
          <cell r="W112" t="str">
            <v>Đã đóng</v>
          </cell>
          <cell r="AJ112" t="str">
            <v>Bắc Ninh</v>
          </cell>
          <cell r="BX112" t="str">
            <v>AON</v>
          </cell>
        </row>
        <row r="113">
          <cell r="A113" t="str">
            <v>ON</v>
          </cell>
          <cell r="B113" t="str">
            <v>Trong 24h</v>
          </cell>
          <cell r="D113" t="str">
            <v>Khiếu nại về dịch vụ FTTH</v>
          </cell>
          <cell r="W113" t="str">
            <v>Đã đóng</v>
          </cell>
          <cell r="AJ113" t="str">
            <v>TP HCM</v>
          </cell>
          <cell r="BX113" t="str">
            <v>AON</v>
          </cell>
        </row>
        <row r="114">
          <cell r="A114" t="str">
            <v>ON</v>
          </cell>
          <cell r="B114" t="str">
            <v>Trong 24h</v>
          </cell>
          <cell r="D114" t="str">
            <v>Khiếu nại về dịch vụ FTTH</v>
          </cell>
          <cell r="W114" t="str">
            <v>Đã đóng</v>
          </cell>
          <cell r="AJ114" t="str">
            <v>Bình Dương</v>
          </cell>
          <cell r="BX114" t="str">
            <v>AON</v>
          </cell>
        </row>
        <row r="115">
          <cell r="A115" t="str">
            <v>ON</v>
          </cell>
          <cell r="B115" t="str">
            <v>Trong 24h</v>
          </cell>
          <cell r="D115" t="str">
            <v>Khiếu nại về dịch vụ NextTV</v>
          </cell>
          <cell r="W115" t="str">
            <v>Đã đóng</v>
          </cell>
          <cell r="AJ115" t="str">
            <v>Phú Thọ</v>
          </cell>
          <cell r="BX115" t="str">
            <v>AON</v>
          </cell>
        </row>
        <row r="116">
          <cell r="A116" t="str">
            <v>ON</v>
          </cell>
          <cell r="B116" t="str">
            <v>Trong 24h</v>
          </cell>
          <cell r="D116" t="str">
            <v>Khiếu nại về dịch vụ FTTH</v>
          </cell>
          <cell r="W116" t="str">
            <v>Đã đóng</v>
          </cell>
          <cell r="AJ116" t="str">
            <v>Bình Dương</v>
          </cell>
          <cell r="BX116" t="str">
            <v>AON</v>
          </cell>
        </row>
        <row r="117">
          <cell r="A117" t="str">
            <v>ON</v>
          </cell>
          <cell r="B117" t="str">
            <v>Trong 24h</v>
          </cell>
          <cell r="D117" t="str">
            <v>Khiếu nại về dịch vụ FTTH</v>
          </cell>
          <cell r="W117" t="str">
            <v>Đã đóng</v>
          </cell>
          <cell r="AJ117" t="str">
            <v>TP HCM</v>
          </cell>
          <cell r="BX117" t="str">
            <v>AON</v>
          </cell>
        </row>
        <row r="118">
          <cell r="A118" t="str">
            <v>ON</v>
          </cell>
          <cell r="B118" t="str">
            <v>Trong 24h</v>
          </cell>
          <cell r="D118" t="str">
            <v>Khiếu nại về dịch vụ FTTH</v>
          </cell>
          <cell r="W118" t="str">
            <v>Đã đóng</v>
          </cell>
          <cell r="AJ118" t="str">
            <v>Trà Vinh</v>
          </cell>
          <cell r="BX118" t="str">
            <v>AON</v>
          </cell>
        </row>
        <row r="119">
          <cell r="A119" t="str">
            <v>ON</v>
          </cell>
          <cell r="B119" t="str">
            <v>Trong 24h</v>
          </cell>
          <cell r="D119" t="str">
            <v>Khiếu nại về dịch vụ FTTH</v>
          </cell>
          <cell r="W119" t="str">
            <v>Đã đóng</v>
          </cell>
          <cell r="AJ119" t="str">
            <v>Bình Định</v>
          </cell>
          <cell r="BX119" t="str">
            <v>AON</v>
          </cell>
        </row>
        <row r="120">
          <cell r="A120" t="str">
            <v>ON</v>
          </cell>
          <cell r="B120" t="str">
            <v>Trong 24h</v>
          </cell>
          <cell r="D120" t="str">
            <v>Khiếu nại về dịch vụ FTTH</v>
          </cell>
          <cell r="W120" t="str">
            <v>Đã đóng</v>
          </cell>
          <cell r="AJ120" t="str">
            <v>Bình Dương</v>
          </cell>
          <cell r="BX120" t="str">
            <v>AON</v>
          </cell>
        </row>
        <row r="121">
          <cell r="A121" t="str">
            <v>ON</v>
          </cell>
          <cell r="B121" t="str">
            <v>Trong 24h</v>
          </cell>
          <cell r="D121" t="str">
            <v>Khiếu nại về dịch vụ FTTH</v>
          </cell>
          <cell r="W121" t="str">
            <v>Đã đóng</v>
          </cell>
          <cell r="AJ121" t="str">
            <v xml:space="preserve">Đồng Nai </v>
          </cell>
          <cell r="BX121" t="str">
            <v>AON</v>
          </cell>
        </row>
        <row r="122">
          <cell r="A122" t="str">
            <v>ON</v>
          </cell>
          <cell r="B122" t="str">
            <v>Trong 24h</v>
          </cell>
          <cell r="D122" t="str">
            <v>Khiếu nại về dịch vụ FTTH</v>
          </cell>
          <cell r="W122" t="str">
            <v>Đã đóng</v>
          </cell>
          <cell r="AJ122" t="str">
            <v>Thái Bình</v>
          </cell>
          <cell r="BX122" t="str">
            <v>AON</v>
          </cell>
        </row>
        <row r="123">
          <cell r="A123" t="str">
            <v>ON</v>
          </cell>
          <cell r="B123" t="str">
            <v>Trong 24h</v>
          </cell>
          <cell r="D123" t="str">
            <v>Khiếu nại về dịch vụ FTTH</v>
          </cell>
          <cell r="W123" t="str">
            <v>Đã đóng</v>
          </cell>
          <cell r="AJ123" t="str">
            <v>Bắc Kạn</v>
          </cell>
          <cell r="BX123" t="str">
            <v>AON</v>
          </cell>
        </row>
        <row r="124">
          <cell r="A124" t="str">
            <v>ON</v>
          </cell>
          <cell r="B124" t="str">
            <v>Trong 24h</v>
          </cell>
          <cell r="D124" t="str">
            <v>Khiếu nại về dịch vụ FTTH</v>
          </cell>
          <cell r="W124" t="str">
            <v>Đã đóng</v>
          </cell>
          <cell r="AJ124" t="str">
            <v>Bắc Ninh</v>
          </cell>
          <cell r="BX124" t="str">
            <v>AON</v>
          </cell>
        </row>
        <row r="125">
          <cell r="A125" t="str">
            <v>ON</v>
          </cell>
          <cell r="B125" t="str">
            <v>Trong 24h</v>
          </cell>
          <cell r="D125" t="str">
            <v>Khiếu nại về dịch vụ FTTH</v>
          </cell>
          <cell r="W125" t="str">
            <v>Đã đóng</v>
          </cell>
          <cell r="AJ125" t="str">
            <v>Hà Nội 1</v>
          </cell>
          <cell r="BX125" t="str">
            <v>AON</v>
          </cell>
        </row>
        <row r="126">
          <cell r="A126" t="str">
            <v>ON</v>
          </cell>
          <cell r="B126" t="str">
            <v>Trong 24h</v>
          </cell>
          <cell r="D126" t="str">
            <v>Khiếu nại về dịch vụ FTTH</v>
          </cell>
          <cell r="W126" t="str">
            <v>Đã đóng</v>
          </cell>
          <cell r="AJ126" t="str">
            <v>Hưng Yên</v>
          </cell>
          <cell r="BX126" t="str">
            <v>AON</v>
          </cell>
        </row>
        <row r="127">
          <cell r="A127" t="str">
            <v>ON</v>
          </cell>
          <cell r="B127" t="str">
            <v>Trong 24h</v>
          </cell>
          <cell r="D127" t="str">
            <v>Khiếu nại về dịch vụ FTTH</v>
          </cell>
          <cell r="W127" t="str">
            <v>Đã đóng</v>
          </cell>
          <cell r="AJ127" t="str">
            <v>TP HCM</v>
          </cell>
          <cell r="BX127" t="str">
            <v>AON</v>
          </cell>
        </row>
        <row r="128">
          <cell r="A128" t="str">
            <v>ON</v>
          </cell>
          <cell r="B128" t="str">
            <v>Trong 24h</v>
          </cell>
          <cell r="D128" t="str">
            <v>Khiếu nại về dịch vụ FTTH</v>
          </cell>
          <cell r="W128" t="str">
            <v>Đã đóng</v>
          </cell>
          <cell r="AJ128" t="str">
            <v>Bình Dương</v>
          </cell>
          <cell r="BX128" t="str">
            <v>AON</v>
          </cell>
        </row>
        <row r="129">
          <cell r="A129" t="str">
            <v>ON</v>
          </cell>
          <cell r="B129" t="str">
            <v>Trong 24h</v>
          </cell>
          <cell r="D129" t="str">
            <v>Khiếu nại về dịch vụ FTTH</v>
          </cell>
          <cell r="W129" t="str">
            <v>Đã đóng</v>
          </cell>
          <cell r="AJ129" t="str">
            <v>TP HCM</v>
          </cell>
          <cell r="BX129" t="str">
            <v>AON</v>
          </cell>
        </row>
        <row r="130">
          <cell r="A130" t="str">
            <v>ON</v>
          </cell>
          <cell r="B130" t="str">
            <v>Trong 24h</v>
          </cell>
          <cell r="D130" t="str">
            <v>Khiếu nại về dịch vụ FTTH</v>
          </cell>
          <cell r="W130" t="str">
            <v>Đã đóng</v>
          </cell>
          <cell r="AJ130" t="str">
            <v>TP HCM</v>
          </cell>
          <cell r="BX130" t="str">
            <v>AON</v>
          </cell>
        </row>
        <row r="131">
          <cell r="A131" t="str">
            <v>ON</v>
          </cell>
          <cell r="B131" t="str">
            <v>Trong 24h</v>
          </cell>
          <cell r="D131" t="str">
            <v>Khiếu nại về dịch vụ FTTH</v>
          </cell>
          <cell r="W131" t="str">
            <v>Đã đóng</v>
          </cell>
          <cell r="AJ131" t="str">
            <v>Thái Nguyên</v>
          </cell>
          <cell r="BX131" t="str">
            <v>AON</v>
          </cell>
        </row>
        <row r="132">
          <cell r="A132" t="str">
            <v>ON</v>
          </cell>
          <cell r="B132" t="str">
            <v>Trong 24h</v>
          </cell>
          <cell r="D132" t="str">
            <v>Khiếu nại về dịch vụ FTTH</v>
          </cell>
          <cell r="W132" t="str">
            <v>Đang xử lý</v>
          </cell>
          <cell r="AJ132" t="str">
            <v>Bình Định</v>
          </cell>
          <cell r="BX132" t="str">
            <v>AON</v>
          </cell>
        </row>
        <row r="133">
          <cell r="A133" t="str">
            <v>ON</v>
          </cell>
          <cell r="B133" t="str">
            <v>Trong 24h</v>
          </cell>
          <cell r="D133" t="str">
            <v>Khiếu nại về dịch vụ FTTH</v>
          </cell>
          <cell r="W133" t="str">
            <v>Đã đóng</v>
          </cell>
          <cell r="AJ133" t="str">
            <v xml:space="preserve">Đà Nẵng </v>
          </cell>
          <cell r="BX133" t="str">
            <v>AON</v>
          </cell>
        </row>
        <row r="134">
          <cell r="A134" t="str">
            <v>ON</v>
          </cell>
          <cell r="B134" t="str">
            <v>Trong 24h</v>
          </cell>
          <cell r="D134" t="str">
            <v>Khiếu nại về dịch vụ FTTH</v>
          </cell>
          <cell r="W134" t="str">
            <v>Đang xử lý</v>
          </cell>
          <cell r="AJ134" t="str">
            <v>Bắc Ninh</v>
          </cell>
          <cell r="BX134" t="str">
            <v>AON</v>
          </cell>
        </row>
        <row r="135">
          <cell r="A135" t="str">
            <v>ON</v>
          </cell>
          <cell r="B135" t="str">
            <v>Trong 24h</v>
          </cell>
          <cell r="D135" t="str">
            <v>Khiếu nại về dịch vụ FTTH</v>
          </cell>
          <cell r="W135" t="str">
            <v>Đang xử lý</v>
          </cell>
          <cell r="AJ135" t="str">
            <v>Hà Nội 2</v>
          </cell>
          <cell r="BX135" t="str">
            <v>AON</v>
          </cell>
        </row>
        <row r="136">
          <cell r="A136" t="str">
            <v>ON</v>
          </cell>
          <cell r="B136" t="str">
            <v>Trong 24h</v>
          </cell>
          <cell r="D136" t="str">
            <v>Khiếu nại về dịch vụ FTTH</v>
          </cell>
          <cell r="W136" t="str">
            <v>Đã đóng</v>
          </cell>
          <cell r="AJ136" t="str">
            <v xml:space="preserve">Đắc Lắk </v>
          </cell>
          <cell r="BX136" t="str">
            <v>AON</v>
          </cell>
        </row>
        <row r="137">
          <cell r="A137" t="str">
            <v>ON</v>
          </cell>
          <cell r="B137" t="str">
            <v>Trong 24h</v>
          </cell>
          <cell r="D137" t="str">
            <v>Khiếu nại về dịch vụ FTTH</v>
          </cell>
          <cell r="W137" t="str">
            <v>Đã đóng</v>
          </cell>
          <cell r="AJ137" t="str">
            <v>Bình Thuận</v>
          </cell>
          <cell r="BX137" t="str">
            <v>AON</v>
          </cell>
        </row>
        <row r="138">
          <cell r="A138" t="str">
            <v>ON</v>
          </cell>
          <cell r="B138" t="str">
            <v>Trong 24h</v>
          </cell>
          <cell r="D138" t="str">
            <v>Khiếu nại về dịch vụ FTTH</v>
          </cell>
          <cell r="W138" t="str">
            <v>Đã đóng</v>
          </cell>
          <cell r="AJ138" t="str">
            <v>Bắc Ninh</v>
          </cell>
          <cell r="BX138" t="str">
            <v>AON</v>
          </cell>
        </row>
        <row r="139">
          <cell r="A139" t="str">
            <v>ON</v>
          </cell>
          <cell r="B139" t="str">
            <v>Trong 24h</v>
          </cell>
          <cell r="D139" t="str">
            <v>Khiếu nại về dịch vụ FTTH</v>
          </cell>
          <cell r="W139" t="str">
            <v>Đã đóng</v>
          </cell>
          <cell r="AJ139" t="str">
            <v>TP HCM</v>
          </cell>
          <cell r="BX139" t="str">
            <v>AON</v>
          </cell>
        </row>
        <row r="140">
          <cell r="A140" t="str">
            <v>ON</v>
          </cell>
          <cell r="B140" t="str">
            <v>Trong 24h</v>
          </cell>
          <cell r="D140" t="str">
            <v>Khiếu nại về dịch vụ FTTH</v>
          </cell>
          <cell r="W140" t="str">
            <v>Đã đóng</v>
          </cell>
          <cell r="AJ140" t="str">
            <v>Thái Bình</v>
          </cell>
          <cell r="BX140" t="str">
            <v>AON</v>
          </cell>
        </row>
        <row r="141">
          <cell r="A141" t="str">
            <v>ON</v>
          </cell>
          <cell r="B141" t="str">
            <v>Trong 24h</v>
          </cell>
          <cell r="D141" t="str">
            <v>Khiếu nại về dịch vụ FTTH</v>
          </cell>
          <cell r="W141" t="str">
            <v>Đang xử lý</v>
          </cell>
          <cell r="AJ141" t="str">
            <v>Kiên Giang</v>
          </cell>
          <cell r="BX141" t="str">
            <v>AON</v>
          </cell>
        </row>
        <row r="142">
          <cell r="A142" t="str">
            <v>ON</v>
          </cell>
          <cell r="B142" t="str">
            <v>Trong 24h</v>
          </cell>
          <cell r="D142" t="str">
            <v>Khiếu nại về dịch vụ FTTH</v>
          </cell>
          <cell r="W142" t="str">
            <v>Đã đóng</v>
          </cell>
          <cell r="AJ142" t="str">
            <v>Hà Nội 1</v>
          </cell>
          <cell r="BX142" t="str">
            <v>AON</v>
          </cell>
        </row>
        <row r="143">
          <cell r="A143" t="str">
            <v>ON</v>
          </cell>
          <cell r="B143" t="str">
            <v>Trong 24h</v>
          </cell>
          <cell r="D143" t="str">
            <v>Khiếu nại về dịch vụ FTTH</v>
          </cell>
          <cell r="W143" t="str">
            <v>Đã đóng</v>
          </cell>
          <cell r="AJ143" t="str">
            <v>TP HCM</v>
          </cell>
          <cell r="BX143" t="str">
            <v>AON</v>
          </cell>
        </row>
        <row r="144">
          <cell r="A144" t="str">
            <v>ON</v>
          </cell>
          <cell r="B144" t="str">
            <v>Trong 24h</v>
          </cell>
          <cell r="D144" t="str">
            <v>Khiếu nại về dịch vụ FTTH</v>
          </cell>
          <cell r="W144" t="str">
            <v>Đã đóng</v>
          </cell>
          <cell r="AJ144" t="str">
            <v>TP HCM</v>
          </cell>
          <cell r="BX144" t="str">
            <v>AON</v>
          </cell>
        </row>
        <row r="145">
          <cell r="A145" t="str">
            <v>ON</v>
          </cell>
          <cell r="B145" t="str">
            <v>Trong 24h</v>
          </cell>
          <cell r="D145" t="str">
            <v>Khiếu nại về dịch vụ FTTH</v>
          </cell>
          <cell r="W145" t="str">
            <v>Đã đóng</v>
          </cell>
          <cell r="AJ145" t="str">
            <v>Quảng Ngãi</v>
          </cell>
          <cell r="BX145" t="str">
            <v>AON</v>
          </cell>
        </row>
        <row r="146">
          <cell r="A146" t="str">
            <v>ON</v>
          </cell>
          <cell r="B146" t="str">
            <v>Trong 24h</v>
          </cell>
          <cell r="D146" t="str">
            <v>Khiếu nại về dịch vụ NextTV</v>
          </cell>
          <cell r="W146" t="str">
            <v>Đã đóng</v>
          </cell>
          <cell r="AJ146" t="str">
            <v>Phú Thọ</v>
          </cell>
          <cell r="BX146" t="str">
            <v>AON</v>
          </cell>
        </row>
        <row r="147">
          <cell r="A147" t="str">
            <v>ON</v>
          </cell>
          <cell r="B147" t="str">
            <v>Trong 24h</v>
          </cell>
          <cell r="D147" t="str">
            <v>Khiếu nại về dịch vụ FTTH</v>
          </cell>
          <cell r="W147" t="str">
            <v>Đã đóng</v>
          </cell>
          <cell r="AJ147" t="str">
            <v>Hà Nội 1</v>
          </cell>
          <cell r="BX147" t="str">
            <v>AON</v>
          </cell>
        </row>
        <row r="148">
          <cell r="A148" t="str">
            <v>ON</v>
          </cell>
          <cell r="B148" t="str">
            <v>Trong 24h</v>
          </cell>
          <cell r="D148" t="str">
            <v>Khiếu nại về dịch vụ FTTH</v>
          </cell>
          <cell r="W148" t="str">
            <v>Đã đóng</v>
          </cell>
          <cell r="AJ148" t="str">
            <v>Tiền Giang</v>
          </cell>
          <cell r="BX148" t="str">
            <v>AON</v>
          </cell>
        </row>
        <row r="149">
          <cell r="A149" t="str">
            <v>ON</v>
          </cell>
          <cell r="B149" t="str">
            <v>Trong 24h</v>
          </cell>
          <cell r="D149" t="str">
            <v>Khiếu nại về dịch vụ FTTH</v>
          </cell>
          <cell r="W149" t="str">
            <v>Đã đóng</v>
          </cell>
          <cell r="AJ149" t="str">
            <v>Lạng Sơn</v>
          </cell>
          <cell r="BX149" t="str">
            <v>AON</v>
          </cell>
        </row>
        <row r="150">
          <cell r="A150" t="str">
            <v>ON</v>
          </cell>
          <cell r="B150" t="str">
            <v>Trong 24h</v>
          </cell>
          <cell r="D150" t="str">
            <v>Khiếu nại về dịch vụ FTTH</v>
          </cell>
          <cell r="W150" t="str">
            <v>Đã đóng</v>
          </cell>
          <cell r="AJ150" t="str">
            <v>Bình Dương</v>
          </cell>
          <cell r="BX150" t="str">
            <v>AON</v>
          </cell>
        </row>
        <row r="151">
          <cell r="A151" t="str">
            <v>ON</v>
          </cell>
          <cell r="B151" t="str">
            <v>Trong 24h</v>
          </cell>
          <cell r="D151" t="str">
            <v>Khiếu nại về dịch vụ FTTH</v>
          </cell>
          <cell r="W151" t="str">
            <v>Đã đóng</v>
          </cell>
          <cell r="AJ151" t="str">
            <v>Hậu Giang</v>
          </cell>
          <cell r="BX151" t="str">
            <v>AON</v>
          </cell>
        </row>
        <row r="152">
          <cell r="A152" t="str">
            <v>ON</v>
          </cell>
          <cell r="B152" t="str">
            <v>Trong 24h</v>
          </cell>
          <cell r="D152" t="str">
            <v>Khiếu nại về dịch vụ FTTH</v>
          </cell>
          <cell r="W152" t="str">
            <v>Đã đóng</v>
          </cell>
          <cell r="AJ152" t="str">
            <v>TP HCM</v>
          </cell>
          <cell r="BX152" t="str">
            <v>AON</v>
          </cell>
        </row>
        <row r="153">
          <cell r="A153" t="str">
            <v>ON</v>
          </cell>
          <cell r="B153" t="str">
            <v>Trong 24h</v>
          </cell>
          <cell r="D153" t="str">
            <v>Khiếu nại về dịch vụ FTTH</v>
          </cell>
          <cell r="W153" t="str">
            <v>Đã đóng</v>
          </cell>
          <cell r="AJ153" t="str">
            <v>Phú Thọ</v>
          </cell>
          <cell r="BX153" t="str">
            <v>AON</v>
          </cell>
        </row>
        <row r="154">
          <cell r="A154" t="str">
            <v>ON</v>
          </cell>
          <cell r="B154" t="str">
            <v>Trong 24h</v>
          </cell>
          <cell r="D154" t="str">
            <v>Khiếu nại về dịch vụ FTTH</v>
          </cell>
          <cell r="W154" t="str">
            <v>Đã đóng</v>
          </cell>
          <cell r="AJ154" t="str">
            <v>Quảng Ninh</v>
          </cell>
          <cell r="BX154" t="str">
            <v>AON</v>
          </cell>
        </row>
        <row r="155">
          <cell r="A155" t="str">
            <v>ON</v>
          </cell>
          <cell r="B155" t="str">
            <v>Trong 24h</v>
          </cell>
          <cell r="D155" t="str">
            <v>Khiếu nại về dịch vụ FTTH</v>
          </cell>
          <cell r="W155" t="str">
            <v>Đã đóng</v>
          </cell>
          <cell r="AJ155" t="str">
            <v>Phú Thọ</v>
          </cell>
          <cell r="BX155" t="str">
            <v>AON</v>
          </cell>
        </row>
        <row r="156">
          <cell r="A156" t="str">
            <v>ON</v>
          </cell>
          <cell r="B156" t="str">
            <v>Trong 24h</v>
          </cell>
          <cell r="D156" t="str">
            <v>Khiếu nại về dịch vụ FTTH</v>
          </cell>
          <cell r="W156" t="str">
            <v>Đã đóng</v>
          </cell>
          <cell r="AJ156" t="str">
            <v>Thanh Hoá</v>
          </cell>
          <cell r="BX156" t="str">
            <v>AON</v>
          </cell>
        </row>
        <row r="157">
          <cell r="A157" t="str">
            <v>ON</v>
          </cell>
          <cell r="B157" t="str">
            <v>Trong 24h</v>
          </cell>
          <cell r="D157" t="str">
            <v>Khiếu nại về dịch vụ FTTH</v>
          </cell>
          <cell r="W157" t="str">
            <v>Đã đóng</v>
          </cell>
          <cell r="AJ157" t="str">
            <v>Bắc Giang</v>
          </cell>
          <cell r="BX157" t="str">
            <v>AON</v>
          </cell>
        </row>
        <row r="158">
          <cell r="A158" t="str">
            <v>ON</v>
          </cell>
          <cell r="B158" t="str">
            <v>Trong 24h</v>
          </cell>
          <cell r="D158" t="str">
            <v>Khiếu nại về dịch vụ FTTH</v>
          </cell>
          <cell r="W158" t="str">
            <v>Đã đóng</v>
          </cell>
          <cell r="AJ158" t="str">
            <v>Thừa Thiên Huế</v>
          </cell>
          <cell r="BX158" t="str">
            <v>AON</v>
          </cell>
        </row>
        <row r="159">
          <cell r="A159" t="str">
            <v>ON</v>
          </cell>
          <cell r="B159" t="str">
            <v>Trong 24h</v>
          </cell>
          <cell r="D159" t="str">
            <v>Khiếu nại về dịch vụ FTTH</v>
          </cell>
          <cell r="W159" t="str">
            <v>Đã đóng</v>
          </cell>
          <cell r="AJ159" t="str">
            <v xml:space="preserve">Đồng Nai </v>
          </cell>
          <cell r="BX159" t="str">
            <v>AON</v>
          </cell>
        </row>
        <row r="160">
          <cell r="A160" t="str">
            <v>ON</v>
          </cell>
          <cell r="B160" t="str">
            <v>Trong 24h</v>
          </cell>
          <cell r="D160" t="str">
            <v>Khiếu nại về dịch vụ FTTH</v>
          </cell>
          <cell r="W160" t="str">
            <v>Đã đóng</v>
          </cell>
          <cell r="AJ160" t="str">
            <v>Bắc Ninh</v>
          </cell>
          <cell r="BX160" t="str">
            <v>AON</v>
          </cell>
        </row>
        <row r="161">
          <cell r="A161" t="str">
            <v>ON</v>
          </cell>
          <cell r="B161" t="str">
            <v>Trong 24h</v>
          </cell>
          <cell r="D161" t="str">
            <v>Khiếu nại về dịch vụ FTTH</v>
          </cell>
          <cell r="W161" t="str">
            <v>Đã đóng</v>
          </cell>
          <cell r="AJ161" t="str">
            <v>Bình Định</v>
          </cell>
          <cell r="BX161" t="str">
            <v>AON</v>
          </cell>
        </row>
        <row r="162">
          <cell r="A162" t="str">
            <v>ON</v>
          </cell>
          <cell r="B162" t="str">
            <v>Trong 24h</v>
          </cell>
          <cell r="D162" t="str">
            <v>Khiếu nại về dịch vụ FTTH</v>
          </cell>
          <cell r="W162" t="str">
            <v>Đã đóng</v>
          </cell>
          <cell r="AJ162" t="str">
            <v>Quảng Trị</v>
          </cell>
          <cell r="BX162" t="str">
            <v>AON</v>
          </cell>
        </row>
        <row r="163">
          <cell r="A163" t="str">
            <v>ON</v>
          </cell>
          <cell r="B163" t="str">
            <v>Trong 24h</v>
          </cell>
          <cell r="D163" t="str">
            <v>Khiếu nại về dịch vụ FTTH</v>
          </cell>
          <cell r="W163" t="str">
            <v>Đang xử lý</v>
          </cell>
          <cell r="AJ163" t="str">
            <v xml:space="preserve">Đà Nẵng </v>
          </cell>
          <cell r="BX163" t="str">
            <v>AON</v>
          </cell>
        </row>
        <row r="164">
          <cell r="A164" t="str">
            <v>ON</v>
          </cell>
          <cell r="B164" t="str">
            <v>Trong 24h</v>
          </cell>
          <cell r="D164" t="str">
            <v>Khiếu nại về dịch vụ FTTH</v>
          </cell>
          <cell r="W164" t="str">
            <v>Đã đóng</v>
          </cell>
          <cell r="AJ164" t="str">
            <v>Thái Bình</v>
          </cell>
          <cell r="BX164" t="str">
            <v>AON</v>
          </cell>
        </row>
        <row r="165">
          <cell r="A165" t="str">
            <v>ON</v>
          </cell>
          <cell r="B165" t="str">
            <v>Trong 24h</v>
          </cell>
          <cell r="D165" t="str">
            <v>Khiếu nại về dịch vụ FTTH</v>
          </cell>
          <cell r="W165" t="str">
            <v>Đã đóng</v>
          </cell>
          <cell r="AJ165" t="str">
            <v xml:space="preserve">Quảng Nam </v>
          </cell>
          <cell r="BX165" t="str">
            <v>AON</v>
          </cell>
        </row>
        <row r="166">
          <cell r="A166" t="str">
            <v>ON</v>
          </cell>
          <cell r="B166" t="str">
            <v>Trong 24h</v>
          </cell>
          <cell r="D166" t="str">
            <v>Khiếu nại về dịch vụ FTTH</v>
          </cell>
          <cell r="W166" t="str">
            <v>Đã đóng</v>
          </cell>
          <cell r="AJ166" t="str">
            <v>Hà Nội 1</v>
          </cell>
          <cell r="BX166" t="str">
            <v>AON</v>
          </cell>
        </row>
        <row r="167">
          <cell r="A167" t="str">
            <v>ON</v>
          </cell>
          <cell r="B167" t="str">
            <v>Trong 24h</v>
          </cell>
          <cell r="D167" t="str">
            <v>Khiếu nại về dịch vụ FTTH</v>
          </cell>
          <cell r="W167" t="str">
            <v>Đã đóng</v>
          </cell>
          <cell r="AJ167" t="str">
            <v>TP HCM</v>
          </cell>
          <cell r="BX167" t="str">
            <v>AON</v>
          </cell>
        </row>
        <row r="168">
          <cell r="A168" t="str">
            <v>ON</v>
          </cell>
          <cell r="B168" t="str">
            <v>Trong 24h</v>
          </cell>
          <cell r="D168" t="str">
            <v>Khiếu nại về dịch vụ FTTH</v>
          </cell>
          <cell r="W168" t="str">
            <v>Đã đóng</v>
          </cell>
          <cell r="AJ168" t="str">
            <v>Sóc Trăng</v>
          </cell>
          <cell r="BX168" t="str">
            <v>AON</v>
          </cell>
        </row>
        <row r="169">
          <cell r="A169" t="str">
            <v>ON</v>
          </cell>
          <cell r="B169" t="str">
            <v>Trong 24h</v>
          </cell>
          <cell r="D169" t="str">
            <v>Khiếu nại về dịch vụ FTTH</v>
          </cell>
          <cell r="W169" t="str">
            <v>Đã đóng</v>
          </cell>
          <cell r="AJ169" t="str">
            <v xml:space="preserve">Đắc Lắk </v>
          </cell>
          <cell r="BX169" t="str">
            <v>AON</v>
          </cell>
        </row>
        <row r="170">
          <cell r="A170" t="str">
            <v>ON</v>
          </cell>
          <cell r="B170" t="str">
            <v>Trong 24h</v>
          </cell>
          <cell r="D170" t="str">
            <v>Khiếu nại về dịch vụ FTTH</v>
          </cell>
          <cell r="W170" t="str">
            <v>Đã đóng</v>
          </cell>
          <cell r="AJ170" t="str">
            <v>TP HCM</v>
          </cell>
          <cell r="BX170" t="str">
            <v>AON</v>
          </cell>
        </row>
        <row r="171">
          <cell r="A171" t="str">
            <v>ON</v>
          </cell>
          <cell r="B171" t="str">
            <v>Trong 24h</v>
          </cell>
          <cell r="D171" t="str">
            <v>Khiếu nại về dịch vụ FTTH</v>
          </cell>
          <cell r="W171" t="str">
            <v>Đã đóng</v>
          </cell>
          <cell r="AJ171" t="str">
            <v xml:space="preserve">Hà Tĩnh </v>
          </cell>
          <cell r="BX171" t="str">
            <v>AON</v>
          </cell>
        </row>
        <row r="172">
          <cell r="A172" t="str">
            <v>ON</v>
          </cell>
          <cell r="B172" t="str">
            <v>Trong 24h</v>
          </cell>
          <cell r="D172" t="str">
            <v>Khiếu nại về dịch vụ FTTH</v>
          </cell>
          <cell r="W172" t="str">
            <v>Đã đóng</v>
          </cell>
          <cell r="AJ172" t="str">
            <v>TP HCM</v>
          </cell>
          <cell r="BX172" t="str">
            <v>AON</v>
          </cell>
        </row>
        <row r="173">
          <cell r="A173" t="str">
            <v>ON</v>
          </cell>
          <cell r="B173" t="str">
            <v>Trong 24h</v>
          </cell>
          <cell r="D173" t="str">
            <v>Khiếu nại về dịch vụ FTTH</v>
          </cell>
          <cell r="W173" t="str">
            <v>Đang xử lý</v>
          </cell>
          <cell r="AJ173" t="str">
            <v xml:space="preserve">Quảng Nam </v>
          </cell>
          <cell r="BX173" t="str">
            <v>AON</v>
          </cell>
        </row>
        <row r="174">
          <cell r="A174" t="str">
            <v>ON</v>
          </cell>
          <cell r="B174" t="str">
            <v>Trong 24h</v>
          </cell>
          <cell r="D174" t="str">
            <v>Khiếu nại về dịch vụ FTTH</v>
          </cell>
          <cell r="W174" t="str">
            <v>Đã đóng</v>
          </cell>
          <cell r="AJ174" t="str">
            <v>TP HCM</v>
          </cell>
          <cell r="BX174" t="str">
            <v>AON</v>
          </cell>
        </row>
        <row r="175">
          <cell r="A175" t="str">
            <v>ON</v>
          </cell>
          <cell r="B175" t="str">
            <v>Trong 24h</v>
          </cell>
          <cell r="D175" t="str">
            <v>Khiếu nại về dịch vụ FTTH</v>
          </cell>
          <cell r="W175" t="str">
            <v>Đã đóng</v>
          </cell>
          <cell r="AJ175" t="str">
            <v xml:space="preserve">Đắc Lắk </v>
          </cell>
          <cell r="BX175" t="str">
            <v>AON</v>
          </cell>
        </row>
        <row r="176">
          <cell r="A176" t="str">
            <v>ON</v>
          </cell>
          <cell r="B176" t="str">
            <v>Trong 24h</v>
          </cell>
          <cell r="D176" t="str">
            <v>Khiếu nại về dịch vụ FTTH</v>
          </cell>
          <cell r="W176" t="str">
            <v>Đang xử lý</v>
          </cell>
          <cell r="AJ176" t="str">
            <v>Bình Dương</v>
          </cell>
          <cell r="BX176" t="str">
            <v>AON</v>
          </cell>
        </row>
        <row r="177">
          <cell r="A177" t="str">
            <v>ON</v>
          </cell>
          <cell r="B177" t="str">
            <v>Trong 24h</v>
          </cell>
          <cell r="D177" t="str">
            <v>Khiếu nại về dịch vụ FTTH</v>
          </cell>
          <cell r="W177" t="str">
            <v>Đã đóng</v>
          </cell>
          <cell r="AJ177" t="str">
            <v>Bình Dương</v>
          </cell>
          <cell r="BX177" t="str">
            <v>AON</v>
          </cell>
        </row>
        <row r="178">
          <cell r="A178" t="str">
            <v>ON</v>
          </cell>
          <cell r="B178" t="str">
            <v>Trong 24h</v>
          </cell>
          <cell r="D178" t="str">
            <v>Khiếu nại về dịch vụ NextTV</v>
          </cell>
          <cell r="W178" t="str">
            <v>Đã đóng</v>
          </cell>
          <cell r="AJ178" t="str">
            <v>Điện Biên</v>
          </cell>
          <cell r="BX178" t="str">
            <v>AON</v>
          </cell>
        </row>
        <row r="179">
          <cell r="A179" t="str">
            <v>ON</v>
          </cell>
          <cell r="B179" t="str">
            <v>Trong 24h</v>
          </cell>
          <cell r="D179" t="str">
            <v>Khiếu nại về dịch vụ FTTH</v>
          </cell>
          <cell r="W179" t="str">
            <v>Đã đóng</v>
          </cell>
          <cell r="AJ179" t="str">
            <v>Khánh Hoà</v>
          </cell>
          <cell r="BX179" t="str">
            <v>AON</v>
          </cell>
        </row>
        <row r="180">
          <cell r="A180" t="str">
            <v>ON</v>
          </cell>
          <cell r="B180" t="str">
            <v>Trong 24h</v>
          </cell>
          <cell r="D180" t="str">
            <v>Khiếu nại về dịch vụ FTTH</v>
          </cell>
          <cell r="W180" t="str">
            <v>Đã đóng</v>
          </cell>
          <cell r="AJ180" t="str">
            <v>Thái Nguyên</v>
          </cell>
          <cell r="BX180" t="str">
            <v>AON</v>
          </cell>
        </row>
        <row r="181">
          <cell r="A181" t="str">
            <v>ON</v>
          </cell>
          <cell r="B181" t="str">
            <v>Trong 24h</v>
          </cell>
          <cell r="D181" t="str">
            <v>Khiếu nại về dịch vụ FTTH</v>
          </cell>
          <cell r="W181" t="str">
            <v>Đã đóng</v>
          </cell>
          <cell r="AJ181" t="str">
            <v>Cần Thơ</v>
          </cell>
          <cell r="BX181" t="str">
            <v>AON</v>
          </cell>
        </row>
        <row r="182">
          <cell r="A182" t="str">
            <v>ON</v>
          </cell>
          <cell r="B182" t="str">
            <v>Trong 24h</v>
          </cell>
          <cell r="D182" t="str">
            <v>Khiếu nại về dịch vụ FTTH</v>
          </cell>
          <cell r="W182" t="str">
            <v>Đã đóng</v>
          </cell>
          <cell r="AJ182" t="str">
            <v>Bình Dương</v>
          </cell>
          <cell r="BX182" t="str">
            <v>AON</v>
          </cell>
        </row>
        <row r="183">
          <cell r="A183" t="str">
            <v>ON</v>
          </cell>
          <cell r="B183" t="str">
            <v>Trong 24h</v>
          </cell>
          <cell r="D183" t="str">
            <v>Khiếu nại về dịch vụ FTTH</v>
          </cell>
          <cell r="W183" t="str">
            <v>Đã đóng</v>
          </cell>
          <cell r="AJ183" t="str">
            <v>Hà Nội 1</v>
          </cell>
          <cell r="BX183" t="str">
            <v>AON</v>
          </cell>
        </row>
        <row r="184">
          <cell r="A184" t="str">
            <v>ON</v>
          </cell>
          <cell r="B184" t="str">
            <v>Trong 24h</v>
          </cell>
          <cell r="D184" t="str">
            <v>Khiếu nại về dịch vụ FTTH</v>
          </cell>
          <cell r="W184" t="str">
            <v>Đã đóng</v>
          </cell>
          <cell r="AJ184" t="str">
            <v>Thừa Thiên Huế</v>
          </cell>
          <cell r="BX184" t="str">
            <v>AON</v>
          </cell>
        </row>
        <row r="185">
          <cell r="A185" t="str">
            <v>ON</v>
          </cell>
          <cell r="B185" t="str">
            <v>Trong 24h</v>
          </cell>
          <cell r="D185" t="str">
            <v>Khiếu nại về dịch vụ FTTH</v>
          </cell>
          <cell r="W185" t="str">
            <v>Đã đóng</v>
          </cell>
          <cell r="AJ185" t="str">
            <v>Ninh Bình</v>
          </cell>
          <cell r="BX185" t="str">
            <v>AON</v>
          </cell>
        </row>
        <row r="186">
          <cell r="A186" t="str">
            <v>ON</v>
          </cell>
          <cell r="B186" t="str">
            <v>Trong 24h</v>
          </cell>
          <cell r="D186" t="str">
            <v>Khiếu nại về dịch vụ FTTH</v>
          </cell>
          <cell r="W186" t="str">
            <v>Đã đóng</v>
          </cell>
          <cell r="AJ186" t="str">
            <v xml:space="preserve">Đà Nẵng </v>
          </cell>
          <cell r="BX186" t="str">
            <v>AON</v>
          </cell>
        </row>
        <row r="187">
          <cell r="A187" t="str">
            <v>ON</v>
          </cell>
          <cell r="B187" t="str">
            <v>Trong 24h</v>
          </cell>
          <cell r="D187" t="str">
            <v>Khiếu nại về dịch vụ FTTH</v>
          </cell>
          <cell r="W187" t="str">
            <v>Đã đóng</v>
          </cell>
          <cell r="AJ187" t="str">
            <v>Bắc Ninh</v>
          </cell>
          <cell r="BX187" t="str">
            <v>AON</v>
          </cell>
        </row>
        <row r="188">
          <cell r="A188" t="str">
            <v>ON</v>
          </cell>
          <cell r="B188" t="str">
            <v>Trong 24h</v>
          </cell>
          <cell r="D188" t="str">
            <v>Khiếu nại về dịch vụ FTTH</v>
          </cell>
          <cell r="W188" t="str">
            <v>Đã đóng</v>
          </cell>
          <cell r="AJ188" t="str">
            <v>TP HCM</v>
          </cell>
          <cell r="BX188" t="str">
            <v>AON</v>
          </cell>
        </row>
        <row r="189">
          <cell r="A189" t="str">
            <v>ON</v>
          </cell>
          <cell r="B189" t="str">
            <v>Trong 24h</v>
          </cell>
          <cell r="D189" t="str">
            <v>Khiếu nại về dịch vụ FTTH</v>
          </cell>
          <cell r="W189" t="str">
            <v>Đã đóng</v>
          </cell>
          <cell r="AJ189" t="str">
            <v>Tiền Giang</v>
          </cell>
          <cell r="BX189" t="str">
            <v>AON</v>
          </cell>
        </row>
        <row r="190">
          <cell r="A190" t="str">
            <v>ON</v>
          </cell>
          <cell r="B190" t="str">
            <v>Trong 24h</v>
          </cell>
          <cell r="D190" t="str">
            <v>Khiếu nại về dịch vụ FTTH</v>
          </cell>
          <cell r="W190" t="str">
            <v>Đã đóng</v>
          </cell>
          <cell r="AJ190" t="str">
            <v>Hậu Giang</v>
          </cell>
          <cell r="BX190" t="str">
            <v>AON</v>
          </cell>
        </row>
        <row r="191">
          <cell r="A191" t="str">
            <v>ON</v>
          </cell>
          <cell r="B191" t="str">
            <v>Trong 24h</v>
          </cell>
          <cell r="D191" t="str">
            <v>Khiếu nại về dịch vụ FTTH</v>
          </cell>
          <cell r="W191" t="str">
            <v>Đã đóng</v>
          </cell>
          <cell r="AJ191" t="str">
            <v>Bình Dương</v>
          </cell>
          <cell r="BX191" t="str">
            <v>AON</v>
          </cell>
        </row>
        <row r="192">
          <cell r="A192" t="str">
            <v>ON</v>
          </cell>
          <cell r="B192" t="str">
            <v>Trong 24h</v>
          </cell>
          <cell r="D192" t="str">
            <v>Khiếu nại về dịch vụ FTTH</v>
          </cell>
          <cell r="W192" t="str">
            <v>Đã đóng</v>
          </cell>
          <cell r="AJ192" t="str">
            <v>Quảng Ngãi</v>
          </cell>
          <cell r="BX192" t="str">
            <v>AON</v>
          </cell>
        </row>
        <row r="193">
          <cell r="A193" t="str">
            <v>ON</v>
          </cell>
          <cell r="B193" t="str">
            <v>Trong 24h</v>
          </cell>
          <cell r="D193" t="str">
            <v>Khiếu nại về dịch vụ FTTH</v>
          </cell>
          <cell r="W193" t="str">
            <v>Đã đóng</v>
          </cell>
          <cell r="AJ193" t="str">
            <v>TP HCM</v>
          </cell>
          <cell r="BX193" t="str">
            <v>AON</v>
          </cell>
        </row>
        <row r="194">
          <cell r="A194" t="str">
            <v>ON</v>
          </cell>
          <cell r="B194" t="str">
            <v>Trong 24h</v>
          </cell>
          <cell r="D194" t="str">
            <v>Khiếu nại về dịch vụ FTTH</v>
          </cell>
          <cell r="W194" t="str">
            <v>Đã đóng</v>
          </cell>
          <cell r="AJ194" t="str">
            <v>TP HCM</v>
          </cell>
          <cell r="BX194" t="str">
            <v>AON</v>
          </cell>
        </row>
        <row r="195">
          <cell r="A195" t="str">
            <v>ON</v>
          </cell>
          <cell r="B195" t="str">
            <v>Trong 24h</v>
          </cell>
          <cell r="D195" t="str">
            <v>Khiếu nại về dịch vụ FTTH</v>
          </cell>
          <cell r="W195" t="str">
            <v>Đã đóng</v>
          </cell>
          <cell r="AJ195" t="str">
            <v>Hà Nội 2</v>
          </cell>
          <cell r="BX195" t="str">
            <v>AON</v>
          </cell>
        </row>
        <row r="196">
          <cell r="A196" t="str">
            <v>ON</v>
          </cell>
          <cell r="B196" t="str">
            <v>Trong 24h</v>
          </cell>
          <cell r="D196" t="str">
            <v>Khiếu nại về dịch vụ FTTH</v>
          </cell>
          <cell r="W196" t="str">
            <v>Đang xử lý</v>
          </cell>
          <cell r="AJ196" t="str">
            <v>Lâm Đồng</v>
          </cell>
          <cell r="BX196" t="str">
            <v>AON</v>
          </cell>
        </row>
        <row r="197">
          <cell r="A197" t="str">
            <v>ON</v>
          </cell>
          <cell r="B197" t="str">
            <v>Trong 24h</v>
          </cell>
          <cell r="D197" t="str">
            <v>Khiếu nại về dịch vụ FTTH</v>
          </cell>
          <cell r="W197" t="str">
            <v>Đã đóng</v>
          </cell>
          <cell r="AJ197" t="str">
            <v>Bạc Liêu</v>
          </cell>
          <cell r="BX197" t="str">
            <v>AON</v>
          </cell>
        </row>
        <row r="198">
          <cell r="A198" t="str">
            <v>ON</v>
          </cell>
          <cell r="B198" t="str">
            <v>Trong 24h</v>
          </cell>
          <cell r="D198" t="str">
            <v>Khiếu nại về dịch vụ FTTH</v>
          </cell>
          <cell r="W198" t="str">
            <v>Đã đóng</v>
          </cell>
          <cell r="AJ198" t="str">
            <v>Quảng Trị</v>
          </cell>
          <cell r="BX198" t="str">
            <v>AON</v>
          </cell>
        </row>
        <row r="199">
          <cell r="A199" t="str">
            <v>ON</v>
          </cell>
          <cell r="B199" t="str">
            <v>Trong 24h</v>
          </cell>
          <cell r="D199" t="str">
            <v>Khiếu nại về dịch vụ FTTH</v>
          </cell>
          <cell r="W199" t="str">
            <v>Đã đóng</v>
          </cell>
          <cell r="AJ199" t="str">
            <v>TP HCM</v>
          </cell>
          <cell r="BX199" t="str">
            <v>AON</v>
          </cell>
        </row>
        <row r="200">
          <cell r="A200" t="str">
            <v>ON</v>
          </cell>
          <cell r="B200" t="str">
            <v>Trong 24h</v>
          </cell>
          <cell r="D200" t="str">
            <v>Khiếu nại về dịch vụ FTTH</v>
          </cell>
          <cell r="W200" t="str">
            <v>Đã đóng</v>
          </cell>
          <cell r="AJ200" t="str">
            <v>Hà Nội 1</v>
          </cell>
          <cell r="BX200" t="str">
            <v>AON</v>
          </cell>
        </row>
        <row r="201">
          <cell r="A201" t="str">
            <v>ON</v>
          </cell>
          <cell r="B201" t="str">
            <v>Trong 24h</v>
          </cell>
          <cell r="D201" t="str">
            <v>Khiếu nại về dịch vụ FTTH</v>
          </cell>
          <cell r="W201" t="str">
            <v>Đã đóng</v>
          </cell>
          <cell r="AJ201" t="str">
            <v>TP HCM</v>
          </cell>
          <cell r="BX201" t="str">
            <v>AON</v>
          </cell>
        </row>
        <row r="202">
          <cell r="A202" t="str">
            <v>ON</v>
          </cell>
          <cell r="B202" t="str">
            <v>Trong 24h</v>
          </cell>
          <cell r="D202" t="str">
            <v>Khiếu nại về dịch vụ FTTH</v>
          </cell>
          <cell r="W202" t="str">
            <v>Đang xử lý</v>
          </cell>
          <cell r="AJ202" t="str">
            <v>Bắc Giang</v>
          </cell>
          <cell r="BX202" t="str">
            <v>AON</v>
          </cell>
        </row>
        <row r="203">
          <cell r="A203" t="str">
            <v>ON</v>
          </cell>
          <cell r="B203" t="str">
            <v>Trong 24h</v>
          </cell>
          <cell r="D203" t="str">
            <v>Khiếu nại về dịch vụ FTTH</v>
          </cell>
          <cell r="W203" t="str">
            <v>Đã đóng</v>
          </cell>
          <cell r="AJ203" t="str">
            <v>Hậu Giang</v>
          </cell>
          <cell r="BX203" t="str">
            <v>AON</v>
          </cell>
        </row>
        <row r="204">
          <cell r="A204" t="str">
            <v>ON</v>
          </cell>
          <cell r="B204" t="str">
            <v>Trong 24h</v>
          </cell>
          <cell r="D204" t="str">
            <v>Khiếu nại về dịch vụ FTTH</v>
          </cell>
          <cell r="W204" t="str">
            <v>Đã đóng</v>
          </cell>
          <cell r="AJ204" t="str">
            <v xml:space="preserve">Quảng Nam </v>
          </cell>
          <cell r="BX204" t="str">
            <v>AON</v>
          </cell>
        </row>
        <row r="205">
          <cell r="A205" t="str">
            <v>ON</v>
          </cell>
          <cell r="B205" t="str">
            <v>Trong 24h</v>
          </cell>
          <cell r="D205" t="str">
            <v>Khiếu nại về dịch vụ FTTH</v>
          </cell>
          <cell r="W205" t="str">
            <v>Đang xử lý</v>
          </cell>
          <cell r="AJ205" t="str">
            <v>TP HCM</v>
          </cell>
          <cell r="BX205" t="str">
            <v>AON</v>
          </cell>
        </row>
        <row r="206">
          <cell r="A206" t="str">
            <v>ON</v>
          </cell>
          <cell r="B206" t="str">
            <v>Trong 24h</v>
          </cell>
          <cell r="D206" t="str">
            <v>Khiếu nại về dịch vụ FTTH</v>
          </cell>
          <cell r="W206" t="str">
            <v>Đã đóng</v>
          </cell>
          <cell r="AJ206" t="str">
            <v>Bình Dương</v>
          </cell>
          <cell r="BX206" t="str">
            <v>AON</v>
          </cell>
        </row>
        <row r="207">
          <cell r="A207" t="str">
            <v>ON</v>
          </cell>
          <cell r="B207" t="str">
            <v>Trong 24h</v>
          </cell>
          <cell r="D207" t="str">
            <v>Khiếu nại về dịch vụ FTTH</v>
          </cell>
          <cell r="W207" t="str">
            <v>Đang xử lý</v>
          </cell>
          <cell r="AJ207" t="str">
            <v>Bắc Ninh</v>
          </cell>
          <cell r="BX207" t="str">
            <v>AON</v>
          </cell>
        </row>
        <row r="208">
          <cell r="A208" t="str">
            <v>ON</v>
          </cell>
          <cell r="B208" t="str">
            <v>Trong 24h</v>
          </cell>
          <cell r="D208" t="str">
            <v>Khiếu nại về dịch vụ FTTH</v>
          </cell>
          <cell r="W208" t="str">
            <v>Đã đóng</v>
          </cell>
          <cell r="AJ208" t="str">
            <v xml:space="preserve">Quảng Nam </v>
          </cell>
          <cell r="BX208" t="str">
            <v>AON</v>
          </cell>
        </row>
        <row r="209">
          <cell r="A209" t="str">
            <v>ON</v>
          </cell>
          <cell r="B209" t="str">
            <v>Trong 24h</v>
          </cell>
          <cell r="D209" t="str">
            <v>Khiếu nại về dịch vụ FTTH</v>
          </cell>
          <cell r="W209" t="str">
            <v>Đã đóng</v>
          </cell>
          <cell r="AJ209" t="str">
            <v>Nghệ An</v>
          </cell>
          <cell r="BX209" t="str">
            <v>AON</v>
          </cell>
        </row>
        <row r="210">
          <cell r="A210" t="str">
            <v>ON</v>
          </cell>
          <cell r="B210" t="str">
            <v>Trong 24h</v>
          </cell>
          <cell r="D210" t="str">
            <v>Khiếu nại về dịch vụ FTTH</v>
          </cell>
          <cell r="W210" t="str">
            <v>Đã đóng</v>
          </cell>
          <cell r="AJ210" t="str">
            <v>TP HCM</v>
          </cell>
          <cell r="BX210" t="str">
            <v>AON</v>
          </cell>
        </row>
        <row r="211">
          <cell r="A211" t="str">
            <v>ON</v>
          </cell>
          <cell r="B211" t="str">
            <v>Trong 24h</v>
          </cell>
          <cell r="D211" t="str">
            <v>Khiếu nại về dịch vụ FTTH</v>
          </cell>
          <cell r="W211" t="str">
            <v>Đã đóng</v>
          </cell>
          <cell r="AJ211" t="str">
            <v>Quảng Ninh</v>
          </cell>
          <cell r="BX211" t="str">
            <v>AON</v>
          </cell>
        </row>
        <row r="212">
          <cell r="A212" t="str">
            <v>ON</v>
          </cell>
          <cell r="B212" t="str">
            <v>Trong 24h</v>
          </cell>
          <cell r="D212" t="str">
            <v>Khiếu nại về dịch vụ FTTH</v>
          </cell>
          <cell r="W212" t="str">
            <v>Đang xử lý</v>
          </cell>
          <cell r="AJ212" t="str">
            <v>Bình Định</v>
          </cell>
          <cell r="BX212" t="str">
            <v>AON</v>
          </cell>
        </row>
        <row r="213">
          <cell r="A213" t="str">
            <v>ON</v>
          </cell>
          <cell r="B213" t="str">
            <v>Trong 24h</v>
          </cell>
          <cell r="D213" t="str">
            <v>Khiếu nại về dịch vụ FTTH</v>
          </cell>
          <cell r="W213" t="str">
            <v>Đang xử lý</v>
          </cell>
          <cell r="AJ213" t="str">
            <v>Thừa Thiên Huế</v>
          </cell>
          <cell r="BX213" t="str">
            <v>AON</v>
          </cell>
        </row>
        <row r="214">
          <cell r="A214" t="str">
            <v>ON</v>
          </cell>
          <cell r="B214" t="str">
            <v>Trong 24h</v>
          </cell>
          <cell r="D214" t="str">
            <v>Khiếu nại về dịch vụ FTTH</v>
          </cell>
          <cell r="W214" t="str">
            <v>Đã đóng</v>
          </cell>
          <cell r="AJ214" t="str">
            <v>Hậu Giang</v>
          </cell>
          <cell r="BX214" t="str">
            <v>AON</v>
          </cell>
        </row>
        <row r="215">
          <cell r="A215" t="str">
            <v>ON</v>
          </cell>
          <cell r="B215" t="str">
            <v>Trong 24h</v>
          </cell>
          <cell r="D215" t="str">
            <v>Khiếu nại về dịch vụ FTTH</v>
          </cell>
          <cell r="W215" t="str">
            <v>Đã đóng</v>
          </cell>
          <cell r="AJ215" t="str">
            <v>An Giang</v>
          </cell>
          <cell r="BX215" t="str">
            <v>AON</v>
          </cell>
        </row>
        <row r="216">
          <cell r="A216" t="str">
            <v>ON</v>
          </cell>
          <cell r="B216" t="str">
            <v>Trong 24h</v>
          </cell>
          <cell r="D216" t="str">
            <v>Khiếu nại về dịch vụ FTTH</v>
          </cell>
          <cell r="W216" t="str">
            <v>Đã đóng</v>
          </cell>
          <cell r="AJ216" t="str">
            <v>Hưng Yên</v>
          </cell>
          <cell r="BX216" t="str">
            <v>AON</v>
          </cell>
        </row>
        <row r="217">
          <cell r="A217" t="str">
            <v>ON</v>
          </cell>
          <cell r="B217" t="str">
            <v>Trong 24h</v>
          </cell>
          <cell r="D217" t="str">
            <v>Khiếu nại về dịch vụ FTTH</v>
          </cell>
          <cell r="W217" t="str">
            <v>Đã đóng</v>
          </cell>
          <cell r="AJ217" t="str">
            <v>Thái Bình</v>
          </cell>
          <cell r="BX217" t="str">
            <v>AON</v>
          </cell>
        </row>
        <row r="218">
          <cell r="A218" t="str">
            <v>ON</v>
          </cell>
          <cell r="B218" t="str">
            <v>Trong 24h</v>
          </cell>
          <cell r="D218" t="str">
            <v>Khiếu nại về dịch vụ FTTH</v>
          </cell>
          <cell r="W218" t="str">
            <v>Đã đóng</v>
          </cell>
          <cell r="AJ218" t="str">
            <v>Đồng Tháp</v>
          </cell>
          <cell r="BX218" t="str">
            <v>AON</v>
          </cell>
        </row>
        <row r="219">
          <cell r="A219" t="str">
            <v>ON</v>
          </cell>
          <cell r="B219" t="str">
            <v>Trong 24h</v>
          </cell>
          <cell r="D219" t="str">
            <v>Khiếu nại về dịch vụ FTTH</v>
          </cell>
          <cell r="W219" t="str">
            <v>Đã đóng</v>
          </cell>
          <cell r="AJ219" t="str">
            <v>Bắc Giang</v>
          </cell>
          <cell r="BX219" t="str">
            <v>AON</v>
          </cell>
        </row>
        <row r="220">
          <cell r="A220" t="str">
            <v>ON</v>
          </cell>
          <cell r="B220" t="str">
            <v>Trong 24h</v>
          </cell>
          <cell r="D220" t="str">
            <v>Khiếu nại về dịch vụ FTTH</v>
          </cell>
          <cell r="W220" t="str">
            <v>Đã đóng</v>
          </cell>
          <cell r="AJ220" t="str">
            <v>Trà Vinh</v>
          </cell>
          <cell r="BX220" t="str">
            <v>AON</v>
          </cell>
        </row>
        <row r="221">
          <cell r="A221" t="str">
            <v>ON</v>
          </cell>
          <cell r="B221" t="str">
            <v>Trong 24h</v>
          </cell>
          <cell r="D221" t="str">
            <v>Khiếu nại về dịch vụ FTTH</v>
          </cell>
          <cell r="W221" t="str">
            <v>Đã đóng</v>
          </cell>
          <cell r="AJ221" t="str">
            <v>TP HCM</v>
          </cell>
          <cell r="BX221" t="str">
            <v>AON</v>
          </cell>
        </row>
        <row r="222">
          <cell r="A222" t="str">
            <v>ON</v>
          </cell>
          <cell r="B222" t="str">
            <v>Trong 24h</v>
          </cell>
          <cell r="D222" t="str">
            <v>Khiếu nại về dịch vụ FTTH</v>
          </cell>
          <cell r="W222" t="str">
            <v>Đã đóng</v>
          </cell>
          <cell r="AJ222" t="str">
            <v>TP HCM</v>
          </cell>
          <cell r="BX222" t="str">
            <v>AON</v>
          </cell>
        </row>
        <row r="223">
          <cell r="A223" t="str">
            <v>ON</v>
          </cell>
          <cell r="B223" t="str">
            <v>Trong 24h</v>
          </cell>
          <cell r="D223" t="str">
            <v>Khiếu nại về dịch vụ FTTH</v>
          </cell>
          <cell r="W223" t="str">
            <v>Đã đóng</v>
          </cell>
          <cell r="AJ223" t="str">
            <v>Hà Nội 1</v>
          </cell>
          <cell r="BX223" t="str">
            <v>AON</v>
          </cell>
        </row>
        <row r="224">
          <cell r="A224" t="str">
            <v>ON</v>
          </cell>
          <cell r="B224" t="str">
            <v>Trong 24h</v>
          </cell>
          <cell r="D224" t="str">
            <v>Khiếu nại về dịch vụ FTTH</v>
          </cell>
          <cell r="W224" t="str">
            <v>Đã đóng</v>
          </cell>
          <cell r="AJ224" t="str">
            <v>TP HCM</v>
          </cell>
          <cell r="BX224" t="str">
            <v>AON</v>
          </cell>
        </row>
        <row r="225">
          <cell r="A225" t="str">
            <v>ON</v>
          </cell>
          <cell r="B225" t="str">
            <v>Trong 24h</v>
          </cell>
          <cell r="D225" t="str">
            <v>Khiếu nại về dịch vụ FTTH</v>
          </cell>
          <cell r="W225" t="str">
            <v>Đã đóng</v>
          </cell>
          <cell r="AJ225" t="str">
            <v>An Giang</v>
          </cell>
          <cell r="BX225" t="str">
            <v>AON</v>
          </cell>
        </row>
        <row r="226">
          <cell r="A226" t="str">
            <v>ON</v>
          </cell>
          <cell r="B226" t="str">
            <v>Trong 24h</v>
          </cell>
          <cell r="D226" t="str">
            <v>Khiếu nại về dịch vụ FTTH</v>
          </cell>
          <cell r="W226" t="str">
            <v>Đã đóng</v>
          </cell>
          <cell r="AJ226" t="str">
            <v>Bình Dương</v>
          </cell>
          <cell r="BX226" t="str">
            <v>AON</v>
          </cell>
        </row>
        <row r="227">
          <cell r="A227" t="str">
            <v>ON</v>
          </cell>
          <cell r="B227" t="str">
            <v>Trong 24h</v>
          </cell>
          <cell r="D227" t="str">
            <v>Khiếu nại về dịch vụ FTTH</v>
          </cell>
          <cell r="W227" t="str">
            <v>Đã đóng</v>
          </cell>
          <cell r="AJ227" t="str">
            <v>Đồng Tháp</v>
          </cell>
          <cell r="BX227" t="str">
            <v>AON</v>
          </cell>
        </row>
        <row r="228">
          <cell r="A228" t="str">
            <v>ON</v>
          </cell>
          <cell r="B228" t="str">
            <v>Trong 24h</v>
          </cell>
          <cell r="D228" t="str">
            <v>Khiếu nại về dịch vụ FTTH</v>
          </cell>
          <cell r="W228" t="str">
            <v>Đã đóng</v>
          </cell>
          <cell r="AJ228" t="str">
            <v>Quảng Ninh</v>
          </cell>
          <cell r="BX228" t="str">
            <v>AON</v>
          </cell>
        </row>
        <row r="229">
          <cell r="A229" t="str">
            <v>ON</v>
          </cell>
          <cell r="B229" t="str">
            <v>Trong 24h</v>
          </cell>
          <cell r="D229" t="str">
            <v>Khiếu nại về dịch vụ NextTV</v>
          </cell>
          <cell r="W229" t="str">
            <v>Đã đóng</v>
          </cell>
          <cell r="AJ229" t="str">
            <v>TP HCM</v>
          </cell>
          <cell r="BX229" t="str">
            <v>AON</v>
          </cell>
        </row>
        <row r="230">
          <cell r="A230" t="str">
            <v>ON</v>
          </cell>
          <cell r="B230" t="str">
            <v>Trong 24h</v>
          </cell>
          <cell r="D230" t="str">
            <v>Khiếu nại về dịch vụ FTTH</v>
          </cell>
          <cell r="W230" t="str">
            <v>Đã đóng</v>
          </cell>
          <cell r="AJ230" t="str">
            <v>Hà Nội 2</v>
          </cell>
          <cell r="BX230" t="str">
            <v>AON</v>
          </cell>
        </row>
        <row r="231">
          <cell r="A231" t="str">
            <v>ON</v>
          </cell>
          <cell r="B231" t="str">
            <v>Trong 24h</v>
          </cell>
          <cell r="D231" t="str">
            <v>Khiếu nại về dịch vụ FTTH</v>
          </cell>
          <cell r="W231" t="str">
            <v>Đã đóng</v>
          </cell>
          <cell r="AJ231" t="str">
            <v>TP HCM</v>
          </cell>
          <cell r="BX231" t="str">
            <v>AON</v>
          </cell>
        </row>
        <row r="232">
          <cell r="A232" t="str">
            <v>ON</v>
          </cell>
          <cell r="B232" t="str">
            <v>Trong 24h</v>
          </cell>
          <cell r="D232" t="str">
            <v>Khiếu nại về dịch vụ FTTH</v>
          </cell>
          <cell r="W232" t="str">
            <v>Đã đóng</v>
          </cell>
          <cell r="AJ232" t="str">
            <v xml:space="preserve">Đồng Nai </v>
          </cell>
          <cell r="BX232" t="str">
            <v>AON</v>
          </cell>
        </row>
        <row r="233">
          <cell r="A233" t="str">
            <v>ON</v>
          </cell>
          <cell r="B233" t="str">
            <v>Trong 24h</v>
          </cell>
          <cell r="D233" t="str">
            <v>Khiếu nại về dịch vụ FTTH</v>
          </cell>
          <cell r="W233" t="str">
            <v>Đã đóng</v>
          </cell>
          <cell r="AJ233" t="str">
            <v>Hà Nội 2</v>
          </cell>
          <cell r="BX233" t="str">
            <v>AON</v>
          </cell>
        </row>
        <row r="234">
          <cell r="A234" t="str">
            <v>ON</v>
          </cell>
          <cell r="B234" t="str">
            <v>Trong 24h</v>
          </cell>
          <cell r="D234" t="str">
            <v>Khiếu nại về dịch vụ FTTH</v>
          </cell>
          <cell r="W234" t="str">
            <v>Đã đóng</v>
          </cell>
          <cell r="AJ234" t="str">
            <v>TP HCM</v>
          </cell>
          <cell r="BX234" t="str">
            <v>AON</v>
          </cell>
        </row>
        <row r="235">
          <cell r="A235" t="str">
            <v>ON</v>
          </cell>
          <cell r="B235" t="str">
            <v>Trong 24h</v>
          </cell>
          <cell r="D235" t="str">
            <v>Khiếu nại về dịch vụ FTTH</v>
          </cell>
          <cell r="W235" t="str">
            <v>Đã đóng</v>
          </cell>
          <cell r="AJ235" t="str">
            <v>TP HCM</v>
          </cell>
          <cell r="BX235" t="str">
            <v>AON</v>
          </cell>
        </row>
        <row r="236">
          <cell r="A236" t="str">
            <v>ON</v>
          </cell>
          <cell r="B236" t="str">
            <v>Trong 24h</v>
          </cell>
          <cell r="D236" t="str">
            <v>Khiếu nại về dịch vụ FTTH</v>
          </cell>
          <cell r="W236" t="str">
            <v>Đã đóng</v>
          </cell>
          <cell r="AJ236" t="str">
            <v>TP HCM</v>
          </cell>
          <cell r="BX236" t="str">
            <v>AON</v>
          </cell>
        </row>
        <row r="237">
          <cell r="A237" t="str">
            <v>ON</v>
          </cell>
          <cell r="B237" t="str">
            <v>Trong 24h</v>
          </cell>
          <cell r="D237" t="str">
            <v>Khiếu nại về dịch vụ FTTH</v>
          </cell>
          <cell r="W237" t="str">
            <v>Đã đóng</v>
          </cell>
          <cell r="AJ237" t="str">
            <v>TP HCM</v>
          </cell>
          <cell r="BX237" t="str">
            <v>AON</v>
          </cell>
        </row>
        <row r="238">
          <cell r="A238" t="str">
            <v>ON</v>
          </cell>
          <cell r="B238" t="str">
            <v>Trong 24h</v>
          </cell>
          <cell r="D238" t="str">
            <v>Khiếu nại về dịch vụ FTTH</v>
          </cell>
          <cell r="W238" t="str">
            <v>Đang xử lý</v>
          </cell>
          <cell r="AJ238" t="str">
            <v>Bình Dương</v>
          </cell>
          <cell r="BX238" t="str">
            <v>AON</v>
          </cell>
        </row>
        <row r="239">
          <cell r="A239" t="str">
            <v>ON</v>
          </cell>
          <cell r="B239" t="str">
            <v>Trong 24h</v>
          </cell>
          <cell r="D239" t="str">
            <v>Khiếu nại về dịch vụ FTTH</v>
          </cell>
          <cell r="W239" t="str">
            <v>Đã đóng</v>
          </cell>
          <cell r="AJ239" t="str">
            <v>Hà Nội 1</v>
          </cell>
          <cell r="BX239" t="str">
            <v>AON</v>
          </cell>
        </row>
        <row r="240">
          <cell r="A240" t="str">
            <v>ON</v>
          </cell>
          <cell r="B240" t="str">
            <v>Trong 24h</v>
          </cell>
          <cell r="D240" t="str">
            <v>Khiếu nại về dịch vụ FTTH</v>
          </cell>
          <cell r="W240" t="str">
            <v>Đã đóng</v>
          </cell>
          <cell r="AJ240" t="str">
            <v>Bình Phước</v>
          </cell>
          <cell r="BX240" t="str">
            <v>AON</v>
          </cell>
        </row>
        <row r="241">
          <cell r="A241" t="str">
            <v>ON</v>
          </cell>
          <cell r="B241" t="str">
            <v>Trong 24h</v>
          </cell>
          <cell r="D241" t="str">
            <v>Khiếu nại về dịch vụ FTTH</v>
          </cell>
          <cell r="W241" t="str">
            <v>Đang xử lý</v>
          </cell>
          <cell r="AJ241" t="str">
            <v>Đắc Nông</v>
          </cell>
          <cell r="BX241" t="str">
            <v>AON</v>
          </cell>
        </row>
        <row r="242">
          <cell r="A242" t="str">
            <v>ON</v>
          </cell>
          <cell r="B242" t="str">
            <v>Trong 24h</v>
          </cell>
          <cell r="D242" t="str">
            <v>Khiếu nại về dịch vụ FTTH</v>
          </cell>
          <cell r="W242" t="str">
            <v>Đã đóng</v>
          </cell>
          <cell r="AJ242" t="str">
            <v xml:space="preserve">Đà Nẵng </v>
          </cell>
          <cell r="BX242" t="str">
            <v>AON</v>
          </cell>
        </row>
        <row r="243">
          <cell r="A243" t="str">
            <v>ON</v>
          </cell>
          <cell r="B243" t="str">
            <v>Trong 24h</v>
          </cell>
          <cell r="D243" t="str">
            <v>Khiếu nại về dịch vụ FTTH</v>
          </cell>
          <cell r="W243" t="str">
            <v>Đã đóng</v>
          </cell>
          <cell r="AJ243" t="str">
            <v>Quảng Ninh</v>
          </cell>
          <cell r="BX243" t="str">
            <v>AON</v>
          </cell>
        </row>
        <row r="244">
          <cell r="A244" t="str">
            <v>ON</v>
          </cell>
          <cell r="B244" t="str">
            <v>Trong 24h</v>
          </cell>
          <cell r="D244" t="str">
            <v>Khiếu nại về dịch vụ FTTH</v>
          </cell>
          <cell r="W244" t="str">
            <v>Đang xử lý</v>
          </cell>
          <cell r="AJ244" t="str">
            <v xml:space="preserve">Đắc Lắk </v>
          </cell>
          <cell r="BX244" t="str">
            <v>AON</v>
          </cell>
        </row>
        <row r="245">
          <cell r="A245" t="str">
            <v>ON</v>
          </cell>
          <cell r="B245" t="str">
            <v>Trong 24h</v>
          </cell>
          <cell r="D245" t="str">
            <v>Khiếu nại về dịch vụ FTTH</v>
          </cell>
          <cell r="W245" t="str">
            <v>Đã đóng</v>
          </cell>
          <cell r="AJ245" t="str">
            <v>TP HCM</v>
          </cell>
          <cell r="BX245" t="str">
            <v>AON</v>
          </cell>
        </row>
        <row r="246">
          <cell r="A246" t="str">
            <v>ON</v>
          </cell>
          <cell r="B246" t="str">
            <v>Trong 24h</v>
          </cell>
          <cell r="D246" t="str">
            <v>Khiếu nại về dịch vụ FTTH</v>
          </cell>
          <cell r="W246" t="str">
            <v>Đã đóng</v>
          </cell>
          <cell r="AJ246" t="str">
            <v>Long An</v>
          </cell>
          <cell r="BX246" t="str">
            <v>AON</v>
          </cell>
        </row>
        <row r="247">
          <cell r="A247" t="str">
            <v>ON</v>
          </cell>
          <cell r="B247" t="str">
            <v>Trong 24h</v>
          </cell>
          <cell r="D247" t="str">
            <v>Khiếu nại về dịch vụ FTTH</v>
          </cell>
          <cell r="W247" t="str">
            <v>Đã đóng</v>
          </cell>
          <cell r="AJ247" t="str">
            <v>TP HCM</v>
          </cell>
          <cell r="BX247" t="str">
            <v>AON</v>
          </cell>
        </row>
        <row r="248">
          <cell r="A248" t="str">
            <v>ON</v>
          </cell>
          <cell r="B248" t="str">
            <v>Trong 24h</v>
          </cell>
          <cell r="D248" t="str">
            <v>Khiếu nại về dịch vụ FTTH</v>
          </cell>
          <cell r="W248" t="str">
            <v>Đã đóng</v>
          </cell>
          <cell r="AJ248" t="str">
            <v>Sóc Trăng</v>
          </cell>
          <cell r="BX248" t="str">
            <v>AON</v>
          </cell>
        </row>
        <row r="249">
          <cell r="A249" t="str">
            <v>ON</v>
          </cell>
          <cell r="B249" t="str">
            <v>Trong 24h</v>
          </cell>
          <cell r="D249" t="str">
            <v>Khiếu nại về dịch vụ FTTH</v>
          </cell>
          <cell r="W249" t="str">
            <v>Đã đóng</v>
          </cell>
          <cell r="AJ249" t="str">
            <v>TP HCM</v>
          </cell>
          <cell r="BX249" t="str">
            <v>AON</v>
          </cell>
        </row>
        <row r="250">
          <cell r="A250" t="str">
            <v>ON</v>
          </cell>
          <cell r="B250" t="str">
            <v>Trong 24h</v>
          </cell>
          <cell r="D250" t="str">
            <v>Khiếu nại về dịch vụ FTTH</v>
          </cell>
          <cell r="W250" t="str">
            <v>Đã đóng</v>
          </cell>
          <cell r="AJ250" t="str">
            <v>Hậu Giang</v>
          </cell>
          <cell r="BX250" t="str">
            <v>AON</v>
          </cell>
        </row>
        <row r="251">
          <cell r="A251" t="str">
            <v>ON</v>
          </cell>
          <cell r="B251" t="str">
            <v>Trong 24h</v>
          </cell>
          <cell r="D251" t="str">
            <v>Khiếu nại về dịch vụ FTTH</v>
          </cell>
          <cell r="W251" t="str">
            <v>Đang xử lý</v>
          </cell>
          <cell r="AJ251" t="str">
            <v>Thanh Hoá</v>
          </cell>
          <cell r="BX251" t="str">
            <v>AON</v>
          </cell>
        </row>
        <row r="252">
          <cell r="A252" t="str">
            <v>ON</v>
          </cell>
          <cell r="B252" t="str">
            <v>Trong 24h</v>
          </cell>
          <cell r="D252" t="str">
            <v>Khiếu nại về dịch vụ FTTH</v>
          </cell>
          <cell r="W252" t="str">
            <v>Đã đóng</v>
          </cell>
          <cell r="AJ252" t="str">
            <v>TP HCM</v>
          </cell>
          <cell r="BX252" t="str">
            <v>AON</v>
          </cell>
        </row>
        <row r="253">
          <cell r="A253" t="str">
            <v>ON</v>
          </cell>
          <cell r="B253" t="str">
            <v>Trong 24h</v>
          </cell>
          <cell r="D253" t="str">
            <v>Khiếu nại về dịch vụ FTTH</v>
          </cell>
          <cell r="W253" t="str">
            <v>Đã đóng</v>
          </cell>
          <cell r="AJ253" t="str">
            <v>Hà Nội 2</v>
          </cell>
          <cell r="BX253" t="str">
            <v>AON</v>
          </cell>
        </row>
        <row r="254">
          <cell r="A254" t="str">
            <v>ON</v>
          </cell>
          <cell r="B254" t="str">
            <v>Trong 24h</v>
          </cell>
          <cell r="D254" t="str">
            <v>Khiếu nại về dịch vụ FTTH</v>
          </cell>
          <cell r="W254" t="str">
            <v>Đã đóng</v>
          </cell>
          <cell r="AJ254" t="str">
            <v>Quảng Ninh</v>
          </cell>
          <cell r="BX254" t="str">
            <v>AON</v>
          </cell>
        </row>
        <row r="255">
          <cell r="A255" t="str">
            <v>ON</v>
          </cell>
          <cell r="B255" t="str">
            <v>Trong 24h</v>
          </cell>
          <cell r="D255" t="str">
            <v>Khiếu nại về dịch vụ FTTH</v>
          </cell>
          <cell r="W255" t="str">
            <v>Đã đóng</v>
          </cell>
          <cell r="AJ255" t="str">
            <v>TP HCM</v>
          </cell>
          <cell r="BX255" t="str">
            <v>AON</v>
          </cell>
        </row>
        <row r="256">
          <cell r="A256" t="str">
            <v>ON</v>
          </cell>
          <cell r="B256" t="str">
            <v>Trong 24h</v>
          </cell>
          <cell r="D256" t="str">
            <v>Khiếu nại về dịch vụ NextTV</v>
          </cell>
          <cell r="W256" t="str">
            <v>Đang xử lý</v>
          </cell>
          <cell r="AJ256" t="str">
            <v>TP HCM</v>
          </cell>
          <cell r="BX256" t="str">
            <v>AON</v>
          </cell>
        </row>
        <row r="257">
          <cell r="A257" t="str">
            <v>ON</v>
          </cell>
          <cell r="B257" t="str">
            <v>Trong 24h</v>
          </cell>
          <cell r="D257" t="str">
            <v>Khiếu nại về dịch vụ FTTH</v>
          </cell>
          <cell r="W257" t="str">
            <v>Đang xử lý</v>
          </cell>
          <cell r="AJ257" t="str">
            <v>Bình Thuận</v>
          </cell>
          <cell r="BX257" t="str">
            <v>AON</v>
          </cell>
        </row>
        <row r="258">
          <cell r="A258" t="str">
            <v>ON</v>
          </cell>
          <cell r="B258" t="str">
            <v>Trong 24h</v>
          </cell>
          <cell r="D258" t="str">
            <v>Khiếu nại về dịch vụ FTTH</v>
          </cell>
          <cell r="W258" t="str">
            <v>Đang xử lý</v>
          </cell>
          <cell r="AJ258" t="str">
            <v>Bình Định</v>
          </cell>
          <cell r="BX258" t="str">
            <v>AON</v>
          </cell>
        </row>
        <row r="259">
          <cell r="A259" t="str">
            <v>ON</v>
          </cell>
          <cell r="B259" t="str">
            <v>Trong 24h</v>
          </cell>
          <cell r="D259" t="str">
            <v>Khiếu nại về dịch vụ FTTH</v>
          </cell>
          <cell r="W259" t="str">
            <v>Đã đóng</v>
          </cell>
          <cell r="AJ259" t="str">
            <v>TP HCM</v>
          </cell>
          <cell r="BX259" t="str">
            <v>AON</v>
          </cell>
        </row>
        <row r="260">
          <cell r="A260" t="str">
            <v>ON</v>
          </cell>
          <cell r="B260" t="str">
            <v>Trong 24h</v>
          </cell>
          <cell r="D260" t="str">
            <v>Khiếu nại về dịch vụ NextTV</v>
          </cell>
          <cell r="W260" t="str">
            <v>Đã đóng</v>
          </cell>
          <cell r="AJ260" t="str">
            <v>Tiền Giang</v>
          </cell>
          <cell r="BX260" t="str">
            <v>AON</v>
          </cell>
        </row>
        <row r="261">
          <cell r="A261" t="str">
            <v>ON</v>
          </cell>
          <cell r="B261" t="str">
            <v>Trong 24h</v>
          </cell>
          <cell r="D261" t="str">
            <v>Khiếu nại về dịch vụ FTTH</v>
          </cell>
          <cell r="W261" t="str">
            <v>Đã đóng</v>
          </cell>
          <cell r="AJ261" t="str">
            <v>Lào Cai</v>
          </cell>
          <cell r="BX261" t="str">
            <v>AON</v>
          </cell>
        </row>
        <row r="262">
          <cell r="A262" t="str">
            <v>ON</v>
          </cell>
          <cell r="B262" t="str">
            <v>Trong 24h</v>
          </cell>
          <cell r="D262" t="str">
            <v>Khiếu nại về dịch vụ FTTH</v>
          </cell>
          <cell r="W262" t="str">
            <v>Đã đóng</v>
          </cell>
          <cell r="AJ262" t="str">
            <v>Bắc Ninh</v>
          </cell>
          <cell r="BX262" t="str">
            <v>AON</v>
          </cell>
        </row>
        <row r="263">
          <cell r="A263" t="str">
            <v>ON</v>
          </cell>
          <cell r="B263" t="str">
            <v>Trong 24h</v>
          </cell>
          <cell r="D263" t="str">
            <v>Khiếu nại về dịch vụ FTTH</v>
          </cell>
          <cell r="W263" t="str">
            <v>Đã đóng</v>
          </cell>
          <cell r="AJ263" t="str">
            <v>An Giang</v>
          </cell>
          <cell r="BX263" t="str">
            <v>AON</v>
          </cell>
        </row>
        <row r="264">
          <cell r="A264" t="str">
            <v>ON</v>
          </cell>
          <cell r="B264" t="str">
            <v>Trong 24h</v>
          </cell>
          <cell r="D264" t="str">
            <v>Khiếu nại về dịch vụ FTTH</v>
          </cell>
          <cell r="W264" t="str">
            <v>Đã đóng</v>
          </cell>
          <cell r="AJ264" t="str">
            <v>Sơn La</v>
          </cell>
          <cell r="BX264" t="str">
            <v>AON</v>
          </cell>
        </row>
        <row r="265">
          <cell r="A265" t="str">
            <v>ON</v>
          </cell>
          <cell r="B265" t="str">
            <v>Trong 24h</v>
          </cell>
          <cell r="D265" t="str">
            <v>Khiếu nại về dịch vụ FTTH</v>
          </cell>
          <cell r="W265" t="str">
            <v>Đã đóng</v>
          </cell>
          <cell r="AJ265" t="str">
            <v>TP HCM</v>
          </cell>
          <cell r="BX265" t="str">
            <v>AON</v>
          </cell>
        </row>
        <row r="266">
          <cell r="A266" t="str">
            <v>ON</v>
          </cell>
          <cell r="B266" t="str">
            <v>Trong 24h</v>
          </cell>
          <cell r="D266" t="str">
            <v>Khiếu nại về dịch vụ FTTH</v>
          </cell>
          <cell r="W266" t="str">
            <v>Đã đóng</v>
          </cell>
          <cell r="AJ266" t="str">
            <v>Hậu Giang</v>
          </cell>
          <cell r="BX266" t="str">
            <v>AON</v>
          </cell>
        </row>
        <row r="267">
          <cell r="A267" t="str">
            <v>ON</v>
          </cell>
          <cell r="B267" t="str">
            <v>Trong 24h</v>
          </cell>
          <cell r="D267" t="str">
            <v>Khiếu nại về dịch vụ FTTH</v>
          </cell>
          <cell r="W267" t="str">
            <v>Đã đóng</v>
          </cell>
          <cell r="AJ267" t="str">
            <v>TP HCM</v>
          </cell>
          <cell r="BX267" t="str">
            <v>AON</v>
          </cell>
        </row>
        <row r="268">
          <cell r="A268" t="str">
            <v>ON</v>
          </cell>
          <cell r="B268" t="str">
            <v>Trong 24h</v>
          </cell>
          <cell r="D268" t="str">
            <v>Khiếu nại về dịch vụ FTTH</v>
          </cell>
          <cell r="W268" t="str">
            <v>Đã đóng</v>
          </cell>
          <cell r="AJ268" t="str">
            <v>Sóc Trăng</v>
          </cell>
          <cell r="BX268" t="str">
            <v>AON</v>
          </cell>
        </row>
        <row r="269">
          <cell r="A269" t="str">
            <v>ON</v>
          </cell>
          <cell r="B269" t="str">
            <v>Trong 24h</v>
          </cell>
          <cell r="D269" t="str">
            <v>Khiếu nại về dịch vụ FTTH</v>
          </cell>
          <cell r="W269" t="str">
            <v>Đang xử lý</v>
          </cell>
          <cell r="AJ269" t="str">
            <v>Cà Mau</v>
          </cell>
          <cell r="BX269" t="str">
            <v>AON</v>
          </cell>
        </row>
        <row r="270">
          <cell r="A270" t="str">
            <v>ON</v>
          </cell>
          <cell r="B270" t="str">
            <v>Trong 24h</v>
          </cell>
          <cell r="D270" t="str">
            <v>Khiếu nại về dịch vụ NextTV</v>
          </cell>
          <cell r="W270" t="str">
            <v>Đang xử lý</v>
          </cell>
          <cell r="AJ270" t="str">
            <v>Thanh Hoá</v>
          </cell>
          <cell r="BX270" t="str">
            <v>AON</v>
          </cell>
        </row>
        <row r="271">
          <cell r="A271" t="str">
            <v>ON</v>
          </cell>
          <cell r="B271" t="str">
            <v>Trong 24h</v>
          </cell>
          <cell r="D271" t="str">
            <v>Khiếu nại về dịch vụ FTTH</v>
          </cell>
          <cell r="W271" t="str">
            <v>Đã đóng</v>
          </cell>
          <cell r="AJ271" t="str">
            <v>Quảng Ninh</v>
          </cell>
          <cell r="BX271" t="str">
            <v>AON</v>
          </cell>
        </row>
        <row r="272">
          <cell r="A272" t="str">
            <v>ON</v>
          </cell>
          <cell r="B272" t="str">
            <v>Trong 24h</v>
          </cell>
          <cell r="D272" t="str">
            <v>Khiếu nại về dịch vụ FTTH</v>
          </cell>
          <cell r="W272" t="str">
            <v>Đã đóng</v>
          </cell>
          <cell r="AJ272" t="str">
            <v>Quảng Trị</v>
          </cell>
          <cell r="BX272" t="str">
            <v>AON</v>
          </cell>
        </row>
        <row r="273">
          <cell r="A273" t="str">
            <v>ON</v>
          </cell>
          <cell r="B273" t="str">
            <v>Trong 24h</v>
          </cell>
          <cell r="D273" t="str">
            <v>Khiếu nại về dịch vụ FTTH</v>
          </cell>
          <cell r="W273" t="str">
            <v>Đang xử lý</v>
          </cell>
          <cell r="AJ273" t="str">
            <v>TP HCM</v>
          </cell>
          <cell r="BX273" t="str">
            <v>AON</v>
          </cell>
        </row>
        <row r="274">
          <cell r="A274" t="str">
            <v>ON</v>
          </cell>
          <cell r="B274" t="str">
            <v>Trong 24h</v>
          </cell>
          <cell r="D274" t="str">
            <v>Khiếu nại về dịch vụ FTTH</v>
          </cell>
          <cell r="W274" t="str">
            <v>Đã đóng</v>
          </cell>
          <cell r="AJ274" t="str">
            <v>An Giang</v>
          </cell>
          <cell r="BX274" t="str">
            <v>AON</v>
          </cell>
        </row>
        <row r="275">
          <cell r="A275" t="str">
            <v>ON</v>
          </cell>
          <cell r="B275" t="str">
            <v>Trong 24h</v>
          </cell>
          <cell r="D275" t="str">
            <v>Khiếu nại về dịch vụ FTTH</v>
          </cell>
          <cell r="W275" t="str">
            <v>Đã đóng</v>
          </cell>
          <cell r="AJ275" t="str">
            <v>Nam Định</v>
          </cell>
          <cell r="BX275" t="str">
            <v>AON</v>
          </cell>
        </row>
        <row r="276">
          <cell r="A276" t="str">
            <v>ON</v>
          </cell>
          <cell r="B276" t="str">
            <v>Trong 24h</v>
          </cell>
          <cell r="D276" t="str">
            <v>Khiếu nại về dịch vụ FTTH</v>
          </cell>
          <cell r="W276" t="str">
            <v>Đã đóng</v>
          </cell>
          <cell r="AJ276" t="str">
            <v>Bình Phước</v>
          </cell>
          <cell r="BX276" t="str">
            <v>AON</v>
          </cell>
        </row>
        <row r="277">
          <cell r="A277" t="str">
            <v>ON</v>
          </cell>
          <cell r="B277" t="str">
            <v>Trong 24h</v>
          </cell>
          <cell r="D277" t="str">
            <v>Khiếu nại về dịch vụ FTTH</v>
          </cell>
          <cell r="W277" t="str">
            <v>Đã đóng</v>
          </cell>
          <cell r="AJ277" t="str">
            <v>Hưng Yên</v>
          </cell>
          <cell r="BX277" t="str">
            <v>AON</v>
          </cell>
        </row>
        <row r="278">
          <cell r="A278" t="str">
            <v>ON</v>
          </cell>
          <cell r="B278" t="str">
            <v>Trong 24h</v>
          </cell>
          <cell r="D278" t="str">
            <v>Khiếu nại về dịch vụ FTTH</v>
          </cell>
          <cell r="W278" t="str">
            <v>Đã đóng</v>
          </cell>
          <cell r="AJ278" t="str">
            <v>Gia Lai</v>
          </cell>
          <cell r="BX278" t="str">
            <v>AON</v>
          </cell>
        </row>
        <row r="279">
          <cell r="A279" t="str">
            <v>ON</v>
          </cell>
          <cell r="B279" t="str">
            <v>Trong 24h</v>
          </cell>
          <cell r="D279" t="str">
            <v>Khiếu nại về dịch vụ FTTH</v>
          </cell>
          <cell r="W279" t="str">
            <v>Đang xử lý</v>
          </cell>
          <cell r="AJ279" t="str">
            <v>Bắc Ninh</v>
          </cell>
          <cell r="BX279" t="str">
            <v>AON</v>
          </cell>
        </row>
        <row r="280">
          <cell r="A280" t="str">
            <v>ON</v>
          </cell>
          <cell r="B280" t="str">
            <v>Trong 24h</v>
          </cell>
          <cell r="D280" t="str">
            <v>Khiếu nại về dịch vụ FTTH</v>
          </cell>
          <cell r="W280" t="str">
            <v>Đã đóng</v>
          </cell>
          <cell r="AJ280" t="str">
            <v>Hậu Giang</v>
          </cell>
          <cell r="BX280" t="str">
            <v>AON</v>
          </cell>
        </row>
        <row r="281">
          <cell r="A281" t="str">
            <v>ON</v>
          </cell>
          <cell r="B281" t="str">
            <v>Trong 24h</v>
          </cell>
          <cell r="D281" t="str">
            <v>Khiếu nại về dịch vụ FTTH</v>
          </cell>
          <cell r="W281" t="str">
            <v>Đã đóng</v>
          </cell>
          <cell r="AJ281" t="str">
            <v>Hà Nội 1</v>
          </cell>
          <cell r="BX281" t="str">
            <v>AON</v>
          </cell>
        </row>
        <row r="282">
          <cell r="A282" t="str">
            <v>ON</v>
          </cell>
          <cell r="B282" t="str">
            <v>Trong 24h</v>
          </cell>
          <cell r="D282" t="str">
            <v>Khiếu nại về dịch vụ FTTH</v>
          </cell>
          <cell r="W282" t="str">
            <v>Đã đóng</v>
          </cell>
          <cell r="AJ282" t="str">
            <v>Gia Lai</v>
          </cell>
          <cell r="BX282" t="str">
            <v>AON</v>
          </cell>
        </row>
        <row r="283">
          <cell r="A283" t="str">
            <v>ON</v>
          </cell>
          <cell r="B283" t="str">
            <v>Trong 24h</v>
          </cell>
          <cell r="D283" t="str">
            <v>Khiếu nại về dịch vụ FTTH</v>
          </cell>
          <cell r="W283" t="str">
            <v>Đã đóng</v>
          </cell>
          <cell r="AJ283" t="str">
            <v xml:space="preserve">Đồng Nai </v>
          </cell>
          <cell r="BX283" t="str">
            <v>GPON</v>
          </cell>
        </row>
        <row r="284">
          <cell r="A284" t="str">
            <v>ON</v>
          </cell>
          <cell r="B284" t="str">
            <v>Trong 24h</v>
          </cell>
          <cell r="D284" t="str">
            <v>Khiếu nại về dịch vụ NextTV</v>
          </cell>
          <cell r="W284" t="str">
            <v>Đã đóng</v>
          </cell>
          <cell r="AJ284" t="str">
            <v>Quảng Trị</v>
          </cell>
          <cell r="BX284" t="str">
            <v>AON</v>
          </cell>
        </row>
        <row r="285">
          <cell r="A285" t="str">
            <v>ON</v>
          </cell>
          <cell r="B285" t="str">
            <v>Trong 24h</v>
          </cell>
          <cell r="D285" t="str">
            <v>Khiếu nại về dịch vụ FTTH</v>
          </cell>
          <cell r="W285" t="str">
            <v>Đã đóng</v>
          </cell>
          <cell r="AJ285" t="str">
            <v>Hà Nội 1</v>
          </cell>
          <cell r="BX285" t="str">
            <v>AON</v>
          </cell>
        </row>
        <row r="286">
          <cell r="A286" t="str">
            <v>ON</v>
          </cell>
          <cell r="B286" t="str">
            <v>Trong 24h</v>
          </cell>
          <cell r="D286" t="str">
            <v>Khiếu nại về dịch vụ FTTH</v>
          </cell>
          <cell r="W286" t="str">
            <v>Đã đóng</v>
          </cell>
          <cell r="AJ286" t="str">
            <v>Hậu Giang</v>
          </cell>
          <cell r="BX286" t="str">
            <v>AON</v>
          </cell>
        </row>
        <row r="287">
          <cell r="A287" t="str">
            <v>ON</v>
          </cell>
          <cell r="B287" t="str">
            <v>Trong 24h</v>
          </cell>
          <cell r="D287" t="str">
            <v>Khiếu nại về dịch vụ FTTH</v>
          </cell>
          <cell r="W287" t="str">
            <v>Đã đóng</v>
          </cell>
          <cell r="AJ287" t="str">
            <v>Gia Lai</v>
          </cell>
          <cell r="BX287" t="str">
            <v>AON</v>
          </cell>
        </row>
        <row r="288">
          <cell r="A288" t="str">
            <v>ON</v>
          </cell>
          <cell r="B288" t="str">
            <v>Trong 24h</v>
          </cell>
          <cell r="D288" t="str">
            <v>Khiếu nại về dịch vụ FTTH</v>
          </cell>
          <cell r="W288" t="str">
            <v>Đã đóng</v>
          </cell>
          <cell r="AJ288" t="str">
            <v>TP HCM</v>
          </cell>
          <cell r="BX288" t="str">
            <v>AON</v>
          </cell>
        </row>
        <row r="289">
          <cell r="A289" t="str">
            <v>ON</v>
          </cell>
          <cell r="B289" t="str">
            <v>Trong 24h</v>
          </cell>
          <cell r="D289" t="str">
            <v>Khiếu nại về dịch vụ FTTH</v>
          </cell>
          <cell r="W289" t="str">
            <v>Đã đóng</v>
          </cell>
          <cell r="AJ289" t="str">
            <v>Hải Phòng</v>
          </cell>
          <cell r="BX289" t="str">
            <v>AON</v>
          </cell>
        </row>
        <row r="290">
          <cell r="A290" t="str">
            <v>ON</v>
          </cell>
          <cell r="B290" t="str">
            <v>Trong 24h</v>
          </cell>
          <cell r="D290" t="str">
            <v>Khiếu nại về dịch vụ FTTH</v>
          </cell>
          <cell r="W290" t="str">
            <v>Đã đóng</v>
          </cell>
          <cell r="AJ290" t="str">
            <v>TP HCM</v>
          </cell>
          <cell r="BX290" t="str">
            <v>AON</v>
          </cell>
        </row>
        <row r="291">
          <cell r="A291" t="str">
            <v>ON</v>
          </cell>
          <cell r="B291" t="str">
            <v>Trong 24h</v>
          </cell>
          <cell r="D291" t="str">
            <v>Khiếu nại về dịch vụ FTTH</v>
          </cell>
          <cell r="W291" t="str">
            <v>Đã đóng</v>
          </cell>
          <cell r="AJ291" t="str">
            <v>TP HCM</v>
          </cell>
          <cell r="BX291" t="str">
            <v>AON</v>
          </cell>
        </row>
        <row r="292">
          <cell r="A292" t="str">
            <v>ON</v>
          </cell>
          <cell r="B292" t="str">
            <v>Trong 24h</v>
          </cell>
          <cell r="D292" t="str">
            <v>Khiếu nại về dịch vụ FTTH</v>
          </cell>
          <cell r="W292" t="str">
            <v>Đã đóng</v>
          </cell>
          <cell r="AJ292" t="str">
            <v>Ninh Bình</v>
          </cell>
          <cell r="BX292" t="str">
            <v>AON</v>
          </cell>
        </row>
        <row r="293">
          <cell r="A293" t="str">
            <v>ON</v>
          </cell>
          <cell r="B293" t="str">
            <v>Trong 24h</v>
          </cell>
          <cell r="D293" t="str">
            <v>Khiếu nại về dịch vụ FTTH</v>
          </cell>
          <cell r="W293" t="str">
            <v>Đã đóng</v>
          </cell>
          <cell r="AJ293" t="str">
            <v>TP HCM</v>
          </cell>
          <cell r="BX293" t="str">
            <v>AON</v>
          </cell>
        </row>
        <row r="294">
          <cell r="A294" t="str">
            <v>ON</v>
          </cell>
          <cell r="B294" t="str">
            <v>Trong 24h</v>
          </cell>
          <cell r="D294" t="str">
            <v>Khiếu nại về dịch vụ FTTH</v>
          </cell>
          <cell r="W294" t="str">
            <v>Đã đóng</v>
          </cell>
          <cell r="AJ294" t="str">
            <v>Hà Nội 2</v>
          </cell>
          <cell r="BX294" t="str">
            <v>AON</v>
          </cell>
        </row>
        <row r="295">
          <cell r="A295" t="str">
            <v>ON</v>
          </cell>
          <cell r="B295" t="str">
            <v>Trong 24h</v>
          </cell>
          <cell r="D295" t="str">
            <v>Khiếu nại về dịch vụ FTTH</v>
          </cell>
          <cell r="W295" t="str">
            <v>Đang xử lý</v>
          </cell>
          <cell r="AJ295" t="str">
            <v>Quảng Ninh</v>
          </cell>
          <cell r="BX295" t="str">
            <v>AON</v>
          </cell>
        </row>
        <row r="296">
          <cell r="A296" t="str">
            <v>ON</v>
          </cell>
          <cell r="B296" t="str">
            <v>Trong 24h</v>
          </cell>
          <cell r="D296" t="str">
            <v>Khiếu nại về dịch vụ FTTH</v>
          </cell>
          <cell r="W296" t="str">
            <v>Đã đóng</v>
          </cell>
          <cell r="AJ296" t="str">
            <v>TP HCM</v>
          </cell>
          <cell r="BX296" t="str">
            <v>AON</v>
          </cell>
        </row>
        <row r="297">
          <cell r="A297" t="str">
            <v>ON</v>
          </cell>
          <cell r="B297" t="str">
            <v>Trong 24h</v>
          </cell>
          <cell r="D297" t="str">
            <v>Khiếu nại về dịch vụ FTTH</v>
          </cell>
          <cell r="W297" t="str">
            <v>Đã đóng</v>
          </cell>
          <cell r="AJ297" t="str">
            <v>Hà Nội 1</v>
          </cell>
          <cell r="BX297" t="str">
            <v>AON</v>
          </cell>
        </row>
        <row r="298">
          <cell r="A298" t="str">
            <v>ON</v>
          </cell>
          <cell r="B298" t="str">
            <v>Trong 24h</v>
          </cell>
          <cell r="D298" t="str">
            <v>Khiếu nại về dịch vụ FTTH</v>
          </cell>
          <cell r="W298" t="str">
            <v>Đã đóng</v>
          </cell>
          <cell r="AJ298" t="str">
            <v>Bắc Giang</v>
          </cell>
          <cell r="BX298" t="str">
            <v>AON</v>
          </cell>
        </row>
        <row r="299">
          <cell r="A299" t="str">
            <v>ON</v>
          </cell>
          <cell r="B299" t="str">
            <v>Trong 24h</v>
          </cell>
          <cell r="D299" t="str">
            <v>Khiếu nại về dịch vụ FTTH</v>
          </cell>
          <cell r="W299" t="str">
            <v>Đang xử lý</v>
          </cell>
          <cell r="AJ299" t="str">
            <v>Quảng Ninh</v>
          </cell>
          <cell r="BX299" t="str">
            <v>AON</v>
          </cell>
        </row>
        <row r="300">
          <cell r="A300" t="str">
            <v>ON</v>
          </cell>
          <cell r="B300" t="str">
            <v>Trong 24h</v>
          </cell>
          <cell r="D300" t="str">
            <v>Khiếu nại về dịch vụ FTTH</v>
          </cell>
          <cell r="W300" t="str">
            <v>Đã đóng</v>
          </cell>
          <cell r="AJ300" t="str">
            <v>Tuyên Quang</v>
          </cell>
          <cell r="BX300" t="str">
            <v>AON</v>
          </cell>
        </row>
        <row r="301">
          <cell r="A301" t="str">
            <v>ON</v>
          </cell>
          <cell r="B301" t="str">
            <v>Trong 24h</v>
          </cell>
          <cell r="D301" t="str">
            <v>Khiếu nại về dịch vụ FTTH</v>
          </cell>
          <cell r="W301" t="str">
            <v>Đã đóng</v>
          </cell>
          <cell r="AJ301" t="str">
            <v>Sóc Trăng</v>
          </cell>
          <cell r="BX301" t="str">
            <v>AON</v>
          </cell>
        </row>
        <row r="302">
          <cell r="A302" t="str">
            <v>ON</v>
          </cell>
          <cell r="B302" t="str">
            <v>Trong 24h</v>
          </cell>
          <cell r="D302" t="str">
            <v>Khiếu nại về dịch vụ FTTH</v>
          </cell>
          <cell r="W302" t="str">
            <v>Đã đóng</v>
          </cell>
          <cell r="AJ302" t="str">
            <v>Hà Nội 1</v>
          </cell>
          <cell r="BX302" t="str">
            <v>AON</v>
          </cell>
        </row>
        <row r="303">
          <cell r="A303" t="str">
            <v>ON</v>
          </cell>
          <cell r="B303" t="str">
            <v>Trong 24h</v>
          </cell>
          <cell r="D303" t="str">
            <v>Khiếu nại về dịch vụ FTTH</v>
          </cell>
          <cell r="W303" t="str">
            <v>Đã đóng</v>
          </cell>
          <cell r="AJ303" t="str">
            <v xml:space="preserve">Đồng Nai </v>
          </cell>
          <cell r="BX303" t="str">
            <v>AON</v>
          </cell>
        </row>
        <row r="304">
          <cell r="A304" t="str">
            <v>ON</v>
          </cell>
          <cell r="B304" t="str">
            <v>Trong 24h</v>
          </cell>
          <cell r="D304" t="str">
            <v>Khiếu nại về dịch vụ FTTH</v>
          </cell>
          <cell r="W304" t="str">
            <v>Đã đóng</v>
          </cell>
          <cell r="AJ304" t="str">
            <v>Hậu Giang</v>
          </cell>
          <cell r="BX304" t="str">
            <v>AON</v>
          </cell>
        </row>
        <row r="305">
          <cell r="A305" t="str">
            <v>ON</v>
          </cell>
          <cell r="B305" t="str">
            <v>Trong 24h</v>
          </cell>
          <cell r="D305" t="str">
            <v>Khiếu nại về dịch vụ FTTH</v>
          </cell>
          <cell r="W305" t="str">
            <v>Đã đóng</v>
          </cell>
          <cell r="AJ305" t="str">
            <v>Hà Nội 2</v>
          </cell>
          <cell r="BX305" t="str">
            <v>AON</v>
          </cell>
        </row>
        <row r="306">
          <cell r="A306" t="str">
            <v>ON</v>
          </cell>
          <cell r="B306" t="str">
            <v>Trong 24h</v>
          </cell>
          <cell r="D306" t="str">
            <v>Khiếu nại về dịch vụ FTTH</v>
          </cell>
          <cell r="W306" t="str">
            <v>Đã đóng</v>
          </cell>
          <cell r="AJ306" t="str">
            <v>Hà Nội 1</v>
          </cell>
          <cell r="BX306" t="str">
            <v>AON</v>
          </cell>
        </row>
        <row r="307">
          <cell r="A307" t="str">
            <v>ON</v>
          </cell>
          <cell r="B307" t="str">
            <v>Trong 24h</v>
          </cell>
          <cell r="D307" t="str">
            <v>Khiếu nại về dịch vụ FTTH</v>
          </cell>
          <cell r="W307" t="str">
            <v>Đang xử lý</v>
          </cell>
          <cell r="AJ307" t="str">
            <v>An Giang</v>
          </cell>
          <cell r="BX307" t="str">
            <v>AON</v>
          </cell>
        </row>
        <row r="308">
          <cell r="A308" t="str">
            <v>ON</v>
          </cell>
          <cell r="B308" t="str">
            <v>Trong 24h</v>
          </cell>
          <cell r="D308" t="str">
            <v>Khiếu nại về dịch vụ FTTH</v>
          </cell>
          <cell r="W308" t="str">
            <v>Đang xử lý</v>
          </cell>
          <cell r="AJ308" t="str">
            <v>TP HCM</v>
          </cell>
          <cell r="BX308" t="str">
            <v>AON</v>
          </cell>
        </row>
        <row r="309">
          <cell r="A309" t="str">
            <v>ON</v>
          </cell>
          <cell r="B309" t="str">
            <v>Trong 24h</v>
          </cell>
          <cell r="D309" t="str">
            <v>Khiếu nại về dịch vụ FTTH</v>
          </cell>
          <cell r="W309" t="str">
            <v>Đã đóng</v>
          </cell>
          <cell r="AJ309" t="str">
            <v>Ninh Thuận</v>
          </cell>
          <cell r="BX309" t="str">
            <v>AON</v>
          </cell>
        </row>
        <row r="310">
          <cell r="A310" t="str">
            <v>ON</v>
          </cell>
          <cell r="B310" t="str">
            <v>Trong 24h</v>
          </cell>
          <cell r="D310" t="str">
            <v>Khiếu nại về dịch vụ FTTH</v>
          </cell>
          <cell r="W310" t="str">
            <v>Đang xử lý</v>
          </cell>
          <cell r="AJ310" t="str">
            <v>Quảng Ninh</v>
          </cell>
          <cell r="BX310" t="str">
            <v>AON</v>
          </cell>
        </row>
        <row r="311">
          <cell r="A311" t="str">
            <v>ON</v>
          </cell>
          <cell r="B311" t="str">
            <v>Trong 24h</v>
          </cell>
          <cell r="D311" t="str">
            <v>Khiếu nại về dịch vụ FTTH</v>
          </cell>
          <cell r="W311" t="str">
            <v>Đã đóng</v>
          </cell>
          <cell r="AJ311" t="str">
            <v>Bình Dương</v>
          </cell>
          <cell r="BX311" t="str">
            <v>AON</v>
          </cell>
        </row>
        <row r="312">
          <cell r="A312" t="str">
            <v>ON</v>
          </cell>
          <cell r="B312" t="str">
            <v>Trong 24h</v>
          </cell>
          <cell r="D312" t="str">
            <v>Khiếu nại về dịch vụ FTTH</v>
          </cell>
          <cell r="W312" t="str">
            <v>Đã đóng</v>
          </cell>
          <cell r="AJ312" t="str">
            <v>TP HCM</v>
          </cell>
          <cell r="BX312" t="str">
            <v>AON</v>
          </cell>
        </row>
        <row r="313">
          <cell r="A313" t="str">
            <v>ON</v>
          </cell>
          <cell r="B313" t="str">
            <v>Trong 24h</v>
          </cell>
          <cell r="D313" t="str">
            <v>Khiếu nại về dịch vụ FTTH</v>
          </cell>
          <cell r="W313" t="str">
            <v>Đã đóng</v>
          </cell>
          <cell r="AJ313" t="str">
            <v>TP HCM</v>
          </cell>
          <cell r="BX313" t="str">
            <v>AON</v>
          </cell>
        </row>
        <row r="314">
          <cell r="A314" t="str">
            <v>ON</v>
          </cell>
          <cell r="B314" t="str">
            <v>Trong 24h</v>
          </cell>
          <cell r="D314" t="str">
            <v>Khiếu nại về dịch vụ FTTH</v>
          </cell>
          <cell r="W314" t="str">
            <v>Đang xử lý</v>
          </cell>
          <cell r="AJ314" t="str">
            <v>TP HCM</v>
          </cell>
          <cell r="BX314" t="str">
            <v>AON</v>
          </cell>
        </row>
        <row r="315">
          <cell r="A315" t="str">
            <v>ON</v>
          </cell>
          <cell r="B315" t="str">
            <v>Trong 24h</v>
          </cell>
          <cell r="D315" t="str">
            <v>Khiếu nại về dịch vụ FTTH</v>
          </cell>
          <cell r="W315" t="str">
            <v>Đã đóng</v>
          </cell>
          <cell r="AJ315" t="str">
            <v>TP HCM</v>
          </cell>
          <cell r="BX315" t="str">
            <v>AON</v>
          </cell>
        </row>
        <row r="316">
          <cell r="A316" t="str">
            <v>ON</v>
          </cell>
          <cell r="B316" t="str">
            <v>Trong 24h</v>
          </cell>
          <cell r="D316" t="str">
            <v>Khiếu nại về dịch vụ FTTH</v>
          </cell>
          <cell r="W316" t="str">
            <v>Đã đóng</v>
          </cell>
          <cell r="AJ316" t="str">
            <v>Hà Nội 1</v>
          </cell>
          <cell r="BX316" t="str">
            <v>AON</v>
          </cell>
        </row>
        <row r="317">
          <cell r="A317" t="str">
            <v>ON</v>
          </cell>
          <cell r="B317" t="str">
            <v>Trong 24h</v>
          </cell>
          <cell r="D317" t="str">
            <v>Khiếu nại về dịch vụ FTTH</v>
          </cell>
          <cell r="W317" t="str">
            <v>Đã đóng</v>
          </cell>
          <cell r="AJ317" t="str">
            <v xml:space="preserve">Đồng Nai </v>
          </cell>
          <cell r="BX317" t="str">
            <v>AON</v>
          </cell>
        </row>
        <row r="318">
          <cell r="A318" t="str">
            <v>ON</v>
          </cell>
          <cell r="B318" t="str">
            <v>Trong 24h</v>
          </cell>
          <cell r="D318" t="str">
            <v>Khiếu nại về dịch vụ FTTH</v>
          </cell>
          <cell r="W318" t="str">
            <v>Đã đóng</v>
          </cell>
          <cell r="AJ318" t="str">
            <v>Thái Bình</v>
          </cell>
          <cell r="BX318" t="str">
            <v>AON</v>
          </cell>
        </row>
        <row r="319">
          <cell r="A319" t="str">
            <v>ON</v>
          </cell>
          <cell r="B319" t="str">
            <v>Trong 24h</v>
          </cell>
          <cell r="D319" t="str">
            <v>Khiếu nại về dịch vụ FTTH</v>
          </cell>
          <cell r="W319" t="str">
            <v>Đang xử lý</v>
          </cell>
          <cell r="AJ319" t="str">
            <v>Hà Giang</v>
          </cell>
          <cell r="BX319" t="str">
            <v>AON</v>
          </cell>
        </row>
        <row r="320">
          <cell r="A320" t="str">
            <v>ON</v>
          </cell>
          <cell r="B320" t="str">
            <v>Trong 24h</v>
          </cell>
          <cell r="D320" t="str">
            <v>Khiếu nại về dịch vụ FTTH</v>
          </cell>
          <cell r="W320" t="str">
            <v>Đã đóng</v>
          </cell>
          <cell r="AJ320" t="str">
            <v>Hải Dương</v>
          </cell>
          <cell r="BX320" t="str">
            <v>AON</v>
          </cell>
        </row>
        <row r="321">
          <cell r="A321" t="str">
            <v>ON</v>
          </cell>
          <cell r="B321" t="str">
            <v>Trong 24h</v>
          </cell>
          <cell r="D321" t="str">
            <v>Khiếu nại về dịch vụ FTTH</v>
          </cell>
          <cell r="W321" t="str">
            <v>Đã đóng</v>
          </cell>
          <cell r="AJ321" t="str">
            <v>Bình Định</v>
          </cell>
          <cell r="BX321" t="str">
            <v>AON</v>
          </cell>
        </row>
        <row r="322">
          <cell r="A322" t="str">
            <v>ON</v>
          </cell>
          <cell r="B322" t="str">
            <v>Trong 24h</v>
          </cell>
          <cell r="D322" t="str">
            <v>Khiếu nại về dịch vụ FTTH</v>
          </cell>
          <cell r="W322" t="str">
            <v>Đã đóng</v>
          </cell>
          <cell r="AJ322" t="str">
            <v>TP HCM</v>
          </cell>
          <cell r="BX322" t="str">
            <v>AON</v>
          </cell>
        </row>
        <row r="323">
          <cell r="A323" t="str">
            <v>ON</v>
          </cell>
          <cell r="B323" t="str">
            <v>Trong 24h</v>
          </cell>
          <cell r="D323" t="str">
            <v>Khiếu nại về dịch vụ FTTH</v>
          </cell>
          <cell r="W323" t="str">
            <v>Đang xử lý</v>
          </cell>
          <cell r="AJ323" t="str">
            <v>Hà Nội 2</v>
          </cell>
          <cell r="BX323" t="str">
            <v>AON</v>
          </cell>
        </row>
        <row r="324">
          <cell r="A324" t="str">
            <v>ON</v>
          </cell>
          <cell r="B324" t="str">
            <v>Trong 24h</v>
          </cell>
          <cell r="D324" t="str">
            <v>Khiếu nại về dịch vụ FTTH</v>
          </cell>
          <cell r="W324" t="str">
            <v>Đã đóng</v>
          </cell>
          <cell r="AJ324" t="str">
            <v xml:space="preserve">Đắc Lắk </v>
          </cell>
          <cell r="BX324" t="str">
            <v>AON</v>
          </cell>
        </row>
        <row r="325">
          <cell r="A325" t="str">
            <v>ON</v>
          </cell>
          <cell r="B325" t="str">
            <v>Trong 24h</v>
          </cell>
          <cell r="D325" t="str">
            <v>Khiếu nại về dịch vụ FTTH</v>
          </cell>
          <cell r="W325" t="str">
            <v>Đã đóng</v>
          </cell>
          <cell r="AJ325" t="str">
            <v>TP HCM</v>
          </cell>
          <cell r="BX325" t="str">
            <v>AON</v>
          </cell>
        </row>
        <row r="326">
          <cell r="A326" t="str">
            <v>ON</v>
          </cell>
          <cell r="B326" t="str">
            <v>Trong 24h</v>
          </cell>
          <cell r="D326" t="str">
            <v>Khiếu nại về dịch vụ FTTH</v>
          </cell>
          <cell r="W326" t="str">
            <v>Đang xử lý</v>
          </cell>
          <cell r="AJ326" t="str">
            <v>Bình Định</v>
          </cell>
          <cell r="BX326" t="str">
            <v>AON</v>
          </cell>
        </row>
        <row r="327">
          <cell r="A327" t="str">
            <v>ON</v>
          </cell>
          <cell r="B327" t="str">
            <v>Trong 24h</v>
          </cell>
          <cell r="D327" t="str">
            <v>Khiếu nại về dịch vụ FTTH</v>
          </cell>
          <cell r="W327" t="str">
            <v>Đã đóng</v>
          </cell>
          <cell r="AJ327" t="str">
            <v>Bắc Ninh</v>
          </cell>
          <cell r="BX327" t="str">
            <v>AON</v>
          </cell>
        </row>
        <row r="328">
          <cell r="A328" t="str">
            <v>ON</v>
          </cell>
          <cell r="B328" t="str">
            <v>Trong 24h</v>
          </cell>
          <cell r="D328" t="str">
            <v>Khiếu nại về dịch vụ FTTH</v>
          </cell>
          <cell r="W328" t="str">
            <v>Đã đóng</v>
          </cell>
          <cell r="AJ328" t="str">
            <v>Hà Nội 1</v>
          </cell>
          <cell r="BX328" t="str">
            <v>AON</v>
          </cell>
        </row>
        <row r="329">
          <cell r="A329" t="str">
            <v>ON</v>
          </cell>
          <cell r="B329" t="str">
            <v>Trong 24h</v>
          </cell>
          <cell r="D329" t="str">
            <v>Khiếu nại về dịch vụ FTTH</v>
          </cell>
          <cell r="W329" t="str">
            <v>Đã đóng</v>
          </cell>
          <cell r="AJ329" t="str">
            <v>TP HCM</v>
          </cell>
          <cell r="BX329" t="str">
            <v>AON</v>
          </cell>
        </row>
        <row r="330">
          <cell r="A330" t="str">
            <v>ON</v>
          </cell>
          <cell r="B330" t="str">
            <v>Trong 24h</v>
          </cell>
          <cell r="D330" t="str">
            <v>Khiếu nại về dịch vụ FTTH</v>
          </cell>
          <cell r="W330" t="str">
            <v>Đã đóng</v>
          </cell>
          <cell r="AJ330" t="str">
            <v>Bạc Liêu</v>
          </cell>
          <cell r="BX330" t="str">
            <v>AON</v>
          </cell>
        </row>
        <row r="331">
          <cell r="A331" t="str">
            <v>ON</v>
          </cell>
          <cell r="B331" t="str">
            <v>Trong 24h</v>
          </cell>
          <cell r="D331" t="str">
            <v>Khiếu nại về dịch vụ FTTH</v>
          </cell>
          <cell r="W331" t="str">
            <v>Đã đóng</v>
          </cell>
          <cell r="AJ331" t="str">
            <v>Thừa Thiên Huế</v>
          </cell>
          <cell r="BX331" t="str">
            <v>AON</v>
          </cell>
        </row>
        <row r="332">
          <cell r="A332" t="str">
            <v>ON</v>
          </cell>
          <cell r="B332" t="str">
            <v>Trong 24h</v>
          </cell>
          <cell r="D332" t="str">
            <v>Khiếu nại về dịch vụ FTTH</v>
          </cell>
          <cell r="W332" t="str">
            <v>Đã đóng</v>
          </cell>
          <cell r="AJ332" t="str">
            <v>Bình Dương</v>
          </cell>
          <cell r="BX332" t="str">
            <v>AON</v>
          </cell>
        </row>
        <row r="333">
          <cell r="A333" t="str">
            <v>ON</v>
          </cell>
          <cell r="B333" t="str">
            <v>Trong 24h</v>
          </cell>
          <cell r="D333" t="str">
            <v>Khiếu nại về dịch vụ FTTH</v>
          </cell>
          <cell r="W333" t="str">
            <v>Đã đóng</v>
          </cell>
          <cell r="AJ333" t="str">
            <v>TP HCM</v>
          </cell>
          <cell r="BX333" t="str">
            <v>AON</v>
          </cell>
        </row>
        <row r="334">
          <cell r="A334" t="str">
            <v>ON</v>
          </cell>
          <cell r="B334" t="str">
            <v>Trong 24h</v>
          </cell>
          <cell r="D334" t="str">
            <v>Khiếu nại về dịch vụ FTTH</v>
          </cell>
          <cell r="W334" t="str">
            <v>Đã đóng</v>
          </cell>
          <cell r="AJ334" t="str">
            <v>Phú Thọ</v>
          </cell>
          <cell r="BX334" t="str">
            <v>AON</v>
          </cell>
        </row>
        <row r="335">
          <cell r="A335" t="str">
            <v>ON</v>
          </cell>
          <cell r="B335" t="str">
            <v>Trong 24h</v>
          </cell>
          <cell r="D335" t="str">
            <v>Khiếu nại về dịch vụ FTTH</v>
          </cell>
          <cell r="W335" t="str">
            <v>Đã đóng</v>
          </cell>
          <cell r="AJ335" t="str">
            <v>TP HCM</v>
          </cell>
          <cell r="BX335" t="str">
            <v>AON</v>
          </cell>
        </row>
        <row r="336">
          <cell r="A336" t="str">
            <v>ON</v>
          </cell>
          <cell r="B336" t="str">
            <v>Trong 24h</v>
          </cell>
          <cell r="D336" t="str">
            <v>Khiếu nại về dịch vụ FTTH</v>
          </cell>
          <cell r="W336" t="str">
            <v>Đã đóng</v>
          </cell>
          <cell r="AJ336" t="str">
            <v>TP HCM</v>
          </cell>
          <cell r="BX336" t="str">
            <v>AON</v>
          </cell>
        </row>
        <row r="337">
          <cell r="A337" t="str">
            <v>ON</v>
          </cell>
          <cell r="B337" t="str">
            <v>Trong 24h</v>
          </cell>
          <cell r="D337" t="str">
            <v>Khiếu nại về dịch vụ FTTH</v>
          </cell>
          <cell r="W337" t="str">
            <v>Đã đóng</v>
          </cell>
          <cell r="AJ337" t="str">
            <v>Yên Bái</v>
          </cell>
          <cell r="BX337" t="str">
            <v>AON</v>
          </cell>
        </row>
        <row r="338">
          <cell r="A338" t="str">
            <v>ON</v>
          </cell>
          <cell r="B338" t="str">
            <v>Trong 24h</v>
          </cell>
          <cell r="D338" t="str">
            <v>Khiếu nại về dịch vụ FTTH</v>
          </cell>
          <cell r="W338" t="str">
            <v>Đang xử lý</v>
          </cell>
          <cell r="AJ338" t="str">
            <v>TP HCM</v>
          </cell>
          <cell r="BX338" t="str">
            <v>AON</v>
          </cell>
        </row>
        <row r="339">
          <cell r="A339" t="str">
            <v>ON</v>
          </cell>
          <cell r="B339" t="str">
            <v>Trong 24h</v>
          </cell>
          <cell r="D339" t="str">
            <v>Khiếu nại về dịch vụ FTTH</v>
          </cell>
          <cell r="W339" t="str">
            <v>Đã đóng</v>
          </cell>
          <cell r="AJ339" t="str">
            <v>TP HCM</v>
          </cell>
          <cell r="BX339" t="str">
            <v>AON</v>
          </cell>
        </row>
        <row r="340">
          <cell r="A340" t="str">
            <v>ON</v>
          </cell>
          <cell r="B340" t="str">
            <v>Trong 24h</v>
          </cell>
          <cell r="D340" t="str">
            <v>Khiếu nại về dịch vụ FTTH</v>
          </cell>
          <cell r="W340" t="str">
            <v>Đã đóng</v>
          </cell>
          <cell r="AJ340" t="str">
            <v>An Giang</v>
          </cell>
          <cell r="BX340" t="str">
            <v>AON</v>
          </cell>
        </row>
        <row r="341">
          <cell r="A341" t="str">
            <v>ON</v>
          </cell>
          <cell r="B341" t="str">
            <v>Trong 24h</v>
          </cell>
          <cell r="D341" t="str">
            <v>Khiếu nại về dịch vụ FTTH</v>
          </cell>
          <cell r="W341" t="str">
            <v>Đang xử lý</v>
          </cell>
          <cell r="AJ341" t="str">
            <v>Quảng Ninh</v>
          </cell>
          <cell r="BX341" t="str">
            <v>AON</v>
          </cell>
        </row>
        <row r="342">
          <cell r="A342" t="str">
            <v>ON</v>
          </cell>
          <cell r="B342" t="str">
            <v>Trong 24h</v>
          </cell>
          <cell r="D342" t="str">
            <v>Khiếu nại về dịch vụ FTTH</v>
          </cell>
          <cell r="W342" t="str">
            <v>Đã đóng</v>
          </cell>
          <cell r="AJ342" t="str">
            <v>TP HCM</v>
          </cell>
          <cell r="BX342" t="str">
            <v>AON</v>
          </cell>
        </row>
        <row r="343">
          <cell r="A343" t="str">
            <v>ON</v>
          </cell>
          <cell r="B343" t="str">
            <v>Trong 24h</v>
          </cell>
          <cell r="D343" t="str">
            <v>Khiếu nại về dịch vụ FTTH</v>
          </cell>
          <cell r="W343" t="str">
            <v>Đang xử lý</v>
          </cell>
          <cell r="AJ343" t="str">
            <v>TP HCM</v>
          </cell>
          <cell r="BX343" t="str">
            <v>AON</v>
          </cell>
        </row>
        <row r="344">
          <cell r="A344" t="str">
            <v>ON</v>
          </cell>
          <cell r="B344" t="str">
            <v>Trong 24h</v>
          </cell>
          <cell r="D344" t="str">
            <v>Khiếu nại về dịch vụ FTTH</v>
          </cell>
          <cell r="W344" t="str">
            <v>Đang xử lý</v>
          </cell>
          <cell r="AJ344" t="str">
            <v>Hà Nội 1</v>
          </cell>
          <cell r="BX344" t="str">
            <v>AON</v>
          </cell>
        </row>
        <row r="345">
          <cell r="A345" t="str">
            <v>ON</v>
          </cell>
          <cell r="B345" t="str">
            <v>Trong 24h</v>
          </cell>
          <cell r="D345" t="str">
            <v>Khiếu nại về dịch vụ FTTH</v>
          </cell>
          <cell r="W345" t="str">
            <v>Đã đóng</v>
          </cell>
          <cell r="AJ345" t="str">
            <v>Bắc Giang</v>
          </cell>
          <cell r="BX345" t="str">
            <v>AON</v>
          </cell>
        </row>
        <row r="346">
          <cell r="A346" t="str">
            <v>ON</v>
          </cell>
          <cell r="B346" t="str">
            <v>Trong 24h</v>
          </cell>
          <cell r="D346" t="str">
            <v>Khiếu nại về dịch vụ FTTH</v>
          </cell>
          <cell r="W346" t="str">
            <v>Đã đóng</v>
          </cell>
          <cell r="AJ346" t="str">
            <v xml:space="preserve">Đà Nẵng </v>
          </cell>
          <cell r="BX346" t="str">
            <v>AON</v>
          </cell>
        </row>
        <row r="347">
          <cell r="A347" t="str">
            <v>ON</v>
          </cell>
          <cell r="B347" t="str">
            <v>Trong 24h</v>
          </cell>
          <cell r="D347" t="str">
            <v>Khiếu nại về dịch vụ FTTH</v>
          </cell>
          <cell r="W347" t="str">
            <v>Đã đóng</v>
          </cell>
          <cell r="AJ347" t="str">
            <v>Bình Định</v>
          </cell>
          <cell r="BX347" t="str">
            <v>AON</v>
          </cell>
        </row>
        <row r="348">
          <cell r="A348" t="str">
            <v>ON</v>
          </cell>
          <cell r="B348" t="str">
            <v>Trong 24h</v>
          </cell>
          <cell r="D348" t="str">
            <v>Khiếu nại về dịch vụ NextTV</v>
          </cell>
          <cell r="W348" t="str">
            <v>Đang xử lý</v>
          </cell>
          <cell r="AJ348" t="str">
            <v>TP HCM</v>
          </cell>
          <cell r="BX348" t="str">
            <v>AON</v>
          </cell>
        </row>
        <row r="349">
          <cell r="A349" t="str">
            <v>ON</v>
          </cell>
          <cell r="B349" t="str">
            <v>Trong 24h</v>
          </cell>
          <cell r="D349" t="str">
            <v>Khiếu nại về dịch vụ FTTH</v>
          </cell>
          <cell r="W349" t="str">
            <v>Đã đóng</v>
          </cell>
          <cell r="AJ349" t="str">
            <v>Hà Nội 1</v>
          </cell>
          <cell r="BX349" t="str">
            <v>AON</v>
          </cell>
        </row>
        <row r="350">
          <cell r="A350" t="str">
            <v>ON</v>
          </cell>
          <cell r="B350" t="str">
            <v>Trong 24h</v>
          </cell>
          <cell r="D350" t="str">
            <v>Khiếu nại về dịch vụ FTTH</v>
          </cell>
          <cell r="W350" t="str">
            <v>Đang xử lý</v>
          </cell>
          <cell r="AJ350" t="str">
            <v>Thừa Thiên Huế</v>
          </cell>
          <cell r="BX350" t="str">
            <v>AON</v>
          </cell>
        </row>
        <row r="351">
          <cell r="A351" t="str">
            <v>ON</v>
          </cell>
          <cell r="B351" t="str">
            <v>Trong 24h</v>
          </cell>
          <cell r="D351" t="str">
            <v>Khiếu nại về dịch vụ FTTH</v>
          </cell>
          <cell r="W351" t="str">
            <v>Đã đóng</v>
          </cell>
          <cell r="AJ351" t="str">
            <v>Quảng Ngãi</v>
          </cell>
          <cell r="BX351" t="str">
            <v>AON</v>
          </cell>
        </row>
        <row r="352">
          <cell r="A352" t="str">
            <v>ON</v>
          </cell>
          <cell r="B352" t="str">
            <v>Trong 24h</v>
          </cell>
          <cell r="D352" t="str">
            <v>Khiếu nại về dịch vụ FTTH</v>
          </cell>
          <cell r="W352" t="str">
            <v>Đã đóng</v>
          </cell>
          <cell r="AJ352" t="str">
            <v>Thừa Thiên Huế</v>
          </cell>
          <cell r="BX352" t="str">
            <v>AON</v>
          </cell>
        </row>
        <row r="353">
          <cell r="A353" t="str">
            <v>ON</v>
          </cell>
          <cell r="B353" t="str">
            <v>Trong 24h</v>
          </cell>
          <cell r="D353" t="str">
            <v>Khiếu nại về dịch vụ FTTH</v>
          </cell>
          <cell r="W353" t="str">
            <v>Đã đóng</v>
          </cell>
          <cell r="AJ353" t="str">
            <v>An Giang</v>
          </cell>
          <cell r="BX353" t="str">
            <v>AON</v>
          </cell>
        </row>
        <row r="354">
          <cell r="A354" t="str">
            <v>ON</v>
          </cell>
          <cell r="B354" t="str">
            <v>Trong 24h</v>
          </cell>
          <cell r="D354" t="str">
            <v>Khiếu nại về dịch vụ FTTH</v>
          </cell>
          <cell r="W354" t="str">
            <v>Đã đóng</v>
          </cell>
          <cell r="AJ354" t="str">
            <v>Hải Dương</v>
          </cell>
          <cell r="BX354" t="str">
            <v>AON</v>
          </cell>
        </row>
        <row r="355">
          <cell r="A355" t="str">
            <v>ON</v>
          </cell>
          <cell r="B355" t="str">
            <v>Trong 24h</v>
          </cell>
          <cell r="D355" t="str">
            <v>Khiếu nại về dịch vụ FTTH</v>
          </cell>
          <cell r="W355" t="str">
            <v>Đã đóng</v>
          </cell>
          <cell r="AJ355" t="str">
            <v>Thanh Hoá</v>
          </cell>
          <cell r="BX355" t="str">
            <v>AON</v>
          </cell>
        </row>
        <row r="356">
          <cell r="A356" t="str">
            <v>ON</v>
          </cell>
          <cell r="B356" t="str">
            <v>Trong 24h</v>
          </cell>
          <cell r="D356" t="str">
            <v>Khiếu nại về dịch vụ FTTH</v>
          </cell>
          <cell r="W356" t="str">
            <v>Đã đóng</v>
          </cell>
          <cell r="AJ356" t="str">
            <v>Phú Thọ</v>
          </cell>
          <cell r="BX356" t="str">
            <v>AON</v>
          </cell>
        </row>
        <row r="357">
          <cell r="A357" t="str">
            <v>ON</v>
          </cell>
          <cell r="B357" t="str">
            <v>Trong 24h</v>
          </cell>
          <cell r="D357" t="str">
            <v>Khiếu nại về dịch vụ FTTH</v>
          </cell>
          <cell r="W357" t="str">
            <v>Đã đóng</v>
          </cell>
          <cell r="AJ357" t="str">
            <v>Hà Nội 2</v>
          </cell>
          <cell r="BX357" t="str">
            <v>AON</v>
          </cell>
        </row>
        <row r="358">
          <cell r="A358" t="str">
            <v>ON</v>
          </cell>
          <cell r="B358" t="str">
            <v>Trong 24h</v>
          </cell>
          <cell r="D358" t="str">
            <v>Khiếu nại về dịch vụ FTTH</v>
          </cell>
          <cell r="W358" t="str">
            <v>Đã đóng</v>
          </cell>
          <cell r="AJ358" t="str">
            <v>Nam Định</v>
          </cell>
          <cell r="BX358" t="str">
            <v>AON</v>
          </cell>
        </row>
        <row r="359">
          <cell r="A359" t="str">
            <v>ON</v>
          </cell>
          <cell r="B359" t="str">
            <v>Trong 24h</v>
          </cell>
          <cell r="D359" t="str">
            <v>Khiếu nại về dịch vụ FTTH</v>
          </cell>
          <cell r="W359" t="str">
            <v>Đã đóng</v>
          </cell>
          <cell r="AJ359" t="str">
            <v>Hà Nội 1</v>
          </cell>
          <cell r="BX359" t="str">
            <v>AON</v>
          </cell>
        </row>
        <row r="360">
          <cell r="A360" t="str">
            <v>ON</v>
          </cell>
          <cell r="B360" t="str">
            <v>Trong 24h</v>
          </cell>
          <cell r="D360" t="str">
            <v>Khiếu nại về dịch vụ FTTH</v>
          </cell>
          <cell r="W360" t="str">
            <v>Đã đóng</v>
          </cell>
          <cell r="AJ360" t="str">
            <v>Hà Nội 2</v>
          </cell>
          <cell r="BX360" t="str">
            <v>AON</v>
          </cell>
        </row>
        <row r="361">
          <cell r="A361" t="str">
            <v>ON</v>
          </cell>
          <cell r="B361" t="str">
            <v>Trong 24h</v>
          </cell>
          <cell r="D361" t="str">
            <v>Khiếu nại về dịch vụ FTTH</v>
          </cell>
          <cell r="W361" t="str">
            <v>Đã đóng</v>
          </cell>
          <cell r="AJ361" t="str">
            <v>Hậu Giang</v>
          </cell>
          <cell r="BX361" t="str">
            <v>AON</v>
          </cell>
        </row>
        <row r="362">
          <cell r="A362" t="str">
            <v>ON</v>
          </cell>
          <cell r="B362" t="str">
            <v>Trong 24h</v>
          </cell>
          <cell r="D362" t="str">
            <v>Khiếu nại về dịch vụ FTTH</v>
          </cell>
          <cell r="W362" t="str">
            <v>Đã đóng</v>
          </cell>
          <cell r="AJ362" t="str">
            <v>Hà Nội 1</v>
          </cell>
          <cell r="BX362" t="str">
            <v>AON</v>
          </cell>
        </row>
        <row r="363">
          <cell r="A363" t="str">
            <v>ON</v>
          </cell>
          <cell r="B363" t="str">
            <v>Trong 24h</v>
          </cell>
          <cell r="D363" t="str">
            <v>Khiếu nại về dịch vụ FTTH</v>
          </cell>
          <cell r="W363" t="str">
            <v>Đã đóng</v>
          </cell>
          <cell r="AJ363" t="str">
            <v>Hậu Giang</v>
          </cell>
          <cell r="BX363" t="str">
            <v>AON</v>
          </cell>
        </row>
        <row r="364">
          <cell r="A364" t="str">
            <v>ON</v>
          </cell>
          <cell r="B364" t="str">
            <v>Trong 24h</v>
          </cell>
          <cell r="D364" t="str">
            <v>Khiếu nại về dịch vụ FTTH</v>
          </cell>
          <cell r="W364" t="str">
            <v>Đã đóng</v>
          </cell>
          <cell r="AJ364" t="str">
            <v xml:space="preserve">Đồng Nai </v>
          </cell>
          <cell r="BX364" t="str">
            <v>AON</v>
          </cell>
        </row>
        <row r="365">
          <cell r="A365" t="str">
            <v>ON</v>
          </cell>
          <cell r="B365" t="str">
            <v>Trong 24h</v>
          </cell>
          <cell r="D365" t="str">
            <v>Khiếu nại về dịch vụ FTTH</v>
          </cell>
          <cell r="W365" t="str">
            <v>Đã đóng</v>
          </cell>
          <cell r="AJ365" t="str">
            <v>Lào Cai</v>
          </cell>
          <cell r="BX365" t="str">
            <v>AON</v>
          </cell>
        </row>
        <row r="366">
          <cell r="A366" t="str">
            <v>ON</v>
          </cell>
          <cell r="B366" t="str">
            <v>Trong 24h</v>
          </cell>
          <cell r="D366" t="str">
            <v>Khiếu nại về dịch vụ FTTH</v>
          </cell>
          <cell r="W366" t="str">
            <v>Đã đóng</v>
          </cell>
          <cell r="AJ366" t="str">
            <v>Long An</v>
          </cell>
          <cell r="BX366" t="str">
            <v>AON</v>
          </cell>
        </row>
        <row r="367">
          <cell r="A367" t="str">
            <v>ON</v>
          </cell>
          <cell r="B367" t="str">
            <v>Trong 24h</v>
          </cell>
          <cell r="D367" t="str">
            <v>Khiếu nại về dịch vụ FTTH</v>
          </cell>
          <cell r="W367" t="str">
            <v>Đã đóng</v>
          </cell>
          <cell r="AJ367" t="str">
            <v>Thái Bình</v>
          </cell>
          <cell r="BX367" t="str">
            <v>AON</v>
          </cell>
        </row>
        <row r="368">
          <cell r="A368" t="str">
            <v>ON</v>
          </cell>
          <cell r="B368" t="str">
            <v>Trong 24h</v>
          </cell>
          <cell r="D368" t="str">
            <v>Khiếu nại về dịch vụ FTTH</v>
          </cell>
          <cell r="W368" t="str">
            <v>Đã đóng</v>
          </cell>
          <cell r="AJ368" t="str">
            <v>TP HCM</v>
          </cell>
          <cell r="BX368" t="str">
            <v>AON</v>
          </cell>
        </row>
        <row r="369">
          <cell r="A369" t="str">
            <v>ON</v>
          </cell>
          <cell r="B369" t="str">
            <v>Trong 24h</v>
          </cell>
          <cell r="D369" t="str">
            <v>Khiếu nại về dịch vụ FTTH</v>
          </cell>
          <cell r="W369" t="str">
            <v>Đang xử lý</v>
          </cell>
          <cell r="AJ369" t="str">
            <v>Thừa Thiên Huế</v>
          </cell>
          <cell r="BX369" t="str">
            <v>AON</v>
          </cell>
        </row>
        <row r="370">
          <cell r="A370" t="str">
            <v>ON</v>
          </cell>
          <cell r="B370" t="str">
            <v>Trong 24h</v>
          </cell>
          <cell r="D370" t="str">
            <v>Khiếu nại về dịch vụ FTTH</v>
          </cell>
          <cell r="W370" t="str">
            <v>Đã đóng</v>
          </cell>
          <cell r="AJ370" t="str">
            <v>Hà Nội 1</v>
          </cell>
          <cell r="BX370" t="str">
            <v>AON</v>
          </cell>
        </row>
        <row r="371">
          <cell r="A371" t="str">
            <v>ON</v>
          </cell>
          <cell r="B371" t="str">
            <v>Trong 24h</v>
          </cell>
          <cell r="D371" t="str">
            <v>Khiếu nại về dịch vụ FTTH</v>
          </cell>
          <cell r="W371" t="str">
            <v>Đã đóng</v>
          </cell>
          <cell r="AJ371" t="str">
            <v>TP HCM</v>
          </cell>
          <cell r="BX371" t="str">
            <v>AON</v>
          </cell>
        </row>
        <row r="372">
          <cell r="A372" t="str">
            <v>ON</v>
          </cell>
          <cell r="B372" t="str">
            <v>Trong 24h</v>
          </cell>
          <cell r="D372" t="str">
            <v>Khiếu nại về dịch vụ FTTH</v>
          </cell>
          <cell r="W372" t="str">
            <v>Đã đóng</v>
          </cell>
          <cell r="AJ372" t="str">
            <v>Tiền Giang</v>
          </cell>
          <cell r="BX372" t="str">
            <v>AON</v>
          </cell>
        </row>
        <row r="373">
          <cell r="A373" t="str">
            <v>ON</v>
          </cell>
          <cell r="B373" t="str">
            <v>Trong 24h</v>
          </cell>
          <cell r="D373" t="str">
            <v>Khiếu nại về dịch vụ FTTH</v>
          </cell>
          <cell r="W373" t="str">
            <v>Đã đóng</v>
          </cell>
          <cell r="AJ373" t="str">
            <v>Ninh Bình</v>
          </cell>
          <cell r="BX373" t="str">
            <v>AON</v>
          </cell>
        </row>
        <row r="374">
          <cell r="A374" t="str">
            <v>ON</v>
          </cell>
          <cell r="B374" t="str">
            <v>Trong 24h</v>
          </cell>
          <cell r="D374" t="str">
            <v>Khiếu nại về dịch vụ FTTH</v>
          </cell>
          <cell r="W374" t="str">
            <v>Đã đóng</v>
          </cell>
          <cell r="AJ374" t="str">
            <v>Khánh Hoà</v>
          </cell>
          <cell r="BX374" t="str">
            <v>AON</v>
          </cell>
        </row>
        <row r="375">
          <cell r="A375" t="str">
            <v>ON</v>
          </cell>
          <cell r="B375" t="str">
            <v>Trong 24h</v>
          </cell>
          <cell r="D375" t="str">
            <v>Khiếu nại về dịch vụ FTTH</v>
          </cell>
          <cell r="W375" t="str">
            <v>Đã đóng</v>
          </cell>
          <cell r="AJ375" t="str">
            <v>TP HCM</v>
          </cell>
          <cell r="BX375" t="str">
            <v>AON</v>
          </cell>
        </row>
        <row r="376">
          <cell r="A376" t="str">
            <v>ON</v>
          </cell>
          <cell r="B376" t="str">
            <v>Trong 24h</v>
          </cell>
          <cell r="D376" t="str">
            <v>Khiếu nại về dịch vụ FTTH</v>
          </cell>
          <cell r="W376" t="str">
            <v>Đã đóng</v>
          </cell>
          <cell r="AJ376" t="str">
            <v>Vĩnh Phúc</v>
          </cell>
          <cell r="BX376" t="str">
            <v>AON</v>
          </cell>
        </row>
        <row r="377">
          <cell r="A377" t="str">
            <v>ON</v>
          </cell>
          <cell r="B377" t="str">
            <v>Trong 24h</v>
          </cell>
          <cell r="D377" t="str">
            <v>Khiếu nại về dịch vụ FTTH</v>
          </cell>
          <cell r="W377" t="str">
            <v>Đã đóng</v>
          </cell>
          <cell r="AJ377" t="str">
            <v xml:space="preserve">Đồng Nai </v>
          </cell>
          <cell r="BX377" t="str">
            <v>AON</v>
          </cell>
        </row>
        <row r="378">
          <cell r="A378" t="str">
            <v>ON</v>
          </cell>
          <cell r="B378" t="str">
            <v>Trong 24h</v>
          </cell>
          <cell r="D378" t="str">
            <v>Khiếu nại về dịch vụ FTTH</v>
          </cell>
          <cell r="W378" t="str">
            <v>Đã đóng</v>
          </cell>
          <cell r="AJ378" t="str">
            <v>Sóc Trăng</v>
          </cell>
          <cell r="BX378" t="str">
            <v>AON</v>
          </cell>
        </row>
        <row r="379">
          <cell r="A379" t="str">
            <v>ON</v>
          </cell>
          <cell r="B379" t="str">
            <v>Trong 24h</v>
          </cell>
          <cell r="D379" t="str">
            <v>Khiếu nại về dịch vụ FTTH</v>
          </cell>
          <cell r="W379" t="str">
            <v>Đã đóng</v>
          </cell>
          <cell r="AJ379" t="str">
            <v>Cần Thơ</v>
          </cell>
          <cell r="BX379" t="str">
            <v>AON</v>
          </cell>
        </row>
        <row r="380">
          <cell r="A380" t="str">
            <v>ON</v>
          </cell>
          <cell r="B380" t="str">
            <v>Trong 24h</v>
          </cell>
          <cell r="D380" t="str">
            <v>Khiếu nại về dịch vụ FTTH</v>
          </cell>
          <cell r="W380" t="str">
            <v>Đã đóng</v>
          </cell>
          <cell r="AJ380" t="str">
            <v>Long An</v>
          </cell>
          <cell r="BX380" t="str">
            <v>AON</v>
          </cell>
        </row>
        <row r="381">
          <cell r="A381" t="str">
            <v>ON</v>
          </cell>
          <cell r="B381" t="str">
            <v>Trong 24h</v>
          </cell>
          <cell r="D381" t="str">
            <v>Khiếu nại về dịch vụ FTTH</v>
          </cell>
          <cell r="W381" t="str">
            <v>Đang xử lý</v>
          </cell>
          <cell r="AJ381" t="str">
            <v>Hà Nội 2</v>
          </cell>
          <cell r="BX381" t="str">
            <v>AON</v>
          </cell>
        </row>
        <row r="382">
          <cell r="A382" t="str">
            <v>ON</v>
          </cell>
          <cell r="B382" t="str">
            <v>Trong 24h</v>
          </cell>
          <cell r="D382" t="str">
            <v>Khiếu nại về dịch vụ FTTH</v>
          </cell>
          <cell r="W382" t="str">
            <v>Đã đóng</v>
          </cell>
          <cell r="AJ382" t="str">
            <v>TP HCM</v>
          </cell>
          <cell r="BX382" t="str">
            <v>AON</v>
          </cell>
        </row>
        <row r="383">
          <cell r="A383" t="str">
            <v>ON</v>
          </cell>
          <cell r="B383" t="str">
            <v>Trong 24h</v>
          </cell>
          <cell r="D383" t="str">
            <v>Khiếu nại về dịch vụ FTTH</v>
          </cell>
          <cell r="W383" t="str">
            <v>Đã đóng</v>
          </cell>
          <cell r="AJ383" t="str">
            <v>TP HCM</v>
          </cell>
          <cell r="BX383" t="str">
            <v>AON</v>
          </cell>
        </row>
        <row r="384">
          <cell r="A384" t="str">
            <v>ON</v>
          </cell>
          <cell r="B384" t="str">
            <v>Trong 24h</v>
          </cell>
          <cell r="D384" t="str">
            <v>Khiếu nại về dịch vụ FTTH</v>
          </cell>
          <cell r="W384" t="str">
            <v>Đã đóng</v>
          </cell>
          <cell r="AJ384" t="str">
            <v>TP HCM</v>
          </cell>
          <cell r="BX384" t="str">
            <v>AON</v>
          </cell>
        </row>
        <row r="385">
          <cell r="A385" t="str">
            <v>ON</v>
          </cell>
          <cell r="B385" t="str">
            <v>Trong 24h</v>
          </cell>
          <cell r="D385" t="str">
            <v>Khiếu nại về dịch vụ FTTH</v>
          </cell>
          <cell r="W385" t="str">
            <v>Đã đóng</v>
          </cell>
          <cell r="AJ385" t="str">
            <v xml:space="preserve">Quảng Nam </v>
          </cell>
          <cell r="BX385" t="str">
            <v>AON</v>
          </cell>
        </row>
        <row r="386">
          <cell r="A386" t="str">
            <v>ON</v>
          </cell>
          <cell r="B386" t="str">
            <v>Trong 24h</v>
          </cell>
          <cell r="D386" t="str">
            <v>Khiếu nại về dịch vụ FTTH</v>
          </cell>
          <cell r="W386" t="str">
            <v>Đang xử lý</v>
          </cell>
          <cell r="AJ386" t="str">
            <v>TP HCM</v>
          </cell>
          <cell r="BX386" t="str">
            <v>AON</v>
          </cell>
        </row>
        <row r="387">
          <cell r="A387" t="str">
            <v>ON</v>
          </cell>
          <cell r="B387" t="str">
            <v>Trong 24h</v>
          </cell>
          <cell r="D387" t="str">
            <v>Khiếu nại về dịch vụ FTTH</v>
          </cell>
          <cell r="W387" t="str">
            <v>Đã đóng</v>
          </cell>
          <cell r="AJ387" t="str">
            <v>TP HCM</v>
          </cell>
          <cell r="BX387" t="str">
            <v>AON</v>
          </cell>
        </row>
        <row r="388">
          <cell r="A388" t="str">
            <v>ON</v>
          </cell>
          <cell r="B388" t="str">
            <v>Trong 24h</v>
          </cell>
          <cell r="D388" t="str">
            <v>Khiếu nại về dịch vụ FTTH</v>
          </cell>
          <cell r="W388" t="str">
            <v>Đang xử lý</v>
          </cell>
          <cell r="AJ388" t="str">
            <v>TP HCM</v>
          </cell>
          <cell r="BX388" t="str">
            <v>AON</v>
          </cell>
        </row>
        <row r="389">
          <cell r="A389" t="str">
            <v>ON</v>
          </cell>
          <cell r="B389" t="str">
            <v>Trong 24h</v>
          </cell>
          <cell r="D389" t="str">
            <v>Khiếu nại về dịch vụ FTTH</v>
          </cell>
          <cell r="W389" t="str">
            <v>Đã đóng</v>
          </cell>
          <cell r="AJ389" t="str">
            <v>TP HCM</v>
          </cell>
          <cell r="BX389" t="str">
            <v>AON</v>
          </cell>
        </row>
        <row r="390">
          <cell r="A390" t="str">
            <v>ON</v>
          </cell>
          <cell r="B390" t="str">
            <v>Trong 24h</v>
          </cell>
          <cell r="D390" t="str">
            <v>Khiếu nại về dịch vụ FTTH</v>
          </cell>
          <cell r="W390" t="str">
            <v>Đã đóng</v>
          </cell>
          <cell r="AJ390" t="str">
            <v>Gia Lai</v>
          </cell>
          <cell r="BX390" t="str">
            <v>AON</v>
          </cell>
        </row>
        <row r="391">
          <cell r="A391" t="str">
            <v>ON</v>
          </cell>
          <cell r="B391" t="str">
            <v>Trong 24h</v>
          </cell>
          <cell r="D391" t="str">
            <v>Khiếu nại về dịch vụ FTTH</v>
          </cell>
          <cell r="W391" t="str">
            <v>Đã đóng</v>
          </cell>
          <cell r="AJ391" t="str">
            <v>An Giang</v>
          </cell>
          <cell r="BX391" t="str">
            <v>AON</v>
          </cell>
        </row>
        <row r="392">
          <cell r="A392" t="str">
            <v>ON</v>
          </cell>
          <cell r="B392" t="str">
            <v>Trong 24h</v>
          </cell>
          <cell r="D392" t="str">
            <v>Khiếu nại về dịch vụ FTTH</v>
          </cell>
          <cell r="W392" t="str">
            <v>Đã đóng</v>
          </cell>
          <cell r="AJ392" t="str">
            <v>Bình Phước</v>
          </cell>
          <cell r="BX392" t="str">
            <v>AON</v>
          </cell>
        </row>
        <row r="393">
          <cell r="A393" t="str">
            <v>ON</v>
          </cell>
          <cell r="B393" t="str">
            <v>Trong 24h</v>
          </cell>
          <cell r="D393" t="str">
            <v>Khiếu nại về dịch vụ FTTH</v>
          </cell>
          <cell r="W393" t="str">
            <v>Đang xử lý</v>
          </cell>
          <cell r="AJ393" t="str">
            <v>Thái Nguyên</v>
          </cell>
          <cell r="BX393" t="str">
            <v>AON</v>
          </cell>
        </row>
        <row r="394">
          <cell r="A394" t="str">
            <v>ON</v>
          </cell>
          <cell r="B394" t="str">
            <v>Trong 24h</v>
          </cell>
          <cell r="D394" t="str">
            <v>Khiếu nại về dịch vụ FTTH</v>
          </cell>
          <cell r="W394" t="str">
            <v>Đã đóng</v>
          </cell>
          <cell r="AJ394" t="str">
            <v>An Giang</v>
          </cell>
          <cell r="BX394" t="str">
            <v>AON</v>
          </cell>
        </row>
        <row r="395">
          <cell r="A395" t="str">
            <v>ON</v>
          </cell>
          <cell r="B395" t="str">
            <v>Trong 24h</v>
          </cell>
          <cell r="D395" t="str">
            <v>Khiếu nại về dịch vụ FTTH</v>
          </cell>
          <cell r="W395" t="str">
            <v>Đã đóng</v>
          </cell>
          <cell r="AJ395" t="str">
            <v>TP HCM</v>
          </cell>
          <cell r="BX395" t="str">
            <v>AON</v>
          </cell>
        </row>
        <row r="396">
          <cell r="A396" t="str">
            <v>ON</v>
          </cell>
          <cell r="B396" t="str">
            <v>Trong 24h</v>
          </cell>
          <cell r="D396" t="str">
            <v>Khiếu nại về dịch vụ FTTH</v>
          </cell>
          <cell r="W396" t="str">
            <v>Đã đóng</v>
          </cell>
          <cell r="AJ396" t="str">
            <v>Bình Dương</v>
          </cell>
          <cell r="BX396" t="str">
            <v>AON</v>
          </cell>
        </row>
        <row r="397">
          <cell r="A397" t="str">
            <v>ON</v>
          </cell>
          <cell r="B397" t="str">
            <v>Trong 24h</v>
          </cell>
          <cell r="D397" t="str">
            <v>Khiếu nại về dịch vụ FTTH</v>
          </cell>
          <cell r="W397" t="str">
            <v>Đã đóng</v>
          </cell>
          <cell r="AJ397" t="str">
            <v>Hà Nội 2</v>
          </cell>
          <cell r="BX397" t="str">
            <v>AON</v>
          </cell>
        </row>
        <row r="398">
          <cell r="A398" t="str">
            <v>ON</v>
          </cell>
          <cell r="B398" t="str">
            <v>Trong 24h</v>
          </cell>
          <cell r="D398" t="str">
            <v>Khiếu nại về dịch vụ FTTH</v>
          </cell>
          <cell r="W398" t="str">
            <v>Đã đóng</v>
          </cell>
          <cell r="AJ398" t="str">
            <v>Quảng Ninh</v>
          </cell>
          <cell r="BX398" t="str">
            <v>AON</v>
          </cell>
        </row>
        <row r="399">
          <cell r="A399" t="str">
            <v>ON</v>
          </cell>
          <cell r="B399" t="str">
            <v>Trong 24h</v>
          </cell>
          <cell r="D399" t="str">
            <v>Khiếu nại về dịch vụ FTTH</v>
          </cell>
          <cell r="W399" t="str">
            <v>Đã đóng</v>
          </cell>
          <cell r="AJ399" t="str">
            <v xml:space="preserve">Đà Nẵng </v>
          </cell>
          <cell r="BX399" t="str">
            <v>AON</v>
          </cell>
        </row>
        <row r="400">
          <cell r="A400" t="str">
            <v>ON</v>
          </cell>
          <cell r="B400" t="str">
            <v>Trong 24h</v>
          </cell>
          <cell r="D400" t="str">
            <v>Khiếu nại về dịch vụ FTTH</v>
          </cell>
          <cell r="W400" t="str">
            <v>Đã đóng</v>
          </cell>
          <cell r="AJ400" t="str">
            <v>Thừa Thiên Huế</v>
          </cell>
          <cell r="BX400" t="str">
            <v>AON</v>
          </cell>
        </row>
        <row r="401">
          <cell r="A401" t="str">
            <v>ON</v>
          </cell>
          <cell r="B401" t="str">
            <v>Trong 24h</v>
          </cell>
          <cell r="D401" t="str">
            <v>Khiếu nại về dịch vụ FTTH</v>
          </cell>
          <cell r="W401" t="str">
            <v>Đã đóng</v>
          </cell>
          <cell r="AJ401" t="str">
            <v>Hà Nội 1</v>
          </cell>
          <cell r="BX401" t="str">
            <v>AON</v>
          </cell>
        </row>
        <row r="402">
          <cell r="A402" t="str">
            <v>ON</v>
          </cell>
          <cell r="B402" t="str">
            <v>Trong 24h</v>
          </cell>
          <cell r="D402" t="str">
            <v>Khiếu nại về dịch vụ FTTH</v>
          </cell>
          <cell r="W402" t="str">
            <v>Đã đóng</v>
          </cell>
          <cell r="AJ402" t="str">
            <v>Quảng Ninh</v>
          </cell>
          <cell r="BX402" t="str">
            <v>AON</v>
          </cell>
        </row>
        <row r="403">
          <cell r="A403" t="str">
            <v>ON</v>
          </cell>
          <cell r="B403" t="str">
            <v>Trong 24h</v>
          </cell>
          <cell r="D403" t="str">
            <v>Khiếu nại về dịch vụ FTTH</v>
          </cell>
          <cell r="W403" t="str">
            <v>Đã đóng</v>
          </cell>
          <cell r="AJ403" t="str">
            <v>Hà Nội 2</v>
          </cell>
          <cell r="BX403" t="str">
            <v>AON</v>
          </cell>
        </row>
        <row r="404">
          <cell r="A404" t="str">
            <v>ON</v>
          </cell>
          <cell r="B404" t="str">
            <v>Trong 24h</v>
          </cell>
          <cell r="D404" t="str">
            <v>Khiếu nại về dịch vụ FTTH</v>
          </cell>
          <cell r="W404" t="str">
            <v>Đang xử lý</v>
          </cell>
          <cell r="AJ404" t="str">
            <v>TP HCM</v>
          </cell>
          <cell r="BX404" t="str">
            <v>AON</v>
          </cell>
        </row>
        <row r="405">
          <cell r="A405" t="str">
            <v>ON</v>
          </cell>
          <cell r="B405" t="str">
            <v>Trong 24h</v>
          </cell>
          <cell r="D405" t="str">
            <v>Khiếu nại về dịch vụ NextTV</v>
          </cell>
          <cell r="W405" t="str">
            <v>Đã đóng</v>
          </cell>
          <cell r="AJ405" t="str">
            <v>Hà Nội 1</v>
          </cell>
          <cell r="BX405" t="str">
            <v>AON</v>
          </cell>
        </row>
        <row r="406">
          <cell r="A406" t="str">
            <v>ON</v>
          </cell>
          <cell r="B406" t="str">
            <v>Trong 24h</v>
          </cell>
          <cell r="D406" t="str">
            <v>Khiếu nại về dịch vụ FTTH</v>
          </cell>
          <cell r="W406" t="str">
            <v>Đang xử lý</v>
          </cell>
          <cell r="AJ406" t="str">
            <v>Nghệ An</v>
          </cell>
          <cell r="BX406" t="str">
            <v>AON</v>
          </cell>
        </row>
        <row r="407">
          <cell r="A407" t="str">
            <v>ON</v>
          </cell>
          <cell r="B407" t="str">
            <v>Trong 24h</v>
          </cell>
          <cell r="D407" t="str">
            <v>Khiếu nại về dịch vụ FTTH</v>
          </cell>
          <cell r="W407" t="str">
            <v>Đã đóng</v>
          </cell>
          <cell r="AJ407" t="str">
            <v>TP HCM</v>
          </cell>
          <cell r="BX407" t="str">
            <v>AON</v>
          </cell>
        </row>
        <row r="408">
          <cell r="A408" t="str">
            <v>ON</v>
          </cell>
          <cell r="B408" t="str">
            <v>Trong 24h</v>
          </cell>
          <cell r="D408" t="str">
            <v>Khiếu nại về dịch vụ FTTH</v>
          </cell>
          <cell r="W408" t="str">
            <v>Đã đóng</v>
          </cell>
          <cell r="AJ408" t="str">
            <v>TP HCM</v>
          </cell>
          <cell r="BX408" t="str">
            <v>AON</v>
          </cell>
        </row>
        <row r="409">
          <cell r="A409" t="str">
            <v>ON</v>
          </cell>
          <cell r="B409" t="str">
            <v>Trong 24h</v>
          </cell>
          <cell r="D409" t="str">
            <v>Khiếu nại về dịch vụ FTTH</v>
          </cell>
          <cell r="W409" t="str">
            <v>Đã đóng</v>
          </cell>
          <cell r="AJ409" t="str">
            <v xml:space="preserve">Đồng Nai </v>
          </cell>
          <cell r="BX409" t="str">
            <v>AON</v>
          </cell>
        </row>
        <row r="410">
          <cell r="A410" t="str">
            <v>ON</v>
          </cell>
          <cell r="B410" t="str">
            <v>Trong 24h</v>
          </cell>
          <cell r="D410" t="str">
            <v>Khiếu nại về dịch vụ FTTH</v>
          </cell>
          <cell r="W410" t="str">
            <v>Đã đóng</v>
          </cell>
          <cell r="AJ410" t="str">
            <v xml:space="preserve">Đồng Nai </v>
          </cell>
          <cell r="BX410" t="str">
            <v>AON</v>
          </cell>
        </row>
        <row r="411">
          <cell r="A411" t="str">
            <v>ON</v>
          </cell>
          <cell r="B411" t="str">
            <v>Trong 24h</v>
          </cell>
          <cell r="D411" t="str">
            <v>Khiếu nại về dịch vụ FTTH</v>
          </cell>
          <cell r="W411" t="str">
            <v>Đã đóng</v>
          </cell>
          <cell r="AJ411" t="str">
            <v>Quảng Ninh</v>
          </cell>
          <cell r="BX411" t="str">
            <v>AON</v>
          </cell>
        </row>
        <row r="412">
          <cell r="A412" t="str">
            <v>ON</v>
          </cell>
          <cell r="B412" t="str">
            <v>Trong 24h</v>
          </cell>
          <cell r="D412" t="str">
            <v>Khiếu nại về dịch vụ FTTH</v>
          </cell>
          <cell r="W412" t="str">
            <v>Đã đóng</v>
          </cell>
          <cell r="AJ412" t="str">
            <v xml:space="preserve">Đắc Lắk </v>
          </cell>
          <cell r="BX412" t="str">
            <v>AON</v>
          </cell>
        </row>
        <row r="413">
          <cell r="A413" t="str">
            <v>ON</v>
          </cell>
          <cell r="B413" t="str">
            <v>Trong 24h</v>
          </cell>
          <cell r="D413" t="str">
            <v>Khiếu nại về dịch vụ FTTH</v>
          </cell>
          <cell r="W413" t="str">
            <v>Đã đóng</v>
          </cell>
          <cell r="AJ413" t="str">
            <v>Cần Thơ</v>
          </cell>
          <cell r="BX413" t="str">
            <v>AON</v>
          </cell>
        </row>
        <row r="414">
          <cell r="A414" t="str">
            <v>ON</v>
          </cell>
          <cell r="B414" t="str">
            <v>Trong 24h</v>
          </cell>
          <cell r="D414" t="str">
            <v>Khiếu nại về dịch vụ FTTH</v>
          </cell>
          <cell r="W414" t="str">
            <v>Đã đóng</v>
          </cell>
          <cell r="AJ414" t="str">
            <v xml:space="preserve">Đồng Nai </v>
          </cell>
          <cell r="BX414" t="str">
            <v>AON</v>
          </cell>
        </row>
        <row r="415">
          <cell r="A415" t="str">
            <v>ON</v>
          </cell>
          <cell r="B415" t="str">
            <v>Trong 24h</v>
          </cell>
          <cell r="D415" t="str">
            <v>Khiếu nại về dịch vụ FTTH</v>
          </cell>
          <cell r="W415" t="str">
            <v>Đang xử lý</v>
          </cell>
          <cell r="AJ415" t="str">
            <v>TP HCM</v>
          </cell>
          <cell r="BX415" t="str">
            <v>AON</v>
          </cell>
        </row>
        <row r="416">
          <cell r="A416" t="str">
            <v>ON</v>
          </cell>
          <cell r="B416" t="str">
            <v>Trong 24h</v>
          </cell>
          <cell r="D416" t="str">
            <v>Khiếu nại về dịch vụ FTTH</v>
          </cell>
          <cell r="W416" t="str">
            <v>Đã đóng</v>
          </cell>
          <cell r="AJ416" t="str">
            <v>Hà Nội 1</v>
          </cell>
          <cell r="BX416" t="str">
            <v>AON</v>
          </cell>
        </row>
        <row r="417">
          <cell r="A417" t="str">
            <v>ON</v>
          </cell>
          <cell r="B417" t="str">
            <v>Trong 24h</v>
          </cell>
          <cell r="D417" t="str">
            <v>Khiếu nại về dịch vụ FTTH</v>
          </cell>
          <cell r="W417" t="str">
            <v>Đang xử lý</v>
          </cell>
          <cell r="AJ417" t="str">
            <v xml:space="preserve">Đắc Lắk </v>
          </cell>
          <cell r="BX417" t="str">
            <v>AON</v>
          </cell>
        </row>
        <row r="418">
          <cell r="A418" t="str">
            <v>ON</v>
          </cell>
          <cell r="B418" t="str">
            <v>Trong 24h</v>
          </cell>
          <cell r="D418" t="str">
            <v>Khiếu nại về dịch vụ FTTH</v>
          </cell>
          <cell r="W418" t="str">
            <v>Đã đóng</v>
          </cell>
          <cell r="AJ418" t="str">
            <v>TP HCM</v>
          </cell>
          <cell r="BX418" t="str">
            <v>AON</v>
          </cell>
        </row>
        <row r="419">
          <cell r="A419" t="str">
            <v>ON</v>
          </cell>
          <cell r="B419" t="str">
            <v>Trong 24h</v>
          </cell>
          <cell r="D419" t="str">
            <v>Khiếu nại về dịch vụ FTTH</v>
          </cell>
          <cell r="W419" t="str">
            <v>Đã đóng</v>
          </cell>
          <cell r="AJ419" t="str">
            <v xml:space="preserve">Đồng Nai </v>
          </cell>
          <cell r="BX419" t="str">
            <v>AON</v>
          </cell>
        </row>
        <row r="420">
          <cell r="A420" t="str">
            <v>ON</v>
          </cell>
          <cell r="B420" t="str">
            <v>Trong 24h</v>
          </cell>
          <cell r="D420" t="str">
            <v>Khiếu nại về dịch vụ FTTH</v>
          </cell>
          <cell r="W420" t="str">
            <v>Đang xử lý</v>
          </cell>
          <cell r="AJ420" t="str">
            <v xml:space="preserve">Đồng Nai </v>
          </cell>
          <cell r="BX420" t="str">
            <v>AON</v>
          </cell>
        </row>
        <row r="421">
          <cell r="A421" t="str">
            <v>ON</v>
          </cell>
          <cell r="B421" t="str">
            <v>Trong 24h</v>
          </cell>
          <cell r="D421" t="str">
            <v>Khiếu nại về dịch vụ FTTH</v>
          </cell>
          <cell r="W421" t="str">
            <v>Đã đóng</v>
          </cell>
          <cell r="AJ421" t="str">
            <v>Đồng Tháp</v>
          </cell>
          <cell r="BX421" t="str">
            <v>AON</v>
          </cell>
        </row>
        <row r="422">
          <cell r="A422" t="str">
            <v>ON</v>
          </cell>
          <cell r="B422" t="str">
            <v>Trong 24h</v>
          </cell>
          <cell r="D422" t="str">
            <v>Khiếu nại về dịch vụ FTTH</v>
          </cell>
          <cell r="W422" t="str">
            <v>Đã đóng</v>
          </cell>
          <cell r="AJ422" t="str">
            <v>Hải Phòng</v>
          </cell>
          <cell r="BX422" t="str">
            <v>AON</v>
          </cell>
        </row>
        <row r="423">
          <cell r="A423" t="str">
            <v>ON</v>
          </cell>
          <cell r="B423" t="str">
            <v>Trong 24h</v>
          </cell>
          <cell r="D423" t="str">
            <v>Khiếu nại về dịch vụ FTTH</v>
          </cell>
          <cell r="W423" t="str">
            <v>Đã đóng</v>
          </cell>
          <cell r="AJ423" t="str">
            <v>Bình Phước</v>
          </cell>
          <cell r="BX423" t="str">
            <v>AON</v>
          </cell>
        </row>
        <row r="424">
          <cell r="A424" t="str">
            <v>ON</v>
          </cell>
          <cell r="B424" t="str">
            <v>Trong 24h</v>
          </cell>
          <cell r="D424" t="str">
            <v>Khiếu nại về dịch vụ FTTH</v>
          </cell>
          <cell r="W424" t="str">
            <v>Đã đóng</v>
          </cell>
          <cell r="AJ424" t="str">
            <v>Quảng Ninh</v>
          </cell>
          <cell r="BX424" t="str">
            <v>AON</v>
          </cell>
        </row>
        <row r="425">
          <cell r="A425" t="str">
            <v>ON</v>
          </cell>
          <cell r="B425" t="str">
            <v>Trong 24h</v>
          </cell>
          <cell r="D425" t="str">
            <v>Khiếu nại về dịch vụ FTTH</v>
          </cell>
          <cell r="W425" t="str">
            <v>Đã đóng</v>
          </cell>
          <cell r="AJ425" t="str">
            <v>An Giang</v>
          </cell>
          <cell r="BX425" t="str">
            <v>AON</v>
          </cell>
        </row>
        <row r="426">
          <cell r="A426" t="str">
            <v>ON</v>
          </cell>
          <cell r="B426" t="str">
            <v>Trong 24h</v>
          </cell>
          <cell r="D426" t="str">
            <v>Khiếu nại về dịch vụ FTTH</v>
          </cell>
          <cell r="W426" t="str">
            <v>Đã đóng</v>
          </cell>
          <cell r="AJ426" t="str">
            <v>Hậu Giang</v>
          </cell>
          <cell r="BX426" t="str">
            <v>AON</v>
          </cell>
        </row>
        <row r="427">
          <cell r="A427" t="str">
            <v>ON</v>
          </cell>
          <cell r="B427" t="str">
            <v>Trong 24h</v>
          </cell>
          <cell r="D427" t="str">
            <v>Khiếu nại về dịch vụ FTTH</v>
          </cell>
          <cell r="W427" t="str">
            <v>Đã đóng</v>
          </cell>
          <cell r="AJ427" t="str">
            <v>Hà Nội 2</v>
          </cell>
          <cell r="BX427" t="str">
            <v>AON</v>
          </cell>
        </row>
        <row r="428">
          <cell r="A428" t="str">
            <v>ON</v>
          </cell>
          <cell r="B428" t="str">
            <v>Trong 24h</v>
          </cell>
          <cell r="D428" t="str">
            <v>Khiếu nại về dịch vụ FTTH</v>
          </cell>
          <cell r="W428" t="str">
            <v>Đang xử lý</v>
          </cell>
          <cell r="AJ428" t="str">
            <v>Bắc Giang</v>
          </cell>
          <cell r="BX428" t="str">
            <v>AON</v>
          </cell>
        </row>
        <row r="429">
          <cell r="A429" t="str">
            <v>ON</v>
          </cell>
          <cell r="B429" t="str">
            <v>Trong 24h</v>
          </cell>
          <cell r="D429" t="str">
            <v>Khiếu nại về dịch vụ FTTH</v>
          </cell>
          <cell r="W429" t="str">
            <v>Đã đóng</v>
          </cell>
          <cell r="AJ429" t="str">
            <v>Thái Nguyên</v>
          </cell>
          <cell r="BX429" t="str">
            <v>AON</v>
          </cell>
        </row>
        <row r="430">
          <cell r="A430" t="str">
            <v>ON</v>
          </cell>
          <cell r="B430" t="str">
            <v>Trong 24h</v>
          </cell>
          <cell r="D430" t="str">
            <v>Khiếu nại về dịch vụ FTTH</v>
          </cell>
          <cell r="W430" t="str">
            <v>Đã đóng</v>
          </cell>
          <cell r="AJ430" t="str">
            <v>Cao Bằng</v>
          </cell>
          <cell r="BX430" t="str">
            <v>AON</v>
          </cell>
        </row>
        <row r="431">
          <cell r="A431" t="str">
            <v>ON</v>
          </cell>
          <cell r="B431" t="str">
            <v>Trong 24h</v>
          </cell>
          <cell r="D431" t="str">
            <v>Khiếu nại về dịch vụ FTTH</v>
          </cell>
          <cell r="W431" t="str">
            <v>Đã đóng</v>
          </cell>
          <cell r="AJ431" t="str">
            <v>Bình Dương</v>
          </cell>
          <cell r="BX431" t="str">
            <v>AON</v>
          </cell>
        </row>
        <row r="432">
          <cell r="A432" t="str">
            <v>ON</v>
          </cell>
          <cell r="B432" t="str">
            <v>Trong 24h</v>
          </cell>
          <cell r="D432" t="str">
            <v>Khiếu nại về dịch vụ FTTH</v>
          </cell>
          <cell r="W432" t="str">
            <v>Đang xử lý</v>
          </cell>
          <cell r="AJ432" t="str">
            <v>Quảng Ninh</v>
          </cell>
          <cell r="BX432" t="str">
            <v>AON</v>
          </cell>
        </row>
        <row r="433">
          <cell r="A433" t="str">
            <v>ON</v>
          </cell>
          <cell r="B433" t="str">
            <v>Trong 24h</v>
          </cell>
          <cell r="D433" t="str">
            <v>Khiếu nại về dịch vụ FTTH</v>
          </cell>
          <cell r="W433" t="str">
            <v>Đã đóng</v>
          </cell>
          <cell r="AJ433" t="str">
            <v>Hà Nội 2</v>
          </cell>
          <cell r="BX433" t="str">
            <v>AON</v>
          </cell>
        </row>
        <row r="434">
          <cell r="A434" t="str">
            <v>ON</v>
          </cell>
          <cell r="B434" t="str">
            <v>Trong 24h</v>
          </cell>
          <cell r="D434" t="str">
            <v>Khiếu nại về dịch vụ FTTH</v>
          </cell>
          <cell r="W434" t="str">
            <v>Đã đóng</v>
          </cell>
          <cell r="AJ434" t="str">
            <v>TP HCM</v>
          </cell>
          <cell r="BX434" t="str">
            <v>AON</v>
          </cell>
        </row>
        <row r="435">
          <cell r="A435" t="str">
            <v>ON</v>
          </cell>
          <cell r="B435" t="str">
            <v>Trong 24h</v>
          </cell>
          <cell r="D435" t="str">
            <v>Khiếu nại về dịch vụ FTTH</v>
          </cell>
          <cell r="W435" t="str">
            <v>Đã đóng</v>
          </cell>
          <cell r="AJ435" t="str">
            <v>Kon Tum</v>
          </cell>
          <cell r="BX435" t="str">
            <v>AON</v>
          </cell>
        </row>
        <row r="436">
          <cell r="A436" t="str">
            <v>ON</v>
          </cell>
          <cell r="B436" t="str">
            <v>Trong 24h</v>
          </cell>
          <cell r="D436" t="str">
            <v>Khiếu nại về dịch vụ FTTH</v>
          </cell>
          <cell r="W436" t="str">
            <v>Đã đóng</v>
          </cell>
          <cell r="AJ436" t="str">
            <v>TP HCM</v>
          </cell>
          <cell r="BX436" t="str">
            <v>AON</v>
          </cell>
        </row>
        <row r="437">
          <cell r="A437" t="str">
            <v>ON</v>
          </cell>
          <cell r="B437" t="str">
            <v>Trong 24h</v>
          </cell>
          <cell r="D437" t="str">
            <v>Khiếu nại về dịch vụ FTTH</v>
          </cell>
          <cell r="W437" t="str">
            <v>Đã đóng</v>
          </cell>
          <cell r="AJ437" t="str">
            <v>Lai Châu</v>
          </cell>
          <cell r="BX437" t="str">
            <v>AON</v>
          </cell>
        </row>
        <row r="438">
          <cell r="A438" t="str">
            <v>ON</v>
          </cell>
          <cell r="B438" t="str">
            <v>Trong 24h</v>
          </cell>
          <cell r="D438" t="str">
            <v>Khiếu nại về dịch vụ FTTH</v>
          </cell>
          <cell r="W438" t="str">
            <v>Đã đóng</v>
          </cell>
          <cell r="AJ438" t="str">
            <v>TP HCM</v>
          </cell>
          <cell r="BX438" t="str">
            <v>AON</v>
          </cell>
        </row>
        <row r="439">
          <cell r="A439" t="str">
            <v>ON</v>
          </cell>
          <cell r="B439" t="str">
            <v>Trong 24h</v>
          </cell>
          <cell r="D439" t="str">
            <v>Khiếu nại về dịch vụ FTTH</v>
          </cell>
          <cell r="W439" t="str">
            <v>Đã đóng</v>
          </cell>
          <cell r="AJ439" t="str">
            <v>Hà Nội 1</v>
          </cell>
          <cell r="BX439" t="str">
            <v>AON</v>
          </cell>
        </row>
        <row r="440">
          <cell r="A440" t="str">
            <v>ON</v>
          </cell>
          <cell r="B440" t="str">
            <v>Trong 24h</v>
          </cell>
          <cell r="D440" t="str">
            <v>Khiếu nại về dịch vụ FTTH</v>
          </cell>
          <cell r="W440" t="str">
            <v>Đã đóng</v>
          </cell>
          <cell r="AJ440" t="str">
            <v>Lâm Đồng</v>
          </cell>
          <cell r="BX440" t="str">
            <v>AON</v>
          </cell>
        </row>
        <row r="441">
          <cell r="A441" t="str">
            <v>ON</v>
          </cell>
          <cell r="B441" t="str">
            <v>Trong 24h</v>
          </cell>
          <cell r="D441" t="str">
            <v>Khiếu nại về dịch vụ FTTH</v>
          </cell>
          <cell r="W441" t="str">
            <v>Đã đóng</v>
          </cell>
          <cell r="AJ441" t="str">
            <v>Hải Phòng</v>
          </cell>
          <cell r="BX441" t="str">
            <v>AON</v>
          </cell>
        </row>
        <row r="442">
          <cell r="A442" t="str">
            <v>ON</v>
          </cell>
          <cell r="B442" t="str">
            <v>Trong 24h</v>
          </cell>
          <cell r="D442" t="str">
            <v>Khiếu nại về dịch vụ FTTH</v>
          </cell>
          <cell r="W442" t="str">
            <v>Đã đóng</v>
          </cell>
          <cell r="AJ442" t="str">
            <v>Quảng Ngãi</v>
          </cell>
          <cell r="BX442" t="str">
            <v>AON</v>
          </cell>
        </row>
        <row r="443">
          <cell r="A443" t="str">
            <v>ON</v>
          </cell>
          <cell r="B443" t="str">
            <v>Trong 24h</v>
          </cell>
          <cell r="D443" t="str">
            <v>Khiếu nại về dịch vụ FTTH</v>
          </cell>
          <cell r="W443" t="str">
            <v>Đã đóng</v>
          </cell>
          <cell r="AJ443" t="str">
            <v>Cà Mau</v>
          </cell>
          <cell r="BX443" t="str">
            <v>AON</v>
          </cell>
        </row>
        <row r="444">
          <cell r="A444" t="str">
            <v>ON</v>
          </cell>
          <cell r="B444" t="str">
            <v>Trong 24h</v>
          </cell>
          <cell r="D444" t="str">
            <v>Khiếu nại về dịch vụ FTTH</v>
          </cell>
          <cell r="W444" t="str">
            <v>Đang xử lý</v>
          </cell>
          <cell r="AJ444" t="str">
            <v>Kiên Giang</v>
          </cell>
          <cell r="BX444" t="str">
            <v>AON</v>
          </cell>
        </row>
        <row r="445">
          <cell r="A445" t="str">
            <v>ON</v>
          </cell>
          <cell r="B445" t="str">
            <v>Trong 24h</v>
          </cell>
          <cell r="D445" t="str">
            <v>Khiếu nại về dịch vụ FTTH</v>
          </cell>
          <cell r="W445" t="str">
            <v>Đã đóng</v>
          </cell>
          <cell r="AJ445" t="str">
            <v>TP HCM</v>
          </cell>
          <cell r="BX445" t="str">
            <v>AON</v>
          </cell>
        </row>
        <row r="446">
          <cell r="A446" t="str">
            <v>ON</v>
          </cell>
          <cell r="B446" t="str">
            <v>Trong 24h</v>
          </cell>
          <cell r="D446" t="str">
            <v>Khiếu nại về dịch vụ FTTH</v>
          </cell>
          <cell r="W446" t="str">
            <v>Đã đóng</v>
          </cell>
          <cell r="AJ446" t="str">
            <v>Hậu Giang</v>
          </cell>
          <cell r="BX446" t="str">
            <v>AON</v>
          </cell>
        </row>
        <row r="447">
          <cell r="A447" t="str">
            <v>ON</v>
          </cell>
          <cell r="B447" t="str">
            <v>Trong 24h</v>
          </cell>
          <cell r="D447" t="str">
            <v>Khiếu nại về dịch vụ FTTH</v>
          </cell>
          <cell r="W447" t="str">
            <v>Đã đóng</v>
          </cell>
          <cell r="AJ447" t="str">
            <v>Hà Nội 1</v>
          </cell>
          <cell r="BX447" t="str">
            <v>AON</v>
          </cell>
        </row>
        <row r="448">
          <cell r="A448" t="str">
            <v>ON</v>
          </cell>
          <cell r="B448" t="str">
            <v>Trong 24h</v>
          </cell>
          <cell r="D448" t="str">
            <v>Khiếu nại về dịch vụ FTTH</v>
          </cell>
          <cell r="W448" t="str">
            <v>Đang xử lý</v>
          </cell>
          <cell r="AJ448" t="str">
            <v>Hậu Giang</v>
          </cell>
          <cell r="BX448" t="str">
            <v>AON</v>
          </cell>
        </row>
        <row r="449">
          <cell r="A449" t="str">
            <v>ON</v>
          </cell>
          <cell r="B449" t="str">
            <v>Trong 24h</v>
          </cell>
          <cell r="D449" t="str">
            <v>Khiếu nại về dịch vụ FTTH</v>
          </cell>
          <cell r="W449" t="str">
            <v>Đã đóng</v>
          </cell>
          <cell r="AJ449" t="str">
            <v xml:space="preserve">Đồng Nai </v>
          </cell>
          <cell r="BX449" t="str">
            <v>AON</v>
          </cell>
        </row>
        <row r="450">
          <cell r="A450" t="str">
            <v>ON</v>
          </cell>
          <cell r="B450" t="str">
            <v>Trong 24h</v>
          </cell>
          <cell r="D450" t="str">
            <v>Khiếu nại về dịch vụ FTTH</v>
          </cell>
          <cell r="W450" t="str">
            <v>Đang xử lý</v>
          </cell>
          <cell r="AJ450" t="str">
            <v xml:space="preserve">Đồng Nai </v>
          </cell>
          <cell r="BX450" t="str">
            <v>AON</v>
          </cell>
        </row>
        <row r="451">
          <cell r="A451" t="str">
            <v>ON</v>
          </cell>
          <cell r="B451" t="str">
            <v>Trong 24h</v>
          </cell>
          <cell r="D451" t="str">
            <v>Khiếu nại về dịch vụ FTTH</v>
          </cell>
          <cell r="W451" t="str">
            <v>Đã đóng</v>
          </cell>
          <cell r="AJ451" t="str">
            <v>Nghệ An</v>
          </cell>
          <cell r="BX451" t="str">
            <v>AON</v>
          </cell>
        </row>
        <row r="452">
          <cell r="A452" t="str">
            <v>ON</v>
          </cell>
          <cell r="B452" t="str">
            <v>Trong 24h</v>
          </cell>
          <cell r="D452" t="str">
            <v>Khiếu nại về dịch vụ FTTH</v>
          </cell>
          <cell r="W452" t="str">
            <v>Đã đóng</v>
          </cell>
          <cell r="AJ452" t="str">
            <v>Vĩnh Phúc</v>
          </cell>
          <cell r="BX452" t="str">
            <v>AON</v>
          </cell>
        </row>
        <row r="453">
          <cell r="A453" t="str">
            <v>ON</v>
          </cell>
          <cell r="B453" t="str">
            <v>Trong 24h</v>
          </cell>
          <cell r="D453" t="str">
            <v>Khiếu nại về dịch vụ FTTH</v>
          </cell>
          <cell r="W453" t="str">
            <v>Đã đóng</v>
          </cell>
          <cell r="AJ453" t="str">
            <v>Hà Nội 1</v>
          </cell>
          <cell r="BX453" t="str">
            <v>AON</v>
          </cell>
        </row>
        <row r="454">
          <cell r="A454" t="str">
            <v>ON</v>
          </cell>
          <cell r="B454" t="str">
            <v>Trong 24h</v>
          </cell>
          <cell r="D454" t="str">
            <v>Khiếu nại về dịch vụ FTTH</v>
          </cell>
          <cell r="W454" t="str">
            <v>Đã đóng</v>
          </cell>
          <cell r="AJ454" t="str">
            <v>Quảng Ninh</v>
          </cell>
          <cell r="BX454" t="str">
            <v>AON</v>
          </cell>
        </row>
        <row r="455">
          <cell r="A455" t="str">
            <v>ON</v>
          </cell>
          <cell r="B455" t="str">
            <v>Trong 24h</v>
          </cell>
          <cell r="D455" t="str">
            <v>Khiếu nại về dịch vụ FTTH</v>
          </cell>
          <cell r="W455" t="str">
            <v>Đã đóng</v>
          </cell>
          <cell r="AJ455" t="str">
            <v>Kon Tum</v>
          </cell>
          <cell r="BX455" t="str">
            <v>AON</v>
          </cell>
        </row>
        <row r="456">
          <cell r="A456" t="str">
            <v>ON</v>
          </cell>
          <cell r="B456" t="str">
            <v>Trong 24h</v>
          </cell>
          <cell r="D456" t="str">
            <v>Khiếu nại về dịch vụ FTTH</v>
          </cell>
          <cell r="W456" t="str">
            <v>Đã đóng</v>
          </cell>
          <cell r="AJ456" t="str">
            <v xml:space="preserve">Hà Tĩnh </v>
          </cell>
          <cell r="BX456" t="str">
            <v>AON</v>
          </cell>
        </row>
        <row r="457">
          <cell r="A457" t="str">
            <v>ON</v>
          </cell>
          <cell r="B457" t="str">
            <v>Trong 24h</v>
          </cell>
          <cell r="D457" t="str">
            <v>Khiếu nại về dịch vụ FTTH</v>
          </cell>
          <cell r="W457" t="str">
            <v>Đã đóng</v>
          </cell>
          <cell r="AJ457" t="str">
            <v>Bà Rịa - Vũng Tàu</v>
          </cell>
          <cell r="BX457" t="str">
            <v>AON</v>
          </cell>
        </row>
        <row r="458">
          <cell r="A458" t="str">
            <v>ON</v>
          </cell>
          <cell r="B458" t="str">
            <v>Trong 24h</v>
          </cell>
          <cell r="D458" t="str">
            <v>Khiếu nại về dịch vụ FTTH</v>
          </cell>
          <cell r="W458" t="str">
            <v>Đã đóng</v>
          </cell>
          <cell r="AJ458" t="str">
            <v>Hậu Giang</v>
          </cell>
          <cell r="BX458" t="str">
            <v>AON</v>
          </cell>
        </row>
        <row r="459">
          <cell r="A459" t="str">
            <v>ON</v>
          </cell>
          <cell r="B459" t="str">
            <v>Trong 24h</v>
          </cell>
          <cell r="D459" t="str">
            <v>Khiếu nại về dịch vụ FTTH</v>
          </cell>
          <cell r="W459" t="str">
            <v>Đã đóng</v>
          </cell>
          <cell r="AJ459" t="str">
            <v>Hà Nội 2</v>
          </cell>
          <cell r="BX459" t="str">
            <v>AON</v>
          </cell>
        </row>
        <row r="460">
          <cell r="A460" t="str">
            <v>ON</v>
          </cell>
          <cell r="B460" t="str">
            <v>Trong 24h</v>
          </cell>
          <cell r="D460" t="str">
            <v>Khiếu nại về dịch vụ FTTH</v>
          </cell>
          <cell r="W460" t="str">
            <v>Đã đóng</v>
          </cell>
          <cell r="AJ460" t="str">
            <v xml:space="preserve">Đồng Nai </v>
          </cell>
          <cell r="BX460" t="str">
            <v>AON</v>
          </cell>
        </row>
        <row r="461">
          <cell r="A461" t="str">
            <v>ON</v>
          </cell>
          <cell r="B461" t="str">
            <v>Trong 24h</v>
          </cell>
          <cell r="D461" t="str">
            <v>Khiếu nại về dịch vụ FTTH</v>
          </cell>
          <cell r="W461" t="str">
            <v>Đã đóng</v>
          </cell>
          <cell r="AJ461" t="str">
            <v>TP HCM</v>
          </cell>
          <cell r="BX461" t="str">
            <v>AON</v>
          </cell>
        </row>
        <row r="462">
          <cell r="A462" t="str">
            <v>ON</v>
          </cell>
          <cell r="B462" t="str">
            <v>Trong 24h</v>
          </cell>
          <cell r="D462" t="str">
            <v>Khiếu nại về dịch vụ FTTH</v>
          </cell>
          <cell r="W462" t="str">
            <v>Đã đóng</v>
          </cell>
          <cell r="AJ462" t="str">
            <v>Gia Lai</v>
          </cell>
          <cell r="BX462" t="str">
            <v>AON</v>
          </cell>
        </row>
        <row r="463">
          <cell r="A463" t="str">
            <v>ON</v>
          </cell>
          <cell r="B463" t="str">
            <v>Trong 24h</v>
          </cell>
          <cell r="D463" t="str">
            <v>Khiếu nại về dịch vụ FTTH</v>
          </cell>
          <cell r="W463" t="str">
            <v>Đã đóng</v>
          </cell>
          <cell r="AJ463" t="str">
            <v>TP HCM</v>
          </cell>
          <cell r="BX463" t="str">
            <v>AON</v>
          </cell>
        </row>
        <row r="464">
          <cell r="A464" t="str">
            <v>ON</v>
          </cell>
          <cell r="B464" t="str">
            <v>Trong 24h</v>
          </cell>
          <cell r="D464" t="str">
            <v>Khiếu nại về dịch vụ FTTH</v>
          </cell>
          <cell r="W464" t="str">
            <v>Đang xử lý</v>
          </cell>
          <cell r="AJ464" t="str">
            <v>Bến Tre</v>
          </cell>
          <cell r="BX464" t="str">
            <v>AON</v>
          </cell>
        </row>
        <row r="465">
          <cell r="A465" t="str">
            <v>ON</v>
          </cell>
          <cell r="B465" t="str">
            <v>Trong 24h</v>
          </cell>
          <cell r="D465" t="str">
            <v>Khiếu nại về dịch vụ FTTH</v>
          </cell>
          <cell r="W465" t="str">
            <v>Đã đóng</v>
          </cell>
          <cell r="AJ465" t="str">
            <v xml:space="preserve">Đồng Nai </v>
          </cell>
          <cell r="BX465" t="str">
            <v>AON</v>
          </cell>
        </row>
        <row r="466">
          <cell r="A466" t="str">
            <v>ON</v>
          </cell>
          <cell r="B466" t="str">
            <v>Trong 24h</v>
          </cell>
          <cell r="D466" t="str">
            <v>Khiếu nại về dịch vụ FTTH</v>
          </cell>
          <cell r="W466" t="str">
            <v>Đã đóng</v>
          </cell>
          <cell r="AJ466" t="str">
            <v>TP HCM</v>
          </cell>
          <cell r="BX466" t="str">
            <v>AON</v>
          </cell>
        </row>
        <row r="467">
          <cell r="A467" t="str">
            <v>ON</v>
          </cell>
          <cell r="B467" t="str">
            <v>Trong 24h</v>
          </cell>
          <cell r="D467" t="str">
            <v>Khiếu nại về dịch vụ FTTH</v>
          </cell>
          <cell r="W467" t="str">
            <v>Đã đóng</v>
          </cell>
          <cell r="AJ467" t="str">
            <v>TP HCM</v>
          </cell>
          <cell r="BX467" t="str">
            <v>AON</v>
          </cell>
        </row>
        <row r="468">
          <cell r="A468" t="str">
            <v>ON</v>
          </cell>
          <cell r="B468" t="str">
            <v>Trong 24h</v>
          </cell>
          <cell r="D468" t="str">
            <v>Khiếu nại về dịch vụ FTTH</v>
          </cell>
          <cell r="W468" t="str">
            <v>Đã đóng</v>
          </cell>
          <cell r="AJ468" t="str">
            <v>An Giang</v>
          </cell>
          <cell r="BX468" t="str">
            <v>AON</v>
          </cell>
        </row>
        <row r="469">
          <cell r="A469" t="str">
            <v>ON</v>
          </cell>
          <cell r="B469" t="str">
            <v>Trong 24h</v>
          </cell>
          <cell r="D469" t="str">
            <v>Khiếu nại về dịch vụ FTTH</v>
          </cell>
          <cell r="W469" t="str">
            <v>Đang xử lý</v>
          </cell>
          <cell r="AJ469" t="str">
            <v>TP HCM</v>
          </cell>
          <cell r="BX469" t="str">
            <v>AON</v>
          </cell>
        </row>
        <row r="470">
          <cell r="A470" t="str">
            <v>ON</v>
          </cell>
          <cell r="B470" t="str">
            <v>Trong 24h</v>
          </cell>
          <cell r="D470" t="str">
            <v>Khiếu nại về dịch vụ FTTH</v>
          </cell>
          <cell r="W470" t="str">
            <v>Đang xử lý</v>
          </cell>
          <cell r="AJ470" t="str">
            <v>Quảng Ninh</v>
          </cell>
          <cell r="BX470" t="str">
            <v>AON</v>
          </cell>
        </row>
        <row r="471">
          <cell r="A471" t="str">
            <v>ON</v>
          </cell>
          <cell r="B471" t="str">
            <v>Trong 24h</v>
          </cell>
          <cell r="D471" t="str">
            <v>Khiếu nại về dịch vụ FTTH</v>
          </cell>
          <cell r="W471" t="str">
            <v>Đã đóng</v>
          </cell>
          <cell r="AJ471" t="str">
            <v>Hải Phòng</v>
          </cell>
          <cell r="BX471" t="str">
            <v>AON</v>
          </cell>
        </row>
        <row r="472">
          <cell r="A472" t="str">
            <v>ON</v>
          </cell>
          <cell r="B472" t="str">
            <v>Trong 24h</v>
          </cell>
          <cell r="D472" t="str">
            <v>Khiếu nại về dịch vụ FTTH</v>
          </cell>
          <cell r="W472" t="str">
            <v>Đã đóng</v>
          </cell>
          <cell r="AJ472" t="str">
            <v>Hà Nội 1</v>
          </cell>
          <cell r="BX472" t="str">
            <v>AON</v>
          </cell>
        </row>
        <row r="473">
          <cell r="A473" t="str">
            <v>ON</v>
          </cell>
          <cell r="B473" t="str">
            <v>Trong 24h</v>
          </cell>
          <cell r="D473" t="str">
            <v>Khiếu nại về dịch vụ FTTH</v>
          </cell>
          <cell r="W473" t="str">
            <v>Đang xử lý</v>
          </cell>
          <cell r="AJ473" t="str">
            <v>Cà Mau</v>
          </cell>
          <cell r="BX473" t="str">
            <v>AON</v>
          </cell>
        </row>
        <row r="474">
          <cell r="A474" t="str">
            <v>ON</v>
          </cell>
          <cell r="B474" t="str">
            <v>Trong 24h</v>
          </cell>
          <cell r="D474" t="str">
            <v>Khiếu nại về dịch vụ FTTH</v>
          </cell>
          <cell r="W474" t="str">
            <v>Đã đóng</v>
          </cell>
          <cell r="AJ474" t="str">
            <v>Hải Phòng</v>
          </cell>
          <cell r="BX474" t="str">
            <v>AON</v>
          </cell>
        </row>
        <row r="475">
          <cell r="A475" t="str">
            <v>ON</v>
          </cell>
          <cell r="B475" t="str">
            <v>Trong 24h</v>
          </cell>
          <cell r="D475" t="str">
            <v>Khiếu nại về dịch vụ FTTH</v>
          </cell>
          <cell r="W475" t="str">
            <v>Đang xử lý</v>
          </cell>
          <cell r="AJ475" t="str">
            <v>Nghệ An</v>
          </cell>
          <cell r="BX475" t="str">
            <v>AON</v>
          </cell>
        </row>
        <row r="476">
          <cell r="A476" t="str">
            <v>ON</v>
          </cell>
          <cell r="B476" t="str">
            <v>Trong 24h</v>
          </cell>
          <cell r="D476" t="str">
            <v>Khiếu nại về dịch vụ FTTH</v>
          </cell>
          <cell r="W476" t="str">
            <v>Đang xử lý</v>
          </cell>
          <cell r="AJ476" t="str">
            <v>Bình Định</v>
          </cell>
          <cell r="BX476" t="str">
            <v>AON</v>
          </cell>
        </row>
        <row r="477">
          <cell r="A477" t="str">
            <v>ON</v>
          </cell>
          <cell r="B477" t="str">
            <v>Trong 24h</v>
          </cell>
          <cell r="D477" t="str">
            <v>Khiếu nại về dịch vụ FTTH</v>
          </cell>
          <cell r="W477" t="str">
            <v>Đã đóng</v>
          </cell>
          <cell r="AJ477" t="str">
            <v>Bình Dương</v>
          </cell>
          <cell r="BX477" t="str">
            <v>AON</v>
          </cell>
        </row>
        <row r="478">
          <cell r="A478" t="str">
            <v>ON</v>
          </cell>
          <cell r="B478" t="str">
            <v>Trong 24h</v>
          </cell>
          <cell r="D478" t="str">
            <v>Khiếu nại về dịch vụ FTTH</v>
          </cell>
          <cell r="W478" t="str">
            <v>Đã đóng</v>
          </cell>
          <cell r="AJ478" t="str">
            <v>Bắc Kạn</v>
          </cell>
          <cell r="BX478" t="str">
            <v>AON</v>
          </cell>
        </row>
        <row r="479">
          <cell r="A479" t="str">
            <v>ON</v>
          </cell>
          <cell r="B479" t="str">
            <v>Trong 24h</v>
          </cell>
          <cell r="D479" t="str">
            <v>Khiếu nại về dịch vụ FTTH</v>
          </cell>
          <cell r="W479" t="str">
            <v>Đã đóng</v>
          </cell>
          <cell r="AJ479" t="str">
            <v>TP HCM</v>
          </cell>
          <cell r="BX479" t="str">
            <v>AON</v>
          </cell>
        </row>
        <row r="480">
          <cell r="A480" t="str">
            <v>ON</v>
          </cell>
          <cell r="B480" t="str">
            <v>Trong 24h</v>
          </cell>
          <cell r="D480" t="str">
            <v>Khiếu nại về dịch vụ FTTH</v>
          </cell>
          <cell r="W480" t="str">
            <v>Đã đóng</v>
          </cell>
          <cell r="AJ480" t="str">
            <v>TP HCM</v>
          </cell>
          <cell r="BX480" t="str">
            <v>AON</v>
          </cell>
        </row>
        <row r="481">
          <cell r="A481" t="str">
            <v>ON</v>
          </cell>
          <cell r="B481" t="str">
            <v>Trong 24h</v>
          </cell>
          <cell r="D481" t="str">
            <v>Khiếu nại về dịch vụ FTTH</v>
          </cell>
          <cell r="W481" t="str">
            <v>Đã đóng</v>
          </cell>
          <cell r="AJ481" t="str">
            <v>TP HCM</v>
          </cell>
          <cell r="BX481" t="str">
            <v>GPON</v>
          </cell>
        </row>
        <row r="482">
          <cell r="A482" t="str">
            <v>ON</v>
          </cell>
          <cell r="B482" t="str">
            <v>Trong 24h</v>
          </cell>
          <cell r="D482" t="str">
            <v>Khiếu nại về dịch vụ FTTH</v>
          </cell>
          <cell r="W482" t="str">
            <v>Đã đóng</v>
          </cell>
          <cell r="AJ482" t="str">
            <v>Thái Bình</v>
          </cell>
          <cell r="BX482" t="str">
            <v>AON</v>
          </cell>
        </row>
        <row r="483">
          <cell r="A483" t="str">
            <v>ON</v>
          </cell>
          <cell r="B483" t="str">
            <v>Trong 24h</v>
          </cell>
          <cell r="D483" t="str">
            <v>Khiếu nại về dịch vụ FTTH</v>
          </cell>
          <cell r="W483" t="str">
            <v>Đã đóng</v>
          </cell>
          <cell r="AJ483" t="str">
            <v>Hà Nội 1</v>
          </cell>
          <cell r="BX483" t="str">
            <v>AON</v>
          </cell>
        </row>
        <row r="484">
          <cell r="A484" t="str">
            <v>ON</v>
          </cell>
          <cell r="B484" t="str">
            <v>Trong 24h</v>
          </cell>
          <cell r="D484" t="str">
            <v>Khiếu nại về dịch vụ FTTH</v>
          </cell>
          <cell r="W484" t="str">
            <v>Đã đóng</v>
          </cell>
          <cell r="AJ484" t="str">
            <v>Bình Thuận</v>
          </cell>
          <cell r="BX484" t="str">
            <v>AON</v>
          </cell>
        </row>
        <row r="485">
          <cell r="A485" t="str">
            <v>ON</v>
          </cell>
          <cell r="B485" t="str">
            <v>Trong 24h</v>
          </cell>
          <cell r="D485" t="str">
            <v>Khiếu nại về dịch vụ FTTH</v>
          </cell>
          <cell r="W485" t="str">
            <v>Đã đóng</v>
          </cell>
          <cell r="AJ485" t="str">
            <v>Cao Bằng</v>
          </cell>
          <cell r="BX485" t="str">
            <v>AON</v>
          </cell>
        </row>
        <row r="486">
          <cell r="A486" t="str">
            <v>ON</v>
          </cell>
          <cell r="B486" t="str">
            <v>Trong 24h</v>
          </cell>
          <cell r="D486" t="str">
            <v>Khiếu nại về dịch vụ FTTH</v>
          </cell>
          <cell r="W486" t="str">
            <v>Đã đóng</v>
          </cell>
          <cell r="AJ486" t="str">
            <v>TP HCM</v>
          </cell>
          <cell r="BX486" t="str">
            <v>AON</v>
          </cell>
        </row>
        <row r="487">
          <cell r="A487" t="str">
            <v>ON</v>
          </cell>
          <cell r="B487" t="str">
            <v>Trong 24h</v>
          </cell>
          <cell r="D487" t="str">
            <v>Khiếu nại về dịch vụ FTTH</v>
          </cell>
          <cell r="W487" t="str">
            <v>Đã đóng</v>
          </cell>
          <cell r="AJ487" t="str">
            <v>Lạng Sơn</v>
          </cell>
          <cell r="BX487" t="str">
            <v>AON</v>
          </cell>
        </row>
        <row r="488">
          <cell r="A488" t="str">
            <v>ON</v>
          </cell>
          <cell r="B488" t="str">
            <v>Trong 24h</v>
          </cell>
          <cell r="D488" t="str">
            <v>Khiếu nại về dịch vụ FTTH</v>
          </cell>
          <cell r="W488" t="str">
            <v>Đang xử lý</v>
          </cell>
          <cell r="AJ488" t="str">
            <v>TP HCM</v>
          </cell>
          <cell r="BX488" t="str">
            <v>AON</v>
          </cell>
        </row>
        <row r="489">
          <cell r="A489" t="str">
            <v>ON</v>
          </cell>
          <cell r="B489" t="str">
            <v>Trong 24h</v>
          </cell>
          <cell r="D489" t="str">
            <v>Khiếu nại về dịch vụ FTTH</v>
          </cell>
          <cell r="W489" t="str">
            <v>Đã đóng</v>
          </cell>
          <cell r="AJ489" t="str">
            <v>TP HCM</v>
          </cell>
          <cell r="BX489" t="str">
            <v>GPON</v>
          </cell>
        </row>
        <row r="490">
          <cell r="A490" t="str">
            <v>ON</v>
          </cell>
          <cell r="B490" t="str">
            <v>Trong 24h</v>
          </cell>
          <cell r="D490" t="str">
            <v>Khiếu nại về dịch vụ FTTH</v>
          </cell>
          <cell r="W490" t="str">
            <v>Đã đóng</v>
          </cell>
          <cell r="AJ490" t="str">
            <v>Gia Lai</v>
          </cell>
          <cell r="BX490" t="str">
            <v>AON</v>
          </cell>
        </row>
        <row r="491">
          <cell r="A491" t="str">
            <v>ON</v>
          </cell>
          <cell r="B491" t="str">
            <v>Trong 24h</v>
          </cell>
          <cell r="D491" t="str">
            <v>Khiếu nại về dịch vụ FTTH</v>
          </cell>
          <cell r="W491" t="str">
            <v>Đã đóng</v>
          </cell>
          <cell r="AJ491" t="str">
            <v>TP HCM</v>
          </cell>
          <cell r="BX491" t="str">
            <v>AON</v>
          </cell>
        </row>
        <row r="492">
          <cell r="A492" t="str">
            <v>ON</v>
          </cell>
          <cell r="B492" t="str">
            <v>Trong 24h</v>
          </cell>
          <cell r="D492" t="str">
            <v>Khiếu nại về dịch vụ FTTH</v>
          </cell>
          <cell r="W492" t="str">
            <v>Đã đóng</v>
          </cell>
          <cell r="AJ492" t="str">
            <v>Bắc Ninh</v>
          </cell>
          <cell r="BX492" t="str">
            <v>AON</v>
          </cell>
        </row>
        <row r="493">
          <cell r="A493" t="str">
            <v>ON</v>
          </cell>
          <cell r="B493" t="str">
            <v>Trong 24h</v>
          </cell>
          <cell r="D493" t="str">
            <v>Khiếu nại về dịch vụ FTTH</v>
          </cell>
          <cell r="W493" t="str">
            <v>Đã đóng</v>
          </cell>
          <cell r="AJ493" t="str">
            <v>Bình Dương</v>
          </cell>
          <cell r="BX493" t="str">
            <v>AON</v>
          </cell>
        </row>
        <row r="494">
          <cell r="A494" t="str">
            <v>ON</v>
          </cell>
          <cell r="B494" t="str">
            <v>Trong 24h</v>
          </cell>
          <cell r="D494" t="str">
            <v>Khiếu nại về dịch vụ FTTH</v>
          </cell>
          <cell r="W494" t="str">
            <v>Đã đóng</v>
          </cell>
          <cell r="AJ494" t="str">
            <v>Hà Nội 1</v>
          </cell>
          <cell r="BX494" t="str">
            <v>AON</v>
          </cell>
        </row>
        <row r="495">
          <cell r="A495" t="str">
            <v>ON</v>
          </cell>
          <cell r="B495" t="str">
            <v>Trong 24h</v>
          </cell>
          <cell r="D495" t="str">
            <v>Khiếu nại về dịch vụ FTTH</v>
          </cell>
          <cell r="W495" t="str">
            <v>Đã đóng</v>
          </cell>
          <cell r="AJ495" t="str">
            <v>Bắc Ninh</v>
          </cell>
          <cell r="BX495" t="str">
            <v>AON</v>
          </cell>
        </row>
        <row r="496">
          <cell r="A496" t="str">
            <v>ON</v>
          </cell>
          <cell r="B496" t="str">
            <v>Trong 24h</v>
          </cell>
          <cell r="D496" t="str">
            <v>Khiếu nại về dịch vụ FTTH</v>
          </cell>
          <cell r="W496" t="str">
            <v>Đã đóng</v>
          </cell>
          <cell r="AJ496" t="str">
            <v>Nam Định</v>
          </cell>
          <cell r="BX496" t="str">
            <v>AON</v>
          </cell>
        </row>
        <row r="497">
          <cell r="A497" t="str">
            <v>ON</v>
          </cell>
          <cell r="B497" t="str">
            <v>Trong 24h</v>
          </cell>
          <cell r="D497" t="str">
            <v>Khiếu nại về dịch vụ FTTH</v>
          </cell>
          <cell r="W497" t="str">
            <v>Đã đóng</v>
          </cell>
          <cell r="AJ497" t="str">
            <v>Nam Định</v>
          </cell>
          <cell r="BX497" t="str">
            <v>AON</v>
          </cell>
        </row>
        <row r="498">
          <cell r="A498" t="str">
            <v>ON</v>
          </cell>
          <cell r="B498" t="str">
            <v>Trong 24h</v>
          </cell>
          <cell r="D498" t="str">
            <v>Khiếu nại về dịch vụ FTTH</v>
          </cell>
          <cell r="W498" t="str">
            <v>Đã đóng</v>
          </cell>
          <cell r="AJ498" t="str">
            <v>Cà Mau</v>
          </cell>
          <cell r="BX498" t="str">
            <v>AON</v>
          </cell>
        </row>
        <row r="499">
          <cell r="A499" t="str">
            <v>ON</v>
          </cell>
          <cell r="B499" t="str">
            <v>Trong 24h</v>
          </cell>
          <cell r="D499" t="str">
            <v>Khiếu nại về dịch vụ FTTH</v>
          </cell>
          <cell r="W499" t="str">
            <v>Đã đóng</v>
          </cell>
          <cell r="AJ499" t="str">
            <v>TP HCM</v>
          </cell>
          <cell r="BX499" t="str">
            <v>AON</v>
          </cell>
        </row>
        <row r="500">
          <cell r="A500" t="str">
            <v>ON</v>
          </cell>
          <cell r="B500" t="str">
            <v>Trong 24h</v>
          </cell>
          <cell r="D500" t="str">
            <v>Khiếu nại về dịch vụ NextTV</v>
          </cell>
          <cell r="W500" t="str">
            <v>Đang xử lý</v>
          </cell>
          <cell r="AJ500" t="str">
            <v>TP HCM</v>
          </cell>
          <cell r="BX500" t="str">
            <v>AON</v>
          </cell>
        </row>
        <row r="501">
          <cell r="A501" t="str">
            <v>ON</v>
          </cell>
          <cell r="B501" t="str">
            <v>Trong 24h</v>
          </cell>
          <cell r="D501" t="str">
            <v>Khiếu nại về dịch vụ FTTH</v>
          </cell>
          <cell r="W501" t="str">
            <v>Đã đóng</v>
          </cell>
          <cell r="AJ501" t="str">
            <v>Bắc Ninh</v>
          </cell>
          <cell r="BX501" t="str">
            <v>AON</v>
          </cell>
        </row>
        <row r="502">
          <cell r="A502" t="str">
            <v>ON</v>
          </cell>
          <cell r="B502" t="str">
            <v>Trong 24h</v>
          </cell>
          <cell r="D502" t="str">
            <v>Khiếu nại về dịch vụ FTTH</v>
          </cell>
          <cell r="W502" t="str">
            <v>Đã đóng</v>
          </cell>
          <cell r="AJ502" t="str">
            <v>Bình Dương</v>
          </cell>
          <cell r="BX502" t="str">
            <v>AON</v>
          </cell>
        </row>
        <row r="503">
          <cell r="A503" t="str">
            <v>ON</v>
          </cell>
          <cell r="B503" t="str">
            <v>Trong 24h</v>
          </cell>
          <cell r="D503" t="str">
            <v>Khiếu nại về dịch vụ FTTH</v>
          </cell>
          <cell r="W503" t="str">
            <v>Đã đóng</v>
          </cell>
          <cell r="AJ503" t="str">
            <v>TP HCM</v>
          </cell>
          <cell r="BX503" t="str">
            <v>GPON</v>
          </cell>
        </row>
        <row r="504">
          <cell r="A504" t="str">
            <v>ON</v>
          </cell>
          <cell r="B504" t="str">
            <v>Trong 24h</v>
          </cell>
          <cell r="D504" t="str">
            <v>Khiếu nại về dịch vụ FTTH</v>
          </cell>
          <cell r="W504" t="str">
            <v>Đã đóng</v>
          </cell>
          <cell r="AJ504" t="str">
            <v>TP HCM</v>
          </cell>
          <cell r="BX504" t="str">
            <v>AON</v>
          </cell>
        </row>
        <row r="505">
          <cell r="A505" t="str">
            <v>ON</v>
          </cell>
          <cell r="B505" t="str">
            <v>Trong 24h</v>
          </cell>
          <cell r="D505" t="str">
            <v>Khiếu nại về dịch vụ FTTH</v>
          </cell>
          <cell r="W505" t="str">
            <v>Đã đóng</v>
          </cell>
          <cell r="AJ505" t="str">
            <v>TP HCM</v>
          </cell>
          <cell r="BX505" t="str">
            <v>AON</v>
          </cell>
        </row>
        <row r="506">
          <cell r="A506" t="str">
            <v>ON</v>
          </cell>
          <cell r="B506" t="str">
            <v>Trong 24h</v>
          </cell>
          <cell r="D506" t="str">
            <v>Khiếu nại về dịch vụ FTTH</v>
          </cell>
          <cell r="W506" t="str">
            <v>Đã đóng</v>
          </cell>
          <cell r="AJ506" t="str">
            <v>Phú Yên</v>
          </cell>
          <cell r="BX506" t="str">
            <v>AON</v>
          </cell>
        </row>
        <row r="507">
          <cell r="A507" t="str">
            <v>ON</v>
          </cell>
          <cell r="B507" t="str">
            <v>Trong 24h</v>
          </cell>
          <cell r="D507" t="str">
            <v>Khiếu nại về dịch vụ FTTH</v>
          </cell>
          <cell r="W507" t="str">
            <v>Đang xử lý</v>
          </cell>
          <cell r="AJ507" t="str">
            <v xml:space="preserve">Đắc Lắk </v>
          </cell>
          <cell r="BX507" t="str">
            <v>AON</v>
          </cell>
        </row>
        <row r="508">
          <cell r="A508" t="str">
            <v>ON</v>
          </cell>
          <cell r="B508" t="str">
            <v>Trong 24h</v>
          </cell>
          <cell r="D508" t="str">
            <v>Khiếu nại về dịch vụ FTTH</v>
          </cell>
          <cell r="W508" t="str">
            <v>Đã đóng</v>
          </cell>
          <cell r="AJ508" t="str">
            <v>TP HCM</v>
          </cell>
          <cell r="BX508" t="str">
            <v>AON</v>
          </cell>
        </row>
        <row r="509">
          <cell r="A509" t="str">
            <v>ON</v>
          </cell>
          <cell r="B509" t="str">
            <v>Trong 24h</v>
          </cell>
          <cell r="D509" t="str">
            <v>Khiếu nại về dịch vụ FTTH</v>
          </cell>
          <cell r="W509" t="str">
            <v>Đang xử lý</v>
          </cell>
          <cell r="AJ509" t="str">
            <v>Lâm Đồng</v>
          </cell>
          <cell r="BX509" t="str">
            <v>AON</v>
          </cell>
        </row>
        <row r="510">
          <cell r="A510" t="str">
            <v>ON</v>
          </cell>
          <cell r="B510" t="str">
            <v>Trong 24h</v>
          </cell>
          <cell r="D510" t="str">
            <v>Khiếu nại về dịch vụ FTTH</v>
          </cell>
          <cell r="W510" t="str">
            <v>Đang xử lý</v>
          </cell>
          <cell r="AJ510" t="str">
            <v>TP HCM</v>
          </cell>
          <cell r="BX510" t="str">
            <v>GPON</v>
          </cell>
        </row>
        <row r="511">
          <cell r="A511" t="str">
            <v>ON</v>
          </cell>
          <cell r="B511" t="str">
            <v>Trong 24h</v>
          </cell>
          <cell r="D511" t="str">
            <v>Khiếu nại về dịch vụ FTTH</v>
          </cell>
          <cell r="W511" t="str">
            <v>Đã đóng</v>
          </cell>
          <cell r="AJ511" t="str">
            <v>TP HCM</v>
          </cell>
          <cell r="BX511" t="str">
            <v>GPON</v>
          </cell>
        </row>
        <row r="512">
          <cell r="A512" t="str">
            <v>ON</v>
          </cell>
          <cell r="B512" t="str">
            <v>Trong 24h</v>
          </cell>
          <cell r="D512" t="str">
            <v>Khiếu nại về dịch vụ FTTH</v>
          </cell>
          <cell r="W512" t="str">
            <v>Đã đóng</v>
          </cell>
          <cell r="AJ512" t="str">
            <v>Phú Thọ</v>
          </cell>
          <cell r="BX512" t="str">
            <v>AON</v>
          </cell>
        </row>
        <row r="513">
          <cell r="A513" t="str">
            <v>ON</v>
          </cell>
          <cell r="B513" t="str">
            <v>Trong 24h</v>
          </cell>
          <cell r="D513" t="str">
            <v>Khiếu nại về dịch vụ FTTH</v>
          </cell>
          <cell r="W513" t="str">
            <v>Đã đóng</v>
          </cell>
          <cell r="AJ513" t="str">
            <v>Thừa Thiên Huế</v>
          </cell>
          <cell r="BX513" t="str">
            <v>AON</v>
          </cell>
        </row>
        <row r="514">
          <cell r="A514" t="str">
            <v>ON</v>
          </cell>
          <cell r="B514" t="str">
            <v>Trong 24h</v>
          </cell>
          <cell r="D514" t="str">
            <v>Khiếu nại về dịch vụ FTTH</v>
          </cell>
          <cell r="W514" t="str">
            <v>Đã đóng</v>
          </cell>
          <cell r="AJ514" t="str">
            <v>Hà Nội 2</v>
          </cell>
          <cell r="BX514" t="str">
            <v>AON</v>
          </cell>
        </row>
        <row r="515">
          <cell r="A515" t="str">
            <v>ON</v>
          </cell>
          <cell r="B515" t="str">
            <v>Trong 24h</v>
          </cell>
          <cell r="D515" t="str">
            <v>Khiếu nại về dịch vụ FTTH</v>
          </cell>
          <cell r="W515" t="str">
            <v>Đã đóng</v>
          </cell>
          <cell r="AJ515" t="str">
            <v>Hà Nội 2</v>
          </cell>
          <cell r="BX515" t="str">
            <v>AON</v>
          </cell>
        </row>
        <row r="516">
          <cell r="A516" t="str">
            <v>ON</v>
          </cell>
          <cell r="B516" t="str">
            <v>Trong 24h</v>
          </cell>
          <cell r="D516" t="str">
            <v>Khiếu nại về dịch vụ FTTH</v>
          </cell>
          <cell r="W516" t="str">
            <v>Đã đóng</v>
          </cell>
          <cell r="AJ516" t="str">
            <v>TP HCM</v>
          </cell>
          <cell r="BX516" t="str">
            <v>AON</v>
          </cell>
        </row>
        <row r="517">
          <cell r="A517" t="str">
            <v>ON</v>
          </cell>
          <cell r="B517" t="str">
            <v>Trong 24h</v>
          </cell>
          <cell r="D517" t="str">
            <v>Khiếu nại về dịch vụ FTTH</v>
          </cell>
          <cell r="W517" t="str">
            <v>Đang xử lý</v>
          </cell>
          <cell r="AJ517" t="str">
            <v>TP HCM</v>
          </cell>
          <cell r="BX517" t="str">
            <v>AON</v>
          </cell>
        </row>
        <row r="518">
          <cell r="A518" t="str">
            <v>ON</v>
          </cell>
          <cell r="B518" t="str">
            <v>Trong 24h</v>
          </cell>
          <cell r="D518" t="str">
            <v>Khiếu nại về dịch vụ FTTH</v>
          </cell>
          <cell r="W518" t="str">
            <v>Đã đóng</v>
          </cell>
          <cell r="AJ518" t="str">
            <v xml:space="preserve">Đà Nẵng </v>
          </cell>
          <cell r="BX518" t="str">
            <v>AON</v>
          </cell>
        </row>
        <row r="519">
          <cell r="A519" t="str">
            <v>ON</v>
          </cell>
          <cell r="B519" t="str">
            <v>Trong 24h</v>
          </cell>
          <cell r="D519" t="str">
            <v>Khiếu nại về dịch vụ FTTH</v>
          </cell>
          <cell r="W519" t="str">
            <v>Đang xử lý</v>
          </cell>
          <cell r="AJ519" t="str">
            <v>Kon Tum</v>
          </cell>
          <cell r="BX519" t="str">
            <v>AON</v>
          </cell>
        </row>
        <row r="520">
          <cell r="A520" t="str">
            <v>ON</v>
          </cell>
          <cell r="B520" t="str">
            <v>Trong 24h</v>
          </cell>
          <cell r="D520" t="str">
            <v>Khiếu nại về dịch vụ FTTH</v>
          </cell>
          <cell r="W520" t="str">
            <v>Đã đóng</v>
          </cell>
          <cell r="AJ520" t="str">
            <v>Hà Nội 1</v>
          </cell>
          <cell r="BX520" t="str">
            <v>AON</v>
          </cell>
        </row>
        <row r="521">
          <cell r="A521" t="str">
            <v>ON</v>
          </cell>
          <cell r="B521" t="str">
            <v>Trong 24h</v>
          </cell>
          <cell r="D521" t="str">
            <v>Khiếu nại về dịch vụ FTTH</v>
          </cell>
          <cell r="W521" t="str">
            <v>Đã đóng</v>
          </cell>
          <cell r="AJ521" t="str">
            <v>TP HCM</v>
          </cell>
          <cell r="BX521" t="str">
            <v>GPON</v>
          </cell>
        </row>
        <row r="522">
          <cell r="A522" t="str">
            <v>ON</v>
          </cell>
          <cell r="B522" t="str">
            <v>Trong 24h</v>
          </cell>
          <cell r="D522" t="str">
            <v>Khiếu nại về dịch vụ FTTH</v>
          </cell>
          <cell r="W522" t="str">
            <v>Đang xử lý</v>
          </cell>
          <cell r="AJ522" t="str">
            <v>TP HCM</v>
          </cell>
          <cell r="BX522" t="str">
            <v>GPON</v>
          </cell>
        </row>
        <row r="523">
          <cell r="A523" t="str">
            <v>ON</v>
          </cell>
          <cell r="B523" t="str">
            <v>Trong 24h</v>
          </cell>
          <cell r="D523" t="str">
            <v>Khiếu nại về dịch vụ FTTH</v>
          </cell>
          <cell r="W523" t="str">
            <v>Đang xử lý</v>
          </cell>
          <cell r="AJ523" t="str">
            <v>Quảng Ninh</v>
          </cell>
          <cell r="BX523" t="str">
            <v>AON</v>
          </cell>
        </row>
        <row r="524">
          <cell r="A524" t="str">
            <v>ON</v>
          </cell>
          <cell r="B524" t="str">
            <v>Trong 24h</v>
          </cell>
          <cell r="D524" t="str">
            <v>Khiếu nại về dịch vụ FTTH</v>
          </cell>
          <cell r="W524" t="str">
            <v>Đã đóng</v>
          </cell>
          <cell r="AJ524" t="str">
            <v>TP HCM</v>
          </cell>
          <cell r="BX524" t="str">
            <v>AON</v>
          </cell>
        </row>
        <row r="525">
          <cell r="A525" t="str">
            <v>ON</v>
          </cell>
          <cell r="B525" t="str">
            <v>Trong 24h</v>
          </cell>
          <cell r="D525" t="str">
            <v>Khiếu nại về dịch vụ FTTH</v>
          </cell>
          <cell r="W525" t="str">
            <v>Đã đóng</v>
          </cell>
          <cell r="AJ525" t="str">
            <v>Quảng Ninh</v>
          </cell>
          <cell r="BX525" t="str">
            <v>AON</v>
          </cell>
        </row>
        <row r="526">
          <cell r="A526" t="str">
            <v>ON</v>
          </cell>
          <cell r="B526" t="str">
            <v>Trong 24h</v>
          </cell>
          <cell r="D526" t="str">
            <v>Khiếu nại về dịch vụ FTTH</v>
          </cell>
          <cell r="W526" t="str">
            <v>Đã đóng</v>
          </cell>
          <cell r="AJ526" t="str">
            <v>Lào Cai</v>
          </cell>
          <cell r="BX526" t="str">
            <v>AON</v>
          </cell>
        </row>
        <row r="527">
          <cell r="A527" t="str">
            <v>ON</v>
          </cell>
          <cell r="B527" t="str">
            <v>Trong 24h</v>
          </cell>
          <cell r="D527" t="str">
            <v>Khiếu nại về dịch vụ FTTH</v>
          </cell>
          <cell r="W527" t="str">
            <v>Đã đóng</v>
          </cell>
          <cell r="AJ527" t="str">
            <v>TP HCM</v>
          </cell>
          <cell r="BX527" t="str">
            <v>GPON</v>
          </cell>
        </row>
        <row r="528">
          <cell r="A528" t="str">
            <v>ON</v>
          </cell>
          <cell r="B528" t="str">
            <v>Trong 24h</v>
          </cell>
          <cell r="D528" t="str">
            <v>Khiếu nại về dịch vụ FTTH</v>
          </cell>
          <cell r="W528" t="str">
            <v>Đã đóng</v>
          </cell>
          <cell r="AJ528" t="str">
            <v>Hà Nội 1</v>
          </cell>
          <cell r="BX528" t="str">
            <v>AON</v>
          </cell>
        </row>
        <row r="529">
          <cell r="A529" t="str">
            <v>ON</v>
          </cell>
          <cell r="B529" t="str">
            <v>Trong 24h</v>
          </cell>
          <cell r="D529" t="str">
            <v>Khiếu nại về dịch vụ FTTH</v>
          </cell>
          <cell r="W529" t="str">
            <v>Đã đóng</v>
          </cell>
          <cell r="AJ529" t="str">
            <v>Bình Định</v>
          </cell>
          <cell r="BX529" t="str">
            <v>AON</v>
          </cell>
        </row>
        <row r="530">
          <cell r="A530" t="str">
            <v>ON</v>
          </cell>
          <cell r="B530" t="str">
            <v>Trong 24h</v>
          </cell>
          <cell r="D530" t="str">
            <v>Khiếu nại về dịch vụ FTTH</v>
          </cell>
          <cell r="W530" t="str">
            <v>Đã đóng</v>
          </cell>
          <cell r="AJ530" t="str">
            <v>TP HCM</v>
          </cell>
          <cell r="BX530" t="str">
            <v>AON</v>
          </cell>
        </row>
        <row r="531">
          <cell r="A531" t="str">
            <v>ON</v>
          </cell>
          <cell r="B531" t="str">
            <v>Trong 24h</v>
          </cell>
          <cell r="D531" t="str">
            <v>Khiếu nại về dịch vụ FTTH</v>
          </cell>
          <cell r="W531" t="str">
            <v>Đã đóng</v>
          </cell>
          <cell r="AJ531" t="str">
            <v>TP HCM</v>
          </cell>
          <cell r="BX531" t="str">
            <v>AON</v>
          </cell>
        </row>
        <row r="532">
          <cell r="A532" t="str">
            <v>ON</v>
          </cell>
          <cell r="B532" t="str">
            <v>Trong 24h</v>
          </cell>
          <cell r="D532" t="str">
            <v>Khiếu nại về dịch vụ FTTH</v>
          </cell>
          <cell r="W532" t="str">
            <v>Đã đóng</v>
          </cell>
          <cell r="AJ532" t="str">
            <v>Bình Thuận</v>
          </cell>
          <cell r="BX532" t="str">
            <v>AON</v>
          </cell>
        </row>
        <row r="533">
          <cell r="A533" t="str">
            <v>ON</v>
          </cell>
          <cell r="B533" t="str">
            <v>Trong 24h</v>
          </cell>
          <cell r="D533" t="str">
            <v>Khiếu nại về dịch vụ FTTH</v>
          </cell>
          <cell r="W533" t="str">
            <v>Đang xử lý</v>
          </cell>
          <cell r="AJ533" t="str">
            <v>Thái Nguyên</v>
          </cell>
          <cell r="BX533" t="str">
            <v>AON</v>
          </cell>
        </row>
        <row r="534">
          <cell r="A534" t="str">
            <v>ON</v>
          </cell>
          <cell r="B534" t="str">
            <v>Trong 24h</v>
          </cell>
          <cell r="D534" t="str">
            <v>Khiếu nại về dịch vụ FTTH</v>
          </cell>
          <cell r="W534" t="str">
            <v>Đã đóng</v>
          </cell>
          <cell r="AJ534" t="str">
            <v>Bến Tre</v>
          </cell>
          <cell r="BX534" t="str">
            <v>AON</v>
          </cell>
        </row>
        <row r="535">
          <cell r="A535" t="str">
            <v>ON</v>
          </cell>
          <cell r="B535" t="str">
            <v>Trong 24h</v>
          </cell>
          <cell r="D535" t="str">
            <v>Khiếu nại về dịch vụ FTTH</v>
          </cell>
          <cell r="W535" t="str">
            <v>Đã đóng</v>
          </cell>
          <cell r="AJ535" t="str">
            <v>Hà Nam</v>
          </cell>
          <cell r="BX535" t="str">
            <v>AON</v>
          </cell>
        </row>
        <row r="536">
          <cell r="A536" t="str">
            <v>ON</v>
          </cell>
          <cell r="B536" t="str">
            <v>Trong 24h</v>
          </cell>
          <cell r="D536" t="str">
            <v>Khiếu nại về dịch vụ FTTH</v>
          </cell>
          <cell r="W536" t="str">
            <v>Đã đóng</v>
          </cell>
          <cell r="AJ536" t="str">
            <v>TP HCM</v>
          </cell>
          <cell r="BX536" t="str">
            <v>AON</v>
          </cell>
        </row>
        <row r="537">
          <cell r="A537" t="str">
            <v>ON</v>
          </cell>
          <cell r="B537" t="str">
            <v>Trong 24h</v>
          </cell>
          <cell r="D537" t="str">
            <v>Khiếu nại về dịch vụ FTTH</v>
          </cell>
          <cell r="W537" t="str">
            <v>Đã đóng</v>
          </cell>
          <cell r="AJ537" t="str">
            <v>Nghệ An</v>
          </cell>
          <cell r="BX537" t="str">
            <v>AON</v>
          </cell>
        </row>
        <row r="538">
          <cell r="A538" t="str">
            <v>ON</v>
          </cell>
          <cell r="B538" t="str">
            <v>Trong 24h</v>
          </cell>
          <cell r="D538" t="str">
            <v>Khiếu nại về dịch vụ FTTH</v>
          </cell>
          <cell r="W538" t="str">
            <v>Đã đóng</v>
          </cell>
          <cell r="AJ538" t="str">
            <v>TP HCM</v>
          </cell>
          <cell r="BX538" t="str">
            <v>AON</v>
          </cell>
        </row>
        <row r="539">
          <cell r="A539" t="str">
            <v>ON</v>
          </cell>
          <cell r="B539" t="str">
            <v>Trong 24h</v>
          </cell>
          <cell r="D539" t="str">
            <v>Khiếu nại về dịch vụ FTTH</v>
          </cell>
          <cell r="W539" t="str">
            <v>Đang xử lý</v>
          </cell>
          <cell r="AJ539" t="str">
            <v>TP HCM</v>
          </cell>
          <cell r="BX539" t="str">
            <v>AON</v>
          </cell>
        </row>
        <row r="540">
          <cell r="A540" t="str">
            <v>ON</v>
          </cell>
          <cell r="B540" t="str">
            <v>Trong 24h</v>
          </cell>
          <cell r="D540" t="str">
            <v>Khiếu nại về dịch vụ FTTH</v>
          </cell>
          <cell r="W540" t="str">
            <v>Đã đóng</v>
          </cell>
          <cell r="AJ540" t="str">
            <v>Bình Dương</v>
          </cell>
          <cell r="BX540" t="str">
            <v>AON</v>
          </cell>
        </row>
        <row r="541">
          <cell r="A541" t="str">
            <v>ON</v>
          </cell>
          <cell r="B541" t="str">
            <v>Trong 24h</v>
          </cell>
          <cell r="D541" t="str">
            <v>Khiếu nại về dịch vụ FTTH</v>
          </cell>
          <cell r="W541" t="str">
            <v>Đã đóng</v>
          </cell>
          <cell r="AJ541" t="str">
            <v>Nghệ An</v>
          </cell>
          <cell r="BX541" t="str">
            <v>AON</v>
          </cell>
        </row>
        <row r="542">
          <cell r="A542" t="str">
            <v>ON</v>
          </cell>
          <cell r="B542" t="str">
            <v>Trong 24h</v>
          </cell>
          <cell r="D542" t="str">
            <v>Khiếu nại về dịch vụ FTTH</v>
          </cell>
          <cell r="W542" t="str">
            <v>Đã đóng</v>
          </cell>
          <cell r="AJ542" t="str">
            <v>Kiên Giang</v>
          </cell>
          <cell r="BX542" t="str">
            <v>GPON</v>
          </cell>
        </row>
        <row r="543">
          <cell r="A543" t="str">
            <v>ON</v>
          </cell>
          <cell r="B543" t="str">
            <v>Trong 24h</v>
          </cell>
          <cell r="D543" t="str">
            <v>Khiếu nại về dịch vụ FTTH</v>
          </cell>
          <cell r="W543" t="str">
            <v>Đã đóng</v>
          </cell>
          <cell r="AJ543" t="str">
            <v>Hà Nội 1</v>
          </cell>
          <cell r="BX543" t="str">
            <v>AON</v>
          </cell>
        </row>
        <row r="544">
          <cell r="A544" t="str">
            <v>ON</v>
          </cell>
          <cell r="B544" t="str">
            <v>Trong 24h</v>
          </cell>
          <cell r="D544" t="str">
            <v>Khiếu nại về dịch vụ NextTV</v>
          </cell>
          <cell r="W544" t="str">
            <v>Đã đóng</v>
          </cell>
          <cell r="AJ544" t="str">
            <v>Lạng Sơn</v>
          </cell>
          <cell r="BX544" t="str">
            <v>AON</v>
          </cell>
        </row>
        <row r="545">
          <cell r="A545" t="str">
            <v>ON</v>
          </cell>
          <cell r="B545" t="str">
            <v>Trong 24h</v>
          </cell>
          <cell r="D545" t="str">
            <v>Khiếu nại về dịch vụ FTTH</v>
          </cell>
          <cell r="W545" t="str">
            <v>Đã đóng</v>
          </cell>
          <cell r="AJ545" t="str">
            <v>TP HCM</v>
          </cell>
          <cell r="BX545" t="str">
            <v>AON</v>
          </cell>
        </row>
        <row r="546">
          <cell r="A546" t="str">
            <v>ON</v>
          </cell>
          <cell r="B546" t="str">
            <v>Trong 24h</v>
          </cell>
          <cell r="D546" t="str">
            <v>Khiếu nại về dịch vụ FTTH</v>
          </cell>
          <cell r="W546" t="str">
            <v>Đã đóng</v>
          </cell>
          <cell r="AJ546" t="str">
            <v>Tây Ninh</v>
          </cell>
          <cell r="BX546" t="str">
            <v>AON</v>
          </cell>
        </row>
        <row r="547">
          <cell r="A547" t="str">
            <v>ON</v>
          </cell>
          <cell r="B547" t="str">
            <v>Trong 24h</v>
          </cell>
          <cell r="D547" t="str">
            <v>Khiếu nại về dịch vụ FTTH</v>
          </cell>
          <cell r="W547" t="str">
            <v>Đã đóng</v>
          </cell>
          <cell r="AJ547" t="str">
            <v>Trà Vinh</v>
          </cell>
          <cell r="BX547" t="str">
            <v>AON</v>
          </cell>
        </row>
        <row r="548">
          <cell r="A548" t="str">
            <v>ON</v>
          </cell>
          <cell r="B548" t="str">
            <v>Trong 24h</v>
          </cell>
          <cell r="D548" t="str">
            <v>Khiếu nại về dịch vụ FTTH</v>
          </cell>
          <cell r="W548" t="str">
            <v>Đang xử lý</v>
          </cell>
          <cell r="AJ548" t="str">
            <v>TP HCM</v>
          </cell>
          <cell r="BX548" t="str">
            <v>AON</v>
          </cell>
        </row>
        <row r="549">
          <cell r="A549" t="str">
            <v>ON</v>
          </cell>
          <cell r="B549" t="str">
            <v>Trong 24h</v>
          </cell>
          <cell r="D549" t="str">
            <v>Khiếu nại về dịch vụ FTTH</v>
          </cell>
          <cell r="W549" t="str">
            <v>Đã đóng</v>
          </cell>
          <cell r="AJ549" t="str">
            <v>TP HCM</v>
          </cell>
          <cell r="BX549" t="str">
            <v>AON</v>
          </cell>
        </row>
        <row r="550">
          <cell r="A550" t="str">
            <v>ON</v>
          </cell>
          <cell r="B550" t="str">
            <v>Trong 24h</v>
          </cell>
          <cell r="D550" t="str">
            <v>Khiếu nại về dịch vụ FTTH</v>
          </cell>
          <cell r="W550" t="str">
            <v>Đã đóng</v>
          </cell>
          <cell r="AJ550" t="str">
            <v>Hậu Giang</v>
          </cell>
          <cell r="BX550" t="str">
            <v>AON</v>
          </cell>
        </row>
        <row r="551">
          <cell r="A551" t="str">
            <v>ON</v>
          </cell>
          <cell r="B551" t="str">
            <v>Trong 24h</v>
          </cell>
          <cell r="D551" t="str">
            <v>Khiếu nại về dịch vụ FTTH</v>
          </cell>
          <cell r="W551" t="str">
            <v>Đã đóng</v>
          </cell>
          <cell r="AJ551" t="str">
            <v>TP HCM</v>
          </cell>
          <cell r="BX551" t="str">
            <v>AON</v>
          </cell>
        </row>
        <row r="552">
          <cell r="A552" t="str">
            <v>ON</v>
          </cell>
          <cell r="B552" t="str">
            <v>Trong 24h</v>
          </cell>
          <cell r="D552" t="str">
            <v>Khiếu nại về dịch vụ FTTH</v>
          </cell>
          <cell r="W552" t="str">
            <v>Đã đóng</v>
          </cell>
          <cell r="AJ552" t="str">
            <v>Quảng Bình</v>
          </cell>
          <cell r="BX552" t="str">
            <v>AON</v>
          </cell>
        </row>
        <row r="553">
          <cell r="A553" t="str">
            <v>ON</v>
          </cell>
          <cell r="B553" t="str">
            <v>Trong 24h</v>
          </cell>
          <cell r="D553" t="str">
            <v>Khiếu nại về dịch vụ FTTH</v>
          </cell>
          <cell r="W553" t="str">
            <v>Đã đóng</v>
          </cell>
          <cell r="AJ553" t="str">
            <v>Hà Nội 2</v>
          </cell>
          <cell r="BX553" t="str">
            <v>AON</v>
          </cell>
        </row>
        <row r="554">
          <cell r="A554" t="str">
            <v>ON</v>
          </cell>
          <cell r="B554" t="str">
            <v>Trong 24h</v>
          </cell>
          <cell r="D554" t="str">
            <v>Khiếu nại về dịch vụ NextTV</v>
          </cell>
          <cell r="W554" t="str">
            <v>Đang xử lý</v>
          </cell>
          <cell r="AJ554" t="str">
            <v>Cần Thơ</v>
          </cell>
          <cell r="BX554" t="str">
            <v>AON</v>
          </cell>
        </row>
        <row r="555">
          <cell r="A555" t="str">
            <v>ON</v>
          </cell>
          <cell r="B555" t="str">
            <v>Trong 24h</v>
          </cell>
          <cell r="D555" t="str">
            <v>Khiếu nại về dịch vụ FTTH</v>
          </cell>
          <cell r="W555" t="str">
            <v>Đã đóng</v>
          </cell>
          <cell r="AJ555" t="str">
            <v>Hải Phòng</v>
          </cell>
          <cell r="BX555" t="str">
            <v>AON</v>
          </cell>
        </row>
        <row r="556">
          <cell r="A556" t="str">
            <v>ON</v>
          </cell>
          <cell r="B556" t="str">
            <v>Trong 24h</v>
          </cell>
          <cell r="D556" t="str">
            <v>Khiếu nại về dịch vụ FTTH</v>
          </cell>
          <cell r="W556" t="str">
            <v>Đã đóng</v>
          </cell>
          <cell r="AJ556" t="str">
            <v>Long An</v>
          </cell>
          <cell r="BX556" t="str">
            <v>AON</v>
          </cell>
        </row>
        <row r="557">
          <cell r="A557" t="str">
            <v>ON</v>
          </cell>
          <cell r="B557" t="str">
            <v>Trong 24h</v>
          </cell>
          <cell r="D557" t="str">
            <v>Khiếu nại về dịch vụ FTTH</v>
          </cell>
          <cell r="W557" t="str">
            <v>Đã đóng</v>
          </cell>
          <cell r="AJ557" t="str">
            <v>TP HCM</v>
          </cell>
          <cell r="BX557" t="str">
            <v>AON</v>
          </cell>
        </row>
        <row r="558">
          <cell r="A558" t="str">
            <v>ON</v>
          </cell>
          <cell r="B558" t="str">
            <v>Trong 24h</v>
          </cell>
          <cell r="D558" t="str">
            <v>Khiếu nại về dịch vụ FTTH</v>
          </cell>
          <cell r="W558" t="str">
            <v>Đã đóng</v>
          </cell>
          <cell r="AJ558" t="str">
            <v>Quảng Trị</v>
          </cell>
          <cell r="BX558" t="str">
            <v>AON</v>
          </cell>
        </row>
        <row r="559">
          <cell r="A559" t="str">
            <v>ON</v>
          </cell>
          <cell r="B559" t="str">
            <v>Trong 24h</v>
          </cell>
          <cell r="D559" t="str">
            <v>Khiếu nại về dịch vụ FTTH</v>
          </cell>
          <cell r="W559" t="str">
            <v>Đã đóng</v>
          </cell>
          <cell r="AJ559" t="str">
            <v>Bình Dương</v>
          </cell>
          <cell r="BX559" t="str">
            <v>AON</v>
          </cell>
        </row>
        <row r="560">
          <cell r="A560" t="str">
            <v>ON</v>
          </cell>
          <cell r="B560" t="str">
            <v>Trong 24h</v>
          </cell>
          <cell r="D560" t="str">
            <v>Khiếu nại về dịch vụ FTTH</v>
          </cell>
          <cell r="W560" t="str">
            <v>Đã đóng</v>
          </cell>
          <cell r="AJ560" t="str">
            <v>Tây Ninh</v>
          </cell>
          <cell r="BX560" t="str">
            <v>AON</v>
          </cell>
        </row>
        <row r="561">
          <cell r="A561" t="str">
            <v>ON</v>
          </cell>
          <cell r="B561" t="str">
            <v>Trong 24h</v>
          </cell>
          <cell r="D561" t="str">
            <v>Khiếu nại về dịch vụ FTTH</v>
          </cell>
          <cell r="W561" t="str">
            <v>Đã đóng</v>
          </cell>
          <cell r="AJ561" t="str">
            <v>Lâm Đồng</v>
          </cell>
          <cell r="BX561" t="str">
            <v>AON</v>
          </cell>
        </row>
        <row r="562">
          <cell r="A562" t="str">
            <v>ON</v>
          </cell>
          <cell r="B562" t="str">
            <v>Trong 24h</v>
          </cell>
          <cell r="D562" t="str">
            <v>Khiếu nại về dịch vụ FTTH</v>
          </cell>
          <cell r="W562" t="str">
            <v>Đã đóng</v>
          </cell>
          <cell r="AJ562" t="str">
            <v xml:space="preserve">Đắc Lắk </v>
          </cell>
          <cell r="BX562" t="str">
            <v>AON</v>
          </cell>
        </row>
        <row r="563">
          <cell r="A563" t="str">
            <v>ON</v>
          </cell>
          <cell r="B563" t="str">
            <v>Trong 24h</v>
          </cell>
          <cell r="D563" t="str">
            <v>Khiếu nại về dịch vụ FTTH</v>
          </cell>
          <cell r="W563" t="str">
            <v>Đã đóng</v>
          </cell>
          <cell r="AJ563" t="str">
            <v>An Giang</v>
          </cell>
          <cell r="BX563" t="str">
            <v>AON</v>
          </cell>
        </row>
        <row r="564">
          <cell r="A564" t="str">
            <v>ON</v>
          </cell>
          <cell r="B564" t="str">
            <v>Trong 24h</v>
          </cell>
          <cell r="D564" t="str">
            <v>Khiếu nại về dịch vụ FTTH</v>
          </cell>
          <cell r="W564" t="str">
            <v>Đã đóng</v>
          </cell>
          <cell r="AJ564" t="str">
            <v>TP HCM</v>
          </cell>
          <cell r="BX564" t="str">
            <v>AON</v>
          </cell>
        </row>
        <row r="565">
          <cell r="A565" t="str">
            <v>ON</v>
          </cell>
          <cell r="B565" t="str">
            <v>Trong 24h</v>
          </cell>
          <cell r="D565" t="str">
            <v>Khiếu nại về dịch vụ FTTH</v>
          </cell>
          <cell r="W565" t="str">
            <v>Đã đóng</v>
          </cell>
          <cell r="AJ565" t="str">
            <v>TP HCM</v>
          </cell>
          <cell r="BX565" t="str">
            <v>AON</v>
          </cell>
        </row>
        <row r="566">
          <cell r="A566" t="str">
            <v>ON</v>
          </cell>
          <cell r="B566" t="str">
            <v>Trong 24h</v>
          </cell>
          <cell r="D566" t="str">
            <v>Khiếu nại về dịch vụ FTTH</v>
          </cell>
          <cell r="W566" t="str">
            <v>Đang xử lý</v>
          </cell>
          <cell r="AJ566" t="str">
            <v>Bình Định</v>
          </cell>
          <cell r="BX566" t="str">
            <v>AON</v>
          </cell>
        </row>
        <row r="567">
          <cell r="A567" t="str">
            <v>ON</v>
          </cell>
          <cell r="B567" t="str">
            <v>Trong 24h</v>
          </cell>
          <cell r="D567" t="str">
            <v>Khiếu nại về dịch vụ FTTH</v>
          </cell>
          <cell r="W567" t="str">
            <v>Đã đóng</v>
          </cell>
          <cell r="AJ567" t="str">
            <v>Hà Nội 1</v>
          </cell>
          <cell r="BX567" t="str">
            <v>AON</v>
          </cell>
        </row>
        <row r="568">
          <cell r="A568" t="str">
            <v>ON</v>
          </cell>
          <cell r="B568" t="str">
            <v>Trong 24h</v>
          </cell>
          <cell r="D568" t="str">
            <v>Khiếu nại về dịch vụ FTTH</v>
          </cell>
          <cell r="W568" t="str">
            <v>Đã đóng</v>
          </cell>
          <cell r="AJ568" t="str">
            <v>TP HCM</v>
          </cell>
          <cell r="BX568" t="str">
            <v>AON</v>
          </cell>
        </row>
        <row r="569">
          <cell r="A569" t="str">
            <v>ON</v>
          </cell>
          <cell r="B569" t="str">
            <v>Trong 24h</v>
          </cell>
          <cell r="D569" t="str">
            <v>Khiếu nại về dịch vụ FTTH</v>
          </cell>
          <cell r="W569" t="str">
            <v>Đã đóng</v>
          </cell>
          <cell r="AJ569" t="str">
            <v>TP HCM</v>
          </cell>
          <cell r="BX569" t="str">
            <v>AON</v>
          </cell>
        </row>
        <row r="570">
          <cell r="A570" t="str">
            <v>ON</v>
          </cell>
          <cell r="B570" t="str">
            <v>Trong 24h</v>
          </cell>
          <cell r="D570" t="str">
            <v>Khiếu nại về dịch vụ FTTH</v>
          </cell>
          <cell r="W570" t="str">
            <v>Đã đóng</v>
          </cell>
          <cell r="AJ570" t="str">
            <v>TP HCM</v>
          </cell>
          <cell r="BX570" t="str">
            <v>AON</v>
          </cell>
        </row>
        <row r="571">
          <cell r="A571" t="str">
            <v>ON</v>
          </cell>
          <cell r="B571" t="str">
            <v>Trong 24h</v>
          </cell>
          <cell r="D571" t="str">
            <v>Khiếu nại về dịch vụ FTTH</v>
          </cell>
          <cell r="W571" t="str">
            <v>Đã đóng</v>
          </cell>
          <cell r="AJ571" t="str">
            <v>TP HCM</v>
          </cell>
          <cell r="BX571" t="str">
            <v>AON</v>
          </cell>
        </row>
        <row r="572">
          <cell r="A572" t="str">
            <v>ON</v>
          </cell>
          <cell r="B572" t="str">
            <v>Trong 24h</v>
          </cell>
          <cell r="D572" t="str">
            <v>Khiếu nại về dịch vụ FTTH</v>
          </cell>
          <cell r="W572" t="str">
            <v>Đã đóng</v>
          </cell>
          <cell r="AJ572" t="str">
            <v>Hà Nội 1</v>
          </cell>
          <cell r="BX572" t="str">
            <v>AON</v>
          </cell>
        </row>
        <row r="573">
          <cell r="A573" t="str">
            <v>ON</v>
          </cell>
          <cell r="B573" t="str">
            <v>Trong 24h</v>
          </cell>
          <cell r="D573" t="str">
            <v>Khiếu nại về dịch vụ FTTH</v>
          </cell>
          <cell r="W573" t="str">
            <v>Đã đóng</v>
          </cell>
          <cell r="AJ573" t="str">
            <v>TP HCM</v>
          </cell>
          <cell r="BX573" t="str">
            <v>GPON</v>
          </cell>
        </row>
        <row r="574">
          <cell r="A574" t="str">
            <v>ON</v>
          </cell>
          <cell r="B574" t="str">
            <v>Trong 24h</v>
          </cell>
          <cell r="D574" t="str">
            <v>Khiếu nại về dịch vụ FTTH</v>
          </cell>
          <cell r="W574" t="str">
            <v>Đã đóng</v>
          </cell>
          <cell r="AJ574" t="str">
            <v>Thanh Hoá</v>
          </cell>
          <cell r="BX574" t="str">
            <v>AON</v>
          </cell>
        </row>
        <row r="575">
          <cell r="A575" t="str">
            <v>ON</v>
          </cell>
          <cell r="B575" t="str">
            <v>Trong 24h</v>
          </cell>
          <cell r="D575" t="str">
            <v>Khiếu nại về dịch vụ FTTH</v>
          </cell>
          <cell r="W575" t="str">
            <v>Đã đóng</v>
          </cell>
          <cell r="AJ575" t="str">
            <v>Bình Dương</v>
          </cell>
          <cell r="BX575" t="str">
            <v>AON</v>
          </cell>
        </row>
        <row r="576">
          <cell r="A576" t="str">
            <v>ON</v>
          </cell>
          <cell r="B576" t="str">
            <v>Trong 24h</v>
          </cell>
          <cell r="D576" t="str">
            <v>Khiếu nại về dịch vụ NextTV</v>
          </cell>
          <cell r="W576" t="str">
            <v>Đã đóng</v>
          </cell>
          <cell r="AJ576" t="str">
            <v>TP HCM</v>
          </cell>
          <cell r="BX576" t="str">
            <v>AON</v>
          </cell>
        </row>
        <row r="577">
          <cell r="A577" t="str">
            <v>ON</v>
          </cell>
          <cell r="B577" t="str">
            <v>Trong 24h</v>
          </cell>
          <cell r="D577" t="str">
            <v>Khiếu nại về dịch vụ FTTH</v>
          </cell>
          <cell r="W577" t="str">
            <v>Đã đóng</v>
          </cell>
          <cell r="AJ577" t="str">
            <v>Hà Nội 1</v>
          </cell>
          <cell r="BX577" t="str">
            <v>AON</v>
          </cell>
        </row>
        <row r="578">
          <cell r="A578" t="str">
            <v>ON</v>
          </cell>
          <cell r="B578" t="str">
            <v>Trong 24h</v>
          </cell>
          <cell r="D578" t="str">
            <v>Khiếu nại về dịch vụ FTTH</v>
          </cell>
          <cell r="W578" t="str">
            <v>Đã đóng</v>
          </cell>
          <cell r="AJ578" t="str">
            <v>Bến Tre</v>
          </cell>
          <cell r="BX578" t="str">
            <v>AON</v>
          </cell>
        </row>
        <row r="579">
          <cell r="A579" t="str">
            <v>ON</v>
          </cell>
          <cell r="B579" t="str">
            <v>Trong 24h</v>
          </cell>
          <cell r="D579" t="str">
            <v>Khiếu nại về dịch vụ FTTH</v>
          </cell>
          <cell r="W579" t="str">
            <v>Đã đóng</v>
          </cell>
          <cell r="AJ579" t="str">
            <v>Cần Thơ</v>
          </cell>
          <cell r="BX579" t="str">
            <v>AON</v>
          </cell>
        </row>
        <row r="580">
          <cell r="A580" t="str">
            <v>ON</v>
          </cell>
          <cell r="B580" t="str">
            <v>Trong 24h</v>
          </cell>
          <cell r="D580" t="str">
            <v>Khiếu nại về dịch vụ FTTH</v>
          </cell>
          <cell r="W580" t="str">
            <v>Đã đóng</v>
          </cell>
          <cell r="AJ580" t="str">
            <v xml:space="preserve">Hà Tĩnh </v>
          </cell>
          <cell r="BX580" t="str">
            <v>AON</v>
          </cell>
        </row>
        <row r="581">
          <cell r="A581" t="str">
            <v>ON</v>
          </cell>
          <cell r="B581" t="str">
            <v>Trong 24h</v>
          </cell>
          <cell r="D581" t="str">
            <v>Khiếu nại về dịch vụ FTTH</v>
          </cell>
          <cell r="W581" t="str">
            <v>Đã đóng</v>
          </cell>
          <cell r="AJ581" t="str">
            <v>Quảng Trị</v>
          </cell>
          <cell r="BX581" t="str">
            <v>AON</v>
          </cell>
        </row>
        <row r="582">
          <cell r="A582" t="str">
            <v>ON</v>
          </cell>
          <cell r="B582" t="str">
            <v>Trong 24h</v>
          </cell>
          <cell r="D582" t="str">
            <v>Khiếu nại về dịch vụ FTTH</v>
          </cell>
          <cell r="W582" t="str">
            <v>Đã đóng</v>
          </cell>
          <cell r="AJ582" t="str">
            <v xml:space="preserve">Hà Tĩnh </v>
          </cell>
          <cell r="BX582" t="str">
            <v>AON</v>
          </cell>
        </row>
        <row r="583">
          <cell r="A583" t="str">
            <v>ON</v>
          </cell>
          <cell r="B583" t="str">
            <v>Trong 24h</v>
          </cell>
          <cell r="D583" t="str">
            <v>Khiếu nại về dịch vụ FTTH</v>
          </cell>
          <cell r="W583" t="str">
            <v>Đã đóng</v>
          </cell>
          <cell r="AJ583" t="str">
            <v>Lào Cai</v>
          </cell>
          <cell r="BX583" t="str">
            <v>AON</v>
          </cell>
        </row>
        <row r="584">
          <cell r="A584" t="str">
            <v>ON</v>
          </cell>
          <cell r="B584" t="str">
            <v>Trong 24h</v>
          </cell>
          <cell r="D584" t="str">
            <v>Khiếu nại về dịch vụ FTTH</v>
          </cell>
          <cell r="W584" t="str">
            <v>Đang xử lý</v>
          </cell>
          <cell r="AJ584" t="str">
            <v>TP HCM</v>
          </cell>
          <cell r="BX584" t="str">
            <v>GPON</v>
          </cell>
        </row>
        <row r="585">
          <cell r="A585" t="str">
            <v>ON</v>
          </cell>
          <cell r="B585" t="str">
            <v>Trong 24h</v>
          </cell>
          <cell r="D585" t="str">
            <v>Khiếu nại về dịch vụ FTTH</v>
          </cell>
          <cell r="W585" t="str">
            <v>Đã đóng</v>
          </cell>
          <cell r="AJ585" t="str">
            <v xml:space="preserve">Đồng Nai </v>
          </cell>
          <cell r="BX585" t="str">
            <v>AON</v>
          </cell>
        </row>
        <row r="586">
          <cell r="A586" t="str">
            <v>ON</v>
          </cell>
          <cell r="B586" t="str">
            <v>Trong 24h</v>
          </cell>
          <cell r="D586" t="str">
            <v>Khiếu nại về dịch vụ FTTH</v>
          </cell>
          <cell r="W586" t="str">
            <v>Đã đóng</v>
          </cell>
          <cell r="AJ586" t="str">
            <v>Thanh Hoá</v>
          </cell>
          <cell r="BX586" t="str">
            <v>AON</v>
          </cell>
        </row>
        <row r="587">
          <cell r="A587" t="str">
            <v>ON</v>
          </cell>
          <cell r="B587" t="str">
            <v>Trong 24h</v>
          </cell>
          <cell r="D587" t="str">
            <v>Khiếu nại về dịch vụ FTTH</v>
          </cell>
          <cell r="W587" t="str">
            <v>Đang xử lý</v>
          </cell>
          <cell r="AJ587" t="str">
            <v>Quảng Ninh</v>
          </cell>
          <cell r="BX587" t="str">
            <v>AON</v>
          </cell>
        </row>
        <row r="588">
          <cell r="A588" t="str">
            <v>ON</v>
          </cell>
          <cell r="B588" t="str">
            <v>Trong 24h</v>
          </cell>
          <cell r="D588" t="str">
            <v>Khiếu nại về dịch vụ FTTH</v>
          </cell>
          <cell r="W588" t="str">
            <v>Đã đóng</v>
          </cell>
          <cell r="AJ588" t="str">
            <v>Hưng Yên</v>
          </cell>
          <cell r="BX588" t="str">
            <v>AON</v>
          </cell>
        </row>
        <row r="589">
          <cell r="A589" t="str">
            <v>ON</v>
          </cell>
          <cell r="B589" t="str">
            <v>Trong 24h</v>
          </cell>
          <cell r="D589" t="str">
            <v>Khiếu nại về dịch vụ FTTH</v>
          </cell>
          <cell r="W589" t="str">
            <v>Đã đóng</v>
          </cell>
          <cell r="AJ589" t="str">
            <v>Sóc Trăng</v>
          </cell>
          <cell r="BX589" t="str">
            <v>GPON</v>
          </cell>
        </row>
        <row r="590">
          <cell r="A590" t="str">
            <v>ON</v>
          </cell>
          <cell r="B590" t="str">
            <v>Trong 24h</v>
          </cell>
          <cell r="D590" t="str">
            <v>Khiếu nại về dịch vụ FTTH</v>
          </cell>
          <cell r="W590" t="str">
            <v>Đã đóng</v>
          </cell>
          <cell r="AJ590" t="str">
            <v xml:space="preserve">Đắc Lắk </v>
          </cell>
          <cell r="BX590" t="str">
            <v>AON</v>
          </cell>
        </row>
        <row r="591">
          <cell r="A591" t="str">
            <v>ON</v>
          </cell>
          <cell r="B591" t="str">
            <v>Trong 24h</v>
          </cell>
          <cell r="D591" t="str">
            <v>Khiếu nại về dịch vụ FTTH</v>
          </cell>
          <cell r="W591" t="str">
            <v>Đã đóng</v>
          </cell>
          <cell r="AJ591" t="str">
            <v>Tây Ninh</v>
          </cell>
          <cell r="BX591" t="str">
            <v>AON</v>
          </cell>
        </row>
        <row r="592">
          <cell r="A592" t="str">
            <v>ON</v>
          </cell>
          <cell r="B592" t="str">
            <v>Trong 24h</v>
          </cell>
          <cell r="D592" t="str">
            <v>Khiếu nại về dịch vụ FTTH</v>
          </cell>
          <cell r="W592" t="str">
            <v>Đã đóng</v>
          </cell>
          <cell r="AJ592" t="str">
            <v>Thanh Hoá</v>
          </cell>
          <cell r="BX592" t="str">
            <v>AON</v>
          </cell>
        </row>
        <row r="593">
          <cell r="A593" t="str">
            <v>ON</v>
          </cell>
          <cell r="B593" t="str">
            <v>Trong 24h</v>
          </cell>
          <cell r="D593" t="str">
            <v>Khiếu nại về dịch vụ FTTH</v>
          </cell>
          <cell r="W593" t="str">
            <v>Đã đóng</v>
          </cell>
          <cell r="AJ593" t="str">
            <v>TP HCM</v>
          </cell>
          <cell r="BX593" t="str">
            <v>AON</v>
          </cell>
        </row>
        <row r="594">
          <cell r="A594" t="str">
            <v>ON</v>
          </cell>
          <cell r="B594" t="str">
            <v>Trong 24h</v>
          </cell>
          <cell r="D594" t="str">
            <v>Khiếu nại về dịch vụ FTTH</v>
          </cell>
          <cell r="W594" t="str">
            <v>Đã đóng</v>
          </cell>
          <cell r="AJ594" t="str">
            <v>Vĩnh Long</v>
          </cell>
          <cell r="BX594" t="str">
            <v>AON</v>
          </cell>
        </row>
        <row r="595">
          <cell r="A595" t="str">
            <v>ON</v>
          </cell>
          <cell r="B595" t="str">
            <v>Trong 24h</v>
          </cell>
          <cell r="D595" t="str">
            <v>Khiếu nại về dịch vụ FTTH</v>
          </cell>
          <cell r="W595" t="str">
            <v>Đang xử lý</v>
          </cell>
          <cell r="AJ595" t="str">
            <v>Bình Dương</v>
          </cell>
          <cell r="BX595" t="str">
            <v>AON</v>
          </cell>
        </row>
        <row r="596">
          <cell r="A596" t="str">
            <v>ON</v>
          </cell>
          <cell r="B596" t="str">
            <v>Trong 24h</v>
          </cell>
          <cell r="D596" t="str">
            <v>Khiếu nại về dịch vụ FTTH</v>
          </cell>
          <cell r="W596" t="str">
            <v>Đã đóng</v>
          </cell>
          <cell r="AJ596" t="str">
            <v>Cần Thơ</v>
          </cell>
          <cell r="BX596" t="str">
            <v>AON</v>
          </cell>
        </row>
        <row r="597">
          <cell r="A597" t="str">
            <v>ON</v>
          </cell>
          <cell r="B597" t="str">
            <v>Trong 24h</v>
          </cell>
          <cell r="D597" t="str">
            <v>Khiếu nại về dịch vụ FTTH</v>
          </cell>
          <cell r="W597" t="str">
            <v>Đã đóng</v>
          </cell>
          <cell r="AJ597" t="str">
            <v>Gia Lai</v>
          </cell>
          <cell r="BX597" t="str">
            <v>AON</v>
          </cell>
        </row>
        <row r="598">
          <cell r="A598" t="str">
            <v>ON</v>
          </cell>
          <cell r="B598" t="str">
            <v>Trong 24h</v>
          </cell>
          <cell r="D598" t="str">
            <v>Khiếu nại về dịch vụ FTTH</v>
          </cell>
          <cell r="W598" t="str">
            <v>Đã đóng</v>
          </cell>
          <cell r="AJ598" t="str">
            <v>Bình Dương</v>
          </cell>
          <cell r="BX598" t="str">
            <v>AON</v>
          </cell>
        </row>
        <row r="599">
          <cell r="A599" t="str">
            <v>ON</v>
          </cell>
          <cell r="B599" t="str">
            <v>Trong 24h</v>
          </cell>
          <cell r="D599" t="str">
            <v>Khiếu nại về dịch vụ FTTH</v>
          </cell>
          <cell r="W599" t="str">
            <v>Đang xử lý</v>
          </cell>
          <cell r="AJ599" t="str">
            <v>TP HCM</v>
          </cell>
          <cell r="BX599" t="str">
            <v>AON</v>
          </cell>
        </row>
        <row r="600">
          <cell r="A600" t="str">
            <v>ON</v>
          </cell>
          <cell r="B600" t="str">
            <v>Trong 24h</v>
          </cell>
          <cell r="D600" t="str">
            <v>Khiếu nại về dịch vụ FTTH</v>
          </cell>
          <cell r="W600" t="str">
            <v>Đã đóng</v>
          </cell>
          <cell r="AJ600" t="str">
            <v xml:space="preserve">Đồng Nai </v>
          </cell>
          <cell r="BX600" t="str">
            <v>AON</v>
          </cell>
        </row>
        <row r="601">
          <cell r="A601" t="str">
            <v>ON</v>
          </cell>
          <cell r="B601" t="str">
            <v>Trong 24h</v>
          </cell>
          <cell r="D601" t="str">
            <v>Khiếu nại về dịch vụ FTTH</v>
          </cell>
          <cell r="W601" t="str">
            <v>Đã đóng</v>
          </cell>
          <cell r="AJ601" t="str">
            <v>Nam Định</v>
          </cell>
          <cell r="BX601" t="str">
            <v>AON</v>
          </cell>
        </row>
        <row r="602">
          <cell r="A602" t="str">
            <v>ON</v>
          </cell>
          <cell r="B602" t="str">
            <v>Trong 24h</v>
          </cell>
          <cell r="D602" t="str">
            <v>Khiếu nại về dịch vụ FTTH</v>
          </cell>
          <cell r="W602" t="str">
            <v>Đã đóng</v>
          </cell>
          <cell r="AJ602" t="str">
            <v>Tiền Giang</v>
          </cell>
          <cell r="BX602" t="str">
            <v>AON</v>
          </cell>
        </row>
        <row r="603">
          <cell r="A603" t="str">
            <v>ON</v>
          </cell>
          <cell r="B603" t="str">
            <v>Trong 24h</v>
          </cell>
          <cell r="D603" t="str">
            <v>Khiếu nại về dịch vụ FTTH</v>
          </cell>
          <cell r="W603" t="str">
            <v>Đang xử lý</v>
          </cell>
          <cell r="AJ603" t="str">
            <v xml:space="preserve">Hà Tĩnh </v>
          </cell>
          <cell r="BX603" t="str">
            <v>AON</v>
          </cell>
        </row>
        <row r="604">
          <cell r="A604" t="str">
            <v>ON</v>
          </cell>
          <cell r="B604" t="str">
            <v>Trong 24h</v>
          </cell>
          <cell r="D604" t="str">
            <v>Khiếu nại về dịch vụ FTTH</v>
          </cell>
          <cell r="W604" t="str">
            <v>Đã đóng</v>
          </cell>
          <cell r="AJ604" t="str">
            <v xml:space="preserve">Đồng Nai </v>
          </cell>
          <cell r="BX604" t="str">
            <v>AON</v>
          </cell>
        </row>
        <row r="605">
          <cell r="A605" t="str">
            <v>ON</v>
          </cell>
          <cell r="B605" t="str">
            <v>Trong 24h</v>
          </cell>
          <cell r="D605" t="str">
            <v>Khiếu nại về dịch vụ FTTH</v>
          </cell>
          <cell r="W605" t="str">
            <v>Đã đóng</v>
          </cell>
          <cell r="AJ605" t="str">
            <v>TP HCM</v>
          </cell>
          <cell r="BX605" t="str">
            <v>AON</v>
          </cell>
        </row>
        <row r="606">
          <cell r="A606" t="str">
            <v>ON</v>
          </cell>
          <cell r="B606" t="str">
            <v>Trong 24h</v>
          </cell>
          <cell r="D606" t="str">
            <v>Khiếu nại về dịch vụ NextTV</v>
          </cell>
          <cell r="W606" t="str">
            <v>Đã đóng</v>
          </cell>
          <cell r="AJ606" t="str">
            <v>Thanh Hoá</v>
          </cell>
          <cell r="BX606" t="str">
            <v>AON</v>
          </cell>
        </row>
        <row r="607">
          <cell r="A607" t="str">
            <v>ON</v>
          </cell>
          <cell r="B607" t="str">
            <v>Trong 24h</v>
          </cell>
          <cell r="D607" t="str">
            <v>Khiếu nại về dịch vụ FTTH</v>
          </cell>
          <cell r="W607" t="str">
            <v>Đã đóng</v>
          </cell>
          <cell r="AJ607" t="str">
            <v>Hà Nội 2</v>
          </cell>
          <cell r="BX607" t="str">
            <v>AON</v>
          </cell>
        </row>
        <row r="608">
          <cell r="A608" t="str">
            <v>ON</v>
          </cell>
          <cell r="B608" t="str">
            <v>Trong 24h</v>
          </cell>
          <cell r="D608" t="str">
            <v>Khiếu nại về dịch vụ FTTH</v>
          </cell>
          <cell r="W608" t="str">
            <v>Đang xử lý</v>
          </cell>
          <cell r="AJ608" t="str">
            <v>Bắc Ninh</v>
          </cell>
          <cell r="BX608" t="str">
            <v>AON</v>
          </cell>
        </row>
        <row r="609">
          <cell r="A609" t="str">
            <v>ON</v>
          </cell>
          <cell r="B609" t="str">
            <v>Trong 24h</v>
          </cell>
          <cell r="D609" t="str">
            <v>Khiếu nại về dịch vụ FTTH</v>
          </cell>
          <cell r="W609" t="str">
            <v>Đang xử lý</v>
          </cell>
          <cell r="AJ609" t="str">
            <v>TP HCM</v>
          </cell>
          <cell r="BX609" t="str">
            <v>AON</v>
          </cell>
        </row>
        <row r="610">
          <cell r="A610" t="str">
            <v>ON</v>
          </cell>
          <cell r="B610" t="str">
            <v>Trong 24h</v>
          </cell>
          <cell r="D610" t="str">
            <v>Khiếu nại về dịch vụ FTTH</v>
          </cell>
          <cell r="W610" t="str">
            <v>Đã đóng</v>
          </cell>
          <cell r="AJ610" t="str">
            <v>TP HCM</v>
          </cell>
          <cell r="BX610" t="str">
            <v>AON</v>
          </cell>
        </row>
        <row r="611">
          <cell r="A611" t="str">
            <v>ON</v>
          </cell>
          <cell r="B611" t="str">
            <v>Trong 24h</v>
          </cell>
          <cell r="D611" t="str">
            <v>Khiếu nại về dịch vụ FTTH</v>
          </cell>
          <cell r="W611" t="str">
            <v>Đã đóng</v>
          </cell>
          <cell r="AJ611" t="str">
            <v>TP HCM</v>
          </cell>
          <cell r="BX611" t="str">
            <v>AON</v>
          </cell>
        </row>
        <row r="612">
          <cell r="A612" t="str">
            <v>ON</v>
          </cell>
          <cell r="B612" t="str">
            <v>Trong 24h</v>
          </cell>
          <cell r="D612" t="str">
            <v>Khiếu nại về dịch vụ FTTH</v>
          </cell>
          <cell r="W612" t="str">
            <v>Đang xử lý</v>
          </cell>
          <cell r="AJ612" t="str">
            <v>Tây Ninh</v>
          </cell>
          <cell r="BX612" t="str">
            <v>AON</v>
          </cell>
        </row>
        <row r="613">
          <cell r="A613" t="str">
            <v>ON</v>
          </cell>
          <cell r="B613" t="str">
            <v>Trong 24h</v>
          </cell>
          <cell r="D613" t="str">
            <v>Khiếu nại về dịch vụ FTTH</v>
          </cell>
          <cell r="W613" t="str">
            <v>Đã đóng</v>
          </cell>
          <cell r="AJ613" t="str">
            <v>Hà Nội 1</v>
          </cell>
          <cell r="BX613" t="str">
            <v>AON</v>
          </cell>
        </row>
        <row r="614">
          <cell r="A614" t="str">
            <v>ON</v>
          </cell>
          <cell r="B614" t="str">
            <v>Trong 24h</v>
          </cell>
          <cell r="D614" t="str">
            <v>Khiếu nại về dịch vụ NextTV</v>
          </cell>
          <cell r="W614" t="str">
            <v>Đã đóng</v>
          </cell>
          <cell r="AJ614" t="str">
            <v>Đắc Nông</v>
          </cell>
          <cell r="BX614" t="str">
            <v>AON</v>
          </cell>
        </row>
        <row r="615">
          <cell r="A615" t="str">
            <v>ON</v>
          </cell>
          <cell r="B615" t="str">
            <v>Trong 24h</v>
          </cell>
          <cell r="D615" t="str">
            <v>Khiếu nại về dịch vụ FTTH</v>
          </cell>
          <cell r="W615" t="str">
            <v>Đang xử lý</v>
          </cell>
          <cell r="AJ615" t="str">
            <v>Hải Dương</v>
          </cell>
          <cell r="BX615" t="str">
            <v>AON</v>
          </cell>
        </row>
        <row r="616">
          <cell r="A616" t="str">
            <v>ON</v>
          </cell>
          <cell r="B616" t="str">
            <v>Trong 24h</v>
          </cell>
          <cell r="D616" t="str">
            <v>Khiếu nại về dịch vụ FTTH</v>
          </cell>
          <cell r="W616" t="str">
            <v>Đã đóng</v>
          </cell>
          <cell r="AJ616" t="str">
            <v>TP HCM</v>
          </cell>
          <cell r="BX616" t="str">
            <v>AON</v>
          </cell>
        </row>
        <row r="617">
          <cell r="A617" t="str">
            <v>ON</v>
          </cell>
          <cell r="B617" t="str">
            <v>Trong 24h</v>
          </cell>
          <cell r="D617" t="str">
            <v>Khiếu nại về dịch vụ FTTH</v>
          </cell>
          <cell r="W617" t="str">
            <v>Đang xử lý</v>
          </cell>
          <cell r="AJ617" t="str">
            <v>Thanh Hoá</v>
          </cell>
          <cell r="BX617" t="str">
            <v>AON</v>
          </cell>
        </row>
        <row r="618">
          <cell r="A618" t="str">
            <v>ON</v>
          </cell>
          <cell r="B618" t="str">
            <v>Trong 24h</v>
          </cell>
          <cell r="D618" t="str">
            <v>Khiếu nại về dịch vụ FTTH</v>
          </cell>
          <cell r="W618" t="str">
            <v>Đã đóng</v>
          </cell>
          <cell r="AJ618" t="str">
            <v>Hải Phòng</v>
          </cell>
          <cell r="BX618" t="str">
            <v>AON</v>
          </cell>
        </row>
        <row r="619">
          <cell r="A619" t="str">
            <v>ON</v>
          </cell>
          <cell r="B619" t="str">
            <v>Trong 24h</v>
          </cell>
          <cell r="D619" t="str">
            <v>Khiếu nại về dịch vụ FTTH</v>
          </cell>
          <cell r="W619" t="str">
            <v>Đã đóng</v>
          </cell>
          <cell r="AJ619" t="str">
            <v>Long An</v>
          </cell>
          <cell r="BX619" t="str">
            <v>AON</v>
          </cell>
        </row>
        <row r="620">
          <cell r="A620" t="str">
            <v>ON</v>
          </cell>
          <cell r="B620" t="str">
            <v>Trong 24h</v>
          </cell>
          <cell r="D620" t="str">
            <v>Khiếu nại về dịch vụ FTTH</v>
          </cell>
          <cell r="W620" t="str">
            <v>Đã đóng</v>
          </cell>
          <cell r="AJ620" t="str">
            <v>Thừa Thiên Huế</v>
          </cell>
          <cell r="BX620" t="str">
            <v>AON</v>
          </cell>
        </row>
        <row r="621">
          <cell r="A621" t="str">
            <v>ON</v>
          </cell>
          <cell r="B621" t="str">
            <v>Trong 24h</v>
          </cell>
          <cell r="D621" t="str">
            <v>Khiếu nại về dịch vụ NextTV</v>
          </cell>
          <cell r="W621" t="str">
            <v>Đã đóng</v>
          </cell>
          <cell r="AJ621" t="str">
            <v>Bình Dương</v>
          </cell>
          <cell r="BX621" t="str">
            <v>AON</v>
          </cell>
        </row>
        <row r="622">
          <cell r="A622" t="str">
            <v>ON</v>
          </cell>
          <cell r="B622" t="str">
            <v>Trong 24h</v>
          </cell>
          <cell r="D622" t="str">
            <v>Khiếu nại về dịch vụ FTTH</v>
          </cell>
          <cell r="W622" t="str">
            <v>Đang xử lý</v>
          </cell>
          <cell r="AJ622" t="str">
            <v>Lâm Đồng</v>
          </cell>
          <cell r="BX622" t="str">
            <v>AON</v>
          </cell>
        </row>
        <row r="623">
          <cell r="A623" t="str">
            <v>ON</v>
          </cell>
          <cell r="B623" t="str">
            <v>Trong 24h</v>
          </cell>
          <cell r="D623" t="str">
            <v>Khiếu nại về dịch vụ FTTH</v>
          </cell>
          <cell r="W623" t="str">
            <v>Đã đóng</v>
          </cell>
          <cell r="AJ623" t="str">
            <v>TP HCM</v>
          </cell>
          <cell r="BX623" t="str">
            <v>AON</v>
          </cell>
        </row>
        <row r="624">
          <cell r="A624" t="str">
            <v>ON</v>
          </cell>
          <cell r="B624" t="str">
            <v>Trong 24h</v>
          </cell>
          <cell r="D624" t="str">
            <v>Khiếu nại về dịch vụ FTTH</v>
          </cell>
          <cell r="W624" t="str">
            <v>Đã đóng</v>
          </cell>
          <cell r="AJ624" t="str">
            <v>Hà Nội 2</v>
          </cell>
          <cell r="BX624" t="str">
            <v>AON</v>
          </cell>
        </row>
        <row r="625">
          <cell r="A625" t="str">
            <v>ON</v>
          </cell>
          <cell r="B625" t="str">
            <v>Trong 24h</v>
          </cell>
          <cell r="D625" t="str">
            <v>Khiếu nại về dịch vụ FTTH</v>
          </cell>
          <cell r="W625" t="str">
            <v>Đã đóng</v>
          </cell>
          <cell r="AJ625" t="str">
            <v>Hải Phòng</v>
          </cell>
          <cell r="BX625" t="str">
            <v>AON</v>
          </cell>
        </row>
        <row r="626">
          <cell r="A626" t="str">
            <v>ON</v>
          </cell>
          <cell r="B626" t="str">
            <v>Trong 24h</v>
          </cell>
          <cell r="D626" t="str">
            <v>Khiếu nại về dịch vụ FTTH</v>
          </cell>
          <cell r="W626" t="str">
            <v>Đã đóng</v>
          </cell>
          <cell r="AJ626" t="str">
            <v>TP HCM</v>
          </cell>
          <cell r="BX626" t="str">
            <v>AON</v>
          </cell>
        </row>
        <row r="627">
          <cell r="A627" t="str">
            <v>ON</v>
          </cell>
          <cell r="B627" t="str">
            <v>Trong 24h</v>
          </cell>
          <cell r="D627" t="str">
            <v>Khiếu nại về dịch vụ FTTH</v>
          </cell>
          <cell r="W627" t="str">
            <v>Đã đóng</v>
          </cell>
          <cell r="AJ627" t="str">
            <v>Gia Lai</v>
          </cell>
          <cell r="BX627" t="str">
            <v>AON</v>
          </cell>
        </row>
        <row r="628">
          <cell r="A628" t="str">
            <v>ON</v>
          </cell>
          <cell r="B628" t="str">
            <v>Trong 24h</v>
          </cell>
          <cell r="D628" t="str">
            <v>Khiếu nại về dịch vụ FTTH</v>
          </cell>
          <cell r="W628" t="str">
            <v>Đã đóng</v>
          </cell>
          <cell r="AJ628" t="str">
            <v>Hậu Giang</v>
          </cell>
          <cell r="BX628" t="str">
            <v>AON</v>
          </cell>
        </row>
        <row r="629">
          <cell r="A629" t="str">
            <v>ON</v>
          </cell>
          <cell r="B629" t="str">
            <v>Trong 24h</v>
          </cell>
          <cell r="D629" t="str">
            <v>Khiếu nại về dịch vụ FTTH</v>
          </cell>
          <cell r="W629" t="str">
            <v>Đã đóng</v>
          </cell>
          <cell r="AJ629" t="str">
            <v>TP HCM</v>
          </cell>
          <cell r="BX629" t="str">
            <v>AON</v>
          </cell>
        </row>
        <row r="630">
          <cell r="A630" t="str">
            <v>ON</v>
          </cell>
          <cell r="B630" t="str">
            <v>Trong 24h</v>
          </cell>
          <cell r="D630" t="str">
            <v>Khiếu nại về dịch vụ FTTH</v>
          </cell>
          <cell r="W630" t="str">
            <v>Đang xử lý</v>
          </cell>
          <cell r="AJ630" t="str">
            <v>Cần Thơ</v>
          </cell>
          <cell r="BX630" t="str">
            <v>AON</v>
          </cell>
        </row>
        <row r="631">
          <cell r="A631" t="str">
            <v>ON</v>
          </cell>
          <cell r="B631" t="str">
            <v>Trong 24h</v>
          </cell>
          <cell r="D631" t="str">
            <v>Khiếu nại về dịch vụ FTTH</v>
          </cell>
          <cell r="W631" t="str">
            <v>Đang xử lý</v>
          </cell>
          <cell r="AJ631" t="str">
            <v>Bình Dương</v>
          </cell>
          <cell r="BX631" t="str">
            <v>AON</v>
          </cell>
        </row>
        <row r="632">
          <cell r="A632" t="str">
            <v>ON</v>
          </cell>
          <cell r="B632" t="str">
            <v>Trong 24h</v>
          </cell>
          <cell r="D632" t="str">
            <v>Khiếu nại về dịch vụ FTTH</v>
          </cell>
          <cell r="W632" t="str">
            <v>Đã đóng</v>
          </cell>
          <cell r="AJ632" t="str">
            <v>Đắc Nông</v>
          </cell>
          <cell r="BX632" t="str">
            <v>AON</v>
          </cell>
        </row>
        <row r="633">
          <cell r="A633" t="str">
            <v>ON</v>
          </cell>
          <cell r="B633" t="str">
            <v>Trong 24h</v>
          </cell>
          <cell r="D633" t="str">
            <v>Khiếu nại về dịch vụ FTTH</v>
          </cell>
          <cell r="W633" t="str">
            <v>Đang xử lý</v>
          </cell>
          <cell r="AJ633" t="str">
            <v>TP HCM</v>
          </cell>
          <cell r="BX633" t="str">
            <v>AON</v>
          </cell>
        </row>
        <row r="634">
          <cell r="A634" t="str">
            <v>ON</v>
          </cell>
          <cell r="B634" t="str">
            <v>Trong 24h</v>
          </cell>
          <cell r="D634" t="str">
            <v>Khiếu nại về dịch vụ FTTH</v>
          </cell>
          <cell r="W634" t="str">
            <v>Đã đóng</v>
          </cell>
          <cell r="AJ634" t="str">
            <v>Thái Bình</v>
          </cell>
          <cell r="BX634" t="str">
            <v>AON</v>
          </cell>
        </row>
        <row r="635">
          <cell r="A635" t="str">
            <v>ON</v>
          </cell>
          <cell r="B635" t="str">
            <v>Trong 24h</v>
          </cell>
          <cell r="D635" t="str">
            <v>Khiếu nại về dịch vụ FTTH</v>
          </cell>
          <cell r="W635" t="str">
            <v>Đã đóng</v>
          </cell>
          <cell r="AJ635" t="str">
            <v>Hà Nội 2</v>
          </cell>
          <cell r="BX635" t="str">
            <v>AON</v>
          </cell>
        </row>
        <row r="636">
          <cell r="A636" t="str">
            <v>ON</v>
          </cell>
          <cell r="B636" t="str">
            <v>Trong 24h</v>
          </cell>
          <cell r="D636" t="str">
            <v>Khiếu nại về dịch vụ FTTH</v>
          </cell>
          <cell r="W636" t="str">
            <v>Đã đóng</v>
          </cell>
          <cell r="AJ636" t="str">
            <v xml:space="preserve">Đồng Nai </v>
          </cell>
          <cell r="BX636" t="str">
            <v>AON</v>
          </cell>
        </row>
        <row r="637">
          <cell r="A637" t="str">
            <v>ON</v>
          </cell>
          <cell r="B637" t="str">
            <v>Trong 24h</v>
          </cell>
          <cell r="D637" t="str">
            <v>Khiếu nại về dịch vụ FTTH</v>
          </cell>
          <cell r="W637" t="str">
            <v>Đã đóng</v>
          </cell>
          <cell r="AJ637" t="str">
            <v>Hậu Giang</v>
          </cell>
          <cell r="BX637" t="str">
            <v>AON</v>
          </cell>
        </row>
        <row r="638">
          <cell r="A638" t="str">
            <v>ON</v>
          </cell>
          <cell r="B638" t="str">
            <v>Trong 24h</v>
          </cell>
          <cell r="D638" t="str">
            <v>Khiếu nại về dịch vụ FTTH</v>
          </cell>
          <cell r="W638" t="str">
            <v>Đang xử lý</v>
          </cell>
          <cell r="AJ638" t="str">
            <v>Lạng Sơn</v>
          </cell>
          <cell r="BX638" t="str">
            <v>AON</v>
          </cell>
        </row>
        <row r="639">
          <cell r="A639" t="str">
            <v>ON</v>
          </cell>
          <cell r="B639" t="str">
            <v>Trong 24h</v>
          </cell>
          <cell r="D639" t="str">
            <v>Khiếu nại về dịch vụ FTTH</v>
          </cell>
          <cell r="W639" t="str">
            <v>Đã đóng</v>
          </cell>
          <cell r="AJ639" t="str">
            <v>Hà Nội 1</v>
          </cell>
          <cell r="BX639" t="str">
            <v>AON</v>
          </cell>
        </row>
        <row r="640">
          <cell r="A640" t="str">
            <v>ON</v>
          </cell>
          <cell r="B640" t="str">
            <v>Trong 24h</v>
          </cell>
          <cell r="D640" t="str">
            <v>Khiếu nại về dịch vụ FTTH</v>
          </cell>
          <cell r="W640" t="str">
            <v>Đã đóng</v>
          </cell>
          <cell r="AJ640" t="str">
            <v>Thừa Thiên Huế</v>
          </cell>
          <cell r="BX640" t="str">
            <v>AON</v>
          </cell>
        </row>
        <row r="641">
          <cell r="A641" t="str">
            <v>ON</v>
          </cell>
          <cell r="B641" t="str">
            <v>Trong 24h</v>
          </cell>
          <cell r="D641" t="str">
            <v>Khiếu nại về dịch vụ FTTH</v>
          </cell>
          <cell r="W641" t="str">
            <v>Đang xử lý</v>
          </cell>
          <cell r="AJ641" t="str">
            <v>TP HCM</v>
          </cell>
          <cell r="BX641" t="str">
            <v>AON</v>
          </cell>
        </row>
        <row r="642">
          <cell r="A642" t="str">
            <v>ON</v>
          </cell>
          <cell r="B642" t="str">
            <v>Trong 24h</v>
          </cell>
          <cell r="D642" t="str">
            <v>Khiếu nại về dịch vụ FTTH</v>
          </cell>
          <cell r="W642" t="str">
            <v>Đã đóng</v>
          </cell>
          <cell r="AJ642" t="str">
            <v>Bình Dương</v>
          </cell>
          <cell r="BX642" t="str">
            <v>AON</v>
          </cell>
        </row>
        <row r="643">
          <cell r="A643" t="str">
            <v>ON</v>
          </cell>
          <cell r="B643" t="str">
            <v>Trong 24h</v>
          </cell>
          <cell r="D643" t="str">
            <v>Khiếu nại về dịch vụ FTTH</v>
          </cell>
          <cell r="W643" t="str">
            <v>Đã đóng</v>
          </cell>
          <cell r="AJ643" t="str">
            <v>Thừa Thiên Huế</v>
          </cell>
          <cell r="BX643" t="str">
            <v>AON</v>
          </cell>
        </row>
        <row r="644">
          <cell r="A644" t="str">
            <v>ON</v>
          </cell>
          <cell r="B644" t="str">
            <v>Trong 24h</v>
          </cell>
          <cell r="D644" t="str">
            <v>Khiếu nại về dịch vụ FTTH</v>
          </cell>
          <cell r="W644" t="str">
            <v>Đã đóng</v>
          </cell>
          <cell r="AJ644" t="str">
            <v>Hà Nội 1</v>
          </cell>
          <cell r="BX644" t="str">
            <v>AON</v>
          </cell>
        </row>
        <row r="645">
          <cell r="A645" t="str">
            <v>ON</v>
          </cell>
          <cell r="B645" t="str">
            <v>Trong 24h</v>
          </cell>
          <cell r="D645" t="str">
            <v>Khiếu nại về dịch vụ FTTH</v>
          </cell>
          <cell r="W645" t="str">
            <v>Đã đóng</v>
          </cell>
          <cell r="AJ645" t="str">
            <v>Hà Nội 2</v>
          </cell>
          <cell r="BX645" t="str">
            <v>AON</v>
          </cell>
        </row>
        <row r="646">
          <cell r="A646" t="str">
            <v>ON</v>
          </cell>
          <cell r="B646" t="str">
            <v>Trong 24h</v>
          </cell>
          <cell r="D646" t="str">
            <v>Khiếu nại về dịch vụ FTTH</v>
          </cell>
          <cell r="W646" t="str">
            <v>Đang xử lý</v>
          </cell>
          <cell r="AJ646" t="str">
            <v>Kiên Giang</v>
          </cell>
          <cell r="BX646" t="str">
            <v>AON</v>
          </cell>
        </row>
        <row r="647">
          <cell r="A647" t="str">
            <v>ON</v>
          </cell>
          <cell r="B647" t="str">
            <v>Trong 24h</v>
          </cell>
          <cell r="D647" t="str">
            <v>Khiếu nại về dịch vụ FTTH</v>
          </cell>
          <cell r="W647" t="str">
            <v>Đã đóng</v>
          </cell>
          <cell r="AJ647" t="str">
            <v>Quảng Bình</v>
          </cell>
          <cell r="BX647" t="str">
            <v>AON</v>
          </cell>
        </row>
        <row r="648">
          <cell r="A648" t="str">
            <v>ON</v>
          </cell>
          <cell r="B648" t="str">
            <v>Trong 24h</v>
          </cell>
          <cell r="D648" t="str">
            <v>Khiếu nại về dịch vụ FTTH</v>
          </cell>
          <cell r="W648" t="str">
            <v>Đang xử lý</v>
          </cell>
          <cell r="AJ648" t="str">
            <v xml:space="preserve">Đồng Nai </v>
          </cell>
          <cell r="BX648" t="str">
            <v>AON</v>
          </cell>
        </row>
        <row r="649">
          <cell r="A649" t="str">
            <v>ON</v>
          </cell>
          <cell r="B649" t="str">
            <v>Trong 24h</v>
          </cell>
          <cell r="D649" t="str">
            <v>Khiếu nại về dịch vụ FTTH</v>
          </cell>
          <cell r="W649" t="str">
            <v>Đã đóng</v>
          </cell>
          <cell r="AJ649" t="str">
            <v>An Giang</v>
          </cell>
          <cell r="BX649" t="str">
            <v>AON</v>
          </cell>
        </row>
        <row r="650">
          <cell r="A650" t="str">
            <v>ON</v>
          </cell>
          <cell r="B650" t="str">
            <v>Trong 24h</v>
          </cell>
          <cell r="D650" t="str">
            <v>Khiếu nại về dịch vụ FTTH</v>
          </cell>
          <cell r="W650" t="str">
            <v>Đã đóng</v>
          </cell>
          <cell r="AJ650" t="str">
            <v>Thái Bình</v>
          </cell>
          <cell r="BX650" t="str">
            <v>AON</v>
          </cell>
        </row>
        <row r="651">
          <cell r="A651" t="str">
            <v>ON</v>
          </cell>
          <cell r="B651" t="str">
            <v>Trong 24h</v>
          </cell>
          <cell r="D651" t="str">
            <v>Khiếu nại về dịch vụ FTTH</v>
          </cell>
          <cell r="W651" t="str">
            <v>Đã đóng</v>
          </cell>
          <cell r="AJ651" t="str">
            <v>Sóc Trăng</v>
          </cell>
          <cell r="BX651" t="str">
            <v>AON</v>
          </cell>
        </row>
        <row r="652">
          <cell r="A652" t="str">
            <v>ON</v>
          </cell>
          <cell r="B652" t="str">
            <v>Trong 24h</v>
          </cell>
          <cell r="D652" t="str">
            <v>Khiếu nại về dịch vụ FTTH</v>
          </cell>
          <cell r="W652" t="str">
            <v>Đã đóng</v>
          </cell>
          <cell r="AJ652" t="str">
            <v>Thừa Thiên Huế</v>
          </cell>
          <cell r="BX652" t="str">
            <v>AON</v>
          </cell>
        </row>
        <row r="653">
          <cell r="A653" t="str">
            <v>ON</v>
          </cell>
          <cell r="B653" t="str">
            <v>Trong 24h</v>
          </cell>
          <cell r="D653" t="str">
            <v>Khiếu nại về dịch vụ FTTH</v>
          </cell>
          <cell r="W653" t="str">
            <v>Đã đóng</v>
          </cell>
          <cell r="AJ653" t="str">
            <v>Bà Rịa - Vũng Tàu</v>
          </cell>
          <cell r="BX653" t="str">
            <v>AON</v>
          </cell>
        </row>
        <row r="654">
          <cell r="A654" t="str">
            <v>ON</v>
          </cell>
          <cell r="B654" t="str">
            <v>Trong 24h</v>
          </cell>
          <cell r="D654" t="str">
            <v>Khiếu nại về dịch vụ FTTH</v>
          </cell>
          <cell r="W654" t="str">
            <v>Đã đóng</v>
          </cell>
          <cell r="AJ654" t="str">
            <v>Hà Nội 1</v>
          </cell>
          <cell r="BX654" t="str">
            <v>AON</v>
          </cell>
        </row>
        <row r="655">
          <cell r="A655" t="str">
            <v>ON</v>
          </cell>
          <cell r="B655" t="str">
            <v>Trong 24h</v>
          </cell>
          <cell r="D655" t="str">
            <v>Khiếu nại về dịch vụ FTTH</v>
          </cell>
          <cell r="W655" t="str">
            <v>Đã đóng</v>
          </cell>
          <cell r="AJ655" t="str">
            <v>Hà Nội 2</v>
          </cell>
          <cell r="BX655" t="str">
            <v>AON</v>
          </cell>
        </row>
        <row r="656">
          <cell r="A656" t="str">
            <v>ON</v>
          </cell>
          <cell r="B656" t="str">
            <v>Trong 24h</v>
          </cell>
          <cell r="D656" t="str">
            <v>Khiếu nại về dịch vụ FTTH</v>
          </cell>
          <cell r="W656" t="str">
            <v>Đã đóng</v>
          </cell>
          <cell r="AJ656" t="str">
            <v>TP HCM</v>
          </cell>
          <cell r="BX656" t="str">
            <v>AON</v>
          </cell>
        </row>
        <row r="657">
          <cell r="A657" t="str">
            <v>ON</v>
          </cell>
          <cell r="B657" t="str">
            <v>Trong 24h</v>
          </cell>
          <cell r="D657" t="str">
            <v>Khiếu nại về dịch vụ FTTH</v>
          </cell>
          <cell r="W657" t="str">
            <v>Đã đóng</v>
          </cell>
          <cell r="AJ657" t="str">
            <v>TP HCM</v>
          </cell>
          <cell r="BX657" t="str">
            <v>AON</v>
          </cell>
        </row>
        <row r="658">
          <cell r="A658" t="str">
            <v>ON</v>
          </cell>
          <cell r="B658" t="str">
            <v>Trong 24h</v>
          </cell>
          <cell r="D658" t="str">
            <v>Khiếu nại về dịch vụ FTTH</v>
          </cell>
          <cell r="W658" t="str">
            <v>Đã đóng</v>
          </cell>
          <cell r="AJ658" t="str">
            <v>TP HCM</v>
          </cell>
          <cell r="BX658" t="str">
            <v>AON</v>
          </cell>
        </row>
        <row r="659">
          <cell r="A659" t="str">
            <v>ON</v>
          </cell>
          <cell r="B659" t="str">
            <v>Trong 24h</v>
          </cell>
          <cell r="D659" t="str">
            <v>Khiếu nại về dịch vụ FTTH</v>
          </cell>
          <cell r="W659" t="str">
            <v>Đã đóng</v>
          </cell>
          <cell r="AJ659" t="str">
            <v>TP HCM</v>
          </cell>
          <cell r="BX659" t="str">
            <v>AON</v>
          </cell>
        </row>
        <row r="660">
          <cell r="A660" t="str">
            <v>ON</v>
          </cell>
          <cell r="B660" t="str">
            <v>Trong 24h</v>
          </cell>
          <cell r="D660" t="str">
            <v>Khiếu nại về dịch vụ FTTH</v>
          </cell>
          <cell r="W660" t="str">
            <v>Đang xử lý</v>
          </cell>
          <cell r="AJ660" t="str">
            <v>Thừa Thiên Huế</v>
          </cell>
          <cell r="BX660" t="str">
            <v>AON</v>
          </cell>
        </row>
        <row r="661">
          <cell r="A661" t="str">
            <v>ON</v>
          </cell>
          <cell r="B661" t="str">
            <v>Trong 24h</v>
          </cell>
          <cell r="D661" t="str">
            <v>Khiếu nại về dịch vụ FTTH</v>
          </cell>
          <cell r="W661" t="str">
            <v>Đã đóng</v>
          </cell>
          <cell r="AJ661" t="str">
            <v>Quảng Trị</v>
          </cell>
          <cell r="BX661" t="str">
            <v>AON</v>
          </cell>
        </row>
        <row r="662">
          <cell r="A662" t="str">
            <v>ON</v>
          </cell>
          <cell r="B662" t="str">
            <v>Trong 24h</v>
          </cell>
          <cell r="D662" t="str">
            <v>Khiếu nại về dịch vụ FTTH</v>
          </cell>
          <cell r="W662" t="str">
            <v>Đã đóng</v>
          </cell>
          <cell r="AJ662" t="str">
            <v>TP HCM</v>
          </cell>
          <cell r="BX662" t="str">
            <v>AON</v>
          </cell>
        </row>
        <row r="663">
          <cell r="A663" t="str">
            <v>ON</v>
          </cell>
          <cell r="B663" t="str">
            <v>Trong 24h</v>
          </cell>
          <cell r="D663" t="str">
            <v>Khiếu nại về dịch vụ FTTH</v>
          </cell>
          <cell r="W663" t="str">
            <v>Đã đóng</v>
          </cell>
          <cell r="AJ663" t="str">
            <v>Điện Biên</v>
          </cell>
          <cell r="BX663" t="str">
            <v>AON</v>
          </cell>
        </row>
        <row r="664">
          <cell r="A664" t="str">
            <v>ON</v>
          </cell>
          <cell r="B664" t="str">
            <v>Trong 24h</v>
          </cell>
          <cell r="D664" t="str">
            <v>Khiếu nại về dịch vụ FTTH</v>
          </cell>
          <cell r="W664" t="str">
            <v>Đã đóng</v>
          </cell>
          <cell r="AJ664" t="str">
            <v>TP HCM</v>
          </cell>
          <cell r="BX664" t="str">
            <v>AON</v>
          </cell>
        </row>
        <row r="665">
          <cell r="A665" t="str">
            <v>ON</v>
          </cell>
          <cell r="B665" t="str">
            <v>Trong 24h</v>
          </cell>
          <cell r="D665" t="str">
            <v>Khiếu nại về dịch vụ FTTH</v>
          </cell>
          <cell r="W665" t="str">
            <v>Đang xử lý</v>
          </cell>
          <cell r="AJ665" t="str">
            <v>Bình Thuận</v>
          </cell>
          <cell r="BX665" t="str">
            <v>AON</v>
          </cell>
        </row>
        <row r="666">
          <cell r="A666" t="str">
            <v>ON</v>
          </cell>
          <cell r="B666" t="str">
            <v>Trong 24h</v>
          </cell>
          <cell r="D666" t="str">
            <v>Khiếu nại về dịch vụ FTTH</v>
          </cell>
          <cell r="W666" t="str">
            <v>Đang xử lý</v>
          </cell>
          <cell r="AJ666" t="str">
            <v>TP HCM</v>
          </cell>
          <cell r="BX666" t="str">
            <v>AON</v>
          </cell>
        </row>
        <row r="667">
          <cell r="A667" t="str">
            <v>ON</v>
          </cell>
          <cell r="B667" t="str">
            <v>Trong 24h</v>
          </cell>
          <cell r="D667" t="str">
            <v>Khiếu nại về dịch vụ FTTH</v>
          </cell>
          <cell r="W667" t="str">
            <v>Đã đóng</v>
          </cell>
          <cell r="AJ667" t="str">
            <v>Long An</v>
          </cell>
          <cell r="BX667" t="str">
            <v>AON</v>
          </cell>
        </row>
        <row r="668">
          <cell r="A668" t="str">
            <v>ON</v>
          </cell>
          <cell r="B668" t="str">
            <v>Trong 24h</v>
          </cell>
          <cell r="D668" t="str">
            <v>Khiếu nại về dịch vụ FTTH</v>
          </cell>
          <cell r="W668" t="str">
            <v>Đã đóng</v>
          </cell>
          <cell r="AJ668" t="str">
            <v xml:space="preserve">Hà Tĩnh </v>
          </cell>
          <cell r="BX668" t="str">
            <v>AON</v>
          </cell>
        </row>
        <row r="669">
          <cell r="A669" t="str">
            <v>ON</v>
          </cell>
          <cell r="B669" t="str">
            <v>Trong 24h</v>
          </cell>
          <cell r="D669" t="str">
            <v>Khiếu nại về dịch vụ FTTH</v>
          </cell>
          <cell r="W669" t="str">
            <v>Đang xử lý</v>
          </cell>
          <cell r="AJ669" t="str">
            <v>Cần Thơ</v>
          </cell>
          <cell r="BX669" t="str">
            <v>AON</v>
          </cell>
        </row>
        <row r="670">
          <cell r="A670" t="str">
            <v>ON</v>
          </cell>
          <cell r="B670" t="str">
            <v>Trong 24h</v>
          </cell>
          <cell r="D670" t="str">
            <v>Khiếu nại về dịch vụ FTTH</v>
          </cell>
          <cell r="W670" t="str">
            <v>Đã đóng</v>
          </cell>
          <cell r="AJ670" t="str">
            <v>Nam Định</v>
          </cell>
          <cell r="BX670" t="str">
            <v>AON</v>
          </cell>
        </row>
        <row r="671">
          <cell r="A671" t="str">
            <v>ON</v>
          </cell>
          <cell r="B671" t="str">
            <v>Trong 24h</v>
          </cell>
          <cell r="D671" t="str">
            <v>Khiếu nại về dịch vụ FTTH</v>
          </cell>
          <cell r="W671" t="str">
            <v>Đã đóng</v>
          </cell>
          <cell r="AJ671" t="str">
            <v>TP HCM</v>
          </cell>
          <cell r="BX671" t="str">
            <v>AON</v>
          </cell>
        </row>
        <row r="672">
          <cell r="A672" t="str">
            <v>ON</v>
          </cell>
          <cell r="B672" t="str">
            <v>Trong 24h</v>
          </cell>
          <cell r="D672" t="str">
            <v>Khiếu nại về dịch vụ FTTH</v>
          </cell>
          <cell r="W672" t="str">
            <v>Đã đóng</v>
          </cell>
          <cell r="AJ672" t="str">
            <v>Bình Dương</v>
          </cell>
          <cell r="BX672" t="str">
            <v>AON</v>
          </cell>
        </row>
        <row r="673">
          <cell r="A673" t="str">
            <v>ON</v>
          </cell>
          <cell r="B673" t="str">
            <v>Trong 24h</v>
          </cell>
          <cell r="D673" t="str">
            <v>Khiếu nại về dịch vụ FTTH</v>
          </cell>
          <cell r="W673" t="str">
            <v>Đã đóng</v>
          </cell>
          <cell r="AJ673" t="str">
            <v>TP HCM</v>
          </cell>
          <cell r="BX673" t="str">
            <v>AON</v>
          </cell>
        </row>
        <row r="674">
          <cell r="A674" t="str">
            <v>ON</v>
          </cell>
          <cell r="B674" t="str">
            <v>Trong 24h</v>
          </cell>
          <cell r="D674" t="str">
            <v>Khiếu nại về dịch vụ FTTH</v>
          </cell>
          <cell r="W674" t="str">
            <v>Đã đóng</v>
          </cell>
          <cell r="AJ674" t="str">
            <v>Hải Phòng</v>
          </cell>
          <cell r="BX674" t="str">
            <v>AON</v>
          </cell>
        </row>
        <row r="675">
          <cell r="A675" t="str">
            <v>ON</v>
          </cell>
          <cell r="B675" t="str">
            <v>Trong 24h</v>
          </cell>
          <cell r="D675" t="str">
            <v>Khiếu nại về dịch vụ FTTH</v>
          </cell>
          <cell r="W675" t="str">
            <v>Đã đóng</v>
          </cell>
          <cell r="AJ675" t="str">
            <v>TP HCM</v>
          </cell>
          <cell r="BX675" t="str">
            <v>AON</v>
          </cell>
        </row>
        <row r="676">
          <cell r="A676" t="str">
            <v>ON</v>
          </cell>
          <cell r="B676" t="str">
            <v>Trong 24h</v>
          </cell>
          <cell r="D676" t="str">
            <v>Khiếu nại về dịch vụ FTTH</v>
          </cell>
          <cell r="W676" t="str">
            <v>Đã đóng</v>
          </cell>
          <cell r="AJ676" t="str">
            <v>TP HCM</v>
          </cell>
          <cell r="BX676" t="str">
            <v>AON</v>
          </cell>
        </row>
        <row r="677">
          <cell r="A677" t="str">
            <v>ON</v>
          </cell>
          <cell r="B677" t="str">
            <v>Trong 24h</v>
          </cell>
          <cell r="D677" t="str">
            <v>Khiếu nại về dịch vụ FTTH</v>
          </cell>
          <cell r="W677" t="str">
            <v>Đã đóng</v>
          </cell>
          <cell r="AJ677" t="str">
            <v>Bắc Kạn</v>
          </cell>
          <cell r="BX677" t="str">
            <v>AON</v>
          </cell>
        </row>
        <row r="678">
          <cell r="A678" t="str">
            <v>ON</v>
          </cell>
          <cell r="B678" t="str">
            <v>Trong 24h</v>
          </cell>
          <cell r="D678" t="str">
            <v>Khiếu nại về dịch vụ FTTH</v>
          </cell>
          <cell r="W678" t="str">
            <v>Đã đóng</v>
          </cell>
          <cell r="AJ678" t="str">
            <v>TP HCM</v>
          </cell>
          <cell r="BX678" t="str">
            <v>AON</v>
          </cell>
        </row>
        <row r="679">
          <cell r="A679" t="str">
            <v>ON</v>
          </cell>
          <cell r="B679" t="str">
            <v>Trong 24h</v>
          </cell>
          <cell r="D679" t="str">
            <v>Khiếu nại về dịch vụ FTTH</v>
          </cell>
          <cell r="W679" t="str">
            <v>Đã đóng</v>
          </cell>
          <cell r="AJ679" t="str">
            <v>TP HCM</v>
          </cell>
          <cell r="BX679" t="str">
            <v>AON</v>
          </cell>
        </row>
        <row r="680">
          <cell r="A680" t="str">
            <v>ON</v>
          </cell>
          <cell r="B680" t="str">
            <v>Trong 24h</v>
          </cell>
          <cell r="D680" t="str">
            <v>Khiếu nại về dịch vụ FTTH</v>
          </cell>
          <cell r="W680" t="str">
            <v>Đã đóng</v>
          </cell>
          <cell r="AJ680" t="str">
            <v xml:space="preserve">Hà Tĩnh </v>
          </cell>
          <cell r="BX680" t="str">
            <v>AON</v>
          </cell>
        </row>
        <row r="681">
          <cell r="A681" t="str">
            <v>ON</v>
          </cell>
          <cell r="B681" t="str">
            <v>Trong 24h</v>
          </cell>
          <cell r="D681" t="str">
            <v>Khiếu nại về dịch vụ FTTH</v>
          </cell>
          <cell r="W681" t="str">
            <v>Đã đóng</v>
          </cell>
          <cell r="AJ681" t="str">
            <v xml:space="preserve">Quảng Nam </v>
          </cell>
          <cell r="BX681" t="str">
            <v>AON</v>
          </cell>
        </row>
        <row r="682">
          <cell r="A682" t="str">
            <v>ON</v>
          </cell>
          <cell r="B682" t="str">
            <v>Trong 24h</v>
          </cell>
          <cell r="D682" t="str">
            <v>Khiếu nại về dịch vụ FTTH</v>
          </cell>
          <cell r="W682" t="str">
            <v>Đang xử lý</v>
          </cell>
          <cell r="AJ682" t="str">
            <v>TP HCM</v>
          </cell>
          <cell r="BX682" t="str">
            <v>AON</v>
          </cell>
        </row>
        <row r="683">
          <cell r="A683" t="str">
            <v>ON</v>
          </cell>
          <cell r="B683" t="str">
            <v>Trong 24h</v>
          </cell>
          <cell r="D683" t="str">
            <v>Khiếu nại về dịch vụ FTTH</v>
          </cell>
          <cell r="W683" t="str">
            <v>Đã đóng</v>
          </cell>
          <cell r="AJ683" t="str">
            <v>TP HCM</v>
          </cell>
          <cell r="BX683" t="str">
            <v>GPON</v>
          </cell>
        </row>
        <row r="684">
          <cell r="A684" t="str">
            <v>ON</v>
          </cell>
          <cell r="B684" t="str">
            <v>Trong 24h</v>
          </cell>
          <cell r="D684" t="str">
            <v>Khiếu nại về dịch vụ FTTH</v>
          </cell>
          <cell r="W684" t="str">
            <v>Đã đóng</v>
          </cell>
          <cell r="AJ684" t="str">
            <v>Hải Phòng</v>
          </cell>
          <cell r="BX684" t="str">
            <v>AON</v>
          </cell>
        </row>
        <row r="685">
          <cell r="A685" t="str">
            <v>ON</v>
          </cell>
          <cell r="B685" t="str">
            <v>Trong 24h</v>
          </cell>
          <cell r="D685" t="str">
            <v>Khiếu nại về dịch vụ FTTH</v>
          </cell>
          <cell r="W685" t="str">
            <v>Đang xử lý</v>
          </cell>
          <cell r="AJ685" t="str">
            <v xml:space="preserve">Đà Nẵng </v>
          </cell>
          <cell r="BX685" t="str">
            <v>AON</v>
          </cell>
        </row>
        <row r="686">
          <cell r="A686" t="str">
            <v>ON</v>
          </cell>
          <cell r="B686" t="str">
            <v>Trong 24h</v>
          </cell>
          <cell r="D686" t="str">
            <v>Khiếu nại về dịch vụ FTTH</v>
          </cell>
          <cell r="W686" t="str">
            <v>Đã đóng</v>
          </cell>
          <cell r="AJ686" t="str">
            <v>Quảng Ninh</v>
          </cell>
          <cell r="BX686" t="str">
            <v>AON</v>
          </cell>
        </row>
        <row r="687">
          <cell r="A687" t="str">
            <v>ON</v>
          </cell>
          <cell r="B687" t="str">
            <v>Trong 24h</v>
          </cell>
          <cell r="D687" t="str">
            <v>Khiếu nại về dịch vụ NextTV</v>
          </cell>
          <cell r="W687" t="str">
            <v>Đã đóng</v>
          </cell>
          <cell r="AJ687" t="str">
            <v>Thái Nguyên</v>
          </cell>
          <cell r="BX687" t="str">
            <v>AON</v>
          </cell>
        </row>
        <row r="688">
          <cell r="A688" t="str">
            <v>ON</v>
          </cell>
          <cell r="B688" t="str">
            <v>Trong 24h</v>
          </cell>
          <cell r="D688" t="str">
            <v>Khiếu nại về dịch vụ FTTH</v>
          </cell>
          <cell r="W688" t="str">
            <v>Đã đóng</v>
          </cell>
          <cell r="AJ688" t="str">
            <v>Bắc Ninh</v>
          </cell>
          <cell r="BX688" t="str">
            <v>AON</v>
          </cell>
        </row>
        <row r="689">
          <cell r="A689" t="str">
            <v>ON</v>
          </cell>
          <cell r="B689" t="str">
            <v>Trong 24h</v>
          </cell>
          <cell r="D689" t="str">
            <v>Khiếu nại về dịch vụ FTTH</v>
          </cell>
          <cell r="W689" t="str">
            <v>Đã đóng</v>
          </cell>
          <cell r="AJ689" t="str">
            <v>Bình Dương</v>
          </cell>
          <cell r="BX689" t="str">
            <v>AON</v>
          </cell>
        </row>
        <row r="690">
          <cell r="A690" t="str">
            <v>ON</v>
          </cell>
          <cell r="B690" t="str">
            <v>Trong 24h</v>
          </cell>
          <cell r="D690" t="str">
            <v>Khiếu nại về dịch vụ FTTH</v>
          </cell>
          <cell r="W690" t="str">
            <v>Đã đóng</v>
          </cell>
          <cell r="AJ690" t="str">
            <v>TP HCM</v>
          </cell>
          <cell r="BX690" t="str">
            <v>AON</v>
          </cell>
        </row>
        <row r="691">
          <cell r="A691" t="str">
            <v>ON</v>
          </cell>
          <cell r="B691" t="str">
            <v>Trong 24h</v>
          </cell>
          <cell r="D691" t="str">
            <v>Khiếu nại về dịch vụ FTTH</v>
          </cell>
          <cell r="W691" t="str">
            <v>Đang xử lý</v>
          </cell>
          <cell r="AJ691" t="str">
            <v>Bình Định</v>
          </cell>
          <cell r="BX691" t="str">
            <v>AON</v>
          </cell>
        </row>
        <row r="692">
          <cell r="A692" t="str">
            <v>ON</v>
          </cell>
          <cell r="B692" t="str">
            <v>Trong 24h</v>
          </cell>
          <cell r="D692" t="str">
            <v>Khiếu nại về dịch vụ FTTH</v>
          </cell>
          <cell r="W692" t="str">
            <v>Đã đóng</v>
          </cell>
          <cell r="AJ692" t="str">
            <v>Hải Phòng</v>
          </cell>
          <cell r="BX692" t="str">
            <v>AON</v>
          </cell>
        </row>
        <row r="693">
          <cell r="A693" t="str">
            <v>ON</v>
          </cell>
          <cell r="B693" t="str">
            <v>Trong 24h</v>
          </cell>
          <cell r="D693" t="str">
            <v>Khiếu nại về dịch vụ FTTH</v>
          </cell>
          <cell r="W693" t="str">
            <v>Đã đóng</v>
          </cell>
          <cell r="AJ693" t="str">
            <v>Hà Nội 1</v>
          </cell>
          <cell r="BX693" t="str">
            <v>AON</v>
          </cell>
        </row>
        <row r="694">
          <cell r="A694" t="str">
            <v>ON</v>
          </cell>
          <cell r="B694" t="str">
            <v>Trong 24h</v>
          </cell>
          <cell r="D694" t="str">
            <v>Khiếu nại về dịch vụ FTTH</v>
          </cell>
          <cell r="W694" t="str">
            <v>Đã đóng</v>
          </cell>
          <cell r="AJ694" t="str">
            <v>Quảng Trị</v>
          </cell>
          <cell r="BX694" t="str">
            <v>AON</v>
          </cell>
        </row>
        <row r="695">
          <cell r="A695" t="str">
            <v>ON</v>
          </cell>
          <cell r="B695" t="str">
            <v>Trong 24h</v>
          </cell>
          <cell r="D695" t="str">
            <v>Khiếu nại về dịch vụ FTTH</v>
          </cell>
          <cell r="W695" t="str">
            <v>Đã đóng</v>
          </cell>
          <cell r="AJ695" t="str">
            <v>Hải Phòng</v>
          </cell>
          <cell r="BX695" t="str">
            <v>AON</v>
          </cell>
        </row>
        <row r="696">
          <cell r="A696" t="str">
            <v>ON</v>
          </cell>
          <cell r="B696" t="str">
            <v>Trong 24h</v>
          </cell>
          <cell r="D696" t="str">
            <v>Khiếu nại về dịch vụ FTTH</v>
          </cell>
          <cell r="W696" t="str">
            <v>Đã đóng</v>
          </cell>
          <cell r="AJ696" t="str">
            <v>Bình Dương</v>
          </cell>
          <cell r="BX696" t="str">
            <v>AON</v>
          </cell>
        </row>
        <row r="697">
          <cell r="A697" t="str">
            <v>ON</v>
          </cell>
          <cell r="B697" t="str">
            <v>Trong 24h</v>
          </cell>
          <cell r="D697" t="str">
            <v>Khiếu nại về dịch vụ FTTH</v>
          </cell>
          <cell r="W697" t="str">
            <v>Đã đóng</v>
          </cell>
          <cell r="AJ697" t="str">
            <v xml:space="preserve">Đồng Nai </v>
          </cell>
          <cell r="BX697" t="str">
            <v>AON</v>
          </cell>
        </row>
        <row r="698">
          <cell r="A698" t="str">
            <v>ON</v>
          </cell>
          <cell r="B698" t="str">
            <v>Trong 24h</v>
          </cell>
          <cell r="D698" t="str">
            <v>Khiếu nại về dịch vụ FTTH</v>
          </cell>
          <cell r="W698" t="str">
            <v>Đã đóng</v>
          </cell>
          <cell r="AJ698" t="str">
            <v>Thái Bình</v>
          </cell>
          <cell r="BX698" t="str">
            <v>AON</v>
          </cell>
        </row>
        <row r="699">
          <cell r="A699" t="str">
            <v>ON</v>
          </cell>
          <cell r="B699" t="str">
            <v>Trong 24h</v>
          </cell>
          <cell r="D699" t="str">
            <v>Khiếu nại về dịch vụ FTTH</v>
          </cell>
          <cell r="W699" t="str">
            <v>Đã đóng</v>
          </cell>
          <cell r="AJ699" t="str">
            <v>An Giang</v>
          </cell>
          <cell r="BX699" t="str">
            <v>AON</v>
          </cell>
        </row>
        <row r="700">
          <cell r="A700" t="str">
            <v>ON</v>
          </cell>
          <cell r="B700" t="str">
            <v>Trong 24h</v>
          </cell>
          <cell r="D700" t="str">
            <v>Khiếu nại về dịch vụ FTTH</v>
          </cell>
          <cell r="W700" t="str">
            <v>Đã đóng</v>
          </cell>
          <cell r="AJ700" t="str">
            <v>Tiền Giang</v>
          </cell>
          <cell r="BX700" t="str">
            <v>AON</v>
          </cell>
        </row>
        <row r="701">
          <cell r="A701" t="str">
            <v>ON</v>
          </cell>
          <cell r="B701" t="str">
            <v>Trong 24h</v>
          </cell>
          <cell r="D701" t="str">
            <v>Khiếu nại về dịch vụ FTTH</v>
          </cell>
          <cell r="W701" t="str">
            <v>Đã đóng</v>
          </cell>
          <cell r="AJ701" t="str">
            <v>Tiền Giang</v>
          </cell>
          <cell r="BX701" t="str">
            <v>AON</v>
          </cell>
        </row>
        <row r="702">
          <cell r="A702" t="str">
            <v>ON</v>
          </cell>
          <cell r="B702" t="str">
            <v>Trong 24h</v>
          </cell>
          <cell r="D702" t="str">
            <v>Khiếu nại về dịch vụ FTTH</v>
          </cell>
          <cell r="W702" t="str">
            <v>Đã đóng</v>
          </cell>
          <cell r="AJ702" t="str">
            <v>Bình Dương</v>
          </cell>
          <cell r="BX702" t="str">
            <v>AON</v>
          </cell>
        </row>
        <row r="703">
          <cell r="A703" t="str">
            <v>ON</v>
          </cell>
          <cell r="B703" t="str">
            <v>Trong 24h</v>
          </cell>
          <cell r="D703" t="str">
            <v>Khiếu nại về dịch vụ FTTH</v>
          </cell>
          <cell r="W703" t="str">
            <v>Đã đóng</v>
          </cell>
          <cell r="AJ703" t="str">
            <v>Bến Tre</v>
          </cell>
          <cell r="BX703" t="str">
            <v>AON</v>
          </cell>
        </row>
        <row r="704">
          <cell r="A704" t="str">
            <v>ON</v>
          </cell>
          <cell r="B704" t="str">
            <v>Trong 24h</v>
          </cell>
          <cell r="D704" t="str">
            <v>Khiếu nại về dịch vụ FTTH</v>
          </cell>
          <cell r="W704" t="str">
            <v>Đã đóng</v>
          </cell>
          <cell r="AJ704" t="str">
            <v>TP HCM</v>
          </cell>
          <cell r="BX704" t="str">
            <v>AON</v>
          </cell>
        </row>
        <row r="705">
          <cell r="A705" t="str">
            <v>ON</v>
          </cell>
          <cell r="B705" t="str">
            <v>Trong 24h</v>
          </cell>
          <cell r="D705" t="str">
            <v>Khiếu nại về dịch vụ FTTH</v>
          </cell>
          <cell r="W705" t="str">
            <v>Đã đóng</v>
          </cell>
          <cell r="AJ705" t="str">
            <v>Phú Thọ</v>
          </cell>
          <cell r="BX705" t="str">
            <v>AON</v>
          </cell>
        </row>
        <row r="706">
          <cell r="A706" t="str">
            <v>ON</v>
          </cell>
          <cell r="B706" t="str">
            <v>Trong 24h</v>
          </cell>
          <cell r="D706" t="str">
            <v>Khiếu nại về dịch vụ FTTH</v>
          </cell>
          <cell r="W706" t="str">
            <v>Đã đóng</v>
          </cell>
          <cell r="AJ706" t="str">
            <v>TP HCM</v>
          </cell>
          <cell r="BX706" t="str">
            <v>AON</v>
          </cell>
        </row>
        <row r="707">
          <cell r="A707" t="str">
            <v>ON</v>
          </cell>
          <cell r="B707" t="str">
            <v>Trong 24h</v>
          </cell>
          <cell r="D707" t="str">
            <v>Khiếu nại về dịch vụ FTTH</v>
          </cell>
          <cell r="W707" t="str">
            <v>Đã đóng</v>
          </cell>
          <cell r="AJ707" t="str">
            <v>Quảng Ngãi</v>
          </cell>
          <cell r="BX707" t="str">
            <v>AON</v>
          </cell>
        </row>
        <row r="708">
          <cell r="A708" t="str">
            <v>ON</v>
          </cell>
          <cell r="B708" t="str">
            <v>Trong 24h</v>
          </cell>
          <cell r="D708" t="str">
            <v>Khiếu nại về dịch vụ FTTH</v>
          </cell>
          <cell r="W708" t="str">
            <v>Đã đóng</v>
          </cell>
          <cell r="AJ708" t="str">
            <v>TP HCM</v>
          </cell>
          <cell r="BX708" t="str">
            <v>AON</v>
          </cell>
        </row>
        <row r="709">
          <cell r="A709" t="str">
            <v>ON</v>
          </cell>
          <cell r="B709" t="str">
            <v>Trong 24h</v>
          </cell>
          <cell r="D709" t="str">
            <v>Khiếu nại về dịch vụ FTTH</v>
          </cell>
          <cell r="W709" t="str">
            <v>Đã đóng</v>
          </cell>
          <cell r="AJ709" t="str">
            <v>TP HCM</v>
          </cell>
          <cell r="BX709" t="str">
            <v>GPON</v>
          </cell>
        </row>
        <row r="710">
          <cell r="A710" t="str">
            <v>ON</v>
          </cell>
          <cell r="B710" t="str">
            <v>Trong 24h</v>
          </cell>
          <cell r="D710" t="str">
            <v>Khiếu nại về dịch vụ FTTH</v>
          </cell>
          <cell r="W710" t="str">
            <v>Đã đóng</v>
          </cell>
          <cell r="AJ710" t="str">
            <v>Hậu Giang</v>
          </cell>
          <cell r="BX710" t="str">
            <v>AON</v>
          </cell>
        </row>
        <row r="711">
          <cell r="A711" t="str">
            <v>ON</v>
          </cell>
          <cell r="B711" t="str">
            <v>Trong 24h</v>
          </cell>
          <cell r="D711" t="str">
            <v>Khiếu nại về dịch vụ NextTV</v>
          </cell>
          <cell r="W711" t="str">
            <v>Đã đóng</v>
          </cell>
          <cell r="AJ711" t="str">
            <v>Long An</v>
          </cell>
          <cell r="BX711" t="str">
            <v>AON</v>
          </cell>
        </row>
        <row r="712">
          <cell r="A712" t="str">
            <v>ON</v>
          </cell>
          <cell r="B712" t="str">
            <v>Trong 24h</v>
          </cell>
          <cell r="D712" t="str">
            <v>Khiếu nại về dịch vụ FTTH</v>
          </cell>
          <cell r="W712" t="str">
            <v>Đã đóng</v>
          </cell>
          <cell r="AJ712" t="str">
            <v xml:space="preserve">Đà Nẵng </v>
          </cell>
          <cell r="BX712" t="str">
            <v>AON</v>
          </cell>
        </row>
        <row r="713">
          <cell r="A713" t="str">
            <v>ON</v>
          </cell>
          <cell r="B713" t="str">
            <v>Trong 24h</v>
          </cell>
          <cell r="D713" t="str">
            <v>Khiếu nại về dịch vụ FTTH</v>
          </cell>
          <cell r="W713" t="str">
            <v>Đã đóng</v>
          </cell>
          <cell r="AJ713" t="str">
            <v>TP HCM</v>
          </cell>
          <cell r="BX713" t="str">
            <v>AON</v>
          </cell>
        </row>
        <row r="714">
          <cell r="A714" t="str">
            <v>ON</v>
          </cell>
          <cell r="B714" t="str">
            <v>Trong 24h</v>
          </cell>
          <cell r="D714" t="str">
            <v>Khiếu nại về dịch vụ NextTV</v>
          </cell>
          <cell r="W714" t="str">
            <v>Đã đóng</v>
          </cell>
          <cell r="AJ714" t="str">
            <v>TP HCM</v>
          </cell>
          <cell r="BX714" t="str">
            <v>AON</v>
          </cell>
        </row>
        <row r="715">
          <cell r="A715" t="str">
            <v>ON</v>
          </cell>
          <cell r="B715" t="str">
            <v>Trong 24h</v>
          </cell>
          <cell r="D715" t="str">
            <v>Khiếu nại về dịch vụ FTTH</v>
          </cell>
          <cell r="W715" t="str">
            <v>Đang xử lý</v>
          </cell>
          <cell r="AJ715" t="str">
            <v>Hà Nam</v>
          </cell>
          <cell r="BX715" t="str">
            <v>AON</v>
          </cell>
        </row>
        <row r="716">
          <cell r="A716" t="str">
            <v>ON</v>
          </cell>
          <cell r="B716" t="str">
            <v>Trong 24h</v>
          </cell>
          <cell r="D716" t="str">
            <v>Khiếu nại về dịch vụ FTTH</v>
          </cell>
          <cell r="W716" t="str">
            <v>Đã đóng</v>
          </cell>
          <cell r="AJ716" t="str">
            <v>Bắc Ninh</v>
          </cell>
          <cell r="BX716" t="str">
            <v>AON</v>
          </cell>
        </row>
        <row r="717">
          <cell r="A717" t="str">
            <v>ON</v>
          </cell>
          <cell r="B717" t="str">
            <v>Trong 24h</v>
          </cell>
          <cell r="D717" t="str">
            <v>Khiếu nại về dịch vụ FTTH</v>
          </cell>
          <cell r="W717" t="str">
            <v>Đã đóng</v>
          </cell>
          <cell r="AJ717" t="str">
            <v>Quảng Ninh</v>
          </cell>
          <cell r="BX717" t="str">
            <v>AON</v>
          </cell>
        </row>
        <row r="718">
          <cell r="A718" t="str">
            <v>ON</v>
          </cell>
          <cell r="B718" t="str">
            <v>Trong 24h</v>
          </cell>
          <cell r="D718" t="str">
            <v>Khiếu nại về dịch vụ FTTH</v>
          </cell>
          <cell r="W718" t="str">
            <v>Đã đóng</v>
          </cell>
          <cell r="AJ718" t="str">
            <v>TP HCM</v>
          </cell>
          <cell r="BX718" t="str">
            <v>AON</v>
          </cell>
        </row>
        <row r="719">
          <cell r="A719" t="str">
            <v>ON</v>
          </cell>
          <cell r="B719" t="str">
            <v>Trong 24h</v>
          </cell>
          <cell r="D719" t="str">
            <v>Khiếu nại về dịch vụ FTTH</v>
          </cell>
          <cell r="W719" t="str">
            <v>Đã đóng</v>
          </cell>
          <cell r="AJ719" t="str">
            <v>TP HCM</v>
          </cell>
          <cell r="BX719" t="str">
            <v>AON</v>
          </cell>
        </row>
        <row r="720">
          <cell r="A720" t="str">
            <v>ON</v>
          </cell>
          <cell r="B720" t="str">
            <v>Trong 24h</v>
          </cell>
          <cell r="D720" t="str">
            <v>Khiếu nại về dịch vụ FTTH</v>
          </cell>
          <cell r="W720" t="str">
            <v>Đang xử lý</v>
          </cell>
          <cell r="AJ720" t="str">
            <v xml:space="preserve">Đồng Nai </v>
          </cell>
          <cell r="BX720" t="str">
            <v>AON</v>
          </cell>
        </row>
        <row r="721">
          <cell r="A721" t="str">
            <v>ON</v>
          </cell>
          <cell r="B721" t="str">
            <v>Trong 24h</v>
          </cell>
          <cell r="D721" t="str">
            <v>Khiếu nại về dịch vụ FTTH</v>
          </cell>
          <cell r="W721" t="str">
            <v>Đã đóng</v>
          </cell>
          <cell r="AJ721" t="str">
            <v>TP HCM</v>
          </cell>
          <cell r="BX721" t="str">
            <v>AON</v>
          </cell>
        </row>
        <row r="722">
          <cell r="A722" t="str">
            <v>ON</v>
          </cell>
          <cell r="B722" t="str">
            <v>Trong 24h</v>
          </cell>
          <cell r="D722" t="str">
            <v>Khiếu nại về dịch vụ FTTH</v>
          </cell>
          <cell r="W722" t="str">
            <v>Đã đóng</v>
          </cell>
          <cell r="AJ722" t="str">
            <v>Thái Nguyên</v>
          </cell>
          <cell r="BX722" t="str">
            <v>AON</v>
          </cell>
        </row>
        <row r="723">
          <cell r="A723" t="str">
            <v>ON</v>
          </cell>
          <cell r="B723" t="str">
            <v>Trong 24h</v>
          </cell>
          <cell r="D723" t="str">
            <v>Khiếu nại về dịch vụ FTTH</v>
          </cell>
          <cell r="W723" t="str">
            <v>Đang xử lý</v>
          </cell>
          <cell r="AJ723" t="str">
            <v>Thái Nguyên</v>
          </cell>
          <cell r="BX723" t="str">
            <v>AON</v>
          </cell>
        </row>
        <row r="724">
          <cell r="A724" t="str">
            <v>ON</v>
          </cell>
          <cell r="B724" t="str">
            <v>Trong 24h</v>
          </cell>
          <cell r="D724" t="str">
            <v>Khiếu nại về dịch vụ FTTH</v>
          </cell>
          <cell r="W724" t="str">
            <v>Đang xử lý</v>
          </cell>
          <cell r="AJ724" t="str">
            <v>TP HCM</v>
          </cell>
          <cell r="BX724" t="str">
            <v>AON</v>
          </cell>
        </row>
        <row r="725">
          <cell r="A725" t="str">
            <v>ON</v>
          </cell>
          <cell r="B725" t="str">
            <v>Trong 24h</v>
          </cell>
          <cell r="D725" t="str">
            <v>Khiếu nại về dịch vụ FTTH</v>
          </cell>
          <cell r="W725" t="str">
            <v>Đã đóng</v>
          </cell>
          <cell r="AJ725" t="str">
            <v>TP HCM</v>
          </cell>
          <cell r="BX725" t="str">
            <v>AON</v>
          </cell>
        </row>
        <row r="726">
          <cell r="A726" t="str">
            <v>ON</v>
          </cell>
          <cell r="B726" t="str">
            <v>Trong 24h</v>
          </cell>
          <cell r="D726" t="str">
            <v>Khiếu nại về dịch vụ FTTH</v>
          </cell>
          <cell r="W726" t="str">
            <v>Đã đóng</v>
          </cell>
          <cell r="AJ726" t="str">
            <v>Bình Phước</v>
          </cell>
          <cell r="BX726" t="str">
            <v>AON</v>
          </cell>
        </row>
        <row r="727">
          <cell r="A727" t="str">
            <v>ON</v>
          </cell>
          <cell r="B727" t="str">
            <v>Trong 24h</v>
          </cell>
          <cell r="D727" t="str">
            <v>Khiếu nại về dịch vụ FTTH</v>
          </cell>
          <cell r="W727" t="str">
            <v>Đã đóng</v>
          </cell>
          <cell r="AJ727" t="str">
            <v>Hải Phòng</v>
          </cell>
          <cell r="BX727" t="str">
            <v>AON</v>
          </cell>
        </row>
        <row r="728">
          <cell r="A728" t="str">
            <v>ON</v>
          </cell>
          <cell r="B728" t="str">
            <v>Trong 24h</v>
          </cell>
          <cell r="D728" t="str">
            <v>Khiếu nại về dịch vụ FTTH</v>
          </cell>
          <cell r="W728" t="str">
            <v>Đã đóng</v>
          </cell>
          <cell r="AJ728" t="str">
            <v>Quảng Bình</v>
          </cell>
          <cell r="BX728" t="str">
            <v>AON</v>
          </cell>
        </row>
        <row r="729">
          <cell r="A729" t="str">
            <v>ON</v>
          </cell>
          <cell r="B729" t="str">
            <v>Trong 24h</v>
          </cell>
          <cell r="D729" t="str">
            <v>Khiếu nại về dịch vụ FTTH</v>
          </cell>
          <cell r="W729" t="str">
            <v>Đang xử lý</v>
          </cell>
          <cell r="AJ729" t="str">
            <v>Hà Nam</v>
          </cell>
          <cell r="BX729" t="str">
            <v>AON</v>
          </cell>
        </row>
        <row r="730">
          <cell r="A730" t="str">
            <v>ON</v>
          </cell>
          <cell r="B730" t="str">
            <v>Trong 24h</v>
          </cell>
          <cell r="D730" t="str">
            <v>Khiếu nại về dịch vụ FTTH</v>
          </cell>
          <cell r="W730" t="str">
            <v>Đang xử lý</v>
          </cell>
          <cell r="AJ730" t="str">
            <v>Nghệ An</v>
          </cell>
          <cell r="BX730" t="str">
            <v>AON</v>
          </cell>
        </row>
        <row r="731">
          <cell r="A731" t="str">
            <v>ON</v>
          </cell>
          <cell r="B731" t="str">
            <v>Trong 24h</v>
          </cell>
          <cell r="D731" t="str">
            <v>Khiếu nại về dịch vụ FTTH</v>
          </cell>
          <cell r="W731" t="str">
            <v>Đã đóng</v>
          </cell>
          <cell r="AJ731" t="str">
            <v>Long An</v>
          </cell>
          <cell r="BX731" t="str">
            <v>AON</v>
          </cell>
        </row>
        <row r="732">
          <cell r="A732" t="str">
            <v>ON</v>
          </cell>
          <cell r="B732" t="str">
            <v>Trong 24h</v>
          </cell>
          <cell r="D732" t="str">
            <v>Khiếu nại về dịch vụ FTTH</v>
          </cell>
          <cell r="W732" t="str">
            <v>Đã đóng</v>
          </cell>
          <cell r="AJ732" t="str">
            <v>TP HCM</v>
          </cell>
          <cell r="BX732" t="str">
            <v>AON</v>
          </cell>
        </row>
        <row r="733">
          <cell r="A733" t="str">
            <v>ON</v>
          </cell>
          <cell r="B733" t="str">
            <v>Trong 24h</v>
          </cell>
          <cell r="D733" t="str">
            <v>Khiếu nại về dịch vụ FTTH</v>
          </cell>
          <cell r="W733" t="str">
            <v>Đã đóng</v>
          </cell>
          <cell r="AJ733" t="str">
            <v xml:space="preserve">Đồng Nai </v>
          </cell>
          <cell r="BX733" t="str">
            <v>AON</v>
          </cell>
        </row>
        <row r="734">
          <cell r="A734" t="str">
            <v>ON</v>
          </cell>
          <cell r="B734" t="str">
            <v>Trong 24h</v>
          </cell>
          <cell r="D734" t="str">
            <v>Khiếu nại về dịch vụ FTTH</v>
          </cell>
          <cell r="W734" t="str">
            <v>Đã đóng</v>
          </cell>
          <cell r="AJ734" t="str">
            <v>TP HCM</v>
          </cell>
          <cell r="BX734" t="str">
            <v>AON</v>
          </cell>
        </row>
        <row r="735">
          <cell r="A735" t="str">
            <v>ON</v>
          </cell>
          <cell r="B735" t="str">
            <v>Trong 24h</v>
          </cell>
          <cell r="D735" t="str">
            <v>Khiếu nại về dịch vụ FTTH</v>
          </cell>
          <cell r="W735" t="str">
            <v>Đã đóng</v>
          </cell>
          <cell r="AJ735" t="str">
            <v>Hà Nội 1</v>
          </cell>
          <cell r="BX735" t="str">
            <v>AON</v>
          </cell>
        </row>
        <row r="736">
          <cell r="A736" t="str">
            <v>ON</v>
          </cell>
          <cell r="B736" t="str">
            <v>Trong 24h</v>
          </cell>
          <cell r="D736" t="str">
            <v>Khiếu nại về dịch vụ FTTH</v>
          </cell>
          <cell r="W736" t="str">
            <v>Đã đóng</v>
          </cell>
          <cell r="AJ736" t="str">
            <v>TP HCM</v>
          </cell>
          <cell r="BX736" t="str">
            <v>AON</v>
          </cell>
        </row>
        <row r="737">
          <cell r="A737" t="str">
            <v>ON</v>
          </cell>
          <cell r="B737" t="str">
            <v>Trong 24h</v>
          </cell>
          <cell r="D737" t="str">
            <v>Khiếu nại về dịch vụ FTTH</v>
          </cell>
          <cell r="W737" t="str">
            <v>Đang xử lý</v>
          </cell>
          <cell r="AJ737" t="str">
            <v>Thừa Thiên Huế</v>
          </cell>
          <cell r="BX737" t="str">
            <v>AON</v>
          </cell>
        </row>
        <row r="738">
          <cell r="A738" t="str">
            <v>ON</v>
          </cell>
          <cell r="B738" t="str">
            <v>Trong 24h</v>
          </cell>
          <cell r="D738" t="str">
            <v>Khiếu nại về dịch vụ NextTV</v>
          </cell>
          <cell r="W738" t="str">
            <v>Đã đóng</v>
          </cell>
          <cell r="AJ738" t="str">
            <v>TP HCM</v>
          </cell>
          <cell r="BX738" t="str">
            <v>AON</v>
          </cell>
        </row>
        <row r="739">
          <cell r="A739" t="str">
            <v>ON</v>
          </cell>
          <cell r="B739" t="str">
            <v>Trong 24h</v>
          </cell>
          <cell r="D739" t="str">
            <v>Khiếu nại về dịch vụ FTTH</v>
          </cell>
          <cell r="W739" t="str">
            <v>Đã đóng</v>
          </cell>
          <cell r="AJ739" t="str">
            <v>TP HCM</v>
          </cell>
          <cell r="BX739" t="str">
            <v>AON</v>
          </cell>
        </row>
        <row r="740">
          <cell r="A740" t="str">
            <v>ON</v>
          </cell>
          <cell r="B740" t="str">
            <v>Trong 24h</v>
          </cell>
          <cell r="D740" t="str">
            <v>Khiếu nại về dịch vụ FTTH</v>
          </cell>
          <cell r="W740" t="str">
            <v>Đang xử lý</v>
          </cell>
          <cell r="AJ740" t="str">
            <v>Thừa Thiên Huế</v>
          </cell>
          <cell r="BX740" t="str">
            <v>AON</v>
          </cell>
        </row>
        <row r="741">
          <cell r="A741" t="str">
            <v>ON</v>
          </cell>
          <cell r="B741" t="str">
            <v>Trong 24h</v>
          </cell>
          <cell r="D741" t="str">
            <v>Khiếu nại về dịch vụ FTTH</v>
          </cell>
          <cell r="W741" t="str">
            <v>Đã đóng</v>
          </cell>
          <cell r="AJ741" t="str">
            <v>Hà Nội 2</v>
          </cell>
          <cell r="BX741" t="str">
            <v>AON</v>
          </cell>
        </row>
        <row r="742">
          <cell r="A742" t="str">
            <v>ON</v>
          </cell>
          <cell r="B742" t="str">
            <v>Trong 24h</v>
          </cell>
          <cell r="D742" t="str">
            <v>Khiếu nại về dịch vụ FTTH</v>
          </cell>
          <cell r="W742" t="str">
            <v>Đã đóng</v>
          </cell>
          <cell r="AJ742" t="str">
            <v>Bà Rịa - Vũng Tàu</v>
          </cell>
          <cell r="BX742" t="str">
            <v>AON</v>
          </cell>
        </row>
        <row r="743">
          <cell r="A743" t="str">
            <v>ON</v>
          </cell>
          <cell r="B743" t="str">
            <v>Trong 24h</v>
          </cell>
          <cell r="D743" t="str">
            <v>Khiếu nại về dịch vụ NextTV</v>
          </cell>
          <cell r="W743" t="str">
            <v>Đã đóng</v>
          </cell>
          <cell r="AJ743" t="str">
            <v>Lai Châu</v>
          </cell>
          <cell r="BX743" t="str">
            <v>AON</v>
          </cell>
        </row>
        <row r="744">
          <cell r="A744" t="str">
            <v>ON</v>
          </cell>
          <cell r="B744" t="str">
            <v>Trong 24h</v>
          </cell>
          <cell r="D744" t="str">
            <v>Khiếu nại về dịch vụ FTTH</v>
          </cell>
          <cell r="W744" t="str">
            <v>Đã đóng</v>
          </cell>
          <cell r="AJ744" t="str">
            <v>Bắc Giang</v>
          </cell>
          <cell r="BX744" t="str">
            <v>AON</v>
          </cell>
        </row>
        <row r="745">
          <cell r="A745" t="str">
            <v>ON</v>
          </cell>
          <cell r="B745" t="str">
            <v>Trong 24h</v>
          </cell>
          <cell r="D745" t="str">
            <v>Khiếu nại về dịch vụ FTTH</v>
          </cell>
          <cell r="W745" t="str">
            <v>Đã đóng</v>
          </cell>
          <cell r="AJ745" t="str">
            <v>Nam Định</v>
          </cell>
          <cell r="BX745" t="str">
            <v>AON</v>
          </cell>
        </row>
        <row r="746">
          <cell r="A746" t="str">
            <v>ON</v>
          </cell>
          <cell r="B746" t="str">
            <v>Trong 24h</v>
          </cell>
          <cell r="D746" t="str">
            <v>Khiếu nại về dịch vụ FTTH</v>
          </cell>
          <cell r="W746" t="str">
            <v>Đã đóng</v>
          </cell>
          <cell r="AJ746" t="str">
            <v>TP HCM</v>
          </cell>
          <cell r="BX746" t="str">
            <v>AON</v>
          </cell>
        </row>
        <row r="747">
          <cell r="A747" t="str">
            <v>ON</v>
          </cell>
          <cell r="B747" t="str">
            <v>Trong 24h</v>
          </cell>
          <cell r="D747" t="str">
            <v>Khiếu nại về dịch vụ FTTH</v>
          </cell>
          <cell r="W747" t="str">
            <v>Đang xử lý</v>
          </cell>
          <cell r="AJ747" t="str">
            <v>Quảng Ninh</v>
          </cell>
          <cell r="BX747" t="str">
            <v>AON</v>
          </cell>
        </row>
        <row r="748">
          <cell r="A748" t="str">
            <v>ON</v>
          </cell>
          <cell r="B748" t="str">
            <v>Trong 24h</v>
          </cell>
          <cell r="D748" t="str">
            <v>Khiếu nại về dịch vụ FTTH</v>
          </cell>
          <cell r="W748" t="str">
            <v>Đã đóng</v>
          </cell>
          <cell r="AJ748" t="str">
            <v>TP HCM</v>
          </cell>
          <cell r="BX748" t="str">
            <v>AON</v>
          </cell>
        </row>
        <row r="749">
          <cell r="A749" t="str">
            <v>ON</v>
          </cell>
          <cell r="B749" t="str">
            <v>Trong 24h</v>
          </cell>
          <cell r="D749" t="str">
            <v>Khiếu nại về dịch vụ FTTH</v>
          </cell>
          <cell r="W749" t="str">
            <v>Đã đóng</v>
          </cell>
          <cell r="AJ749" t="str">
            <v>Hậu Giang</v>
          </cell>
          <cell r="BX749" t="str">
            <v>AON</v>
          </cell>
        </row>
        <row r="750">
          <cell r="A750" t="str">
            <v>ON</v>
          </cell>
          <cell r="B750" t="str">
            <v>Trong 24h</v>
          </cell>
          <cell r="D750" t="str">
            <v>Khiếu nại về dịch vụ FTTH</v>
          </cell>
          <cell r="W750" t="str">
            <v>Đã đóng</v>
          </cell>
          <cell r="AJ750" t="str">
            <v>Bắc Giang</v>
          </cell>
          <cell r="BX750" t="str">
            <v>AON</v>
          </cell>
        </row>
        <row r="751">
          <cell r="A751" t="str">
            <v>ON</v>
          </cell>
          <cell r="B751" t="str">
            <v>Trong 24h</v>
          </cell>
          <cell r="D751" t="str">
            <v>Khiếu nại về dịch vụ FTTH</v>
          </cell>
          <cell r="W751" t="str">
            <v>Đang xử lý</v>
          </cell>
          <cell r="AJ751" t="str">
            <v>Long An</v>
          </cell>
          <cell r="BX751" t="str">
            <v>AON</v>
          </cell>
        </row>
        <row r="752">
          <cell r="A752" t="str">
            <v>ON</v>
          </cell>
          <cell r="B752" t="str">
            <v>Trong 24h</v>
          </cell>
          <cell r="D752" t="str">
            <v>Khiếu nại về dịch vụ FTTH</v>
          </cell>
          <cell r="W752" t="str">
            <v>Đã đóng</v>
          </cell>
          <cell r="AJ752" t="str">
            <v>Cần Thơ</v>
          </cell>
          <cell r="BX752" t="str">
            <v>AON</v>
          </cell>
        </row>
        <row r="753">
          <cell r="A753" t="str">
            <v>ON</v>
          </cell>
          <cell r="B753" t="str">
            <v>Trong 24h</v>
          </cell>
          <cell r="D753" t="str">
            <v>Khiếu nại về dịch vụ FTTH</v>
          </cell>
          <cell r="W753" t="str">
            <v>Đã đóng</v>
          </cell>
          <cell r="AJ753" t="str">
            <v>TP HCM</v>
          </cell>
          <cell r="BX753" t="str">
            <v>AON</v>
          </cell>
        </row>
        <row r="754">
          <cell r="A754" t="str">
            <v>ON</v>
          </cell>
          <cell r="B754" t="str">
            <v>Trong 24h</v>
          </cell>
          <cell r="D754" t="str">
            <v>Khiếu nại về dịch vụ FTTH</v>
          </cell>
          <cell r="W754" t="str">
            <v>Đang xử lý</v>
          </cell>
          <cell r="AJ754" t="str">
            <v>Kon Tum</v>
          </cell>
          <cell r="BX754" t="str">
            <v>AON</v>
          </cell>
        </row>
        <row r="755">
          <cell r="A755" t="str">
            <v>ON</v>
          </cell>
          <cell r="B755" t="str">
            <v>Trong 24h</v>
          </cell>
          <cell r="D755" t="str">
            <v>Khiếu nại về dịch vụ FTTH</v>
          </cell>
          <cell r="W755" t="str">
            <v>Đã đóng</v>
          </cell>
          <cell r="AJ755" t="str">
            <v>Bình Thuận</v>
          </cell>
          <cell r="BX755" t="str">
            <v>AON</v>
          </cell>
        </row>
        <row r="756">
          <cell r="A756" t="str">
            <v>ON</v>
          </cell>
          <cell r="B756" t="str">
            <v>Trong 24h</v>
          </cell>
          <cell r="D756" t="str">
            <v>Khiếu nại về dịch vụ NextTV</v>
          </cell>
          <cell r="W756" t="str">
            <v>Đã đóng</v>
          </cell>
          <cell r="AJ756" t="str">
            <v>Bình Phước</v>
          </cell>
          <cell r="BX756" t="str">
            <v>AON</v>
          </cell>
        </row>
        <row r="757">
          <cell r="A757" t="str">
            <v>ON</v>
          </cell>
          <cell r="B757" t="str">
            <v>Trong 24h</v>
          </cell>
          <cell r="D757" t="str">
            <v>Khiếu nại về dịch vụ FTTH</v>
          </cell>
          <cell r="W757" t="str">
            <v>Đã đóng</v>
          </cell>
          <cell r="AJ757" t="str">
            <v>Ninh Bình</v>
          </cell>
          <cell r="BX757" t="str">
            <v>AON</v>
          </cell>
        </row>
        <row r="758">
          <cell r="A758" t="str">
            <v>ON</v>
          </cell>
          <cell r="B758" t="str">
            <v>Trong 24h</v>
          </cell>
          <cell r="D758" t="str">
            <v>Khiếu nại về dịch vụ FTTH</v>
          </cell>
          <cell r="W758" t="str">
            <v>Đã đóng</v>
          </cell>
          <cell r="AJ758" t="str">
            <v>Đồng Tháp</v>
          </cell>
          <cell r="BX758" t="str">
            <v>AON</v>
          </cell>
        </row>
        <row r="759">
          <cell r="A759" t="str">
            <v>ON</v>
          </cell>
          <cell r="B759" t="str">
            <v>Trong 24h</v>
          </cell>
          <cell r="D759" t="str">
            <v>Khiếu nại về dịch vụ FTTH</v>
          </cell>
          <cell r="W759" t="str">
            <v>Đã đóng</v>
          </cell>
          <cell r="AJ759" t="str">
            <v>Thái Bình</v>
          </cell>
          <cell r="BX759" t="str">
            <v>AON</v>
          </cell>
        </row>
        <row r="760">
          <cell r="A760" t="str">
            <v>ON</v>
          </cell>
          <cell r="B760" t="str">
            <v>Trong 24h</v>
          </cell>
          <cell r="D760" t="str">
            <v>Khiếu nại về dịch vụ FTTH</v>
          </cell>
          <cell r="W760" t="str">
            <v>Đã đóng</v>
          </cell>
          <cell r="AJ760" t="str">
            <v>Phú Thọ</v>
          </cell>
          <cell r="BX760" t="str">
            <v>AON</v>
          </cell>
        </row>
        <row r="761">
          <cell r="A761" t="str">
            <v>ON</v>
          </cell>
          <cell r="B761" t="str">
            <v>Trong 24h</v>
          </cell>
          <cell r="D761" t="str">
            <v>Khiếu nại về dịch vụ FTTH</v>
          </cell>
          <cell r="W761" t="str">
            <v>Đã đóng</v>
          </cell>
          <cell r="AJ761" t="str">
            <v>Tây Ninh</v>
          </cell>
          <cell r="BX761" t="str">
            <v>AON</v>
          </cell>
        </row>
        <row r="762">
          <cell r="A762" t="str">
            <v>ON</v>
          </cell>
          <cell r="B762" t="str">
            <v>Trong 24h</v>
          </cell>
          <cell r="D762" t="str">
            <v>Khiếu nại về dịch vụ FTTH</v>
          </cell>
          <cell r="W762" t="str">
            <v>Đã đóng</v>
          </cell>
          <cell r="AJ762" t="str">
            <v>TP HCM</v>
          </cell>
          <cell r="BX762" t="str">
            <v>AON</v>
          </cell>
        </row>
        <row r="763">
          <cell r="A763" t="str">
            <v>ON</v>
          </cell>
          <cell r="B763" t="str">
            <v>Trong 24h</v>
          </cell>
          <cell r="D763" t="str">
            <v>Khiếu nại về dịch vụ FTTH</v>
          </cell>
          <cell r="W763" t="str">
            <v>Đã đóng</v>
          </cell>
          <cell r="AJ763" t="str">
            <v>TP HCM</v>
          </cell>
          <cell r="BX763" t="str">
            <v>AON</v>
          </cell>
        </row>
        <row r="764">
          <cell r="A764" t="str">
            <v>ON</v>
          </cell>
          <cell r="B764" t="str">
            <v>Trong 24h</v>
          </cell>
          <cell r="D764" t="str">
            <v>Khiếu nại về dịch vụ FTTH</v>
          </cell>
          <cell r="W764" t="str">
            <v>Đã đóng</v>
          </cell>
          <cell r="AJ764" t="str">
            <v>Quảng Ninh</v>
          </cell>
          <cell r="BX764" t="str">
            <v>AON</v>
          </cell>
        </row>
        <row r="765">
          <cell r="A765" t="str">
            <v>ON</v>
          </cell>
          <cell r="B765" t="str">
            <v>Trong 24h</v>
          </cell>
          <cell r="D765" t="str">
            <v>Khiếu nại về dịch vụ FTTH</v>
          </cell>
          <cell r="W765" t="str">
            <v>Đã đóng</v>
          </cell>
          <cell r="AJ765" t="str">
            <v>Bắc Ninh</v>
          </cell>
          <cell r="BX765" t="str">
            <v>AON</v>
          </cell>
        </row>
        <row r="766">
          <cell r="A766" t="str">
            <v>ON</v>
          </cell>
          <cell r="B766" t="str">
            <v>Trong 24h</v>
          </cell>
          <cell r="D766" t="str">
            <v>Khiếu nại về dịch vụ FTTH</v>
          </cell>
          <cell r="W766" t="str">
            <v>Đã đóng</v>
          </cell>
          <cell r="AJ766" t="str">
            <v>Ninh Bình</v>
          </cell>
          <cell r="BX766" t="str">
            <v>AON</v>
          </cell>
        </row>
        <row r="767">
          <cell r="A767" t="str">
            <v>ON</v>
          </cell>
          <cell r="B767" t="str">
            <v>Trong 24h</v>
          </cell>
          <cell r="D767" t="str">
            <v>Khiếu nại về dịch vụ FTTH</v>
          </cell>
          <cell r="W767" t="str">
            <v>Đã đóng</v>
          </cell>
          <cell r="AJ767" t="str">
            <v>Tây Ninh</v>
          </cell>
          <cell r="BX767" t="str">
            <v>AON</v>
          </cell>
        </row>
        <row r="768">
          <cell r="A768" t="str">
            <v>ON</v>
          </cell>
          <cell r="B768" t="str">
            <v>Trong 24h</v>
          </cell>
          <cell r="D768" t="str">
            <v>Khiếu nại về dịch vụ FTTH</v>
          </cell>
          <cell r="W768" t="str">
            <v>Đang xử lý</v>
          </cell>
          <cell r="AJ768" t="str">
            <v>Thừa Thiên Huế</v>
          </cell>
          <cell r="BX768" t="str">
            <v>AON</v>
          </cell>
        </row>
        <row r="769">
          <cell r="A769" t="str">
            <v>ON</v>
          </cell>
          <cell r="B769" t="str">
            <v>Trong 24h</v>
          </cell>
          <cell r="D769" t="str">
            <v>Khiếu nại về dịch vụ FTTH</v>
          </cell>
          <cell r="W769" t="str">
            <v>Đang xử lý</v>
          </cell>
          <cell r="AJ769" t="str">
            <v>TP HCM</v>
          </cell>
          <cell r="BX769" t="str">
            <v>AON</v>
          </cell>
        </row>
        <row r="770">
          <cell r="A770" t="str">
            <v>ON</v>
          </cell>
          <cell r="B770" t="str">
            <v>Trong 24h</v>
          </cell>
          <cell r="D770" t="str">
            <v>Khiếu nại về dịch vụ FTTH</v>
          </cell>
          <cell r="W770" t="str">
            <v>Đang xử lý</v>
          </cell>
          <cell r="AJ770" t="str">
            <v>Hà Nội 2</v>
          </cell>
          <cell r="BX770" t="str">
            <v>AON</v>
          </cell>
        </row>
        <row r="771">
          <cell r="A771" t="str">
            <v>ON</v>
          </cell>
          <cell r="B771" t="str">
            <v>Trong 24h</v>
          </cell>
          <cell r="D771" t="str">
            <v>Khiếu nại về dịch vụ FTTH</v>
          </cell>
          <cell r="W771" t="str">
            <v>Đã đóng</v>
          </cell>
          <cell r="AJ771" t="str">
            <v>Bình Dương</v>
          </cell>
          <cell r="BX771" t="str">
            <v>AON</v>
          </cell>
        </row>
        <row r="772">
          <cell r="A772" t="str">
            <v>ON</v>
          </cell>
          <cell r="B772" t="str">
            <v>Trong 24h</v>
          </cell>
          <cell r="D772" t="str">
            <v>Khiếu nại về dịch vụ FTTH</v>
          </cell>
          <cell r="W772" t="str">
            <v>Đang xử lý</v>
          </cell>
          <cell r="AJ772" t="str">
            <v>Bắc Ninh</v>
          </cell>
          <cell r="BX772" t="str">
            <v>AON</v>
          </cell>
        </row>
        <row r="773">
          <cell r="A773" t="str">
            <v>ON</v>
          </cell>
          <cell r="B773" t="str">
            <v>Trong 24h</v>
          </cell>
          <cell r="D773" t="str">
            <v>Khiếu nại về dịch vụ NextTV</v>
          </cell>
          <cell r="W773" t="str">
            <v>Đã đóng</v>
          </cell>
          <cell r="AJ773" t="str">
            <v>TP HCM</v>
          </cell>
          <cell r="BX773" t="str">
            <v>AON</v>
          </cell>
        </row>
        <row r="774">
          <cell r="A774" t="str">
            <v>ON</v>
          </cell>
          <cell r="B774" t="str">
            <v>Trong 24h</v>
          </cell>
          <cell r="D774" t="str">
            <v>Khiếu nại về dịch vụ FTTH</v>
          </cell>
          <cell r="W774" t="str">
            <v>Đã đóng</v>
          </cell>
          <cell r="AJ774" t="str">
            <v>TP HCM</v>
          </cell>
          <cell r="BX774" t="str">
            <v>GPON</v>
          </cell>
        </row>
        <row r="775">
          <cell r="A775" t="str">
            <v>ON</v>
          </cell>
          <cell r="B775" t="str">
            <v>Trong 24h</v>
          </cell>
          <cell r="D775" t="str">
            <v>Khiếu nại về dịch vụ FTTH</v>
          </cell>
          <cell r="W775" t="str">
            <v>Đang xử lý</v>
          </cell>
          <cell r="AJ775" t="str">
            <v>TP HCM</v>
          </cell>
          <cell r="BX775" t="str">
            <v>AON</v>
          </cell>
        </row>
        <row r="776">
          <cell r="A776" t="str">
            <v>ON</v>
          </cell>
          <cell r="B776" t="str">
            <v>Trong 24h</v>
          </cell>
          <cell r="D776" t="str">
            <v>Khiếu nại về dịch vụ FTTH</v>
          </cell>
          <cell r="W776" t="str">
            <v>Đã đóng</v>
          </cell>
          <cell r="AJ776" t="str">
            <v>Hà Nội 1</v>
          </cell>
          <cell r="BX776" t="str">
            <v>AON</v>
          </cell>
        </row>
        <row r="777">
          <cell r="A777" t="str">
            <v>ON</v>
          </cell>
          <cell r="B777" t="str">
            <v>Trong 24h</v>
          </cell>
          <cell r="D777" t="str">
            <v>Khiếu nại về dịch vụ FTTH</v>
          </cell>
          <cell r="W777" t="str">
            <v>Đã đóng</v>
          </cell>
          <cell r="AJ777" t="str">
            <v>TP HCM</v>
          </cell>
          <cell r="BX777" t="str">
            <v>AON</v>
          </cell>
        </row>
        <row r="778">
          <cell r="A778" t="str">
            <v>ON</v>
          </cell>
          <cell r="B778" t="str">
            <v>Trong 24h</v>
          </cell>
          <cell r="D778" t="str">
            <v>Khiếu nại về dịch vụ FTTH</v>
          </cell>
          <cell r="W778" t="str">
            <v>Đang xử lý</v>
          </cell>
          <cell r="AJ778" t="str">
            <v xml:space="preserve">Đắc Lắk </v>
          </cell>
          <cell r="BX778" t="str">
            <v>AON</v>
          </cell>
        </row>
        <row r="779">
          <cell r="A779" t="str">
            <v>ON</v>
          </cell>
          <cell r="B779" t="str">
            <v>Trong 24h</v>
          </cell>
          <cell r="D779" t="str">
            <v>Khiếu nại về dịch vụ FTTH</v>
          </cell>
          <cell r="W779" t="str">
            <v>Đã đóng</v>
          </cell>
          <cell r="AJ779" t="str">
            <v>Hậu Giang</v>
          </cell>
          <cell r="BX779" t="str">
            <v>AON</v>
          </cell>
        </row>
        <row r="780">
          <cell r="A780" t="str">
            <v>ON</v>
          </cell>
          <cell r="B780" t="str">
            <v>Trong 24h</v>
          </cell>
          <cell r="D780" t="str">
            <v>Khiếu nại về dịch vụ FTTH</v>
          </cell>
          <cell r="W780" t="str">
            <v>Đang xử lý</v>
          </cell>
          <cell r="AJ780" t="str">
            <v>TP HCM</v>
          </cell>
          <cell r="BX780" t="str">
            <v>AON</v>
          </cell>
        </row>
        <row r="781">
          <cell r="A781" t="str">
            <v>ON</v>
          </cell>
          <cell r="B781" t="str">
            <v>Trong 24h</v>
          </cell>
          <cell r="D781" t="str">
            <v>Khiếu nại về dịch vụ FTTH</v>
          </cell>
          <cell r="W781" t="str">
            <v>Đã đóng</v>
          </cell>
          <cell r="AJ781" t="str">
            <v>Đắc Nông</v>
          </cell>
          <cell r="BX781" t="str">
            <v>AON</v>
          </cell>
        </row>
        <row r="782">
          <cell r="A782" t="str">
            <v>ON</v>
          </cell>
          <cell r="B782" t="str">
            <v>Trong 24h</v>
          </cell>
          <cell r="D782" t="str">
            <v>Khiếu nại về dịch vụ FTTH</v>
          </cell>
          <cell r="W782" t="str">
            <v>Đã đóng</v>
          </cell>
          <cell r="AJ782" t="str">
            <v>Hà Nội 1</v>
          </cell>
          <cell r="BX782" t="str">
            <v>AON</v>
          </cell>
        </row>
        <row r="783">
          <cell r="A783" t="str">
            <v>ON</v>
          </cell>
          <cell r="B783" t="str">
            <v>Trong 24h</v>
          </cell>
          <cell r="D783" t="str">
            <v>Khiếu nại về dịch vụ FTTH</v>
          </cell>
          <cell r="W783" t="str">
            <v>Đã đóng</v>
          </cell>
          <cell r="AJ783" t="str">
            <v>Bình Dương</v>
          </cell>
          <cell r="BX783" t="str">
            <v>AON</v>
          </cell>
        </row>
        <row r="784">
          <cell r="A784" t="str">
            <v>ON</v>
          </cell>
          <cell r="B784" t="str">
            <v>Trong 24h</v>
          </cell>
          <cell r="D784" t="str">
            <v>Khiếu nại về dịch vụ FTTH</v>
          </cell>
          <cell r="W784" t="str">
            <v>Đã đóng</v>
          </cell>
          <cell r="AJ784" t="str">
            <v>An Giang</v>
          </cell>
          <cell r="BX784" t="str">
            <v>AON</v>
          </cell>
        </row>
        <row r="785">
          <cell r="A785" t="str">
            <v>ON</v>
          </cell>
          <cell r="B785" t="str">
            <v>Trong 24h</v>
          </cell>
          <cell r="D785" t="str">
            <v>Khiếu nại về dịch vụ FTTH</v>
          </cell>
          <cell r="W785" t="str">
            <v>Đang xử lý</v>
          </cell>
          <cell r="AJ785" t="str">
            <v>Bình Định</v>
          </cell>
          <cell r="BX785" t="str">
            <v>AON</v>
          </cell>
        </row>
        <row r="786">
          <cell r="A786" t="str">
            <v>ON</v>
          </cell>
          <cell r="B786" t="str">
            <v>Trong 24h</v>
          </cell>
          <cell r="D786" t="str">
            <v>Khiếu nại về dịch vụ FTTH</v>
          </cell>
          <cell r="W786" t="str">
            <v>Đã đóng</v>
          </cell>
          <cell r="AJ786" t="str">
            <v>Hải Phòng</v>
          </cell>
          <cell r="BX786" t="str">
            <v>AON</v>
          </cell>
        </row>
        <row r="787">
          <cell r="A787" t="str">
            <v>ON</v>
          </cell>
          <cell r="B787" t="str">
            <v>Trong 24h</v>
          </cell>
          <cell r="D787" t="str">
            <v>Khiếu nại về dịch vụ FTTH</v>
          </cell>
          <cell r="W787" t="str">
            <v>Đã đóng</v>
          </cell>
          <cell r="AJ787" t="str">
            <v>Bình Thuận</v>
          </cell>
          <cell r="BX787" t="str">
            <v>AON</v>
          </cell>
        </row>
        <row r="788">
          <cell r="A788" t="str">
            <v>ON</v>
          </cell>
          <cell r="B788" t="str">
            <v>Trong 24h</v>
          </cell>
          <cell r="D788" t="str">
            <v>Khiếu nại về dịch vụ FTTH</v>
          </cell>
          <cell r="W788" t="str">
            <v>Đã đóng</v>
          </cell>
          <cell r="AJ788" t="str">
            <v>Bình Dương</v>
          </cell>
          <cell r="BX788" t="str">
            <v>AON</v>
          </cell>
        </row>
        <row r="789">
          <cell r="A789" t="str">
            <v>ON</v>
          </cell>
          <cell r="B789" t="str">
            <v>Trong 24h</v>
          </cell>
          <cell r="D789" t="str">
            <v>Khiếu nại về dịch vụ FTTH</v>
          </cell>
          <cell r="W789" t="str">
            <v>Đã đóng</v>
          </cell>
          <cell r="AJ789" t="str">
            <v>Hà Nội 1</v>
          </cell>
          <cell r="BX789" t="str">
            <v>AON</v>
          </cell>
        </row>
        <row r="790">
          <cell r="A790" t="str">
            <v>ON</v>
          </cell>
          <cell r="B790" t="str">
            <v>Trong 24h</v>
          </cell>
          <cell r="D790" t="str">
            <v>Khiếu nại về dịch vụ FTTH</v>
          </cell>
          <cell r="W790" t="str">
            <v>Đã đóng</v>
          </cell>
          <cell r="AJ790" t="str">
            <v>Hà Nội 1</v>
          </cell>
          <cell r="BX790" t="str">
            <v>AON</v>
          </cell>
        </row>
        <row r="791">
          <cell r="A791" t="str">
            <v>ON</v>
          </cell>
          <cell r="B791" t="str">
            <v>Trong 24h</v>
          </cell>
          <cell r="D791" t="str">
            <v>Khiếu nại về dịch vụ FTTH</v>
          </cell>
          <cell r="W791" t="str">
            <v>Đã đóng</v>
          </cell>
          <cell r="AJ791" t="str">
            <v>TP HCM</v>
          </cell>
          <cell r="BX791" t="str">
            <v>AON</v>
          </cell>
        </row>
        <row r="792">
          <cell r="A792" t="str">
            <v>ON</v>
          </cell>
          <cell r="B792" t="str">
            <v>Trong 24h</v>
          </cell>
          <cell r="D792" t="str">
            <v>Khiếu nại về dịch vụ FTTH</v>
          </cell>
          <cell r="W792" t="str">
            <v>Đang xử lý</v>
          </cell>
          <cell r="AJ792" t="str">
            <v>Bình Dương</v>
          </cell>
          <cell r="BX792" t="str">
            <v>AON</v>
          </cell>
        </row>
        <row r="793">
          <cell r="A793" t="str">
            <v>ON</v>
          </cell>
          <cell r="B793" t="str">
            <v>Trong 24h</v>
          </cell>
          <cell r="D793" t="str">
            <v>Khiếu nại về dịch vụ FTTH</v>
          </cell>
          <cell r="W793" t="str">
            <v>Đang xử lý</v>
          </cell>
          <cell r="AJ793" t="str">
            <v>TP HCM</v>
          </cell>
          <cell r="BX793" t="str">
            <v>AON</v>
          </cell>
        </row>
        <row r="794">
          <cell r="A794" t="str">
            <v>ON</v>
          </cell>
          <cell r="B794" t="str">
            <v>Trong 24h</v>
          </cell>
          <cell r="D794" t="str">
            <v>Khiếu nại về dịch vụ FTTH</v>
          </cell>
          <cell r="W794" t="str">
            <v>Đã đóng</v>
          </cell>
          <cell r="AJ794" t="str">
            <v>Bình Thuận</v>
          </cell>
          <cell r="BX794" t="str">
            <v>AON</v>
          </cell>
        </row>
        <row r="795">
          <cell r="A795" t="str">
            <v>ON</v>
          </cell>
          <cell r="B795" t="str">
            <v>Trong 24h</v>
          </cell>
          <cell r="D795" t="str">
            <v>Khiếu nại về dịch vụ FTTH</v>
          </cell>
          <cell r="W795" t="str">
            <v>Đã đóng</v>
          </cell>
          <cell r="AJ795" t="str">
            <v>Long An</v>
          </cell>
          <cell r="BX795" t="str">
            <v>AON</v>
          </cell>
        </row>
        <row r="796">
          <cell r="A796" t="str">
            <v>ON</v>
          </cell>
          <cell r="B796" t="str">
            <v>Trong 24h</v>
          </cell>
          <cell r="D796" t="str">
            <v>Khiếu nại về dịch vụ FTTH</v>
          </cell>
          <cell r="W796" t="str">
            <v>Đã đóng</v>
          </cell>
          <cell r="AJ796" t="str">
            <v>TP HCM</v>
          </cell>
          <cell r="BX796" t="str">
            <v>AON</v>
          </cell>
        </row>
        <row r="797">
          <cell r="A797" t="str">
            <v>ON</v>
          </cell>
          <cell r="B797" t="str">
            <v>Trong 24h</v>
          </cell>
          <cell r="D797" t="str">
            <v>Khiếu nại về dịch vụ FTTH</v>
          </cell>
          <cell r="W797" t="str">
            <v>Đã đóng</v>
          </cell>
          <cell r="AJ797" t="str">
            <v>Bà Rịa - Vũng Tàu</v>
          </cell>
          <cell r="BX797" t="str">
            <v>AON</v>
          </cell>
        </row>
        <row r="798">
          <cell r="A798" t="str">
            <v>ON</v>
          </cell>
          <cell r="B798" t="str">
            <v>Trong 24h</v>
          </cell>
          <cell r="D798" t="str">
            <v>Khiếu nại về dịch vụ FTTH</v>
          </cell>
          <cell r="W798" t="str">
            <v>Đã đóng</v>
          </cell>
          <cell r="AJ798" t="str">
            <v>TP HCM</v>
          </cell>
          <cell r="BX798" t="str">
            <v>AON</v>
          </cell>
        </row>
        <row r="799">
          <cell r="A799" t="str">
            <v>ON</v>
          </cell>
          <cell r="B799" t="str">
            <v>Trong 24h</v>
          </cell>
          <cell r="D799" t="str">
            <v>Khiếu nại về dịch vụ FTTH</v>
          </cell>
          <cell r="W799" t="str">
            <v>Đã đóng</v>
          </cell>
          <cell r="AJ799" t="str">
            <v>Cần Thơ</v>
          </cell>
          <cell r="BX799" t="str">
            <v>AON</v>
          </cell>
        </row>
        <row r="800">
          <cell r="A800" t="str">
            <v>ON</v>
          </cell>
          <cell r="B800" t="str">
            <v>Trong 24h</v>
          </cell>
          <cell r="D800" t="str">
            <v>Khiếu nại về dịch vụ FTTH</v>
          </cell>
          <cell r="W800" t="str">
            <v>Đang xử lý</v>
          </cell>
          <cell r="AJ800" t="str">
            <v>TP HCM</v>
          </cell>
          <cell r="BX800" t="str">
            <v>AON</v>
          </cell>
        </row>
        <row r="801">
          <cell r="A801" t="str">
            <v>ON</v>
          </cell>
          <cell r="B801" t="str">
            <v>Trong 24h</v>
          </cell>
          <cell r="D801" t="str">
            <v>Khiếu nại về dịch vụ NextTV</v>
          </cell>
          <cell r="W801" t="str">
            <v>Đang xử lý</v>
          </cell>
          <cell r="AJ801" t="str">
            <v>Thái Nguyên</v>
          </cell>
          <cell r="BX801" t="str">
            <v>AON</v>
          </cell>
        </row>
        <row r="802">
          <cell r="A802" t="str">
            <v>ON</v>
          </cell>
          <cell r="B802" t="str">
            <v>Trong 24h</v>
          </cell>
          <cell r="D802" t="str">
            <v>Khiếu nại về dịch vụ FTTH</v>
          </cell>
          <cell r="W802" t="str">
            <v>Đang xử lý</v>
          </cell>
          <cell r="AJ802" t="str">
            <v>Bắc Ninh</v>
          </cell>
          <cell r="BX802" t="str">
            <v>AON</v>
          </cell>
        </row>
        <row r="803">
          <cell r="A803" t="str">
            <v>ON</v>
          </cell>
          <cell r="B803" t="str">
            <v>Trong 24h</v>
          </cell>
          <cell r="D803" t="str">
            <v>Khiếu nại về dịch vụ FTTH</v>
          </cell>
          <cell r="W803" t="str">
            <v>Đã đóng</v>
          </cell>
          <cell r="AJ803" t="str">
            <v>TP HCM</v>
          </cell>
          <cell r="BX803" t="str">
            <v>AON</v>
          </cell>
        </row>
        <row r="804">
          <cell r="A804" t="str">
            <v>ON</v>
          </cell>
          <cell r="B804" t="str">
            <v>Trong 24h</v>
          </cell>
          <cell r="D804" t="str">
            <v>Khiếu nại về dịch vụ FTTH</v>
          </cell>
          <cell r="W804" t="str">
            <v>Đã đóng</v>
          </cell>
          <cell r="AJ804" t="str">
            <v>Quảng Ninh</v>
          </cell>
          <cell r="BX804" t="str">
            <v>AON</v>
          </cell>
        </row>
        <row r="805">
          <cell r="A805" t="str">
            <v>ON</v>
          </cell>
          <cell r="B805" t="str">
            <v>Trong 24h</v>
          </cell>
          <cell r="D805" t="str">
            <v>Khiếu nại về dịch vụ FTTH</v>
          </cell>
          <cell r="W805" t="str">
            <v>Đã đóng</v>
          </cell>
          <cell r="AJ805" t="str">
            <v>TP HCM</v>
          </cell>
          <cell r="BX805" t="str">
            <v>AON</v>
          </cell>
        </row>
        <row r="806">
          <cell r="A806" t="str">
            <v>ON</v>
          </cell>
          <cell r="B806" t="str">
            <v>Trong 24h</v>
          </cell>
          <cell r="D806" t="str">
            <v>Khiếu nại về dịch vụ FTTH</v>
          </cell>
          <cell r="W806" t="str">
            <v>Đang xử lý</v>
          </cell>
          <cell r="AJ806" t="str">
            <v>Hà Nội 1</v>
          </cell>
          <cell r="BX806" t="str">
            <v>AON</v>
          </cell>
        </row>
        <row r="807">
          <cell r="A807" t="str">
            <v>ON</v>
          </cell>
          <cell r="B807" t="str">
            <v>Trong 24h</v>
          </cell>
          <cell r="D807" t="str">
            <v>Khiếu nại về dịch vụ FTTH</v>
          </cell>
          <cell r="W807" t="str">
            <v>Đã đóng</v>
          </cell>
          <cell r="AJ807" t="str">
            <v>TP HCM</v>
          </cell>
          <cell r="BX807" t="str">
            <v>AON</v>
          </cell>
        </row>
        <row r="808">
          <cell r="A808" t="str">
            <v>ON</v>
          </cell>
          <cell r="B808" t="str">
            <v>Trong 24h</v>
          </cell>
          <cell r="D808" t="str">
            <v>Khiếu nại về dịch vụ FTTH</v>
          </cell>
          <cell r="W808" t="str">
            <v>Đã đóng</v>
          </cell>
          <cell r="AJ808" t="str">
            <v>Lai Châu</v>
          </cell>
          <cell r="BX808" t="str">
            <v>AON</v>
          </cell>
        </row>
        <row r="809">
          <cell r="A809" t="str">
            <v>ON</v>
          </cell>
          <cell r="B809" t="str">
            <v>Trong 24h</v>
          </cell>
          <cell r="D809" t="str">
            <v>Khiếu nại về dịch vụ FTTH</v>
          </cell>
          <cell r="W809" t="str">
            <v>Đã đóng</v>
          </cell>
          <cell r="AJ809" t="str">
            <v>Khánh Hoà</v>
          </cell>
          <cell r="BX809" t="str">
            <v>AON</v>
          </cell>
        </row>
        <row r="810">
          <cell r="A810" t="str">
            <v>ON</v>
          </cell>
          <cell r="B810" t="str">
            <v>Trong 24h</v>
          </cell>
          <cell r="D810" t="str">
            <v>Khiếu nại về dịch vụ FTTH</v>
          </cell>
          <cell r="W810" t="str">
            <v>Đã đóng</v>
          </cell>
          <cell r="AJ810" t="str">
            <v>Đồng Tháp</v>
          </cell>
          <cell r="BX810" t="str">
            <v>AON</v>
          </cell>
        </row>
        <row r="811">
          <cell r="A811" t="str">
            <v>ON</v>
          </cell>
          <cell r="B811" t="str">
            <v>Trong 24h</v>
          </cell>
          <cell r="D811" t="str">
            <v>Khiếu nại về dịch vụ FTTH</v>
          </cell>
          <cell r="W811" t="str">
            <v>Đã đóng</v>
          </cell>
          <cell r="AJ811" t="str">
            <v>TP HCM</v>
          </cell>
          <cell r="BX811" t="str">
            <v>AON</v>
          </cell>
        </row>
        <row r="812">
          <cell r="A812" t="str">
            <v>ON</v>
          </cell>
          <cell r="B812" t="str">
            <v>Trong 24h</v>
          </cell>
          <cell r="D812" t="str">
            <v>Khiếu nại về dịch vụ NextTV</v>
          </cell>
          <cell r="W812" t="str">
            <v>Đã đóng</v>
          </cell>
          <cell r="AJ812" t="str">
            <v>Tuyên Quang</v>
          </cell>
          <cell r="BX812" t="str">
            <v>AON</v>
          </cell>
        </row>
        <row r="813">
          <cell r="A813" t="str">
            <v>ON</v>
          </cell>
          <cell r="B813" t="str">
            <v>Trong 24h</v>
          </cell>
          <cell r="D813" t="str">
            <v>Khiếu nại về dịch vụ FTTH</v>
          </cell>
          <cell r="W813" t="str">
            <v>Đang xử lý</v>
          </cell>
          <cell r="AJ813" t="str">
            <v xml:space="preserve">Đà Nẵng </v>
          </cell>
          <cell r="BX813" t="str">
            <v>AON</v>
          </cell>
        </row>
        <row r="814">
          <cell r="A814" t="str">
            <v>ON</v>
          </cell>
          <cell r="B814" t="str">
            <v>Trong 24h</v>
          </cell>
          <cell r="D814" t="str">
            <v>Khiếu nại về dịch vụ FTTH</v>
          </cell>
          <cell r="W814" t="str">
            <v>Đang xử lý</v>
          </cell>
          <cell r="AJ814" t="str">
            <v xml:space="preserve">Đồng Nai </v>
          </cell>
          <cell r="BX814" t="str">
            <v>AON</v>
          </cell>
        </row>
        <row r="815">
          <cell r="A815" t="str">
            <v>ON</v>
          </cell>
          <cell r="B815" t="str">
            <v>Trong 24h</v>
          </cell>
          <cell r="D815" t="str">
            <v>Khiếu nại về dịch vụ FTTH</v>
          </cell>
          <cell r="W815" t="str">
            <v>Đã đóng</v>
          </cell>
          <cell r="AJ815" t="str">
            <v>TP HCM</v>
          </cell>
          <cell r="BX815" t="str">
            <v>AON</v>
          </cell>
        </row>
        <row r="816">
          <cell r="A816" t="str">
            <v>ON</v>
          </cell>
          <cell r="B816" t="str">
            <v>Trong 24h</v>
          </cell>
          <cell r="D816" t="str">
            <v>Khiếu nại về dịch vụ FTTH</v>
          </cell>
          <cell r="W816" t="str">
            <v>Đã đóng</v>
          </cell>
          <cell r="AJ816" t="str">
            <v>Yên Bái</v>
          </cell>
          <cell r="BX816" t="str">
            <v>AON</v>
          </cell>
        </row>
        <row r="817">
          <cell r="A817" t="str">
            <v>ON</v>
          </cell>
          <cell r="B817" t="str">
            <v>Trong 24h</v>
          </cell>
          <cell r="D817" t="str">
            <v>Khiếu nại về dịch vụ FTTH</v>
          </cell>
          <cell r="W817" t="str">
            <v>Đã đóng</v>
          </cell>
          <cell r="AJ817" t="str">
            <v>TP HCM</v>
          </cell>
          <cell r="BX817" t="str">
            <v>AON</v>
          </cell>
        </row>
        <row r="818">
          <cell r="A818" t="str">
            <v>ON</v>
          </cell>
          <cell r="B818" t="str">
            <v>Trong 24h</v>
          </cell>
          <cell r="D818" t="str">
            <v>Khiếu nại về dịch vụ FTTH</v>
          </cell>
          <cell r="W818" t="str">
            <v>Đã đóng</v>
          </cell>
          <cell r="AJ818" t="str">
            <v>Sơn La</v>
          </cell>
          <cell r="BX818" t="str">
            <v>AON</v>
          </cell>
        </row>
        <row r="819">
          <cell r="A819" t="str">
            <v>ON</v>
          </cell>
          <cell r="B819" t="str">
            <v>Trong 24h</v>
          </cell>
          <cell r="D819" t="str">
            <v>Khiếu nại về dịch vụ FTTH</v>
          </cell>
          <cell r="W819" t="str">
            <v>Đã đóng</v>
          </cell>
          <cell r="AJ819" t="str">
            <v>TP HCM</v>
          </cell>
          <cell r="BX819" t="str">
            <v>AON</v>
          </cell>
        </row>
        <row r="820">
          <cell r="A820" t="str">
            <v>ON</v>
          </cell>
          <cell r="B820" t="str">
            <v>Trong 24h</v>
          </cell>
          <cell r="D820" t="str">
            <v>Khiếu nại về dịch vụ FTTH</v>
          </cell>
          <cell r="W820" t="str">
            <v>Đã đóng</v>
          </cell>
          <cell r="AJ820" t="str">
            <v>TP HCM</v>
          </cell>
          <cell r="BX820" t="str">
            <v>AON</v>
          </cell>
        </row>
        <row r="821">
          <cell r="A821" t="str">
            <v>ON</v>
          </cell>
          <cell r="B821" t="str">
            <v>Trong 24h</v>
          </cell>
          <cell r="D821" t="str">
            <v>Khiếu nại về dịch vụ FTTH</v>
          </cell>
          <cell r="W821" t="str">
            <v>Đã đóng</v>
          </cell>
          <cell r="AJ821" t="str">
            <v>Phú Yên</v>
          </cell>
          <cell r="BX821" t="str">
            <v>AON</v>
          </cell>
        </row>
        <row r="822">
          <cell r="A822" t="str">
            <v>ON</v>
          </cell>
          <cell r="B822" t="str">
            <v>Trong 24h</v>
          </cell>
          <cell r="D822" t="str">
            <v>Khiếu nại về dịch vụ FTTH</v>
          </cell>
          <cell r="W822" t="str">
            <v>Đang xử lý</v>
          </cell>
          <cell r="AJ822" t="str">
            <v>An Giang</v>
          </cell>
          <cell r="BX822" t="str">
            <v>AON</v>
          </cell>
        </row>
        <row r="823">
          <cell r="A823" t="str">
            <v>ON</v>
          </cell>
          <cell r="B823" t="str">
            <v>Trong 24h</v>
          </cell>
          <cell r="D823" t="str">
            <v>Khiếu nại về dịch vụ NextTV</v>
          </cell>
          <cell r="W823" t="str">
            <v>Đã đóng</v>
          </cell>
          <cell r="AJ823" t="str">
            <v>TP HCM</v>
          </cell>
          <cell r="BX823" t="str">
            <v>AON</v>
          </cell>
        </row>
        <row r="824">
          <cell r="A824" t="str">
            <v>ON</v>
          </cell>
          <cell r="B824" t="str">
            <v>Trong 24h</v>
          </cell>
          <cell r="D824" t="str">
            <v>Khiếu nại về dịch vụ FTTH</v>
          </cell>
          <cell r="W824" t="str">
            <v>Đang xử lý</v>
          </cell>
          <cell r="AJ824" t="str">
            <v>Thừa Thiên Huế</v>
          </cell>
          <cell r="BX824" t="str">
            <v>AON</v>
          </cell>
        </row>
        <row r="825">
          <cell r="A825" t="str">
            <v>ON</v>
          </cell>
          <cell r="B825" t="str">
            <v>Trong 24h</v>
          </cell>
          <cell r="D825" t="str">
            <v>Khiếu nại về dịch vụ FTTH</v>
          </cell>
          <cell r="W825" t="str">
            <v>Đã đóng</v>
          </cell>
          <cell r="AJ825" t="str">
            <v>TP HCM</v>
          </cell>
          <cell r="BX825" t="str">
            <v>GPON</v>
          </cell>
        </row>
        <row r="826">
          <cell r="A826" t="str">
            <v>ON</v>
          </cell>
          <cell r="B826" t="str">
            <v>Trong 24h</v>
          </cell>
          <cell r="D826" t="str">
            <v>Khiếu nại về dịch vụ FTTH</v>
          </cell>
          <cell r="W826" t="str">
            <v>Đã đóng</v>
          </cell>
          <cell r="AJ826" t="str">
            <v>Hà Nội 2</v>
          </cell>
          <cell r="BX826" t="str">
            <v>AON</v>
          </cell>
        </row>
        <row r="827">
          <cell r="A827" t="str">
            <v>ON</v>
          </cell>
          <cell r="B827" t="str">
            <v>Trong 24h</v>
          </cell>
          <cell r="D827" t="str">
            <v>Khiếu nại về dịch vụ FTTH</v>
          </cell>
          <cell r="W827" t="str">
            <v>Đã đóng</v>
          </cell>
          <cell r="AJ827" t="str">
            <v>Hà Nội 1</v>
          </cell>
          <cell r="BX827" t="str">
            <v>AON</v>
          </cell>
        </row>
        <row r="828">
          <cell r="A828" t="str">
            <v>ON</v>
          </cell>
          <cell r="B828" t="str">
            <v>Trong 24h</v>
          </cell>
          <cell r="D828" t="str">
            <v>Khiếu nại về dịch vụ FTTH</v>
          </cell>
          <cell r="W828" t="str">
            <v>Đã đóng</v>
          </cell>
          <cell r="AJ828" t="str">
            <v>Vĩnh Phúc</v>
          </cell>
          <cell r="BX828" t="str">
            <v>AON</v>
          </cell>
        </row>
        <row r="829">
          <cell r="A829" t="str">
            <v>ON</v>
          </cell>
          <cell r="B829" t="str">
            <v>Trong 24h</v>
          </cell>
          <cell r="D829" t="str">
            <v>Khiếu nại về dịch vụ FTTH</v>
          </cell>
          <cell r="W829" t="str">
            <v>Đã đóng</v>
          </cell>
          <cell r="AJ829" t="str">
            <v>Bắc Ninh</v>
          </cell>
          <cell r="BX829" t="str">
            <v>AON</v>
          </cell>
        </row>
        <row r="830">
          <cell r="A830" t="str">
            <v>ON</v>
          </cell>
          <cell r="B830" t="str">
            <v>Trong 24h</v>
          </cell>
          <cell r="D830" t="str">
            <v>Khiếu nại về dịch vụ FTTH</v>
          </cell>
          <cell r="W830" t="str">
            <v>Đang xử lý</v>
          </cell>
          <cell r="AJ830" t="str">
            <v>TP HCM</v>
          </cell>
          <cell r="BX830" t="str">
            <v>AON</v>
          </cell>
        </row>
        <row r="831">
          <cell r="A831" t="str">
            <v>ON</v>
          </cell>
          <cell r="B831" t="str">
            <v>Trong 24h</v>
          </cell>
          <cell r="D831" t="str">
            <v>Khiếu nại về dịch vụ FTTH</v>
          </cell>
          <cell r="W831" t="str">
            <v>Đang xử lý</v>
          </cell>
          <cell r="AJ831" t="str">
            <v>TP HCM</v>
          </cell>
          <cell r="BX831" t="str">
            <v>AON</v>
          </cell>
        </row>
        <row r="832">
          <cell r="A832" t="str">
            <v>ON</v>
          </cell>
          <cell r="B832" t="str">
            <v>Trong 24h</v>
          </cell>
          <cell r="D832" t="str">
            <v>Khiếu nại về dịch vụ FTTH</v>
          </cell>
          <cell r="W832" t="str">
            <v>Đang xử lý</v>
          </cell>
          <cell r="AJ832" t="str">
            <v>Bình Dương</v>
          </cell>
          <cell r="BX832" t="str">
            <v>AON</v>
          </cell>
        </row>
        <row r="833">
          <cell r="A833" t="str">
            <v>ON</v>
          </cell>
          <cell r="B833" t="str">
            <v>Trong 24h</v>
          </cell>
          <cell r="D833" t="str">
            <v>Khiếu nại về dịch vụ FTTH</v>
          </cell>
          <cell r="W833" t="str">
            <v>Đang xử lý</v>
          </cell>
          <cell r="AJ833" t="str">
            <v>TP HCM</v>
          </cell>
          <cell r="BX833" t="str">
            <v>GPON</v>
          </cell>
        </row>
        <row r="834">
          <cell r="A834" t="str">
            <v>ON</v>
          </cell>
          <cell r="B834" t="str">
            <v>Trong 24h</v>
          </cell>
          <cell r="D834" t="str">
            <v>Khiếu nại về dịch vụ FTTH</v>
          </cell>
          <cell r="W834" t="str">
            <v>Đang xử lý</v>
          </cell>
          <cell r="AJ834" t="str">
            <v>Hà Nam</v>
          </cell>
          <cell r="BX834" t="str">
            <v>AON</v>
          </cell>
        </row>
        <row r="835">
          <cell r="A835" t="str">
            <v>ON</v>
          </cell>
          <cell r="B835" t="str">
            <v>Trong 24h</v>
          </cell>
          <cell r="D835" t="str">
            <v>Khiếu nại về dịch vụ FTTH</v>
          </cell>
          <cell r="W835" t="str">
            <v>Đã đóng</v>
          </cell>
          <cell r="AJ835" t="str">
            <v xml:space="preserve">Đồng Nai </v>
          </cell>
          <cell r="BX835" t="str">
            <v>AON</v>
          </cell>
        </row>
        <row r="836">
          <cell r="A836" t="str">
            <v>ON</v>
          </cell>
          <cell r="B836" t="str">
            <v>Trong 24h</v>
          </cell>
          <cell r="D836" t="str">
            <v>Khiếu nại về dịch vụ FTTH</v>
          </cell>
          <cell r="W836" t="str">
            <v>Đã đóng</v>
          </cell>
          <cell r="AJ836" t="str">
            <v>Lào Cai</v>
          </cell>
          <cell r="BX836" t="str">
            <v>AON</v>
          </cell>
        </row>
        <row r="837">
          <cell r="A837" t="str">
            <v>ON</v>
          </cell>
          <cell r="B837" t="str">
            <v>Trong 24h</v>
          </cell>
          <cell r="D837" t="str">
            <v>Khiếu nại về dịch vụ FTTH</v>
          </cell>
          <cell r="W837" t="str">
            <v>Đã đóng</v>
          </cell>
          <cell r="AJ837" t="str">
            <v>Hưng Yên</v>
          </cell>
          <cell r="BX837" t="str">
            <v>AON</v>
          </cell>
        </row>
        <row r="838">
          <cell r="A838" t="str">
            <v>ON</v>
          </cell>
          <cell r="B838" t="str">
            <v>Trong 24h</v>
          </cell>
          <cell r="D838" t="str">
            <v>Khiếu nại về dịch vụ FTTH</v>
          </cell>
          <cell r="W838" t="str">
            <v>Đã đóng</v>
          </cell>
          <cell r="AJ838" t="str">
            <v>TP HCM</v>
          </cell>
          <cell r="BX838" t="str">
            <v>AON</v>
          </cell>
        </row>
        <row r="839">
          <cell r="A839" t="str">
            <v>ON</v>
          </cell>
          <cell r="B839" t="str">
            <v>Trong 24h</v>
          </cell>
          <cell r="D839" t="str">
            <v>Khiếu nại về dịch vụ FTTH</v>
          </cell>
          <cell r="W839" t="str">
            <v>Đã đóng</v>
          </cell>
          <cell r="AJ839" t="str">
            <v>TP HCM</v>
          </cell>
          <cell r="BX839" t="str">
            <v>AON</v>
          </cell>
        </row>
        <row r="840">
          <cell r="A840" t="str">
            <v>ON</v>
          </cell>
          <cell r="B840" t="str">
            <v>Trong 24h</v>
          </cell>
          <cell r="D840" t="str">
            <v>Khiếu nại về dịch vụ FTTH</v>
          </cell>
          <cell r="W840" t="str">
            <v>Đang xử lý</v>
          </cell>
          <cell r="AJ840" t="str">
            <v>Hoà Bình</v>
          </cell>
          <cell r="BX840" t="str">
            <v>AON</v>
          </cell>
        </row>
        <row r="841">
          <cell r="A841" t="str">
            <v>ON</v>
          </cell>
          <cell r="B841" t="str">
            <v>Trong 24h</v>
          </cell>
          <cell r="D841" t="str">
            <v>Khiếu nại về dịch vụ FTTH</v>
          </cell>
          <cell r="W841" t="str">
            <v>Đang xử lý</v>
          </cell>
          <cell r="AJ841" t="str">
            <v>Quảng Ninh</v>
          </cell>
          <cell r="BX841" t="str">
            <v>AON</v>
          </cell>
        </row>
        <row r="842">
          <cell r="A842" t="str">
            <v>ON</v>
          </cell>
          <cell r="B842" t="str">
            <v>Trong 24h</v>
          </cell>
          <cell r="D842" t="str">
            <v>Khiếu nại về dịch vụ NextTV</v>
          </cell>
          <cell r="W842" t="str">
            <v>Đã đóng</v>
          </cell>
          <cell r="AJ842" t="str">
            <v>Quảng Ninh</v>
          </cell>
          <cell r="BX842" t="str">
            <v>AON</v>
          </cell>
        </row>
        <row r="843">
          <cell r="A843" t="str">
            <v>ON</v>
          </cell>
          <cell r="B843" t="str">
            <v>Trong 24h</v>
          </cell>
          <cell r="D843" t="str">
            <v>Khiếu nại về dịch vụ FTTH</v>
          </cell>
          <cell r="W843" t="str">
            <v>Đã đóng</v>
          </cell>
          <cell r="AJ843" t="str">
            <v>TP HCM</v>
          </cell>
          <cell r="BX843" t="str">
            <v>AON</v>
          </cell>
        </row>
        <row r="844">
          <cell r="A844" t="str">
            <v>ON</v>
          </cell>
          <cell r="B844" t="str">
            <v>Trong 24h</v>
          </cell>
          <cell r="D844" t="str">
            <v>Khiếu nại về dịch vụ FTTH</v>
          </cell>
          <cell r="W844" t="str">
            <v>Đã đóng</v>
          </cell>
          <cell r="AJ844" t="str">
            <v>Bạc Liêu</v>
          </cell>
          <cell r="BX844" t="str">
            <v>AON</v>
          </cell>
        </row>
        <row r="845">
          <cell r="A845" t="str">
            <v>ON</v>
          </cell>
          <cell r="B845" t="str">
            <v>Trong 24h</v>
          </cell>
          <cell r="D845" t="str">
            <v>Khiếu nại về dịch vụ FTTH</v>
          </cell>
          <cell r="W845" t="str">
            <v>Đã đóng</v>
          </cell>
          <cell r="AJ845" t="str">
            <v>TP HCM</v>
          </cell>
          <cell r="BX845" t="str">
            <v>GPON</v>
          </cell>
        </row>
        <row r="846">
          <cell r="A846" t="str">
            <v>ON</v>
          </cell>
          <cell r="B846" t="str">
            <v>Trong 24h</v>
          </cell>
          <cell r="D846" t="str">
            <v>Khiếu nại về dịch vụ FTTH</v>
          </cell>
          <cell r="W846" t="str">
            <v>Đang xử lý</v>
          </cell>
          <cell r="AJ846" t="str">
            <v>Quảng Ninh</v>
          </cell>
          <cell r="BX846" t="str">
            <v>AON</v>
          </cell>
        </row>
        <row r="847">
          <cell r="A847" t="str">
            <v>ON</v>
          </cell>
          <cell r="B847" t="str">
            <v>Trong 24h</v>
          </cell>
          <cell r="D847" t="str">
            <v>Khiếu nại về dịch vụ NextTV</v>
          </cell>
          <cell r="W847" t="str">
            <v>Đang xử lý</v>
          </cell>
          <cell r="AJ847" t="str">
            <v>Quảng Ninh</v>
          </cell>
          <cell r="BX847" t="str">
            <v>AON</v>
          </cell>
        </row>
        <row r="848">
          <cell r="A848" t="str">
            <v>ON</v>
          </cell>
          <cell r="B848" t="str">
            <v>Trong 24h</v>
          </cell>
          <cell r="D848" t="str">
            <v>Khiếu nại về dịch vụ FTTH</v>
          </cell>
          <cell r="W848" t="str">
            <v>Đã đóng</v>
          </cell>
          <cell r="AJ848" t="str">
            <v>TP HCM</v>
          </cell>
          <cell r="BX848" t="str">
            <v>AON</v>
          </cell>
        </row>
        <row r="849">
          <cell r="A849" t="str">
            <v>ON</v>
          </cell>
          <cell r="B849" t="str">
            <v>Trong 24h</v>
          </cell>
          <cell r="D849" t="str">
            <v>Khiếu nại về dịch vụ FTTH</v>
          </cell>
          <cell r="W849" t="str">
            <v>Đã đóng</v>
          </cell>
          <cell r="AJ849" t="str">
            <v>TP HCM</v>
          </cell>
          <cell r="BX849" t="str">
            <v>AON</v>
          </cell>
        </row>
        <row r="850">
          <cell r="A850" t="str">
            <v>ON</v>
          </cell>
          <cell r="B850" t="str">
            <v>Trong 24h</v>
          </cell>
          <cell r="D850" t="str">
            <v>Khiếu nại về dịch vụ FTTH</v>
          </cell>
          <cell r="W850" t="str">
            <v>Đang xử lý</v>
          </cell>
          <cell r="AJ850" t="str">
            <v>Bắc Ninh</v>
          </cell>
          <cell r="BX850" t="str">
            <v>AON</v>
          </cell>
        </row>
        <row r="851">
          <cell r="A851" t="str">
            <v>ON</v>
          </cell>
          <cell r="B851" t="str">
            <v>Trong 24h</v>
          </cell>
          <cell r="D851" t="str">
            <v>Khiếu nại về dịch vụ FTTH</v>
          </cell>
          <cell r="W851" t="str">
            <v>Đã đóng</v>
          </cell>
          <cell r="AJ851" t="str">
            <v>Tây Ninh</v>
          </cell>
          <cell r="BX851" t="str">
            <v>AON</v>
          </cell>
        </row>
        <row r="852">
          <cell r="A852" t="str">
            <v>ON</v>
          </cell>
          <cell r="B852" t="str">
            <v>Trong 24h</v>
          </cell>
          <cell r="D852" t="str">
            <v>Khiếu nại về dịch vụ FTTH</v>
          </cell>
          <cell r="W852" t="str">
            <v>Đã đóng</v>
          </cell>
          <cell r="AJ852" t="str">
            <v>An Giang</v>
          </cell>
          <cell r="BX852" t="str">
            <v>AON</v>
          </cell>
        </row>
        <row r="853">
          <cell r="A853" t="str">
            <v>ON</v>
          </cell>
          <cell r="B853" t="str">
            <v>Trong 24h</v>
          </cell>
          <cell r="D853" t="str">
            <v>Khiếu nại về dịch vụ FTTH</v>
          </cell>
          <cell r="W853" t="str">
            <v>Đã đóng</v>
          </cell>
          <cell r="AJ853" t="str">
            <v>Khánh Hoà</v>
          </cell>
          <cell r="BX853" t="str">
            <v>AON</v>
          </cell>
        </row>
        <row r="854">
          <cell r="A854" t="str">
            <v>ON</v>
          </cell>
          <cell r="B854" t="str">
            <v>Trong 24h</v>
          </cell>
          <cell r="D854" t="str">
            <v>Khiếu nại về dịch vụ NextTV</v>
          </cell>
          <cell r="W854" t="str">
            <v>Đã đóng</v>
          </cell>
          <cell r="AJ854" t="str">
            <v>An Giang</v>
          </cell>
          <cell r="BX854" t="str">
            <v>AON</v>
          </cell>
        </row>
        <row r="855">
          <cell r="A855" t="str">
            <v>ON</v>
          </cell>
          <cell r="B855" t="str">
            <v>Trong 24h</v>
          </cell>
          <cell r="D855" t="str">
            <v>Khiếu nại về dịch vụ FTTH</v>
          </cell>
          <cell r="W855" t="str">
            <v>Đã đóng</v>
          </cell>
          <cell r="AJ855" t="str">
            <v>Bình Dương</v>
          </cell>
          <cell r="BX855" t="str">
            <v>AON</v>
          </cell>
        </row>
        <row r="856">
          <cell r="A856" t="str">
            <v>ON</v>
          </cell>
          <cell r="B856" t="str">
            <v>Trong 24h</v>
          </cell>
          <cell r="D856" t="str">
            <v>Khiếu nại về dịch vụ FTTH</v>
          </cell>
          <cell r="W856" t="str">
            <v>Đã đóng</v>
          </cell>
          <cell r="AJ856" t="str">
            <v>TP HCM</v>
          </cell>
          <cell r="BX856" t="str">
            <v>AON</v>
          </cell>
        </row>
        <row r="857">
          <cell r="A857" t="str">
            <v>ON</v>
          </cell>
          <cell r="B857" t="str">
            <v>Trong 24h</v>
          </cell>
          <cell r="D857" t="str">
            <v>Khiếu nại về dịch vụ FTTH</v>
          </cell>
          <cell r="W857" t="str">
            <v>Đã đóng</v>
          </cell>
          <cell r="AJ857" t="str">
            <v>Bắc Giang</v>
          </cell>
          <cell r="BX857" t="str">
            <v>AON</v>
          </cell>
        </row>
        <row r="858">
          <cell r="A858" t="str">
            <v>ON</v>
          </cell>
          <cell r="B858" t="str">
            <v>Trong 24h</v>
          </cell>
          <cell r="D858" t="str">
            <v>Khiếu nại về dịch vụ FTTH</v>
          </cell>
          <cell r="W858" t="str">
            <v>Đã đóng</v>
          </cell>
          <cell r="AJ858" t="str">
            <v>TP HCM</v>
          </cell>
          <cell r="BX858" t="str">
            <v>AON</v>
          </cell>
        </row>
        <row r="859">
          <cell r="A859" t="str">
            <v>ON</v>
          </cell>
          <cell r="B859" t="str">
            <v>Trong 24h</v>
          </cell>
          <cell r="D859" t="str">
            <v>Khiếu nại về dịch vụ FTTH</v>
          </cell>
          <cell r="W859" t="str">
            <v>Đã đóng</v>
          </cell>
          <cell r="AJ859" t="str">
            <v>Hà Nội 2</v>
          </cell>
          <cell r="BX859" t="str">
            <v>AON</v>
          </cell>
        </row>
        <row r="860">
          <cell r="A860" t="str">
            <v>ON</v>
          </cell>
          <cell r="B860" t="str">
            <v>Trong 24h</v>
          </cell>
          <cell r="D860" t="str">
            <v>Khiếu nại về dịch vụ FTTH</v>
          </cell>
          <cell r="W860" t="str">
            <v>Đã đóng</v>
          </cell>
          <cell r="AJ860" t="str">
            <v>Cần Thơ</v>
          </cell>
          <cell r="BX860" t="str">
            <v>AON</v>
          </cell>
        </row>
        <row r="861">
          <cell r="A861" t="str">
            <v>ON</v>
          </cell>
          <cell r="B861" t="str">
            <v>Trong 24h</v>
          </cell>
          <cell r="D861" t="str">
            <v>Khiếu nại về dịch vụ FTTH</v>
          </cell>
          <cell r="W861" t="str">
            <v>Đã đóng</v>
          </cell>
          <cell r="AJ861" t="str">
            <v>TP HCM</v>
          </cell>
          <cell r="BX861" t="str">
            <v>AON</v>
          </cell>
        </row>
        <row r="862">
          <cell r="A862" t="str">
            <v>ON</v>
          </cell>
          <cell r="B862" t="str">
            <v>Trong 24h</v>
          </cell>
          <cell r="D862" t="str">
            <v>Khiếu nại về dịch vụ FTTH</v>
          </cell>
          <cell r="W862" t="str">
            <v>Đang xử lý</v>
          </cell>
          <cell r="AJ862" t="str">
            <v>Quảng Bình</v>
          </cell>
          <cell r="BX862" t="str">
            <v>AON</v>
          </cell>
        </row>
        <row r="863">
          <cell r="A863" t="str">
            <v>ON</v>
          </cell>
          <cell r="B863" t="str">
            <v>Trong 24h</v>
          </cell>
          <cell r="D863" t="str">
            <v>Khiếu nại về dịch vụ FTTH</v>
          </cell>
          <cell r="W863" t="str">
            <v>Đã đóng</v>
          </cell>
          <cell r="AJ863" t="str">
            <v>Lâm Đồng</v>
          </cell>
          <cell r="BX863" t="str">
            <v>AON</v>
          </cell>
        </row>
        <row r="864">
          <cell r="A864" t="str">
            <v>ON</v>
          </cell>
          <cell r="B864" t="str">
            <v>Trong 24h</v>
          </cell>
          <cell r="D864" t="str">
            <v>Khiếu nại về dịch vụ FTTH</v>
          </cell>
          <cell r="W864" t="str">
            <v>Đã đóng</v>
          </cell>
          <cell r="AJ864" t="str">
            <v>Hà Nội 1</v>
          </cell>
          <cell r="BX864" t="str">
            <v>AON</v>
          </cell>
        </row>
        <row r="865">
          <cell r="A865" t="str">
            <v>ON</v>
          </cell>
          <cell r="B865" t="str">
            <v>Trong 24h</v>
          </cell>
          <cell r="D865" t="str">
            <v>Khiếu nại về dịch vụ FTTH</v>
          </cell>
          <cell r="W865" t="str">
            <v>Đang xử lý</v>
          </cell>
          <cell r="AJ865" t="str">
            <v>TP HCM</v>
          </cell>
          <cell r="BX865" t="str">
            <v>AON</v>
          </cell>
        </row>
        <row r="866">
          <cell r="A866" t="str">
            <v>ON</v>
          </cell>
          <cell r="B866" t="str">
            <v>Trong 24h</v>
          </cell>
          <cell r="D866" t="str">
            <v>Khiếu nại về dịch vụ NextTV</v>
          </cell>
          <cell r="W866" t="str">
            <v>Đã đóng</v>
          </cell>
          <cell r="AJ866" t="str">
            <v>TP HCM</v>
          </cell>
          <cell r="BX866" t="str">
            <v>AON</v>
          </cell>
        </row>
        <row r="867">
          <cell r="A867" t="str">
            <v>ON</v>
          </cell>
          <cell r="B867" t="str">
            <v>Trong 24h</v>
          </cell>
          <cell r="D867" t="str">
            <v>Khiếu nại về dịch vụ FTTH</v>
          </cell>
          <cell r="W867" t="str">
            <v>Đã đóng</v>
          </cell>
          <cell r="AJ867" t="str">
            <v>TP HCM</v>
          </cell>
          <cell r="BX867" t="str">
            <v>AON</v>
          </cell>
        </row>
        <row r="868">
          <cell r="A868" t="str">
            <v>ON</v>
          </cell>
          <cell r="B868" t="str">
            <v>Trong 24h</v>
          </cell>
          <cell r="D868" t="str">
            <v>Khiếu nại về dịch vụ FTTH</v>
          </cell>
          <cell r="W868" t="str">
            <v>Đã đóng</v>
          </cell>
          <cell r="AJ868" t="str">
            <v>Thái Bình</v>
          </cell>
          <cell r="BX868" t="str">
            <v>AON</v>
          </cell>
        </row>
        <row r="869">
          <cell r="A869" t="str">
            <v>ON</v>
          </cell>
          <cell r="B869" t="str">
            <v>Trong 24h</v>
          </cell>
          <cell r="D869" t="str">
            <v>Khiếu nại về dịch vụ FTTH</v>
          </cell>
          <cell r="W869" t="str">
            <v>Đã đóng</v>
          </cell>
          <cell r="AJ869" t="str">
            <v>Hà Nội 2</v>
          </cell>
          <cell r="BX869" t="str">
            <v>AON</v>
          </cell>
        </row>
        <row r="870">
          <cell r="A870" t="str">
            <v>ON</v>
          </cell>
          <cell r="B870" t="str">
            <v>Trong 24h</v>
          </cell>
          <cell r="D870" t="str">
            <v>Khiếu nại về dịch vụ FTTH</v>
          </cell>
          <cell r="W870" t="str">
            <v>Đã đóng</v>
          </cell>
          <cell r="AJ870" t="str">
            <v>Hà Nội 2</v>
          </cell>
          <cell r="BX870" t="str">
            <v>AON</v>
          </cell>
        </row>
        <row r="871">
          <cell r="A871" t="str">
            <v>ON</v>
          </cell>
          <cell r="B871" t="str">
            <v>Trong 24h</v>
          </cell>
          <cell r="D871" t="str">
            <v>Khiếu nại về dịch vụ FTTH</v>
          </cell>
          <cell r="W871" t="str">
            <v>Đang xử lý</v>
          </cell>
          <cell r="AJ871" t="str">
            <v>TP HCM</v>
          </cell>
          <cell r="BX871" t="str">
            <v>AON</v>
          </cell>
        </row>
        <row r="872">
          <cell r="A872" t="str">
            <v>ON</v>
          </cell>
          <cell r="B872" t="str">
            <v>Trong 24h</v>
          </cell>
          <cell r="D872" t="str">
            <v>Khiếu nại về dịch vụ FTTH</v>
          </cell>
          <cell r="W872" t="str">
            <v>Đã đóng</v>
          </cell>
          <cell r="AJ872" t="str">
            <v xml:space="preserve">Đồng Nai </v>
          </cell>
          <cell r="BX872" t="str">
            <v>AON</v>
          </cell>
        </row>
        <row r="873">
          <cell r="A873" t="str">
            <v>ON</v>
          </cell>
          <cell r="B873" t="str">
            <v>Trong 24h</v>
          </cell>
          <cell r="D873" t="str">
            <v>Khiếu nại về dịch vụ FTTH</v>
          </cell>
          <cell r="W873" t="str">
            <v>Đã đóng</v>
          </cell>
          <cell r="AJ873" t="str">
            <v>Hà Nội 2</v>
          </cell>
          <cell r="BX873" t="str">
            <v>AON</v>
          </cell>
        </row>
        <row r="874">
          <cell r="A874" t="str">
            <v>ON</v>
          </cell>
          <cell r="B874" t="str">
            <v>Trong 24h</v>
          </cell>
          <cell r="D874" t="str">
            <v>Khiếu nại về dịch vụ FTTH</v>
          </cell>
          <cell r="W874" t="str">
            <v>Đã đóng</v>
          </cell>
          <cell r="AJ874" t="str">
            <v>Lạng Sơn</v>
          </cell>
          <cell r="BX874" t="str">
            <v>AON</v>
          </cell>
        </row>
        <row r="875">
          <cell r="A875" t="str">
            <v>ON</v>
          </cell>
          <cell r="B875" t="str">
            <v>Trong 24h</v>
          </cell>
          <cell r="D875" t="str">
            <v>Khiếu nại về dịch vụ FTTH</v>
          </cell>
          <cell r="W875" t="str">
            <v>Đã đóng</v>
          </cell>
          <cell r="AJ875" t="str">
            <v>Hưng Yên</v>
          </cell>
          <cell r="BX875" t="str">
            <v>AON</v>
          </cell>
        </row>
        <row r="876">
          <cell r="A876" t="str">
            <v>ON</v>
          </cell>
          <cell r="B876" t="str">
            <v>Trong 24h</v>
          </cell>
          <cell r="D876" t="str">
            <v>Khiếu nại về dịch vụ NextTV</v>
          </cell>
          <cell r="W876" t="str">
            <v>Đang xử lý</v>
          </cell>
          <cell r="AJ876" t="str">
            <v>TP HCM</v>
          </cell>
          <cell r="BX876" t="str">
            <v>AON</v>
          </cell>
        </row>
        <row r="877">
          <cell r="A877" t="str">
            <v>ON</v>
          </cell>
          <cell r="B877" t="str">
            <v>Trong 24h</v>
          </cell>
          <cell r="D877" t="str">
            <v>Khiếu nại về dịch vụ FTTH</v>
          </cell>
          <cell r="W877" t="str">
            <v>Đã đóng</v>
          </cell>
          <cell r="AJ877" t="str">
            <v>Nghệ An</v>
          </cell>
          <cell r="BX877" t="str">
            <v>AON</v>
          </cell>
        </row>
        <row r="878">
          <cell r="A878" t="str">
            <v>ON</v>
          </cell>
          <cell r="B878" t="str">
            <v>Trong 24h</v>
          </cell>
          <cell r="D878" t="str">
            <v>Khiếu nại về dịch vụ FTTH</v>
          </cell>
          <cell r="W878" t="str">
            <v>Đã đóng</v>
          </cell>
          <cell r="AJ878" t="str">
            <v>Gia Lai</v>
          </cell>
          <cell r="BX878" t="str">
            <v>AON</v>
          </cell>
        </row>
        <row r="879">
          <cell r="A879" t="str">
            <v>ON</v>
          </cell>
          <cell r="B879" t="str">
            <v>Trong 24h</v>
          </cell>
          <cell r="D879" t="str">
            <v>Khiếu nại về dịch vụ FTTH</v>
          </cell>
          <cell r="W879" t="str">
            <v>Đã đóng</v>
          </cell>
          <cell r="AJ879" t="str">
            <v>An Giang</v>
          </cell>
          <cell r="BX879" t="str">
            <v>AON</v>
          </cell>
        </row>
        <row r="880">
          <cell r="A880" t="str">
            <v>ON</v>
          </cell>
          <cell r="B880" t="str">
            <v>Trong 24h</v>
          </cell>
          <cell r="D880" t="str">
            <v>Khiếu nại về dịch vụ FTTH</v>
          </cell>
          <cell r="W880" t="str">
            <v>Đã đóng</v>
          </cell>
          <cell r="AJ880" t="str">
            <v>Kiên Giang</v>
          </cell>
          <cell r="BX880" t="str">
            <v>AON</v>
          </cell>
        </row>
        <row r="881">
          <cell r="A881" t="str">
            <v>ON</v>
          </cell>
          <cell r="B881" t="str">
            <v>Trong 24h</v>
          </cell>
          <cell r="D881" t="str">
            <v>Khiếu nại về dịch vụ FTTH</v>
          </cell>
          <cell r="W881" t="str">
            <v>Đang xử lý</v>
          </cell>
          <cell r="AJ881" t="str">
            <v>Thanh Hoá</v>
          </cell>
          <cell r="BX881" t="str">
            <v>AON</v>
          </cell>
        </row>
        <row r="882">
          <cell r="A882" t="str">
            <v>ON</v>
          </cell>
          <cell r="B882" t="str">
            <v>Trong 24h</v>
          </cell>
          <cell r="D882" t="str">
            <v>Khiếu nại về dịch vụ FTTH</v>
          </cell>
          <cell r="W882" t="str">
            <v>Đã đóng</v>
          </cell>
          <cell r="AJ882" t="str">
            <v>Bình Dương</v>
          </cell>
          <cell r="BX882" t="str">
            <v>AON</v>
          </cell>
        </row>
        <row r="883">
          <cell r="A883" t="str">
            <v>ON</v>
          </cell>
          <cell r="B883" t="str">
            <v>Trong 24h</v>
          </cell>
          <cell r="D883" t="str">
            <v>Khiếu nại về dịch vụ FTTH</v>
          </cell>
          <cell r="W883" t="str">
            <v>Đã đóng</v>
          </cell>
          <cell r="AJ883" t="str">
            <v>An Giang</v>
          </cell>
          <cell r="BX883" t="str">
            <v>AON</v>
          </cell>
        </row>
        <row r="884">
          <cell r="A884" t="str">
            <v>ON</v>
          </cell>
          <cell r="B884" t="str">
            <v>Trong 24h</v>
          </cell>
          <cell r="D884" t="str">
            <v>Khiếu nại về dịch vụ FTTH</v>
          </cell>
          <cell r="W884" t="str">
            <v>Đã đóng</v>
          </cell>
          <cell r="AJ884" t="str">
            <v>Điện Biên</v>
          </cell>
          <cell r="BX884" t="str">
            <v>AON</v>
          </cell>
        </row>
        <row r="885">
          <cell r="A885" t="str">
            <v>ON</v>
          </cell>
          <cell r="B885" t="str">
            <v>Trong 24h</v>
          </cell>
          <cell r="D885" t="str">
            <v>Khiếu nại về dịch vụ FTTH</v>
          </cell>
          <cell r="W885" t="str">
            <v>Đã đóng</v>
          </cell>
          <cell r="AJ885" t="str">
            <v>Quảng Trị</v>
          </cell>
          <cell r="BX885" t="str">
            <v>AON</v>
          </cell>
        </row>
        <row r="886">
          <cell r="A886" t="str">
            <v>ON</v>
          </cell>
          <cell r="B886" t="str">
            <v>Trong 24h</v>
          </cell>
          <cell r="D886" t="str">
            <v>Khiếu nại về dịch vụ FTTH</v>
          </cell>
          <cell r="W886" t="str">
            <v>Đã đóng</v>
          </cell>
          <cell r="AJ886" t="str">
            <v>Bắc Giang</v>
          </cell>
          <cell r="BX886" t="str">
            <v>AON</v>
          </cell>
        </row>
        <row r="887">
          <cell r="A887" t="str">
            <v>ON</v>
          </cell>
          <cell r="B887" t="str">
            <v>Trong 24h</v>
          </cell>
          <cell r="D887" t="str">
            <v>Khiếu nại về dịch vụ FTTH</v>
          </cell>
          <cell r="W887" t="str">
            <v>Đã đóng</v>
          </cell>
          <cell r="AJ887" t="str">
            <v>Tây Ninh</v>
          </cell>
          <cell r="BX887" t="str">
            <v>AON</v>
          </cell>
        </row>
        <row r="888">
          <cell r="A888" t="str">
            <v>ON</v>
          </cell>
          <cell r="B888" t="str">
            <v>Trong 24h</v>
          </cell>
          <cell r="D888" t="str">
            <v>Khiếu nại về dịch vụ FTTH</v>
          </cell>
          <cell r="W888" t="str">
            <v>Đã đóng</v>
          </cell>
          <cell r="AJ888" t="str">
            <v>Quảng Ninh</v>
          </cell>
          <cell r="BX888" t="str">
            <v>AON</v>
          </cell>
        </row>
        <row r="889">
          <cell r="A889" t="str">
            <v>ON</v>
          </cell>
          <cell r="B889" t="str">
            <v>Trong 24h</v>
          </cell>
          <cell r="D889" t="str">
            <v>Khiếu nại về dịch vụ FTTH</v>
          </cell>
          <cell r="W889" t="str">
            <v>Đã đóng</v>
          </cell>
          <cell r="AJ889" t="str">
            <v>Thái Nguyên</v>
          </cell>
          <cell r="BX889" t="str">
            <v>AON</v>
          </cell>
        </row>
        <row r="890">
          <cell r="A890" t="str">
            <v>ON</v>
          </cell>
          <cell r="B890" t="str">
            <v>Trong 24h</v>
          </cell>
          <cell r="D890" t="str">
            <v>Khiếu nại về dịch vụ NextTV</v>
          </cell>
          <cell r="W890" t="str">
            <v>Đã đóng</v>
          </cell>
          <cell r="AJ890" t="str">
            <v>Hải Phòng</v>
          </cell>
          <cell r="BX890" t="str">
            <v>AON</v>
          </cell>
        </row>
        <row r="891">
          <cell r="A891" t="str">
            <v>ON</v>
          </cell>
          <cell r="B891" t="str">
            <v>Trong 24h</v>
          </cell>
          <cell r="D891" t="str">
            <v>Khiếu nại về dịch vụ FTTH</v>
          </cell>
          <cell r="W891" t="str">
            <v>Đã đóng</v>
          </cell>
          <cell r="AJ891" t="str">
            <v>TP HCM</v>
          </cell>
          <cell r="BX891" t="str">
            <v>AON</v>
          </cell>
        </row>
        <row r="892">
          <cell r="A892" t="str">
            <v>ON</v>
          </cell>
          <cell r="B892" t="str">
            <v>Trong 24h</v>
          </cell>
          <cell r="D892" t="str">
            <v>Khiếu nại về dịch vụ FTTH</v>
          </cell>
          <cell r="W892" t="str">
            <v>Đã đóng</v>
          </cell>
          <cell r="AJ892" t="str">
            <v>Hải Phòng</v>
          </cell>
          <cell r="BX892" t="str">
            <v>AON</v>
          </cell>
        </row>
        <row r="893">
          <cell r="A893" t="str">
            <v>ON</v>
          </cell>
          <cell r="B893" t="str">
            <v>Trong 24h</v>
          </cell>
          <cell r="D893" t="str">
            <v>Khiếu nại về dịch vụ NextTV</v>
          </cell>
          <cell r="W893" t="str">
            <v>Đã đóng</v>
          </cell>
          <cell r="AJ893" t="str">
            <v>Long An</v>
          </cell>
          <cell r="BX893" t="str">
            <v>AON</v>
          </cell>
        </row>
        <row r="894">
          <cell r="A894" t="str">
            <v>ON</v>
          </cell>
          <cell r="B894" t="str">
            <v>Trong 24h</v>
          </cell>
          <cell r="D894" t="str">
            <v>Khiếu nại về dịch vụ FTTH</v>
          </cell>
          <cell r="W894" t="str">
            <v>Đã đóng</v>
          </cell>
          <cell r="AJ894" t="str">
            <v>Hà Nội 2</v>
          </cell>
          <cell r="BX894" t="str">
            <v>AON</v>
          </cell>
        </row>
        <row r="895">
          <cell r="A895" t="str">
            <v>ON</v>
          </cell>
          <cell r="B895" t="str">
            <v>Trong 24h</v>
          </cell>
          <cell r="D895" t="str">
            <v>Khiếu nại về dịch vụ FTTH</v>
          </cell>
          <cell r="W895" t="str">
            <v>Đã đóng</v>
          </cell>
          <cell r="AJ895" t="str">
            <v>An Giang</v>
          </cell>
          <cell r="BX895" t="str">
            <v>AON</v>
          </cell>
        </row>
        <row r="896">
          <cell r="A896" t="str">
            <v>ON</v>
          </cell>
          <cell r="B896" t="str">
            <v>Trong 24h</v>
          </cell>
          <cell r="D896" t="str">
            <v>Khiếu nại về dịch vụ FTTH</v>
          </cell>
          <cell r="W896" t="str">
            <v>Đang xử lý</v>
          </cell>
          <cell r="AJ896" t="str">
            <v>TP HCM</v>
          </cell>
          <cell r="BX896" t="str">
            <v>GPON</v>
          </cell>
        </row>
        <row r="897">
          <cell r="A897" t="str">
            <v>ON</v>
          </cell>
          <cell r="B897" t="str">
            <v>Trong 24h</v>
          </cell>
          <cell r="D897" t="str">
            <v>Khiếu nại về dịch vụ FTTH</v>
          </cell>
          <cell r="W897" t="str">
            <v>Đang xử lý</v>
          </cell>
          <cell r="AJ897" t="str">
            <v>Phú Thọ</v>
          </cell>
          <cell r="BX897" t="str">
            <v>AON</v>
          </cell>
        </row>
        <row r="898">
          <cell r="A898" t="str">
            <v>ON</v>
          </cell>
          <cell r="B898" t="str">
            <v>Trong 24h</v>
          </cell>
          <cell r="D898" t="str">
            <v>Khiếu nại về dịch vụ FTTH</v>
          </cell>
          <cell r="W898" t="str">
            <v>Đã đóng</v>
          </cell>
          <cell r="AJ898" t="str">
            <v>Thái Bình</v>
          </cell>
          <cell r="BX898" t="str">
            <v>AON</v>
          </cell>
        </row>
        <row r="899">
          <cell r="A899" t="str">
            <v>ON</v>
          </cell>
          <cell r="B899" t="str">
            <v>Trong 24h</v>
          </cell>
          <cell r="D899" t="str">
            <v>Khiếu nại về dịch vụ FTTH</v>
          </cell>
          <cell r="W899" t="str">
            <v>Đã đóng</v>
          </cell>
          <cell r="AJ899" t="str">
            <v>Hà Nội 1</v>
          </cell>
          <cell r="BX899" t="str">
            <v>AON</v>
          </cell>
        </row>
        <row r="900">
          <cell r="A900" t="str">
            <v>ON</v>
          </cell>
          <cell r="B900" t="str">
            <v>Trong 24h</v>
          </cell>
          <cell r="D900" t="str">
            <v>Khiếu nại về dịch vụ FTTH</v>
          </cell>
          <cell r="W900" t="str">
            <v>Đang xử lý</v>
          </cell>
          <cell r="AJ900" t="str">
            <v>TP HCM</v>
          </cell>
          <cell r="BX900" t="str">
            <v>AON</v>
          </cell>
        </row>
        <row r="901">
          <cell r="A901" t="str">
            <v>ON</v>
          </cell>
          <cell r="B901" t="str">
            <v>Trong 24h</v>
          </cell>
          <cell r="D901" t="str">
            <v>Khiếu nại về dịch vụ FTTH</v>
          </cell>
          <cell r="W901" t="str">
            <v>Đã đóng</v>
          </cell>
          <cell r="AJ901" t="str">
            <v>Hải Dương</v>
          </cell>
          <cell r="BX901" t="str">
            <v>AON</v>
          </cell>
        </row>
        <row r="902">
          <cell r="A902" t="str">
            <v>ON</v>
          </cell>
          <cell r="B902" t="str">
            <v>Trong 24h</v>
          </cell>
          <cell r="D902" t="str">
            <v>Khiếu nại về dịch vụ FTTH</v>
          </cell>
          <cell r="W902" t="str">
            <v>Đã đóng</v>
          </cell>
          <cell r="AJ902" t="str">
            <v>Hậu Giang</v>
          </cell>
          <cell r="BX902" t="str">
            <v>AON</v>
          </cell>
        </row>
        <row r="903">
          <cell r="A903" t="str">
            <v>ON</v>
          </cell>
          <cell r="B903" t="str">
            <v>Trong 24h</v>
          </cell>
          <cell r="D903" t="str">
            <v>Khiếu nại về dịch vụ FTTH</v>
          </cell>
          <cell r="W903" t="str">
            <v>Đang xử lý</v>
          </cell>
          <cell r="AJ903" t="str">
            <v>TP HCM</v>
          </cell>
          <cell r="BX903" t="str">
            <v>AON</v>
          </cell>
        </row>
        <row r="904">
          <cell r="A904" t="str">
            <v>ON</v>
          </cell>
          <cell r="B904" t="str">
            <v>Trong 24h</v>
          </cell>
          <cell r="D904" t="str">
            <v>Khiếu nại về dịch vụ FTTH</v>
          </cell>
          <cell r="W904" t="str">
            <v>Đã đóng</v>
          </cell>
          <cell r="AJ904" t="str">
            <v>Hà Nội 1</v>
          </cell>
          <cell r="BX904" t="str">
            <v>AON</v>
          </cell>
        </row>
        <row r="905">
          <cell r="A905" t="str">
            <v>ON</v>
          </cell>
          <cell r="B905" t="str">
            <v>Trong 24h</v>
          </cell>
          <cell r="D905" t="str">
            <v>Khiếu nại về dịch vụ FTTH</v>
          </cell>
          <cell r="W905" t="str">
            <v>Đã đóng</v>
          </cell>
          <cell r="AJ905" t="str">
            <v>Cần Thơ</v>
          </cell>
          <cell r="BX905" t="str">
            <v>AON</v>
          </cell>
        </row>
        <row r="906">
          <cell r="A906" t="str">
            <v>ON</v>
          </cell>
          <cell r="B906" t="str">
            <v>Trong 24h</v>
          </cell>
          <cell r="D906" t="str">
            <v>Khiếu nại về dịch vụ FTTH</v>
          </cell>
          <cell r="W906" t="str">
            <v>Đã đóng</v>
          </cell>
          <cell r="AJ906" t="str">
            <v>Thái Bình</v>
          </cell>
          <cell r="BX906" t="str">
            <v>AON</v>
          </cell>
        </row>
        <row r="907">
          <cell r="A907" t="str">
            <v>ON</v>
          </cell>
          <cell r="B907" t="str">
            <v>Trong 24h</v>
          </cell>
          <cell r="D907" t="str">
            <v>Khiếu nại về dịch vụ FTTH</v>
          </cell>
          <cell r="W907" t="str">
            <v>Đã đóng</v>
          </cell>
          <cell r="AJ907" t="str">
            <v>Cần Thơ</v>
          </cell>
          <cell r="BX907" t="str">
            <v>AON</v>
          </cell>
        </row>
        <row r="908">
          <cell r="A908" t="str">
            <v>ON</v>
          </cell>
          <cell r="B908" t="str">
            <v>Trong 24h</v>
          </cell>
          <cell r="D908" t="str">
            <v>Khiếu nại về dịch vụ FTTH</v>
          </cell>
          <cell r="W908" t="str">
            <v>Đã đóng</v>
          </cell>
          <cell r="AJ908" t="str">
            <v>Sóc Trăng</v>
          </cell>
          <cell r="BX908" t="str">
            <v>AON</v>
          </cell>
        </row>
        <row r="909">
          <cell r="A909" t="str">
            <v>ON</v>
          </cell>
          <cell r="B909" t="str">
            <v>Trong 24h</v>
          </cell>
          <cell r="D909" t="str">
            <v>Khiếu nại về dịch vụ FTTH</v>
          </cell>
          <cell r="W909" t="str">
            <v>Đã đóng</v>
          </cell>
          <cell r="AJ909" t="str">
            <v>Hậu Giang</v>
          </cell>
          <cell r="BX909" t="str">
            <v>AON</v>
          </cell>
        </row>
        <row r="910">
          <cell r="A910" t="str">
            <v>ON</v>
          </cell>
          <cell r="B910" t="str">
            <v>Trong 24h</v>
          </cell>
          <cell r="D910" t="str">
            <v>Khiếu nại về dịch vụ FTTH</v>
          </cell>
          <cell r="W910" t="str">
            <v>Đã đóng</v>
          </cell>
          <cell r="AJ910" t="str">
            <v>TP HCM</v>
          </cell>
          <cell r="BX910" t="str">
            <v>AON</v>
          </cell>
        </row>
        <row r="911">
          <cell r="A911" t="str">
            <v>ON</v>
          </cell>
          <cell r="B911" t="str">
            <v>Trong 24h</v>
          </cell>
          <cell r="D911" t="str">
            <v>Khiếu nại về dịch vụ FTTH</v>
          </cell>
          <cell r="W911" t="str">
            <v>Đã đóng</v>
          </cell>
          <cell r="AJ911" t="str">
            <v xml:space="preserve">Quảng Nam </v>
          </cell>
          <cell r="BX911" t="str">
            <v>AON</v>
          </cell>
        </row>
        <row r="912">
          <cell r="A912" t="str">
            <v>ON</v>
          </cell>
          <cell r="B912" t="str">
            <v>Trong 24h</v>
          </cell>
          <cell r="D912" t="str">
            <v>Khiếu nại về dịch vụ FTTH</v>
          </cell>
          <cell r="W912" t="str">
            <v>Đã đóng</v>
          </cell>
          <cell r="AJ912" t="str">
            <v>Quảng Ngãi</v>
          </cell>
          <cell r="BX912" t="str">
            <v>AON</v>
          </cell>
        </row>
        <row r="913">
          <cell r="A913" t="str">
            <v>ON</v>
          </cell>
          <cell r="B913" t="str">
            <v>Trong 24h</v>
          </cell>
          <cell r="D913" t="str">
            <v>Khiếu nại về dịch vụ FTTH</v>
          </cell>
          <cell r="W913" t="str">
            <v>Đang xử lý</v>
          </cell>
          <cell r="AJ913" t="str">
            <v>Thanh Hoá</v>
          </cell>
          <cell r="BX913" t="str">
            <v>AON</v>
          </cell>
        </row>
        <row r="914">
          <cell r="A914" t="str">
            <v>ON</v>
          </cell>
          <cell r="B914" t="str">
            <v>Trong 24h</v>
          </cell>
          <cell r="D914" t="str">
            <v>Khiếu nại về dịch vụ FTTH</v>
          </cell>
          <cell r="W914" t="str">
            <v>Đã đóng</v>
          </cell>
          <cell r="AJ914" t="str">
            <v>TP HCM</v>
          </cell>
          <cell r="BX914" t="str">
            <v>AON</v>
          </cell>
        </row>
        <row r="915">
          <cell r="A915" t="str">
            <v>ON</v>
          </cell>
          <cell r="B915" t="str">
            <v>Trong 24h</v>
          </cell>
          <cell r="D915" t="str">
            <v>Khiếu nại về dịch vụ FTTH</v>
          </cell>
          <cell r="W915" t="str">
            <v>Đã đóng</v>
          </cell>
          <cell r="AJ915" t="str">
            <v>Hà Nội 1</v>
          </cell>
          <cell r="BX915" t="str">
            <v>AON</v>
          </cell>
        </row>
        <row r="916">
          <cell r="A916" t="str">
            <v>ON</v>
          </cell>
          <cell r="B916" t="str">
            <v>Trong 24h</v>
          </cell>
          <cell r="D916" t="str">
            <v>Khiếu nại về dịch vụ FTTH</v>
          </cell>
          <cell r="W916" t="str">
            <v>Đã đóng</v>
          </cell>
          <cell r="AJ916" t="str">
            <v>Bắc Giang</v>
          </cell>
          <cell r="BX916" t="str">
            <v>AON</v>
          </cell>
        </row>
        <row r="917">
          <cell r="A917" t="str">
            <v>ON</v>
          </cell>
          <cell r="B917" t="str">
            <v>Trong 24h</v>
          </cell>
          <cell r="D917" t="str">
            <v>Khiếu nại về dịch vụ FTTH</v>
          </cell>
          <cell r="W917" t="str">
            <v>Đã đóng</v>
          </cell>
          <cell r="AJ917" t="str">
            <v>Hà Nội 1</v>
          </cell>
          <cell r="BX917" t="str">
            <v>AON</v>
          </cell>
        </row>
        <row r="918">
          <cell r="A918" t="str">
            <v>ON</v>
          </cell>
          <cell r="B918" t="str">
            <v>Trong 24h</v>
          </cell>
          <cell r="D918" t="str">
            <v>Khiếu nại về dịch vụ FTTH</v>
          </cell>
          <cell r="W918" t="str">
            <v>Đã đóng</v>
          </cell>
          <cell r="AJ918" t="str">
            <v xml:space="preserve">Quảng Nam </v>
          </cell>
          <cell r="BX918" t="str">
            <v>AON</v>
          </cell>
        </row>
        <row r="919">
          <cell r="A919" t="str">
            <v>ON</v>
          </cell>
          <cell r="B919" t="str">
            <v>Trong 24h</v>
          </cell>
          <cell r="D919" t="str">
            <v>Khiếu nại về dịch vụ FTTH</v>
          </cell>
          <cell r="W919" t="str">
            <v>Đã đóng</v>
          </cell>
          <cell r="AJ919" t="str">
            <v xml:space="preserve">Đồng Nai </v>
          </cell>
          <cell r="BX919" t="str">
            <v>AON</v>
          </cell>
        </row>
        <row r="920">
          <cell r="A920" t="str">
            <v>ON</v>
          </cell>
          <cell r="B920" t="str">
            <v>Trong 24h</v>
          </cell>
          <cell r="D920" t="str">
            <v>Khiếu nại về dịch vụ FTTH</v>
          </cell>
          <cell r="W920" t="str">
            <v>Đang xử lý</v>
          </cell>
          <cell r="AJ920" t="str">
            <v xml:space="preserve">Đà Nẵng </v>
          </cell>
          <cell r="BX920" t="str">
            <v>AON</v>
          </cell>
        </row>
        <row r="921">
          <cell r="A921" t="str">
            <v>ON</v>
          </cell>
          <cell r="B921" t="str">
            <v>Trong 24h</v>
          </cell>
          <cell r="D921" t="str">
            <v>Khiếu nại về dịch vụ FTTH</v>
          </cell>
          <cell r="W921" t="str">
            <v>Đang xử lý</v>
          </cell>
          <cell r="AJ921" t="str">
            <v>Bình Định</v>
          </cell>
          <cell r="BX921" t="str">
            <v>AON</v>
          </cell>
        </row>
        <row r="922">
          <cell r="A922" t="str">
            <v>ON</v>
          </cell>
          <cell r="B922" t="str">
            <v>Trong 24h</v>
          </cell>
          <cell r="D922" t="str">
            <v>Khiếu nại về dịch vụ FTTH</v>
          </cell>
          <cell r="W922" t="str">
            <v>Đang xử lý</v>
          </cell>
          <cell r="AJ922" t="str">
            <v>Long An</v>
          </cell>
          <cell r="BX922" t="str">
            <v>AON</v>
          </cell>
        </row>
        <row r="923">
          <cell r="A923" t="str">
            <v>ON</v>
          </cell>
          <cell r="B923" t="str">
            <v>Trong 24h</v>
          </cell>
          <cell r="D923" t="str">
            <v>Khiếu nại về dịch vụ FTTH</v>
          </cell>
          <cell r="W923" t="str">
            <v>Đang xử lý</v>
          </cell>
          <cell r="AJ923" t="str">
            <v>Bình Thuận</v>
          </cell>
          <cell r="BX923" t="str">
            <v>AON</v>
          </cell>
        </row>
        <row r="924">
          <cell r="A924" t="str">
            <v>ON</v>
          </cell>
          <cell r="B924" t="str">
            <v>Trong 24h</v>
          </cell>
          <cell r="D924" t="str">
            <v>Khiếu nại về dịch vụ FTTH</v>
          </cell>
          <cell r="W924" t="str">
            <v>Đã đóng</v>
          </cell>
          <cell r="AJ924" t="str">
            <v xml:space="preserve">Đà Nẵng </v>
          </cell>
          <cell r="BX924" t="str">
            <v>AON</v>
          </cell>
        </row>
        <row r="925">
          <cell r="A925" t="str">
            <v>ON</v>
          </cell>
          <cell r="B925" t="str">
            <v>Trong 24h</v>
          </cell>
          <cell r="D925" t="str">
            <v>Khiếu nại về dịch vụ FTTH</v>
          </cell>
          <cell r="W925" t="str">
            <v>Đã đóng</v>
          </cell>
          <cell r="AJ925" t="str">
            <v>Trà Vinh</v>
          </cell>
          <cell r="BX925" t="str">
            <v>AON</v>
          </cell>
        </row>
        <row r="926">
          <cell r="A926" t="str">
            <v>ON</v>
          </cell>
          <cell r="B926" t="str">
            <v>Trong 24h</v>
          </cell>
          <cell r="D926" t="str">
            <v>Khiếu nại về dịch vụ FTTH</v>
          </cell>
          <cell r="W926" t="str">
            <v>Đã đóng</v>
          </cell>
          <cell r="AJ926" t="str">
            <v>Bình Dương</v>
          </cell>
          <cell r="BX926" t="str">
            <v>AON</v>
          </cell>
        </row>
        <row r="927">
          <cell r="A927" t="str">
            <v>ON</v>
          </cell>
          <cell r="B927" t="str">
            <v>Trong 24h</v>
          </cell>
          <cell r="D927" t="str">
            <v>Khiếu nại về dịch vụ FTTH</v>
          </cell>
          <cell r="W927" t="str">
            <v>Đã đóng</v>
          </cell>
          <cell r="AJ927" t="str">
            <v>Hà Nội 1</v>
          </cell>
          <cell r="BX927" t="str">
            <v>AON</v>
          </cell>
        </row>
        <row r="928">
          <cell r="A928" t="str">
            <v>ON</v>
          </cell>
          <cell r="B928" t="str">
            <v>Trong 24h</v>
          </cell>
          <cell r="D928" t="str">
            <v>Khiếu nại về dịch vụ FTTH</v>
          </cell>
          <cell r="W928" t="str">
            <v>Đang xử lý</v>
          </cell>
          <cell r="AJ928" t="str">
            <v>Hà Nam</v>
          </cell>
          <cell r="BX928" t="str">
            <v>AON</v>
          </cell>
        </row>
        <row r="929">
          <cell r="A929" t="str">
            <v>ON</v>
          </cell>
          <cell r="B929" t="str">
            <v>Trong 24h</v>
          </cell>
          <cell r="D929" t="str">
            <v>Khiếu nại về dịch vụ FTTH</v>
          </cell>
          <cell r="W929" t="str">
            <v>Đã đóng</v>
          </cell>
          <cell r="AJ929" t="str">
            <v>Phú Yên</v>
          </cell>
          <cell r="BX929" t="str">
            <v>AON</v>
          </cell>
        </row>
        <row r="930">
          <cell r="A930" t="str">
            <v>ON</v>
          </cell>
          <cell r="B930" t="str">
            <v>Trong 24h</v>
          </cell>
          <cell r="D930" t="str">
            <v>Khiếu nại về dịch vụ FTTH</v>
          </cell>
          <cell r="W930" t="str">
            <v>Đã đóng</v>
          </cell>
          <cell r="AJ930" t="str">
            <v>TP HCM</v>
          </cell>
          <cell r="BX930" t="str">
            <v>AON</v>
          </cell>
        </row>
        <row r="931">
          <cell r="A931" t="str">
            <v>ON</v>
          </cell>
          <cell r="B931" t="str">
            <v>Trong 24h</v>
          </cell>
          <cell r="D931" t="str">
            <v>Khiếu nại về dịch vụ FTTH</v>
          </cell>
          <cell r="W931" t="str">
            <v>Đang xử lý</v>
          </cell>
          <cell r="AJ931" t="str">
            <v>Kiên Giang</v>
          </cell>
          <cell r="BX931" t="str">
            <v>AON</v>
          </cell>
        </row>
        <row r="932">
          <cell r="A932" t="str">
            <v>ON</v>
          </cell>
          <cell r="B932" t="str">
            <v>Trong 24h</v>
          </cell>
          <cell r="D932" t="str">
            <v>Khiếu nại về dịch vụ FTTH</v>
          </cell>
          <cell r="W932" t="str">
            <v>Đã đóng</v>
          </cell>
          <cell r="AJ932" t="str">
            <v>Hà Nội 1</v>
          </cell>
          <cell r="BX932" t="str">
            <v>AON</v>
          </cell>
        </row>
        <row r="933">
          <cell r="A933" t="str">
            <v>ON</v>
          </cell>
          <cell r="B933" t="str">
            <v>Trong 24h</v>
          </cell>
          <cell r="D933" t="str">
            <v>Khiếu nại về dịch vụ FTTH</v>
          </cell>
          <cell r="W933" t="str">
            <v>Đã đóng</v>
          </cell>
          <cell r="AJ933" t="str">
            <v>Tiền Giang</v>
          </cell>
          <cell r="BX933" t="str">
            <v>AON</v>
          </cell>
        </row>
        <row r="934">
          <cell r="A934" t="str">
            <v>ON</v>
          </cell>
          <cell r="B934" t="str">
            <v>Trong 24h</v>
          </cell>
          <cell r="D934" t="str">
            <v>Khiếu nại về dịch vụ FTTH</v>
          </cell>
          <cell r="W934" t="str">
            <v>Đã đóng</v>
          </cell>
          <cell r="AJ934" t="str">
            <v>Hà Nội 1</v>
          </cell>
          <cell r="BX934" t="str">
            <v>AON</v>
          </cell>
        </row>
        <row r="935">
          <cell r="A935" t="str">
            <v>ON</v>
          </cell>
          <cell r="B935" t="str">
            <v>Trong 24h</v>
          </cell>
          <cell r="D935" t="str">
            <v>Khiếu nại về dịch vụ FTTH</v>
          </cell>
          <cell r="W935" t="str">
            <v>Đang xử lý</v>
          </cell>
          <cell r="AJ935" t="str">
            <v>Vĩnh Phúc</v>
          </cell>
          <cell r="BX935" t="str">
            <v>AON</v>
          </cell>
        </row>
        <row r="936">
          <cell r="A936" t="str">
            <v>ON</v>
          </cell>
          <cell r="B936" t="str">
            <v>Trong 24h</v>
          </cell>
          <cell r="D936" t="str">
            <v>Khiếu nại về dịch vụ FTTH</v>
          </cell>
          <cell r="W936" t="str">
            <v>Đã đóng</v>
          </cell>
          <cell r="AJ936" t="str">
            <v>Yên Bái</v>
          </cell>
          <cell r="BX936" t="str">
            <v>AON</v>
          </cell>
        </row>
        <row r="937">
          <cell r="A937" t="str">
            <v>ON</v>
          </cell>
          <cell r="B937" t="str">
            <v>Trong 24h</v>
          </cell>
          <cell r="D937" t="str">
            <v>Khiếu nại về dịch vụ FTTH</v>
          </cell>
          <cell r="W937" t="str">
            <v>Đã đóng</v>
          </cell>
          <cell r="AJ937" t="str">
            <v xml:space="preserve">Đà Nẵng </v>
          </cell>
          <cell r="BX937" t="str">
            <v>AON</v>
          </cell>
        </row>
        <row r="938">
          <cell r="A938" t="str">
            <v>ON</v>
          </cell>
          <cell r="B938" t="str">
            <v>Trong 24h</v>
          </cell>
          <cell r="D938" t="str">
            <v>Khiếu nại về dịch vụ FTTH</v>
          </cell>
          <cell r="W938" t="str">
            <v>Đang xử lý</v>
          </cell>
          <cell r="AJ938" t="str">
            <v>Bắc Ninh</v>
          </cell>
          <cell r="BX938" t="str">
            <v>AON</v>
          </cell>
        </row>
        <row r="939">
          <cell r="A939" t="str">
            <v>ON</v>
          </cell>
          <cell r="B939" t="str">
            <v>Trong 24h</v>
          </cell>
          <cell r="D939" t="str">
            <v>Khiếu nại về dịch vụ FTTH</v>
          </cell>
          <cell r="W939" t="str">
            <v>Đã đóng</v>
          </cell>
          <cell r="AJ939" t="str">
            <v>Hà Nội 2</v>
          </cell>
          <cell r="BX939" t="str">
            <v>AON</v>
          </cell>
        </row>
        <row r="940">
          <cell r="A940" t="str">
            <v>ON</v>
          </cell>
          <cell r="B940" t="str">
            <v>Trong 24h</v>
          </cell>
          <cell r="D940" t="str">
            <v>Khiếu nại về dịch vụ FTTH</v>
          </cell>
          <cell r="W940" t="str">
            <v>Đã đóng</v>
          </cell>
          <cell r="AJ940" t="str">
            <v>TP HCM</v>
          </cell>
          <cell r="BX940" t="str">
            <v>GPON</v>
          </cell>
        </row>
        <row r="941">
          <cell r="A941" t="str">
            <v>ON</v>
          </cell>
          <cell r="B941" t="str">
            <v>Trong 24h</v>
          </cell>
          <cell r="D941" t="str">
            <v>Khiếu nại về dịch vụ FTTH</v>
          </cell>
          <cell r="W941" t="str">
            <v>Đã đóng</v>
          </cell>
          <cell r="AJ941" t="str">
            <v>Hà Nội 1</v>
          </cell>
          <cell r="BX941" t="str">
            <v>AON</v>
          </cell>
        </row>
        <row r="942">
          <cell r="A942" t="str">
            <v>ON</v>
          </cell>
          <cell r="B942" t="str">
            <v>Trong 24h</v>
          </cell>
          <cell r="D942" t="str">
            <v>Khiếu nại về dịch vụ FTTH</v>
          </cell>
          <cell r="W942" t="str">
            <v>Đã đóng</v>
          </cell>
          <cell r="AJ942" t="str">
            <v>TP HCM</v>
          </cell>
          <cell r="BX942" t="str">
            <v>AON</v>
          </cell>
        </row>
        <row r="943">
          <cell r="A943" t="str">
            <v>ON</v>
          </cell>
          <cell r="B943" t="str">
            <v>Trong 24h</v>
          </cell>
          <cell r="D943" t="str">
            <v>Khiếu nại về dịch vụ FTTH</v>
          </cell>
          <cell r="W943" t="str">
            <v>Đã đóng</v>
          </cell>
          <cell r="AJ943" t="str">
            <v>Lâm Đồng</v>
          </cell>
          <cell r="BX943" t="str">
            <v>AON</v>
          </cell>
        </row>
        <row r="944">
          <cell r="A944" t="str">
            <v>ON</v>
          </cell>
          <cell r="B944" t="str">
            <v>Trong 24h</v>
          </cell>
          <cell r="D944" t="str">
            <v>Khiếu nại về dịch vụ FTTH</v>
          </cell>
          <cell r="W944" t="str">
            <v>Đã đóng</v>
          </cell>
          <cell r="AJ944" t="str">
            <v>Sóc Trăng</v>
          </cell>
          <cell r="BX944" t="str">
            <v>AON</v>
          </cell>
        </row>
        <row r="945">
          <cell r="A945" t="str">
            <v>ON</v>
          </cell>
          <cell r="B945" t="str">
            <v>Trong 24h</v>
          </cell>
          <cell r="D945" t="str">
            <v>Khiếu nại về dịch vụ FTTH</v>
          </cell>
          <cell r="W945" t="str">
            <v>Đã đóng</v>
          </cell>
          <cell r="AJ945" t="str">
            <v>Hải Dương</v>
          </cell>
          <cell r="BX945" t="str">
            <v>AON</v>
          </cell>
        </row>
        <row r="946">
          <cell r="A946" t="str">
            <v>ON</v>
          </cell>
          <cell r="B946" t="str">
            <v>Trong 24h</v>
          </cell>
          <cell r="D946" t="str">
            <v>Khiếu nại về dịch vụ FTTH</v>
          </cell>
          <cell r="W946" t="str">
            <v>Đang xử lý</v>
          </cell>
          <cell r="AJ946" t="str">
            <v>Bình Dương</v>
          </cell>
          <cell r="BX946" t="str">
            <v>AON</v>
          </cell>
        </row>
        <row r="947">
          <cell r="A947" t="str">
            <v>ON</v>
          </cell>
          <cell r="B947" t="str">
            <v>Trong 24h</v>
          </cell>
          <cell r="D947" t="str">
            <v>Khiếu nại về dịch vụ FTTH</v>
          </cell>
          <cell r="W947" t="str">
            <v>Đã đóng</v>
          </cell>
          <cell r="AJ947" t="str">
            <v>Hà Nội 2</v>
          </cell>
          <cell r="BX947" t="str">
            <v>AON</v>
          </cell>
        </row>
        <row r="948">
          <cell r="A948" t="str">
            <v>ON</v>
          </cell>
          <cell r="B948" t="str">
            <v>Trong 24h</v>
          </cell>
          <cell r="D948" t="str">
            <v>Khiếu nại về dịch vụ FTTH</v>
          </cell>
          <cell r="W948" t="str">
            <v>Đã đóng</v>
          </cell>
          <cell r="AJ948" t="str">
            <v>TP HCM</v>
          </cell>
          <cell r="BX948" t="str">
            <v>AON</v>
          </cell>
        </row>
        <row r="949">
          <cell r="A949" t="str">
            <v>ON</v>
          </cell>
          <cell r="B949" t="str">
            <v>Trong 24h</v>
          </cell>
          <cell r="D949" t="str">
            <v>Khiếu nại về dịch vụ FTTH</v>
          </cell>
          <cell r="W949" t="str">
            <v>Đã đóng</v>
          </cell>
          <cell r="AJ949" t="str">
            <v>TP HCM</v>
          </cell>
          <cell r="BX949" t="str">
            <v>AON</v>
          </cell>
        </row>
        <row r="950">
          <cell r="A950" t="str">
            <v>ON</v>
          </cell>
          <cell r="B950" t="str">
            <v>Trong 24h</v>
          </cell>
          <cell r="D950" t="str">
            <v>Khiếu nại về dịch vụ FTTH</v>
          </cell>
          <cell r="W950" t="str">
            <v>Đang xử lý</v>
          </cell>
          <cell r="AJ950" t="str">
            <v>Lâm Đồng</v>
          </cell>
          <cell r="BX950" t="str">
            <v>AON</v>
          </cell>
        </row>
        <row r="951">
          <cell r="A951" t="str">
            <v>ON</v>
          </cell>
          <cell r="B951" t="str">
            <v>Trong 24h</v>
          </cell>
          <cell r="D951" t="str">
            <v>Khiếu nại về dịch vụ FTTH</v>
          </cell>
          <cell r="W951" t="str">
            <v>Đã đóng</v>
          </cell>
          <cell r="AJ951" t="str">
            <v>Bình Định</v>
          </cell>
          <cell r="BX951" t="str">
            <v>AON</v>
          </cell>
        </row>
        <row r="952">
          <cell r="A952" t="str">
            <v>ON</v>
          </cell>
          <cell r="B952" t="str">
            <v>Trong 24h</v>
          </cell>
          <cell r="D952" t="str">
            <v>Khiếu nại về dịch vụ FTTH</v>
          </cell>
          <cell r="W952" t="str">
            <v>Đã đóng</v>
          </cell>
          <cell r="AJ952" t="str">
            <v>TP HCM</v>
          </cell>
          <cell r="BX952" t="str">
            <v>AON</v>
          </cell>
        </row>
        <row r="953">
          <cell r="A953" t="str">
            <v>ON</v>
          </cell>
          <cell r="B953" t="str">
            <v>Trong 24h</v>
          </cell>
          <cell r="D953" t="str">
            <v>Khiếu nại về dịch vụ FTTH</v>
          </cell>
          <cell r="W953" t="str">
            <v>Đã đóng</v>
          </cell>
          <cell r="AJ953" t="str">
            <v>Hà Nội 2</v>
          </cell>
          <cell r="BX953" t="str">
            <v>AON</v>
          </cell>
        </row>
        <row r="954">
          <cell r="A954" t="str">
            <v>ON</v>
          </cell>
          <cell r="B954" t="str">
            <v>Trong 24h</v>
          </cell>
          <cell r="D954" t="str">
            <v>Khiếu nại về dịch vụ FTTH</v>
          </cell>
          <cell r="W954" t="str">
            <v>Đã đóng</v>
          </cell>
          <cell r="AJ954" t="str">
            <v>TP HCM</v>
          </cell>
          <cell r="BX954" t="str">
            <v>GPON</v>
          </cell>
        </row>
        <row r="955">
          <cell r="A955" t="str">
            <v>ON</v>
          </cell>
          <cell r="B955" t="str">
            <v>Trong 24h</v>
          </cell>
          <cell r="D955" t="str">
            <v>Khiếu nại về dịch vụ FTTH</v>
          </cell>
          <cell r="W955" t="str">
            <v>Đang xử lý</v>
          </cell>
          <cell r="AJ955" t="str">
            <v>An Giang</v>
          </cell>
          <cell r="BX955" t="str">
            <v>AON</v>
          </cell>
        </row>
        <row r="956">
          <cell r="A956" t="str">
            <v>ON</v>
          </cell>
          <cell r="B956" t="str">
            <v>Trong 24h</v>
          </cell>
          <cell r="D956" t="str">
            <v>Khiếu nại về dịch vụ FTTH</v>
          </cell>
          <cell r="W956" t="str">
            <v>Đã đóng</v>
          </cell>
          <cell r="AJ956" t="str">
            <v>TP HCM</v>
          </cell>
          <cell r="BX956" t="str">
            <v>AON</v>
          </cell>
        </row>
        <row r="957">
          <cell r="A957" t="str">
            <v>ON</v>
          </cell>
          <cell r="B957" t="str">
            <v>Trong 24h</v>
          </cell>
          <cell r="D957" t="str">
            <v>Khiếu nại về dịch vụ FTTH</v>
          </cell>
          <cell r="W957" t="str">
            <v>Đang xử lý</v>
          </cell>
          <cell r="AJ957" t="str">
            <v>Bến Tre</v>
          </cell>
          <cell r="BX957" t="str">
            <v>AON</v>
          </cell>
        </row>
        <row r="958">
          <cell r="A958" t="str">
            <v>ON</v>
          </cell>
          <cell r="B958" t="str">
            <v>Trong 24h</v>
          </cell>
          <cell r="D958" t="str">
            <v>Khiếu nại về dịch vụ NextTV</v>
          </cell>
          <cell r="W958" t="str">
            <v>Đã đóng</v>
          </cell>
          <cell r="AJ958" t="str">
            <v>Quảng Ninh</v>
          </cell>
          <cell r="BX958" t="str">
            <v>AON</v>
          </cell>
        </row>
        <row r="959">
          <cell r="A959" t="str">
            <v>ON</v>
          </cell>
          <cell r="B959" t="str">
            <v>Trong 24h</v>
          </cell>
          <cell r="D959" t="str">
            <v>Khiếu nại về dịch vụ FTTH</v>
          </cell>
          <cell r="W959" t="str">
            <v>Đã đóng</v>
          </cell>
          <cell r="AJ959" t="str">
            <v>TP HCM</v>
          </cell>
          <cell r="BX959" t="str">
            <v>AON</v>
          </cell>
        </row>
        <row r="960">
          <cell r="A960" t="str">
            <v>ON</v>
          </cell>
          <cell r="B960" t="str">
            <v>Trong 24h</v>
          </cell>
          <cell r="D960" t="str">
            <v>Khiếu nại về dịch vụ FTTH</v>
          </cell>
          <cell r="W960" t="str">
            <v>Đã đóng</v>
          </cell>
          <cell r="AJ960" t="str">
            <v>An Giang</v>
          </cell>
          <cell r="BX960" t="str">
            <v>AON</v>
          </cell>
        </row>
        <row r="961">
          <cell r="A961" t="str">
            <v>ON</v>
          </cell>
          <cell r="B961" t="str">
            <v>Trong 24h</v>
          </cell>
          <cell r="D961" t="str">
            <v>Khiếu nại về dịch vụ FTTH</v>
          </cell>
          <cell r="W961" t="str">
            <v>Đang xử lý</v>
          </cell>
          <cell r="AJ961" t="str">
            <v>TP HCM</v>
          </cell>
          <cell r="BX961" t="str">
            <v>AON</v>
          </cell>
        </row>
        <row r="962">
          <cell r="A962" t="str">
            <v>ON</v>
          </cell>
          <cell r="B962" t="str">
            <v>Trong 24h</v>
          </cell>
          <cell r="D962" t="str">
            <v>Khiếu nại về dịch vụ FTTH</v>
          </cell>
          <cell r="W962" t="str">
            <v>Đang xử lý</v>
          </cell>
          <cell r="AJ962" t="str">
            <v>TP HCM</v>
          </cell>
          <cell r="BX962" t="str">
            <v>AON</v>
          </cell>
        </row>
        <row r="963">
          <cell r="A963" t="str">
            <v>ON</v>
          </cell>
          <cell r="B963" t="str">
            <v>Trong 24h</v>
          </cell>
          <cell r="D963" t="str">
            <v>Khiếu nại về dịch vụ FTTH</v>
          </cell>
          <cell r="W963" t="str">
            <v>Đã đóng</v>
          </cell>
          <cell r="AJ963" t="str">
            <v>TP HCM</v>
          </cell>
          <cell r="BX963" t="str">
            <v>AON</v>
          </cell>
        </row>
        <row r="964">
          <cell r="A964" t="str">
            <v>ON</v>
          </cell>
          <cell r="B964" t="str">
            <v>Trong 24h</v>
          </cell>
          <cell r="D964" t="str">
            <v>Khiếu nại về dịch vụ FTTH</v>
          </cell>
          <cell r="W964" t="str">
            <v>Đã đóng</v>
          </cell>
          <cell r="AJ964" t="str">
            <v>TP HCM</v>
          </cell>
          <cell r="BX964" t="str">
            <v>AON</v>
          </cell>
        </row>
        <row r="965">
          <cell r="A965" t="str">
            <v>ON</v>
          </cell>
          <cell r="B965" t="str">
            <v>Trong 24h</v>
          </cell>
          <cell r="D965" t="str">
            <v>Khiếu nại về dịch vụ FTTH</v>
          </cell>
          <cell r="W965" t="str">
            <v>Đã đóng</v>
          </cell>
          <cell r="AJ965" t="str">
            <v>Hải Dương</v>
          </cell>
          <cell r="BX965" t="str">
            <v>AON</v>
          </cell>
        </row>
        <row r="966">
          <cell r="A966" t="str">
            <v>ON</v>
          </cell>
          <cell r="B966" t="str">
            <v>Trong 24h</v>
          </cell>
          <cell r="D966" t="str">
            <v>Khiếu nại về dịch vụ FTTH</v>
          </cell>
          <cell r="W966" t="str">
            <v>Đã đóng</v>
          </cell>
          <cell r="AJ966" t="str">
            <v>Long An</v>
          </cell>
          <cell r="BX966" t="str">
            <v>AON</v>
          </cell>
        </row>
        <row r="967">
          <cell r="A967" t="str">
            <v>ON</v>
          </cell>
          <cell r="B967" t="str">
            <v>Trong 24h</v>
          </cell>
          <cell r="D967" t="str">
            <v>Khiếu nại về dịch vụ NextTV</v>
          </cell>
          <cell r="W967" t="str">
            <v>Đã đóng</v>
          </cell>
          <cell r="AJ967" t="str">
            <v>Hải Phòng</v>
          </cell>
          <cell r="BX967" t="str">
            <v>AON</v>
          </cell>
        </row>
        <row r="968">
          <cell r="A968" t="str">
            <v>ON</v>
          </cell>
          <cell r="B968" t="str">
            <v>Trong 24h</v>
          </cell>
          <cell r="D968" t="str">
            <v>Khiếu nại về dịch vụ FTTH</v>
          </cell>
          <cell r="W968" t="str">
            <v>Đã đóng</v>
          </cell>
          <cell r="AJ968" t="str">
            <v>Yên Bái</v>
          </cell>
          <cell r="BX968" t="str">
            <v>AON</v>
          </cell>
        </row>
        <row r="969">
          <cell r="A969" t="str">
            <v>ON</v>
          </cell>
          <cell r="B969" t="str">
            <v>Trong 24h</v>
          </cell>
          <cell r="D969" t="str">
            <v>Khiếu nại về dịch vụ FTTH</v>
          </cell>
          <cell r="W969" t="str">
            <v>Đã đóng</v>
          </cell>
          <cell r="AJ969" t="str">
            <v>TP HCM</v>
          </cell>
          <cell r="BX969" t="str">
            <v>GPON</v>
          </cell>
        </row>
        <row r="970">
          <cell r="A970" t="str">
            <v>ON</v>
          </cell>
          <cell r="B970" t="str">
            <v>Trong 24h</v>
          </cell>
          <cell r="D970" t="str">
            <v>Khiếu nại về dịch vụ FTTH</v>
          </cell>
          <cell r="W970" t="str">
            <v>Đã đóng</v>
          </cell>
          <cell r="AJ970" t="str">
            <v xml:space="preserve">Đồng Nai </v>
          </cell>
          <cell r="BX970" t="str">
            <v>AON</v>
          </cell>
        </row>
        <row r="971">
          <cell r="A971" t="str">
            <v>ON</v>
          </cell>
          <cell r="B971" t="str">
            <v>Trong 24h</v>
          </cell>
          <cell r="D971" t="str">
            <v>Khiếu nại về dịch vụ FTTH</v>
          </cell>
          <cell r="W971" t="str">
            <v>Đã đóng</v>
          </cell>
          <cell r="AJ971" t="str">
            <v>TP HCM</v>
          </cell>
          <cell r="BX971" t="str">
            <v>AON</v>
          </cell>
        </row>
        <row r="972">
          <cell r="A972" t="str">
            <v>ON</v>
          </cell>
          <cell r="B972" t="str">
            <v>Trong 24h</v>
          </cell>
          <cell r="D972" t="str">
            <v>Khiếu nại về dịch vụ FTTH</v>
          </cell>
          <cell r="W972" t="str">
            <v>Đã đóng</v>
          </cell>
          <cell r="AJ972" t="str">
            <v>Bà Rịa - Vũng Tàu</v>
          </cell>
          <cell r="BX972" t="str">
            <v>AON</v>
          </cell>
        </row>
        <row r="973">
          <cell r="A973" t="str">
            <v>ON</v>
          </cell>
          <cell r="B973" t="str">
            <v>Trong 24h</v>
          </cell>
          <cell r="D973" t="str">
            <v>Khiếu nại về dịch vụ FTTH</v>
          </cell>
          <cell r="W973" t="str">
            <v>Đang xử lý</v>
          </cell>
          <cell r="AJ973" t="str">
            <v>TP HCM</v>
          </cell>
          <cell r="BX973" t="str">
            <v>GPON</v>
          </cell>
        </row>
        <row r="974">
          <cell r="A974" t="str">
            <v>ON</v>
          </cell>
          <cell r="B974" t="str">
            <v>Trong 24h</v>
          </cell>
          <cell r="D974" t="str">
            <v>Khiếu nại về dịch vụ FTTH</v>
          </cell>
          <cell r="W974" t="str">
            <v>Đã đóng</v>
          </cell>
          <cell r="AJ974" t="str">
            <v>Bắc Ninh</v>
          </cell>
          <cell r="BX974" t="str">
            <v>AON</v>
          </cell>
        </row>
        <row r="975">
          <cell r="A975" t="str">
            <v>ON</v>
          </cell>
          <cell r="B975" t="str">
            <v>Trong 24h</v>
          </cell>
          <cell r="D975" t="str">
            <v>Khiếu nại về dịch vụ FTTH</v>
          </cell>
          <cell r="W975" t="str">
            <v>Đã đóng</v>
          </cell>
          <cell r="AJ975" t="str">
            <v>Đồng Tháp</v>
          </cell>
          <cell r="BX975" t="str">
            <v>AON</v>
          </cell>
        </row>
        <row r="976">
          <cell r="A976" t="str">
            <v>ON</v>
          </cell>
          <cell r="B976" t="str">
            <v>Trong 24h</v>
          </cell>
          <cell r="D976" t="str">
            <v>Khiếu nại về dịch vụ FTTH</v>
          </cell>
          <cell r="W976" t="str">
            <v>Đang xử lý</v>
          </cell>
          <cell r="AJ976" t="str">
            <v>Bắc Ninh</v>
          </cell>
          <cell r="BX976" t="str">
            <v>AON</v>
          </cell>
        </row>
        <row r="977">
          <cell r="A977" t="str">
            <v>ON</v>
          </cell>
          <cell r="B977" t="str">
            <v>Trong 24h</v>
          </cell>
          <cell r="D977" t="str">
            <v>Khiếu nại về dịch vụ FTTH</v>
          </cell>
          <cell r="W977" t="str">
            <v>Đã đóng</v>
          </cell>
          <cell r="AJ977" t="str">
            <v>TP HCM</v>
          </cell>
          <cell r="BX977" t="str">
            <v>AON</v>
          </cell>
        </row>
        <row r="978">
          <cell r="A978" t="str">
            <v>ON</v>
          </cell>
          <cell r="B978" t="str">
            <v>Trong 24h</v>
          </cell>
          <cell r="D978" t="str">
            <v>Khiếu nại về dịch vụ FTTH</v>
          </cell>
          <cell r="W978" t="str">
            <v>Đã đóng</v>
          </cell>
          <cell r="AJ978" t="str">
            <v>Bình Định</v>
          </cell>
          <cell r="BX978" t="str">
            <v>AON</v>
          </cell>
        </row>
        <row r="979">
          <cell r="A979" t="str">
            <v>ON</v>
          </cell>
          <cell r="B979" t="str">
            <v>Trong 24h</v>
          </cell>
          <cell r="D979" t="str">
            <v>Khiếu nại về dịch vụ FTTH</v>
          </cell>
          <cell r="W979" t="str">
            <v>Đã đóng</v>
          </cell>
          <cell r="AJ979" t="str">
            <v>TP HCM</v>
          </cell>
          <cell r="BX979" t="str">
            <v>AON</v>
          </cell>
        </row>
        <row r="980">
          <cell r="A980" t="str">
            <v>ON</v>
          </cell>
          <cell r="B980" t="str">
            <v>Trong 24h</v>
          </cell>
          <cell r="D980" t="str">
            <v>Khiếu nại về dịch vụ FTTH</v>
          </cell>
          <cell r="W980" t="str">
            <v>Đã đóng</v>
          </cell>
          <cell r="AJ980" t="str">
            <v>Bình Dương</v>
          </cell>
          <cell r="BX980" t="str">
            <v>AON</v>
          </cell>
        </row>
        <row r="981">
          <cell r="A981" t="str">
            <v>ON</v>
          </cell>
          <cell r="B981" t="str">
            <v>Trong 24h</v>
          </cell>
          <cell r="D981" t="str">
            <v>Khiếu nại về dịch vụ FTTH</v>
          </cell>
          <cell r="W981" t="str">
            <v>Đang xử lý</v>
          </cell>
          <cell r="AJ981" t="str">
            <v>Lâm Đồng</v>
          </cell>
          <cell r="BX981" t="str">
            <v>AON</v>
          </cell>
        </row>
        <row r="982">
          <cell r="A982" t="str">
            <v>ON</v>
          </cell>
          <cell r="B982" t="str">
            <v>Trong 24h</v>
          </cell>
          <cell r="D982" t="str">
            <v>Khiếu nại về dịch vụ FTTH</v>
          </cell>
          <cell r="W982" t="str">
            <v>Đã đóng</v>
          </cell>
          <cell r="AJ982" t="str">
            <v>Cần Thơ</v>
          </cell>
          <cell r="BX982" t="str">
            <v>AON</v>
          </cell>
        </row>
        <row r="983">
          <cell r="A983" t="str">
            <v>ON</v>
          </cell>
          <cell r="B983" t="str">
            <v>Trong 24h</v>
          </cell>
          <cell r="D983" t="str">
            <v>Khiếu nại về dịch vụ FTTH</v>
          </cell>
          <cell r="W983" t="str">
            <v>Đã đóng</v>
          </cell>
          <cell r="AJ983" t="str">
            <v>Hà Nội 1</v>
          </cell>
          <cell r="BX983" t="str">
            <v>AON</v>
          </cell>
        </row>
        <row r="984">
          <cell r="A984" t="str">
            <v>ON</v>
          </cell>
          <cell r="B984" t="str">
            <v>Trong 24h</v>
          </cell>
          <cell r="D984" t="str">
            <v>Khiếu nại về dịch vụ FTTH</v>
          </cell>
          <cell r="W984" t="str">
            <v>Đang xử lý</v>
          </cell>
          <cell r="AJ984" t="str">
            <v>Long An</v>
          </cell>
          <cell r="BX984" t="str">
            <v>AON</v>
          </cell>
        </row>
        <row r="985">
          <cell r="A985" t="str">
            <v>ON</v>
          </cell>
          <cell r="B985" t="str">
            <v>Trong 24h</v>
          </cell>
          <cell r="D985" t="str">
            <v>Khiếu nại về dịch vụ FTTH</v>
          </cell>
          <cell r="W985" t="str">
            <v>Đã đóng</v>
          </cell>
          <cell r="AJ985" t="str">
            <v>TP HCM</v>
          </cell>
          <cell r="BX985" t="str">
            <v>AON</v>
          </cell>
        </row>
        <row r="986">
          <cell r="A986" t="str">
            <v>ON</v>
          </cell>
          <cell r="B986" t="str">
            <v>Trong 24h</v>
          </cell>
          <cell r="D986" t="str">
            <v>Khiếu nại về dịch vụ FTTH</v>
          </cell>
          <cell r="W986" t="str">
            <v>Đã đóng</v>
          </cell>
          <cell r="AJ986" t="str">
            <v>TP HCM</v>
          </cell>
          <cell r="BX986" t="str">
            <v>GPON</v>
          </cell>
        </row>
        <row r="987">
          <cell r="A987" t="str">
            <v>ON</v>
          </cell>
          <cell r="B987" t="str">
            <v>Trong 24h</v>
          </cell>
          <cell r="D987" t="str">
            <v>Khiếu nại về dịch vụ FTTH</v>
          </cell>
          <cell r="W987" t="str">
            <v>Đã đóng</v>
          </cell>
          <cell r="AJ987" t="str">
            <v>TP HCM</v>
          </cell>
          <cell r="BX987" t="str">
            <v>AON</v>
          </cell>
        </row>
        <row r="988">
          <cell r="A988" t="str">
            <v>ON</v>
          </cell>
          <cell r="B988" t="str">
            <v>Trong 24h</v>
          </cell>
          <cell r="D988" t="str">
            <v>Khiếu nại về dịch vụ FTTH</v>
          </cell>
          <cell r="W988" t="str">
            <v>Đang xử lý</v>
          </cell>
          <cell r="AJ988" t="str">
            <v>Bắc Ninh</v>
          </cell>
          <cell r="BX988" t="str">
            <v>AON</v>
          </cell>
        </row>
        <row r="989">
          <cell r="A989" t="str">
            <v>ON</v>
          </cell>
          <cell r="B989" t="str">
            <v>Trong 24h</v>
          </cell>
          <cell r="D989" t="str">
            <v>Khiếu nại về dịch vụ FTTH</v>
          </cell>
          <cell r="W989" t="str">
            <v>Đã đóng</v>
          </cell>
          <cell r="AJ989" t="str">
            <v>TP HCM</v>
          </cell>
          <cell r="BX989" t="str">
            <v>AON</v>
          </cell>
        </row>
        <row r="990">
          <cell r="A990" t="str">
            <v>ON</v>
          </cell>
          <cell r="B990" t="str">
            <v>Trong 24h</v>
          </cell>
          <cell r="D990" t="str">
            <v>Khiếu nại về dịch vụ FTTH</v>
          </cell>
          <cell r="W990" t="str">
            <v>Đã đóng</v>
          </cell>
          <cell r="AJ990" t="str">
            <v>Bà Rịa - Vũng Tàu</v>
          </cell>
          <cell r="BX990" t="str">
            <v>AON</v>
          </cell>
        </row>
        <row r="991">
          <cell r="A991" t="str">
            <v>ON</v>
          </cell>
          <cell r="B991" t="str">
            <v>Trong 24h</v>
          </cell>
          <cell r="D991" t="str">
            <v>Khiếu nại về dịch vụ FTTH</v>
          </cell>
          <cell r="W991" t="str">
            <v>Đã đóng</v>
          </cell>
          <cell r="AJ991" t="str">
            <v>TP HCM</v>
          </cell>
          <cell r="BX991" t="str">
            <v>AON</v>
          </cell>
        </row>
        <row r="992">
          <cell r="A992" t="str">
            <v>ON</v>
          </cell>
          <cell r="B992" t="str">
            <v>Trong 24h</v>
          </cell>
          <cell r="D992" t="str">
            <v>Khiếu nại về dịch vụ NextTV</v>
          </cell>
          <cell r="W992" t="str">
            <v>Đã đóng</v>
          </cell>
          <cell r="AJ992" t="str">
            <v>Nghệ An</v>
          </cell>
          <cell r="BX992" t="str">
            <v>AON</v>
          </cell>
        </row>
        <row r="993">
          <cell r="A993" t="str">
            <v>ON</v>
          </cell>
          <cell r="B993" t="str">
            <v>Trong 24h</v>
          </cell>
          <cell r="D993" t="str">
            <v>Khiếu nại về dịch vụ FTTH</v>
          </cell>
          <cell r="W993" t="str">
            <v>Đã đóng</v>
          </cell>
          <cell r="AJ993" t="str">
            <v>TP HCM</v>
          </cell>
          <cell r="BX993" t="str">
            <v>AON</v>
          </cell>
        </row>
        <row r="994">
          <cell r="A994" t="str">
            <v>ON</v>
          </cell>
          <cell r="B994" t="str">
            <v>Trong 24h</v>
          </cell>
          <cell r="D994" t="str">
            <v>Khiếu nại về dịch vụ FTTH</v>
          </cell>
          <cell r="W994" t="str">
            <v>Đã đóng</v>
          </cell>
          <cell r="AJ994" t="str">
            <v xml:space="preserve">Đắc Lắk </v>
          </cell>
          <cell r="BX994" t="str">
            <v>AON</v>
          </cell>
        </row>
        <row r="995">
          <cell r="A995" t="str">
            <v>ON</v>
          </cell>
          <cell r="B995" t="str">
            <v>Trong 24h</v>
          </cell>
          <cell r="D995" t="str">
            <v>Khiếu nại về dịch vụ FTTH</v>
          </cell>
          <cell r="W995" t="str">
            <v>Đã đóng</v>
          </cell>
          <cell r="AJ995" t="str">
            <v>Hải Phòng</v>
          </cell>
          <cell r="BX995" t="str">
            <v>AON</v>
          </cell>
        </row>
        <row r="996">
          <cell r="A996" t="str">
            <v>ON</v>
          </cell>
          <cell r="B996" t="str">
            <v>Trong 24h</v>
          </cell>
          <cell r="D996" t="str">
            <v>Khiếu nại về dịch vụ FTTH</v>
          </cell>
          <cell r="W996" t="str">
            <v>Đã đóng</v>
          </cell>
          <cell r="AJ996" t="str">
            <v>TP HCM</v>
          </cell>
          <cell r="BX996" t="str">
            <v>AON</v>
          </cell>
        </row>
        <row r="997">
          <cell r="A997" t="str">
            <v>ON</v>
          </cell>
          <cell r="B997" t="str">
            <v>Trong 24h</v>
          </cell>
          <cell r="D997" t="str">
            <v>Khiếu nại về dịch vụ FTTH</v>
          </cell>
          <cell r="W997" t="str">
            <v>Đã đóng</v>
          </cell>
          <cell r="AJ997" t="str">
            <v xml:space="preserve">Đồng Nai </v>
          </cell>
          <cell r="BX997" t="str">
            <v>AON</v>
          </cell>
        </row>
        <row r="998">
          <cell r="A998" t="str">
            <v>ON</v>
          </cell>
          <cell r="B998" t="str">
            <v>Trong 24h</v>
          </cell>
          <cell r="D998" t="str">
            <v>Khiếu nại về dịch vụ FTTH</v>
          </cell>
          <cell r="W998" t="str">
            <v>Đã đóng</v>
          </cell>
          <cell r="AJ998" t="str">
            <v>Hà Nam</v>
          </cell>
          <cell r="BX998" t="str">
            <v>AON</v>
          </cell>
        </row>
        <row r="999">
          <cell r="A999" t="str">
            <v>ON</v>
          </cell>
          <cell r="B999" t="str">
            <v>Trong 24h</v>
          </cell>
          <cell r="D999" t="str">
            <v>Khiếu nại về dịch vụ FTTH</v>
          </cell>
          <cell r="W999" t="str">
            <v>Đã đóng</v>
          </cell>
          <cell r="AJ999" t="str">
            <v>Bình Thuận</v>
          </cell>
          <cell r="BX999" t="str">
            <v>AON</v>
          </cell>
        </row>
        <row r="1000">
          <cell r="A1000" t="str">
            <v>ON</v>
          </cell>
          <cell r="B1000" t="str">
            <v>Trong 24h</v>
          </cell>
          <cell r="D1000" t="str">
            <v>Khiếu nại về dịch vụ FTTH</v>
          </cell>
          <cell r="W1000" t="str">
            <v>Đang xử lý</v>
          </cell>
          <cell r="AJ1000" t="str">
            <v>Sóc Trăng</v>
          </cell>
          <cell r="BX1000" t="str">
            <v>GPON</v>
          </cell>
        </row>
        <row r="1001">
          <cell r="A1001" t="str">
            <v>ON</v>
          </cell>
          <cell r="B1001" t="str">
            <v>Trong 24h</v>
          </cell>
          <cell r="D1001" t="str">
            <v>Khiếu nại về dịch vụ FTTH</v>
          </cell>
          <cell r="W1001" t="str">
            <v>Đã đóng</v>
          </cell>
          <cell r="AJ1001" t="str">
            <v>Bình Dương</v>
          </cell>
          <cell r="BX1001" t="str">
            <v>AON</v>
          </cell>
        </row>
        <row r="1002">
          <cell r="A1002" t="str">
            <v>ON</v>
          </cell>
          <cell r="B1002" t="str">
            <v>Trong 24h</v>
          </cell>
          <cell r="D1002" t="str">
            <v>Khiếu nại về dịch vụ FTTH</v>
          </cell>
          <cell r="W1002" t="str">
            <v>Đang xử lý</v>
          </cell>
          <cell r="AJ1002" t="str">
            <v>TP HCM</v>
          </cell>
          <cell r="BX1002" t="str">
            <v>GPON</v>
          </cell>
        </row>
        <row r="1003">
          <cell r="A1003" t="str">
            <v>ON</v>
          </cell>
          <cell r="B1003" t="str">
            <v>Trong 24h</v>
          </cell>
          <cell r="D1003" t="str">
            <v>Khiếu nại về dịch vụ FTTH</v>
          </cell>
          <cell r="W1003" t="str">
            <v>Đang xử lý</v>
          </cell>
          <cell r="AJ1003" t="str">
            <v>Quảng Ninh</v>
          </cell>
          <cell r="BX1003" t="str">
            <v>AON</v>
          </cell>
        </row>
        <row r="1004">
          <cell r="A1004" t="str">
            <v>ON</v>
          </cell>
          <cell r="B1004" t="str">
            <v>Trong 24h</v>
          </cell>
          <cell r="D1004" t="str">
            <v>Khiếu nại về dịch vụ FTTH</v>
          </cell>
          <cell r="W1004" t="str">
            <v>Đã đóng</v>
          </cell>
          <cell r="AJ1004" t="str">
            <v>TP HCM</v>
          </cell>
          <cell r="BX1004" t="str">
            <v>AON</v>
          </cell>
        </row>
        <row r="1005">
          <cell r="A1005" t="str">
            <v>ON</v>
          </cell>
          <cell r="B1005" t="str">
            <v>Trong 24h</v>
          </cell>
          <cell r="D1005" t="str">
            <v>Khiếu nại về dịch vụ FTTH</v>
          </cell>
          <cell r="W1005" t="str">
            <v>Đang xử lý</v>
          </cell>
          <cell r="AJ1005" t="str">
            <v>An Giang</v>
          </cell>
          <cell r="BX1005" t="str">
            <v>AON</v>
          </cell>
        </row>
        <row r="1006">
          <cell r="A1006" t="str">
            <v>ON</v>
          </cell>
          <cell r="B1006" t="str">
            <v>Trong 24h</v>
          </cell>
          <cell r="D1006" t="str">
            <v>Khiếu nại về dịch vụ FTTH</v>
          </cell>
          <cell r="W1006" t="str">
            <v>Đã đóng</v>
          </cell>
          <cell r="AJ1006" t="str">
            <v>TP HCM</v>
          </cell>
          <cell r="BX1006" t="str">
            <v>AON</v>
          </cell>
        </row>
        <row r="1007">
          <cell r="A1007" t="str">
            <v>ON</v>
          </cell>
          <cell r="B1007" t="str">
            <v>Trong 24h</v>
          </cell>
          <cell r="D1007" t="str">
            <v>Khiếu nại về dịch vụ FTTH</v>
          </cell>
          <cell r="W1007" t="str">
            <v>Đang xử lý</v>
          </cell>
          <cell r="AJ1007" t="str">
            <v>Kiên Giang</v>
          </cell>
          <cell r="BX1007" t="str">
            <v>AON</v>
          </cell>
        </row>
        <row r="1008">
          <cell r="A1008" t="str">
            <v>ON</v>
          </cell>
          <cell r="B1008" t="str">
            <v>Trong 24h</v>
          </cell>
          <cell r="D1008" t="str">
            <v>Khiếu nại về dịch vụ FTTH</v>
          </cell>
          <cell r="W1008" t="str">
            <v>Đã đóng</v>
          </cell>
          <cell r="AJ1008" t="str">
            <v>Hải Phòng</v>
          </cell>
          <cell r="BX1008" t="str">
            <v>AON</v>
          </cell>
        </row>
        <row r="1009">
          <cell r="A1009" t="str">
            <v>ON</v>
          </cell>
          <cell r="B1009" t="str">
            <v>Trong 24h</v>
          </cell>
          <cell r="D1009" t="str">
            <v>Khiếu nại về dịch vụ FTTH</v>
          </cell>
          <cell r="W1009" t="str">
            <v>Đang xử lý</v>
          </cell>
          <cell r="AJ1009" t="str">
            <v>Cần Thơ</v>
          </cell>
          <cell r="BX1009" t="str">
            <v>AON</v>
          </cell>
        </row>
        <row r="1010">
          <cell r="A1010" t="str">
            <v>ON</v>
          </cell>
          <cell r="B1010" t="str">
            <v>Trong 24h</v>
          </cell>
          <cell r="D1010" t="str">
            <v>Khiếu nại về dịch vụ FTTH</v>
          </cell>
          <cell r="W1010" t="str">
            <v>Đã đóng</v>
          </cell>
          <cell r="AJ1010" t="str">
            <v>TP HCM</v>
          </cell>
          <cell r="BX1010" t="str">
            <v>AON</v>
          </cell>
        </row>
        <row r="1011">
          <cell r="A1011" t="str">
            <v>ON</v>
          </cell>
          <cell r="B1011" t="str">
            <v>Trong 24h</v>
          </cell>
          <cell r="D1011" t="str">
            <v>Khiếu nại về dịch vụ FTTH</v>
          </cell>
          <cell r="W1011" t="str">
            <v>Đã đóng</v>
          </cell>
          <cell r="AJ1011" t="str">
            <v xml:space="preserve">Đắc Lắk </v>
          </cell>
          <cell r="BX1011" t="str">
            <v>AON</v>
          </cell>
        </row>
        <row r="1012">
          <cell r="A1012" t="str">
            <v>ON</v>
          </cell>
          <cell r="B1012" t="str">
            <v>Trong 24h</v>
          </cell>
          <cell r="D1012" t="str">
            <v>Khiếu nại về dịch vụ FTTH</v>
          </cell>
          <cell r="W1012" t="str">
            <v>Đang xử lý</v>
          </cell>
          <cell r="AJ1012" t="str">
            <v>TP HCM</v>
          </cell>
          <cell r="BX1012" t="str">
            <v>AON</v>
          </cell>
        </row>
        <row r="1013">
          <cell r="A1013" t="str">
            <v>ON</v>
          </cell>
          <cell r="B1013" t="str">
            <v>Trong 24h</v>
          </cell>
          <cell r="D1013" t="str">
            <v>Khiếu nại về dịch vụ FTTH</v>
          </cell>
          <cell r="W1013" t="str">
            <v>Đã đóng</v>
          </cell>
          <cell r="AJ1013" t="str">
            <v>Bình Dương</v>
          </cell>
          <cell r="BX1013" t="str">
            <v>AON</v>
          </cell>
        </row>
        <row r="1014">
          <cell r="A1014" t="str">
            <v>ON</v>
          </cell>
          <cell r="B1014" t="str">
            <v>Trong 24h</v>
          </cell>
          <cell r="D1014" t="str">
            <v>Khiếu nại về dịch vụ FTTH</v>
          </cell>
          <cell r="W1014" t="str">
            <v>Đang xử lý</v>
          </cell>
          <cell r="AJ1014" t="str">
            <v>Cà Mau</v>
          </cell>
          <cell r="BX1014" t="str">
            <v>AON</v>
          </cell>
        </row>
        <row r="1015">
          <cell r="A1015" t="str">
            <v>ON</v>
          </cell>
          <cell r="B1015" t="str">
            <v>Trong 24h</v>
          </cell>
          <cell r="D1015" t="str">
            <v>Khiếu nại về dịch vụ FTTH</v>
          </cell>
          <cell r="W1015" t="str">
            <v>Đã đóng</v>
          </cell>
          <cell r="AJ1015" t="str">
            <v xml:space="preserve">Đồng Nai </v>
          </cell>
          <cell r="BX1015" t="str">
            <v>AON</v>
          </cell>
        </row>
        <row r="1016">
          <cell r="A1016" t="str">
            <v>ON</v>
          </cell>
          <cell r="B1016" t="str">
            <v>Trong 24h</v>
          </cell>
          <cell r="D1016" t="str">
            <v>Khiếu nại về dịch vụ FTTH</v>
          </cell>
          <cell r="W1016" t="str">
            <v>Đang xử lý</v>
          </cell>
          <cell r="AJ1016" t="str">
            <v>Quảng Ninh</v>
          </cell>
          <cell r="BX1016" t="str">
            <v>AON</v>
          </cell>
        </row>
        <row r="1017">
          <cell r="A1017" t="str">
            <v>ON</v>
          </cell>
          <cell r="B1017" t="str">
            <v>Trong 24h</v>
          </cell>
          <cell r="D1017" t="str">
            <v>Khiếu nại về dịch vụ FTTH</v>
          </cell>
          <cell r="W1017" t="str">
            <v>Đã đóng</v>
          </cell>
          <cell r="AJ1017" t="str">
            <v>An Giang</v>
          </cell>
          <cell r="BX1017" t="str">
            <v>AON</v>
          </cell>
        </row>
        <row r="1018">
          <cell r="A1018" t="str">
            <v>ON</v>
          </cell>
          <cell r="B1018" t="str">
            <v>Trong 24h</v>
          </cell>
          <cell r="D1018" t="str">
            <v>Khiếu nại về dịch vụ FTTH</v>
          </cell>
          <cell r="W1018" t="str">
            <v>Đã đóng</v>
          </cell>
          <cell r="AJ1018" t="str">
            <v>TP HCM</v>
          </cell>
          <cell r="BX1018" t="str">
            <v>AON</v>
          </cell>
        </row>
        <row r="1019">
          <cell r="A1019" t="str">
            <v>ON</v>
          </cell>
          <cell r="B1019" t="str">
            <v>Trong 24h</v>
          </cell>
          <cell r="D1019" t="str">
            <v>Khiếu nại về dịch vụ FTTH</v>
          </cell>
          <cell r="W1019" t="str">
            <v>Đang xử lý</v>
          </cell>
          <cell r="AJ1019" t="str">
            <v xml:space="preserve">Hà Tĩnh </v>
          </cell>
          <cell r="BX1019" t="str">
            <v>AON</v>
          </cell>
        </row>
        <row r="1020">
          <cell r="A1020" t="str">
            <v>ON</v>
          </cell>
          <cell r="B1020" t="str">
            <v>Trong 24h</v>
          </cell>
          <cell r="D1020" t="str">
            <v>Khiếu nại về dịch vụ FTTH</v>
          </cell>
          <cell r="W1020" t="str">
            <v>Đang xử lý</v>
          </cell>
          <cell r="AJ1020" t="str">
            <v>Bắc Giang</v>
          </cell>
          <cell r="BX1020" t="str">
            <v>AON</v>
          </cell>
        </row>
        <row r="1021">
          <cell r="A1021" t="str">
            <v>ON</v>
          </cell>
          <cell r="B1021" t="str">
            <v>Trong 24h</v>
          </cell>
          <cell r="D1021" t="str">
            <v>Khiếu nại về dịch vụ FTTH</v>
          </cell>
          <cell r="W1021" t="str">
            <v>Đã đóng</v>
          </cell>
          <cell r="AJ1021" t="str">
            <v>Long An</v>
          </cell>
          <cell r="BX1021" t="str">
            <v>AON</v>
          </cell>
        </row>
        <row r="1022">
          <cell r="A1022" t="str">
            <v>ON</v>
          </cell>
          <cell r="B1022" t="str">
            <v>Trong 24h</v>
          </cell>
          <cell r="D1022" t="str">
            <v>Khiếu nại về dịch vụ FTTH</v>
          </cell>
          <cell r="W1022" t="str">
            <v>Đã đóng</v>
          </cell>
          <cell r="AJ1022" t="str">
            <v>TP HCM</v>
          </cell>
          <cell r="BX1022" t="str">
            <v>AON</v>
          </cell>
        </row>
        <row r="1023">
          <cell r="A1023" t="str">
            <v>ON</v>
          </cell>
          <cell r="B1023" t="str">
            <v>Trong 24h</v>
          </cell>
          <cell r="D1023" t="str">
            <v>Khiếu nại về dịch vụ FTTH</v>
          </cell>
          <cell r="W1023" t="str">
            <v>Đã đóng</v>
          </cell>
          <cell r="AJ1023" t="str">
            <v>TP HCM</v>
          </cell>
          <cell r="BX1023" t="str">
            <v>GPON</v>
          </cell>
        </row>
        <row r="1024">
          <cell r="A1024" t="str">
            <v>ON</v>
          </cell>
          <cell r="B1024" t="str">
            <v>Trong 24h</v>
          </cell>
          <cell r="D1024" t="str">
            <v>Khiếu nại về dịch vụ FTTH</v>
          </cell>
          <cell r="W1024" t="str">
            <v>Đã đóng</v>
          </cell>
          <cell r="AJ1024" t="str">
            <v>TP HCM</v>
          </cell>
          <cell r="BX1024" t="str">
            <v>AON</v>
          </cell>
        </row>
        <row r="1025">
          <cell r="A1025" t="str">
            <v>ON</v>
          </cell>
          <cell r="B1025" t="str">
            <v>Trong 24h</v>
          </cell>
          <cell r="D1025" t="str">
            <v>Khiếu nại về dịch vụ FTTH</v>
          </cell>
          <cell r="W1025" t="str">
            <v>Đã đóng</v>
          </cell>
          <cell r="AJ1025" t="str">
            <v xml:space="preserve">Đà Nẵng </v>
          </cell>
          <cell r="BX1025" t="str">
            <v>AON</v>
          </cell>
        </row>
        <row r="1026">
          <cell r="A1026" t="str">
            <v>ON</v>
          </cell>
          <cell r="B1026" t="str">
            <v>Trong 24h</v>
          </cell>
          <cell r="D1026" t="str">
            <v>Khiếu nại về dịch vụ FTTH</v>
          </cell>
          <cell r="W1026" t="str">
            <v>Đang xử lý</v>
          </cell>
          <cell r="AJ1026" t="str">
            <v>TP HCM</v>
          </cell>
          <cell r="BX1026" t="str">
            <v>AON</v>
          </cell>
        </row>
        <row r="1027">
          <cell r="A1027" t="str">
            <v>ON</v>
          </cell>
          <cell r="B1027" t="str">
            <v>Trong 24h</v>
          </cell>
          <cell r="D1027" t="str">
            <v>Khiếu nại về dịch vụ FTTH</v>
          </cell>
          <cell r="W1027" t="str">
            <v>Đã đóng</v>
          </cell>
          <cell r="AJ1027" t="str">
            <v>TP HCM</v>
          </cell>
          <cell r="BX1027" t="str">
            <v>AON</v>
          </cell>
        </row>
        <row r="1028">
          <cell r="A1028" t="str">
            <v>ON</v>
          </cell>
          <cell r="B1028" t="str">
            <v>Trong 24h</v>
          </cell>
          <cell r="D1028" t="str">
            <v>Khiếu nại về dịch vụ NextTV</v>
          </cell>
          <cell r="W1028" t="str">
            <v>Đang xử lý</v>
          </cell>
          <cell r="AJ1028" t="str">
            <v>TP HCM</v>
          </cell>
          <cell r="BX1028" t="str">
            <v>AON</v>
          </cell>
        </row>
        <row r="1029">
          <cell r="A1029" t="str">
            <v>ON</v>
          </cell>
          <cell r="B1029" t="str">
            <v>Trong 24h</v>
          </cell>
          <cell r="D1029" t="str">
            <v>Khiếu nại về dịch vụ FTTH</v>
          </cell>
          <cell r="W1029" t="str">
            <v>Đã đóng</v>
          </cell>
          <cell r="AJ1029" t="str">
            <v>An Giang</v>
          </cell>
          <cell r="BX1029" t="str">
            <v>AON</v>
          </cell>
        </row>
        <row r="1030">
          <cell r="A1030" t="str">
            <v>ON</v>
          </cell>
          <cell r="B1030" t="str">
            <v>Trong 24h</v>
          </cell>
          <cell r="D1030" t="str">
            <v>Khiếu nại về dịch vụ FTTH</v>
          </cell>
          <cell r="W1030" t="str">
            <v>Đã đóng</v>
          </cell>
          <cell r="AJ1030" t="str">
            <v>Vĩnh Long</v>
          </cell>
          <cell r="BX1030" t="str">
            <v>AON</v>
          </cell>
        </row>
        <row r="1031">
          <cell r="A1031" t="str">
            <v>ON</v>
          </cell>
          <cell r="B1031" t="str">
            <v>Trong 24h</v>
          </cell>
          <cell r="D1031" t="str">
            <v>Khiếu nại về dịch vụ FTTH</v>
          </cell>
          <cell r="W1031" t="str">
            <v>Đã đóng</v>
          </cell>
          <cell r="AJ1031" t="str">
            <v>TP HCM</v>
          </cell>
          <cell r="BX1031" t="str">
            <v>AON</v>
          </cell>
        </row>
        <row r="1032">
          <cell r="A1032" t="str">
            <v>ON</v>
          </cell>
          <cell r="B1032" t="str">
            <v>Trong 24h</v>
          </cell>
          <cell r="D1032" t="str">
            <v>Khiếu nại về dịch vụ FTTH</v>
          </cell>
          <cell r="W1032" t="str">
            <v>Đã đóng</v>
          </cell>
          <cell r="AJ1032" t="str">
            <v>TP HCM</v>
          </cell>
          <cell r="BX1032" t="str">
            <v>AON</v>
          </cell>
        </row>
        <row r="1033">
          <cell r="A1033" t="str">
            <v>ON</v>
          </cell>
          <cell r="B1033" t="str">
            <v>Trong 24h</v>
          </cell>
          <cell r="D1033" t="str">
            <v>Khiếu nại về dịch vụ FTTH</v>
          </cell>
          <cell r="W1033" t="str">
            <v>Đã đóng</v>
          </cell>
          <cell r="AJ1033" t="str">
            <v>TP HCM</v>
          </cell>
          <cell r="BX1033" t="str">
            <v>AON</v>
          </cell>
        </row>
        <row r="1034">
          <cell r="A1034" t="str">
            <v>ON</v>
          </cell>
          <cell r="B1034" t="str">
            <v>Trong 24h</v>
          </cell>
          <cell r="D1034" t="str">
            <v>Khiếu nại về dịch vụ FTTH</v>
          </cell>
          <cell r="W1034" t="str">
            <v>Đang xử lý</v>
          </cell>
          <cell r="AJ1034" t="str">
            <v>Quảng Ninh</v>
          </cell>
          <cell r="BX1034" t="str">
            <v>AON</v>
          </cell>
        </row>
        <row r="1035">
          <cell r="A1035" t="str">
            <v>ON</v>
          </cell>
          <cell r="B1035" t="str">
            <v>Trong 24h</v>
          </cell>
          <cell r="D1035" t="str">
            <v>Khiếu nại về dịch vụ FTTH</v>
          </cell>
          <cell r="W1035" t="str">
            <v>Đã đóng</v>
          </cell>
          <cell r="AJ1035" t="str">
            <v>Bình Định</v>
          </cell>
          <cell r="BX1035" t="str">
            <v>AON</v>
          </cell>
        </row>
        <row r="1036">
          <cell r="A1036" t="str">
            <v>ON</v>
          </cell>
          <cell r="B1036" t="str">
            <v>Trong 24h</v>
          </cell>
          <cell r="D1036" t="str">
            <v>Khiếu nại về dịch vụ FTTH</v>
          </cell>
          <cell r="W1036" t="str">
            <v>Đã đóng</v>
          </cell>
          <cell r="AJ1036" t="str">
            <v>TP HCM</v>
          </cell>
          <cell r="BX1036" t="str">
            <v>AON</v>
          </cell>
        </row>
        <row r="1037">
          <cell r="A1037" t="str">
            <v>ON</v>
          </cell>
          <cell r="B1037" t="str">
            <v>Trong 24h</v>
          </cell>
          <cell r="D1037" t="str">
            <v>Khiếu nại về dịch vụ FTTH</v>
          </cell>
          <cell r="W1037" t="str">
            <v>Đã đóng</v>
          </cell>
          <cell r="AJ1037" t="str">
            <v>Long An</v>
          </cell>
          <cell r="BX1037" t="str">
            <v>AON</v>
          </cell>
        </row>
        <row r="1038">
          <cell r="A1038" t="str">
            <v>ON</v>
          </cell>
          <cell r="B1038" t="str">
            <v>Trong 24h</v>
          </cell>
          <cell r="D1038" t="str">
            <v>Khiếu nại về dịch vụ FTTH</v>
          </cell>
          <cell r="W1038" t="str">
            <v>Đã đóng</v>
          </cell>
          <cell r="AJ1038" t="str">
            <v>Long An</v>
          </cell>
          <cell r="BX1038" t="str">
            <v>AON</v>
          </cell>
        </row>
        <row r="1039">
          <cell r="A1039" t="str">
            <v>ON</v>
          </cell>
          <cell r="B1039" t="str">
            <v>Trong 24h</v>
          </cell>
          <cell r="D1039" t="str">
            <v>Khiếu nại về dịch vụ FTTH</v>
          </cell>
          <cell r="W1039" t="str">
            <v>Đang xử lý</v>
          </cell>
          <cell r="AJ1039" t="str">
            <v>Quảng Ninh</v>
          </cell>
          <cell r="BX1039" t="str">
            <v>AON</v>
          </cell>
        </row>
        <row r="1040">
          <cell r="A1040" t="str">
            <v>ON</v>
          </cell>
          <cell r="B1040" t="str">
            <v>Trong 24h</v>
          </cell>
          <cell r="D1040" t="str">
            <v>Khiếu nại về dịch vụ FTTH</v>
          </cell>
          <cell r="W1040" t="str">
            <v>Đang xử lý</v>
          </cell>
          <cell r="AJ1040" t="str">
            <v>Quảng Ninh</v>
          </cell>
          <cell r="BX1040" t="str">
            <v>AON</v>
          </cell>
        </row>
        <row r="1041">
          <cell r="A1041" t="str">
            <v>ON</v>
          </cell>
          <cell r="B1041" t="str">
            <v>Trong 24h</v>
          </cell>
          <cell r="D1041" t="str">
            <v>Khiếu nại về dịch vụ FTTH</v>
          </cell>
          <cell r="W1041" t="str">
            <v>Đã đóng</v>
          </cell>
          <cell r="AJ1041" t="str">
            <v>Điện Biên</v>
          </cell>
          <cell r="BX1041" t="str">
            <v>AON</v>
          </cell>
        </row>
        <row r="1042">
          <cell r="A1042" t="str">
            <v>ON</v>
          </cell>
          <cell r="B1042" t="str">
            <v>Trong 24h</v>
          </cell>
          <cell r="D1042" t="str">
            <v>Khiếu nại về dịch vụ FTTH</v>
          </cell>
          <cell r="W1042" t="str">
            <v>Đang xử lý</v>
          </cell>
          <cell r="AJ1042" t="str">
            <v>Lào Cai</v>
          </cell>
          <cell r="BX1042" t="str">
            <v>AON</v>
          </cell>
        </row>
        <row r="1043">
          <cell r="A1043" t="str">
            <v>ON</v>
          </cell>
          <cell r="B1043" t="str">
            <v>Trong 24h</v>
          </cell>
          <cell r="D1043" t="str">
            <v>Khiếu nại về dịch vụ FTTH</v>
          </cell>
          <cell r="W1043" t="str">
            <v>Đã đóng</v>
          </cell>
          <cell r="AJ1043" t="str">
            <v xml:space="preserve">Đồng Nai </v>
          </cell>
          <cell r="BX1043" t="str">
            <v>AON</v>
          </cell>
        </row>
        <row r="1044">
          <cell r="A1044" t="str">
            <v>ON</v>
          </cell>
          <cell r="B1044" t="str">
            <v>Trong 24h</v>
          </cell>
          <cell r="D1044" t="str">
            <v>Khiếu nại về dịch vụ FTTH</v>
          </cell>
          <cell r="W1044" t="str">
            <v>Đang xử lý</v>
          </cell>
          <cell r="AJ1044" t="str">
            <v>Bình Dương</v>
          </cell>
          <cell r="BX1044" t="str">
            <v>AON</v>
          </cell>
        </row>
        <row r="1045">
          <cell r="A1045" t="str">
            <v>ON</v>
          </cell>
          <cell r="B1045" t="str">
            <v>Trong 24h</v>
          </cell>
          <cell r="D1045" t="str">
            <v>Khiếu nại về dịch vụ FTTH</v>
          </cell>
          <cell r="W1045" t="str">
            <v>Đã đóng</v>
          </cell>
          <cell r="AJ1045" t="str">
            <v>Hoà Bình</v>
          </cell>
          <cell r="BX1045" t="str">
            <v>AON</v>
          </cell>
        </row>
        <row r="1046">
          <cell r="A1046" t="str">
            <v>ON</v>
          </cell>
          <cell r="B1046" t="str">
            <v>Trong 24h</v>
          </cell>
          <cell r="D1046" t="str">
            <v>Khiếu nại về dịch vụ FTTH</v>
          </cell>
          <cell r="W1046" t="str">
            <v>Đã đóng</v>
          </cell>
          <cell r="AJ1046" t="str">
            <v>Quảng Ngãi</v>
          </cell>
          <cell r="BX1046" t="str">
            <v>AON</v>
          </cell>
        </row>
        <row r="1047">
          <cell r="A1047" t="str">
            <v>ON</v>
          </cell>
          <cell r="B1047" t="str">
            <v>Trong 24h</v>
          </cell>
          <cell r="D1047" t="str">
            <v>Khiếu nại về dịch vụ FTTH</v>
          </cell>
          <cell r="W1047" t="str">
            <v>Đã đóng</v>
          </cell>
          <cell r="AJ1047" t="str">
            <v>TP HCM</v>
          </cell>
          <cell r="BX1047" t="str">
            <v>GPON</v>
          </cell>
        </row>
        <row r="1048">
          <cell r="A1048" t="str">
            <v>ON</v>
          </cell>
          <cell r="B1048" t="str">
            <v>Trong 24h</v>
          </cell>
          <cell r="D1048" t="str">
            <v>Khiếu nại về dịch vụ FTTH</v>
          </cell>
          <cell r="W1048" t="str">
            <v>Đã đóng</v>
          </cell>
          <cell r="AJ1048" t="str">
            <v>TP HCM</v>
          </cell>
          <cell r="BX1048" t="str">
            <v>AON</v>
          </cell>
        </row>
        <row r="1049">
          <cell r="A1049" t="str">
            <v>ON</v>
          </cell>
          <cell r="B1049" t="str">
            <v>Trong 24h</v>
          </cell>
          <cell r="D1049" t="str">
            <v>Khiếu nại về dịch vụ FTTH</v>
          </cell>
          <cell r="W1049" t="str">
            <v>Đang xử lý</v>
          </cell>
          <cell r="AJ1049" t="str">
            <v>Hà Nội 2</v>
          </cell>
          <cell r="BX1049" t="str">
            <v>AON</v>
          </cell>
        </row>
        <row r="1050">
          <cell r="A1050" t="str">
            <v>ON</v>
          </cell>
          <cell r="B1050" t="str">
            <v>Trong 24h</v>
          </cell>
          <cell r="D1050" t="str">
            <v>Khiếu nại về dịch vụ FTTH</v>
          </cell>
          <cell r="W1050" t="str">
            <v>Đang xử lý</v>
          </cell>
          <cell r="AJ1050" t="str">
            <v>Thừa Thiên Huế</v>
          </cell>
          <cell r="BX1050" t="str">
            <v>AON</v>
          </cell>
        </row>
        <row r="1051">
          <cell r="A1051" t="str">
            <v>ON</v>
          </cell>
          <cell r="B1051" t="str">
            <v>Trong 24h</v>
          </cell>
          <cell r="D1051" t="str">
            <v>Khiếu nại về dịch vụ FTTH</v>
          </cell>
          <cell r="W1051" t="str">
            <v>Đã đóng</v>
          </cell>
          <cell r="AJ1051" t="str">
            <v>TP HCM</v>
          </cell>
          <cell r="BX1051" t="str">
            <v>GPON</v>
          </cell>
        </row>
        <row r="1052">
          <cell r="A1052" t="str">
            <v>ON</v>
          </cell>
          <cell r="B1052" t="str">
            <v>Trong 24h</v>
          </cell>
          <cell r="D1052" t="str">
            <v>Khiếu nại về dịch vụ FTTH</v>
          </cell>
          <cell r="W1052" t="str">
            <v>Đã đóng</v>
          </cell>
          <cell r="AJ1052" t="str">
            <v>Tây Ninh</v>
          </cell>
          <cell r="BX1052" t="str">
            <v>AON</v>
          </cell>
        </row>
        <row r="1053">
          <cell r="A1053" t="str">
            <v>ON</v>
          </cell>
          <cell r="B1053" t="str">
            <v>Trong 24h</v>
          </cell>
          <cell r="D1053" t="str">
            <v>Khiếu nại về dịch vụ NextTV</v>
          </cell>
          <cell r="W1053" t="str">
            <v>Đã đóng</v>
          </cell>
          <cell r="AJ1053" t="str">
            <v>Đắc Nông</v>
          </cell>
          <cell r="BX1053" t="str">
            <v>AON</v>
          </cell>
        </row>
        <row r="1054">
          <cell r="A1054" t="str">
            <v>ON</v>
          </cell>
          <cell r="B1054" t="str">
            <v>Trong 24h</v>
          </cell>
          <cell r="D1054" t="str">
            <v>Khiếu nại về dịch vụ FTTH</v>
          </cell>
          <cell r="W1054" t="str">
            <v>Đã đóng</v>
          </cell>
          <cell r="AJ1054" t="str">
            <v>Hà Nội 2</v>
          </cell>
          <cell r="BX1054" t="str">
            <v>AON</v>
          </cell>
        </row>
        <row r="1055">
          <cell r="A1055" t="str">
            <v>ON</v>
          </cell>
          <cell r="B1055" t="str">
            <v>Trong 24h</v>
          </cell>
          <cell r="D1055" t="str">
            <v>Khiếu nại về dịch vụ FTTH</v>
          </cell>
          <cell r="W1055" t="str">
            <v>Đang xử lý</v>
          </cell>
          <cell r="AJ1055" t="str">
            <v>TP HCM</v>
          </cell>
          <cell r="BX1055" t="str">
            <v>AON</v>
          </cell>
        </row>
        <row r="1056">
          <cell r="A1056" t="str">
            <v>ON</v>
          </cell>
          <cell r="B1056" t="str">
            <v>Trong 24h</v>
          </cell>
          <cell r="D1056" t="str">
            <v>Khiếu nại về dịch vụ FTTH</v>
          </cell>
          <cell r="W1056" t="str">
            <v>Đã đóng</v>
          </cell>
          <cell r="AJ1056" t="str">
            <v>Hà Nội 2</v>
          </cell>
          <cell r="BX1056" t="str">
            <v>AON</v>
          </cell>
        </row>
        <row r="1057">
          <cell r="A1057" t="str">
            <v>ON</v>
          </cell>
          <cell r="B1057" t="str">
            <v>Trong 24h</v>
          </cell>
          <cell r="D1057" t="str">
            <v>Khiếu nại về dịch vụ FTTH</v>
          </cell>
          <cell r="W1057" t="str">
            <v>Đã đóng</v>
          </cell>
          <cell r="AJ1057" t="str">
            <v>TP HCM</v>
          </cell>
          <cell r="BX1057" t="str">
            <v>AON</v>
          </cell>
        </row>
        <row r="1058">
          <cell r="A1058" t="str">
            <v>ON</v>
          </cell>
          <cell r="B1058" t="str">
            <v>Trong 24h</v>
          </cell>
          <cell r="D1058" t="str">
            <v>Khiếu nại về dịch vụ NextTV</v>
          </cell>
          <cell r="W1058" t="str">
            <v>Đang xử lý</v>
          </cell>
          <cell r="AJ1058" t="str">
            <v>Hà Giang</v>
          </cell>
          <cell r="BX1058" t="str">
            <v>AON</v>
          </cell>
        </row>
        <row r="1059">
          <cell r="A1059" t="str">
            <v>ON</v>
          </cell>
          <cell r="B1059" t="str">
            <v>Trong 24h</v>
          </cell>
          <cell r="D1059" t="str">
            <v>Khiếu nại về dịch vụ FTTH</v>
          </cell>
          <cell r="W1059" t="str">
            <v>Đang xử lý</v>
          </cell>
          <cell r="AJ1059" t="str">
            <v>Quảng Ninh</v>
          </cell>
          <cell r="BX1059" t="str">
            <v>AON</v>
          </cell>
        </row>
        <row r="1060">
          <cell r="A1060" t="str">
            <v>ON</v>
          </cell>
          <cell r="B1060" t="str">
            <v>Trong 24h</v>
          </cell>
          <cell r="D1060" t="str">
            <v>Khiếu nại về dịch vụ FTTH</v>
          </cell>
          <cell r="W1060" t="str">
            <v>Đã đóng</v>
          </cell>
          <cell r="AJ1060" t="str">
            <v>Bắc Giang</v>
          </cell>
          <cell r="BX1060" t="str">
            <v>AON</v>
          </cell>
        </row>
        <row r="1061">
          <cell r="A1061" t="str">
            <v>ON</v>
          </cell>
          <cell r="B1061" t="str">
            <v>Trong 24h</v>
          </cell>
          <cell r="D1061" t="str">
            <v>Khiếu nại về dịch vụ FTTH</v>
          </cell>
          <cell r="W1061" t="str">
            <v>Đang xử lý</v>
          </cell>
          <cell r="AJ1061" t="str">
            <v>Quảng Ninh</v>
          </cell>
          <cell r="BX1061" t="str">
            <v>AON</v>
          </cell>
        </row>
        <row r="1062">
          <cell r="A1062" t="str">
            <v>ON</v>
          </cell>
          <cell r="B1062" t="str">
            <v>Trong 24h</v>
          </cell>
          <cell r="D1062" t="str">
            <v>Khiếu nại về dịch vụ FTTH</v>
          </cell>
          <cell r="W1062" t="str">
            <v>Đã đóng</v>
          </cell>
          <cell r="AJ1062" t="str">
            <v>Quảng Ninh</v>
          </cell>
          <cell r="BX1062" t="str">
            <v>AON</v>
          </cell>
        </row>
        <row r="1063">
          <cell r="A1063" t="str">
            <v>ON</v>
          </cell>
          <cell r="B1063" t="str">
            <v>Trong 24h</v>
          </cell>
          <cell r="D1063" t="str">
            <v>Khiếu nại về dịch vụ FTTH</v>
          </cell>
          <cell r="W1063" t="str">
            <v>Đang xử lý</v>
          </cell>
          <cell r="AJ1063" t="str">
            <v>Bắc Ninh</v>
          </cell>
          <cell r="BX1063" t="str">
            <v>AON</v>
          </cell>
        </row>
        <row r="1064">
          <cell r="A1064" t="str">
            <v>ON</v>
          </cell>
          <cell r="B1064" t="str">
            <v>Trong 24h</v>
          </cell>
          <cell r="D1064" t="str">
            <v>Khiếu nại về dịch vụ FTTH</v>
          </cell>
          <cell r="W1064" t="str">
            <v>Đã đóng</v>
          </cell>
          <cell r="AJ1064" t="str">
            <v>Hậu Giang</v>
          </cell>
          <cell r="BX1064" t="str">
            <v>AON</v>
          </cell>
        </row>
        <row r="1065">
          <cell r="A1065" t="str">
            <v>ON</v>
          </cell>
          <cell r="B1065" t="str">
            <v>Trong 24h</v>
          </cell>
          <cell r="D1065" t="str">
            <v>Khiếu nại về dịch vụ FTTH</v>
          </cell>
          <cell r="W1065" t="str">
            <v>Đã đóng</v>
          </cell>
          <cell r="AJ1065" t="str">
            <v>Quảng Trị</v>
          </cell>
          <cell r="BX1065" t="str">
            <v>AON</v>
          </cell>
        </row>
        <row r="1066">
          <cell r="A1066" t="str">
            <v>ON</v>
          </cell>
          <cell r="B1066" t="str">
            <v>Trong 24h</v>
          </cell>
          <cell r="D1066" t="str">
            <v>Khiếu nại về dịch vụ NextTV</v>
          </cell>
          <cell r="W1066" t="str">
            <v>Đã đóng</v>
          </cell>
          <cell r="AJ1066" t="str">
            <v>Quảng Trị</v>
          </cell>
          <cell r="BX1066" t="str">
            <v>AON</v>
          </cell>
        </row>
        <row r="1067">
          <cell r="A1067" t="str">
            <v>ON</v>
          </cell>
          <cell r="B1067" t="str">
            <v>Trong 24h</v>
          </cell>
          <cell r="D1067" t="str">
            <v>Khiếu nại về dịch vụ FTTH</v>
          </cell>
          <cell r="W1067" t="str">
            <v>Đã đóng</v>
          </cell>
          <cell r="AJ1067" t="str">
            <v>Hà Nội 2</v>
          </cell>
          <cell r="BX1067" t="str">
            <v>AON</v>
          </cell>
        </row>
        <row r="1068">
          <cell r="A1068" t="str">
            <v>ON</v>
          </cell>
          <cell r="B1068" t="str">
            <v>Trong 24h</v>
          </cell>
          <cell r="D1068" t="str">
            <v>Khiếu nại về dịch vụ FTTH</v>
          </cell>
          <cell r="W1068" t="str">
            <v>Đã đóng</v>
          </cell>
          <cell r="AJ1068" t="str">
            <v>TP HCM</v>
          </cell>
          <cell r="BX1068" t="str">
            <v>AON</v>
          </cell>
        </row>
        <row r="1069">
          <cell r="A1069" t="str">
            <v>ON</v>
          </cell>
          <cell r="B1069" t="str">
            <v>Trong 24h</v>
          </cell>
          <cell r="D1069" t="str">
            <v>Khiếu nại về dịch vụ FTTH</v>
          </cell>
          <cell r="W1069" t="str">
            <v>Đã đóng</v>
          </cell>
          <cell r="AJ1069" t="str">
            <v>TP HCM</v>
          </cell>
          <cell r="BX1069" t="str">
            <v>AON</v>
          </cell>
        </row>
        <row r="1070">
          <cell r="A1070" t="str">
            <v>ON</v>
          </cell>
          <cell r="B1070" t="str">
            <v>Trong 24h</v>
          </cell>
          <cell r="D1070" t="str">
            <v>Khiếu nại về dịch vụ FTTH</v>
          </cell>
          <cell r="W1070" t="str">
            <v>Đang xử lý</v>
          </cell>
          <cell r="AJ1070" t="str">
            <v>Thanh Hoá</v>
          </cell>
          <cell r="BX1070" t="str">
            <v>AON</v>
          </cell>
        </row>
        <row r="1071">
          <cell r="A1071" t="str">
            <v>ON</v>
          </cell>
          <cell r="B1071" t="str">
            <v>Trong 24h</v>
          </cell>
          <cell r="D1071" t="str">
            <v>Khiếu nại về dịch vụ FTTH</v>
          </cell>
          <cell r="W1071" t="str">
            <v>Đã đóng</v>
          </cell>
          <cell r="AJ1071" t="str">
            <v>Hà Nội 1</v>
          </cell>
          <cell r="BX1071" t="str">
            <v>AON</v>
          </cell>
        </row>
        <row r="1072">
          <cell r="A1072" t="str">
            <v>ON</v>
          </cell>
          <cell r="B1072" t="str">
            <v>Trong 24h</v>
          </cell>
          <cell r="D1072" t="str">
            <v>Khiếu nại về dịch vụ FTTH</v>
          </cell>
          <cell r="W1072" t="str">
            <v>Đã đóng</v>
          </cell>
          <cell r="AJ1072" t="str">
            <v>Hà Nội 1</v>
          </cell>
          <cell r="BX1072" t="str">
            <v>AON</v>
          </cell>
        </row>
        <row r="1073">
          <cell r="A1073" t="str">
            <v>ON</v>
          </cell>
          <cell r="B1073" t="str">
            <v>Trong 24h</v>
          </cell>
          <cell r="D1073" t="str">
            <v>Khiếu nại về dịch vụ FTTH</v>
          </cell>
          <cell r="W1073" t="str">
            <v>Đã đóng</v>
          </cell>
          <cell r="AJ1073" t="str">
            <v>Nghệ An</v>
          </cell>
          <cell r="BX1073" t="str">
            <v>AON</v>
          </cell>
        </row>
        <row r="1074">
          <cell r="A1074" t="str">
            <v>ON</v>
          </cell>
          <cell r="B1074" t="str">
            <v>Trong 24h</v>
          </cell>
          <cell r="D1074" t="str">
            <v>Khiếu nại về dịch vụ NextTV</v>
          </cell>
          <cell r="W1074" t="str">
            <v>Đang xử lý</v>
          </cell>
          <cell r="AJ1074" t="str">
            <v>Hưng Yên</v>
          </cell>
          <cell r="BX1074" t="str">
            <v>AON</v>
          </cell>
        </row>
        <row r="1075">
          <cell r="A1075" t="str">
            <v>ON</v>
          </cell>
          <cell r="B1075" t="str">
            <v>Trong 24h</v>
          </cell>
          <cell r="D1075" t="str">
            <v>Khiếu nại về dịch vụ FTTH</v>
          </cell>
          <cell r="W1075" t="str">
            <v>Đã đóng</v>
          </cell>
          <cell r="AJ1075" t="str">
            <v>Thái Nguyên</v>
          </cell>
          <cell r="BX1075" t="str">
            <v>AON</v>
          </cell>
        </row>
        <row r="1076">
          <cell r="A1076" t="str">
            <v>ON</v>
          </cell>
          <cell r="B1076" t="str">
            <v>Trong 24h</v>
          </cell>
          <cell r="D1076" t="str">
            <v>Khiếu nại về dịch vụ FTTH</v>
          </cell>
          <cell r="W1076" t="str">
            <v>Đã đóng</v>
          </cell>
          <cell r="AJ1076" t="str">
            <v xml:space="preserve">Đắc Lắk </v>
          </cell>
          <cell r="BX1076" t="str">
            <v>AON</v>
          </cell>
        </row>
        <row r="1077">
          <cell r="A1077" t="str">
            <v>ON</v>
          </cell>
          <cell r="B1077" t="str">
            <v>Trong 24h</v>
          </cell>
          <cell r="D1077" t="str">
            <v>Khiếu nại về dịch vụ FTTH</v>
          </cell>
          <cell r="W1077" t="str">
            <v>Đang xử lý</v>
          </cell>
          <cell r="AJ1077" t="str">
            <v>Quảng Ninh</v>
          </cell>
          <cell r="BX1077" t="str">
            <v>AON</v>
          </cell>
        </row>
        <row r="1078">
          <cell r="A1078" t="str">
            <v>ON</v>
          </cell>
          <cell r="B1078" t="str">
            <v>Trong 24h</v>
          </cell>
          <cell r="D1078" t="str">
            <v>Khiếu nại về dịch vụ FTTH</v>
          </cell>
          <cell r="W1078" t="str">
            <v>Đã đóng</v>
          </cell>
          <cell r="AJ1078" t="str">
            <v>Thái Nguyên</v>
          </cell>
          <cell r="BX1078" t="str">
            <v>AON</v>
          </cell>
        </row>
        <row r="1079">
          <cell r="A1079" t="str">
            <v>ON</v>
          </cell>
          <cell r="B1079" t="str">
            <v>Trong 24h</v>
          </cell>
          <cell r="D1079" t="str">
            <v>Khiếu nại về dịch vụ FTTH</v>
          </cell>
          <cell r="W1079" t="str">
            <v>Đang xử lý</v>
          </cell>
          <cell r="AJ1079" t="str">
            <v>An Giang</v>
          </cell>
          <cell r="BX1079" t="str">
            <v>AON</v>
          </cell>
        </row>
        <row r="1080">
          <cell r="A1080" t="str">
            <v>ON</v>
          </cell>
          <cell r="B1080" t="str">
            <v>Trong 24h</v>
          </cell>
          <cell r="D1080" t="str">
            <v>Khiếu nại về dịch vụ FTTH</v>
          </cell>
          <cell r="W1080" t="str">
            <v>Đang xử lý</v>
          </cell>
          <cell r="AJ1080" t="str">
            <v>Thanh Hoá</v>
          </cell>
          <cell r="BX1080" t="str">
            <v>AON</v>
          </cell>
        </row>
        <row r="1081">
          <cell r="A1081" t="str">
            <v>ON</v>
          </cell>
          <cell r="B1081" t="str">
            <v>Trong 24h</v>
          </cell>
          <cell r="D1081" t="str">
            <v>Khiếu nại về dịch vụ FTTH</v>
          </cell>
          <cell r="W1081" t="str">
            <v>Đang xử lý</v>
          </cell>
          <cell r="AJ1081" t="str">
            <v>Thái Bình</v>
          </cell>
          <cell r="BX1081" t="str">
            <v>AON</v>
          </cell>
        </row>
        <row r="1082">
          <cell r="A1082" t="str">
            <v>ON</v>
          </cell>
          <cell r="B1082" t="str">
            <v>Trong 24h</v>
          </cell>
          <cell r="D1082" t="str">
            <v>Khiếu nại về dịch vụ FTTH</v>
          </cell>
          <cell r="W1082" t="str">
            <v>Đã đóng</v>
          </cell>
          <cell r="AJ1082" t="str">
            <v>Hà Nam</v>
          </cell>
          <cell r="BX1082" t="str">
            <v>AON</v>
          </cell>
        </row>
        <row r="1083">
          <cell r="A1083" t="str">
            <v>ON</v>
          </cell>
          <cell r="B1083" t="str">
            <v>Trong 24h</v>
          </cell>
          <cell r="D1083" t="str">
            <v>Khiếu nại về dịch vụ FTTH</v>
          </cell>
          <cell r="W1083" t="str">
            <v>Đã đóng</v>
          </cell>
          <cell r="AJ1083" t="str">
            <v>Hà Nội 1</v>
          </cell>
          <cell r="BX1083" t="str">
            <v>AON</v>
          </cell>
        </row>
        <row r="1084">
          <cell r="A1084" t="str">
            <v>ON</v>
          </cell>
          <cell r="B1084" t="str">
            <v>Trong 24h</v>
          </cell>
          <cell r="D1084" t="str">
            <v>Khiếu nại về dịch vụ FTTH</v>
          </cell>
          <cell r="W1084" t="str">
            <v>Đã đóng</v>
          </cell>
          <cell r="AJ1084" t="str">
            <v>Cần Thơ</v>
          </cell>
          <cell r="BX1084" t="str">
            <v>AON</v>
          </cell>
        </row>
        <row r="1085">
          <cell r="A1085" t="str">
            <v>ON</v>
          </cell>
          <cell r="B1085" t="str">
            <v>Trong 24h</v>
          </cell>
          <cell r="D1085" t="str">
            <v>Khiếu nại về dịch vụ FTTH</v>
          </cell>
          <cell r="W1085" t="str">
            <v>Đã đóng</v>
          </cell>
          <cell r="AJ1085" t="str">
            <v>Bình Định</v>
          </cell>
          <cell r="BX1085" t="str">
            <v>AON</v>
          </cell>
        </row>
        <row r="1086">
          <cell r="A1086" t="str">
            <v>ON</v>
          </cell>
          <cell r="B1086" t="str">
            <v>Trong 24h</v>
          </cell>
          <cell r="D1086" t="str">
            <v>Khiếu nại về dịch vụ FTTH</v>
          </cell>
          <cell r="W1086" t="str">
            <v>Đã đóng</v>
          </cell>
          <cell r="AJ1086" t="str">
            <v>TP HCM</v>
          </cell>
          <cell r="BX1086" t="str">
            <v>AON</v>
          </cell>
        </row>
        <row r="1087">
          <cell r="A1087" t="str">
            <v>ON</v>
          </cell>
          <cell r="B1087" t="str">
            <v>Trong 24h</v>
          </cell>
          <cell r="D1087" t="str">
            <v>Khiếu nại về dịch vụ FTTH</v>
          </cell>
          <cell r="W1087" t="str">
            <v>Đã đóng</v>
          </cell>
          <cell r="AJ1087" t="str">
            <v>An Giang</v>
          </cell>
          <cell r="BX1087" t="str">
            <v>AON</v>
          </cell>
        </row>
        <row r="1088">
          <cell r="A1088" t="str">
            <v>ON</v>
          </cell>
          <cell r="B1088" t="str">
            <v>Trong 24h</v>
          </cell>
          <cell r="D1088" t="str">
            <v>Khiếu nại về dịch vụ FTTH</v>
          </cell>
          <cell r="W1088" t="str">
            <v>Đang xử lý</v>
          </cell>
          <cell r="AJ1088" t="str">
            <v>Bắc Ninh</v>
          </cell>
          <cell r="BX1088" t="str">
            <v>AON</v>
          </cell>
        </row>
        <row r="1089">
          <cell r="A1089" t="str">
            <v>ON</v>
          </cell>
          <cell r="B1089" t="str">
            <v>Trong 24h</v>
          </cell>
          <cell r="D1089" t="str">
            <v>Khiếu nại về dịch vụ FTTH</v>
          </cell>
          <cell r="W1089" t="str">
            <v>Đã đóng</v>
          </cell>
          <cell r="AJ1089" t="str">
            <v>TP HCM</v>
          </cell>
          <cell r="BX1089" t="str">
            <v>AON</v>
          </cell>
        </row>
        <row r="1090">
          <cell r="A1090" t="str">
            <v>ON</v>
          </cell>
          <cell r="B1090" t="str">
            <v>Trong 24h</v>
          </cell>
          <cell r="D1090" t="str">
            <v>Khiếu nại về dịch vụ FTTH</v>
          </cell>
          <cell r="W1090" t="str">
            <v>Đã đóng</v>
          </cell>
          <cell r="AJ1090" t="str">
            <v xml:space="preserve">Đắc Lắk </v>
          </cell>
          <cell r="BX1090" t="str">
            <v>AON</v>
          </cell>
        </row>
        <row r="1091">
          <cell r="A1091" t="str">
            <v>ON</v>
          </cell>
          <cell r="B1091" t="str">
            <v>Trong 24h</v>
          </cell>
          <cell r="D1091" t="str">
            <v>Khiếu nại về dịch vụ FTTH</v>
          </cell>
          <cell r="W1091" t="str">
            <v>Đang xử lý</v>
          </cell>
          <cell r="AJ1091" t="str">
            <v>Thái Nguyên</v>
          </cell>
          <cell r="BX1091" t="str">
            <v>AON</v>
          </cell>
        </row>
        <row r="1092">
          <cell r="A1092" t="str">
            <v>ON</v>
          </cell>
          <cell r="B1092" t="str">
            <v>Trong 24h</v>
          </cell>
          <cell r="D1092" t="str">
            <v>Khiếu nại về dịch vụ FTTH</v>
          </cell>
          <cell r="W1092" t="str">
            <v>Đang xử lý</v>
          </cell>
          <cell r="AJ1092" t="str">
            <v>Bắc Ninh</v>
          </cell>
          <cell r="BX1092" t="str">
            <v>AON</v>
          </cell>
        </row>
        <row r="1093">
          <cell r="A1093" t="str">
            <v>ON</v>
          </cell>
          <cell r="B1093" t="str">
            <v>Trong 24h</v>
          </cell>
          <cell r="D1093" t="str">
            <v>Khiếu nại về dịch vụ NextTV</v>
          </cell>
          <cell r="W1093" t="str">
            <v>Đang xử lý</v>
          </cell>
          <cell r="AJ1093" t="str">
            <v>Thanh Hoá</v>
          </cell>
          <cell r="BX1093" t="str">
            <v>AON</v>
          </cell>
        </row>
        <row r="1094">
          <cell r="A1094" t="str">
            <v>ON</v>
          </cell>
          <cell r="B1094" t="str">
            <v>Trong 24h</v>
          </cell>
          <cell r="D1094" t="str">
            <v>Khiếu nại về dịch vụ FTTH</v>
          </cell>
          <cell r="W1094" t="str">
            <v>Đã đóng</v>
          </cell>
          <cell r="AJ1094" t="str">
            <v>Hà Nội 1</v>
          </cell>
          <cell r="BX1094" t="str">
            <v>AON</v>
          </cell>
        </row>
        <row r="1095">
          <cell r="A1095" t="str">
            <v>ON</v>
          </cell>
          <cell r="B1095" t="str">
            <v>Trong 24h</v>
          </cell>
          <cell r="D1095" t="str">
            <v>Khiếu nại về dịch vụ FTTH</v>
          </cell>
          <cell r="W1095" t="str">
            <v>Đã đóng</v>
          </cell>
          <cell r="AJ1095" t="str">
            <v>TP HCM</v>
          </cell>
          <cell r="BX1095" t="str">
            <v>AON</v>
          </cell>
        </row>
        <row r="1096">
          <cell r="A1096" t="str">
            <v>ON</v>
          </cell>
          <cell r="B1096" t="str">
            <v>Trong 24h</v>
          </cell>
          <cell r="D1096" t="str">
            <v>Khiếu nại về dịch vụ FTTH</v>
          </cell>
          <cell r="W1096" t="str">
            <v>Đã đóng</v>
          </cell>
          <cell r="AJ1096" t="str">
            <v>TP HCM</v>
          </cell>
          <cell r="BX1096" t="str">
            <v>AON</v>
          </cell>
        </row>
        <row r="1097">
          <cell r="A1097" t="str">
            <v>ON</v>
          </cell>
          <cell r="B1097" t="str">
            <v>Trong 24h</v>
          </cell>
          <cell r="D1097" t="str">
            <v>Khiếu nại về dịch vụ FTTH</v>
          </cell>
          <cell r="W1097" t="str">
            <v>Đã đóng</v>
          </cell>
          <cell r="AJ1097" t="str">
            <v>Phú Yên</v>
          </cell>
          <cell r="BX1097" t="str">
            <v>AON</v>
          </cell>
        </row>
        <row r="1098">
          <cell r="A1098" t="str">
            <v>ON</v>
          </cell>
          <cell r="B1098" t="str">
            <v>Trong 24h</v>
          </cell>
          <cell r="D1098" t="str">
            <v>Khiếu nại về dịch vụ FTTH</v>
          </cell>
          <cell r="W1098" t="str">
            <v>Đang xử lý</v>
          </cell>
          <cell r="AJ1098" t="str">
            <v>Thanh Hoá</v>
          </cell>
          <cell r="BX1098" t="str">
            <v>AON</v>
          </cell>
        </row>
        <row r="1099">
          <cell r="A1099" t="str">
            <v>ON</v>
          </cell>
          <cell r="B1099" t="str">
            <v>Trong 24h</v>
          </cell>
          <cell r="D1099" t="str">
            <v>Khiếu nại về dịch vụ NextTV</v>
          </cell>
          <cell r="W1099" t="str">
            <v>Đã đóng</v>
          </cell>
          <cell r="AJ1099" t="str">
            <v xml:space="preserve">Đồng Nai </v>
          </cell>
          <cell r="BX1099" t="str">
            <v>AON</v>
          </cell>
        </row>
        <row r="1100">
          <cell r="A1100" t="str">
            <v>ON</v>
          </cell>
          <cell r="B1100" t="str">
            <v>Trong 24h</v>
          </cell>
          <cell r="D1100" t="str">
            <v>Khiếu nại về dịch vụ FTTH</v>
          </cell>
          <cell r="W1100" t="str">
            <v>Đã đóng</v>
          </cell>
          <cell r="AJ1100" t="str">
            <v>TP HCM</v>
          </cell>
          <cell r="BX1100" t="str">
            <v>AON</v>
          </cell>
        </row>
        <row r="1101">
          <cell r="A1101" t="str">
            <v>ON</v>
          </cell>
          <cell r="B1101" t="str">
            <v>Trong 24h</v>
          </cell>
          <cell r="D1101" t="str">
            <v>Khiếu nại về dịch vụ FTTH</v>
          </cell>
          <cell r="W1101" t="str">
            <v>Đã đóng</v>
          </cell>
          <cell r="AJ1101" t="str">
            <v>TP HCM</v>
          </cell>
          <cell r="BX1101" t="str">
            <v>AON</v>
          </cell>
        </row>
        <row r="1102">
          <cell r="A1102" t="str">
            <v>ON</v>
          </cell>
          <cell r="B1102" t="str">
            <v>Trong 24h</v>
          </cell>
          <cell r="D1102" t="str">
            <v>Khiếu nại về dịch vụ FTTH</v>
          </cell>
          <cell r="W1102" t="str">
            <v>Đã đóng</v>
          </cell>
          <cell r="AJ1102" t="str">
            <v>Sơn La</v>
          </cell>
          <cell r="BX1102" t="str">
            <v>AON</v>
          </cell>
        </row>
        <row r="1103">
          <cell r="A1103" t="str">
            <v>ON</v>
          </cell>
          <cell r="B1103" t="str">
            <v>Trong 24h</v>
          </cell>
          <cell r="D1103" t="str">
            <v>Khiếu nại về dịch vụ FTTH</v>
          </cell>
          <cell r="W1103" t="str">
            <v>Đã đóng</v>
          </cell>
          <cell r="AJ1103" t="str">
            <v>Sơn La</v>
          </cell>
          <cell r="BX1103" t="str">
            <v>AON</v>
          </cell>
        </row>
        <row r="1104">
          <cell r="A1104" t="str">
            <v>ON</v>
          </cell>
          <cell r="B1104" t="str">
            <v>Trong 24h</v>
          </cell>
          <cell r="D1104" t="str">
            <v>Khiếu nại về dịch vụ FTTH</v>
          </cell>
          <cell r="W1104" t="str">
            <v>Đã đóng</v>
          </cell>
          <cell r="AJ1104" t="str">
            <v xml:space="preserve">Đồng Nai </v>
          </cell>
          <cell r="BX1104" t="str">
            <v>AON</v>
          </cell>
        </row>
        <row r="1105">
          <cell r="A1105" t="str">
            <v>ON</v>
          </cell>
          <cell r="B1105" t="str">
            <v>Trong 24h</v>
          </cell>
          <cell r="D1105" t="str">
            <v>Khiếu nại về dịch vụ FTTH</v>
          </cell>
          <cell r="W1105" t="str">
            <v>Đã đóng</v>
          </cell>
          <cell r="AJ1105" t="str">
            <v>Tây Ninh</v>
          </cell>
          <cell r="BX1105" t="str">
            <v>AON</v>
          </cell>
        </row>
        <row r="1106">
          <cell r="A1106" t="str">
            <v>ON</v>
          </cell>
          <cell r="B1106" t="str">
            <v>Trong 24h</v>
          </cell>
          <cell r="D1106" t="str">
            <v>Khiếu nại về dịch vụ FTTH</v>
          </cell>
          <cell r="W1106" t="str">
            <v>Đã đóng</v>
          </cell>
          <cell r="AJ1106" t="str">
            <v>Bình Phước</v>
          </cell>
          <cell r="BX1106" t="str">
            <v>AON</v>
          </cell>
        </row>
        <row r="1107">
          <cell r="A1107" t="str">
            <v>ON</v>
          </cell>
          <cell r="B1107" t="str">
            <v>Trong 24h</v>
          </cell>
          <cell r="D1107" t="str">
            <v>Khiếu nại về dịch vụ FTTH</v>
          </cell>
          <cell r="W1107" t="str">
            <v>Đã đóng</v>
          </cell>
          <cell r="AJ1107" t="str">
            <v>Hà Nội 1</v>
          </cell>
          <cell r="BX1107" t="str">
            <v>AON</v>
          </cell>
        </row>
        <row r="1108">
          <cell r="A1108" t="str">
            <v>ON</v>
          </cell>
          <cell r="B1108" t="str">
            <v>Trong 24h</v>
          </cell>
          <cell r="D1108" t="str">
            <v>Khiếu nại về dịch vụ FTTH</v>
          </cell>
          <cell r="W1108" t="str">
            <v>Đã đóng</v>
          </cell>
          <cell r="AJ1108" t="str">
            <v>TP HCM</v>
          </cell>
          <cell r="BX1108" t="str">
            <v>AON</v>
          </cell>
        </row>
        <row r="1109">
          <cell r="A1109" t="str">
            <v>ON</v>
          </cell>
          <cell r="B1109" t="str">
            <v>Trong 24h</v>
          </cell>
          <cell r="D1109" t="str">
            <v>Khiếu nại về dịch vụ FTTH</v>
          </cell>
          <cell r="W1109" t="str">
            <v>Đã đóng</v>
          </cell>
          <cell r="AJ1109" t="str">
            <v>TP HCM</v>
          </cell>
          <cell r="BX1109" t="str">
            <v>AON</v>
          </cell>
        </row>
        <row r="1110">
          <cell r="A1110" t="str">
            <v>ON</v>
          </cell>
          <cell r="B1110" t="str">
            <v>Trong 24h</v>
          </cell>
          <cell r="D1110" t="str">
            <v>Khiếu nại về dịch vụ FTTH</v>
          </cell>
          <cell r="W1110" t="str">
            <v>Đã đóng</v>
          </cell>
          <cell r="AJ1110" t="str">
            <v xml:space="preserve">Quảng Nam </v>
          </cell>
          <cell r="BX1110" t="str">
            <v>AON</v>
          </cell>
        </row>
        <row r="1111">
          <cell r="A1111" t="str">
            <v>ON</v>
          </cell>
          <cell r="B1111" t="str">
            <v>Trong 24h</v>
          </cell>
          <cell r="D1111" t="str">
            <v>Khiếu nại về dịch vụ FTTH</v>
          </cell>
          <cell r="W1111" t="str">
            <v>Đã đóng</v>
          </cell>
          <cell r="AJ1111" t="str">
            <v>Khánh Hoà</v>
          </cell>
          <cell r="BX1111" t="str">
            <v>AON</v>
          </cell>
        </row>
        <row r="1112">
          <cell r="A1112" t="str">
            <v>ON</v>
          </cell>
          <cell r="B1112" t="str">
            <v>Trong 24h</v>
          </cell>
          <cell r="D1112" t="str">
            <v>Khiếu nại về dịch vụ FTTH</v>
          </cell>
          <cell r="W1112" t="str">
            <v>Đã đóng</v>
          </cell>
          <cell r="AJ1112" t="str">
            <v>TP HCM</v>
          </cell>
          <cell r="BX1112" t="str">
            <v>AON</v>
          </cell>
        </row>
        <row r="1113">
          <cell r="A1113" t="str">
            <v>ON</v>
          </cell>
          <cell r="B1113" t="str">
            <v>Trong 24h</v>
          </cell>
          <cell r="D1113" t="str">
            <v>Khiếu nại về dịch vụ FTTH</v>
          </cell>
          <cell r="W1113" t="str">
            <v>Đã đóng</v>
          </cell>
          <cell r="AJ1113" t="str">
            <v>Hà Nội 1</v>
          </cell>
          <cell r="BX1113" t="str">
            <v>AON</v>
          </cell>
        </row>
        <row r="1114">
          <cell r="A1114" t="str">
            <v>ON</v>
          </cell>
          <cell r="B1114" t="str">
            <v>Trong 24h</v>
          </cell>
          <cell r="D1114" t="str">
            <v>Khiếu nại về dịch vụ FTTH</v>
          </cell>
          <cell r="W1114" t="str">
            <v>Đã đóng</v>
          </cell>
          <cell r="AJ1114" t="str">
            <v>Sơn La</v>
          </cell>
          <cell r="BX1114" t="str">
            <v>AON</v>
          </cell>
        </row>
        <row r="1115">
          <cell r="A1115" t="str">
            <v>ON</v>
          </cell>
          <cell r="B1115" t="str">
            <v>Trong 24h</v>
          </cell>
          <cell r="D1115" t="str">
            <v>Khiếu nại về dịch vụ FTTH</v>
          </cell>
          <cell r="W1115" t="str">
            <v>Đã đóng</v>
          </cell>
          <cell r="AJ1115" t="str">
            <v>Hà Nội 2</v>
          </cell>
          <cell r="BX1115" t="str">
            <v>AON</v>
          </cell>
        </row>
        <row r="1116">
          <cell r="A1116" t="str">
            <v>ON</v>
          </cell>
          <cell r="B1116" t="str">
            <v>Trong 24h</v>
          </cell>
          <cell r="D1116" t="str">
            <v>Khiếu nại về dịch vụ FTTH</v>
          </cell>
          <cell r="W1116" t="str">
            <v>Đã đóng</v>
          </cell>
          <cell r="AJ1116" t="str">
            <v>TP HCM</v>
          </cell>
          <cell r="BX1116" t="str">
            <v>AON</v>
          </cell>
        </row>
        <row r="1117">
          <cell r="A1117" t="str">
            <v>ON</v>
          </cell>
          <cell r="B1117" t="str">
            <v>Trong 24h</v>
          </cell>
          <cell r="D1117" t="str">
            <v>Khiếu nại về dịch vụ FTTH</v>
          </cell>
          <cell r="W1117" t="str">
            <v>Đã đóng</v>
          </cell>
          <cell r="AJ1117" t="str">
            <v>Điện Biên</v>
          </cell>
          <cell r="BX1117" t="str">
            <v>AON</v>
          </cell>
        </row>
        <row r="1118">
          <cell r="A1118" t="str">
            <v>ON</v>
          </cell>
          <cell r="B1118" t="str">
            <v>Trong 24h</v>
          </cell>
          <cell r="D1118" t="str">
            <v>Khiếu nại về dịch vụ FTTH</v>
          </cell>
          <cell r="W1118" t="str">
            <v>Đã đóng</v>
          </cell>
          <cell r="AJ1118" t="str">
            <v>TP HCM</v>
          </cell>
          <cell r="BX1118" t="str">
            <v>GPON</v>
          </cell>
        </row>
        <row r="1119">
          <cell r="A1119" t="str">
            <v>ON</v>
          </cell>
          <cell r="B1119" t="str">
            <v>Trong 24h</v>
          </cell>
          <cell r="D1119" t="str">
            <v>Khiếu nại về dịch vụ FTTH</v>
          </cell>
          <cell r="W1119" t="str">
            <v>Đã đóng</v>
          </cell>
          <cell r="AJ1119" t="str">
            <v>Hà Nội 1</v>
          </cell>
          <cell r="BX1119" t="str">
            <v>AON</v>
          </cell>
        </row>
        <row r="1120">
          <cell r="A1120" t="str">
            <v>ON</v>
          </cell>
          <cell r="B1120" t="str">
            <v>Trong 24h</v>
          </cell>
          <cell r="D1120" t="str">
            <v>Khiếu nại về dịch vụ FTTH</v>
          </cell>
          <cell r="W1120" t="str">
            <v>Đã đóng</v>
          </cell>
          <cell r="AJ1120" t="str">
            <v>Hà Nội 2</v>
          </cell>
          <cell r="BX1120" t="str">
            <v>AON</v>
          </cell>
        </row>
        <row r="1121">
          <cell r="A1121" t="str">
            <v>ON</v>
          </cell>
          <cell r="B1121" t="str">
            <v>Trong 24h</v>
          </cell>
          <cell r="D1121" t="str">
            <v>Khiếu nại về dịch vụ NextTV</v>
          </cell>
          <cell r="W1121" t="str">
            <v>Đã đóng</v>
          </cell>
          <cell r="AJ1121" t="str">
            <v xml:space="preserve">Đồng Nai </v>
          </cell>
          <cell r="BX1121" t="str">
            <v>AON</v>
          </cell>
        </row>
        <row r="1122">
          <cell r="A1122" t="str">
            <v>ON</v>
          </cell>
          <cell r="B1122" t="str">
            <v>Trong 24h</v>
          </cell>
          <cell r="D1122" t="str">
            <v>Khiếu nại về dịch vụ NextTV</v>
          </cell>
          <cell r="W1122" t="str">
            <v>Đã đóng</v>
          </cell>
          <cell r="AJ1122" t="str">
            <v>TP HCM</v>
          </cell>
          <cell r="BX1122" t="str">
            <v>GPON</v>
          </cell>
        </row>
        <row r="1123">
          <cell r="A1123" t="str">
            <v>ON</v>
          </cell>
          <cell r="B1123" t="str">
            <v>Trong 24h</v>
          </cell>
          <cell r="D1123" t="str">
            <v>Khiếu nại về dịch vụ FTTH</v>
          </cell>
          <cell r="W1123" t="str">
            <v>Đã đóng</v>
          </cell>
          <cell r="AJ1123" t="str">
            <v>Bạc Liêu</v>
          </cell>
          <cell r="BX1123" t="str">
            <v>GPON</v>
          </cell>
        </row>
        <row r="1124">
          <cell r="A1124" t="str">
            <v>ON</v>
          </cell>
          <cell r="B1124" t="str">
            <v>Trong 24h</v>
          </cell>
          <cell r="D1124" t="str">
            <v>Khiếu nại về dịch vụ FTTH</v>
          </cell>
          <cell r="W1124" t="str">
            <v>Đã đóng</v>
          </cell>
          <cell r="AJ1124" t="str">
            <v xml:space="preserve">Đồng Nai </v>
          </cell>
          <cell r="BX1124" t="str">
            <v>AON</v>
          </cell>
        </row>
        <row r="1125">
          <cell r="A1125" t="str">
            <v>ON</v>
          </cell>
          <cell r="B1125" t="str">
            <v>Trong 24h</v>
          </cell>
          <cell r="D1125" t="str">
            <v>Khiếu nại về dịch vụ FTTH</v>
          </cell>
          <cell r="W1125" t="str">
            <v>Đang xử lý</v>
          </cell>
          <cell r="AJ1125" t="str">
            <v>Quảng Ninh</v>
          </cell>
          <cell r="BX1125" t="str">
            <v>AON</v>
          </cell>
        </row>
        <row r="1126">
          <cell r="A1126" t="str">
            <v>ON</v>
          </cell>
          <cell r="B1126" t="str">
            <v>Trong 24h</v>
          </cell>
          <cell r="D1126" t="str">
            <v>Khiếu nại về dịch vụ FTTH</v>
          </cell>
          <cell r="W1126" t="str">
            <v>Đã đóng</v>
          </cell>
          <cell r="AJ1126" t="str">
            <v>Trà Vinh</v>
          </cell>
          <cell r="BX1126" t="str">
            <v>AON</v>
          </cell>
        </row>
        <row r="1127">
          <cell r="A1127" t="str">
            <v>ON</v>
          </cell>
          <cell r="B1127" t="str">
            <v>Trong 24h</v>
          </cell>
          <cell r="D1127" t="str">
            <v>Khiếu nại về dịch vụ FTTH</v>
          </cell>
          <cell r="W1127" t="str">
            <v>Đã đóng</v>
          </cell>
          <cell r="AJ1127" t="str">
            <v>Hà Nội 1</v>
          </cell>
          <cell r="BX1127" t="str">
            <v>AON</v>
          </cell>
        </row>
        <row r="1128">
          <cell r="A1128" t="str">
            <v>ON</v>
          </cell>
          <cell r="B1128" t="str">
            <v>Trong 24h</v>
          </cell>
          <cell r="D1128" t="str">
            <v>Khiếu nại về dịch vụ FTTH</v>
          </cell>
          <cell r="W1128" t="str">
            <v>Đang xử lý</v>
          </cell>
          <cell r="AJ1128" t="str">
            <v>Cà Mau</v>
          </cell>
          <cell r="BX1128" t="str">
            <v>AON</v>
          </cell>
        </row>
        <row r="1129">
          <cell r="A1129" t="str">
            <v>ON</v>
          </cell>
          <cell r="B1129" t="str">
            <v>Trong 24h</v>
          </cell>
          <cell r="D1129" t="str">
            <v>Khiếu nại về dịch vụ NextTV</v>
          </cell>
          <cell r="W1129" t="str">
            <v>Đã đóng</v>
          </cell>
          <cell r="AJ1129" t="str">
            <v>TP HCM</v>
          </cell>
          <cell r="BX1129" t="str">
            <v>GPON</v>
          </cell>
        </row>
        <row r="1130">
          <cell r="A1130" t="str">
            <v>ON</v>
          </cell>
          <cell r="B1130" t="str">
            <v>Trong 24h</v>
          </cell>
          <cell r="D1130" t="str">
            <v>Khiếu nại về dịch vụ FTTH</v>
          </cell>
          <cell r="W1130" t="str">
            <v>Đã đóng</v>
          </cell>
          <cell r="AJ1130" t="str">
            <v>Bình Thuận</v>
          </cell>
          <cell r="BX1130" t="str">
            <v>AON</v>
          </cell>
        </row>
        <row r="1131">
          <cell r="A1131" t="str">
            <v>ON</v>
          </cell>
          <cell r="B1131" t="str">
            <v>Trong 24h</v>
          </cell>
          <cell r="D1131" t="str">
            <v>Khiếu nại về dịch vụ FTTH</v>
          </cell>
          <cell r="W1131" t="str">
            <v>Đang xử lý</v>
          </cell>
          <cell r="AJ1131" t="str">
            <v>Quảng Ninh</v>
          </cell>
          <cell r="BX1131" t="str">
            <v>AON</v>
          </cell>
        </row>
        <row r="1132">
          <cell r="A1132" t="str">
            <v>ON</v>
          </cell>
          <cell r="B1132" t="str">
            <v>Trong 24h</v>
          </cell>
          <cell r="D1132" t="str">
            <v>Khiếu nại về dịch vụ FTTH</v>
          </cell>
          <cell r="W1132" t="str">
            <v>Đã đóng</v>
          </cell>
          <cell r="AJ1132" t="str">
            <v>TP HCM</v>
          </cell>
          <cell r="BX1132" t="str">
            <v>AON</v>
          </cell>
        </row>
        <row r="1133">
          <cell r="A1133" t="str">
            <v>ON</v>
          </cell>
          <cell r="B1133" t="str">
            <v>Trong 24h</v>
          </cell>
          <cell r="D1133" t="str">
            <v>Khiếu nại về dịch vụ FTTH</v>
          </cell>
          <cell r="W1133" t="str">
            <v>Đang xử lý</v>
          </cell>
          <cell r="AJ1133" t="str">
            <v>Quảng Ninh</v>
          </cell>
          <cell r="BX1133" t="str">
            <v>AON</v>
          </cell>
        </row>
        <row r="1134">
          <cell r="A1134" t="str">
            <v>ON</v>
          </cell>
          <cell r="B1134" t="str">
            <v>Trong 24h</v>
          </cell>
          <cell r="D1134" t="str">
            <v>Khiếu nại về dịch vụ FTTH</v>
          </cell>
          <cell r="W1134" t="str">
            <v>Đã đóng</v>
          </cell>
          <cell r="AJ1134" t="str">
            <v>Thanh Hoá</v>
          </cell>
          <cell r="BX1134" t="str">
            <v>AON</v>
          </cell>
        </row>
        <row r="1135">
          <cell r="A1135" t="str">
            <v>ON</v>
          </cell>
          <cell r="B1135" t="str">
            <v>Trong 24h</v>
          </cell>
          <cell r="D1135" t="str">
            <v>Khiếu nại về dịch vụ FTTH</v>
          </cell>
          <cell r="W1135" t="str">
            <v>Đã đóng</v>
          </cell>
          <cell r="AJ1135" t="str">
            <v>Long An</v>
          </cell>
          <cell r="BX1135" t="str">
            <v>AON</v>
          </cell>
        </row>
        <row r="1136">
          <cell r="A1136" t="str">
            <v>ON</v>
          </cell>
          <cell r="B1136" t="str">
            <v>Trong 24h</v>
          </cell>
          <cell r="D1136" t="str">
            <v>Khiếu nại về dịch vụ FTTH</v>
          </cell>
          <cell r="W1136" t="str">
            <v>Đã đóng</v>
          </cell>
          <cell r="AJ1136" t="str">
            <v>Hà Nội 1</v>
          </cell>
          <cell r="BX1136" t="str">
            <v>AON</v>
          </cell>
        </row>
        <row r="1137">
          <cell r="A1137" t="str">
            <v>ON</v>
          </cell>
          <cell r="B1137" t="str">
            <v>Trong 24h</v>
          </cell>
          <cell r="D1137" t="str">
            <v>Khiếu nại về dịch vụ NextTV</v>
          </cell>
          <cell r="W1137" t="str">
            <v>Đã đóng</v>
          </cell>
          <cell r="AJ1137" t="str">
            <v>TP HCM</v>
          </cell>
          <cell r="BX1137" t="str">
            <v>AON</v>
          </cell>
        </row>
        <row r="1138">
          <cell r="A1138" t="str">
            <v>ON</v>
          </cell>
          <cell r="B1138" t="str">
            <v>Trong 24h</v>
          </cell>
          <cell r="D1138" t="str">
            <v>Khiếu nại về dịch vụ FTTH</v>
          </cell>
          <cell r="W1138" t="str">
            <v>Đã đóng</v>
          </cell>
          <cell r="AJ1138" t="str">
            <v>Hà Nội 2</v>
          </cell>
          <cell r="BX1138" t="str">
            <v>AON</v>
          </cell>
        </row>
        <row r="1139">
          <cell r="A1139" t="str">
            <v>ON</v>
          </cell>
          <cell r="B1139" t="str">
            <v>Trong 24h</v>
          </cell>
          <cell r="D1139" t="str">
            <v>Khiếu nại về dịch vụ FTTH</v>
          </cell>
          <cell r="W1139" t="str">
            <v>Đang xử lý</v>
          </cell>
          <cell r="AJ1139" t="str">
            <v>Sơn La</v>
          </cell>
          <cell r="BX1139" t="str">
            <v>AON</v>
          </cell>
        </row>
        <row r="1140">
          <cell r="A1140" t="str">
            <v>ON</v>
          </cell>
          <cell r="B1140" t="str">
            <v>Trong 24h</v>
          </cell>
          <cell r="D1140" t="str">
            <v>Khiếu nại về dịch vụ FTTH</v>
          </cell>
          <cell r="W1140" t="str">
            <v>Đã đóng</v>
          </cell>
          <cell r="AJ1140" t="str">
            <v>Kiên Giang</v>
          </cell>
          <cell r="BX1140" t="str">
            <v>AON</v>
          </cell>
        </row>
        <row r="1141">
          <cell r="A1141" t="str">
            <v>ON</v>
          </cell>
          <cell r="B1141" t="str">
            <v>Trong 24h</v>
          </cell>
          <cell r="D1141" t="str">
            <v>Khiếu nại về dịch vụ FTTH</v>
          </cell>
          <cell r="W1141" t="str">
            <v>Đã đóng</v>
          </cell>
          <cell r="AJ1141" t="str">
            <v>Long An</v>
          </cell>
          <cell r="BX1141" t="str">
            <v>AON</v>
          </cell>
        </row>
        <row r="1142">
          <cell r="A1142" t="str">
            <v>ON</v>
          </cell>
          <cell r="B1142" t="str">
            <v>Trong 24h</v>
          </cell>
          <cell r="D1142" t="str">
            <v>Khiếu nại về dịch vụ FTTH</v>
          </cell>
          <cell r="W1142" t="str">
            <v>Đã đóng</v>
          </cell>
          <cell r="AJ1142" t="str">
            <v>Hà Nội 2</v>
          </cell>
          <cell r="BX1142" t="str">
            <v>AON</v>
          </cell>
        </row>
        <row r="1143">
          <cell r="A1143" t="str">
            <v>ON</v>
          </cell>
          <cell r="B1143" t="str">
            <v>Trong 24h</v>
          </cell>
          <cell r="D1143" t="str">
            <v>Khiếu nại về dịch vụ NextTV</v>
          </cell>
          <cell r="W1143" t="str">
            <v>Đã đóng</v>
          </cell>
          <cell r="AJ1143" t="str">
            <v>Hải Phòng</v>
          </cell>
          <cell r="BX1143" t="str">
            <v>AON</v>
          </cell>
        </row>
        <row r="1144">
          <cell r="A1144" t="str">
            <v>ON</v>
          </cell>
          <cell r="B1144" t="str">
            <v>Trong 24h</v>
          </cell>
          <cell r="D1144" t="str">
            <v>Khiếu nại về dịch vụ FTTH</v>
          </cell>
          <cell r="W1144" t="str">
            <v>Đã đóng</v>
          </cell>
          <cell r="AJ1144" t="str">
            <v>Thái Bình</v>
          </cell>
          <cell r="BX1144" t="str">
            <v>AON</v>
          </cell>
        </row>
        <row r="1145">
          <cell r="A1145" t="str">
            <v>ON</v>
          </cell>
          <cell r="B1145" t="str">
            <v>Trong 24h</v>
          </cell>
          <cell r="D1145" t="str">
            <v>Khiếu nại về dịch vụ FTTH</v>
          </cell>
          <cell r="W1145" t="str">
            <v>Đã đóng</v>
          </cell>
          <cell r="AJ1145" t="str">
            <v>Lạng Sơn</v>
          </cell>
          <cell r="BX1145" t="str">
            <v>AON</v>
          </cell>
        </row>
        <row r="1146">
          <cell r="A1146" t="str">
            <v>ON</v>
          </cell>
          <cell r="B1146" t="str">
            <v>Trong 24h</v>
          </cell>
          <cell r="D1146" t="str">
            <v>Khiếu nại về dịch vụ FTTH</v>
          </cell>
          <cell r="W1146" t="str">
            <v>Đã đóng</v>
          </cell>
          <cell r="AJ1146" t="str">
            <v>Nam Định</v>
          </cell>
          <cell r="BX1146" t="str">
            <v>AON</v>
          </cell>
        </row>
        <row r="1147">
          <cell r="A1147" t="str">
            <v>ON</v>
          </cell>
          <cell r="B1147" t="str">
            <v>Trong 24h</v>
          </cell>
          <cell r="D1147" t="str">
            <v>Khiếu nại về dịch vụ FTTH</v>
          </cell>
          <cell r="W1147" t="str">
            <v>Đã đóng</v>
          </cell>
          <cell r="AJ1147" t="str">
            <v>TP HCM</v>
          </cell>
          <cell r="BX1147" t="str">
            <v>AON</v>
          </cell>
        </row>
        <row r="1148">
          <cell r="A1148" t="str">
            <v>ON</v>
          </cell>
          <cell r="B1148" t="str">
            <v>Trong 24h</v>
          </cell>
          <cell r="D1148" t="str">
            <v>Khiếu nại về dịch vụ FTTH</v>
          </cell>
          <cell r="W1148" t="str">
            <v>Đang xử lý</v>
          </cell>
          <cell r="AJ1148" t="str">
            <v>Quảng Ninh</v>
          </cell>
          <cell r="BX1148" t="str">
            <v>AON</v>
          </cell>
        </row>
        <row r="1149">
          <cell r="A1149" t="str">
            <v>ON</v>
          </cell>
          <cell r="B1149" t="str">
            <v>Trong 24h</v>
          </cell>
          <cell r="D1149" t="str">
            <v>Khiếu nại về dịch vụ FTTH</v>
          </cell>
          <cell r="W1149" t="str">
            <v>Đã đóng</v>
          </cell>
          <cell r="AJ1149" t="str">
            <v>Hậu Giang</v>
          </cell>
          <cell r="BX1149" t="str">
            <v>AON</v>
          </cell>
        </row>
        <row r="1150">
          <cell r="A1150" t="str">
            <v>ON</v>
          </cell>
          <cell r="B1150" t="str">
            <v>Trong 24h</v>
          </cell>
          <cell r="D1150" t="str">
            <v>Khiếu nại về dịch vụ FTTH</v>
          </cell>
          <cell r="W1150" t="str">
            <v>Đã đóng</v>
          </cell>
          <cell r="AJ1150" t="str">
            <v>Lai Châu</v>
          </cell>
          <cell r="BX1150" t="str">
            <v>AON</v>
          </cell>
        </row>
        <row r="1151">
          <cell r="A1151" t="str">
            <v>ON</v>
          </cell>
          <cell r="B1151" t="str">
            <v>Trong 24h</v>
          </cell>
          <cell r="D1151" t="str">
            <v>Khiếu nại về dịch vụ FTTH</v>
          </cell>
          <cell r="W1151" t="str">
            <v>Đang xử lý</v>
          </cell>
          <cell r="AJ1151" t="str">
            <v>Sóc Trăng</v>
          </cell>
          <cell r="BX1151" t="str">
            <v>AON</v>
          </cell>
        </row>
        <row r="1152">
          <cell r="A1152" t="str">
            <v>ON</v>
          </cell>
          <cell r="B1152" t="str">
            <v>Trong 24h</v>
          </cell>
          <cell r="D1152" t="str">
            <v>Khiếu nại về dịch vụ FTTH</v>
          </cell>
          <cell r="W1152" t="str">
            <v>Đã đóng</v>
          </cell>
          <cell r="AJ1152" t="str">
            <v>Bình Phước</v>
          </cell>
          <cell r="BX1152" t="str">
            <v>AON</v>
          </cell>
        </row>
        <row r="1153">
          <cell r="A1153" t="str">
            <v>ON</v>
          </cell>
          <cell r="B1153" t="str">
            <v>Trong 24h</v>
          </cell>
          <cell r="D1153" t="str">
            <v>Khiếu nại về dịch vụ FTTH</v>
          </cell>
          <cell r="W1153" t="str">
            <v>Đã đóng</v>
          </cell>
          <cell r="AJ1153" t="str">
            <v xml:space="preserve">Quảng Nam </v>
          </cell>
          <cell r="BX1153" t="str">
            <v>AON</v>
          </cell>
        </row>
        <row r="1154">
          <cell r="A1154" t="str">
            <v>ON</v>
          </cell>
          <cell r="B1154" t="str">
            <v>Trong 24h</v>
          </cell>
          <cell r="D1154" t="str">
            <v>Khiếu nại về dịch vụ FTTH</v>
          </cell>
          <cell r="W1154" t="str">
            <v>Đang xử lý</v>
          </cell>
          <cell r="AJ1154" t="str">
            <v>TP HCM</v>
          </cell>
          <cell r="BX1154" t="str">
            <v>AON</v>
          </cell>
        </row>
        <row r="1155">
          <cell r="A1155" t="str">
            <v>ON</v>
          </cell>
          <cell r="B1155" t="str">
            <v>Trong 24h</v>
          </cell>
          <cell r="D1155" t="str">
            <v>Khiếu nại về dịch vụ FTTH</v>
          </cell>
          <cell r="W1155" t="str">
            <v>Đã đóng</v>
          </cell>
          <cell r="AJ1155" t="str">
            <v>Hậu Giang</v>
          </cell>
          <cell r="BX1155" t="str">
            <v>AON</v>
          </cell>
        </row>
        <row r="1156">
          <cell r="A1156" t="str">
            <v>ON</v>
          </cell>
          <cell r="B1156" t="str">
            <v>Trong 24h</v>
          </cell>
          <cell r="D1156" t="str">
            <v>Khiếu nại về dịch vụ FTTH</v>
          </cell>
          <cell r="W1156" t="str">
            <v>Đang xử lý</v>
          </cell>
          <cell r="AJ1156" t="str">
            <v xml:space="preserve">Đồng Nai </v>
          </cell>
          <cell r="BX1156" t="str">
            <v>AON</v>
          </cell>
        </row>
        <row r="1157">
          <cell r="A1157" t="str">
            <v>ON</v>
          </cell>
          <cell r="B1157" t="str">
            <v>Trong 24h</v>
          </cell>
          <cell r="D1157" t="str">
            <v>Khiếu nại về dịch vụ FTTH</v>
          </cell>
          <cell r="W1157" t="str">
            <v>Đã đóng</v>
          </cell>
          <cell r="AJ1157" t="str">
            <v>Cần Thơ</v>
          </cell>
          <cell r="BX1157" t="str">
            <v>AON</v>
          </cell>
        </row>
        <row r="1158">
          <cell r="A1158" t="str">
            <v>ON</v>
          </cell>
          <cell r="B1158" t="str">
            <v>Trong 24h</v>
          </cell>
          <cell r="D1158" t="str">
            <v>Khiếu nại về dịch vụ FTTH</v>
          </cell>
          <cell r="W1158" t="str">
            <v>Đã đóng</v>
          </cell>
          <cell r="AJ1158" t="str">
            <v>Hậu Giang</v>
          </cell>
          <cell r="BX1158" t="str">
            <v>AON</v>
          </cell>
        </row>
        <row r="1159">
          <cell r="A1159" t="str">
            <v>ON</v>
          </cell>
          <cell r="B1159" t="str">
            <v>Trong 24h</v>
          </cell>
          <cell r="D1159" t="str">
            <v>Khiếu nại về dịch vụ FTTH</v>
          </cell>
          <cell r="W1159" t="str">
            <v>Đã đóng</v>
          </cell>
          <cell r="AJ1159" t="str">
            <v>Bắc Giang</v>
          </cell>
          <cell r="BX1159" t="str">
            <v>AON</v>
          </cell>
        </row>
        <row r="1160">
          <cell r="A1160" t="str">
            <v>ON</v>
          </cell>
          <cell r="B1160" t="str">
            <v>Trong 24h</v>
          </cell>
          <cell r="D1160" t="str">
            <v>Khiếu nại về dịch vụ FTTH</v>
          </cell>
          <cell r="W1160" t="str">
            <v>Đã đóng</v>
          </cell>
          <cell r="AJ1160" t="str">
            <v>TP HCM</v>
          </cell>
          <cell r="BX1160" t="str">
            <v>AON</v>
          </cell>
        </row>
        <row r="1161">
          <cell r="A1161" t="str">
            <v>ON</v>
          </cell>
          <cell r="B1161" t="str">
            <v>Trong 24h</v>
          </cell>
          <cell r="D1161" t="str">
            <v>Khiếu nại về dịch vụ FTTH</v>
          </cell>
          <cell r="W1161" t="str">
            <v>Đang xử lý</v>
          </cell>
          <cell r="AJ1161" t="str">
            <v>Nghệ An</v>
          </cell>
          <cell r="BX1161" t="str">
            <v>AON</v>
          </cell>
        </row>
        <row r="1162">
          <cell r="A1162" t="str">
            <v>ON</v>
          </cell>
          <cell r="B1162" t="str">
            <v>Trong 24h</v>
          </cell>
          <cell r="D1162" t="str">
            <v>Khiếu nại về dịch vụ FTTH</v>
          </cell>
          <cell r="W1162" t="str">
            <v>Đang xử lý</v>
          </cell>
          <cell r="AJ1162" t="str">
            <v>Bắc Ninh</v>
          </cell>
          <cell r="BX1162" t="str">
            <v>AON</v>
          </cell>
        </row>
        <row r="1163">
          <cell r="A1163" t="str">
            <v>ON</v>
          </cell>
          <cell r="B1163" t="str">
            <v>Trong 24h</v>
          </cell>
          <cell r="D1163" t="str">
            <v>Khiếu nại về dịch vụ FTTH</v>
          </cell>
          <cell r="W1163" t="str">
            <v>Đã đóng</v>
          </cell>
          <cell r="AJ1163" t="str">
            <v>Hà Nam</v>
          </cell>
          <cell r="BX1163" t="str">
            <v>AON</v>
          </cell>
        </row>
        <row r="1164">
          <cell r="A1164" t="str">
            <v>ON</v>
          </cell>
          <cell r="B1164" t="str">
            <v>Trong 24h</v>
          </cell>
          <cell r="D1164" t="str">
            <v>Khiếu nại về dịch vụ FTTH</v>
          </cell>
          <cell r="W1164" t="str">
            <v>Đã đóng</v>
          </cell>
          <cell r="AJ1164" t="str">
            <v>Gia Lai</v>
          </cell>
          <cell r="BX1164" t="str">
            <v>AON</v>
          </cell>
        </row>
        <row r="1165">
          <cell r="A1165" t="str">
            <v>ON</v>
          </cell>
          <cell r="B1165" t="str">
            <v>Trong 24h</v>
          </cell>
          <cell r="D1165" t="str">
            <v>Khiếu nại về dịch vụ FTTH</v>
          </cell>
          <cell r="W1165" t="str">
            <v>Đã đóng</v>
          </cell>
          <cell r="AJ1165" t="str">
            <v>TP HCM</v>
          </cell>
          <cell r="BX1165" t="str">
            <v>AON</v>
          </cell>
        </row>
        <row r="1166">
          <cell r="A1166" t="str">
            <v>ON</v>
          </cell>
          <cell r="B1166" t="str">
            <v>Trong 24h</v>
          </cell>
          <cell r="D1166" t="str">
            <v>Khiếu nại về dịch vụ FTTH</v>
          </cell>
          <cell r="W1166" t="str">
            <v>Đã đóng</v>
          </cell>
          <cell r="AJ1166" t="str">
            <v>Bến Tre</v>
          </cell>
          <cell r="BX1166" t="str">
            <v>AON</v>
          </cell>
        </row>
        <row r="1167">
          <cell r="A1167" t="str">
            <v>ON</v>
          </cell>
          <cell r="B1167" t="str">
            <v>Trong 24h</v>
          </cell>
          <cell r="D1167" t="str">
            <v>Khiếu nại về dịch vụ FTTH</v>
          </cell>
          <cell r="W1167" t="str">
            <v>Đã đóng</v>
          </cell>
          <cell r="AJ1167" t="str">
            <v>Quảng Ninh</v>
          </cell>
          <cell r="BX1167" t="str">
            <v>AON</v>
          </cell>
        </row>
        <row r="1168">
          <cell r="A1168" t="str">
            <v>ON</v>
          </cell>
          <cell r="B1168" t="str">
            <v>Trong 24h</v>
          </cell>
          <cell r="D1168" t="str">
            <v>Khiếu nại về dịch vụ FTTH</v>
          </cell>
          <cell r="W1168" t="str">
            <v>Đã đóng</v>
          </cell>
          <cell r="AJ1168" t="str">
            <v>TP HCM</v>
          </cell>
          <cell r="BX1168" t="str">
            <v>AON</v>
          </cell>
        </row>
        <row r="1169">
          <cell r="A1169" t="str">
            <v>ON</v>
          </cell>
          <cell r="B1169" t="str">
            <v>Trong 24h</v>
          </cell>
          <cell r="D1169" t="str">
            <v>Khiếu nại về dịch vụ FTTH</v>
          </cell>
          <cell r="W1169" t="str">
            <v>Đang xử lý</v>
          </cell>
          <cell r="AJ1169" t="str">
            <v>Nghệ An</v>
          </cell>
          <cell r="BX1169" t="str">
            <v>AON</v>
          </cell>
        </row>
        <row r="1170">
          <cell r="A1170" t="str">
            <v>ON</v>
          </cell>
          <cell r="B1170" t="str">
            <v>Trong 24h</v>
          </cell>
          <cell r="D1170" t="str">
            <v>Khiếu nại về dịch vụ FTTH</v>
          </cell>
          <cell r="W1170" t="str">
            <v>Đang xử lý</v>
          </cell>
          <cell r="AJ1170" t="str">
            <v>Thanh Hoá</v>
          </cell>
          <cell r="BX1170" t="str">
            <v>AON</v>
          </cell>
        </row>
        <row r="1171">
          <cell r="A1171" t="str">
            <v>ON</v>
          </cell>
          <cell r="B1171" t="str">
            <v>Trong 24h</v>
          </cell>
          <cell r="D1171" t="str">
            <v>Khiếu nại về dịch vụ FTTH</v>
          </cell>
          <cell r="W1171" t="str">
            <v>Đã đóng</v>
          </cell>
          <cell r="AJ1171" t="str">
            <v>Đắc Nông</v>
          </cell>
          <cell r="BX1171" t="str">
            <v>AON</v>
          </cell>
        </row>
        <row r="1172">
          <cell r="A1172" t="str">
            <v>ON</v>
          </cell>
          <cell r="B1172" t="str">
            <v>Trong 24h</v>
          </cell>
          <cell r="D1172" t="str">
            <v>Khiếu nại về dịch vụ FTTH</v>
          </cell>
          <cell r="W1172" t="str">
            <v>Đang xử lý</v>
          </cell>
          <cell r="AJ1172" t="str">
            <v>Bắc Ninh</v>
          </cell>
          <cell r="BX1172" t="str">
            <v>AON</v>
          </cell>
        </row>
        <row r="1173">
          <cell r="A1173" t="str">
            <v>ON</v>
          </cell>
          <cell r="B1173" t="str">
            <v>Trong 24h</v>
          </cell>
          <cell r="D1173" t="str">
            <v>Khiếu nại về dịch vụ FTTH</v>
          </cell>
          <cell r="W1173" t="str">
            <v>Đã đóng</v>
          </cell>
          <cell r="AJ1173" t="str">
            <v>Bắc Giang</v>
          </cell>
          <cell r="BX1173" t="str">
            <v>AON</v>
          </cell>
        </row>
        <row r="1174">
          <cell r="A1174" t="str">
            <v>ON</v>
          </cell>
          <cell r="B1174" t="str">
            <v>Trong 24h</v>
          </cell>
          <cell r="D1174" t="str">
            <v>Khiếu nại về dịch vụ FTTH</v>
          </cell>
          <cell r="W1174" t="str">
            <v>Đang xử lý</v>
          </cell>
          <cell r="AJ1174" t="str">
            <v>Nghệ An</v>
          </cell>
          <cell r="BX1174" t="str">
            <v>AON</v>
          </cell>
        </row>
        <row r="1175">
          <cell r="A1175" t="str">
            <v>ON</v>
          </cell>
          <cell r="B1175" t="str">
            <v>Trong 24h</v>
          </cell>
          <cell r="D1175" t="str">
            <v>Khiếu nại về dịch vụ FTTH</v>
          </cell>
          <cell r="W1175" t="str">
            <v>Đang xử lý</v>
          </cell>
          <cell r="AJ1175" t="str">
            <v>Bình Định</v>
          </cell>
          <cell r="BX1175" t="str">
            <v>AON</v>
          </cell>
        </row>
        <row r="1176">
          <cell r="A1176" t="str">
            <v>ON</v>
          </cell>
          <cell r="B1176" t="str">
            <v>Trong 24h</v>
          </cell>
          <cell r="D1176" t="str">
            <v>Khiếu nại về dịch vụ FTTH</v>
          </cell>
          <cell r="W1176" t="str">
            <v>Đang xử lý</v>
          </cell>
          <cell r="AJ1176" t="str">
            <v>Nam Định</v>
          </cell>
          <cell r="BX1176" t="str">
            <v>AON</v>
          </cell>
        </row>
        <row r="1177">
          <cell r="A1177" t="str">
            <v>ON</v>
          </cell>
          <cell r="B1177" t="str">
            <v>Trong 24h</v>
          </cell>
          <cell r="D1177" t="str">
            <v>Khiếu nại về dịch vụ FTTH</v>
          </cell>
          <cell r="W1177" t="str">
            <v>Đang xử lý</v>
          </cell>
          <cell r="AJ1177" t="str">
            <v xml:space="preserve">Đắc Lắk </v>
          </cell>
          <cell r="BX1177" t="str">
            <v>AON</v>
          </cell>
        </row>
        <row r="1178">
          <cell r="A1178" t="str">
            <v>ON</v>
          </cell>
          <cell r="B1178" t="str">
            <v>Trong 24h</v>
          </cell>
          <cell r="D1178" t="str">
            <v>Khiếu nại về dịch vụ FTTH</v>
          </cell>
          <cell r="W1178" t="str">
            <v>Đã đóng</v>
          </cell>
          <cell r="AJ1178" t="str">
            <v>Thanh Hoá</v>
          </cell>
          <cell r="BX1178" t="str">
            <v>AON</v>
          </cell>
        </row>
        <row r="1179">
          <cell r="A1179" t="str">
            <v>ON</v>
          </cell>
          <cell r="B1179" t="str">
            <v>Trong 24h</v>
          </cell>
          <cell r="D1179" t="str">
            <v>Khiếu nại về dịch vụ FTTH</v>
          </cell>
          <cell r="W1179" t="str">
            <v>Đã đóng</v>
          </cell>
          <cell r="AJ1179" t="str">
            <v>Bình Thuận</v>
          </cell>
          <cell r="BX1179" t="str">
            <v>AON</v>
          </cell>
        </row>
        <row r="1180">
          <cell r="A1180" t="str">
            <v>ON</v>
          </cell>
          <cell r="B1180" t="str">
            <v>Trong 24h</v>
          </cell>
          <cell r="D1180" t="str">
            <v>Khiếu nại về dịch vụ FTTH</v>
          </cell>
          <cell r="W1180" t="str">
            <v>Đã đóng</v>
          </cell>
          <cell r="AJ1180" t="str">
            <v>Bình Dương</v>
          </cell>
          <cell r="BX1180" t="str">
            <v>AON</v>
          </cell>
        </row>
        <row r="1181">
          <cell r="A1181" t="str">
            <v>ON</v>
          </cell>
          <cell r="B1181" t="str">
            <v>Trong 24h</v>
          </cell>
          <cell r="D1181" t="str">
            <v>Khiếu nại về dịch vụ FTTH</v>
          </cell>
          <cell r="W1181" t="str">
            <v>Đang xử lý</v>
          </cell>
          <cell r="AJ1181" t="str">
            <v>Lâm Đồng</v>
          </cell>
          <cell r="BX1181" t="str">
            <v>AON</v>
          </cell>
        </row>
        <row r="1182">
          <cell r="A1182" t="str">
            <v>ON</v>
          </cell>
          <cell r="B1182" t="str">
            <v>Trong 24h</v>
          </cell>
          <cell r="D1182" t="str">
            <v>Khiếu nại về dịch vụ FTTH</v>
          </cell>
          <cell r="W1182" t="str">
            <v>Đã đóng</v>
          </cell>
          <cell r="AJ1182" t="str">
            <v>Vĩnh Phúc</v>
          </cell>
          <cell r="BX1182" t="str">
            <v>AON</v>
          </cell>
        </row>
        <row r="1183">
          <cell r="A1183" t="str">
            <v>ON</v>
          </cell>
          <cell r="B1183" t="str">
            <v>Trong 24h</v>
          </cell>
          <cell r="D1183" t="str">
            <v>Khiếu nại về dịch vụ FTTH</v>
          </cell>
          <cell r="W1183" t="str">
            <v>Đã đóng</v>
          </cell>
          <cell r="AJ1183" t="str">
            <v>Bạc Liêu</v>
          </cell>
          <cell r="BX1183" t="str">
            <v>AON</v>
          </cell>
        </row>
        <row r="1184">
          <cell r="A1184" t="str">
            <v>ON</v>
          </cell>
          <cell r="B1184" t="str">
            <v>Trong 24h</v>
          </cell>
          <cell r="D1184" t="str">
            <v>Khiếu nại về dịch vụ FTTH</v>
          </cell>
          <cell r="W1184" t="str">
            <v>Đã đóng</v>
          </cell>
          <cell r="AJ1184" t="str">
            <v>Hậu Giang</v>
          </cell>
          <cell r="BX1184" t="str">
            <v>AON</v>
          </cell>
        </row>
        <row r="1185">
          <cell r="A1185" t="str">
            <v>ON</v>
          </cell>
          <cell r="B1185" t="str">
            <v>Trong 24h</v>
          </cell>
          <cell r="D1185" t="str">
            <v>Khiếu nại về dịch vụ FTTH</v>
          </cell>
          <cell r="W1185" t="str">
            <v>Đang xử lý</v>
          </cell>
          <cell r="AJ1185" t="str">
            <v>Trà Vinh</v>
          </cell>
          <cell r="BX1185" t="str">
            <v>AON</v>
          </cell>
        </row>
        <row r="1186">
          <cell r="A1186" t="str">
            <v>ON</v>
          </cell>
          <cell r="B1186" t="str">
            <v>Trong 24h</v>
          </cell>
          <cell r="D1186" t="str">
            <v>Khiếu nại về dịch vụ FTTH</v>
          </cell>
          <cell r="W1186" t="str">
            <v>Đang xử lý</v>
          </cell>
          <cell r="AJ1186" t="str">
            <v xml:space="preserve">Đà Nẵng </v>
          </cell>
          <cell r="BX1186" t="str">
            <v>AON</v>
          </cell>
        </row>
        <row r="1187">
          <cell r="A1187" t="str">
            <v>ON</v>
          </cell>
          <cell r="B1187" t="str">
            <v>Trong 24h</v>
          </cell>
          <cell r="D1187" t="str">
            <v>Khiếu nại về dịch vụ FTTH</v>
          </cell>
          <cell r="W1187" t="str">
            <v>Đã đóng</v>
          </cell>
          <cell r="AJ1187" t="str">
            <v>Bình Thuận</v>
          </cell>
          <cell r="BX1187" t="str">
            <v>AON</v>
          </cell>
        </row>
        <row r="1188">
          <cell r="A1188" t="str">
            <v>ON</v>
          </cell>
          <cell r="B1188" t="str">
            <v>Trong 24h</v>
          </cell>
          <cell r="D1188" t="str">
            <v>Khiếu nại về dịch vụ FTTH</v>
          </cell>
          <cell r="W1188" t="str">
            <v>Đã đóng</v>
          </cell>
          <cell r="AJ1188" t="str">
            <v>Bắc Ninh</v>
          </cell>
          <cell r="BX1188" t="str">
            <v>AON</v>
          </cell>
        </row>
        <row r="1189">
          <cell r="A1189" t="str">
            <v>ON</v>
          </cell>
          <cell r="B1189" t="str">
            <v>Trong 24h</v>
          </cell>
          <cell r="D1189" t="str">
            <v>Khiếu nại về dịch vụ FTTH</v>
          </cell>
          <cell r="W1189" t="str">
            <v>Đã đóng</v>
          </cell>
          <cell r="AJ1189" t="str">
            <v>Hà Nội 1</v>
          </cell>
          <cell r="BX1189" t="str">
            <v>AON</v>
          </cell>
        </row>
        <row r="1190">
          <cell r="A1190" t="str">
            <v>ON</v>
          </cell>
          <cell r="B1190" t="str">
            <v>Trong 24h</v>
          </cell>
          <cell r="D1190" t="str">
            <v>Khiếu nại về dịch vụ FTTH</v>
          </cell>
          <cell r="W1190" t="str">
            <v>Đang xử lý</v>
          </cell>
          <cell r="AJ1190" t="str">
            <v>Bình Dương</v>
          </cell>
          <cell r="BX1190" t="str">
            <v>AON</v>
          </cell>
        </row>
        <row r="1191">
          <cell r="A1191" t="str">
            <v>ON</v>
          </cell>
          <cell r="B1191" t="str">
            <v>Trong 24h</v>
          </cell>
          <cell r="D1191" t="str">
            <v>Khiếu nại về dịch vụ FTTH</v>
          </cell>
          <cell r="W1191" t="str">
            <v>Đã đóng</v>
          </cell>
          <cell r="AJ1191" t="str">
            <v>Thanh Hoá</v>
          </cell>
          <cell r="BX1191" t="str">
            <v>AON</v>
          </cell>
        </row>
        <row r="1192">
          <cell r="A1192" t="str">
            <v>ON</v>
          </cell>
          <cell r="B1192" t="str">
            <v>Trong 24h</v>
          </cell>
          <cell r="D1192" t="str">
            <v>Khiếu nại về dịch vụ FTTH</v>
          </cell>
          <cell r="W1192" t="str">
            <v>Đang xử lý</v>
          </cell>
          <cell r="AJ1192" t="str">
            <v>Bà Rịa - Vũng Tàu</v>
          </cell>
          <cell r="BX1192" t="str">
            <v>AON</v>
          </cell>
        </row>
        <row r="1193">
          <cell r="A1193" t="str">
            <v>ON</v>
          </cell>
          <cell r="B1193" t="str">
            <v>Trong 24h</v>
          </cell>
          <cell r="D1193" t="str">
            <v>Khiếu nại về dịch vụ FTTH</v>
          </cell>
          <cell r="W1193" t="str">
            <v>Đã đóng</v>
          </cell>
          <cell r="AJ1193" t="str">
            <v>Đắc Nông</v>
          </cell>
          <cell r="BX1193" t="str">
            <v>AON</v>
          </cell>
        </row>
        <row r="1194">
          <cell r="A1194" t="str">
            <v>ON</v>
          </cell>
          <cell r="B1194" t="str">
            <v>Trong 24h</v>
          </cell>
          <cell r="D1194" t="str">
            <v>Khiếu nại về dịch vụ FTTH</v>
          </cell>
          <cell r="W1194" t="str">
            <v>Đã đóng</v>
          </cell>
          <cell r="AJ1194" t="str">
            <v>Yên Bái</v>
          </cell>
          <cell r="BX1194" t="str">
            <v>AON</v>
          </cell>
        </row>
        <row r="1195">
          <cell r="A1195" t="str">
            <v>ON</v>
          </cell>
          <cell r="B1195" t="str">
            <v>Trong 24h</v>
          </cell>
          <cell r="D1195" t="str">
            <v>Khiếu nại về dịch vụ FTTH</v>
          </cell>
          <cell r="W1195" t="str">
            <v>Đã đóng</v>
          </cell>
          <cell r="AJ1195" t="str">
            <v>Sóc Trăng</v>
          </cell>
          <cell r="BX1195" t="str">
            <v>AON</v>
          </cell>
        </row>
        <row r="1196">
          <cell r="A1196" t="str">
            <v>ON</v>
          </cell>
          <cell r="B1196" t="str">
            <v>Trong 24h</v>
          </cell>
          <cell r="D1196" t="str">
            <v>Khiếu nại về dịch vụ FTTH</v>
          </cell>
          <cell r="W1196" t="str">
            <v>Đã đóng</v>
          </cell>
          <cell r="AJ1196" t="str">
            <v>TP HCM</v>
          </cell>
          <cell r="BX1196" t="str">
            <v>AON</v>
          </cell>
        </row>
        <row r="1197">
          <cell r="A1197" t="str">
            <v>ON</v>
          </cell>
          <cell r="B1197" t="str">
            <v>Trong 24h</v>
          </cell>
          <cell r="D1197" t="str">
            <v>Khiếu nại về dịch vụ FTTH</v>
          </cell>
          <cell r="W1197" t="str">
            <v>Đã đóng</v>
          </cell>
          <cell r="AJ1197" t="str">
            <v>TP HCM</v>
          </cell>
          <cell r="BX1197" t="str">
            <v>AON</v>
          </cell>
        </row>
        <row r="1198">
          <cell r="A1198" t="str">
            <v>ON</v>
          </cell>
          <cell r="B1198" t="str">
            <v>Trong 24h</v>
          </cell>
          <cell r="D1198" t="str">
            <v>Khiếu nại về dịch vụ FTTH</v>
          </cell>
          <cell r="W1198" t="str">
            <v>Đã đóng</v>
          </cell>
          <cell r="AJ1198" t="str">
            <v xml:space="preserve">Đồng Nai </v>
          </cell>
          <cell r="BX1198" t="str">
            <v>AON</v>
          </cell>
        </row>
        <row r="1199">
          <cell r="A1199" t="str">
            <v>ON</v>
          </cell>
          <cell r="B1199" t="str">
            <v>Trong 24h</v>
          </cell>
          <cell r="D1199" t="str">
            <v>Khiếu nại về dịch vụ FTTH</v>
          </cell>
          <cell r="W1199" t="str">
            <v>Đã đóng</v>
          </cell>
          <cell r="AJ1199" t="str">
            <v>Quảng Ninh</v>
          </cell>
          <cell r="BX1199" t="str">
            <v>AON</v>
          </cell>
        </row>
        <row r="1200">
          <cell r="A1200" t="str">
            <v>ON</v>
          </cell>
          <cell r="B1200" t="str">
            <v>Trong 24h</v>
          </cell>
          <cell r="D1200" t="str">
            <v>Khiếu nại về dịch vụ FTTH</v>
          </cell>
          <cell r="W1200" t="str">
            <v>Đang xử lý</v>
          </cell>
          <cell r="AJ1200" t="str">
            <v>Hà Nội 2</v>
          </cell>
          <cell r="BX1200" t="str">
            <v>AON</v>
          </cell>
        </row>
        <row r="1201">
          <cell r="A1201" t="str">
            <v>ON</v>
          </cell>
          <cell r="B1201" t="str">
            <v>Trong 24h</v>
          </cell>
          <cell r="D1201" t="str">
            <v>Khiếu nại về dịch vụ FTTH</v>
          </cell>
          <cell r="W1201" t="str">
            <v>Đã đóng</v>
          </cell>
          <cell r="AJ1201" t="str">
            <v>TP HCM</v>
          </cell>
          <cell r="BX1201" t="str">
            <v>AON</v>
          </cell>
        </row>
        <row r="1202">
          <cell r="A1202" t="str">
            <v>ON</v>
          </cell>
          <cell r="B1202" t="str">
            <v>Trong 24h</v>
          </cell>
          <cell r="D1202" t="str">
            <v>Khiếu nại về dịch vụ FTTH</v>
          </cell>
          <cell r="W1202" t="str">
            <v>Đã đóng</v>
          </cell>
          <cell r="AJ1202" t="str">
            <v>Sơn La</v>
          </cell>
          <cell r="BX1202" t="str">
            <v>AON</v>
          </cell>
        </row>
        <row r="1203">
          <cell r="A1203" t="str">
            <v>ON</v>
          </cell>
          <cell r="B1203" t="str">
            <v>Trong 24h</v>
          </cell>
          <cell r="D1203" t="str">
            <v>Khiếu nại về dịch vụ FTTH</v>
          </cell>
          <cell r="W1203" t="str">
            <v>Đã đóng</v>
          </cell>
          <cell r="AJ1203" t="str">
            <v>TP HCM</v>
          </cell>
          <cell r="BX1203" t="str">
            <v>AON</v>
          </cell>
        </row>
        <row r="1204">
          <cell r="A1204" t="str">
            <v>ON</v>
          </cell>
          <cell r="B1204" t="str">
            <v>Trong 24h</v>
          </cell>
          <cell r="D1204" t="str">
            <v>Khiếu nại về dịch vụ FTTH</v>
          </cell>
          <cell r="W1204" t="str">
            <v>Đã đóng</v>
          </cell>
          <cell r="AJ1204" t="str">
            <v>TP HCM</v>
          </cell>
          <cell r="BX1204" t="str">
            <v>AON</v>
          </cell>
        </row>
        <row r="1205">
          <cell r="A1205" t="str">
            <v>ON</v>
          </cell>
          <cell r="B1205" t="str">
            <v>Trong 24h</v>
          </cell>
          <cell r="D1205" t="str">
            <v>Khiếu nại về dịch vụ FTTH</v>
          </cell>
          <cell r="W1205" t="str">
            <v>Đã đóng</v>
          </cell>
          <cell r="AJ1205" t="str">
            <v>TP HCM</v>
          </cell>
          <cell r="BX1205" t="str">
            <v>AON</v>
          </cell>
        </row>
        <row r="1206">
          <cell r="A1206" t="str">
            <v>ON</v>
          </cell>
          <cell r="B1206" t="str">
            <v>Trong 24h</v>
          </cell>
          <cell r="D1206" t="str">
            <v>Khiếu nại về dịch vụ FTTH</v>
          </cell>
          <cell r="W1206" t="str">
            <v>Đã đóng</v>
          </cell>
          <cell r="AJ1206" t="str">
            <v>Nam Định</v>
          </cell>
          <cell r="BX1206" t="str">
            <v>AON</v>
          </cell>
        </row>
        <row r="1207">
          <cell r="A1207" t="str">
            <v>ON</v>
          </cell>
          <cell r="B1207" t="str">
            <v>Trong 24h</v>
          </cell>
          <cell r="D1207" t="str">
            <v>Khiếu nại về dịch vụ FTTH</v>
          </cell>
          <cell r="W1207" t="str">
            <v>Đã đóng</v>
          </cell>
          <cell r="AJ1207" t="str">
            <v>Bình Phước</v>
          </cell>
          <cell r="BX1207" t="str">
            <v>AON</v>
          </cell>
        </row>
        <row r="1208">
          <cell r="A1208" t="str">
            <v>ON</v>
          </cell>
          <cell r="B1208" t="str">
            <v>Trong 24h</v>
          </cell>
          <cell r="D1208" t="str">
            <v>Khiếu nại về dịch vụ FTTH</v>
          </cell>
          <cell r="W1208" t="str">
            <v>Đã đóng</v>
          </cell>
          <cell r="AJ1208" t="str">
            <v>TP HCM</v>
          </cell>
          <cell r="BX1208" t="str">
            <v>AON</v>
          </cell>
        </row>
        <row r="1209">
          <cell r="A1209" t="str">
            <v>ON</v>
          </cell>
          <cell r="B1209" t="str">
            <v>Trong 24h</v>
          </cell>
          <cell r="D1209" t="str">
            <v>Khiếu nại về dịch vụ FTTH</v>
          </cell>
          <cell r="W1209" t="str">
            <v>Đã đóng</v>
          </cell>
          <cell r="AJ1209" t="str">
            <v>Hậu Giang</v>
          </cell>
          <cell r="BX1209" t="str">
            <v>AON</v>
          </cell>
        </row>
        <row r="1210">
          <cell r="A1210" t="str">
            <v>ON</v>
          </cell>
          <cell r="B1210" t="str">
            <v>Trong 24h</v>
          </cell>
          <cell r="D1210" t="str">
            <v>Khiếu nại về dịch vụ FTTH</v>
          </cell>
          <cell r="W1210" t="str">
            <v>Đã đóng</v>
          </cell>
          <cell r="AJ1210" t="str">
            <v>Hà Nội 2</v>
          </cell>
          <cell r="BX1210" t="str">
            <v>AON</v>
          </cell>
        </row>
        <row r="1211">
          <cell r="A1211" t="str">
            <v>ON</v>
          </cell>
          <cell r="B1211" t="str">
            <v>Trong 24h</v>
          </cell>
          <cell r="D1211" t="str">
            <v>Khiếu nại về dịch vụ FTTH</v>
          </cell>
          <cell r="W1211" t="str">
            <v>Đã đóng</v>
          </cell>
          <cell r="AJ1211" t="str">
            <v>Hà Nội 2</v>
          </cell>
          <cell r="BX1211" t="str">
            <v>AON</v>
          </cell>
        </row>
        <row r="1212">
          <cell r="A1212" t="str">
            <v>ON</v>
          </cell>
          <cell r="B1212" t="str">
            <v>Trong 24h</v>
          </cell>
          <cell r="D1212" t="str">
            <v>Khiếu nại về dịch vụ NextTV</v>
          </cell>
          <cell r="W1212" t="str">
            <v>Đã đóng</v>
          </cell>
          <cell r="AJ1212" t="str">
            <v>Long An</v>
          </cell>
          <cell r="BX1212" t="str">
            <v>AON</v>
          </cell>
        </row>
        <row r="1213">
          <cell r="A1213" t="str">
            <v>ON</v>
          </cell>
          <cell r="B1213" t="str">
            <v>Trong 24h</v>
          </cell>
          <cell r="D1213" t="str">
            <v>Khiếu nại về dịch vụ FTTH</v>
          </cell>
          <cell r="W1213" t="str">
            <v>Đã đóng</v>
          </cell>
          <cell r="AJ1213" t="str">
            <v>Hà Nội 2</v>
          </cell>
          <cell r="BX1213" t="str">
            <v>AON</v>
          </cell>
        </row>
        <row r="1214">
          <cell r="A1214" t="str">
            <v>ON</v>
          </cell>
          <cell r="B1214" t="str">
            <v>Trong 24h</v>
          </cell>
          <cell r="D1214" t="str">
            <v>Khiếu nại về dịch vụ FTTH</v>
          </cell>
          <cell r="W1214" t="str">
            <v>Đã đóng</v>
          </cell>
          <cell r="AJ1214" t="str">
            <v>Ninh Bình</v>
          </cell>
          <cell r="BX1214" t="str">
            <v>AON</v>
          </cell>
        </row>
        <row r="1215">
          <cell r="A1215" t="str">
            <v>ON</v>
          </cell>
          <cell r="B1215" t="str">
            <v>Trong 24h</v>
          </cell>
          <cell r="D1215" t="str">
            <v>Khiếu nại về dịch vụ FTTH</v>
          </cell>
          <cell r="W1215" t="str">
            <v>Đã đóng</v>
          </cell>
          <cell r="AJ1215" t="str">
            <v>Hà Nội 2</v>
          </cell>
          <cell r="BX1215" t="str">
            <v>AON</v>
          </cell>
        </row>
        <row r="1216">
          <cell r="A1216" t="str">
            <v>ON</v>
          </cell>
          <cell r="B1216" t="str">
            <v>Trong 24h</v>
          </cell>
          <cell r="D1216" t="str">
            <v>Khiếu nại về dịch vụ FTTH</v>
          </cell>
          <cell r="W1216" t="str">
            <v>Đã đóng</v>
          </cell>
          <cell r="AJ1216" t="str">
            <v>Bình Phước</v>
          </cell>
          <cell r="BX1216" t="str">
            <v>AON</v>
          </cell>
        </row>
        <row r="1217">
          <cell r="A1217" t="str">
            <v>ON</v>
          </cell>
          <cell r="B1217" t="str">
            <v>Trong 24h</v>
          </cell>
          <cell r="D1217" t="str">
            <v>Khiếu nại về dịch vụ FTTH</v>
          </cell>
          <cell r="W1217" t="str">
            <v>Đã đóng</v>
          </cell>
          <cell r="AJ1217" t="str">
            <v>TP HCM</v>
          </cell>
          <cell r="BX1217" t="str">
            <v>AON</v>
          </cell>
        </row>
        <row r="1218">
          <cell r="A1218" t="str">
            <v>ON</v>
          </cell>
          <cell r="B1218" t="str">
            <v>Trong 24h</v>
          </cell>
          <cell r="D1218" t="str">
            <v>Khiếu nại về dịch vụ FTTH</v>
          </cell>
          <cell r="W1218" t="str">
            <v>Đã đóng</v>
          </cell>
          <cell r="AJ1218" t="str">
            <v>Quảng Bình</v>
          </cell>
          <cell r="BX1218" t="str">
            <v>AON</v>
          </cell>
        </row>
        <row r="1219">
          <cell r="A1219" t="str">
            <v>ON</v>
          </cell>
          <cell r="B1219" t="str">
            <v>Trong 24h</v>
          </cell>
          <cell r="D1219" t="str">
            <v>Khiếu nại về dịch vụ FTTH</v>
          </cell>
          <cell r="W1219" t="str">
            <v>Đang xử lý</v>
          </cell>
          <cell r="AJ1219" t="str">
            <v>Hà Nội 1</v>
          </cell>
          <cell r="BX1219" t="str">
            <v>AON</v>
          </cell>
        </row>
        <row r="1220">
          <cell r="A1220" t="str">
            <v>ON</v>
          </cell>
          <cell r="B1220" t="str">
            <v>Trong 24h</v>
          </cell>
          <cell r="D1220" t="str">
            <v>Khiếu nại về dịch vụ FTTH</v>
          </cell>
          <cell r="W1220" t="str">
            <v>Đã đóng</v>
          </cell>
          <cell r="AJ1220" t="str">
            <v>Lâm Đồng</v>
          </cell>
          <cell r="BX1220" t="str">
            <v>AON</v>
          </cell>
        </row>
        <row r="1221">
          <cell r="A1221" t="str">
            <v>ON</v>
          </cell>
          <cell r="B1221" t="str">
            <v>Trong 24h</v>
          </cell>
          <cell r="D1221" t="str">
            <v>Khiếu nại về dịch vụ FTTH</v>
          </cell>
          <cell r="W1221" t="str">
            <v>Đang xử lý</v>
          </cell>
          <cell r="AJ1221" t="str">
            <v>TP HCM</v>
          </cell>
          <cell r="BX1221" t="str">
            <v>AON</v>
          </cell>
        </row>
        <row r="1222">
          <cell r="A1222" t="str">
            <v>ON</v>
          </cell>
          <cell r="B1222" t="str">
            <v>Trong 24h</v>
          </cell>
          <cell r="D1222" t="str">
            <v>Khiếu nại về dịch vụ FTTH</v>
          </cell>
          <cell r="W1222" t="str">
            <v>Đã đóng</v>
          </cell>
          <cell r="AJ1222" t="str">
            <v>TP HCM</v>
          </cell>
          <cell r="BX1222" t="str">
            <v>AON</v>
          </cell>
        </row>
        <row r="1223">
          <cell r="A1223" t="str">
            <v>ON</v>
          </cell>
          <cell r="B1223" t="str">
            <v>Trong 24h</v>
          </cell>
          <cell r="D1223" t="str">
            <v>Khiếu nại về dịch vụ FTTH</v>
          </cell>
          <cell r="W1223" t="str">
            <v>Đã đóng</v>
          </cell>
          <cell r="AJ1223" t="str">
            <v>Bà Rịa - Vũng Tàu</v>
          </cell>
          <cell r="BX1223" t="str">
            <v>AON</v>
          </cell>
        </row>
        <row r="1224">
          <cell r="A1224" t="str">
            <v>ON</v>
          </cell>
          <cell r="B1224" t="str">
            <v>Trong 24h</v>
          </cell>
          <cell r="D1224" t="str">
            <v>Khiếu nại về dịch vụ FTTH</v>
          </cell>
          <cell r="W1224" t="str">
            <v>Đã đóng</v>
          </cell>
          <cell r="AJ1224" t="str">
            <v>TP HCM</v>
          </cell>
          <cell r="BX1224" t="str">
            <v>AON</v>
          </cell>
        </row>
        <row r="1225">
          <cell r="A1225" t="str">
            <v>ON</v>
          </cell>
          <cell r="B1225" t="str">
            <v>Trong 24h</v>
          </cell>
          <cell r="D1225" t="str">
            <v>Khiếu nại về dịch vụ FTTH</v>
          </cell>
          <cell r="W1225" t="str">
            <v>Đã đóng</v>
          </cell>
          <cell r="AJ1225" t="str">
            <v>TP HCM</v>
          </cell>
          <cell r="BX1225" t="str">
            <v>AON</v>
          </cell>
        </row>
        <row r="1226">
          <cell r="A1226" t="str">
            <v>ON</v>
          </cell>
          <cell r="B1226" t="str">
            <v>Trong 24h</v>
          </cell>
          <cell r="D1226" t="str">
            <v>Khiếu nại về dịch vụ FTTH</v>
          </cell>
          <cell r="W1226" t="str">
            <v>Đã đóng</v>
          </cell>
          <cell r="AJ1226" t="str">
            <v>Sơn La</v>
          </cell>
          <cell r="BX1226" t="str">
            <v>AON</v>
          </cell>
        </row>
        <row r="1227">
          <cell r="A1227" t="str">
            <v>ON</v>
          </cell>
          <cell r="B1227" t="str">
            <v>Trong 24h</v>
          </cell>
          <cell r="D1227" t="str">
            <v>Khiếu nại về dịch vụ FTTH</v>
          </cell>
          <cell r="W1227" t="str">
            <v>Đã đóng</v>
          </cell>
          <cell r="AJ1227" t="str">
            <v>TP HCM</v>
          </cell>
          <cell r="BX1227" t="str">
            <v>AON</v>
          </cell>
        </row>
        <row r="1228">
          <cell r="A1228" t="str">
            <v>ON</v>
          </cell>
          <cell r="B1228" t="str">
            <v>Trong 24h</v>
          </cell>
          <cell r="D1228" t="str">
            <v>Khiếu nại về dịch vụ FTTH</v>
          </cell>
          <cell r="W1228" t="str">
            <v>Đã đóng</v>
          </cell>
          <cell r="AJ1228" t="str">
            <v>Long An</v>
          </cell>
          <cell r="BX1228" t="str">
            <v>AON</v>
          </cell>
        </row>
        <row r="1229">
          <cell r="A1229" t="str">
            <v>ON</v>
          </cell>
          <cell r="B1229" t="str">
            <v>Trong 24h</v>
          </cell>
          <cell r="D1229" t="str">
            <v>Khiếu nại về dịch vụ NextTV</v>
          </cell>
          <cell r="W1229" t="str">
            <v>Đã đóng</v>
          </cell>
          <cell r="AJ1229" t="str">
            <v>TP HCM</v>
          </cell>
          <cell r="BX1229" t="str">
            <v>AON</v>
          </cell>
        </row>
        <row r="1230">
          <cell r="A1230" t="str">
            <v>ON</v>
          </cell>
          <cell r="B1230" t="str">
            <v>Trong 24h</v>
          </cell>
          <cell r="D1230" t="str">
            <v>Khiếu nại về dịch vụ FTTH</v>
          </cell>
          <cell r="W1230" t="str">
            <v>Đã đóng</v>
          </cell>
          <cell r="AJ1230" t="str">
            <v>Bắc Giang</v>
          </cell>
          <cell r="BX1230" t="str">
            <v>AON</v>
          </cell>
        </row>
        <row r="1231">
          <cell r="A1231" t="str">
            <v>ON</v>
          </cell>
          <cell r="B1231" t="str">
            <v>Trong 24h</v>
          </cell>
          <cell r="D1231" t="str">
            <v>Khiếu nại về dịch vụ FTTH</v>
          </cell>
          <cell r="W1231" t="str">
            <v>Đang xử lý</v>
          </cell>
          <cell r="AJ1231" t="str">
            <v>TP HCM</v>
          </cell>
          <cell r="BX1231" t="str">
            <v>AON</v>
          </cell>
        </row>
        <row r="1232">
          <cell r="A1232" t="str">
            <v>ON</v>
          </cell>
          <cell r="B1232" t="str">
            <v>Trong 24h</v>
          </cell>
          <cell r="D1232" t="str">
            <v>Khiếu nại về dịch vụ FTTH</v>
          </cell>
          <cell r="W1232" t="str">
            <v>Đã đóng</v>
          </cell>
          <cell r="AJ1232" t="str">
            <v xml:space="preserve">Đắc Lắk </v>
          </cell>
          <cell r="BX1232" t="str">
            <v>AON</v>
          </cell>
        </row>
        <row r="1233">
          <cell r="A1233" t="str">
            <v>ON</v>
          </cell>
          <cell r="B1233" t="str">
            <v>Trong 24h</v>
          </cell>
          <cell r="D1233" t="str">
            <v>Khiếu nại về dịch vụ FTTH</v>
          </cell>
          <cell r="W1233" t="str">
            <v>Đã đóng</v>
          </cell>
          <cell r="AJ1233" t="str">
            <v>Tiền Giang</v>
          </cell>
          <cell r="BX1233" t="str">
            <v>AON</v>
          </cell>
        </row>
        <row r="1234">
          <cell r="A1234" t="str">
            <v>ON</v>
          </cell>
          <cell r="B1234" t="str">
            <v>Trong 24h</v>
          </cell>
          <cell r="D1234" t="str">
            <v>Khiếu nại về dịch vụ FTTH</v>
          </cell>
          <cell r="W1234" t="str">
            <v>Đã đóng</v>
          </cell>
          <cell r="AJ1234" t="str">
            <v>TP HCM</v>
          </cell>
          <cell r="BX1234" t="str">
            <v>AON</v>
          </cell>
        </row>
        <row r="1235">
          <cell r="A1235" t="str">
            <v>ON</v>
          </cell>
          <cell r="B1235" t="str">
            <v>Trong 24h</v>
          </cell>
          <cell r="D1235" t="str">
            <v>Khiếu nại về dịch vụ FTTH</v>
          </cell>
          <cell r="W1235" t="str">
            <v>Đã đóng</v>
          </cell>
          <cell r="AJ1235" t="str">
            <v>TP HCM</v>
          </cell>
          <cell r="BX1235" t="str">
            <v>AON</v>
          </cell>
        </row>
        <row r="1236">
          <cell r="A1236" t="str">
            <v>ON</v>
          </cell>
          <cell r="B1236" t="str">
            <v>Trong 24h</v>
          </cell>
          <cell r="D1236" t="str">
            <v>Khiếu nại về dịch vụ FTTH</v>
          </cell>
          <cell r="W1236" t="str">
            <v>Đã đóng</v>
          </cell>
          <cell r="AJ1236" t="str">
            <v>TP HCM</v>
          </cell>
          <cell r="BX1236" t="str">
            <v>AON</v>
          </cell>
        </row>
        <row r="1237">
          <cell r="A1237" t="str">
            <v>ON</v>
          </cell>
          <cell r="B1237" t="str">
            <v>Trong 24h</v>
          </cell>
          <cell r="D1237" t="str">
            <v>Khiếu nại về dịch vụ FTTH</v>
          </cell>
          <cell r="W1237" t="str">
            <v>Đã đóng</v>
          </cell>
          <cell r="AJ1237" t="str">
            <v>Thái Bình</v>
          </cell>
          <cell r="BX1237" t="str">
            <v>AON</v>
          </cell>
        </row>
        <row r="1238">
          <cell r="A1238" t="str">
            <v>ON</v>
          </cell>
          <cell r="B1238" t="str">
            <v>Trong 24h</v>
          </cell>
          <cell r="D1238" t="str">
            <v>Khiếu nại về dịch vụ FTTH</v>
          </cell>
          <cell r="W1238" t="str">
            <v>Đã đóng</v>
          </cell>
          <cell r="AJ1238" t="str">
            <v>Thái Nguyên</v>
          </cell>
          <cell r="BX1238" t="str">
            <v>AON</v>
          </cell>
        </row>
        <row r="1239">
          <cell r="A1239" t="str">
            <v>ON</v>
          </cell>
          <cell r="B1239" t="str">
            <v>Trong 24h</v>
          </cell>
          <cell r="D1239" t="str">
            <v>Khiếu nại về dịch vụ FTTH</v>
          </cell>
          <cell r="W1239" t="str">
            <v>Đã đóng</v>
          </cell>
          <cell r="AJ1239" t="str">
            <v xml:space="preserve">Đồng Nai </v>
          </cell>
          <cell r="BX1239" t="str">
            <v>AON</v>
          </cell>
        </row>
        <row r="1240">
          <cell r="A1240" t="str">
            <v>ON</v>
          </cell>
          <cell r="B1240" t="str">
            <v>Trong 24h</v>
          </cell>
          <cell r="D1240" t="str">
            <v>Khiếu nại về dịch vụ FTTH</v>
          </cell>
          <cell r="W1240" t="str">
            <v>Đã đóng</v>
          </cell>
          <cell r="AJ1240" t="str">
            <v>TP HCM</v>
          </cell>
          <cell r="BX1240" t="str">
            <v>AON</v>
          </cell>
        </row>
        <row r="1241">
          <cell r="A1241" t="str">
            <v>ON</v>
          </cell>
          <cell r="B1241" t="str">
            <v>Trong 24h</v>
          </cell>
          <cell r="D1241" t="str">
            <v>Khiếu nại về dịch vụ FTTH</v>
          </cell>
          <cell r="W1241" t="str">
            <v>Đang xử lý</v>
          </cell>
          <cell r="AJ1241" t="str">
            <v>TP HCM</v>
          </cell>
          <cell r="BX1241" t="str">
            <v>AON</v>
          </cell>
        </row>
        <row r="1242">
          <cell r="A1242" t="str">
            <v>ON</v>
          </cell>
          <cell r="B1242" t="str">
            <v>Trong 24h</v>
          </cell>
          <cell r="D1242" t="str">
            <v>Khiếu nại về dịch vụ FTTH</v>
          </cell>
          <cell r="W1242" t="str">
            <v>Đang xử lý</v>
          </cell>
          <cell r="AJ1242" t="str">
            <v>TP HCM</v>
          </cell>
          <cell r="BX1242" t="str">
            <v>GPON</v>
          </cell>
        </row>
        <row r="1243">
          <cell r="A1243" t="str">
            <v>ON</v>
          </cell>
          <cell r="B1243" t="str">
            <v>Trong 24h</v>
          </cell>
          <cell r="D1243" t="str">
            <v>Khiếu nại về dịch vụ FTTH</v>
          </cell>
          <cell r="W1243" t="str">
            <v>Đã đóng</v>
          </cell>
          <cell r="AJ1243" t="str">
            <v>Ninh Bình</v>
          </cell>
          <cell r="BX1243" t="str">
            <v>AON</v>
          </cell>
        </row>
        <row r="1244">
          <cell r="A1244" t="str">
            <v>ON</v>
          </cell>
          <cell r="B1244" t="str">
            <v>Trong 24h</v>
          </cell>
          <cell r="D1244" t="str">
            <v>Khiếu nại về dịch vụ FTTH</v>
          </cell>
          <cell r="W1244" t="str">
            <v>Đã đóng</v>
          </cell>
          <cell r="AJ1244" t="str">
            <v>Hà Nội 2</v>
          </cell>
          <cell r="BX1244" t="str">
            <v>AON</v>
          </cell>
        </row>
        <row r="1245">
          <cell r="A1245" t="str">
            <v>ON</v>
          </cell>
          <cell r="B1245" t="str">
            <v>Trong 24h</v>
          </cell>
          <cell r="D1245" t="str">
            <v>Khiếu nại về dịch vụ FTTH</v>
          </cell>
          <cell r="W1245" t="str">
            <v>Đang xử lý</v>
          </cell>
          <cell r="AJ1245" t="str">
            <v>Thái Nguyên</v>
          </cell>
          <cell r="BX1245" t="str">
            <v>AON</v>
          </cell>
        </row>
        <row r="1246">
          <cell r="A1246" t="str">
            <v>ON</v>
          </cell>
          <cell r="B1246" t="str">
            <v>Trong 24h</v>
          </cell>
          <cell r="D1246" t="str">
            <v>Khiếu nại về dịch vụ FTTH</v>
          </cell>
          <cell r="W1246" t="str">
            <v>Đã đóng</v>
          </cell>
          <cell r="AJ1246" t="str">
            <v>Thừa Thiên Huế</v>
          </cell>
          <cell r="BX1246" t="str">
            <v>AON</v>
          </cell>
        </row>
        <row r="1247">
          <cell r="A1247" t="str">
            <v>ON</v>
          </cell>
          <cell r="B1247" t="str">
            <v>Trong 24h</v>
          </cell>
          <cell r="D1247" t="str">
            <v>Khiếu nại về dịch vụ FTTH</v>
          </cell>
          <cell r="W1247" t="str">
            <v>Đã đóng</v>
          </cell>
          <cell r="AJ1247" t="str">
            <v>TP HCM</v>
          </cell>
          <cell r="BX1247" t="str">
            <v>AON</v>
          </cell>
        </row>
        <row r="1248">
          <cell r="A1248" t="str">
            <v>ON</v>
          </cell>
          <cell r="B1248" t="str">
            <v>Trong 24h</v>
          </cell>
          <cell r="D1248" t="str">
            <v>Khiếu nại về dịch vụ FTTH</v>
          </cell>
          <cell r="W1248" t="str">
            <v>Đã đóng</v>
          </cell>
          <cell r="AJ1248" t="str">
            <v>Thái Nguyên</v>
          </cell>
          <cell r="BX1248" t="str">
            <v>AON</v>
          </cell>
        </row>
        <row r="1249">
          <cell r="A1249" t="str">
            <v>ON</v>
          </cell>
          <cell r="B1249" t="str">
            <v>Trong 24h</v>
          </cell>
          <cell r="D1249" t="str">
            <v>Khiếu nại về dịch vụ FTTH</v>
          </cell>
          <cell r="W1249" t="str">
            <v>Đã đóng</v>
          </cell>
          <cell r="AJ1249" t="str">
            <v>TP HCM</v>
          </cell>
          <cell r="BX1249" t="str">
            <v>AON</v>
          </cell>
        </row>
        <row r="1250">
          <cell r="A1250" t="str">
            <v>ON</v>
          </cell>
          <cell r="B1250" t="str">
            <v>Trong 24h</v>
          </cell>
          <cell r="D1250" t="str">
            <v>Khiếu nại về dịch vụ FTTH</v>
          </cell>
          <cell r="W1250" t="str">
            <v>Đang xử lý</v>
          </cell>
          <cell r="AJ1250" t="str">
            <v>Bình Dương</v>
          </cell>
          <cell r="BX1250" t="str">
            <v>AON</v>
          </cell>
        </row>
        <row r="1251">
          <cell r="A1251" t="str">
            <v>ON</v>
          </cell>
          <cell r="B1251" t="str">
            <v>Trong 24h</v>
          </cell>
          <cell r="D1251" t="str">
            <v>Khiếu nại về dịch vụ FTTH</v>
          </cell>
          <cell r="W1251" t="str">
            <v>Đã đóng</v>
          </cell>
          <cell r="AJ1251" t="str">
            <v>Hậu Giang</v>
          </cell>
          <cell r="BX1251" t="str">
            <v>AON</v>
          </cell>
        </row>
        <row r="1252">
          <cell r="A1252" t="str">
            <v>ON</v>
          </cell>
          <cell r="B1252" t="str">
            <v>Trong 24h</v>
          </cell>
          <cell r="D1252" t="str">
            <v>Khiếu nại về dịch vụ FTTH</v>
          </cell>
          <cell r="W1252" t="str">
            <v>Đã đóng</v>
          </cell>
          <cell r="AJ1252" t="str">
            <v>Tiền Giang</v>
          </cell>
          <cell r="BX1252" t="str">
            <v>AON</v>
          </cell>
        </row>
        <row r="1253">
          <cell r="A1253" t="str">
            <v>ON</v>
          </cell>
          <cell r="B1253" t="str">
            <v>Trong 24h</v>
          </cell>
          <cell r="D1253" t="str">
            <v>Khiếu nại về dịch vụ FTTH</v>
          </cell>
          <cell r="W1253" t="str">
            <v>Đã đóng</v>
          </cell>
          <cell r="AJ1253" t="str">
            <v>Ninh Bình</v>
          </cell>
          <cell r="BX1253" t="str">
            <v>AON</v>
          </cell>
        </row>
        <row r="1254">
          <cell r="A1254" t="str">
            <v>ON</v>
          </cell>
          <cell r="B1254" t="str">
            <v>Trong 24h</v>
          </cell>
          <cell r="D1254" t="str">
            <v>Khiếu nại về dịch vụ FTTH</v>
          </cell>
          <cell r="W1254" t="str">
            <v>Đã đóng</v>
          </cell>
          <cell r="AJ1254" t="str">
            <v>TP HCM</v>
          </cell>
          <cell r="BX1254" t="str">
            <v>AON</v>
          </cell>
        </row>
        <row r="1255">
          <cell r="A1255" t="str">
            <v>ON</v>
          </cell>
          <cell r="B1255" t="str">
            <v>Trong 24h</v>
          </cell>
          <cell r="D1255" t="str">
            <v>Khiếu nại về dịch vụ FTTH</v>
          </cell>
          <cell r="W1255" t="str">
            <v>Đã đóng</v>
          </cell>
          <cell r="AJ1255" t="str">
            <v>TP HCM</v>
          </cell>
          <cell r="BX1255" t="str">
            <v>AON</v>
          </cell>
        </row>
        <row r="1256">
          <cell r="A1256" t="str">
            <v>ON</v>
          </cell>
          <cell r="B1256" t="str">
            <v>Trong 24h</v>
          </cell>
          <cell r="D1256" t="str">
            <v>Khiếu nại về dịch vụ FTTH</v>
          </cell>
          <cell r="W1256" t="str">
            <v>Đang xử lý</v>
          </cell>
          <cell r="AJ1256" t="str">
            <v>Hà Nội 1</v>
          </cell>
          <cell r="BX1256" t="str">
            <v>AON</v>
          </cell>
        </row>
        <row r="1257">
          <cell r="A1257" t="str">
            <v>ON</v>
          </cell>
          <cell r="B1257" t="str">
            <v>Trong 24h</v>
          </cell>
          <cell r="D1257" t="str">
            <v>Khiếu nại về dịch vụ FTTH</v>
          </cell>
          <cell r="W1257" t="str">
            <v>Đã đóng</v>
          </cell>
          <cell r="AJ1257" t="str">
            <v>Hà Nội 2</v>
          </cell>
          <cell r="BX1257" t="str">
            <v>AON</v>
          </cell>
        </row>
        <row r="1258">
          <cell r="A1258" t="str">
            <v>ON</v>
          </cell>
          <cell r="B1258" t="str">
            <v>Trong 24h</v>
          </cell>
          <cell r="D1258" t="str">
            <v>Khiếu nại về dịch vụ FTTH</v>
          </cell>
          <cell r="W1258" t="str">
            <v>Đã đóng</v>
          </cell>
          <cell r="AJ1258" t="str">
            <v>Hậu Giang</v>
          </cell>
          <cell r="BX1258" t="str">
            <v>AON</v>
          </cell>
        </row>
        <row r="1259">
          <cell r="A1259" t="str">
            <v>ON</v>
          </cell>
          <cell r="B1259" t="str">
            <v>Trong 24h</v>
          </cell>
          <cell r="D1259" t="str">
            <v>Khiếu nại về dịch vụ FTTH</v>
          </cell>
          <cell r="W1259" t="str">
            <v>Đã đóng</v>
          </cell>
          <cell r="AJ1259" t="str">
            <v>Hà Nội 2</v>
          </cell>
          <cell r="BX1259" t="str">
            <v>AON</v>
          </cell>
        </row>
        <row r="1260">
          <cell r="A1260" t="str">
            <v>ON</v>
          </cell>
          <cell r="B1260" t="str">
            <v>Trong 24h</v>
          </cell>
          <cell r="D1260" t="str">
            <v>Khiếu nại về dịch vụ NextTV</v>
          </cell>
          <cell r="W1260" t="str">
            <v>Đã đóng</v>
          </cell>
          <cell r="AJ1260" t="str">
            <v>TP HCM</v>
          </cell>
          <cell r="BX1260" t="str">
            <v>AON</v>
          </cell>
        </row>
        <row r="1261">
          <cell r="A1261" t="str">
            <v>ON</v>
          </cell>
          <cell r="B1261" t="str">
            <v>Trong 24h</v>
          </cell>
          <cell r="D1261" t="str">
            <v>Khiếu nại về dịch vụ FTTH</v>
          </cell>
          <cell r="W1261" t="str">
            <v>Đã đóng</v>
          </cell>
          <cell r="AJ1261" t="str">
            <v>Nghệ An</v>
          </cell>
          <cell r="BX1261" t="str">
            <v>AON</v>
          </cell>
        </row>
        <row r="1262">
          <cell r="A1262" t="str">
            <v>ON</v>
          </cell>
          <cell r="B1262" t="str">
            <v>Trong 24h</v>
          </cell>
          <cell r="D1262" t="str">
            <v>Khiếu nại về dịch vụ FTTH</v>
          </cell>
          <cell r="W1262" t="str">
            <v>Đang xử lý</v>
          </cell>
          <cell r="AJ1262" t="str">
            <v>Quảng Trị</v>
          </cell>
          <cell r="BX1262" t="str">
            <v>AON</v>
          </cell>
        </row>
        <row r="1263">
          <cell r="A1263" t="str">
            <v>ON</v>
          </cell>
          <cell r="B1263" t="str">
            <v>Trong 24h</v>
          </cell>
          <cell r="D1263" t="str">
            <v>Khiếu nại về dịch vụ FTTH</v>
          </cell>
          <cell r="W1263" t="str">
            <v>Đã đóng</v>
          </cell>
          <cell r="AJ1263" t="str">
            <v>Hà Nội 1</v>
          </cell>
          <cell r="BX1263" t="str">
            <v>AON</v>
          </cell>
        </row>
        <row r="1264">
          <cell r="A1264" t="str">
            <v>ON</v>
          </cell>
          <cell r="B1264" t="str">
            <v>Trong 24h</v>
          </cell>
          <cell r="D1264" t="str">
            <v>Khiếu nại về dịch vụ FTTH</v>
          </cell>
          <cell r="W1264" t="str">
            <v>Đã đóng</v>
          </cell>
          <cell r="AJ1264" t="str">
            <v>Hậu Giang</v>
          </cell>
          <cell r="BX1264" t="str">
            <v>AON</v>
          </cell>
        </row>
        <row r="1265">
          <cell r="A1265" t="str">
            <v>ON</v>
          </cell>
          <cell r="B1265" t="str">
            <v>Trong 24h</v>
          </cell>
          <cell r="D1265" t="str">
            <v>Khiếu nại về dịch vụ FTTH</v>
          </cell>
          <cell r="W1265" t="str">
            <v>Đã đóng</v>
          </cell>
          <cell r="AJ1265" t="str">
            <v>Vĩnh Long</v>
          </cell>
          <cell r="BX1265" t="str">
            <v>AON</v>
          </cell>
        </row>
        <row r="1266">
          <cell r="A1266" t="str">
            <v>ON</v>
          </cell>
          <cell r="B1266" t="str">
            <v>Trong 24h</v>
          </cell>
          <cell r="D1266" t="str">
            <v>Khiếu nại về dịch vụ FTTH</v>
          </cell>
          <cell r="W1266" t="str">
            <v>Đã đóng</v>
          </cell>
          <cell r="AJ1266" t="str">
            <v>TP HCM</v>
          </cell>
          <cell r="BX1266" t="str">
            <v>AON</v>
          </cell>
        </row>
        <row r="1267">
          <cell r="A1267" t="str">
            <v>ON</v>
          </cell>
          <cell r="B1267" t="str">
            <v>Trong 24h</v>
          </cell>
          <cell r="D1267" t="str">
            <v>Khiếu nại về dịch vụ NextTV</v>
          </cell>
          <cell r="W1267" t="str">
            <v>Đã đóng</v>
          </cell>
          <cell r="AJ1267" t="str">
            <v>Hậu Giang</v>
          </cell>
          <cell r="BX1267" t="str">
            <v>AON</v>
          </cell>
        </row>
        <row r="1268">
          <cell r="A1268" t="str">
            <v>ON</v>
          </cell>
          <cell r="B1268" t="str">
            <v>Trong 24h</v>
          </cell>
          <cell r="D1268" t="str">
            <v>Khiếu nại về dịch vụ NextTV</v>
          </cell>
          <cell r="W1268" t="str">
            <v>Đã đóng</v>
          </cell>
          <cell r="AJ1268" t="str">
            <v xml:space="preserve">Đồng Nai </v>
          </cell>
          <cell r="BX1268" t="str">
            <v>AON</v>
          </cell>
        </row>
        <row r="1269">
          <cell r="A1269" t="str">
            <v>ON</v>
          </cell>
          <cell r="B1269" t="str">
            <v>Trong 24h</v>
          </cell>
          <cell r="D1269" t="str">
            <v>Khiếu nại về dịch vụ NextTV</v>
          </cell>
          <cell r="W1269" t="str">
            <v>Đã đóng</v>
          </cell>
          <cell r="AJ1269" t="str">
            <v>Thanh Hoá</v>
          </cell>
          <cell r="BX1269" t="str">
            <v>AON</v>
          </cell>
        </row>
        <row r="1270">
          <cell r="A1270" t="str">
            <v>ON</v>
          </cell>
          <cell r="B1270" t="str">
            <v>Trong 24h</v>
          </cell>
          <cell r="D1270" t="str">
            <v>Khiếu nại về dịch vụ FTTH</v>
          </cell>
          <cell r="W1270" t="str">
            <v>Đã đóng</v>
          </cell>
          <cell r="AJ1270" t="str">
            <v>TP HCM</v>
          </cell>
          <cell r="BX1270" t="str">
            <v>AON</v>
          </cell>
        </row>
        <row r="1271">
          <cell r="A1271" t="str">
            <v>ON</v>
          </cell>
          <cell r="B1271" t="str">
            <v>Trong 24h</v>
          </cell>
          <cell r="D1271" t="str">
            <v>Khiếu nại về dịch vụ NextTV</v>
          </cell>
          <cell r="W1271" t="str">
            <v>Đang xử lý</v>
          </cell>
          <cell r="AJ1271" t="str">
            <v>TP HCM</v>
          </cell>
          <cell r="BX1271" t="str">
            <v>AON</v>
          </cell>
        </row>
        <row r="1272">
          <cell r="A1272" t="str">
            <v>ON</v>
          </cell>
          <cell r="B1272" t="str">
            <v>Trong 24h</v>
          </cell>
          <cell r="D1272" t="str">
            <v>Khiếu nại về dịch vụ FTTH</v>
          </cell>
          <cell r="W1272" t="str">
            <v>Đã đóng</v>
          </cell>
          <cell r="AJ1272" t="str">
            <v>TP HCM</v>
          </cell>
          <cell r="BX1272" t="str">
            <v>AON</v>
          </cell>
        </row>
        <row r="1273">
          <cell r="A1273" t="str">
            <v>ON</v>
          </cell>
          <cell r="B1273" t="str">
            <v>Trong 24h</v>
          </cell>
          <cell r="D1273" t="str">
            <v>Khiếu nại về dịch vụ NextTV</v>
          </cell>
          <cell r="W1273" t="str">
            <v>Đang xử lý</v>
          </cell>
          <cell r="AJ1273" t="str">
            <v>TP HCM</v>
          </cell>
          <cell r="BX1273" t="str">
            <v>AON</v>
          </cell>
        </row>
        <row r="1274">
          <cell r="A1274" t="str">
            <v>ON</v>
          </cell>
          <cell r="B1274" t="str">
            <v>Trong 24h</v>
          </cell>
          <cell r="D1274" t="str">
            <v>Khiếu nại về dịch vụ FTTH</v>
          </cell>
          <cell r="W1274" t="str">
            <v>Đã đóng</v>
          </cell>
          <cell r="AJ1274" t="str">
            <v xml:space="preserve">Đồng Nai </v>
          </cell>
          <cell r="BX1274" t="str">
            <v>AON</v>
          </cell>
        </row>
        <row r="1275">
          <cell r="A1275" t="str">
            <v>ON</v>
          </cell>
          <cell r="B1275" t="str">
            <v>Trong 24h</v>
          </cell>
          <cell r="D1275" t="str">
            <v>Khiếu nại về dịch vụ FTTH</v>
          </cell>
          <cell r="W1275" t="str">
            <v>Đã đóng</v>
          </cell>
          <cell r="AJ1275" t="str">
            <v>TP HCM</v>
          </cell>
          <cell r="BX1275" t="str">
            <v>AON</v>
          </cell>
        </row>
        <row r="1276">
          <cell r="A1276" t="str">
            <v>ON</v>
          </cell>
          <cell r="B1276" t="str">
            <v>Trong 24h</v>
          </cell>
          <cell r="D1276" t="str">
            <v>Khiếu nại về dịch vụ FTTH</v>
          </cell>
          <cell r="W1276" t="str">
            <v>Đang xử lý</v>
          </cell>
          <cell r="AJ1276" t="str">
            <v>Quảng Ninh</v>
          </cell>
          <cell r="BX1276" t="str">
            <v>AON</v>
          </cell>
        </row>
        <row r="1277">
          <cell r="A1277" t="str">
            <v>ON</v>
          </cell>
          <cell r="B1277" t="str">
            <v>Trong 24h</v>
          </cell>
          <cell r="D1277" t="str">
            <v>Khiếu nại về dịch vụ FTTH</v>
          </cell>
          <cell r="W1277" t="str">
            <v>Đang xử lý</v>
          </cell>
          <cell r="AJ1277" t="str">
            <v>Nghệ An</v>
          </cell>
          <cell r="BX1277" t="str">
            <v>AON</v>
          </cell>
        </row>
        <row r="1278">
          <cell r="A1278" t="str">
            <v>ON</v>
          </cell>
          <cell r="B1278" t="str">
            <v>Trong 24h</v>
          </cell>
          <cell r="D1278" t="str">
            <v>Khiếu nại về dịch vụ FTTH</v>
          </cell>
          <cell r="W1278" t="str">
            <v>Đã đóng</v>
          </cell>
          <cell r="AJ1278" t="str">
            <v>Hà Nội 1</v>
          </cell>
          <cell r="BX1278" t="str">
            <v>AON</v>
          </cell>
        </row>
        <row r="1279">
          <cell r="A1279" t="str">
            <v>ON</v>
          </cell>
          <cell r="B1279" t="str">
            <v>Trong 24h</v>
          </cell>
          <cell r="D1279" t="str">
            <v>Khiếu nại về dịch vụ FTTH</v>
          </cell>
          <cell r="W1279" t="str">
            <v>Đang xử lý</v>
          </cell>
          <cell r="AJ1279" t="str">
            <v>TP HCM</v>
          </cell>
          <cell r="BX1279" t="str">
            <v>AON</v>
          </cell>
        </row>
        <row r="1280">
          <cell r="A1280" t="str">
            <v>ON</v>
          </cell>
          <cell r="B1280" t="str">
            <v>Trong 24h</v>
          </cell>
          <cell r="D1280" t="str">
            <v>Khiếu nại về dịch vụ FTTH</v>
          </cell>
          <cell r="W1280" t="str">
            <v>Đã đóng</v>
          </cell>
          <cell r="AJ1280" t="str">
            <v>Ninh Bình</v>
          </cell>
          <cell r="BX1280" t="str">
            <v>AON</v>
          </cell>
        </row>
        <row r="1281">
          <cell r="A1281" t="str">
            <v>ON</v>
          </cell>
          <cell r="B1281" t="str">
            <v>Trong 24h</v>
          </cell>
          <cell r="D1281" t="str">
            <v>Khiếu nại về dịch vụ FTTH</v>
          </cell>
          <cell r="W1281" t="str">
            <v>Đã đóng</v>
          </cell>
          <cell r="AJ1281" t="str">
            <v xml:space="preserve">Đồng Nai </v>
          </cell>
          <cell r="BX1281" t="str">
            <v>AON</v>
          </cell>
        </row>
        <row r="1282">
          <cell r="A1282" t="str">
            <v>ON</v>
          </cell>
          <cell r="B1282" t="str">
            <v>Trong 24h</v>
          </cell>
          <cell r="D1282" t="str">
            <v>Khiếu nại về dịch vụ FTTH</v>
          </cell>
          <cell r="W1282" t="str">
            <v>Đã đóng</v>
          </cell>
          <cell r="AJ1282" t="str">
            <v>Hà Nội 1</v>
          </cell>
          <cell r="BX1282" t="str">
            <v>AON</v>
          </cell>
        </row>
        <row r="1283">
          <cell r="A1283" t="str">
            <v>ON</v>
          </cell>
          <cell r="B1283" t="str">
            <v>Trong 24h</v>
          </cell>
          <cell r="D1283" t="str">
            <v>Khiếu nại về dịch vụ FTTH</v>
          </cell>
          <cell r="W1283" t="str">
            <v>Đang xử lý</v>
          </cell>
          <cell r="AJ1283" t="str">
            <v>Hải Phòng</v>
          </cell>
          <cell r="BX1283" t="str">
            <v>AON</v>
          </cell>
        </row>
        <row r="1284">
          <cell r="A1284" t="str">
            <v>ON</v>
          </cell>
          <cell r="B1284" t="str">
            <v>Trong 24h</v>
          </cell>
          <cell r="D1284" t="str">
            <v>Khiếu nại về dịch vụ FTTH</v>
          </cell>
          <cell r="W1284" t="str">
            <v>Đang xử lý</v>
          </cell>
          <cell r="AJ1284" t="str">
            <v>TP HCM</v>
          </cell>
          <cell r="BX1284" t="str">
            <v>AON</v>
          </cell>
        </row>
        <row r="1285">
          <cell r="A1285" t="str">
            <v>ON</v>
          </cell>
          <cell r="B1285" t="str">
            <v>Trong 24h</v>
          </cell>
          <cell r="D1285" t="str">
            <v>Khiếu nại về dịch vụ FTTH</v>
          </cell>
          <cell r="W1285" t="str">
            <v>Đã đóng</v>
          </cell>
          <cell r="AJ1285" t="str">
            <v>Hậu Giang</v>
          </cell>
          <cell r="BX1285" t="str">
            <v>AON</v>
          </cell>
        </row>
        <row r="1286">
          <cell r="A1286" t="str">
            <v>ON</v>
          </cell>
          <cell r="B1286" t="str">
            <v>Trong 24h</v>
          </cell>
          <cell r="D1286" t="str">
            <v>Khiếu nại về dịch vụ NextTV</v>
          </cell>
          <cell r="W1286" t="str">
            <v>Đã đóng</v>
          </cell>
          <cell r="AJ1286" t="str">
            <v>TP HCM</v>
          </cell>
          <cell r="BX1286" t="str">
            <v>AON</v>
          </cell>
        </row>
        <row r="1287">
          <cell r="A1287" t="str">
            <v>ON</v>
          </cell>
          <cell r="B1287" t="str">
            <v>Trong 24h</v>
          </cell>
          <cell r="D1287" t="str">
            <v>Khiếu nại về dịch vụ FTTH</v>
          </cell>
          <cell r="W1287" t="str">
            <v>Đã đóng</v>
          </cell>
          <cell r="AJ1287" t="str">
            <v xml:space="preserve">Đồng Nai </v>
          </cell>
          <cell r="BX1287" t="str">
            <v>AON</v>
          </cell>
        </row>
        <row r="1288">
          <cell r="A1288" t="str">
            <v>ON</v>
          </cell>
          <cell r="B1288" t="str">
            <v>Trong 24h</v>
          </cell>
          <cell r="D1288" t="str">
            <v>Khiếu nại về dịch vụ FTTH</v>
          </cell>
          <cell r="W1288" t="str">
            <v>Đã đóng</v>
          </cell>
          <cell r="AJ1288" t="str">
            <v>Hậu Giang</v>
          </cell>
          <cell r="BX1288" t="str">
            <v>AON</v>
          </cell>
        </row>
        <row r="1289">
          <cell r="A1289" t="str">
            <v>ON</v>
          </cell>
          <cell r="B1289" t="str">
            <v>Trong 24h</v>
          </cell>
          <cell r="D1289" t="str">
            <v>Khiếu nại về dịch vụ FTTH</v>
          </cell>
          <cell r="W1289" t="str">
            <v>Đã đóng</v>
          </cell>
          <cell r="AJ1289" t="str">
            <v>TP HCM</v>
          </cell>
          <cell r="BX1289" t="str">
            <v>AON</v>
          </cell>
        </row>
        <row r="1290">
          <cell r="A1290" t="str">
            <v>ON</v>
          </cell>
          <cell r="B1290" t="str">
            <v>Trong 24h</v>
          </cell>
          <cell r="D1290" t="str">
            <v>Khiếu nại về dịch vụ FTTH</v>
          </cell>
          <cell r="W1290" t="str">
            <v>Đang xử lý</v>
          </cell>
          <cell r="AJ1290" t="str">
            <v>Bình Dương</v>
          </cell>
          <cell r="BX1290" t="str">
            <v>AON</v>
          </cell>
        </row>
        <row r="1291">
          <cell r="A1291" t="str">
            <v>ON</v>
          </cell>
          <cell r="B1291" t="str">
            <v>Trong 24h</v>
          </cell>
          <cell r="D1291" t="str">
            <v>Khiếu nại về dịch vụ FTTH</v>
          </cell>
          <cell r="W1291" t="str">
            <v>Đang xử lý</v>
          </cell>
          <cell r="AJ1291" t="str">
            <v>Tuyên Quang</v>
          </cell>
          <cell r="BX1291" t="str">
            <v>AON</v>
          </cell>
        </row>
        <row r="1292">
          <cell r="A1292" t="str">
            <v>ON</v>
          </cell>
          <cell r="B1292" t="str">
            <v>Trong 24h</v>
          </cell>
          <cell r="D1292" t="str">
            <v>Khiếu nại về dịch vụ FTTH</v>
          </cell>
          <cell r="W1292" t="str">
            <v>Đang xử lý</v>
          </cell>
          <cell r="AJ1292" t="str">
            <v>Nghệ An</v>
          </cell>
          <cell r="BX1292" t="str">
            <v>AON</v>
          </cell>
        </row>
        <row r="1293">
          <cell r="A1293" t="str">
            <v>ON</v>
          </cell>
          <cell r="B1293" t="str">
            <v>Trong 24h</v>
          </cell>
          <cell r="D1293" t="str">
            <v>Khiếu nại về dịch vụ FTTH</v>
          </cell>
          <cell r="W1293" t="str">
            <v>Đã đóng</v>
          </cell>
          <cell r="AJ1293" t="str">
            <v>TP HCM</v>
          </cell>
          <cell r="BX1293" t="str">
            <v>AON</v>
          </cell>
        </row>
        <row r="1294">
          <cell r="A1294" t="str">
            <v>ON</v>
          </cell>
          <cell r="B1294" t="str">
            <v>Trong 24h</v>
          </cell>
          <cell r="D1294" t="str">
            <v>Khiếu nại về dịch vụ FTTH</v>
          </cell>
          <cell r="W1294" t="str">
            <v>Đã đóng</v>
          </cell>
          <cell r="AJ1294" t="str">
            <v>Bắc Ninh</v>
          </cell>
          <cell r="BX1294" t="str">
            <v>AON</v>
          </cell>
        </row>
        <row r="1295">
          <cell r="A1295" t="str">
            <v>ON</v>
          </cell>
          <cell r="B1295" t="str">
            <v>Trong 24h</v>
          </cell>
          <cell r="D1295" t="str">
            <v>Khiếu nại về dịch vụ FTTH</v>
          </cell>
          <cell r="W1295" t="str">
            <v>Đã đóng</v>
          </cell>
          <cell r="AJ1295" t="str">
            <v>Bắc Giang</v>
          </cell>
          <cell r="BX1295" t="str">
            <v>AON</v>
          </cell>
        </row>
        <row r="1296">
          <cell r="A1296" t="str">
            <v>ON</v>
          </cell>
          <cell r="B1296" t="str">
            <v>Trong 24h</v>
          </cell>
          <cell r="D1296" t="str">
            <v>Khiếu nại về dịch vụ FTTH</v>
          </cell>
          <cell r="W1296" t="str">
            <v>Đã đóng</v>
          </cell>
          <cell r="AJ1296" t="str">
            <v>TP HCM</v>
          </cell>
          <cell r="BX1296" t="str">
            <v>AON</v>
          </cell>
        </row>
        <row r="1297">
          <cell r="A1297" t="str">
            <v>ON</v>
          </cell>
          <cell r="B1297" t="str">
            <v>Trong 24h</v>
          </cell>
          <cell r="D1297" t="str">
            <v>Khiếu nại về dịch vụ FTTH</v>
          </cell>
          <cell r="W1297" t="str">
            <v>Đã đóng</v>
          </cell>
          <cell r="AJ1297" t="str">
            <v>Thái Bình</v>
          </cell>
          <cell r="BX1297" t="str">
            <v>AON</v>
          </cell>
        </row>
        <row r="1298">
          <cell r="A1298" t="str">
            <v>ON</v>
          </cell>
          <cell r="B1298" t="str">
            <v>Trong 24h</v>
          </cell>
          <cell r="D1298" t="str">
            <v>Khiếu nại về dịch vụ FTTH</v>
          </cell>
          <cell r="W1298" t="str">
            <v>Đã đóng</v>
          </cell>
          <cell r="AJ1298" t="str">
            <v>TP HCM</v>
          </cell>
          <cell r="BX1298" t="str">
            <v>AON</v>
          </cell>
        </row>
        <row r="1299">
          <cell r="A1299" t="str">
            <v>ON</v>
          </cell>
          <cell r="B1299" t="str">
            <v>Trong 24h</v>
          </cell>
          <cell r="D1299" t="str">
            <v>Khiếu nại về dịch vụ FTTH</v>
          </cell>
          <cell r="W1299" t="str">
            <v>Đã đóng</v>
          </cell>
          <cell r="AJ1299" t="str">
            <v>Lâm Đồng</v>
          </cell>
          <cell r="BX1299" t="str">
            <v>AON</v>
          </cell>
        </row>
        <row r="1300">
          <cell r="A1300" t="str">
            <v>ON</v>
          </cell>
          <cell r="B1300" t="str">
            <v>Trong 24h</v>
          </cell>
          <cell r="D1300" t="str">
            <v>Khiếu nại về dịch vụ FTTH</v>
          </cell>
          <cell r="W1300" t="str">
            <v>Đã đóng</v>
          </cell>
          <cell r="AJ1300" t="str">
            <v>Hà Nội 1</v>
          </cell>
          <cell r="BX1300" t="str">
            <v>AON</v>
          </cell>
        </row>
        <row r="1301">
          <cell r="A1301" t="str">
            <v>ON</v>
          </cell>
          <cell r="B1301" t="str">
            <v>Trong 24h</v>
          </cell>
          <cell r="D1301" t="str">
            <v>Khiếu nại về dịch vụ FTTH</v>
          </cell>
          <cell r="W1301" t="str">
            <v>Đã đóng</v>
          </cell>
          <cell r="AJ1301" t="str">
            <v>Hậu Giang</v>
          </cell>
          <cell r="BX1301" t="str">
            <v>GPON</v>
          </cell>
        </row>
        <row r="1302">
          <cell r="A1302" t="str">
            <v>ON</v>
          </cell>
          <cell r="B1302" t="str">
            <v>Trong 24h</v>
          </cell>
          <cell r="D1302" t="str">
            <v>Khiếu nại về dịch vụ FTTH</v>
          </cell>
          <cell r="W1302" t="str">
            <v>Đang xử lý</v>
          </cell>
          <cell r="AJ1302" t="str">
            <v>Bình Định</v>
          </cell>
          <cell r="BX1302" t="str">
            <v>AON</v>
          </cell>
        </row>
        <row r="1303">
          <cell r="A1303" t="str">
            <v>ON</v>
          </cell>
          <cell r="B1303" t="str">
            <v>Trong 24h</v>
          </cell>
          <cell r="D1303" t="str">
            <v>Khiếu nại về dịch vụ NextTV</v>
          </cell>
          <cell r="W1303" t="str">
            <v>Đã đóng</v>
          </cell>
          <cell r="AJ1303" t="str">
            <v>Quảng Trị</v>
          </cell>
          <cell r="BX1303" t="str">
            <v>AON</v>
          </cell>
        </row>
        <row r="1304">
          <cell r="A1304" t="str">
            <v>ON</v>
          </cell>
          <cell r="B1304" t="str">
            <v>Trong 24h</v>
          </cell>
          <cell r="D1304" t="str">
            <v>Khiếu nại về dịch vụ FTTH</v>
          </cell>
          <cell r="W1304" t="str">
            <v>Đã đóng</v>
          </cell>
          <cell r="AJ1304" t="str">
            <v>Lâm Đồng</v>
          </cell>
          <cell r="BX1304" t="str">
            <v>AON</v>
          </cell>
        </row>
        <row r="1305">
          <cell r="A1305" t="str">
            <v>ON</v>
          </cell>
          <cell r="B1305" t="str">
            <v>Trong 24h</v>
          </cell>
          <cell r="D1305" t="str">
            <v>Khiếu nại về dịch vụ FTTH</v>
          </cell>
          <cell r="W1305" t="str">
            <v>Đã đóng</v>
          </cell>
          <cell r="AJ1305" t="str">
            <v>TP HCM</v>
          </cell>
          <cell r="BX1305" t="str">
            <v>GPON</v>
          </cell>
        </row>
        <row r="1306">
          <cell r="A1306" t="str">
            <v>ON</v>
          </cell>
          <cell r="B1306" t="str">
            <v>Trong 24h</v>
          </cell>
          <cell r="D1306" t="str">
            <v>Khiếu nại về dịch vụ FTTH</v>
          </cell>
          <cell r="W1306" t="str">
            <v>Đã đóng</v>
          </cell>
          <cell r="AJ1306" t="str">
            <v>Hà Giang</v>
          </cell>
          <cell r="BX1306" t="str">
            <v>AON</v>
          </cell>
        </row>
        <row r="1307">
          <cell r="A1307" t="str">
            <v>ON</v>
          </cell>
          <cell r="B1307" t="str">
            <v>Trong 24h</v>
          </cell>
          <cell r="D1307" t="str">
            <v>Khiếu nại về dịch vụ FTTH</v>
          </cell>
          <cell r="W1307" t="str">
            <v>Đã đóng</v>
          </cell>
          <cell r="AJ1307" t="str">
            <v>TP HCM</v>
          </cell>
          <cell r="BX1307" t="str">
            <v>AON</v>
          </cell>
        </row>
        <row r="1308">
          <cell r="A1308" t="str">
            <v>ON</v>
          </cell>
          <cell r="B1308" t="str">
            <v>Trong 24h</v>
          </cell>
          <cell r="D1308" t="str">
            <v>Khiếu nại về dịch vụ FTTH</v>
          </cell>
          <cell r="W1308" t="str">
            <v>Đã đóng</v>
          </cell>
          <cell r="AJ1308" t="str">
            <v>TP HCM</v>
          </cell>
          <cell r="BX1308" t="str">
            <v>AON</v>
          </cell>
        </row>
        <row r="1309">
          <cell r="A1309" t="str">
            <v>ON</v>
          </cell>
          <cell r="B1309" t="str">
            <v>Trong 24h</v>
          </cell>
          <cell r="D1309" t="str">
            <v>Khiếu nại về dịch vụ FTTH</v>
          </cell>
          <cell r="W1309" t="str">
            <v>Đã đóng</v>
          </cell>
          <cell r="AJ1309" t="str">
            <v>Tây Ninh</v>
          </cell>
          <cell r="BX1309" t="str">
            <v>AON</v>
          </cell>
        </row>
        <row r="1310">
          <cell r="A1310" t="str">
            <v>ON</v>
          </cell>
          <cell r="B1310" t="str">
            <v>Trong 24h</v>
          </cell>
          <cell r="D1310" t="str">
            <v>Khiếu nại về dịch vụ FTTH</v>
          </cell>
          <cell r="W1310" t="str">
            <v>Đã đóng</v>
          </cell>
          <cell r="AJ1310" t="str">
            <v>Bạc Liêu</v>
          </cell>
          <cell r="BX1310" t="str">
            <v>GPON</v>
          </cell>
        </row>
        <row r="1311">
          <cell r="A1311" t="str">
            <v>ON</v>
          </cell>
          <cell r="B1311" t="str">
            <v>Trong 24h</v>
          </cell>
          <cell r="D1311" t="str">
            <v>Khiếu nại về dịch vụ FTTH</v>
          </cell>
          <cell r="W1311" t="str">
            <v>Đã đóng</v>
          </cell>
          <cell r="AJ1311" t="str">
            <v>TP HCM</v>
          </cell>
          <cell r="BX1311" t="str">
            <v>AON</v>
          </cell>
        </row>
        <row r="1312">
          <cell r="A1312" t="str">
            <v>ON</v>
          </cell>
          <cell r="B1312" t="str">
            <v>Trong 24h</v>
          </cell>
          <cell r="D1312" t="str">
            <v>Khiếu nại về dịch vụ FTTH</v>
          </cell>
          <cell r="W1312" t="str">
            <v>Đã đóng</v>
          </cell>
          <cell r="AJ1312" t="str">
            <v>Hậu Giang</v>
          </cell>
          <cell r="BX1312" t="str">
            <v>AON</v>
          </cell>
        </row>
        <row r="1313">
          <cell r="A1313" t="str">
            <v>ON</v>
          </cell>
          <cell r="B1313" t="str">
            <v>Trong 24h</v>
          </cell>
          <cell r="D1313" t="str">
            <v>Khiếu nại về dịch vụ FTTH</v>
          </cell>
          <cell r="W1313" t="str">
            <v>Đã đóng</v>
          </cell>
          <cell r="AJ1313" t="str">
            <v>TP HCM</v>
          </cell>
          <cell r="BX1313" t="str">
            <v>GPON</v>
          </cell>
        </row>
        <row r="1314">
          <cell r="A1314" t="str">
            <v>ON</v>
          </cell>
          <cell r="B1314" t="str">
            <v>Trong 24h</v>
          </cell>
          <cell r="D1314" t="str">
            <v>Khiếu nại về dịch vụ FTTH</v>
          </cell>
          <cell r="W1314" t="str">
            <v>Đã đóng</v>
          </cell>
          <cell r="AJ1314" t="str">
            <v>TP HCM</v>
          </cell>
          <cell r="BX1314" t="str">
            <v>AON</v>
          </cell>
        </row>
        <row r="1315">
          <cell r="A1315" t="str">
            <v>ON</v>
          </cell>
          <cell r="B1315" t="str">
            <v>Trong 24h</v>
          </cell>
          <cell r="D1315" t="str">
            <v>Khiếu nại về dịch vụ FTTH</v>
          </cell>
          <cell r="W1315" t="str">
            <v>Đã đóng</v>
          </cell>
          <cell r="AJ1315" t="str">
            <v>Bình Định</v>
          </cell>
          <cell r="BX1315" t="str">
            <v>AON</v>
          </cell>
        </row>
        <row r="1316">
          <cell r="A1316" t="str">
            <v>ON</v>
          </cell>
          <cell r="B1316" t="str">
            <v>Trong 24h</v>
          </cell>
          <cell r="D1316" t="str">
            <v>Khiếu nại về dịch vụ FTTH</v>
          </cell>
          <cell r="W1316" t="str">
            <v>Đã đóng</v>
          </cell>
          <cell r="AJ1316" t="str">
            <v>TP HCM</v>
          </cell>
          <cell r="BX1316" t="str">
            <v>AON</v>
          </cell>
        </row>
        <row r="1317">
          <cell r="A1317" t="str">
            <v>ON</v>
          </cell>
          <cell r="B1317" t="str">
            <v>Trong 24h</v>
          </cell>
          <cell r="D1317" t="str">
            <v>Khiếu nại về dịch vụ FTTH</v>
          </cell>
          <cell r="W1317" t="str">
            <v>Đã đóng</v>
          </cell>
          <cell r="AJ1317" t="str">
            <v>TP HCM</v>
          </cell>
          <cell r="BX1317" t="str">
            <v>AON</v>
          </cell>
        </row>
        <row r="1318">
          <cell r="A1318" t="str">
            <v>ON</v>
          </cell>
          <cell r="B1318" t="str">
            <v>Trong 24h</v>
          </cell>
          <cell r="D1318" t="str">
            <v>Khiếu nại về dịch vụ FTTH</v>
          </cell>
          <cell r="W1318" t="str">
            <v>Đã đóng</v>
          </cell>
          <cell r="AJ1318" t="str">
            <v>Hà Nội 1</v>
          </cell>
          <cell r="BX1318" t="str">
            <v>AON</v>
          </cell>
        </row>
        <row r="1319">
          <cell r="A1319" t="str">
            <v>ON</v>
          </cell>
          <cell r="B1319" t="str">
            <v>Trong 24h</v>
          </cell>
          <cell r="D1319" t="str">
            <v>Khiếu nại về dịch vụ FTTH</v>
          </cell>
          <cell r="W1319" t="str">
            <v>Đã đóng</v>
          </cell>
          <cell r="AJ1319" t="str">
            <v>Lào Cai</v>
          </cell>
          <cell r="BX1319" t="str">
            <v>AON</v>
          </cell>
        </row>
        <row r="1320">
          <cell r="A1320" t="str">
            <v>ON</v>
          </cell>
          <cell r="B1320" t="str">
            <v>Trong 24h</v>
          </cell>
          <cell r="D1320" t="str">
            <v>Khiếu nại về dịch vụ FTTH</v>
          </cell>
          <cell r="W1320" t="str">
            <v>Đang xử lý</v>
          </cell>
          <cell r="AJ1320" t="str">
            <v>TP HCM</v>
          </cell>
          <cell r="BX1320" t="str">
            <v>AON</v>
          </cell>
        </row>
        <row r="1321">
          <cell r="A1321" t="str">
            <v>ON</v>
          </cell>
          <cell r="B1321" t="str">
            <v>Trong 24h</v>
          </cell>
          <cell r="D1321" t="str">
            <v>Khiếu nại về dịch vụ FTTH</v>
          </cell>
          <cell r="W1321" t="str">
            <v>Đã đóng</v>
          </cell>
          <cell r="AJ1321" t="str">
            <v>Hậu Giang</v>
          </cell>
          <cell r="BX1321" t="str">
            <v>AON</v>
          </cell>
        </row>
        <row r="1322">
          <cell r="A1322" t="str">
            <v>ON</v>
          </cell>
          <cell r="B1322" t="str">
            <v>Trong 24h</v>
          </cell>
          <cell r="D1322" t="str">
            <v>Khiếu nại về dịch vụ FTTH</v>
          </cell>
          <cell r="W1322" t="str">
            <v>Đã đóng</v>
          </cell>
          <cell r="AJ1322" t="str">
            <v>TP HCM</v>
          </cell>
          <cell r="BX1322" t="str">
            <v>AON</v>
          </cell>
        </row>
        <row r="1323">
          <cell r="A1323" t="str">
            <v>ON</v>
          </cell>
          <cell r="B1323" t="str">
            <v>Trong 24h</v>
          </cell>
          <cell r="D1323" t="str">
            <v>Khiếu nại về dịch vụ FTTH</v>
          </cell>
          <cell r="W1323" t="str">
            <v>Đã đóng</v>
          </cell>
          <cell r="AJ1323" t="str">
            <v>Tây Ninh</v>
          </cell>
          <cell r="BX1323" t="str">
            <v>AON</v>
          </cell>
        </row>
        <row r="1324">
          <cell r="A1324" t="str">
            <v>ON</v>
          </cell>
          <cell r="B1324" t="str">
            <v>Trong 24h</v>
          </cell>
          <cell r="D1324" t="str">
            <v>Khiếu nại về dịch vụ FTTH</v>
          </cell>
          <cell r="W1324" t="str">
            <v>Đã đóng</v>
          </cell>
          <cell r="AJ1324" t="str">
            <v>TP HCM</v>
          </cell>
          <cell r="BX1324" t="str">
            <v>GPON</v>
          </cell>
        </row>
        <row r="1325">
          <cell r="A1325" t="str">
            <v>ON</v>
          </cell>
          <cell r="B1325" t="str">
            <v>Trong 24h</v>
          </cell>
          <cell r="D1325" t="str">
            <v>Khiếu nại về dịch vụ NextTV</v>
          </cell>
          <cell r="W1325" t="str">
            <v>Đang xử lý</v>
          </cell>
          <cell r="AJ1325" t="str">
            <v>Bình Thuận</v>
          </cell>
          <cell r="BX1325" t="str">
            <v>AON</v>
          </cell>
        </row>
        <row r="1326">
          <cell r="A1326" t="str">
            <v>ON</v>
          </cell>
          <cell r="B1326" t="str">
            <v>Trong 24h</v>
          </cell>
          <cell r="D1326" t="str">
            <v>Khiếu nại về dịch vụ FTTH</v>
          </cell>
          <cell r="W1326" t="str">
            <v>Đang xử lý</v>
          </cell>
          <cell r="AJ1326" t="str">
            <v>Cà Mau</v>
          </cell>
          <cell r="BX1326" t="str">
            <v>AON</v>
          </cell>
        </row>
        <row r="1327">
          <cell r="A1327" t="str">
            <v>ON</v>
          </cell>
          <cell r="B1327" t="str">
            <v>Trong 24h</v>
          </cell>
          <cell r="D1327" t="str">
            <v>Khiếu nại về dịch vụ FTTH</v>
          </cell>
          <cell r="W1327" t="str">
            <v>Đã đóng</v>
          </cell>
          <cell r="AJ1327" t="str">
            <v>Thái Nguyên</v>
          </cell>
          <cell r="BX1327" t="str">
            <v>AON</v>
          </cell>
        </row>
        <row r="1328">
          <cell r="A1328" t="str">
            <v>ON</v>
          </cell>
          <cell r="B1328" t="str">
            <v>Trong 24h</v>
          </cell>
          <cell r="D1328" t="str">
            <v>Khiếu nại về dịch vụ FTTH</v>
          </cell>
          <cell r="W1328" t="str">
            <v>Đang xử lý</v>
          </cell>
          <cell r="AJ1328" t="str">
            <v>Hà Nam</v>
          </cell>
          <cell r="BX1328" t="str">
            <v>AON</v>
          </cell>
        </row>
        <row r="1329">
          <cell r="A1329" t="str">
            <v>ON</v>
          </cell>
          <cell r="B1329" t="str">
            <v>Trong 24h</v>
          </cell>
          <cell r="D1329" t="str">
            <v>Khiếu nại về dịch vụ NextTV</v>
          </cell>
          <cell r="W1329" t="str">
            <v>Đã đóng</v>
          </cell>
          <cell r="AJ1329" t="str">
            <v>TP HCM</v>
          </cell>
          <cell r="BX1329" t="str">
            <v>AON</v>
          </cell>
        </row>
        <row r="1330">
          <cell r="A1330" t="str">
            <v>ON</v>
          </cell>
          <cell r="B1330" t="str">
            <v>Trong 24h</v>
          </cell>
          <cell r="D1330" t="str">
            <v>Khiếu nại về dịch vụ FTTH</v>
          </cell>
          <cell r="W1330" t="str">
            <v>Đang xử lý</v>
          </cell>
          <cell r="AJ1330" t="str">
            <v>Hà Nội 1</v>
          </cell>
          <cell r="BX1330" t="str">
            <v>AON</v>
          </cell>
        </row>
        <row r="1331">
          <cell r="A1331" t="str">
            <v>ON</v>
          </cell>
          <cell r="B1331" t="str">
            <v>Trong 24h</v>
          </cell>
          <cell r="D1331" t="str">
            <v>Khiếu nại về dịch vụ NextTV</v>
          </cell>
          <cell r="W1331" t="str">
            <v>Đã đóng</v>
          </cell>
          <cell r="AJ1331" t="str">
            <v>TP HCM</v>
          </cell>
          <cell r="BX1331" t="str">
            <v>AON</v>
          </cell>
        </row>
        <row r="1332">
          <cell r="A1332" t="str">
            <v>ON</v>
          </cell>
          <cell r="B1332" t="str">
            <v>Trong 24h</v>
          </cell>
          <cell r="D1332" t="str">
            <v>Khiếu nại về dịch vụ FTTH</v>
          </cell>
          <cell r="W1332" t="str">
            <v>Đã đóng</v>
          </cell>
          <cell r="AJ1332" t="str">
            <v>Tây Ninh</v>
          </cell>
          <cell r="BX1332" t="str">
            <v>AON</v>
          </cell>
        </row>
        <row r="1333">
          <cell r="A1333" t="str">
            <v>ON</v>
          </cell>
          <cell r="B1333" t="str">
            <v>Trong 24h</v>
          </cell>
          <cell r="D1333" t="str">
            <v>Khiếu nại về dịch vụ FTTH</v>
          </cell>
          <cell r="W1333" t="str">
            <v>Đã đóng</v>
          </cell>
          <cell r="AJ1333" t="str">
            <v>TP HCM</v>
          </cell>
          <cell r="BX1333" t="str">
            <v>AON</v>
          </cell>
        </row>
        <row r="1334">
          <cell r="A1334" t="str">
            <v>ON</v>
          </cell>
          <cell r="B1334" t="str">
            <v>Trong 24h</v>
          </cell>
          <cell r="D1334" t="str">
            <v>Khiếu nại về dịch vụ FTTH</v>
          </cell>
          <cell r="W1334" t="str">
            <v>Đang xử lý</v>
          </cell>
          <cell r="AJ1334" t="str">
            <v>Kiên Giang</v>
          </cell>
          <cell r="BX1334" t="str">
            <v>AON</v>
          </cell>
        </row>
        <row r="1335">
          <cell r="A1335" t="str">
            <v>ON</v>
          </cell>
          <cell r="B1335" t="str">
            <v>Trong 24h</v>
          </cell>
          <cell r="D1335" t="str">
            <v>Khiếu nại về dịch vụ FTTH</v>
          </cell>
          <cell r="W1335" t="str">
            <v>Đã đóng</v>
          </cell>
          <cell r="AJ1335" t="str">
            <v>Hà Nội 1</v>
          </cell>
          <cell r="BX1335" t="str">
            <v>AON</v>
          </cell>
        </row>
        <row r="1336">
          <cell r="A1336" t="str">
            <v>ON</v>
          </cell>
          <cell r="B1336" t="str">
            <v>Trong 24h</v>
          </cell>
          <cell r="D1336" t="str">
            <v>Khiếu nại về dịch vụ FTTH</v>
          </cell>
          <cell r="W1336" t="str">
            <v>Đã đóng</v>
          </cell>
          <cell r="AJ1336" t="str">
            <v>Hậu Giang</v>
          </cell>
          <cell r="BX1336" t="str">
            <v>AON</v>
          </cell>
        </row>
        <row r="1337">
          <cell r="A1337" t="str">
            <v>ON</v>
          </cell>
          <cell r="B1337" t="str">
            <v>Trong 24h</v>
          </cell>
          <cell r="D1337" t="str">
            <v>Khiếu nại về dịch vụ FTTH</v>
          </cell>
          <cell r="W1337" t="str">
            <v>Đã đóng</v>
          </cell>
          <cell r="AJ1337" t="str">
            <v>Quảng Ninh</v>
          </cell>
          <cell r="BX1337" t="str">
            <v>AON</v>
          </cell>
        </row>
        <row r="1338">
          <cell r="A1338" t="str">
            <v>ON</v>
          </cell>
          <cell r="B1338" t="str">
            <v>Trong 24h</v>
          </cell>
          <cell r="D1338" t="str">
            <v>Khiếu nại về dịch vụ FTTH</v>
          </cell>
          <cell r="W1338" t="str">
            <v>Đã đóng</v>
          </cell>
          <cell r="AJ1338" t="str">
            <v>Nghệ An</v>
          </cell>
          <cell r="BX1338" t="str">
            <v>AON</v>
          </cell>
        </row>
        <row r="1339">
          <cell r="A1339" t="str">
            <v>ON</v>
          </cell>
          <cell r="B1339" t="str">
            <v>Trong 24h</v>
          </cell>
          <cell r="D1339" t="str">
            <v>Khiếu nại về dịch vụ FTTH</v>
          </cell>
          <cell r="W1339" t="str">
            <v>Đã đóng</v>
          </cell>
          <cell r="AJ1339" t="str">
            <v>Thanh Hoá</v>
          </cell>
          <cell r="BX1339" t="str">
            <v>AON</v>
          </cell>
        </row>
        <row r="1340">
          <cell r="A1340" t="str">
            <v>ON</v>
          </cell>
          <cell r="B1340" t="str">
            <v>Trong 24h</v>
          </cell>
          <cell r="D1340" t="str">
            <v>Khiếu nại về dịch vụ FTTH</v>
          </cell>
          <cell r="W1340" t="str">
            <v>Đã đóng</v>
          </cell>
          <cell r="AJ1340" t="str">
            <v>TP HCM</v>
          </cell>
          <cell r="BX1340" t="str">
            <v>GPON</v>
          </cell>
        </row>
        <row r="1341">
          <cell r="A1341" t="str">
            <v>ON</v>
          </cell>
          <cell r="B1341" t="str">
            <v>Trong 24h</v>
          </cell>
          <cell r="D1341" t="str">
            <v>Khiếu nại về dịch vụ FTTH</v>
          </cell>
          <cell r="W1341" t="str">
            <v>Đã đóng</v>
          </cell>
          <cell r="AJ1341" t="str">
            <v>Bến Tre</v>
          </cell>
          <cell r="BX1341" t="str">
            <v>AON</v>
          </cell>
        </row>
        <row r="1342">
          <cell r="A1342" t="str">
            <v>ON</v>
          </cell>
          <cell r="B1342" t="str">
            <v>Trong 24h</v>
          </cell>
          <cell r="D1342" t="str">
            <v>Khiếu nại về dịch vụ FTTH</v>
          </cell>
          <cell r="W1342" t="str">
            <v>Đang xử lý</v>
          </cell>
          <cell r="AJ1342" t="str">
            <v>Hà Nam</v>
          </cell>
          <cell r="BX1342" t="str">
            <v>AON</v>
          </cell>
        </row>
        <row r="1343">
          <cell r="A1343" t="str">
            <v>ON</v>
          </cell>
          <cell r="B1343" t="str">
            <v>Trong 24h</v>
          </cell>
          <cell r="D1343" t="str">
            <v>Khiếu nại về dịch vụ FTTH</v>
          </cell>
          <cell r="W1343" t="str">
            <v>Đã đóng</v>
          </cell>
          <cell r="AJ1343" t="str">
            <v>Cần Thơ</v>
          </cell>
          <cell r="BX1343" t="str">
            <v>AON</v>
          </cell>
        </row>
        <row r="1344">
          <cell r="A1344" t="str">
            <v>ON</v>
          </cell>
          <cell r="B1344" t="str">
            <v>Trong 24h</v>
          </cell>
          <cell r="D1344" t="str">
            <v>Khiếu nại về dịch vụ FTTH</v>
          </cell>
          <cell r="W1344" t="str">
            <v>Đã đóng</v>
          </cell>
          <cell r="AJ1344" t="str">
            <v>Bến Tre</v>
          </cell>
          <cell r="BX1344" t="str">
            <v>AON</v>
          </cell>
        </row>
        <row r="1345">
          <cell r="A1345" t="str">
            <v>ON</v>
          </cell>
          <cell r="B1345" t="str">
            <v>Trong 24h</v>
          </cell>
          <cell r="D1345" t="str">
            <v>Khiếu nại về dịch vụ FTTH</v>
          </cell>
          <cell r="W1345" t="str">
            <v>Đã đóng</v>
          </cell>
          <cell r="AJ1345" t="str">
            <v>Hà Nội 1</v>
          </cell>
          <cell r="BX1345" t="str">
            <v>AON</v>
          </cell>
        </row>
        <row r="1346">
          <cell r="A1346" t="str">
            <v>ON</v>
          </cell>
          <cell r="B1346" t="str">
            <v>Trong 24h</v>
          </cell>
          <cell r="D1346" t="str">
            <v>Khiếu nại về dịch vụ FTTH</v>
          </cell>
          <cell r="W1346" t="str">
            <v>Đang xử lý</v>
          </cell>
          <cell r="AJ1346" t="str">
            <v>Bến Tre</v>
          </cell>
          <cell r="BX1346" t="str">
            <v>AON</v>
          </cell>
        </row>
        <row r="1347">
          <cell r="A1347" t="str">
            <v>ON</v>
          </cell>
          <cell r="B1347" t="str">
            <v>Trong 24h</v>
          </cell>
          <cell r="D1347" t="str">
            <v>Khiếu nại về dịch vụ FTTH</v>
          </cell>
          <cell r="W1347" t="str">
            <v>Đã đóng</v>
          </cell>
          <cell r="AJ1347" t="str">
            <v>Bình Dương</v>
          </cell>
          <cell r="BX1347" t="str">
            <v>AON</v>
          </cell>
        </row>
        <row r="1348">
          <cell r="A1348" t="str">
            <v>ON</v>
          </cell>
          <cell r="B1348" t="str">
            <v>Trong 24h</v>
          </cell>
          <cell r="D1348" t="str">
            <v>Khiếu nại về dịch vụ FTTH</v>
          </cell>
          <cell r="W1348" t="str">
            <v>Đã đóng</v>
          </cell>
          <cell r="AJ1348" t="str">
            <v>Hà Nội 1</v>
          </cell>
          <cell r="BX1348" t="str">
            <v>AON</v>
          </cell>
        </row>
        <row r="1349">
          <cell r="A1349" t="str">
            <v>ON</v>
          </cell>
          <cell r="B1349" t="str">
            <v>Trong 24h</v>
          </cell>
          <cell r="D1349" t="str">
            <v>Khiếu nại về dịch vụ NextTV</v>
          </cell>
          <cell r="W1349" t="str">
            <v>Đang xử lý</v>
          </cell>
          <cell r="AJ1349" t="str">
            <v>Quảng Ninh</v>
          </cell>
          <cell r="BX1349" t="str">
            <v>AON</v>
          </cell>
        </row>
        <row r="1350">
          <cell r="A1350" t="str">
            <v>ON</v>
          </cell>
          <cell r="B1350" t="str">
            <v>Trong 24h</v>
          </cell>
          <cell r="D1350" t="str">
            <v>Khiếu nại về dịch vụ FTTH</v>
          </cell>
          <cell r="W1350" t="str">
            <v>Đang xử lý</v>
          </cell>
          <cell r="AJ1350" t="str">
            <v>TP HCM</v>
          </cell>
          <cell r="BX1350" t="str">
            <v>AON</v>
          </cell>
        </row>
        <row r="1351">
          <cell r="A1351" t="str">
            <v>ON</v>
          </cell>
          <cell r="B1351" t="str">
            <v>Trong 24h</v>
          </cell>
          <cell r="D1351" t="str">
            <v>Khiếu nại về dịch vụ FTTH</v>
          </cell>
          <cell r="W1351" t="str">
            <v>Đã đóng</v>
          </cell>
          <cell r="AJ1351" t="str">
            <v>Hà Nội 2</v>
          </cell>
          <cell r="BX1351" t="str">
            <v>AON</v>
          </cell>
        </row>
        <row r="1352">
          <cell r="A1352" t="str">
            <v>ON</v>
          </cell>
          <cell r="B1352" t="str">
            <v>Trong 24h</v>
          </cell>
          <cell r="D1352" t="str">
            <v>Khiếu nại về dịch vụ FTTH</v>
          </cell>
          <cell r="W1352" t="str">
            <v>Đã đóng</v>
          </cell>
          <cell r="AJ1352" t="str">
            <v>Quảng Ninh</v>
          </cell>
          <cell r="BX1352" t="str">
            <v>AON</v>
          </cell>
        </row>
        <row r="1353">
          <cell r="A1353" t="str">
            <v>ON</v>
          </cell>
          <cell r="B1353" t="str">
            <v>Trong 24h</v>
          </cell>
          <cell r="D1353" t="str">
            <v>Khiếu nại về dịch vụ FTTH</v>
          </cell>
          <cell r="W1353" t="str">
            <v>Đang xử lý</v>
          </cell>
          <cell r="AJ1353" t="str">
            <v>Bình Dương</v>
          </cell>
          <cell r="BX1353" t="str">
            <v>AON</v>
          </cell>
        </row>
        <row r="1354">
          <cell r="A1354" t="str">
            <v>ON</v>
          </cell>
          <cell r="B1354" t="str">
            <v>Trong 24h</v>
          </cell>
          <cell r="D1354" t="str">
            <v>Khiếu nại về dịch vụ FTTH</v>
          </cell>
          <cell r="W1354" t="str">
            <v>Đã đóng</v>
          </cell>
          <cell r="AJ1354" t="str">
            <v>TP HCM</v>
          </cell>
          <cell r="BX1354" t="str">
            <v>AON</v>
          </cell>
        </row>
        <row r="1355">
          <cell r="A1355" t="str">
            <v>ON</v>
          </cell>
          <cell r="B1355" t="str">
            <v>Trong 24h</v>
          </cell>
          <cell r="D1355" t="str">
            <v>Khiếu nại về dịch vụ FTTH</v>
          </cell>
          <cell r="W1355" t="str">
            <v>Đang xử lý</v>
          </cell>
          <cell r="AJ1355" t="str">
            <v xml:space="preserve">Hà Tĩnh </v>
          </cell>
          <cell r="BX1355" t="str">
            <v>AON</v>
          </cell>
        </row>
        <row r="1356">
          <cell r="A1356" t="str">
            <v>ON</v>
          </cell>
          <cell r="B1356" t="str">
            <v>Trong 24h</v>
          </cell>
          <cell r="D1356" t="str">
            <v>Khiếu nại về dịch vụ FTTH</v>
          </cell>
          <cell r="W1356" t="str">
            <v>Đang xử lý</v>
          </cell>
          <cell r="AJ1356" t="str">
            <v>Bắc Ninh</v>
          </cell>
          <cell r="BX1356" t="str">
            <v>AON</v>
          </cell>
        </row>
        <row r="1357">
          <cell r="A1357" t="str">
            <v>ON</v>
          </cell>
          <cell r="B1357" t="str">
            <v>Trong 24h</v>
          </cell>
          <cell r="D1357" t="str">
            <v>Khiếu nại về dịch vụ FTTH</v>
          </cell>
          <cell r="W1357" t="str">
            <v>Đã đóng</v>
          </cell>
          <cell r="AJ1357" t="str">
            <v>Hà Nội 1</v>
          </cell>
          <cell r="BX1357" t="str">
            <v>AON</v>
          </cell>
        </row>
        <row r="1358">
          <cell r="A1358" t="str">
            <v>ON</v>
          </cell>
          <cell r="B1358" t="str">
            <v>Trong 24h</v>
          </cell>
          <cell r="D1358" t="str">
            <v>Khiếu nại về dịch vụ FTTH</v>
          </cell>
          <cell r="W1358" t="str">
            <v>Đã đóng</v>
          </cell>
          <cell r="AJ1358" t="str">
            <v>TP HCM</v>
          </cell>
          <cell r="BX1358" t="str">
            <v>AON</v>
          </cell>
        </row>
        <row r="1359">
          <cell r="A1359" t="str">
            <v>ON</v>
          </cell>
          <cell r="B1359" t="str">
            <v>Trong 24h</v>
          </cell>
          <cell r="D1359" t="str">
            <v>Khiếu nại về dịch vụ FTTH</v>
          </cell>
          <cell r="W1359" t="str">
            <v>Đã đóng</v>
          </cell>
          <cell r="AJ1359" t="str">
            <v>TP HCM</v>
          </cell>
          <cell r="BX1359" t="str">
            <v>AON</v>
          </cell>
        </row>
        <row r="1360">
          <cell r="A1360" t="str">
            <v>ON</v>
          </cell>
          <cell r="B1360" t="str">
            <v>Trong 24h</v>
          </cell>
          <cell r="D1360" t="str">
            <v>Khiếu nại về dịch vụ FTTH</v>
          </cell>
          <cell r="W1360" t="str">
            <v>Đã đóng</v>
          </cell>
          <cell r="AJ1360" t="str">
            <v>An Giang</v>
          </cell>
          <cell r="BX1360" t="str">
            <v>AON</v>
          </cell>
        </row>
        <row r="1361">
          <cell r="A1361" t="str">
            <v>ON</v>
          </cell>
          <cell r="B1361" t="str">
            <v>Trong 24h</v>
          </cell>
          <cell r="D1361" t="str">
            <v>Khiếu nại về dịch vụ FTTH</v>
          </cell>
          <cell r="W1361" t="str">
            <v>Đã đóng</v>
          </cell>
          <cell r="AJ1361" t="str">
            <v xml:space="preserve">Đắc Lắk </v>
          </cell>
          <cell r="BX1361" t="str">
            <v>AON</v>
          </cell>
        </row>
        <row r="1362">
          <cell r="A1362" t="str">
            <v>ON</v>
          </cell>
          <cell r="B1362" t="str">
            <v>Trong 24h</v>
          </cell>
          <cell r="D1362" t="str">
            <v>Khiếu nại về dịch vụ NextTV</v>
          </cell>
          <cell r="W1362" t="str">
            <v>Đã đóng</v>
          </cell>
          <cell r="AJ1362" t="str">
            <v>TP HCM</v>
          </cell>
          <cell r="BX1362" t="str">
            <v>GPON</v>
          </cell>
        </row>
        <row r="1363">
          <cell r="A1363" t="str">
            <v>ON</v>
          </cell>
          <cell r="B1363" t="str">
            <v>Trong 24h</v>
          </cell>
          <cell r="D1363" t="str">
            <v>Khiếu nại về dịch vụ FTTH</v>
          </cell>
          <cell r="W1363" t="str">
            <v>Đang xử lý</v>
          </cell>
          <cell r="AJ1363" t="str">
            <v>Thừa Thiên Huế</v>
          </cell>
          <cell r="BX1363" t="str">
            <v>AON</v>
          </cell>
        </row>
        <row r="1364">
          <cell r="A1364" t="str">
            <v>ON</v>
          </cell>
          <cell r="B1364" t="str">
            <v>Trong 24h</v>
          </cell>
          <cell r="D1364" t="str">
            <v>Khiếu nại về dịch vụ FTTH</v>
          </cell>
          <cell r="W1364" t="str">
            <v>Đã đóng</v>
          </cell>
          <cell r="AJ1364" t="str">
            <v>TP HCM</v>
          </cell>
          <cell r="BX1364" t="str">
            <v>AON</v>
          </cell>
        </row>
        <row r="1365">
          <cell r="A1365" t="str">
            <v>ON</v>
          </cell>
          <cell r="B1365" t="str">
            <v>Trong 24h</v>
          </cell>
          <cell r="D1365" t="str">
            <v>Khiếu nại về dịch vụ FTTH</v>
          </cell>
          <cell r="W1365" t="str">
            <v>Đã đóng</v>
          </cell>
          <cell r="AJ1365" t="str">
            <v>Tiền Giang</v>
          </cell>
          <cell r="BX1365" t="str">
            <v>AON</v>
          </cell>
        </row>
        <row r="1366">
          <cell r="A1366" t="str">
            <v>ON</v>
          </cell>
          <cell r="B1366" t="str">
            <v>Trong 24h</v>
          </cell>
          <cell r="D1366" t="str">
            <v>Khiếu nại về dịch vụ FTTH</v>
          </cell>
          <cell r="W1366" t="str">
            <v>Đang xử lý</v>
          </cell>
          <cell r="AJ1366" t="str">
            <v>TP HCM</v>
          </cell>
          <cell r="BX1366" t="str">
            <v>AON</v>
          </cell>
        </row>
        <row r="1367">
          <cell r="A1367" t="str">
            <v>ON</v>
          </cell>
          <cell r="B1367" t="str">
            <v>Trong 24h</v>
          </cell>
          <cell r="D1367" t="str">
            <v>Khiếu nại về dịch vụ FTTH</v>
          </cell>
          <cell r="W1367" t="str">
            <v>Đang xử lý</v>
          </cell>
          <cell r="AJ1367" t="str">
            <v>Bắc Ninh</v>
          </cell>
          <cell r="BX1367" t="str">
            <v>AON</v>
          </cell>
        </row>
        <row r="1368">
          <cell r="A1368" t="str">
            <v>ON</v>
          </cell>
          <cell r="B1368" t="str">
            <v>Trong 24h</v>
          </cell>
          <cell r="D1368" t="str">
            <v>Khiếu nại về dịch vụ FTTH</v>
          </cell>
          <cell r="W1368" t="str">
            <v>Đã đóng</v>
          </cell>
          <cell r="AJ1368" t="str">
            <v>Tây Ninh</v>
          </cell>
          <cell r="BX1368" t="str">
            <v>GPON</v>
          </cell>
        </row>
        <row r="1369">
          <cell r="A1369" t="str">
            <v>ON</v>
          </cell>
          <cell r="B1369" t="str">
            <v>Trong 24h</v>
          </cell>
          <cell r="D1369" t="str">
            <v>Khiếu nại về dịch vụ FTTH</v>
          </cell>
          <cell r="W1369" t="str">
            <v>Đã đóng</v>
          </cell>
          <cell r="AJ1369" t="str">
            <v>Quảng Trị</v>
          </cell>
          <cell r="BX1369" t="str">
            <v>AON</v>
          </cell>
        </row>
        <row r="1370">
          <cell r="A1370" t="str">
            <v>ON</v>
          </cell>
          <cell r="B1370" t="str">
            <v>Trong 24h</v>
          </cell>
          <cell r="D1370" t="str">
            <v>Khiếu nại về dịch vụ FTTH</v>
          </cell>
          <cell r="W1370" t="str">
            <v>Đã đóng</v>
          </cell>
          <cell r="AJ1370" t="str">
            <v>Tiền Giang</v>
          </cell>
          <cell r="BX1370" t="str">
            <v>AON</v>
          </cell>
        </row>
        <row r="1371">
          <cell r="A1371" t="str">
            <v>ON</v>
          </cell>
          <cell r="B1371" t="str">
            <v>Trong 24h</v>
          </cell>
          <cell r="D1371" t="str">
            <v>Khiếu nại về dịch vụ FTTH</v>
          </cell>
          <cell r="W1371" t="str">
            <v>Đã đóng</v>
          </cell>
          <cell r="AJ1371" t="str">
            <v>TP HCM</v>
          </cell>
          <cell r="BX1371" t="str">
            <v>AON</v>
          </cell>
        </row>
        <row r="1372">
          <cell r="A1372" t="str">
            <v>ON</v>
          </cell>
          <cell r="B1372" t="str">
            <v>Trong 24h</v>
          </cell>
          <cell r="D1372" t="str">
            <v>Khiếu nại về dịch vụ FTTH</v>
          </cell>
          <cell r="W1372" t="str">
            <v>Đã đóng</v>
          </cell>
          <cell r="AJ1372" t="str">
            <v>Tây Ninh</v>
          </cell>
          <cell r="BX1372" t="str">
            <v>GPON</v>
          </cell>
        </row>
        <row r="1373">
          <cell r="A1373" t="str">
            <v>ON</v>
          </cell>
          <cell r="B1373" t="str">
            <v>Trong 24h</v>
          </cell>
          <cell r="D1373" t="str">
            <v>Khiếu nại về dịch vụ FTTH</v>
          </cell>
          <cell r="W1373" t="str">
            <v>Đã đóng</v>
          </cell>
          <cell r="AJ1373" t="str">
            <v>TP HCM</v>
          </cell>
          <cell r="BX1373" t="str">
            <v>AON</v>
          </cell>
        </row>
        <row r="1374">
          <cell r="A1374" t="str">
            <v>ON</v>
          </cell>
          <cell r="B1374" t="str">
            <v>Trong 24h</v>
          </cell>
          <cell r="D1374" t="str">
            <v>Khiếu nại về dịch vụ FTTH</v>
          </cell>
          <cell r="W1374" t="str">
            <v>Đã đóng</v>
          </cell>
          <cell r="AJ1374" t="str">
            <v>Hà Nội 2</v>
          </cell>
          <cell r="BX1374" t="str">
            <v>AON</v>
          </cell>
        </row>
        <row r="1375">
          <cell r="A1375" t="str">
            <v>ON</v>
          </cell>
          <cell r="B1375" t="str">
            <v>Trong 24h</v>
          </cell>
          <cell r="D1375" t="str">
            <v>Khiếu nại về dịch vụ FTTH</v>
          </cell>
          <cell r="W1375" t="str">
            <v>Đã đóng</v>
          </cell>
          <cell r="AJ1375" t="str">
            <v>Kon Tum</v>
          </cell>
          <cell r="BX1375" t="str">
            <v>AON</v>
          </cell>
        </row>
        <row r="1376">
          <cell r="A1376" t="str">
            <v>ON</v>
          </cell>
          <cell r="B1376" t="str">
            <v>Trong 24h</v>
          </cell>
          <cell r="D1376" t="str">
            <v>Khiếu nại về dịch vụ FTTH</v>
          </cell>
          <cell r="W1376" t="str">
            <v>Đã đóng</v>
          </cell>
          <cell r="AJ1376" t="str">
            <v xml:space="preserve">Đồng Nai </v>
          </cell>
          <cell r="BX1376" t="str">
            <v>GPON</v>
          </cell>
        </row>
        <row r="1377">
          <cell r="A1377" t="str">
            <v>ON</v>
          </cell>
          <cell r="B1377" t="str">
            <v>Trong 24h</v>
          </cell>
          <cell r="D1377" t="str">
            <v>Khiếu nại về dịch vụ FTTH</v>
          </cell>
          <cell r="W1377" t="str">
            <v>Đang xử lý</v>
          </cell>
          <cell r="AJ1377" t="str">
            <v>Quảng Ninh</v>
          </cell>
          <cell r="BX1377" t="str">
            <v>AON</v>
          </cell>
        </row>
        <row r="1378">
          <cell r="A1378" t="str">
            <v>ON</v>
          </cell>
          <cell r="B1378" t="str">
            <v>Trong 24h</v>
          </cell>
          <cell r="D1378" t="str">
            <v>Khiếu nại về dịch vụ FTTH</v>
          </cell>
          <cell r="W1378" t="str">
            <v>Đã đóng</v>
          </cell>
          <cell r="AJ1378" t="str">
            <v>TP HCM</v>
          </cell>
          <cell r="BX1378" t="str">
            <v>AON</v>
          </cell>
        </row>
        <row r="1379">
          <cell r="A1379" t="str">
            <v>ON</v>
          </cell>
          <cell r="B1379" t="str">
            <v>Trong 24h</v>
          </cell>
          <cell r="D1379" t="str">
            <v>Khiếu nại về dịch vụ FTTH</v>
          </cell>
          <cell r="W1379" t="str">
            <v>Đang xử lý</v>
          </cell>
          <cell r="AJ1379" t="str">
            <v>TP HCM</v>
          </cell>
          <cell r="BX1379" t="str">
            <v>AON</v>
          </cell>
        </row>
        <row r="1380">
          <cell r="A1380" t="str">
            <v>ON</v>
          </cell>
          <cell r="B1380" t="str">
            <v>Trong 24h</v>
          </cell>
          <cell r="D1380" t="str">
            <v>Khiếu nại về dịch vụ FTTH</v>
          </cell>
          <cell r="W1380" t="str">
            <v>Đã đóng</v>
          </cell>
          <cell r="AJ1380" t="str">
            <v>Hải Dương</v>
          </cell>
          <cell r="BX1380" t="str">
            <v>AON</v>
          </cell>
        </row>
        <row r="1381">
          <cell r="A1381" t="str">
            <v>ON</v>
          </cell>
          <cell r="B1381" t="str">
            <v>Trong 24h</v>
          </cell>
          <cell r="D1381" t="str">
            <v>Khiếu nại về dịch vụ NextTV</v>
          </cell>
          <cell r="W1381" t="str">
            <v>Đã đóng</v>
          </cell>
          <cell r="AJ1381" t="str">
            <v>Cần Thơ</v>
          </cell>
          <cell r="BX1381" t="str">
            <v>AON</v>
          </cell>
        </row>
        <row r="1382">
          <cell r="A1382" t="str">
            <v>ON</v>
          </cell>
          <cell r="B1382" t="str">
            <v>Trong 24h</v>
          </cell>
          <cell r="D1382" t="str">
            <v>Khiếu nại về dịch vụ FTTH</v>
          </cell>
          <cell r="W1382" t="str">
            <v>Đã đóng</v>
          </cell>
          <cell r="AJ1382" t="str">
            <v>Bắc Giang</v>
          </cell>
          <cell r="BX1382" t="str">
            <v>AON</v>
          </cell>
        </row>
        <row r="1383">
          <cell r="A1383" t="str">
            <v>ON</v>
          </cell>
          <cell r="B1383" t="str">
            <v>Trong 24h</v>
          </cell>
          <cell r="D1383" t="str">
            <v>Khiếu nại về dịch vụ FTTH</v>
          </cell>
          <cell r="W1383" t="str">
            <v>Đang xử lý</v>
          </cell>
          <cell r="AJ1383" t="str">
            <v>Bến Tre</v>
          </cell>
          <cell r="BX1383" t="str">
            <v>AON</v>
          </cell>
        </row>
        <row r="1384">
          <cell r="A1384" t="str">
            <v>ON</v>
          </cell>
          <cell r="B1384" t="str">
            <v>Trong 24h</v>
          </cell>
          <cell r="D1384" t="str">
            <v>Khiếu nại về dịch vụ FTTH</v>
          </cell>
          <cell r="W1384" t="str">
            <v>Đang xử lý</v>
          </cell>
          <cell r="AJ1384" t="str">
            <v>An Giang</v>
          </cell>
          <cell r="BX1384" t="str">
            <v>AON</v>
          </cell>
        </row>
        <row r="1385">
          <cell r="A1385" t="str">
            <v>ON</v>
          </cell>
          <cell r="B1385" t="str">
            <v>Trong 24h</v>
          </cell>
          <cell r="D1385" t="str">
            <v>Khiếu nại về dịch vụ FTTH</v>
          </cell>
          <cell r="W1385" t="str">
            <v>Đã đóng</v>
          </cell>
          <cell r="AJ1385" t="str">
            <v>Hà Nội 1</v>
          </cell>
          <cell r="BX1385" t="str">
            <v>AON</v>
          </cell>
        </row>
        <row r="1386">
          <cell r="A1386" t="str">
            <v>ON</v>
          </cell>
          <cell r="B1386" t="str">
            <v>Trong 24h</v>
          </cell>
          <cell r="D1386" t="str">
            <v>Khiếu nại về dịch vụ FTTH</v>
          </cell>
          <cell r="W1386" t="str">
            <v>Đã đóng</v>
          </cell>
          <cell r="AJ1386" t="str">
            <v>TP HCM</v>
          </cell>
          <cell r="BX1386" t="str">
            <v>AON</v>
          </cell>
        </row>
        <row r="1387">
          <cell r="A1387" t="str">
            <v>ON</v>
          </cell>
          <cell r="B1387" t="str">
            <v>Trong 24h</v>
          </cell>
          <cell r="D1387" t="str">
            <v>Khiếu nại về dịch vụ FTTH</v>
          </cell>
          <cell r="W1387" t="str">
            <v>Đang xử lý</v>
          </cell>
          <cell r="AJ1387" t="str">
            <v xml:space="preserve">Quảng Nam </v>
          </cell>
          <cell r="BX1387" t="str">
            <v>AON</v>
          </cell>
        </row>
        <row r="1388">
          <cell r="A1388" t="str">
            <v>ON</v>
          </cell>
          <cell r="B1388" t="str">
            <v>Trong 24h</v>
          </cell>
          <cell r="D1388" t="str">
            <v>Khiếu nại về dịch vụ FTTH</v>
          </cell>
          <cell r="W1388" t="str">
            <v>Đã đóng</v>
          </cell>
          <cell r="AJ1388" t="str">
            <v>TP HCM</v>
          </cell>
          <cell r="BX1388" t="str">
            <v>AON</v>
          </cell>
        </row>
        <row r="1389">
          <cell r="A1389" t="str">
            <v>ON</v>
          </cell>
          <cell r="B1389" t="str">
            <v>Trong 24h</v>
          </cell>
          <cell r="D1389" t="str">
            <v>Khiếu nại về dịch vụ FTTH</v>
          </cell>
          <cell r="W1389" t="str">
            <v>Đang xử lý</v>
          </cell>
          <cell r="AJ1389" t="str">
            <v>TP HCM</v>
          </cell>
          <cell r="BX1389" t="str">
            <v>AON</v>
          </cell>
        </row>
        <row r="1390">
          <cell r="A1390" t="str">
            <v>ON</v>
          </cell>
          <cell r="B1390" t="str">
            <v>Trong 24h</v>
          </cell>
          <cell r="D1390" t="str">
            <v>Khiếu nại về dịch vụ FTTH</v>
          </cell>
          <cell r="W1390" t="str">
            <v>Đã đóng</v>
          </cell>
          <cell r="AJ1390" t="str">
            <v>TP HCM</v>
          </cell>
          <cell r="BX1390" t="str">
            <v>AON</v>
          </cell>
        </row>
        <row r="1391">
          <cell r="A1391" t="str">
            <v>ON</v>
          </cell>
          <cell r="B1391" t="str">
            <v>Trong 24h</v>
          </cell>
          <cell r="D1391" t="str">
            <v>Khiếu nại về dịch vụ FTTH</v>
          </cell>
          <cell r="W1391" t="str">
            <v>Đã đóng</v>
          </cell>
          <cell r="AJ1391" t="str">
            <v>Quảng Ngãi</v>
          </cell>
          <cell r="BX1391" t="str">
            <v>AON</v>
          </cell>
        </row>
        <row r="1392">
          <cell r="A1392" t="str">
            <v>ON</v>
          </cell>
          <cell r="B1392" t="str">
            <v>Trong 24h</v>
          </cell>
          <cell r="D1392" t="str">
            <v>Khiếu nại về dịch vụ NextTV</v>
          </cell>
          <cell r="W1392" t="str">
            <v>Đã đóng</v>
          </cell>
          <cell r="AJ1392" t="str">
            <v>TP HCM</v>
          </cell>
          <cell r="BX1392" t="str">
            <v>AON</v>
          </cell>
        </row>
        <row r="1393">
          <cell r="A1393" t="str">
            <v>ON</v>
          </cell>
          <cell r="B1393" t="str">
            <v>Trong 24h</v>
          </cell>
          <cell r="D1393" t="str">
            <v>Khiếu nại về dịch vụ FTTH</v>
          </cell>
          <cell r="W1393" t="str">
            <v>Đã đóng</v>
          </cell>
          <cell r="AJ1393" t="str">
            <v>Bình Dương</v>
          </cell>
          <cell r="BX1393" t="str">
            <v>AON</v>
          </cell>
        </row>
        <row r="1394">
          <cell r="A1394" t="str">
            <v>ON</v>
          </cell>
          <cell r="B1394" t="str">
            <v>Trong 24h</v>
          </cell>
          <cell r="D1394" t="str">
            <v>Khiếu nại về dịch vụ FTTH</v>
          </cell>
          <cell r="W1394" t="str">
            <v>Đã đóng</v>
          </cell>
          <cell r="AJ1394" t="str">
            <v>Quảng Ninh</v>
          </cell>
          <cell r="BX1394" t="str">
            <v>AON</v>
          </cell>
        </row>
        <row r="1395">
          <cell r="A1395" t="str">
            <v>ON</v>
          </cell>
          <cell r="B1395" t="str">
            <v>Trong 24h</v>
          </cell>
          <cell r="D1395" t="str">
            <v>Khiếu nại về dịch vụ FTTH</v>
          </cell>
          <cell r="W1395" t="str">
            <v>Đã đóng</v>
          </cell>
          <cell r="AJ1395" t="str">
            <v>An Giang</v>
          </cell>
          <cell r="BX1395" t="str">
            <v>AON</v>
          </cell>
        </row>
        <row r="1396">
          <cell r="A1396" t="str">
            <v>ON</v>
          </cell>
          <cell r="B1396" t="str">
            <v>Trong 24h</v>
          </cell>
          <cell r="D1396" t="str">
            <v>Khiếu nại về dịch vụ FTTH</v>
          </cell>
          <cell r="W1396" t="str">
            <v>Đã đóng</v>
          </cell>
          <cell r="AJ1396" t="str">
            <v>TP HCM</v>
          </cell>
          <cell r="BX1396" t="str">
            <v>AON</v>
          </cell>
        </row>
        <row r="1397">
          <cell r="A1397" t="str">
            <v>ON</v>
          </cell>
          <cell r="B1397" t="str">
            <v>Trong 24h</v>
          </cell>
          <cell r="D1397" t="str">
            <v>Khiếu nại về dịch vụ FTTH</v>
          </cell>
          <cell r="W1397" t="str">
            <v>Đã đóng</v>
          </cell>
          <cell r="AJ1397" t="str">
            <v>TP HCM</v>
          </cell>
          <cell r="BX1397" t="str">
            <v>AON</v>
          </cell>
        </row>
        <row r="1398">
          <cell r="A1398" t="str">
            <v>ON</v>
          </cell>
          <cell r="B1398" t="str">
            <v>Trong 24h</v>
          </cell>
          <cell r="D1398" t="str">
            <v>Khiếu nại về dịch vụ FTTH</v>
          </cell>
          <cell r="W1398" t="str">
            <v>Đã đóng</v>
          </cell>
          <cell r="AJ1398" t="str">
            <v>TP HCM</v>
          </cell>
          <cell r="BX1398" t="str">
            <v>AON</v>
          </cell>
        </row>
        <row r="1399">
          <cell r="A1399" t="str">
            <v>ON</v>
          </cell>
          <cell r="B1399" t="str">
            <v>Trong 24h</v>
          </cell>
          <cell r="D1399" t="str">
            <v>Khiếu nại về dịch vụ FTTH</v>
          </cell>
          <cell r="W1399" t="str">
            <v>Đang xử lý</v>
          </cell>
          <cell r="AJ1399" t="str">
            <v>TP HCM</v>
          </cell>
          <cell r="BX1399" t="str">
            <v>AON</v>
          </cell>
        </row>
        <row r="1400">
          <cell r="A1400" t="str">
            <v>ON</v>
          </cell>
          <cell r="B1400" t="str">
            <v>Trong 24h</v>
          </cell>
          <cell r="D1400" t="str">
            <v>Khiếu nại về dịch vụ FTTH</v>
          </cell>
          <cell r="W1400" t="str">
            <v>Đã đóng</v>
          </cell>
          <cell r="AJ1400" t="str">
            <v>Bắc Ninh</v>
          </cell>
          <cell r="BX1400" t="str">
            <v>AON</v>
          </cell>
        </row>
        <row r="1401">
          <cell r="A1401" t="str">
            <v>ON</v>
          </cell>
          <cell r="B1401" t="str">
            <v>Trong 24h</v>
          </cell>
          <cell r="D1401" t="str">
            <v>Khiếu nại về dịch vụ FTTH</v>
          </cell>
          <cell r="W1401" t="str">
            <v>Đã đóng</v>
          </cell>
          <cell r="AJ1401" t="str">
            <v>Hậu Giang</v>
          </cell>
          <cell r="BX1401" t="str">
            <v>AON</v>
          </cell>
        </row>
        <row r="1402">
          <cell r="A1402" t="str">
            <v>ON</v>
          </cell>
          <cell r="B1402" t="str">
            <v>Trong 24h</v>
          </cell>
          <cell r="D1402" t="str">
            <v>Khiếu nại về dịch vụ FTTH</v>
          </cell>
          <cell r="W1402" t="str">
            <v>Đang xử lý</v>
          </cell>
          <cell r="AJ1402" t="str">
            <v>Bình Thuận</v>
          </cell>
          <cell r="BX1402" t="str">
            <v>AON</v>
          </cell>
        </row>
        <row r="1403">
          <cell r="A1403" t="str">
            <v>ON</v>
          </cell>
          <cell r="B1403" t="str">
            <v>Trong 24h</v>
          </cell>
          <cell r="D1403" t="str">
            <v>Khiếu nại về dịch vụ FTTH</v>
          </cell>
          <cell r="W1403" t="str">
            <v>Đã đóng</v>
          </cell>
          <cell r="AJ1403" t="str">
            <v>TP HCM</v>
          </cell>
          <cell r="BX1403" t="str">
            <v>AON</v>
          </cell>
        </row>
        <row r="1404">
          <cell r="A1404" t="str">
            <v>ON</v>
          </cell>
          <cell r="B1404" t="str">
            <v>Trong 24h</v>
          </cell>
          <cell r="D1404" t="str">
            <v>Khiếu nại về dịch vụ FTTH</v>
          </cell>
          <cell r="W1404" t="str">
            <v>Đang xử lý</v>
          </cell>
          <cell r="AJ1404" t="str">
            <v>TP HCM</v>
          </cell>
          <cell r="BX1404" t="str">
            <v>AON</v>
          </cell>
        </row>
        <row r="1405">
          <cell r="A1405" t="str">
            <v>ON</v>
          </cell>
          <cell r="B1405" t="str">
            <v>Trong 24h</v>
          </cell>
          <cell r="D1405" t="str">
            <v>Khiếu nại về dịch vụ FTTH</v>
          </cell>
          <cell r="W1405" t="str">
            <v>Đang xử lý</v>
          </cell>
          <cell r="AJ1405" t="str">
            <v>TP HCM</v>
          </cell>
          <cell r="BX1405" t="str">
            <v>AON</v>
          </cell>
        </row>
        <row r="1406">
          <cell r="A1406" t="str">
            <v>ON</v>
          </cell>
          <cell r="B1406" t="str">
            <v>Trong 24h</v>
          </cell>
          <cell r="D1406" t="str">
            <v>Khiếu nại về dịch vụ FTTH</v>
          </cell>
          <cell r="W1406" t="str">
            <v>Đang xử lý</v>
          </cell>
          <cell r="AJ1406" t="str">
            <v>Hậu Giang</v>
          </cell>
          <cell r="BX1406" t="str">
            <v>AON</v>
          </cell>
        </row>
        <row r="1407">
          <cell r="A1407" t="str">
            <v>ON</v>
          </cell>
          <cell r="B1407" t="str">
            <v>Trong 24h</v>
          </cell>
          <cell r="D1407" t="str">
            <v>Khiếu nại về dịch vụ FTTH</v>
          </cell>
          <cell r="W1407" t="str">
            <v>Đã đóng</v>
          </cell>
          <cell r="AJ1407" t="str">
            <v>TP HCM</v>
          </cell>
          <cell r="BX1407" t="str">
            <v>AON</v>
          </cell>
        </row>
        <row r="1408">
          <cell r="A1408" t="str">
            <v>ON</v>
          </cell>
          <cell r="B1408" t="str">
            <v>Trong 24h</v>
          </cell>
          <cell r="D1408" t="str">
            <v>Khiếu nại về dịch vụ FTTH</v>
          </cell>
          <cell r="W1408" t="str">
            <v>Đã đóng</v>
          </cell>
          <cell r="AJ1408" t="str">
            <v>Hà Nội 2</v>
          </cell>
          <cell r="BX1408" t="str">
            <v>AON</v>
          </cell>
        </row>
        <row r="1409">
          <cell r="A1409" t="str">
            <v>ON</v>
          </cell>
          <cell r="B1409" t="str">
            <v>Trong 24h</v>
          </cell>
          <cell r="D1409" t="str">
            <v>Khiếu nại về dịch vụ FTTH</v>
          </cell>
          <cell r="W1409" t="str">
            <v>Đang xử lý</v>
          </cell>
          <cell r="AJ1409" t="str">
            <v>Bến Tre</v>
          </cell>
          <cell r="BX1409" t="str">
            <v>AON</v>
          </cell>
        </row>
        <row r="1410">
          <cell r="A1410" t="str">
            <v>ON</v>
          </cell>
          <cell r="B1410" t="str">
            <v>Trong 24h</v>
          </cell>
          <cell r="D1410" t="str">
            <v>Khiếu nại về dịch vụ FTTH</v>
          </cell>
          <cell r="W1410" t="str">
            <v>Đang xử lý</v>
          </cell>
          <cell r="AJ1410" t="str">
            <v>Cà Mau</v>
          </cell>
          <cell r="BX1410" t="str">
            <v>AON</v>
          </cell>
        </row>
        <row r="1411">
          <cell r="A1411" t="str">
            <v>ON</v>
          </cell>
          <cell r="B1411" t="str">
            <v>Trong 24h</v>
          </cell>
          <cell r="D1411" t="str">
            <v>Khiếu nại về dịch vụ FTTH</v>
          </cell>
          <cell r="W1411" t="str">
            <v>Đã đóng</v>
          </cell>
          <cell r="AJ1411" t="str">
            <v>TP HCM</v>
          </cell>
          <cell r="BX1411" t="str">
            <v>AON</v>
          </cell>
        </row>
        <row r="1412">
          <cell r="A1412" t="str">
            <v>ON</v>
          </cell>
          <cell r="B1412" t="str">
            <v>Trong 24h</v>
          </cell>
          <cell r="D1412" t="str">
            <v>Khiếu nại về dịch vụ FTTH</v>
          </cell>
          <cell r="W1412" t="str">
            <v>Đã đóng</v>
          </cell>
          <cell r="AJ1412" t="str">
            <v>Kiên Giang</v>
          </cell>
          <cell r="BX1412" t="str">
            <v>AON</v>
          </cell>
        </row>
        <row r="1413">
          <cell r="A1413" t="str">
            <v>ON</v>
          </cell>
          <cell r="B1413" t="str">
            <v>Trong 24h</v>
          </cell>
          <cell r="D1413" t="str">
            <v>Khiếu nại về dịch vụ FTTH</v>
          </cell>
          <cell r="W1413" t="str">
            <v>Đã đóng</v>
          </cell>
          <cell r="AJ1413" t="str">
            <v>TP HCM</v>
          </cell>
          <cell r="BX1413" t="str">
            <v>AON</v>
          </cell>
        </row>
        <row r="1414">
          <cell r="A1414" t="str">
            <v>ON</v>
          </cell>
          <cell r="B1414" t="str">
            <v>Trong 24h</v>
          </cell>
          <cell r="D1414" t="str">
            <v>Khiếu nại về dịch vụ FTTH</v>
          </cell>
          <cell r="W1414" t="str">
            <v>Đã đóng</v>
          </cell>
          <cell r="AJ1414" t="str">
            <v>Khánh Hoà</v>
          </cell>
          <cell r="BX1414" t="str">
            <v>AON</v>
          </cell>
        </row>
        <row r="1415">
          <cell r="A1415" t="str">
            <v>ON</v>
          </cell>
          <cell r="B1415" t="str">
            <v>Trong 24h</v>
          </cell>
          <cell r="D1415" t="str">
            <v>Khiếu nại về dịch vụ FTTH</v>
          </cell>
          <cell r="W1415" t="str">
            <v>Đã đóng</v>
          </cell>
          <cell r="AJ1415" t="str">
            <v>TP HCM</v>
          </cell>
          <cell r="BX1415" t="str">
            <v>GPON</v>
          </cell>
        </row>
        <row r="1416">
          <cell r="A1416" t="str">
            <v>ON</v>
          </cell>
          <cell r="B1416" t="str">
            <v>Trong 24h</v>
          </cell>
          <cell r="D1416" t="str">
            <v>Khiếu nại về dịch vụ FTTH</v>
          </cell>
          <cell r="W1416" t="str">
            <v>Đang xử lý</v>
          </cell>
          <cell r="AJ1416" t="str">
            <v>TP HCM</v>
          </cell>
          <cell r="BX1416" t="str">
            <v>AON</v>
          </cell>
        </row>
        <row r="1417">
          <cell r="A1417" t="str">
            <v>ON</v>
          </cell>
          <cell r="B1417" t="str">
            <v>Trong 24h</v>
          </cell>
          <cell r="D1417" t="str">
            <v>Khiếu nại về dịch vụ FTTH</v>
          </cell>
          <cell r="W1417" t="str">
            <v>Đang xử lý</v>
          </cell>
          <cell r="AJ1417" t="str">
            <v>TP HCM</v>
          </cell>
          <cell r="BX1417" t="str">
            <v>AON</v>
          </cell>
        </row>
        <row r="1418">
          <cell r="A1418" t="str">
            <v>ON</v>
          </cell>
          <cell r="B1418" t="str">
            <v>Trong 24h</v>
          </cell>
          <cell r="D1418" t="str">
            <v>Khiếu nại về dịch vụ FTTH</v>
          </cell>
          <cell r="W1418" t="str">
            <v>Đang xử lý</v>
          </cell>
          <cell r="AJ1418" t="str">
            <v>Bình Dương</v>
          </cell>
          <cell r="BX1418" t="str">
            <v>AON</v>
          </cell>
        </row>
        <row r="1419">
          <cell r="A1419" t="str">
            <v>ON</v>
          </cell>
          <cell r="B1419" t="str">
            <v>Trong 24h</v>
          </cell>
          <cell r="D1419" t="str">
            <v>Khiếu nại về dịch vụ FTTH</v>
          </cell>
          <cell r="W1419" t="str">
            <v>Đang xử lý</v>
          </cell>
          <cell r="AJ1419" t="str">
            <v>TP HCM</v>
          </cell>
          <cell r="BX1419" t="str">
            <v>AON</v>
          </cell>
        </row>
        <row r="1420">
          <cell r="A1420" t="str">
            <v>ON</v>
          </cell>
          <cell r="B1420" t="str">
            <v>Trong 24h</v>
          </cell>
          <cell r="D1420" t="str">
            <v>Khiếu nại về dịch vụ FTTH</v>
          </cell>
          <cell r="W1420" t="str">
            <v>Đã đóng</v>
          </cell>
          <cell r="AJ1420" t="str">
            <v>Quảng Ngãi</v>
          </cell>
          <cell r="BX1420" t="str">
            <v>AON</v>
          </cell>
        </row>
        <row r="1421">
          <cell r="A1421" t="str">
            <v>ON</v>
          </cell>
          <cell r="B1421" t="str">
            <v>Trong 24h</v>
          </cell>
          <cell r="D1421" t="str">
            <v>Khiếu nại về dịch vụ FTTH</v>
          </cell>
          <cell r="W1421" t="str">
            <v>Đã đóng</v>
          </cell>
          <cell r="AJ1421" t="str">
            <v xml:space="preserve">Đà Nẵng </v>
          </cell>
          <cell r="BX1421" t="str">
            <v>AON</v>
          </cell>
        </row>
        <row r="1422">
          <cell r="A1422" t="str">
            <v>ON</v>
          </cell>
          <cell r="B1422" t="str">
            <v>Trong 24h</v>
          </cell>
          <cell r="D1422" t="str">
            <v>Khiếu nại về dịch vụ FTTH</v>
          </cell>
          <cell r="W1422" t="str">
            <v>Đã đóng</v>
          </cell>
          <cell r="AJ1422" t="str">
            <v>Lâm Đồng</v>
          </cell>
          <cell r="BX1422" t="str">
            <v>AON</v>
          </cell>
        </row>
        <row r="1423">
          <cell r="A1423" t="str">
            <v>ON</v>
          </cell>
          <cell r="B1423" t="str">
            <v>Trong 24h</v>
          </cell>
          <cell r="D1423" t="str">
            <v>Khiếu nại về dịch vụ FTTH</v>
          </cell>
          <cell r="W1423" t="str">
            <v>Đang xử lý</v>
          </cell>
          <cell r="AJ1423" t="str">
            <v xml:space="preserve">Đắc Lắk </v>
          </cell>
          <cell r="BX1423" t="str">
            <v>AON</v>
          </cell>
        </row>
        <row r="1424">
          <cell r="A1424" t="str">
            <v>ON</v>
          </cell>
          <cell r="B1424" t="str">
            <v>Trong 24h</v>
          </cell>
          <cell r="D1424" t="str">
            <v>Khiếu nại về dịch vụ FTTH</v>
          </cell>
          <cell r="W1424" t="str">
            <v>Đã đóng</v>
          </cell>
          <cell r="AJ1424" t="str">
            <v>Hà Nội 1</v>
          </cell>
          <cell r="BX1424" t="str">
            <v>AON</v>
          </cell>
        </row>
        <row r="1425">
          <cell r="A1425" t="str">
            <v>ON</v>
          </cell>
          <cell r="B1425" t="str">
            <v>Trong 24h</v>
          </cell>
          <cell r="D1425" t="str">
            <v>Khiếu nại về dịch vụ FTTH</v>
          </cell>
          <cell r="W1425" t="str">
            <v>Đã đóng</v>
          </cell>
          <cell r="AJ1425" t="str">
            <v>TP HCM</v>
          </cell>
          <cell r="BX1425" t="str">
            <v>AON</v>
          </cell>
        </row>
        <row r="1426">
          <cell r="A1426" t="str">
            <v>ON</v>
          </cell>
          <cell r="B1426" t="str">
            <v>Trong 24h</v>
          </cell>
          <cell r="D1426" t="str">
            <v>Khiếu nại về dịch vụ FTTH</v>
          </cell>
          <cell r="W1426" t="str">
            <v>Đang xử lý</v>
          </cell>
          <cell r="AJ1426" t="str">
            <v>Nghệ An</v>
          </cell>
          <cell r="BX1426" t="str">
            <v>AON</v>
          </cell>
        </row>
        <row r="1427">
          <cell r="A1427" t="str">
            <v>ON</v>
          </cell>
          <cell r="B1427" t="str">
            <v>Trong 24h</v>
          </cell>
          <cell r="D1427" t="str">
            <v>Khiếu nại về dịch vụ FTTH</v>
          </cell>
          <cell r="W1427" t="str">
            <v>Đã đóng</v>
          </cell>
          <cell r="AJ1427" t="str">
            <v>Hà Nội 2</v>
          </cell>
          <cell r="BX1427" t="str">
            <v>AON</v>
          </cell>
        </row>
        <row r="1428">
          <cell r="A1428" t="str">
            <v>ON</v>
          </cell>
          <cell r="B1428" t="str">
            <v>Trong 24h</v>
          </cell>
          <cell r="D1428" t="str">
            <v>Khiếu nại về dịch vụ FTTH</v>
          </cell>
          <cell r="W1428" t="str">
            <v>Đã đóng</v>
          </cell>
          <cell r="AJ1428" t="str">
            <v>TP HCM</v>
          </cell>
          <cell r="BX1428" t="str">
            <v>AON</v>
          </cell>
        </row>
        <row r="1429">
          <cell r="A1429" t="str">
            <v>ON</v>
          </cell>
          <cell r="B1429" t="str">
            <v>Trong 24h</v>
          </cell>
          <cell r="D1429" t="str">
            <v>Khiếu nại về dịch vụ FTTH</v>
          </cell>
          <cell r="W1429" t="str">
            <v>Đã đóng</v>
          </cell>
          <cell r="AJ1429" t="str">
            <v>TP HCM</v>
          </cell>
          <cell r="BX1429" t="str">
            <v>AON</v>
          </cell>
        </row>
        <row r="1430">
          <cell r="A1430" t="str">
            <v>ON</v>
          </cell>
          <cell r="B1430" t="str">
            <v>Trong 24h</v>
          </cell>
          <cell r="D1430" t="str">
            <v>Khiếu nại về dịch vụ FTTH</v>
          </cell>
          <cell r="W1430" t="str">
            <v>Đã đóng</v>
          </cell>
          <cell r="AJ1430" t="str">
            <v>TP HCM</v>
          </cell>
          <cell r="BX1430" t="str">
            <v>AON</v>
          </cell>
        </row>
        <row r="1431">
          <cell r="A1431" t="str">
            <v>ON</v>
          </cell>
          <cell r="B1431" t="str">
            <v>Trong 24h</v>
          </cell>
          <cell r="D1431" t="str">
            <v>Khiếu nại về dịch vụ FTTH</v>
          </cell>
          <cell r="W1431" t="str">
            <v>Đang xử lý</v>
          </cell>
          <cell r="AJ1431" t="str">
            <v>Thừa Thiên Huế</v>
          </cell>
          <cell r="BX1431" t="str">
            <v>AON</v>
          </cell>
        </row>
        <row r="1432">
          <cell r="A1432" t="str">
            <v>ON</v>
          </cell>
          <cell r="B1432" t="str">
            <v>Trong 24h</v>
          </cell>
          <cell r="D1432" t="str">
            <v>Khiếu nại về dịch vụ FTTH</v>
          </cell>
          <cell r="W1432" t="str">
            <v>Đang xử lý</v>
          </cell>
          <cell r="AJ1432" t="str">
            <v xml:space="preserve">Đà Nẵng </v>
          </cell>
          <cell r="BX1432" t="str">
            <v>AON</v>
          </cell>
        </row>
        <row r="1433">
          <cell r="A1433" t="str">
            <v>ON</v>
          </cell>
          <cell r="B1433" t="str">
            <v>Trong 24h</v>
          </cell>
          <cell r="D1433" t="str">
            <v>Khiếu nại về dịch vụ FTTH</v>
          </cell>
          <cell r="W1433" t="str">
            <v>Đang xử lý</v>
          </cell>
          <cell r="AJ1433" t="str">
            <v>Lào Cai</v>
          </cell>
          <cell r="BX1433" t="str">
            <v>AON</v>
          </cell>
        </row>
        <row r="1434">
          <cell r="A1434" t="str">
            <v>ON</v>
          </cell>
          <cell r="B1434" t="str">
            <v>Trong 24h</v>
          </cell>
          <cell r="D1434" t="str">
            <v>Khiếu nại về dịch vụ FTTH</v>
          </cell>
          <cell r="W1434" t="str">
            <v>Đã đóng</v>
          </cell>
          <cell r="AJ1434" t="str">
            <v>Thái Bình</v>
          </cell>
          <cell r="BX1434" t="str">
            <v>AON</v>
          </cell>
        </row>
        <row r="1435">
          <cell r="A1435" t="str">
            <v>ON</v>
          </cell>
          <cell r="B1435" t="str">
            <v>Trong 24h</v>
          </cell>
          <cell r="D1435" t="str">
            <v>Khiếu nại về dịch vụ FTTH</v>
          </cell>
          <cell r="W1435" t="str">
            <v>Đang xử lý</v>
          </cell>
          <cell r="AJ1435" t="str">
            <v>Bạc Liêu</v>
          </cell>
          <cell r="BX1435" t="str">
            <v>AON</v>
          </cell>
        </row>
        <row r="1436">
          <cell r="A1436" t="str">
            <v>ON</v>
          </cell>
          <cell r="B1436" t="str">
            <v>Trong 24h</v>
          </cell>
          <cell r="D1436" t="str">
            <v>Khiếu nại về dịch vụ NextTV</v>
          </cell>
          <cell r="W1436" t="str">
            <v>Đang xử lý</v>
          </cell>
          <cell r="AJ1436" t="str">
            <v>Hà Nam</v>
          </cell>
          <cell r="BX1436" t="str">
            <v>AON</v>
          </cell>
        </row>
        <row r="1437">
          <cell r="A1437" t="str">
            <v>ON</v>
          </cell>
          <cell r="B1437" t="str">
            <v>Trong 24h</v>
          </cell>
          <cell r="D1437" t="str">
            <v>Khiếu nại về dịch vụ FTTH</v>
          </cell>
          <cell r="W1437" t="str">
            <v>Đã đóng</v>
          </cell>
          <cell r="AJ1437" t="str">
            <v>Nam Định</v>
          </cell>
          <cell r="BX1437" t="str">
            <v>AON</v>
          </cell>
        </row>
        <row r="1438">
          <cell r="A1438" t="str">
            <v>ON</v>
          </cell>
          <cell r="B1438" t="str">
            <v>Trong 24h</v>
          </cell>
          <cell r="D1438" t="str">
            <v>Khiếu nại về dịch vụ FTTH</v>
          </cell>
          <cell r="W1438" t="str">
            <v>Đã đóng</v>
          </cell>
          <cell r="AJ1438" t="str">
            <v>Hà Nội 1</v>
          </cell>
          <cell r="BX1438" t="str">
            <v>AON</v>
          </cell>
        </row>
        <row r="1439">
          <cell r="A1439" t="str">
            <v>ON</v>
          </cell>
          <cell r="B1439" t="str">
            <v>Trong 24h</v>
          </cell>
          <cell r="D1439" t="str">
            <v>Khiếu nại về dịch vụ FTTH</v>
          </cell>
          <cell r="W1439" t="str">
            <v>Đã đóng</v>
          </cell>
          <cell r="AJ1439" t="str">
            <v>Cần Thơ</v>
          </cell>
          <cell r="BX1439" t="str">
            <v>AON</v>
          </cell>
        </row>
        <row r="1440">
          <cell r="A1440" t="str">
            <v>ON</v>
          </cell>
          <cell r="B1440" t="str">
            <v>Trong 24h</v>
          </cell>
          <cell r="D1440" t="str">
            <v>Khiếu nại về dịch vụ FTTH</v>
          </cell>
          <cell r="W1440" t="str">
            <v>Đã đóng</v>
          </cell>
          <cell r="AJ1440" t="str">
            <v>Hậu Giang</v>
          </cell>
          <cell r="BX1440" t="str">
            <v>AON</v>
          </cell>
        </row>
        <row r="1441">
          <cell r="A1441" t="str">
            <v>ON</v>
          </cell>
          <cell r="B1441" t="str">
            <v>Trong 24h</v>
          </cell>
          <cell r="D1441" t="str">
            <v>Khiếu nại về dịch vụ FTTH</v>
          </cell>
          <cell r="W1441" t="str">
            <v>Đang xử lý</v>
          </cell>
          <cell r="AJ1441" t="str">
            <v>TP HCM</v>
          </cell>
          <cell r="BX1441" t="str">
            <v>AON</v>
          </cell>
        </row>
        <row r="1442">
          <cell r="A1442" t="str">
            <v>ON</v>
          </cell>
          <cell r="B1442" t="str">
            <v>Trong 24h</v>
          </cell>
          <cell r="D1442" t="str">
            <v>Khiếu nại về dịch vụ FTTH</v>
          </cell>
          <cell r="W1442" t="str">
            <v>Đã đóng</v>
          </cell>
          <cell r="AJ1442" t="str">
            <v>Hải Phòng</v>
          </cell>
          <cell r="BX1442" t="str">
            <v>AON</v>
          </cell>
        </row>
        <row r="1443">
          <cell r="A1443" t="str">
            <v>ON</v>
          </cell>
          <cell r="B1443" t="str">
            <v>Trong 24h</v>
          </cell>
          <cell r="D1443" t="str">
            <v>Khiếu nại về dịch vụ FTTH</v>
          </cell>
          <cell r="W1443" t="str">
            <v>Đã đóng</v>
          </cell>
          <cell r="AJ1443" t="str">
            <v>Thanh Hoá</v>
          </cell>
          <cell r="BX1443" t="str">
            <v>AON</v>
          </cell>
        </row>
        <row r="1444">
          <cell r="A1444" t="str">
            <v>ON</v>
          </cell>
          <cell r="B1444" t="str">
            <v>Trong 24h</v>
          </cell>
          <cell r="D1444" t="str">
            <v>Khiếu nại về dịch vụ FTTH</v>
          </cell>
          <cell r="W1444" t="str">
            <v>Đã đóng</v>
          </cell>
          <cell r="AJ1444" t="str">
            <v xml:space="preserve">Hà Tĩnh </v>
          </cell>
          <cell r="BX1444" t="str">
            <v>AON</v>
          </cell>
        </row>
        <row r="1445">
          <cell r="A1445" t="str">
            <v>ON</v>
          </cell>
          <cell r="B1445" t="str">
            <v>Trong 24h</v>
          </cell>
          <cell r="D1445" t="str">
            <v>Khiếu nại về dịch vụ FTTH</v>
          </cell>
          <cell r="W1445" t="str">
            <v>Đã đóng</v>
          </cell>
          <cell r="AJ1445" t="str">
            <v>Thanh Hoá</v>
          </cell>
          <cell r="BX1445" t="str">
            <v>AON</v>
          </cell>
        </row>
        <row r="1446">
          <cell r="A1446" t="str">
            <v>ON</v>
          </cell>
          <cell r="B1446" t="str">
            <v>Trong 24h</v>
          </cell>
          <cell r="D1446" t="str">
            <v>Khiếu nại về dịch vụ FTTH</v>
          </cell>
          <cell r="W1446" t="str">
            <v>Đã đóng</v>
          </cell>
          <cell r="AJ1446" t="str">
            <v>Hậu Giang</v>
          </cell>
          <cell r="BX1446" t="str">
            <v>AON</v>
          </cell>
        </row>
        <row r="1447">
          <cell r="A1447" t="str">
            <v>ON</v>
          </cell>
          <cell r="B1447" t="str">
            <v>Trong 24h</v>
          </cell>
          <cell r="D1447" t="str">
            <v>Khiếu nại về dịch vụ FTTH</v>
          </cell>
          <cell r="W1447" t="str">
            <v>Đang xử lý</v>
          </cell>
          <cell r="AJ1447" t="str">
            <v>TP HCM</v>
          </cell>
          <cell r="BX1447" t="str">
            <v>AON</v>
          </cell>
        </row>
        <row r="1448">
          <cell r="A1448" t="str">
            <v>ON</v>
          </cell>
          <cell r="B1448" t="str">
            <v>Trong 24h</v>
          </cell>
          <cell r="D1448" t="str">
            <v>Khiếu nại về dịch vụ FTTH</v>
          </cell>
          <cell r="W1448" t="str">
            <v>Đã đóng</v>
          </cell>
          <cell r="AJ1448" t="str">
            <v>Bình Dương</v>
          </cell>
          <cell r="BX1448" t="str">
            <v>AON</v>
          </cell>
        </row>
        <row r="1449">
          <cell r="A1449" t="str">
            <v>ON</v>
          </cell>
          <cell r="B1449" t="str">
            <v>Trong 24h</v>
          </cell>
          <cell r="D1449" t="str">
            <v>Khiếu nại về dịch vụ FTTH</v>
          </cell>
          <cell r="W1449" t="str">
            <v>Đã đóng</v>
          </cell>
          <cell r="AJ1449" t="str">
            <v>Quảng Trị</v>
          </cell>
          <cell r="BX1449" t="str">
            <v>AON</v>
          </cell>
        </row>
        <row r="1450">
          <cell r="A1450" t="str">
            <v>ON</v>
          </cell>
          <cell r="B1450" t="str">
            <v>Trong 24h</v>
          </cell>
          <cell r="D1450" t="str">
            <v>Khiếu nại về dịch vụ FTTH</v>
          </cell>
          <cell r="W1450" t="str">
            <v>Đã đóng</v>
          </cell>
          <cell r="AJ1450" t="str">
            <v>TP HCM</v>
          </cell>
          <cell r="BX1450" t="str">
            <v>AON</v>
          </cell>
        </row>
        <row r="1451">
          <cell r="A1451" t="str">
            <v>ON</v>
          </cell>
          <cell r="B1451" t="str">
            <v>Trong 24h</v>
          </cell>
          <cell r="D1451" t="str">
            <v>Khiếu nại về dịch vụ FTTH</v>
          </cell>
          <cell r="W1451" t="str">
            <v>Đang xử lý</v>
          </cell>
          <cell r="AJ1451" t="str">
            <v>Bắc Giang</v>
          </cell>
          <cell r="BX1451" t="str">
            <v>AON</v>
          </cell>
        </row>
        <row r="1452">
          <cell r="A1452" t="str">
            <v>ON</v>
          </cell>
          <cell r="B1452" t="str">
            <v>Trong 24h</v>
          </cell>
          <cell r="D1452" t="str">
            <v>Khiếu nại về dịch vụ FTTH</v>
          </cell>
          <cell r="W1452" t="str">
            <v>Đã đóng</v>
          </cell>
          <cell r="AJ1452" t="str">
            <v>Bình Thuận</v>
          </cell>
          <cell r="BX1452" t="str">
            <v>AON</v>
          </cell>
        </row>
        <row r="1453">
          <cell r="A1453" t="str">
            <v>ON</v>
          </cell>
          <cell r="B1453" t="str">
            <v>Trong 24h</v>
          </cell>
          <cell r="D1453" t="str">
            <v>Khiếu nại về dịch vụ FTTH</v>
          </cell>
          <cell r="W1453" t="str">
            <v>Đã đóng</v>
          </cell>
          <cell r="AJ1453" t="str">
            <v>Tây Ninh</v>
          </cell>
          <cell r="BX1453" t="str">
            <v>AON</v>
          </cell>
        </row>
        <row r="1454">
          <cell r="A1454" t="str">
            <v>ON</v>
          </cell>
          <cell r="B1454" t="str">
            <v>Trong 24h</v>
          </cell>
          <cell r="D1454" t="str">
            <v>Khiếu nại về dịch vụ FTTH</v>
          </cell>
          <cell r="W1454" t="str">
            <v>Đang xử lý</v>
          </cell>
          <cell r="AJ1454" t="str">
            <v>Bắc Giang</v>
          </cell>
          <cell r="BX1454" t="str">
            <v>AON</v>
          </cell>
        </row>
        <row r="1455">
          <cell r="A1455" t="str">
            <v>ON</v>
          </cell>
          <cell r="B1455" t="str">
            <v>Trong 24h</v>
          </cell>
          <cell r="D1455" t="str">
            <v>Khiếu nại về dịch vụ NextTV</v>
          </cell>
          <cell r="W1455" t="str">
            <v>Đã đóng</v>
          </cell>
          <cell r="AJ1455" t="str">
            <v>TP HCM</v>
          </cell>
          <cell r="BX1455" t="str">
            <v>AON</v>
          </cell>
        </row>
        <row r="1456">
          <cell r="A1456" t="str">
            <v>ON</v>
          </cell>
          <cell r="B1456" t="str">
            <v>Trong 24h</v>
          </cell>
          <cell r="D1456" t="str">
            <v>Khiếu nại về dịch vụ FTTH</v>
          </cell>
          <cell r="W1456" t="str">
            <v>Đang xử lý</v>
          </cell>
          <cell r="AJ1456" t="str">
            <v>Lâm Đồng</v>
          </cell>
          <cell r="BX1456" t="str">
            <v>AON</v>
          </cell>
        </row>
        <row r="1457">
          <cell r="A1457" t="str">
            <v>ON</v>
          </cell>
          <cell r="B1457" t="str">
            <v>Trong 24h</v>
          </cell>
          <cell r="D1457" t="str">
            <v>Khiếu nại về dịch vụ FTTH</v>
          </cell>
          <cell r="W1457" t="str">
            <v>Đã đóng</v>
          </cell>
          <cell r="AJ1457" t="str">
            <v>Phú Thọ</v>
          </cell>
          <cell r="BX1457" t="str">
            <v>AON</v>
          </cell>
        </row>
        <row r="1458">
          <cell r="A1458" t="str">
            <v>ON</v>
          </cell>
          <cell r="B1458" t="str">
            <v>Trong 24h</v>
          </cell>
          <cell r="D1458" t="str">
            <v>Khiếu nại về dịch vụ NextTV</v>
          </cell>
          <cell r="W1458" t="str">
            <v>Đang xử lý</v>
          </cell>
          <cell r="AJ1458" t="str">
            <v>TP HCM</v>
          </cell>
          <cell r="BX1458" t="str">
            <v>GPON</v>
          </cell>
        </row>
        <row r="1459">
          <cell r="A1459" t="str">
            <v>ON</v>
          </cell>
          <cell r="B1459" t="str">
            <v>Trong 24h</v>
          </cell>
          <cell r="D1459" t="str">
            <v>Khiếu nại về dịch vụ FTTH</v>
          </cell>
          <cell r="W1459" t="str">
            <v>Đã đóng</v>
          </cell>
          <cell r="AJ1459" t="str">
            <v>Hà Nội 1</v>
          </cell>
          <cell r="BX1459" t="str">
            <v>AON</v>
          </cell>
        </row>
        <row r="1460">
          <cell r="A1460" t="str">
            <v>ON</v>
          </cell>
          <cell r="B1460" t="str">
            <v>Trong 24h</v>
          </cell>
          <cell r="D1460" t="str">
            <v>Khiếu nại về dịch vụ FTTH</v>
          </cell>
          <cell r="W1460" t="str">
            <v>Đang xử lý</v>
          </cell>
          <cell r="AJ1460" t="str">
            <v>Hà Nội 2</v>
          </cell>
          <cell r="BX1460" t="str">
            <v>AON</v>
          </cell>
        </row>
        <row r="1461">
          <cell r="A1461" t="str">
            <v>ON</v>
          </cell>
          <cell r="B1461" t="str">
            <v>Trong 24h</v>
          </cell>
          <cell r="D1461" t="str">
            <v>Khiếu nại về dịch vụ FTTH</v>
          </cell>
          <cell r="W1461" t="str">
            <v>Đã đóng</v>
          </cell>
          <cell r="AJ1461" t="str">
            <v>Hậu Giang</v>
          </cell>
          <cell r="BX1461" t="str">
            <v>AON</v>
          </cell>
        </row>
        <row r="1462">
          <cell r="A1462" t="str">
            <v>ON</v>
          </cell>
          <cell r="B1462" t="str">
            <v>Trong 24h</v>
          </cell>
          <cell r="D1462" t="str">
            <v>Khiếu nại về dịch vụ FTTH</v>
          </cell>
          <cell r="W1462" t="str">
            <v>Đang xử lý</v>
          </cell>
          <cell r="AJ1462" t="str">
            <v xml:space="preserve">Đắc Lắk </v>
          </cell>
          <cell r="BX1462" t="str">
            <v>AON</v>
          </cell>
        </row>
        <row r="1463">
          <cell r="A1463" t="str">
            <v>ON</v>
          </cell>
          <cell r="B1463" t="str">
            <v>Trong 24h</v>
          </cell>
          <cell r="D1463" t="str">
            <v>Khiếu nại về dịch vụ FTTH</v>
          </cell>
          <cell r="W1463" t="str">
            <v>Đã đóng</v>
          </cell>
          <cell r="AJ1463" t="str">
            <v>TP HCM</v>
          </cell>
          <cell r="BX1463" t="str">
            <v>AON</v>
          </cell>
        </row>
        <row r="1464">
          <cell r="A1464" t="str">
            <v>ON</v>
          </cell>
          <cell r="B1464" t="str">
            <v>Trong 24h</v>
          </cell>
          <cell r="D1464" t="str">
            <v>Khiếu nại về dịch vụ FTTH</v>
          </cell>
          <cell r="W1464" t="str">
            <v>Đã đóng</v>
          </cell>
          <cell r="AJ1464" t="str">
            <v>Hà Nội 1</v>
          </cell>
          <cell r="BX1464" t="str">
            <v>AON</v>
          </cell>
        </row>
        <row r="1465">
          <cell r="A1465" t="str">
            <v>ON</v>
          </cell>
          <cell r="B1465" t="str">
            <v>Trong 24h</v>
          </cell>
          <cell r="D1465" t="str">
            <v>Khiếu nại về dịch vụ FTTH</v>
          </cell>
          <cell r="W1465" t="str">
            <v>Đang xử lý</v>
          </cell>
          <cell r="AJ1465" t="str">
            <v xml:space="preserve">Đồng Nai </v>
          </cell>
          <cell r="BX1465" t="str">
            <v>AON</v>
          </cell>
        </row>
        <row r="1466">
          <cell r="A1466" t="str">
            <v>ON</v>
          </cell>
          <cell r="B1466" t="str">
            <v>Trong 24h</v>
          </cell>
          <cell r="D1466" t="str">
            <v>Khiếu nại về dịch vụ FTTH</v>
          </cell>
          <cell r="W1466" t="str">
            <v>Đã đóng</v>
          </cell>
          <cell r="AJ1466" t="str">
            <v>Thái Bình</v>
          </cell>
          <cell r="BX1466" t="str">
            <v>AON</v>
          </cell>
        </row>
        <row r="1467">
          <cell r="A1467" t="str">
            <v>ON</v>
          </cell>
          <cell r="B1467" t="str">
            <v>Trong 24h</v>
          </cell>
          <cell r="D1467" t="str">
            <v>Khiếu nại về dịch vụ FTTH</v>
          </cell>
          <cell r="W1467" t="str">
            <v>Đã đóng</v>
          </cell>
          <cell r="AJ1467" t="str">
            <v>TP HCM</v>
          </cell>
          <cell r="BX1467" t="str">
            <v>AON</v>
          </cell>
        </row>
        <row r="1468">
          <cell r="A1468" t="str">
            <v>ON</v>
          </cell>
          <cell r="B1468" t="str">
            <v>Trong 24h</v>
          </cell>
          <cell r="D1468" t="str">
            <v>Khiếu nại về dịch vụ FTTH</v>
          </cell>
          <cell r="W1468" t="str">
            <v>Đã đóng</v>
          </cell>
          <cell r="AJ1468" t="str">
            <v xml:space="preserve">Hà Tĩnh </v>
          </cell>
          <cell r="BX1468" t="str">
            <v>AON</v>
          </cell>
        </row>
        <row r="1469">
          <cell r="A1469" t="str">
            <v>ON</v>
          </cell>
          <cell r="B1469" t="str">
            <v>Trong 24h</v>
          </cell>
          <cell r="D1469" t="str">
            <v>Khiếu nại về dịch vụ FTTH</v>
          </cell>
          <cell r="W1469" t="str">
            <v>Đang xử lý</v>
          </cell>
          <cell r="AJ1469" t="str">
            <v>Hải Phòng</v>
          </cell>
          <cell r="BX1469" t="str">
            <v>AON</v>
          </cell>
        </row>
        <row r="1470">
          <cell r="A1470" t="str">
            <v>ON</v>
          </cell>
          <cell r="B1470" t="str">
            <v>Trong 24h</v>
          </cell>
          <cell r="D1470" t="str">
            <v>Khiếu nại về dịch vụ FTTH</v>
          </cell>
          <cell r="W1470" t="str">
            <v>Đang xử lý</v>
          </cell>
          <cell r="AJ1470" t="str">
            <v>Thừa Thiên Huế</v>
          </cell>
          <cell r="BX1470" t="str">
            <v>AON</v>
          </cell>
        </row>
        <row r="1471">
          <cell r="A1471" t="str">
            <v>ON</v>
          </cell>
          <cell r="B1471" t="str">
            <v>Trong 24h</v>
          </cell>
          <cell r="D1471" t="str">
            <v>Khiếu nại về dịch vụ FTTH</v>
          </cell>
          <cell r="W1471" t="str">
            <v>Đang xử lý</v>
          </cell>
          <cell r="AJ1471" t="str">
            <v xml:space="preserve">Đắc Lắk </v>
          </cell>
          <cell r="BX1471" t="str">
            <v>AON</v>
          </cell>
        </row>
        <row r="1472">
          <cell r="A1472" t="str">
            <v>ON</v>
          </cell>
          <cell r="B1472" t="str">
            <v>Trong 24h</v>
          </cell>
          <cell r="D1472" t="str">
            <v>Khiếu nại về dịch vụ FTTH</v>
          </cell>
          <cell r="W1472" t="str">
            <v>Đang xử lý</v>
          </cell>
          <cell r="AJ1472" t="str">
            <v>Hải Phòng</v>
          </cell>
          <cell r="BX1472" t="str">
            <v>AON</v>
          </cell>
        </row>
        <row r="1473">
          <cell r="A1473" t="str">
            <v>ON</v>
          </cell>
          <cell r="B1473" t="str">
            <v>Trong 24h</v>
          </cell>
          <cell r="D1473" t="str">
            <v>Khiếu nại về dịch vụ FTTH</v>
          </cell>
          <cell r="W1473" t="str">
            <v>Đã đóng</v>
          </cell>
          <cell r="AJ1473" t="str">
            <v>Cần Thơ</v>
          </cell>
          <cell r="BX1473" t="str">
            <v>AON</v>
          </cell>
        </row>
        <row r="1474">
          <cell r="A1474" t="str">
            <v>ON</v>
          </cell>
          <cell r="B1474" t="str">
            <v>Trong 24h</v>
          </cell>
          <cell r="D1474" t="str">
            <v>Khiếu nại về dịch vụ FTTH</v>
          </cell>
          <cell r="W1474" t="str">
            <v>Đã đóng</v>
          </cell>
          <cell r="AJ1474" t="str">
            <v>Gia Lai</v>
          </cell>
          <cell r="BX1474" t="str">
            <v>AON</v>
          </cell>
        </row>
        <row r="1475">
          <cell r="A1475" t="str">
            <v>ON</v>
          </cell>
          <cell r="B1475" t="str">
            <v>Trong 24h</v>
          </cell>
          <cell r="D1475" t="str">
            <v>Khiếu nại về dịch vụ FTTH</v>
          </cell>
          <cell r="W1475" t="str">
            <v>Đang xử lý</v>
          </cell>
          <cell r="AJ1475" t="str">
            <v>Hà Nội 1</v>
          </cell>
          <cell r="BX1475" t="str">
            <v>AON</v>
          </cell>
        </row>
        <row r="1476">
          <cell r="A1476" t="str">
            <v>ON</v>
          </cell>
          <cell r="B1476" t="str">
            <v>Trong 24h</v>
          </cell>
          <cell r="D1476" t="str">
            <v>Khiếu nại về dịch vụ FTTH</v>
          </cell>
          <cell r="W1476" t="str">
            <v>Đã đóng</v>
          </cell>
          <cell r="AJ1476" t="str">
            <v>Lâm Đồng</v>
          </cell>
          <cell r="BX1476" t="str">
            <v>AON</v>
          </cell>
        </row>
        <row r="1477">
          <cell r="A1477" t="str">
            <v>ON</v>
          </cell>
          <cell r="B1477" t="str">
            <v>Trong 24h</v>
          </cell>
          <cell r="D1477" t="str">
            <v>Khiếu nại về dịch vụ FTTH</v>
          </cell>
          <cell r="W1477" t="str">
            <v>Đã đóng</v>
          </cell>
          <cell r="AJ1477" t="str">
            <v>TP HCM</v>
          </cell>
          <cell r="BX1477" t="str">
            <v>AON</v>
          </cell>
        </row>
        <row r="1478">
          <cell r="A1478" t="str">
            <v>ON</v>
          </cell>
          <cell r="B1478" t="str">
            <v>Trong 24h</v>
          </cell>
          <cell r="D1478" t="str">
            <v>Khiếu nại về dịch vụ FTTH</v>
          </cell>
          <cell r="W1478" t="str">
            <v>Đã đóng</v>
          </cell>
          <cell r="AJ1478" t="str">
            <v>TP HCM</v>
          </cell>
          <cell r="BX1478" t="str">
            <v>AON</v>
          </cell>
        </row>
        <row r="1479">
          <cell r="A1479" t="str">
            <v>ON</v>
          </cell>
          <cell r="B1479" t="str">
            <v>Trong 24h</v>
          </cell>
          <cell r="D1479" t="str">
            <v>Khiếu nại về dịch vụ FTTH</v>
          </cell>
          <cell r="W1479" t="str">
            <v>Đã đóng</v>
          </cell>
          <cell r="AJ1479" t="str">
            <v>Hà Nội 1</v>
          </cell>
          <cell r="BX1479" t="str">
            <v>AON</v>
          </cell>
        </row>
        <row r="1480">
          <cell r="A1480" t="str">
            <v>ON</v>
          </cell>
          <cell r="B1480" t="str">
            <v>Trong 24h</v>
          </cell>
          <cell r="D1480" t="str">
            <v>Khiếu nại về dịch vụ NextTV</v>
          </cell>
          <cell r="W1480" t="str">
            <v>Đã đóng</v>
          </cell>
          <cell r="AJ1480" t="str">
            <v>TP HCM</v>
          </cell>
          <cell r="BX1480" t="str">
            <v>GPON</v>
          </cell>
        </row>
        <row r="1481">
          <cell r="A1481" t="str">
            <v>ON</v>
          </cell>
          <cell r="B1481" t="str">
            <v>Trong 24h</v>
          </cell>
          <cell r="D1481" t="str">
            <v>Khiếu nại về dịch vụ FTTH</v>
          </cell>
          <cell r="W1481" t="str">
            <v>Đang xử lý</v>
          </cell>
          <cell r="AJ1481" t="str">
            <v>TP HCM</v>
          </cell>
          <cell r="BX1481" t="str">
            <v>AON</v>
          </cell>
        </row>
        <row r="1482">
          <cell r="A1482" t="str">
            <v>ON</v>
          </cell>
          <cell r="B1482" t="str">
            <v>Trong 24h</v>
          </cell>
          <cell r="D1482" t="str">
            <v>Khiếu nại về dịch vụ FTTH</v>
          </cell>
          <cell r="W1482" t="str">
            <v>Đã đóng</v>
          </cell>
          <cell r="AJ1482" t="str">
            <v>Quảng Ninh</v>
          </cell>
          <cell r="BX1482" t="str">
            <v>AON</v>
          </cell>
        </row>
        <row r="1483">
          <cell r="A1483" t="str">
            <v>ON</v>
          </cell>
          <cell r="B1483" t="str">
            <v>Trong 24h</v>
          </cell>
          <cell r="D1483" t="str">
            <v>Khiếu nại về dịch vụ FTTH</v>
          </cell>
          <cell r="W1483" t="str">
            <v>Đang xử lý</v>
          </cell>
          <cell r="AJ1483" t="str">
            <v>Bình Định</v>
          </cell>
          <cell r="BX1483" t="str">
            <v>AON</v>
          </cell>
        </row>
        <row r="1484">
          <cell r="A1484" t="str">
            <v>ON</v>
          </cell>
          <cell r="B1484" t="str">
            <v>Trong 24h</v>
          </cell>
          <cell r="D1484" t="str">
            <v>Khiếu nại về dịch vụ FTTH</v>
          </cell>
          <cell r="W1484" t="str">
            <v>Đang xử lý</v>
          </cell>
          <cell r="AJ1484" t="str">
            <v>Cần Thơ</v>
          </cell>
          <cell r="BX1484" t="str">
            <v>AON</v>
          </cell>
        </row>
        <row r="1485">
          <cell r="A1485" t="str">
            <v>ON</v>
          </cell>
          <cell r="B1485" t="str">
            <v>Trong 24h</v>
          </cell>
          <cell r="D1485" t="str">
            <v>Khiếu nại về dịch vụ FTTH</v>
          </cell>
          <cell r="W1485" t="str">
            <v>Đã đóng</v>
          </cell>
          <cell r="AJ1485" t="str">
            <v>TP HCM</v>
          </cell>
          <cell r="BX1485" t="str">
            <v>AON</v>
          </cell>
        </row>
        <row r="1486">
          <cell r="A1486" t="str">
            <v>ON</v>
          </cell>
          <cell r="B1486" t="str">
            <v>Trong 24h</v>
          </cell>
          <cell r="D1486" t="str">
            <v>Khiếu nại về dịch vụ FTTH</v>
          </cell>
          <cell r="W1486" t="str">
            <v>Đang xử lý</v>
          </cell>
          <cell r="AJ1486" t="str">
            <v>Thừa Thiên Huế</v>
          </cell>
          <cell r="BX1486" t="str">
            <v>AON</v>
          </cell>
        </row>
        <row r="1487">
          <cell r="A1487" t="str">
            <v>ON</v>
          </cell>
          <cell r="B1487" t="str">
            <v>Trong 24h</v>
          </cell>
          <cell r="D1487" t="str">
            <v>Khiếu nại về dịch vụ FTTH</v>
          </cell>
          <cell r="W1487" t="str">
            <v>Đã đóng</v>
          </cell>
          <cell r="AJ1487" t="str">
            <v>TP HCM</v>
          </cell>
          <cell r="BX1487" t="str">
            <v>AON</v>
          </cell>
        </row>
        <row r="1488">
          <cell r="A1488" t="str">
            <v>ON</v>
          </cell>
          <cell r="B1488" t="str">
            <v>Trong 24h</v>
          </cell>
          <cell r="D1488" t="str">
            <v>Khiếu nại về dịch vụ FTTH</v>
          </cell>
          <cell r="W1488" t="str">
            <v>Đã đóng</v>
          </cell>
          <cell r="AJ1488" t="str">
            <v>Cần Thơ</v>
          </cell>
          <cell r="BX1488" t="str">
            <v>AON</v>
          </cell>
        </row>
        <row r="1489">
          <cell r="A1489" t="str">
            <v>ON</v>
          </cell>
          <cell r="B1489" t="str">
            <v>Trong 24h</v>
          </cell>
          <cell r="D1489" t="str">
            <v>Khiếu nại về dịch vụ FTTH</v>
          </cell>
          <cell r="W1489" t="str">
            <v>Đang xử lý</v>
          </cell>
          <cell r="AJ1489" t="str">
            <v>TP HCM</v>
          </cell>
          <cell r="BX1489" t="str">
            <v>AON</v>
          </cell>
        </row>
        <row r="1490">
          <cell r="A1490" t="str">
            <v>ON</v>
          </cell>
          <cell r="B1490" t="str">
            <v>Trong 24h</v>
          </cell>
          <cell r="D1490" t="str">
            <v>Khiếu nại về dịch vụ FTTH</v>
          </cell>
          <cell r="W1490" t="str">
            <v>Đã đóng</v>
          </cell>
          <cell r="AJ1490" t="str">
            <v>Quảng Ninh</v>
          </cell>
          <cell r="BX1490" t="str">
            <v>AON</v>
          </cell>
        </row>
        <row r="1491">
          <cell r="A1491" t="str">
            <v>ON</v>
          </cell>
          <cell r="B1491" t="str">
            <v>Trong 24h</v>
          </cell>
          <cell r="D1491" t="str">
            <v>Khiếu nại về dịch vụ FTTH</v>
          </cell>
          <cell r="W1491" t="str">
            <v>Đã đóng</v>
          </cell>
          <cell r="AJ1491" t="str">
            <v>TP HCM</v>
          </cell>
          <cell r="BX1491" t="str">
            <v>GPON</v>
          </cell>
        </row>
        <row r="1492">
          <cell r="A1492" t="str">
            <v>ON</v>
          </cell>
          <cell r="B1492" t="str">
            <v>Trong 24h</v>
          </cell>
          <cell r="D1492" t="str">
            <v>Khiếu nại về dịch vụ FTTH</v>
          </cell>
          <cell r="W1492" t="str">
            <v>Đã đóng</v>
          </cell>
          <cell r="AJ1492" t="str">
            <v>Hoà Bình</v>
          </cell>
          <cell r="BX1492" t="str">
            <v>AON</v>
          </cell>
        </row>
        <row r="1493">
          <cell r="A1493" t="str">
            <v>ON</v>
          </cell>
          <cell r="B1493" t="str">
            <v>Trong 24h</v>
          </cell>
          <cell r="D1493" t="str">
            <v>Khiếu nại về dịch vụ FTTH</v>
          </cell>
          <cell r="W1493" t="str">
            <v>Đang xử lý</v>
          </cell>
          <cell r="AJ1493" t="str">
            <v xml:space="preserve">Quảng Nam </v>
          </cell>
          <cell r="BX1493" t="str">
            <v>AON</v>
          </cell>
        </row>
        <row r="1494">
          <cell r="A1494" t="str">
            <v>ON</v>
          </cell>
          <cell r="B1494" t="str">
            <v>Trong 24h</v>
          </cell>
          <cell r="D1494" t="str">
            <v>Khiếu nại về dịch vụ FTTH</v>
          </cell>
          <cell r="W1494" t="str">
            <v>Đang xử lý</v>
          </cell>
          <cell r="AJ1494" t="str">
            <v>Quảng Bình</v>
          </cell>
          <cell r="BX1494" t="str">
            <v>AON</v>
          </cell>
        </row>
        <row r="1495">
          <cell r="A1495" t="str">
            <v>ON</v>
          </cell>
          <cell r="B1495" t="str">
            <v>Trong 24h</v>
          </cell>
          <cell r="D1495" t="str">
            <v>Khiếu nại về dịch vụ FTTH</v>
          </cell>
          <cell r="W1495" t="str">
            <v>Đã đóng</v>
          </cell>
          <cell r="AJ1495" t="str">
            <v>TP HCM</v>
          </cell>
          <cell r="BX1495" t="str">
            <v>AON</v>
          </cell>
        </row>
        <row r="1496">
          <cell r="A1496" t="str">
            <v>ON</v>
          </cell>
          <cell r="B1496" t="str">
            <v>Trong 24h</v>
          </cell>
          <cell r="D1496" t="str">
            <v>Khiếu nại về dịch vụ FTTH</v>
          </cell>
          <cell r="W1496" t="str">
            <v>Đã đóng</v>
          </cell>
          <cell r="AJ1496" t="str">
            <v>Hải Dương</v>
          </cell>
          <cell r="BX1496" t="str">
            <v>AON</v>
          </cell>
        </row>
        <row r="1497">
          <cell r="A1497" t="str">
            <v>ON</v>
          </cell>
          <cell r="B1497" t="str">
            <v>Trong 24h</v>
          </cell>
          <cell r="D1497" t="str">
            <v>Khiếu nại về dịch vụ FTTH</v>
          </cell>
          <cell r="W1497" t="str">
            <v>Đang xử lý</v>
          </cell>
          <cell r="AJ1497" t="str">
            <v>Bắc Ninh</v>
          </cell>
          <cell r="BX1497" t="str">
            <v>AON</v>
          </cell>
        </row>
        <row r="1498">
          <cell r="A1498" t="str">
            <v>ON</v>
          </cell>
          <cell r="B1498" t="str">
            <v>Trong 24h</v>
          </cell>
          <cell r="D1498" t="str">
            <v>Khiếu nại về dịch vụ FTTH</v>
          </cell>
          <cell r="W1498" t="str">
            <v>Đã đóng</v>
          </cell>
          <cell r="AJ1498" t="str">
            <v>TP HCM</v>
          </cell>
          <cell r="BX1498" t="str">
            <v>AON</v>
          </cell>
        </row>
        <row r="1499">
          <cell r="A1499" t="str">
            <v>ON</v>
          </cell>
          <cell r="B1499" t="str">
            <v>Trong 24h</v>
          </cell>
          <cell r="D1499" t="str">
            <v>Khiếu nại về dịch vụ FTTH</v>
          </cell>
          <cell r="W1499" t="str">
            <v>Đã đóng</v>
          </cell>
          <cell r="AJ1499" t="str">
            <v>Kiên Giang</v>
          </cell>
          <cell r="BX1499" t="str">
            <v>AON</v>
          </cell>
        </row>
        <row r="1500">
          <cell r="A1500" t="str">
            <v>ON</v>
          </cell>
          <cell r="B1500" t="str">
            <v>Trong 24h</v>
          </cell>
          <cell r="D1500" t="str">
            <v>Khiếu nại về dịch vụ FTTH</v>
          </cell>
          <cell r="W1500" t="str">
            <v>Đang xử lý</v>
          </cell>
          <cell r="AJ1500" t="str">
            <v>Bến Tre</v>
          </cell>
          <cell r="BX1500" t="str">
            <v>AON</v>
          </cell>
        </row>
        <row r="1501">
          <cell r="A1501" t="str">
            <v>ON</v>
          </cell>
          <cell r="B1501" t="str">
            <v>Trong 24h</v>
          </cell>
          <cell r="D1501" t="str">
            <v>Khiếu nại về dịch vụ FTTH</v>
          </cell>
          <cell r="W1501" t="str">
            <v>Đã đóng</v>
          </cell>
          <cell r="AJ1501" t="str">
            <v>TP HCM</v>
          </cell>
          <cell r="BX1501" t="str">
            <v>GPON</v>
          </cell>
        </row>
        <row r="1502">
          <cell r="A1502" t="str">
            <v>ON</v>
          </cell>
          <cell r="B1502" t="str">
            <v>Trong 24h</v>
          </cell>
          <cell r="D1502" t="str">
            <v>Khiếu nại về dịch vụ FTTH</v>
          </cell>
          <cell r="W1502" t="str">
            <v>Đang xử lý</v>
          </cell>
          <cell r="AJ1502" t="str">
            <v>Cà Mau</v>
          </cell>
          <cell r="BX1502" t="str">
            <v>AON</v>
          </cell>
        </row>
        <row r="1503">
          <cell r="A1503" t="str">
            <v>ON</v>
          </cell>
          <cell r="B1503" t="str">
            <v>Trong 24h</v>
          </cell>
          <cell r="D1503" t="str">
            <v>Khiếu nại về dịch vụ FTTH</v>
          </cell>
          <cell r="W1503" t="str">
            <v>Đang xử lý</v>
          </cell>
          <cell r="AJ1503" t="str">
            <v>TP HCM</v>
          </cell>
          <cell r="BX1503" t="str">
            <v>AON</v>
          </cell>
        </row>
        <row r="1504">
          <cell r="A1504" t="str">
            <v>ON</v>
          </cell>
          <cell r="B1504" t="str">
            <v>Trong 24h</v>
          </cell>
          <cell r="D1504" t="str">
            <v>Khiếu nại về dịch vụ FTTH</v>
          </cell>
          <cell r="W1504" t="str">
            <v>Đã đóng</v>
          </cell>
          <cell r="AJ1504" t="str">
            <v>TP HCM</v>
          </cell>
          <cell r="BX1504" t="str">
            <v>AON</v>
          </cell>
        </row>
        <row r="1505">
          <cell r="A1505" t="str">
            <v>ON</v>
          </cell>
          <cell r="B1505" t="str">
            <v>Trong 24h</v>
          </cell>
          <cell r="D1505" t="str">
            <v>Khiếu nại về dịch vụ FTTH</v>
          </cell>
          <cell r="W1505" t="str">
            <v>Đã đóng</v>
          </cell>
          <cell r="AJ1505" t="str">
            <v>Lâm Đồng</v>
          </cell>
          <cell r="BX1505" t="str">
            <v>AON</v>
          </cell>
        </row>
        <row r="1506">
          <cell r="A1506" t="str">
            <v>ON</v>
          </cell>
          <cell r="B1506" t="str">
            <v>Trong 24h</v>
          </cell>
          <cell r="D1506" t="str">
            <v>Khiếu nại về dịch vụ FTTH</v>
          </cell>
          <cell r="W1506" t="str">
            <v>Đã đóng</v>
          </cell>
          <cell r="AJ1506" t="str">
            <v>Vĩnh Phúc</v>
          </cell>
          <cell r="BX1506" t="str">
            <v>AON</v>
          </cell>
        </row>
        <row r="1507">
          <cell r="A1507" t="str">
            <v>ON</v>
          </cell>
          <cell r="B1507" t="str">
            <v>Trong 24h</v>
          </cell>
          <cell r="D1507" t="str">
            <v>Khiếu nại về dịch vụ FTTH</v>
          </cell>
          <cell r="W1507" t="str">
            <v>Đang xử lý</v>
          </cell>
          <cell r="AJ1507" t="str">
            <v xml:space="preserve">Đồng Nai </v>
          </cell>
          <cell r="BX1507" t="str">
            <v>AON</v>
          </cell>
        </row>
        <row r="1508">
          <cell r="A1508" t="str">
            <v>ON</v>
          </cell>
          <cell r="B1508" t="str">
            <v>Trong 24h</v>
          </cell>
          <cell r="D1508" t="str">
            <v>Khiếu nại về dịch vụ FTTH</v>
          </cell>
          <cell r="W1508" t="str">
            <v>Đã đóng</v>
          </cell>
          <cell r="AJ1508" t="str">
            <v>Cao Bằng</v>
          </cell>
          <cell r="BX1508" t="str">
            <v>AON</v>
          </cell>
        </row>
        <row r="1509">
          <cell r="A1509" t="str">
            <v>ON</v>
          </cell>
          <cell r="B1509" t="str">
            <v>Trong 24h</v>
          </cell>
          <cell r="D1509" t="str">
            <v>Khiếu nại về dịch vụ FTTH</v>
          </cell>
          <cell r="W1509" t="str">
            <v>Đã đóng</v>
          </cell>
          <cell r="AJ1509" t="str">
            <v>Hà Nội 1</v>
          </cell>
          <cell r="BX1509" t="str">
            <v>AON</v>
          </cell>
        </row>
        <row r="1510">
          <cell r="A1510" t="str">
            <v>ON</v>
          </cell>
          <cell r="B1510" t="str">
            <v>Trong 24h</v>
          </cell>
          <cell r="D1510" t="str">
            <v>Khiếu nại về dịch vụ NextTV</v>
          </cell>
          <cell r="W1510" t="str">
            <v>Đang xử lý</v>
          </cell>
          <cell r="AJ1510" t="str">
            <v xml:space="preserve">Đồng Nai </v>
          </cell>
          <cell r="BX1510" t="str">
            <v>AON</v>
          </cell>
        </row>
        <row r="1511">
          <cell r="A1511" t="str">
            <v>ON</v>
          </cell>
          <cell r="B1511" t="str">
            <v>Trong 24h</v>
          </cell>
          <cell r="D1511" t="str">
            <v>Khiếu nại về dịch vụ FTTH</v>
          </cell>
          <cell r="W1511" t="str">
            <v>Đang xử lý</v>
          </cell>
          <cell r="AJ1511" t="str">
            <v>Vĩnh Long</v>
          </cell>
          <cell r="BX1511" t="str">
            <v>AON</v>
          </cell>
        </row>
        <row r="1512">
          <cell r="A1512" t="str">
            <v>ON</v>
          </cell>
          <cell r="B1512" t="str">
            <v>Trong 24h</v>
          </cell>
          <cell r="D1512" t="str">
            <v>Khiếu nại về dịch vụ FTTH</v>
          </cell>
          <cell r="W1512" t="str">
            <v>Đang xử lý</v>
          </cell>
          <cell r="AJ1512" t="str">
            <v xml:space="preserve">Đà Nẵng </v>
          </cell>
          <cell r="BX1512" t="str">
            <v>AON</v>
          </cell>
        </row>
        <row r="1513">
          <cell r="A1513" t="str">
            <v>ON</v>
          </cell>
          <cell r="B1513" t="str">
            <v>Trong 24h</v>
          </cell>
          <cell r="D1513" t="str">
            <v>Khiếu nại về dịch vụ FTTH</v>
          </cell>
          <cell r="W1513" t="str">
            <v>Đã đóng</v>
          </cell>
          <cell r="AJ1513" t="str">
            <v>Quảng Ninh</v>
          </cell>
          <cell r="BX1513" t="str">
            <v>AON</v>
          </cell>
        </row>
        <row r="1514">
          <cell r="A1514" t="str">
            <v>ON</v>
          </cell>
          <cell r="B1514" t="str">
            <v>Trong 24h</v>
          </cell>
          <cell r="D1514" t="str">
            <v>Khiếu nại về dịch vụ FTTH</v>
          </cell>
          <cell r="W1514" t="str">
            <v>Đã đóng</v>
          </cell>
          <cell r="AJ1514" t="str">
            <v>TP HCM</v>
          </cell>
          <cell r="BX1514" t="str">
            <v>AON</v>
          </cell>
        </row>
        <row r="1515">
          <cell r="A1515" t="str">
            <v>ON</v>
          </cell>
          <cell r="B1515" t="str">
            <v>Trong 24h</v>
          </cell>
          <cell r="D1515" t="str">
            <v>Khiếu nại về dịch vụ FTTH</v>
          </cell>
          <cell r="W1515" t="str">
            <v>Đã đóng</v>
          </cell>
          <cell r="AJ1515" t="str">
            <v>Bắc Kạn</v>
          </cell>
          <cell r="BX1515" t="str">
            <v>AON</v>
          </cell>
        </row>
        <row r="1516">
          <cell r="A1516" t="str">
            <v>ON</v>
          </cell>
          <cell r="B1516" t="str">
            <v>Trong 24h</v>
          </cell>
          <cell r="D1516" t="str">
            <v>Khiếu nại về dịch vụ FTTH</v>
          </cell>
          <cell r="W1516" t="str">
            <v>Đang xử lý</v>
          </cell>
          <cell r="AJ1516" t="str">
            <v>Bình Định</v>
          </cell>
          <cell r="BX1516" t="str">
            <v>AON</v>
          </cell>
        </row>
        <row r="1517">
          <cell r="A1517" t="str">
            <v>ON</v>
          </cell>
          <cell r="B1517" t="str">
            <v>Trong 24h</v>
          </cell>
          <cell r="D1517" t="str">
            <v>Khiếu nại về dịch vụ FTTH</v>
          </cell>
          <cell r="W1517" t="str">
            <v>Đã đóng</v>
          </cell>
          <cell r="AJ1517" t="str">
            <v>TP HCM</v>
          </cell>
          <cell r="BX1517" t="str">
            <v>AON</v>
          </cell>
        </row>
        <row r="1518">
          <cell r="A1518" t="str">
            <v>ON</v>
          </cell>
          <cell r="B1518" t="str">
            <v>Trong 24h</v>
          </cell>
          <cell r="D1518" t="str">
            <v>Khiếu nại về dịch vụ FTTH</v>
          </cell>
          <cell r="W1518" t="str">
            <v>Đã đóng</v>
          </cell>
          <cell r="AJ1518" t="str">
            <v>TP HCM</v>
          </cell>
          <cell r="BX1518" t="str">
            <v>AON</v>
          </cell>
        </row>
        <row r="1519">
          <cell r="A1519" t="str">
            <v>ON</v>
          </cell>
          <cell r="B1519" t="str">
            <v>Trong 24h</v>
          </cell>
          <cell r="D1519" t="str">
            <v>Khiếu nại về dịch vụ FTTH</v>
          </cell>
          <cell r="W1519" t="str">
            <v>Đã đóng</v>
          </cell>
          <cell r="AJ1519" t="str">
            <v>Bình Phước</v>
          </cell>
          <cell r="BX1519" t="str">
            <v>AON</v>
          </cell>
        </row>
        <row r="1520">
          <cell r="A1520" t="str">
            <v>ON</v>
          </cell>
          <cell r="B1520" t="str">
            <v>Trong 24h</v>
          </cell>
          <cell r="D1520" t="str">
            <v>Khiếu nại về dịch vụ FTTH</v>
          </cell>
          <cell r="W1520" t="str">
            <v>Đã đóng</v>
          </cell>
          <cell r="AJ1520" t="str">
            <v>TP HCM</v>
          </cell>
          <cell r="BX1520" t="str">
            <v>AON</v>
          </cell>
        </row>
        <row r="1521">
          <cell r="A1521" t="str">
            <v>ON</v>
          </cell>
          <cell r="B1521" t="str">
            <v>Trong 24h</v>
          </cell>
          <cell r="D1521" t="str">
            <v>Khiếu nại về dịch vụ FTTH</v>
          </cell>
          <cell r="W1521" t="str">
            <v>Đang xử lý</v>
          </cell>
          <cell r="AJ1521" t="str">
            <v>Lào Cai</v>
          </cell>
          <cell r="BX1521" t="str">
            <v>AON</v>
          </cell>
        </row>
        <row r="1522">
          <cell r="A1522" t="str">
            <v>ON</v>
          </cell>
          <cell r="B1522" t="str">
            <v>Trong 24h</v>
          </cell>
          <cell r="D1522" t="str">
            <v>Khiếu nại về dịch vụ FTTH</v>
          </cell>
          <cell r="W1522" t="str">
            <v>Đang xử lý</v>
          </cell>
          <cell r="AJ1522" t="str">
            <v>Thừa Thiên Huế</v>
          </cell>
          <cell r="BX1522" t="str">
            <v>AON</v>
          </cell>
        </row>
        <row r="1523">
          <cell r="A1523" t="str">
            <v>ON</v>
          </cell>
          <cell r="B1523" t="str">
            <v>Trong 24h</v>
          </cell>
          <cell r="D1523" t="str">
            <v>Khiếu nại về dịch vụ FTTH</v>
          </cell>
          <cell r="W1523" t="str">
            <v>Đang xử lý</v>
          </cell>
          <cell r="AJ1523" t="str">
            <v>TP HCM</v>
          </cell>
          <cell r="BX1523" t="str">
            <v>AON</v>
          </cell>
        </row>
        <row r="1524">
          <cell r="A1524" t="str">
            <v>ON</v>
          </cell>
          <cell r="B1524" t="str">
            <v>Trong 24h</v>
          </cell>
          <cell r="D1524" t="str">
            <v>Khiếu nại về dịch vụ FTTH</v>
          </cell>
          <cell r="W1524" t="str">
            <v>Đã đóng</v>
          </cell>
          <cell r="AJ1524" t="str">
            <v>TP HCM</v>
          </cell>
          <cell r="BX1524" t="str">
            <v>AON</v>
          </cell>
        </row>
        <row r="1525">
          <cell r="A1525" t="str">
            <v>ON</v>
          </cell>
          <cell r="B1525" t="str">
            <v>Trong 24h</v>
          </cell>
          <cell r="D1525" t="str">
            <v>Khiếu nại về dịch vụ FTTH</v>
          </cell>
          <cell r="W1525" t="str">
            <v>Đã đóng</v>
          </cell>
          <cell r="AJ1525" t="str">
            <v>TP HCM</v>
          </cell>
          <cell r="BX1525" t="str">
            <v>AON</v>
          </cell>
        </row>
        <row r="1526">
          <cell r="A1526" t="str">
            <v>ON</v>
          </cell>
          <cell r="B1526" t="str">
            <v>Trong 24h</v>
          </cell>
          <cell r="D1526" t="str">
            <v>Khiếu nại về dịch vụ FTTH</v>
          </cell>
          <cell r="W1526" t="str">
            <v>Đã đóng</v>
          </cell>
          <cell r="AJ1526" t="str">
            <v>TP HCM</v>
          </cell>
          <cell r="BX1526" t="str">
            <v>AON</v>
          </cell>
        </row>
        <row r="1527">
          <cell r="A1527" t="str">
            <v>ON</v>
          </cell>
          <cell r="B1527" t="str">
            <v>Trong 24h</v>
          </cell>
          <cell r="D1527" t="str">
            <v>Khiếu nại về dịch vụ FTTH</v>
          </cell>
          <cell r="W1527" t="str">
            <v>Đã đóng</v>
          </cell>
          <cell r="AJ1527" t="str">
            <v>TP HCM</v>
          </cell>
          <cell r="BX1527" t="str">
            <v>AON</v>
          </cell>
        </row>
        <row r="1528">
          <cell r="A1528" t="str">
            <v>ON</v>
          </cell>
          <cell r="B1528" t="str">
            <v>Trong 24h</v>
          </cell>
          <cell r="D1528" t="str">
            <v>Khiếu nại về dịch vụ FTTH</v>
          </cell>
          <cell r="W1528" t="str">
            <v>Đã đóng</v>
          </cell>
          <cell r="AJ1528" t="str">
            <v>Bến Tre</v>
          </cell>
          <cell r="BX1528" t="str">
            <v>AON</v>
          </cell>
        </row>
        <row r="1529">
          <cell r="A1529" t="str">
            <v>ON</v>
          </cell>
          <cell r="B1529" t="str">
            <v>Trong 24h</v>
          </cell>
          <cell r="D1529" t="str">
            <v>Khiếu nại về dịch vụ NextTV</v>
          </cell>
          <cell r="W1529" t="str">
            <v>Đã đóng</v>
          </cell>
          <cell r="AJ1529" t="str">
            <v>Hậu Giang</v>
          </cell>
          <cell r="BX1529" t="str">
            <v>AON</v>
          </cell>
        </row>
        <row r="1530">
          <cell r="A1530" t="str">
            <v>ON</v>
          </cell>
          <cell r="B1530" t="str">
            <v>Trong 24h</v>
          </cell>
          <cell r="D1530" t="str">
            <v>Khiếu nại về dịch vụ FTTH</v>
          </cell>
          <cell r="W1530" t="str">
            <v>Đang xử lý</v>
          </cell>
          <cell r="AJ1530" t="str">
            <v>Hà Giang</v>
          </cell>
          <cell r="BX1530" t="str">
            <v>AON</v>
          </cell>
        </row>
        <row r="1531">
          <cell r="A1531" t="str">
            <v>ON</v>
          </cell>
          <cell r="B1531" t="str">
            <v>Trong 24h</v>
          </cell>
          <cell r="D1531" t="str">
            <v>Khiếu nại về dịch vụ FTTH</v>
          </cell>
          <cell r="W1531" t="str">
            <v>Đã đóng</v>
          </cell>
          <cell r="AJ1531" t="str">
            <v xml:space="preserve">Đồng Nai </v>
          </cell>
          <cell r="BX1531" t="str">
            <v>AON</v>
          </cell>
        </row>
        <row r="1532">
          <cell r="A1532" t="str">
            <v>ON</v>
          </cell>
          <cell r="B1532" t="str">
            <v>Trong 24h</v>
          </cell>
          <cell r="D1532" t="str">
            <v>Khiếu nại về dịch vụ FTTH</v>
          </cell>
          <cell r="W1532" t="str">
            <v>Đang xử lý</v>
          </cell>
          <cell r="AJ1532" t="str">
            <v>Lâm Đồng</v>
          </cell>
          <cell r="BX1532" t="str">
            <v>AON</v>
          </cell>
        </row>
        <row r="1533">
          <cell r="A1533" t="str">
            <v>ON</v>
          </cell>
          <cell r="B1533" t="str">
            <v>Trong 24h</v>
          </cell>
          <cell r="D1533" t="str">
            <v>Khiếu nại về dịch vụ FTTH</v>
          </cell>
          <cell r="W1533" t="str">
            <v>Đã đóng</v>
          </cell>
          <cell r="AJ1533" t="str">
            <v>TP HCM</v>
          </cell>
          <cell r="BX1533" t="str">
            <v>AON</v>
          </cell>
        </row>
        <row r="1534">
          <cell r="A1534" t="str">
            <v>ON</v>
          </cell>
          <cell r="B1534" t="str">
            <v>Trong 24h</v>
          </cell>
          <cell r="D1534" t="str">
            <v>Khiếu nại về dịch vụ FTTH</v>
          </cell>
          <cell r="W1534" t="str">
            <v>Đang xử lý</v>
          </cell>
          <cell r="AJ1534" t="str">
            <v xml:space="preserve">Hà Tĩnh </v>
          </cell>
          <cell r="BX1534" t="str">
            <v>AON</v>
          </cell>
        </row>
        <row r="1535">
          <cell r="A1535" t="str">
            <v>ON</v>
          </cell>
          <cell r="B1535" t="str">
            <v>Trong 24h</v>
          </cell>
          <cell r="D1535" t="str">
            <v>Khiếu nại về dịch vụ FTTH</v>
          </cell>
          <cell r="W1535" t="str">
            <v>Đã đóng</v>
          </cell>
          <cell r="AJ1535" t="str">
            <v>Lâm Đồng</v>
          </cell>
          <cell r="BX1535" t="str">
            <v>AON</v>
          </cell>
        </row>
        <row r="1536">
          <cell r="A1536" t="str">
            <v>ON</v>
          </cell>
          <cell r="B1536" t="str">
            <v>Trong 24h</v>
          </cell>
          <cell r="D1536" t="str">
            <v>Khiếu nại về dịch vụ NextTV</v>
          </cell>
          <cell r="W1536" t="str">
            <v>Đã đóng</v>
          </cell>
          <cell r="AJ1536" t="str">
            <v>Hà Nội 1</v>
          </cell>
          <cell r="BX1536" t="str">
            <v>AON</v>
          </cell>
        </row>
        <row r="1537">
          <cell r="A1537" t="str">
            <v>ON</v>
          </cell>
          <cell r="B1537" t="str">
            <v>Trong 24h</v>
          </cell>
          <cell r="D1537" t="str">
            <v>Khiếu nại về dịch vụ FTTH</v>
          </cell>
          <cell r="W1537" t="str">
            <v>Đang xử lý</v>
          </cell>
          <cell r="AJ1537" t="str">
            <v>Bắc Giang</v>
          </cell>
          <cell r="BX1537" t="str">
            <v>AON</v>
          </cell>
        </row>
        <row r="1538">
          <cell r="A1538" t="str">
            <v>ON</v>
          </cell>
          <cell r="B1538" t="str">
            <v>Trong 24h</v>
          </cell>
          <cell r="D1538" t="str">
            <v>Khiếu nại về dịch vụ FTTH</v>
          </cell>
          <cell r="W1538" t="str">
            <v>Đã đóng</v>
          </cell>
          <cell r="AJ1538" t="str">
            <v>Hậu Giang</v>
          </cell>
          <cell r="BX1538" t="str">
            <v>AON</v>
          </cell>
        </row>
        <row r="1539">
          <cell r="A1539" t="str">
            <v>ON</v>
          </cell>
          <cell r="B1539" t="str">
            <v>Trong 24h</v>
          </cell>
          <cell r="D1539" t="str">
            <v>Khiếu nại về dịch vụ FTTH</v>
          </cell>
          <cell r="W1539" t="str">
            <v>Đã đóng</v>
          </cell>
          <cell r="AJ1539" t="str">
            <v>TP HCM</v>
          </cell>
          <cell r="BX1539" t="str">
            <v>AON</v>
          </cell>
        </row>
        <row r="1540">
          <cell r="A1540" t="str">
            <v>ON</v>
          </cell>
          <cell r="B1540" t="str">
            <v>Trong 24h</v>
          </cell>
          <cell r="D1540" t="str">
            <v>Khiếu nại về dịch vụ FTTH</v>
          </cell>
          <cell r="W1540" t="str">
            <v>Đang xử lý</v>
          </cell>
          <cell r="AJ1540" t="str">
            <v>Bình Dương</v>
          </cell>
          <cell r="BX1540" t="str">
            <v>AON</v>
          </cell>
        </row>
        <row r="1541">
          <cell r="A1541" t="str">
            <v>ON</v>
          </cell>
          <cell r="B1541" t="str">
            <v>Trong 24h</v>
          </cell>
          <cell r="D1541" t="str">
            <v>Khiếu nại về dịch vụ FTTH</v>
          </cell>
          <cell r="W1541" t="str">
            <v>Đang xử lý</v>
          </cell>
          <cell r="AJ1541" t="str">
            <v>Long An</v>
          </cell>
          <cell r="BX1541" t="str">
            <v>AON</v>
          </cell>
        </row>
        <row r="1542">
          <cell r="A1542" t="str">
            <v>ON</v>
          </cell>
          <cell r="B1542" t="str">
            <v>Trong 24h</v>
          </cell>
          <cell r="D1542" t="str">
            <v>Khiếu nại về dịch vụ FTTH</v>
          </cell>
          <cell r="W1542" t="str">
            <v>Đang xử lý</v>
          </cell>
          <cell r="AJ1542" t="str">
            <v>Ninh Thuận</v>
          </cell>
          <cell r="BX1542" t="str">
            <v>AON</v>
          </cell>
        </row>
        <row r="1543">
          <cell r="A1543" t="str">
            <v>ON</v>
          </cell>
          <cell r="B1543" t="str">
            <v>Trong 24h</v>
          </cell>
          <cell r="D1543" t="str">
            <v>Khiếu nại về dịch vụ FTTH</v>
          </cell>
          <cell r="W1543" t="str">
            <v>Đang xử lý</v>
          </cell>
          <cell r="AJ1543" t="str">
            <v>Quảng Ninh</v>
          </cell>
          <cell r="BX1543" t="str">
            <v>AON</v>
          </cell>
        </row>
        <row r="1544">
          <cell r="A1544" t="str">
            <v>ON</v>
          </cell>
          <cell r="B1544" t="str">
            <v>Trong 24h</v>
          </cell>
          <cell r="D1544" t="str">
            <v>Khiếu nại về dịch vụ FTTH</v>
          </cell>
          <cell r="W1544" t="str">
            <v>Đang xử lý</v>
          </cell>
          <cell r="AJ1544" t="str">
            <v>Quảng Ninh</v>
          </cell>
          <cell r="BX1544" t="str">
            <v>AON</v>
          </cell>
        </row>
        <row r="1545">
          <cell r="A1545" t="str">
            <v>ON</v>
          </cell>
          <cell r="B1545" t="str">
            <v>Trong 24h</v>
          </cell>
          <cell r="D1545" t="str">
            <v>Khiếu nại về dịch vụ FTTH</v>
          </cell>
          <cell r="W1545" t="str">
            <v>Đã đóng</v>
          </cell>
          <cell r="AJ1545" t="str">
            <v>TP HCM</v>
          </cell>
          <cell r="BX1545" t="str">
            <v>AON</v>
          </cell>
        </row>
        <row r="1546">
          <cell r="A1546" t="str">
            <v>ON</v>
          </cell>
          <cell r="B1546" t="str">
            <v>Trong 24h</v>
          </cell>
          <cell r="D1546" t="str">
            <v>Khiếu nại về dịch vụ FTTH</v>
          </cell>
          <cell r="W1546" t="str">
            <v>Đã đóng</v>
          </cell>
          <cell r="AJ1546" t="str">
            <v>Nam Định</v>
          </cell>
          <cell r="BX1546" t="str">
            <v>AON</v>
          </cell>
        </row>
        <row r="1547">
          <cell r="A1547" t="str">
            <v>ON</v>
          </cell>
          <cell r="B1547" t="str">
            <v>Trong 24h</v>
          </cell>
          <cell r="D1547" t="str">
            <v>Khiếu nại về dịch vụ FTTH</v>
          </cell>
          <cell r="W1547" t="str">
            <v>Đã đóng</v>
          </cell>
          <cell r="AJ1547" t="str">
            <v>Gia Lai</v>
          </cell>
          <cell r="BX1547" t="str">
            <v>AON</v>
          </cell>
        </row>
        <row r="1548">
          <cell r="A1548" t="str">
            <v>ON</v>
          </cell>
          <cell r="B1548" t="str">
            <v>Trong 24h</v>
          </cell>
          <cell r="D1548" t="str">
            <v>Khiếu nại về dịch vụ FTTH</v>
          </cell>
          <cell r="W1548" t="str">
            <v>Đang xử lý</v>
          </cell>
          <cell r="AJ1548" t="str">
            <v>Bến Tre</v>
          </cell>
          <cell r="BX1548" t="str">
            <v>AON</v>
          </cell>
        </row>
        <row r="1549">
          <cell r="A1549" t="str">
            <v>ON</v>
          </cell>
          <cell r="B1549" t="str">
            <v>Trong 24h</v>
          </cell>
          <cell r="D1549" t="str">
            <v>Khiếu nại về dịch vụ FTTH</v>
          </cell>
          <cell r="W1549" t="str">
            <v>Đã đóng</v>
          </cell>
          <cell r="AJ1549" t="str">
            <v>TP HCM</v>
          </cell>
          <cell r="BX1549" t="str">
            <v>GPON</v>
          </cell>
        </row>
        <row r="1550">
          <cell r="A1550" t="str">
            <v>ON</v>
          </cell>
          <cell r="B1550" t="str">
            <v>Trong 24h</v>
          </cell>
          <cell r="D1550" t="str">
            <v>Khiếu nại về dịch vụ FTTH</v>
          </cell>
          <cell r="W1550" t="str">
            <v>Đang xử lý</v>
          </cell>
          <cell r="AJ1550" t="str">
            <v>Quảng Ninh</v>
          </cell>
          <cell r="BX1550" t="str">
            <v>AON</v>
          </cell>
        </row>
        <row r="1551">
          <cell r="A1551" t="str">
            <v>ON</v>
          </cell>
          <cell r="B1551" t="str">
            <v>Trong 24h</v>
          </cell>
          <cell r="D1551" t="str">
            <v>Khiếu nại về dịch vụ FTTH</v>
          </cell>
          <cell r="W1551" t="str">
            <v>Đã đóng</v>
          </cell>
          <cell r="AJ1551" t="str">
            <v>Đồng Tháp</v>
          </cell>
          <cell r="BX1551" t="str">
            <v>AON</v>
          </cell>
        </row>
        <row r="1552">
          <cell r="A1552" t="str">
            <v>ON</v>
          </cell>
          <cell r="B1552" t="str">
            <v>Trong 24h</v>
          </cell>
          <cell r="D1552" t="str">
            <v>Khiếu nại về dịch vụ FTTH</v>
          </cell>
          <cell r="W1552" t="str">
            <v>Đã đóng</v>
          </cell>
          <cell r="AJ1552" t="str">
            <v>Quảng Trị</v>
          </cell>
          <cell r="BX1552" t="str">
            <v>AON</v>
          </cell>
        </row>
        <row r="1553">
          <cell r="A1553" t="str">
            <v>ON</v>
          </cell>
          <cell r="B1553" t="str">
            <v>Trong 24h</v>
          </cell>
          <cell r="D1553" t="str">
            <v>Khiếu nại về dịch vụ FTTH</v>
          </cell>
          <cell r="W1553" t="str">
            <v>Đã đóng</v>
          </cell>
          <cell r="AJ1553" t="str">
            <v>Bạc Liêu</v>
          </cell>
          <cell r="BX1553" t="str">
            <v>AON</v>
          </cell>
        </row>
        <row r="1554">
          <cell r="A1554" t="str">
            <v>ON</v>
          </cell>
          <cell r="B1554" t="str">
            <v>Trong 24h</v>
          </cell>
          <cell r="D1554" t="str">
            <v>Khiếu nại về dịch vụ FTTH</v>
          </cell>
          <cell r="W1554" t="str">
            <v>Đang xử lý</v>
          </cell>
          <cell r="AJ1554" t="str">
            <v>TP HCM</v>
          </cell>
          <cell r="BX1554" t="str">
            <v>AON</v>
          </cell>
        </row>
        <row r="1555">
          <cell r="A1555" t="str">
            <v>ON</v>
          </cell>
          <cell r="B1555" t="str">
            <v>Trong 24h</v>
          </cell>
          <cell r="D1555" t="str">
            <v>Khiếu nại về dịch vụ FTTH</v>
          </cell>
          <cell r="W1555" t="str">
            <v>Đã đóng</v>
          </cell>
          <cell r="AJ1555" t="str">
            <v>Nghệ An</v>
          </cell>
          <cell r="BX1555" t="str">
            <v>AON</v>
          </cell>
        </row>
        <row r="1556">
          <cell r="A1556" t="str">
            <v>ON</v>
          </cell>
          <cell r="B1556" t="str">
            <v>Trong 24h</v>
          </cell>
          <cell r="D1556" t="str">
            <v>Khiếu nại về dịch vụ FTTH</v>
          </cell>
          <cell r="W1556" t="str">
            <v>Đã đóng</v>
          </cell>
          <cell r="AJ1556" t="str">
            <v>Hà Nội 2</v>
          </cell>
          <cell r="BX1556" t="str">
            <v>AON</v>
          </cell>
        </row>
        <row r="1557">
          <cell r="A1557" t="str">
            <v>ON</v>
          </cell>
          <cell r="B1557" t="str">
            <v>Trong 24h</v>
          </cell>
          <cell r="D1557" t="str">
            <v>Khiếu nại về dịch vụ FTTH</v>
          </cell>
          <cell r="W1557" t="str">
            <v>Đã đóng</v>
          </cell>
          <cell r="AJ1557" t="str">
            <v>TP HCM</v>
          </cell>
          <cell r="BX1557" t="str">
            <v>AON</v>
          </cell>
        </row>
        <row r="1558">
          <cell r="A1558" t="str">
            <v>ON</v>
          </cell>
          <cell r="B1558" t="str">
            <v>Trong 24h</v>
          </cell>
          <cell r="D1558" t="str">
            <v>Khiếu nại về dịch vụ FTTH</v>
          </cell>
          <cell r="W1558" t="str">
            <v>Đang xử lý</v>
          </cell>
          <cell r="AJ1558" t="str">
            <v>Bắc Ninh</v>
          </cell>
          <cell r="BX1558" t="str">
            <v>AON</v>
          </cell>
        </row>
        <row r="1559">
          <cell r="A1559" t="str">
            <v>ON</v>
          </cell>
          <cell r="B1559" t="str">
            <v>Trong 24h</v>
          </cell>
          <cell r="D1559" t="str">
            <v>Khiếu nại về dịch vụ FTTH</v>
          </cell>
          <cell r="W1559" t="str">
            <v>Đã đóng</v>
          </cell>
          <cell r="AJ1559" t="str">
            <v>Tây Ninh</v>
          </cell>
          <cell r="BX1559" t="str">
            <v>AON</v>
          </cell>
        </row>
        <row r="1560">
          <cell r="A1560" t="str">
            <v>ON</v>
          </cell>
          <cell r="B1560" t="str">
            <v>Trong 24h</v>
          </cell>
          <cell r="D1560" t="str">
            <v>Khiếu nại về dịch vụ FTTH</v>
          </cell>
          <cell r="W1560" t="str">
            <v>Đã đóng</v>
          </cell>
          <cell r="AJ1560" t="str">
            <v>TP HCM</v>
          </cell>
          <cell r="BX1560" t="str">
            <v>AON</v>
          </cell>
        </row>
        <row r="1561">
          <cell r="A1561" t="str">
            <v>ON</v>
          </cell>
          <cell r="B1561" t="str">
            <v>Trong 24h</v>
          </cell>
          <cell r="D1561" t="str">
            <v>Khiếu nại về dịch vụ FTTH</v>
          </cell>
          <cell r="W1561" t="str">
            <v>Đang xử lý</v>
          </cell>
          <cell r="AJ1561" t="str">
            <v>TP HCM</v>
          </cell>
          <cell r="BX1561" t="str">
            <v>AON</v>
          </cell>
        </row>
        <row r="1562">
          <cell r="A1562" t="str">
            <v>ON</v>
          </cell>
          <cell r="B1562" t="str">
            <v>Trong 24h</v>
          </cell>
          <cell r="D1562" t="str">
            <v>Khiếu nại về dịch vụ FTTH</v>
          </cell>
          <cell r="W1562" t="str">
            <v>Đã đóng</v>
          </cell>
          <cell r="AJ1562" t="str">
            <v xml:space="preserve">Đắc Lắk </v>
          </cell>
          <cell r="BX1562" t="str">
            <v>AON</v>
          </cell>
        </row>
        <row r="1563">
          <cell r="A1563" t="str">
            <v>ON</v>
          </cell>
          <cell r="B1563" t="str">
            <v>Trong 24h</v>
          </cell>
          <cell r="D1563" t="str">
            <v>Khiếu nại về dịch vụ FTTH</v>
          </cell>
          <cell r="W1563" t="str">
            <v>Đã đóng</v>
          </cell>
          <cell r="AJ1563" t="str">
            <v>TP HCM</v>
          </cell>
          <cell r="BX1563" t="str">
            <v>AON</v>
          </cell>
        </row>
        <row r="1564">
          <cell r="A1564" t="str">
            <v>ON</v>
          </cell>
          <cell r="B1564" t="str">
            <v>Trong 24h</v>
          </cell>
          <cell r="D1564" t="str">
            <v>Khiếu nại về dịch vụ FTTH</v>
          </cell>
          <cell r="W1564" t="str">
            <v>Đã đóng</v>
          </cell>
          <cell r="AJ1564" t="str">
            <v>Hậu Giang</v>
          </cell>
          <cell r="BX1564" t="str">
            <v>GPON</v>
          </cell>
        </row>
        <row r="1565">
          <cell r="A1565" t="str">
            <v>ON</v>
          </cell>
          <cell r="B1565" t="str">
            <v>Trong 24h</v>
          </cell>
          <cell r="D1565" t="str">
            <v>Khiếu nại về dịch vụ FTTH</v>
          </cell>
          <cell r="W1565" t="str">
            <v>Đã đóng</v>
          </cell>
          <cell r="AJ1565" t="str">
            <v>TP HCM</v>
          </cell>
          <cell r="BX1565" t="str">
            <v>AON</v>
          </cell>
        </row>
        <row r="1566">
          <cell r="A1566" t="str">
            <v>ON</v>
          </cell>
          <cell r="B1566" t="str">
            <v>Trong 24h</v>
          </cell>
          <cell r="D1566" t="str">
            <v>Khiếu nại về dịch vụ FTTH</v>
          </cell>
          <cell r="W1566" t="str">
            <v>Đang xử lý</v>
          </cell>
          <cell r="AJ1566" t="str">
            <v>Quảng Ngãi</v>
          </cell>
          <cell r="BX1566" t="str">
            <v>AON</v>
          </cell>
        </row>
        <row r="1567">
          <cell r="A1567" t="str">
            <v>ON</v>
          </cell>
          <cell r="B1567" t="str">
            <v>Trong 24h</v>
          </cell>
          <cell r="D1567" t="str">
            <v>Khiếu nại về dịch vụ FTTH</v>
          </cell>
          <cell r="W1567" t="str">
            <v>Đã đóng</v>
          </cell>
          <cell r="AJ1567" t="str">
            <v>TP HCM</v>
          </cell>
          <cell r="BX1567" t="str">
            <v>AON</v>
          </cell>
        </row>
        <row r="1568">
          <cell r="A1568" t="str">
            <v>ON</v>
          </cell>
          <cell r="B1568" t="str">
            <v>Trong 24h</v>
          </cell>
          <cell r="D1568" t="str">
            <v>Khiếu nại về dịch vụ FTTH</v>
          </cell>
          <cell r="W1568" t="str">
            <v>Đã đóng</v>
          </cell>
          <cell r="AJ1568" t="str">
            <v>TP HCM</v>
          </cell>
          <cell r="BX1568" t="str">
            <v>AON</v>
          </cell>
        </row>
        <row r="1569">
          <cell r="A1569" t="str">
            <v>ON</v>
          </cell>
          <cell r="B1569" t="str">
            <v>Trong 24h</v>
          </cell>
          <cell r="D1569" t="str">
            <v>Khiếu nại về dịch vụ FTTH</v>
          </cell>
          <cell r="W1569" t="str">
            <v>Đã đóng</v>
          </cell>
          <cell r="AJ1569" t="str">
            <v>TP HCM</v>
          </cell>
          <cell r="BX1569" t="str">
            <v>AON</v>
          </cell>
        </row>
        <row r="1570">
          <cell r="A1570" t="str">
            <v>ON</v>
          </cell>
          <cell r="B1570" t="str">
            <v>Trong 24h</v>
          </cell>
          <cell r="D1570" t="str">
            <v>Khiếu nại về dịch vụ FTTH</v>
          </cell>
          <cell r="W1570" t="str">
            <v>Đã đóng</v>
          </cell>
          <cell r="AJ1570" t="str">
            <v>Quảng Bình</v>
          </cell>
          <cell r="BX1570" t="str">
            <v>AON</v>
          </cell>
        </row>
        <row r="1571">
          <cell r="A1571" t="str">
            <v>ON</v>
          </cell>
          <cell r="B1571" t="str">
            <v>Trong 24h</v>
          </cell>
          <cell r="D1571" t="str">
            <v>Khiếu nại về dịch vụ FTTH</v>
          </cell>
          <cell r="W1571" t="str">
            <v>Đã đóng</v>
          </cell>
          <cell r="AJ1571" t="str">
            <v>TP HCM</v>
          </cell>
          <cell r="BX1571" t="str">
            <v>AON</v>
          </cell>
        </row>
        <row r="1572">
          <cell r="A1572" t="str">
            <v>ON</v>
          </cell>
          <cell r="B1572" t="str">
            <v>Trong 24h</v>
          </cell>
          <cell r="D1572" t="str">
            <v>Khiếu nại về dịch vụ FTTH</v>
          </cell>
          <cell r="W1572" t="str">
            <v>Đã đóng</v>
          </cell>
          <cell r="AJ1572" t="str">
            <v>Thanh Hoá</v>
          </cell>
          <cell r="BX1572" t="str">
            <v>AON</v>
          </cell>
        </row>
        <row r="1573">
          <cell r="A1573" t="str">
            <v>ON</v>
          </cell>
          <cell r="B1573" t="str">
            <v>Trong 24h</v>
          </cell>
          <cell r="D1573" t="str">
            <v>Khiếu nại về dịch vụ NextTV</v>
          </cell>
          <cell r="W1573" t="str">
            <v>Đã đóng</v>
          </cell>
          <cell r="AJ1573" t="str">
            <v>TP HCM</v>
          </cell>
          <cell r="BX1573" t="str">
            <v>AON</v>
          </cell>
        </row>
        <row r="1574">
          <cell r="A1574" t="str">
            <v>ON</v>
          </cell>
          <cell r="B1574" t="str">
            <v>Trong 24h</v>
          </cell>
          <cell r="D1574" t="str">
            <v>Khiếu nại về dịch vụ FTTH</v>
          </cell>
          <cell r="W1574" t="str">
            <v>Đang xử lý</v>
          </cell>
          <cell r="AJ1574" t="str">
            <v>Bắc Ninh</v>
          </cell>
          <cell r="BX1574" t="str">
            <v>AON</v>
          </cell>
        </row>
        <row r="1575">
          <cell r="A1575" t="str">
            <v>ON</v>
          </cell>
          <cell r="B1575" t="str">
            <v>Trong 24h</v>
          </cell>
          <cell r="D1575" t="str">
            <v>Khiếu nại về dịch vụ FTTH</v>
          </cell>
          <cell r="W1575" t="str">
            <v>Đã đóng</v>
          </cell>
          <cell r="AJ1575" t="str">
            <v>TP HCM</v>
          </cell>
          <cell r="BX1575" t="str">
            <v>AON</v>
          </cell>
        </row>
        <row r="1576">
          <cell r="A1576" t="str">
            <v>ON</v>
          </cell>
          <cell r="B1576" t="str">
            <v>Trong 24h</v>
          </cell>
          <cell r="D1576" t="str">
            <v>Khiếu nại về dịch vụ FTTH</v>
          </cell>
          <cell r="W1576" t="str">
            <v>Đã đóng</v>
          </cell>
          <cell r="AJ1576" t="str">
            <v>Hà Nội 1</v>
          </cell>
          <cell r="BX1576" t="str">
            <v>AON</v>
          </cell>
        </row>
        <row r="1577">
          <cell r="A1577" t="str">
            <v>ON</v>
          </cell>
          <cell r="B1577" t="str">
            <v>Trong 24h</v>
          </cell>
          <cell r="D1577" t="str">
            <v>Khiếu nại về dịch vụ FTTH</v>
          </cell>
          <cell r="W1577" t="str">
            <v>Đã đóng</v>
          </cell>
          <cell r="AJ1577" t="str">
            <v>Hậu Giang</v>
          </cell>
          <cell r="BX1577" t="str">
            <v>AON</v>
          </cell>
        </row>
        <row r="1578">
          <cell r="A1578" t="str">
            <v>ON</v>
          </cell>
          <cell r="B1578" t="str">
            <v>Trong 24h</v>
          </cell>
          <cell r="D1578" t="str">
            <v>Khiếu nại về dịch vụ FTTH</v>
          </cell>
          <cell r="W1578" t="str">
            <v>Đang xử lý</v>
          </cell>
          <cell r="AJ1578" t="str">
            <v>Thanh Hoá</v>
          </cell>
          <cell r="BX1578" t="str">
            <v>AON</v>
          </cell>
        </row>
        <row r="1579">
          <cell r="A1579" t="str">
            <v>ON</v>
          </cell>
          <cell r="B1579" t="str">
            <v>Trong 24h</v>
          </cell>
          <cell r="D1579" t="str">
            <v>Khiếu nại về dịch vụ FTTH</v>
          </cell>
          <cell r="W1579" t="str">
            <v>Đã đóng</v>
          </cell>
          <cell r="AJ1579" t="str">
            <v>TP HCM</v>
          </cell>
          <cell r="BX1579" t="str">
            <v>AON</v>
          </cell>
        </row>
        <row r="1580">
          <cell r="A1580" t="str">
            <v>ON</v>
          </cell>
          <cell r="B1580" t="str">
            <v>Trong 24h</v>
          </cell>
          <cell r="D1580" t="str">
            <v>Khiếu nại về dịch vụ FTTH</v>
          </cell>
          <cell r="W1580" t="str">
            <v>Đã đóng</v>
          </cell>
          <cell r="AJ1580" t="str">
            <v xml:space="preserve">Đà Nẵng </v>
          </cell>
          <cell r="BX1580" t="str">
            <v>AON</v>
          </cell>
        </row>
        <row r="1581">
          <cell r="A1581" t="str">
            <v>ON</v>
          </cell>
          <cell r="B1581" t="str">
            <v>Trong 24h</v>
          </cell>
          <cell r="D1581" t="str">
            <v>Khiếu nại về dịch vụ FTTH</v>
          </cell>
          <cell r="W1581" t="str">
            <v>Đã đóng</v>
          </cell>
          <cell r="AJ1581" t="str">
            <v>TP HCM</v>
          </cell>
          <cell r="BX1581" t="str">
            <v>AON</v>
          </cell>
        </row>
        <row r="1582">
          <cell r="A1582" t="str">
            <v>ON</v>
          </cell>
          <cell r="B1582" t="str">
            <v>Trong 24h</v>
          </cell>
          <cell r="D1582" t="str">
            <v>Khiếu nại về dịch vụ FTTH</v>
          </cell>
          <cell r="W1582" t="str">
            <v>Đang xử lý</v>
          </cell>
          <cell r="AJ1582" t="str">
            <v>TP HCM</v>
          </cell>
          <cell r="BX1582" t="str">
            <v>AON</v>
          </cell>
        </row>
        <row r="1583">
          <cell r="A1583" t="str">
            <v>ON</v>
          </cell>
          <cell r="B1583" t="str">
            <v>Trong 24h</v>
          </cell>
          <cell r="D1583" t="str">
            <v>Khiếu nại về dịch vụ FTTH</v>
          </cell>
          <cell r="W1583" t="str">
            <v>Đang xử lý</v>
          </cell>
          <cell r="AJ1583" t="str">
            <v>TP HCM</v>
          </cell>
          <cell r="BX1583" t="str">
            <v>AON</v>
          </cell>
        </row>
        <row r="1584">
          <cell r="A1584" t="str">
            <v>ON</v>
          </cell>
          <cell r="B1584" t="str">
            <v>Trong 24h</v>
          </cell>
          <cell r="D1584" t="str">
            <v>Khiếu nại về dịch vụ FTTH</v>
          </cell>
          <cell r="W1584" t="str">
            <v>Đã đóng</v>
          </cell>
          <cell r="AJ1584" t="str">
            <v>Cần Thơ</v>
          </cell>
          <cell r="BX1584" t="str">
            <v>AON</v>
          </cell>
        </row>
        <row r="1585">
          <cell r="A1585" t="str">
            <v>ON</v>
          </cell>
          <cell r="B1585" t="str">
            <v>Trong 24h</v>
          </cell>
          <cell r="D1585" t="str">
            <v>Khiếu nại về dịch vụ FTTH</v>
          </cell>
          <cell r="W1585" t="str">
            <v>Đã đóng</v>
          </cell>
          <cell r="AJ1585" t="str">
            <v xml:space="preserve">Đồng Nai </v>
          </cell>
          <cell r="BX1585" t="str">
            <v>AON</v>
          </cell>
        </row>
        <row r="1586">
          <cell r="A1586" t="str">
            <v>ON</v>
          </cell>
          <cell r="B1586" t="str">
            <v>Trong 24h</v>
          </cell>
          <cell r="D1586" t="str">
            <v>Khiếu nại về dịch vụ FTTH</v>
          </cell>
          <cell r="W1586" t="str">
            <v>Đã đóng</v>
          </cell>
          <cell r="AJ1586" t="str">
            <v>Quảng Ngãi</v>
          </cell>
          <cell r="BX1586" t="str">
            <v>AON</v>
          </cell>
        </row>
        <row r="1587">
          <cell r="A1587" t="str">
            <v>ON</v>
          </cell>
          <cell r="B1587" t="str">
            <v>Trong 24h</v>
          </cell>
          <cell r="D1587" t="str">
            <v>Khiếu nại về dịch vụ FTTH</v>
          </cell>
          <cell r="W1587" t="str">
            <v>Đã đóng</v>
          </cell>
          <cell r="AJ1587" t="str">
            <v>Phú Thọ</v>
          </cell>
          <cell r="BX1587" t="str">
            <v>AON</v>
          </cell>
        </row>
        <row r="1588">
          <cell r="A1588" t="str">
            <v>ON</v>
          </cell>
          <cell r="B1588" t="str">
            <v>Trong 24h</v>
          </cell>
          <cell r="D1588" t="str">
            <v>Khiếu nại về dịch vụ FTTH</v>
          </cell>
          <cell r="W1588" t="str">
            <v>Đã đóng</v>
          </cell>
          <cell r="AJ1588" t="str">
            <v>Hà Nội 1</v>
          </cell>
          <cell r="BX1588" t="str">
            <v>AON</v>
          </cell>
        </row>
        <row r="1589">
          <cell r="A1589" t="str">
            <v>ON</v>
          </cell>
          <cell r="B1589" t="str">
            <v>Trong 24h</v>
          </cell>
          <cell r="D1589" t="str">
            <v>Khiếu nại về dịch vụ FTTH</v>
          </cell>
          <cell r="W1589" t="str">
            <v>Đã đóng</v>
          </cell>
          <cell r="AJ1589" t="str">
            <v>Hải Phòng</v>
          </cell>
          <cell r="BX1589" t="str">
            <v>AON</v>
          </cell>
        </row>
        <row r="1590">
          <cell r="A1590" t="str">
            <v>ON</v>
          </cell>
          <cell r="B1590" t="str">
            <v>Trong 24h</v>
          </cell>
          <cell r="D1590" t="str">
            <v>Khiếu nại về dịch vụ FTTH</v>
          </cell>
          <cell r="W1590" t="str">
            <v>Đã đóng</v>
          </cell>
          <cell r="AJ1590" t="str">
            <v>Hậu Giang</v>
          </cell>
          <cell r="BX1590" t="str">
            <v>AON</v>
          </cell>
        </row>
        <row r="1591">
          <cell r="A1591" t="str">
            <v>ON</v>
          </cell>
          <cell r="B1591" t="str">
            <v>Trong 24h</v>
          </cell>
          <cell r="D1591" t="str">
            <v>Khiếu nại về dịch vụ FTTH</v>
          </cell>
          <cell r="W1591" t="str">
            <v>Đang xử lý</v>
          </cell>
          <cell r="AJ1591" t="str">
            <v>Đồng Tháp</v>
          </cell>
          <cell r="BX1591" t="str">
            <v>AON</v>
          </cell>
        </row>
        <row r="1592">
          <cell r="A1592" t="str">
            <v>ON</v>
          </cell>
          <cell r="B1592" t="str">
            <v>Trong 24h</v>
          </cell>
          <cell r="D1592" t="str">
            <v>Khiếu nại về dịch vụ FTTH</v>
          </cell>
          <cell r="W1592" t="str">
            <v>Đang xử lý</v>
          </cell>
          <cell r="AJ1592" t="str">
            <v>TP HCM</v>
          </cell>
          <cell r="BX1592" t="str">
            <v>AON</v>
          </cell>
        </row>
        <row r="1593">
          <cell r="A1593" t="str">
            <v>ON</v>
          </cell>
          <cell r="B1593" t="str">
            <v>Trong 24h</v>
          </cell>
          <cell r="D1593" t="str">
            <v>Khiếu nại về dịch vụ FTTH</v>
          </cell>
          <cell r="W1593" t="str">
            <v>Đã đóng</v>
          </cell>
          <cell r="AJ1593" t="str">
            <v>Phú Thọ</v>
          </cell>
          <cell r="BX1593" t="str">
            <v>AON</v>
          </cell>
        </row>
        <row r="1594">
          <cell r="A1594" t="str">
            <v>ON</v>
          </cell>
          <cell r="B1594" t="str">
            <v>Trong 24h</v>
          </cell>
          <cell r="D1594" t="str">
            <v>Khiếu nại về dịch vụ FTTH</v>
          </cell>
          <cell r="W1594" t="str">
            <v>Đã đóng</v>
          </cell>
          <cell r="AJ1594" t="str">
            <v>Bình Thuận</v>
          </cell>
          <cell r="BX1594" t="str">
            <v>AON</v>
          </cell>
        </row>
        <row r="1595">
          <cell r="A1595" t="str">
            <v>ON</v>
          </cell>
          <cell r="B1595" t="str">
            <v>Trong 24h</v>
          </cell>
          <cell r="D1595" t="str">
            <v>Khiếu nại về dịch vụ FTTH</v>
          </cell>
          <cell r="W1595" t="str">
            <v>Đã đóng</v>
          </cell>
          <cell r="AJ1595" t="str">
            <v>Hà Nội 1</v>
          </cell>
          <cell r="BX1595" t="str">
            <v>AON</v>
          </cell>
        </row>
        <row r="1596">
          <cell r="A1596" t="str">
            <v>ON</v>
          </cell>
          <cell r="B1596" t="str">
            <v>Trong 24h</v>
          </cell>
          <cell r="D1596" t="str">
            <v>Khiếu nại về dịch vụ FTTH</v>
          </cell>
          <cell r="W1596" t="str">
            <v>Đã đóng</v>
          </cell>
          <cell r="AJ1596" t="str">
            <v>Lào Cai</v>
          </cell>
          <cell r="BX1596" t="str">
            <v>AON</v>
          </cell>
        </row>
        <row r="1597">
          <cell r="A1597" t="str">
            <v>ON</v>
          </cell>
          <cell r="B1597" t="str">
            <v>Trong 24h</v>
          </cell>
          <cell r="D1597" t="str">
            <v>Khiếu nại về dịch vụ FTTH</v>
          </cell>
          <cell r="W1597" t="str">
            <v>Đang xử lý</v>
          </cell>
          <cell r="AJ1597" t="str">
            <v xml:space="preserve">Hà Tĩnh </v>
          </cell>
          <cell r="BX1597" t="str">
            <v>AON</v>
          </cell>
        </row>
        <row r="1598">
          <cell r="A1598" t="str">
            <v>ON</v>
          </cell>
          <cell r="B1598" t="str">
            <v>Trong 24h</v>
          </cell>
          <cell r="D1598" t="str">
            <v>Khiếu nại về dịch vụ FTTH</v>
          </cell>
          <cell r="W1598" t="str">
            <v>Đã đóng</v>
          </cell>
          <cell r="AJ1598" t="str">
            <v>TP HCM</v>
          </cell>
          <cell r="BX1598" t="str">
            <v>AON</v>
          </cell>
        </row>
        <row r="1599">
          <cell r="A1599" t="str">
            <v>ON</v>
          </cell>
          <cell r="B1599" t="str">
            <v>Trong 24h</v>
          </cell>
          <cell r="D1599" t="str">
            <v>Khiếu nại về dịch vụ FTTH</v>
          </cell>
          <cell r="W1599" t="str">
            <v>Đã đóng</v>
          </cell>
          <cell r="AJ1599" t="str">
            <v>Khánh Hoà</v>
          </cell>
          <cell r="BX1599" t="str">
            <v>AON</v>
          </cell>
        </row>
        <row r="1600">
          <cell r="A1600" t="str">
            <v>ON</v>
          </cell>
          <cell r="B1600" t="str">
            <v>Trong 24h</v>
          </cell>
          <cell r="D1600" t="str">
            <v>Khiếu nại về dịch vụ FTTH</v>
          </cell>
          <cell r="W1600" t="str">
            <v>Đã đóng</v>
          </cell>
          <cell r="AJ1600" t="str">
            <v>Hà Nội 2</v>
          </cell>
          <cell r="BX1600" t="str">
            <v>AON</v>
          </cell>
        </row>
        <row r="1601">
          <cell r="A1601" t="str">
            <v>ON</v>
          </cell>
          <cell r="B1601" t="str">
            <v>Trong 24h</v>
          </cell>
          <cell r="D1601" t="str">
            <v>Khiếu nại về dịch vụ NextTV</v>
          </cell>
          <cell r="W1601" t="str">
            <v>Đã đóng</v>
          </cell>
          <cell r="AJ1601" t="str">
            <v>Bắc Ninh</v>
          </cell>
          <cell r="BX1601" t="str">
            <v>AON</v>
          </cell>
        </row>
        <row r="1602">
          <cell r="A1602" t="str">
            <v>ON</v>
          </cell>
          <cell r="B1602" t="str">
            <v>Trong 24h</v>
          </cell>
          <cell r="D1602" t="str">
            <v>Khiếu nại về dịch vụ FTTH</v>
          </cell>
          <cell r="W1602" t="str">
            <v>Đã đóng</v>
          </cell>
          <cell r="AJ1602" t="str">
            <v>Hà Nội 2</v>
          </cell>
          <cell r="BX1602" t="str">
            <v>AON</v>
          </cell>
        </row>
        <row r="1603">
          <cell r="A1603" t="str">
            <v>ON</v>
          </cell>
          <cell r="B1603" t="str">
            <v>Trong 24h</v>
          </cell>
          <cell r="D1603" t="str">
            <v>Khiếu nại về dịch vụ FTTH</v>
          </cell>
          <cell r="W1603" t="str">
            <v>Đang xử lý</v>
          </cell>
          <cell r="AJ1603" t="str">
            <v>Bến Tre</v>
          </cell>
          <cell r="BX1603" t="str">
            <v>AON</v>
          </cell>
        </row>
        <row r="1604">
          <cell r="A1604" t="str">
            <v>ON</v>
          </cell>
          <cell r="B1604" t="str">
            <v>Trong 24h</v>
          </cell>
          <cell r="D1604" t="str">
            <v>Khiếu nại về dịch vụ FTTH</v>
          </cell>
          <cell r="W1604" t="str">
            <v>Đã đóng</v>
          </cell>
          <cell r="AJ1604" t="str">
            <v>Hà Nội 1</v>
          </cell>
          <cell r="BX1604" t="str">
            <v>AON</v>
          </cell>
        </row>
        <row r="1605">
          <cell r="A1605" t="str">
            <v>ON</v>
          </cell>
          <cell r="B1605" t="str">
            <v>Trong 24h</v>
          </cell>
          <cell r="D1605" t="str">
            <v>Khiếu nại về dịch vụ FTTH</v>
          </cell>
          <cell r="W1605" t="str">
            <v>Đã đóng</v>
          </cell>
          <cell r="AJ1605" t="str">
            <v>Tiền Giang</v>
          </cell>
          <cell r="BX1605" t="str">
            <v>AON</v>
          </cell>
        </row>
        <row r="1606">
          <cell r="A1606" t="str">
            <v>ON</v>
          </cell>
          <cell r="B1606" t="str">
            <v>Trong 24h</v>
          </cell>
          <cell r="D1606" t="str">
            <v>Khiếu nại về dịch vụ FTTH</v>
          </cell>
          <cell r="W1606" t="str">
            <v>Đang xử lý</v>
          </cell>
          <cell r="AJ1606" t="str">
            <v>Quảng Ninh</v>
          </cell>
          <cell r="BX1606" t="str">
            <v>AON</v>
          </cell>
        </row>
        <row r="1607">
          <cell r="A1607" t="str">
            <v>ON</v>
          </cell>
          <cell r="B1607" t="str">
            <v>Trong 24h</v>
          </cell>
          <cell r="D1607" t="str">
            <v>Khiếu nại về dịch vụ NextTV</v>
          </cell>
          <cell r="W1607" t="str">
            <v>Đang xử lý</v>
          </cell>
          <cell r="AJ1607" t="str">
            <v>Bến Tre</v>
          </cell>
          <cell r="BX1607" t="str">
            <v>AON</v>
          </cell>
        </row>
        <row r="1608">
          <cell r="A1608" t="str">
            <v>ON</v>
          </cell>
          <cell r="B1608" t="str">
            <v>Trong 24h</v>
          </cell>
          <cell r="D1608" t="str">
            <v>Khiếu nại về dịch vụ FTTH</v>
          </cell>
          <cell r="W1608" t="str">
            <v>Đang xử lý</v>
          </cell>
          <cell r="AJ1608" t="str">
            <v>TP HCM</v>
          </cell>
          <cell r="BX1608" t="str">
            <v>AON</v>
          </cell>
        </row>
        <row r="1609">
          <cell r="A1609" t="str">
            <v>ON</v>
          </cell>
          <cell r="B1609" t="str">
            <v>Trong 24h</v>
          </cell>
          <cell r="D1609" t="str">
            <v>Khiếu nại về dịch vụ FTTH</v>
          </cell>
          <cell r="W1609" t="str">
            <v>Đang xử lý</v>
          </cell>
          <cell r="AJ1609" t="str">
            <v>Bình Dương</v>
          </cell>
          <cell r="BX1609" t="str">
            <v>AON</v>
          </cell>
        </row>
        <row r="1610">
          <cell r="A1610" t="str">
            <v>ON</v>
          </cell>
          <cell r="B1610" t="str">
            <v>Trong 24h</v>
          </cell>
          <cell r="D1610" t="str">
            <v>Khiếu nại về dịch vụ FTTH</v>
          </cell>
          <cell r="W1610" t="str">
            <v>Đã đóng</v>
          </cell>
          <cell r="AJ1610" t="str">
            <v>Hậu Giang</v>
          </cell>
          <cell r="BX1610" t="str">
            <v>AON</v>
          </cell>
        </row>
        <row r="1611">
          <cell r="A1611" t="str">
            <v>ON</v>
          </cell>
          <cell r="B1611" t="str">
            <v>Trong 24h</v>
          </cell>
          <cell r="D1611" t="str">
            <v>Khiếu nại về dịch vụ FTTH</v>
          </cell>
          <cell r="W1611" t="str">
            <v>Đã đóng</v>
          </cell>
          <cell r="AJ1611" t="str">
            <v>Hà Nội 1</v>
          </cell>
          <cell r="BX1611" t="str">
            <v>AON</v>
          </cell>
        </row>
        <row r="1612">
          <cell r="A1612" t="str">
            <v>ON</v>
          </cell>
          <cell r="B1612" t="str">
            <v>Trong 24h</v>
          </cell>
          <cell r="D1612" t="str">
            <v>Khiếu nại về dịch vụ FTTH</v>
          </cell>
          <cell r="W1612" t="str">
            <v>Đang xử lý</v>
          </cell>
          <cell r="AJ1612" t="str">
            <v xml:space="preserve">Đồng Nai </v>
          </cell>
          <cell r="BX1612" t="str">
            <v>AON</v>
          </cell>
        </row>
        <row r="1613">
          <cell r="A1613" t="str">
            <v>ON</v>
          </cell>
          <cell r="B1613" t="str">
            <v>Trong 24h</v>
          </cell>
          <cell r="D1613" t="str">
            <v>Khiếu nại về dịch vụ NextTV</v>
          </cell>
          <cell r="W1613" t="str">
            <v>Đã đóng</v>
          </cell>
          <cell r="AJ1613" t="str">
            <v>Bà Rịa - Vũng Tàu</v>
          </cell>
          <cell r="BX1613" t="str">
            <v>AON</v>
          </cell>
        </row>
        <row r="1614">
          <cell r="A1614" t="str">
            <v>ON</v>
          </cell>
          <cell r="B1614" t="str">
            <v>Trong 24h</v>
          </cell>
          <cell r="D1614" t="str">
            <v>Khiếu nại về dịch vụ NextTV</v>
          </cell>
          <cell r="W1614" t="str">
            <v>Đã đóng</v>
          </cell>
          <cell r="AJ1614" t="str">
            <v>Sóc Trăng</v>
          </cell>
          <cell r="BX1614" t="str">
            <v>AON</v>
          </cell>
        </row>
        <row r="1615">
          <cell r="A1615" t="str">
            <v>ON</v>
          </cell>
          <cell r="B1615" t="str">
            <v>Trong 24h</v>
          </cell>
          <cell r="D1615" t="str">
            <v>Khiếu nại về dịch vụ FTTH</v>
          </cell>
          <cell r="W1615" t="str">
            <v>Đã đóng</v>
          </cell>
          <cell r="AJ1615" t="str">
            <v>Bình Dương</v>
          </cell>
          <cell r="BX1615" t="str">
            <v>AON</v>
          </cell>
        </row>
        <row r="1616">
          <cell r="A1616" t="str">
            <v>ON</v>
          </cell>
          <cell r="B1616" t="str">
            <v>Trong 24h</v>
          </cell>
          <cell r="D1616" t="str">
            <v>Khiếu nại về dịch vụ FTTH</v>
          </cell>
          <cell r="W1616" t="str">
            <v>Đang xử lý</v>
          </cell>
          <cell r="AJ1616" t="str">
            <v>An Giang</v>
          </cell>
          <cell r="BX1616" t="str">
            <v>AON</v>
          </cell>
        </row>
        <row r="1617">
          <cell r="A1617" t="str">
            <v>ON</v>
          </cell>
          <cell r="B1617" t="str">
            <v>Trong 24h</v>
          </cell>
          <cell r="D1617" t="str">
            <v>Khiếu nại về dịch vụ FTTH</v>
          </cell>
          <cell r="W1617" t="str">
            <v>Đang xử lý</v>
          </cell>
          <cell r="AJ1617" t="str">
            <v>Gia Lai</v>
          </cell>
          <cell r="BX1617" t="str">
            <v>AON</v>
          </cell>
        </row>
        <row r="1618">
          <cell r="A1618" t="str">
            <v>ON</v>
          </cell>
          <cell r="B1618" t="str">
            <v>Trong 24h</v>
          </cell>
          <cell r="D1618" t="str">
            <v>Khiếu nại về dịch vụ FTTH</v>
          </cell>
          <cell r="W1618" t="str">
            <v>Đã đóng</v>
          </cell>
          <cell r="AJ1618" t="str">
            <v>Quảng Bình</v>
          </cell>
          <cell r="BX1618" t="str">
            <v>AON</v>
          </cell>
        </row>
        <row r="1619">
          <cell r="A1619" t="str">
            <v>ON</v>
          </cell>
          <cell r="B1619" t="str">
            <v>Trong 24h</v>
          </cell>
          <cell r="D1619" t="str">
            <v>Khiếu nại về dịch vụ FTTH</v>
          </cell>
          <cell r="W1619" t="str">
            <v>Đã đóng</v>
          </cell>
          <cell r="AJ1619" t="str">
            <v>Sơn La</v>
          </cell>
          <cell r="BX1619" t="str">
            <v>AON</v>
          </cell>
        </row>
        <row r="1620">
          <cell r="A1620" t="str">
            <v>ON</v>
          </cell>
          <cell r="B1620" t="str">
            <v>Trong 24h</v>
          </cell>
          <cell r="D1620" t="str">
            <v>Khiếu nại về dịch vụ FTTH</v>
          </cell>
          <cell r="W1620" t="str">
            <v>Đã đóng</v>
          </cell>
          <cell r="AJ1620" t="str">
            <v>Nam Định</v>
          </cell>
          <cell r="BX1620" t="str">
            <v>AON</v>
          </cell>
        </row>
        <row r="1621">
          <cell r="A1621" t="str">
            <v>ON</v>
          </cell>
          <cell r="B1621" t="str">
            <v>Trong 24h</v>
          </cell>
          <cell r="D1621" t="str">
            <v>Khiếu nại về dịch vụ NextTV</v>
          </cell>
          <cell r="W1621" t="str">
            <v>Đã đóng</v>
          </cell>
          <cell r="AJ1621" t="str">
            <v>Bà Rịa - Vũng Tàu</v>
          </cell>
          <cell r="BX1621" t="str">
            <v>AON</v>
          </cell>
        </row>
        <row r="1622">
          <cell r="A1622" t="str">
            <v>ON</v>
          </cell>
          <cell r="B1622" t="str">
            <v>Trong 24h</v>
          </cell>
          <cell r="D1622" t="str">
            <v>Khiếu nại về dịch vụ FTTH</v>
          </cell>
          <cell r="W1622" t="str">
            <v>Đã đóng</v>
          </cell>
          <cell r="AJ1622" t="str">
            <v>Hà Nội 2</v>
          </cell>
          <cell r="BX1622" t="str">
            <v>AON</v>
          </cell>
        </row>
        <row r="1623">
          <cell r="A1623" t="str">
            <v>ON</v>
          </cell>
          <cell r="B1623" t="str">
            <v>Trong 24h</v>
          </cell>
          <cell r="D1623" t="str">
            <v>Khiếu nại về dịch vụ NextTV</v>
          </cell>
          <cell r="W1623" t="str">
            <v>Đã đóng</v>
          </cell>
          <cell r="AJ1623" t="str">
            <v>Bà Rịa - Vũng Tàu</v>
          </cell>
          <cell r="BX1623" t="str">
            <v>AON</v>
          </cell>
        </row>
        <row r="1624">
          <cell r="A1624" t="str">
            <v>ON</v>
          </cell>
          <cell r="B1624" t="str">
            <v>Trong 24h</v>
          </cell>
          <cell r="D1624" t="str">
            <v>Khiếu nại về dịch vụ FTTH</v>
          </cell>
          <cell r="W1624" t="str">
            <v>Đã đóng</v>
          </cell>
          <cell r="AJ1624" t="str">
            <v>TP HCM</v>
          </cell>
          <cell r="BX1624" t="str">
            <v>AON</v>
          </cell>
        </row>
        <row r="1625">
          <cell r="A1625" t="str">
            <v>ON</v>
          </cell>
          <cell r="B1625" t="str">
            <v>Trong 24h</v>
          </cell>
          <cell r="D1625" t="str">
            <v>Khiếu nại về dịch vụ FTTH</v>
          </cell>
          <cell r="W1625" t="str">
            <v>Đang xử lý</v>
          </cell>
          <cell r="AJ1625" t="str">
            <v>Cần Thơ</v>
          </cell>
          <cell r="BX1625" t="str">
            <v>AON</v>
          </cell>
        </row>
        <row r="1626">
          <cell r="A1626" t="str">
            <v>ON</v>
          </cell>
          <cell r="B1626" t="str">
            <v>Trong 24h</v>
          </cell>
          <cell r="D1626" t="str">
            <v>Khiếu nại về dịch vụ FTTH</v>
          </cell>
          <cell r="W1626" t="str">
            <v>Đang xử lý</v>
          </cell>
          <cell r="AJ1626" t="str">
            <v>TP HCM</v>
          </cell>
          <cell r="BX1626" t="str">
            <v>GPON</v>
          </cell>
        </row>
        <row r="1627">
          <cell r="A1627" t="str">
            <v>ON</v>
          </cell>
          <cell r="B1627" t="str">
            <v>Trong 24h</v>
          </cell>
          <cell r="D1627" t="str">
            <v>Khiếu nại về dịch vụ FTTH</v>
          </cell>
          <cell r="W1627" t="str">
            <v>Đang xử lý</v>
          </cell>
          <cell r="AJ1627" t="str">
            <v xml:space="preserve">Đà Nẵng </v>
          </cell>
          <cell r="BX1627" t="str">
            <v>AON</v>
          </cell>
        </row>
        <row r="1628">
          <cell r="A1628" t="str">
            <v>ON</v>
          </cell>
          <cell r="B1628" t="str">
            <v>Trong 24h</v>
          </cell>
          <cell r="D1628" t="str">
            <v>Khiếu nại về dịch vụ FTTH</v>
          </cell>
          <cell r="W1628" t="str">
            <v>Đang xử lý</v>
          </cell>
          <cell r="AJ1628" t="str">
            <v>Quảng Ninh</v>
          </cell>
          <cell r="BX1628" t="str">
            <v>AON</v>
          </cell>
        </row>
        <row r="1629">
          <cell r="A1629" t="str">
            <v>ON</v>
          </cell>
          <cell r="B1629" t="str">
            <v>Trong 24h</v>
          </cell>
          <cell r="D1629" t="str">
            <v>Khiếu nại về dịch vụ FTTH</v>
          </cell>
          <cell r="W1629" t="str">
            <v>Đang xử lý</v>
          </cell>
          <cell r="AJ1629" t="str">
            <v>Bình Dương</v>
          </cell>
          <cell r="BX1629" t="str">
            <v>AON</v>
          </cell>
        </row>
        <row r="1630">
          <cell r="A1630" t="str">
            <v>ON</v>
          </cell>
          <cell r="B1630" t="str">
            <v>Trong 24h</v>
          </cell>
          <cell r="D1630" t="str">
            <v>Khiếu nại về dịch vụ NextTV</v>
          </cell>
          <cell r="W1630" t="str">
            <v>Đã đóng</v>
          </cell>
          <cell r="AJ1630" t="str">
            <v>Bà Rịa - Vũng Tàu</v>
          </cell>
          <cell r="BX1630" t="str">
            <v>AON</v>
          </cell>
        </row>
        <row r="1631">
          <cell r="A1631" t="str">
            <v>ON</v>
          </cell>
          <cell r="B1631" t="str">
            <v>Trong 24h</v>
          </cell>
          <cell r="D1631" t="str">
            <v>Khiếu nại về dịch vụ FTTH</v>
          </cell>
          <cell r="W1631" t="str">
            <v>Đã đóng</v>
          </cell>
          <cell r="AJ1631" t="str">
            <v xml:space="preserve">Đắc Lắk </v>
          </cell>
          <cell r="BX1631" t="str">
            <v>AON</v>
          </cell>
        </row>
        <row r="1632">
          <cell r="A1632" t="str">
            <v>ON</v>
          </cell>
          <cell r="B1632" t="str">
            <v>Trong 24h</v>
          </cell>
          <cell r="D1632" t="str">
            <v>Khiếu nại về dịch vụ FTTH</v>
          </cell>
          <cell r="W1632" t="str">
            <v>Đã đóng</v>
          </cell>
          <cell r="AJ1632" t="str">
            <v>Hà Giang</v>
          </cell>
          <cell r="BX1632" t="str">
            <v>AON</v>
          </cell>
        </row>
        <row r="1633">
          <cell r="A1633" t="str">
            <v>ON</v>
          </cell>
          <cell r="B1633" t="str">
            <v>Trong 24h</v>
          </cell>
          <cell r="D1633" t="str">
            <v>Khiếu nại về dịch vụ FTTH</v>
          </cell>
          <cell r="W1633" t="str">
            <v>Đang xử lý</v>
          </cell>
          <cell r="AJ1633" t="str">
            <v>Bình Thuận</v>
          </cell>
          <cell r="BX1633" t="str">
            <v>AON</v>
          </cell>
        </row>
        <row r="1634">
          <cell r="A1634" t="str">
            <v>ON</v>
          </cell>
          <cell r="B1634" t="str">
            <v>Trong 24h</v>
          </cell>
          <cell r="D1634" t="str">
            <v>Khiếu nại về dịch vụ FTTH</v>
          </cell>
          <cell r="W1634" t="str">
            <v>Đã đóng</v>
          </cell>
          <cell r="AJ1634" t="str">
            <v>Hà Nội 2</v>
          </cell>
          <cell r="BX1634" t="str">
            <v>AON</v>
          </cell>
        </row>
        <row r="1635">
          <cell r="A1635" t="str">
            <v>ON</v>
          </cell>
          <cell r="B1635" t="str">
            <v>Trong 24h</v>
          </cell>
          <cell r="D1635" t="str">
            <v>Khiếu nại về dịch vụ FTTH</v>
          </cell>
          <cell r="W1635" t="str">
            <v>Đang xử lý</v>
          </cell>
          <cell r="AJ1635" t="str">
            <v>Bến Tre</v>
          </cell>
          <cell r="BX1635" t="str">
            <v>AON</v>
          </cell>
        </row>
        <row r="1636">
          <cell r="A1636" t="str">
            <v>ON</v>
          </cell>
          <cell r="B1636" t="str">
            <v>Trong 24h</v>
          </cell>
          <cell r="D1636" t="str">
            <v>Khiếu nại về dịch vụ FTTH</v>
          </cell>
          <cell r="W1636" t="str">
            <v>Đang xử lý</v>
          </cell>
          <cell r="AJ1636" t="str">
            <v>Bắc Kạn</v>
          </cell>
          <cell r="BX1636" t="str">
            <v>AON</v>
          </cell>
        </row>
        <row r="1637">
          <cell r="A1637" t="str">
            <v>ON</v>
          </cell>
          <cell r="B1637" t="str">
            <v>Trong 24h</v>
          </cell>
          <cell r="D1637" t="str">
            <v>Khiếu nại về dịch vụ FTTH</v>
          </cell>
          <cell r="W1637" t="str">
            <v>Đã đóng</v>
          </cell>
          <cell r="AJ1637" t="str">
            <v>Hà Nội 1</v>
          </cell>
          <cell r="BX1637" t="str">
            <v>AON</v>
          </cell>
        </row>
        <row r="1638">
          <cell r="A1638" t="str">
            <v>ON</v>
          </cell>
          <cell r="B1638" t="str">
            <v>Trong 24h</v>
          </cell>
          <cell r="D1638" t="str">
            <v>Khiếu nại về dịch vụ FTTH</v>
          </cell>
          <cell r="W1638" t="str">
            <v>Đã đóng</v>
          </cell>
          <cell r="AJ1638" t="str">
            <v>TP HCM</v>
          </cell>
          <cell r="BX1638" t="str">
            <v>AON</v>
          </cell>
        </row>
        <row r="1639">
          <cell r="A1639" t="str">
            <v>ON</v>
          </cell>
          <cell r="B1639" t="str">
            <v>Trong 24h</v>
          </cell>
          <cell r="D1639" t="str">
            <v>Khiếu nại về dịch vụ FTTH</v>
          </cell>
          <cell r="W1639" t="str">
            <v>Đã đóng</v>
          </cell>
          <cell r="AJ1639" t="str">
            <v>TP HCM</v>
          </cell>
          <cell r="BX1639" t="str">
            <v>AON</v>
          </cell>
        </row>
        <row r="1640">
          <cell r="A1640" t="str">
            <v>ON</v>
          </cell>
          <cell r="B1640" t="str">
            <v>Trong 24h</v>
          </cell>
          <cell r="D1640" t="str">
            <v>Khiếu nại về dịch vụ FTTH</v>
          </cell>
          <cell r="W1640" t="str">
            <v>Đang xử lý</v>
          </cell>
          <cell r="AJ1640" t="str">
            <v>TP HCM</v>
          </cell>
          <cell r="BX1640" t="str">
            <v>AON</v>
          </cell>
        </row>
        <row r="1641">
          <cell r="A1641" t="str">
            <v>ON</v>
          </cell>
          <cell r="B1641" t="str">
            <v>Trong 24h</v>
          </cell>
          <cell r="D1641" t="str">
            <v>Khiếu nại về dịch vụ FTTH</v>
          </cell>
          <cell r="W1641" t="str">
            <v>Đã đóng</v>
          </cell>
          <cell r="AJ1641" t="str">
            <v>Phú Thọ</v>
          </cell>
          <cell r="BX1641" t="str">
            <v>AON</v>
          </cell>
        </row>
        <row r="1642">
          <cell r="A1642" t="str">
            <v>ON</v>
          </cell>
          <cell r="B1642" t="str">
            <v>Trong 24h</v>
          </cell>
          <cell r="D1642" t="str">
            <v>Khiếu nại về dịch vụ FTTH</v>
          </cell>
          <cell r="W1642" t="str">
            <v>Đã đóng</v>
          </cell>
          <cell r="AJ1642" t="str">
            <v>TP HCM</v>
          </cell>
          <cell r="BX1642" t="str">
            <v>AON</v>
          </cell>
        </row>
        <row r="1643">
          <cell r="A1643" t="str">
            <v>ON</v>
          </cell>
          <cell r="B1643" t="str">
            <v>Trong 24h</v>
          </cell>
          <cell r="D1643" t="str">
            <v>Khiếu nại về dịch vụ FTTH</v>
          </cell>
          <cell r="W1643" t="str">
            <v>Đã đóng</v>
          </cell>
          <cell r="AJ1643" t="str">
            <v>TP HCM</v>
          </cell>
          <cell r="BX1643" t="str">
            <v>AON</v>
          </cell>
        </row>
        <row r="1644">
          <cell r="A1644" t="str">
            <v>ON</v>
          </cell>
          <cell r="B1644" t="str">
            <v>Trong 24h</v>
          </cell>
          <cell r="D1644" t="str">
            <v>Khiếu nại về dịch vụ FTTH</v>
          </cell>
          <cell r="W1644" t="str">
            <v>Đang xử lý</v>
          </cell>
          <cell r="AJ1644" t="str">
            <v>TP HCM</v>
          </cell>
          <cell r="BX1644" t="str">
            <v>AON</v>
          </cell>
        </row>
        <row r="1645">
          <cell r="A1645" t="str">
            <v>ON</v>
          </cell>
          <cell r="B1645" t="str">
            <v>Trong 24h</v>
          </cell>
          <cell r="D1645" t="str">
            <v>Khiếu nại về dịch vụ FTTH</v>
          </cell>
          <cell r="W1645" t="str">
            <v>Đã đóng</v>
          </cell>
          <cell r="AJ1645" t="str">
            <v>Hậu Giang</v>
          </cell>
          <cell r="BX1645" t="str">
            <v>AON</v>
          </cell>
        </row>
        <row r="1646">
          <cell r="A1646" t="str">
            <v>ON</v>
          </cell>
          <cell r="B1646" t="str">
            <v>Trong 24h</v>
          </cell>
          <cell r="D1646" t="str">
            <v>Khiếu nại về dịch vụ FTTH</v>
          </cell>
          <cell r="W1646" t="str">
            <v>Đang xử lý</v>
          </cell>
          <cell r="AJ1646" t="str">
            <v>Thái Nguyên</v>
          </cell>
          <cell r="BX1646" t="str">
            <v>AON</v>
          </cell>
        </row>
        <row r="1647">
          <cell r="A1647" t="str">
            <v>ON</v>
          </cell>
          <cell r="B1647" t="str">
            <v>Trong 24h</v>
          </cell>
          <cell r="D1647" t="str">
            <v>Khiếu nại về dịch vụ FTTH</v>
          </cell>
          <cell r="W1647" t="str">
            <v>Đã đóng</v>
          </cell>
          <cell r="AJ1647" t="str">
            <v>Khánh Hoà</v>
          </cell>
          <cell r="BX1647" t="str">
            <v>AON</v>
          </cell>
        </row>
        <row r="1648">
          <cell r="A1648" t="str">
            <v>ON</v>
          </cell>
          <cell r="B1648" t="str">
            <v>Trong 24h</v>
          </cell>
          <cell r="D1648" t="str">
            <v>Khiếu nại về dịch vụ FTTH</v>
          </cell>
          <cell r="W1648" t="str">
            <v>Đang xử lý</v>
          </cell>
          <cell r="AJ1648" t="str">
            <v>Đồng Tháp</v>
          </cell>
          <cell r="BX1648" t="str">
            <v>AON</v>
          </cell>
        </row>
        <row r="1649">
          <cell r="A1649" t="str">
            <v>ON</v>
          </cell>
          <cell r="B1649" t="str">
            <v>Trong 24h</v>
          </cell>
          <cell r="D1649" t="str">
            <v>Khiếu nại về dịch vụ FTTH</v>
          </cell>
          <cell r="W1649" t="str">
            <v>Đã đóng</v>
          </cell>
          <cell r="AJ1649" t="str">
            <v>TP HCM</v>
          </cell>
          <cell r="BX1649" t="str">
            <v>AON</v>
          </cell>
        </row>
        <row r="1650">
          <cell r="A1650" t="str">
            <v>ON</v>
          </cell>
          <cell r="B1650" t="str">
            <v>Trong 24h</v>
          </cell>
          <cell r="D1650" t="str">
            <v>Khiếu nại về dịch vụ FTTH</v>
          </cell>
          <cell r="W1650" t="str">
            <v>Đã đóng</v>
          </cell>
          <cell r="AJ1650" t="str">
            <v>Đồng Tháp</v>
          </cell>
          <cell r="BX1650" t="str">
            <v>AON</v>
          </cell>
        </row>
        <row r="1651">
          <cell r="A1651" t="str">
            <v>ON</v>
          </cell>
          <cell r="B1651" t="str">
            <v>Trong 24h</v>
          </cell>
          <cell r="D1651" t="str">
            <v>Khiếu nại về dịch vụ NextTV</v>
          </cell>
          <cell r="W1651" t="str">
            <v>Đã đóng</v>
          </cell>
          <cell r="AJ1651" t="str">
            <v>Ninh Thuận</v>
          </cell>
          <cell r="BX1651" t="str">
            <v>AON</v>
          </cell>
        </row>
        <row r="1652">
          <cell r="A1652" t="str">
            <v>ON</v>
          </cell>
          <cell r="B1652" t="str">
            <v>Trong 24h</v>
          </cell>
          <cell r="D1652" t="str">
            <v>Khiếu nại về dịch vụ FTTH</v>
          </cell>
          <cell r="W1652" t="str">
            <v>Đã đóng</v>
          </cell>
          <cell r="AJ1652" t="str">
            <v>TP HCM</v>
          </cell>
          <cell r="BX1652" t="str">
            <v>AON</v>
          </cell>
        </row>
        <row r="1653">
          <cell r="A1653" t="str">
            <v>ON</v>
          </cell>
          <cell r="B1653" t="str">
            <v>Trong 24h</v>
          </cell>
          <cell r="D1653" t="str">
            <v>Khiếu nại về dịch vụ FTTH</v>
          </cell>
          <cell r="W1653" t="str">
            <v>Đã đóng</v>
          </cell>
          <cell r="AJ1653" t="str">
            <v>Hà Nội 2</v>
          </cell>
          <cell r="BX1653" t="str">
            <v>AON</v>
          </cell>
        </row>
        <row r="1654">
          <cell r="A1654" t="str">
            <v>ON</v>
          </cell>
          <cell r="B1654" t="str">
            <v>Trong 24h</v>
          </cell>
          <cell r="D1654" t="str">
            <v>Khiếu nại về dịch vụ FTTH</v>
          </cell>
          <cell r="W1654" t="str">
            <v>Đã đóng</v>
          </cell>
          <cell r="AJ1654" t="str">
            <v>Hậu Giang</v>
          </cell>
          <cell r="BX1654" t="str">
            <v>AON</v>
          </cell>
        </row>
        <row r="1655">
          <cell r="A1655" t="str">
            <v>ON</v>
          </cell>
          <cell r="B1655" t="str">
            <v>Trong 24h</v>
          </cell>
          <cell r="D1655" t="str">
            <v>Khiếu nại về dịch vụ FTTH</v>
          </cell>
          <cell r="W1655" t="str">
            <v>Đang xử lý</v>
          </cell>
          <cell r="AJ1655" t="str">
            <v>Thái Nguyên</v>
          </cell>
          <cell r="BX1655" t="str">
            <v>AON</v>
          </cell>
        </row>
        <row r="1656">
          <cell r="A1656" t="str">
            <v>ON</v>
          </cell>
          <cell r="B1656" t="str">
            <v>Trong 24h</v>
          </cell>
          <cell r="D1656" t="str">
            <v>Khiếu nại về dịch vụ FTTH</v>
          </cell>
          <cell r="W1656" t="str">
            <v>Đã đóng</v>
          </cell>
          <cell r="AJ1656" t="str">
            <v>Long An</v>
          </cell>
          <cell r="BX1656" t="str">
            <v>AON</v>
          </cell>
        </row>
        <row r="1657">
          <cell r="A1657" t="str">
            <v>ON</v>
          </cell>
          <cell r="B1657" t="str">
            <v>Trong 24h</v>
          </cell>
          <cell r="D1657" t="str">
            <v>Khiếu nại về dịch vụ FTTH</v>
          </cell>
          <cell r="W1657" t="str">
            <v>Đang xử lý</v>
          </cell>
          <cell r="AJ1657" t="str">
            <v>Bình Thuận</v>
          </cell>
          <cell r="BX1657" t="str">
            <v>AON</v>
          </cell>
        </row>
        <row r="1658">
          <cell r="A1658" t="str">
            <v>ON</v>
          </cell>
          <cell r="B1658" t="str">
            <v>Trong 24h</v>
          </cell>
          <cell r="D1658" t="str">
            <v>Khiếu nại về dịch vụ FTTH</v>
          </cell>
          <cell r="W1658" t="str">
            <v>Đang xử lý</v>
          </cell>
          <cell r="AJ1658" t="str">
            <v>Thái Nguyên</v>
          </cell>
          <cell r="BX1658" t="str">
            <v>AON</v>
          </cell>
        </row>
        <row r="1659">
          <cell r="A1659" t="str">
            <v>ON</v>
          </cell>
          <cell r="B1659" t="str">
            <v>Trong 24h</v>
          </cell>
          <cell r="D1659" t="str">
            <v>Khiếu nại về dịch vụ FTTH</v>
          </cell>
          <cell r="W1659" t="str">
            <v>Đã đóng</v>
          </cell>
          <cell r="AJ1659" t="str">
            <v>TP HCM</v>
          </cell>
          <cell r="BX1659" t="str">
            <v>AON</v>
          </cell>
        </row>
        <row r="1660">
          <cell r="A1660" t="str">
            <v>ON</v>
          </cell>
          <cell r="B1660" t="str">
            <v>Trong 24h</v>
          </cell>
          <cell r="D1660" t="str">
            <v>Khiếu nại về dịch vụ FTTH</v>
          </cell>
          <cell r="W1660" t="str">
            <v>Đã đóng</v>
          </cell>
          <cell r="AJ1660" t="str">
            <v>Hà Nội 1</v>
          </cell>
          <cell r="BX1660" t="str">
            <v>AON</v>
          </cell>
        </row>
        <row r="1661">
          <cell r="A1661" t="str">
            <v>ON</v>
          </cell>
          <cell r="B1661" t="str">
            <v>Trong 24h</v>
          </cell>
          <cell r="D1661" t="str">
            <v>Khiếu nại về dịch vụ FTTH</v>
          </cell>
          <cell r="W1661" t="str">
            <v>Đã đóng</v>
          </cell>
          <cell r="AJ1661" t="str">
            <v>TP HCM</v>
          </cell>
          <cell r="BX1661" t="str">
            <v>AON</v>
          </cell>
        </row>
        <row r="1662">
          <cell r="A1662" t="str">
            <v>ON</v>
          </cell>
          <cell r="B1662" t="str">
            <v>Trong 24h</v>
          </cell>
          <cell r="D1662" t="str">
            <v>Khiếu nại về dịch vụ FTTH</v>
          </cell>
          <cell r="W1662" t="str">
            <v>Đã đóng</v>
          </cell>
          <cell r="AJ1662" t="str">
            <v>TP HCM</v>
          </cell>
          <cell r="BX1662" t="str">
            <v>AON</v>
          </cell>
        </row>
        <row r="1663">
          <cell r="A1663" t="str">
            <v>ON</v>
          </cell>
          <cell r="B1663" t="str">
            <v>Trong 24h</v>
          </cell>
          <cell r="D1663" t="str">
            <v>Khiếu nại về dịch vụ FTTH</v>
          </cell>
          <cell r="W1663" t="str">
            <v>Đã đóng</v>
          </cell>
          <cell r="AJ1663" t="str">
            <v>Hậu Giang</v>
          </cell>
          <cell r="BX1663" t="str">
            <v>AON</v>
          </cell>
        </row>
        <row r="1664">
          <cell r="A1664" t="str">
            <v>ON</v>
          </cell>
          <cell r="B1664" t="str">
            <v>Trong 24h</v>
          </cell>
          <cell r="D1664" t="str">
            <v>Khiếu nại về dịch vụ FTTH</v>
          </cell>
          <cell r="W1664" t="str">
            <v>Đã đóng</v>
          </cell>
          <cell r="AJ1664" t="str">
            <v>Bắc Giang</v>
          </cell>
          <cell r="BX1664" t="str">
            <v>AON</v>
          </cell>
        </row>
        <row r="1665">
          <cell r="A1665" t="str">
            <v>ON</v>
          </cell>
          <cell r="B1665" t="str">
            <v>Trong 24h</v>
          </cell>
          <cell r="D1665" t="str">
            <v>Khiếu nại về dịch vụ FTTH</v>
          </cell>
          <cell r="W1665" t="str">
            <v>Đã đóng</v>
          </cell>
          <cell r="AJ1665" t="str">
            <v>Bắc Ninh</v>
          </cell>
          <cell r="BX1665" t="str">
            <v>AON</v>
          </cell>
        </row>
        <row r="1666">
          <cell r="A1666" t="str">
            <v>ON</v>
          </cell>
          <cell r="B1666" t="str">
            <v>Trong 24h</v>
          </cell>
          <cell r="D1666" t="str">
            <v>Khiếu nại về dịch vụ FTTH</v>
          </cell>
          <cell r="W1666" t="str">
            <v>Đã đóng</v>
          </cell>
          <cell r="AJ1666" t="str">
            <v>Tiền Giang</v>
          </cell>
          <cell r="BX1666" t="str">
            <v>AON</v>
          </cell>
        </row>
        <row r="1667">
          <cell r="A1667" t="str">
            <v>ON</v>
          </cell>
          <cell r="B1667" t="str">
            <v>Trong 24h</v>
          </cell>
          <cell r="D1667" t="str">
            <v>Khiếu nại về dịch vụ FTTH</v>
          </cell>
          <cell r="W1667" t="str">
            <v>Đang xử lý</v>
          </cell>
          <cell r="AJ1667" t="str">
            <v>Quảng Ninh</v>
          </cell>
          <cell r="BX1667" t="str">
            <v>AON</v>
          </cell>
        </row>
        <row r="1668">
          <cell r="A1668" t="str">
            <v>ON</v>
          </cell>
          <cell r="B1668" t="str">
            <v>Trong 24h</v>
          </cell>
          <cell r="D1668" t="str">
            <v>Khiếu nại về dịch vụ FTTH</v>
          </cell>
          <cell r="W1668" t="str">
            <v>Đã đóng</v>
          </cell>
          <cell r="AJ1668" t="str">
            <v>Hậu Giang</v>
          </cell>
          <cell r="BX1668" t="str">
            <v>AON</v>
          </cell>
        </row>
        <row r="1669">
          <cell r="A1669" t="str">
            <v>ON</v>
          </cell>
          <cell r="B1669" t="str">
            <v>Trong 24h</v>
          </cell>
          <cell r="D1669" t="str">
            <v>Khiếu nại về dịch vụ FTTH</v>
          </cell>
          <cell r="W1669" t="str">
            <v>Đang xử lý</v>
          </cell>
          <cell r="AJ1669" t="str">
            <v>Nghệ An</v>
          </cell>
          <cell r="BX1669" t="str">
            <v>AON</v>
          </cell>
        </row>
        <row r="1670">
          <cell r="A1670" t="str">
            <v>ON</v>
          </cell>
          <cell r="B1670" t="str">
            <v>Trong 24h</v>
          </cell>
          <cell r="D1670" t="str">
            <v>Khiếu nại về dịch vụ FTTH</v>
          </cell>
          <cell r="W1670" t="str">
            <v>Đã đóng</v>
          </cell>
          <cell r="AJ1670" t="str">
            <v>Thừa Thiên Huế</v>
          </cell>
          <cell r="BX1670" t="str">
            <v>AON</v>
          </cell>
        </row>
        <row r="1671">
          <cell r="A1671" t="str">
            <v>ON</v>
          </cell>
          <cell r="B1671" t="str">
            <v>Trong 24h</v>
          </cell>
          <cell r="D1671" t="str">
            <v>Khiếu nại về dịch vụ FTTH</v>
          </cell>
          <cell r="W1671" t="str">
            <v>Đã đóng</v>
          </cell>
          <cell r="AJ1671" t="str">
            <v>Ninh Thuận</v>
          </cell>
          <cell r="BX1671" t="str">
            <v>AON</v>
          </cell>
        </row>
        <row r="1672">
          <cell r="A1672" t="str">
            <v>ON</v>
          </cell>
          <cell r="B1672" t="str">
            <v>Trong 24h</v>
          </cell>
          <cell r="D1672" t="str">
            <v>Khiếu nại về dịch vụ NextTV</v>
          </cell>
          <cell r="W1672" t="str">
            <v>Đang xử lý</v>
          </cell>
          <cell r="AJ1672" t="str">
            <v>Nghệ An</v>
          </cell>
          <cell r="BX1672" t="str">
            <v>AON</v>
          </cell>
        </row>
        <row r="1673">
          <cell r="A1673" t="str">
            <v>ON</v>
          </cell>
          <cell r="B1673" t="str">
            <v>Trong 24h</v>
          </cell>
          <cell r="D1673" t="str">
            <v>Khiếu nại về dịch vụ FTTH</v>
          </cell>
          <cell r="W1673" t="str">
            <v>Đã đóng</v>
          </cell>
          <cell r="AJ1673" t="str">
            <v xml:space="preserve">Đà Nẵng </v>
          </cell>
          <cell r="BX1673" t="str">
            <v>AON</v>
          </cell>
        </row>
        <row r="1674">
          <cell r="A1674" t="str">
            <v>ON</v>
          </cell>
          <cell r="B1674" t="str">
            <v>Trong 24h</v>
          </cell>
          <cell r="D1674" t="str">
            <v>Khiếu nại về dịch vụ FTTH</v>
          </cell>
          <cell r="W1674" t="str">
            <v>Đang xử lý</v>
          </cell>
          <cell r="AJ1674" t="str">
            <v>Thừa Thiên Huế</v>
          </cell>
          <cell r="BX1674" t="str">
            <v>AON</v>
          </cell>
        </row>
        <row r="1675">
          <cell r="A1675" t="str">
            <v>ON</v>
          </cell>
          <cell r="B1675" t="str">
            <v>Trong 24h</v>
          </cell>
          <cell r="D1675" t="str">
            <v>Khiếu nại về dịch vụ FTTH</v>
          </cell>
          <cell r="W1675" t="str">
            <v>Đang xử lý</v>
          </cell>
          <cell r="AJ1675" t="str">
            <v>Hải Phòng</v>
          </cell>
          <cell r="BX1675" t="str">
            <v>AON</v>
          </cell>
        </row>
        <row r="1676">
          <cell r="A1676" t="str">
            <v>ON</v>
          </cell>
          <cell r="B1676" t="str">
            <v>Trong 24h</v>
          </cell>
          <cell r="D1676" t="str">
            <v>Khiếu nại về dịch vụ NextTV</v>
          </cell>
          <cell r="W1676" t="str">
            <v>Đang xử lý</v>
          </cell>
          <cell r="AJ1676" t="str">
            <v>Bắc Ninh</v>
          </cell>
          <cell r="BX1676" t="str">
            <v>AON</v>
          </cell>
        </row>
        <row r="1677">
          <cell r="A1677" t="str">
            <v>ON</v>
          </cell>
          <cell r="B1677" t="str">
            <v>Trong 24h</v>
          </cell>
          <cell r="D1677" t="str">
            <v>Khiếu nại về dịch vụ FTTH</v>
          </cell>
          <cell r="W1677" t="str">
            <v>Đã đóng</v>
          </cell>
          <cell r="AJ1677" t="str">
            <v>Quảng Ninh</v>
          </cell>
          <cell r="BX1677" t="str">
            <v>AON</v>
          </cell>
        </row>
        <row r="1678">
          <cell r="A1678" t="str">
            <v>ON</v>
          </cell>
          <cell r="B1678" t="str">
            <v>Trong 24h</v>
          </cell>
          <cell r="D1678" t="str">
            <v>Khiếu nại về dịch vụ FTTH</v>
          </cell>
          <cell r="W1678" t="str">
            <v>Đã đóng</v>
          </cell>
          <cell r="AJ1678" t="str">
            <v>Hà Nội 1</v>
          </cell>
          <cell r="BX1678" t="str">
            <v>AON</v>
          </cell>
        </row>
        <row r="1679">
          <cell r="A1679" t="str">
            <v>ON</v>
          </cell>
          <cell r="B1679" t="str">
            <v>Trong 24h</v>
          </cell>
          <cell r="D1679" t="str">
            <v>Khiếu nại về dịch vụ FTTH</v>
          </cell>
          <cell r="W1679" t="str">
            <v>Đang xử lý</v>
          </cell>
          <cell r="AJ1679" t="str">
            <v>Hà Nội 1</v>
          </cell>
          <cell r="BX1679" t="str">
            <v>AON</v>
          </cell>
        </row>
        <row r="1680">
          <cell r="A1680" t="str">
            <v>ON</v>
          </cell>
          <cell r="B1680" t="str">
            <v>Trong 24h</v>
          </cell>
          <cell r="D1680" t="str">
            <v>Khiếu nại về dịch vụ FTTH</v>
          </cell>
          <cell r="W1680" t="str">
            <v>Đã đóng</v>
          </cell>
          <cell r="AJ1680" t="str">
            <v xml:space="preserve">Đà Nẵng </v>
          </cell>
          <cell r="BX1680" t="str">
            <v>AON</v>
          </cell>
        </row>
        <row r="1681">
          <cell r="A1681" t="str">
            <v>ON</v>
          </cell>
          <cell r="B1681" t="str">
            <v>Trong 24h</v>
          </cell>
          <cell r="D1681" t="str">
            <v>Khiếu nại về dịch vụ FTTH</v>
          </cell>
          <cell r="W1681" t="str">
            <v>Đang xử lý</v>
          </cell>
          <cell r="AJ1681" t="str">
            <v>TP HCM</v>
          </cell>
          <cell r="BX1681" t="str">
            <v>AON</v>
          </cell>
        </row>
        <row r="1682">
          <cell r="A1682" t="str">
            <v>ON</v>
          </cell>
          <cell r="B1682" t="str">
            <v>Trong 24h</v>
          </cell>
          <cell r="D1682" t="str">
            <v>Khiếu nại về dịch vụ NextTV</v>
          </cell>
          <cell r="W1682" t="str">
            <v>Đã đóng</v>
          </cell>
          <cell r="AJ1682" t="str">
            <v>Thái Nguyên</v>
          </cell>
          <cell r="BX1682" t="str">
            <v>AON</v>
          </cell>
        </row>
        <row r="1683">
          <cell r="A1683" t="str">
            <v>ON</v>
          </cell>
          <cell r="B1683" t="str">
            <v>Trong 24h</v>
          </cell>
          <cell r="D1683" t="str">
            <v>Khiếu nại về dịch vụ FTTH</v>
          </cell>
          <cell r="W1683" t="str">
            <v>Đã đóng</v>
          </cell>
          <cell r="AJ1683" t="str">
            <v>TP HCM</v>
          </cell>
          <cell r="BX1683" t="str">
            <v>AON</v>
          </cell>
        </row>
        <row r="1684">
          <cell r="A1684" t="str">
            <v>ON</v>
          </cell>
          <cell r="B1684" t="str">
            <v>Trong 24h</v>
          </cell>
          <cell r="D1684" t="str">
            <v>Khiếu nại về dịch vụ NextTV</v>
          </cell>
          <cell r="W1684" t="str">
            <v>Đang xử lý</v>
          </cell>
          <cell r="AJ1684" t="str">
            <v>Quảng Ninh</v>
          </cell>
          <cell r="BX1684" t="str">
            <v>AON</v>
          </cell>
        </row>
        <row r="1685">
          <cell r="A1685" t="str">
            <v>ON</v>
          </cell>
          <cell r="B1685" t="str">
            <v>Trong 24h</v>
          </cell>
          <cell r="D1685" t="str">
            <v>Khiếu nại về dịch vụ FTTH</v>
          </cell>
          <cell r="W1685" t="str">
            <v>Đã đóng</v>
          </cell>
          <cell r="AJ1685" t="str">
            <v>TP HCM</v>
          </cell>
          <cell r="BX1685" t="str">
            <v>AON</v>
          </cell>
        </row>
        <row r="1686">
          <cell r="A1686" t="str">
            <v>ON</v>
          </cell>
          <cell r="B1686" t="str">
            <v>Trong 24h</v>
          </cell>
          <cell r="D1686" t="str">
            <v>Khiếu nại về dịch vụ FTTH</v>
          </cell>
          <cell r="W1686" t="str">
            <v>Đã đóng</v>
          </cell>
          <cell r="AJ1686" t="str">
            <v>TP HCM</v>
          </cell>
          <cell r="BX1686" t="str">
            <v>AON</v>
          </cell>
        </row>
        <row r="1687">
          <cell r="A1687" t="str">
            <v>ON</v>
          </cell>
          <cell r="B1687" t="str">
            <v>Trong 24h</v>
          </cell>
          <cell r="D1687" t="str">
            <v>Khiếu nại về dịch vụ NextTV</v>
          </cell>
          <cell r="W1687" t="str">
            <v>Đang xử lý</v>
          </cell>
          <cell r="AJ1687" t="str">
            <v>Bình Phước</v>
          </cell>
          <cell r="BX1687" t="str">
            <v>AON</v>
          </cell>
        </row>
        <row r="1688">
          <cell r="A1688" t="str">
            <v>ON</v>
          </cell>
          <cell r="B1688" t="str">
            <v>Trong 24h</v>
          </cell>
          <cell r="D1688" t="str">
            <v>Khiếu nại về dịch vụ FTTH</v>
          </cell>
          <cell r="W1688" t="str">
            <v>Đang xử lý</v>
          </cell>
          <cell r="AJ1688" t="str">
            <v>Bến Tre</v>
          </cell>
          <cell r="BX1688" t="str">
            <v>AON</v>
          </cell>
        </row>
        <row r="1689">
          <cell r="A1689" t="str">
            <v>ON</v>
          </cell>
          <cell r="B1689" t="str">
            <v>Trong 24h</v>
          </cell>
          <cell r="D1689" t="str">
            <v>Khiếu nại về dịch vụ FTTH</v>
          </cell>
          <cell r="W1689" t="str">
            <v>Đã đóng</v>
          </cell>
          <cell r="AJ1689" t="str">
            <v>TP HCM</v>
          </cell>
          <cell r="BX1689" t="str">
            <v>AON</v>
          </cell>
        </row>
        <row r="1690">
          <cell r="A1690" t="str">
            <v>ON</v>
          </cell>
          <cell r="B1690" t="str">
            <v>Trong 24h</v>
          </cell>
          <cell r="D1690" t="str">
            <v>Khiếu nại về dịch vụ FTTH</v>
          </cell>
          <cell r="W1690" t="str">
            <v>Đã đóng</v>
          </cell>
          <cell r="AJ1690" t="str">
            <v>Thừa Thiên Huế</v>
          </cell>
          <cell r="BX1690" t="str">
            <v>AON</v>
          </cell>
        </row>
        <row r="1691">
          <cell r="A1691" t="str">
            <v>ON</v>
          </cell>
          <cell r="B1691" t="str">
            <v>Trong 24h</v>
          </cell>
          <cell r="D1691" t="str">
            <v>Khiếu nại về dịch vụ FTTH</v>
          </cell>
          <cell r="W1691" t="str">
            <v>Đang xử lý</v>
          </cell>
          <cell r="AJ1691" t="str">
            <v>An Giang</v>
          </cell>
          <cell r="BX1691" t="str">
            <v>AON</v>
          </cell>
        </row>
        <row r="1692">
          <cell r="A1692" t="str">
            <v>ON</v>
          </cell>
          <cell r="B1692" t="str">
            <v>Trong 24h</v>
          </cell>
          <cell r="D1692" t="str">
            <v>Khiếu nại về dịch vụ FTTH</v>
          </cell>
          <cell r="W1692" t="str">
            <v>Đã đóng</v>
          </cell>
          <cell r="AJ1692" t="str">
            <v>Vĩnh Long</v>
          </cell>
          <cell r="BX1692" t="str">
            <v>AON</v>
          </cell>
        </row>
        <row r="1693">
          <cell r="A1693" t="str">
            <v>ON</v>
          </cell>
          <cell r="B1693" t="str">
            <v>Trong 24h</v>
          </cell>
          <cell r="D1693" t="str">
            <v>Khiếu nại về dịch vụ FTTH</v>
          </cell>
          <cell r="W1693" t="str">
            <v>Đã đóng</v>
          </cell>
          <cell r="AJ1693" t="str">
            <v>TP HCM</v>
          </cell>
          <cell r="BX1693" t="str">
            <v>GPON</v>
          </cell>
        </row>
        <row r="1694">
          <cell r="A1694" t="str">
            <v>ON</v>
          </cell>
          <cell r="B1694" t="str">
            <v>Trong 24h</v>
          </cell>
          <cell r="D1694" t="str">
            <v>Khiếu nại về dịch vụ FTTH</v>
          </cell>
          <cell r="W1694" t="str">
            <v>Đang xử lý</v>
          </cell>
          <cell r="AJ1694" t="str">
            <v>Bắc Ninh</v>
          </cell>
          <cell r="BX1694" t="str">
            <v>AON</v>
          </cell>
        </row>
        <row r="1695">
          <cell r="A1695" t="str">
            <v>ON</v>
          </cell>
          <cell r="B1695" t="str">
            <v>Trong 24h</v>
          </cell>
          <cell r="D1695" t="str">
            <v>Khiếu nại về dịch vụ FTTH</v>
          </cell>
          <cell r="W1695" t="str">
            <v>Đã đóng</v>
          </cell>
          <cell r="AJ1695" t="str">
            <v>Hà Nội 2</v>
          </cell>
          <cell r="BX1695" t="str">
            <v>AON</v>
          </cell>
        </row>
        <row r="1696">
          <cell r="A1696" t="str">
            <v>ON</v>
          </cell>
          <cell r="B1696" t="str">
            <v>Trong 24h</v>
          </cell>
          <cell r="D1696" t="str">
            <v>Khiếu nại về dịch vụ FTTH</v>
          </cell>
          <cell r="W1696" t="str">
            <v>Đang xử lý</v>
          </cell>
          <cell r="AJ1696" t="str">
            <v>Thái Nguyên</v>
          </cell>
          <cell r="BX1696" t="str">
            <v>AON</v>
          </cell>
        </row>
        <row r="1697">
          <cell r="A1697" t="str">
            <v>ON</v>
          </cell>
          <cell r="B1697" t="str">
            <v>Trong 24h</v>
          </cell>
          <cell r="D1697" t="str">
            <v>Khiếu nại về dịch vụ FTTH</v>
          </cell>
          <cell r="W1697" t="str">
            <v>Đã đóng</v>
          </cell>
          <cell r="AJ1697" t="str">
            <v>Hà Nội 1</v>
          </cell>
          <cell r="BX1697" t="str">
            <v>AON</v>
          </cell>
        </row>
        <row r="1698">
          <cell r="A1698" t="str">
            <v>ON</v>
          </cell>
          <cell r="B1698" t="str">
            <v>Trong 24h</v>
          </cell>
          <cell r="D1698" t="str">
            <v>Khiếu nại về dịch vụ FTTH</v>
          </cell>
          <cell r="W1698" t="str">
            <v>Đã đóng</v>
          </cell>
          <cell r="AJ1698" t="str">
            <v>Bắc Giang</v>
          </cell>
          <cell r="BX1698" t="str">
            <v>AON</v>
          </cell>
        </row>
        <row r="1699">
          <cell r="A1699" t="str">
            <v>ON</v>
          </cell>
          <cell r="B1699" t="str">
            <v>Trong 24h</v>
          </cell>
          <cell r="D1699" t="str">
            <v>Khiếu nại về dịch vụ FTTH</v>
          </cell>
          <cell r="W1699" t="str">
            <v>Đang xử lý</v>
          </cell>
          <cell r="AJ1699" t="str">
            <v xml:space="preserve">Hà Tĩnh </v>
          </cell>
          <cell r="BX1699" t="str">
            <v>AON</v>
          </cell>
        </row>
        <row r="1700">
          <cell r="A1700" t="str">
            <v>ON</v>
          </cell>
          <cell r="B1700" t="str">
            <v>Trong 24h</v>
          </cell>
          <cell r="D1700" t="str">
            <v>Khiếu nại về dịch vụ FTTH</v>
          </cell>
          <cell r="W1700" t="str">
            <v>Đã đóng</v>
          </cell>
          <cell r="AJ1700" t="str">
            <v>An Giang</v>
          </cell>
          <cell r="BX1700" t="str">
            <v>AON</v>
          </cell>
        </row>
        <row r="1701">
          <cell r="A1701" t="str">
            <v>ON</v>
          </cell>
          <cell r="B1701" t="str">
            <v>Trong 24h</v>
          </cell>
          <cell r="D1701" t="str">
            <v>Khiếu nại về dịch vụ FTTH</v>
          </cell>
          <cell r="W1701" t="str">
            <v>Đã đóng</v>
          </cell>
          <cell r="AJ1701" t="str">
            <v xml:space="preserve">Đồng Nai </v>
          </cell>
          <cell r="BX1701" t="str">
            <v>AON</v>
          </cell>
        </row>
        <row r="1702">
          <cell r="A1702" t="str">
            <v>ON</v>
          </cell>
          <cell r="B1702" t="str">
            <v>Trong 24h</v>
          </cell>
          <cell r="D1702" t="str">
            <v>Khiếu nại về dịch vụ FTTH</v>
          </cell>
          <cell r="W1702" t="str">
            <v>Đã đóng</v>
          </cell>
          <cell r="AJ1702" t="str">
            <v>Thái Nguyên</v>
          </cell>
          <cell r="BX1702" t="str">
            <v>AON</v>
          </cell>
        </row>
        <row r="1703">
          <cell r="A1703" t="str">
            <v>ON</v>
          </cell>
          <cell r="B1703" t="str">
            <v>Trong 24h</v>
          </cell>
          <cell r="D1703" t="str">
            <v>Khiếu nại về dịch vụ FTTH</v>
          </cell>
          <cell r="W1703" t="str">
            <v>Đã đóng</v>
          </cell>
          <cell r="AJ1703" t="str">
            <v>Cần Thơ</v>
          </cell>
          <cell r="BX1703" t="str">
            <v>AON</v>
          </cell>
        </row>
        <row r="1704">
          <cell r="A1704" t="str">
            <v>ON</v>
          </cell>
          <cell r="B1704" t="str">
            <v>Trong 24h</v>
          </cell>
          <cell r="D1704" t="str">
            <v>Khiếu nại về dịch vụ FTTH</v>
          </cell>
          <cell r="W1704" t="str">
            <v>Đang xử lý</v>
          </cell>
          <cell r="AJ1704" t="str">
            <v>TP HCM</v>
          </cell>
          <cell r="BX1704" t="str">
            <v>AON</v>
          </cell>
        </row>
        <row r="1705">
          <cell r="A1705" t="str">
            <v>ON</v>
          </cell>
          <cell r="B1705" t="str">
            <v>Trong 24h</v>
          </cell>
          <cell r="D1705" t="str">
            <v>Khiếu nại về dịch vụ FTTH</v>
          </cell>
          <cell r="W1705" t="str">
            <v>Đã đóng</v>
          </cell>
          <cell r="AJ1705" t="str">
            <v>Tuyên Quang</v>
          </cell>
          <cell r="BX1705" t="str">
            <v>AON</v>
          </cell>
        </row>
        <row r="1706">
          <cell r="A1706" t="str">
            <v>ON</v>
          </cell>
          <cell r="B1706" t="str">
            <v>Trong 24h</v>
          </cell>
          <cell r="D1706" t="str">
            <v>Khiếu nại về dịch vụ FTTH</v>
          </cell>
          <cell r="W1706" t="str">
            <v>Đã đóng</v>
          </cell>
          <cell r="AJ1706" t="str">
            <v>Hải Phòng</v>
          </cell>
          <cell r="BX1706" t="str">
            <v>AON</v>
          </cell>
        </row>
        <row r="1707">
          <cell r="A1707" t="str">
            <v>ON</v>
          </cell>
          <cell r="B1707" t="str">
            <v>Trong 24h</v>
          </cell>
          <cell r="D1707" t="str">
            <v>Khiếu nại về dịch vụ FTTH</v>
          </cell>
          <cell r="W1707" t="str">
            <v>Đã đóng</v>
          </cell>
          <cell r="AJ1707" t="str">
            <v>Ninh Bình</v>
          </cell>
          <cell r="BX1707" t="str">
            <v>AON</v>
          </cell>
        </row>
        <row r="1708">
          <cell r="A1708" t="str">
            <v>ON</v>
          </cell>
          <cell r="B1708" t="str">
            <v>Trong 24h</v>
          </cell>
          <cell r="D1708" t="str">
            <v>Khiếu nại về dịch vụ FTTH</v>
          </cell>
          <cell r="W1708" t="str">
            <v>Đang xử lý</v>
          </cell>
          <cell r="AJ1708" t="str">
            <v>Hà Nam</v>
          </cell>
          <cell r="BX1708" t="str">
            <v>AON</v>
          </cell>
        </row>
        <row r="1709">
          <cell r="A1709" t="str">
            <v>ON</v>
          </cell>
          <cell r="B1709" t="str">
            <v>Trong 24h</v>
          </cell>
          <cell r="D1709" t="str">
            <v>Khiếu nại về dịch vụ FTTH</v>
          </cell>
          <cell r="W1709" t="str">
            <v>Đã đóng</v>
          </cell>
          <cell r="AJ1709" t="str">
            <v>Ninh Thuận</v>
          </cell>
          <cell r="BX1709" t="str">
            <v>AON</v>
          </cell>
        </row>
        <row r="1710">
          <cell r="A1710" t="str">
            <v>ON</v>
          </cell>
          <cell r="B1710" t="str">
            <v>Trong 24h</v>
          </cell>
          <cell r="D1710" t="str">
            <v>Khiếu nại về dịch vụ FTTH</v>
          </cell>
          <cell r="W1710" t="str">
            <v>Đã đóng</v>
          </cell>
          <cell r="AJ1710" t="str">
            <v>TP HCM</v>
          </cell>
          <cell r="BX1710" t="str">
            <v>AON</v>
          </cell>
        </row>
        <row r="1711">
          <cell r="A1711" t="str">
            <v>ON</v>
          </cell>
          <cell r="B1711" t="str">
            <v>Trong 24h</v>
          </cell>
          <cell r="D1711" t="str">
            <v>Khiếu nại về dịch vụ FTTH</v>
          </cell>
          <cell r="W1711" t="str">
            <v>Đã đóng</v>
          </cell>
          <cell r="AJ1711" t="str">
            <v>Long An</v>
          </cell>
          <cell r="BX1711" t="str">
            <v>AON</v>
          </cell>
        </row>
        <row r="1712">
          <cell r="A1712" t="str">
            <v>ON</v>
          </cell>
          <cell r="B1712" t="str">
            <v>Trong 24h</v>
          </cell>
          <cell r="D1712" t="str">
            <v>Khiếu nại về dịch vụ FTTH</v>
          </cell>
          <cell r="W1712" t="str">
            <v>Đang xử lý</v>
          </cell>
          <cell r="AJ1712" t="str">
            <v>Quảng Ninh</v>
          </cell>
          <cell r="BX1712" t="str">
            <v>AON</v>
          </cell>
        </row>
        <row r="1713">
          <cell r="A1713" t="str">
            <v>ON</v>
          </cell>
          <cell r="B1713" t="str">
            <v>Trong 24h</v>
          </cell>
          <cell r="D1713" t="str">
            <v>Khiếu nại về dịch vụ FTTH</v>
          </cell>
          <cell r="W1713" t="str">
            <v>Đã đóng</v>
          </cell>
          <cell r="AJ1713" t="str">
            <v xml:space="preserve">Hà Tĩnh </v>
          </cell>
          <cell r="BX1713" t="str">
            <v>AON</v>
          </cell>
        </row>
        <row r="1714">
          <cell r="A1714" t="str">
            <v>ON</v>
          </cell>
          <cell r="B1714" t="str">
            <v>Trong 24h</v>
          </cell>
          <cell r="D1714" t="str">
            <v>Khiếu nại về dịch vụ FTTH</v>
          </cell>
          <cell r="W1714" t="str">
            <v>Đã đóng</v>
          </cell>
          <cell r="AJ1714" t="str">
            <v>TP HCM</v>
          </cell>
          <cell r="BX1714" t="str">
            <v>AON</v>
          </cell>
        </row>
        <row r="1715">
          <cell r="A1715" t="str">
            <v>ON</v>
          </cell>
          <cell r="B1715" t="str">
            <v>Trong 24h</v>
          </cell>
          <cell r="D1715" t="str">
            <v>Khiếu nại về dịch vụ FTTH</v>
          </cell>
          <cell r="W1715" t="str">
            <v>Đã đóng</v>
          </cell>
          <cell r="AJ1715" t="str">
            <v>Quảng Ninh</v>
          </cell>
          <cell r="BX1715" t="str">
            <v>AON</v>
          </cell>
        </row>
        <row r="1716">
          <cell r="A1716" t="str">
            <v>ON</v>
          </cell>
          <cell r="B1716" t="str">
            <v>Trong 24h</v>
          </cell>
          <cell r="D1716" t="str">
            <v>Khiếu nại về dịch vụ FTTH</v>
          </cell>
          <cell r="W1716" t="str">
            <v>Đã đóng</v>
          </cell>
          <cell r="AJ1716" t="str">
            <v>TP HCM</v>
          </cell>
          <cell r="BX1716" t="str">
            <v>AON</v>
          </cell>
        </row>
        <row r="1717">
          <cell r="A1717" t="str">
            <v>ON</v>
          </cell>
          <cell r="B1717" t="str">
            <v>Trong 24h</v>
          </cell>
          <cell r="D1717" t="str">
            <v>Khiếu nại về dịch vụ FTTH</v>
          </cell>
          <cell r="W1717" t="str">
            <v>Đang xử lý</v>
          </cell>
          <cell r="AJ1717" t="str">
            <v>Nghệ An</v>
          </cell>
          <cell r="BX1717" t="str">
            <v>AON</v>
          </cell>
        </row>
        <row r="1718">
          <cell r="A1718" t="str">
            <v>ON</v>
          </cell>
          <cell r="B1718" t="str">
            <v>Trong 24h</v>
          </cell>
          <cell r="D1718" t="str">
            <v>Khiếu nại về dịch vụ FTTH</v>
          </cell>
          <cell r="W1718" t="str">
            <v>Đã đóng</v>
          </cell>
          <cell r="AJ1718" t="str">
            <v>TP HCM</v>
          </cell>
          <cell r="BX1718" t="str">
            <v>AON</v>
          </cell>
        </row>
        <row r="1719">
          <cell r="A1719" t="str">
            <v>ON</v>
          </cell>
          <cell r="B1719" t="str">
            <v>Trong 24h</v>
          </cell>
          <cell r="D1719" t="str">
            <v>Khiếu nại về dịch vụ FTTH</v>
          </cell>
          <cell r="W1719" t="str">
            <v>Đã đóng</v>
          </cell>
          <cell r="AJ1719" t="str">
            <v>Thái Bình</v>
          </cell>
          <cell r="BX1719" t="str">
            <v>AON</v>
          </cell>
        </row>
        <row r="1720">
          <cell r="A1720" t="str">
            <v>ON</v>
          </cell>
          <cell r="B1720" t="str">
            <v>Trong 24h</v>
          </cell>
          <cell r="D1720" t="str">
            <v>Khiếu nại về dịch vụ FTTH</v>
          </cell>
          <cell r="W1720" t="str">
            <v>Đang xử lý</v>
          </cell>
          <cell r="AJ1720" t="str">
            <v>TP HCM</v>
          </cell>
          <cell r="BX1720" t="str">
            <v>AON</v>
          </cell>
        </row>
        <row r="1721">
          <cell r="A1721" t="str">
            <v>ON</v>
          </cell>
          <cell r="B1721" t="str">
            <v>Trong 24h</v>
          </cell>
          <cell r="D1721" t="str">
            <v>Khiếu nại về dịch vụ FTTH</v>
          </cell>
          <cell r="W1721" t="str">
            <v>Đã đóng</v>
          </cell>
          <cell r="AJ1721" t="str">
            <v>Hoà Bình</v>
          </cell>
          <cell r="BX1721" t="str">
            <v>AON</v>
          </cell>
        </row>
        <row r="1722">
          <cell r="A1722" t="str">
            <v>ON</v>
          </cell>
          <cell r="B1722" t="str">
            <v>Trong 24h</v>
          </cell>
          <cell r="D1722" t="str">
            <v>Khiếu nại về dịch vụ FTTH</v>
          </cell>
          <cell r="W1722" t="str">
            <v>Đã đóng</v>
          </cell>
          <cell r="AJ1722" t="str">
            <v xml:space="preserve">Đà Nẵng </v>
          </cell>
          <cell r="BX1722" t="str">
            <v>AON</v>
          </cell>
        </row>
        <row r="1723">
          <cell r="A1723" t="str">
            <v>ON</v>
          </cell>
          <cell r="B1723" t="str">
            <v>Trong 24h</v>
          </cell>
          <cell r="D1723" t="str">
            <v>Khiếu nại về dịch vụ FTTH</v>
          </cell>
          <cell r="W1723" t="str">
            <v>Đã đóng</v>
          </cell>
          <cell r="AJ1723" t="str">
            <v>Hà Nội 1</v>
          </cell>
          <cell r="BX1723" t="str">
            <v>AON</v>
          </cell>
        </row>
        <row r="1724">
          <cell r="A1724" t="str">
            <v>ON</v>
          </cell>
          <cell r="B1724" t="str">
            <v>Trong 24h</v>
          </cell>
          <cell r="D1724" t="str">
            <v>Khiếu nại về dịch vụ FTTH</v>
          </cell>
          <cell r="W1724" t="str">
            <v>Đang xử lý</v>
          </cell>
          <cell r="AJ1724" t="str">
            <v>Thái Nguyên</v>
          </cell>
          <cell r="BX1724" t="str">
            <v>AON</v>
          </cell>
        </row>
        <row r="1725">
          <cell r="A1725" t="str">
            <v>ON</v>
          </cell>
          <cell r="B1725" t="str">
            <v>Trong 24h</v>
          </cell>
          <cell r="D1725" t="str">
            <v>Khiếu nại về dịch vụ FTTH</v>
          </cell>
          <cell r="W1725" t="str">
            <v>Đã đóng</v>
          </cell>
          <cell r="AJ1725" t="str">
            <v>Vĩnh Phúc</v>
          </cell>
          <cell r="BX1725" t="str">
            <v>AON</v>
          </cell>
        </row>
        <row r="1726">
          <cell r="A1726" t="str">
            <v>ON</v>
          </cell>
          <cell r="B1726" t="str">
            <v>Trong 24h</v>
          </cell>
          <cell r="D1726" t="str">
            <v>Khiếu nại về dịch vụ FTTH</v>
          </cell>
          <cell r="W1726" t="str">
            <v>Đã đóng</v>
          </cell>
          <cell r="AJ1726" t="str">
            <v>Hà Nội 1</v>
          </cell>
          <cell r="BX1726" t="str">
            <v>AON</v>
          </cell>
        </row>
        <row r="1727">
          <cell r="A1727" t="str">
            <v>ON</v>
          </cell>
          <cell r="B1727" t="str">
            <v>Trong 24h</v>
          </cell>
          <cell r="D1727" t="str">
            <v>Khiếu nại về dịch vụ FTTH</v>
          </cell>
          <cell r="W1727" t="str">
            <v>Đang xử lý</v>
          </cell>
          <cell r="AJ1727" t="str">
            <v>TP HCM</v>
          </cell>
          <cell r="BX1727" t="str">
            <v>GPON</v>
          </cell>
        </row>
        <row r="1728">
          <cell r="A1728" t="str">
            <v>ON</v>
          </cell>
          <cell r="B1728" t="str">
            <v>Trong 24h</v>
          </cell>
          <cell r="D1728" t="str">
            <v>Khiếu nại về dịch vụ FTTH</v>
          </cell>
          <cell r="W1728" t="str">
            <v>Đã đóng</v>
          </cell>
          <cell r="AJ1728" t="str">
            <v>TP HCM</v>
          </cell>
          <cell r="BX1728" t="str">
            <v>AON</v>
          </cell>
        </row>
        <row r="1729">
          <cell r="A1729" t="str">
            <v>ON</v>
          </cell>
          <cell r="B1729" t="str">
            <v>Trong 24h</v>
          </cell>
          <cell r="D1729" t="str">
            <v>Khiếu nại về dịch vụ FTTH</v>
          </cell>
          <cell r="W1729" t="str">
            <v>Đang xử lý</v>
          </cell>
          <cell r="AJ1729" t="str">
            <v>TP HCM</v>
          </cell>
          <cell r="BX1729" t="str">
            <v>GPON</v>
          </cell>
        </row>
        <row r="1730">
          <cell r="A1730" t="str">
            <v>ON</v>
          </cell>
          <cell r="B1730" t="str">
            <v>Trong 24h</v>
          </cell>
          <cell r="D1730" t="str">
            <v>Khiếu nại về dịch vụ FTTH</v>
          </cell>
          <cell r="W1730" t="str">
            <v>Đang xử lý</v>
          </cell>
          <cell r="AJ1730" t="str">
            <v>Thanh Hoá</v>
          </cell>
          <cell r="BX1730" t="str">
            <v>AON</v>
          </cell>
        </row>
        <row r="1731">
          <cell r="A1731" t="str">
            <v>ON</v>
          </cell>
          <cell r="B1731" t="str">
            <v>Trong 24h</v>
          </cell>
          <cell r="D1731" t="str">
            <v>Khiếu nại về dịch vụ NextTV</v>
          </cell>
          <cell r="W1731" t="str">
            <v>Đã đóng</v>
          </cell>
          <cell r="AJ1731" t="str">
            <v>TP HCM</v>
          </cell>
          <cell r="BX1731" t="str">
            <v>AON</v>
          </cell>
        </row>
        <row r="1732">
          <cell r="A1732" t="str">
            <v>ON</v>
          </cell>
          <cell r="B1732" t="str">
            <v>Trong 24h</v>
          </cell>
          <cell r="D1732" t="str">
            <v>Khiếu nại về dịch vụ FTTH</v>
          </cell>
          <cell r="W1732" t="str">
            <v>Đã đóng</v>
          </cell>
          <cell r="AJ1732" t="str">
            <v xml:space="preserve">Đồng Nai </v>
          </cell>
          <cell r="BX1732" t="str">
            <v>AON</v>
          </cell>
        </row>
        <row r="1733">
          <cell r="A1733" t="str">
            <v>ON</v>
          </cell>
          <cell r="B1733" t="str">
            <v>Trong 24h</v>
          </cell>
          <cell r="D1733" t="str">
            <v>Khiếu nại về dịch vụ FTTH</v>
          </cell>
          <cell r="W1733" t="str">
            <v>Đã đóng</v>
          </cell>
          <cell r="AJ1733" t="str">
            <v>TP HCM</v>
          </cell>
          <cell r="BX1733" t="str">
            <v>AON</v>
          </cell>
        </row>
        <row r="1734">
          <cell r="A1734" t="str">
            <v>ON</v>
          </cell>
          <cell r="B1734" t="str">
            <v>Trong 24h</v>
          </cell>
          <cell r="D1734" t="str">
            <v>Khiếu nại về dịch vụ FTTH</v>
          </cell>
          <cell r="W1734" t="str">
            <v>Đã đóng</v>
          </cell>
          <cell r="AJ1734" t="str">
            <v>Quảng Bình</v>
          </cell>
          <cell r="BX1734" t="str">
            <v>AON</v>
          </cell>
        </row>
        <row r="1735">
          <cell r="A1735" t="str">
            <v>ON</v>
          </cell>
          <cell r="B1735" t="str">
            <v>Trong 24h</v>
          </cell>
          <cell r="D1735" t="str">
            <v>Khiếu nại về dịch vụ FTTH</v>
          </cell>
          <cell r="W1735" t="str">
            <v>Đã đóng</v>
          </cell>
          <cell r="AJ1735" t="str">
            <v>Hà Nội 1</v>
          </cell>
          <cell r="BX1735" t="str">
            <v>AON</v>
          </cell>
        </row>
        <row r="1736">
          <cell r="A1736" t="str">
            <v>ON</v>
          </cell>
          <cell r="B1736" t="str">
            <v>Trong 24h</v>
          </cell>
          <cell r="D1736" t="str">
            <v>Khiếu nại về dịch vụ FTTH</v>
          </cell>
          <cell r="W1736" t="str">
            <v>Đã đóng</v>
          </cell>
          <cell r="AJ1736" t="str">
            <v>TP HCM</v>
          </cell>
          <cell r="BX1736" t="str">
            <v>AON</v>
          </cell>
        </row>
        <row r="1737">
          <cell r="A1737" t="str">
            <v>ON</v>
          </cell>
          <cell r="B1737" t="str">
            <v>Trong 24h</v>
          </cell>
          <cell r="D1737" t="str">
            <v>Khiếu nại về dịch vụ FTTH</v>
          </cell>
          <cell r="W1737" t="str">
            <v>Đã đóng</v>
          </cell>
          <cell r="AJ1737" t="str">
            <v>Sóc Trăng</v>
          </cell>
          <cell r="BX1737" t="str">
            <v>GPON</v>
          </cell>
        </row>
        <row r="1738">
          <cell r="A1738" t="str">
            <v>ON</v>
          </cell>
          <cell r="B1738" t="str">
            <v>Trong 24h</v>
          </cell>
          <cell r="D1738" t="str">
            <v>Khiếu nại về dịch vụ FTTH</v>
          </cell>
          <cell r="W1738" t="str">
            <v>Đang xử lý</v>
          </cell>
          <cell r="AJ1738" t="str">
            <v>Hậu Giang</v>
          </cell>
          <cell r="BX1738" t="str">
            <v>AON</v>
          </cell>
        </row>
        <row r="1739">
          <cell r="A1739" t="str">
            <v>ON</v>
          </cell>
          <cell r="B1739" t="str">
            <v>Trong 24h</v>
          </cell>
          <cell r="D1739" t="str">
            <v>Khiếu nại về dịch vụ FTTH</v>
          </cell>
          <cell r="W1739" t="str">
            <v>Đã đóng</v>
          </cell>
          <cell r="AJ1739" t="str">
            <v>Hà Nội 2</v>
          </cell>
          <cell r="BX1739" t="str">
            <v>AON</v>
          </cell>
        </row>
        <row r="1740">
          <cell r="A1740" t="str">
            <v>ON</v>
          </cell>
          <cell r="B1740" t="str">
            <v>Trong 24h</v>
          </cell>
          <cell r="D1740" t="str">
            <v>Khiếu nại về dịch vụ FTTH</v>
          </cell>
          <cell r="W1740" t="str">
            <v>Đang xử lý</v>
          </cell>
          <cell r="AJ1740" t="str">
            <v>Thừa Thiên Huế</v>
          </cell>
          <cell r="BX1740" t="str">
            <v>AON</v>
          </cell>
        </row>
        <row r="1741">
          <cell r="A1741" t="str">
            <v>ON</v>
          </cell>
          <cell r="B1741" t="str">
            <v>Trong 24h</v>
          </cell>
          <cell r="D1741" t="str">
            <v>Khiếu nại về dịch vụ FTTH</v>
          </cell>
          <cell r="W1741" t="str">
            <v>Đang xử lý</v>
          </cell>
          <cell r="AJ1741" t="str">
            <v>Thanh Hoá</v>
          </cell>
          <cell r="BX1741" t="str">
            <v>AON</v>
          </cell>
        </row>
        <row r="1742">
          <cell r="A1742" t="str">
            <v>ON</v>
          </cell>
          <cell r="B1742" t="str">
            <v>Trong 24h</v>
          </cell>
          <cell r="D1742" t="str">
            <v>Khiếu nại về dịch vụ FTTH</v>
          </cell>
          <cell r="W1742" t="str">
            <v>Đang xử lý</v>
          </cell>
          <cell r="AJ1742" t="str">
            <v>Quảng Trị</v>
          </cell>
          <cell r="BX1742" t="str">
            <v>AON</v>
          </cell>
        </row>
        <row r="1743">
          <cell r="A1743" t="str">
            <v>ON</v>
          </cell>
          <cell r="B1743" t="str">
            <v>Trong 24h</v>
          </cell>
          <cell r="D1743" t="str">
            <v>Khiếu nại về dịch vụ FTTH</v>
          </cell>
          <cell r="W1743" t="str">
            <v>Đã đóng</v>
          </cell>
          <cell r="AJ1743" t="str">
            <v>Thanh Hoá</v>
          </cell>
          <cell r="BX1743" t="str">
            <v>AON</v>
          </cell>
        </row>
        <row r="1744">
          <cell r="A1744" t="str">
            <v>ON</v>
          </cell>
          <cell r="B1744" t="str">
            <v>Trong 24h</v>
          </cell>
          <cell r="D1744" t="str">
            <v>Khiếu nại về dịch vụ FTTH</v>
          </cell>
          <cell r="W1744" t="str">
            <v>Đã đóng</v>
          </cell>
          <cell r="AJ1744" t="str">
            <v>TP HCM</v>
          </cell>
          <cell r="BX1744" t="str">
            <v>AON</v>
          </cell>
        </row>
        <row r="1745">
          <cell r="A1745" t="str">
            <v>ON</v>
          </cell>
          <cell r="B1745" t="str">
            <v>Trong 24h</v>
          </cell>
          <cell r="D1745" t="str">
            <v>Khiếu nại về dịch vụ NextTV</v>
          </cell>
          <cell r="W1745" t="str">
            <v>Đã đóng</v>
          </cell>
          <cell r="AJ1745" t="str">
            <v>TP HCM</v>
          </cell>
          <cell r="BX1745" t="str">
            <v>GPON</v>
          </cell>
        </row>
        <row r="1746">
          <cell r="A1746" t="str">
            <v>ON</v>
          </cell>
          <cell r="B1746" t="str">
            <v>Trong 24h</v>
          </cell>
          <cell r="D1746" t="str">
            <v>Khiếu nại về dịch vụ FTTH</v>
          </cell>
          <cell r="W1746" t="str">
            <v>Đã đóng</v>
          </cell>
          <cell r="AJ1746" t="str">
            <v>Hậu Giang</v>
          </cell>
          <cell r="BX1746" t="str">
            <v>AON</v>
          </cell>
        </row>
        <row r="1747">
          <cell r="A1747" t="str">
            <v>ON</v>
          </cell>
          <cell r="B1747" t="str">
            <v>Trong 24h</v>
          </cell>
          <cell r="D1747" t="str">
            <v>Khiếu nại về dịch vụ FTTH</v>
          </cell>
          <cell r="W1747" t="str">
            <v>Đã đóng</v>
          </cell>
          <cell r="AJ1747" t="str">
            <v>Nghệ An</v>
          </cell>
          <cell r="BX1747" t="str">
            <v>AON</v>
          </cell>
        </row>
        <row r="1748">
          <cell r="A1748" t="str">
            <v>ON</v>
          </cell>
          <cell r="B1748" t="str">
            <v>Trong 24h</v>
          </cell>
          <cell r="D1748" t="str">
            <v>Khiếu nại về dịch vụ NextTV</v>
          </cell>
          <cell r="W1748" t="str">
            <v>Đã đóng</v>
          </cell>
          <cell r="AJ1748" t="str">
            <v>Hậu Giang</v>
          </cell>
          <cell r="BX1748" t="str">
            <v>AON</v>
          </cell>
        </row>
        <row r="1749">
          <cell r="A1749" t="str">
            <v>ON</v>
          </cell>
          <cell r="B1749" t="str">
            <v>Trong 24h</v>
          </cell>
          <cell r="D1749" t="str">
            <v>Khiếu nại về dịch vụ FTTH</v>
          </cell>
          <cell r="W1749" t="str">
            <v>Đang xử lý</v>
          </cell>
          <cell r="AJ1749" t="str">
            <v>Bắc Ninh</v>
          </cell>
          <cell r="BX1749" t="str">
            <v>AON</v>
          </cell>
        </row>
        <row r="1750">
          <cell r="A1750" t="str">
            <v>ON</v>
          </cell>
          <cell r="B1750" t="str">
            <v>Trong 24h</v>
          </cell>
          <cell r="D1750" t="str">
            <v>Khiếu nại về dịch vụ FTTH</v>
          </cell>
          <cell r="W1750" t="str">
            <v>Đã đóng</v>
          </cell>
          <cell r="AJ1750" t="str">
            <v>Hải Phòng</v>
          </cell>
          <cell r="BX1750" t="str">
            <v>AON</v>
          </cell>
        </row>
        <row r="1751">
          <cell r="A1751" t="str">
            <v>ON</v>
          </cell>
          <cell r="B1751" t="str">
            <v>Trong 24h</v>
          </cell>
          <cell r="D1751" t="str">
            <v>Khiếu nại về dịch vụ FTTH</v>
          </cell>
          <cell r="W1751" t="str">
            <v>Đang xử lý</v>
          </cell>
          <cell r="AJ1751" t="str">
            <v>Lâm Đồng</v>
          </cell>
          <cell r="BX1751" t="str">
            <v>AON</v>
          </cell>
        </row>
        <row r="1752">
          <cell r="A1752" t="str">
            <v>ON</v>
          </cell>
          <cell r="B1752" t="str">
            <v>Trong 24h</v>
          </cell>
          <cell r="D1752" t="str">
            <v>Khiếu nại về dịch vụ FTTH</v>
          </cell>
          <cell r="W1752" t="str">
            <v>Đang xử lý</v>
          </cell>
          <cell r="AJ1752" t="str">
            <v>Nghệ An</v>
          </cell>
          <cell r="BX1752" t="str">
            <v>AON</v>
          </cell>
        </row>
        <row r="1753">
          <cell r="A1753" t="str">
            <v>ON</v>
          </cell>
          <cell r="B1753" t="str">
            <v>Trong 24h</v>
          </cell>
          <cell r="D1753" t="str">
            <v>Khiếu nại về dịch vụ FTTH</v>
          </cell>
          <cell r="W1753" t="str">
            <v>Đã đóng</v>
          </cell>
          <cell r="AJ1753" t="str">
            <v>Hải Phòng</v>
          </cell>
          <cell r="BX1753" t="str">
            <v>AON</v>
          </cell>
        </row>
        <row r="1754">
          <cell r="A1754" t="str">
            <v>ON</v>
          </cell>
          <cell r="B1754" t="str">
            <v>Trong 24h</v>
          </cell>
          <cell r="D1754" t="str">
            <v>Khiếu nại về dịch vụ FTTH</v>
          </cell>
          <cell r="W1754" t="str">
            <v>Đã đóng</v>
          </cell>
          <cell r="AJ1754" t="str">
            <v>Hải Phòng</v>
          </cell>
          <cell r="BX1754" t="str">
            <v>AON</v>
          </cell>
        </row>
        <row r="1755">
          <cell r="A1755" t="str">
            <v>ON</v>
          </cell>
          <cell r="B1755" t="str">
            <v>Trong 24h</v>
          </cell>
          <cell r="D1755" t="str">
            <v>Khiếu nại về dịch vụ FTTH</v>
          </cell>
          <cell r="W1755" t="str">
            <v>Đang xử lý</v>
          </cell>
          <cell r="AJ1755" t="str">
            <v>Bình Định</v>
          </cell>
          <cell r="BX1755" t="str">
            <v>AON</v>
          </cell>
        </row>
        <row r="1756">
          <cell r="A1756" t="str">
            <v>ON</v>
          </cell>
          <cell r="B1756" t="str">
            <v>Trong 24h</v>
          </cell>
          <cell r="D1756" t="str">
            <v>Khiếu nại về dịch vụ FTTH</v>
          </cell>
          <cell r="W1756" t="str">
            <v>Đang xử lý</v>
          </cell>
          <cell r="AJ1756" t="str">
            <v xml:space="preserve">Quảng Nam </v>
          </cell>
          <cell r="BX1756" t="str">
            <v>AON</v>
          </cell>
        </row>
        <row r="1757">
          <cell r="A1757" t="str">
            <v>ON</v>
          </cell>
          <cell r="B1757" t="str">
            <v>Trong 24h</v>
          </cell>
          <cell r="D1757" t="str">
            <v>Khiếu nại về dịch vụ FTTH</v>
          </cell>
          <cell r="W1757" t="str">
            <v>Đã đóng</v>
          </cell>
          <cell r="AJ1757" t="str">
            <v>Thanh Hoá</v>
          </cell>
          <cell r="BX1757" t="str">
            <v>AON</v>
          </cell>
        </row>
        <row r="1758">
          <cell r="A1758" t="str">
            <v>ON</v>
          </cell>
          <cell r="B1758" t="str">
            <v>Trong 24h</v>
          </cell>
          <cell r="D1758" t="str">
            <v>Khiếu nại về dịch vụ FTTH</v>
          </cell>
          <cell r="W1758" t="str">
            <v>Đã đóng</v>
          </cell>
          <cell r="AJ1758" t="str">
            <v>Hải Phòng</v>
          </cell>
          <cell r="BX1758" t="str">
            <v>AON</v>
          </cell>
        </row>
        <row r="1759">
          <cell r="A1759" t="str">
            <v>ON</v>
          </cell>
          <cell r="B1759" t="str">
            <v>Trong 24h</v>
          </cell>
          <cell r="D1759" t="str">
            <v>Khiếu nại về dịch vụ FTTH</v>
          </cell>
          <cell r="W1759" t="str">
            <v>Đã đóng</v>
          </cell>
          <cell r="AJ1759" t="str">
            <v>Thanh Hoá</v>
          </cell>
          <cell r="BX1759" t="str">
            <v>AON</v>
          </cell>
        </row>
        <row r="1760">
          <cell r="A1760" t="str">
            <v>ON</v>
          </cell>
          <cell r="B1760" t="str">
            <v>Trong 24h</v>
          </cell>
          <cell r="D1760" t="str">
            <v>Khiếu nại về dịch vụ FTTH</v>
          </cell>
          <cell r="W1760" t="str">
            <v>Đã đóng</v>
          </cell>
          <cell r="AJ1760" t="str">
            <v>Hải Phòng</v>
          </cell>
          <cell r="BX1760" t="str">
            <v>AON</v>
          </cell>
        </row>
        <row r="1761">
          <cell r="A1761" t="str">
            <v>ON</v>
          </cell>
          <cell r="B1761" t="str">
            <v>Trong 24h</v>
          </cell>
          <cell r="D1761" t="str">
            <v>Khiếu nại về dịch vụ FTTH</v>
          </cell>
          <cell r="W1761" t="str">
            <v>Đã đóng</v>
          </cell>
          <cell r="AJ1761" t="str">
            <v>Phú Thọ</v>
          </cell>
          <cell r="BX1761" t="str">
            <v>AON</v>
          </cell>
        </row>
        <row r="1762">
          <cell r="A1762" t="str">
            <v>ON</v>
          </cell>
          <cell r="B1762" t="str">
            <v>Trong 24h</v>
          </cell>
          <cell r="D1762" t="str">
            <v>Khiếu nại về dịch vụ FTTH</v>
          </cell>
          <cell r="W1762" t="str">
            <v>Đã đóng</v>
          </cell>
          <cell r="AJ1762" t="str">
            <v>Hải Phòng</v>
          </cell>
          <cell r="BX1762" t="str">
            <v>AON</v>
          </cell>
        </row>
        <row r="1763">
          <cell r="A1763" t="str">
            <v>ON</v>
          </cell>
          <cell r="B1763" t="str">
            <v>Trong 24h</v>
          </cell>
          <cell r="D1763" t="str">
            <v>Khiếu nại về dịch vụ FTTH</v>
          </cell>
          <cell r="W1763" t="str">
            <v>Đang xử lý</v>
          </cell>
          <cell r="AJ1763" t="str">
            <v>Thái Nguyên</v>
          </cell>
          <cell r="BX1763" t="str">
            <v>AON</v>
          </cell>
        </row>
        <row r="1764">
          <cell r="A1764" t="str">
            <v>ON</v>
          </cell>
          <cell r="B1764" t="str">
            <v>Trong 24h</v>
          </cell>
          <cell r="D1764" t="str">
            <v>Khiếu nại về dịch vụ FTTH</v>
          </cell>
          <cell r="W1764" t="str">
            <v>Đã đóng</v>
          </cell>
          <cell r="AJ1764" t="str">
            <v>TP HCM</v>
          </cell>
          <cell r="BX1764" t="str">
            <v>AON</v>
          </cell>
        </row>
        <row r="1765">
          <cell r="A1765" t="str">
            <v>ON</v>
          </cell>
          <cell r="B1765" t="str">
            <v>Trong 24h</v>
          </cell>
          <cell r="D1765" t="str">
            <v>Khiếu nại về dịch vụ FTTH</v>
          </cell>
          <cell r="W1765" t="str">
            <v>Đã đóng</v>
          </cell>
          <cell r="AJ1765" t="str">
            <v>Điện Biên</v>
          </cell>
          <cell r="BX1765" t="str">
            <v>AON</v>
          </cell>
        </row>
        <row r="1766">
          <cell r="A1766" t="str">
            <v>ON</v>
          </cell>
          <cell r="B1766" t="str">
            <v>Trong 24h</v>
          </cell>
          <cell r="D1766" t="str">
            <v>Khiếu nại về dịch vụ FTTH</v>
          </cell>
          <cell r="W1766" t="str">
            <v>Đã đóng</v>
          </cell>
          <cell r="AJ1766" t="str">
            <v>Ninh Thuận</v>
          </cell>
          <cell r="BX1766" t="str">
            <v>AON</v>
          </cell>
        </row>
        <row r="1767">
          <cell r="A1767" t="str">
            <v>ON</v>
          </cell>
          <cell r="B1767" t="str">
            <v>Trong 24h</v>
          </cell>
          <cell r="D1767" t="str">
            <v>Khiếu nại về dịch vụ FTTH</v>
          </cell>
          <cell r="W1767" t="str">
            <v>Đã đóng</v>
          </cell>
          <cell r="AJ1767" t="str">
            <v>TP HCM</v>
          </cell>
          <cell r="BX1767" t="str">
            <v>AON</v>
          </cell>
        </row>
        <row r="1768">
          <cell r="A1768" t="str">
            <v>ON</v>
          </cell>
          <cell r="B1768" t="str">
            <v>Trong 24h</v>
          </cell>
          <cell r="D1768" t="str">
            <v>Khiếu nại về dịch vụ FTTH</v>
          </cell>
          <cell r="W1768" t="str">
            <v>Đã đóng</v>
          </cell>
          <cell r="AJ1768" t="str">
            <v>TP HCM</v>
          </cell>
          <cell r="BX1768" t="str">
            <v>AON</v>
          </cell>
        </row>
        <row r="1769">
          <cell r="A1769" t="str">
            <v>ON</v>
          </cell>
          <cell r="B1769" t="str">
            <v>Trong 24h</v>
          </cell>
          <cell r="D1769" t="str">
            <v>Khiếu nại về dịch vụ FTTH</v>
          </cell>
          <cell r="W1769" t="str">
            <v>Đang xử lý</v>
          </cell>
          <cell r="AJ1769" t="str">
            <v>TP HCM</v>
          </cell>
          <cell r="BX1769" t="str">
            <v>AON</v>
          </cell>
        </row>
        <row r="1770">
          <cell r="A1770" t="str">
            <v>ON</v>
          </cell>
          <cell r="B1770" t="str">
            <v>Trong 24h</v>
          </cell>
          <cell r="D1770" t="str">
            <v>Khiếu nại về dịch vụ NextTV</v>
          </cell>
          <cell r="W1770" t="str">
            <v>Đã đóng</v>
          </cell>
          <cell r="AJ1770" t="str">
            <v>Hà Nội 2</v>
          </cell>
          <cell r="BX1770" t="str">
            <v>AON</v>
          </cell>
        </row>
        <row r="1771">
          <cell r="A1771" t="str">
            <v>ON</v>
          </cell>
          <cell r="B1771" t="str">
            <v>Trong 24h</v>
          </cell>
          <cell r="D1771" t="str">
            <v>Khiếu nại về dịch vụ FTTH</v>
          </cell>
          <cell r="W1771" t="str">
            <v>Đang xử lý</v>
          </cell>
          <cell r="AJ1771" t="str">
            <v>Quảng Ninh</v>
          </cell>
          <cell r="BX1771" t="str">
            <v>AON</v>
          </cell>
        </row>
        <row r="1772">
          <cell r="A1772" t="str">
            <v>ON</v>
          </cell>
          <cell r="B1772" t="str">
            <v>Trong 24h</v>
          </cell>
          <cell r="D1772" t="str">
            <v>Khiếu nại về dịch vụ FTTH</v>
          </cell>
          <cell r="W1772" t="str">
            <v>Đang xử lý</v>
          </cell>
          <cell r="AJ1772" t="str">
            <v>TP HCM</v>
          </cell>
          <cell r="BX1772" t="str">
            <v>GPON</v>
          </cell>
        </row>
        <row r="1773">
          <cell r="A1773" t="str">
            <v>ON</v>
          </cell>
          <cell r="B1773" t="str">
            <v>Trong 24h</v>
          </cell>
          <cell r="D1773" t="str">
            <v>Khiếu nại về dịch vụ FTTH</v>
          </cell>
          <cell r="W1773" t="str">
            <v>Đã đóng</v>
          </cell>
          <cell r="AJ1773" t="str">
            <v>Hà Nội 2</v>
          </cell>
          <cell r="BX1773" t="str">
            <v>AON</v>
          </cell>
        </row>
        <row r="1774">
          <cell r="A1774" t="str">
            <v>ON</v>
          </cell>
          <cell r="B1774" t="str">
            <v>Trong 24h</v>
          </cell>
          <cell r="D1774" t="str">
            <v>Khiếu nại về dịch vụ FTTH</v>
          </cell>
          <cell r="W1774" t="str">
            <v>Đã đóng</v>
          </cell>
          <cell r="AJ1774" t="str">
            <v>Kon Tum</v>
          </cell>
          <cell r="BX1774" t="str">
            <v>AON</v>
          </cell>
        </row>
        <row r="1775">
          <cell r="A1775" t="str">
            <v>ON</v>
          </cell>
          <cell r="B1775" t="str">
            <v>Trong 24h</v>
          </cell>
          <cell r="D1775" t="str">
            <v>Khiếu nại về dịch vụ FTTH</v>
          </cell>
          <cell r="W1775" t="str">
            <v>Đã đóng</v>
          </cell>
          <cell r="AJ1775" t="str">
            <v xml:space="preserve">Đồng Nai </v>
          </cell>
          <cell r="BX1775" t="str">
            <v>AON</v>
          </cell>
        </row>
        <row r="1776">
          <cell r="A1776" t="str">
            <v>ON</v>
          </cell>
          <cell r="B1776" t="str">
            <v>Trong 24h</v>
          </cell>
          <cell r="D1776" t="str">
            <v>Khiếu nại về dịch vụ FTTH</v>
          </cell>
          <cell r="W1776" t="str">
            <v>Đã đóng</v>
          </cell>
          <cell r="AJ1776" t="str">
            <v>TP HCM</v>
          </cell>
          <cell r="BX1776" t="str">
            <v>AON</v>
          </cell>
        </row>
        <row r="1777">
          <cell r="A1777" t="str">
            <v>ON</v>
          </cell>
          <cell r="B1777" t="str">
            <v>Trong 24h</v>
          </cell>
          <cell r="D1777" t="str">
            <v>Khiếu nại về dịch vụ FTTH</v>
          </cell>
          <cell r="W1777" t="str">
            <v>Đang xử lý</v>
          </cell>
          <cell r="AJ1777" t="str">
            <v>TP HCM</v>
          </cell>
          <cell r="BX1777" t="str">
            <v>AON</v>
          </cell>
        </row>
        <row r="1778">
          <cell r="A1778" t="str">
            <v>ON</v>
          </cell>
          <cell r="B1778" t="str">
            <v>Trong 24h</v>
          </cell>
          <cell r="D1778" t="str">
            <v>Khiếu nại về dịch vụ FTTH</v>
          </cell>
          <cell r="W1778" t="str">
            <v>Đã đóng</v>
          </cell>
          <cell r="AJ1778" t="str">
            <v>Hải Phòng</v>
          </cell>
          <cell r="BX1778" t="str">
            <v>AON</v>
          </cell>
        </row>
        <row r="1779">
          <cell r="A1779" t="str">
            <v>ON</v>
          </cell>
          <cell r="B1779" t="str">
            <v>Trong 24h</v>
          </cell>
          <cell r="D1779" t="str">
            <v>Khiếu nại về dịch vụ FTTH</v>
          </cell>
          <cell r="W1779" t="str">
            <v>Đang xử lý</v>
          </cell>
          <cell r="AJ1779" t="str">
            <v>Ninh Thuận</v>
          </cell>
          <cell r="BX1779" t="str">
            <v>AON</v>
          </cell>
        </row>
        <row r="1780">
          <cell r="A1780" t="str">
            <v>ON</v>
          </cell>
          <cell r="B1780" t="str">
            <v>Trong 24h</v>
          </cell>
          <cell r="D1780" t="str">
            <v>Khiếu nại về dịch vụ NextTV</v>
          </cell>
          <cell r="W1780" t="str">
            <v>Đang xử lý</v>
          </cell>
          <cell r="AJ1780" t="str">
            <v>Thái Bình</v>
          </cell>
          <cell r="BX1780" t="str">
            <v>AON</v>
          </cell>
        </row>
        <row r="1781">
          <cell r="A1781" t="str">
            <v>ON</v>
          </cell>
          <cell r="B1781" t="str">
            <v>Trong 24h</v>
          </cell>
          <cell r="D1781" t="str">
            <v>Khiếu nại về dịch vụ NextTV</v>
          </cell>
          <cell r="W1781" t="str">
            <v>Đã đóng</v>
          </cell>
          <cell r="AJ1781" t="str">
            <v>Nam Định</v>
          </cell>
          <cell r="BX1781" t="str">
            <v>AON</v>
          </cell>
        </row>
        <row r="1782">
          <cell r="A1782" t="str">
            <v>ON</v>
          </cell>
          <cell r="B1782" t="str">
            <v>Trong 24h</v>
          </cell>
          <cell r="D1782" t="str">
            <v>Khiếu nại về dịch vụ FTTH</v>
          </cell>
          <cell r="W1782" t="str">
            <v>Đang xử lý</v>
          </cell>
          <cell r="AJ1782" t="str">
            <v>Thái Nguyên</v>
          </cell>
          <cell r="BX1782" t="str">
            <v>AON</v>
          </cell>
        </row>
        <row r="1783">
          <cell r="A1783" t="str">
            <v>ON</v>
          </cell>
          <cell r="B1783" t="str">
            <v>Trong 24h</v>
          </cell>
          <cell r="D1783" t="str">
            <v>Khiếu nại về dịch vụ FTTH</v>
          </cell>
          <cell r="W1783" t="str">
            <v>Đã đóng</v>
          </cell>
          <cell r="AJ1783" t="str">
            <v>Hà Nội 1</v>
          </cell>
          <cell r="BX1783" t="str">
            <v>AON</v>
          </cell>
        </row>
        <row r="1784">
          <cell r="A1784" t="str">
            <v>ON</v>
          </cell>
          <cell r="B1784" t="str">
            <v>Trong 24h</v>
          </cell>
          <cell r="D1784" t="str">
            <v>Khiếu nại về dịch vụ FTTH</v>
          </cell>
          <cell r="W1784" t="str">
            <v>Đã đóng</v>
          </cell>
          <cell r="AJ1784" t="str">
            <v>Hải Phòng</v>
          </cell>
          <cell r="BX1784" t="str">
            <v>AON</v>
          </cell>
        </row>
        <row r="1785">
          <cell r="A1785" t="str">
            <v>ON</v>
          </cell>
          <cell r="B1785" t="str">
            <v>Trong 24h</v>
          </cell>
          <cell r="D1785" t="str">
            <v>Khiếu nại về dịch vụ FTTH</v>
          </cell>
          <cell r="W1785" t="str">
            <v>Đã đóng</v>
          </cell>
          <cell r="AJ1785" t="str">
            <v>Bắc Ninh</v>
          </cell>
          <cell r="BX1785" t="str">
            <v>AON</v>
          </cell>
        </row>
        <row r="1786">
          <cell r="A1786" t="str">
            <v>ON</v>
          </cell>
          <cell r="B1786" t="str">
            <v>Trong 24h</v>
          </cell>
          <cell r="D1786" t="str">
            <v>Khiếu nại về dịch vụ FTTH</v>
          </cell>
          <cell r="W1786" t="str">
            <v>Đang xử lý</v>
          </cell>
          <cell r="AJ1786" t="str">
            <v>Yên Bái</v>
          </cell>
          <cell r="BX1786" t="str">
            <v>AON</v>
          </cell>
        </row>
        <row r="1787">
          <cell r="A1787" t="str">
            <v>ON</v>
          </cell>
          <cell r="B1787" t="str">
            <v>Trong 24h</v>
          </cell>
          <cell r="D1787" t="str">
            <v>Khiếu nại về dịch vụ FTTH</v>
          </cell>
          <cell r="W1787" t="str">
            <v>Đang xử lý</v>
          </cell>
          <cell r="AJ1787" t="str">
            <v>Hà Nội 2</v>
          </cell>
          <cell r="BX1787" t="str">
            <v>AON</v>
          </cell>
        </row>
        <row r="1788">
          <cell r="A1788" t="str">
            <v>ON</v>
          </cell>
          <cell r="B1788" t="str">
            <v>Trong 24h</v>
          </cell>
          <cell r="D1788" t="str">
            <v>Khiếu nại về dịch vụ FTTH</v>
          </cell>
          <cell r="W1788" t="str">
            <v>Đang xử lý</v>
          </cell>
          <cell r="AJ1788" t="str">
            <v xml:space="preserve">Hà Tĩnh </v>
          </cell>
          <cell r="BX1788" t="str">
            <v>AON</v>
          </cell>
        </row>
        <row r="1789">
          <cell r="A1789" t="str">
            <v>ON</v>
          </cell>
          <cell r="B1789" t="str">
            <v>Trong 24h</v>
          </cell>
          <cell r="D1789" t="str">
            <v>Khiếu nại về dịch vụ FTTH</v>
          </cell>
          <cell r="W1789" t="str">
            <v>Đã đóng</v>
          </cell>
          <cell r="AJ1789" t="str">
            <v>Hải Phòng</v>
          </cell>
          <cell r="BX1789" t="str">
            <v>AON</v>
          </cell>
        </row>
        <row r="1790">
          <cell r="A1790" t="str">
            <v>ON</v>
          </cell>
          <cell r="B1790" t="str">
            <v>Trong 24h</v>
          </cell>
          <cell r="D1790" t="str">
            <v>Khiếu nại về dịch vụ FTTH</v>
          </cell>
          <cell r="W1790" t="str">
            <v>Đang xử lý</v>
          </cell>
          <cell r="AJ1790" t="str">
            <v xml:space="preserve">Đắc Lắk </v>
          </cell>
          <cell r="BX1790" t="str">
            <v>AON</v>
          </cell>
        </row>
        <row r="1791">
          <cell r="A1791" t="str">
            <v>ON</v>
          </cell>
          <cell r="B1791" t="str">
            <v>Trong 24h</v>
          </cell>
          <cell r="D1791" t="str">
            <v>Khiếu nại về dịch vụ FTTH</v>
          </cell>
          <cell r="W1791" t="str">
            <v>Đang xử lý</v>
          </cell>
          <cell r="AJ1791" t="str">
            <v>Nghệ An</v>
          </cell>
          <cell r="BX1791" t="str">
            <v>AON</v>
          </cell>
        </row>
        <row r="1792">
          <cell r="A1792" t="str">
            <v>ON</v>
          </cell>
          <cell r="B1792" t="str">
            <v>Trong 24h</v>
          </cell>
          <cell r="D1792" t="str">
            <v>Khiếu nại về dịch vụ FTTH</v>
          </cell>
          <cell r="W1792" t="str">
            <v>Đang xử lý</v>
          </cell>
          <cell r="AJ1792" t="str">
            <v>An Giang</v>
          </cell>
          <cell r="BX1792" t="str">
            <v>AON</v>
          </cell>
        </row>
        <row r="1793">
          <cell r="A1793" t="str">
            <v>ON</v>
          </cell>
          <cell r="B1793" t="str">
            <v>Trong 24h</v>
          </cell>
          <cell r="D1793" t="str">
            <v>Khiếu nại về dịch vụ FTTH</v>
          </cell>
          <cell r="W1793" t="str">
            <v>Đã đóng</v>
          </cell>
          <cell r="AJ1793" t="str">
            <v>Vĩnh Phúc</v>
          </cell>
          <cell r="BX1793" t="str">
            <v>AON</v>
          </cell>
        </row>
        <row r="1794">
          <cell r="A1794" t="str">
            <v>ON</v>
          </cell>
          <cell r="B1794" t="str">
            <v>Trong 24h</v>
          </cell>
          <cell r="D1794" t="str">
            <v>Khiếu nại về dịch vụ FTTH</v>
          </cell>
          <cell r="W1794" t="str">
            <v>Đã đóng</v>
          </cell>
          <cell r="AJ1794" t="str">
            <v>Hà Nội 1</v>
          </cell>
          <cell r="BX1794" t="str">
            <v>AON</v>
          </cell>
        </row>
        <row r="1795">
          <cell r="A1795" t="str">
            <v>ON</v>
          </cell>
          <cell r="B1795" t="str">
            <v>Trong 24h</v>
          </cell>
          <cell r="D1795" t="str">
            <v>Khiếu nại về dịch vụ FTTH</v>
          </cell>
          <cell r="W1795" t="str">
            <v>Đã đóng</v>
          </cell>
          <cell r="AJ1795" t="str">
            <v>Hải Phòng</v>
          </cell>
          <cell r="BX1795" t="str">
            <v>AON</v>
          </cell>
        </row>
        <row r="1796">
          <cell r="A1796" t="str">
            <v>ON</v>
          </cell>
          <cell r="B1796" t="str">
            <v>Trong 24h</v>
          </cell>
          <cell r="D1796" t="str">
            <v>Khiếu nại về dịch vụ FTTH</v>
          </cell>
          <cell r="W1796" t="str">
            <v>Đang xử lý</v>
          </cell>
          <cell r="AJ1796" t="str">
            <v>TP HCM</v>
          </cell>
          <cell r="BX1796" t="str">
            <v>AON</v>
          </cell>
        </row>
        <row r="1797">
          <cell r="A1797" t="str">
            <v>ON</v>
          </cell>
          <cell r="B1797" t="str">
            <v>Trong 24h</v>
          </cell>
          <cell r="D1797" t="str">
            <v>Khiếu nại về dịch vụ FTTH</v>
          </cell>
          <cell r="W1797" t="str">
            <v>Đã đóng</v>
          </cell>
          <cell r="AJ1797" t="str">
            <v>Cần Thơ</v>
          </cell>
          <cell r="BX1797" t="str">
            <v>AON</v>
          </cell>
        </row>
        <row r="1798">
          <cell r="A1798" t="str">
            <v>ON</v>
          </cell>
          <cell r="B1798" t="str">
            <v>Trong 24h</v>
          </cell>
          <cell r="D1798" t="str">
            <v>Khiếu nại về dịch vụ FTTH</v>
          </cell>
          <cell r="W1798" t="str">
            <v>Đang xử lý</v>
          </cell>
          <cell r="AJ1798" t="str">
            <v>Phú Yên</v>
          </cell>
          <cell r="BX1798" t="str">
            <v>AON</v>
          </cell>
        </row>
        <row r="1799">
          <cell r="A1799" t="str">
            <v>ON</v>
          </cell>
          <cell r="B1799" t="str">
            <v>Trong 24h</v>
          </cell>
          <cell r="D1799" t="str">
            <v>Khiếu nại về dịch vụ FTTH</v>
          </cell>
          <cell r="W1799" t="str">
            <v>Đã đóng</v>
          </cell>
          <cell r="AJ1799" t="str">
            <v xml:space="preserve">Đắc Lắk </v>
          </cell>
          <cell r="BX1799" t="str">
            <v>AON</v>
          </cell>
        </row>
        <row r="1800">
          <cell r="A1800" t="str">
            <v>ON</v>
          </cell>
          <cell r="B1800" t="str">
            <v>Trong 24h</v>
          </cell>
          <cell r="D1800" t="str">
            <v>Khiếu nại về dịch vụ FTTH</v>
          </cell>
          <cell r="W1800" t="str">
            <v>Đã đóng</v>
          </cell>
          <cell r="AJ1800" t="str">
            <v>Vĩnh Phúc</v>
          </cell>
          <cell r="BX1800" t="str">
            <v>AON</v>
          </cell>
        </row>
        <row r="1801">
          <cell r="A1801" t="str">
            <v>ON</v>
          </cell>
          <cell r="B1801" t="str">
            <v>Trong 24h</v>
          </cell>
          <cell r="D1801" t="str">
            <v>Khiếu nại về dịch vụ FTTH</v>
          </cell>
          <cell r="W1801" t="str">
            <v>Đã đóng</v>
          </cell>
          <cell r="AJ1801" t="str">
            <v>Hậu Giang</v>
          </cell>
          <cell r="BX1801" t="str">
            <v>AON</v>
          </cell>
        </row>
        <row r="1802">
          <cell r="A1802" t="str">
            <v>ON</v>
          </cell>
          <cell r="B1802" t="str">
            <v>Trong 24h</v>
          </cell>
          <cell r="D1802" t="str">
            <v>Khiếu nại về dịch vụ FTTH</v>
          </cell>
          <cell r="W1802" t="str">
            <v>Đang xử lý</v>
          </cell>
          <cell r="AJ1802" t="str">
            <v>Kiên Giang</v>
          </cell>
          <cell r="BX1802" t="str">
            <v>GPON</v>
          </cell>
        </row>
        <row r="1803">
          <cell r="A1803" t="str">
            <v>ON</v>
          </cell>
          <cell r="B1803" t="str">
            <v>Trong 24h</v>
          </cell>
          <cell r="D1803" t="str">
            <v>Khiếu nại về dịch vụ FTTH</v>
          </cell>
          <cell r="W1803" t="str">
            <v>Đã đóng</v>
          </cell>
          <cell r="AJ1803" t="str">
            <v>Quảng Ngãi</v>
          </cell>
          <cell r="BX1803" t="str">
            <v>AON</v>
          </cell>
        </row>
        <row r="1804">
          <cell r="A1804" t="str">
            <v>ON</v>
          </cell>
          <cell r="B1804" t="str">
            <v>Trong 24h</v>
          </cell>
          <cell r="D1804" t="str">
            <v>Khiếu nại về dịch vụ NextTV</v>
          </cell>
          <cell r="W1804" t="str">
            <v>Đã đóng</v>
          </cell>
          <cell r="AJ1804" t="str">
            <v>TP HCM</v>
          </cell>
          <cell r="BX1804" t="str">
            <v>AON</v>
          </cell>
        </row>
        <row r="1805">
          <cell r="A1805" t="str">
            <v>ON</v>
          </cell>
          <cell r="B1805" t="str">
            <v>Trong 24h</v>
          </cell>
          <cell r="D1805" t="str">
            <v>Khiếu nại về dịch vụ FTTH</v>
          </cell>
          <cell r="W1805" t="str">
            <v>Đã đóng</v>
          </cell>
          <cell r="AJ1805" t="str">
            <v>Hải Phòng</v>
          </cell>
          <cell r="BX1805" t="str">
            <v>AON</v>
          </cell>
        </row>
        <row r="1806">
          <cell r="A1806" t="str">
            <v>ON</v>
          </cell>
          <cell r="B1806" t="str">
            <v>Trong 24h</v>
          </cell>
          <cell r="D1806" t="str">
            <v>Khiếu nại về dịch vụ FTTH</v>
          </cell>
          <cell r="W1806" t="str">
            <v>Đã đóng</v>
          </cell>
          <cell r="AJ1806" t="str">
            <v>Hải Phòng</v>
          </cell>
          <cell r="BX1806" t="str">
            <v>AON</v>
          </cell>
        </row>
        <row r="1807">
          <cell r="A1807" t="str">
            <v>ON</v>
          </cell>
          <cell r="B1807" t="str">
            <v>Trong 24h</v>
          </cell>
          <cell r="D1807" t="str">
            <v>Khiếu nại về dịch vụ FTTH</v>
          </cell>
          <cell r="W1807" t="str">
            <v>Đã đóng</v>
          </cell>
          <cell r="AJ1807" t="str">
            <v>Đồng Tháp</v>
          </cell>
          <cell r="BX1807" t="str">
            <v>AON</v>
          </cell>
        </row>
        <row r="1808">
          <cell r="A1808" t="str">
            <v>ON</v>
          </cell>
          <cell r="B1808" t="str">
            <v>Trong 24h</v>
          </cell>
          <cell r="D1808" t="str">
            <v>Khiếu nại về dịch vụ FTTH</v>
          </cell>
          <cell r="W1808" t="str">
            <v>Đang xử lý</v>
          </cell>
          <cell r="AJ1808" t="str">
            <v>TP HCM</v>
          </cell>
          <cell r="BX1808" t="str">
            <v>AON</v>
          </cell>
        </row>
        <row r="1809">
          <cell r="A1809" t="str">
            <v>ON</v>
          </cell>
          <cell r="B1809" t="str">
            <v>Trong 24h</v>
          </cell>
          <cell r="D1809" t="str">
            <v>Khiếu nại về dịch vụ FTTH</v>
          </cell>
          <cell r="W1809" t="str">
            <v>Đã đóng</v>
          </cell>
          <cell r="AJ1809" t="str">
            <v>TP HCM</v>
          </cell>
          <cell r="BX1809" t="str">
            <v>AON</v>
          </cell>
        </row>
        <row r="1810">
          <cell r="A1810" t="str">
            <v>ON</v>
          </cell>
          <cell r="B1810" t="str">
            <v>Trong 24h</v>
          </cell>
          <cell r="D1810" t="str">
            <v>Khiếu nại về dịch vụ FTTH</v>
          </cell>
          <cell r="W1810" t="str">
            <v>Đã đóng</v>
          </cell>
          <cell r="AJ1810" t="str">
            <v>TP HCM</v>
          </cell>
          <cell r="BX1810" t="str">
            <v>AON</v>
          </cell>
        </row>
        <row r="1811">
          <cell r="A1811" t="str">
            <v>ON</v>
          </cell>
          <cell r="B1811" t="str">
            <v>Trong 24h</v>
          </cell>
          <cell r="D1811" t="str">
            <v>Khiếu nại về dịch vụ FTTH</v>
          </cell>
          <cell r="W1811" t="str">
            <v>Đã đóng</v>
          </cell>
          <cell r="AJ1811" t="str">
            <v>TP HCM</v>
          </cell>
          <cell r="BX1811" t="str">
            <v>AON</v>
          </cell>
        </row>
        <row r="1812">
          <cell r="A1812" t="str">
            <v>ON</v>
          </cell>
          <cell r="B1812" t="str">
            <v>Trong 24h</v>
          </cell>
          <cell r="D1812" t="str">
            <v>Khiếu nại về dịch vụ FTTH</v>
          </cell>
          <cell r="W1812" t="str">
            <v>Đang xử lý</v>
          </cell>
          <cell r="AJ1812" t="str">
            <v>Hà Nội 1</v>
          </cell>
          <cell r="BX1812" t="str">
            <v>AON</v>
          </cell>
        </row>
        <row r="1813">
          <cell r="A1813" t="str">
            <v>ON</v>
          </cell>
          <cell r="B1813" t="str">
            <v>Trong 24h</v>
          </cell>
          <cell r="D1813" t="str">
            <v>Khiếu nại về dịch vụ FTTH</v>
          </cell>
          <cell r="W1813" t="str">
            <v>Đang xử lý</v>
          </cell>
          <cell r="AJ1813" t="str">
            <v>TP HCM</v>
          </cell>
          <cell r="BX1813" t="str">
            <v>AON</v>
          </cell>
        </row>
        <row r="1814">
          <cell r="A1814" t="str">
            <v>ON</v>
          </cell>
          <cell r="B1814" t="str">
            <v>Trong 24h</v>
          </cell>
          <cell r="D1814" t="str">
            <v>Khiếu nại về dịch vụ FTTH</v>
          </cell>
          <cell r="W1814" t="str">
            <v>Đang xử lý</v>
          </cell>
          <cell r="AJ1814" t="str">
            <v>Ninh Thuận</v>
          </cell>
          <cell r="BX1814" t="str">
            <v>AON</v>
          </cell>
        </row>
        <row r="1815">
          <cell r="A1815" t="str">
            <v>ON</v>
          </cell>
          <cell r="B1815" t="str">
            <v>Trong 24h</v>
          </cell>
          <cell r="D1815" t="str">
            <v>Khiếu nại về dịch vụ FTTH</v>
          </cell>
          <cell r="W1815" t="str">
            <v>Đã đóng</v>
          </cell>
          <cell r="AJ1815" t="str">
            <v>Hà Nội 2</v>
          </cell>
          <cell r="BX1815" t="str">
            <v>AON</v>
          </cell>
        </row>
        <row r="1816">
          <cell r="A1816" t="str">
            <v>ON</v>
          </cell>
          <cell r="B1816" t="str">
            <v>Trong 24h</v>
          </cell>
          <cell r="D1816" t="str">
            <v>Khiếu nại về dịch vụ FTTH</v>
          </cell>
          <cell r="W1816" t="str">
            <v>Đang xử lý</v>
          </cell>
          <cell r="AJ1816" t="str">
            <v>TP HCM</v>
          </cell>
          <cell r="BX1816" t="str">
            <v>AON</v>
          </cell>
        </row>
        <row r="1817">
          <cell r="A1817" t="str">
            <v>ON</v>
          </cell>
          <cell r="B1817" t="str">
            <v>Trong 24h</v>
          </cell>
          <cell r="D1817" t="str">
            <v>Khiếu nại về dịch vụ FTTH</v>
          </cell>
          <cell r="W1817" t="str">
            <v>Đã đóng</v>
          </cell>
          <cell r="AJ1817" t="str">
            <v>Hà Nội 1</v>
          </cell>
          <cell r="BX1817" t="str">
            <v>AON</v>
          </cell>
        </row>
        <row r="1818">
          <cell r="A1818" t="str">
            <v>ON</v>
          </cell>
          <cell r="B1818" t="str">
            <v>Trong 24h</v>
          </cell>
          <cell r="D1818" t="str">
            <v>Khiếu nại về dịch vụ FTTH</v>
          </cell>
          <cell r="W1818" t="str">
            <v>Đang xử lý</v>
          </cell>
          <cell r="AJ1818" t="str">
            <v>Long An</v>
          </cell>
          <cell r="BX1818" t="str">
            <v>AON</v>
          </cell>
        </row>
        <row r="1819">
          <cell r="A1819" t="str">
            <v>ON</v>
          </cell>
          <cell r="B1819" t="str">
            <v>Trong 24h</v>
          </cell>
          <cell r="D1819" t="str">
            <v>Khiếu nại về dịch vụ FTTH</v>
          </cell>
          <cell r="W1819" t="str">
            <v>Đã đóng</v>
          </cell>
          <cell r="AJ1819" t="str">
            <v>Hải Dương</v>
          </cell>
          <cell r="BX1819" t="str">
            <v>AON</v>
          </cell>
        </row>
        <row r="1820">
          <cell r="A1820" t="str">
            <v>ON</v>
          </cell>
          <cell r="B1820" t="str">
            <v>Trong 24h</v>
          </cell>
          <cell r="D1820" t="str">
            <v>Khiếu nại về dịch vụ FTTH</v>
          </cell>
          <cell r="W1820" t="str">
            <v>Đã đóng</v>
          </cell>
          <cell r="AJ1820" t="str">
            <v>Bình Dương</v>
          </cell>
          <cell r="BX1820" t="str">
            <v>AON</v>
          </cell>
        </row>
        <row r="1821">
          <cell r="A1821" t="str">
            <v>ON</v>
          </cell>
          <cell r="B1821" t="str">
            <v>Trong 24h</v>
          </cell>
          <cell r="D1821" t="str">
            <v>Khiếu nại về dịch vụ FTTH</v>
          </cell>
          <cell r="W1821" t="str">
            <v>Đang xử lý</v>
          </cell>
          <cell r="AJ1821" t="str">
            <v>Thanh Hoá</v>
          </cell>
          <cell r="BX1821" t="str">
            <v>AON</v>
          </cell>
        </row>
        <row r="1822">
          <cell r="A1822" t="str">
            <v>ON</v>
          </cell>
          <cell r="B1822" t="str">
            <v>Trong 24h</v>
          </cell>
          <cell r="D1822" t="str">
            <v>Khiếu nại về dịch vụ FTTH</v>
          </cell>
          <cell r="W1822" t="str">
            <v>Đã đóng</v>
          </cell>
          <cell r="AJ1822" t="str">
            <v>Hải Phòng</v>
          </cell>
          <cell r="BX1822" t="str">
            <v>AON</v>
          </cell>
        </row>
        <row r="1823">
          <cell r="A1823" t="str">
            <v>ON</v>
          </cell>
          <cell r="B1823" t="str">
            <v>Trong 24h</v>
          </cell>
          <cell r="D1823" t="str">
            <v>Khiếu nại về dịch vụ FTTH</v>
          </cell>
          <cell r="W1823" t="str">
            <v>Đang xử lý</v>
          </cell>
          <cell r="AJ1823" t="str">
            <v>Hải Phòng</v>
          </cell>
          <cell r="BX1823" t="str">
            <v>AON</v>
          </cell>
        </row>
        <row r="1824">
          <cell r="A1824" t="str">
            <v>ON</v>
          </cell>
          <cell r="B1824" t="str">
            <v>Trong 24h</v>
          </cell>
          <cell r="D1824" t="str">
            <v>Khiếu nại về dịch vụ FTTH</v>
          </cell>
          <cell r="W1824" t="str">
            <v>Đã đóng</v>
          </cell>
          <cell r="AJ1824" t="str">
            <v>TP HCM</v>
          </cell>
          <cell r="BX1824" t="str">
            <v>GPON</v>
          </cell>
        </row>
        <row r="1825">
          <cell r="A1825" t="str">
            <v>ON</v>
          </cell>
          <cell r="B1825" t="str">
            <v>Trong 24h</v>
          </cell>
          <cell r="D1825" t="str">
            <v>Khiếu nại về dịch vụ FTTH</v>
          </cell>
          <cell r="W1825" t="str">
            <v>Đang xử lý</v>
          </cell>
          <cell r="AJ1825" t="str">
            <v>An Giang</v>
          </cell>
          <cell r="BX1825" t="str">
            <v>AON</v>
          </cell>
        </row>
        <row r="1826">
          <cell r="A1826" t="str">
            <v>ON</v>
          </cell>
          <cell r="B1826" t="str">
            <v>Trong 24h</v>
          </cell>
          <cell r="D1826" t="str">
            <v>Khiếu nại về dịch vụ FTTH</v>
          </cell>
          <cell r="W1826" t="str">
            <v>Đã đóng</v>
          </cell>
          <cell r="AJ1826" t="str">
            <v>Quảng Trị</v>
          </cell>
          <cell r="BX1826" t="str">
            <v>AON</v>
          </cell>
        </row>
        <row r="1827">
          <cell r="A1827" t="str">
            <v>ON</v>
          </cell>
          <cell r="B1827" t="str">
            <v>Trong 24h</v>
          </cell>
          <cell r="D1827" t="str">
            <v>Khiếu nại về dịch vụ FTTH</v>
          </cell>
          <cell r="W1827" t="str">
            <v>Đang xử lý</v>
          </cell>
          <cell r="AJ1827" t="str">
            <v>Thái Nguyên</v>
          </cell>
          <cell r="BX1827" t="str">
            <v>AON</v>
          </cell>
        </row>
        <row r="1828">
          <cell r="A1828" t="str">
            <v>ON</v>
          </cell>
          <cell r="B1828" t="str">
            <v>Trong 24h</v>
          </cell>
          <cell r="D1828" t="str">
            <v>Khiếu nại về dịch vụ FTTH</v>
          </cell>
          <cell r="W1828" t="str">
            <v>Đã đóng</v>
          </cell>
          <cell r="AJ1828" t="str">
            <v>Nghệ An</v>
          </cell>
          <cell r="BX1828" t="str">
            <v>AON</v>
          </cell>
        </row>
        <row r="1829">
          <cell r="A1829" t="str">
            <v>ON</v>
          </cell>
          <cell r="B1829" t="str">
            <v>Trong 24h</v>
          </cell>
          <cell r="D1829" t="str">
            <v>Khiếu nại về dịch vụ FTTH</v>
          </cell>
          <cell r="W1829" t="str">
            <v>Đang xử lý</v>
          </cell>
          <cell r="AJ1829" t="str">
            <v>Lâm Đồng</v>
          </cell>
          <cell r="BX1829" t="str">
            <v>AON</v>
          </cell>
        </row>
        <row r="1830">
          <cell r="A1830" t="str">
            <v>ON</v>
          </cell>
          <cell r="B1830" t="str">
            <v>Trong 24h</v>
          </cell>
          <cell r="D1830" t="str">
            <v>Khiếu nại về dịch vụ FTTH</v>
          </cell>
          <cell r="W1830" t="str">
            <v>Đang xử lý</v>
          </cell>
          <cell r="AJ1830" t="str">
            <v>TP HCM</v>
          </cell>
          <cell r="BX1830" t="str">
            <v>AON</v>
          </cell>
        </row>
        <row r="1831">
          <cell r="A1831" t="str">
            <v>ON</v>
          </cell>
          <cell r="B1831" t="str">
            <v>Trong 24h</v>
          </cell>
          <cell r="D1831" t="str">
            <v>Khiếu nại về dịch vụ FTTH</v>
          </cell>
          <cell r="W1831" t="str">
            <v>Đang xử lý</v>
          </cell>
          <cell r="AJ1831" t="str">
            <v>Phú Thọ</v>
          </cell>
          <cell r="BX1831" t="str">
            <v>AON</v>
          </cell>
        </row>
        <row r="1832">
          <cell r="A1832" t="str">
            <v>ON</v>
          </cell>
          <cell r="B1832" t="str">
            <v>Trong 24h</v>
          </cell>
          <cell r="D1832" t="str">
            <v>Khiếu nại về dịch vụ FTTH</v>
          </cell>
          <cell r="W1832" t="str">
            <v>Đã đóng</v>
          </cell>
          <cell r="AJ1832" t="str">
            <v>Hà Nội 1</v>
          </cell>
          <cell r="BX1832" t="str">
            <v>AON</v>
          </cell>
        </row>
        <row r="1833">
          <cell r="A1833" t="str">
            <v>ON</v>
          </cell>
          <cell r="B1833" t="str">
            <v>Trong 24h</v>
          </cell>
          <cell r="D1833" t="str">
            <v>Khiếu nại về dịch vụ FTTH</v>
          </cell>
          <cell r="W1833" t="str">
            <v>Đang xử lý</v>
          </cell>
          <cell r="AJ1833" t="str">
            <v>TP HCM</v>
          </cell>
          <cell r="BX1833" t="str">
            <v>AON</v>
          </cell>
        </row>
        <row r="1834">
          <cell r="A1834" t="str">
            <v>ON</v>
          </cell>
          <cell r="B1834" t="str">
            <v>Trong 24h</v>
          </cell>
          <cell r="D1834" t="str">
            <v>Khiếu nại về dịch vụ FTTH</v>
          </cell>
          <cell r="W1834" t="str">
            <v>Đã đóng</v>
          </cell>
          <cell r="AJ1834" t="str">
            <v>Lạng Sơn</v>
          </cell>
          <cell r="BX1834" t="str">
            <v>AON</v>
          </cell>
        </row>
        <row r="1835">
          <cell r="A1835" t="str">
            <v>ON</v>
          </cell>
          <cell r="B1835" t="str">
            <v>Trong 24h</v>
          </cell>
          <cell r="D1835" t="str">
            <v>Khiếu nại về dịch vụ FTTH</v>
          </cell>
          <cell r="W1835" t="str">
            <v>Đang xử lý</v>
          </cell>
          <cell r="AJ1835" t="str">
            <v>Bắc Giang</v>
          </cell>
          <cell r="BX1835" t="str">
            <v>AON</v>
          </cell>
        </row>
        <row r="1836">
          <cell r="A1836" t="str">
            <v>ON</v>
          </cell>
          <cell r="B1836" t="str">
            <v>Trong 24h</v>
          </cell>
          <cell r="D1836" t="str">
            <v>Khiếu nại về dịch vụ FTTH</v>
          </cell>
          <cell r="W1836" t="str">
            <v>Đang xử lý</v>
          </cell>
          <cell r="AJ1836" t="str">
            <v>Nghệ An</v>
          </cell>
          <cell r="BX1836" t="str">
            <v>AON</v>
          </cell>
        </row>
        <row r="1837">
          <cell r="A1837" t="str">
            <v>ON</v>
          </cell>
          <cell r="B1837" t="str">
            <v>Trong 24h</v>
          </cell>
          <cell r="D1837" t="str">
            <v>Khiếu nại về dịch vụ FTTH</v>
          </cell>
          <cell r="W1837" t="str">
            <v>Đã đóng</v>
          </cell>
          <cell r="AJ1837" t="str">
            <v>Bình Dương</v>
          </cell>
          <cell r="BX1837" t="str">
            <v>AON</v>
          </cell>
        </row>
        <row r="1838">
          <cell r="A1838" t="str">
            <v>ON</v>
          </cell>
          <cell r="B1838" t="str">
            <v>Trong 24h</v>
          </cell>
          <cell r="D1838" t="str">
            <v>Khiếu nại về dịch vụ FTTH</v>
          </cell>
          <cell r="W1838" t="str">
            <v>Đang xử lý</v>
          </cell>
          <cell r="AJ1838" t="str">
            <v>Hậu Giang</v>
          </cell>
          <cell r="BX1838" t="str">
            <v>AON</v>
          </cell>
        </row>
        <row r="1839">
          <cell r="A1839" t="str">
            <v>ON</v>
          </cell>
          <cell r="B1839" t="str">
            <v>Trong 24h</v>
          </cell>
          <cell r="D1839" t="str">
            <v>Khiếu nại về dịch vụ FTTH</v>
          </cell>
          <cell r="W1839" t="str">
            <v>Đang xử lý</v>
          </cell>
          <cell r="AJ1839" t="str">
            <v>Hà Nội 1</v>
          </cell>
          <cell r="BX1839" t="str">
            <v>AON</v>
          </cell>
        </row>
        <row r="1840">
          <cell r="A1840" t="str">
            <v>ON</v>
          </cell>
          <cell r="B1840" t="str">
            <v>Trong 24h</v>
          </cell>
          <cell r="D1840" t="str">
            <v>Khiếu nại về dịch vụ FTTH</v>
          </cell>
          <cell r="W1840" t="str">
            <v>Đã đóng</v>
          </cell>
          <cell r="AJ1840" t="str">
            <v>Nghệ An</v>
          </cell>
          <cell r="BX1840" t="str">
            <v>AON</v>
          </cell>
        </row>
        <row r="1841">
          <cell r="A1841" t="str">
            <v>ON</v>
          </cell>
          <cell r="B1841" t="str">
            <v>Trong 24h</v>
          </cell>
          <cell r="D1841" t="str">
            <v>Khiếu nại về dịch vụ FTTH</v>
          </cell>
          <cell r="W1841" t="str">
            <v>Đang xử lý</v>
          </cell>
          <cell r="AJ1841" t="str">
            <v>Kon Tum</v>
          </cell>
          <cell r="BX1841" t="str">
            <v>AON</v>
          </cell>
        </row>
        <row r="1842">
          <cell r="A1842" t="str">
            <v>ON</v>
          </cell>
          <cell r="B1842" t="str">
            <v>Trong 24h</v>
          </cell>
          <cell r="D1842" t="str">
            <v>Khiếu nại về dịch vụ FTTH</v>
          </cell>
          <cell r="W1842" t="str">
            <v>Đã đóng</v>
          </cell>
          <cell r="AJ1842" t="str">
            <v>Hà Nội 1</v>
          </cell>
          <cell r="BX1842" t="str">
            <v>AON</v>
          </cell>
        </row>
        <row r="1843">
          <cell r="A1843" t="str">
            <v>ON</v>
          </cell>
          <cell r="B1843" t="str">
            <v>Trong 24h</v>
          </cell>
          <cell r="D1843" t="str">
            <v>Khiếu nại về dịch vụ FTTH</v>
          </cell>
          <cell r="W1843" t="str">
            <v>Đã đóng</v>
          </cell>
          <cell r="AJ1843" t="str">
            <v>Trà Vinh</v>
          </cell>
          <cell r="BX1843" t="str">
            <v>AON</v>
          </cell>
        </row>
        <row r="1844">
          <cell r="A1844" t="str">
            <v>ON</v>
          </cell>
          <cell r="B1844" t="str">
            <v>Trong 24h</v>
          </cell>
          <cell r="D1844" t="str">
            <v>Khiếu nại về dịch vụ FTTH</v>
          </cell>
          <cell r="W1844" t="str">
            <v>Đang xử lý</v>
          </cell>
          <cell r="AJ1844" t="str">
            <v xml:space="preserve">Đà Nẵng </v>
          </cell>
          <cell r="BX1844" t="str">
            <v>AON</v>
          </cell>
        </row>
        <row r="1845">
          <cell r="A1845" t="str">
            <v>ON</v>
          </cell>
          <cell r="B1845" t="str">
            <v>Trong 24h</v>
          </cell>
          <cell r="D1845" t="str">
            <v>Khiếu nại về dịch vụ FTTH</v>
          </cell>
          <cell r="W1845" t="str">
            <v>Đã đóng</v>
          </cell>
          <cell r="AJ1845" t="str">
            <v>Nghệ An</v>
          </cell>
          <cell r="BX1845" t="str">
            <v>AON</v>
          </cell>
        </row>
        <row r="1846">
          <cell r="A1846" t="str">
            <v>ON</v>
          </cell>
          <cell r="B1846" t="str">
            <v>Trong 24h</v>
          </cell>
          <cell r="D1846" t="str">
            <v>Khiếu nại về dịch vụ FTTH</v>
          </cell>
          <cell r="W1846" t="str">
            <v>Đã đóng</v>
          </cell>
          <cell r="AJ1846" t="str">
            <v>Tây Ninh</v>
          </cell>
          <cell r="BX1846" t="str">
            <v>AON</v>
          </cell>
        </row>
        <row r="1847">
          <cell r="A1847" t="str">
            <v>ON</v>
          </cell>
          <cell r="B1847" t="str">
            <v>Trong 24h</v>
          </cell>
          <cell r="D1847" t="str">
            <v>Khiếu nại về dịch vụ FTTH</v>
          </cell>
          <cell r="W1847" t="str">
            <v>Đã đóng</v>
          </cell>
          <cell r="AJ1847" t="str">
            <v>TP HCM</v>
          </cell>
          <cell r="BX1847" t="str">
            <v>AON</v>
          </cell>
        </row>
        <row r="1848">
          <cell r="A1848" t="str">
            <v>ON</v>
          </cell>
          <cell r="B1848" t="str">
            <v>Trong 24h</v>
          </cell>
          <cell r="D1848" t="str">
            <v>Khiếu nại về dịch vụ FTTH</v>
          </cell>
          <cell r="W1848" t="str">
            <v>Đã đóng</v>
          </cell>
          <cell r="AJ1848" t="str">
            <v>TP HCM</v>
          </cell>
          <cell r="BX1848" t="str">
            <v>AON</v>
          </cell>
        </row>
        <row r="1849">
          <cell r="A1849" t="str">
            <v>ON</v>
          </cell>
          <cell r="B1849" t="str">
            <v>Trong 24h</v>
          </cell>
          <cell r="D1849" t="str">
            <v>Khiếu nại về dịch vụ FTTH</v>
          </cell>
          <cell r="W1849" t="str">
            <v>Đã đóng</v>
          </cell>
          <cell r="AJ1849" t="str">
            <v>Hà Nội 1</v>
          </cell>
          <cell r="BX1849" t="str">
            <v>AON</v>
          </cell>
        </row>
        <row r="1850">
          <cell r="A1850" t="str">
            <v>ON</v>
          </cell>
          <cell r="B1850" t="str">
            <v>Trong 24h</v>
          </cell>
          <cell r="D1850" t="str">
            <v>Khiếu nại về dịch vụ FTTH</v>
          </cell>
          <cell r="W1850" t="str">
            <v>Đã đóng</v>
          </cell>
          <cell r="AJ1850" t="str">
            <v>TP HCM</v>
          </cell>
          <cell r="BX1850" t="str">
            <v>GPON</v>
          </cell>
        </row>
        <row r="1851">
          <cell r="A1851" t="str">
            <v>ON</v>
          </cell>
          <cell r="B1851" t="str">
            <v>Trong 24h</v>
          </cell>
          <cell r="D1851" t="str">
            <v>Khiếu nại về dịch vụ FTTH</v>
          </cell>
          <cell r="W1851" t="str">
            <v>Đã đóng</v>
          </cell>
          <cell r="AJ1851" t="str">
            <v>TP HCM</v>
          </cell>
          <cell r="BX1851" t="str">
            <v>AON</v>
          </cell>
        </row>
        <row r="1852">
          <cell r="A1852" t="str">
            <v>ON</v>
          </cell>
          <cell r="B1852" t="str">
            <v>Trong 24h</v>
          </cell>
          <cell r="D1852" t="str">
            <v>Khiếu nại về dịch vụ FTTH</v>
          </cell>
          <cell r="W1852" t="str">
            <v>Đang xử lý</v>
          </cell>
          <cell r="AJ1852" t="str">
            <v xml:space="preserve">Đồng Nai </v>
          </cell>
          <cell r="BX1852" t="str">
            <v>AON</v>
          </cell>
        </row>
        <row r="1853">
          <cell r="A1853" t="str">
            <v>ON</v>
          </cell>
          <cell r="B1853" t="str">
            <v>Trong 24h</v>
          </cell>
          <cell r="D1853" t="str">
            <v>Khiếu nại về dịch vụ FTTH</v>
          </cell>
          <cell r="W1853" t="str">
            <v>Đang xử lý</v>
          </cell>
          <cell r="AJ1853" t="str">
            <v>TP HCM</v>
          </cell>
          <cell r="BX1853" t="str">
            <v>GPON</v>
          </cell>
        </row>
        <row r="1854">
          <cell r="A1854" t="str">
            <v>ON</v>
          </cell>
          <cell r="B1854" t="str">
            <v>Trong 24h</v>
          </cell>
          <cell r="D1854" t="str">
            <v>Khiếu nại về dịch vụ FTTH</v>
          </cell>
          <cell r="W1854" t="str">
            <v>Đã đóng</v>
          </cell>
          <cell r="AJ1854" t="str">
            <v>Bà Rịa - Vũng Tàu</v>
          </cell>
          <cell r="BX1854" t="str">
            <v>AON</v>
          </cell>
        </row>
        <row r="1855">
          <cell r="A1855" t="str">
            <v>ON</v>
          </cell>
          <cell r="B1855" t="str">
            <v>Trong 24h</v>
          </cell>
          <cell r="D1855" t="str">
            <v>Khiếu nại về dịch vụ FTTH</v>
          </cell>
          <cell r="W1855" t="str">
            <v>Đang xử lý</v>
          </cell>
          <cell r="AJ1855" t="str">
            <v>Bình Định</v>
          </cell>
          <cell r="BX1855" t="str">
            <v>AON</v>
          </cell>
        </row>
        <row r="1856">
          <cell r="A1856" t="str">
            <v>ON</v>
          </cell>
          <cell r="B1856" t="str">
            <v>Trong 24h</v>
          </cell>
          <cell r="D1856" t="str">
            <v>Khiếu nại về dịch vụ FTTH</v>
          </cell>
          <cell r="W1856" t="str">
            <v>Đang xử lý</v>
          </cell>
          <cell r="AJ1856" t="str">
            <v>Bình Định</v>
          </cell>
          <cell r="BX1856" t="str">
            <v>AON</v>
          </cell>
        </row>
        <row r="1857">
          <cell r="A1857" t="str">
            <v>ON</v>
          </cell>
          <cell r="B1857" t="str">
            <v>Trong 24h</v>
          </cell>
          <cell r="D1857" t="str">
            <v>Khiếu nại về dịch vụ FTTH</v>
          </cell>
          <cell r="W1857" t="str">
            <v>Đã đóng</v>
          </cell>
          <cell r="AJ1857" t="str">
            <v>Hải Phòng</v>
          </cell>
          <cell r="BX1857" t="str">
            <v>AON</v>
          </cell>
        </row>
        <row r="1858">
          <cell r="A1858" t="str">
            <v>ON</v>
          </cell>
          <cell r="B1858" t="str">
            <v>Trong 24h</v>
          </cell>
          <cell r="D1858" t="str">
            <v>Khiếu nại về dịch vụ FTTH</v>
          </cell>
          <cell r="W1858" t="str">
            <v>Đã đóng</v>
          </cell>
          <cell r="AJ1858" t="str">
            <v>TP HCM</v>
          </cell>
          <cell r="BX1858" t="str">
            <v>GPON</v>
          </cell>
        </row>
        <row r="1859">
          <cell r="A1859" t="str">
            <v>ON</v>
          </cell>
          <cell r="B1859" t="str">
            <v>Trong 24h</v>
          </cell>
          <cell r="D1859" t="str">
            <v>Khiếu nại về dịch vụ FTTH</v>
          </cell>
          <cell r="W1859" t="str">
            <v>Đang xử lý</v>
          </cell>
          <cell r="AJ1859" t="str">
            <v>Bình Dương</v>
          </cell>
          <cell r="BX1859" t="str">
            <v>AON</v>
          </cell>
        </row>
        <row r="1860">
          <cell r="A1860" t="str">
            <v>ON</v>
          </cell>
          <cell r="B1860" t="str">
            <v>Trong 24h</v>
          </cell>
          <cell r="D1860" t="str">
            <v>Khiếu nại về dịch vụ FTTH</v>
          </cell>
          <cell r="W1860" t="str">
            <v>Đang xử lý</v>
          </cell>
          <cell r="AJ1860" t="str">
            <v>Quảng Ninh</v>
          </cell>
          <cell r="BX1860" t="str">
            <v>AON</v>
          </cell>
        </row>
        <row r="1861">
          <cell r="A1861" t="str">
            <v>ON</v>
          </cell>
          <cell r="B1861" t="str">
            <v>Trong 24h</v>
          </cell>
          <cell r="D1861" t="str">
            <v>Khiếu nại về dịch vụ FTTH</v>
          </cell>
          <cell r="W1861" t="str">
            <v>Đang xử lý</v>
          </cell>
          <cell r="AJ1861" t="str">
            <v>An Giang</v>
          </cell>
          <cell r="BX1861" t="str">
            <v>AON</v>
          </cell>
        </row>
        <row r="1862">
          <cell r="A1862" t="str">
            <v>ON</v>
          </cell>
          <cell r="B1862" t="str">
            <v>Trong 24h</v>
          </cell>
          <cell r="D1862" t="str">
            <v>Khiếu nại về dịch vụ FTTH</v>
          </cell>
          <cell r="W1862" t="str">
            <v>Đã đóng</v>
          </cell>
          <cell r="AJ1862" t="str">
            <v>Trà Vinh</v>
          </cell>
          <cell r="BX1862" t="str">
            <v>AON</v>
          </cell>
        </row>
        <row r="1863">
          <cell r="A1863" t="str">
            <v>ON</v>
          </cell>
          <cell r="B1863" t="str">
            <v>Trong 24h</v>
          </cell>
          <cell r="D1863" t="str">
            <v>Khiếu nại về dịch vụ FTTH</v>
          </cell>
          <cell r="W1863" t="str">
            <v>Đã đóng</v>
          </cell>
          <cell r="AJ1863" t="str">
            <v>TP HCM</v>
          </cell>
          <cell r="BX1863" t="str">
            <v>AON</v>
          </cell>
        </row>
        <row r="1864">
          <cell r="A1864" t="str">
            <v>ON</v>
          </cell>
          <cell r="B1864" t="str">
            <v>Trong 24h</v>
          </cell>
          <cell r="D1864" t="str">
            <v>Khiếu nại về dịch vụ FTTH</v>
          </cell>
          <cell r="W1864" t="str">
            <v>Đang xử lý</v>
          </cell>
          <cell r="AJ1864" t="str">
            <v>An Giang</v>
          </cell>
          <cell r="BX1864" t="str">
            <v>AON</v>
          </cell>
        </row>
        <row r="1865">
          <cell r="A1865" t="str">
            <v>ON</v>
          </cell>
          <cell r="B1865" t="str">
            <v>Trong 24h</v>
          </cell>
          <cell r="D1865" t="str">
            <v>Khiếu nại về dịch vụ FTTH</v>
          </cell>
          <cell r="W1865" t="str">
            <v>Đang xử lý</v>
          </cell>
          <cell r="AJ1865" t="str">
            <v>Bình Định</v>
          </cell>
          <cell r="BX1865" t="str">
            <v>AON</v>
          </cell>
        </row>
        <row r="1866">
          <cell r="A1866" t="str">
            <v>ON</v>
          </cell>
          <cell r="B1866" t="str">
            <v>Trong 24h</v>
          </cell>
          <cell r="D1866" t="str">
            <v>Khiếu nại về dịch vụ FTTH</v>
          </cell>
          <cell r="W1866" t="str">
            <v>Đã đóng</v>
          </cell>
          <cell r="AJ1866" t="str">
            <v>Hải Phòng</v>
          </cell>
          <cell r="BX1866" t="str">
            <v>AON</v>
          </cell>
        </row>
        <row r="1867">
          <cell r="A1867" t="str">
            <v>ON</v>
          </cell>
          <cell r="B1867" t="str">
            <v>Trong 24h</v>
          </cell>
          <cell r="D1867" t="str">
            <v>Khiếu nại về dịch vụ FTTH</v>
          </cell>
          <cell r="W1867" t="str">
            <v>Đã đóng</v>
          </cell>
          <cell r="AJ1867" t="str">
            <v>TP HCM</v>
          </cell>
          <cell r="BX1867" t="str">
            <v>AON</v>
          </cell>
        </row>
        <row r="1868">
          <cell r="A1868" t="str">
            <v>ON</v>
          </cell>
          <cell r="B1868" t="str">
            <v>Trong 24h</v>
          </cell>
          <cell r="D1868" t="str">
            <v>Khiếu nại về dịch vụ FTTH</v>
          </cell>
          <cell r="W1868" t="str">
            <v>Đang xử lý</v>
          </cell>
          <cell r="AJ1868" t="str">
            <v>Nghệ An</v>
          </cell>
          <cell r="BX1868" t="str">
            <v>AON</v>
          </cell>
        </row>
        <row r="1869">
          <cell r="A1869" t="str">
            <v>ON</v>
          </cell>
          <cell r="B1869" t="str">
            <v>Trong 24h</v>
          </cell>
          <cell r="D1869" t="str">
            <v>Khiếu nại về dịch vụ FTTH</v>
          </cell>
          <cell r="W1869" t="str">
            <v>Đang xử lý</v>
          </cell>
          <cell r="AJ1869" t="str">
            <v>TP HCM</v>
          </cell>
          <cell r="BX1869" t="str">
            <v>AON</v>
          </cell>
        </row>
        <row r="1870">
          <cell r="A1870" t="str">
            <v>ON</v>
          </cell>
          <cell r="B1870" t="str">
            <v>Trong 24h</v>
          </cell>
          <cell r="D1870" t="str">
            <v>Khiếu nại về dịch vụ FTTH</v>
          </cell>
          <cell r="W1870" t="str">
            <v>Đã đóng</v>
          </cell>
          <cell r="AJ1870" t="str">
            <v>Hậu Giang</v>
          </cell>
          <cell r="BX1870" t="str">
            <v>AON</v>
          </cell>
        </row>
        <row r="1871">
          <cell r="A1871" t="str">
            <v>ON</v>
          </cell>
          <cell r="B1871" t="str">
            <v>Trong 24h</v>
          </cell>
          <cell r="D1871" t="str">
            <v>Khiếu nại về dịch vụ FTTH</v>
          </cell>
          <cell r="W1871" t="str">
            <v>Đang xử lý</v>
          </cell>
          <cell r="AJ1871" t="str">
            <v xml:space="preserve">Đồng Nai </v>
          </cell>
          <cell r="BX1871" t="str">
            <v>AON</v>
          </cell>
        </row>
        <row r="1872">
          <cell r="A1872" t="str">
            <v>ON</v>
          </cell>
          <cell r="B1872" t="str">
            <v>Trong 24h</v>
          </cell>
          <cell r="D1872" t="str">
            <v>Khiếu nại về dịch vụ FTTH</v>
          </cell>
          <cell r="W1872" t="str">
            <v>Đang xử lý</v>
          </cell>
          <cell r="AJ1872" t="str">
            <v>Ninh Bình</v>
          </cell>
          <cell r="BX1872" t="str">
            <v>AON</v>
          </cell>
        </row>
        <row r="1873">
          <cell r="A1873" t="str">
            <v>ON</v>
          </cell>
          <cell r="B1873" t="str">
            <v>Trong 24h</v>
          </cell>
          <cell r="D1873" t="str">
            <v>Khiếu nại về dịch vụ FTTH</v>
          </cell>
          <cell r="W1873" t="str">
            <v>Đã đóng</v>
          </cell>
          <cell r="AJ1873" t="str">
            <v>Hà Nội 1</v>
          </cell>
          <cell r="BX1873" t="str">
            <v>AON</v>
          </cell>
        </row>
        <row r="1874">
          <cell r="A1874" t="str">
            <v>ON</v>
          </cell>
          <cell r="B1874" t="str">
            <v>Trong 24h</v>
          </cell>
          <cell r="D1874" t="str">
            <v>Khiếu nại về dịch vụ FTTH</v>
          </cell>
          <cell r="W1874" t="str">
            <v>Đang xử lý</v>
          </cell>
          <cell r="AJ1874" t="str">
            <v>TP HCM</v>
          </cell>
          <cell r="BX1874" t="str">
            <v>AON</v>
          </cell>
        </row>
        <row r="1875">
          <cell r="A1875" t="str">
            <v>ON</v>
          </cell>
          <cell r="B1875" t="str">
            <v>Trong 24h</v>
          </cell>
          <cell r="D1875" t="str">
            <v>Khiếu nại về dịch vụ FTTH</v>
          </cell>
          <cell r="W1875" t="str">
            <v>Đã đóng</v>
          </cell>
          <cell r="AJ1875" t="str">
            <v>Đồng Tháp</v>
          </cell>
          <cell r="BX1875" t="str">
            <v>AON</v>
          </cell>
        </row>
        <row r="1876">
          <cell r="A1876" t="str">
            <v>ON</v>
          </cell>
          <cell r="B1876" t="str">
            <v>Trong 24h</v>
          </cell>
          <cell r="D1876" t="str">
            <v>Khiếu nại về dịch vụ FTTH</v>
          </cell>
          <cell r="W1876" t="str">
            <v>Đang xử lý</v>
          </cell>
          <cell r="AJ1876" t="str">
            <v>TP HCM</v>
          </cell>
          <cell r="BX1876" t="str">
            <v>AON</v>
          </cell>
        </row>
        <row r="1877">
          <cell r="A1877" t="str">
            <v>ON</v>
          </cell>
          <cell r="B1877" t="str">
            <v>Trong 24h</v>
          </cell>
          <cell r="D1877" t="str">
            <v>Khiếu nại về dịch vụ FTTH</v>
          </cell>
          <cell r="W1877" t="str">
            <v>Đã đóng</v>
          </cell>
          <cell r="AJ1877" t="str">
            <v>TP HCM</v>
          </cell>
          <cell r="BX1877" t="str">
            <v>AON</v>
          </cell>
        </row>
        <row r="1878">
          <cell r="A1878" t="str">
            <v>ON</v>
          </cell>
          <cell r="B1878" t="str">
            <v>Trong 24h</v>
          </cell>
          <cell r="D1878" t="str">
            <v>Khiếu nại về dịch vụ FTTH</v>
          </cell>
          <cell r="W1878" t="str">
            <v>Đang xử lý</v>
          </cell>
          <cell r="AJ1878" t="str">
            <v>Cần Thơ</v>
          </cell>
          <cell r="BX1878" t="str">
            <v>AON</v>
          </cell>
        </row>
        <row r="1879">
          <cell r="A1879" t="str">
            <v>ON</v>
          </cell>
          <cell r="B1879" t="str">
            <v>Trong 24h</v>
          </cell>
          <cell r="D1879" t="str">
            <v>Khiếu nại về dịch vụ FTTH</v>
          </cell>
          <cell r="W1879" t="str">
            <v>Đã đóng</v>
          </cell>
          <cell r="AJ1879" t="str">
            <v>Hà Nội 1</v>
          </cell>
          <cell r="BX1879" t="str">
            <v>AON</v>
          </cell>
        </row>
        <row r="1880">
          <cell r="A1880" t="str">
            <v>ON</v>
          </cell>
          <cell r="B1880" t="str">
            <v>Trong 24h</v>
          </cell>
          <cell r="D1880" t="str">
            <v>Khiếu nại về dịch vụ FTTH</v>
          </cell>
          <cell r="W1880" t="str">
            <v>Đã đóng</v>
          </cell>
          <cell r="AJ1880" t="str">
            <v>Ninh Bình</v>
          </cell>
          <cell r="BX1880" t="str">
            <v>AON</v>
          </cell>
        </row>
        <row r="1881">
          <cell r="A1881" t="str">
            <v>ON</v>
          </cell>
          <cell r="B1881" t="str">
            <v>Trong 24h</v>
          </cell>
          <cell r="D1881" t="str">
            <v>Khiếu nại về dịch vụ FTTH</v>
          </cell>
          <cell r="W1881" t="str">
            <v>Đã đóng</v>
          </cell>
          <cell r="AJ1881" t="str">
            <v>TP HCM</v>
          </cell>
          <cell r="BX1881" t="str">
            <v>AON</v>
          </cell>
        </row>
        <row r="1882">
          <cell r="A1882" t="str">
            <v>ON</v>
          </cell>
          <cell r="B1882" t="str">
            <v>Trong 24h</v>
          </cell>
          <cell r="D1882" t="str">
            <v>Khiếu nại về dịch vụ FTTH</v>
          </cell>
          <cell r="W1882" t="str">
            <v>Đã đóng</v>
          </cell>
          <cell r="AJ1882" t="str">
            <v>TP HCM</v>
          </cell>
          <cell r="BX1882" t="str">
            <v>AON</v>
          </cell>
        </row>
        <row r="1883">
          <cell r="A1883" t="str">
            <v>ON</v>
          </cell>
          <cell r="B1883" t="str">
            <v>Trong 24h</v>
          </cell>
          <cell r="D1883" t="str">
            <v>Khiếu nại về dịch vụ FTTH</v>
          </cell>
          <cell r="W1883" t="str">
            <v>Đã đóng</v>
          </cell>
          <cell r="AJ1883" t="str">
            <v>TP HCM</v>
          </cell>
          <cell r="BX1883" t="str">
            <v>AON</v>
          </cell>
        </row>
        <row r="1884">
          <cell r="A1884" t="str">
            <v>ON</v>
          </cell>
          <cell r="B1884" t="str">
            <v>Trong 24h</v>
          </cell>
          <cell r="D1884" t="str">
            <v>Khiếu nại về dịch vụ FTTH</v>
          </cell>
          <cell r="W1884" t="str">
            <v>Đang xử lý</v>
          </cell>
          <cell r="AJ1884" t="str">
            <v>Bình Dương</v>
          </cell>
          <cell r="BX1884" t="str">
            <v>AON</v>
          </cell>
        </row>
        <row r="1885">
          <cell r="A1885" t="str">
            <v>ON</v>
          </cell>
          <cell r="B1885" t="str">
            <v>Trong 24h</v>
          </cell>
          <cell r="D1885" t="str">
            <v>Khiếu nại về dịch vụ FTTH</v>
          </cell>
          <cell r="W1885" t="str">
            <v>Đang xử lý</v>
          </cell>
          <cell r="AJ1885" t="str">
            <v>Lâm Đồng</v>
          </cell>
          <cell r="BX1885" t="str">
            <v>AON</v>
          </cell>
        </row>
        <row r="1886">
          <cell r="A1886" t="str">
            <v>ON</v>
          </cell>
          <cell r="B1886" t="str">
            <v>Trong 24h</v>
          </cell>
          <cell r="D1886" t="str">
            <v>Khiếu nại về dịch vụ FTTH</v>
          </cell>
          <cell r="W1886" t="str">
            <v>Đang xử lý</v>
          </cell>
          <cell r="AJ1886" t="str">
            <v>Thanh Hoá</v>
          </cell>
          <cell r="BX1886" t="str">
            <v>AON</v>
          </cell>
        </row>
        <row r="1887">
          <cell r="A1887" t="str">
            <v>ON</v>
          </cell>
          <cell r="B1887" t="str">
            <v>Trong 24h</v>
          </cell>
          <cell r="D1887" t="str">
            <v>Khiếu nại về dịch vụ FTTH</v>
          </cell>
          <cell r="W1887" t="str">
            <v>Đã đóng</v>
          </cell>
          <cell r="AJ1887" t="str">
            <v>TP HCM</v>
          </cell>
          <cell r="BX1887" t="str">
            <v>AON</v>
          </cell>
        </row>
        <row r="1888">
          <cell r="A1888" t="str">
            <v>ON</v>
          </cell>
          <cell r="B1888" t="str">
            <v>Trong 24h</v>
          </cell>
          <cell r="D1888" t="str">
            <v>Khiếu nại về dịch vụ FTTH</v>
          </cell>
          <cell r="W1888" t="str">
            <v>Đã đóng</v>
          </cell>
          <cell r="AJ1888" t="str">
            <v xml:space="preserve">Đồng Nai </v>
          </cell>
          <cell r="BX1888" t="str">
            <v>AON</v>
          </cell>
        </row>
        <row r="1889">
          <cell r="A1889" t="str">
            <v>ON</v>
          </cell>
          <cell r="B1889" t="str">
            <v>Trong 24h</v>
          </cell>
          <cell r="D1889" t="str">
            <v>Khiếu nại về dịch vụ FTTH</v>
          </cell>
          <cell r="W1889" t="str">
            <v>Đã đóng</v>
          </cell>
          <cell r="AJ1889" t="str">
            <v>TP HCM</v>
          </cell>
          <cell r="BX1889" t="str">
            <v>AON</v>
          </cell>
        </row>
        <row r="1890">
          <cell r="A1890" t="str">
            <v>ON</v>
          </cell>
          <cell r="B1890" t="str">
            <v>Trong 24h</v>
          </cell>
          <cell r="D1890" t="str">
            <v>Khiếu nại về dịch vụ FTTH</v>
          </cell>
          <cell r="W1890" t="str">
            <v>Đã đóng</v>
          </cell>
          <cell r="AJ1890" t="str">
            <v>Hà Nội 1</v>
          </cell>
          <cell r="BX1890" t="str">
            <v>AON</v>
          </cell>
        </row>
        <row r="1891">
          <cell r="A1891" t="str">
            <v>ON</v>
          </cell>
          <cell r="B1891" t="str">
            <v>Trong 24h</v>
          </cell>
          <cell r="D1891" t="str">
            <v>Khiếu nại về dịch vụ FTTH</v>
          </cell>
          <cell r="W1891" t="str">
            <v>Đã đóng</v>
          </cell>
          <cell r="AJ1891" t="str">
            <v>Hà Nội 2</v>
          </cell>
          <cell r="BX1891" t="str">
            <v>AON</v>
          </cell>
        </row>
        <row r="1892">
          <cell r="A1892" t="str">
            <v>ON</v>
          </cell>
          <cell r="B1892" t="str">
            <v>Trong 24h</v>
          </cell>
          <cell r="D1892" t="str">
            <v>Khiếu nại về dịch vụ FTTH</v>
          </cell>
          <cell r="W1892" t="str">
            <v>Đang xử lý</v>
          </cell>
          <cell r="AJ1892" t="str">
            <v>Thái Bình</v>
          </cell>
          <cell r="BX1892" t="str">
            <v>AON</v>
          </cell>
        </row>
        <row r="1893">
          <cell r="A1893" t="str">
            <v>ON</v>
          </cell>
          <cell r="B1893" t="str">
            <v>Trong 24h</v>
          </cell>
          <cell r="D1893" t="str">
            <v>Khiếu nại về dịch vụ FTTH</v>
          </cell>
          <cell r="W1893" t="str">
            <v>Đã đóng</v>
          </cell>
          <cell r="AJ1893" t="str">
            <v>Cần Thơ</v>
          </cell>
          <cell r="BX1893" t="str">
            <v>AON</v>
          </cell>
        </row>
        <row r="1894">
          <cell r="A1894" t="str">
            <v>ON</v>
          </cell>
          <cell r="B1894" t="str">
            <v>Trong 24h</v>
          </cell>
          <cell r="D1894" t="str">
            <v>Khiếu nại về dịch vụ FTTH</v>
          </cell>
          <cell r="W1894" t="str">
            <v>Đang xử lý</v>
          </cell>
          <cell r="AJ1894" t="str">
            <v>Tiền Giang</v>
          </cell>
          <cell r="BX1894" t="str">
            <v>AON</v>
          </cell>
        </row>
        <row r="1895">
          <cell r="A1895" t="str">
            <v>ON</v>
          </cell>
          <cell r="B1895" t="str">
            <v>Trong 24h</v>
          </cell>
          <cell r="D1895" t="str">
            <v>Khiếu nại về dịch vụ FTTH</v>
          </cell>
          <cell r="W1895" t="str">
            <v>Đã đóng</v>
          </cell>
          <cell r="AJ1895" t="str">
            <v>Hà Nội 2</v>
          </cell>
          <cell r="BX1895" t="str">
            <v>AON</v>
          </cell>
        </row>
        <row r="1896">
          <cell r="A1896" t="str">
            <v>ON</v>
          </cell>
          <cell r="B1896" t="str">
            <v>Trong 24h</v>
          </cell>
          <cell r="D1896" t="str">
            <v>Khiếu nại về dịch vụ FTTH</v>
          </cell>
          <cell r="W1896" t="str">
            <v>Đang xử lý</v>
          </cell>
          <cell r="AJ1896" t="str">
            <v>Thái Nguyên</v>
          </cell>
          <cell r="BX1896" t="str">
            <v>AON</v>
          </cell>
        </row>
        <row r="1897">
          <cell r="A1897" t="str">
            <v>ON</v>
          </cell>
          <cell r="B1897" t="str">
            <v>Trong 24h</v>
          </cell>
          <cell r="D1897" t="str">
            <v>Khiếu nại về dịch vụ FTTH</v>
          </cell>
          <cell r="W1897" t="str">
            <v>Đã đóng</v>
          </cell>
          <cell r="AJ1897" t="str">
            <v>Hà Nội 2</v>
          </cell>
          <cell r="BX1897" t="str">
            <v>AON</v>
          </cell>
        </row>
        <row r="1898">
          <cell r="A1898" t="str">
            <v>ON</v>
          </cell>
          <cell r="B1898" t="str">
            <v>Trong 24h</v>
          </cell>
          <cell r="D1898" t="str">
            <v>Khiếu nại về dịch vụ FTTH</v>
          </cell>
          <cell r="W1898" t="str">
            <v>Đã đóng</v>
          </cell>
          <cell r="AJ1898" t="str">
            <v>Quảng Ninh</v>
          </cell>
          <cell r="BX1898" t="str">
            <v>AON</v>
          </cell>
        </row>
        <row r="1899">
          <cell r="A1899" t="str">
            <v>ON</v>
          </cell>
          <cell r="B1899" t="str">
            <v>Trong 24h</v>
          </cell>
          <cell r="D1899" t="str">
            <v>Khiếu nại về dịch vụ FTTH</v>
          </cell>
          <cell r="W1899" t="str">
            <v>Đã đóng</v>
          </cell>
          <cell r="AJ1899" t="str">
            <v>TP HCM</v>
          </cell>
          <cell r="BX1899" t="str">
            <v>AON</v>
          </cell>
        </row>
        <row r="1900">
          <cell r="A1900" t="str">
            <v>ON</v>
          </cell>
          <cell r="B1900" t="str">
            <v>Trong 24h</v>
          </cell>
          <cell r="D1900" t="str">
            <v>Khiếu nại về dịch vụ FTTH</v>
          </cell>
          <cell r="W1900" t="str">
            <v>Đang xử lý</v>
          </cell>
          <cell r="AJ1900" t="str">
            <v>Bình Dương</v>
          </cell>
          <cell r="BX1900" t="str">
            <v>AON</v>
          </cell>
        </row>
        <row r="1901">
          <cell r="A1901" t="str">
            <v>ON</v>
          </cell>
          <cell r="B1901" t="str">
            <v>Trong 24h</v>
          </cell>
          <cell r="D1901" t="str">
            <v>Khiếu nại về dịch vụ FTTH</v>
          </cell>
          <cell r="W1901" t="str">
            <v>Đã đóng</v>
          </cell>
          <cell r="AJ1901" t="str">
            <v>Khánh Hoà</v>
          </cell>
          <cell r="BX1901" t="str">
            <v>AON</v>
          </cell>
        </row>
        <row r="1902">
          <cell r="A1902" t="str">
            <v>ON</v>
          </cell>
          <cell r="B1902" t="str">
            <v>Trong 24h</v>
          </cell>
          <cell r="D1902" t="str">
            <v>Khiếu nại về dịch vụ FTTH</v>
          </cell>
          <cell r="W1902" t="str">
            <v>Đang xử lý</v>
          </cell>
          <cell r="AJ1902" t="str">
            <v>Bình Dương</v>
          </cell>
          <cell r="BX1902" t="str">
            <v>AON</v>
          </cell>
        </row>
        <row r="1903">
          <cell r="A1903" t="str">
            <v>ON</v>
          </cell>
          <cell r="B1903" t="str">
            <v>Trong 24h</v>
          </cell>
          <cell r="D1903" t="str">
            <v>Khiếu nại về dịch vụ FTTH</v>
          </cell>
          <cell r="W1903" t="str">
            <v>Đã đóng</v>
          </cell>
          <cell r="AJ1903" t="str">
            <v>Phú Yên</v>
          </cell>
          <cell r="BX1903" t="str">
            <v>AON</v>
          </cell>
        </row>
        <row r="1904">
          <cell r="A1904" t="str">
            <v>ON</v>
          </cell>
          <cell r="B1904" t="str">
            <v>Trong 24h</v>
          </cell>
          <cell r="D1904" t="str">
            <v>Khiếu nại về dịch vụ NextTV</v>
          </cell>
          <cell r="W1904" t="str">
            <v>Đang xử lý</v>
          </cell>
          <cell r="AJ1904" t="str">
            <v>Hậu Giang</v>
          </cell>
          <cell r="BX1904" t="str">
            <v>AON</v>
          </cell>
        </row>
        <row r="1905">
          <cell r="A1905" t="str">
            <v>ON</v>
          </cell>
          <cell r="B1905" t="str">
            <v>Trong 24h</v>
          </cell>
          <cell r="D1905" t="str">
            <v>Khiếu nại về dịch vụ FTTH</v>
          </cell>
          <cell r="W1905" t="str">
            <v>Đã đóng</v>
          </cell>
          <cell r="AJ1905" t="str">
            <v>Đồng Tháp</v>
          </cell>
          <cell r="BX1905" t="str">
            <v>AON</v>
          </cell>
        </row>
        <row r="1906">
          <cell r="A1906" t="str">
            <v>ON</v>
          </cell>
          <cell r="B1906" t="str">
            <v>Trong 24h</v>
          </cell>
          <cell r="D1906" t="str">
            <v>Khiếu nại về dịch vụ FTTH</v>
          </cell>
          <cell r="W1906" t="str">
            <v>Đang xử lý</v>
          </cell>
          <cell r="AJ1906" t="str">
            <v>Quảng Ninh</v>
          </cell>
          <cell r="BX1906" t="str">
            <v>AON</v>
          </cell>
        </row>
        <row r="1907">
          <cell r="A1907" t="str">
            <v>ON</v>
          </cell>
          <cell r="B1907" t="str">
            <v>Trong 24h</v>
          </cell>
          <cell r="D1907" t="str">
            <v>Khiếu nại về dịch vụ FTTH</v>
          </cell>
          <cell r="W1907" t="str">
            <v>Đã đóng</v>
          </cell>
          <cell r="AJ1907" t="str">
            <v>Lạng Sơn</v>
          </cell>
          <cell r="BX1907" t="str">
            <v>AON</v>
          </cell>
        </row>
        <row r="1908">
          <cell r="A1908" t="str">
            <v>ON</v>
          </cell>
          <cell r="B1908" t="str">
            <v>Trong 24h</v>
          </cell>
          <cell r="D1908" t="str">
            <v>Khiếu nại về dịch vụ FTTH</v>
          </cell>
          <cell r="W1908" t="str">
            <v>Đã đóng</v>
          </cell>
          <cell r="AJ1908" t="str">
            <v>TP HCM</v>
          </cell>
          <cell r="BX1908" t="str">
            <v>AON</v>
          </cell>
        </row>
        <row r="1909">
          <cell r="A1909" t="str">
            <v>ON</v>
          </cell>
          <cell r="B1909" t="str">
            <v>Trong 24h</v>
          </cell>
          <cell r="D1909" t="str">
            <v>Khiếu nại về dịch vụ FTTH</v>
          </cell>
          <cell r="W1909" t="str">
            <v>Đang xử lý</v>
          </cell>
          <cell r="AJ1909" t="str">
            <v>Hà Nội 2</v>
          </cell>
          <cell r="BX1909" t="str">
            <v>AON</v>
          </cell>
        </row>
        <row r="1910">
          <cell r="A1910" t="str">
            <v>ON</v>
          </cell>
          <cell r="B1910" t="str">
            <v>Trong 24h</v>
          </cell>
          <cell r="D1910" t="str">
            <v>Khiếu nại về dịch vụ FTTH</v>
          </cell>
          <cell r="W1910" t="str">
            <v>Đã đóng</v>
          </cell>
          <cell r="AJ1910" t="str">
            <v>Hà Nội 1</v>
          </cell>
          <cell r="BX1910" t="str">
            <v>AON</v>
          </cell>
        </row>
        <row r="1911">
          <cell r="A1911" t="str">
            <v>ON</v>
          </cell>
          <cell r="B1911" t="str">
            <v>Trong 24h</v>
          </cell>
          <cell r="D1911" t="str">
            <v>Khiếu nại về dịch vụ FTTH</v>
          </cell>
          <cell r="W1911" t="str">
            <v>Đã đóng</v>
          </cell>
          <cell r="AJ1911" t="str">
            <v>Tây Ninh</v>
          </cell>
          <cell r="BX1911" t="str">
            <v>AON</v>
          </cell>
        </row>
        <row r="1912">
          <cell r="A1912" t="str">
            <v>ON</v>
          </cell>
          <cell r="B1912" t="str">
            <v>Trong 24h</v>
          </cell>
          <cell r="D1912" t="str">
            <v>Khiếu nại về dịch vụ FTTH</v>
          </cell>
          <cell r="W1912" t="str">
            <v>Đang xử lý</v>
          </cell>
          <cell r="AJ1912" t="str">
            <v>Kon Tum</v>
          </cell>
          <cell r="BX1912" t="str">
            <v>AON</v>
          </cell>
        </row>
        <row r="1913">
          <cell r="A1913" t="str">
            <v>ON</v>
          </cell>
          <cell r="B1913" t="str">
            <v>Trong 24h</v>
          </cell>
          <cell r="D1913" t="str">
            <v>Khiếu nại về dịch vụ FTTH</v>
          </cell>
          <cell r="W1913" t="str">
            <v>Đang xử lý</v>
          </cell>
          <cell r="AJ1913" t="str">
            <v>Hà Nội 2</v>
          </cell>
          <cell r="BX1913" t="str">
            <v>AON</v>
          </cell>
        </row>
        <row r="1914">
          <cell r="A1914" t="str">
            <v>ON</v>
          </cell>
          <cell r="B1914" t="str">
            <v>Trong 24h</v>
          </cell>
          <cell r="D1914" t="str">
            <v>Khiếu nại về dịch vụ FTTH</v>
          </cell>
          <cell r="W1914" t="str">
            <v>Đã đóng</v>
          </cell>
          <cell r="AJ1914" t="str">
            <v>TP HCM</v>
          </cell>
          <cell r="BX1914" t="str">
            <v>AON</v>
          </cell>
        </row>
        <row r="1915">
          <cell r="A1915" t="str">
            <v>ON</v>
          </cell>
          <cell r="B1915" t="str">
            <v>Trong 24h</v>
          </cell>
          <cell r="D1915" t="str">
            <v>Khiếu nại về dịch vụ FTTH</v>
          </cell>
          <cell r="W1915" t="str">
            <v>Đang xử lý</v>
          </cell>
          <cell r="AJ1915" t="str">
            <v>Quảng Ninh</v>
          </cell>
          <cell r="BX1915" t="str">
            <v>AON</v>
          </cell>
        </row>
        <row r="1916">
          <cell r="A1916" t="str">
            <v>ON</v>
          </cell>
          <cell r="B1916" t="str">
            <v>Trong 24h</v>
          </cell>
          <cell r="D1916" t="str">
            <v>Khiếu nại về dịch vụ FTTH</v>
          </cell>
          <cell r="W1916" t="str">
            <v>Đang xử lý</v>
          </cell>
          <cell r="AJ1916" t="str">
            <v>Thái Nguyên</v>
          </cell>
          <cell r="BX1916" t="str">
            <v>AON</v>
          </cell>
        </row>
        <row r="1917">
          <cell r="A1917" t="str">
            <v>ON</v>
          </cell>
          <cell r="B1917" t="str">
            <v>Trong 24h</v>
          </cell>
          <cell r="D1917" t="str">
            <v>Khiếu nại về dịch vụ FTTH</v>
          </cell>
          <cell r="W1917" t="str">
            <v>Đang xử lý</v>
          </cell>
          <cell r="AJ1917" t="str">
            <v>Hải Phòng</v>
          </cell>
          <cell r="BX1917" t="str">
            <v>AON</v>
          </cell>
        </row>
        <row r="1918">
          <cell r="A1918" t="str">
            <v>ON</v>
          </cell>
          <cell r="B1918" t="str">
            <v>Trong 24h</v>
          </cell>
          <cell r="D1918" t="str">
            <v>Khiếu nại về dịch vụ FTTH</v>
          </cell>
          <cell r="W1918" t="str">
            <v>Đã đóng</v>
          </cell>
          <cell r="AJ1918" t="str">
            <v>TP HCM</v>
          </cell>
          <cell r="BX1918" t="str">
            <v>AON</v>
          </cell>
        </row>
        <row r="1919">
          <cell r="A1919" t="str">
            <v>ON</v>
          </cell>
          <cell r="B1919" t="str">
            <v>Trong 24h</v>
          </cell>
          <cell r="D1919" t="str">
            <v>Khiếu nại về dịch vụ FTTH</v>
          </cell>
          <cell r="W1919" t="str">
            <v>Đã đóng</v>
          </cell>
          <cell r="AJ1919" t="str">
            <v>Sơn La</v>
          </cell>
          <cell r="BX1919" t="str">
            <v>AON</v>
          </cell>
        </row>
        <row r="1920">
          <cell r="A1920" t="str">
            <v>ON</v>
          </cell>
          <cell r="B1920" t="str">
            <v>Trong 24h</v>
          </cell>
          <cell r="D1920" t="str">
            <v>Khiếu nại về dịch vụ FTTH</v>
          </cell>
          <cell r="W1920" t="str">
            <v>Đang xử lý</v>
          </cell>
          <cell r="AJ1920" t="str">
            <v>Bà Rịa - Vũng Tàu</v>
          </cell>
          <cell r="BX1920" t="str">
            <v>AON</v>
          </cell>
        </row>
        <row r="1921">
          <cell r="A1921" t="str">
            <v>ON</v>
          </cell>
          <cell r="B1921" t="str">
            <v>Trong 24h</v>
          </cell>
          <cell r="D1921" t="str">
            <v>Khiếu nại về dịch vụ FTTH</v>
          </cell>
          <cell r="W1921" t="str">
            <v>Đã đóng</v>
          </cell>
          <cell r="AJ1921" t="str">
            <v>Phú Thọ</v>
          </cell>
          <cell r="BX1921" t="str">
            <v>AON</v>
          </cell>
        </row>
        <row r="1922">
          <cell r="A1922" t="str">
            <v>ON</v>
          </cell>
          <cell r="B1922" t="str">
            <v>Trong 24h</v>
          </cell>
          <cell r="D1922" t="str">
            <v>Khiếu nại về dịch vụ FTTH</v>
          </cell>
          <cell r="W1922" t="str">
            <v>Đã đóng</v>
          </cell>
          <cell r="AJ1922" t="str">
            <v xml:space="preserve">Hà Tĩnh </v>
          </cell>
          <cell r="BX1922" t="str">
            <v>AON</v>
          </cell>
        </row>
        <row r="1923">
          <cell r="A1923" t="str">
            <v>ON</v>
          </cell>
          <cell r="B1923" t="str">
            <v>Trong 24h</v>
          </cell>
          <cell r="D1923" t="str">
            <v>Khiếu nại về dịch vụ FTTH</v>
          </cell>
          <cell r="W1923" t="str">
            <v>Đang xử lý</v>
          </cell>
          <cell r="AJ1923" t="str">
            <v>Bình Dương</v>
          </cell>
          <cell r="BX1923" t="str">
            <v>AON</v>
          </cell>
        </row>
        <row r="1924">
          <cell r="A1924" t="str">
            <v>ON</v>
          </cell>
          <cell r="B1924" t="str">
            <v>Trong 24h</v>
          </cell>
          <cell r="D1924" t="str">
            <v>Khiếu nại về dịch vụ FTTH</v>
          </cell>
          <cell r="W1924" t="str">
            <v>Đang xử lý</v>
          </cell>
          <cell r="AJ1924" t="str">
            <v>TP HCM</v>
          </cell>
          <cell r="BX1924" t="str">
            <v>AON</v>
          </cell>
        </row>
        <row r="1925">
          <cell r="A1925" t="str">
            <v>ON</v>
          </cell>
          <cell r="B1925" t="str">
            <v>Trong 24h</v>
          </cell>
          <cell r="D1925" t="str">
            <v>Khiếu nại về dịch vụ FTTH</v>
          </cell>
          <cell r="W1925" t="str">
            <v>Đang xử lý</v>
          </cell>
          <cell r="AJ1925" t="str">
            <v>Hà Nội 1</v>
          </cell>
          <cell r="BX1925" t="str">
            <v>AON</v>
          </cell>
        </row>
        <row r="1926">
          <cell r="A1926" t="str">
            <v>ON</v>
          </cell>
          <cell r="B1926" t="str">
            <v>Trong 24h</v>
          </cell>
          <cell r="D1926" t="str">
            <v>Khiếu nại về dịch vụ FTTH</v>
          </cell>
          <cell r="W1926" t="str">
            <v>Đang xử lý</v>
          </cell>
          <cell r="AJ1926" t="str">
            <v xml:space="preserve">Hà Tĩnh </v>
          </cell>
          <cell r="BX1926" t="str">
            <v>AON</v>
          </cell>
        </row>
        <row r="1927">
          <cell r="A1927" t="str">
            <v>ON</v>
          </cell>
          <cell r="B1927" t="str">
            <v>Trong 24h</v>
          </cell>
          <cell r="D1927" t="str">
            <v>Khiếu nại về dịch vụ FTTH</v>
          </cell>
          <cell r="W1927" t="str">
            <v>Đã đóng</v>
          </cell>
          <cell r="AJ1927" t="str">
            <v>Thanh Hoá</v>
          </cell>
          <cell r="BX1927" t="str">
            <v>AON</v>
          </cell>
        </row>
        <row r="1928">
          <cell r="A1928" t="str">
            <v>ON</v>
          </cell>
          <cell r="B1928" t="str">
            <v>Trong 24h</v>
          </cell>
          <cell r="D1928" t="str">
            <v>Khiếu nại về dịch vụ FTTH</v>
          </cell>
          <cell r="W1928" t="str">
            <v>Đang xử lý</v>
          </cell>
          <cell r="AJ1928" t="str">
            <v>Bình Dương</v>
          </cell>
          <cell r="BX1928" t="str">
            <v>AON</v>
          </cell>
        </row>
        <row r="1929">
          <cell r="A1929" t="str">
            <v>ON</v>
          </cell>
          <cell r="B1929" t="str">
            <v>Trong 24h</v>
          </cell>
          <cell r="D1929" t="str">
            <v>Khiếu nại về dịch vụ FTTH</v>
          </cell>
          <cell r="W1929" t="str">
            <v>Đã đóng</v>
          </cell>
          <cell r="AJ1929" t="str">
            <v>Bình Dương</v>
          </cell>
          <cell r="BX1929" t="str">
            <v>AON</v>
          </cell>
        </row>
        <row r="1930">
          <cell r="A1930" t="str">
            <v>ON</v>
          </cell>
          <cell r="B1930" t="str">
            <v>Trong 24h</v>
          </cell>
          <cell r="D1930" t="str">
            <v>Khiếu nại về dịch vụ FTTH</v>
          </cell>
          <cell r="W1930" t="str">
            <v>Đã đóng</v>
          </cell>
          <cell r="AJ1930" t="str">
            <v>TP HCM</v>
          </cell>
          <cell r="BX1930" t="str">
            <v>AON</v>
          </cell>
        </row>
        <row r="1931">
          <cell r="A1931" t="str">
            <v>ON</v>
          </cell>
          <cell r="B1931" t="str">
            <v>Trong 24h</v>
          </cell>
          <cell r="D1931" t="str">
            <v>Khiếu nại về dịch vụ FTTH</v>
          </cell>
          <cell r="W1931" t="str">
            <v>Đang xử lý</v>
          </cell>
          <cell r="AJ1931" t="str">
            <v>Long An</v>
          </cell>
          <cell r="BX1931" t="str">
            <v>AON</v>
          </cell>
        </row>
        <row r="1932">
          <cell r="A1932" t="str">
            <v>ON</v>
          </cell>
          <cell r="B1932" t="str">
            <v>Trong 24h</v>
          </cell>
          <cell r="D1932" t="str">
            <v>Khiếu nại về dịch vụ FTTH</v>
          </cell>
          <cell r="W1932" t="str">
            <v>Đã đóng</v>
          </cell>
          <cell r="AJ1932" t="str">
            <v>Bình Thuận</v>
          </cell>
          <cell r="BX1932" t="str">
            <v>AON</v>
          </cell>
        </row>
        <row r="1933">
          <cell r="A1933" t="str">
            <v>ON</v>
          </cell>
          <cell r="B1933" t="str">
            <v>Trong 24h</v>
          </cell>
          <cell r="D1933" t="str">
            <v>Khiếu nại về dịch vụ FTTH</v>
          </cell>
          <cell r="W1933" t="str">
            <v>Đang xử lý</v>
          </cell>
          <cell r="AJ1933" t="str">
            <v>Quảng Ninh</v>
          </cell>
          <cell r="BX1933" t="str">
            <v>AON</v>
          </cell>
        </row>
        <row r="1934">
          <cell r="A1934" t="str">
            <v>ON</v>
          </cell>
          <cell r="B1934" t="str">
            <v>Trong 24h</v>
          </cell>
          <cell r="D1934" t="str">
            <v>Khiếu nại về dịch vụ FTTH</v>
          </cell>
          <cell r="W1934" t="str">
            <v>Đang xử lý</v>
          </cell>
          <cell r="AJ1934" t="str">
            <v>An Giang</v>
          </cell>
          <cell r="BX1934" t="str">
            <v>AON</v>
          </cell>
        </row>
        <row r="1935">
          <cell r="A1935" t="str">
            <v>ON</v>
          </cell>
          <cell r="B1935" t="str">
            <v>Trong 24h</v>
          </cell>
          <cell r="D1935" t="str">
            <v>Khiếu nại về dịch vụ FTTH</v>
          </cell>
          <cell r="W1935" t="str">
            <v>Đã đóng</v>
          </cell>
          <cell r="AJ1935" t="str">
            <v>Tiền Giang</v>
          </cell>
          <cell r="BX1935" t="str">
            <v>AON</v>
          </cell>
        </row>
        <row r="1936">
          <cell r="A1936" t="str">
            <v>ON</v>
          </cell>
          <cell r="B1936" t="str">
            <v>Trong 24h</v>
          </cell>
          <cell r="D1936" t="str">
            <v>Khiếu nại về dịch vụ FTTH</v>
          </cell>
          <cell r="W1936" t="str">
            <v>Đang xử lý</v>
          </cell>
          <cell r="AJ1936" t="str">
            <v>Cà Mau</v>
          </cell>
          <cell r="BX1936" t="str">
            <v>GPON</v>
          </cell>
        </row>
        <row r="1937">
          <cell r="A1937" t="str">
            <v>ON</v>
          </cell>
          <cell r="B1937" t="str">
            <v>Trong 24h</v>
          </cell>
          <cell r="D1937" t="str">
            <v>Khiếu nại về dịch vụ FTTH</v>
          </cell>
          <cell r="W1937" t="str">
            <v>Đã đóng</v>
          </cell>
          <cell r="AJ1937" t="str">
            <v>Kiên Giang</v>
          </cell>
          <cell r="BX1937" t="str">
            <v>AON</v>
          </cell>
        </row>
        <row r="1938">
          <cell r="A1938" t="str">
            <v>ON</v>
          </cell>
          <cell r="B1938" t="str">
            <v>Trong 24h</v>
          </cell>
          <cell r="D1938" t="str">
            <v>Khiếu nại về dịch vụ FTTH</v>
          </cell>
          <cell r="W1938" t="str">
            <v>Đã đóng</v>
          </cell>
          <cell r="AJ1938" t="str">
            <v>Bà Rịa - Vũng Tàu</v>
          </cell>
          <cell r="BX1938" t="str">
            <v>AON</v>
          </cell>
        </row>
        <row r="1939">
          <cell r="A1939" t="str">
            <v>ON</v>
          </cell>
          <cell r="B1939" t="str">
            <v>Trong 24h</v>
          </cell>
          <cell r="D1939" t="str">
            <v>Khiếu nại về dịch vụ NextTV</v>
          </cell>
          <cell r="W1939" t="str">
            <v>Đã đóng</v>
          </cell>
          <cell r="AJ1939" t="str">
            <v>Nam Định</v>
          </cell>
          <cell r="BX1939" t="str">
            <v>AON</v>
          </cell>
        </row>
        <row r="1940">
          <cell r="A1940" t="str">
            <v>ON</v>
          </cell>
          <cell r="B1940" t="str">
            <v>Trong 24h</v>
          </cell>
          <cell r="D1940" t="str">
            <v>Khiếu nại về dịch vụ FTTH</v>
          </cell>
          <cell r="W1940" t="str">
            <v>Đang xử lý</v>
          </cell>
          <cell r="AJ1940" t="str">
            <v>Bắc Ninh</v>
          </cell>
          <cell r="BX1940" t="str">
            <v>AON</v>
          </cell>
        </row>
        <row r="1941">
          <cell r="A1941" t="str">
            <v>ON</v>
          </cell>
          <cell r="B1941" t="str">
            <v>Trong 24h</v>
          </cell>
          <cell r="D1941" t="str">
            <v>Khiếu nại về dịch vụ FTTH</v>
          </cell>
          <cell r="W1941" t="str">
            <v>Đã đóng</v>
          </cell>
          <cell r="AJ1941" t="str">
            <v xml:space="preserve">Đồng Nai </v>
          </cell>
          <cell r="BX1941" t="str">
            <v>AON</v>
          </cell>
        </row>
        <row r="1942">
          <cell r="A1942" t="str">
            <v>ON</v>
          </cell>
          <cell r="B1942" t="str">
            <v>Trong 24h</v>
          </cell>
          <cell r="D1942" t="str">
            <v>Khiếu nại về dịch vụ FTTH</v>
          </cell>
          <cell r="W1942" t="str">
            <v>Đã đóng</v>
          </cell>
          <cell r="AJ1942" t="str">
            <v>TP HCM</v>
          </cell>
          <cell r="BX1942" t="str">
            <v>AON</v>
          </cell>
        </row>
        <row r="1943">
          <cell r="A1943" t="str">
            <v>ON</v>
          </cell>
          <cell r="B1943" t="str">
            <v>Trong 24h</v>
          </cell>
          <cell r="D1943" t="str">
            <v>Khiếu nại về dịch vụ FTTH</v>
          </cell>
          <cell r="W1943" t="str">
            <v>Đang xử lý</v>
          </cell>
          <cell r="AJ1943" t="str">
            <v>TP HCM</v>
          </cell>
          <cell r="BX1943" t="str">
            <v>AON</v>
          </cell>
        </row>
        <row r="1944">
          <cell r="A1944" t="str">
            <v>ON</v>
          </cell>
          <cell r="B1944" t="str">
            <v>Trong 24h</v>
          </cell>
          <cell r="D1944" t="str">
            <v>Khiếu nại về dịch vụ FTTH</v>
          </cell>
          <cell r="W1944" t="str">
            <v>Đã đóng</v>
          </cell>
          <cell r="AJ1944" t="str">
            <v>Hải Phòng</v>
          </cell>
          <cell r="BX1944" t="str">
            <v>AON</v>
          </cell>
        </row>
        <row r="1945">
          <cell r="A1945" t="str">
            <v>ON</v>
          </cell>
          <cell r="B1945" t="str">
            <v>Trong 24h</v>
          </cell>
          <cell r="D1945" t="str">
            <v>Khiếu nại về dịch vụ FTTH</v>
          </cell>
          <cell r="W1945" t="str">
            <v>Đã đóng</v>
          </cell>
          <cell r="AJ1945" t="str">
            <v>Hà Nội 1</v>
          </cell>
          <cell r="BX1945" t="str">
            <v>AON</v>
          </cell>
        </row>
        <row r="1946">
          <cell r="A1946" t="str">
            <v>ON</v>
          </cell>
          <cell r="B1946" t="str">
            <v>Trong 24h</v>
          </cell>
          <cell r="D1946" t="str">
            <v>Khiếu nại về dịch vụ FTTH</v>
          </cell>
          <cell r="W1946" t="str">
            <v>Đang xử lý</v>
          </cell>
          <cell r="AJ1946" t="str">
            <v xml:space="preserve">Đắc Lắk </v>
          </cell>
          <cell r="BX1946" t="str">
            <v>AON</v>
          </cell>
        </row>
        <row r="1947">
          <cell r="A1947" t="str">
            <v>ON</v>
          </cell>
          <cell r="B1947" t="str">
            <v>Trong 24h</v>
          </cell>
          <cell r="D1947" t="str">
            <v>Khiếu nại về dịch vụ FTTH</v>
          </cell>
          <cell r="W1947" t="str">
            <v>Đang xử lý</v>
          </cell>
          <cell r="AJ1947" t="str">
            <v>Long An</v>
          </cell>
          <cell r="BX1947" t="str">
            <v>AON</v>
          </cell>
        </row>
        <row r="1948">
          <cell r="A1948" t="str">
            <v>ON</v>
          </cell>
          <cell r="B1948" t="str">
            <v>Trong 24h</v>
          </cell>
          <cell r="D1948" t="str">
            <v>Khiếu nại về dịch vụ FTTH</v>
          </cell>
          <cell r="W1948" t="str">
            <v>Đã đóng</v>
          </cell>
          <cell r="AJ1948" t="str">
            <v>Hà Nội 1</v>
          </cell>
          <cell r="BX1948" t="str">
            <v>AON</v>
          </cell>
        </row>
        <row r="1949">
          <cell r="A1949" t="str">
            <v>ON</v>
          </cell>
          <cell r="B1949" t="str">
            <v>Trong 24h</v>
          </cell>
          <cell r="D1949" t="str">
            <v>Khiếu nại về dịch vụ FTTH</v>
          </cell>
          <cell r="W1949" t="str">
            <v>Đang xử lý</v>
          </cell>
          <cell r="AJ1949" t="str">
            <v>Lạng Sơn</v>
          </cell>
          <cell r="BX1949" t="str">
            <v>AON</v>
          </cell>
        </row>
        <row r="1950">
          <cell r="A1950" t="str">
            <v>ON</v>
          </cell>
          <cell r="B1950" t="str">
            <v>Trong 24h</v>
          </cell>
          <cell r="D1950" t="str">
            <v>Khiếu nại về dịch vụ FTTH</v>
          </cell>
          <cell r="W1950" t="str">
            <v>Đã đóng</v>
          </cell>
          <cell r="AJ1950" t="str">
            <v>Bình Dương</v>
          </cell>
          <cell r="BX1950" t="str">
            <v>AON</v>
          </cell>
        </row>
        <row r="1951">
          <cell r="A1951" t="str">
            <v>ON</v>
          </cell>
          <cell r="B1951" t="str">
            <v>Trong 24h</v>
          </cell>
          <cell r="D1951" t="str">
            <v>Khiếu nại về dịch vụ FTTH</v>
          </cell>
          <cell r="W1951" t="str">
            <v>Đang xử lý</v>
          </cell>
          <cell r="AJ1951" t="str">
            <v>Quảng Ninh</v>
          </cell>
          <cell r="BX1951" t="str">
            <v>AON</v>
          </cell>
        </row>
        <row r="1952">
          <cell r="A1952" t="str">
            <v>ON</v>
          </cell>
          <cell r="B1952" t="str">
            <v>Trong 24h</v>
          </cell>
          <cell r="D1952" t="str">
            <v>Khiếu nại về dịch vụ FTTH</v>
          </cell>
          <cell r="W1952" t="str">
            <v>Đã đóng</v>
          </cell>
          <cell r="AJ1952" t="str">
            <v>TP HCM</v>
          </cell>
          <cell r="BX1952" t="str">
            <v>AON</v>
          </cell>
        </row>
        <row r="1953">
          <cell r="A1953" t="str">
            <v>ON</v>
          </cell>
          <cell r="B1953" t="str">
            <v>Trong 24h</v>
          </cell>
          <cell r="D1953" t="str">
            <v>Khiếu nại về dịch vụ FTTH</v>
          </cell>
          <cell r="W1953" t="str">
            <v>Đang xử lý</v>
          </cell>
          <cell r="AJ1953" t="str">
            <v>Nghệ An</v>
          </cell>
          <cell r="BX1953" t="str">
            <v>AON</v>
          </cell>
        </row>
        <row r="1954">
          <cell r="A1954" t="str">
            <v>ON</v>
          </cell>
          <cell r="B1954" t="str">
            <v>Trong 24h</v>
          </cell>
          <cell r="D1954" t="str">
            <v>Khiếu nại về dịch vụ FTTH</v>
          </cell>
          <cell r="W1954" t="str">
            <v>Đang xử lý</v>
          </cell>
          <cell r="AJ1954" t="str">
            <v>Bình Định</v>
          </cell>
          <cell r="BX1954" t="str">
            <v>AON</v>
          </cell>
        </row>
        <row r="1955">
          <cell r="A1955" t="str">
            <v>ON</v>
          </cell>
          <cell r="B1955" t="str">
            <v>Trong 24h</v>
          </cell>
          <cell r="D1955" t="str">
            <v>Khiếu nại về dịch vụ FTTH</v>
          </cell>
          <cell r="W1955" t="str">
            <v>Đã đóng</v>
          </cell>
          <cell r="AJ1955" t="str">
            <v>Phú Thọ</v>
          </cell>
          <cell r="BX1955" t="str">
            <v>AON</v>
          </cell>
        </row>
        <row r="1956">
          <cell r="A1956" t="str">
            <v>ON</v>
          </cell>
          <cell r="B1956" t="str">
            <v>Trong 24h</v>
          </cell>
          <cell r="D1956" t="str">
            <v>Khiếu nại về dịch vụ FTTH</v>
          </cell>
          <cell r="W1956" t="str">
            <v>Đã đóng</v>
          </cell>
          <cell r="AJ1956" t="str">
            <v>Vĩnh Phúc</v>
          </cell>
          <cell r="BX1956" t="str">
            <v>AON</v>
          </cell>
        </row>
        <row r="1957">
          <cell r="A1957" t="str">
            <v>ON</v>
          </cell>
          <cell r="B1957" t="str">
            <v>Trong 24h</v>
          </cell>
          <cell r="D1957" t="str">
            <v>Khiếu nại về dịch vụ FTTH</v>
          </cell>
          <cell r="W1957" t="str">
            <v>Đã đóng</v>
          </cell>
          <cell r="AJ1957" t="str">
            <v xml:space="preserve">Quảng Nam </v>
          </cell>
          <cell r="BX1957" t="str">
            <v>AON</v>
          </cell>
        </row>
        <row r="1958">
          <cell r="A1958" t="str">
            <v>ON</v>
          </cell>
          <cell r="B1958" t="str">
            <v>Trong 24h</v>
          </cell>
          <cell r="D1958" t="str">
            <v>Khiếu nại về dịch vụ FTTH</v>
          </cell>
          <cell r="W1958" t="str">
            <v>Đang xử lý</v>
          </cell>
          <cell r="AJ1958" t="str">
            <v>Thái Nguyên</v>
          </cell>
          <cell r="BX1958" t="str">
            <v>AON</v>
          </cell>
        </row>
        <row r="1959">
          <cell r="A1959" t="str">
            <v>ON</v>
          </cell>
          <cell r="B1959" t="str">
            <v>Trong 24h</v>
          </cell>
          <cell r="D1959" t="str">
            <v>Khiếu nại về dịch vụ FTTH</v>
          </cell>
          <cell r="W1959" t="str">
            <v>Đang xử lý</v>
          </cell>
          <cell r="AJ1959" t="str">
            <v xml:space="preserve">Đồng Nai </v>
          </cell>
          <cell r="BX1959" t="str">
            <v>AON</v>
          </cell>
        </row>
        <row r="1960">
          <cell r="A1960" t="str">
            <v>ON</v>
          </cell>
          <cell r="B1960" t="str">
            <v>Trong 24h</v>
          </cell>
          <cell r="D1960" t="str">
            <v>Khiếu nại về dịch vụ FTTH</v>
          </cell>
          <cell r="W1960" t="str">
            <v>Đang xử lý</v>
          </cell>
          <cell r="AJ1960" t="str">
            <v>An Giang</v>
          </cell>
          <cell r="BX1960" t="str">
            <v>AON</v>
          </cell>
        </row>
        <row r="1961">
          <cell r="A1961" t="str">
            <v>ON</v>
          </cell>
          <cell r="B1961" t="str">
            <v>Trong 24h</v>
          </cell>
          <cell r="D1961" t="str">
            <v>Khiếu nại về dịch vụ FTTH</v>
          </cell>
          <cell r="W1961" t="str">
            <v>Đã đóng</v>
          </cell>
          <cell r="AJ1961" t="str">
            <v>Hà Nội 2</v>
          </cell>
          <cell r="BX1961" t="str">
            <v>AON</v>
          </cell>
        </row>
        <row r="1962">
          <cell r="A1962" t="str">
            <v>ON</v>
          </cell>
          <cell r="B1962" t="str">
            <v>Trong 24h</v>
          </cell>
          <cell r="D1962" t="str">
            <v>Khiếu nại về dịch vụ FTTH</v>
          </cell>
          <cell r="W1962" t="str">
            <v>Đang xử lý</v>
          </cell>
          <cell r="AJ1962" t="str">
            <v>TP HCM</v>
          </cell>
          <cell r="BX1962" t="str">
            <v>AON</v>
          </cell>
        </row>
        <row r="1963">
          <cell r="A1963" t="str">
            <v>ON</v>
          </cell>
          <cell r="B1963" t="str">
            <v>Trong 24h</v>
          </cell>
          <cell r="D1963" t="str">
            <v>Khiếu nại về dịch vụ FTTH</v>
          </cell>
          <cell r="W1963" t="str">
            <v>Đang xử lý</v>
          </cell>
          <cell r="AJ1963" t="str">
            <v>Nghệ An</v>
          </cell>
          <cell r="BX1963" t="str">
            <v>AON</v>
          </cell>
        </row>
        <row r="1964">
          <cell r="A1964" t="str">
            <v>ON</v>
          </cell>
          <cell r="B1964" t="str">
            <v>Trong 24h</v>
          </cell>
          <cell r="D1964" t="str">
            <v>Khiếu nại về dịch vụ FTTH</v>
          </cell>
          <cell r="W1964" t="str">
            <v>Đang xử lý</v>
          </cell>
          <cell r="AJ1964" t="str">
            <v>Quảng Ngãi</v>
          </cell>
          <cell r="BX1964" t="str">
            <v>AON</v>
          </cell>
        </row>
        <row r="1965">
          <cell r="A1965" t="str">
            <v>ON</v>
          </cell>
          <cell r="B1965" t="str">
            <v>Trong 24h</v>
          </cell>
          <cell r="D1965" t="str">
            <v>Khiếu nại về dịch vụ FTTH</v>
          </cell>
          <cell r="W1965" t="str">
            <v>Đã đóng</v>
          </cell>
          <cell r="AJ1965" t="str">
            <v>Hà Giang</v>
          </cell>
          <cell r="BX1965" t="str">
            <v>AON</v>
          </cell>
        </row>
        <row r="1966">
          <cell r="A1966" t="str">
            <v>ON</v>
          </cell>
          <cell r="B1966" t="str">
            <v>Trong 24h</v>
          </cell>
          <cell r="D1966" t="str">
            <v>Khiếu nại về dịch vụ FTTH</v>
          </cell>
          <cell r="W1966" t="str">
            <v>Đã đóng</v>
          </cell>
          <cell r="AJ1966" t="str">
            <v>Hà Nội 1</v>
          </cell>
          <cell r="BX1966" t="str">
            <v>AON</v>
          </cell>
        </row>
        <row r="1967">
          <cell r="A1967" t="str">
            <v>ON</v>
          </cell>
          <cell r="B1967" t="str">
            <v>Trong 24h</v>
          </cell>
          <cell r="D1967" t="str">
            <v>Khiếu nại về dịch vụ FTTH</v>
          </cell>
          <cell r="W1967" t="str">
            <v>Đang xử lý</v>
          </cell>
          <cell r="AJ1967" t="str">
            <v>Hà Nam</v>
          </cell>
          <cell r="BX1967" t="str">
            <v>AON</v>
          </cell>
        </row>
        <row r="1968">
          <cell r="A1968" t="str">
            <v>ON</v>
          </cell>
          <cell r="B1968" t="str">
            <v>Trong 24h</v>
          </cell>
          <cell r="D1968" t="str">
            <v>Khiếu nại về dịch vụ FTTH</v>
          </cell>
          <cell r="W1968" t="str">
            <v>Đang xử lý</v>
          </cell>
          <cell r="AJ1968" t="str">
            <v>Quảng Ninh</v>
          </cell>
          <cell r="BX1968" t="str">
            <v>AON</v>
          </cell>
        </row>
        <row r="1969">
          <cell r="A1969" t="str">
            <v>ON</v>
          </cell>
          <cell r="B1969" t="str">
            <v>Trong 24h</v>
          </cell>
          <cell r="D1969" t="str">
            <v>Khiếu nại về dịch vụ FTTH</v>
          </cell>
          <cell r="W1969" t="str">
            <v>Đang xử lý</v>
          </cell>
          <cell r="AJ1969" t="str">
            <v>Bắc Ninh</v>
          </cell>
          <cell r="BX1969" t="str">
            <v>AON</v>
          </cell>
        </row>
        <row r="1970">
          <cell r="A1970" t="str">
            <v>ON</v>
          </cell>
          <cell r="B1970" t="str">
            <v>Trong 24h</v>
          </cell>
          <cell r="D1970" t="str">
            <v>Khiếu nại về dịch vụ FTTH</v>
          </cell>
          <cell r="W1970" t="str">
            <v>Đang xử lý</v>
          </cell>
          <cell r="AJ1970" t="str">
            <v>Quảng Ninh</v>
          </cell>
          <cell r="BX1970" t="str">
            <v>AON</v>
          </cell>
        </row>
        <row r="1971">
          <cell r="A1971" t="str">
            <v>ON</v>
          </cell>
          <cell r="B1971" t="str">
            <v>Trong 24h</v>
          </cell>
          <cell r="D1971" t="str">
            <v>Khiếu nại về dịch vụ FTTH</v>
          </cell>
          <cell r="W1971" t="str">
            <v>Đang xử lý</v>
          </cell>
          <cell r="AJ1971" t="str">
            <v>Đắc Nông</v>
          </cell>
          <cell r="BX1971" t="str">
            <v>AON</v>
          </cell>
        </row>
        <row r="1972">
          <cell r="A1972" t="str">
            <v>ON</v>
          </cell>
          <cell r="B1972" t="str">
            <v>Trong 24h</v>
          </cell>
          <cell r="D1972" t="str">
            <v>Khiếu nại về dịch vụ FTTH</v>
          </cell>
          <cell r="W1972" t="str">
            <v>Đang xử lý</v>
          </cell>
          <cell r="AJ1972" t="str">
            <v>Bà Rịa - Vũng Tàu</v>
          </cell>
          <cell r="BX1972" t="str">
            <v>AON</v>
          </cell>
        </row>
        <row r="1973">
          <cell r="A1973" t="str">
            <v>ON</v>
          </cell>
          <cell r="B1973" t="str">
            <v>Trong 24h</v>
          </cell>
          <cell r="D1973" t="str">
            <v>Khiếu nại về dịch vụ FTTH</v>
          </cell>
          <cell r="W1973" t="str">
            <v>Đang xử lý</v>
          </cell>
          <cell r="AJ1973" t="str">
            <v>Bình Dương</v>
          </cell>
          <cell r="BX1973" t="str">
            <v>AON</v>
          </cell>
        </row>
        <row r="1974">
          <cell r="A1974" t="str">
            <v>ON</v>
          </cell>
          <cell r="B1974" t="str">
            <v>Trong 24h</v>
          </cell>
          <cell r="D1974" t="str">
            <v>Khiếu nại về dịch vụ FTTH</v>
          </cell>
          <cell r="W1974" t="str">
            <v>Đang xử lý</v>
          </cell>
          <cell r="AJ1974" t="str">
            <v>Quảng Ninh</v>
          </cell>
          <cell r="BX1974" t="str">
            <v>AON</v>
          </cell>
        </row>
        <row r="1975">
          <cell r="A1975" t="str">
            <v>ON</v>
          </cell>
          <cell r="B1975" t="str">
            <v>Trong 24h</v>
          </cell>
          <cell r="D1975" t="str">
            <v>Khiếu nại về dịch vụ FTTH</v>
          </cell>
          <cell r="W1975" t="str">
            <v>Đang xử lý</v>
          </cell>
          <cell r="AJ1975" t="str">
            <v>Quảng Ninh</v>
          </cell>
          <cell r="BX1975" t="str">
            <v>AON</v>
          </cell>
        </row>
        <row r="1976">
          <cell r="A1976" t="str">
            <v>ON</v>
          </cell>
          <cell r="B1976" t="str">
            <v>Trong 24h</v>
          </cell>
          <cell r="D1976" t="str">
            <v>Khiếu nại về dịch vụ NextTV</v>
          </cell>
          <cell r="W1976" t="str">
            <v>Đang xử lý</v>
          </cell>
          <cell r="AJ1976" t="str">
            <v xml:space="preserve">Đồng Nai </v>
          </cell>
          <cell r="BX1976" t="str">
            <v>AON</v>
          </cell>
        </row>
        <row r="1977">
          <cell r="A1977" t="str">
            <v>ON</v>
          </cell>
          <cell r="B1977" t="str">
            <v>Trong 24h</v>
          </cell>
          <cell r="D1977" t="str">
            <v>Khiếu nại về dịch vụ FTTH</v>
          </cell>
          <cell r="W1977" t="str">
            <v>Đã đóng</v>
          </cell>
          <cell r="AJ1977" t="str">
            <v>Cần Thơ</v>
          </cell>
          <cell r="BX1977" t="str">
            <v>AON</v>
          </cell>
        </row>
        <row r="1978">
          <cell r="A1978" t="str">
            <v>ON</v>
          </cell>
          <cell r="B1978" t="str">
            <v>Trong 24h</v>
          </cell>
          <cell r="D1978" t="str">
            <v>Khiếu nại về dịch vụ FTTH</v>
          </cell>
          <cell r="W1978" t="str">
            <v>Đang xử lý</v>
          </cell>
          <cell r="AJ1978" t="str">
            <v>TP HCM</v>
          </cell>
          <cell r="BX1978" t="str">
            <v>AON</v>
          </cell>
        </row>
        <row r="1979">
          <cell r="A1979" t="str">
            <v>ON</v>
          </cell>
          <cell r="B1979" t="str">
            <v>Trong 24h</v>
          </cell>
          <cell r="D1979" t="str">
            <v>Khiếu nại về dịch vụ FTTH</v>
          </cell>
          <cell r="W1979" t="str">
            <v>Đang xử lý</v>
          </cell>
          <cell r="AJ1979" t="str">
            <v>Long An</v>
          </cell>
          <cell r="BX1979" t="str">
            <v>AON</v>
          </cell>
        </row>
        <row r="1980">
          <cell r="A1980" t="str">
            <v>ON</v>
          </cell>
          <cell r="B1980" t="str">
            <v>Trong 24h</v>
          </cell>
          <cell r="D1980" t="str">
            <v>Khiếu nại về dịch vụ FTTH</v>
          </cell>
          <cell r="W1980" t="str">
            <v>Đã đóng</v>
          </cell>
          <cell r="AJ1980" t="str">
            <v>Hà Nội 1</v>
          </cell>
          <cell r="BX1980" t="str">
            <v>AON</v>
          </cell>
        </row>
        <row r="1981">
          <cell r="A1981" t="str">
            <v>ON</v>
          </cell>
          <cell r="B1981" t="str">
            <v>Trong 24h</v>
          </cell>
          <cell r="D1981" t="str">
            <v>Khiếu nại về dịch vụ NextTV</v>
          </cell>
          <cell r="W1981" t="str">
            <v>Đã đóng</v>
          </cell>
          <cell r="AJ1981" t="str">
            <v>TP HCM</v>
          </cell>
          <cell r="BX1981" t="str">
            <v>AON</v>
          </cell>
        </row>
        <row r="1982">
          <cell r="A1982" t="str">
            <v>ON</v>
          </cell>
          <cell r="B1982" t="str">
            <v>Trong 24h</v>
          </cell>
          <cell r="D1982" t="str">
            <v>Khiếu nại về dịch vụ FTTH</v>
          </cell>
          <cell r="W1982" t="str">
            <v>Đã đóng</v>
          </cell>
          <cell r="AJ1982" t="str">
            <v>Nghệ An</v>
          </cell>
          <cell r="BX1982" t="str">
            <v>AON</v>
          </cell>
        </row>
        <row r="1983">
          <cell r="A1983" t="str">
            <v>ON</v>
          </cell>
          <cell r="B1983" t="str">
            <v>Trong 24h</v>
          </cell>
          <cell r="D1983" t="str">
            <v>Khiếu nại về dịch vụ FTTH</v>
          </cell>
          <cell r="W1983" t="str">
            <v>Đã đóng</v>
          </cell>
          <cell r="AJ1983" t="str">
            <v>Lạng Sơn</v>
          </cell>
          <cell r="BX1983" t="str">
            <v>AON</v>
          </cell>
        </row>
        <row r="1984">
          <cell r="A1984" t="str">
            <v>ON</v>
          </cell>
          <cell r="B1984" t="str">
            <v>Trong 24h</v>
          </cell>
          <cell r="D1984" t="str">
            <v>Khiếu nại về dịch vụ FTTH</v>
          </cell>
          <cell r="W1984" t="str">
            <v>Đã đóng</v>
          </cell>
          <cell r="AJ1984" t="str">
            <v>TP HCM</v>
          </cell>
          <cell r="BX1984" t="str">
            <v>AON</v>
          </cell>
        </row>
        <row r="1985">
          <cell r="A1985" t="str">
            <v>ON</v>
          </cell>
          <cell r="B1985" t="str">
            <v>Trong 24h</v>
          </cell>
          <cell r="D1985" t="str">
            <v>Khiếu nại về dịch vụ FTTH</v>
          </cell>
          <cell r="W1985" t="str">
            <v>Đang xử lý</v>
          </cell>
          <cell r="AJ1985" t="str">
            <v>Hà Nam</v>
          </cell>
          <cell r="BX1985" t="str">
            <v>AON</v>
          </cell>
        </row>
        <row r="1986">
          <cell r="A1986" t="str">
            <v>ON</v>
          </cell>
          <cell r="B1986" t="str">
            <v>Trong 24h</v>
          </cell>
          <cell r="D1986" t="str">
            <v>Khiếu nại về dịch vụ FTTH</v>
          </cell>
          <cell r="W1986" t="str">
            <v>Đã đóng</v>
          </cell>
          <cell r="AJ1986" t="str">
            <v>Hậu Giang</v>
          </cell>
          <cell r="BX1986" t="str">
            <v>AON</v>
          </cell>
        </row>
        <row r="1987">
          <cell r="A1987" t="str">
            <v>ON</v>
          </cell>
          <cell r="B1987" t="str">
            <v>Trong 24h</v>
          </cell>
          <cell r="D1987" t="str">
            <v>Khiếu nại về dịch vụ FTTH</v>
          </cell>
          <cell r="W1987" t="str">
            <v>Đã đóng</v>
          </cell>
          <cell r="AJ1987" t="str">
            <v>Bà Rịa - Vũng Tàu</v>
          </cell>
          <cell r="BX1987" t="str">
            <v>AON</v>
          </cell>
        </row>
        <row r="1988">
          <cell r="A1988" t="str">
            <v>ON</v>
          </cell>
          <cell r="B1988" t="str">
            <v>Trong 24h</v>
          </cell>
          <cell r="D1988" t="str">
            <v>Khiếu nại về dịch vụ NextTV</v>
          </cell>
          <cell r="W1988" t="str">
            <v>Đang xử lý</v>
          </cell>
          <cell r="AJ1988" t="str">
            <v>Hậu Giang</v>
          </cell>
          <cell r="BX1988" t="str">
            <v>AON</v>
          </cell>
        </row>
        <row r="1989">
          <cell r="A1989" t="str">
            <v>ON</v>
          </cell>
          <cell r="B1989" t="str">
            <v>Trong 24h</v>
          </cell>
          <cell r="D1989" t="str">
            <v>Khiếu nại về dịch vụ FTTH</v>
          </cell>
          <cell r="W1989" t="str">
            <v>Đã đóng</v>
          </cell>
          <cell r="AJ1989" t="str">
            <v>TP HCM</v>
          </cell>
          <cell r="BX1989" t="str">
            <v>AON</v>
          </cell>
        </row>
        <row r="1990">
          <cell r="A1990" t="str">
            <v>ON</v>
          </cell>
          <cell r="B1990" t="str">
            <v>Trong 24h</v>
          </cell>
          <cell r="D1990" t="str">
            <v>Khiếu nại về dịch vụ FTTH</v>
          </cell>
          <cell r="W1990" t="str">
            <v>Đang xử lý</v>
          </cell>
          <cell r="AJ1990" t="str">
            <v xml:space="preserve">Đồng Nai </v>
          </cell>
          <cell r="BX1990" t="str">
            <v>AON</v>
          </cell>
        </row>
        <row r="1991">
          <cell r="A1991" t="str">
            <v>ON</v>
          </cell>
          <cell r="B1991" t="str">
            <v>Trong 24h</v>
          </cell>
          <cell r="D1991" t="str">
            <v>Khiếu nại về dịch vụ FTTH</v>
          </cell>
          <cell r="W1991" t="str">
            <v>Đã đóng</v>
          </cell>
          <cell r="AJ1991" t="str">
            <v xml:space="preserve">Đồng Nai </v>
          </cell>
          <cell r="BX1991" t="str">
            <v>AON</v>
          </cell>
        </row>
        <row r="1992">
          <cell r="A1992" t="str">
            <v>ON</v>
          </cell>
          <cell r="B1992" t="str">
            <v>Trong 24h</v>
          </cell>
          <cell r="D1992" t="str">
            <v>Khiếu nại về dịch vụ FTTH</v>
          </cell>
          <cell r="W1992" t="str">
            <v>Đã đóng</v>
          </cell>
          <cell r="AJ1992" t="str">
            <v>Thanh Hoá</v>
          </cell>
          <cell r="BX1992" t="str">
            <v>AON</v>
          </cell>
        </row>
        <row r="1993">
          <cell r="A1993" t="str">
            <v>ON</v>
          </cell>
          <cell r="B1993" t="str">
            <v>Trong 24h</v>
          </cell>
          <cell r="D1993" t="str">
            <v>Khiếu nại về dịch vụ FTTH</v>
          </cell>
          <cell r="W1993" t="str">
            <v>Đang xử lý</v>
          </cell>
          <cell r="AJ1993" t="str">
            <v>Bắc Ninh</v>
          </cell>
          <cell r="BX1993" t="str">
            <v>AON</v>
          </cell>
        </row>
        <row r="1994">
          <cell r="A1994" t="str">
            <v>ON</v>
          </cell>
          <cell r="B1994" t="str">
            <v>Trong 24h</v>
          </cell>
          <cell r="D1994" t="str">
            <v>Khiếu nại về dịch vụ FTTH</v>
          </cell>
          <cell r="W1994" t="str">
            <v>Đang xử lý</v>
          </cell>
          <cell r="AJ1994" t="str">
            <v>TP HCM</v>
          </cell>
          <cell r="BX1994" t="str">
            <v>AON</v>
          </cell>
        </row>
        <row r="1995">
          <cell r="A1995" t="str">
            <v>ON</v>
          </cell>
          <cell r="B1995" t="str">
            <v>Trong 24h</v>
          </cell>
          <cell r="D1995" t="str">
            <v>Khiếu nại về dịch vụ FTTH</v>
          </cell>
          <cell r="W1995" t="str">
            <v>Đang xử lý</v>
          </cell>
          <cell r="AJ1995" t="str">
            <v>Hà Nam</v>
          </cell>
          <cell r="BX1995" t="str">
            <v>AON</v>
          </cell>
        </row>
        <row r="1996">
          <cell r="A1996" t="str">
            <v>ON</v>
          </cell>
          <cell r="B1996" t="str">
            <v>Trong 24h</v>
          </cell>
          <cell r="D1996" t="str">
            <v>Khiếu nại về dịch vụ NextTV</v>
          </cell>
          <cell r="W1996" t="str">
            <v>Đã đóng</v>
          </cell>
          <cell r="AJ1996" t="str">
            <v>Hà Giang</v>
          </cell>
          <cell r="BX1996" t="str">
            <v>AON</v>
          </cell>
        </row>
        <row r="1997">
          <cell r="A1997" t="str">
            <v>ON</v>
          </cell>
          <cell r="B1997" t="str">
            <v>Trong 24h</v>
          </cell>
          <cell r="D1997" t="str">
            <v>Khiếu nại về dịch vụ FTTH</v>
          </cell>
          <cell r="W1997" t="str">
            <v>Đã đóng</v>
          </cell>
          <cell r="AJ1997" t="str">
            <v>Tây Ninh</v>
          </cell>
          <cell r="BX1997" t="str">
            <v>AON</v>
          </cell>
        </row>
        <row r="1998">
          <cell r="A1998" t="str">
            <v>ON</v>
          </cell>
          <cell r="B1998" t="str">
            <v>Trong 24h</v>
          </cell>
          <cell r="D1998" t="str">
            <v>Khiếu nại về dịch vụ FTTH</v>
          </cell>
          <cell r="W1998" t="str">
            <v>Đang xử lý</v>
          </cell>
          <cell r="AJ1998" t="str">
            <v xml:space="preserve">Quảng Nam </v>
          </cell>
          <cell r="BX1998" t="str">
            <v>AON</v>
          </cell>
        </row>
        <row r="1999">
          <cell r="A1999" t="str">
            <v>ON</v>
          </cell>
          <cell r="B1999" t="str">
            <v>Trong 24h</v>
          </cell>
          <cell r="D1999" t="str">
            <v>Khiếu nại về dịch vụ FTTH</v>
          </cell>
          <cell r="W1999" t="str">
            <v>Đang xử lý</v>
          </cell>
          <cell r="AJ1999" t="str">
            <v>Bình Thuận</v>
          </cell>
          <cell r="BX1999" t="str">
            <v>AON</v>
          </cell>
        </row>
        <row r="2000">
          <cell r="A2000" t="str">
            <v>ON</v>
          </cell>
          <cell r="B2000" t="str">
            <v>Trong 24h</v>
          </cell>
          <cell r="D2000" t="str">
            <v>Khiếu nại về dịch vụ NextTV</v>
          </cell>
          <cell r="W2000" t="str">
            <v>Đang xử lý</v>
          </cell>
          <cell r="AJ2000" t="str">
            <v>Thanh Hoá</v>
          </cell>
          <cell r="BX2000" t="str">
            <v>AON</v>
          </cell>
        </row>
        <row r="2001">
          <cell r="A2001" t="str">
            <v>ON</v>
          </cell>
          <cell r="B2001" t="str">
            <v>Trong 24h</v>
          </cell>
          <cell r="D2001" t="str">
            <v>Khiếu nại về dịch vụ FTTH</v>
          </cell>
          <cell r="W2001" t="str">
            <v>Đang xử lý</v>
          </cell>
          <cell r="AJ2001" t="str">
            <v xml:space="preserve">Hà Tĩnh </v>
          </cell>
          <cell r="BX2001" t="str">
            <v>AON</v>
          </cell>
        </row>
        <row r="2002">
          <cell r="A2002" t="str">
            <v>ON</v>
          </cell>
          <cell r="B2002" t="str">
            <v>Trong 24h</v>
          </cell>
          <cell r="D2002" t="str">
            <v>Khiếu nại về dịch vụ FTTH</v>
          </cell>
          <cell r="W2002" t="str">
            <v>Đã đóng</v>
          </cell>
          <cell r="AJ2002" t="str">
            <v>Quảng Ninh</v>
          </cell>
          <cell r="BX2002" t="str">
            <v>AON</v>
          </cell>
        </row>
        <row r="2003">
          <cell r="A2003" t="str">
            <v>ON</v>
          </cell>
          <cell r="B2003" t="str">
            <v>Trong 24h</v>
          </cell>
          <cell r="D2003" t="str">
            <v>Khiếu nại về dịch vụ FTTH</v>
          </cell>
          <cell r="W2003" t="str">
            <v>Đã đóng</v>
          </cell>
          <cell r="AJ2003" t="str">
            <v>Hà Nội 1</v>
          </cell>
          <cell r="BX2003" t="str">
            <v>AON</v>
          </cell>
        </row>
        <row r="2004">
          <cell r="A2004" t="str">
            <v>ON</v>
          </cell>
          <cell r="B2004" t="str">
            <v>Trong 24h</v>
          </cell>
          <cell r="D2004" t="str">
            <v>Khiếu nại về dịch vụ FTTH</v>
          </cell>
          <cell r="W2004" t="str">
            <v>Đang xử lý</v>
          </cell>
          <cell r="AJ2004" t="str">
            <v>TP HCM</v>
          </cell>
          <cell r="BX2004" t="str">
            <v>AON</v>
          </cell>
        </row>
        <row r="2005">
          <cell r="A2005" t="str">
            <v>ON</v>
          </cell>
          <cell r="B2005" t="str">
            <v>Trong 24h</v>
          </cell>
          <cell r="D2005" t="str">
            <v>Khiếu nại về dịch vụ FTTH</v>
          </cell>
          <cell r="W2005" t="str">
            <v>Đã đóng</v>
          </cell>
          <cell r="AJ2005" t="str">
            <v>TP HCM</v>
          </cell>
          <cell r="BX2005" t="str">
            <v>AON</v>
          </cell>
        </row>
        <row r="2006">
          <cell r="A2006" t="str">
            <v>ON</v>
          </cell>
          <cell r="B2006" t="str">
            <v>Trong 24h</v>
          </cell>
          <cell r="D2006" t="str">
            <v>Khiếu nại về dịch vụ FTTH</v>
          </cell>
          <cell r="W2006" t="str">
            <v>Đang xử lý</v>
          </cell>
          <cell r="AJ2006" t="str">
            <v>TP HCM</v>
          </cell>
          <cell r="BX2006" t="str">
            <v>GPON</v>
          </cell>
        </row>
        <row r="2007">
          <cell r="A2007" t="str">
            <v>ON</v>
          </cell>
          <cell r="B2007" t="str">
            <v>Trong 24h</v>
          </cell>
          <cell r="D2007" t="str">
            <v>Khiếu nại về dịch vụ FTTH</v>
          </cell>
          <cell r="W2007" t="str">
            <v>Đang xử lý</v>
          </cell>
          <cell r="AJ2007" t="str">
            <v>Long An</v>
          </cell>
          <cell r="BX2007" t="str">
            <v>AON</v>
          </cell>
        </row>
        <row r="2008">
          <cell r="A2008" t="str">
            <v>ON</v>
          </cell>
          <cell r="B2008" t="str">
            <v>Trong 24h</v>
          </cell>
          <cell r="D2008" t="str">
            <v>Khiếu nại về dịch vụ FTTH</v>
          </cell>
          <cell r="W2008" t="str">
            <v>Đang xử lý</v>
          </cell>
          <cell r="AJ2008" t="str">
            <v>TP HCM</v>
          </cell>
          <cell r="BX2008" t="str">
            <v>AON</v>
          </cell>
        </row>
        <row r="2009">
          <cell r="A2009" t="str">
            <v>ON</v>
          </cell>
          <cell r="B2009" t="str">
            <v>Trong 24h</v>
          </cell>
          <cell r="D2009" t="str">
            <v>Khiếu nại về dịch vụ FTTH</v>
          </cell>
          <cell r="W2009" t="str">
            <v>Đã đóng</v>
          </cell>
          <cell r="AJ2009" t="str">
            <v>TP HCM</v>
          </cell>
          <cell r="BX2009" t="str">
            <v>GPON</v>
          </cell>
        </row>
        <row r="2010">
          <cell r="A2010" t="str">
            <v>ON</v>
          </cell>
          <cell r="B2010" t="str">
            <v>Trong 24h</v>
          </cell>
          <cell r="D2010" t="str">
            <v>Khiếu nại về dịch vụ FTTH</v>
          </cell>
          <cell r="W2010" t="str">
            <v>Đang xử lý</v>
          </cell>
          <cell r="AJ2010" t="str">
            <v>Nam Định</v>
          </cell>
          <cell r="BX2010" t="str">
            <v>AON</v>
          </cell>
        </row>
        <row r="2011">
          <cell r="A2011" t="str">
            <v>ON</v>
          </cell>
          <cell r="B2011" t="str">
            <v>Trong 24h</v>
          </cell>
          <cell r="D2011" t="str">
            <v>Khiếu nại về dịch vụ FTTH</v>
          </cell>
          <cell r="W2011" t="str">
            <v>Đã đóng</v>
          </cell>
          <cell r="AJ2011" t="str">
            <v>Thái Bình</v>
          </cell>
          <cell r="BX2011" t="str">
            <v>AON</v>
          </cell>
        </row>
        <row r="2012">
          <cell r="A2012" t="str">
            <v>ON</v>
          </cell>
          <cell r="B2012" t="str">
            <v>Trong 24h</v>
          </cell>
          <cell r="D2012" t="str">
            <v>Khiếu nại về dịch vụ FTTH</v>
          </cell>
          <cell r="W2012" t="str">
            <v>Đã đóng</v>
          </cell>
          <cell r="AJ2012" t="str">
            <v>TP HCM</v>
          </cell>
          <cell r="BX2012" t="str">
            <v>AON</v>
          </cell>
        </row>
        <row r="2013">
          <cell r="A2013" t="str">
            <v>ON</v>
          </cell>
          <cell r="B2013" t="str">
            <v>Trong 24h</v>
          </cell>
          <cell r="D2013" t="str">
            <v>Khiếu nại về dịch vụ FTTH</v>
          </cell>
          <cell r="W2013" t="str">
            <v>Đang xử lý</v>
          </cell>
          <cell r="AJ2013" t="str">
            <v>Quảng Bình</v>
          </cell>
          <cell r="BX2013" t="str">
            <v>AON</v>
          </cell>
        </row>
        <row r="2014">
          <cell r="A2014" t="str">
            <v>ON</v>
          </cell>
          <cell r="B2014" t="str">
            <v>Trong 24h</v>
          </cell>
          <cell r="D2014" t="str">
            <v>Khiếu nại về dịch vụ FTTH</v>
          </cell>
          <cell r="W2014" t="str">
            <v>Đang xử lý</v>
          </cell>
          <cell r="AJ2014" t="str">
            <v>Thanh Hoá</v>
          </cell>
          <cell r="BX2014" t="str">
            <v>AON</v>
          </cell>
        </row>
        <row r="2015">
          <cell r="A2015" t="str">
            <v>ON</v>
          </cell>
          <cell r="B2015" t="str">
            <v>Trong 24h</v>
          </cell>
          <cell r="D2015" t="str">
            <v>Khiếu nại về dịch vụ FTTH</v>
          </cell>
          <cell r="W2015" t="str">
            <v>Đang xử lý</v>
          </cell>
          <cell r="AJ2015" t="str">
            <v>Sóc Trăng</v>
          </cell>
          <cell r="BX2015" t="str">
            <v>AON</v>
          </cell>
        </row>
        <row r="2016">
          <cell r="A2016" t="str">
            <v>ON</v>
          </cell>
          <cell r="B2016" t="str">
            <v>Trong 24h</v>
          </cell>
          <cell r="D2016" t="str">
            <v>Khiếu nại về dịch vụ FTTH</v>
          </cell>
          <cell r="W2016" t="str">
            <v>Đang xử lý</v>
          </cell>
          <cell r="AJ2016" t="str">
            <v xml:space="preserve">Đà Nẵng </v>
          </cell>
          <cell r="BX2016" t="str">
            <v>AON</v>
          </cell>
        </row>
        <row r="2017">
          <cell r="A2017" t="str">
            <v>ON</v>
          </cell>
          <cell r="B2017" t="str">
            <v>Trong 24h</v>
          </cell>
          <cell r="D2017" t="str">
            <v>Khiếu nại về dịch vụ FTTH</v>
          </cell>
          <cell r="W2017" t="str">
            <v>Đã đóng</v>
          </cell>
          <cell r="AJ2017" t="str">
            <v>An Giang</v>
          </cell>
          <cell r="BX2017" t="str">
            <v>AON</v>
          </cell>
        </row>
        <row r="2018">
          <cell r="A2018" t="str">
            <v>ON</v>
          </cell>
          <cell r="B2018" t="str">
            <v>Trong 24h</v>
          </cell>
          <cell r="D2018" t="str">
            <v>Khiếu nại về dịch vụ FTTH</v>
          </cell>
          <cell r="W2018" t="str">
            <v>Đang xử lý</v>
          </cell>
          <cell r="AJ2018" t="str">
            <v>TP HCM</v>
          </cell>
          <cell r="BX2018" t="str">
            <v>AON</v>
          </cell>
        </row>
        <row r="2019">
          <cell r="A2019" t="str">
            <v>ON</v>
          </cell>
          <cell r="B2019" t="str">
            <v>Trong 24h</v>
          </cell>
          <cell r="D2019" t="str">
            <v>Khiếu nại về dịch vụ FTTH</v>
          </cell>
          <cell r="W2019" t="str">
            <v>Đã đóng</v>
          </cell>
          <cell r="AJ2019" t="str">
            <v>Thái Bình</v>
          </cell>
          <cell r="BX2019" t="str">
            <v>AON</v>
          </cell>
        </row>
        <row r="2020">
          <cell r="A2020" t="str">
            <v>ON</v>
          </cell>
          <cell r="B2020" t="str">
            <v>Trong 24h</v>
          </cell>
          <cell r="D2020" t="str">
            <v>Khiếu nại về dịch vụ FTTH</v>
          </cell>
          <cell r="W2020" t="str">
            <v>Đang xử lý</v>
          </cell>
          <cell r="AJ2020" t="str">
            <v>Nam Định</v>
          </cell>
          <cell r="BX2020" t="str">
            <v>AON</v>
          </cell>
        </row>
        <row r="2021">
          <cell r="A2021" t="str">
            <v>ON</v>
          </cell>
          <cell r="B2021" t="str">
            <v>Trong 24h</v>
          </cell>
          <cell r="D2021" t="str">
            <v>Khiếu nại về dịch vụ FTTH</v>
          </cell>
          <cell r="W2021" t="str">
            <v>Đang xử lý</v>
          </cell>
          <cell r="AJ2021" t="str">
            <v>TP HCM</v>
          </cell>
          <cell r="BX2021" t="str">
            <v>AON</v>
          </cell>
        </row>
        <row r="2022">
          <cell r="A2022" t="str">
            <v>ON</v>
          </cell>
          <cell r="B2022" t="str">
            <v>Trong 24h</v>
          </cell>
          <cell r="D2022" t="str">
            <v>Khiếu nại về dịch vụ FTTH</v>
          </cell>
          <cell r="W2022" t="str">
            <v>Đang xử lý</v>
          </cell>
          <cell r="AJ2022" t="str">
            <v>Thừa Thiên Huế</v>
          </cell>
          <cell r="BX2022" t="str">
            <v>AON</v>
          </cell>
        </row>
        <row r="2023">
          <cell r="A2023" t="str">
            <v>ON</v>
          </cell>
          <cell r="B2023" t="str">
            <v>Trong 24h</v>
          </cell>
          <cell r="D2023" t="str">
            <v>Khiếu nại về dịch vụ FTTH</v>
          </cell>
          <cell r="W2023" t="str">
            <v>Đang xử lý</v>
          </cell>
          <cell r="AJ2023" t="str">
            <v>TP HCM</v>
          </cell>
          <cell r="BX2023" t="str">
            <v>AON</v>
          </cell>
        </row>
        <row r="2024">
          <cell r="A2024" t="str">
            <v>ON</v>
          </cell>
          <cell r="B2024" t="str">
            <v>Trong 24h</v>
          </cell>
          <cell r="D2024" t="str">
            <v>Khiếu nại về dịch vụ FTTH</v>
          </cell>
          <cell r="W2024" t="str">
            <v>Đã đóng</v>
          </cell>
          <cell r="AJ2024" t="str">
            <v>Hà Nội 2</v>
          </cell>
          <cell r="BX2024" t="str">
            <v>AON</v>
          </cell>
        </row>
        <row r="2025">
          <cell r="A2025" t="str">
            <v>ON</v>
          </cell>
          <cell r="B2025" t="str">
            <v>Trong 24h</v>
          </cell>
          <cell r="D2025" t="str">
            <v>Khiếu nại về dịch vụ FTTH</v>
          </cell>
          <cell r="W2025" t="str">
            <v>Đang xử lý</v>
          </cell>
          <cell r="AJ2025" t="str">
            <v>Kon Tum</v>
          </cell>
          <cell r="BX2025" t="str">
            <v>AON</v>
          </cell>
        </row>
        <row r="2026">
          <cell r="A2026" t="str">
            <v>ON</v>
          </cell>
          <cell r="B2026" t="str">
            <v>Trong 24h</v>
          </cell>
          <cell r="D2026" t="str">
            <v>Khiếu nại về dịch vụ FTTH</v>
          </cell>
          <cell r="W2026" t="str">
            <v>Đang xử lý</v>
          </cell>
          <cell r="AJ2026" t="str">
            <v>Quảng Ngãi</v>
          </cell>
          <cell r="BX2026" t="str">
            <v>AON</v>
          </cell>
        </row>
        <row r="2027">
          <cell r="A2027" t="str">
            <v>ON</v>
          </cell>
          <cell r="B2027" t="str">
            <v>Trong 24h</v>
          </cell>
          <cell r="D2027" t="str">
            <v>Khiếu nại về dịch vụ FTTH</v>
          </cell>
          <cell r="W2027" t="str">
            <v>Đã đóng</v>
          </cell>
          <cell r="AJ2027" t="str">
            <v>Hà Nội 1</v>
          </cell>
          <cell r="BX2027" t="str">
            <v>AON</v>
          </cell>
        </row>
        <row r="2028">
          <cell r="A2028" t="str">
            <v>ON</v>
          </cell>
          <cell r="B2028" t="str">
            <v>Trong 24h</v>
          </cell>
          <cell r="D2028" t="str">
            <v>Khiếu nại về dịch vụ FTTH</v>
          </cell>
          <cell r="W2028" t="str">
            <v>Đã đóng</v>
          </cell>
          <cell r="AJ2028" t="str">
            <v>TP HCM</v>
          </cell>
          <cell r="BX2028" t="str">
            <v>AON</v>
          </cell>
        </row>
        <row r="2029">
          <cell r="A2029" t="str">
            <v>ON</v>
          </cell>
          <cell r="B2029" t="str">
            <v>Trong 24h</v>
          </cell>
          <cell r="D2029" t="str">
            <v>Khiếu nại về dịch vụ FTTH</v>
          </cell>
          <cell r="W2029" t="str">
            <v>Đang xử lý</v>
          </cell>
          <cell r="AJ2029" t="str">
            <v>Thái Nguyên</v>
          </cell>
          <cell r="BX2029" t="str">
            <v>AON</v>
          </cell>
        </row>
        <row r="2030">
          <cell r="A2030" t="str">
            <v>ON</v>
          </cell>
          <cell r="B2030" t="str">
            <v>Trong 24h</v>
          </cell>
          <cell r="D2030" t="str">
            <v>Khiếu nại về dịch vụ FTTH</v>
          </cell>
          <cell r="W2030" t="str">
            <v>Đang xử lý</v>
          </cell>
          <cell r="AJ2030" t="str">
            <v>Điện Biên</v>
          </cell>
          <cell r="BX2030" t="str">
            <v>AON</v>
          </cell>
        </row>
        <row r="2031">
          <cell r="A2031" t="str">
            <v>ON</v>
          </cell>
          <cell r="B2031" t="str">
            <v>Trong 24h</v>
          </cell>
          <cell r="D2031" t="str">
            <v>Khiếu nại về dịch vụ FTTH</v>
          </cell>
          <cell r="W2031" t="str">
            <v>Đang xử lý</v>
          </cell>
          <cell r="AJ2031" t="str">
            <v>Hà Nội 1</v>
          </cell>
          <cell r="BX2031" t="str">
            <v>AON</v>
          </cell>
        </row>
        <row r="2032">
          <cell r="A2032" t="str">
            <v>ON</v>
          </cell>
          <cell r="B2032" t="str">
            <v>Trong 24h</v>
          </cell>
          <cell r="D2032" t="str">
            <v>Khiếu nại về dịch vụ FTTH</v>
          </cell>
          <cell r="W2032" t="str">
            <v>Đang xử lý</v>
          </cell>
          <cell r="AJ2032" t="str">
            <v>Nghệ An</v>
          </cell>
          <cell r="BX2032" t="str">
            <v>AON</v>
          </cell>
        </row>
        <row r="2033">
          <cell r="A2033" t="str">
            <v>ON</v>
          </cell>
          <cell r="B2033" t="str">
            <v>Trong 24h</v>
          </cell>
          <cell r="D2033" t="str">
            <v>Khiếu nại về dịch vụ FTTH</v>
          </cell>
          <cell r="W2033" t="str">
            <v>Đã đóng</v>
          </cell>
          <cell r="AJ2033" t="str">
            <v>Thái Bình</v>
          </cell>
          <cell r="BX2033" t="str">
            <v>AON</v>
          </cell>
        </row>
        <row r="2034">
          <cell r="A2034" t="str">
            <v>ON</v>
          </cell>
          <cell r="B2034" t="str">
            <v>Trong 24h</v>
          </cell>
          <cell r="D2034" t="str">
            <v>Khiếu nại về dịch vụ NextTV</v>
          </cell>
          <cell r="W2034" t="str">
            <v>Đang xử lý</v>
          </cell>
          <cell r="AJ2034" t="str">
            <v xml:space="preserve">Đà Nẵng </v>
          </cell>
          <cell r="BX2034" t="str">
            <v>AON</v>
          </cell>
        </row>
        <row r="2035">
          <cell r="A2035" t="str">
            <v>ON</v>
          </cell>
          <cell r="B2035" t="str">
            <v>Trong 24h</v>
          </cell>
          <cell r="D2035" t="str">
            <v>Khiếu nại về dịch vụ FTTH</v>
          </cell>
          <cell r="W2035" t="str">
            <v>Đã đóng</v>
          </cell>
          <cell r="AJ2035" t="str">
            <v>Hà Nội 1</v>
          </cell>
          <cell r="BX2035" t="str">
            <v>AON</v>
          </cell>
        </row>
        <row r="2036">
          <cell r="A2036" t="str">
            <v>ON</v>
          </cell>
          <cell r="B2036" t="str">
            <v>Trong 24h</v>
          </cell>
          <cell r="D2036" t="str">
            <v>Khiếu nại về dịch vụ FTTH</v>
          </cell>
          <cell r="W2036" t="str">
            <v>Đã đóng</v>
          </cell>
          <cell r="AJ2036" t="str">
            <v xml:space="preserve">Quảng Nam </v>
          </cell>
          <cell r="BX2036" t="str">
            <v>AON</v>
          </cell>
        </row>
        <row r="2037">
          <cell r="A2037" t="str">
            <v>ON</v>
          </cell>
          <cell r="B2037" t="str">
            <v>Trong 24h</v>
          </cell>
          <cell r="D2037" t="str">
            <v>Khiếu nại về dịch vụ FTTH</v>
          </cell>
          <cell r="W2037" t="str">
            <v>Đang xử lý</v>
          </cell>
          <cell r="AJ2037" t="str">
            <v>Sóc Trăng</v>
          </cell>
          <cell r="BX2037" t="str">
            <v>AON</v>
          </cell>
        </row>
        <row r="2038">
          <cell r="A2038" t="str">
            <v>ON</v>
          </cell>
          <cell r="B2038" t="str">
            <v>Trong 24h</v>
          </cell>
          <cell r="D2038" t="str">
            <v>Khiếu nại về dịch vụ FTTH</v>
          </cell>
          <cell r="W2038" t="str">
            <v>Đang xử lý</v>
          </cell>
          <cell r="AJ2038" t="str">
            <v xml:space="preserve">Quảng Nam </v>
          </cell>
          <cell r="BX2038" t="str">
            <v>AON</v>
          </cell>
        </row>
        <row r="2039">
          <cell r="A2039" t="str">
            <v>ON</v>
          </cell>
          <cell r="B2039" t="str">
            <v>Trong 24h</v>
          </cell>
          <cell r="D2039" t="str">
            <v>Khiếu nại về dịch vụ FTTH</v>
          </cell>
          <cell r="W2039" t="str">
            <v>Đã đóng</v>
          </cell>
          <cell r="AJ2039" t="str">
            <v>Bình Dương</v>
          </cell>
          <cell r="BX2039" t="str">
            <v>AON</v>
          </cell>
        </row>
        <row r="2040">
          <cell r="A2040" t="str">
            <v>ON</v>
          </cell>
          <cell r="B2040" t="str">
            <v>Trong 24h</v>
          </cell>
          <cell r="D2040" t="str">
            <v>Khiếu nại về dịch vụ FTTH</v>
          </cell>
          <cell r="W2040" t="str">
            <v>Đã đóng</v>
          </cell>
          <cell r="AJ2040" t="str">
            <v>Bà Rịa - Vũng Tàu</v>
          </cell>
          <cell r="BX2040" t="str">
            <v>AON</v>
          </cell>
        </row>
        <row r="2041">
          <cell r="A2041" t="str">
            <v>ON</v>
          </cell>
          <cell r="B2041" t="str">
            <v>Trong 24h</v>
          </cell>
          <cell r="D2041" t="str">
            <v>Khiếu nại về dịch vụ FTTH</v>
          </cell>
          <cell r="W2041" t="str">
            <v>Đang xử lý</v>
          </cell>
          <cell r="AJ2041" t="str">
            <v>Cà Mau</v>
          </cell>
          <cell r="BX2041" t="str">
            <v>AON</v>
          </cell>
        </row>
        <row r="2042">
          <cell r="A2042" t="str">
            <v>ON</v>
          </cell>
          <cell r="B2042" t="str">
            <v>Trong 24h</v>
          </cell>
          <cell r="D2042" t="str">
            <v>Khiếu nại về dịch vụ FTTH</v>
          </cell>
          <cell r="W2042" t="str">
            <v>Đã đóng</v>
          </cell>
          <cell r="AJ2042" t="str">
            <v>Ninh Bình</v>
          </cell>
          <cell r="BX2042" t="str">
            <v>AON</v>
          </cell>
        </row>
        <row r="2043">
          <cell r="A2043" t="str">
            <v>ON</v>
          </cell>
          <cell r="B2043" t="str">
            <v>Trong 24h</v>
          </cell>
          <cell r="D2043" t="str">
            <v>Khiếu nại về dịch vụ FTTH</v>
          </cell>
          <cell r="W2043" t="str">
            <v>Đang xử lý</v>
          </cell>
          <cell r="AJ2043" t="str">
            <v>TP HCM</v>
          </cell>
          <cell r="BX2043" t="str">
            <v>GPON</v>
          </cell>
        </row>
        <row r="2044">
          <cell r="A2044" t="str">
            <v>ON</v>
          </cell>
          <cell r="B2044" t="str">
            <v>Trong 24h</v>
          </cell>
          <cell r="D2044" t="str">
            <v>Khiếu nại về dịch vụ FTTH</v>
          </cell>
          <cell r="W2044" t="str">
            <v>Đã đóng</v>
          </cell>
          <cell r="AJ2044" t="str">
            <v>TP HCM</v>
          </cell>
          <cell r="BX2044" t="str">
            <v>AON</v>
          </cell>
        </row>
        <row r="2045">
          <cell r="A2045" t="str">
            <v>ON</v>
          </cell>
          <cell r="B2045" t="str">
            <v>Trong 24h</v>
          </cell>
          <cell r="D2045" t="str">
            <v>Khiếu nại về dịch vụ FTTH</v>
          </cell>
          <cell r="W2045" t="str">
            <v>Đang xử lý</v>
          </cell>
          <cell r="AJ2045" t="str">
            <v>An Giang</v>
          </cell>
          <cell r="BX2045" t="str">
            <v>AON</v>
          </cell>
        </row>
        <row r="2046">
          <cell r="A2046" t="str">
            <v>ON</v>
          </cell>
          <cell r="B2046" t="str">
            <v>Trong 24h</v>
          </cell>
          <cell r="D2046" t="str">
            <v>Khiếu nại về dịch vụ FTTH</v>
          </cell>
          <cell r="W2046" t="str">
            <v>Đang xử lý</v>
          </cell>
          <cell r="AJ2046" t="str">
            <v>TP HCM</v>
          </cell>
          <cell r="BX2046" t="str">
            <v>GPON</v>
          </cell>
        </row>
        <row r="2047">
          <cell r="A2047" t="str">
            <v>ON</v>
          </cell>
          <cell r="B2047" t="str">
            <v>Trong 24h</v>
          </cell>
          <cell r="D2047" t="str">
            <v>Khiếu nại về dịch vụ FTTH</v>
          </cell>
          <cell r="W2047" t="str">
            <v>Đang xử lý</v>
          </cell>
          <cell r="AJ2047" t="str">
            <v>TP HCM</v>
          </cell>
          <cell r="BX2047" t="str">
            <v>AON</v>
          </cell>
        </row>
        <row r="2048">
          <cell r="A2048" t="str">
            <v>ON</v>
          </cell>
          <cell r="B2048" t="str">
            <v>Trong 24h</v>
          </cell>
          <cell r="D2048" t="str">
            <v>Khiếu nại về dịch vụ FTTH</v>
          </cell>
          <cell r="W2048" t="str">
            <v>Đã đóng</v>
          </cell>
          <cell r="AJ2048" t="str">
            <v>Hà Nội 1</v>
          </cell>
          <cell r="BX2048" t="str">
            <v>AON</v>
          </cell>
        </row>
        <row r="2049">
          <cell r="A2049" t="str">
            <v>ON</v>
          </cell>
          <cell r="B2049" t="str">
            <v>Trong 24h</v>
          </cell>
          <cell r="D2049" t="str">
            <v>Khiếu nại về dịch vụ NextTV</v>
          </cell>
          <cell r="W2049" t="str">
            <v>Đang xử lý</v>
          </cell>
          <cell r="AJ2049" t="str">
            <v>Trà Vinh</v>
          </cell>
          <cell r="BX2049" t="str">
            <v>AON</v>
          </cell>
        </row>
        <row r="2050">
          <cell r="A2050" t="str">
            <v>ON</v>
          </cell>
          <cell r="B2050" t="str">
            <v>Trong 24h</v>
          </cell>
          <cell r="D2050" t="str">
            <v>Khiếu nại về dịch vụ FTTH</v>
          </cell>
          <cell r="W2050" t="str">
            <v>Đang xử lý</v>
          </cell>
          <cell r="AJ2050" t="str">
            <v>Điện Biên</v>
          </cell>
          <cell r="BX2050" t="str">
            <v>AON</v>
          </cell>
        </row>
        <row r="2051">
          <cell r="A2051" t="str">
            <v>ON</v>
          </cell>
          <cell r="B2051" t="str">
            <v>Trong 24h</v>
          </cell>
          <cell r="D2051" t="str">
            <v>Khiếu nại về dịch vụ FTTH</v>
          </cell>
          <cell r="W2051" t="str">
            <v>Đang xử lý</v>
          </cell>
          <cell r="AJ2051" t="str">
            <v>Kon Tum</v>
          </cell>
          <cell r="BX2051" t="str">
            <v>AON</v>
          </cell>
        </row>
        <row r="2052">
          <cell r="A2052" t="str">
            <v>ON</v>
          </cell>
          <cell r="B2052" t="str">
            <v>Trong 24h</v>
          </cell>
          <cell r="D2052" t="str">
            <v>Khiếu nại về dịch vụ FTTH</v>
          </cell>
          <cell r="W2052" t="str">
            <v>Đã đóng</v>
          </cell>
          <cell r="AJ2052" t="str">
            <v>Ninh Bình</v>
          </cell>
          <cell r="BX2052" t="str">
            <v>AON</v>
          </cell>
        </row>
        <row r="2053">
          <cell r="A2053" t="str">
            <v>ON</v>
          </cell>
          <cell r="B2053" t="str">
            <v>Trong 24h</v>
          </cell>
          <cell r="D2053" t="str">
            <v>Khiếu nại về dịch vụ FTTH</v>
          </cell>
          <cell r="W2053" t="str">
            <v>Đã đóng</v>
          </cell>
          <cell r="AJ2053" t="str">
            <v xml:space="preserve">Hà Tĩnh </v>
          </cell>
          <cell r="BX2053" t="str">
            <v>AON</v>
          </cell>
        </row>
        <row r="2054">
          <cell r="A2054" t="str">
            <v>ON</v>
          </cell>
          <cell r="B2054" t="str">
            <v>Trong 24h</v>
          </cell>
          <cell r="D2054" t="str">
            <v>Khiếu nại về dịch vụ FTTH</v>
          </cell>
          <cell r="W2054" t="str">
            <v>Đang xử lý</v>
          </cell>
          <cell r="AJ2054" t="str">
            <v>TP HCM</v>
          </cell>
          <cell r="BX2054" t="str">
            <v>AON</v>
          </cell>
        </row>
        <row r="2055">
          <cell r="A2055" t="str">
            <v>ON</v>
          </cell>
          <cell r="B2055" t="str">
            <v>Trong 24h</v>
          </cell>
          <cell r="D2055" t="str">
            <v>Khiếu nại về dịch vụ FTTH</v>
          </cell>
          <cell r="W2055" t="str">
            <v>Đang xử lý</v>
          </cell>
          <cell r="AJ2055" t="str">
            <v xml:space="preserve">Hà Tĩnh </v>
          </cell>
          <cell r="BX2055" t="str">
            <v>AON</v>
          </cell>
        </row>
        <row r="2056">
          <cell r="A2056" t="str">
            <v>ON</v>
          </cell>
          <cell r="B2056" t="str">
            <v>Trong 24h</v>
          </cell>
          <cell r="D2056" t="str">
            <v>Khiếu nại về dịch vụ NextTV</v>
          </cell>
          <cell r="W2056" t="str">
            <v>Đang xử lý</v>
          </cell>
          <cell r="AJ2056" t="str">
            <v>TP HCM</v>
          </cell>
          <cell r="BX2056" t="str">
            <v>AON</v>
          </cell>
        </row>
        <row r="2057">
          <cell r="A2057" t="str">
            <v>ON</v>
          </cell>
          <cell r="B2057" t="str">
            <v>Trong 24h</v>
          </cell>
          <cell r="D2057" t="str">
            <v>Khiếu nại về dịch vụ FTTH</v>
          </cell>
          <cell r="W2057" t="str">
            <v>Đang xử lý</v>
          </cell>
          <cell r="AJ2057" t="str">
            <v>Gia Lai</v>
          </cell>
          <cell r="BX2057" t="str">
            <v>AON</v>
          </cell>
        </row>
        <row r="2058">
          <cell r="A2058" t="str">
            <v>ON</v>
          </cell>
          <cell r="B2058" t="str">
            <v>Trong 24h</v>
          </cell>
          <cell r="D2058" t="str">
            <v>Khiếu nại về dịch vụ FTTH</v>
          </cell>
          <cell r="W2058" t="str">
            <v>Đã đóng</v>
          </cell>
          <cell r="AJ2058" t="str">
            <v>Hậu Giang</v>
          </cell>
          <cell r="BX2058" t="str">
            <v>AON</v>
          </cell>
        </row>
        <row r="2059">
          <cell r="A2059" t="str">
            <v>ON</v>
          </cell>
          <cell r="B2059" t="str">
            <v>Trong 24h</v>
          </cell>
          <cell r="D2059" t="str">
            <v>Khiếu nại về dịch vụ NextTV</v>
          </cell>
          <cell r="W2059" t="str">
            <v>Đang xử lý</v>
          </cell>
          <cell r="AJ2059" t="str">
            <v>Hải Phòng</v>
          </cell>
          <cell r="BX2059" t="str">
            <v>AON</v>
          </cell>
        </row>
        <row r="2060">
          <cell r="A2060" t="str">
            <v>ON</v>
          </cell>
          <cell r="B2060" t="str">
            <v>Trong 24h</v>
          </cell>
          <cell r="D2060" t="str">
            <v>Khiếu nại về dịch vụ FTTH</v>
          </cell>
          <cell r="W2060" t="str">
            <v>Đang xử lý</v>
          </cell>
          <cell r="AJ2060" t="str">
            <v>Thanh Hoá</v>
          </cell>
          <cell r="BX2060" t="str">
            <v>AON</v>
          </cell>
        </row>
        <row r="2061">
          <cell r="A2061" t="str">
            <v>ON</v>
          </cell>
          <cell r="B2061" t="str">
            <v>Trong 24h</v>
          </cell>
          <cell r="D2061" t="str">
            <v>Khiếu nại về dịch vụ FTTH</v>
          </cell>
          <cell r="W2061" t="str">
            <v>Đang xử lý</v>
          </cell>
          <cell r="AJ2061" t="str">
            <v>TP HCM</v>
          </cell>
          <cell r="BX2061" t="str">
            <v>AON</v>
          </cell>
        </row>
        <row r="2062">
          <cell r="A2062" t="str">
            <v>ON</v>
          </cell>
          <cell r="B2062" t="str">
            <v>Trong 24h</v>
          </cell>
          <cell r="D2062" t="str">
            <v>Khiếu nại về dịch vụ NextTV</v>
          </cell>
          <cell r="W2062" t="str">
            <v>Đang xử lý</v>
          </cell>
          <cell r="AJ2062" t="str">
            <v>Hải Phòng</v>
          </cell>
          <cell r="BX2062" t="str">
            <v>AON</v>
          </cell>
        </row>
        <row r="2063">
          <cell r="A2063" t="str">
            <v>ON</v>
          </cell>
          <cell r="B2063" t="str">
            <v>Trong 24h</v>
          </cell>
          <cell r="D2063" t="str">
            <v>Khiếu nại về dịch vụ FTTH</v>
          </cell>
          <cell r="W2063" t="str">
            <v>Đang xử lý</v>
          </cell>
          <cell r="AJ2063" t="str">
            <v>Thái Nguyên</v>
          </cell>
          <cell r="BX2063" t="str">
            <v>AON</v>
          </cell>
        </row>
        <row r="2064">
          <cell r="A2064" t="str">
            <v>ON</v>
          </cell>
          <cell r="B2064" t="str">
            <v>Trong 24h</v>
          </cell>
          <cell r="D2064" t="str">
            <v>Khiếu nại về dịch vụ FTTH</v>
          </cell>
          <cell r="W2064" t="str">
            <v>Đang xử lý</v>
          </cell>
          <cell r="AJ2064" t="str">
            <v>Bình Dương</v>
          </cell>
          <cell r="BX2064" t="str">
            <v>AON</v>
          </cell>
        </row>
        <row r="2065">
          <cell r="A2065" t="str">
            <v>ON</v>
          </cell>
          <cell r="B2065" t="str">
            <v>Trong 24h</v>
          </cell>
          <cell r="D2065" t="str">
            <v>Khiếu nại về dịch vụ FTTH</v>
          </cell>
          <cell r="W2065" t="str">
            <v>Đang xử lý</v>
          </cell>
          <cell r="AJ2065" t="str">
            <v xml:space="preserve">Đà Nẵng </v>
          </cell>
          <cell r="BX2065" t="str">
            <v>AON</v>
          </cell>
        </row>
        <row r="2066">
          <cell r="A2066" t="str">
            <v>ON</v>
          </cell>
          <cell r="B2066" t="str">
            <v>Trong 24h</v>
          </cell>
          <cell r="D2066" t="str">
            <v>Khiếu nại về dịch vụ FTTH</v>
          </cell>
          <cell r="W2066" t="str">
            <v>Đang xử lý</v>
          </cell>
          <cell r="AJ2066" t="str">
            <v>Hà Nội 2</v>
          </cell>
          <cell r="BX2066" t="str">
            <v>AON</v>
          </cell>
        </row>
        <row r="2067">
          <cell r="A2067" t="str">
            <v>ON</v>
          </cell>
          <cell r="B2067" t="str">
            <v>Trong 24h</v>
          </cell>
          <cell r="D2067" t="str">
            <v>Khiếu nại về dịch vụ FTTH</v>
          </cell>
          <cell r="W2067" t="str">
            <v>Đang xử lý</v>
          </cell>
          <cell r="AJ2067" t="str">
            <v>Quảng Ninh</v>
          </cell>
          <cell r="BX2067" t="str">
            <v>AON</v>
          </cell>
        </row>
        <row r="2068">
          <cell r="A2068" t="str">
            <v>ON</v>
          </cell>
          <cell r="B2068" t="str">
            <v>Trong 24h</v>
          </cell>
          <cell r="D2068" t="str">
            <v>Khiếu nại về dịch vụ FTTH</v>
          </cell>
          <cell r="W2068" t="str">
            <v>Đã đóng</v>
          </cell>
          <cell r="AJ2068" t="str">
            <v>Hậu Giang</v>
          </cell>
          <cell r="BX2068" t="str">
            <v>AON</v>
          </cell>
        </row>
        <row r="2069">
          <cell r="A2069" t="str">
            <v>ON</v>
          </cell>
          <cell r="B2069" t="str">
            <v>Trong 24h</v>
          </cell>
          <cell r="D2069" t="str">
            <v>Khiếu nại về dịch vụ FTTH</v>
          </cell>
          <cell r="W2069" t="str">
            <v>Đang xử lý</v>
          </cell>
          <cell r="AJ2069" t="str">
            <v>Hà Nội 1</v>
          </cell>
          <cell r="BX2069" t="str">
            <v>AON</v>
          </cell>
        </row>
        <row r="2070">
          <cell r="A2070" t="str">
            <v>ON</v>
          </cell>
          <cell r="B2070" t="str">
            <v>Trong 24h</v>
          </cell>
          <cell r="D2070" t="str">
            <v>Khiếu nại về dịch vụ FTTH</v>
          </cell>
          <cell r="W2070" t="str">
            <v>Đã đóng</v>
          </cell>
          <cell r="AJ2070" t="str">
            <v>Quảng Ninh</v>
          </cell>
          <cell r="BX2070" t="str">
            <v>AON</v>
          </cell>
        </row>
        <row r="2071">
          <cell r="A2071" t="str">
            <v>ON</v>
          </cell>
          <cell r="B2071" t="str">
            <v>Trong 24h</v>
          </cell>
          <cell r="D2071" t="str">
            <v>Khiếu nại về dịch vụ FTTH</v>
          </cell>
          <cell r="W2071" t="str">
            <v>Đã đóng</v>
          </cell>
          <cell r="AJ2071" t="str">
            <v>Tây Ninh</v>
          </cell>
          <cell r="BX2071" t="str">
            <v>AON</v>
          </cell>
        </row>
        <row r="2072">
          <cell r="A2072" t="str">
            <v>ON</v>
          </cell>
          <cell r="B2072" t="str">
            <v>Trong 24h</v>
          </cell>
          <cell r="D2072" t="str">
            <v>Khiếu nại về dịch vụ FTTH</v>
          </cell>
          <cell r="W2072" t="str">
            <v>Đang xử lý</v>
          </cell>
          <cell r="AJ2072" t="str">
            <v>Thái Bình</v>
          </cell>
          <cell r="BX2072" t="str">
            <v>AON</v>
          </cell>
        </row>
        <row r="2073">
          <cell r="A2073" t="str">
            <v>ON</v>
          </cell>
          <cell r="B2073" t="str">
            <v>Trong 24h</v>
          </cell>
          <cell r="D2073" t="str">
            <v>Khiếu nại về dịch vụ FTTH</v>
          </cell>
          <cell r="W2073" t="str">
            <v>Đang xử lý</v>
          </cell>
          <cell r="AJ2073" t="str">
            <v>Thừa Thiên Huế</v>
          </cell>
          <cell r="BX2073" t="str">
            <v>AON</v>
          </cell>
        </row>
        <row r="2074">
          <cell r="A2074" t="str">
            <v>ON</v>
          </cell>
          <cell r="B2074" t="str">
            <v>Trong 24h</v>
          </cell>
          <cell r="D2074" t="str">
            <v>Khiếu nại về dịch vụ FTTH</v>
          </cell>
          <cell r="W2074" t="str">
            <v>Đang xử lý</v>
          </cell>
          <cell r="AJ2074" t="str">
            <v xml:space="preserve">Đắc Lắk </v>
          </cell>
          <cell r="BX2074" t="str">
            <v>AON</v>
          </cell>
        </row>
        <row r="2075">
          <cell r="A2075" t="str">
            <v>ON</v>
          </cell>
          <cell r="B2075" t="str">
            <v>Trong 24h</v>
          </cell>
          <cell r="D2075" t="str">
            <v>Khiếu nại về dịch vụ FTTH</v>
          </cell>
          <cell r="W2075" t="str">
            <v>Đang xử lý</v>
          </cell>
          <cell r="AJ2075" t="str">
            <v>TP HCM</v>
          </cell>
          <cell r="BX2075" t="str">
            <v>AON</v>
          </cell>
        </row>
        <row r="2076">
          <cell r="A2076" t="str">
            <v>ON</v>
          </cell>
          <cell r="B2076" t="str">
            <v>Trong 24h</v>
          </cell>
          <cell r="D2076" t="str">
            <v>Khiếu nại về dịch vụ FTTH</v>
          </cell>
          <cell r="W2076" t="str">
            <v>Đã đóng</v>
          </cell>
          <cell r="AJ2076" t="str">
            <v>Hà Giang</v>
          </cell>
          <cell r="BX2076" t="str">
            <v>AON</v>
          </cell>
        </row>
        <row r="2077">
          <cell r="A2077" t="str">
            <v>ON</v>
          </cell>
          <cell r="B2077" t="str">
            <v>Trong 24h</v>
          </cell>
          <cell r="D2077" t="str">
            <v>Khiếu nại về dịch vụ FTTH</v>
          </cell>
          <cell r="W2077" t="str">
            <v>Đang xử lý</v>
          </cell>
          <cell r="AJ2077" t="str">
            <v>Quảng Ninh</v>
          </cell>
          <cell r="BX2077" t="str">
            <v>AON</v>
          </cell>
        </row>
        <row r="2078">
          <cell r="A2078" t="str">
            <v>ON</v>
          </cell>
          <cell r="B2078" t="str">
            <v>Trong 24h</v>
          </cell>
          <cell r="D2078" t="str">
            <v>Khiếu nại về dịch vụ NextTV</v>
          </cell>
          <cell r="W2078" t="str">
            <v>Đang xử lý</v>
          </cell>
          <cell r="AJ2078" t="str">
            <v>TP HCM</v>
          </cell>
          <cell r="BX2078" t="str">
            <v>AON</v>
          </cell>
        </row>
        <row r="2079">
          <cell r="A2079" t="str">
            <v>ON</v>
          </cell>
          <cell r="B2079" t="str">
            <v>Trong 24h</v>
          </cell>
          <cell r="D2079" t="str">
            <v>Khiếu nại về dịch vụ NextTV</v>
          </cell>
          <cell r="W2079" t="str">
            <v>Đang xử lý</v>
          </cell>
          <cell r="AJ2079" t="str">
            <v>Nghệ An</v>
          </cell>
          <cell r="BX2079" t="str">
            <v>AON</v>
          </cell>
        </row>
        <row r="2080">
          <cell r="A2080" t="str">
            <v>ON</v>
          </cell>
          <cell r="B2080" t="str">
            <v>Trong 24h</v>
          </cell>
          <cell r="D2080" t="str">
            <v>Khiếu nại về dịch vụ FTTH</v>
          </cell>
          <cell r="W2080" t="str">
            <v>Đang xử lý</v>
          </cell>
          <cell r="AJ2080" t="str">
            <v>Hà Nội 2</v>
          </cell>
          <cell r="BX2080" t="str">
            <v>AON</v>
          </cell>
        </row>
        <row r="2081">
          <cell r="A2081" t="str">
            <v>ON</v>
          </cell>
          <cell r="B2081" t="str">
            <v>Trong 24h</v>
          </cell>
          <cell r="D2081" t="str">
            <v>Khiếu nại về dịch vụ FTTH</v>
          </cell>
          <cell r="W2081" t="str">
            <v>Đang xử lý</v>
          </cell>
          <cell r="AJ2081" t="str">
            <v>Bạc Liêu</v>
          </cell>
          <cell r="BX2081" t="str">
            <v>AON</v>
          </cell>
        </row>
        <row r="2082">
          <cell r="A2082" t="str">
            <v>ON</v>
          </cell>
          <cell r="B2082" t="str">
            <v>Trong 24h</v>
          </cell>
          <cell r="D2082" t="str">
            <v>Khiếu nại về dịch vụ FTTH</v>
          </cell>
          <cell r="W2082" t="str">
            <v>Đã đóng</v>
          </cell>
          <cell r="AJ2082" t="str">
            <v>Hậu Giang</v>
          </cell>
          <cell r="BX2082" t="str">
            <v>AON</v>
          </cell>
        </row>
        <row r="2083">
          <cell r="A2083" t="str">
            <v>ON</v>
          </cell>
          <cell r="B2083" t="str">
            <v>Trong 24h</v>
          </cell>
          <cell r="D2083" t="str">
            <v>Khiếu nại về dịch vụ FTTH</v>
          </cell>
          <cell r="W2083" t="str">
            <v>Đã đóng</v>
          </cell>
          <cell r="AJ2083" t="str">
            <v>Bắc Ninh</v>
          </cell>
          <cell r="BX2083" t="str">
            <v>AON</v>
          </cell>
        </row>
        <row r="2084">
          <cell r="A2084" t="str">
            <v>ON</v>
          </cell>
          <cell r="B2084" t="str">
            <v>Trong 24h</v>
          </cell>
          <cell r="D2084" t="str">
            <v>Khiếu nại về dịch vụ FTTH</v>
          </cell>
          <cell r="W2084" t="str">
            <v>Đã đóng</v>
          </cell>
          <cell r="AJ2084" t="str">
            <v>Hậu Giang</v>
          </cell>
          <cell r="BX2084" t="str">
            <v>AON</v>
          </cell>
        </row>
        <row r="2085">
          <cell r="A2085" t="str">
            <v>ON</v>
          </cell>
          <cell r="B2085" t="str">
            <v>Trong 24h</v>
          </cell>
          <cell r="D2085" t="str">
            <v>Khiếu nại về dịch vụ NextTV</v>
          </cell>
          <cell r="W2085" t="str">
            <v>Đang xử lý</v>
          </cell>
          <cell r="AJ2085" t="str">
            <v>TP HCM</v>
          </cell>
          <cell r="BX2085" t="str">
            <v>AON</v>
          </cell>
        </row>
        <row r="2086">
          <cell r="A2086" t="str">
            <v>ON</v>
          </cell>
          <cell r="B2086" t="str">
            <v>Trong 24h</v>
          </cell>
          <cell r="D2086" t="str">
            <v>Khiếu nại về dịch vụ FTTH</v>
          </cell>
          <cell r="W2086" t="str">
            <v>Đã đóng</v>
          </cell>
          <cell r="AJ2086" t="str">
            <v>Hà Nội 1</v>
          </cell>
          <cell r="BX2086" t="str">
            <v>AON</v>
          </cell>
        </row>
        <row r="2087">
          <cell r="A2087" t="str">
            <v>ON</v>
          </cell>
          <cell r="B2087" t="str">
            <v>Trong 24h</v>
          </cell>
          <cell r="D2087" t="str">
            <v>Khiếu nại về dịch vụ FTTH</v>
          </cell>
          <cell r="W2087" t="str">
            <v>Đang xử lý</v>
          </cell>
          <cell r="AJ2087" t="str">
            <v>TP HCM</v>
          </cell>
          <cell r="BX2087" t="str">
            <v>AON</v>
          </cell>
        </row>
        <row r="2088">
          <cell r="A2088" t="str">
            <v>ON</v>
          </cell>
          <cell r="B2088" t="str">
            <v>Trong 24h</v>
          </cell>
          <cell r="D2088" t="str">
            <v>Khiếu nại về dịch vụ FTTH</v>
          </cell>
          <cell r="W2088" t="str">
            <v>Đang xử lý</v>
          </cell>
          <cell r="AJ2088" t="str">
            <v>Ninh Thuận</v>
          </cell>
          <cell r="BX2088" t="str">
            <v>AON</v>
          </cell>
        </row>
        <row r="2089">
          <cell r="A2089" t="str">
            <v>ON</v>
          </cell>
          <cell r="B2089" t="str">
            <v>Trong 24h</v>
          </cell>
          <cell r="D2089" t="str">
            <v>Khiếu nại về dịch vụ FTTH</v>
          </cell>
          <cell r="W2089" t="str">
            <v>Đang xử lý</v>
          </cell>
          <cell r="AJ2089" t="str">
            <v>Thái Nguyên</v>
          </cell>
          <cell r="BX2089" t="str">
            <v>AON</v>
          </cell>
        </row>
        <row r="2090">
          <cell r="A2090" t="str">
            <v>ON</v>
          </cell>
          <cell r="B2090" t="str">
            <v>Trong 24h</v>
          </cell>
          <cell r="D2090" t="str">
            <v>Khiếu nại về dịch vụ NextTV</v>
          </cell>
          <cell r="W2090" t="str">
            <v>Đang xử lý</v>
          </cell>
          <cell r="AJ2090" t="str">
            <v>TP HCM</v>
          </cell>
          <cell r="BX2090" t="str">
            <v>AON</v>
          </cell>
        </row>
        <row r="2091">
          <cell r="A2091" t="str">
            <v>ON</v>
          </cell>
          <cell r="B2091" t="str">
            <v>Trong 24h</v>
          </cell>
          <cell r="D2091" t="str">
            <v>Khiếu nại về dịch vụ FTTH</v>
          </cell>
          <cell r="W2091" t="str">
            <v>Đã đóng</v>
          </cell>
          <cell r="AJ2091" t="str">
            <v>Bắc Ninh</v>
          </cell>
          <cell r="BX2091" t="str">
            <v>AON</v>
          </cell>
        </row>
        <row r="2092">
          <cell r="A2092" t="str">
            <v>ON</v>
          </cell>
          <cell r="B2092" t="str">
            <v>Trong 24h</v>
          </cell>
          <cell r="D2092" t="str">
            <v>Khiếu nại về dịch vụ FTTH</v>
          </cell>
          <cell r="W2092" t="str">
            <v>Đang xử lý</v>
          </cell>
          <cell r="AJ2092" t="str">
            <v>Bến Tre</v>
          </cell>
          <cell r="BX2092" t="str">
            <v>AON</v>
          </cell>
        </row>
        <row r="2093">
          <cell r="A2093" t="str">
            <v>ON</v>
          </cell>
          <cell r="B2093" t="str">
            <v>Trong 24h</v>
          </cell>
          <cell r="D2093" t="str">
            <v>Khiếu nại về dịch vụ FTTH</v>
          </cell>
          <cell r="W2093" t="str">
            <v>Đang xử lý</v>
          </cell>
          <cell r="AJ2093" t="str">
            <v>TP HCM</v>
          </cell>
          <cell r="BX2093" t="str">
            <v>AON</v>
          </cell>
        </row>
        <row r="2094">
          <cell r="A2094" t="str">
            <v>ON</v>
          </cell>
          <cell r="B2094" t="str">
            <v>Trong 24h</v>
          </cell>
          <cell r="D2094" t="str">
            <v>Khiếu nại về dịch vụ FTTH</v>
          </cell>
          <cell r="W2094" t="str">
            <v>Đang xử lý</v>
          </cell>
          <cell r="AJ2094" t="str">
            <v>Thừa Thiên Huế</v>
          </cell>
          <cell r="BX2094" t="str">
            <v>AON</v>
          </cell>
        </row>
        <row r="2095">
          <cell r="A2095" t="str">
            <v>ON</v>
          </cell>
          <cell r="B2095" t="str">
            <v>Trong 24h</v>
          </cell>
          <cell r="D2095" t="str">
            <v>Khiếu nại về dịch vụ FTTH</v>
          </cell>
          <cell r="W2095" t="str">
            <v>Đã đóng</v>
          </cell>
          <cell r="AJ2095" t="str">
            <v>Yên Bái</v>
          </cell>
          <cell r="BX2095" t="str">
            <v>AON</v>
          </cell>
        </row>
        <row r="2096">
          <cell r="A2096" t="str">
            <v>ON</v>
          </cell>
          <cell r="B2096" t="str">
            <v>Trong 24h</v>
          </cell>
          <cell r="D2096" t="str">
            <v>Khiếu nại về dịch vụ NextTV</v>
          </cell>
          <cell r="W2096" t="str">
            <v>Đang xử lý</v>
          </cell>
          <cell r="AJ2096" t="str">
            <v>Hà Nội 2</v>
          </cell>
          <cell r="BX2096" t="str">
            <v>AON</v>
          </cell>
        </row>
        <row r="2097">
          <cell r="A2097" t="str">
            <v>ON</v>
          </cell>
          <cell r="B2097" t="str">
            <v>Trong 24h</v>
          </cell>
          <cell r="D2097" t="str">
            <v>Khiếu nại về dịch vụ FTTH</v>
          </cell>
          <cell r="W2097" t="str">
            <v>Đã đóng</v>
          </cell>
          <cell r="AJ2097" t="str">
            <v>Yên Bái</v>
          </cell>
          <cell r="BX2097" t="str">
            <v>AON</v>
          </cell>
        </row>
        <row r="2098">
          <cell r="A2098" t="str">
            <v>ON</v>
          </cell>
          <cell r="B2098" t="str">
            <v>Trong 24h</v>
          </cell>
          <cell r="D2098" t="str">
            <v>Khiếu nại về dịch vụ FTTH</v>
          </cell>
          <cell r="W2098" t="str">
            <v>Đang xử lý</v>
          </cell>
          <cell r="AJ2098" t="str">
            <v>Quảng Ninh</v>
          </cell>
          <cell r="BX2098" t="str">
            <v>AON</v>
          </cell>
        </row>
        <row r="2099">
          <cell r="A2099" t="str">
            <v>ON</v>
          </cell>
          <cell r="B2099" t="str">
            <v>Trong 24h</v>
          </cell>
          <cell r="D2099" t="str">
            <v>Khiếu nại về dịch vụ FTTH</v>
          </cell>
          <cell r="W2099" t="str">
            <v>Đã đóng</v>
          </cell>
          <cell r="AJ2099" t="str">
            <v>Bình Phước</v>
          </cell>
          <cell r="BX2099" t="str">
            <v>AON</v>
          </cell>
        </row>
        <row r="2100">
          <cell r="A2100" t="str">
            <v>ON</v>
          </cell>
          <cell r="B2100" t="str">
            <v>Trong 24h</v>
          </cell>
          <cell r="D2100" t="str">
            <v>Khiếu nại về dịch vụ FTTH</v>
          </cell>
          <cell r="W2100" t="str">
            <v>Đã đóng</v>
          </cell>
          <cell r="AJ2100" t="str">
            <v>TP HCM</v>
          </cell>
          <cell r="BX2100" t="str">
            <v>AON</v>
          </cell>
        </row>
        <row r="2101">
          <cell r="A2101" t="str">
            <v>ON</v>
          </cell>
          <cell r="B2101" t="str">
            <v>Trong 24h</v>
          </cell>
          <cell r="D2101" t="str">
            <v>Khiếu nại về dịch vụ FTTH</v>
          </cell>
          <cell r="W2101" t="str">
            <v>Đang xử lý</v>
          </cell>
          <cell r="AJ2101" t="str">
            <v>Long An</v>
          </cell>
          <cell r="BX2101" t="str">
            <v>AON</v>
          </cell>
        </row>
        <row r="2102">
          <cell r="A2102" t="str">
            <v>ON</v>
          </cell>
          <cell r="B2102" t="str">
            <v>Trong 24h</v>
          </cell>
          <cell r="D2102" t="str">
            <v>Khiếu nại về dịch vụ NextTV</v>
          </cell>
          <cell r="W2102" t="str">
            <v>Đang xử lý</v>
          </cell>
          <cell r="AJ2102" t="str">
            <v>Bình Thuận</v>
          </cell>
          <cell r="BX2102" t="str">
            <v>AON</v>
          </cell>
        </row>
        <row r="2103">
          <cell r="A2103" t="str">
            <v>ON</v>
          </cell>
          <cell r="B2103" t="str">
            <v>Trong 24h</v>
          </cell>
          <cell r="D2103" t="str">
            <v>Khiếu nại về dịch vụ FTTH</v>
          </cell>
          <cell r="W2103" t="str">
            <v>Đang xử lý</v>
          </cell>
          <cell r="AJ2103" t="str">
            <v>Kiên Giang</v>
          </cell>
          <cell r="BX2103" t="str">
            <v>AON</v>
          </cell>
        </row>
        <row r="2104">
          <cell r="A2104" t="str">
            <v>ON</v>
          </cell>
          <cell r="B2104" t="str">
            <v>Trong 24h</v>
          </cell>
          <cell r="D2104" t="str">
            <v>Khiếu nại về dịch vụ FTTH</v>
          </cell>
          <cell r="W2104" t="str">
            <v>Đã đóng</v>
          </cell>
          <cell r="AJ2104" t="str">
            <v>Hà Nội 2</v>
          </cell>
          <cell r="BX2104" t="str">
            <v>AON</v>
          </cell>
        </row>
        <row r="2105">
          <cell r="A2105" t="str">
            <v>ON</v>
          </cell>
          <cell r="B2105" t="str">
            <v>Trong 24h</v>
          </cell>
          <cell r="D2105" t="str">
            <v>Khiếu nại về dịch vụ FTTH</v>
          </cell>
          <cell r="W2105" t="str">
            <v>Đã đóng</v>
          </cell>
          <cell r="AJ2105" t="str">
            <v>Bắc Giang</v>
          </cell>
          <cell r="BX2105" t="str">
            <v>AON</v>
          </cell>
        </row>
        <row r="2106">
          <cell r="A2106" t="str">
            <v>ON</v>
          </cell>
          <cell r="B2106" t="str">
            <v>Trong 24h</v>
          </cell>
          <cell r="D2106" t="str">
            <v>Khiếu nại về dịch vụ FTTH</v>
          </cell>
          <cell r="W2106" t="str">
            <v>Đã đóng</v>
          </cell>
          <cell r="AJ2106" t="str">
            <v>Khánh Hoà</v>
          </cell>
          <cell r="BX2106" t="str">
            <v>AON</v>
          </cell>
        </row>
        <row r="2107">
          <cell r="A2107" t="str">
            <v>ON</v>
          </cell>
          <cell r="B2107" t="str">
            <v>Trong 24h</v>
          </cell>
          <cell r="D2107" t="str">
            <v>Khiếu nại về dịch vụ FTTH</v>
          </cell>
          <cell r="W2107" t="str">
            <v>Đã đóng</v>
          </cell>
          <cell r="AJ2107" t="str">
            <v>Nghệ An</v>
          </cell>
          <cell r="BX2107" t="str">
            <v>AON</v>
          </cell>
        </row>
        <row r="2108">
          <cell r="A2108" t="str">
            <v>ON</v>
          </cell>
          <cell r="B2108" t="str">
            <v>Trong 24h</v>
          </cell>
          <cell r="D2108" t="str">
            <v>Khiếu nại về dịch vụ FTTH</v>
          </cell>
          <cell r="W2108" t="str">
            <v>Đang xử lý</v>
          </cell>
          <cell r="AJ2108" t="str">
            <v>Nam Định</v>
          </cell>
          <cell r="BX2108" t="str">
            <v>AON</v>
          </cell>
        </row>
        <row r="2109">
          <cell r="A2109" t="str">
            <v>ON</v>
          </cell>
          <cell r="B2109" t="str">
            <v>Trong 24h</v>
          </cell>
          <cell r="D2109" t="str">
            <v>Khiếu nại về dịch vụ FTTH</v>
          </cell>
          <cell r="W2109" t="str">
            <v>Đã đóng</v>
          </cell>
          <cell r="AJ2109" t="str">
            <v>Hưng Yên</v>
          </cell>
          <cell r="BX2109" t="str">
            <v>AON</v>
          </cell>
        </row>
        <row r="2110">
          <cell r="A2110" t="str">
            <v>ON</v>
          </cell>
          <cell r="B2110" t="str">
            <v>Trong 24h</v>
          </cell>
          <cell r="D2110" t="str">
            <v>Khiếu nại về dịch vụ FTTH</v>
          </cell>
          <cell r="W2110" t="str">
            <v>Đang xử lý</v>
          </cell>
          <cell r="AJ2110" t="str">
            <v>TP HCM</v>
          </cell>
          <cell r="BX2110" t="str">
            <v>AON</v>
          </cell>
        </row>
        <row r="2111">
          <cell r="A2111" t="str">
            <v>ON</v>
          </cell>
          <cell r="B2111" t="str">
            <v>Trong 24h</v>
          </cell>
          <cell r="D2111" t="str">
            <v>Khiếu nại về dịch vụ FTTH</v>
          </cell>
          <cell r="W2111" t="str">
            <v>Đang xử lý</v>
          </cell>
          <cell r="AJ2111" t="str">
            <v>Nghệ An</v>
          </cell>
          <cell r="BX2111" t="str">
            <v>AON</v>
          </cell>
        </row>
        <row r="2112">
          <cell r="A2112" t="str">
            <v>ON</v>
          </cell>
          <cell r="B2112" t="str">
            <v>Trong 24h</v>
          </cell>
          <cell r="D2112" t="str">
            <v>Khiếu nại về dịch vụ NextTV</v>
          </cell>
          <cell r="W2112" t="str">
            <v>Đã đóng</v>
          </cell>
          <cell r="AJ2112" t="str">
            <v>Hậu Giang</v>
          </cell>
          <cell r="BX2112" t="str">
            <v>AON</v>
          </cell>
        </row>
        <row r="2113">
          <cell r="A2113" t="str">
            <v>ON</v>
          </cell>
          <cell r="B2113" t="str">
            <v>Trong 24h</v>
          </cell>
          <cell r="D2113" t="str">
            <v>Khiếu nại về dịch vụ FTTH</v>
          </cell>
          <cell r="W2113" t="str">
            <v>Đã đóng</v>
          </cell>
          <cell r="AJ2113" t="str">
            <v>TP HCM</v>
          </cell>
          <cell r="BX2113" t="str">
            <v>GPON</v>
          </cell>
        </row>
        <row r="2114">
          <cell r="A2114" t="str">
            <v>ON</v>
          </cell>
          <cell r="B2114" t="str">
            <v>Trong 24h</v>
          </cell>
          <cell r="D2114" t="str">
            <v>Khiếu nại về dịch vụ FTTH</v>
          </cell>
          <cell r="W2114" t="str">
            <v>Đang xử lý</v>
          </cell>
          <cell r="AJ2114" t="str">
            <v>Lào Cai</v>
          </cell>
          <cell r="BX2114" t="str">
            <v>AON</v>
          </cell>
        </row>
        <row r="2115">
          <cell r="A2115" t="str">
            <v>ON</v>
          </cell>
          <cell r="B2115" t="str">
            <v>Trong 24h</v>
          </cell>
          <cell r="D2115" t="str">
            <v>Khiếu nại về dịch vụ FTTH</v>
          </cell>
          <cell r="W2115" t="str">
            <v>Đã đóng</v>
          </cell>
          <cell r="AJ2115" t="str">
            <v>Điện Biên</v>
          </cell>
          <cell r="BX2115" t="str">
            <v>AON</v>
          </cell>
        </row>
        <row r="2116">
          <cell r="A2116" t="str">
            <v>ON</v>
          </cell>
          <cell r="B2116" t="str">
            <v>Trong 24h</v>
          </cell>
          <cell r="D2116" t="str">
            <v>Khiếu nại về dịch vụ FTTH</v>
          </cell>
          <cell r="W2116" t="str">
            <v>Đang xử lý</v>
          </cell>
          <cell r="AJ2116" t="str">
            <v>Thanh Hoá</v>
          </cell>
          <cell r="BX2116" t="str">
            <v>AON</v>
          </cell>
        </row>
        <row r="2117">
          <cell r="A2117" t="str">
            <v>ON</v>
          </cell>
          <cell r="B2117" t="str">
            <v>Trong 24h</v>
          </cell>
          <cell r="D2117" t="str">
            <v>Khiếu nại về dịch vụ FTTH</v>
          </cell>
          <cell r="W2117" t="str">
            <v>Đã đóng</v>
          </cell>
          <cell r="AJ2117" t="str">
            <v>TP HCM</v>
          </cell>
          <cell r="BX2117" t="str">
            <v>AON</v>
          </cell>
        </row>
        <row r="2118">
          <cell r="A2118" t="str">
            <v>ON</v>
          </cell>
          <cell r="B2118" t="str">
            <v>Trong 24h</v>
          </cell>
          <cell r="D2118" t="str">
            <v>Khiếu nại về dịch vụ FTTH</v>
          </cell>
          <cell r="W2118" t="str">
            <v>Đã đóng</v>
          </cell>
          <cell r="AJ2118" t="str">
            <v>Nghệ An</v>
          </cell>
          <cell r="BX2118" t="str">
            <v>AON</v>
          </cell>
        </row>
        <row r="2119">
          <cell r="A2119" t="str">
            <v>ON</v>
          </cell>
          <cell r="B2119" t="str">
            <v>Trong 24h</v>
          </cell>
          <cell r="D2119" t="str">
            <v>Khiếu nại về dịch vụ FTTH</v>
          </cell>
          <cell r="W2119" t="str">
            <v>Đã đóng</v>
          </cell>
          <cell r="AJ2119" t="str">
            <v>TP HCM</v>
          </cell>
          <cell r="BX2119" t="str">
            <v>GPON</v>
          </cell>
        </row>
        <row r="2120">
          <cell r="A2120" t="str">
            <v>ON</v>
          </cell>
          <cell r="B2120" t="str">
            <v>Trong 24h</v>
          </cell>
          <cell r="D2120" t="str">
            <v>Khiếu nại về dịch vụ FTTH</v>
          </cell>
          <cell r="W2120" t="str">
            <v>Đang xử lý</v>
          </cell>
          <cell r="AJ2120" t="str">
            <v>Hà Nam</v>
          </cell>
          <cell r="BX2120" t="str">
            <v>AON</v>
          </cell>
        </row>
        <row r="2121">
          <cell r="A2121" t="str">
            <v>ON</v>
          </cell>
          <cell r="B2121" t="str">
            <v>Trong 24h</v>
          </cell>
          <cell r="D2121" t="str">
            <v>Khiếu nại về dịch vụ FTTH</v>
          </cell>
          <cell r="W2121" t="str">
            <v>Đang xử lý</v>
          </cell>
          <cell r="AJ2121" t="str">
            <v>TP HCM</v>
          </cell>
          <cell r="BX2121" t="str">
            <v>AON</v>
          </cell>
        </row>
        <row r="2122">
          <cell r="A2122" t="str">
            <v>ON</v>
          </cell>
          <cell r="B2122" t="str">
            <v>Trong 24h</v>
          </cell>
          <cell r="D2122" t="str">
            <v>Khiếu nại về dịch vụ FTTH</v>
          </cell>
          <cell r="W2122" t="str">
            <v>Đang xử lý</v>
          </cell>
          <cell r="AJ2122" t="str">
            <v>TP HCM</v>
          </cell>
          <cell r="BX2122" t="str">
            <v>AON</v>
          </cell>
        </row>
        <row r="2123">
          <cell r="A2123" t="str">
            <v>ON</v>
          </cell>
          <cell r="B2123" t="str">
            <v>Trong 24h</v>
          </cell>
          <cell r="D2123" t="str">
            <v>Khiếu nại về dịch vụ FTTH</v>
          </cell>
          <cell r="W2123" t="str">
            <v>Đang xử lý</v>
          </cell>
          <cell r="AJ2123" t="str">
            <v>Nam Định</v>
          </cell>
          <cell r="BX2123" t="str">
            <v>AON</v>
          </cell>
        </row>
        <row r="2124">
          <cell r="A2124" t="str">
            <v>ON</v>
          </cell>
          <cell r="B2124" t="str">
            <v>Trong 24h</v>
          </cell>
          <cell r="D2124" t="str">
            <v>Khiếu nại về dịch vụ FTTH</v>
          </cell>
          <cell r="W2124" t="str">
            <v>Đang xử lý</v>
          </cell>
          <cell r="AJ2124" t="str">
            <v>Hậu Giang</v>
          </cell>
          <cell r="BX2124" t="str">
            <v>AON</v>
          </cell>
        </row>
        <row r="2125">
          <cell r="A2125" t="str">
            <v>ON</v>
          </cell>
          <cell r="B2125" t="str">
            <v>Trong 24h</v>
          </cell>
          <cell r="D2125" t="str">
            <v>Khiếu nại về dịch vụ FTTH</v>
          </cell>
          <cell r="W2125" t="str">
            <v>Đang xử lý</v>
          </cell>
          <cell r="AJ2125" t="str">
            <v>Long An</v>
          </cell>
          <cell r="BX2125" t="str">
            <v>AON</v>
          </cell>
        </row>
        <row r="2126">
          <cell r="A2126" t="str">
            <v>ON</v>
          </cell>
          <cell r="B2126" t="str">
            <v>Trong 24h</v>
          </cell>
          <cell r="D2126" t="str">
            <v>Khiếu nại về dịch vụ FTTH</v>
          </cell>
          <cell r="W2126" t="str">
            <v>Đang xử lý</v>
          </cell>
          <cell r="AJ2126" t="str">
            <v>Cà Mau</v>
          </cell>
          <cell r="BX2126" t="str">
            <v>AON</v>
          </cell>
        </row>
        <row r="2127">
          <cell r="A2127" t="str">
            <v>ON</v>
          </cell>
          <cell r="B2127" t="str">
            <v>Trong 24h</v>
          </cell>
          <cell r="D2127" t="str">
            <v>Khiếu nại về dịch vụ FTTH</v>
          </cell>
          <cell r="W2127" t="str">
            <v>Đã đóng</v>
          </cell>
          <cell r="AJ2127" t="str">
            <v>Thanh Hoá</v>
          </cell>
          <cell r="BX2127" t="str">
            <v>AON</v>
          </cell>
        </row>
        <row r="2128">
          <cell r="A2128" t="str">
            <v>ON</v>
          </cell>
          <cell r="B2128" t="str">
            <v>Trong 24h</v>
          </cell>
          <cell r="D2128" t="str">
            <v>Khiếu nại về dịch vụ FTTH</v>
          </cell>
          <cell r="W2128" t="str">
            <v>Đã đóng</v>
          </cell>
          <cell r="AJ2128" t="str">
            <v>Bình Phước</v>
          </cell>
          <cell r="BX2128" t="str">
            <v>AON</v>
          </cell>
        </row>
        <row r="2129">
          <cell r="A2129" t="str">
            <v>ON</v>
          </cell>
          <cell r="B2129" t="str">
            <v>Trong 24h</v>
          </cell>
          <cell r="D2129" t="str">
            <v>Khiếu nại về dịch vụ FTTH</v>
          </cell>
          <cell r="W2129" t="str">
            <v>Đã đóng</v>
          </cell>
          <cell r="AJ2129" t="str">
            <v>Thanh Hoá</v>
          </cell>
          <cell r="BX2129" t="str">
            <v>AON</v>
          </cell>
        </row>
        <row r="2130">
          <cell r="A2130" t="str">
            <v>ON</v>
          </cell>
          <cell r="B2130" t="str">
            <v>Trong 24h</v>
          </cell>
          <cell r="D2130" t="str">
            <v>Khiếu nại về dịch vụ FTTH</v>
          </cell>
          <cell r="W2130" t="str">
            <v>Đang xử lý</v>
          </cell>
          <cell r="AJ2130" t="str">
            <v>Hải Phòng</v>
          </cell>
          <cell r="BX2130" t="str">
            <v>AON</v>
          </cell>
        </row>
        <row r="2131">
          <cell r="A2131" t="str">
            <v>ON</v>
          </cell>
          <cell r="B2131" t="str">
            <v>Trong 24h</v>
          </cell>
          <cell r="D2131" t="str">
            <v>Khiếu nại về dịch vụ FTTH</v>
          </cell>
          <cell r="W2131" t="str">
            <v>Đang xử lý</v>
          </cell>
          <cell r="AJ2131" t="str">
            <v>Hậu Giang</v>
          </cell>
          <cell r="BX2131" t="str">
            <v>AON</v>
          </cell>
        </row>
        <row r="2132">
          <cell r="A2132" t="str">
            <v>ON</v>
          </cell>
          <cell r="B2132" t="str">
            <v>Trong 24h</v>
          </cell>
          <cell r="D2132" t="str">
            <v>Khiếu nại về dịch vụ FTTH</v>
          </cell>
          <cell r="W2132" t="str">
            <v>Đã đóng</v>
          </cell>
          <cell r="AJ2132" t="str">
            <v>Thanh Hoá</v>
          </cell>
          <cell r="BX2132" t="str">
            <v>AON</v>
          </cell>
        </row>
        <row r="2133">
          <cell r="A2133" t="str">
            <v>ON</v>
          </cell>
          <cell r="B2133" t="str">
            <v>Trong 24h</v>
          </cell>
          <cell r="D2133" t="str">
            <v>Khiếu nại về dịch vụ FTTH</v>
          </cell>
          <cell r="W2133" t="str">
            <v>Đang xử lý</v>
          </cell>
          <cell r="AJ2133" t="str">
            <v>Quảng Ninh</v>
          </cell>
          <cell r="BX2133" t="str">
            <v>AON</v>
          </cell>
        </row>
        <row r="2134">
          <cell r="A2134" t="str">
            <v>ON</v>
          </cell>
          <cell r="B2134" t="str">
            <v>Trong 24h</v>
          </cell>
          <cell r="D2134" t="str">
            <v>Khiếu nại về dịch vụ FTTH</v>
          </cell>
          <cell r="W2134" t="str">
            <v>Đang xử lý</v>
          </cell>
          <cell r="AJ2134" t="str">
            <v>Bến Tre</v>
          </cell>
          <cell r="BX2134" t="str">
            <v>AON</v>
          </cell>
        </row>
        <row r="2135">
          <cell r="A2135" t="str">
            <v>ON</v>
          </cell>
          <cell r="B2135" t="str">
            <v>Trong 24h</v>
          </cell>
          <cell r="D2135" t="str">
            <v>Khiếu nại về dịch vụ FTTH</v>
          </cell>
          <cell r="W2135" t="str">
            <v>Đang xử lý</v>
          </cell>
          <cell r="AJ2135" t="str">
            <v>TP HCM</v>
          </cell>
          <cell r="BX2135" t="str">
            <v>GPON</v>
          </cell>
        </row>
        <row r="2136">
          <cell r="A2136" t="str">
            <v>ON</v>
          </cell>
          <cell r="B2136" t="str">
            <v>Trong 24h</v>
          </cell>
          <cell r="D2136" t="str">
            <v>Khiếu nại về dịch vụ FTTH</v>
          </cell>
          <cell r="W2136" t="str">
            <v>Đang xử lý</v>
          </cell>
          <cell r="AJ2136" t="str">
            <v xml:space="preserve">Đồng Nai </v>
          </cell>
          <cell r="BX2136" t="str">
            <v>AON</v>
          </cell>
        </row>
        <row r="2137">
          <cell r="A2137" t="str">
            <v>ON</v>
          </cell>
          <cell r="B2137" t="str">
            <v>Trong 24h</v>
          </cell>
          <cell r="D2137" t="str">
            <v>Khiếu nại về dịch vụ FTTH</v>
          </cell>
          <cell r="W2137" t="str">
            <v>Đang xử lý</v>
          </cell>
          <cell r="AJ2137" t="str">
            <v>Hậu Giang</v>
          </cell>
          <cell r="BX2137" t="str">
            <v>AON</v>
          </cell>
        </row>
        <row r="2138">
          <cell r="A2138" t="str">
            <v>ON</v>
          </cell>
          <cell r="B2138" t="str">
            <v>Trong 24h</v>
          </cell>
          <cell r="D2138" t="str">
            <v>Khiếu nại về dịch vụ FTTH</v>
          </cell>
          <cell r="W2138" t="str">
            <v>Đang xử lý</v>
          </cell>
          <cell r="AJ2138" t="str">
            <v>Lâm Đồng</v>
          </cell>
          <cell r="BX2138" t="str">
            <v>AON</v>
          </cell>
        </row>
        <row r="2139">
          <cell r="A2139" t="str">
            <v>ON</v>
          </cell>
          <cell r="B2139" t="str">
            <v>Trong 24h</v>
          </cell>
          <cell r="D2139" t="str">
            <v>Khiếu nại về dịch vụ FTTH</v>
          </cell>
          <cell r="W2139" t="str">
            <v>Đang xử lý</v>
          </cell>
          <cell r="AJ2139" t="str">
            <v>TP HCM</v>
          </cell>
          <cell r="BX2139" t="str">
            <v>AON</v>
          </cell>
        </row>
        <row r="2140">
          <cell r="A2140" t="str">
            <v>ON</v>
          </cell>
          <cell r="B2140" t="str">
            <v>Trong 24h</v>
          </cell>
          <cell r="D2140" t="str">
            <v>Khiếu nại về dịch vụ FTTH</v>
          </cell>
          <cell r="W2140" t="str">
            <v>Đang xử lý</v>
          </cell>
          <cell r="AJ2140" t="str">
            <v xml:space="preserve">Hà Tĩnh </v>
          </cell>
          <cell r="BX2140" t="str">
            <v>AON</v>
          </cell>
        </row>
        <row r="2141">
          <cell r="A2141" t="str">
            <v>ON</v>
          </cell>
          <cell r="B2141" t="str">
            <v>Trong 24h</v>
          </cell>
          <cell r="D2141" t="str">
            <v>Khiếu nại về dịch vụ FTTH</v>
          </cell>
          <cell r="W2141" t="str">
            <v>Đang xử lý</v>
          </cell>
          <cell r="AJ2141" t="str">
            <v>Bắc Giang</v>
          </cell>
          <cell r="BX2141" t="str">
            <v>AON</v>
          </cell>
        </row>
        <row r="2142">
          <cell r="A2142" t="str">
            <v>ON</v>
          </cell>
          <cell r="B2142" t="str">
            <v>Trong 24h</v>
          </cell>
          <cell r="D2142" t="str">
            <v>Khiếu nại về dịch vụ FTTH</v>
          </cell>
          <cell r="W2142" t="str">
            <v>Đang xử lý</v>
          </cell>
          <cell r="AJ2142" t="str">
            <v xml:space="preserve">Đà Nẵng </v>
          </cell>
          <cell r="BX2142" t="str">
            <v>AON</v>
          </cell>
        </row>
        <row r="2143">
          <cell r="A2143" t="str">
            <v>ON</v>
          </cell>
          <cell r="B2143" t="str">
            <v>Trong 24h</v>
          </cell>
          <cell r="D2143" t="str">
            <v>Khiếu nại về dịch vụ FTTH</v>
          </cell>
          <cell r="W2143" t="str">
            <v>Đang xử lý</v>
          </cell>
          <cell r="AJ2143" t="str">
            <v>Hậu Giang</v>
          </cell>
          <cell r="BX2143" t="str">
            <v>AON</v>
          </cell>
        </row>
        <row r="2144">
          <cell r="A2144" t="str">
            <v>ON</v>
          </cell>
          <cell r="B2144" t="str">
            <v>Trong 24h</v>
          </cell>
          <cell r="D2144" t="str">
            <v>Khiếu nại về dịch vụ FTTH</v>
          </cell>
          <cell r="W2144" t="str">
            <v>Đang xử lý</v>
          </cell>
          <cell r="AJ2144" t="str">
            <v>Quảng Ninh</v>
          </cell>
          <cell r="BX2144" t="str">
            <v>AON</v>
          </cell>
        </row>
        <row r="2145">
          <cell r="A2145" t="str">
            <v>ON</v>
          </cell>
          <cell r="B2145" t="str">
            <v>Trong 24h</v>
          </cell>
          <cell r="D2145" t="str">
            <v>Khiếu nại về dịch vụ FTTH</v>
          </cell>
          <cell r="W2145" t="str">
            <v>Đã đóng</v>
          </cell>
          <cell r="AJ2145" t="str">
            <v>TP HCM</v>
          </cell>
          <cell r="BX2145" t="str">
            <v>AON</v>
          </cell>
        </row>
        <row r="2146">
          <cell r="A2146" t="str">
            <v>ON</v>
          </cell>
          <cell r="B2146" t="str">
            <v>Trong 24h</v>
          </cell>
          <cell r="D2146" t="str">
            <v>Khiếu nại về dịch vụ FTTH</v>
          </cell>
          <cell r="W2146" t="str">
            <v>Đang xử lý</v>
          </cell>
          <cell r="AJ2146" t="str">
            <v xml:space="preserve">Đà Nẵng </v>
          </cell>
          <cell r="BX2146" t="str">
            <v>AON</v>
          </cell>
        </row>
        <row r="2147">
          <cell r="A2147" t="str">
            <v>ON</v>
          </cell>
          <cell r="B2147" t="str">
            <v>Trong 24h</v>
          </cell>
          <cell r="D2147" t="str">
            <v>Khiếu nại về dịch vụ FTTH</v>
          </cell>
          <cell r="W2147" t="str">
            <v>Đang xử lý</v>
          </cell>
          <cell r="AJ2147" t="str">
            <v>Hà Nam</v>
          </cell>
          <cell r="BX2147" t="str">
            <v>AON</v>
          </cell>
        </row>
        <row r="2148">
          <cell r="A2148" t="str">
            <v>ON</v>
          </cell>
          <cell r="B2148" t="str">
            <v>Trong 24h</v>
          </cell>
          <cell r="D2148" t="str">
            <v>Khiếu nại về dịch vụ FTTH</v>
          </cell>
          <cell r="W2148" t="str">
            <v>Đang xử lý</v>
          </cell>
          <cell r="AJ2148" t="str">
            <v>TP HCM</v>
          </cell>
          <cell r="BX2148" t="str">
            <v>AON</v>
          </cell>
        </row>
        <row r="2149">
          <cell r="A2149" t="str">
            <v>ON</v>
          </cell>
          <cell r="B2149" t="str">
            <v>Trong 24h</v>
          </cell>
          <cell r="D2149" t="str">
            <v>Khiếu nại về dịch vụ FTTH</v>
          </cell>
          <cell r="W2149" t="str">
            <v>Đang xử lý</v>
          </cell>
          <cell r="AJ2149" t="str">
            <v>Hà Nội 1</v>
          </cell>
          <cell r="BX2149" t="str">
            <v>AON</v>
          </cell>
        </row>
        <row r="2150">
          <cell r="A2150" t="str">
            <v>ON</v>
          </cell>
          <cell r="B2150" t="str">
            <v>Trong 24h</v>
          </cell>
          <cell r="D2150" t="str">
            <v>Khiếu nại về dịch vụ FTTH</v>
          </cell>
          <cell r="W2150" t="str">
            <v>Đang xử lý</v>
          </cell>
          <cell r="AJ2150" t="str">
            <v xml:space="preserve">Đồng Nai </v>
          </cell>
          <cell r="BX2150" t="str">
            <v>AON</v>
          </cell>
        </row>
        <row r="2151">
          <cell r="A2151" t="str">
            <v>ON</v>
          </cell>
          <cell r="B2151" t="str">
            <v>Trong 24h</v>
          </cell>
          <cell r="D2151" t="str">
            <v>Khiếu nại về dịch vụ FTTH</v>
          </cell>
          <cell r="W2151" t="str">
            <v>Đang xử lý</v>
          </cell>
          <cell r="AJ2151" t="str">
            <v>Quảng Bình</v>
          </cell>
          <cell r="BX2151" t="str">
            <v>AON</v>
          </cell>
        </row>
        <row r="2152">
          <cell r="A2152" t="str">
            <v>ON</v>
          </cell>
          <cell r="B2152" t="str">
            <v>Trong 24h</v>
          </cell>
          <cell r="D2152" t="str">
            <v>Khiếu nại về dịch vụ FTTH</v>
          </cell>
          <cell r="W2152" t="str">
            <v>Đang xử lý</v>
          </cell>
          <cell r="AJ2152" t="str">
            <v>Hà Nội 1</v>
          </cell>
          <cell r="BX2152" t="str">
            <v>AON</v>
          </cell>
        </row>
        <row r="2153">
          <cell r="A2153" t="str">
            <v>ON</v>
          </cell>
          <cell r="B2153" t="str">
            <v>Trong 24h</v>
          </cell>
          <cell r="D2153" t="str">
            <v>Khiếu nại về dịch vụ FTTH</v>
          </cell>
          <cell r="W2153" t="str">
            <v>Đang xử lý</v>
          </cell>
          <cell r="AJ2153" t="str">
            <v>TP HCM</v>
          </cell>
          <cell r="BX2153" t="str">
            <v>AON</v>
          </cell>
        </row>
        <row r="2154">
          <cell r="A2154" t="str">
            <v>ON</v>
          </cell>
          <cell r="B2154" t="str">
            <v>Trong 24h</v>
          </cell>
          <cell r="D2154" t="str">
            <v>Khiếu nại về dịch vụ FTTH</v>
          </cell>
          <cell r="W2154" t="str">
            <v>Đang xử lý</v>
          </cell>
          <cell r="AJ2154" t="str">
            <v xml:space="preserve">Đắc Lắk </v>
          </cell>
          <cell r="BX2154" t="str">
            <v>AON</v>
          </cell>
        </row>
        <row r="2155">
          <cell r="A2155" t="str">
            <v>ON</v>
          </cell>
          <cell r="B2155" t="str">
            <v>Trong 24h</v>
          </cell>
          <cell r="D2155" t="str">
            <v>Khiếu nại về dịch vụ FTTH</v>
          </cell>
          <cell r="W2155" t="str">
            <v>Đã đóng</v>
          </cell>
          <cell r="AJ2155" t="str">
            <v>TP HCM</v>
          </cell>
          <cell r="BX2155" t="str">
            <v>AON</v>
          </cell>
        </row>
        <row r="2156">
          <cell r="A2156" t="str">
            <v>ON</v>
          </cell>
          <cell r="B2156" t="str">
            <v>Trong 24h</v>
          </cell>
          <cell r="D2156" t="str">
            <v>Khiếu nại về dịch vụ FTTH</v>
          </cell>
          <cell r="W2156" t="str">
            <v>Đang xử lý</v>
          </cell>
          <cell r="AJ2156" t="str">
            <v>Lâm Đồng</v>
          </cell>
          <cell r="BX2156" t="str">
            <v>AON</v>
          </cell>
        </row>
        <row r="2157">
          <cell r="A2157" t="str">
            <v>ON</v>
          </cell>
          <cell r="B2157" t="str">
            <v>Trong 24h</v>
          </cell>
          <cell r="D2157" t="str">
            <v>Khiếu nại về dịch vụ FTTH</v>
          </cell>
          <cell r="W2157" t="str">
            <v>Đang xử lý</v>
          </cell>
          <cell r="AJ2157" t="str">
            <v>Hà Nội 1</v>
          </cell>
          <cell r="BX2157" t="str">
            <v>AON</v>
          </cell>
        </row>
        <row r="2158">
          <cell r="A2158" t="str">
            <v>ON</v>
          </cell>
          <cell r="B2158" t="str">
            <v>Trong 24h</v>
          </cell>
          <cell r="D2158" t="str">
            <v>Khiếu nại về dịch vụ FTTH</v>
          </cell>
          <cell r="W2158" t="str">
            <v>Đang xử lý</v>
          </cell>
          <cell r="AJ2158" t="str">
            <v>Bình Dương</v>
          </cell>
          <cell r="BX2158" t="str">
            <v>AON</v>
          </cell>
        </row>
        <row r="2159">
          <cell r="A2159" t="str">
            <v>ON</v>
          </cell>
          <cell r="B2159" t="str">
            <v>Trong 24h</v>
          </cell>
          <cell r="D2159" t="str">
            <v>Khiếu nại về dịch vụ FTTH</v>
          </cell>
          <cell r="W2159" t="str">
            <v>Đang xử lý</v>
          </cell>
          <cell r="AJ2159" t="str">
            <v>Hậu Giang</v>
          </cell>
          <cell r="BX2159" t="str">
            <v>AON</v>
          </cell>
        </row>
        <row r="2160">
          <cell r="A2160" t="str">
            <v>ON</v>
          </cell>
          <cell r="B2160" t="str">
            <v>Trong 24h</v>
          </cell>
          <cell r="D2160" t="str">
            <v>Khiếu nại về dịch vụ FTTH</v>
          </cell>
          <cell r="W2160" t="str">
            <v>Đang xử lý</v>
          </cell>
          <cell r="AJ2160" t="str">
            <v>Bình Dương</v>
          </cell>
          <cell r="BX2160" t="str">
            <v>AON</v>
          </cell>
        </row>
        <row r="2161">
          <cell r="A2161" t="str">
            <v>ON</v>
          </cell>
          <cell r="B2161" t="str">
            <v>Trong 24h</v>
          </cell>
          <cell r="D2161" t="str">
            <v>Khiếu nại về dịch vụ FTTH</v>
          </cell>
          <cell r="W2161" t="str">
            <v>Đang xử lý</v>
          </cell>
          <cell r="AJ2161" t="str">
            <v xml:space="preserve">Đồng Nai </v>
          </cell>
          <cell r="BX2161" t="str">
            <v>AON</v>
          </cell>
        </row>
        <row r="2162">
          <cell r="A2162" t="str">
            <v>ON</v>
          </cell>
          <cell r="B2162" t="str">
            <v>Trong 24h</v>
          </cell>
          <cell r="D2162" t="str">
            <v>Khiếu nại về dịch vụ NextTV</v>
          </cell>
          <cell r="W2162" t="str">
            <v>Đang xử lý</v>
          </cell>
          <cell r="AJ2162" t="str">
            <v>Hậu Giang</v>
          </cell>
          <cell r="BX2162" t="str">
            <v>AON</v>
          </cell>
        </row>
        <row r="2163">
          <cell r="A2163" t="str">
            <v>ON</v>
          </cell>
          <cell r="B2163" t="str">
            <v>Trong 24h</v>
          </cell>
          <cell r="D2163" t="str">
            <v>Khiếu nại về dịch vụ FTTH</v>
          </cell>
          <cell r="W2163" t="str">
            <v>Đang xử lý</v>
          </cell>
          <cell r="AJ2163" t="str">
            <v>TP HCM</v>
          </cell>
          <cell r="BX2163" t="str">
            <v>AON</v>
          </cell>
        </row>
        <row r="2164">
          <cell r="A2164" t="str">
            <v>ON</v>
          </cell>
          <cell r="B2164" t="str">
            <v>Trong 24h</v>
          </cell>
          <cell r="D2164" t="str">
            <v>Khiếu nại về dịch vụ FTTH</v>
          </cell>
          <cell r="W2164" t="str">
            <v>Đang xử lý</v>
          </cell>
          <cell r="AJ2164" t="str">
            <v>Bình Dương</v>
          </cell>
          <cell r="BX2164" t="str">
            <v>AON</v>
          </cell>
        </row>
        <row r="2165">
          <cell r="A2165" t="str">
            <v>ON</v>
          </cell>
          <cell r="B2165" t="str">
            <v>Trong 24h</v>
          </cell>
          <cell r="D2165" t="str">
            <v>Khiếu nại về dịch vụ FTTH</v>
          </cell>
          <cell r="W2165" t="str">
            <v>Đang xử lý</v>
          </cell>
          <cell r="AJ2165" t="str">
            <v xml:space="preserve">Đắc Lắk </v>
          </cell>
          <cell r="BX2165" t="str">
            <v>AON</v>
          </cell>
        </row>
        <row r="2166">
          <cell r="A2166" t="str">
            <v>ON</v>
          </cell>
          <cell r="B2166" t="str">
            <v>Trong 24h</v>
          </cell>
          <cell r="D2166" t="str">
            <v>Khiếu nại về dịch vụ FTTH</v>
          </cell>
          <cell r="W2166" t="str">
            <v>Đang xử lý</v>
          </cell>
          <cell r="AJ2166" t="str">
            <v>Cần Thơ</v>
          </cell>
          <cell r="BX2166" t="str">
            <v>AON</v>
          </cell>
        </row>
        <row r="2167">
          <cell r="A2167" t="str">
            <v>ON</v>
          </cell>
          <cell r="B2167" t="str">
            <v>Trong 24h</v>
          </cell>
          <cell r="D2167" t="str">
            <v>Khiếu nại về dịch vụ FTTH</v>
          </cell>
          <cell r="W2167" t="str">
            <v>Đang xử lý</v>
          </cell>
          <cell r="AJ2167" t="str">
            <v>TP HCM</v>
          </cell>
          <cell r="BX2167" t="str">
            <v>AON</v>
          </cell>
        </row>
        <row r="2168">
          <cell r="A2168" t="str">
            <v>ON</v>
          </cell>
          <cell r="B2168" t="str">
            <v>Trong 24h</v>
          </cell>
          <cell r="D2168" t="str">
            <v>Khiếu nại về dịch vụ FTTH</v>
          </cell>
          <cell r="W2168" t="str">
            <v>Đang xử lý</v>
          </cell>
          <cell r="AJ2168" t="str">
            <v>Quảng Ninh</v>
          </cell>
          <cell r="BX2168" t="str">
            <v>AON</v>
          </cell>
        </row>
        <row r="2169">
          <cell r="A2169" t="str">
            <v>ON</v>
          </cell>
          <cell r="B2169" t="str">
            <v>Trong 24h</v>
          </cell>
          <cell r="D2169" t="str">
            <v>Khiếu nại về dịch vụ FTTH</v>
          </cell>
          <cell r="W2169" t="str">
            <v>Đang xử lý</v>
          </cell>
          <cell r="AJ2169" t="str">
            <v>Long An</v>
          </cell>
          <cell r="BX2169" t="str">
            <v>AON</v>
          </cell>
        </row>
        <row r="2170">
          <cell r="A2170" t="str">
            <v>ON</v>
          </cell>
          <cell r="B2170" t="str">
            <v>Trong 24h</v>
          </cell>
          <cell r="D2170" t="str">
            <v>Khiếu nại về dịch vụ FTTH</v>
          </cell>
          <cell r="W2170" t="str">
            <v>Đang xử lý</v>
          </cell>
          <cell r="AJ2170" t="str">
            <v>Hậu Giang</v>
          </cell>
          <cell r="BX2170" t="str">
            <v>AON</v>
          </cell>
        </row>
        <row r="2171">
          <cell r="A2171" t="str">
            <v>ON</v>
          </cell>
          <cell r="B2171" t="str">
            <v>Trong 24h</v>
          </cell>
          <cell r="D2171" t="str">
            <v>Khiếu nại về dịch vụ FTTH</v>
          </cell>
          <cell r="W2171" t="str">
            <v>Đang xử lý</v>
          </cell>
          <cell r="AJ2171" t="str">
            <v>Nam Định</v>
          </cell>
          <cell r="BX2171" t="str">
            <v>AON</v>
          </cell>
        </row>
        <row r="2172">
          <cell r="A2172" t="str">
            <v>ON</v>
          </cell>
          <cell r="B2172" t="str">
            <v>Trong 24h</v>
          </cell>
          <cell r="D2172" t="str">
            <v>Khiếu nại về dịch vụ FTTH</v>
          </cell>
          <cell r="W2172" t="str">
            <v>Đang xử lý</v>
          </cell>
          <cell r="AJ2172" t="str">
            <v>Hà Nam</v>
          </cell>
          <cell r="BX2172" t="str">
            <v>AON</v>
          </cell>
        </row>
        <row r="2173">
          <cell r="A2173" t="str">
            <v>ON</v>
          </cell>
          <cell r="B2173" t="str">
            <v>Trong 24h</v>
          </cell>
          <cell r="D2173" t="str">
            <v>Khiếu nại về dịch vụ FTTH</v>
          </cell>
          <cell r="W2173" t="str">
            <v>Đang xử lý</v>
          </cell>
          <cell r="AJ2173" t="str">
            <v>TP HCM</v>
          </cell>
          <cell r="BX2173" t="str">
            <v>AON</v>
          </cell>
        </row>
        <row r="2174">
          <cell r="A2174" t="str">
            <v>ON</v>
          </cell>
          <cell r="B2174" t="str">
            <v>Trong 24h</v>
          </cell>
          <cell r="D2174" t="str">
            <v>Khiếu nại về dịch vụ FTTH</v>
          </cell>
          <cell r="W2174" t="str">
            <v>Đang xử lý</v>
          </cell>
          <cell r="AJ2174" t="str">
            <v>Hà Nội 2</v>
          </cell>
          <cell r="BX2174" t="str">
            <v>AON</v>
          </cell>
        </row>
        <row r="2175">
          <cell r="A2175" t="str">
            <v>ON</v>
          </cell>
          <cell r="B2175" t="str">
            <v>Trong 24h</v>
          </cell>
          <cell r="D2175" t="str">
            <v>Khiếu nại về dịch vụ FTTH</v>
          </cell>
          <cell r="W2175" t="str">
            <v>Đang xử lý</v>
          </cell>
          <cell r="AJ2175" t="str">
            <v>Bắc Giang</v>
          </cell>
          <cell r="BX2175" t="str">
            <v>AON</v>
          </cell>
        </row>
        <row r="2176">
          <cell r="A2176" t="str">
            <v>ON</v>
          </cell>
          <cell r="B2176" t="str">
            <v>Trong 24h</v>
          </cell>
          <cell r="D2176" t="str">
            <v>Khiếu nại về dịch vụ FTTH</v>
          </cell>
          <cell r="W2176" t="str">
            <v>Đang xử lý</v>
          </cell>
          <cell r="AJ2176" t="str">
            <v>Quảng Ninh</v>
          </cell>
          <cell r="BX2176" t="str">
            <v>AON</v>
          </cell>
        </row>
        <row r="2177">
          <cell r="A2177" t="str">
            <v>ON</v>
          </cell>
          <cell r="B2177" t="str">
            <v>Trong 24h</v>
          </cell>
          <cell r="D2177" t="str">
            <v>Khiếu nại về dịch vụ FTTH</v>
          </cell>
          <cell r="W2177" t="str">
            <v>Đã đóng</v>
          </cell>
          <cell r="AJ2177" t="str">
            <v>Kon Tum</v>
          </cell>
          <cell r="BX2177" t="str">
            <v>AON</v>
          </cell>
        </row>
        <row r="2178">
          <cell r="A2178" t="str">
            <v>ON</v>
          </cell>
          <cell r="B2178" t="str">
            <v>Trong 24h</v>
          </cell>
          <cell r="D2178" t="str">
            <v>Khiếu nại về dịch vụ FTTH</v>
          </cell>
          <cell r="W2178" t="str">
            <v>Đang xử lý</v>
          </cell>
          <cell r="AJ2178" t="str">
            <v>Hà Nội 1</v>
          </cell>
          <cell r="BX2178" t="str">
            <v>AON</v>
          </cell>
        </row>
        <row r="2179">
          <cell r="A2179" t="str">
            <v>ON</v>
          </cell>
          <cell r="B2179" t="str">
            <v>Trong 24h</v>
          </cell>
          <cell r="D2179" t="str">
            <v>Khiếu nại về dịch vụ FTTH</v>
          </cell>
          <cell r="W2179" t="str">
            <v>Đang xử lý</v>
          </cell>
          <cell r="AJ2179" t="str">
            <v>Trà Vinh</v>
          </cell>
          <cell r="BX2179" t="str">
            <v>AON</v>
          </cell>
        </row>
        <row r="2180">
          <cell r="A2180" t="str">
            <v>ON</v>
          </cell>
          <cell r="B2180" t="str">
            <v>Trong 24h</v>
          </cell>
          <cell r="D2180" t="str">
            <v>Khiếu nại về dịch vụ NextTV</v>
          </cell>
          <cell r="W2180" t="str">
            <v>Đang xử lý</v>
          </cell>
          <cell r="AJ2180" t="str">
            <v>Nam Định</v>
          </cell>
          <cell r="BX2180" t="str">
            <v>AON</v>
          </cell>
        </row>
        <row r="2181">
          <cell r="A2181" t="str">
            <v>ON</v>
          </cell>
          <cell r="B2181" t="str">
            <v>Trong 24h</v>
          </cell>
          <cell r="D2181" t="str">
            <v>Khiếu nại về dịch vụ FTTH</v>
          </cell>
          <cell r="W2181" t="str">
            <v>Đang xử lý</v>
          </cell>
          <cell r="AJ2181" t="str">
            <v>Hải Phòng</v>
          </cell>
          <cell r="BX2181" t="str">
            <v>AON</v>
          </cell>
        </row>
        <row r="2182">
          <cell r="A2182" t="str">
            <v>ON</v>
          </cell>
          <cell r="B2182" t="str">
            <v>Trong 24h</v>
          </cell>
          <cell r="D2182" t="str">
            <v>Khiếu nại về dịch vụ FTTH</v>
          </cell>
          <cell r="W2182" t="str">
            <v>Đang xử lý</v>
          </cell>
          <cell r="AJ2182" t="str">
            <v>Hà Nội 2</v>
          </cell>
          <cell r="BX2182" t="str">
            <v>AON</v>
          </cell>
        </row>
        <row r="2183">
          <cell r="A2183" t="str">
            <v>ON</v>
          </cell>
          <cell r="B2183" t="str">
            <v>Trong 24h</v>
          </cell>
          <cell r="D2183" t="str">
            <v>Khiếu nại về dịch vụ FTTH</v>
          </cell>
          <cell r="W2183" t="str">
            <v>Đang xử lý</v>
          </cell>
          <cell r="AJ2183" t="str">
            <v>Ninh Bình</v>
          </cell>
          <cell r="BX2183" t="str">
            <v>AON</v>
          </cell>
        </row>
        <row r="2184">
          <cell r="A2184" t="str">
            <v>ON</v>
          </cell>
          <cell r="B2184" t="str">
            <v>Trong 24h</v>
          </cell>
          <cell r="D2184" t="str">
            <v>Khiếu nại về dịch vụ FTTH</v>
          </cell>
          <cell r="W2184" t="str">
            <v>Đang xử lý</v>
          </cell>
          <cell r="AJ2184" t="str">
            <v>Bình Định</v>
          </cell>
          <cell r="BX2184" t="str">
            <v>AON</v>
          </cell>
        </row>
        <row r="2185">
          <cell r="A2185" t="str">
            <v>ON</v>
          </cell>
          <cell r="B2185" t="str">
            <v>Trong 24h</v>
          </cell>
          <cell r="D2185" t="str">
            <v>Khiếu nại về dịch vụ FTTH</v>
          </cell>
          <cell r="W2185" t="str">
            <v>Đang xử lý</v>
          </cell>
          <cell r="AJ2185" t="str">
            <v>Quảng Ninh</v>
          </cell>
          <cell r="BX2185" t="str">
            <v>AON</v>
          </cell>
        </row>
        <row r="2186">
          <cell r="A2186" t="str">
            <v>ON</v>
          </cell>
          <cell r="B2186" t="str">
            <v>Trong 24h</v>
          </cell>
          <cell r="D2186" t="str">
            <v>Khiếu nại về dịch vụ FTTH</v>
          </cell>
          <cell r="W2186" t="str">
            <v>Đang xử lý</v>
          </cell>
          <cell r="AJ2186" t="str">
            <v>TP HCM</v>
          </cell>
          <cell r="BX2186" t="str">
            <v>AON</v>
          </cell>
        </row>
        <row r="2187">
          <cell r="A2187" t="str">
            <v>ON</v>
          </cell>
          <cell r="B2187" t="str">
            <v>Trong 24h</v>
          </cell>
          <cell r="D2187" t="str">
            <v>Khiếu nại về dịch vụ FTTH</v>
          </cell>
          <cell r="W2187" t="str">
            <v>Đã đóng</v>
          </cell>
          <cell r="AJ2187" t="str">
            <v>TP HCM</v>
          </cell>
          <cell r="BX2187" t="str">
            <v>AON</v>
          </cell>
        </row>
        <row r="2188">
          <cell r="A2188" t="str">
            <v>ON</v>
          </cell>
          <cell r="B2188" t="str">
            <v>Trong 24h</v>
          </cell>
          <cell r="D2188" t="str">
            <v>Khiếu nại về dịch vụ FTTH</v>
          </cell>
          <cell r="W2188" t="str">
            <v>Đã đóng</v>
          </cell>
          <cell r="AJ2188" t="str">
            <v>Quảng Ninh</v>
          </cell>
          <cell r="BX2188" t="str">
            <v>AON</v>
          </cell>
        </row>
        <row r="2189">
          <cell r="A2189" t="str">
            <v>ON</v>
          </cell>
          <cell r="B2189" t="str">
            <v>Trong 24h</v>
          </cell>
          <cell r="D2189" t="str">
            <v>Khiếu nại về dịch vụ FTTH</v>
          </cell>
          <cell r="W2189" t="str">
            <v>Đã đóng</v>
          </cell>
          <cell r="AJ2189" t="str">
            <v>TP HCM</v>
          </cell>
          <cell r="BX2189" t="str">
            <v>AON</v>
          </cell>
        </row>
        <row r="2190">
          <cell r="A2190" t="str">
            <v>ON</v>
          </cell>
          <cell r="B2190" t="str">
            <v>Trong 24h</v>
          </cell>
          <cell r="D2190" t="str">
            <v>Khiếu nại về dịch vụ FTTH</v>
          </cell>
          <cell r="W2190" t="str">
            <v>Đang xử lý</v>
          </cell>
          <cell r="AJ2190" t="str">
            <v>TP HCM</v>
          </cell>
          <cell r="BX2190" t="str">
            <v>AON</v>
          </cell>
        </row>
        <row r="2191">
          <cell r="A2191" t="str">
            <v>ON</v>
          </cell>
          <cell r="B2191" t="str">
            <v>Trong 24h</v>
          </cell>
          <cell r="D2191" t="str">
            <v>Khiếu nại về dịch vụ NextTV</v>
          </cell>
          <cell r="W2191" t="str">
            <v>Đã đóng</v>
          </cell>
          <cell r="AJ2191" t="str">
            <v>Hà Nội 2</v>
          </cell>
          <cell r="BX2191" t="str">
            <v>AON</v>
          </cell>
        </row>
        <row r="2192">
          <cell r="A2192" t="str">
            <v>ON</v>
          </cell>
          <cell r="B2192" t="str">
            <v>Trong 24h</v>
          </cell>
          <cell r="D2192" t="str">
            <v>Khiếu nại về dịch vụ FTTH</v>
          </cell>
          <cell r="W2192" t="str">
            <v>Đang xử lý</v>
          </cell>
          <cell r="AJ2192" t="str">
            <v>TP HCM</v>
          </cell>
          <cell r="BX2192" t="str">
            <v>AON</v>
          </cell>
        </row>
        <row r="2193">
          <cell r="A2193" t="str">
            <v>ON</v>
          </cell>
          <cell r="B2193" t="str">
            <v>Trong 24h</v>
          </cell>
          <cell r="D2193" t="str">
            <v>Khiếu nại về dịch vụ FTTH</v>
          </cell>
          <cell r="W2193" t="str">
            <v>Đang xử lý</v>
          </cell>
          <cell r="AJ2193" t="str">
            <v>Lâm Đồng</v>
          </cell>
          <cell r="BX2193" t="str">
            <v>AON</v>
          </cell>
        </row>
        <row r="2194">
          <cell r="A2194" t="str">
            <v>ON</v>
          </cell>
          <cell r="B2194" t="str">
            <v>Trong 24h</v>
          </cell>
          <cell r="D2194" t="str">
            <v>Khiếu nại về dịch vụ FTTH</v>
          </cell>
          <cell r="W2194" t="str">
            <v>Đang xử lý</v>
          </cell>
          <cell r="AJ2194" t="str">
            <v>Thái Bình</v>
          </cell>
          <cell r="BX2194" t="str">
            <v>AON</v>
          </cell>
        </row>
        <row r="2195">
          <cell r="A2195" t="str">
            <v>ON</v>
          </cell>
          <cell r="B2195" t="str">
            <v>Trong 24h</v>
          </cell>
          <cell r="D2195" t="str">
            <v>Khiếu nại về dịch vụ FTTH</v>
          </cell>
          <cell r="W2195" t="str">
            <v>Đang xử lý</v>
          </cell>
          <cell r="AJ2195" t="str">
            <v>Thái Bình</v>
          </cell>
          <cell r="BX2195" t="str">
            <v>AON</v>
          </cell>
        </row>
        <row r="2196">
          <cell r="A2196" t="str">
            <v>ON</v>
          </cell>
          <cell r="B2196" t="str">
            <v>Trong 24h</v>
          </cell>
          <cell r="D2196" t="str">
            <v>Khiếu nại về dịch vụ FTTH</v>
          </cell>
          <cell r="W2196" t="str">
            <v>Đang xử lý</v>
          </cell>
          <cell r="AJ2196" t="str">
            <v>Thái Nguyên</v>
          </cell>
          <cell r="BX2196" t="str">
            <v>AON</v>
          </cell>
        </row>
        <row r="2197">
          <cell r="A2197" t="str">
            <v>ON</v>
          </cell>
          <cell r="B2197" t="str">
            <v>Trong 24h</v>
          </cell>
          <cell r="D2197" t="str">
            <v>Khiếu nại về dịch vụ FTTH</v>
          </cell>
          <cell r="W2197" t="str">
            <v>Đang xử lý</v>
          </cell>
          <cell r="AJ2197" t="str">
            <v>Bình Dương</v>
          </cell>
          <cell r="BX2197" t="str">
            <v>AON</v>
          </cell>
        </row>
        <row r="2198">
          <cell r="A2198" t="str">
            <v>ON</v>
          </cell>
          <cell r="B2198" t="str">
            <v>Trong 24h</v>
          </cell>
          <cell r="D2198" t="str">
            <v>Khiếu nại về dịch vụ FTTH</v>
          </cell>
          <cell r="W2198" t="str">
            <v>Đã đóng</v>
          </cell>
          <cell r="AJ2198" t="str">
            <v>Nghệ An</v>
          </cell>
          <cell r="BX2198" t="str">
            <v>AON</v>
          </cell>
        </row>
        <row r="2199">
          <cell r="A2199" t="str">
            <v>ON</v>
          </cell>
          <cell r="B2199" t="str">
            <v>Trong 24h</v>
          </cell>
          <cell r="D2199" t="str">
            <v>Khiếu nại về dịch vụ FTTH</v>
          </cell>
          <cell r="W2199" t="str">
            <v>Đang xử lý</v>
          </cell>
          <cell r="AJ2199" t="str">
            <v>TP HCM</v>
          </cell>
          <cell r="BX2199" t="str">
            <v>AON</v>
          </cell>
        </row>
        <row r="2200">
          <cell r="A2200" t="str">
            <v>ON</v>
          </cell>
          <cell r="B2200" t="str">
            <v>Trong 24h</v>
          </cell>
          <cell r="D2200" t="str">
            <v>Khiếu nại về dịch vụ FTTH</v>
          </cell>
          <cell r="W2200" t="str">
            <v>Đã đóng</v>
          </cell>
          <cell r="AJ2200" t="str">
            <v>TP HCM</v>
          </cell>
          <cell r="BX2200" t="str">
            <v>AON</v>
          </cell>
        </row>
        <row r="2201">
          <cell r="A2201" t="str">
            <v>ON</v>
          </cell>
          <cell r="B2201" t="str">
            <v>Trong 24h</v>
          </cell>
          <cell r="D2201" t="str">
            <v>Khiếu nại về dịch vụ FTTH</v>
          </cell>
          <cell r="W2201" t="str">
            <v>Đang xử lý</v>
          </cell>
          <cell r="AJ2201" t="str">
            <v>Quảng Ninh</v>
          </cell>
          <cell r="BX2201" t="str">
            <v>AON</v>
          </cell>
        </row>
        <row r="2202">
          <cell r="A2202" t="str">
            <v>ON</v>
          </cell>
          <cell r="B2202" t="str">
            <v>Trong 24h</v>
          </cell>
          <cell r="D2202" t="str">
            <v>Khiếu nại về dịch vụ FTTH</v>
          </cell>
          <cell r="W2202" t="str">
            <v>Đang xử lý</v>
          </cell>
          <cell r="AJ2202" t="str">
            <v>TP HCM</v>
          </cell>
          <cell r="BX2202" t="str">
            <v>AON</v>
          </cell>
        </row>
        <row r="2203">
          <cell r="A2203" t="str">
            <v>ON</v>
          </cell>
          <cell r="B2203" t="str">
            <v>Trong 24h</v>
          </cell>
          <cell r="D2203" t="str">
            <v>Khiếu nại về dịch vụ FTTH</v>
          </cell>
          <cell r="W2203" t="str">
            <v>Đang xử lý</v>
          </cell>
          <cell r="AJ2203" t="str">
            <v>Quảng Trị</v>
          </cell>
          <cell r="BX2203" t="str">
            <v>AON</v>
          </cell>
        </row>
        <row r="2204">
          <cell r="A2204" t="str">
            <v>ON</v>
          </cell>
          <cell r="B2204" t="str">
            <v>Trong 24h</v>
          </cell>
          <cell r="D2204" t="str">
            <v>Khiếu nại về dịch vụ FTTH</v>
          </cell>
          <cell r="W2204" t="str">
            <v>Đang xử lý</v>
          </cell>
          <cell r="AJ2204" t="str">
            <v xml:space="preserve">Đà Nẵng </v>
          </cell>
          <cell r="BX2204" t="str">
            <v>AON</v>
          </cell>
        </row>
        <row r="2205">
          <cell r="A2205" t="str">
            <v>ON</v>
          </cell>
          <cell r="B2205" t="str">
            <v>Trong 24h</v>
          </cell>
          <cell r="D2205" t="str">
            <v>Khiếu nại về dịch vụ FTTH</v>
          </cell>
          <cell r="W2205" t="str">
            <v>Đang xử lý</v>
          </cell>
          <cell r="AJ2205" t="str">
            <v>Bắc Giang</v>
          </cell>
          <cell r="BX2205" t="str">
            <v>AON</v>
          </cell>
        </row>
        <row r="2206">
          <cell r="A2206" t="str">
            <v>ON</v>
          </cell>
          <cell r="B2206" t="str">
            <v>Trong 24h</v>
          </cell>
          <cell r="D2206" t="str">
            <v>Khiếu nại về dịch vụ FTTH</v>
          </cell>
          <cell r="W2206" t="str">
            <v>Đang xử lý</v>
          </cell>
          <cell r="AJ2206" t="str">
            <v>Hà Nội 1</v>
          </cell>
          <cell r="BX2206" t="str">
            <v>AON</v>
          </cell>
        </row>
        <row r="2207">
          <cell r="A2207" t="str">
            <v>ON</v>
          </cell>
          <cell r="B2207" t="str">
            <v>Trong 24h</v>
          </cell>
          <cell r="D2207" t="str">
            <v>Khiếu nại về dịch vụ FTTH</v>
          </cell>
          <cell r="W2207" t="str">
            <v>Đang xử lý</v>
          </cell>
          <cell r="AJ2207" t="str">
            <v>Hải Phòng</v>
          </cell>
          <cell r="BX2207" t="str">
            <v>AON</v>
          </cell>
        </row>
        <row r="2208">
          <cell r="A2208" t="str">
            <v>ON</v>
          </cell>
          <cell r="B2208" t="str">
            <v>Trong 24h</v>
          </cell>
          <cell r="D2208" t="str">
            <v>Khiếu nại về dịch vụ FTTH</v>
          </cell>
          <cell r="W2208" t="str">
            <v>Đang xử lý</v>
          </cell>
          <cell r="AJ2208" t="str">
            <v>TP HCM</v>
          </cell>
          <cell r="BX2208" t="str">
            <v>AON</v>
          </cell>
        </row>
        <row r="2209">
          <cell r="A2209" t="str">
            <v>ON</v>
          </cell>
          <cell r="B2209" t="str">
            <v>Trong 24h</v>
          </cell>
          <cell r="D2209" t="str">
            <v>Khiếu nại về dịch vụ FTTH</v>
          </cell>
          <cell r="W2209" t="str">
            <v>Đang xử lý</v>
          </cell>
          <cell r="AJ2209" t="str">
            <v>Bến Tre</v>
          </cell>
          <cell r="BX2209" t="str">
            <v>AON</v>
          </cell>
        </row>
        <row r="2210">
          <cell r="A2210" t="str">
            <v>ON</v>
          </cell>
          <cell r="B2210" t="str">
            <v>Trong 24h</v>
          </cell>
          <cell r="D2210" t="str">
            <v>Khiếu nại về dịch vụ FTTH</v>
          </cell>
          <cell r="W2210" t="str">
            <v>Đã đóng</v>
          </cell>
          <cell r="AJ2210" t="str">
            <v>Vĩnh Phúc</v>
          </cell>
          <cell r="BX2210" t="str">
            <v>AON</v>
          </cell>
        </row>
        <row r="2211">
          <cell r="A2211" t="str">
            <v>ON</v>
          </cell>
          <cell r="B2211" t="str">
            <v>Trong 24h</v>
          </cell>
          <cell r="D2211" t="str">
            <v>Khiếu nại về dịch vụ FTTH</v>
          </cell>
          <cell r="W2211" t="str">
            <v>Đang xử lý</v>
          </cell>
          <cell r="AJ2211" t="str">
            <v>Quảng Ninh</v>
          </cell>
          <cell r="BX2211" t="str">
            <v>AON</v>
          </cell>
        </row>
        <row r="2212">
          <cell r="A2212" t="str">
            <v>ON</v>
          </cell>
          <cell r="B2212" t="str">
            <v>Trong 24h</v>
          </cell>
          <cell r="D2212" t="str">
            <v>Khiếu nại về dịch vụ FTTH</v>
          </cell>
          <cell r="W2212" t="str">
            <v>Đang xử lý</v>
          </cell>
          <cell r="AJ2212" t="str">
            <v>Tây Ninh</v>
          </cell>
          <cell r="BX2212" t="str">
            <v>AON</v>
          </cell>
        </row>
        <row r="2213">
          <cell r="A2213" t="str">
            <v>ON</v>
          </cell>
          <cell r="B2213" t="str">
            <v>Trong 24h</v>
          </cell>
          <cell r="D2213" t="str">
            <v>Khiếu nại về dịch vụ FTTH</v>
          </cell>
          <cell r="W2213" t="str">
            <v>Đã đóng</v>
          </cell>
          <cell r="AJ2213" t="str">
            <v>Cà Mau</v>
          </cell>
          <cell r="BX2213" t="str">
            <v>AON</v>
          </cell>
        </row>
        <row r="2214">
          <cell r="A2214" t="str">
            <v>ON</v>
          </cell>
          <cell r="B2214" t="str">
            <v>Trong 24h</v>
          </cell>
          <cell r="D2214" t="str">
            <v>Khiếu nại về dịch vụ FTTH</v>
          </cell>
          <cell r="W2214" t="str">
            <v>Đang xử lý</v>
          </cell>
          <cell r="AJ2214" t="str">
            <v>Quảng Trị</v>
          </cell>
          <cell r="BX2214" t="str">
            <v>AON</v>
          </cell>
        </row>
        <row r="2215">
          <cell r="A2215" t="str">
            <v>ON</v>
          </cell>
          <cell r="B2215" t="str">
            <v>Trong 24h</v>
          </cell>
          <cell r="D2215" t="str">
            <v>Khiếu nại về dịch vụ FTTH</v>
          </cell>
          <cell r="W2215" t="str">
            <v>Đang xử lý</v>
          </cell>
          <cell r="AJ2215" t="str">
            <v>Nghệ An</v>
          </cell>
          <cell r="BX2215" t="str">
            <v>AON</v>
          </cell>
        </row>
        <row r="2216">
          <cell r="A2216" t="str">
            <v>ON</v>
          </cell>
          <cell r="B2216" t="str">
            <v>Trong 24h</v>
          </cell>
          <cell r="D2216" t="str">
            <v>Khiếu nại về dịch vụ FTTH</v>
          </cell>
          <cell r="W2216" t="str">
            <v>Đang xử lý</v>
          </cell>
          <cell r="AJ2216" t="str">
            <v>TP HCM</v>
          </cell>
          <cell r="BX2216" t="str">
            <v>AON</v>
          </cell>
        </row>
        <row r="2217">
          <cell r="A2217" t="str">
            <v>ON</v>
          </cell>
          <cell r="B2217" t="str">
            <v>Trong 24h</v>
          </cell>
          <cell r="D2217" t="str">
            <v>Khiếu nại về dịch vụ NextTV</v>
          </cell>
          <cell r="W2217" t="str">
            <v>Đang xử lý</v>
          </cell>
          <cell r="AJ2217" t="str">
            <v xml:space="preserve">Hà Tĩnh </v>
          </cell>
          <cell r="BX2217" t="str">
            <v>AON</v>
          </cell>
        </row>
        <row r="2218">
          <cell r="A2218" t="str">
            <v>ON</v>
          </cell>
          <cell r="B2218" t="str">
            <v>Trong 24h</v>
          </cell>
          <cell r="D2218" t="str">
            <v>Khiếu nại về dịch vụ FTTH</v>
          </cell>
          <cell r="W2218" t="str">
            <v>Đang xử lý</v>
          </cell>
          <cell r="AJ2218" t="str">
            <v>Thanh Hoá</v>
          </cell>
          <cell r="BX2218" t="str">
            <v>AON</v>
          </cell>
        </row>
        <row r="2219">
          <cell r="A2219" t="str">
            <v>ON</v>
          </cell>
          <cell r="B2219" t="str">
            <v>Trong 24h</v>
          </cell>
          <cell r="D2219" t="str">
            <v>Khiếu nại về dịch vụ FTTH</v>
          </cell>
          <cell r="W2219" t="str">
            <v>Đang xử lý</v>
          </cell>
          <cell r="AJ2219" t="str">
            <v>Bình Phước</v>
          </cell>
          <cell r="BX2219" t="str">
            <v>AON</v>
          </cell>
        </row>
        <row r="2220">
          <cell r="A2220" t="str">
            <v>ON</v>
          </cell>
          <cell r="B2220" t="str">
            <v>Trong 24h</v>
          </cell>
          <cell r="D2220" t="str">
            <v>Khiếu nại về dịch vụ FTTH</v>
          </cell>
          <cell r="W2220" t="str">
            <v>Đang xử lý</v>
          </cell>
          <cell r="AJ2220" t="str">
            <v>Hà Nội 1</v>
          </cell>
          <cell r="BX2220" t="str">
            <v>AON</v>
          </cell>
        </row>
        <row r="2221">
          <cell r="A2221" t="str">
            <v>ON</v>
          </cell>
          <cell r="B2221" t="str">
            <v>Trong 24h</v>
          </cell>
          <cell r="D2221" t="str">
            <v>Khiếu nại về dịch vụ FTTH</v>
          </cell>
          <cell r="W2221" t="str">
            <v>Đang xử lý</v>
          </cell>
          <cell r="AJ2221" t="str">
            <v>Hưng Yên</v>
          </cell>
          <cell r="BX2221" t="str">
            <v>AON</v>
          </cell>
        </row>
        <row r="2222">
          <cell r="A2222" t="str">
            <v>ON</v>
          </cell>
          <cell r="B2222" t="str">
            <v>Trong 24h</v>
          </cell>
          <cell r="D2222" t="str">
            <v>Khiếu nại về dịch vụ FTTH</v>
          </cell>
          <cell r="W2222" t="str">
            <v>Đang xử lý</v>
          </cell>
          <cell r="AJ2222" t="str">
            <v>Quảng Ninh</v>
          </cell>
          <cell r="BX2222" t="str">
            <v>AON</v>
          </cell>
        </row>
        <row r="2223">
          <cell r="A2223" t="str">
            <v>ON</v>
          </cell>
          <cell r="B2223" t="str">
            <v>Trong 24h</v>
          </cell>
          <cell r="D2223" t="str">
            <v>Khiếu nại về dịch vụ FTTH</v>
          </cell>
          <cell r="W2223" t="str">
            <v>Đang xử lý</v>
          </cell>
          <cell r="AJ2223" t="str">
            <v>Hậu Giang</v>
          </cell>
          <cell r="BX2223" t="str">
            <v>AON</v>
          </cell>
        </row>
        <row r="2224">
          <cell r="A2224" t="str">
            <v>ON</v>
          </cell>
          <cell r="B2224" t="str">
            <v>Trong 24h</v>
          </cell>
          <cell r="D2224" t="str">
            <v>Khiếu nại về dịch vụ FTTH</v>
          </cell>
          <cell r="W2224" t="str">
            <v>Đang xử lý</v>
          </cell>
          <cell r="AJ2224" t="str">
            <v>Hà Nội 2</v>
          </cell>
          <cell r="BX2224" t="str">
            <v>AON</v>
          </cell>
        </row>
        <row r="2225">
          <cell r="A2225" t="str">
            <v>ON</v>
          </cell>
          <cell r="B2225" t="str">
            <v>Trong 24h</v>
          </cell>
          <cell r="D2225" t="str">
            <v>Khiếu nại về dịch vụ FTTH</v>
          </cell>
          <cell r="W2225" t="str">
            <v>Đã đóng</v>
          </cell>
          <cell r="AJ2225" t="str">
            <v>Hải Phòng</v>
          </cell>
          <cell r="BX2225" t="str">
            <v>AON</v>
          </cell>
        </row>
        <row r="2226">
          <cell r="A2226" t="str">
            <v>ON</v>
          </cell>
          <cell r="B2226" t="str">
            <v>Trong 24h</v>
          </cell>
          <cell r="D2226" t="str">
            <v>Khiếu nại về dịch vụ FTTH</v>
          </cell>
          <cell r="W2226" t="str">
            <v>Đang xử lý</v>
          </cell>
          <cell r="AJ2226" t="str">
            <v>TP HCM</v>
          </cell>
          <cell r="BX2226" t="str">
            <v>AON</v>
          </cell>
        </row>
        <row r="2227">
          <cell r="A2227" t="str">
            <v>ON</v>
          </cell>
          <cell r="B2227" t="str">
            <v>Trong 24h</v>
          </cell>
          <cell r="D2227" t="str">
            <v>Khiếu nại về dịch vụ FTTH</v>
          </cell>
          <cell r="W2227" t="str">
            <v>Đang xử lý</v>
          </cell>
          <cell r="AJ2227" t="str">
            <v>Hoà Bình</v>
          </cell>
          <cell r="BX2227" t="str">
            <v>AON</v>
          </cell>
        </row>
        <row r="2228">
          <cell r="A2228" t="str">
            <v>ON</v>
          </cell>
          <cell r="B2228" t="str">
            <v>Trong 24h</v>
          </cell>
          <cell r="D2228" t="str">
            <v>Khiếu nại về dịch vụ FTTH</v>
          </cell>
          <cell r="W2228" t="str">
            <v>Đang xử lý</v>
          </cell>
          <cell r="AJ2228" t="str">
            <v>Hậu Giang</v>
          </cell>
          <cell r="BX2228" t="str">
            <v>AON</v>
          </cell>
        </row>
        <row r="2229">
          <cell r="A2229" t="str">
            <v>ON</v>
          </cell>
          <cell r="B2229" t="str">
            <v>Trong 24h</v>
          </cell>
          <cell r="D2229" t="str">
            <v>Khiếu nại về dịch vụ FTTH</v>
          </cell>
          <cell r="W2229" t="str">
            <v>Đang xử lý</v>
          </cell>
          <cell r="AJ2229" t="str">
            <v>Tây Ninh</v>
          </cell>
          <cell r="BX2229" t="str">
            <v>AON</v>
          </cell>
        </row>
        <row r="2230">
          <cell r="A2230" t="str">
            <v>ON</v>
          </cell>
          <cell r="B2230" t="str">
            <v>Trong 24h</v>
          </cell>
          <cell r="D2230" t="str">
            <v>Khiếu nại về dịch vụ FTTH</v>
          </cell>
          <cell r="W2230" t="str">
            <v>Đang xử lý</v>
          </cell>
          <cell r="AJ2230" t="str">
            <v>TP HCM</v>
          </cell>
          <cell r="BX2230" t="str">
            <v>AON</v>
          </cell>
        </row>
        <row r="2231">
          <cell r="A2231" t="str">
            <v>ON</v>
          </cell>
          <cell r="B2231" t="str">
            <v>Trong 24h</v>
          </cell>
          <cell r="D2231" t="str">
            <v>Khiếu nại về dịch vụ FTTH</v>
          </cell>
          <cell r="W2231" t="str">
            <v>Đang xử lý</v>
          </cell>
          <cell r="AJ2231" t="str">
            <v>TP HCM</v>
          </cell>
          <cell r="BX2231" t="str">
            <v>AON</v>
          </cell>
        </row>
        <row r="2232">
          <cell r="A2232" t="str">
            <v>ON</v>
          </cell>
          <cell r="B2232" t="str">
            <v>Trong 24h</v>
          </cell>
          <cell r="D2232" t="str">
            <v>Khiếu nại về dịch vụ FTTH</v>
          </cell>
          <cell r="W2232" t="str">
            <v>Đã đóng</v>
          </cell>
          <cell r="AJ2232" t="str">
            <v xml:space="preserve">Đồng Nai </v>
          </cell>
          <cell r="BX2232" t="str">
            <v>AON</v>
          </cell>
        </row>
        <row r="2233">
          <cell r="A2233" t="str">
            <v>ON</v>
          </cell>
          <cell r="B2233" t="str">
            <v>Trong 24h</v>
          </cell>
          <cell r="D2233" t="str">
            <v>Khiếu nại về dịch vụ FTTH</v>
          </cell>
          <cell r="W2233" t="str">
            <v>Đang xử lý</v>
          </cell>
          <cell r="AJ2233" t="str">
            <v>Hà Nội 2</v>
          </cell>
          <cell r="BX2233" t="str">
            <v>AON</v>
          </cell>
        </row>
        <row r="2234">
          <cell r="A2234" t="str">
            <v>ON</v>
          </cell>
          <cell r="B2234" t="str">
            <v>Trong 24h</v>
          </cell>
          <cell r="D2234" t="str">
            <v>Khiếu nại về dịch vụ FTTH</v>
          </cell>
          <cell r="W2234" t="str">
            <v>Đang xử lý</v>
          </cell>
          <cell r="AJ2234" t="str">
            <v>Thanh Hoá</v>
          </cell>
          <cell r="BX2234" t="str">
            <v>AON</v>
          </cell>
        </row>
        <row r="2235">
          <cell r="A2235" t="str">
            <v>ON</v>
          </cell>
          <cell r="B2235" t="str">
            <v>Trong 24h</v>
          </cell>
          <cell r="D2235" t="str">
            <v>Khiếu nại về dịch vụ FTTH</v>
          </cell>
          <cell r="W2235" t="str">
            <v>Đang xử lý</v>
          </cell>
          <cell r="AJ2235" t="str">
            <v>Bình Dương</v>
          </cell>
          <cell r="BX2235" t="str">
            <v>AON</v>
          </cell>
        </row>
        <row r="2236">
          <cell r="A2236" t="str">
            <v>ON</v>
          </cell>
          <cell r="B2236" t="str">
            <v>Trong 24h</v>
          </cell>
          <cell r="D2236" t="str">
            <v>Khiếu nại về dịch vụ FTTH</v>
          </cell>
          <cell r="W2236" t="str">
            <v>Đang xử lý</v>
          </cell>
          <cell r="AJ2236" t="str">
            <v>Trà Vinh</v>
          </cell>
          <cell r="BX2236" t="str">
            <v>AON</v>
          </cell>
        </row>
        <row r="2237">
          <cell r="A2237" t="str">
            <v>ON</v>
          </cell>
          <cell r="B2237" t="str">
            <v>Trong 24h</v>
          </cell>
          <cell r="D2237" t="str">
            <v>Khiếu nại về dịch vụ FTTH</v>
          </cell>
          <cell r="W2237" t="str">
            <v>Đang xử lý</v>
          </cell>
          <cell r="AJ2237" t="str">
            <v xml:space="preserve">Quảng Nam </v>
          </cell>
          <cell r="BX2237" t="str">
            <v>AON</v>
          </cell>
        </row>
        <row r="2238">
          <cell r="A2238" t="str">
            <v>ON</v>
          </cell>
          <cell r="B2238" t="str">
            <v>Trong 24h</v>
          </cell>
          <cell r="D2238" t="str">
            <v>Khiếu nại về dịch vụ NextTV</v>
          </cell>
          <cell r="W2238" t="str">
            <v>Đang xử lý</v>
          </cell>
          <cell r="AJ2238" t="str">
            <v>Quảng Bình</v>
          </cell>
          <cell r="BX2238" t="str">
            <v>AON</v>
          </cell>
        </row>
        <row r="2239">
          <cell r="A2239" t="str">
            <v>ON</v>
          </cell>
          <cell r="B2239" t="str">
            <v>Trong 24h</v>
          </cell>
          <cell r="D2239" t="str">
            <v>Khiếu nại về dịch vụ FTTH</v>
          </cell>
          <cell r="W2239" t="str">
            <v>Đang xử lý</v>
          </cell>
          <cell r="AJ2239" t="str">
            <v>Bình Dương</v>
          </cell>
          <cell r="BX2239" t="str">
            <v>AON</v>
          </cell>
        </row>
        <row r="2240">
          <cell r="A2240" t="str">
            <v>ON</v>
          </cell>
          <cell r="B2240" t="str">
            <v>Trong 24h</v>
          </cell>
          <cell r="D2240" t="str">
            <v>Khiếu nại về dịch vụ FTTH</v>
          </cell>
          <cell r="W2240" t="str">
            <v>Đang xử lý</v>
          </cell>
          <cell r="AJ2240" t="str">
            <v xml:space="preserve">Đồng Nai </v>
          </cell>
          <cell r="BX2240" t="str">
            <v>AON</v>
          </cell>
        </row>
        <row r="2241">
          <cell r="A2241" t="str">
            <v>ON</v>
          </cell>
          <cell r="B2241" t="str">
            <v>Trong 24h</v>
          </cell>
          <cell r="D2241" t="str">
            <v>Khiếu nại về dịch vụ FTTH</v>
          </cell>
          <cell r="W2241" t="str">
            <v>Đang xử lý</v>
          </cell>
          <cell r="AJ2241" t="str">
            <v>TP HCM</v>
          </cell>
          <cell r="BX2241" t="str">
            <v>AON</v>
          </cell>
        </row>
        <row r="2242">
          <cell r="A2242" t="str">
            <v>ON</v>
          </cell>
          <cell r="B2242" t="str">
            <v>Trong 24h</v>
          </cell>
          <cell r="D2242" t="str">
            <v>Khiếu nại về dịch vụ NextTV</v>
          </cell>
          <cell r="W2242" t="str">
            <v>Đang xử lý</v>
          </cell>
          <cell r="AJ2242" t="str">
            <v xml:space="preserve">Đắc Lắk </v>
          </cell>
          <cell r="BX2242" t="str">
            <v>AON</v>
          </cell>
        </row>
        <row r="2243">
          <cell r="A2243" t="str">
            <v>ON</v>
          </cell>
          <cell r="B2243" t="str">
            <v>Trong 24h</v>
          </cell>
          <cell r="D2243" t="str">
            <v>Khiếu nại về dịch vụ FTTH</v>
          </cell>
          <cell r="W2243" t="str">
            <v>Đang xử lý</v>
          </cell>
          <cell r="AJ2243" t="str">
            <v>Quảng Ninh</v>
          </cell>
          <cell r="BX2243" t="str">
            <v>AON</v>
          </cell>
        </row>
        <row r="2244">
          <cell r="A2244" t="str">
            <v>ON</v>
          </cell>
          <cell r="B2244" t="str">
            <v>Trong 24h</v>
          </cell>
          <cell r="D2244" t="str">
            <v>Khiếu nại về dịch vụ FTTH</v>
          </cell>
          <cell r="W2244" t="str">
            <v>Đang xử lý</v>
          </cell>
          <cell r="AJ2244" t="str">
            <v>Hà Nội 1</v>
          </cell>
          <cell r="BX2244" t="str">
            <v>AON</v>
          </cell>
        </row>
        <row r="2245">
          <cell r="A2245" t="str">
            <v>ON</v>
          </cell>
          <cell r="B2245" t="str">
            <v>Trong 24h</v>
          </cell>
          <cell r="D2245" t="str">
            <v>Khiếu nại về dịch vụ FTTH</v>
          </cell>
          <cell r="W2245" t="str">
            <v>Đang xử lý</v>
          </cell>
          <cell r="AJ2245" t="str">
            <v>Bình Định</v>
          </cell>
          <cell r="BX2245" t="str">
            <v>AON</v>
          </cell>
        </row>
        <row r="2246">
          <cell r="A2246" t="str">
            <v>ON</v>
          </cell>
          <cell r="B2246" t="str">
            <v>Trong 24h</v>
          </cell>
          <cell r="D2246" t="str">
            <v>Khiếu nại về dịch vụ FTTH</v>
          </cell>
          <cell r="W2246" t="str">
            <v>Đang xử lý</v>
          </cell>
          <cell r="AJ2246" t="str">
            <v>Tây Ninh</v>
          </cell>
          <cell r="BX2246" t="str">
            <v>AON</v>
          </cell>
        </row>
        <row r="2247">
          <cell r="A2247" t="str">
            <v>ON</v>
          </cell>
          <cell r="B2247" t="str">
            <v>Trong 24h</v>
          </cell>
          <cell r="D2247" t="str">
            <v>Khiếu nại về dịch vụ FTTH</v>
          </cell>
          <cell r="W2247" t="str">
            <v>Đang xử lý</v>
          </cell>
          <cell r="AJ2247" t="str">
            <v>Hậu Giang</v>
          </cell>
          <cell r="BX2247" t="str">
            <v>AON</v>
          </cell>
        </row>
        <row r="2248">
          <cell r="A2248" t="str">
            <v>ON</v>
          </cell>
          <cell r="B2248" t="str">
            <v>Trong 24h</v>
          </cell>
          <cell r="D2248" t="str">
            <v>Khiếu nại về dịch vụ NextTV</v>
          </cell>
          <cell r="W2248" t="str">
            <v>Đang xử lý</v>
          </cell>
          <cell r="AJ2248" t="str">
            <v>Tây Ninh</v>
          </cell>
          <cell r="BX2248" t="str">
            <v>AON</v>
          </cell>
        </row>
        <row r="2249">
          <cell r="A2249" t="str">
            <v>ON</v>
          </cell>
          <cell r="B2249" t="str">
            <v>Trong 24h</v>
          </cell>
          <cell r="D2249" t="str">
            <v>Khiếu nại về dịch vụ FTTH</v>
          </cell>
          <cell r="W2249" t="str">
            <v>Đang xử lý</v>
          </cell>
          <cell r="AJ2249" t="str">
            <v>Vĩnh Long</v>
          </cell>
          <cell r="BX2249" t="str">
            <v>AON</v>
          </cell>
        </row>
        <row r="2250">
          <cell r="A2250" t="str">
            <v>ON</v>
          </cell>
          <cell r="B2250" t="str">
            <v>Trong 24h</v>
          </cell>
          <cell r="D2250" t="str">
            <v>Khiếu nại về dịch vụ FTTH</v>
          </cell>
          <cell r="W2250" t="str">
            <v>Đang xử lý</v>
          </cell>
          <cell r="AJ2250" t="str">
            <v>Quảng Ngãi</v>
          </cell>
          <cell r="BX2250" t="str">
            <v>AON</v>
          </cell>
        </row>
        <row r="2251">
          <cell r="A2251" t="str">
            <v>ON</v>
          </cell>
          <cell r="B2251" t="str">
            <v>Trong 24h</v>
          </cell>
          <cell r="D2251" t="str">
            <v>Khiếu nại về dịch vụ FTTH</v>
          </cell>
          <cell r="W2251" t="str">
            <v>Đang xử lý</v>
          </cell>
          <cell r="AJ2251" t="str">
            <v>Bến Tre</v>
          </cell>
          <cell r="BX2251" t="str">
            <v>AON</v>
          </cell>
        </row>
        <row r="2252">
          <cell r="A2252" t="str">
            <v>ON</v>
          </cell>
          <cell r="B2252" t="str">
            <v>Trong 24h</v>
          </cell>
          <cell r="D2252" t="str">
            <v>Khiếu nại về dịch vụ FTTH</v>
          </cell>
          <cell r="W2252" t="str">
            <v>Đang xử lý</v>
          </cell>
          <cell r="AJ2252" t="str">
            <v>Bình Dương</v>
          </cell>
          <cell r="BX2252" t="str">
            <v>AON</v>
          </cell>
        </row>
        <row r="2253">
          <cell r="A2253" t="str">
            <v>ON</v>
          </cell>
          <cell r="B2253" t="str">
            <v>Trong 24h</v>
          </cell>
          <cell r="D2253" t="str">
            <v>Khiếu nại về dịch vụ FTTH</v>
          </cell>
          <cell r="W2253" t="str">
            <v>Đang xử lý</v>
          </cell>
          <cell r="AJ2253" t="str">
            <v>TP HCM</v>
          </cell>
          <cell r="BX2253" t="str">
            <v>AON</v>
          </cell>
        </row>
        <row r="2254">
          <cell r="A2254" t="str">
            <v>ON</v>
          </cell>
          <cell r="B2254" t="str">
            <v>Trong 24h</v>
          </cell>
          <cell r="D2254" t="str">
            <v>Khiếu nại về dịch vụ FTTH</v>
          </cell>
          <cell r="W2254" t="str">
            <v>Đang xử lý</v>
          </cell>
          <cell r="AJ2254" t="str">
            <v>TP HCM</v>
          </cell>
          <cell r="BX2254" t="str">
            <v>AON</v>
          </cell>
        </row>
        <row r="2255">
          <cell r="A2255" t="str">
            <v>ON</v>
          </cell>
          <cell r="B2255" t="str">
            <v>Trong 24h</v>
          </cell>
          <cell r="D2255" t="str">
            <v>Khiếu nại về dịch vụ FTTH</v>
          </cell>
          <cell r="W2255" t="str">
            <v>Đang xử lý</v>
          </cell>
          <cell r="AJ2255" t="str">
            <v>Gia Lai</v>
          </cell>
          <cell r="BX2255" t="str">
            <v>AON</v>
          </cell>
        </row>
        <row r="2256">
          <cell r="A2256" t="str">
            <v>ON</v>
          </cell>
          <cell r="B2256" t="str">
            <v>Trong 24h</v>
          </cell>
          <cell r="D2256" t="str">
            <v>Khiếu nại về dịch vụ FTTH</v>
          </cell>
          <cell r="W2256" t="str">
            <v>Đang xử lý</v>
          </cell>
          <cell r="AJ2256" t="str">
            <v xml:space="preserve">Đồng Nai </v>
          </cell>
          <cell r="BX2256" t="str">
            <v>AON</v>
          </cell>
        </row>
        <row r="2257">
          <cell r="A2257" t="str">
            <v>ON</v>
          </cell>
          <cell r="B2257" t="str">
            <v>Trong 24h</v>
          </cell>
          <cell r="D2257" t="str">
            <v>Khiếu nại về dịch vụ FTTH</v>
          </cell>
          <cell r="W2257" t="str">
            <v>Đang xử lý</v>
          </cell>
          <cell r="AJ2257" t="str">
            <v>Thái Nguyên</v>
          </cell>
          <cell r="BX2257" t="str">
            <v>AON</v>
          </cell>
        </row>
        <row r="2258">
          <cell r="A2258" t="str">
            <v>ON</v>
          </cell>
          <cell r="B2258" t="str">
            <v>Trong 24h</v>
          </cell>
          <cell r="D2258" t="str">
            <v>Khiếu nại về dịch vụ FTTH</v>
          </cell>
          <cell r="W2258" t="str">
            <v>Đang xử lý</v>
          </cell>
          <cell r="AJ2258" t="str">
            <v xml:space="preserve">Quảng Nam </v>
          </cell>
          <cell r="BX2258" t="str">
            <v>AON</v>
          </cell>
        </row>
        <row r="2259">
          <cell r="A2259" t="str">
            <v>ON</v>
          </cell>
          <cell r="B2259" t="str">
            <v>Trong 24h</v>
          </cell>
          <cell r="D2259" t="str">
            <v>Khiếu nại về dịch vụ FTTH</v>
          </cell>
          <cell r="W2259" t="str">
            <v>Đang xử lý</v>
          </cell>
          <cell r="AJ2259" t="str">
            <v>Quảng Ninh</v>
          </cell>
          <cell r="BX2259" t="str">
            <v>AON</v>
          </cell>
        </row>
        <row r="2260">
          <cell r="A2260" t="str">
            <v>ON</v>
          </cell>
          <cell r="B2260" t="str">
            <v>Trong 24h</v>
          </cell>
          <cell r="D2260" t="str">
            <v>Khiếu nại về dịch vụ FTTH</v>
          </cell>
          <cell r="W2260" t="str">
            <v>Đang xử lý</v>
          </cell>
          <cell r="AJ2260" t="str">
            <v>Quảng Ninh</v>
          </cell>
          <cell r="BX2260" t="str">
            <v>AON</v>
          </cell>
        </row>
        <row r="2261">
          <cell r="A2261" t="str">
            <v>ON</v>
          </cell>
          <cell r="B2261" t="str">
            <v>Trong 24h</v>
          </cell>
          <cell r="D2261" t="str">
            <v>Khiếu nại về dịch vụ FTTH</v>
          </cell>
          <cell r="W2261" t="str">
            <v>Đang xử lý</v>
          </cell>
          <cell r="AJ2261" t="str">
            <v>Sơn La</v>
          </cell>
          <cell r="BX2261" t="str">
            <v>AON</v>
          </cell>
        </row>
        <row r="2262">
          <cell r="A2262" t="str">
            <v>ON</v>
          </cell>
          <cell r="B2262" t="str">
            <v>Trong 24h</v>
          </cell>
          <cell r="D2262" t="str">
            <v>Khiếu nại về dịch vụ FTTH</v>
          </cell>
          <cell r="W2262" t="str">
            <v>Đang xử lý</v>
          </cell>
          <cell r="AJ2262" t="str">
            <v>Sóc Trăng</v>
          </cell>
          <cell r="BX2262" t="str">
            <v>AON</v>
          </cell>
        </row>
        <row r="2263">
          <cell r="A2263" t="str">
            <v>ON</v>
          </cell>
          <cell r="B2263" t="str">
            <v>Trong 24h</v>
          </cell>
          <cell r="D2263" t="str">
            <v>Khiếu nại về dịch vụ NextTV</v>
          </cell>
          <cell r="W2263" t="str">
            <v>Đang xử lý</v>
          </cell>
          <cell r="AJ2263" t="str">
            <v>Kiên Giang</v>
          </cell>
          <cell r="BX2263" t="str">
            <v>AON</v>
          </cell>
        </row>
        <row r="2264">
          <cell r="A2264" t="str">
            <v>ON</v>
          </cell>
          <cell r="B2264" t="str">
            <v>Trong 24h</v>
          </cell>
          <cell r="D2264" t="str">
            <v>Khiếu nại về dịch vụ FTTH</v>
          </cell>
          <cell r="W2264" t="str">
            <v>Đang xử lý</v>
          </cell>
          <cell r="AJ2264" t="str">
            <v>TP HCM</v>
          </cell>
          <cell r="BX2264" t="str">
            <v>AON</v>
          </cell>
        </row>
        <row r="2265">
          <cell r="A2265" t="str">
            <v>ON</v>
          </cell>
          <cell r="B2265" t="str">
            <v>Trong 24h</v>
          </cell>
          <cell r="D2265" t="str">
            <v>Khiếu nại về dịch vụ FTTH</v>
          </cell>
          <cell r="W2265" t="str">
            <v>Đang xử lý</v>
          </cell>
          <cell r="AJ2265" t="str">
            <v xml:space="preserve">Hà Tĩnh </v>
          </cell>
          <cell r="BX2265" t="str">
            <v>AON</v>
          </cell>
        </row>
        <row r="2266">
          <cell r="A2266" t="str">
            <v>ON</v>
          </cell>
          <cell r="B2266" t="str">
            <v>Trong 24h</v>
          </cell>
          <cell r="D2266" t="str">
            <v>Khiếu nại về dịch vụ FTTH</v>
          </cell>
          <cell r="W2266" t="str">
            <v>Đang xử lý</v>
          </cell>
          <cell r="AJ2266" t="str">
            <v>Kiên Giang</v>
          </cell>
          <cell r="BX2266" t="str">
            <v>AON</v>
          </cell>
        </row>
        <row r="2267">
          <cell r="A2267" t="str">
            <v>ON</v>
          </cell>
          <cell r="B2267" t="str">
            <v>Trong 24h</v>
          </cell>
          <cell r="D2267" t="str">
            <v>Khiếu nại về dịch vụ FTTH</v>
          </cell>
          <cell r="W2267" t="str">
            <v>Đang xử lý</v>
          </cell>
          <cell r="AJ2267" t="str">
            <v xml:space="preserve">Đồng Nai </v>
          </cell>
          <cell r="BX2267" t="str">
            <v>AON</v>
          </cell>
        </row>
        <row r="2268">
          <cell r="A2268" t="str">
            <v>ON</v>
          </cell>
          <cell r="B2268" t="str">
            <v>Trong 24h</v>
          </cell>
          <cell r="D2268" t="str">
            <v>Khiếu nại về dịch vụ FTTH</v>
          </cell>
          <cell r="W2268" t="str">
            <v>Đang xử lý</v>
          </cell>
          <cell r="AJ2268" t="str">
            <v>Tây Ninh</v>
          </cell>
          <cell r="BX2268" t="str">
            <v>AON</v>
          </cell>
        </row>
        <row r="2269">
          <cell r="A2269" t="str">
            <v>ON</v>
          </cell>
          <cell r="B2269" t="str">
            <v>Trong 24h</v>
          </cell>
          <cell r="D2269" t="str">
            <v>Khiếu nại về dịch vụ FTTH</v>
          </cell>
          <cell r="W2269" t="str">
            <v>Đang xử lý</v>
          </cell>
          <cell r="AJ2269" t="str">
            <v>Nghệ An</v>
          </cell>
          <cell r="BX2269" t="str">
            <v>AON</v>
          </cell>
        </row>
        <row r="2270">
          <cell r="A2270" t="str">
            <v>ON</v>
          </cell>
          <cell r="B2270" t="str">
            <v>Trong 24h</v>
          </cell>
          <cell r="D2270" t="str">
            <v>Khiếu nại về dịch vụ FTTH</v>
          </cell>
          <cell r="W2270" t="str">
            <v>Đang xử lý</v>
          </cell>
          <cell r="AJ2270" t="str">
            <v>TP HCM</v>
          </cell>
          <cell r="BX2270" t="str">
            <v>AON</v>
          </cell>
        </row>
        <row r="2271">
          <cell r="A2271" t="str">
            <v>ON</v>
          </cell>
          <cell r="B2271" t="str">
            <v>Trong 24h</v>
          </cell>
          <cell r="D2271" t="str">
            <v>Khiếu nại về dịch vụ NextTV</v>
          </cell>
          <cell r="W2271" t="str">
            <v>Đang xử lý</v>
          </cell>
          <cell r="AJ2271" t="str">
            <v>Quảng Ngãi</v>
          </cell>
          <cell r="BX2271" t="str">
            <v>AON</v>
          </cell>
        </row>
        <row r="2272">
          <cell r="A2272" t="str">
            <v>ON</v>
          </cell>
          <cell r="B2272" t="str">
            <v>Trong 24h</v>
          </cell>
          <cell r="D2272" t="str">
            <v>Khiếu nại về dịch vụ FTTH</v>
          </cell>
          <cell r="W2272" t="str">
            <v>Đang xử lý</v>
          </cell>
          <cell r="AJ2272" t="str">
            <v>Quảng Ngãi</v>
          </cell>
          <cell r="BX2272" t="str">
            <v>AON</v>
          </cell>
        </row>
        <row r="2273">
          <cell r="A2273" t="str">
            <v>ON</v>
          </cell>
          <cell r="B2273" t="str">
            <v>Trong 24h</v>
          </cell>
          <cell r="D2273" t="str">
            <v>Khiếu nại về dịch vụ FTTH</v>
          </cell>
          <cell r="W2273" t="str">
            <v>Đang xử lý</v>
          </cell>
          <cell r="AJ2273" t="str">
            <v>Hậu Giang</v>
          </cell>
          <cell r="BX2273" t="str">
            <v>AON</v>
          </cell>
        </row>
        <row r="2274">
          <cell r="A2274" t="str">
            <v>ON</v>
          </cell>
          <cell r="B2274" t="str">
            <v>Trong 24h</v>
          </cell>
          <cell r="D2274" t="str">
            <v>Khiếu nại về dịch vụ FTTH</v>
          </cell>
          <cell r="W2274" t="str">
            <v>Đang xử lý</v>
          </cell>
          <cell r="AJ2274" t="str">
            <v>Quảng Ninh</v>
          </cell>
          <cell r="BX2274" t="str">
            <v>AON</v>
          </cell>
        </row>
        <row r="2275">
          <cell r="A2275" t="str">
            <v>ON</v>
          </cell>
          <cell r="B2275" t="str">
            <v>Trong 24h</v>
          </cell>
          <cell r="D2275" t="str">
            <v>Khiếu nại về dịch vụ FTTH</v>
          </cell>
          <cell r="W2275" t="str">
            <v>Đang xử lý</v>
          </cell>
          <cell r="AJ2275" t="str">
            <v>Quảng Ninh</v>
          </cell>
          <cell r="BX2275" t="str">
            <v>AON</v>
          </cell>
        </row>
        <row r="2276">
          <cell r="A2276" t="str">
            <v>ON</v>
          </cell>
          <cell r="B2276" t="str">
            <v>Trong 24h</v>
          </cell>
          <cell r="D2276" t="str">
            <v>Khiếu nại về dịch vụ FTTH</v>
          </cell>
          <cell r="W2276" t="str">
            <v>Đang xử lý</v>
          </cell>
          <cell r="AJ2276" t="str">
            <v>Bình Phước</v>
          </cell>
          <cell r="BX2276" t="str">
            <v>AON</v>
          </cell>
        </row>
        <row r="2277">
          <cell r="A2277" t="str">
            <v>ON</v>
          </cell>
          <cell r="B2277" t="str">
            <v>Trong 24h</v>
          </cell>
          <cell r="D2277" t="str">
            <v>Khiếu nại về dịch vụ FTTH</v>
          </cell>
          <cell r="W2277" t="str">
            <v>Đang xử lý</v>
          </cell>
          <cell r="AJ2277" t="str">
            <v xml:space="preserve">Hà Tĩnh </v>
          </cell>
          <cell r="BX2277" t="str">
            <v>AON</v>
          </cell>
        </row>
        <row r="2278">
          <cell r="A2278" t="str">
            <v>ON</v>
          </cell>
          <cell r="B2278" t="str">
            <v>Trong 24h</v>
          </cell>
          <cell r="D2278" t="str">
            <v>Khiếu nại về dịch vụ NextTV</v>
          </cell>
          <cell r="W2278" t="str">
            <v>Đang xử lý</v>
          </cell>
          <cell r="AJ2278" t="str">
            <v>Hưng Yên</v>
          </cell>
          <cell r="BX2278" t="str">
            <v>AON</v>
          </cell>
        </row>
        <row r="2279">
          <cell r="A2279" t="str">
            <v>ON</v>
          </cell>
          <cell r="B2279" t="str">
            <v>Trong 24h</v>
          </cell>
          <cell r="D2279" t="str">
            <v>Khiếu nại về dịch vụ FTTH</v>
          </cell>
          <cell r="W2279" t="str">
            <v>Đang xử lý</v>
          </cell>
          <cell r="AJ2279" t="str">
            <v>TP HCM</v>
          </cell>
          <cell r="BX2279" t="str">
            <v>AON</v>
          </cell>
        </row>
        <row r="2280">
          <cell r="A2280" t="str">
            <v>ON</v>
          </cell>
          <cell r="B2280" t="str">
            <v>Trong 24h</v>
          </cell>
          <cell r="D2280" t="str">
            <v>Khiếu nại về dịch vụ FTTH</v>
          </cell>
          <cell r="W2280" t="str">
            <v>Đang xử lý</v>
          </cell>
          <cell r="AJ2280" t="str">
            <v>Nam Định</v>
          </cell>
          <cell r="BX2280" t="str">
            <v>AON</v>
          </cell>
        </row>
        <row r="2281">
          <cell r="A2281" t="str">
            <v>ON</v>
          </cell>
          <cell r="B2281" t="str">
            <v>Trong 24h</v>
          </cell>
          <cell r="D2281" t="str">
            <v>Khiếu nại về dịch vụ FTTH</v>
          </cell>
          <cell r="W2281" t="str">
            <v>Đang xử lý</v>
          </cell>
          <cell r="AJ2281" t="str">
            <v>TP HCM</v>
          </cell>
          <cell r="BX2281" t="str">
            <v>AON</v>
          </cell>
        </row>
        <row r="2282">
          <cell r="A2282" t="str">
            <v>ON</v>
          </cell>
          <cell r="B2282" t="str">
            <v>Trong 24h</v>
          </cell>
          <cell r="D2282" t="str">
            <v>Khiếu nại về dịch vụ NextTV</v>
          </cell>
          <cell r="W2282" t="str">
            <v>Đang xử lý</v>
          </cell>
          <cell r="AJ2282" t="str">
            <v>TP HCM</v>
          </cell>
          <cell r="BX2282" t="str">
            <v>AON</v>
          </cell>
        </row>
        <row r="2283">
          <cell r="A2283" t="str">
            <v>ON</v>
          </cell>
          <cell r="B2283" t="str">
            <v>Trong 24h</v>
          </cell>
          <cell r="D2283" t="str">
            <v>Khiếu nại về dịch vụ FTTH</v>
          </cell>
          <cell r="W2283" t="str">
            <v>Đang xử lý</v>
          </cell>
          <cell r="AJ2283" t="str">
            <v>TP HCM</v>
          </cell>
          <cell r="BX2283" t="str">
            <v>AON</v>
          </cell>
        </row>
        <row r="2284">
          <cell r="A2284" t="str">
            <v>ON</v>
          </cell>
          <cell r="B2284" t="str">
            <v>Trong 24h</v>
          </cell>
          <cell r="D2284" t="str">
            <v>Khiếu nại về dịch vụ FTTH</v>
          </cell>
          <cell r="W2284" t="str">
            <v>Đang xử lý</v>
          </cell>
          <cell r="AJ2284" t="str">
            <v>Hà Nội 1</v>
          </cell>
          <cell r="BX2284" t="str">
            <v>AON</v>
          </cell>
        </row>
        <row r="2285">
          <cell r="A2285" t="str">
            <v>ON</v>
          </cell>
          <cell r="B2285" t="str">
            <v>Trong 24h</v>
          </cell>
          <cell r="D2285" t="str">
            <v>Khiếu nại về dịch vụ FTTH</v>
          </cell>
          <cell r="W2285" t="str">
            <v>Đang xử lý</v>
          </cell>
          <cell r="AJ2285" t="str">
            <v>TP HCM</v>
          </cell>
          <cell r="BX2285" t="str">
            <v>AON</v>
          </cell>
        </row>
        <row r="2286">
          <cell r="A2286" t="str">
            <v>ON</v>
          </cell>
          <cell r="B2286" t="str">
            <v>Trong 24h</v>
          </cell>
          <cell r="D2286" t="str">
            <v>Khiếu nại về dịch vụ FTTH</v>
          </cell>
          <cell r="W2286" t="str">
            <v>Đang xử lý</v>
          </cell>
          <cell r="AJ2286" t="str">
            <v xml:space="preserve">Đồng Nai </v>
          </cell>
          <cell r="BX2286" t="str">
            <v>AON</v>
          </cell>
        </row>
        <row r="2287">
          <cell r="A2287" t="str">
            <v>ON</v>
          </cell>
          <cell r="B2287" t="str">
            <v>Trong 24h</v>
          </cell>
          <cell r="D2287" t="str">
            <v>Khiếu nại về dịch vụ FTTH</v>
          </cell>
          <cell r="W2287" t="str">
            <v>Đang xử lý</v>
          </cell>
          <cell r="AJ2287" t="str">
            <v>Hà Nội 1</v>
          </cell>
          <cell r="BX2287" t="str">
            <v>AON</v>
          </cell>
        </row>
        <row r="2288">
          <cell r="A2288" t="str">
            <v>ON</v>
          </cell>
          <cell r="B2288" t="str">
            <v>Trong 24h</v>
          </cell>
          <cell r="D2288" t="str">
            <v>Khiếu nại về dịch vụ FTTH</v>
          </cell>
          <cell r="W2288" t="str">
            <v>Đã đóng</v>
          </cell>
          <cell r="AJ2288" t="str">
            <v>TP HCM</v>
          </cell>
          <cell r="BX2288" t="str">
            <v>AON</v>
          </cell>
        </row>
        <row r="2289">
          <cell r="A2289" t="str">
            <v>ON</v>
          </cell>
          <cell r="B2289" t="str">
            <v>Trong 24h</v>
          </cell>
          <cell r="D2289" t="str">
            <v>Khiếu nại về dịch vụ FTTH</v>
          </cell>
          <cell r="W2289" t="str">
            <v>Đang xử lý</v>
          </cell>
          <cell r="AJ2289" t="str">
            <v xml:space="preserve">Đồng Nai </v>
          </cell>
          <cell r="BX2289" t="str">
            <v>AON</v>
          </cell>
        </row>
        <row r="2290">
          <cell r="A2290" t="str">
            <v>ON</v>
          </cell>
          <cell r="B2290" t="str">
            <v>Trong 24h</v>
          </cell>
          <cell r="D2290" t="str">
            <v>Khiếu nại về dịch vụ FTTH</v>
          </cell>
          <cell r="W2290" t="str">
            <v>Đang xử lý</v>
          </cell>
          <cell r="AJ2290" t="str">
            <v>Hà Nội 1</v>
          </cell>
          <cell r="BX2290" t="str">
            <v>AON</v>
          </cell>
        </row>
        <row r="2291">
          <cell r="A2291" t="str">
            <v>ON</v>
          </cell>
          <cell r="B2291" t="str">
            <v>Trong 24h</v>
          </cell>
          <cell r="D2291" t="str">
            <v>Khiếu nại về dịch vụ FTTH</v>
          </cell>
          <cell r="W2291" t="str">
            <v>Đang xử lý</v>
          </cell>
          <cell r="AJ2291" t="str">
            <v>TP HCM</v>
          </cell>
          <cell r="BX2291" t="str">
            <v>AON</v>
          </cell>
        </row>
        <row r="2292">
          <cell r="A2292" t="str">
            <v>ON</v>
          </cell>
          <cell r="B2292" t="str">
            <v>Trong 24h</v>
          </cell>
          <cell r="D2292" t="str">
            <v>Khiếu nại về dịch vụ FTTH</v>
          </cell>
          <cell r="W2292" t="str">
            <v>Đang xử lý</v>
          </cell>
          <cell r="AJ2292" t="str">
            <v>TP HCM</v>
          </cell>
          <cell r="BX2292" t="str">
            <v>AON</v>
          </cell>
        </row>
        <row r="2293">
          <cell r="A2293" t="str">
            <v>ON</v>
          </cell>
          <cell r="B2293" t="str">
            <v>Trong 24h</v>
          </cell>
          <cell r="D2293" t="str">
            <v>Khiếu nại về dịch vụ FTTH</v>
          </cell>
          <cell r="W2293" t="str">
            <v>Đang xử lý</v>
          </cell>
          <cell r="AJ2293" t="str">
            <v>Bà Rịa - Vũng Tàu</v>
          </cell>
          <cell r="BX2293" t="str">
            <v>AON</v>
          </cell>
        </row>
        <row r="2294">
          <cell r="A2294" t="str">
            <v>ON</v>
          </cell>
          <cell r="B2294" t="str">
            <v>Trong 24h</v>
          </cell>
          <cell r="D2294" t="str">
            <v>Khiếu nại về dịch vụ FTTH</v>
          </cell>
          <cell r="W2294" t="str">
            <v>Đang xử lý</v>
          </cell>
          <cell r="AJ2294" t="str">
            <v>Quảng Trị</v>
          </cell>
          <cell r="BX2294" t="str">
            <v>AON</v>
          </cell>
        </row>
        <row r="2295">
          <cell r="A2295" t="str">
            <v>ON</v>
          </cell>
          <cell r="B2295" t="str">
            <v>Trong 24h</v>
          </cell>
          <cell r="D2295" t="str">
            <v>Khiếu nại về dịch vụ FTTH</v>
          </cell>
          <cell r="W2295" t="str">
            <v>Đang xử lý</v>
          </cell>
          <cell r="AJ2295" t="str">
            <v>Long An</v>
          </cell>
          <cell r="BX2295" t="str">
            <v>GPON</v>
          </cell>
        </row>
        <row r="2296">
          <cell r="A2296" t="str">
            <v>ON</v>
          </cell>
          <cell r="B2296" t="str">
            <v>Trong 24h</v>
          </cell>
          <cell r="D2296" t="str">
            <v>Khiếu nại về dịch vụ FTTH</v>
          </cell>
          <cell r="W2296" t="str">
            <v>Đang xử lý</v>
          </cell>
          <cell r="AJ2296" t="str">
            <v>TP HCM</v>
          </cell>
          <cell r="BX2296" t="str">
            <v>AON</v>
          </cell>
        </row>
        <row r="2297">
          <cell r="A2297" t="str">
            <v>ON</v>
          </cell>
          <cell r="B2297" t="str">
            <v>Trong 24h</v>
          </cell>
          <cell r="D2297" t="str">
            <v>Khiếu nại về dịch vụ FTTH</v>
          </cell>
          <cell r="W2297" t="str">
            <v>Đang xử lý</v>
          </cell>
          <cell r="AJ2297" t="str">
            <v>TP HCM</v>
          </cell>
          <cell r="BX2297" t="str">
            <v>AON</v>
          </cell>
        </row>
        <row r="2298">
          <cell r="A2298" t="str">
            <v>ON</v>
          </cell>
          <cell r="B2298" t="str">
            <v>Trong 24h</v>
          </cell>
          <cell r="D2298" t="str">
            <v>Khiếu nại về dịch vụ FTTH</v>
          </cell>
          <cell r="W2298" t="str">
            <v>Đang xử lý</v>
          </cell>
          <cell r="AJ2298" t="str">
            <v>Thái Nguyên</v>
          </cell>
          <cell r="BX2298" t="str">
            <v>AON</v>
          </cell>
        </row>
        <row r="2299">
          <cell r="A2299" t="str">
            <v>ON</v>
          </cell>
          <cell r="B2299" t="str">
            <v>Trong 24h</v>
          </cell>
          <cell r="D2299" t="str">
            <v>Khiếu nại về dịch vụ FTTH</v>
          </cell>
          <cell r="W2299" t="str">
            <v>Đang xử lý</v>
          </cell>
          <cell r="AJ2299" t="str">
            <v xml:space="preserve">Đắc Lắk </v>
          </cell>
          <cell r="BX2299" t="str">
            <v>AON</v>
          </cell>
        </row>
        <row r="2300">
          <cell r="A2300" t="str">
            <v>ON</v>
          </cell>
          <cell r="B2300" t="str">
            <v>Trong 24h</v>
          </cell>
          <cell r="D2300" t="str">
            <v>Khiếu nại về dịch vụ FTTH</v>
          </cell>
          <cell r="W2300" t="str">
            <v>Đang xử lý</v>
          </cell>
          <cell r="AJ2300" t="str">
            <v>Hưng Yên</v>
          </cell>
          <cell r="BX2300" t="str">
            <v>AON</v>
          </cell>
        </row>
        <row r="2301">
          <cell r="A2301" t="str">
            <v>ON</v>
          </cell>
          <cell r="B2301" t="str">
            <v>Trong 24h</v>
          </cell>
          <cell r="D2301" t="str">
            <v>Khiếu nại về dịch vụ FTTH</v>
          </cell>
          <cell r="W2301" t="str">
            <v>Đang xử lý</v>
          </cell>
          <cell r="AJ2301" t="str">
            <v>Bình Dương</v>
          </cell>
          <cell r="BX2301" t="str">
            <v>AON</v>
          </cell>
        </row>
        <row r="2302">
          <cell r="A2302" t="str">
            <v>ON</v>
          </cell>
          <cell r="B2302" t="str">
            <v>Trong 24h</v>
          </cell>
          <cell r="D2302" t="str">
            <v>Khiếu nại về dịch vụ FTTH</v>
          </cell>
          <cell r="W2302" t="str">
            <v>Đang xử lý</v>
          </cell>
          <cell r="AJ2302" t="str">
            <v>Hậu Giang</v>
          </cell>
          <cell r="BX2302" t="str">
            <v>AON</v>
          </cell>
        </row>
        <row r="2303">
          <cell r="A2303" t="str">
            <v>ON</v>
          </cell>
          <cell r="B2303" t="str">
            <v>Trong 24h</v>
          </cell>
          <cell r="D2303" t="str">
            <v>Khiếu nại về dịch vụ FTTH</v>
          </cell>
          <cell r="W2303" t="str">
            <v>Đang xử lý</v>
          </cell>
          <cell r="AJ2303" t="str">
            <v>TP HCM</v>
          </cell>
          <cell r="BX2303" t="str">
            <v>AON</v>
          </cell>
        </row>
        <row r="2304">
          <cell r="A2304" t="str">
            <v>ON</v>
          </cell>
          <cell r="B2304" t="str">
            <v>Trong 24h</v>
          </cell>
          <cell r="D2304" t="str">
            <v>Khiếu nại về dịch vụ FTTH</v>
          </cell>
          <cell r="W2304" t="str">
            <v>Đang xử lý</v>
          </cell>
          <cell r="AJ2304" t="str">
            <v>TP HCM</v>
          </cell>
          <cell r="BX2304" t="str">
            <v>AON</v>
          </cell>
        </row>
        <row r="2305">
          <cell r="A2305" t="str">
            <v>ON</v>
          </cell>
          <cell r="B2305" t="str">
            <v>Trong 24h</v>
          </cell>
          <cell r="D2305" t="str">
            <v>Khiếu nại về dịch vụ FTTH</v>
          </cell>
          <cell r="W2305" t="str">
            <v>Đang xử lý</v>
          </cell>
          <cell r="AJ2305" t="str">
            <v>Hưng Yên</v>
          </cell>
          <cell r="BX2305" t="str">
            <v>AON</v>
          </cell>
        </row>
        <row r="2306">
          <cell r="A2306" t="str">
            <v>ON</v>
          </cell>
          <cell r="B2306" t="str">
            <v>Trong 24h</v>
          </cell>
          <cell r="D2306" t="str">
            <v>Khiếu nại về dịch vụ FTTH</v>
          </cell>
          <cell r="W2306" t="str">
            <v>Đang xử lý</v>
          </cell>
          <cell r="AJ2306" t="str">
            <v>Quảng Ninh</v>
          </cell>
          <cell r="BX2306" t="str">
            <v>AON</v>
          </cell>
        </row>
        <row r="2307">
          <cell r="A2307" t="str">
            <v>ON</v>
          </cell>
          <cell r="B2307" t="str">
            <v>Trong 24h</v>
          </cell>
          <cell r="D2307" t="str">
            <v>Khiếu nại về dịch vụ FTTH</v>
          </cell>
          <cell r="W2307" t="str">
            <v>Đang xử lý</v>
          </cell>
          <cell r="AJ2307" t="str">
            <v>TP HCM</v>
          </cell>
          <cell r="BX2307" t="str">
            <v>AON</v>
          </cell>
        </row>
        <row r="2308">
          <cell r="A2308" t="str">
            <v>ON</v>
          </cell>
          <cell r="B2308" t="str">
            <v>Trong 24h</v>
          </cell>
          <cell r="D2308" t="str">
            <v>Khiếu nại về dịch vụ FTTH</v>
          </cell>
          <cell r="W2308" t="str">
            <v>Đang xử lý</v>
          </cell>
          <cell r="AJ2308" t="str">
            <v>TP HCM</v>
          </cell>
          <cell r="BX2308" t="str">
            <v>AON</v>
          </cell>
        </row>
        <row r="2309">
          <cell r="A2309" t="str">
            <v>ON</v>
          </cell>
          <cell r="B2309" t="str">
            <v>Trong 24h</v>
          </cell>
          <cell r="D2309" t="str">
            <v>Khiếu nại về dịch vụ FTTH</v>
          </cell>
          <cell r="W2309" t="str">
            <v>Đang xử lý</v>
          </cell>
          <cell r="AJ2309" t="str">
            <v>TP HCM</v>
          </cell>
          <cell r="BX2309" t="str">
            <v>AON</v>
          </cell>
        </row>
        <row r="2310">
          <cell r="A2310" t="str">
            <v>ON</v>
          </cell>
          <cell r="B2310" t="str">
            <v>Trong 24h</v>
          </cell>
          <cell r="D2310" t="str">
            <v>Khiếu nại về dịch vụ FTTH</v>
          </cell>
          <cell r="W2310" t="str">
            <v>Đang xử lý</v>
          </cell>
          <cell r="AJ2310" t="str">
            <v>TP HCM</v>
          </cell>
          <cell r="BX2310" t="str">
            <v>AON</v>
          </cell>
        </row>
        <row r="2311">
          <cell r="A2311" t="str">
            <v>ON</v>
          </cell>
          <cell r="B2311" t="str">
            <v>Trong 24h</v>
          </cell>
          <cell r="D2311" t="str">
            <v>Khiếu nại về dịch vụ FTTH</v>
          </cell>
          <cell r="W2311" t="str">
            <v>Đang xử lý</v>
          </cell>
          <cell r="AJ2311" t="str">
            <v>Hà Nội 2</v>
          </cell>
          <cell r="BX2311" t="str">
            <v>AON</v>
          </cell>
        </row>
        <row r="2312">
          <cell r="A2312" t="str">
            <v>ON</v>
          </cell>
          <cell r="B2312" t="str">
            <v>Trong 24h</v>
          </cell>
          <cell r="D2312" t="str">
            <v>Khiếu nại về dịch vụ FTTH</v>
          </cell>
          <cell r="W2312" t="str">
            <v>Đang xử lý</v>
          </cell>
          <cell r="AJ2312" t="str">
            <v>An Giang</v>
          </cell>
          <cell r="BX2312" t="str">
            <v>AON</v>
          </cell>
        </row>
        <row r="2313">
          <cell r="A2313" t="str">
            <v>ON</v>
          </cell>
          <cell r="B2313" t="str">
            <v>Trong 24h</v>
          </cell>
          <cell r="D2313" t="str">
            <v>Khiếu nại về dịch vụ FTTH</v>
          </cell>
          <cell r="W2313" t="str">
            <v>Đang xử lý</v>
          </cell>
          <cell r="AJ2313" t="str">
            <v xml:space="preserve">Đà Nẵng </v>
          </cell>
          <cell r="BX2313" t="str">
            <v>AON</v>
          </cell>
        </row>
        <row r="2314">
          <cell r="A2314" t="str">
            <v>ON</v>
          </cell>
          <cell r="B2314" t="str">
            <v>Trong 24h</v>
          </cell>
          <cell r="D2314" t="str">
            <v>Khiếu nại về dịch vụ NextTV</v>
          </cell>
          <cell r="W2314" t="str">
            <v>Đang xử lý</v>
          </cell>
          <cell r="AJ2314" t="str">
            <v>TP HCM</v>
          </cell>
          <cell r="BX2314" t="str">
            <v>AON</v>
          </cell>
        </row>
        <row r="2315">
          <cell r="A2315" t="str">
            <v>ON</v>
          </cell>
          <cell r="B2315" t="str">
            <v>Trong 24h</v>
          </cell>
          <cell r="D2315" t="str">
            <v>Khiếu nại về dịch vụ FTTH</v>
          </cell>
          <cell r="W2315" t="str">
            <v>Đang xử lý</v>
          </cell>
          <cell r="AJ2315" t="str">
            <v>Hà Nội 2</v>
          </cell>
          <cell r="BX2315" t="str">
            <v>AON</v>
          </cell>
        </row>
        <row r="2316">
          <cell r="A2316" t="str">
            <v>ON</v>
          </cell>
          <cell r="B2316" t="str">
            <v>Trong 24h</v>
          </cell>
          <cell r="D2316" t="str">
            <v>Khiếu nại về dịch vụ FTTH</v>
          </cell>
          <cell r="W2316" t="str">
            <v>Đang xử lý</v>
          </cell>
          <cell r="AJ2316" t="str">
            <v>Hải Dương</v>
          </cell>
          <cell r="BX2316" t="str">
            <v>AON</v>
          </cell>
        </row>
        <row r="2317">
          <cell r="A2317" t="str">
            <v>ON</v>
          </cell>
          <cell r="B2317" t="str">
            <v>Trong 24h</v>
          </cell>
          <cell r="D2317" t="str">
            <v>Khiếu nại về dịch vụ FTTH</v>
          </cell>
          <cell r="W2317" t="str">
            <v>Đang xử lý</v>
          </cell>
          <cell r="AJ2317" t="str">
            <v>Hà Nội 2</v>
          </cell>
          <cell r="BX2317" t="str">
            <v>AON</v>
          </cell>
        </row>
        <row r="2318">
          <cell r="A2318" t="str">
            <v>ON</v>
          </cell>
          <cell r="B2318" t="str">
            <v>Trong 24h</v>
          </cell>
          <cell r="D2318" t="str">
            <v>Khiếu nại về dịch vụ FTTH</v>
          </cell>
          <cell r="W2318" t="str">
            <v>Đang xử lý</v>
          </cell>
          <cell r="AJ2318" t="str">
            <v>Bắc Giang</v>
          </cell>
          <cell r="BX2318" t="str">
            <v>AON</v>
          </cell>
        </row>
        <row r="2319">
          <cell r="A2319" t="str">
            <v>ON</v>
          </cell>
          <cell r="B2319" t="str">
            <v>Trong 24h</v>
          </cell>
          <cell r="D2319" t="str">
            <v>Khiếu nại về dịch vụ FTTH</v>
          </cell>
          <cell r="W2319" t="str">
            <v>Đang xử lý</v>
          </cell>
          <cell r="AJ2319" t="str">
            <v>Thanh Hoá</v>
          </cell>
          <cell r="BX2319" t="str">
            <v>AON</v>
          </cell>
        </row>
        <row r="2320">
          <cell r="A2320" t="str">
            <v>ON</v>
          </cell>
          <cell r="B2320" t="str">
            <v>Trong 24h</v>
          </cell>
          <cell r="D2320" t="str">
            <v>Khiếu nại về dịch vụ FTTH</v>
          </cell>
          <cell r="W2320" t="str">
            <v>Đang xử lý</v>
          </cell>
          <cell r="AJ2320" t="str">
            <v>Hải Phòng</v>
          </cell>
          <cell r="BX2320" t="str">
            <v>AON</v>
          </cell>
        </row>
        <row r="2321">
          <cell r="A2321" t="str">
            <v>ON</v>
          </cell>
          <cell r="B2321" t="str">
            <v>Trong 24h</v>
          </cell>
          <cell r="D2321" t="str">
            <v>Khiếu nại về dịch vụ FTTH</v>
          </cell>
          <cell r="W2321" t="str">
            <v>Đang xử lý</v>
          </cell>
          <cell r="AJ2321" t="str">
            <v>Long An</v>
          </cell>
          <cell r="BX2321" t="str">
            <v>AON</v>
          </cell>
        </row>
        <row r="2322">
          <cell r="A2322" t="str">
            <v>ON</v>
          </cell>
          <cell r="B2322" t="str">
            <v>Trong 24h</v>
          </cell>
          <cell r="D2322" t="str">
            <v>Khiếu nại về dịch vụ FTTH</v>
          </cell>
          <cell r="W2322" t="str">
            <v>Đã đóng</v>
          </cell>
          <cell r="AJ2322" t="str">
            <v>TP HCM</v>
          </cell>
          <cell r="BX2322" t="str">
            <v>AON</v>
          </cell>
        </row>
        <row r="2323">
          <cell r="A2323" t="str">
            <v>ON</v>
          </cell>
          <cell r="B2323" t="str">
            <v>Trong 24h</v>
          </cell>
          <cell r="D2323" t="str">
            <v>Khiếu nại về dịch vụ FTTH</v>
          </cell>
          <cell r="W2323" t="str">
            <v>Đang xử lý</v>
          </cell>
          <cell r="AJ2323" t="str">
            <v>Phú Yên</v>
          </cell>
          <cell r="BX2323" t="str">
            <v>AON</v>
          </cell>
        </row>
        <row r="2324">
          <cell r="A2324" t="str">
            <v>ON</v>
          </cell>
          <cell r="B2324" t="str">
            <v>Trong 24h</v>
          </cell>
          <cell r="D2324" t="str">
            <v>Khiếu nại về dịch vụ FTTH</v>
          </cell>
          <cell r="W2324" t="str">
            <v>Đang xử lý</v>
          </cell>
          <cell r="AJ2324" t="str">
            <v>Hà Nam</v>
          </cell>
          <cell r="BX2324" t="str">
            <v>AON</v>
          </cell>
        </row>
        <row r="2325">
          <cell r="A2325" t="str">
            <v>ON</v>
          </cell>
          <cell r="B2325" t="str">
            <v>Trong 24h</v>
          </cell>
          <cell r="D2325" t="str">
            <v>Khiếu nại về dịch vụ FTTH</v>
          </cell>
          <cell r="W2325" t="str">
            <v>Đang xử lý</v>
          </cell>
          <cell r="AJ2325" t="str">
            <v>Bến Tre</v>
          </cell>
          <cell r="BX2325" t="str">
            <v>AON</v>
          </cell>
        </row>
        <row r="2326">
          <cell r="A2326" t="str">
            <v>ON</v>
          </cell>
          <cell r="B2326" t="str">
            <v>Trong 24h</v>
          </cell>
          <cell r="D2326" t="str">
            <v>Khiếu nại về dịch vụ FTTH</v>
          </cell>
          <cell r="W2326" t="str">
            <v>Đang xử lý</v>
          </cell>
          <cell r="AJ2326" t="str">
            <v xml:space="preserve">Quảng Nam </v>
          </cell>
          <cell r="BX2326" t="str">
            <v>AON</v>
          </cell>
        </row>
        <row r="2327">
          <cell r="A2327" t="str">
            <v>ON</v>
          </cell>
          <cell r="B2327" t="str">
            <v>Trong 24h</v>
          </cell>
          <cell r="D2327" t="str">
            <v>Khiếu nại về dịch vụ FTTH</v>
          </cell>
          <cell r="W2327" t="str">
            <v>Đang xử lý</v>
          </cell>
          <cell r="AJ2327" t="str">
            <v>Bắc Giang</v>
          </cell>
          <cell r="BX2327" t="str">
            <v>AON</v>
          </cell>
        </row>
        <row r="2328">
          <cell r="A2328" t="str">
            <v>ON</v>
          </cell>
          <cell r="B2328" t="str">
            <v>Trong 24h</v>
          </cell>
          <cell r="D2328" t="str">
            <v>Khiếu nại về dịch vụ FTTH</v>
          </cell>
          <cell r="W2328" t="str">
            <v>Đang xử lý</v>
          </cell>
          <cell r="AJ2328" t="str">
            <v>Quảng Ninh</v>
          </cell>
          <cell r="BX2328" t="str">
            <v>AON</v>
          </cell>
        </row>
        <row r="2329">
          <cell r="A2329" t="str">
            <v>ON</v>
          </cell>
          <cell r="B2329" t="str">
            <v>Trong 24h</v>
          </cell>
          <cell r="D2329" t="str">
            <v>Khiếu nại về dịch vụ NextTV</v>
          </cell>
          <cell r="W2329" t="str">
            <v>Đang xử lý</v>
          </cell>
          <cell r="AJ2329" t="str">
            <v>TP HCM</v>
          </cell>
          <cell r="BX2329" t="str">
            <v>AON</v>
          </cell>
        </row>
        <row r="2330">
          <cell r="A2330" t="str">
            <v>ON</v>
          </cell>
          <cell r="B2330" t="str">
            <v>Trong 24h</v>
          </cell>
          <cell r="D2330" t="str">
            <v>Khiếu nại về dịch vụ FTTH</v>
          </cell>
          <cell r="W2330" t="str">
            <v>Đang xử lý</v>
          </cell>
          <cell r="AJ2330" t="str">
            <v>Hưng Yên</v>
          </cell>
          <cell r="BX2330" t="str">
            <v>AON</v>
          </cell>
        </row>
        <row r="2331">
          <cell r="A2331" t="str">
            <v>ON</v>
          </cell>
          <cell r="B2331" t="str">
            <v>Trong 24h</v>
          </cell>
          <cell r="D2331" t="str">
            <v>Khiếu nại về dịch vụ FTTH</v>
          </cell>
          <cell r="W2331" t="str">
            <v>Đang xử lý</v>
          </cell>
          <cell r="AJ2331" t="str">
            <v>Hà Nội 1</v>
          </cell>
          <cell r="BX2331" t="str">
            <v>AON</v>
          </cell>
        </row>
        <row r="2332">
          <cell r="A2332" t="str">
            <v>ON</v>
          </cell>
          <cell r="B2332" t="str">
            <v>Trong 24h</v>
          </cell>
          <cell r="D2332" t="str">
            <v>Khiếu nại về dịch vụ FTTH</v>
          </cell>
          <cell r="W2332" t="str">
            <v>Đang xử lý</v>
          </cell>
          <cell r="AJ2332" t="str">
            <v>Hà Nội 2</v>
          </cell>
          <cell r="BX2332" t="str">
            <v>AON</v>
          </cell>
        </row>
        <row r="2333">
          <cell r="A2333" t="str">
            <v>ON</v>
          </cell>
          <cell r="B2333" t="str">
            <v>Trong 24h</v>
          </cell>
          <cell r="D2333" t="str">
            <v>Khiếu nại về dịch vụ FTTH</v>
          </cell>
          <cell r="W2333" t="str">
            <v>Đang xử lý</v>
          </cell>
          <cell r="AJ2333" t="str">
            <v>Bình Thuận</v>
          </cell>
          <cell r="BX2333" t="str">
            <v>AON</v>
          </cell>
        </row>
        <row r="2334">
          <cell r="A2334" t="str">
            <v>ON</v>
          </cell>
          <cell r="B2334" t="str">
            <v>Trong 24h</v>
          </cell>
          <cell r="D2334" t="str">
            <v>Khiếu nại về dịch vụ FTTH</v>
          </cell>
          <cell r="W2334" t="str">
            <v>Đang xử lý</v>
          </cell>
          <cell r="AJ2334" t="str">
            <v>Hậu Giang</v>
          </cell>
          <cell r="BX2334" t="str">
            <v>AON</v>
          </cell>
        </row>
        <row r="2335">
          <cell r="A2335" t="str">
            <v>ON</v>
          </cell>
          <cell r="B2335" t="str">
            <v>Trong 24h</v>
          </cell>
          <cell r="D2335" t="str">
            <v>Khiếu nại về dịch vụ FTTH</v>
          </cell>
          <cell r="W2335" t="str">
            <v>Đang xử lý</v>
          </cell>
          <cell r="AJ2335" t="str">
            <v>Hà Nội 1</v>
          </cell>
          <cell r="BX2335" t="str">
            <v>AON</v>
          </cell>
        </row>
        <row r="2336">
          <cell r="A2336" t="str">
            <v>ON</v>
          </cell>
          <cell r="B2336" t="str">
            <v>Trong 24h</v>
          </cell>
          <cell r="D2336" t="str">
            <v>Khiếu nại về dịch vụ FTTH</v>
          </cell>
          <cell r="W2336" t="str">
            <v>Đang xử lý</v>
          </cell>
          <cell r="AJ2336" t="str">
            <v>Nghệ An</v>
          </cell>
          <cell r="BX2336" t="str">
            <v>AON</v>
          </cell>
        </row>
        <row r="2337">
          <cell r="A2337" t="str">
            <v>ON</v>
          </cell>
          <cell r="B2337" t="str">
            <v>Trong 24h</v>
          </cell>
          <cell r="D2337" t="str">
            <v>Khiếu nại về dịch vụ FTTH</v>
          </cell>
          <cell r="W2337" t="str">
            <v>Đang xử lý</v>
          </cell>
          <cell r="AJ2337" t="str">
            <v>TP HCM</v>
          </cell>
          <cell r="BX2337" t="str">
            <v>AON</v>
          </cell>
        </row>
        <row r="2338">
          <cell r="A2338" t="str">
            <v>ON</v>
          </cell>
          <cell r="B2338" t="str">
            <v>Trong 24h</v>
          </cell>
          <cell r="D2338" t="str">
            <v>Khiếu nại về dịch vụ FTTH</v>
          </cell>
          <cell r="W2338" t="str">
            <v>Đang xử lý</v>
          </cell>
          <cell r="AJ2338" t="str">
            <v>Bến Tre</v>
          </cell>
          <cell r="BX2338" t="str">
            <v>AON</v>
          </cell>
        </row>
        <row r="2339">
          <cell r="A2339" t="str">
            <v>ON</v>
          </cell>
          <cell r="B2339" t="str">
            <v>Trong 24h</v>
          </cell>
          <cell r="D2339" t="str">
            <v>Khiếu nại về dịch vụ FTTH</v>
          </cell>
          <cell r="W2339" t="str">
            <v>Đang xử lý</v>
          </cell>
          <cell r="AJ2339" t="str">
            <v>TP HCM</v>
          </cell>
          <cell r="BX2339" t="str">
            <v>AON</v>
          </cell>
        </row>
        <row r="2340">
          <cell r="A2340" t="str">
            <v>ON</v>
          </cell>
          <cell r="B2340" t="str">
            <v>Trong 24h</v>
          </cell>
          <cell r="D2340" t="str">
            <v>Khiếu nại về dịch vụ FTTH</v>
          </cell>
          <cell r="W2340" t="str">
            <v>Đang xử lý</v>
          </cell>
          <cell r="AJ2340" t="str">
            <v>TP HCM</v>
          </cell>
          <cell r="BX2340" t="str">
            <v>AON</v>
          </cell>
        </row>
        <row r="2341">
          <cell r="A2341" t="str">
            <v>ON</v>
          </cell>
          <cell r="B2341" t="str">
            <v>Trong 24h</v>
          </cell>
          <cell r="D2341" t="str">
            <v>Khiếu nại về dịch vụ FTTH</v>
          </cell>
          <cell r="W2341" t="str">
            <v>Đang xử lý</v>
          </cell>
          <cell r="AJ2341" t="str">
            <v>Bình Dương</v>
          </cell>
          <cell r="BX2341" t="str">
            <v>AON</v>
          </cell>
        </row>
        <row r="2342">
          <cell r="A2342" t="str">
            <v>ON</v>
          </cell>
          <cell r="B2342" t="str">
            <v>Trong 24h</v>
          </cell>
          <cell r="D2342" t="str">
            <v>Khiếu nại về dịch vụ FTTH</v>
          </cell>
          <cell r="W2342" t="str">
            <v>Đang xử lý</v>
          </cell>
          <cell r="AJ2342" t="str">
            <v>Cần Thơ</v>
          </cell>
          <cell r="BX2342" t="str">
            <v>AON</v>
          </cell>
        </row>
        <row r="2343">
          <cell r="A2343" t="str">
            <v>ON</v>
          </cell>
          <cell r="B2343" t="str">
            <v>Trong 24h</v>
          </cell>
          <cell r="D2343" t="str">
            <v>Khiếu nại về dịch vụ NextTV</v>
          </cell>
          <cell r="W2343" t="str">
            <v>Đang xử lý</v>
          </cell>
          <cell r="AJ2343" t="str">
            <v xml:space="preserve">Đồng Nai </v>
          </cell>
          <cell r="BX2343" t="str">
            <v>AON</v>
          </cell>
        </row>
        <row r="2344">
          <cell r="A2344" t="str">
            <v>ON</v>
          </cell>
          <cell r="B2344" t="str">
            <v>Trong 24h</v>
          </cell>
          <cell r="D2344" t="str">
            <v>Khiếu nại về dịch vụ FTTH</v>
          </cell>
          <cell r="W2344" t="str">
            <v>Đang xử lý</v>
          </cell>
          <cell r="AJ2344" t="str">
            <v>Hà Nội 1</v>
          </cell>
          <cell r="BX2344" t="str">
            <v>AON</v>
          </cell>
        </row>
        <row r="2345">
          <cell r="A2345" t="str">
            <v>ON</v>
          </cell>
          <cell r="B2345" t="str">
            <v>Trong 24h</v>
          </cell>
          <cell r="D2345" t="str">
            <v>Khiếu nại về dịch vụ FTTH</v>
          </cell>
          <cell r="W2345" t="str">
            <v>Đang xử lý</v>
          </cell>
          <cell r="AJ2345" t="str">
            <v>An Giang</v>
          </cell>
          <cell r="BX2345" t="str">
            <v>AON</v>
          </cell>
        </row>
        <row r="2346">
          <cell r="A2346" t="str">
            <v>ON</v>
          </cell>
          <cell r="B2346" t="str">
            <v>Trong 24h</v>
          </cell>
          <cell r="D2346" t="str">
            <v>Khiếu nại về dịch vụ FTTH</v>
          </cell>
          <cell r="W2346" t="str">
            <v>Đang xử lý</v>
          </cell>
          <cell r="AJ2346" t="str">
            <v>Bắc Giang</v>
          </cell>
          <cell r="BX2346" t="str">
            <v>AON</v>
          </cell>
        </row>
        <row r="2347">
          <cell r="A2347" t="str">
            <v>ON</v>
          </cell>
          <cell r="B2347" t="str">
            <v>Trong 24h</v>
          </cell>
          <cell r="D2347" t="str">
            <v>Khiếu nại về dịch vụ FTTH</v>
          </cell>
          <cell r="W2347" t="str">
            <v>Đang xử lý</v>
          </cell>
          <cell r="AJ2347" t="str">
            <v>TP HCM</v>
          </cell>
          <cell r="BX2347" t="str">
            <v>AON</v>
          </cell>
        </row>
        <row r="2348">
          <cell r="A2348" t="str">
            <v>ON</v>
          </cell>
          <cell r="B2348" t="str">
            <v>Trong 24h</v>
          </cell>
          <cell r="D2348" t="str">
            <v>Khiếu nại về dịch vụ FTTH</v>
          </cell>
          <cell r="W2348" t="str">
            <v>Đang xử lý</v>
          </cell>
          <cell r="AJ2348" t="str">
            <v>TP HCM</v>
          </cell>
          <cell r="BX2348" t="str">
            <v>AON</v>
          </cell>
        </row>
        <row r="2349">
          <cell r="A2349" t="str">
            <v>ON</v>
          </cell>
          <cell r="B2349" t="str">
            <v>Trong 24h</v>
          </cell>
          <cell r="D2349" t="str">
            <v>Khiếu nại về dịch vụ FTTH</v>
          </cell>
          <cell r="W2349" t="str">
            <v>Đang xử lý</v>
          </cell>
          <cell r="AJ2349" t="str">
            <v>TP HCM</v>
          </cell>
          <cell r="BX2349" t="str">
            <v>AON</v>
          </cell>
        </row>
        <row r="2350">
          <cell r="A2350" t="str">
            <v>ON</v>
          </cell>
          <cell r="B2350" t="str">
            <v>Trong 24h</v>
          </cell>
          <cell r="D2350" t="str">
            <v>Khiếu nại về dịch vụ FTTH</v>
          </cell>
          <cell r="W2350" t="str">
            <v>Đã đóng</v>
          </cell>
          <cell r="AJ2350" t="str">
            <v xml:space="preserve">Đắc Lắk </v>
          </cell>
          <cell r="BX2350" t="str">
            <v>AON</v>
          </cell>
        </row>
        <row r="2351">
          <cell r="A2351" t="str">
            <v>ON</v>
          </cell>
          <cell r="B2351" t="str">
            <v>Trong 24h</v>
          </cell>
          <cell r="D2351" t="str">
            <v>Khiếu nại về dịch vụ FTTH</v>
          </cell>
          <cell r="W2351" t="str">
            <v>Đã đóng</v>
          </cell>
          <cell r="AJ2351" t="str">
            <v>Thái Nguyên</v>
          </cell>
          <cell r="BX2351" t="str">
            <v>AON</v>
          </cell>
        </row>
        <row r="2352">
          <cell r="A2352" t="str">
            <v>ON</v>
          </cell>
          <cell r="B2352" t="str">
            <v>Trong 24h</v>
          </cell>
          <cell r="D2352" t="str">
            <v>Khiếu nại về dịch vụ FTTH</v>
          </cell>
          <cell r="W2352" t="str">
            <v>Đang xử lý</v>
          </cell>
          <cell r="AJ2352" t="str">
            <v>Nam Định</v>
          </cell>
          <cell r="BX2352" t="str">
            <v>AON</v>
          </cell>
        </row>
        <row r="2353">
          <cell r="A2353" t="str">
            <v>ON</v>
          </cell>
          <cell r="B2353" t="str">
            <v>Trong 24h</v>
          </cell>
          <cell r="D2353" t="str">
            <v>Khiếu nại về dịch vụ FTTH</v>
          </cell>
          <cell r="W2353" t="str">
            <v>Đang xử lý</v>
          </cell>
          <cell r="AJ2353" t="str">
            <v>Nam Định</v>
          </cell>
          <cell r="BX2353" t="str">
            <v>AON</v>
          </cell>
        </row>
        <row r="2354">
          <cell r="A2354" t="str">
            <v>ON</v>
          </cell>
          <cell r="B2354" t="str">
            <v>Trong 24h</v>
          </cell>
          <cell r="D2354" t="str">
            <v>Khiếu nại về dịch vụ FTTH</v>
          </cell>
          <cell r="W2354" t="str">
            <v>Đang xử lý</v>
          </cell>
          <cell r="AJ2354" t="str">
            <v>Bình Dương</v>
          </cell>
          <cell r="BX2354" t="str">
            <v>AON</v>
          </cell>
        </row>
        <row r="2355">
          <cell r="A2355" t="str">
            <v>ON</v>
          </cell>
          <cell r="B2355" t="str">
            <v>Trong 24h</v>
          </cell>
          <cell r="D2355" t="str">
            <v>Khiếu nại về dịch vụ FTTH</v>
          </cell>
          <cell r="W2355" t="str">
            <v>Đang xử lý</v>
          </cell>
          <cell r="AJ2355" t="str">
            <v>Bình Dương</v>
          </cell>
          <cell r="BX2355" t="str">
            <v>AON</v>
          </cell>
        </row>
        <row r="2356">
          <cell r="A2356" t="str">
            <v>ON</v>
          </cell>
          <cell r="B2356" t="str">
            <v>Trong 24h</v>
          </cell>
          <cell r="D2356" t="str">
            <v>Khiếu nại về dịch vụ FTTH</v>
          </cell>
          <cell r="W2356" t="str">
            <v>Đang xử lý</v>
          </cell>
          <cell r="AJ2356" t="str">
            <v>TP HCM</v>
          </cell>
          <cell r="BX2356" t="str">
            <v>AON</v>
          </cell>
        </row>
        <row r="2357">
          <cell r="A2357" t="str">
            <v>ON</v>
          </cell>
          <cell r="B2357" t="str">
            <v>Trong 24h</v>
          </cell>
          <cell r="D2357" t="str">
            <v>Khiếu nại về dịch vụ FTTH</v>
          </cell>
          <cell r="W2357" t="str">
            <v>Đã đóng</v>
          </cell>
          <cell r="AJ2357" t="str">
            <v>TP HCM</v>
          </cell>
          <cell r="BX2357" t="str">
            <v>AON</v>
          </cell>
        </row>
        <row r="2358">
          <cell r="A2358" t="str">
            <v>ON</v>
          </cell>
          <cell r="B2358" t="str">
            <v>Trong 24h</v>
          </cell>
          <cell r="D2358" t="str">
            <v>Khiếu nại về dịch vụ FTTH</v>
          </cell>
          <cell r="W2358" t="str">
            <v>Đang xử lý</v>
          </cell>
          <cell r="AJ2358" t="str">
            <v>Hoà Bình</v>
          </cell>
          <cell r="BX2358" t="str">
            <v>AON</v>
          </cell>
        </row>
        <row r="2359">
          <cell r="A2359" t="str">
            <v>ON</v>
          </cell>
          <cell r="B2359" t="str">
            <v>Trong 24h</v>
          </cell>
          <cell r="D2359" t="str">
            <v>Khiếu nại về dịch vụ FTTH</v>
          </cell>
          <cell r="W2359" t="str">
            <v>Đã đóng</v>
          </cell>
          <cell r="AJ2359" t="str">
            <v>TP HCM</v>
          </cell>
          <cell r="BX2359" t="str">
            <v>AON</v>
          </cell>
        </row>
        <row r="2360">
          <cell r="A2360" t="str">
            <v>ON</v>
          </cell>
          <cell r="B2360" t="str">
            <v>Trong 24h</v>
          </cell>
          <cell r="D2360" t="str">
            <v>Khiếu nại về dịch vụ FTTH</v>
          </cell>
          <cell r="W2360" t="str">
            <v>Đang xử lý</v>
          </cell>
          <cell r="AJ2360" t="str">
            <v>Hậu Giang</v>
          </cell>
          <cell r="BX2360" t="str">
            <v>AON</v>
          </cell>
        </row>
        <row r="2361">
          <cell r="A2361" t="str">
            <v>ON</v>
          </cell>
          <cell r="B2361" t="str">
            <v>Trong 24h</v>
          </cell>
          <cell r="D2361" t="str">
            <v>Khiếu nại về dịch vụ FTTH</v>
          </cell>
          <cell r="W2361" t="str">
            <v>Đang xử lý</v>
          </cell>
          <cell r="AJ2361" t="str">
            <v>TP HCM</v>
          </cell>
          <cell r="BX2361" t="str">
            <v>AON</v>
          </cell>
        </row>
        <row r="2362">
          <cell r="A2362" t="str">
            <v>ON</v>
          </cell>
          <cell r="B2362" t="str">
            <v>Trong 24h</v>
          </cell>
          <cell r="D2362" t="str">
            <v>Khiếu nại về dịch vụ NextTV</v>
          </cell>
          <cell r="W2362" t="str">
            <v>Đang xử lý</v>
          </cell>
          <cell r="AJ2362" t="str">
            <v>Bình Thuận</v>
          </cell>
          <cell r="BX2362" t="str">
            <v>AON</v>
          </cell>
        </row>
        <row r="2363">
          <cell r="A2363" t="str">
            <v>ON</v>
          </cell>
          <cell r="B2363" t="str">
            <v>Trong 24h</v>
          </cell>
          <cell r="D2363" t="str">
            <v>Khiếu nại về dịch vụ FTTH</v>
          </cell>
          <cell r="W2363" t="str">
            <v>Đang xử lý</v>
          </cell>
          <cell r="AJ2363" t="str">
            <v>Nam Định</v>
          </cell>
          <cell r="BX2363" t="str">
            <v>AON</v>
          </cell>
        </row>
        <row r="2364">
          <cell r="A2364" t="str">
            <v>ON</v>
          </cell>
          <cell r="B2364" t="str">
            <v>Trong 24h</v>
          </cell>
          <cell r="D2364" t="str">
            <v>Khiếu nại về dịch vụ FTTH</v>
          </cell>
          <cell r="W2364" t="str">
            <v>Đang xử lý</v>
          </cell>
          <cell r="AJ2364" t="str">
            <v>TP HCM</v>
          </cell>
          <cell r="BX2364" t="str">
            <v>AON</v>
          </cell>
        </row>
        <row r="2365">
          <cell r="A2365" t="str">
            <v>ON</v>
          </cell>
          <cell r="B2365" t="str">
            <v>Trong 24h</v>
          </cell>
          <cell r="D2365" t="str">
            <v>Khiếu nại về dịch vụ FTTH</v>
          </cell>
          <cell r="W2365" t="str">
            <v>Đang xử lý</v>
          </cell>
          <cell r="AJ2365" t="str">
            <v>Hà Nội 2</v>
          </cell>
          <cell r="BX2365" t="str">
            <v>AON</v>
          </cell>
        </row>
        <row r="2366">
          <cell r="A2366" t="str">
            <v>ON</v>
          </cell>
          <cell r="B2366" t="str">
            <v>Trong 24h</v>
          </cell>
          <cell r="D2366" t="str">
            <v>Khiếu nại về dịch vụ FTTH</v>
          </cell>
          <cell r="W2366" t="str">
            <v>Đã đóng</v>
          </cell>
          <cell r="AJ2366" t="str">
            <v>An Giang</v>
          </cell>
          <cell r="BX2366" t="str">
            <v>AON</v>
          </cell>
        </row>
        <row r="2367">
          <cell r="A2367" t="str">
            <v>ON</v>
          </cell>
          <cell r="B2367" t="str">
            <v>Trong 24h</v>
          </cell>
          <cell r="D2367" t="str">
            <v>Khiếu nại về dịch vụ FTTH</v>
          </cell>
          <cell r="W2367" t="str">
            <v>Đang xử lý</v>
          </cell>
          <cell r="AJ2367" t="str">
            <v>TP HCM</v>
          </cell>
          <cell r="BX2367" t="str">
            <v>AON</v>
          </cell>
        </row>
        <row r="2368">
          <cell r="A2368" t="str">
            <v>ON</v>
          </cell>
          <cell r="B2368" t="str">
            <v>Trong 24h</v>
          </cell>
          <cell r="D2368" t="str">
            <v>Khiếu nại về dịch vụ FTTH</v>
          </cell>
          <cell r="W2368" t="str">
            <v>Đang xử lý</v>
          </cell>
          <cell r="AJ2368" t="str">
            <v>Hậu Giang</v>
          </cell>
          <cell r="BX2368" t="str">
            <v>AON</v>
          </cell>
        </row>
        <row r="2369">
          <cell r="A2369" t="str">
            <v>ON</v>
          </cell>
          <cell r="B2369" t="str">
            <v>Trong 24h</v>
          </cell>
          <cell r="D2369" t="str">
            <v>Khiếu nại về dịch vụ FTTH</v>
          </cell>
          <cell r="W2369" t="str">
            <v>Đang xử lý</v>
          </cell>
          <cell r="AJ2369" t="str">
            <v>TP HCM</v>
          </cell>
          <cell r="BX2369" t="str">
            <v>AON</v>
          </cell>
        </row>
        <row r="2370">
          <cell r="A2370" t="str">
            <v>ON</v>
          </cell>
          <cell r="B2370" t="str">
            <v>Trong 24h</v>
          </cell>
          <cell r="D2370" t="str">
            <v>Khiếu nại về dịch vụ FTTH</v>
          </cell>
          <cell r="W2370" t="str">
            <v>Đang xử lý</v>
          </cell>
          <cell r="AJ2370" t="str">
            <v>Hà Nội 1</v>
          </cell>
          <cell r="BX2370" t="str">
            <v>AON</v>
          </cell>
        </row>
        <row r="2371">
          <cell r="A2371" t="str">
            <v>ON</v>
          </cell>
          <cell r="B2371" t="str">
            <v>Trong 24h</v>
          </cell>
          <cell r="D2371" t="str">
            <v>Khiếu nại về dịch vụ FTTH</v>
          </cell>
          <cell r="W2371" t="str">
            <v>Đang xử lý</v>
          </cell>
          <cell r="AJ2371" t="str">
            <v>Vĩnh Long</v>
          </cell>
          <cell r="BX2371" t="str">
            <v>AON</v>
          </cell>
        </row>
        <row r="2372">
          <cell r="A2372" t="str">
            <v>ON</v>
          </cell>
          <cell r="B2372" t="str">
            <v>Trong 24h</v>
          </cell>
          <cell r="D2372" t="str">
            <v>Khiếu nại về dịch vụ FTTH</v>
          </cell>
          <cell r="W2372" t="str">
            <v>Đang xử lý</v>
          </cell>
          <cell r="AJ2372" t="str">
            <v>TP HCM</v>
          </cell>
          <cell r="BX2372" t="str">
            <v>AON</v>
          </cell>
        </row>
        <row r="2373">
          <cell r="A2373" t="str">
            <v>ON</v>
          </cell>
          <cell r="B2373" t="str">
            <v>Trong 24h</v>
          </cell>
          <cell r="D2373" t="str">
            <v>Khiếu nại về dịch vụ FTTH</v>
          </cell>
          <cell r="W2373" t="str">
            <v>Đang xử lý</v>
          </cell>
          <cell r="AJ2373" t="str">
            <v>TP HCM</v>
          </cell>
          <cell r="BX2373" t="str">
            <v>AON</v>
          </cell>
        </row>
        <row r="2374">
          <cell r="A2374" t="str">
            <v>ON</v>
          </cell>
          <cell r="B2374" t="str">
            <v>Trong 24h</v>
          </cell>
          <cell r="D2374" t="str">
            <v>Khiếu nại về dịch vụ FTTH</v>
          </cell>
          <cell r="W2374" t="str">
            <v>Đang xử lý</v>
          </cell>
          <cell r="AJ2374" t="str">
            <v>Vĩnh Long</v>
          </cell>
          <cell r="BX2374" t="str">
            <v>AON</v>
          </cell>
        </row>
        <row r="2375">
          <cell r="A2375" t="str">
            <v>ON</v>
          </cell>
          <cell r="B2375" t="str">
            <v>Trong 24h</v>
          </cell>
          <cell r="D2375" t="str">
            <v>Khiếu nại về dịch vụ FTTH</v>
          </cell>
          <cell r="W2375" t="str">
            <v>Đang xử lý</v>
          </cell>
          <cell r="AJ2375" t="str">
            <v>TP HCM</v>
          </cell>
          <cell r="BX2375" t="str">
            <v>AON</v>
          </cell>
        </row>
        <row r="2376">
          <cell r="A2376" t="str">
            <v>ON</v>
          </cell>
          <cell r="B2376" t="str">
            <v>Trong 24h</v>
          </cell>
          <cell r="D2376" t="str">
            <v>Khiếu nại về dịch vụ FTTH</v>
          </cell>
          <cell r="W2376" t="str">
            <v>Đang xử lý</v>
          </cell>
          <cell r="AJ2376" t="str">
            <v>TP HCM</v>
          </cell>
          <cell r="BX2376" t="str">
            <v>GPON</v>
          </cell>
        </row>
        <row r="2377">
          <cell r="A2377" t="str">
            <v>ON</v>
          </cell>
          <cell r="B2377" t="str">
            <v>Trong 24h</v>
          </cell>
          <cell r="D2377" t="str">
            <v>Khiếu nại về dịch vụ FTTH</v>
          </cell>
          <cell r="W2377" t="str">
            <v>Đang xử lý</v>
          </cell>
          <cell r="AJ2377" t="str">
            <v>TP HCM</v>
          </cell>
          <cell r="BX2377" t="str">
            <v>AON</v>
          </cell>
        </row>
        <row r="2378">
          <cell r="A2378" t="str">
            <v>ON</v>
          </cell>
          <cell r="B2378" t="str">
            <v>Trong 24h</v>
          </cell>
          <cell r="D2378" t="str">
            <v>Khiếu nại về dịch vụ FTTH</v>
          </cell>
          <cell r="W2378" t="str">
            <v>Đang xử lý</v>
          </cell>
          <cell r="AJ2378" t="str">
            <v xml:space="preserve">Đắc Lắk </v>
          </cell>
          <cell r="BX2378" t="str">
            <v>AON</v>
          </cell>
        </row>
        <row r="2379">
          <cell r="A2379" t="str">
            <v>ON</v>
          </cell>
          <cell r="B2379" t="str">
            <v>Trong 24h</v>
          </cell>
          <cell r="D2379" t="str">
            <v>Khiếu nại về dịch vụ FTTH</v>
          </cell>
          <cell r="W2379" t="str">
            <v>Đang xử lý</v>
          </cell>
          <cell r="AJ2379" t="str">
            <v>Gia Lai</v>
          </cell>
          <cell r="BX2379" t="str">
            <v>AON</v>
          </cell>
        </row>
        <row r="2380">
          <cell r="A2380" t="str">
            <v>ON</v>
          </cell>
          <cell r="B2380" t="str">
            <v>Trong 24h</v>
          </cell>
          <cell r="D2380" t="str">
            <v>Khiếu nại về dịch vụ FTTH</v>
          </cell>
          <cell r="W2380" t="str">
            <v>Đang xử lý</v>
          </cell>
          <cell r="AJ2380" t="str">
            <v>Long An</v>
          </cell>
          <cell r="BX2380" t="str">
            <v>AON</v>
          </cell>
        </row>
        <row r="2381">
          <cell r="A2381" t="str">
            <v>ON</v>
          </cell>
          <cell r="B2381" t="str">
            <v>Trong 24h</v>
          </cell>
          <cell r="D2381" t="str">
            <v>Khiếu nại về dịch vụ FTTH</v>
          </cell>
          <cell r="W2381" t="str">
            <v>Đang xử lý</v>
          </cell>
          <cell r="AJ2381" t="str">
            <v>TP HCM</v>
          </cell>
          <cell r="BX2381" t="str">
            <v>AON</v>
          </cell>
        </row>
        <row r="2382">
          <cell r="A2382" t="str">
            <v>ON</v>
          </cell>
          <cell r="B2382" t="str">
            <v>Trong 24h</v>
          </cell>
          <cell r="D2382" t="str">
            <v>Khiếu nại về dịch vụ FTTH</v>
          </cell>
          <cell r="W2382" t="str">
            <v>Đang xử lý</v>
          </cell>
          <cell r="AJ2382" t="str">
            <v>Thái Nguyên</v>
          </cell>
          <cell r="BX2382" t="str">
            <v>AON</v>
          </cell>
        </row>
        <row r="2383">
          <cell r="A2383" t="str">
            <v>ON</v>
          </cell>
          <cell r="B2383" t="str">
            <v>Trong 24h</v>
          </cell>
          <cell r="D2383" t="str">
            <v>Khiếu nại về dịch vụ FTTH</v>
          </cell>
          <cell r="W2383" t="str">
            <v>Đang xử lý</v>
          </cell>
          <cell r="AJ2383" t="str">
            <v xml:space="preserve">Quảng Nam </v>
          </cell>
          <cell r="BX2383" t="str">
            <v>AON</v>
          </cell>
        </row>
        <row r="2384">
          <cell r="A2384" t="str">
            <v>ON</v>
          </cell>
          <cell r="B2384" t="str">
            <v>Trong 24h</v>
          </cell>
          <cell r="D2384" t="str">
            <v>Khiếu nại về dịch vụ FTTH</v>
          </cell>
          <cell r="W2384" t="str">
            <v>Đang xử lý</v>
          </cell>
          <cell r="AJ2384" t="str">
            <v>TP HCM</v>
          </cell>
          <cell r="BX2384" t="str">
            <v>AON</v>
          </cell>
        </row>
        <row r="2385">
          <cell r="A2385" t="str">
            <v>ON</v>
          </cell>
          <cell r="B2385" t="str">
            <v>Trong 24h</v>
          </cell>
          <cell r="D2385" t="str">
            <v>Khiếu nại về dịch vụ FTTH</v>
          </cell>
          <cell r="W2385" t="str">
            <v>Đang xử lý</v>
          </cell>
          <cell r="AJ2385" t="str">
            <v>Thái Nguyên</v>
          </cell>
          <cell r="BX2385" t="str">
            <v>AON</v>
          </cell>
        </row>
        <row r="2386">
          <cell r="A2386" t="str">
            <v>ON</v>
          </cell>
          <cell r="B2386" t="str">
            <v>Trong 24h</v>
          </cell>
          <cell r="D2386" t="str">
            <v>Khiếu nại về dịch vụ FTTH</v>
          </cell>
          <cell r="W2386" t="str">
            <v>Đang xử lý</v>
          </cell>
          <cell r="AJ2386" t="str">
            <v>TP HCM</v>
          </cell>
          <cell r="BX2386" t="str">
            <v>AON</v>
          </cell>
        </row>
        <row r="2387">
          <cell r="A2387" t="str">
            <v>ON</v>
          </cell>
          <cell r="B2387" t="str">
            <v>Trong 24h</v>
          </cell>
          <cell r="D2387" t="str">
            <v>Khiếu nại về dịch vụ FTTH</v>
          </cell>
          <cell r="W2387" t="str">
            <v>Đang xử lý</v>
          </cell>
          <cell r="AJ2387" t="str">
            <v>Bình Dương</v>
          </cell>
          <cell r="BX2387" t="str">
            <v>AON</v>
          </cell>
        </row>
        <row r="2388">
          <cell r="A2388" t="str">
            <v>ON</v>
          </cell>
          <cell r="B2388" t="str">
            <v>Trong 24h</v>
          </cell>
          <cell r="D2388" t="str">
            <v>Khiếu nại về dịch vụ FTTH</v>
          </cell>
          <cell r="W2388" t="str">
            <v>Đang xử lý</v>
          </cell>
          <cell r="AJ2388" t="str">
            <v>Thanh Hoá</v>
          </cell>
          <cell r="BX2388" t="str">
            <v>AON</v>
          </cell>
        </row>
        <row r="2389">
          <cell r="A2389" t="str">
            <v>ON</v>
          </cell>
          <cell r="B2389" t="str">
            <v>Trong 24h</v>
          </cell>
          <cell r="D2389" t="str">
            <v>Khiếu nại về dịch vụ FTTH</v>
          </cell>
          <cell r="W2389" t="str">
            <v>Đang xử lý</v>
          </cell>
          <cell r="AJ2389" t="str">
            <v>Tuyên Quang</v>
          </cell>
          <cell r="BX2389" t="str">
            <v>AON</v>
          </cell>
        </row>
        <row r="2390">
          <cell r="A2390" t="str">
            <v>ON</v>
          </cell>
          <cell r="B2390" t="str">
            <v>Trong 24h</v>
          </cell>
          <cell r="D2390" t="str">
            <v>Khiếu nại về dịch vụ FTTH</v>
          </cell>
          <cell r="W2390" t="str">
            <v>Đang xử lý</v>
          </cell>
          <cell r="AJ2390" t="str">
            <v>Hà Nội 1</v>
          </cell>
          <cell r="BX2390" t="str">
            <v>AON</v>
          </cell>
        </row>
        <row r="2391">
          <cell r="A2391" t="str">
            <v>ON</v>
          </cell>
          <cell r="B2391" t="str">
            <v>Trong 24h</v>
          </cell>
          <cell r="D2391" t="str">
            <v>Khiếu nại về dịch vụ FTTH</v>
          </cell>
          <cell r="W2391" t="str">
            <v>Đang xử lý</v>
          </cell>
          <cell r="AJ2391" t="str">
            <v>Quảng Trị</v>
          </cell>
          <cell r="BX2391" t="str">
            <v>AON</v>
          </cell>
        </row>
        <row r="2392">
          <cell r="A2392" t="str">
            <v>ON</v>
          </cell>
          <cell r="B2392" t="str">
            <v>Trong 24h</v>
          </cell>
          <cell r="D2392" t="str">
            <v>Khiếu nại về dịch vụ FTTH</v>
          </cell>
          <cell r="W2392" t="str">
            <v>Đang xử lý</v>
          </cell>
          <cell r="AJ2392" t="str">
            <v>Quảng Ninh</v>
          </cell>
          <cell r="BX2392" t="str">
            <v>AON</v>
          </cell>
        </row>
        <row r="2393">
          <cell r="A2393" t="str">
            <v>ON</v>
          </cell>
          <cell r="B2393" t="str">
            <v>Trong 24h</v>
          </cell>
          <cell r="D2393" t="str">
            <v>Khiếu nại về dịch vụ FTTH</v>
          </cell>
          <cell r="W2393" t="str">
            <v>Đang xử lý</v>
          </cell>
          <cell r="AJ2393" t="str">
            <v>TP HCM</v>
          </cell>
          <cell r="BX2393" t="str">
            <v>AON</v>
          </cell>
        </row>
        <row r="2394">
          <cell r="A2394" t="str">
            <v>ON</v>
          </cell>
          <cell r="B2394" t="str">
            <v>Trong 24h</v>
          </cell>
          <cell r="D2394" t="str">
            <v>Khiếu nại về dịch vụ FTTH</v>
          </cell>
          <cell r="W2394" t="str">
            <v>Đang xử lý</v>
          </cell>
          <cell r="AJ2394" t="str">
            <v>TP HCM</v>
          </cell>
          <cell r="BX2394" t="str">
            <v>AON</v>
          </cell>
        </row>
        <row r="2395">
          <cell r="A2395" t="str">
            <v>ON</v>
          </cell>
          <cell r="B2395" t="str">
            <v>Trong 24h</v>
          </cell>
          <cell r="D2395" t="str">
            <v>Khiếu nại về dịch vụ FTTH</v>
          </cell>
          <cell r="W2395" t="str">
            <v>Đang xử lý</v>
          </cell>
          <cell r="AJ2395" t="str">
            <v>Long An</v>
          </cell>
          <cell r="BX2395" t="str">
            <v>AON</v>
          </cell>
        </row>
        <row r="2396">
          <cell r="A2396" t="str">
            <v>ON</v>
          </cell>
          <cell r="B2396" t="str">
            <v>Trong 24h</v>
          </cell>
          <cell r="D2396" t="str">
            <v>Khiếu nại về dịch vụ FTTH</v>
          </cell>
          <cell r="W2396" t="str">
            <v>Đang xử lý</v>
          </cell>
          <cell r="AJ2396" t="str">
            <v>Quảng Ninh</v>
          </cell>
          <cell r="BX2396" t="str">
            <v>AON</v>
          </cell>
        </row>
        <row r="2397">
          <cell r="A2397" t="str">
            <v>ON</v>
          </cell>
          <cell r="B2397" t="str">
            <v>Trong 24h</v>
          </cell>
          <cell r="D2397" t="str">
            <v>Khiếu nại về dịch vụ FTTH</v>
          </cell>
          <cell r="W2397" t="str">
            <v>Đang xử lý</v>
          </cell>
          <cell r="AJ2397" t="str">
            <v>TP HCM</v>
          </cell>
          <cell r="BX2397" t="str">
            <v>AON</v>
          </cell>
        </row>
        <row r="2398">
          <cell r="A2398" t="str">
            <v>ON</v>
          </cell>
          <cell r="B2398" t="str">
            <v>Trong 24h</v>
          </cell>
          <cell r="D2398" t="str">
            <v>Khiếu nại về dịch vụ FTTH</v>
          </cell>
          <cell r="W2398" t="str">
            <v>Đang xử lý</v>
          </cell>
          <cell r="AJ2398" t="str">
            <v>Nghệ An</v>
          </cell>
          <cell r="BX2398" t="str">
            <v>AON</v>
          </cell>
        </row>
        <row r="2399">
          <cell r="A2399" t="str">
            <v>ON</v>
          </cell>
          <cell r="B2399" t="str">
            <v>Trong 24h</v>
          </cell>
          <cell r="D2399" t="str">
            <v>Khiếu nại về dịch vụ NextTV</v>
          </cell>
          <cell r="W2399" t="str">
            <v>Đang xử lý</v>
          </cell>
          <cell r="AJ2399" t="str">
            <v>An Giang</v>
          </cell>
          <cell r="BX2399" t="str">
            <v>AON</v>
          </cell>
        </row>
        <row r="2400">
          <cell r="A2400" t="str">
            <v>ON</v>
          </cell>
          <cell r="B2400" t="str">
            <v>Trong 24h</v>
          </cell>
          <cell r="D2400" t="str">
            <v>Khiếu nại về dịch vụ FTTH</v>
          </cell>
          <cell r="W2400" t="str">
            <v>Đang xử lý</v>
          </cell>
          <cell r="AJ2400" t="str">
            <v>Quảng Ninh</v>
          </cell>
          <cell r="BX2400" t="str">
            <v>AON</v>
          </cell>
        </row>
        <row r="2401">
          <cell r="A2401" t="str">
            <v>ON</v>
          </cell>
          <cell r="B2401" t="str">
            <v>Trong 24h</v>
          </cell>
          <cell r="D2401" t="str">
            <v>Khiếu nại về dịch vụ FTTH</v>
          </cell>
          <cell r="W2401" t="str">
            <v>Đang xử lý</v>
          </cell>
          <cell r="AJ2401" t="str">
            <v>Bạc Liêu</v>
          </cell>
          <cell r="BX2401" t="str">
            <v>AON</v>
          </cell>
        </row>
        <row r="2402">
          <cell r="A2402" t="str">
            <v>ON</v>
          </cell>
          <cell r="B2402" t="str">
            <v>Trong 24h</v>
          </cell>
          <cell r="D2402" t="str">
            <v>Khiếu nại về dịch vụ FTTH</v>
          </cell>
          <cell r="W2402" t="str">
            <v>Đang xử lý</v>
          </cell>
          <cell r="AJ2402" t="str">
            <v>Hà Nội 1</v>
          </cell>
          <cell r="BX2402" t="str">
            <v>AON</v>
          </cell>
        </row>
        <row r="2403">
          <cell r="A2403" t="str">
            <v>ON</v>
          </cell>
          <cell r="B2403" t="str">
            <v>Trong 24h</v>
          </cell>
          <cell r="D2403" t="str">
            <v>Khiếu nại về dịch vụ FTTH</v>
          </cell>
          <cell r="W2403" t="str">
            <v>Đang xử lý</v>
          </cell>
          <cell r="AJ2403" t="str">
            <v xml:space="preserve">Đắc Lắk </v>
          </cell>
          <cell r="BX2403" t="str">
            <v>AON</v>
          </cell>
        </row>
        <row r="2404">
          <cell r="A2404" t="str">
            <v>ON</v>
          </cell>
          <cell r="B2404" t="str">
            <v>Trong 24h</v>
          </cell>
          <cell r="D2404" t="str">
            <v>Khiếu nại về dịch vụ FTTH</v>
          </cell>
          <cell r="W2404" t="str">
            <v>Đang xử lý</v>
          </cell>
          <cell r="AJ2404" t="str">
            <v>TP HCM</v>
          </cell>
          <cell r="BX2404" t="str">
            <v>AON</v>
          </cell>
        </row>
        <row r="2405">
          <cell r="A2405" t="str">
            <v>ON</v>
          </cell>
          <cell r="B2405" t="str">
            <v>Trong 24h</v>
          </cell>
          <cell r="D2405" t="str">
            <v>Khiếu nại về dịch vụ FTTH</v>
          </cell>
          <cell r="W2405" t="str">
            <v>Đang xử lý</v>
          </cell>
          <cell r="AJ2405" t="str">
            <v>Hà Nội 1</v>
          </cell>
          <cell r="BX2405" t="str">
            <v>AON</v>
          </cell>
        </row>
        <row r="2406">
          <cell r="A2406" t="str">
            <v>ON</v>
          </cell>
          <cell r="B2406" t="str">
            <v>Trong 24h</v>
          </cell>
          <cell r="D2406" t="str">
            <v>Khiếu nại về dịch vụ FTTH</v>
          </cell>
          <cell r="W2406" t="str">
            <v>Đang xử lý</v>
          </cell>
          <cell r="AJ2406" t="str">
            <v>Hậu Giang</v>
          </cell>
          <cell r="BX2406" t="str">
            <v>AON</v>
          </cell>
        </row>
        <row r="2407">
          <cell r="A2407" t="str">
            <v>ON</v>
          </cell>
          <cell r="B2407" t="str">
            <v>Trong 24h</v>
          </cell>
          <cell r="D2407" t="str">
            <v>Khiếu nại về dịch vụ FTTH</v>
          </cell>
          <cell r="W2407" t="str">
            <v>Đang xử lý</v>
          </cell>
          <cell r="AJ2407" t="str">
            <v>Bến Tre</v>
          </cell>
          <cell r="BX2407" t="str">
            <v>AON</v>
          </cell>
        </row>
        <row r="2408">
          <cell r="A2408" t="str">
            <v>ON</v>
          </cell>
          <cell r="B2408" t="str">
            <v>Trong 24h</v>
          </cell>
          <cell r="D2408" t="str">
            <v>Khiếu nại về dịch vụ FTTH</v>
          </cell>
          <cell r="W2408" t="str">
            <v>Đang xử lý</v>
          </cell>
          <cell r="AJ2408" t="str">
            <v>Thanh Hoá</v>
          </cell>
          <cell r="BX2408" t="str">
            <v>AON</v>
          </cell>
        </row>
        <row r="2409">
          <cell r="A2409" t="str">
            <v>ON</v>
          </cell>
          <cell r="B2409" t="str">
            <v>Trong 24h</v>
          </cell>
          <cell r="D2409" t="str">
            <v>Khiếu nại về dịch vụ FTTH</v>
          </cell>
          <cell r="W2409" t="str">
            <v>Đang xử lý</v>
          </cell>
          <cell r="AJ2409" t="str">
            <v>Vĩnh Phúc</v>
          </cell>
          <cell r="BX2409" t="str">
            <v>AON</v>
          </cell>
        </row>
        <row r="2410">
          <cell r="A2410" t="str">
            <v>ON</v>
          </cell>
          <cell r="B2410" t="str">
            <v>Trong 24h</v>
          </cell>
          <cell r="D2410" t="str">
            <v>Khiếu nại về dịch vụ FTTH</v>
          </cell>
          <cell r="W2410" t="str">
            <v>Đang xử lý</v>
          </cell>
          <cell r="AJ2410" t="str">
            <v>TP HCM</v>
          </cell>
          <cell r="BX2410" t="str">
            <v>AON</v>
          </cell>
        </row>
        <row r="2411">
          <cell r="A2411" t="str">
            <v>ON</v>
          </cell>
          <cell r="B2411" t="str">
            <v>Trong 24h</v>
          </cell>
          <cell r="D2411" t="str">
            <v>Khiếu nại về dịch vụ FTTH</v>
          </cell>
          <cell r="W2411" t="str">
            <v>Đang xử lý</v>
          </cell>
          <cell r="AJ2411" t="str">
            <v xml:space="preserve">Đắc Lắk </v>
          </cell>
          <cell r="BX2411" t="str">
            <v>AON</v>
          </cell>
        </row>
        <row r="2412">
          <cell r="A2412" t="str">
            <v>ON</v>
          </cell>
          <cell r="B2412" t="str">
            <v>Trong 24h</v>
          </cell>
          <cell r="D2412" t="str">
            <v>Khiếu nại về dịch vụ NextTV</v>
          </cell>
          <cell r="W2412" t="str">
            <v>Đang xử lý</v>
          </cell>
          <cell r="AJ2412" t="str">
            <v>Quảng Ninh</v>
          </cell>
          <cell r="BX2412" t="str">
            <v>AON</v>
          </cell>
        </row>
        <row r="2413">
          <cell r="A2413" t="str">
            <v>ON</v>
          </cell>
          <cell r="B2413" t="str">
            <v>Trong 24h</v>
          </cell>
          <cell r="D2413" t="str">
            <v>Khiếu nại về dịch vụ FTTH</v>
          </cell>
          <cell r="W2413" t="str">
            <v>Đang xử lý</v>
          </cell>
          <cell r="AJ2413" t="str">
            <v>TP HCM</v>
          </cell>
          <cell r="BX2413" t="str">
            <v>GPON</v>
          </cell>
        </row>
        <row r="2414">
          <cell r="A2414" t="str">
            <v>ON</v>
          </cell>
          <cell r="B2414" t="str">
            <v>Trong 24h</v>
          </cell>
          <cell r="D2414" t="str">
            <v>Khiếu nại về dịch vụ NextTV</v>
          </cell>
          <cell r="W2414" t="str">
            <v>Đang xử lý</v>
          </cell>
          <cell r="AJ2414" t="str">
            <v>Bình Phước</v>
          </cell>
          <cell r="BX2414" t="str">
            <v>AON</v>
          </cell>
        </row>
        <row r="2415">
          <cell r="A2415" t="str">
            <v>ON</v>
          </cell>
          <cell r="B2415" t="str">
            <v>Trong 24h</v>
          </cell>
          <cell r="D2415" t="str">
            <v>Khiếu nại về dịch vụ FTTH</v>
          </cell>
          <cell r="W2415" t="str">
            <v>Đang xử lý</v>
          </cell>
          <cell r="AJ2415" t="str">
            <v>Phú Thọ</v>
          </cell>
          <cell r="BX2415" t="str">
            <v>AON</v>
          </cell>
        </row>
        <row r="2416">
          <cell r="A2416" t="str">
            <v>ON</v>
          </cell>
          <cell r="B2416" t="str">
            <v>Trong 24h</v>
          </cell>
          <cell r="D2416" t="str">
            <v>Khiếu nại về dịch vụ FTTH</v>
          </cell>
          <cell r="W2416" t="str">
            <v>Đang xử lý</v>
          </cell>
          <cell r="AJ2416" t="str">
            <v>TP HCM</v>
          </cell>
          <cell r="BX2416" t="str">
            <v>AON</v>
          </cell>
        </row>
        <row r="2417">
          <cell r="A2417" t="str">
            <v>ON</v>
          </cell>
          <cell r="B2417" t="str">
            <v>Trong 24h</v>
          </cell>
          <cell r="D2417" t="str">
            <v>Khiếu nại về dịch vụ FTTH</v>
          </cell>
          <cell r="W2417" t="str">
            <v>Đang xử lý</v>
          </cell>
          <cell r="AJ2417" t="str">
            <v>Cà Mau</v>
          </cell>
          <cell r="BX2417" t="str">
            <v>AON</v>
          </cell>
        </row>
        <row r="2418">
          <cell r="A2418" t="str">
            <v>ON</v>
          </cell>
          <cell r="B2418" t="str">
            <v>Trong 24h</v>
          </cell>
          <cell r="D2418" t="str">
            <v>Khiếu nại về dịch vụ FTTH</v>
          </cell>
          <cell r="W2418" t="str">
            <v>Đang xử lý</v>
          </cell>
          <cell r="AJ2418" t="str">
            <v>TP HCM</v>
          </cell>
          <cell r="BX2418" t="str">
            <v>AON</v>
          </cell>
        </row>
        <row r="2419">
          <cell r="A2419" t="str">
            <v>ON</v>
          </cell>
          <cell r="B2419" t="str">
            <v>Trong 24h</v>
          </cell>
          <cell r="D2419" t="str">
            <v>Khiếu nại về dịch vụ FTTH</v>
          </cell>
          <cell r="W2419" t="str">
            <v>Đang xử lý</v>
          </cell>
          <cell r="AJ2419" t="str">
            <v>TP HCM</v>
          </cell>
          <cell r="BX2419" t="str">
            <v>AON</v>
          </cell>
        </row>
        <row r="2420">
          <cell r="A2420" t="str">
            <v>ON</v>
          </cell>
          <cell r="B2420" t="str">
            <v>Trong 24h</v>
          </cell>
          <cell r="D2420" t="str">
            <v>Khiếu nại về dịch vụ NextTV</v>
          </cell>
          <cell r="W2420" t="str">
            <v>Đang xử lý</v>
          </cell>
          <cell r="AJ2420" t="str">
            <v>TP HCM</v>
          </cell>
          <cell r="BX2420" t="str">
            <v>AON</v>
          </cell>
        </row>
        <row r="2421">
          <cell r="A2421" t="str">
            <v>ON</v>
          </cell>
          <cell r="B2421" t="str">
            <v>Trong 24h</v>
          </cell>
          <cell r="D2421" t="str">
            <v>Khiếu nại về dịch vụ FTTH</v>
          </cell>
          <cell r="W2421" t="str">
            <v>Đang xử lý</v>
          </cell>
          <cell r="AJ2421" t="str">
            <v>Gia Lai</v>
          </cell>
          <cell r="BX2421" t="str">
            <v>AON</v>
          </cell>
        </row>
        <row r="2422">
          <cell r="A2422" t="str">
            <v>ON</v>
          </cell>
          <cell r="B2422" t="str">
            <v>Trong 24h</v>
          </cell>
          <cell r="D2422" t="str">
            <v>Khiếu nại về dịch vụ NextTV</v>
          </cell>
          <cell r="W2422" t="str">
            <v>Đang xử lý</v>
          </cell>
          <cell r="AJ2422" t="str">
            <v>Gia Lai</v>
          </cell>
          <cell r="BX2422" t="str">
            <v>AON</v>
          </cell>
        </row>
        <row r="2423">
          <cell r="A2423" t="str">
            <v>ON</v>
          </cell>
          <cell r="B2423" t="str">
            <v>Trong 24h</v>
          </cell>
          <cell r="D2423" t="str">
            <v>Khiếu nại về dịch vụ FTTH</v>
          </cell>
          <cell r="W2423" t="str">
            <v>Đang xử lý</v>
          </cell>
          <cell r="AJ2423" t="str">
            <v>Thái Bình</v>
          </cell>
          <cell r="BX2423" t="str">
            <v>AON</v>
          </cell>
        </row>
        <row r="2424">
          <cell r="A2424" t="str">
            <v>ON</v>
          </cell>
          <cell r="B2424" t="str">
            <v>Trong 24h</v>
          </cell>
          <cell r="D2424" t="str">
            <v>Khiếu nại về dịch vụ FTTH</v>
          </cell>
          <cell r="W2424" t="str">
            <v>Đang xử lý</v>
          </cell>
          <cell r="AJ2424" t="str">
            <v>Bắc Ninh</v>
          </cell>
          <cell r="BX2424" t="str">
            <v>AON</v>
          </cell>
        </row>
        <row r="2425">
          <cell r="A2425" t="str">
            <v>ON</v>
          </cell>
          <cell r="B2425" t="str">
            <v>Trong 24h</v>
          </cell>
          <cell r="D2425" t="str">
            <v>Khiếu nại về dịch vụ NextTV</v>
          </cell>
          <cell r="W2425" t="str">
            <v>Đã đóng</v>
          </cell>
          <cell r="AJ2425" t="str">
            <v>TP HCM</v>
          </cell>
          <cell r="BX2425" t="str">
            <v>AON</v>
          </cell>
        </row>
        <row r="2426">
          <cell r="A2426" t="str">
            <v>ON</v>
          </cell>
          <cell r="B2426" t="str">
            <v>Trong 24h</v>
          </cell>
          <cell r="D2426" t="str">
            <v>Khiếu nại về dịch vụ FTTH</v>
          </cell>
          <cell r="W2426" t="str">
            <v>Đang xử lý</v>
          </cell>
          <cell r="AJ2426" t="str">
            <v>TP HCM</v>
          </cell>
          <cell r="BX2426" t="str">
            <v>AON</v>
          </cell>
        </row>
        <row r="2427">
          <cell r="A2427" t="str">
            <v>ON</v>
          </cell>
          <cell r="B2427" t="str">
            <v>Trong 24h</v>
          </cell>
          <cell r="D2427" t="str">
            <v>Khiếu nại về dịch vụ FTTH</v>
          </cell>
          <cell r="W2427" t="str">
            <v>Đang xử lý</v>
          </cell>
          <cell r="AJ2427" t="str">
            <v>Hà Nội 2</v>
          </cell>
          <cell r="BX2427" t="str">
            <v>AON</v>
          </cell>
        </row>
        <row r="2428">
          <cell r="A2428" t="str">
            <v>ON</v>
          </cell>
          <cell r="B2428" t="str">
            <v>Trong 24h</v>
          </cell>
          <cell r="D2428" t="str">
            <v>Khiếu nại về dịch vụ FTTH</v>
          </cell>
          <cell r="W2428" t="str">
            <v>Đang xử lý</v>
          </cell>
          <cell r="AJ2428" t="str">
            <v>Yên Bái</v>
          </cell>
          <cell r="BX2428" t="str">
            <v>AON</v>
          </cell>
        </row>
        <row r="2429">
          <cell r="A2429" t="str">
            <v>ON</v>
          </cell>
          <cell r="B2429" t="str">
            <v>Trong 24h</v>
          </cell>
          <cell r="D2429" t="str">
            <v>Khiếu nại về dịch vụ FTTH</v>
          </cell>
          <cell r="W2429" t="str">
            <v>Đang xử lý</v>
          </cell>
          <cell r="AJ2429" t="str">
            <v xml:space="preserve">Hà Tĩnh </v>
          </cell>
          <cell r="BX2429" t="str">
            <v>AON</v>
          </cell>
        </row>
        <row r="2430">
          <cell r="A2430" t="str">
            <v>ON</v>
          </cell>
          <cell r="B2430" t="str">
            <v>Trong 24h</v>
          </cell>
          <cell r="D2430" t="str">
            <v>Khiếu nại về dịch vụ FTTH</v>
          </cell>
          <cell r="W2430" t="str">
            <v>Đang xử lý</v>
          </cell>
          <cell r="AJ2430" t="str">
            <v>An Giang</v>
          </cell>
          <cell r="BX2430" t="str">
            <v>AON</v>
          </cell>
        </row>
        <row r="2431">
          <cell r="A2431" t="str">
            <v>ON</v>
          </cell>
          <cell r="B2431" t="str">
            <v>Trong 24h</v>
          </cell>
          <cell r="D2431" t="str">
            <v>Khiếu nại về dịch vụ FTTH</v>
          </cell>
          <cell r="W2431" t="str">
            <v>Đang xử lý</v>
          </cell>
          <cell r="AJ2431" t="str">
            <v>Quảng Ninh</v>
          </cell>
          <cell r="BX2431" t="str">
            <v>AON</v>
          </cell>
        </row>
        <row r="2432">
          <cell r="A2432" t="str">
            <v>ON</v>
          </cell>
          <cell r="B2432" t="str">
            <v>Trong 24h</v>
          </cell>
          <cell r="D2432" t="str">
            <v>Khiếu nại về dịch vụ FTTH</v>
          </cell>
          <cell r="W2432" t="str">
            <v>Đang xử lý</v>
          </cell>
          <cell r="AJ2432" t="str">
            <v>Hải Phòng</v>
          </cell>
          <cell r="BX2432" t="str">
            <v>AON</v>
          </cell>
        </row>
        <row r="2433">
          <cell r="A2433" t="str">
            <v>ON</v>
          </cell>
          <cell r="B2433" t="str">
            <v>Trong 24h</v>
          </cell>
          <cell r="D2433" t="str">
            <v>Khiếu nại về dịch vụ FTTH</v>
          </cell>
          <cell r="W2433" t="str">
            <v>Đang xử lý</v>
          </cell>
          <cell r="AJ2433" t="str">
            <v>Lào Cai</v>
          </cell>
          <cell r="BX2433" t="str">
            <v>AON</v>
          </cell>
        </row>
        <row r="2434">
          <cell r="A2434" t="str">
            <v>ON</v>
          </cell>
          <cell r="B2434" t="str">
            <v>Trong 24h</v>
          </cell>
          <cell r="D2434" t="str">
            <v>Khiếu nại về dịch vụ FTTH</v>
          </cell>
          <cell r="W2434" t="str">
            <v>Đang xử lý</v>
          </cell>
          <cell r="AJ2434" t="str">
            <v>Long An</v>
          </cell>
          <cell r="BX2434" t="str">
            <v>AON</v>
          </cell>
        </row>
        <row r="2435">
          <cell r="A2435" t="str">
            <v>ON</v>
          </cell>
          <cell r="B2435" t="str">
            <v>Trong 24h</v>
          </cell>
          <cell r="D2435" t="str">
            <v>Khiếu nại về dịch vụ FTTH</v>
          </cell>
          <cell r="W2435" t="str">
            <v>Đang xử lý</v>
          </cell>
          <cell r="AJ2435" t="str">
            <v>Gia Lai</v>
          </cell>
          <cell r="BX2435" t="str">
            <v>AON</v>
          </cell>
        </row>
        <row r="2436">
          <cell r="A2436" t="str">
            <v>ON</v>
          </cell>
          <cell r="B2436" t="str">
            <v>Trong 24h</v>
          </cell>
          <cell r="D2436" t="str">
            <v>Khiếu nại về dịch vụ FTTH</v>
          </cell>
          <cell r="W2436" t="str">
            <v>Đang xử lý</v>
          </cell>
          <cell r="AJ2436" t="str">
            <v>Quảng Ninh</v>
          </cell>
          <cell r="BX2436" t="str">
            <v>AON</v>
          </cell>
        </row>
        <row r="2437">
          <cell r="A2437" t="str">
            <v>ON</v>
          </cell>
          <cell r="B2437" t="str">
            <v>Trong 24h</v>
          </cell>
          <cell r="D2437" t="str">
            <v>Khiếu nại về dịch vụ NextTV</v>
          </cell>
          <cell r="W2437" t="str">
            <v>Đang xử lý</v>
          </cell>
          <cell r="AJ2437" t="str">
            <v>TP HCM</v>
          </cell>
          <cell r="BX2437" t="str">
            <v>AON</v>
          </cell>
        </row>
        <row r="2438">
          <cell r="A2438" t="str">
            <v>ON</v>
          </cell>
          <cell r="B2438" t="str">
            <v>Trong 24h</v>
          </cell>
          <cell r="D2438" t="str">
            <v>Khiếu nại về dịch vụ FTTH</v>
          </cell>
          <cell r="W2438" t="str">
            <v>Đang xử lý</v>
          </cell>
          <cell r="AJ2438" t="str">
            <v>Kon Tum</v>
          </cell>
          <cell r="BX2438" t="str">
            <v>AON</v>
          </cell>
        </row>
        <row r="2439">
          <cell r="A2439" t="str">
            <v>ON</v>
          </cell>
          <cell r="B2439" t="str">
            <v>Trong 24h</v>
          </cell>
          <cell r="D2439" t="str">
            <v>Khiếu nại về dịch vụ FTTH</v>
          </cell>
          <cell r="W2439" t="str">
            <v>Đang xử lý</v>
          </cell>
          <cell r="AJ2439" t="str">
            <v xml:space="preserve">Hà Tĩnh </v>
          </cell>
          <cell r="BX2439" t="str">
            <v>AON</v>
          </cell>
        </row>
        <row r="2440">
          <cell r="A2440" t="str">
            <v>ON</v>
          </cell>
          <cell r="B2440" t="str">
            <v>Trong 24h</v>
          </cell>
          <cell r="D2440" t="str">
            <v>Khiếu nại về dịch vụ FTTH</v>
          </cell>
          <cell r="W2440" t="str">
            <v>Đang xử lý</v>
          </cell>
          <cell r="AJ2440" t="str">
            <v>An Giang</v>
          </cell>
          <cell r="BX2440" t="str">
            <v>AON</v>
          </cell>
        </row>
        <row r="2441">
          <cell r="A2441" t="str">
            <v>ON</v>
          </cell>
          <cell r="B2441" t="str">
            <v>Trong 24h</v>
          </cell>
          <cell r="D2441" t="str">
            <v>Khiếu nại về dịch vụ FTTH</v>
          </cell>
          <cell r="W2441" t="str">
            <v>Đang xử lý</v>
          </cell>
          <cell r="AJ2441" t="str">
            <v>TP HCM</v>
          </cell>
          <cell r="BX2441" t="str">
            <v>AON</v>
          </cell>
        </row>
        <row r="2442">
          <cell r="A2442" t="str">
            <v>ON</v>
          </cell>
          <cell r="B2442" t="str">
            <v>Trong 24h</v>
          </cell>
          <cell r="D2442" t="str">
            <v>Khiếu nại về dịch vụ FTTH</v>
          </cell>
          <cell r="W2442" t="str">
            <v>Đang xử lý</v>
          </cell>
          <cell r="AJ2442" t="str">
            <v>An Giang</v>
          </cell>
          <cell r="BX2442" t="str">
            <v>AON</v>
          </cell>
        </row>
        <row r="2443">
          <cell r="A2443" t="str">
            <v>ON</v>
          </cell>
          <cell r="B2443" t="str">
            <v>Trong 24h</v>
          </cell>
          <cell r="D2443" t="str">
            <v>Khiếu nại về dịch vụ FTTH</v>
          </cell>
          <cell r="W2443" t="str">
            <v>Đang xử lý</v>
          </cell>
          <cell r="AJ2443" t="str">
            <v>Hà Nội 2</v>
          </cell>
          <cell r="BX2443" t="str">
            <v>AON</v>
          </cell>
        </row>
        <row r="2444">
          <cell r="A2444" t="str">
            <v>ON</v>
          </cell>
          <cell r="B2444" t="str">
            <v>Trong 24h</v>
          </cell>
          <cell r="D2444" t="str">
            <v>Khiếu nại về dịch vụ FTTH</v>
          </cell>
          <cell r="W2444" t="str">
            <v>Đang xử lý</v>
          </cell>
          <cell r="AJ2444" t="str">
            <v>TP HCM</v>
          </cell>
          <cell r="BX2444" t="str">
            <v>AON</v>
          </cell>
        </row>
        <row r="2445">
          <cell r="A2445" t="str">
            <v>ON</v>
          </cell>
          <cell r="B2445" t="str">
            <v>Trong 24h</v>
          </cell>
          <cell r="D2445" t="str">
            <v>Khiếu nại về dịch vụ FTTH</v>
          </cell>
          <cell r="W2445" t="str">
            <v>Đang xử lý</v>
          </cell>
          <cell r="AJ2445" t="str">
            <v>Hậu Giang</v>
          </cell>
          <cell r="BX2445" t="str">
            <v>AON</v>
          </cell>
        </row>
        <row r="2446">
          <cell r="A2446" t="str">
            <v>ON</v>
          </cell>
          <cell r="B2446" t="str">
            <v>Trong 24h</v>
          </cell>
          <cell r="D2446" t="str">
            <v>Khiếu nại về dịch vụ FTTH</v>
          </cell>
          <cell r="W2446" t="str">
            <v>Đang xử lý</v>
          </cell>
          <cell r="AJ2446" t="str">
            <v>Nghệ An</v>
          </cell>
          <cell r="BX2446" t="str">
            <v>AON</v>
          </cell>
        </row>
        <row r="2447">
          <cell r="A2447" t="str">
            <v>ON</v>
          </cell>
          <cell r="B2447" t="str">
            <v>Trong 24h</v>
          </cell>
          <cell r="D2447" t="str">
            <v>Khiếu nại về dịch vụ FTTH</v>
          </cell>
          <cell r="W2447" t="str">
            <v>Đang xử lý</v>
          </cell>
          <cell r="AJ2447" t="str">
            <v>TP HCM</v>
          </cell>
          <cell r="BX2447" t="str">
            <v>AON</v>
          </cell>
        </row>
        <row r="2448">
          <cell r="A2448" t="str">
            <v>ON</v>
          </cell>
          <cell r="B2448" t="str">
            <v>Trong 24h</v>
          </cell>
          <cell r="D2448" t="str">
            <v>Khiếu nại về dịch vụ FTTH</v>
          </cell>
          <cell r="W2448" t="str">
            <v>Đang xử lý</v>
          </cell>
          <cell r="AJ2448" t="str">
            <v>TP HCM</v>
          </cell>
          <cell r="BX2448" t="str">
            <v>AON</v>
          </cell>
        </row>
        <row r="2449">
          <cell r="A2449" t="str">
            <v>ON</v>
          </cell>
          <cell r="B2449" t="str">
            <v>Trong 24h</v>
          </cell>
          <cell r="D2449" t="str">
            <v>Khiếu nại về dịch vụ FTTH</v>
          </cell>
          <cell r="W2449" t="str">
            <v>Đang xử lý</v>
          </cell>
          <cell r="AJ2449" t="str">
            <v>TP HCM</v>
          </cell>
          <cell r="BX2449" t="str">
            <v>AON</v>
          </cell>
        </row>
        <row r="2450">
          <cell r="A2450" t="str">
            <v>ON</v>
          </cell>
          <cell r="B2450" t="str">
            <v>Trong 24h</v>
          </cell>
          <cell r="D2450" t="str">
            <v>Khiếu nại về dịch vụ FTTH</v>
          </cell>
          <cell r="W2450" t="str">
            <v>Đang xử lý</v>
          </cell>
          <cell r="AJ2450" t="str">
            <v>Hưng Yên</v>
          </cell>
          <cell r="BX2450" t="str">
            <v>AON</v>
          </cell>
        </row>
        <row r="2451">
          <cell r="A2451" t="str">
            <v>ON</v>
          </cell>
          <cell r="B2451" t="str">
            <v>Trong 24h</v>
          </cell>
          <cell r="D2451" t="str">
            <v>Khiếu nại về dịch vụ FTTH</v>
          </cell>
          <cell r="W2451" t="str">
            <v>Đang xử lý</v>
          </cell>
          <cell r="AJ2451" t="str">
            <v>TP HCM</v>
          </cell>
          <cell r="BX2451" t="str">
            <v>AON</v>
          </cell>
        </row>
        <row r="2452">
          <cell r="A2452" t="str">
            <v>ON</v>
          </cell>
          <cell r="B2452" t="str">
            <v>Trong 24h</v>
          </cell>
          <cell r="D2452" t="str">
            <v>Khiếu nại về dịch vụ FTTH</v>
          </cell>
          <cell r="W2452" t="str">
            <v>Đang xử lý</v>
          </cell>
          <cell r="AJ2452" t="str">
            <v>Bình Dương</v>
          </cell>
          <cell r="BX2452" t="str">
            <v>AON</v>
          </cell>
        </row>
        <row r="2453">
          <cell r="A2453" t="str">
            <v>ON</v>
          </cell>
          <cell r="B2453" t="str">
            <v>Trong 24h</v>
          </cell>
          <cell r="D2453" t="str">
            <v>Khiếu nại về dịch vụ FTTH</v>
          </cell>
          <cell r="W2453" t="str">
            <v>Đang xử lý</v>
          </cell>
          <cell r="AJ2453" t="str">
            <v>Bà Rịa - Vũng Tàu</v>
          </cell>
          <cell r="BX2453" t="str">
            <v>AON</v>
          </cell>
        </row>
        <row r="2454">
          <cell r="A2454" t="str">
            <v>ON</v>
          </cell>
          <cell r="B2454" t="str">
            <v>Trong 24h</v>
          </cell>
          <cell r="D2454" t="str">
            <v>Khiếu nại về dịch vụ FTTH</v>
          </cell>
          <cell r="W2454" t="str">
            <v>Đang xử lý</v>
          </cell>
          <cell r="AJ2454" t="str">
            <v>Lào Cai</v>
          </cell>
          <cell r="BX2454" t="str">
            <v>AON</v>
          </cell>
        </row>
        <row r="2455">
          <cell r="A2455" t="str">
            <v>ON</v>
          </cell>
          <cell r="B2455" t="str">
            <v>Trong 24h</v>
          </cell>
          <cell r="D2455" t="str">
            <v>Khiếu nại về dịch vụ FTTH</v>
          </cell>
          <cell r="W2455" t="str">
            <v>Đang xử lý</v>
          </cell>
          <cell r="AJ2455" t="str">
            <v>TP HCM</v>
          </cell>
          <cell r="BX2455" t="str">
            <v>AON</v>
          </cell>
        </row>
        <row r="2456">
          <cell r="A2456" t="str">
            <v>ON</v>
          </cell>
          <cell r="B2456" t="str">
            <v>Trong 24h</v>
          </cell>
          <cell r="D2456" t="str">
            <v>Khiếu nại về dịch vụ FTTH</v>
          </cell>
          <cell r="W2456" t="str">
            <v>Đang xử lý</v>
          </cell>
          <cell r="AJ2456" t="str">
            <v>Bình Dương</v>
          </cell>
          <cell r="BX2456" t="str">
            <v>AON</v>
          </cell>
        </row>
        <row r="2457">
          <cell r="A2457" t="str">
            <v>ON</v>
          </cell>
          <cell r="B2457" t="str">
            <v>Trong 24h</v>
          </cell>
          <cell r="D2457" t="str">
            <v>Khiếu nại về dịch vụ FTTH</v>
          </cell>
          <cell r="W2457" t="str">
            <v>Đang xử lý</v>
          </cell>
          <cell r="AJ2457" t="str">
            <v>Quảng Ninh</v>
          </cell>
          <cell r="BX2457" t="str">
            <v>AON</v>
          </cell>
        </row>
        <row r="2458">
          <cell r="A2458" t="str">
            <v>ON</v>
          </cell>
          <cell r="B2458" t="str">
            <v>Trong 24h</v>
          </cell>
          <cell r="D2458" t="str">
            <v>Khiếu nại về dịch vụ FTTH</v>
          </cell>
          <cell r="W2458" t="str">
            <v>Đang xử lý</v>
          </cell>
          <cell r="AJ2458" t="str">
            <v>Hải Phòng</v>
          </cell>
          <cell r="BX2458" t="str">
            <v>AON</v>
          </cell>
        </row>
        <row r="2459">
          <cell r="A2459" t="str">
            <v>ON</v>
          </cell>
          <cell r="B2459" t="str">
            <v>Trong 24h</v>
          </cell>
          <cell r="D2459" t="str">
            <v>Khiếu nại về dịch vụ FTTH</v>
          </cell>
          <cell r="W2459" t="str">
            <v>Đang xử lý</v>
          </cell>
          <cell r="AJ2459" t="str">
            <v>TP HCM</v>
          </cell>
          <cell r="BX2459" t="str">
            <v>AON</v>
          </cell>
        </row>
        <row r="2460">
          <cell r="A2460" t="str">
            <v>ON</v>
          </cell>
          <cell r="B2460" t="str">
            <v>Trong 24h</v>
          </cell>
          <cell r="D2460" t="str">
            <v>Khiếu nại về dịch vụ NextTV</v>
          </cell>
          <cell r="W2460" t="str">
            <v>Đang xử lý</v>
          </cell>
          <cell r="AJ2460" t="str">
            <v>TP HCM</v>
          </cell>
          <cell r="BX2460" t="str">
            <v>AON</v>
          </cell>
        </row>
        <row r="2461">
          <cell r="A2461" t="str">
            <v>ON</v>
          </cell>
          <cell r="B2461" t="str">
            <v>Trong 24h</v>
          </cell>
          <cell r="D2461" t="str">
            <v>Khiếu nại về dịch vụ FTTH</v>
          </cell>
          <cell r="W2461" t="str">
            <v>Đang xử lý</v>
          </cell>
          <cell r="AJ2461" t="str">
            <v>TP HCM</v>
          </cell>
          <cell r="BX2461" t="str">
            <v>GPON</v>
          </cell>
        </row>
        <row r="2462">
          <cell r="A2462" t="str">
            <v>ON</v>
          </cell>
          <cell r="B2462" t="str">
            <v>Trong 24h</v>
          </cell>
          <cell r="D2462" t="str">
            <v>Khiếu nại về dịch vụ FTTH</v>
          </cell>
          <cell r="W2462" t="str">
            <v>Đang xử lý</v>
          </cell>
          <cell r="AJ2462" t="str">
            <v xml:space="preserve">Đà Nẵng </v>
          </cell>
          <cell r="BX2462" t="str">
            <v>AON</v>
          </cell>
        </row>
        <row r="2463">
          <cell r="A2463" t="str">
            <v>ON</v>
          </cell>
          <cell r="B2463" t="str">
            <v>Trong 24h</v>
          </cell>
          <cell r="D2463" t="str">
            <v>Khiếu nại về dịch vụ FTTH</v>
          </cell>
          <cell r="W2463" t="str">
            <v>Đang xử lý</v>
          </cell>
          <cell r="AJ2463" t="str">
            <v>Hải Phòng</v>
          </cell>
          <cell r="BX2463" t="str">
            <v>AON</v>
          </cell>
        </row>
        <row r="2464">
          <cell r="A2464" t="str">
            <v>ON</v>
          </cell>
          <cell r="B2464" t="str">
            <v>Trong 24h</v>
          </cell>
          <cell r="D2464" t="str">
            <v>Khiếu nại về dịch vụ FTTH</v>
          </cell>
          <cell r="W2464" t="str">
            <v>Đang xử lý</v>
          </cell>
          <cell r="AJ2464" t="str">
            <v>Hà Nội 2</v>
          </cell>
          <cell r="BX2464" t="str">
            <v>AON</v>
          </cell>
        </row>
        <row r="2465">
          <cell r="A2465" t="str">
            <v>ON</v>
          </cell>
          <cell r="B2465" t="str">
            <v>Trong 24h</v>
          </cell>
          <cell r="D2465" t="str">
            <v>Khiếu nại về dịch vụ FTTH</v>
          </cell>
          <cell r="W2465" t="str">
            <v>Đang xử lý</v>
          </cell>
          <cell r="AJ2465" t="str">
            <v>TP HCM</v>
          </cell>
          <cell r="BX2465" t="str">
            <v>AON</v>
          </cell>
        </row>
        <row r="2466">
          <cell r="A2466" t="str">
            <v>ON</v>
          </cell>
          <cell r="B2466" t="str">
            <v>Trong 24h</v>
          </cell>
          <cell r="D2466" t="str">
            <v>Khiếu nại về dịch vụ FTTH</v>
          </cell>
          <cell r="W2466" t="str">
            <v>Đang xử lý</v>
          </cell>
          <cell r="AJ2466" t="str">
            <v>Bình Dương</v>
          </cell>
          <cell r="BX2466" t="str">
            <v>AON</v>
          </cell>
        </row>
        <row r="2467">
          <cell r="A2467" t="str">
            <v>ON</v>
          </cell>
          <cell r="B2467" t="str">
            <v>Trong 24h</v>
          </cell>
          <cell r="D2467" t="str">
            <v>Khiếu nại về dịch vụ NextTV</v>
          </cell>
          <cell r="W2467" t="str">
            <v>Đang xử lý</v>
          </cell>
          <cell r="AJ2467" t="str">
            <v>Hà Nội 2</v>
          </cell>
          <cell r="BX2467" t="str">
            <v>AON</v>
          </cell>
        </row>
        <row r="2468">
          <cell r="A2468" t="str">
            <v>ON</v>
          </cell>
          <cell r="B2468" t="str">
            <v>Trong 24h</v>
          </cell>
          <cell r="D2468" t="str">
            <v>Khiếu nại về dịch vụ FTTH</v>
          </cell>
          <cell r="W2468" t="str">
            <v>Đang xử lý</v>
          </cell>
          <cell r="AJ2468" t="str">
            <v>An Giang</v>
          </cell>
          <cell r="BX2468" t="str">
            <v>AON</v>
          </cell>
        </row>
        <row r="2469">
          <cell r="A2469" t="str">
            <v>ON</v>
          </cell>
          <cell r="B2469" t="str">
            <v>Trong 24h</v>
          </cell>
          <cell r="D2469" t="str">
            <v>Khiếu nại về dịch vụ FTTH</v>
          </cell>
          <cell r="W2469" t="str">
            <v>Đã đóng</v>
          </cell>
          <cell r="AJ2469" t="str">
            <v>Hà Nội 1</v>
          </cell>
          <cell r="BX2469" t="str">
            <v>AON</v>
          </cell>
        </row>
        <row r="2470">
          <cell r="A2470" t="str">
            <v>ON</v>
          </cell>
          <cell r="B2470" t="str">
            <v>Trong 24h</v>
          </cell>
          <cell r="D2470" t="str">
            <v>Khiếu nại về dịch vụ FTTH</v>
          </cell>
          <cell r="W2470" t="str">
            <v>Đang xử lý</v>
          </cell>
          <cell r="AJ2470" t="str">
            <v>TP HCM</v>
          </cell>
          <cell r="BX2470" t="str">
            <v>AON</v>
          </cell>
        </row>
        <row r="2471">
          <cell r="A2471" t="str">
            <v>ON</v>
          </cell>
          <cell r="B2471" t="str">
            <v>Trong 24h</v>
          </cell>
          <cell r="D2471" t="str">
            <v>Khiếu nại về dịch vụ FTTH</v>
          </cell>
          <cell r="W2471" t="str">
            <v>Đang xử lý</v>
          </cell>
          <cell r="AJ2471" t="str">
            <v>Bình Dương</v>
          </cell>
          <cell r="BX2471" t="str">
            <v>AON</v>
          </cell>
        </row>
        <row r="2472">
          <cell r="A2472" t="str">
            <v>ON</v>
          </cell>
          <cell r="B2472" t="str">
            <v>Trong 24h</v>
          </cell>
          <cell r="D2472" t="str">
            <v>Khiếu nại về dịch vụ FTTH</v>
          </cell>
          <cell r="W2472" t="str">
            <v>Đang xử lý</v>
          </cell>
          <cell r="AJ2472" t="str">
            <v>Hải Phòng</v>
          </cell>
          <cell r="BX2472" t="str">
            <v>AON</v>
          </cell>
        </row>
        <row r="2473">
          <cell r="A2473" t="str">
            <v>ON</v>
          </cell>
          <cell r="B2473" t="str">
            <v>Trong 24h</v>
          </cell>
          <cell r="D2473" t="str">
            <v>Khiếu nại về dịch vụ NextTV</v>
          </cell>
          <cell r="W2473" t="str">
            <v>Đang xử lý</v>
          </cell>
          <cell r="AJ2473" t="str">
            <v>TP HCM</v>
          </cell>
          <cell r="BX2473" t="str">
            <v>AON</v>
          </cell>
        </row>
        <row r="2474">
          <cell r="A2474" t="str">
            <v>ON</v>
          </cell>
          <cell r="B2474" t="str">
            <v>Trong 24h</v>
          </cell>
          <cell r="D2474" t="str">
            <v>Khiếu nại về dịch vụ FTTH</v>
          </cell>
          <cell r="W2474" t="str">
            <v>Đang xử lý</v>
          </cell>
          <cell r="AJ2474" t="str">
            <v>TP HCM</v>
          </cell>
          <cell r="BX2474" t="str">
            <v>AON</v>
          </cell>
        </row>
        <row r="2475">
          <cell r="A2475" t="str">
            <v>ON</v>
          </cell>
          <cell r="B2475" t="str">
            <v>Trong 24h</v>
          </cell>
          <cell r="D2475" t="str">
            <v>Khiếu nại về dịch vụ FTTH</v>
          </cell>
          <cell r="W2475" t="str">
            <v>Đang xử lý</v>
          </cell>
          <cell r="AJ2475" t="str">
            <v xml:space="preserve">Đà Nẵng </v>
          </cell>
          <cell r="BX2475" t="str">
            <v>AON</v>
          </cell>
        </row>
        <row r="2476">
          <cell r="A2476" t="str">
            <v>ON</v>
          </cell>
          <cell r="B2476" t="str">
            <v>Trong 24h</v>
          </cell>
          <cell r="D2476" t="str">
            <v>Khiếu nại về dịch vụ FTTH</v>
          </cell>
          <cell r="W2476" t="str">
            <v>Đang xử lý</v>
          </cell>
          <cell r="AJ2476" t="str">
            <v>Thái Nguyên</v>
          </cell>
          <cell r="BX2476" t="str">
            <v>AON</v>
          </cell>
        </row>
        <row r="2477">
          <cell r="A2477" t="str">
            <v>ON</v>
          </cell>
          <cell r="B2477" t="str">
            <v>Trong 24h</v>
          </cell>
          <cell r="D2477" t="str">
            <v>Khiếu nại về dịch vụ FTTH</v>
          </cell>
          <cell r="W2477" t="str">
            <v>Đang xử lý</v>
          </cell>
          <cell r="AJ2477" t="str">
            <v>Thái Nguyên</v>
          </cell>
          <cell r="BX2477" t="str">
            <v>AON</v>
          </cell>
        </row>
        <row r="2478">
          <cell r="A2478" t="str">
            <v>ON</v>
          </cell>
          <cell r="B2478" t="str">
            <v>Trong 24h</v>
          </cell>
          <cell r="D2478" t="str">
            <v>Khiếu nại về dịch vụ FTTH</v>
          </cell>
          <cell r="W2478" t="str">
            <v>Đang xử lý</v>
          </cell>
          <cell r="AJ2478" t="str">
            <v>Bến Tre</v>
          </cell>
          <cell r="BX2478" t="str">
            <v>AON</v>
          </cell>
        </row>
        <row r="2479">
          <cell r="A2479" t="str">
            <v>ON</v>
          </cell>
          <cell r="B2479" t="str">
            <v>Trong 24h</v>
          </cell>
          <cell r="D2479" t="str">
            <v>Khiếu nại về dịch vụ FTTH</v>
          </cell>
          <cell r="W2479" t="str">
            <v>Đang xử lý</v>
          </cell>
          <cell r="AJ2479" t="str">
            <v>TP HCM</v>
          </cell>
          <cell r="BX2479" t="str">
            <v>AON</v>
          </cell>
        </row>
        <row r="2480">
          <cell r="A2480" t="str">
            <v>ON</v>
          </cell>
          <cell r="B2480" t="str">
            <v>Trong 24h</v>
          </cell>
          <cell r="D2480" t="str">
            <v>Khiếu nại về dịch vụ FTTH</v>
          </cell>
          <cell r="W2480" t="str">
            <v>Đang xử lý</v>
          </cell>
          <cell r="AJ2480" t="str">
            <v>Hà Nội 1</v>
          </cell>
          <cell r="BX2480" t="str">
            <v>AON</v>
          </cell>
        </row>
        <row r="2481">
          <cell r="A2481" t="str">
            <v>ON</v>
          </cell>
          <cell r="B2481" t="str">
            <v>Trong 24h</v>
          </cell>
          <cell r="D2481" t="str">
            <v>Khiếu nại về dịch vụ FTTH</v>
          </cell>
          <cell r="W2481" t="str">
            <v>Đang xử lý</v>
          </cell>
          <cell r="AJ2481" t="str">
            <v>Hà Nội 1</v>
          </cell>
          <cell r="BX2481" t="str">
            <v>AON</v>
          </cell>
        </row>
        <row r="2482">
          <cell r="A2482" t="str">
            <v>ON</v>
          </cell>
          <cell r="B2482" t="str">
            <v>Trong 24h</v>
          </cell>
          <cell r="D2482" t="str">
            <v>Khiếu nại về dịch vụ FTTH</v>
          </cell>
          <cell r="W2482" t="str">
            <v>Đang xử lý</v>
          </cell>
          <cell r="AJ2482" t="str">
            <v>TP HCM</v>
          </cell>
          <cell r="BX2482" t="str">
            <v>AON</v>
          </cell>
        </row>
        <row r="2483">
          <cell r="A2483" t="str">
            <v>ON</v>
          </cell>
          <cell r="B2483" t="str">
            <v>Trong 24h</v>
          </cell>
          <cell r="D2483" t="str">
            <v>Khiếu nại về dịch vụ FTTH</v>
          </cell>
          <cell r="W2483" t="str">
            <v>Đang xử lý</v>
          </cell>
          <cell r="AJ2483" t="str">
            <v>Hải Dương</v>
          </cell>
          <cell r="BX2483" t="str">
            <v>AON</v>
          </cell>
        </row>
        <row r="2484">
          <cell r="A2484" t="str">
            <v>ON</v>
          </cell>
          <cell r="B2484" t="str">
            <v>Trong 24h</v>
          </cell>
          <cell r="D2484" t="str">
            <v>Khiếu nại về dịch vụ FTTH</v>
          </cell>
          <cell r="W2484" t="str">
            <v>Đang xử lý</v>
          </cell>
          <cell r="AJ2484" t="str">
            <v>TP HCM</v>
          </cell>
          <cell r="BX2484" t="str">
            <v>AON</v>
          </cell>
        </row>
        <row r="2485">
          <cell r="A2485" t="str">
            <v>ON</v>
          </cell>
          <cell r="B2485" t="str">
            <v>Trong 24h</v>
          </cell>
          <cell r="D2485" t="str">
            <v>Khiếu nại về dịch vụ FTTH</v>
          </cell>
          <cell r="W2485" t="str">
            <v>Đã đóng</v>
          </cell>
          <cell r="AJ2485" t="str">
            <v>An Giang</v>
          </cell>
          <cell r="BX2485" t="str">
            <v>AON</v>
          </cell>
        </row>
        <row r="2486">
          <cell r="A2486" t="str">
            <v>ON</v>
          </cell>
          <cell r="B2486" t="str">
            <v>Trong 24h</v>
          </cell>
          <cell r="D2486" t="str">
            <v>Khiếu nại về dịch vụ FTTH</v>
          </cell>
          <cell r="W2486" t="str">
            <v>Đang xử lý</v>
          </cell>
          <cell r="AJ2486" t="str">
            <v>Hà Nội 2</v>
          </cell>
          <cell r="BX2486" t="str">
            <v>AON</v>
          </cell>
        </row>
        <row r="2487">
          <cell r="A2487" t="str">
            <v>ON</v>
          </cell>
          <cell r="B2487" t="str">
            <v>Trong 24h</v>
          </cell>
          <cell r="D2487" t="str">
            <v>Khiếu nại về dịch vụ FTTH</v>
          </cell>
          <cell r="W2487" t="str">
            <v>Đang xử lý</v>
          </cell>
          <cell r="AJ2487" t="str">
            <v>TP HCM</v>
          </cell>
          <cell r="BX2487" t="str">
            <v>AON</v>
          </cell>
        </row>
        <row r="2488">
          <cell r="A2488" t="str">
            <v>ON</v>
          </cell>
          <cell r="B2488" t="str">
            <v>Trong 24h</v>
          </cell>
          <cell r="D2488" t="str">
            <v>Khiếu nại về dịch vụ FTTH</v>
          </cell>
          <cell r="W2488" t="str">
            <v>Đã đóng</v>
          </cell>
          <cell r="AJ2488" t="str">
            <v>Bắc Giang</v>
          </cell>
          <cell r="BX2488" t="str">
            <v>AON</v>
          </cell>
        </row>
        <row r="2489">
          <cell r="A2489" t="str">
            <v>ON</v>
          </cell>
          <cell r="B2489" t="str">
            <v>Trong 24h</v>
          </cell>
          <cell r="D2489" t="str">
            <v>Khiếu nại về dịch vụ FTTH</v>
          </cell>
          <cell r="W2489" t="str">
            <v>Đang xử lý</v>
          </cell>
          <cell r="AJ2489" t="str">
            <v>Hưng Yên</v>
          </cell>
          <cell r="BX2489" t="str">
            <v>AON</v>
          </cell>
        </row>
        <row r="2490">
          <cell r="A2490" t="str">
            <v>ON</v>
          </cell>
          <cell r="B2490" t="str">
            <v>Trong 24h</v>
          </cell>
          <cell r="D2490" t="str">
            <v>Khiếu nại về dịch vụ NextTV</v>
          </cell>
          <cell r="W2490" t="str">
            <v>Đang xử lý</v>
          </cell>
          <cell r="AJ2490" t="str">
            <v>Hà Nội 1</v>
          </cell>
          <cell r="BX2490" t="str">
            <v>AON</v>
          </cell>
        </row>
        <row r="2491">
          <cell r="A2491" t="str">
            <v>ON</v>
          </cell>
          <cell r="B2491" t="str">
            <v>Trong 24h</v>
          </cell>
          <cell r="D2491" t="str">
            <v>Khiếu nại về dịch vụ NextTV</v>
          </cell>
          <cell r="W2491" t="str">
            <v>Đang xử lý</v>
          </cell>
          <cell r="AJ2491" t="str">
            <v>TP HCM</v>
          </cell>
          <cell r="BX2491" t="str">
            <v>AON</v>
          </cell>
        </row>
        <row r="2492">
          <cell r="A2492" t="str">
            <v>ON</v>
          </cell>
          <cell r="B2492" t="str">
            <v>Trong 24h</v>
          </cell>
          <cell r="D2492" t="str">
            <v>Khiếu nại về dịch vụ FTTH</v>
          </cell>
          <cell r="W2492" t="str">
            <v>Đang xử lý</v>
          </cell>
          <cell r="AJ2492" t="str">
            <v>Lâm Đồng</v>
          </cell>
          <cell r="BX2492" t="str">
            <v>AON</v>
          </cell>
        </row>
        <row r="2493">
          <cell r="A2493" t="str">
            <v>ON</v>
          </cell>
          <cell r="B2493" t="str">
            <v>Trong 24h</v>
          </cell>
          <cell r="D2493" t="str">
            <v>Khiếu nại về dịch vụ FTTH</v>
          </cell>
          <cell r="W2493" t="str">
            <v>Đang xử lý</v>
          </cell>
          <cell r="AJ2493" t="str">
            <v>TP HCM</v>
          </cell>
          <cell r="BX2493" t="str">
            <v>AON</v>
          </cell>
        </row>
        <row r="2494">
          <cell r="A2494" t="str">
            <v>ON</v>
          </cell>
          <cell r="B2494" t="str">
            <v>Trong 24h</v>
          </cell>
          <cell r="D2494" t="str">
            <v>Khiếu nại về dịch vụ FTTH</v>
          </cell>
          <cell r="W2494" t="str">
            <v>Đang xử lý</v>
          </cell>
          <cell r="AJ2494" t="str">
            <v>Bắc Giang</v>
          </cell>
          <cell r="BX2494" t="str">
            <v>AON</v>
          </cell>
        </row>
        <row r="2495">
          <cell r="A2495" t="str">
            <v>ON</v>
          </cell>
          <cell r="B2495" t="str">
            <v>Trong 24h</v>
          </cell>
          <cell r="D2495" t="str">
            <v>Khiếu nại về dịch vụ FTTH</v>
          </cell>
          <cell r="W2495" t="str">
            <v>Đang xử lý</v>
          </cell>
          <cell r="AJ2495" t="str">
            <v>Hải Dương</v>
          </cell>
          <cell r="BX2495" t="str">
            <v>AON</v>
          </cell>
        </row>
        <row r="2496">
          <cell r="A2496" t="str">
            <v>ON</v>
          </cell>
          <cell r="B2496" t="str">
            <v>Trong 24h</v>
          </cell>
          <cell r="D2496" t="str">
            <v>Khiếu nại về dịch vụ FTTH</v>
          </cell>
          <cell r="W2496" t="str">
            <v>Đang xử lý</v>
          </cell>
          <cell r="AJ2496" t="str">
            <v>TP HCM</v>
          </cell>
          <cell r="BX2496" t="str">
            <v>GPON</v>
          </cell>
        </row>
        <row r="2497">
          <cell r="A2497" t="str">
            <v>ON</v>
          </cell>
          <cell r="B2497" t="str">
            <v>Trong 24h</v>
          </cell>
          <cell r="D2497" t="str">
            <v>Khiếu nại về dịch vụ FTTH</v>
          </cell>
          <cell r="W2497" t="str">
            <v>Đang xử lý</v>
          </cell>
          <cell r="AJ2497" t="str">
            <v>Đắc Nông</v>
          </cell>
          <cell r="BX2497" t="str">
            <v>AON</v>
          </cell>
        </row>
        <row r="2498">
          <cell r="A2498" t="str">
            <v>ON</v>
          </cell>
          <cell r="B2498" t="str">
            <v>Trong 24h</v>
          </cell>
          <cell r="D2498" t="str">
            <v>Khiếu nại về dịch vụ FTTH</v>
          </cell>
          <cell r="W2498" t="str">
            <v>Đang xử lý</v>
          </cell>
          <cell r="AJ2498" t="str">
            <v>TP HCM</v>
          </cell>
          <cell r="BX2498" t="str">
            <v>AON</v>
          </cell>
        </row>
        <row r="2499">
          <cell r="A2499" t="str">
            <v>ON</v>
          </cell>
          <cell r="B2499" t="str">
            <v>Trong 24h</v>
          </cell>
          <cell r="D2499" t="str">
            <v>Khiếu nại về dịch vụ FTTH</v>
          </cell>
          <cell r="W2499" t="str">
            <v>Đang xử lý</v>
          </cell>
          <cell r="AJ2499" t="str">
            <v>Thanh Hoá</v>
          </cell>
          <cell r="BX2499" t="str">
            <v>AON</v>
          </cell>
        </row>
        <row r="2500">
          <cell r="A2500" t="str">
            <v>ON</v>
          </cell>
          <cell r="B2500" t="str">
            <v>Trong 24h</v>
          </cell>
          <cell r="D2500" t="str">
            <v>Khiếu nại về dịch vụ FTTH</v>
          </cell>
          <cell r="W2500" t="str">
            <v>Đang xử lý</v>
          </cell>
          <cell r="AJ2500" t="str">
            <v>Hà Nội 1</v>
          </cell>
          <cell r="BX2500" t="str">
            <v>AON</v>
          </cell>
        </row>
        <row r="2501">
          <cell r="A2501" t="str">
            <v>ON</v>
          </cell>
          <cell r="B2501" t="str">
            <v>Trong 24h</v>
          </cell>
          <cell r="D2501" t="str">
            <v>Khiếu nại về dịch vụ FTTH</v>
          </cell>
          <cell r="W2501" t="str">
            <v>Đang xử lý</v>
          </cell>
          <cell r="AJ2501" t="str">
            <v>Hà Nam</v>
          </cell>
          <cell r="BX2501" t="str">
            <v>AON</v>
          </cell>
        </row>
        <row r="2502">
          <cell r="A2502" t="str">
            <v>ON</v>
          </cell>
          <cell r="B2502" t="str">
            <v>Trong 24h</v>
          </cell>
          <cell r="D2502" t="str">
            <v>Khiếu nại về dịch vụ FTTH</v>
          </cell>
          <cell r="W2502" t="str">
            <v>Đã đóng</v>
          </cell>
          <cell r="AJ2502" t="str">
            <v>TP HCM</v>
          </cell>
          <cell r="BX2502" t="str">
            <v>AON</v>
          </cell>
        </row>
        <row r="2503">
          <cell r="A2503" t="str">
            <v>ON</v>
          </cell>
          <cell r="B2503" t="str">
            <v>Trong 24h</v>
          </cell>
          <cell r="D2503" t="str">
            <v>Khiếu nại về dịch vụ FTTH</v>
          </cell>
          <cell r="W2503" t="str">
            <v>Đang xử lý</v>
          </cell>
          <cell r="AJ2503" t="str">
            <v>TP HCM</v>
          </cell>
          <cell r="BX2503" t="str">
            <v>AON</v>
          </cell>
        </row>
        <row r="2504">
          <cell r="A2504" t="str">
            <v>ON</v>
          </cell>
          <cell r="B2504" t="str">
            <v>Trong 24h</v>
          </cell>
          <cell r="D2504" t="str">
            <v>Khiếu nại về dịch vụ FTTH</v>
          </cell>
          <cell r="W2504" t="str">
            <v>Đang xử lý</v>
          </cell>
          <cell r="AJ2504" t="str">
            <v>Thái Nguyên</v>
          </cell>
          <cell r="BX2504" t="str">
            <v>AON</v>
          </cell>
        </row>
        <row r="2505">
          <cell r="A2505" t="str">
            <v>ON</v>
          </cell>
          <cell r="B2505" t="str">
            <v>Trong 24h</v>
          </cell>
          <cell r="D2505" t="str">
            <v>Khiếu nại về dịch vụ FTTH</v>
          </cell>
          <cell r="W2505" t="str">
            <v>Đang xử lý</v>
          </cell>
          <cell r="AJ2505" t="str">
            <v>Tuyên Quang</v>
          </cell>
          <cell r="BX2505" t="str">
            <v>AON</v>
          </cell>
        </row>
        <row r="2506">
          <cell r="A2506" t="str">
            <v>ON</v>
          </cell>
          <cell r="B2506" t="str">
            <v>Trong 24h</v>
          </cell>
          <cell r="D2506" t="str">
            <v>Khiếu nại về dịch vụ NextTV</v>
          </cell>
          <cell r="W2506" t="str">
            <v>Đã đóng</v>
          </cell>
          <cell r="AJ2506" t="str">
            <v xml:space="preserve">Đà Nẵng </v>
          </cell>
          <cell r="BX2506" t="str">
            <v>AON</v>
          </cell>
        </row>
        <row r="2507">
          <cell r="A2507" t="str">
            <v>ON</v>
          </cell>
          <cell r="B2507" t="str">
            <v>Trong 24h</v>
          </cell>
          <cell r="D2507" t="str">
            <v>Khiếu nại về dịch vụ FTTH</v>
          </cell>
          <cell r="W2507" t="str">
            <v>Đang xử lý</v>
          </cell>
          <cell r="AJ2507" t="str">
            <v>Bình Dương</v>
          </cell>
          <cell r="BX2507" t="str">
            <v>AON</v>
          </cell>
        </row>
        <row r="2508">
          <cell r="A2508" t="str">
            <v>ON</v>
          </cell>
          <cell r="B2508" t="str">
            <v>Trong 24h</v>
          </cell>
          <cell r="D2508" t="str">
            <v>Khiếu nại về dịch vụ FTTH</v>
          </cell>
          <cell r="W2508" t="str">
            <v>Đang xử lý</v>
          </cell>
          <cell r="AJ2508" t="str">
            <v>TP HCM</v>
          </cell>
          <cell r="BX2508" t="str">
            <v>AON</v>
          </cell>
        </row>
        <row r="2509">
          <cell r="A2509" t="str">
            <v>ON</v>
          </cell>
          <cell r="B2509" t="str">
            <v>Trong 24h</v>
          </cell>
          <cell r="D2509" t="str">
            <v>Khiếu nại về dịch vụ FTTH</v>
          </cell>
          <cell r="W2509" t="str">
            <v>Đang xử lý</v>
          </cell>
          <cell r="AJ2509" t="str">
            <v>Thái Nguyên</v>
          </cell>
          <cell r="BX2509" t="str">
            <v>AON</v>
          </cell>
        </row>
        <row r="2510">
          <cell r="A2510" t="str">
            <v>ON</v>
          </cell>
          <cell r="B2510" t="str">
            <v>Trong 24h</v>
          </cell>
          <cell r="D2510" t="str">
            <v>Khiếu nại về dịch vụ FTTH</v>
          </cell>
          <cell r="W2510" t="str">
            <v>Đang xử lý</v>
          </cell>
          <cell r="AJ2510" t="str">
            <v>Kiên Giang</v>
          </cell>
          <cell r="BX2510" t="str">
            <v>AON</v>
          </cell>
        </row>
        <row r="2511">
          <cell r="A2511" t="str">
            <v>ON</v>
          </cell>
          <cell r="B2511" t="str">
            <v>Trong 24h</v>
          </cell>
          <cell r="D2511" t="str">
            <v>Khiếu nại về dịch vụ FTTH</v>
          </cell>
          <cell r="W2511" t="str">
            <v>Đang xử lý</v>
          </cell>
          <cell r="AJ2511" t="str">
            <v>TP HCM</v>
          </cell>
          <cell r="BX2511" t="str">
            <v>AON</v>
          </cell>
        </row>
        <row r="2512">
          <cell r="A2512" t="str">
            <v>ON</v>
          </cell>
          <cell r="B2512" t="str">
            <v>Trong 24h</v>
          </cell>
          <cell r="D2512" t="str">
            <v>Khiếu nại về dịch vụ FTTH</v>
          </cell>
          <cell r="W2512" t="str">
            <v>Đang xử lý</v>
          </cell>
          <cell r="AJ2512" t="str">
            <v>TP HCM</v>
          </cell>
          <cell r="BX2512" t="str">
            <v>AON</v>
          </cell>
        </row>
        <row r="2513">
          <cell r="A2513" t="str">
            <v>ON</v>
          </cell>
          <cell r="B2513" t="str">
            <v>Trong 24h</v>
          </cell>
          <cell r="D2513" t="str">
            <v>Khiếu nại về dịch vụ FTTH</v>
          </cell>
          <cell r="W2513" t="str">
            <v>Đang xử lý</v>
          </cell>
          <cell r="AJ2513" t="str">
            <v>Khánh Hoà</v>
          </cell>
          <cell r="BX2513" t="str">
            <v>AON</v>
          </cell>
        </row>
        <row r="2514">
          <cell r="A2514" t="str">
            <v>ON</v>
          </cell>
          <cell r="B2514" t="str">
            <v>Trong 24h</v>
          </cell>
          <cell r="D2514" t="str">
            <v>Khiếu nại về dịch vụ FTTH</v>
          </cell>
          <cell r="W2514" t="str">
            <v>Đang xử lý</v>
          </cell>
          <cell r="AJ2514" t="str">
            <v>TP HCM</v>
          </cell>
          <cell r="BX2514" t="str">
            <v>AON</v>
          </cell>
        </row>
        <row r="2515">
          <cell r="A2515" t="str">
            <v>ON</v>
          </cell>
          <cell r="B2515" t="str">
            <v>Trong 24h</v>
          </cell>
          <cell r="D2515" t="str">
            <v>Khiếu nại về dịch vụ FTTH</v>
          </cell>
          <cell r="W2515" t="str">
            <v>Đang xử lý</v>
          </cell>
          <cell r="AJ2515" t="str">
            <v>Nam Định</v>
          </cell>
          <cell r="BX2515" t="str">
            <v>AON</v>
          </cell>
        </row>
        <row r="2516">
          <cell r="A2516" t="str">
            <v>ON</v>
          </cell>
          <cell r="B2516" t="str">
            <v>Trong 24h</v>
          </cell>
          <cell r="D2516" t="str">
            <v>Khiếu nại về dịch vụ FTTH</v>
          </cell>
          <cell r="W2516" t="str">
            <v>Đang xử lý</v>
          </cell>
          <cell r="AJ2516" t="str">
            <v>Quảng Trị</v>
          </cell>
          <cell r="BX2516" t="str">
            <v>AON</v>
          </cell>
        </row>
        <row r="2517">
          <cell r="A2517" t="str">
            <v>ON</v>
          </cell>
          <cell r="B2517" t="str">
            <v>Trong 24h</v>
          </cell>
          <cell r="D2517" t="str">
            <v>Khiếu nại về dịch vụ FTTH</v>
          </cell>
          <cell r="W2517" t="str">
            <v>Đang xử lý</v>
          </cell>
          <cell r="AJ2517" t="str">
            <v>Hà Nội 1</v>
          </cell>
          <cell r="BX2517" t="str">
            <v>AON</v>
          </cell>
        </row>
        <row r="2518">
          <cell r="A2518" t="str">
            <v>ON</v>
          </cell>
          <cell r="B2518" t="str">
            <v>Trong 24h</v>
          </cell>
          <cell r="D2518" t="str">
            <v>Khiếu nại về dịch vụ FTTH</v>
          </cell>
          <cell r="W2518" t="str">
            <v>Đã đóng</v>
          </cell>
          <cell r="AJ2518" t="str">
            <v>Hà Nội 2</v>
          </cell>
          <cell r="BX2518" t="str">
            <v>AON</v>
          </cell>
        </row>
        <row r="2519">
          <cell r="A2519" t="str">
            <v>ON</v>
          </cell>
          <cell r="B2519" t="str">
            <v>Trong 24h</v>
          </cell>
          <cell r="D2519" t="str">
            <v>Khiếu nại về dịch vụ FTTH</v>
          </cell>
          <cell r="W2519" t="str">
            <v>Đang xử lý</v>
          </cell>
          <cell r="AJ2519" t="str">
            <v xml:space="preserve">Đà Nẵng </v>
          </cell>
          <cell r="BX2519" t="str">
            <v>AON</v>
          </cell>
        </row>
        <row r="2520">
          <cell r="A2520" t="str">
            <v>ON</v>
          </cell>
          <cell r="B2520" t="str">
            <v>Trong 24h</v>
          </cell>
          <cell r="D2520" t="str">
            <v>Khiếu nại về dịch vụ FTTH</v>
          </cell>
          <cell r="W2520" t="str">
            <v>Đang xử lý</v>
          </cell>
          <cell r="AJ2520" t="str">
            <v>Tây Ninh</v>
          </cell>
          <cell r="BX2520" t="str">
            <v>AON</v>
          </cell>
        </row>
        <row r="2521">
          <cell r="A2521" t="str">
            <v>ON</v>
          </cell>
          <cell r="B2521" t="str">
            <v>Trong 24h</v>
          </cell>
          <cell r="D2521" t="str">
            <v>Khiếu nại về dịch vụ FTTH</v>
          </cell>
          <cell r="W2521" t="str">
            <v>Đang xử lý</v>
          </cell>
          <cell r="AJ2521" t="str">
            <v>Bà Rịa - Vũng Tàu</v>
          </cell>
          <cell r="BX2521" t="str">
            <v>AON</v>
          </cell>
        </row>
        <row r="2522">
          <cell r="A2522" t="str">
            <v>ON</v>
          </cell>
          <cell r="B2522" t="str">
            <v>Trong 24h</v>
          </cell>
          <cell r="D2522" t="str">
            <v>Khiếu nại về dịch vụ FTTH</v>
          </cell>
          <cell r="W2522" t="str">
            <v>Đang xử lý</v>
          </cell>
          <cell r="AJ2522" t="str">
            <v>Vĩnh Phúc</v>
          </cell>
          <cell r="BX2522" t="str">
            <v>AON</v>
          </cell>
        </row>
        <row r="2523">
          <cell r="A2523" t="str">
            <v>ON</v>
          </cell>
          <cell r="B2523" t="str">
            <v>Trong 24h</v>
          </cell>
          <cell r="D2523" t="str">
            <v>Khiếu nại về dịch vụ FTTH</v>
          </cell>
          <cell r="W2523" t="str">
            <v>Đang xử lý</v>
          </cell>
          <cell r="AJ2523" t="str">
            <v>Hà Nam</v>
          </cell>
          <cell r="BX2523" t="str">
            <v>AON</v>
          </cell>
        </row>
        <row r="2524">
          <cell r="A2524" t="str">
            <v>ON</v>
          </cell>
          <cell r="B2524" t="str">
            <v>Trong 24h</v>
          </cell>
          <cell r="D2524" t="str">
            <v>Khiếu nại về dịch vụ FTTH</v>
          </cell>
          <cell r="W2524" t="str">
            <v>Đang xử lý</v>
          </cell>
          <cell r="AJ2524" t="str">
            <v xml:space="preserve">Đắc Lắk </v>
          </cell>
          <cell r="BX2524" t="str">
            <v>AON</v>
          </cell>
        </row>
        <row r="2525">
          <cell r="A2525" t="str">
            <v>ON</v>
          </cell>
          <cell r="B2525" t="str">
            <v>Trong 24h</v>
          </cell>
          <cell r="D2525" t="str">
            <v>Khiếu nại về dịch vụ FTTH</v>
          </cell>
          <cell r="W2525" t="str">
            <v>Đang xử lý</v>
          </cell>
          <cell r="AJ2525" t="str">
            <v>Phú Thọ</v>
          </cell>
          <cell r="BX2525" t="str">
            <v>AON</v>
          </cell>
        </row>
        <row r="2526">
          <cell r="A2526" t="str">
            <v>ON</v>
          </cell>
          <cell r="B2526" t="str">
            <v>Trong 24h</v>
          </cell>
          <cell r="D2526" t="str">
            <v>Khiếu nại về dịch vụ FTTH</v>
          </cell>
          <cell r="W2526" t="str">
            <v>Đang xử lý</v>
          </cell>
          <cell r="AJ2526" t="str">
            <v>TP HCM</v>
          </cell>
          <cell r="BX2526" t="str">
            <v>AON</v>
          </cell>
        </row>
        <row r="2527">
          <cell r="A2527" t="str">
            <v>ON</v>
          </cell>
          <cell r="B2527" t="str">
            <v>Trong 24h</v>
          </cell>
          <cell r="D2527" t="str">
            <v>Khiếu nại về dịch vụ FTTH</v>
          </cell>
          <cell r="W2527" t="str">
            <v>Đang xử lý</v>
          </cell>
          <cell r="AJ2527" t="str">
            <v>Tây Ninh</v>
          </cell>
          <cell r="BX2527" t="str">
            <v>AON</v>
          </cell>
        </row>
        <row r="2528">
          <cell r="A2528" t="str">
            <v>ON</v>
          </cell>
          <cell r="B2528" t="str">
            <v>Trong 24h</v>
          </cell>
          <cell r="D2528" t="str">
            <v>Khiếu nại về dịch vụ FTTH</v>
          </cell>
          <cell r="W2528" t="str">
            <v>Đang xử lý</v>
          </cell>
          <cell r="AJ2528" t="str">
            <v>Hà Nội 2</v>
          </cell>
          <cell r="BX2528" t="str">
            <v>AON</v>
          </cell>
        </row>
        <row r="2529">
          <cell r="A2529" t="str">
            <v>ON</v>
          </cell>
          <cell r="B2529" t="str">
            <v>Trong 24h</v>
          </cell>
          <cell r="D2529" t="str">
            <v>Khiếu nại về dịch vụ FTTH</v>
          </cell>
          <cell r="W2529" t="str">
            <v>Đang xử lý</v>
          </cell>
          <cell r="AJ2529" t="str">
            <v>Bắc Ninh</v>
          </cell>
          <cell r="BX2529" t="str">
            <v>AON</v>
          </cell>
        </row>
        <row r="2530">
          <cell r="A2530" t="str">
            <v>ON</v>
          </cell>
          <cell r="B2530" t="str">
            <v>Trong 24h</v>
          </cell>
          <cell r="D2530" t="str">
            <v>Khiếu nại về dịch vụ FTTH</v>
          </cell>
          <cell r="W2530" t="str">
            <v>Đang xử lý</v>
          </cell>
          <cell r="AJ2530" t="str">
            <v>Thái Nguyên</v>
          </cell>
          <cell r="BX2530" t="str">
            <v>AON</v>
          </cell>
        </row>
        <row r="2531">
          <cell r="A2531" t="str">
            <v>ON</v>
          </cell>
          <cell r="B2531" t="str">
            <v>Trong 24h</v>
          </cell>
          <cell r="D2531" t="str">
            <v>Khiếu nại về dịch vụ FTTH</v>
          </cell>
          <cell r="W2531" t="str">
            <v>Đang xử lý</v>
          </cell>
          <cell r="AJ2531" t="str">
            <v>TP HCM</v>
          </cell>
          <cell r="BX2531" t="str">
            <v>GPON</v>
          </cell>
        </row>
        <row r="2532">
          <cell r="A2532" t="str">
            <v>ON</v>
          </cell>
          <cell r="B2532" t="str">
            <v>Trong 24h</v>
          </cell>
          <cell r="D2532" t="str">
            <v>Khiếu nại về dịch vụ FTTH</v>
          </cell>
          <cell r="W2532" t="str">
            <v>Đang xử lý</v>
          </cell>
          <cell r="AJ2532" t="str">
            <v>Hà Nam</v>
          </cell>
          <cell r="BX2532" t="str">
            <v>AON</v>
          </cell>
        </row>
        <row r="2533">
          <cell r="A2533" t="str">
            <v>ON</v>
          </cell>
          <cell r="B2533" t="str">
            <v>Trong 24h</v>
          </cell>
          <cell r="D2533" t="str">
            <v>Khiếu nại về dịch vụ FTTH</v>
          </cell>
          <cell r="W2533" t="str">
            <v>Đang xử lý</v>
          </cell>
          <cell r="AJ2533" t="str">
            <v>An Giang</v>
          </cell>
          <cell r="BX2533" t="str">
            <v>AON</v>
          </cell>
        </row>
        <row r="2534">
          <cell r="A2534" t="str">
            <v>ON</v>
          </cell>
          <cell r="B2534" t="str">
            <v>Trong 24h</v>
          </cell>
          <cell r="D2534" t="str">
            <v>Khiếu nại về dịch vụ FTTH</v>
          </cell>
          <cell r="W2534" t="str">
            <v>Đang xử lý</v>
          </cell>
          <cell r="AJ2534" t="str">
            <v>Tuyên Quang</v>
          </cell>
          <cell r="BX2534" t="str">
            <v>AON</v>
          </cell>
        </row>
        <row r="2535">
          <cell r="A2535" t="str">
            <v>ON</v>
          </cell>
          <cell r="B2535" t="str">
            <v>Trong 24h</v>
          </cell>
          <cell r="D2535" t="str">
            <v>Khiếu nại về dịch vụ NextTV</v>
          </cell>
          <cell r="W2535" t="str">
            <v>Đang xử lý</v>
          </cell>
          <cell r="AJ2535" t="str">
            <v>Thái Nguyên</v>
          </cell>
          <cell r="BX2535" t="str">
            <v>AON</v>
          </cell>
        </row>
        <row r="2536">
          <cell r="A2536" t="str">
            <v>ON</v>
          </cell>
          <cell r="B2536" t="str">
            <v>Trong 24h</v>
          </cell>
          <cell r="D2536" t="str">
            <v>Khiếu nại về dịch vụ FTTH</v>
          </cell>
          <cell r="W2536" t="str">
            <v>Đang xử lý</v>
          </cell>
          <cell r="AJ2536" t="str">
            <v>Hà Nam</v>
          </cell>
          <cell r="BX2536" t="str">
            <v>AON</v>
          </cell>
        </row>
        <row r="2537">
          <cell r="A2537" t="str">
            <v>ON</v>
          </cell>
          <cell r="B2537" t="str">
            <v>Trong 24h</v>
          </cell>
          <cell r="D2537" t="str">
            <v>Khiếu nại về dịch vụ FTTH</v>
          </cell>
          <cell r="W2537" t="str">
            <v>Đang xử lý</v>
          </cell>
          <cell r="AJ2537" t="str">
            <v>Hải Phòng</v>
          </cell>
          <cell r="BX2537" t="str">
            <v>AON</v>
          </cell>
        </row>
        <row r="2538">
          <cell r="A2538" t="str">
            <v>ON</v>
          </cell>
          <cell r="B2538" t="str">
            <v>Trong 24h</v>
          </cell>
          <cell r="D2538" t="str">
            <v>Khiếu nại về dịch vụ FTTH</v>
          </cell>
          <cell r="W2538" t="str">
            <v>Đang xử lý</v>
          </cell>
          <cell r="AJ2538" t="str">
            <v>Quảng Ninh</v>
          </cell>
          <cell r="BX2538" t="str">
            <v>AON</v>
          </cell>
        </row>
        <row r="2539">
          <cell r="A2539" t="str">
            <v>ON</v>
          </cell>
          <cell r="B2539" t="str">
            <v>Trong 24h</v>
          </cell>
          <cell r="D2539" t="str">
            <v>Khiếu nại về dịch vụ FTTH</v>
          </cell>
          <cell r="W2539" t="str">
            <v>Đang xử lý</v>
          </cell>
          <cell r="AJ2539" t="str">
            <v>TP HCM</v>
          </cell>
          <cell r="BX2539" t="str">
            <v>AON</v>
          </cell>
        </row>
        <row r="2540">
          <cell r="A2540" t="str">
            <v>ON</v>
          </cell>
          <cell r="B2540" t="str">
            <v>Trong 24h</v>
          </cell>
          <cell r="D2540" t="str">
            <v>Khiếu nại về dịch vụ FTTH</v>
          </cell>
          <cell r="W2540" t="str">
            <v>Đã đóng</v>
          </cell>
          <cell r="AJ2540" t="str">
            <v>TP HCM</v>
          </cell>
          <cell r="BX2540" t="str">
            <v>AON</v>
          </cell>
        </row>
        <row r="2541">
          <cell r="A2541" t="str">
            <v>ON</v>
          </cell>
          <cell r="B2541" t="str">
            <v>Trong 24h</v>
          </cell>
          <cell r="D2541" t="str">
            <v>Khiếu nại về dịch vụ FTTH</v>
          </cell>
          <cell r="W2541" t="str">
            <v>Đang xử lý</v>
          </cell>
          <cell r="AJ2541" t="str">
            <v>Điện Biên</v>
          </cell>
          <cell r="BX2541" t="str">
            <v>AON</v>
          </cell>
        </row>
        <row r="2542">
          <cell r="A2542" t="str">
            <v>ON</v>
          </cell>
          <cell r="B2542" t="str">
            <v>Trong 24h</v>
          </cell>
          <cell r="D2542" t="str">
            <v>Khiếu nại về dịch vụ FTTH</v>
          </cell>
          <cell r="W2542" t="str">
            <v>Đang xử lý</v>
          </cell>
          <cell r="AJ2542" t="str">
            <v>Gia Lai</v>
          </cell>
          <cell r="BX2542" t="str">
            <v>AON</v>
          </cell>
        </row>
        <row r="2543">
          <cell r="A2543" t="str">
            <v>ON</v>
          </cell>
          <cell r="B2543" t="str">
            <v>Trong 24h</v>
          </cell>
          <cell r="D2543" t="str">
            <v>Khiếu nại về dịch vụ FTTH</v>
          </cell>
          <cell r="W2543" t="str">
            <v>Đang xử lý</v>
          </cell>
          <cell r="AJ2543" t="str">
            <v>Quảng Ninh</v>
          </cell>
          <cell r="BX2543" t="str">
            <v>AON</v>
          </cell>
        </row>
        <row r="2544">
          <cell r="A2544" t="str">
            <v>ON</v>
          </cell>
          <cell r="B2544" t="str">
            <v>Trong 24h</v>
          </cell>
          <cell r="D2544" t="str">
            <v>Khiếu nại về dịch vụ FTTH</v>
          </cell>
          <cell r="W2544" t="str">
            <v>Đang xử lý</v>
          </cell>
          <cell r="AJ2544" t="str">
            <v>TP HCM</v>
          </cell>
          <cell r="BX2544" t="str">
            <v>AON</v>
          </cell>
        </row>
        <row r="2545">
          <cell r="A2545" t="str">
            <v>ON</v>
          </cell>
          <cell r="B2545" t="str">
            <v>Trong 24h</v>
          </cell>
          <cell r="D2545" t="str">
            <v>Khiếu nại về dịch vụ FTTH</v>
          </cell>
          <cell r="W2545" t="str">
            <v>Đang xử lý</v>
          </cell>
          <cell r="AJ2545" t="str">
            <v>TP HCM</v>
          </cell>
          <cell r="BX2545" t="str">
            <v>AON</v>
          </cell>
        </row>
        <row r="2546">
          <cell r="A2546" t="str">
            <v>ON</v>
          </cell>
          <cell r="B2546" t="str">
            <v>Trong 24h</v>
          </cell>
          <cell r="D2546" t="str">
            <v>Khiếu nại về dịch vụ FTTH</v>
          </cell>
          <cell r="W2546" t="str">
            <v>Đang xử lý</v>
          </cell>
          <cell r="AJ2546" t="str">
            <v>Hà Nội 2</v>
          </cell>
          <cell r="BX2546" t="str">
            <v>AON</v>
          </cell>
        </row>
        <row r="2547">
          <cell r="A2547" t="str">
            <v>ON</v>
          </cell>
          <cell r="B2547" t="str">
            <v>Trong 24h</v>
          </cell>
          <cell r="D2547" t="str">
            <v>Khiếu nại về dịch vụ FTTH</v>
          </cell>
          <cell r="W2547" t="str">
            <v>Đang xử lý</v>
          </cell>
          <cell r="AJ2547" t="str">
            <v>Thanh Hoá</v>
          </cell>
          <cell r="BX2547" t="str">
            <v>AON</v>
          </cell>
        </row>
        <row r="2548">
          <cell r="A2548" t="str">
            <v>ON</v>
          </cell>
          <cell r="B2548" t="str">
            <v>Trong 24h</v>
          </cell>
          <cell r="D2548" t="str">
            <v>Khiếu nại về dịch vụ FTTH</v>
          </cell>
          <cell r="W2548" t="str">
            <v>Đang xử lý</v>
          </cell>
          <cell r="AJ2548" t="str">
            <v>Bình Phước</v>
          </cell>
          <cell r="BX2548" t="str">
            <v>AON</v>
          </cell>
        </row>
        <row r="2549">
          <cell r="A2549" t="str">
            <v>ON</v>
          </cell>
          <cell r="B2549" t="str">
            <v>Trong 24h</v>
          </cell>
          <cell r="D2549" t="str">
            <v>Khiếu nại về dịch vụ FTTH</v>
          </cell>
          <cell r="W2549" t="str">
            <v>Đang xử lý</v>
          </cell>
          <cell r="AJ2549" t="str">
            <v>TP HCM</v>
          </cell>
          <cell r="BX2549" t="str">
            <v>AON</v>
          </cell>
        </row>
        <row r="2550">
          <cell r="A2550" t="str">
            <v>ON</v>
          </cell>
          <cell r="B2550" t="str">
            <v>Trong 24h</v>
          </cell>
          <cell r="D2550" t="str">
            <v>Khiếu nại về dịch vụ FTTH</v>
          </cell>
          <cell r="W2550" t="str">
            <v>Đang xử lý</v>
          </cell>
          <cell r="AJ2550" t="str">
            <v>Thái Bình</v>
          </cell>
          <cell r="BX2550" t="str">
            <v>AON</v>
          </cell>
        </row>
        <row r="2551">
          <cell r="A2551" t="str">
            <v>ON</v>
          </cell>
          <cell r="B2551" t="str">
            <v>Trong 24h</v>
          </cell>
          <cell r="D2551" t="str">
            <v>Khiếu nại về dịch vụ FTTH</v>
          </cell>
          <cell r="W2551" t="str">
            <v>Đang xử lý</v>
          </cell>
          <cell r="AJ2551" t="str">
            <v>TP HCM</v>
          </cell>
          <cell r="BX2551" t="str">
            <v>AON</v>
          </cell>
        </row>
        <row r="2552">
          <cell r="A2552" t="str">
            <v>ON</v>
          </cell>
          <cell r="B2552" t="str">
            <v>Trong 24h</v>
          </cell>
          <cell r="D2552" t="str">
            <v>Khiếu nại về dịch vụ FTTH</v>
          </cell>
          <cell r="W2552" t="str">
            <v>Đang xử lý</v>
          </cell>
          <cell r="AJ2552" t="str">
            <v>Hậu Giang</v>
          </cell>
          <cell r="BX2552" t="str">
            <v>AON</v>
          </cell>
        </row>
        <row r="2553">
          <cell r="A2553" t="str">
            <v>ON</v>
          </cell>
          <cell r="B2553" t="str">
            <v>Trong 24h</v>
          </cell>
          <cell r="D2553" t="str">
            <v>Khiếu nại về dịch vụ FTTH</v>
          </cell>
          <cell r="W2553" t="str">
            <v>Đang xử lý</v>
          </cell>
          <cell r="AJ2553" t="str">
            <v>TP HCM</v>
          </cell>
          <cell r="BX2553" t="str">
            <v>GPON</v>
          </cell>
        </row>
        <row r="2554">
          <cell r="A2554" t="str">
            <v>ON</v>
          </cell>
          <cell r="B2554" t="str">
            <v>Trong 24h</v>
          </cell>
          <cell r="D2554" t="str">
            <v>Khiếu nại về dịch vụ FTTH</v>
          </cell>
          <cell r="W2554" t="str">
            <v>Đang xử lý</v>
          </cell>
          <cell r="AJ2554" t="str">
            <v>TP HCM</v>
          </cell>
          <cell r="BX2554" t="str">
            <v>GPON</v>
          </cell>
        </row>
        <row r="2555">
          <cell r="A2555" t="str">
            <v>ON</v>
          </cell>
          <cell r="B2555" t="str">
            <v>Trong 24h</v>
          </cell>
          <cell r="D2555" t="str">
            <v>Khiếu nại về dịch vụ FTTH</v>
          </cell>
          <cell r="W2555" t="str">
            <v>Đang xử lý</v>
          </cell>
          <cell r="AJ2555" t="str">
            <v>TP HCM</v>
          </cell>
          <cell r="BX2555" t="str">
            <v>AON</v>
          </cell>
        </row>
        <row r="2556">
          <cell r="A2556" t="str">
            <v>ON</v>
          </cell>
          <cell r="B2556" t="str">
            <v>Trong 24h</v>
          </cell>
          <cell r="D2556" t="str">
            <v>Khiếu nại về dịch vụ NextTV</v>
          </cell>
          <cell r="W2556" t="str">
            <v>Đang xử lý</v>
          </cell>
          <cell r="AJ2556" t="str">
            <v>Phú Thọ</v>
          </cell>
          <cell r="BX2556" t="str">
            <v>AON</v>
          </cell>
        </row>
        <row r="2557">
          <cell r="A2557" t="str">
            <v>ON</v>
          </cell>
          <cell r="B2557" t="str">
            <v>Trong 24h</v>
          </cell>
          <cell r="D2557" t="str">
            <v>Khiếu nại về dịch vụ FTTH</v>
          </cell>
          <cell r="W2557" t="str">
            <v>Đang xử lý</v>
          </cell>
          <cell r="AJ2557" t="str">
            <v>Quảng Ninh</v>
          </cell>
          <cell r="BX2557" t="str">
            <v>AON</v>
          </cell>
        </row>
        <row r="2558">
          <cell r="A2558" t="str">
            <v>ON</v>
          </cell>
          <cell r="B2558" t="str">
            <v>Trong 24h</v>
          </cell>
          <cell r="D2558" t="str">
            <v>Khiếu nại về dịch vụ FTTH</v>
          </cell>
          <cell r="W2558" t="str">
            <v>Đang xử lý</v>
          </cell>
          <cell r="AJ2558" t="str">
            <v>Quảng Ninh</v>
          </cell>
          <cell r="BX2558" t="str">
            <v>AON</v>
          </cell>
        </row>
        <row r="2559">
          <cell r="A2559" t="str">
            <v>ON</v>
          </cell>
          <cell r="B2559" t="str">
            <v>Trong 24h</v>
          </cell>
          <cell r="D2559" t="str">
            <v>Khiếu nại về dịch vụ FTTH</v>
          </cell>
          <cell r="W2559" t="str">
            <v>Đang xử lý</v>
          </cell>
          <cell r="AJ2559" t="str">
            <v>Hà Nam</v>
          </cell>
          <cell r="BX2559" t="str">
            <v>AON</v>
          </cell>
        </row>
        <row r="2560">
          <cell r="A2560" t="str">
            <v>ON</v>
          </cell>
          <cell r="B2560" t="str">
            <v>Trong 24h</v>
          </cell>
          <cell r="D2560" t="str">
            <v>Khiếu nại về dịch vụ NextTV</v>
          </cell>
          <cell r="W2560" t="str">
            <v>Đang xử lý</v>
          </cell>
          <cell r="AJ2560" t="str">
            <v>Long An</v>
          </cell>
          <cell r="BX2560" t="str">
            <v>AON</v>
          </cell>
        </row>
        <row r="2561">
          <cell r="A2561" t="str">
            <v>ON</v>
          </cell>
          <cell r="B2561" t="str">
            <v>Trong 24h</v>
          </cell>
          <cell r="D2561" t="str">
            <v>Khiếu nại về dịch vụ NextTV</v>
          </cell>
          <cell r="W2561" t="str">
            <v>Đang xử lý</v>
          </cell>
          <cell r="AJ2561" t="str">
            <v>TP HCM</v>
          </cell>
          <cell r="BX2561" t="str">
            <v>AON</v>
          </cell>
        </row>
        <row r="2562">
          <cell r="A2562" t="str">
            <v>ON</v>
          </cell>
          <cell r="B2562" t="str">
            <v>Trong 24h</v>
          </cell>
          <cell r="D2562" t="str">
            <v>Khiếu nại về dịch vụ FTTH</v>
          </cell>
          <cell r="W2562" t="str">
            <v>Đang xử lý</v>
          </cell>
          <cell r="AJ2562" t="str">
            <v>Vĩnh Long</v>
          </cell>
          <cell r="BX2562" t="str">
            <v>AON</v>
          </cell>
        </row>
        <row r="2563">
          <cell r="A2563" t="str">
            <v>ON</v>
          </cell>
          <cell r="B2563" t="str">
            <v>Trong 24h</v>
          </cell>
          <cell r="D2563" t="str">
            <v>Khiếu nại về dịch vụ FTTH</v>
          </cell>
          <cell r="W2563" t="str">
            <v>Đang xử lý</v>
          </cell>
          <cell r="AJ2563" t="str">
            <v>Gia Lai</v>
          </cell>
          <cell r="BX2563" t="str">
            <v>AON</v>
          </cell>
        </row>
        <row r="2564">
          <cell r="A2564" t="str">
            <v>ON</v>
          </cell>
          <cell r="B2564" t="str">
            <v>Trong 24h</v>
          </cell>
          <cell r="D2564" t="str">
            <v>Khiếu nại về dịch vụ FTTH</v>
          </cell>
          <cell r="W2564" t="str">
            <v>Đang xử lý</v>
          </cell>
          <cell r="AJ2564" t="str">
            <v>Gia Lai</v>
          </cell>
          <cell r="BX2564" t="str">
            <v>AON</v>
          </cell>
        </row>
        <row r="2565">
          <cell r="A2565" t="str">
            <v>ON</v>
          </cell>
          <cell r="B2565" t="str">
            <v>Trong 24h</v>
          </cell>
          <cell r="D2565" t="str">
            <v>Khiếu nại về dịch vụ FTTH</v>
          </cell>
          <cell r="W2565" t="str">
            <v>Đang xử lý</v>
          </cell>
          <cell r="AJ2565" t="str">
            <v>Lào Cai</v>
          </cell>
          <cell r="BX2565" t="str">
            <v>AON</v>
          </cell>
        </row>
        <row r="2566">
          <cell r="A2566" t="str">
            <v>ON</v>
          </cell>
          <cell r="B2566" t="str">
            <v>Trong 24h</v>
          </cell>
          <cell r="D2566" t="str">
            <v>Khiếu nại về dịch vụ FTTH</v>
          </cell>
          <cell r="W2566" t="str">
            <v>Đang xử lý</v>
          </cell>
          <cell r="AJ2566" t="str">
            <v>Hải Phòng</v>
          </cell>
          <cell r="BX2566" t="str">
            <v>AON</v>
          </cell>
        </row>
        <row r="2567">
          <cell r="A2567" t="str">
            <v>ON</v>
          </cell>
          <cell r="B2567" t="str">
            <v>Trong 24h</v>
          </cell>
          <cell r="D2567" t="str">
            <v>Khiếu nại về dịch vụ FTTH</v>
          </cell>
          <cell r="W2567" t="str">
            <v>Đang xử lý</v>
          </cell>
          <cell r="AJ2567" t="str">
            <v>Cần Thơ</v>
          </cell>
          <cell r="BX2567" t="str">
            <v>AON</v>
          </cell>
        </row>
        <row r="2568">
          <cell r="A2568" t="str">
            <v>ON</v>
          </cell>
          <cell r="B2568" t="str">
            <v>Trong 24h</v>
          </cell>
          <cell r="D2568" t="str">
            <v>Khiếu nại về dịch vụ FTTH</v>
          </cell>
          <cell r="W2568" t="str">
            <v>Đang xử lý</v>
          </cell>
          <cell r="AJ2568" t="str">
            <v>TP HCM</v>
          </cell>
          <cell r="BX2568" t="str">
            <v>AON</v>
          </cell>
        </row>
        <row r="2569">
          <cell r="A2569" t="str">
            <v>ON</v>
          </cell>
          <cell r="B2569" t="str">
            <v>Trong 24h</v>
          </cell>
          <cell r="D2569" t="str">
            <v>Khiếu nại về dịch vụ FTTH</v>
          </cell>
          <cell r="W2569" t="str">
            <v>Đang xử lý</v>
          </cell>
          <cell r="AJ2569" t="str">
            <v>Quảng Ninh</v>
          </cell>
          <cell r="BX2569" t="str">
            <v>AON</v>
          </cell>
        </row>
        <row r="2570">
          <cell r="A2570" t="str">
            <v>ON</v>
          </cell>
          <cell r="B2570" t="str">
            <v>Trong 24h</v>
          </cell>
          <cell r="D2570" t="str">
            <v>Khiếu nại về dịch vụ FTTH</v>
          </cell>
          <cell r="W2570" t="str">
            <v>Đang xử lý</v>
          </cell>
          <cell r="AJ2570" t="str">
            <v>Bắc Ninh</v>
          </cell>
          <cell r="BX2570" t="str">
            <v>AON</v>
          </cell>
        </row>
        <row r="2571">
          <cell r="A2571" t="str">
            <v>ON</v>
          </cell>
          <cell r="B2571" t="str">
            <v>Trong 24h</v>
          </cell>
          <cell r="D2571" t="str">
            <v>Khiếu nại về dịch vụ FTTH</v>
          </cell>
          <cell r="W2571" t="str">
            <v>Đang xử lý</v>
          </cell>
          <cell r="AJ2571" t="str">
            <v>Hà Giang</v>
          </cell>
          <cell r="BX2571" t="str">
            <v>AON</v>
          </cell>
        </row>
        <row r="2572">
          <cell r="A2572" t="str">
            <v>ON</v>
          </cell>
          <cell r="B2572" t="str">
            <v>Trong 24h</v>
          </cell>
          <cell r="D2572" t="str">
            <v>Khiếu nại về dịch vụ FTTH</v>
          </cell>
          <cell r="W2572" t="str">
            <v>Đang xử lý</v>
          </cell>
          <cell r="AJ2572" t="str">
            <v>Lào Cai</v>
          </cell>
          <cell r="BX2572" t="str">
            <v>AON</v>
          </cell>
        </row>
        <row r="2573">
          <cell r="A2573" t="str">
            <v>ON</v>
          </cell>
          <cell r="B2573" t="str">
            <v>Trong 24h</v>
          </cell>
          <cell r="D2573" t="str">
            <v>Khiếu nại về dịch vụ FTTH</v>
          </cell>
          <cell r="W2573" t="str">
            <v>Đang xử lý</v>
          </cell>
          <cell r="AJ2573" t="str">
            <v>TP HCM</v>
          </cell>
          <cell r="BX2573" t="str">
            <v>AON</v>
          </cell>
        </row>
        <row r="2574">
          <cell r="A2574" t="str">
            <v>ON</v>
          </cell>
          <cell r="B2574" t="str">
            <v>Trong 24h</v>
          </cell>
          <cell r="D2574" t="str">
            <v>Khiếu nại về dịch vụ FTTH</v>
          </cell>
          <cell r="W2574" t="str">
            <v>Đang xử lý</v>
          </cell>
          <cell r="AJ2574" t="str">
            <v>Hà Nội 1</v>
          </cell>
          <cell r="BX2574" t="str">
            <v>AON</v>
          </cell>
        </row>
        <row r="2575">
          <cell r="A2575" t="str">
            <v>ON</v>
          </cell>
          <cell r="B2575" t="str">
            <v>Trong 24h</v>
          </cell>
          <cell r="D2575" t="str">
            <v>Khiếu nại về dịch vụ FTTH</v>
          </cell>
          <cell r="W2575" t="str">
            <v>Đang xử lý</v>
          </cell>
          <cell r="AJ2575" t="str">
            <v>Hà Nội 1</v>
          </cell>
          <cell r="BX2575" t="str">
            <v>AON</v>
          </cell>
        </row>
        <row r="2576">
          <cell r="A2576" t="str">
            <v>ON</v>
          </cell>
          <cell r="B2576" t="str">
            <v>Trong 24h</v>
          </cell>
          <cell r="D2576" t="str">
            <v>Khiếu nại về dịch vụ FTTH</v>
          </cell>
          <cell r="W2576" t="str">
            <v>Đang xử lý</v>
          </cell>
          <cell r="AJ2576" t="str">
            <v>Hà Nội 2</v>
          </cell>
          <cell r="BX2576" t="str">
            <v>AON</v>
          </cell>
        </row>
        <row r="2577">
          <cell r="A2577" t="str">
            <v>ON</v>
          </cell>
          <cell r="B2577" t="str">
            <v>Trong 24h</v>
          </cell>
          <cell r="D2577" t="str">
            <v>Khiếu nại về dịch vụ FTTH</v>
          </cell>
          <cell r="W2577" t="str">
            <v>Đang xử lý</v>
          </cell>
          <cell r="AJ2577" t="str">
            <v>Quảng Trị</v>
          </cell>
          <cell r="BX2577" t="str">
            <v>AON</v>
          </cell>
        </row>
        <row r="2578">
          <cell r="A2578" t="str">
            <v>ON</v>
          </cell>
          <cell r="B2578" t="str">
            <v>Trong 24h</v>
          </cell>
          <cell r="D2578" t="str">
            <v>Khiếu nại về dịch vụ FTTH</v>
          </cell>
          <cell r="W2578" t="str">
            <v>Đang xử lý</v>
          </cell>
          <cell r="AJ2578" t="str">
            <v>TP HCM</v>
          </cell>
          <cell r="BX2578" t="str">
            <v>AON</v>
          </cell>
        </row>
        <row r="2579">
          <cell r="A2579" t="str">
            <v>ON</v>
          </cell>
          <cell r="B2579" t="str">
            <v>Trong 24h</v>
          </cell>
          <cell r="D2579" t="str">
            <v>Khiếu nại về dịch vụ FTTH</v>
          </cell>
          <cell r="W2579" t="str">
            <v>Đang xử lý</v>
          </cell>
          <cell r="AJ2579" t="str">
            <v>Nam Định</v>
          </cell>
          <cell r="BX2579" t="str">
            <v>AON</v>
          </cell>
        </row>
        <row r="2580">
          <cell r="A2580" t="str">
            <v>ON</v>
          </cell>
          <cell r="B2580" t="str">
            <v>Trong 24h</v>
          </cell>
          <cell r="D2580" t="str">
            <v>Khiếu nại về dịch vụ FTTH</v>
          </cell>
          <cell r="W2580" t="str">
            <v>Đang xử lý</v>
          </cell>
          <cell r="AJ2580" t="str">
            <v>Thừa Thiên Huế</v>
          </cell>
          <cell r="BX2580" t="str">
            <v>AON</v>
          </cell>
        </row>
        <row r="2581">
          <cell r="A2581" t="str">
            <v>ON</v>
          </cell>
          <cell r="B2581" t="str">
            <v>Trong 24h</v>
          </cell>
          <cell r="D2581" t="str">
            <v>Khiếu nại về dịch vụ FTTH</v>
          </cell>
          <cell r="W2581" t="str">
            <v>Đang xử lý</v>
          </cell>
          <cell r="AJ2581" t="str">
            <v>Bình Dương</v>
          </cell>
          <cell r="BX2581" t="str">
            <v>AON</v>
          </cell>
        </row>
        <row r="2582">
          <cell r="A2582" t="str">
            <v>ON</v>
          </cell>
          <cell r="B2582" t="str">
            <v>Trong 24h</v>
          </cell>
          <cell r="D2582" t="str">
            <v>Khiếu nại về dịch vụ FTTH</v>
          </cell>
          <cell r="W2582" t="str">
            <v>Đang xử lý</v>
          </cell>
          <cell r="AJ2582" t="str">
            <v>Bình Dương</v>
          </cell>
          <cell r="BX2582" t="str">
            <v>AON</v>
          </cell>
        </row>
        <row r="2583">
          <cell r="A2583" t="str">
            <v>ON</v>
          </cell>
          <cell r="B2583" t="str">
            <v>Trong 24h</v>
          </cell>
          <cell r="D2583" t="str">
            <v>Khiếu nại về dịch vụ FTTH</v>
          </cell>
          <cell r="W2583" t="str">
            <v>Đang xử lý</v>
          </cell>
          <cell r="AJ2583" t="str">
            <v>Hà Nam</v>
          </cell>
          <cell r="BX2583" t="str">
            <v>AON</v>
          </cell>
        </row>
        <row r="2584">
          <cell r="A2584" t="str">
            <v>ON</v>
          </cell>
          <cell r="B2584" t="str">
            <v>Trong 24h</v>
          </cell>
          <cell r="D2584" t="str">
            <v>Khiếu nại về dịch vụ FTTH</v>
          </cell>
          <cell r="W2584" t="str">
            <v>Đang xử lý</v>
          </cell>
          <cell r="AJ2584" t="str">
            <v>Bắc Ninh</v>
          </cell>
          <cell r="BX2584" t="str">
            <v>AON</v>
          </cell>
        </row>
        <row r="2585">
          <cell r="A2585" t="str">
            <v>ON</v>
          </cell>
          <cell r="B2585" t="str">
            <v>Trong 24h</v>
          </cell>
          <cell r="D2585" t="str">
            <v>Khiếu nại về dịch vụ FTTH</v>
          </cell>
          <cell r="W2585" t="str">
            <v>Đang xử lý</v>
          </cell>
          <cell r="AJ2585" t="str">
            <v>Sóc Trăng</v>
          </cell>
          <cell r="BX2585" t="str">
            <v>AON</v>
          </cell>
        </row>
        <row r="2586">
          <cell r="A2586" t="str">
            <v>ON</v>
          </cell>
          <cell r="B2586" t="str">
            <v>Trong 24h</v>
          </cell>
          <cell r="D2586" t="str">
            <v>Khiếu nại về dịch vụ FTTH</v>
          </cell>
          <cell r="W2586" t="str">
            <v>Đang xử lý</v>
          </cell>
          <cell r="AJ2586" t="str">
            <v>TP HCM</v>
          </cell>
          <cell r="BX2586" t="str">
            <v>AON</v>
          </cell>
        </row>
        <row r="2587">
          <cell r="A2587" t="str">
            <v>ON</v>
          </cell>
          <cell r="B2587" t="str">
            <v>Trong 24h</v>
          </cell>
          <cell r="D2587" t="str">
            <v>Khiếu nại về dịch vụ FTTH</v>
          </cell>
          <cell r="W2587" t="str">
            <v>Đang xử lý</v>
          </cell>
          <cell r="AJ2587" t="str">
            <v>Tiền Giang</v>
          </cell>
          <cell r="BX2587" t="str">
            <v>AON</v>
          </cell>
        </row>
        <row r="2588">
          <cell r="A2588" t="str">
            <v>ON</v>
          </cell>
          <cell r="B2588" t="str">
            <v>Trong 24h</v>
          </cell>
          <cell r="D2588" t="str">
            <v>Khiếu nại về dịch vụ FTTH</v>
          </cell>
          <cell r="W2588" t="str">
            <v>Đang xử lý</v>
          </cell>
          <cell r="AJ2588" t="str">
            <v>An Giang</v>
          </cell>
          <cell r="BX2588" t="str">
            <v>AON</v>
          </cell>
        </row>
        <row r="2589">
          <cell r="A2589" t="str">
            <v>ON</v>
          </cell>
          <cell r="B2589" t="str">
            <v>Trong 24h</v>
          </cell>
          <cell r="D2589" t="str">
            <v>Khiếu nại về dịch vụ FTTH</v>
          </cell>
          <cell r="W2589" t="str">
            <v>Đang xử lý</v>
          </cell>
          <cell r="AJ2589" t="str">
            <v>Quảng Ninh</v>
          </cell>
          <cell r="BX2589" t="str">
            <v>AON</v>
          </cell>
        </row>
        <row r="2590">
          <cell r="A2590" t="str">
            <v>ON</v>
          </cell>
          <cell r="B2590" t="str">
            <v>Trong 24h</v>
          </cell>
          <cell r="D2590" t="str">
            <v>Khiếu nại về dịch vụ FTTH</v>
          </cell>
          <cell r="W2590" t="str">
            <v>Đang xử lý</v>
          </cell>
          <cell r="AJ2590" t="str">
            <v>Thái Bình</v>
          </cell>
          <cell r="BX2590" t="str">
            <v>AON</v>
          </cell>
        </row>
        <row r="2591">
          <cell r="A2591" t="str">
            <v>ON</v>
          </cell>
          <cell r="B2591" t="str">
            <v>Trong 24h</v>
          </cell>
          <cell r="D2591" t="str">
            <v>Khiếu nại về dịch vụ FTTH</v>
          </cell>
          <cell r="W2591" t="str">
            <v>Đang xử lý</v>
          </cell>
          <cell r="AJ2591" t="str">
            <v>TP HCM</v>
          </cell>
          <cell r="BX2591" t="str">
            <v>AON</v>
          </cell>
        </row>
        <row r="2592">
          <cell r="A2592" t="str">
            <v>ON</v>
          </cell>
          <cell r="B2592" t="str">
            <v>Trong 24h</v>
          </cell>
          <cell r="D2592" t="str">
            <v>Khiếu nại về dịch vụ FTTH</v>
          </cell>
          <cell r="W2592" t="str">
            <v>Đang xử lý</v>
          </cell>
          <cell r="AJ2592" t="str">
            <v>Cao Bằng</v>
          </cell>
          <cell r="BX2592" t="str">
            <v>AON</v>
          </cell>
        </row>
        <row r="2593">
          <cell r="A2593" t="str">
            <v>ON</v>
          </cell>
          <cell r="B2593" t="str">
            <v>Trong 24h</v>
          </cell>
          <cell r="D2593" t="str">
            <v>Khiếu nại về dịch vụ FTTH</v>
          </cell>
          <cell r="W2593" t="str">
            <v>Đang xử lý</v>
          </cell>
          <cell r="AJ2593" t="str">
            <v>Trà Vinh</v>
          </cell>
          <cell r="BX2593" t="str">
            <v>AON</v>
          </cell>
        </row>
        <row r="2594">
          <cell r="A2594" t="str">
            <v>ON</v>
          </cell>
          <cell r="B2594" t="str">
            <v>Trong 24h</v>
          </cell>
          <cell r="D2594" t="str">
            <v>Khiếu nại về dịch vụ FTTH</v>
          </cell>
          <cell r="W2594" t="str">
            <v>Đang xử lý</v>
          </cell>
          <cell r="AJ2594" t="str">
            <v>TP HCM</v>
          </cell>
          <cell r="BX2594" t="str">
            <v>AON</v>
          </cell>
        </row>
        <row r="2595">
          <cell r="A2595" t="str">
            <v>ON</v>
          </cell>
          <cell r="B2595" t="str">
            <v>Trong 24h</v>
          </cell>
          <cell r="D2595" t="str">
            <v>Khiếu nại về dịch vụ FTTH</v>
          </cell>
          <cell r="W2595" t="str">
            <v>Đang xử lý</v>
          </cell>
          <cell r="AJ2595" t="str">
            <v>TP HCM</v>
          </cell>
          <cell r="BX2595" t="str">
            <v>AON</v>
          </cell>
        </row>
        <row r="2596">
          <cell r="A2596" t="str">
            <v>ON</v>
          </cell>
          <cell r="B2596" t="str">
            <v>Trong 24h</v>
          </cell>
          <cell r="D2596" t="str">
            <v>Khiếu nại về dịch vụ NextTV</v>
          </cell>
          <cell r="W2596" t="str">
            <v>Đã đóng</v>
          </cell>
          <cell r="AJ2596" t="str">
            <v xml:space="preserve">Đắc Lắk </v>
          </cell>
          <cell r="BX2596" t="str">
            <v>AON</v>
          </cell>
        </row>
        <row r="2597">
          <cell r="A2597" t="str">
            <v>ON</v>
          </cell>
          <cell r="B2597" t="str">
            <v>Trong 24h</v>
          </cell>
          <cell r="D2597" t="str">
            <v>Khiếu nại về dịch vụ FTTH</v>
          </cell>
          <cell r="W2597" t="str">
            <v>Đang xử lý</v>
          </cell>
          <cell r="AJ2597" t="str">
            <v>Quảng Ninh</v>
          </cell>
          <cell r="BX2597" t="str">
            <v>AON</v>
          </cell>
        </row>
        <row r="2598">
          <cell r="A2598" t="str">
            <v>ON</v>
          </cell>
          <cell r="B2598" t="str">
            <v>Trong 24h</v>
          </cell>
          <cell r="D2598" t="str">
            <v>Khiếu nại về dịch vụ FTTH</v>
          </cell>
          <cell r="W2598" t="str">
            <v>Đang xử lý</v>
          </cell>
          <cell r="AJ2598" t="str">
            <v>Nghệ An</v>
          </cell>
          <cell r="BX2598" t="str">
            <v>AON</v>
          </cell>
        </row>
        <row r="2599">
          <cell r="A2599" t="str">
            <v>ON</v>
          </cell>
          <cell r="B2599" t="str">
            <v>Trong 24h</v>
          </cell>
          <cell r="D2599" t="str">
            <v>Khiếu nại về dịch vụ FTTH</v>
          </cell>
          <cell r="W2599" t="str">
            <v>Đang xử lý</v>
          </cell>
          <cell r="AJ2599" t="str">
            <v>Hà Nội 2</v>
          </cell>
          <cell r="BX2599" t="str">
            <v>AON</v>
          </cell>
        </row>
        <row r="2600">
          <cell r="A2600" t="str">
            <v>ON</v>
          </cell>
          <cell r="B2600" t="str">
            <v>Trong 24h</v>
          </cell>
          <cell r="D2600" t="str">
            <v>Khiếu nại về dịch vụ FTTH</v>
          </cell>
          <cell r="W2600" t="str">
            <v>Đang xử lý</v>
          </cell>
          <cell r="AJ2600" t="str">
            <v>Vĩnh Phúc</v>
          </cell>
          <cell r="BX2600" t="str">
            <v>AON</v>
          </cell>
        </row>
        <row r="2601">
          <cell r="A2601" t="str">
            <v>ON</v>
          </cell>
          <cell r="B2601" t="str">
            <v>Trong 24h</v>
          </cell>
          <cell r="D2601" t="str">
            <v>Khiếu nại về dịch vụ FTTH</v>
          </cell>
          <cell r="W2601" t="str">
            <v>Đang xử lý</v>
          </cell>
          <cell r="AJ2601" t="str">
            <v>TP HCM</v>
          </cell>
          <cell r="BX2601" t="str">
            <v>AON</v>
          </cell>
        </row>
        <row r="2602">
          <cell r="A2602" t="str">
            <v>ON</v>
          </cell>
          <cell r="B2602" t="str">
            <v>Trong 24h</v>
          </cell>
          <cell r="D2602" t="str">
            <v>Khiếu nại về dịch vụ FTTH</v>
          </cell>
          <cell r="W2602" t="str">
            <v>Đang xử lý</v>
          </cell>
          <cell r="AJ2602" t="str">
            <v>Hà Nội 1</v>
          </cell>
          <cell r="BX2602" t="str">
            <v>AON</v>
          </cell>
        </row>
        <row r="2603">
          <cell r="A2603" t="str">
            <v>ON</v>
          </cell>
          <cell r="B2603" t="str">
            <v>Trong 24h</v>
          </cell>
          <cell r="D2603" t="str">
            <v>Khiếu nại về dịch vụ FTTH</v>
          </cell>
          <cell r="W2603" t="str">
            <v>Đang xử lý</v>
          </cell>
          <cell r="AJ2603" t="str">
            <v>Cao Bằng</v>
          </cell>
          <cell r="BX2603" t="str">
            <v>AON</v>
          </cell>
        </row>
        <row r="2604">
          <cell r="A2604" t="str">
            <v>ON</v>
          </cell>
          <cell r="B2604" t="str">
            <v>Trong 24h</v>
          </cell>
          <cell r="D2604" t="str">
            <v>Khiếu nại về dịch vụ FTTH</v>
          </cell>
          <cell r="W2604" t="str">
            <v>Đang xử lý</v>
          </cell>
          <cell r="AJ2604" t="str">
            <v>TP HCM</v>
          </cell>
          <cell r="BX2604" t="str">
            <v>AON</v>
          </cell>
        </row>
        <row r="2605">
          <cell r="A2605" t="str">
            <v>ON</v>
          </cell>
          <cell r="B2605" t="str">
            <v>Trong 24h</v>
          </cell>
          <cell r="D2605" t="str">
            <v>Khiếu nại về dịch vụ NextTV</v>
          </cell>
          <cell r="W2605" t="str">
            <v>Đang xử lý</v>
          </cell>
          <cell r="AJ2605" t="str">
            <v>TP HCM</v>
          </cell>
          <cell r="BX2605" t="str">
            <v>GPON</v>
          </cell>
        </row>
        <row r="2606">
          <cell r="A2606" t="str">
            <v>ON</v>
          </cell>
          <cell r="B2606" t="str">
            <v>Trong 24h</v>
          </cell>
          <cell r="D2606" t="str">
            <v>Khiếu nại về dịch vụ FTTH</v>
          </cell>
          <cell r="W2606" t="str">
            <v>Đang xử lý</v>
          </cell>
          <cell r="AJ2606" t="str">
            <v>Bình Dương</v>
          </cell>
          <cell r="BX2606" t="str">
            <v>AON</v>
          </cell>
        </row>
        <row r="2607">
          <cell r="A2607" t="str">
            <v>ON</v>
          </cell>
          <cell r="B2607" t="str">
            <v>Trong 24h</v>
          </cell>
          <cell r="D2607" t="str">
            <v>Khiếu nại về dịch vụ FTTH</v>
          </cell>
          <cell r="W2607" t="str">
            <v>Đang xử lý</v>
          </cell>
          <cell r="AJ2607" t="str">
            <v xml:space="preserve">Quảng Nam </v>
          </cell>
          <cell r="BX2607" t="str">
            <v>AON</v>
          </cell>
        </row>
        <row r="2608">
          <cell r="A2608" t="str">
            <v>ON</v>
          </cell>
          <cell r="B2608" t="str">
            <v>Trong 24h</v>
          </cell>
          <cell r="D2608" t="str">
            <v>Khiếu nại về dịch vụ FTTH</v>
          </cell>
          <cell r="W2608" t="str">
            <v>Đã đóng</v>
          </cell>
          <cell r="AJ2608" t="str">
            <v>TP HCM</v>
          </cell>
          <cell r="BX2608" t="str">
            <v>GPON</v>
          </cell>
        </row>
        <row r="2609">
          <cell r="A2609" t="str">
            <v>ON</v>
          </cell>
          <cell r="B2609" t="str">
            <v>Trong 24h</v>
          </cell>
          <cell r="D2609" t="str">
            <v>Khiếu nại về dịch vụ FTTH</v>
          </cell>
          <cell r="W2609" t="str">
            <v>Đang xử lý</v>
          </cell>
          <cell r="AJ2609" t="str">
            <v>TP HCM</v>
          </cell>
          <cell r="BX2609" t="str">
            <v>AON</v>
          </cell>
        </row>
        <row r="2610">
          <cell r="A2610" t="str">
            <v>ON</v>
          </cell>
          <cell r="B2610" t="str">
            <v>Trong 24h</v>
          </cell>
          <cell r="D2610" t="str">
            <v>Khiếu nại về dịch vụ FTTH</v>
          </cell>
          <cell r="W2610" t="str">
            <v>Đang xử lý</v>
          </cell>
          <cell r="AJ2610" t="str">
            <v>Quảng Ngãi</v>
          </cell>
          <cell r="BX2610" t="str">
            <v>AON</v>
          </cell>
        </row>
        <row r="2611">
          <cell r="A2611" t="str">
            <v>ON</v>
          </cell>
          <cell r="B2611" t="str">
            <v>Trong 24h</v>
          </cell>
          <cell r="D2611" t="str">
            <v>Khiếu nại về dịch vụ FTTH</v>
          </cell>
          <cell r="W2611" t="str">
            <v>Đang xử lý</v>
          </cell>
          <cell r="AJ2611" t="str">
            <v>Quảng Ninh</v>
          </cell>
          <cell r="BX2611" t="str">
            <v>AON</v>
          </cell>
        </row>
        <row r="2612">
          <cell r="A2612" t="str">
            <v>ON</v>
          </cell>
          <cell r="B2612" t="str">
            <v>Trong 24h</v>
          </cell>
          <cell r="D2612" t="str">
            <v>Khiếu nại về dịch vụ FTTH</v>
          </cell>
          <cell r="W2612" t="str">
            <v>Đang xử lý</v>
          </cell>
          <cell r="AJ2612" t="str">
            <v>Thái Nguyên</v>
          </cell>
          <cell r="BX2612" t="str">
            <v>AON</v>
          </cell>
        </row>
        <row r="2613">
          <cell r="A2613" t="str">
            <v>ON</v>
          </cell>
          <cell r="B2613" t="str">
            <v>Trong 24h</v>
          </cell>
          <cell r="D2613" t="str">
            <v>Khiếu nại về dịch vụ FTTH</v>
          </cell>
          <cell r="W2613" t="str">
            <v>Đang xử lý</v>
          </cell>
          <cell r="AJ2613" t="str">
            <v>Hậu Giang</v>
          </cell>
          <cell r="BX2613" t="str">
            <v>AON</v>
          </cell>
        </row>
        <row r="2614">
          <cell r="A2614" t="str">
            <v>ON</v>
          </cell>
          <cell r="B2614" t="str">
            <v>Trong 24h</v>
          </cell>
          <cell r="D2614" t="str">
            <v>Khiếu nại về dịch vụ FTTH</v>
          </cell>
          <cell r="W2614" t="str">
            <v>Đang xử lý</v>
          </cell>
          <cell r="AJ2614" t="str">
            <v>Tuyên Quang</v>
          </cell>
          <cell r="BX2614" t="str">
            <v>AON</v>
          </cell>
        </row>
        <row r="2615">
          <cell r="A2615" t="str">
            <v>ON</v>
          </cell>
          <cell r="B2615" t="str">
            <v>Trong 24h</v>
          </cell>
          <cell r="D2615" t="str">
            <v>Khiếu nại về dịch vụ FTTH</v>
          </cell>
          <cell r="W2615" t="str">
            <v>Đang xử lý</v>
          </cell>
          <cell r="AJ2615" t="str">
            <v xml:space="preserve">Quảng Nam </v>
          </cell>
          <cell r="BX2615" t="str">
            <v>AON</v>
          </cell>
        </row>
        <row r="2616">
          <cell r="A2616" t="str">
            <v>ON</v>
          </cell>
          <cell r="B2616" t="str">
            <v>Trong 24h</v>
          </cell>
          <cell r="D2616" t="str">
            <v>Khiếu nại về dịch vụ FTTH</v>
          </cell>
          <cell r="W2616" t="str">
            <v>Đang xử lý</v>
          </cell>
          <cell r="AJ2616" t="str">
            <v>Lâm Đồng</v>
          </cell>
          <cell r="BX2616" t="str">
            <v>AON</v>
          </cell>
        </row>
        <row r="2617">
          <cell r="A2617" t="str">
            <v>ON</v>
          </cell>
          <cell r="B2617" t="str">
            <v>Trong 24h</v>
          </cell>
          <cell r="D2617" t="str">
            <v>Khiếu nại về dịch vụ FTTH</v>
          </cell>
          <cell r="W2617" t="str">
            <v>Đang xử lý</v>
          </cell>
          <cell r="AJ2617" t="str">
            <v>Lào Cai</v>
          </cell>
          <cell r="BX2617" t="str">
            <v>AON</v>
          </cell>
        </row>
        <row r="2618">
          <cell r="A2618" t="str">
            <v>ON</v>
          </cell>
          <cell r="B2618" t="str">
            <v>Trong 24h</v>
          </cell>
          <cell r="D2618" t="str">
            <v>Khiếu nại về dịch vụ FTTH</v>
          </cell>
          <cell r="W2618" t="str">
            <v>Đang xử lý</v>
          </cell>
          <cell r="AJ2618" t="str">
            <v>Quảng Ninh</v>
          </cell>
          <cell r="BX2618" t="str">
            <v>AON</v>
          </cell>
        </row>
        <row r="2619">
          <cell r="A2619" t="str">
            <v>ON</v>
          </cell>
          <cell r="B2619" t="str">
            <v>Trong 24h</v>
          </cell>
          <cell r="D2619" t="str">
            <v>Khiếu nại về dịch vụ FTTH</v>
          </cell>
          <cell r="W2619" t="str">
            <v>Đang xử lý</v>
          </cell>
          <cell r="AJ2619" t="str">
            <v>Quảng Trị</v>
          </cell>
          <cell r="BX2619" t="str">
            <v>AON</v>
          </cell>
        </row>
        <row r="2620">
          <cell r="A2620" t="str">
            <v>ON</v>
          </cell>
          <cell r="B2620" t="str">
            <v>Trong 24h</v>
          </cell>
          <cell r="D2620" t="str">
            <v>Khiếu nại về dịch vụ FTTH</v>
          </cell>
          <cell r="W2620" t="str">
            <v>Đang xử lý</v>
          </cell>
          <cell r="AJ2620" t="str">
            <v>Hà Nội 2</v>
          </cell>
          <cell r="BX2620" t="str">
            <v>AON</v>
          </cell>
        </row>
        <row r="2621">
          <cell r="A2621" t="str">
            <v>ON</v>
          </cell>
          <cell r="B2621" t="str">
            <v>Trong 24h</v>
          </cell>
          <cell r="D2621" t="str">
            <v>Khiếu nại về dịch vụ FTTH</v>
          </cell>
          <cell r="W2621" t="str">
            <v>Đang xử lý</v>
          </cell>
          <cell r="AJ2621" t="str">
            <v>Bắc Giang</v>
          </cell>
          <cell r="BX2621" t="str">
            <v>AON</v>
          </cell>
        </row>
        <row r="2622">
          <cell r="A2622" t="str">
            <v>ON</v>
          </cell>
          <cell r="B2622" t="str">
            <v>Trong 24h</v>
          </cell>
          <cell r="D2622" t="str">
            <v>Khiếu nại về dịch vụ FTTH</v>
          </cell>
          <cell r="W2622" t="str">
            <v>Đang xử lý</v>
          </cell>
          <cell r="AJ2622" t="str">
            <v>Bình Định</v>
          </cell>
          <cell r="BX2622" t="str">
            <v>AON</v>
          </cell>
        </row>
        <row r="2623">
          <cell r="A2623" t="str">
            <v>ON</v>
          </cell>
          <cell r="B2623" t="str">
            <v>Trong 24h</v>
          </cell>
          <cell r="D2623" t="str">
            <v>Khiếu nại về dịch vụ FTTH</v>
          </cell>
          <cell r="W2623" t="str">
            <v>Đang xử lý</v>
          </cell>
          <cell r="AJ2623" t="str">
            <v>TP HCM</v>
          </cell>
          <cell r="BX2623" t="str">
            <v>GPON</v>
          </cell>
        </row>
        <row r="2624">
          <cell r="A2624" t="str">
            <v>ON</v>
          </cell>
          <cell r="B2624" t="str">
            <v>Trong 24h</v>
          </cell>
          <cell r="D2624" t="str">
            <v>Khiếu nại về dịch vụ FTTH</v>
          </cell>
          <cell r="W2624" t="str">
            <v>Đang xử lý</v>
          </cell>
          <cell r="AJ2624" t="str">
            <v>Hà Nội 1</v>
          </cell>
          <cell r="BX2624" t="str">
            <v>AON</v>
          </cell>
        </row>
        <row r="2625">
          <cell r="A2625" t="str">
            <v>ON</v>
          </cell>
          <cell r="B2625" t="str">
            <v>Trong 24h</v>
          </cell>
          <cell r="D2625" t="str">
            <v>Khiếu nại về dịch vụ FTTH</v>
          </cell>
          <cell r="W2625" t="str">
            <v>Đang xử lý</v>
          </cell>
          <cell r="AJ2625" t="str">
            <v>TP HCM</v>
          </cell>
          <cell r="BX2625" t="str">
            <v>GPON</v>
          </cell>
        </row>
        <row r="2626">
          <cell r="A2626" t="str">
            <v>ON</v>
          </cell>
          <cell r="B2626" t="str">
            <v>Trong 24h</v>
          </cell>
          <cell r="D2626" t="str">
            <v>Khiếu nại về dịch vụ FTTH</v>
          </cell>
          <cell r="W2626" t="str">
            <v>Đang xử lý</v>
          </cell>
          <cell r="AJ2626" t="str">
            <v>TP HCM</v>
          </cell>
          <cell r="BX2626" t="str">
            <v>AON</v>
          </cell>
        </row>
        <row r="2627">
          <cell r="A2627" t="str">
            <v>ON</v>
          </cell>
          <cell r="B2627" t="str">
            <v>Trong 24h</v>
          </cell>
          <cell r="D2627" t="str">
            <v>Khiếu nại về dịch vụ FTTH</v>
          </cell>
          <cell r="W2627" t="str">
            <v>Đang xử lý</v>
          </cell>
          <cell r="AJ2627" t="str">
            <v>TP HCM</v>
          </cell>
          <cell r="BX2627" t="str">
            <v>AON</v>
          </cell>
        </row>
        <row r="2628">
          <cell r="A2628" t="str">
            <v>ON</v>
          </cell>
          <cell r="B2628" t="str">
            <v>Trong 24h</v>
          </cell>
          <cell r="D2628" t="str">
            <v>Khiếu nại về dịch vụ FTTH</v>
          </cell>
          <cell r="W2628" t="str">
            <v>Đang xử lý</v>
          </cell>
          <cell r="AJ2628" t="str">
            <v>TP HCM</v>
          </cell>
          <cell r="BX2628" t="str">
            <v>GPON</v>
          </cell>
        </row>
        <row r="2629">
          <cell r="A2629" t="str">
            <v>ON</v>
          </cell>
          <cell r="B2629" t="str">
            <v>Trong 24h</v>
          </cell>
          <cell r="D2629" t="str">
            <v>Khiếu nại về dịch vụ FTTH</v>
          </cell>
          <cell r="W2629" t="str">
            <v>Đang xử lý</v>
          </cell>
          <cell r="AJ2629" t="str">
            <v>Hà Nội 2</v>
          </cell>
          <cell r="BX2629" t="str">
            <v>AON</v>
          </cell>
        </row>
        <row r="2630">
          <cell r="A2630" t="str">
            <v>ON</v>
          </cell>
          <cell r="B2630" t="str">
            <v>Trong 24h</v>
          </cell>
          <cell r="D2630" t="str">
            <v>Khiếu nại về dịch vụ FTTH</v>
          </cell>
          <cell r="W2630" t="str">
            <v>Đang xử lý</v>
          </cell>
          <cell r="AJ2630" t="str">
            <v>Hà Nội 1</v>
          </cell>
          <cell r="BX2630" t="str">
            <v>AON</v>
          </cell>
        </row>
        <row r="2631">
          <cell r="A2631" t="str">
            <v>ON</v>
          </cell>
          <cell r="B2631" t="str">
            <v>Trong 24h</v>
          </cell>
          <cell r="D2631" t="str">
            <v>Khiếu nại về dịch vụ FTTH</v>
          </cell>
          <cell r="W2631" t="str">
            <v>Đang xử lý</v>
          </cell>
          <cell r="AJ2631" t="str">
            <v>Long An</v>
          </cell>
          <cell r="BX2631" t="str">
            <v>AON</v>
          </cell>
        </row>
        <row r="2632">
          <cell r="A2632" t="str">
            <v>ON</v>
          </cell>
          <cell r="B2632" t="str">
            <v>Trong 24h</v>
          </cell>
          <cell r="D2632" t="str">
            <v>Khiếu nại về dịch vụ FTTH</v>
          </cell>
          <cell r="W2632" t="str">
            <v>Đang xử lý</v>
          </cell>
          <cell r="AJ2632" t="str">
            <v>Hà Giang</v>
          </cell>
          <cell r="BX2632" t="str">
            <v>AON</v>
          </cell>
        </row>
        <row r="2633">
          <cell r="A2633" t="str">
            <v>ON</v>
          </cell>
          <cell r="B2633" t="str">
            <v>Trong 24h</v>
          </cell>
          <cell r="D2633" t="str">
            <v>Khiếu nại về dịch vụ FTTH</v>
          </cell>
          <cell r="W2633" t="str">
            <v>Đang xử lý</v>
          </cell>
          <cell r="AJ2633" t="str">
            <v>Thanh Hoá</v>
          </cell>
          <cell r="BX2633" t="str">
            <v>AON</v>
          </cell>
        </row>
        <row r="2634">
          <cell r="A2634" t="str">
            <v>ON</v>
          </cell>
          <cell r="B2634" t="str">
            <v>Trong 24h</v>
          </cell>
          <cell r="D2634" t="str">
            <v>Khiếu nại về dịch vụ FTTH</v>
          </cell>
          <cell r="W2634" t="str">
            <v>Đang xử lý</v>
          </cell>
          <cell r="AJ2634" t="str">
            <v xml:space="preserve">Đà Nẵng </v>
          </cell>
          <cell r="BX2634" t="str">
            <v>AON</v>
          </cell>
        </row>
        <row r="2635">
          <cell r="A2635" t="str">
            <v>ON</v>
          </cell>
          <cell r="B2635" t="str">
            <v>Trong 24h</v>
          </cell>
          <cell r="D2635" t="str">
            <v>Khiếu nại về dịch vụ FTTH</v>
          </cell>
          <cell r="W2635" t="str">
            <v>Đã đóng</v>
          </cell>
          <cell r="AJ2635" t="str">
            <v>TP HCM</v>
          </cell>
          <cell r="BX2635" t="str">
            <v>AON</v>
          </cell>
        </row>
        <row r="2636">
          <cell r="A2636" t="str">
            <v>ON</v>
          </cell>
          <cell r="B2636" t="str">
            <v>Trong 24h</v>
          </cell>
          <cell r="D2636" t="str">
            <v>Khiếu nại về dịch vụ FTTH</v>
          </cell>
          <cell r="W2636" t="str">
            <v>Đang xử lý</v>
          </cell>
          <cell r="AJ2636" t="str">
            <v>Khánh Hoà</v>
          </cell>
          <cell r="BX2636" t="str">
            <v>AON</v>
          </cell>
        </row>
        <row r="2637">
          <cell r="A2637" t="str">
            <v>ON</v>
          </cell>
          <cell r="B2637" t="str">
            <v>Trong 24h</v>
          </cell>
          <cell r="D2637" t="str">
            <v>Khiếu nại về dịch vụ FTTH</v>
          </cell>
          <cell r="W2637" t="str">
            <v>Đang xử lý</v>
          </cell>
          <cell r="AJ2637" t="str">
            <v>TP HCM</v>
          </cell>
          <cell r="BX2637" t="str">
            <v>GPON</v>
          </cell>
        </row>
        <row r="2638">
          <cell r="A2638" t="str">
            <v>ON</v>
          </cell>
          <cell r="B2638" t="str">
            <v>Trong 24h</v>
          </cell>
          <cell r="D2638" t="str">
            <v>Khiếu nại về dịch vụ FTTH</v>
          </cell>
          <cell r="W2638" t="str">
            <v>Đang xử lý</v>
          </cell>
          <cell r="AJ2638" t="str">
            <v>Đồng Tháp</v>
          </cell>
          <cell r="BX2638" t="str">
            <v>AON</v>
          </cell>
        </row>
        <row r="2639">
          <cell r="A2639" t="str">
            <v>ON</v>
          </cell>
          <cell r="B2639" t="str">
            <v>Trong 24h</v>
          </cell>
          <cell r="D2639" t="str">
            <v>Khiếu nại về dịch vụ FTTH</v>
          </cell>
          <cell r="W2639" t="str">
            <v>Đang xử lý</v>
          </cell>
          <cell r="AJ2639" t="str">
            <v>Quảng Ninh</v>
          </cell>
          <cell r="BX2639" t="str">
            <v>AON</v>
          </cell>
        </row>
        <row r="2640">
          <cell r="A2640" t="str">
            <v>ON</v>
          </cell>
          <cell r="B2640" t="str">
            <v>Trong 24h</v>
          </cell>
          <cell r="D2640" t="str">
            <v>Khiếu nại về dịch vụ FTTH</v>
          </cell>
          <cell r="W2640" t="str">
            <v>Đang xử lý</v>
          </cell>
          <cell r="AJ2640" t="str">
            <v>TP HCM</v>
          </cell>
          <cell r="BX2640" t="str">
            <v>AON</v>
          </cell>
        </row>
        <row r="2641">
          <cell r="A2641" t="str">
            <v>ON</v>
          </cell>
          <cell r="B2641" t="str">
            <v>Trong 24h</v>
          </cell>
          <cell r="D2641" t="str">
            <v>Khiếu nại về dịch vụ FTTH</v>
          </cell>
          <cell r="W2641" t="str">
            <v>Đang xử lý</v>
          </cell>
          <cell r="AJ2641" t="str">
            <v>Hà Nội 1</v>
          </cell>
          <cell r="BX2641" t="str">
            <v>AON</v>
          </cell>
        </row>
        <row r="2642">
          <cell r="A2642" t="str">
            <v>ON</v>
          </cell>
          <cell r="B2642" t="str">
            <v>Trong 24h</v>
          </cell>
          <cell r="D2642" t="str">
            <v>Khiếu nại về dịch vụ FTTH</v>
          </cell>
          <cell r="W2642" t="str">
            <v>Đang xử lý</v>
          </cell>
          <cell r="AJ2642" t="str">
            <v>Quảng Ninh</v>
          </cell>
          <cell r="BX2642" t="str">
            <v>AON</v>
          </cell>
        </row>
        <row r="2643">
          <cell r="A2643" t="str">
            <v>ON</v>
          </cell>
          <cell r="B2643" t="str">
            <v>Trong 24h</v>
          </cell>
          <cell r="D2643" t="str">
            <v>Khiếu nại về dịch vụ FTTH</v>
          </cell>
          <cell r="W2643" t="str">
            <v>Đang xử lý</v>
          </cell>
          <cell r="AJ2643" t="str">
            <v>Bình Dương</v>
          </cell>
          <cell r="BX2643" t="str">
            <v>AON</v>
          </cell>
        </row>
        <row r="2644">
          <cell r="A2644" t="str">
            <v>ON</v>
          </cell>
          <cell r="B2644" t="str">
            <v>Trong 24h</v>
          </cell>
          <cell r="D2644" t="str">
            <v>Khiếu nại về dịch vụ NextTV</v>
          </cell>
          <cell r="W2644" t="str">
            <v>Đang xử lý</v>
          </cell>
          <cell r="AJ2644" t="str">
            <v>TP HCM</v>
          </cell>
          <cell r="BX2644" t="str">
            <v>GPON</v>
          </cell>
        </row>
        <row r="2645">
          <cell r="A2645" t="str">
            <v>ON</v>
          </cell>
          <cell r="B2645" t="str">
            <v>Trong 24h</v>
          </cell>
          <cell r="D2645" t="str">
            <v>Khiếu nại về dịch vụ FTTH</v>
          </cell>
          <cell r="W2645" t="str">
            <v>Đang xử lý</v>
          </cell>
          <cell r="AJ2645" t="str">
            <v>TP HCM</v>
          </cell>
          <cell r="BX2645" t="str">
            <v>GPON</v>
          </cell>
        </row>
        <row r="2646">
          <cell r="A2646" t="str">
            <v>ON</v>
          </cell>
          <cell r="B2646" t="str">
            <v>Trong 24h</v>
          </cell>
          <cell r="D2646" t="str">
            <v>Khiếu nại về dịch vụ FTTH</v>
          </cell>
          <cell r="W2646" t="str">
            <v>Đang xử lý</v>
          </cell>
          <cell r="AJ2646" t="str">
            <v>Bà Rịa - Vũng Tàu</v>
          </cell>
          <cell r="BX2646" t="str">
            <v>AON</v>
          </cell>
        </row>
        <row r="2647">
          <cell r="A2647" t="str">
            <v>ON</v>
          </cell>
          <cell r="B2647" t="str">
            <v>Trong 24h</v>
          </cell>
          <cell r="D2647" t="str">
            <v>Khiếu nại về dịch vụ FTTH</v>
          </cell>
          <cell r="W2647" t="str">
            <v>Đang xử lý</v>
          </cell>
          <cell r="AJ2647" t="str">
            <v>Hải Dương</v>
          </cell>
          <cell r="BX2647" t="str">
            <v>AON</v>
          </cell>
        </row>
        <row r="2648">
          <cell r="A2648" t="str">
            <v>ON</v>
          </cell>
          <cell r="B2648" t="str">
            <v>Trong 24h</v>
          </cell>
          <cell r="D2648" t="str">
            <v>Khiếu nại về dịch vụ FTTH</v>
          </cell>
          <cell r="W2648" t="str">
            <v>Đang xử lý</v>
          </cell>
          <cell r="AJ2648" t="str">
            <v>Cà Mau</v>
          </cell>
          <cell r="BX2648" t="str">
            <v>AON</v>
          </cell>
        </row>
        <row r="2649">
          <cell r="A2649" t="str">
            <v>ON</v>
          </cell>
          <cell r="B2649" t="str">
            <v>Trong 24h</v>
          </cell>
          <cell r="D2649" t="str">
            <v>Khiếu nại về dịch vụ FTTH</v>
          </cell>
          <cell r="W2649" t="str">
            <v>Đang xử lý</v>
          </cell>
          <cell r="AJ2649" t="str">
            <v>Hải Phòng</v>
          </cell>
          <cell r="BX2649" t="str">
            <v>AON</v>
          </cell>
        </row>
        <row r="2650">
          <cell r="A2650" t="str">
            <v>ON</v>
          </cell>
          <cell r="B2650" t="str">
            <v>Trong 24h</v>
          </cell>
          <cell r="D2650" t="str">
            <v>Khiếu nại về dịch vụ FTTH</v>
          </cell>
          <cell r="W2650" t="str">
            <v>Đang xử lý</v>
          </cell>
          <cell r="AJ2650" t="str">
            <v>Hà Nội 1</v>
          </cell>
          <cell r="BX2650" t="str">
            <v>AON</v>
          </cell>
        </row>
        <row r="2651">
          <cell r="A2651" t="str">
            <v>ON</v>
          </cell>
          <cell r="B2651" t="str">
            <v>Trong 24h</v>
          </cell>
          <cell r="D2651" t="str">
            <v>Khiếu nại về dịch vụ FTTH</v>
          </cell>
          <cell r="W2651" t="str">
            <v>Đang xử lý</v>
          </cell>
          <cell r="AJ2651" t="str">
            <v>Hà Nội 1</v>
          </cell>
          <cell r="BX2651" t="str">
            <v>AON</v>
          </cell>
        </row>
        <row r="2652">
          <cell r="A2652" t="str">
            <v>ON</v>
          </cell>
          <cell r="B2652" t="str">
            <v>Trong 24h</v>
          </cell>
          <cell r="D2652" t="str">
            <v>Khiếu nại về dịch vụ FTTH</v>
          </cell>
          <cell r="W2652" t="str">
            <v>Đang xử lý</v>
          </cell>
          <cell r="AJ2652" t="str">
            <v>TP HCM</v>
          </cell>
          <cell r="BX2652" t="str">
            <v>AON</v>
          </cell>
        </row>
        <row r="2653">
          <cell r="A2653" t="str">
            <v>ON</v>
          </cell>
          <cell r="B2653" t="str">
            <v>Trong 24h</v>
          </cell>
          <cell r="D2653" t="str">
            <v>Khiếu nại về dịch vụ FTTH</v>
          </cell>
          <cell r="W2653" t="str">
            <v>Đang xử lý</v>
          </cell>
          <cell r="AJ2653" t="str">
            <v xml:space="preserve">Đắc Lắk </v>
          </cell>
          <cell r="BX2653" t="str">
            <v>AON</v>
          </cell>
        </row>
        <row r="2654">
          <cell r="A2654" t="str">
            <v>ON</v>
          </cell>
          <cell r="B2654" t="str">
            <v>Trong 24h</v>
          </cell>
          <cell r="D2654" t="str">
            <v>Khiếu nại về dịch vụ FTTH</v>
          </cell>
          <cell r="W2654" t="str">
            <v>Đang xử lý</v>
          </cell>
          <cell r="AJ2654" t="str">
            <v>TP HCM</v>
          </cell>
          <cell r="BX2654" t="str">
            <v>AON</v>
          </cell>
        </row>
        <row r="2655">
          <cell r="A2655" t="str">
            <v>ON</v>
          </cell>
          <cell r="B2655" t="str">
            <v>Trong 24h</v>
          </cell>
          <cell r="D2655" t="str">
            <v>Khiếu nại về dịch vụ FTTH</v>
          </cell>
          <cell r="W2655" t="str">
            <v>Đang xử lý</v>
          </cell>
          <cell r="AJ2655" t="str">
            <v>Hà Nội 1</v>
          </cell>
          <cell r="BX2655" t="str">
            <v>AON</v>
          </cell>
        </row>
        <row r="2656">
          <cell r="A2656" t="str">
            <v>ON</v>
          </cell>
          <cell r="B2656" t="str">
            <v>Trong 24h</v>
          </cell>
          <cell r="D2656" t="str">
            <v>Khiếu nại về dịch vụ NextTV</v>
          </cell>
          <cell r="W2656" t="str">
            <v>Đang xử lý</v>
          </cell>
          <cell r="AJ2656" t="str">
            <v>TP HCM</v>
          </cell>
          <cell r="BX2656" t="str">
            <v>AON</v>
          </cell>
        </row>
        <row r="2657">
          <cell r="A2657" t="str">
            <v>ON</v>
          </cell>
          <cell r="B2657" t="str">
            <v>Trong 24h</v>
          </cell>
          <cell r="D2657" t="str">
            <v>Khiếu nại về dịch vụ FTTH</v>
          </cell>
          <cell r="W2657" t="str">
            <v>Đang xử lý</v>
          </cell>
          <cell r="AJ2657" t="str">
            <v>TP HCM</v>
          </cell>
          <cell r="BX2657" t="str">
            <v>GPON</v>
          </cell>
        </row>
        <row r="2658">
          <cell r="A2658" t="str">
            <v>ON</v>
          </cell>
          <cell r="B2658" t="str">
            <v>Trong 24h</v>
          </cell>
          <cell r="D2658" t="str">
            <v>Khiếu nại về dịch vụ FTTH</v>
          </cell>
          <cell r="W2658" t="str">
            <v>Đang xử lý</v>
          </cell>
          <cell r="AJ2658" t="str">
            <v>Thanh Hoá</v>
          </cell>
          <cell r="BX2658" t="str">
            <v>AON</v>
          </cell>
        </row>
        <row r="2659">
          <cell r="A2659" t="str">
            <v>ON</v>
          </cell>
          <cell r="B2659" t="str">
            <v>Trong 24h</v>
          </cell>
          <cell r="D2659" t="str">
            <v>Khiếu nại về dịch vụ FTTH</v>
          </cell>
          <cell r="W2659" t="str">
            <v>Đang xử lý</v>
          </cell>
          <cell r="AJ2659" t="str">
            <v>Bình Thuận</v>
          </cell>
          <cell r="BX2659" t="str">
            <v>AON</v>
          </cell>
        </row>
        <row r="2660">
          <cell r="A2660" t="str">
            <v>ON</v>
          </cell>
          <cell r="B2660" t="str">
            <v>Trong 24h</v>
          </cell>
          <cell r="D2660" t="str">
            <v>Khiếu nại về dịch vụ FTTH</v>
          </cell>
          <cell r="W2660" t="str">
            <v>Đang xử lý</v>
          </cell>
          <cell r="AJ2660" t="str">
            <v>TP HCM</v>
          </cell>
          <cell r="BX2660" t="str">
            <v>AON</v>
          </cell>
        </row>
        <row r="2661">
          <cell r="A2661" t="str">
            <v>ON</v>
          </cell>
          <cell r="B2661" t="str">
            <v>Trong 24h</v>
          </cell>
          <cell r="D2661" t="str">
            <v>Khiếu nại về dịch vụ FTTH</v>
          </cell>
          <cell r="W2661" t="str">
            <v>Đang xử lý</v>
          </cell>
          <cell r="AJ2661" t="str">
            <v>Hà Nội 2</v>
          </cell>
          <cell r="BX2661" t="str">
            <v>AON</v>
          </cell>
        </row>
        <row r="2662">
          <cell r="A2662" t="str">
            <v>ON</v>
          </cell>
          <cell r="B2662" t="str">
            <v>Trong 24h</v>
          </cell>
          <cell r="D2662" t="str">
            <v>Khiếu nại về dịch vụ FTTH</v>
          </cell>
          <cell r="W2662" t="str">
            <v>Đang xử lý</v>
          </cell>
          <cell r="AJ2662" t="str">
            <v>Hải Phòng</v>
          </cell>
          <cell r="BX2662" t="str">
            <v>AON</v>
          </cell>
        </row>
        <row r="2663">
          <cell r="A2663" t="str">
            <v>ON</v>
          </cell>
          <cell r="B2663" t="str">
            <v>Trong 24h</v>
          </cell>
          <cell r="D2663" t="str">
            <v>Khiếu nại về dịch vụ FTTH</v>
          </cell>
          <cell r="W2663" t="str">
            <v>Đang xử lý</v>
          </cell>
          <cell r="AJ2663" t="str">
            <v>TP HCM</v>
          </cell>
          <cell r="BX2663" t="str">
            <v>AON</v>
          </cell>
        </row>
        <row r="2664">
          <cell r="A2664" t="str">
            <v>ON</v>
          </cell>
          <cell r="B2664" t="str">
            <v>Trong 24h</v>
          </cell>
          <cell r="D2664" t="str">
            <v>Khiếu nại về dịch vụ FTTH</v>
          </cell>
          <cell r="W2664" t="str">
            <v>Đang xử lý</v>
          </cell>
          <cell r="AJ2664" t="str">
            <v>TP HCM</v>
          </cell>
          <cell r="BX2664" t="str">
            <v>AON</v>
          </cell>
        </row>
        <row r="2665">
          <cell r="A2665" t="str">
            <v>ON</v>
          </cell>
          <cell r="B2665" t="str">
            <v>Trong 24h</v>
          </cell>
          <cell r="D2665" t="str">
            <v>Khiếu nại về dịch vụ FTTH</v>
          </cell>
          <cell r="W2665" t="str">
            <v>Đang xử lý</v>
          </cell>
          <cell r="AJ2665" t="str">
            <v>Bắc Ninh</v>
          </cell>
          <cell r="BX2665" t="str">
            <v>AON</v>
          </cell>
        </row>
        <row r="2666">
          <cell r="A2666" t="str">
            <v>ON</v>
          </cell>
          <cell r="B2666" t="str">
            <v>Trong 24h</v>
          </cell>
          <cell r="D2666" t="str">
            <v>Khiếu nại về dịch vụ FTTH</v>
          </cell>
          <cell r="W2666" t="str">
            <v>Đang xử lý</v>
          </cell>
          <cell r="AJ2666" t="str">
            <v>Hà Nội 2</v>
          </cell>
          <cell r="BX2666" t="str">
            <v>AON</v>
          </cell>
        </row>
        <row r="2667">
          <cell r="A2667" t="str">
            <v>ON</v>
          </cell>
          <cell r="B2667" t="str">
            <v>Trong 24h</v>
          </cell>
          <cell r="D2667" t="str">
            <v>Khiếu nại về dịch vụ FTTH</v>
          </cell>
          <cell r="W2667" t="str">
            <v>Đang xử lý</v>
          </cell>
          <cell r="AJ2667" t="str">
            <v>Bình Dương</v>
          </cell>
          <cell r="BX2667" t="str">
            <v>AON</v>
          </cell>
        </row>
        <row r="2668">
          <cell r="A2668" t="str">
            <v>ON</v>
          </cell>
          <cell r="B2668" t="str">
            <v>Trong 24h</v>
          </cell>
          <cell r="D2668" t="str">
            <v>Khiếu nại về dịch vụ NextTV</v>
          </cell>
          <cell r="W2668" t="str">
            <v>Đang xử lý</v>
          </cell>
          <cell r="AJ2668" t="str">
            <v xml:space="preserve">Đắc Lắk </v>
          </cell>
          <cell r="BX2668" t="str">
            <v>AON</v>
          </cell>
        </row>
        <row r="2669">
          <cell r="A2669" t="str">
            <v>ON</v>
          </cell>
          <cell r="B2669" t="str">
            <v>Trong 24h</v>
          </cell>
          <cell r="D2669" t="str">
            <v>Khiếu nại về dịch vụ FTTH</v>
          </cell>
          <cell r="W2669" t="str">
            <v>Đang xử lý</v>
          </cell>
          <cell r="AJ2669" t="str">
            <v>Hà Nội 1</v>
          </cell>
          <cell r="BX2669" t="str">
            <v>AON</v>
          </cell>
        </row>
        <row r="2670">
          <cell r="A2670" t="str">
            <v>ON</v>
          </cell>
          <cell r="B2670" t="str">
            <v>Trong 24h</v>
          </cell>
          <cell r="D2670" t="str">
            <v>Khiếu nại về dịch vụ FTTH</v>
          </cell>
          <cell r="W2670" t="str">
            <v>Đã đóng</v>
          </cell>
          <cell r="AJ2670" t="str">
            <v>TP HCM</v>
          </cell>
          <cell r="BX2670" t="str">
            <v>AON</v>
          </cell>
        </row>
        <row r="2671">
          <cell r="A2671" t="str">
            <v>ON</v>
          </cell>
          <cell r="B2671" t="str">
            <v>Trong 24h</v>
          </cell>
          <cell r="D2671" t="str">
            <v>Khiếu nại về dịch vụ FTTH</v>
          </cell>
          <cell r="W2671" t="str">
            <v>Đang xử lý</v>
          </cell>
          <cell r="AJ2671" t="str">
            <v>Hà Nội 1</v>
          </cell>
          <cell r="BX2671" t="str">
            <v>AON</v>
          </cell>
        </row>
        <row r="2672">
          <cell r="A2672" t="str">
            <v>ON</v>
          </cell>
          <cell r="B2672" t="str">
            <v>Trong 24h</v>
          </cell>
          <cell r="D2672" t="str">
            <v>Khiếu nại về dịch vụ FTTH</v>
          </cell>
          <cell r="W2672" t="str">
            <v>Đang xử lý</v>
          </cell>
          <cell r="AJ2672" t="str">
            <v>TP HCM</v>
          </cell>
          <cell r="BX2672" t="str">
            <v>AON</v>
          </cell>
        </row>
        <row r="2673">
          <cell r="A2673" t="str">
            <v>ON</v>
          </cell>
          <cell r="B2673" t="str">
            <v>Trong 24h</v>
          </cell>
          <cell r="D2673" t="str">
            <v>Khiếu nại về dịch vụ FTTH</v>
          </cell>
          <cell r="W2673" t="str">
            <v>Đang xử lý</v>
          </cell>
          <cell r="AJ2673" t="str">
            <v>Hà Nội 1</v>
          </cell>
          <cell r="BX2673" t="str">
            <v>AON</v>
          </cell>
        </row>
        <row r="2674">
          <cell r="A2674" t="str">
            <v>ON</v>
          </cell>
          <cell r="B2674" t="str">
            <v>Trong 24h</v>
          </cell>
          <cell r="D2674" t="str">
            <v>Khiếu nại về dịch vụ FTTH</v>
          </cell>
          <cell r="W2674" t="str">
            <v>Đang xử lý</v>
          </cell>
          <cell r="AJ2674" t="str">
            <v>Vĩnh Phúc</v>
          </cell>
          <cell r="BX2674" t="str">
            <v>AON</v>
          </cell>
        </row>
        <row r="2675">
          <cell r="A2675" t="str">
            <v>ON</v>
          </cell>
          <cell r="B2675" t="str">
            <v>Trong 24h</v>
          </cell>
          <cell r="D2675" t="str">
            <v>Khiếu nại về dịch vụ FTTH</v>
          </cell>
          <cell r="W2675" t="str">
            <v>Đang xử lý</v>
          </cell>
          <cell r="AJ2675" t="str">
            <v>Hà Nội 1</v>
          </cell>
          <cell r="BX2675" t="str">
            <v>AON</v>
          </cell>
        </row>
        <row r="2676">
          <cell r="A2676" t="str">
            <v>ON</v>
          </cell>
          <cell r="B2676" t="str">
            <v>Trong 24h</v>
          </cell>
          <cell r="D2676" t="str">
            <v>Khiếu nại về dịch vụ FTTH</v>
          </cell>
          <cell r="W2676" t="str">
            <v>Đang xử lý</v>
          </cell>
          <cell r="AJ2676" t="str">
            <v>TP HCM</v>
          </cell>
          <cell r="BX2676" t="str">
            <v>AON</v>
          </cell>
        </row>
        <row r="2677">
          <cell r="A2677" t="str">
            <v>ON</v>
          </cell>
          <cell r="B2677" t="str">
            <v>Trong 24h</v>
          </cell>
          <cell r="D2677" t="str">
            <v>Khiếu nại về dịch vụ FTTH</v>
          </cell>
          <cell r="W2677" t="str">
            <v>Đang xử lý</v>
          </cell>
          <cell r="AJ2677" t="str">
            <v>Hà Nội 2</v>
          </cell>
          <cell r="BX2677" t="str">
            <v>AON</v>
          </cell>
        </row>
        <row r="2678">
          <cell r="A2678" t="str">
            <v>ON</v>
          </cell>
          <cell r="B2678" t="str">
            <v>Trong 24h</v>
          </cell>
          <cell r="D2678" t="str">
            <v>Khiếu nại về dịch vụ NextTV</v>
          </cell>
          <cell r="W2678" t="str">
            <v>Đang xử lý</v>
          </cell>
          <cell r="AJ2678" t="str">
            <v>TP HCM</v>
          </cell>
          <cell r="BX2678" t="str">
            <v>AON</v>
          </cell>
        </row>
        <row r="2679">
          <cell r="A2679" t="str">
            <v>ON</v>
          </cell>
          <cell r="B2679" t="str">
            <v>Trong 24h</v>
          </cell>
          <cell r="D2679" t="str">
            <v>Khiếu nại về dịch vụ FTTH</v>
          </cell>
          <cell r="W2679" t="str">
            <v>Đang xử lý</v>
          </cell>
          <cell r="AJ2679" t="str">
            <v>TP HCM</v>
          </cell>
          <cell r="BX2679" t="str">
            <v>AON</v>
          </cell>
        </row>
        <row r="2680">
          <cell r="A2680" t="str">
            <v>ON</v>
          </cell>
          <cell r="B2680" t="str">
            <v>Trong 24h</v>
          </cell>
          <cell r="D2680" t="str">
            <v>Khiếu nại về dịch vụ FTTH</v>
          </cell>
          <cell r="W2680" t="str">
            <v>Đang xử lý</v>
          </cell>
          <cell r="AJ2680" t="str">
            <v>Hà Nội 1</v>
          </cell>
          <cell r="BX2680" t="str">
            <v>AON</v>
          </cell>
        </row>
        <row r="2681">
          <cell r="A2681" t="str">
            <v>ON</v>
          </cell>
          <cell r="B2681" t="str">
            <v>Trong 24h</v>
          </cell>
          <cell r="D2681" t="str">
            <v>Khiếu nại về dịch vụ FTTH</v>
          </cell>
          <cell r="W2681" t="str">
            <v>Đang xử lý</v>
          </cell>
          <cell r="AJ2681" t="str">
            <v>TP HCM</v>
          </cell>
          <cell r="BX2681" t="str">
            <v>GPON</v>
          </cell>
        </row>
        <row r="2682">
          <cell r="A2682" t="str">
            <v>ON</v>
          </cell>
          <cell r="B2682" t="str">
            <v>Trong 24h</v>
          </cell>
          <cell r="D2682" t="str">
            <v>Khiếu nại về dịch vụ FTTH</v>
          </cell>
          <cell r="W2682" t="str">
            <v>Đang xử lý</v>
          </cell>
          <cell r="AJ2682" t="str">
            <v>Hà Nội 1</v>
          </cell>
          <cell r="BX2682" t="str">
            <v>AON</v>
          </cell>
        </row>
        <row r="2683">
          <cell r="A2683" t="str">
            <v>ON</v>
          </cell>
          <cell r="B2683" t="str">
            <v>Trong 24h</v>
          </cell>
          <cell r="D2683" t="str">
            <v>Khiếu nại về dịch vụ FTTH</v>
          </cell>
          <cell r="W2683" t="str">
            <v>Đang xử lý</v>
          </cell>
          <cell r="AJ2683" t="str">
            <v>Hà Nội 1</v>
          </cell>
          <cell r="BX2683" t="str">
            <v>AON</v>
          </cell>
        </row>
        <row r="2684">
          <cell r="A2684" t="str">
            <v>ON</v>
          </cell>
          <cell r="B2684" t="str">
            <v>Trong 24h</v>
          </cell>
          <cell r="D2684" t="str">
            <v>Khiếu nại về dịch vụ FTTH</v>
          </cell>
          <cell r="W2684" t="str">
            <v>Đang xử lý</v>
          </cell>
          <cell r="AJ2684" t="str">
            <v>Hà Nội 1</v>
          </cell>
          <cell r="BX2684" t="str">
            <v>AON</v>
          </cell>
        </row>
        <row r="2685">
          <cell r="A2685" t="str">
            <v>ON</v>
          </cell>
          <cell r="B2685" t="str">
            <v>Trong 24h</v>
          </cell>
          <cell r="D2685" t="str">
            <v>Khiếu nại về dịch vụ FTTH</v>
          </cell>
          <cell r="W2685" t="str">
            <v>Đang xử lý</v>
          </cell>
          <cell r="AJ2685" t="str">
            <v>TP HCM</v>
          </cell>
          <cell r="BX2685" t="str">
            <v>AON</v>
          </cell>
        </row>
        <row r="2686">
          <cell r="A2686" t="str">
            <v>ON</v>
          </cell>
          <cell r="B2686" t="str">
            <v>Trong 24h</v>
          </cell>
          <cell r="D2686" t="str">
            <v>Khiếu nại về dịch vụ FTTH</v>
          </cell>
          <cell r="W2686" t="str">
            <v>Đang xử lý</v>
          </cell>
          <cell r="AJ2686" t="str">
            <v>Thái Nguyên</v>
          </cell>
          <cell r="BX2686" t="str">
            <v>AON</v>
          </cell>
        </row>
        <row r="2687">
          <cell r="A2687" t="str">
            <v>ON</v>
          </cell>
          <cell r="B2687" t="str">
            <v>Trong 24h</v>
          </cell>
          <cell r="D2687" t="str">
            <v>Khiếu nại về dịch vụ FTTH</v>
          </cell>
          <cell r="W2687" t="str">
            <v>Đang xử lý</v>
          </cell>
          <cell r="AJ2687" t="str">
            <v>Hà Nội 1</v>
          </cell>
          <cell r="BX2687" t="str">
            <v>AON</v>
          </cell>
        </row>
        <row r="2688">
          <cell r="A2688" t="str">
            <v>ON</v>
          </cell>
          <cell r="B2688" t="str">
            <v>Trong 24h</v>
          </cell>
          <cell r="D2688" t="str">
            <v>Khiếu nại về dịch vụ FTTH</v>
          </cell>
          <cell r="W2688" t="str">
            <v>Đang xử lý</v>
          </cell>
          <cell r="AJ2688" t="str">
            <v>Khánh Hoà</v>
          </cell>
          <cell r="BX2688" t="str">
            <v>AON</v>
          </cell>
        </row>
        <row r="2689">
          <cell r="A2689" t="str">
            <v>ON</v>
          </cell>
          <cell r="B2689" t="str">
            <v>Trong 24h</v>
          </cell>
          <cell r="D2689" t="str">
            <v>Khiếu nại về dịch vụ FTTH</v>
          </cell>
          <cell r="W2689" t="str">
            <v>Đang xử lý</v>
          </cell>
          <cell r="AJ2689" t="str">
            <v>Hà Nội 1</v>
          </cell>
          <cell r="BX2689" t="str">
            <v>AON</v>
          </cell>
        </row>
        <row r="2690">
          <cell r="A2690" t="str">
            <v>ON</v>
          </cell>
          <cell r="B2690" t="str">
            <v>Trong 24h</v>
          </cell>
          <cell r="D2690" t="str">
            <v>Khiếu nại về dịch vụ FTTH</v>
          </cell>
          <cell r="W2690" t="str">
            <v>Đang xử lý</v>
          </cell>
          <cell r="AJ2690" t="str">
            <v>TP HCM</v>
          </cell>
          <cell r="BX2690" t="str">
            <v>AON</v>
          </cell>
        </row>
        <row r="2691">
          <cell r="A2691" t="str">
            <v>ON</v>
          </cell>
          <cell r="B2691" t="str">
            <v>Trong 24h</v>
          </cell>
          <cell r="D2691" t="str">
            <v>Khiếu nại về dịch vụ FTTH</v>
          </cell>
          <cell r="W2691" t="str">
            <v>Đang xử lý</v>
          </cell>
          <cell r="AJ2691" t="str">
            <v>Thừa Thiên Huế</v>
          </cell>
          <cell r="BX2691" t="str">
            <v>AON</v>
          </cell>
        </row>
        <row r="2692">
          <cell r="A2692" t="str">
            <v>ON</v>
          </cell>
          <cell r="B2692" t="str">
            <v>Trong 24h</v>
          </cell>
          <cell r="D2692" t="str">
            <v>Khiếu nại về dịch vụ FTTH</v>
          </cell>
          <cell r="W2692" t="str">
            <v>Đang xử lý</v>
          </cell>
          <cell r="AJ2692" t="str">
            <v>Cà Mau</v>
          </cell>
          <cell r="BX2692" t="str">
            <v>AON</v>
          </cell>
        </row>
        <row r="2693">
          <cell r="A2693" t="str">
            <v>ON</v>
          </cell>
          <cell r="B2693" t="str">
            <v>Trong 24h</v>
          </cell>
          <cell r="D2693" t="str">
            <v>Khiếu nại về dịch vụ FTTH</v>
          </cell>
          <cell r="W2693" t="str">
            <v>Đang xử lý</v>
          </cell>
          <cell r="AJ2693" t="str">
            <v>Quảng Ninh</v>
          </cell>
          <cell r="BX2693" t="str">
            <v>AON</v>
          </cell>
        </row>
        <row r="2694">
          <cell r="A2694" t="str">
            <v>ON</v>
          </cell>
          <cell r="B2694" t="str">
            <v>Trong 24h</v>
          </cell>
          <cell r="D2694" t="str">
            <v>Khiếu nại về dịch vụ FTTH</v>
          </cell>
          <cell r="W2694" t="str">
            <v>Đang xử lý</v>
          </cell>
          <cell r="AJ2694" t="str">
            <v>TP HCM</v>
          </cell>
          <cell r="BX2694" t="str">
            <v>AON</v>
          </cell>
        </row>
        <row r="2695">
          <cell r="A2695" t="str">
            <v>ON</v>
          </cell>
          <cell r="B2695" t="str">
            <v>Trong 24h</v>
          </cell>
          <cell r="D2695" t="str">
            <v>Khiếu nại về dịch vụ FTTH</v>
          </cell>
          <cell r="W2695" t="str">
            <v>Đang xử lý</v>
          </cell>
          <cell r="AJ2695" t="str">
            <v>TP HCM</v>
          </cell>
          <cell r="BX2695" t="str">
            <v>GPON</v>
          </cell>
        </row>
        <row r="2696">
          <cell r="A2696" t="str">
            <v>ON</v>
          </cell>
          <cell r="B2696" t="str">
            <v>Trong 24h</v>
          </cell>
          <cell r="D2696" t="str">
            <v>Khiếu nại về dịch vụ FTTH</v>
          </cell>
          <cell r="W2696" t="str">
            <v>Đang xử lý</v>
          </cell>
          <cell r="AJ2696" t="str">
            <v>TP HCM</v>
          </cell>
          <cell r="BX2696" t="str">
            <v>AON</v>
          </cell>
        </row>
        <row r="2697">
          <cell r="A2697" t="str">
            <v>ON</v>
          </cell>
          <cell r="B2697" t="str">
            <v>Trong 24h</v>
          </cell>
          <cell r="D2697" t="str">
            <v>Khiếu nại về dịch vụ FTTH</v>
          </cell>
          <cell r="W2697" t="str">
            <v>Đang xử lý</v>
          </cell>
          <cell r="AJ2697" t="str">
            <v>Bạc Liêu</v>
          </cell>
          <cell r="BX2697" t="str">
            <v>AON</v>
          </cell>
        </row>
        <row r="2698">
          <cell r="A2698" t="str">
            <v>ON</v>
          </cell>
          <cell r="B2698" t="str">
            <v>Trong 24h</v>
          </cell>
          <cell r="D2698" t="str">
            <v>Khiếu nại về dịch vụ FTTH</v>
          </cell>
          <cell r="W2698" t="str">
            <v>Đang xử lý</v>
          </cell>
          <cell r="AJ2698" t="str">
            <v>TP HCM</v>
          </cell>
          <cell r="BX2698" t="str">
            <v>GPON</v>
          </cell>
        </row>
        <row r="2699">
          <cell r="A2699" t="str">
            <v>ON</v>
          </cell>
          <cell r="B2699" t="str">
            <v>Trong 24h</v>
          </cell>
          <cell r="D2699" t="str">
            <v>Khiếu nại về dịch vụ FTTH</v>
          </cell>
          <cell r="W2699" t="str">
            <v>Đang xử lý</v>
          </cell>
          <cell r="AJ2699" t="str">
            <v>Hà Nội 2</v>
          </cell>
          <cell r="BX2699" t="str">
            <v>AON</v>
          </cell>
        </row>
        <row r="2700">
          <cell r="A2700" t="str">
            <v>OP</v>
          </cell>
          <cell r="B2700" t="str">
            <v>Quá 24h</v>
          </cell>
          <cell r="D2700" t="str">
            <v>Khiếu nại về dịch vụ FTTH</v>
          </cell>
          <cell r="W2700" t="str">
            <v>Đã đóng</v>
          </cell>
          <cell r="AJ2700" t="str">
            <v>Nghệ An</v>
          </cell>
          <cell r="BX2700" t="str">
            <v>AON</v>
          </cell>
        </row>
        <row r="2701">
          <cell r="A2701" t="str">
            <v>OP</v>
          </cell>
          <cell r="B2701" t="str">
            <v>Quá 24h</v>
          </cell>
          <cell r="D2701" t="str">
            <v>Khiếu nại về dịch vụ FTTH</v>
          </cell>
          <cell r="W2701" t="str">
            <v>Đã đóng</v>
          </cell>
          <cell r="AJ2701" t="str">
            <v>Cao Bằng</v>
          </cell>
          <cell r="BX2701" t="str">
            <v>AON</v>
          </cell>
        </row>
        <row r="2702">
          <cell r="A2702" t="str">
            <v>OP</v>
          </cell>
          <cell r="B2702" t="str">
            <v>Quá 24h</v>
          </cell>
          <cell r="D2702" t="str">
            <v>Khiếu nại về dịch vụ FTTH</v>
          </cell>
          <cell r="W2702" t="str">
            <v>Đã đóng</v>
          </cell>
          <cell r="AJ2702" t="str">
            <v>Hà Nội 2</v>
          </cell>
          <cell r="BX2702" t="str">
            <v>AON</v>
          </cell>
        </row>
        <row r="2703">
          <cell r="A2703" t="str">
            <v>OP</v>
          </cell>
          <cell r="B2703" t="str">
            <v>Quá 24h</v>
          </cell>
          <cell r="D2703" t="str">
            <v>Khiếu nại về dịch vụ FTTH</v>
          </cell>
          <cell r="W2703" t="str">
            <v>Đã đóng</v>
          </cell>
          <cell r="AJ2703" t="str">
            <v>Thái Bình</v>
          </cell>
          <cell r="BX2703" t="str">
            <v>AON</v>
          </cell>
        </row>
        <row r="2704">
          <cell r="A2704" t="str">
            <v>OP</v>
          </cell>
          <cell r="B2704" t="str">
            <v>Quá 24h</v>
          </cell>
          <cell r="D2704" t="str">
            <v>Khiếu nại về dịch vụ FTTH</v>
          </cell>
          <cell r="W2704" t="str">
            <v>Đã đóng</v>
          </cell>
          <cell r="AJ2704" t="str">
            <v xml:space="preserve">Đồng Nai </v>
          </cell>
          <cell r="BX2704" t="str">
            <v>AON</v>
          </cell>
        </row>
        <row r="2705">
          <cell r="A2705" t="str">
            <v>OP</v>
          </cell>
          <cell r="B2705" t="str">
            <v>Quá 24h</v>
          </cell>
          <cell r="D2705" t="str">
            <v>Khiếu nại về dịch vụ FTTH</v>
          </cell>
          <cell r="W2705" t="str">
            <v>Đang xử lý</v>
          </cell>
          <cell r="AJ2705" t="str">
            <v>Thanh Hoá</v>
          </cell>
          <cell r="BX2705" t="str">
            <v>AON</v>
          </cell>
        </row>
        <row r="2706">
          <cell r="A2706" t="str">
            <v>OP</v>
          </cell>
          <cell r="B2706" t="str">
            <v>Quá 24h</v>
          </cell>
          <cell r="D2706" t="str">
            <v>Khiếu nại về dịch vụ FTTH</v>
          </cell>
          <cell r="W2706" t="str">
            <v>Đã đóng</v>
          </cell>
          <cell r="AJ2706" t="str">
            <v xml:space="preserve">Đồng Nai </v>
          </cell>
          <cell r="BX2706" t="str">
            <v>AON</v>
          </cell>
        </row>
        <row r="2707">
          <cell r="A2707" t="str">
            <v>OP</v>
          </cell>
          <cell r="B2707" t="str">
            <v>Quá 24h</v>
          </cell>
          <cell r="D2707" t="str">
            <v>Khiếu nại về dịch vụ FTTH</v>
          </cell>
          <cell r="W2707" t="str">
            <v>Đã đóng</v>
          </cell>
          <cell r="AJ2707" t="str">
            <v>Hải Phòng</v>
          </cell>
          <cell r="BX2707" t="str">
            <v>AON</v>
          </cell>
        </row>
        <row r="2708">
          <cell r="A2708" t="str">
            <v>OP</v>
          </cell>
          <cell r="B2708" t="str">
            <v>Quá 24h</v>
          </cell>
          <cell r="D2708" t="str">
            <v>Khiếu nại về dịch vụ FTTH</v>
          </cell>
          <cell r="W2708" t="str">
            <v>Đã đóng</v>
          </cell>
          <cell r="AJ2708" t="str">
            <v>Nghệ An</v>
          </cell>
          <cell r="BX2708" t="str">
            <v>AON</v>
          </cell>
        </row>
        <row r="2709">
          <cell r="A2709" t="str">
            <v>OP</v>
          </cell>
          <cell r="B2709" t="str">
            <v>Quá 24h</v>
          </cell>
          <cell r="D2709" t="str">
            <v>Khiếu nại về dịch vụ FTTH</v>
          </cell>
          <cell r="W2709" t="str">
            <v>Đã đóng</v>
          </cell>
          <cell r="AJ2709" t="str">
            <v>Phú Thọ</v>
          </cell>
          <cell r="BX2709" t="str">
            <v>AON</v>
          </cell>
        </row>
        <row r="2710">
          <cell r="A2710" t="str">
            <v>OP</v>
          </cell>
          <cell r="B2710" t="str">
            <v>Quá 24h</v>
          </cell>
          <cell r="D2710" t="str">
            <v>Khiếu nại về dịch vụ FTTH</v>
          </cell>
          <cell r="W2710" t="str">
            <v>Đang xử lý</v>
          </cell>
          <cell r="AJ2710" t="str">
            <v>TP HCM</v>
          </cell>
          <cell r="BX2710" t="str">
            <v>AON</v>
          </cell>
        </row>
        <row r="2711">
          <cell r="A2711" t="str">
            <v>OP</v>
          </cell>
          <cell r="B2711" t="str">
            <v>Quá 24h</v>
          </cell>
          <cell r="D2711" t="str">
            <v>Khiếu nại về dịch vụ FTTH</v>
          </cell>
          <cell r="W2711" t="str">
            <v>Đã đóng</v>
          </cell>
          <cell r="AJ2711" t="str">
            <v>Long An</v>
          </cell>
          <cell r="BX2711" t="str">
            <v>AON</v>
          </cell>
        </row>
        <row r="2712">
          <cell r="A2712" t="str">
            <v>OP</v>
          </cell>
          <cell r="B2712" t="str">
            <v>Quá 24h</v>
          </cell>
          <cell r="D2712" t="str">
            <v>Khiếu nại về dịch vụ FTTH</v>
          </cell>
          <cell r="W2712" t="str">
            <v>Đã đóng</v>
          </cell>
          <cell r="AJ2712" t="str">
            <v>Bà Rịa - Vũng Tàu</v>
          </cell>
          <cell r="BX2712" t="str">
            <v>AON</v>
          </cell>
        </row>
        <row r="2713">
          <cell r="A2713" t="str">
            <v>OP</v>
          </cell>
          <cell r="B2713" t="str">
            <v>Quá 24h</v>
          </cell>
          <cell r="D2713" t="str">
            <v>Khiếu nại về dịch vụ FTTH</v>
          </cell>
          <cell r="W2713" t="str">
            <v>Đã đóng</v>
          </cell>
          <cell r="AJ2713" t="str">
            <v>Ninh Bình</v>
          </cell>
          <cell r="BX2713" t="str">
            <v>AON</v>
          </cell>
        </row>
        <row r="2714">
          <cell r="A2714" t="str">
            <v>OP</v>
          </cell>
          <cell r="B2714" t="str">
            <v>Quá 24h</v>
          </cell>
          <cell r="D2714" t="str">
            <v>Khiếu nại về dịch vụ FTTH</v>
          </cell>
          <cell r="W2714" t="str">
            <v>Đã đóng</v>
          </cell>
          <cell r="AJ2714" t="str">
            <v>Nam Định</v>
          </cell>
          <cell r="BX2714" t="str">
            <v>AON</v>
          </cell>
        </row>
        <row r="2715">
          <cell r="A2715" t="str">
            <v>OP</v>
          </cell>
          <cell r="B2715" t="str">
            <v>Quá 24h</v>
          </cell>
          <cell r="D2715" t="str">
            <v>Khiếu nại về dịch vụ FTTH</v>
          </cell>
          <cell r="W2715" t="str">
            <v>Đang xử lý</v>
          </cell>
          <cell r="AJ2715" t="str">
            <v>TP HCM</v>
          </cell>
          <cell r="BX2715" t="str">
            <v>AON</v>
          </cell>
        </row>
        <row r="2716">
          <cell r="A2716" t="str">
            <v>OP</v>
          </cell>
          <cell r="B2716" t="str">
            <v>Quá 24h</v>
          </cell>
          <cell r="D2716" t="str">
            <v>Khiếu nại về dịch vụ FTTH</v>
          </cell>
          <cell r="W2716" t="str">
            <v>Đã đóng</v>
          </cell>
          <cell r="AJ2716" t="str">
            <v>Thanh Hoá</v>
          </cell>
          <cell r="BX2716" t="str">
            <v>AON</v>
          </cell>
        </row>
        <row r="2717">
          <cell r="A2717" t="str">
            <v>OP</v>
          </cell>
          <cell r="B2717" t="str">
            <v>Quá 24h</v>
          </cell>
          <cell r="D2717" t="str">
            <v>Khiếu nại về dịch vụ FTTH</v>
          </cell>
          <cell r="W2717" t="str">
            <v>Đã đóng</v>
          </cell>
          <cell r="AJ2717" t="str">
            <v>Hải Phòng</v>
          </cell>
          <cell r="BX2717" t="str">
            <v>AON</v>
          </cell>
        </row>
        <row r="2718">
          <cell r="A2718" t="str">
            <v>OP</v>
          </cell>
          <cell r="B2718" t="str">
            <v>Quá 24h</v>
          </cell>
          <cell r="D2718" t="str">
            <v>Khiếu nại về dịch vụ NextTV</v>
          </cell>
          <cell r="W2718" t="str">
            <v>Đã đóng</v>
          </cell>
          <cell r="AJ2718" t="str">
            <v>Hà Nội 2</v>
          </cell>
          <cell r="BX2718" t="str">
            <v>AON</v>
          </cell>
        </row>
        <row r="2719">
          <cell r="A2719" t="str">
            <v>OP</v>
          </cell>
          <cell r="B2719" t="str">
            <v>Quá 24h</v>
          </cell>
          <cell r="D2719" t="str">
            <v>Khiếu nại về dịch vụ FTTH</v>
          </cell>
          <cell r="W2719" t="str">
            <v>Đã đóng</v>
          </cell>
          <cell r="AJ2719" t="str">
            <v>Tuyên Quang</v>
          </cell>
          <cell r="BX2719" t="str">
            <v>AON</v>
          </cell>
        </row>
        <row r="2720">
          <cell r="A2720" t="str">
            <v>OP</v>
          </cell>
          <cell r="B2720" t="str">
            <v>Quá 24h</v>
          </cell>
          <cell r="D2720" t="str">
            <v>Khiếu nại về dịch vụ FTTH</v>
          </cell>
          <cell r="W2720" t="str">
            <v>Đã đóng</v>
          </cell>
          <cell r="AJ2720" t="str">
            <v>TP HCM</v>
          </cell>
          <cell r="BX2720" t="str">
            <v>AON</v>
          </cell>
        </row>
        <row r="2721">
          <cell r="A2721" t="str">
            <v>OP</v>
          </cell>
          <cell r="B2721" t="str">
            <v>Quá 24h</v>
          </cell>
          <cell r="D2721" t="str">
            <v>Khiếu nại về dịch vụ FTTH</v>
          </cell>
          <cell r="W2721" t="str">
            <v>Đã đóng</v>
          </cell>
          <cell r="AJ2721" t="str">
            <v>TP HCM</v>
          </cell>
          <cell r="BX2721" t="str">
            <v>AON</v>
          </cell>
        </row>
        <row r="2722">
          <cell r="A2722" t="str">
            <v>OP</v>
          </cell>
          <cell r="B2722" t="str">
            <v>Quá 24h</v>
          </cell>
          <cell r="D2722" t="str">
            <v>Khiếu nại về dịch vụ NextTV</v>
          </cell>
          <cell r="W2722" t="str">
            <v>Đã đóng</v>
          </cell>
          <cell r="AJ2722" t="str">
            <v xml:space="preserve">Đồng Nai </v>
          </cell>
          <cell r="BX2722" t="str">
            <v>AON</v>
          </cell>
        </row>
        <row r="2723">
          <cell r="A2723" t="str">
            <v>OP</v>
          </cell>
          <cell r="B2723" t="str">
            <v>Quá 24h</v>
          </cell>
          <cell r="D2723" t="str">
            <v>Khiếu nại về dịch vụ FTTH</v>
          </cell>
          <cell r="W2723" t="str">
            <v>Đã đóng</v>
          </cell>
          <cell r="AJ2723" t="str">
            <v>Gia Lai</v>
          </cell>
          <cell r="BX2723" t="str">
            <v>AON</v>
          </cell>
        </row>
        <row r="2724">
          <cell r="A2724" t="str">
            <v>OP</v>
          </cell>
          <cell r="B2724" t="str">
            <v>Quá 24h</v>
          </cell>
          <cell r="D2724" t="str">
            <v>Khiếu nại về dịch vụ FTTH</v>
          </cell>
          <cell r="W2724" t="str">
            <v>Đang xử lý</v>
          </cell>
          <cell r="AJ2724" t="str">
            <v>Lào Cai</v>
          </cell>
          <cell r="BX2724" t="str">
            <v>AON</v>
          </cell>
        </row>
        <row r="2725">
          <cell r="A2725" t="str">
            <v>OP</v>
          </cell>
          <cell r="B2725" t="str">
            <v>Quá 24h</v>
          </cell>
          <cell r="D2725" t="str">
            <v>Khiếu nại về dịch vụ FTTH</v>
          </cell>
          <cell r="W2725" t="str">
            <v>Đã đóng</v>
          </cell>
          <cell r="AJ2725" t="str">
            <v>Tuyên Quang</v>
          </cell>
          <cell r="BX2725" t="str">
            <v>AON</v>
          </cell>
        </row>
        <row r="2726">
          <cell r="A2726" t="str">
            <v>OP</v>
          </cell>
          <cell r="B2726" t="str">
            <v>Quá 24h</v>
          </cell>
          <cell r="D2726" t="str">
            <v>Khiếu nại về dịch vụ FTTH</v>
          </cell>
          <cell r="W2726" t="str">
            <v>Đã đóng</v>
          </cell>
          <cell r="AJ2726" t="str">
            <v>Phú Thọ</v>
          </cell>
          <cell r="BX2726" t="str">
            <v>AON</v>
          </cell>
        </row>
        <row r="2727">
          <cell r="A2727" t="str">
            <v>OP</v>
          </cell>
          <cell r="B2727" t="str">
            <v>Quá 24h</v>
          </cell>
          <cell r="D2727" t="str">
            <v>Khiếu nại về dịch vụ FTTH</v>
          </cell>
          <cell r="W2727" t="str">
            <v>Đã đóng</v>
          </cell>
          <cell r="AJ2727" t="str">
            <v>TP HCM</v>
          </cell>
          <cell r="BX2727" t="str">
            <v>AON</v>
          </cell>
        </row>
        <row r="2728">
          <cell r="A2728" t="str">
            <v>OP</v>
          </cell>
          <cell r="B2728" t="str">
            <v>Quá 24h</v>
          </cell>
          <cell r="D2728" t="str">
            <v>Khiếu nại về dịch vụ FTTH</v>
          </cell>
          <cell r="W2728" t="str">
            <v>Đã đóng</v>
          </cell>
          <cell r="AJ2728" t="str">
            <v>TP HCM</v>
          </cell>
          <cell r="BX2728" t="str">
            <v>AON</v>
          </cell>
        </row>
        <row r="2729">
          <cell r="A2729" t="str">
            <v>OP</v>
          </cell>
          <cell r="B2729" t="str">
            <v>Quá 24h</v>
          </cell>
          <cell r="D2729" t="str">
            <v>Khiếu nại về dịch vụ FTTH</v>
          </cell>
          <cell r="W2729" t="str">
            <v>Đã đóng</v>
          </cell>
          <cell r="AJ2729" t="str">
            <v>Hà Nội 2</v>
          </cell>
          <cell r="BX2729" t="str">
            <v>AON</v>
          </cell>
        </row>
        <row r="2730">
          <cell r="A2730" t="str">
            <v>OP</v>
          </cell>
          <cell r="B2730" t="str">
            <v>Quá 24h</v>
          </cell>
          <cell r="D2730" t="str">
            <v>Khiếu nại về dịch vụ FTTH</v>
          </cell>
          <cell r="W2730" t="str">
            <v>Đã đóng</v>
          </cell>
          <cell r="AJ2730" t="str">
            <v>Thái Bình</v>
          </cell>
          <cell r="BX2730" t="str">
            <v>AON</v>
          </cell>
        </row>
        <row r="2731">
          <cell r="A2731" t="str">
            <v>OP</v>
          </cell>
          <cell r="B2731" t="str">
            <v>Quá 24h</v>
          </cell>
          <cell r="D2731" t="str">
            <v>Khiếu nại về dịch vụ FTTH</v>
          </cell>
          <cell r="W2731" t="str">
            <v>Đã đóng</v>
          </cell>
          <cell r="AJ2731" t="str">
            <v>Hà Nội 1</v>
          </cell>
          <cell r="BX2731" t="str">
            <v>AON</v>
          </cell>
        </row>
        <row r="2732">
          <cell r="A2732" t="str">
            <v>OP</v>
          </cell>
          <cell r="B2732" t="str">
            <v>Quá 24h</v>
          </cell>
          <cell r="D2732" t="str">
            <v>Khiếu nại về dịch vụ FTTH</v>
          </cell>
          <cell r="W2732" t="str">
            <v>Đã đóng</v>
          </cell>
          <cell r="AJ2732" t="str">
            <v>Bến Tre</v>
          </cell>
          <cell r="BX2732" t="str">
            <v>AON</v>
          </cell>
        </row>
        <row r="2733">
          <cell r="A2733" t="str">
            <v>OP</v>
          </cell>
          <cell r="B2733" t="str">
            <v>Quá 24h</v>
          </cell>
          <cell r="D2733" t="str">
            <v>Khiếu nại về dịch vụ FTTH</v>
          </cell>
          <cell r="W2733" t="str">
            <v>Đã đóng</v>
          </cell>
          <cell r="AJ2733" t="str">
            <v>Bắc Giang</v>
          </cell>
          <cell r="BX2733" t="str">
            <v>AON</v>
          </cell>
        </row>
        <row r="2734">
          <cell r="A2734" t="str">
            <v>OP</v>
          </cell>
          <cell r="B2734" t="str">
            <v>Quá 24h</v>
          </cell>
          <cell r="D2734" t="str">
            <v>Khiếu nại về dịch vụ FTTH</v>
          </cell>
          <cell r="W2734" t="str">
            <v>Đã đóng</v>
          </cell>
          <cell r="AJ2734" t="str">
            <v>Ninh Bình</v>
          </cell>
          <cell r="BX2734" t="str">
            <v>AON</v>
          </cell>
        </row>
        <row r="2735">
          <cell r="A2735" t="str">
            <v>OP</v>
          </cell>
          <cell r="B2735" t="str">
            <v>Quá 24h</v>
          </cell>
          <cell r="D2735" t="str">
            <v>Khiếu nại về dịch vụ FTTH</v>
          </cell>
          <cell r="W2735" t="str">
            <v>Đang xử lý</v>
          </cell>
          <cell r="AJ2735" t="str">
            <v>TP HCM</v>
          </cell>
          <cell r="BX2735" t="str">
            <v>AON</v>
          </cell>
        </row>
        <row r="2736">
          <cell r="A2736" t="str">
            <v>OP</v>
          </cell>
          <cell r="B2736" t="str">
            <v>Quá 24h</v>
          </cell>
          <cell r="D2736" t="str">
            <v>Khiếu nại về dịch vụ FTTH</v>
          </cell>
          <cell r="W2736" t="str">
            <v>Đã đóng</v>
          </cell>
          <cell r="AJ2736" t="str">
            <v>TP HCM</v>
          </cell>
          <cell r="BX2736" t="str">
            <v>AON</v>
          </cell>
        </row>
        <row r="2737">
          <cell r="A2737" t="str">
            <v>OP</v>
          </cell>
          <cell r="B2737" t="str">
            <v>Quá 24h</v>
          </cell>
          <cell r="D2737" t="str">
            <v>Khiếu nại về dịch vụ FTTH</v>
          </cell>
          <cell r="W2737" t="str">
            <v>Đã đóng</v>
          </cell>
          <cell r="AJ2737" t="str">
            <v>Tuyên Quang</v>
          </cell>
          <cell r="BX2737" t="str">
            <v>AON</v>
          </cell>
        </row>
        <row r="2738">
          <cell r="A2738" t="str">
            <v>OP</v>
          </cell>
          <cell r="B2738" t="str">
            <v>Quá 24h</v>
          </cell>
          <cell r="D2738" t="str">
            <v>Khiếu nại về dịch vụ FTTH</v>
          </cell>
          <cell r="W2738" t="str">
            <v>Đã đóng</v>
          </cell>
          <cell r="AJ2738" t="str">
            <v>Bến Tre</v>
          </cell>
          <cell r="BX2738" t="str">
            <v>AON</v>
          </cell>
        </row>
        <row r="2739">
          <cell r="A2739" t="str">
            <v>OP</v>
          </cell>
          <cell r="B2739" t="str">
            <v>Quá 24h</v>
          </cell>
          <cell r="D2739" t="str">
            <v>Khiếu nại về dịch vụ FTTH</v>
          </cell>
          <cell r="W2739" t="str">
            <v>Đã đóng</v>
          </cell>
          <cell r="AJ2739" t="str">
            <v>Nghệ An</v>
          </cell>
          <cell r="BX2739" t="str">
            <v>AON</v>
          </cell>
        </row>
        <row r="2740">
          <cell r="A2740" t="str">
            <v>OP</v>
          </cell>
          <cell r="B2740" t="str">
            <v>Quá 24h</v>
          </cell>
          <cell r="D2740" t="str">
            <v>Khiếu nại về dịch vụ FTTH</v>
          </cell>
          <cell r="W2740" t="str">
            <v>Đã đóng</v>
          </cell>
          <cell r="AJ2740" t="str">
            <v>Bến Tre</v>
          </cell>
          <cell r="BX2740" t="str">
            <v>AON</v>
          </cell>
        </row>
        <row r="2741">
          <cell r="A2741" t="str">
            <v>OP</v>
          </cell>
          <cell r="B2741" t="str">
            <v>Quá 24h</v>
          </cell>
          <cell r="D2741" t="str">
            <v>Khiếu nại về dịch vụ FTTH</v>
          </cell>
          <cell r="W2741" t="str">
            <v>Đã đóng</v>
          </cell>
          <cell r="AJ2741" t="str">
            <v>TP HCM</v>
          </cell>
          <cell r="BX2741" t="str">
            <v>AON</v>
          </cell>
        </row>
        <row r="2742">
          <cell r="A2742" t="str">
            <v>OP</v>
          </cell>
          <cell r="B2742" t="str">
            <v>Quá 24h</v>
          </cell>
          <cell r="D2742" t="str">
            <v>Khiếu nại về dịch vụ NextTV</v>
          </cell>
          <cell r="W2742" t="str">
            <v>Đang xử lý</v>
          </cell>
          <cell r="AJ2742" t="str">
            <v>Phú Thọ</v>
          </cell>
          <cell r="BX2742" t="str">
            <v>AON</v>
          </cell>
        </row>
        <row r="2743">
          <cell r="A2743" t="str">
            <v>OP</v>
          </cell>
          <cell r="B2743" t="str">
            <v>Quá 24h</v>
          </cell>
          <cell r="D2743" t="str">
            <v>Khiếu nại về dịch vụ FTTH</v>
          </cell>
          <cell r="W2743" t="str">
            <v>Đang xử lý</v>
          </cell>
          <cell r="AJ2743" t="str">
            <v>Tây Ninh</v>
          </cell>
          <cell r="BX2743" t="str">
            <v>AON</v>
          </cell>
        </row>
        <row r="2744">
          <cell r="A2744" t="str">
            <v>OP</v>
          </cell>
          <cell r="B2744" t="str">
            <v>Quá 24h</v>
          </cell>
          <cell r="D2744" t="str">
            <v>Khiếu nại về dịch vụ FTTH</v>
          </cell>
          <cell r="W2744" t="str">
            <v>Đã đóng</v>
          </cell>
          <cell r="AJ2744" t="str">
            <v>Hải Phòng</v>
          </cell>
          <cell r="BX2744" t="str">
            <v>AON</v>
          </cell>
        </row>
        <row r="2745">
          <cell r="A2745" t="str">
            <v>OP</v>
          </cell>
          <cell r="B2745" t="str">
            <v>Quá 24h</v>
          </cell>
          <cell r="D2745" t="str">
            <v>Khiếu nại về dịch vụ FTTH</v>
          </cell>
          <cell r="W2745" t="str">
            <v>Đã đóng</v>
          </cell>
          <cell r="AJ2745" t="str">
            <v>TP HCM</v>
          </cell>
          <cell r="BX2745" t="str">
            <v>AON</v>
          </cell>
        </row>
        <row r="2746">
          <cell r="A2746" t="str">
            <v>OP</v>
          </cell>
          <cell r="B2746" t="str">
            <v>Quá 24h</v>
          </cell>
          <cell r="D2746" t="str">
            <v>Khiếu nại về dịch vụ FTTH</v>
          </cell>
          <cell r="W2746" t="str">
            <v>Đã đóng</v>
          </cell>
          <cell r="AJ2746" t="str">
            <v>Hưng Yên</v>
          </cell>
          <cell r="BX2746" t="str">
            <v>AON</v>
          </cell>
        </row>
        <row r="2747">
          <cell r="A2747" t="str">
            <v>OP</v>
          </cell>
          <cell r="B2747" t="str">
            <v>Quá 24h</v>
          </cell>
          <cell r="D2747" t="str">
            <v>Khiếu nại về dịch vụ FTTH</v>
          </cell>
          <cell r="W2747" t="str">
            <v>Đã đóng</v>
          </cell>
          <cell r="AJ2747" t="str">
            <v>Hà Nội 1</v>
          </cell>
          <cell r="BX2747" t="str">
            <v>AON</v>
          </cell>
        </row>
        <row r="2748">
          <cell r="A2748" t="str">
            <v>OP</v>
          </cell>
          <cell r="B2748" t="str">
            <v>Quá 24h</v>
          </cell>
          <cell r="D2748" t="str">
            <v>Khiếu nại về dịch vụ FTTH</v>
          </cell>
          <cell r="W2748" t="str">
            <v>Đã đóng</v>
          </cell>
          <cell r="AJ2748" t="str">
            <v>TP HCM</v>
          </cell>
          <cell r="BX2748" t="str">
            <v>AON</v>
          </cell>
        </row>
        <row r="2749">
          <cell r="A2749" t="str">
            <v>OP</v>
          </cell>
          <cell r="B2749" t="str">
            <v>Quá 24h</v>
          </cell>
          <cell r="D2749" t="str">
            <v>Khiếu nại về dịch vụ FTTH</v>
          </cell>
          <cell r="W2749" t="str">
            <v>Đã đóng</v>
          </cell>
          <cell r="AJ2749" t="str">
            <v>Hà Nội 2</v>
          </cell>
          <cell r="BX2749" t="str">
            <v>AON</v>
          </cell>
        </row>
        <row r="2750">
          <cell r="A2750" t="str">
            <v>OP</v>
          </cell>
          <cell r="B2750" t="str">
            <v>Quá 24h</v>
          </cell>
          <cell r="D2750" t="str">
            <v>Khiếu nại về dịch vụ FTTH</v>
          </cell>
          <cell r="W2750" t="str">
            <v>Đã đóng</v>
          </cell>
          <cell r="AJ2750" t="str">
            <v>Ninh Bình</v>
          </cell>
          <cell r="BX2750" t="str">
            <v>AON</v>
          </cell>
        </row>
        <row r="2751">
          <cell r="A2751" t="str">
            <v>OP</v>
          </cell>
          <cell r="B2751" t="str">
            <v>Quá 24h</v>
          </cell>
          <cell r="D2751" t="str">
            <v>Khiếu nại về dịch vụ FTTH</v>
          </cell>
          <cell r="W2751" t="str">
            <v>Đã đóng</v>
          </cell>
          <cell r="AJ2751" t="str">
            <v>Bình Thuận</v>
          </cell>
          <cell r="BX2751" t="str">
            <v>AON</v>
          </cell>
        </row>
        <row r="2752">
          <cell r="A2752" t="str">
            <v>OP</v>
          </cell>
          <cell r="B2752" t="str">
            <v>Quá 24h</v>
          </cell>
          <cell r="D2752" t="str">
            <v>Khiếu nại về dịch vụ FTTH</v>
          </cell>
          <cell r="W2752" t="str">
            <v>Đã đóng</v>
          </cell>
          <cell r="AJ2752" t="str">
            <v>Hải Phòng</v>
          </cell>
          <cell r="BX2752" t="str">
            <v>AON</v>
          </cell>
        </row>
        <row r="2753">
          <cell r="A2753" t="str">
            <v>OP</v>
          </cell>
          <cell r="B2753" t="str">
            <v>Quá 24h</v>
          </cell>
          <cell r="D2753" t="str">
            <v>Khiếu nại về dịch vụ FTTH</v>
          </cell>
          <cell r="W2753" t="str">
            <v>Đã đóng</v>
          </cell>
          <cell r="AJ2753" t="str">
            <v>Hưng Yên</v>
          </cell>
          <cell r="BX2753" t="str">
            <v>AON</v>
          </cell>
        </row>
        <row r="2754">
          <cell r="A2754" t="str">
            <v>OP</v>
          </cell>
          <cell r="B2754" t="str">
            <v>Quá 24h</v>
          </cell>
          <cell r="D2754" t="str">
            <v>Khiếu nại về dịch vụ FTTH</v>
          </cell>
          <cell r="W2754" t="str">
            <v>Đã đóng</v>
          </cell>
          <cell r="AJ2754" t="str">
            <v>Bình Dương</v>
          </cell>
          <cell r="BX2754" t="str">
            <v>AON</v>
          </cell>
        </row>
        <row r="2755">
          <cell r="A2755" t="str">
            <v>OP</v>
          </cell>
          <cell r="B2755" t="str">
            <v>Quá 24h</v>
          </cell>
          <cell r="D2755" t="str">
            <v>Khiếu nại về dịch vụ FTTH</v>
          </cell>
          <cell r="W2755" t="str">
            <v>Đã đóng</v>
          </cell>
          <cell r="AJ2755" t="str">
            <v>Thái Bình</v>
          </cell>
          <cell r="BX2755" t="str">
            <v>AON</v>
          </cell>
        </row>
        <row r="2756">
          <cell r="A2756" t="str">
            <v>OP</v>
          </cell>
          <cell r="B2756" t="str">
            <v>Quá 24h</v>
          </cell>
          <cell r="D2756" t="str">
            <v>Khiếu nại về dịch vụ FTTH</v>
          </cell>
          <cell r="W2756" t="str">
            <v>Đã đóng</v>
          </cell>
          <cell r="AJ2756" t="str">
            <v>Long An</v>
          </cell>
          <cell r="BX2756" t="str">
            <v>AON</v>
          </cell>
        </row>
        <row r="2757">
          <cell r="A2757" t="str">
            <v>OP</v>
          </cell>
          <cell r="B2757" t="str">
            <v>Quá 24h</v>
          </cell>
          <cell r="D2757" t="str">
            <v>Khiếu nại về dịch vụ FTTH</v>
          </cell>
          <cell r="W2757" t="str">
            <v>Đã đóng</v>
          </cell>
          <cell r="AJ2757" t="str">
            <v>Bình Dương</v>
          </cell>
          <cell r="BX2757" t="str">
            <v>AON</v>
          </cell>
        </row>
        <row r="2758">
          <cell r="A2758" t="str">
            <v>OP</v>
          </cell>
          <cell r="B2758" t="str">
            <v>Quá 24h</v>
          </cell>
          <cell r="D2758" t="str">
            <v>Khiếu nại về dịch vụ FTTH</v>
          </cell>
          <cell r="W2758" t="str">
            <v>Đã đóng</v>
          </cell>
          <cell r="AJ2758" t="str">
            <v>Thái Bình</v>
          </cell>
          <cell r="BX2758" t="str">
            <v>AON</v>
          </cell>
        </row>
        <row r="2759">
          <cell r="A2759" t="str">
            <v>OP</v>
          </cell>
          <cell r="B2759" t="str">
            <v>Quá 24h</v>
          </cell>
          <cell r="D2759" t="str">
            <v>Khiếu nại về dịch vụ FTTH</v>
          </cell>
          <cell r="W2759" t="str">
            <v>Đã đóng</v>
          </cell>
          <cell r="AJ2759" t="str">
            <v>Tuyên Quang</v>
          </cell>
          <cell r="BX2759" t="str">
            <v>AON</v>
          </cell>
        </row>
        <row r="2760">
          <cell r="A2760" t="str">
            <v>OP</v>
          </cell>
          <cell r="B2760" t="str">
            <v>Quá 24h</v>
          </cell>
          <cell r="D2760" t="str">
            <v>Khiếu nại về dịch vụ FTTH</v>
          </cell>
          <cell r="W2760" t="str">
            <v>Đã đóng</v>
          </cell>
          <cell r="AJ2760" t="str">
            <v>TP HCM</v>
          </cell>
          <cell r="BX2760" t="str">
            <v>AON</v>
          </cell>
        </row>
        <row r="2761">
          <cell r="A2761" t="str">
            <v>OP</v>
          </cell>
          <cell r="B2761" t="str">
            <v>Quá 24h</v>
          </cell>
          <cell r="D2761" t="str">
            <v>Khiếu nại về dịch vụ FTTH</v>
          </cell>
          <cell r="W2761" t="str">
            <v>Đã đóng</v>
          </cell>
          <cell r="AJ2761" t="str">
            <v>Hà Nội 2</v>
          </cell>
          <cell r="BX2761" t="str">
            <v>AON</v>
          </cell>
        </row>
        <row r="2762">
          <cell r="A2762" t="str">
            <v>OP</v>
          </cell>
          <cell r="B2762" t="str">
            <v>Quá 24h</v>
          </cell>
          <cell r="D2762" t="str">
            <v>Khiếu nại về dịch vụ FTTH</v>
          </cell>
          <cell r="W2762" t="str">
            <v>Đã đóng</v>
          </cell>
          <cell r="AJ2762" t="str">
            <v>Hà Nội 1</v>
          </cell>
          <cell r="BX2762" t="str">
            <v>AON</v>
          </cell>
        </row>
        <row r="2763">
          <cell r="A2763" t="str">
            <v>OP</v>
          </cell>
          <cell r="B2763" t="str">
            <v>Quá 24h</v>
          </cell>
          <cell r="D2763" t="str">
            <v>Khiếu nại về dịch vụ FTTH</v>
          </cell>
          <cell r="W2763" t="str">
            <v>Đã đóng</v>
          </cell>
          <cell r="AJ2763" t="str">
            <v>Hải Phòng</v>
          </cell>
          <cell r="BX2763" t="str">
            <v>AON</v>
          </cell>
        </row>
        <row r="2764">
          <cell r="A2764" t="str">
            <v>OP</v>
          </cell>
          <cell r="B2764" t="str">
            <v>Quá 24h</v>
          </cell>
          <cell r="D2764" t="str">
            <v>Khiếu nại về dịch vụ FTTH</v>
          </cell>
          <cell r="W2764" t="str">
            <v>Đã đóng</v>
          </cell>
          <cell r="AJ2764" t="str">
            <v>Bắc Ninh</v>
          </cell>
          <cell r="BX2764" t="str">
            <v>AON</v>
          </cell>
        </row>
        <row r="2765">
          <cell r="A2765" t="str">
            <v>OP</v>
          </cell>
          <cell r="B2765" t="str">
            <v>Quá 24h</v>
          </cell>
          <cell r="D2765" t="str">
            <v>Khiếu nại về dịch vụ NextTV</v>
          </cell>
          <cell r="W2765" t="str">
            <v>Đang xử lý</v>
          </cell>
          <cell r="AJ2765" t="str">
            <v>Nghệ An</v>
          </cell>
          <cell r="BX2765" t="str">
            <v>AON</v>
          </cell>
        </row>
        <row r="2766">
          <cell r="A2766" t="str">
            <v>OP</v>
          </cell>
          <cell r="B2766" t="str">
            <v>Quá 24h</v>
          </cell>
          <cell r="D2766" t="str">
            <v>Khiếu nại về dịch vụ FTTH</v>
          </cell>
          <cell r="W2766" t="str">
            <v>Đã đóng</v>
          </cell>
          <cell r="AJ2766" t="str">
            <v>Đắc Nông</v>
          </cell>
          <cell r="BX2766" t="str">
            <v>AON</v>
          </cell>
        </row>
        <row r="2767">
          <cell r="A2767" t="str">
            <v>OP</v>
          </cell>
          <cell r="B2767" t="str">
            <v>Quá 24h</v>
          </cell>
          <cell r="D2767" t="str">
            <v>Khiếu nại về dịch vụ FTTH</v>
          </cell>
          <cell r="W2767" t="str">
            <v>Đã đóng</v>
          </cell>
          <cell r="AJ2767" t="str">
            <v>Phú Thọ</v>
          </cell>
          <cell r="BX2767" t="str">
            <v>AON</v>
          </cell>
        </row>
        <row r="2768">
          <cell r="A2768" t="str">
            <v>OP</v>
          </cell>
          <cell r="B2768" t="str">
            <v>Quá 24h</v>
          </cell>
          <cell r="D2768" t="str">
            <v>Khiếu nại về dịch vụ FTTH</v>
          </cell>
          <cell r="W2768" t="str">
            <v>Đã đóng</v>
          </cell>
          <cell r="AJ2768" t="str">
            <v xml:space="preserve">Đồng Nai </v>
          </cell>
          <cell r="BX2768" t="str">
            <v>AON</v>
          </cell>
        </row>
        <row r="2769">
          <cell r="A2769" t="str">
            <v>OP</v>
          </cell>
          <cell r="B2769" t="str">
            <v>Quá 24h</v>
          </cell>
          <cell r="D2769" t="str">
            <v>Khiếu nại về dịch vụ FTTH</v>
          </cell>
          <cell r="W2769" t="str">
            <v>Đã đóng</v>
          </cell>
          <cell r="AJ2769" t="str">
            <v>TP HCM</v>
          </cell>
          <cell r="BX2769" t="str">
            <v>AON</v>
          </cell>
        </row>
        <row r="2770">
          <cell r="A2770" t="str">
            <v>OP</v>
          </cell>
          <cell r="B2770" t="str">
            <v>Quá 24h</v>
          </cell>
          <cell r="D2770" t="str">
            <v>Khiếu nại về dịch vụ FTTH</v>
          </cell>
          <cell r="W2770" t="str">
            <v>Đang xử lý</v>
          </cell>
          <cell r="AJ2770" t="str">
            <v xml:space="preserve">Đà Nẵng </v>
          </cell>
          <cell r="BX2770" t="str">
            <v>GPON</v>
          </cell>
        </row>
        <row r="2771">
          <cell r="A2771" t="str">
            <v>OP</v>
          </cell>
          <cell r="B2771" t="str">
            <v>Quá 24h</v>
          </cell>
          <cell r="D2771" t="str">
            <v>Khiếu nại về dịch vụ FTTH</v>
          </cell>
          <cell r="W2771" t="str">
            <v>Đã đóng</v>
          </cell>
          <cell r="AJ2771" t="str">
            <v>Thanh Hoá</v>
          </cell>
          <cell r="BX2771" t="str">
            <v>AON</v>
          </cell>
        </row>
        <row r="2772">
          <cell r="A2772" t="str">
            <v>OP</v>
          </cell>
          <cell r="B2772" t="str">
            <v>Quá 24h</v>
          </cell>
          <cell r="D2772" t="str">
            <v>Khiếu nại về dịch vụ FTTH</v>
          </cell>
          <cell r="W2772" t="str">
            <v>Đã đóng</v>
          </cell>
          <cell r="AJ2772" t="str">
            <v>Hà Nội 2</v>
          </cell>
          <cell r="BX2772" t="str">
            <v>AON</v>
          </cell>
        </row>
        <row r="2773">
          <cell r="A2773" t="str">
            <v>OP</v>
          </cell>
          <cell r="B2773" t="str">
            <v>Quá 24h</v>
          </cell>
          <cell r="D2773" t="str">
            <v>Khiếu nại về dịch vụ FTTH</v>
          </cell>
          <cell r="W2773" t="str">
            <v>Đang xử lý</v>
          </cell>
          <cell r="AJ2773" t="str">
            <v>Bắc Ninh</v>
          </cell>
          <cell r="BX2773" t="str">
            <v>AON</v>
          </cell>
        </row>
        <row r="2774">
          <cell r="A2774" t="str">
            <v>OP</v>
          </cell>
          <cell r="B2774" t="str">
            <v>Quá 24h</v>
          </cell>
          <cell r="D2774" t="str">
            <v>Khiếu nại về dịch vụ FTTH</v>
          </cell>
          <cell r="W2774" t="str">
            <v>Đã đóng</v>
          </cell>
          <cell r="AJ2774" t="str">
            <v>Kon Tum</v>
          </cell>
          <cell r="BX2774" t="str">
            <v>AON</v>
          </cell>
        </row>
        <row r="2775">
          <cell r="A2775" t="str">
            <v>OP</v>
          </cell>
          <cell r="B2775" t="str">
            <v>Quá 24h</v>
          </cell>
          <cell r="D2775" t="str">
            <v>Khiếu nại về dịch vụ FTTH</v>
          </cell>
          <cell r="W2775" t="str">
            <v>Đã đóng</v>
          </cell>
          <cell r="AJ2775" t="str">
            <v>Long An</v>
          </cell>
          <cell r="BX2775" t="str">
            <v>AON</v>
          </cell>
        </row>
        <row r="2776">
          <cell r="A2776" t="str">
            <v>OP</v>
          </cell>
          <cell r="B2776" t="str">
            <v>Quá 24h</v>
          </cell>
          <cell r="D2776" t="str">
            <v>Khiếu nại về dịch vụ FTTH</v>
          </cell>
          <cell r="W2776" t="str">
            <v>Đã đóng</v>
          </cell>
          <cell r="AJ2776" t="str">
            <v>Thanh Hoá</v>
          </cell>
          <cell r="BX2776" t="str">
            <v>AON</v>
          </cell>
        </row>
        <row r="2777">
          <cell r="A2777" t="str">
            <v>OP</v>
          </cell>
          <cell r="B2777" t="str">
            <v>Quá 24h</v>
          </cell>
          <cell r="D2777" t="str">
            <v>Khiếu nại về dịch vụ FTTH</v>
          </cell>
          <cell r="W2777" t="str">
            <v>Đã đóng</v>
          </cell>
          <cell r="AJ2777" t="str">
            <v>Thanh Hoá</v>
          </cell>
          <cell r="BX2777" t="str">
            <v>AON</v>
          </cell>
        </row>
        <row r="2778">
          <cell r="A2778" t="str">
            <v>OP</v>
          </cell>
          <cell r="B2778" t="str">
            <v>Quá 24h</v>
          </cell>
          <cell r="D2778" t="str">
            <v>Khiếu nại về dịch vụ FTTH</v>
          </cell>
          <cell r="W2778" t="str">
            <v>Đang xử lý</v>
          </cell>
          <cell r="AJ2778" t="str">
            <v>Hà Nội 1</v>
          </cell>
          <cell r="BX2778" t="str">
            <v>AON</v>
          </cell>
        </row>
        <row r="2779">
          <cell r="A2779" t="str">
            <v>OP</v>
          </cell>
          <cell r="B2779" t="str">
            <v>Quá 24h</v>
          </cell>
          <cell r="D2779" t="str">
            <v>Khiếu nại về dịch vụ FTTH</v>
          </cell>
          <cell r="W2779" t="str">
            <v>Đã đóng</v>
          </cell>
          <cell r="AJ2779" t="str">
            <v>Sóc Trăng</v>
          </cell>
          <cell r="BX2779" t="str">
            <v>AON</v>
          </cell>
        </row>
        <row r="2780">
          <cell r="A2780" t="str">
            <v>OP</v>
          </cell>
          <cell r="B2780" t="str">
            <v>Quá 24h</v>
          </cell>
          <cell r="D2780" t="str">
            <v>Khiếu nại về dịch vụ FTTH</v>
          </cell>
          <cell r="W2780" t="str">
            <v>Đã đóng</v>
          </cell>
          <cell r="AJ2780" t="str">
            <v>Long An</v>
          </cell>
          <cell r="BX2780" t="str">
            <v>AON</v>
          </cell>
        </row>
        <row r="2781">
          <cell r="A2781" t="str">
            <v>OP</v>
          </cell>
          <cell r="B2781" t="str">
            <v>Quá 24h</v>
          </cell>
          <cell r="D2781" t="str">
            <v>Khiếu nại về dịch vụ FTTH</v>
          </cell>
          <cell r="W2781" t="str">
            <v>Đã đóng</v>
          </cell>
          <cell r="AJ2781" t="str">
            <v>Gia Lai</v>
          </cell>
          <cell r="BX2781" t="str">
            <v>AON</v>
          </cell>
        </row>
        <row r="2782">
          <cell r="A2782" t="str">
            <v>OP</v>
          </cell>
          <cell r="B2782" t="str">
            <v>Quá 24h</v>
          </cell>
          <cell r="D2782" t="str">
            <v>Khiếu nại về dịch vụ NextTV</v>
          </cell>
          <cell r="W2782" t="str">
            <v>Đang xử lý</v>
          </cell>
          <cell r="AJ2782" t="str">
            <v>Thanh Hoá</v>
          </cell>
          <cell r="BX2782" t="str">
            <v>AON</v>
          </cell>
        </row>
        <row r="2783">
          <cell r="A2783" t="str">
            <v>OP</v>
          </cell>
          <cell r="B2783" t="str">
            <v>Quá 24h</v>
          </cell>
          <cell r="D2783" t="str">
            <v>Khiếu nại về dịch vụ FTTH</v>
          </cell>
          <cell r="W2783" t="str">
            <v>Đã đóng</v>
          </cell>
          <cell r="AJ2783" t="str">
            <v>Thanh Hoá</v>
          </cell>
          <cell r="BX2783" t="str">
            <v>AON</v>
          </cell>
        </row>
        <row r="2784">
          <cell r="A2784" t="str">
            <v>OP</v>
          </cell>
          <cell r="B2784" t="str">
            <v>Quá 24h</v>
          </cell>
          <cell r="D2784" t="str">
            <v>Khiếu nại về dịch vụ FTTH</v>
          </cell>
          <cell r="W2784" t="str">
            <v>Đã đóng</v>
          </cell>
          <cell r="AJ2784" t="str">
            <v>Bến Tre</v>
          </cell>
          <cell r="BX2784" t="str">
            <v>AON</v>
          </cell>
        </row>
        <row r="2785">
          <cell r="A2785" t="str">
            <v>OP</v>
          </cell>
          <cell r="B2785" t="str">
            <v>Quá 24h</v>
          </cell>
          <cell r="D2785" t="str">
            <v>Khiếu nại về dịch vụ FTTH</v>
          </cell>
          <cell r="W2785" t="str">
            <v>Đã đóng</v>
          </cell>
          <cell r="AJ2785" t="str">
            <v>Thái Bình</v>
          </cell>
          <cell r="BX2785" t="str">
            <v>AON</v>
          </cell>
        </row>
        <row r="2786">
          <cell r="A2786" t="str">
            <v>OP</v>
          </cell>
          <cell r="B2786" t="str">
            <v>Quá 24h</v>
          </cell>
          <cell r="D2786" t="str">
            <v>Khiếu nại về dịch vụ FTTH</v>
          </cell>
          <cell r="W2786" t="str">
            <v>Đã đóng</v>
          </cell>
          <cell r="AJ2786" t="str">
            <v>TP HCM</v>
          </cell>
          <cell r="BX2786" t="str">
            <v>AON</v>
          </cell>
        </row>
        <row r="2787">
          <cell r="A2787" t="str">
            <v>OP</v>
          </cell>
          <cell r="B2787" t="str">
            <v>Quá 24h</v>
          </cell>
          <cell r="D2787" t="str">
            <v>Khiếu nại về dịch vụ FTTH</v>
          </cell>
          <cell r="W2787" t="str">
            <v>Đã đóng</v>
          </cell>
          <cell r="AJ2787" t="str">
            <v>Cần Thơ</v>
          </cell>
          <cell r="BX2787" t="str">
            <v>AON</v>
          </cell>
        </row>
        <row r="2788">
          <cell r="A2788" t="str">
            <v>OP</v>
          </cell>
          <cell r="B2788" t="str">
            <v>Quá 24h</v>
          </cell>
          <cell r="D2788" t="str">
            <v>Khiếu nại về dịch vụ FTTH</v>
          </cell>
          <cell r="W2788" t="str">
            <v>Đã đóng</v>
          </cell>
          <cell r="AJ2788" t="str">
            <v>TP HCM</v>
          </cell>
          <cell r="BX2788" t="str">
            <v>AON</v>
          </cell>
        </row>
        <row r="2789">
          <cell r="A2789" t="str">
            <v>OP</v>
          </cell>
          <cell r="B2789" t="str">
            <v>Quá 24h</v>
          </cell>
          <cell r="D2789" t="str">
            <v>Khiếu nại về dịch vụ FTTH</v>
          </cell>
          <cell r="W2789" t="str">
            <v>Đã đóng</v>
          </cell>
          <cell r="AJ2789" t="str">
            <v>Ninh Bình</v>
          </cell>
          <cell r="BX2789" t="str">
            <v>AON</v>
          </cell>
        </row>
        <row r="2790">
          <cell r="A2790" t="str">
            <v>OP</v>
          </cell>
          <cell r="B2790" t="str">
            <v>Quá 24h</v>
          </cell>
          <cell r="D2790" t="str">
            <v>Khiếu nại về dịch vụ NextTV</v>
          </cell>
          <cell r="W2790" t="str">
            <v>Đã đóng</v>
          </cell>
          <cell r="AJ2790" t="str">
            <v>Thái Bình</v>
          </cell>
          <cell r="BX2790" t="str">
            <v>AON</v>
          </cell>
        </row>
        <row r="2791">
          <cell r="A2791" t="str">
            <v>OP</v>
          </cell>
          <cell r="B2791" t="str">
            <v>Quá 24h</v>
          </cell>
          <cell r="D2791" t="str">
            <v>Khiếu nại về dịch vụ FTTH</v>
          </cell>
          <cell r="W2791" t="str">
            <v>Đang xử lý</v>
          </cell>
          <cell r="AJ2791" t="str">
            <v>Bến Tre</v>
          </cell>
          <cell r="BX2791" t="str">
            <v>AON</v>
          </cell>
        </row>
        <row r="2792">
          <cell r="A2792" t="str">
            <v>OP</v>
          </cell>
          <cell r="B2792" t="str">
            <v>Quá 24h</v>
          </cell>
          <cell r="D2792" t="str">
            <v>Khiếu nại về dịch vụ FTTH</v>
          </cell>
          <cell r="W2792" t="str">
            <v>Đã đóng</v>
          </cell>
          <cell r="AJ2792" t="str">
            <v xml:space="preserve">Đà Nẵng </v>
          </cell>
          <cell r="BX2792" t="str">
            <v>AON</v>
          </cell>
        </row>
        <row r="2793">
          <cell r="A2793" t="str">
            <v>OP</v>
          </cell>
          <cell r="B2793" t="str">
            <v>Quá 24h</v>
          </cell>
          <cell r="D2793" t="str">
            <v>Khiếu nại về dịch vụ FTTH</v>
          </cell>
          <cell r="W2793" t="str">
            <v>Đã đóng</v>
          </cell>
          <cell r="AJ2793" t="str">
            <v>Ninh Thuận</v>
          </cell>
          <cell r="BX2793" t="str">
            <v>AON</v>
          </cell>
        </row>
        <row r="2794">
          <cell r="A2794" t="str">
            <v>OP</v>
          </cell>
          <cell r="B2794" t="str">
            <v>Quá 24h</v>
          </cell>
          <cell r="D2794" t="str">
            <v>Khiếu nại về dịch vụ FTTH</v>
          </cell>
          <cell r="W2794" t="str">
            <v>Đã đóng</v>
          </cell>
          <cell r="AJ2794" t="str">
            <v>Long An</v>
          </cell>
          <cell r="BX2794" t="str">
            <v>AON</v>
          </cell>
        </row>
        <row r="2795">
          <cell r="A2795" t="str">
            <v>OP</v>
          </cell>
          <cell r="B2795" t="str">
            <v>Quá 24h</v>
          </cell>
          <cell r="D2795" t="str">
            <v>Khiếu nại về dịch vụ FTTH</v>
          </cell>
          <cell r="W2795" t="str">
            <v>Đã đóng</v>
          </cell>
          <cell r="AJ2795" t="str">
            <v>Bến Tre</v>
          </cell>
          <cell r="BX2795" t="str">
            <v>AON</v>
          </cell>
        </row>
        <row r="2796">
          <cell r="A2796" t="str">
            <v>OP</v>
          </cell>
          <cell r="B2796" t="str">
            <v>Quá 24h</v>
          </cell>
          <cell r="D2796" t="str">
            <v>Khiếu nại về dịch vụ FTTH</v>
          </cell>
          <cell r="W2796" t="str">
            <v>Đã đóng</v>
          </cell>
          <cell r="AJ2796" t="str">
            <v xml:space="preserve">Đà Nẵng </v>
          </cell>
          <cell r="BX2796" t="str">
            <v>AON</v>
          </cell>
        </row>
        <row r="2797">
          <cell r="A2797" t="str">
            <v>OP</v>
          </cell>
          <cell r="B2797" t="str">
            <v>Quá 24h</v>
          </cell>
          <cell r="D2797" t="str">
            <v>Khiếu nại về dịch vụ FTTH</v>
          </cell>
          <cell r="W2797" t="str">
            <v>Đang xử lý</v>
          </cell>
          <cell r="AJ2797" t="str">
            <v>Long An</v>
          </cell>
          <cell r="BX2797" t="str">
            <v>AON</v>
          </cell>
        </row>
        <row r="2798">
          <cell r="A2798" t="str">
            <v>OP</v>
          </cell>
          <cell r="B2798" t="str">
            <v>Quá 24h</v>
          </cell>
          <cell r="D2798" t="str">
            <v>Khiếu nại về dịch vụ FTTH</v>
          </cell>
          <cell r="W2798" t="str">
            <v>Đang xử lý</v>
          </cell>
          <cell r="AJ2798" t="str">
            <v>Nghệ An</v>
          </cell>
          <cell r="BX2798" t="str">
            <v>AON</v>
          </cell>
        </row>
        <row r="2799">
          <cell r="A2799" t="str">
            <v>OP</v>
          </cell>
          <cell r="B2799" t="str">
            <v>Quá 24h</v>
          </cell>
          <cell r="D2799" t="str">
            <v>Khiếu nại về dịch vụ FTTH</v>
          </cell>
          <cell r="W2799" t="str">
            <v>Đang xử lý</v>
          </cell>
          <cell r="AJ2799" t="str">
            <v>Vĩnh Long</v>
          </cell>
          <cell r="BX2799" t="str">
            <v>AON</v>
          </cell>
        </row>
        <row r="2800">
          <cell r="A2800" t="str">
            <v>OP</v>
          </cell>
          <cell r="B2800" t="str">
            <v>Quá 24h</v>
          </cell>
          <cell r="D2800" t="str">
            <v>Khiếu nại về dịch vụ FTTH</v>
          </cell>
          <cell r="W2800" t="str">
            <v>Đang xử lý</v>
          </cell>
          <cell r="AJ2800" t="str">
            <v>An Giang</v>
          </cell>
          <cell r="BX2800" t="str">
            <v>AON</v>
          </cell>
        </row>
        <row r="2801">
          <cell r="A2801" t="str">
            <v>OP</v>
          </cell>
          <cell r="B2801" t="str">
            <v>Quá 24h</v>
          </cell>
          <cell r="D2801" t="str">
            <v>Khiếu nại về dịch vụ FTTH</v>
          </cell>
          <cell r="W2801" t="str">
            <v>Đã đóng</v>
          </cell>
          <cell r="AJ2801" t="str">
            <v>TP HCM</v>
          </cell>
          <cell r="BX2801" t="str">
            <v>AON</v>
          </cell>
        </row>
        <row r="2802">
          <cell r="A2802" t="str">
            <v>OP</v>
          </cell>
          <cell r="B2802" t="str">
            <v>Quá 24h</v>
          </cell>
          <cell r="D2802" t="str">
            <v>Khiếu nại về dịch vụ FTTH</v>
          </cell>
          <cell r="W2802" t="str">
            <v>Đã đóng</v>
          </cell>
          <cell r="AJ2802" t="str">
            <v>Hà Nội 1</v>
          </cell>
          <cell r="BX2802" t="str">
            <v>AON</v>
          </cell>
        </row>
        <row r="2803">
          <cell r="A2803" t="str">
            <v>OP</v>
          </cell>
          <cell r="B2803" t="str">
            <v>Quá 24h</v>
          </cell>
          <cell r="D2803" t="str">
            <v>Khiếu nại về dịch vụ FTTH</v>
          </cell>
          <cell r="W2803" t="str">
            <v>Đã đóng</v>
          </cell>
          <cell r="AJ2803" t="str">
            <v>Bình Định</v>
          </cell>
          <cell r="BX2803" t="str">
            <v>AON</v>
          </cell>
        </row>
        <row r="2804">
          <cell r="A2804" t="str">
            <v>OP</v>
          </cell>
          <cell r="B2804" t="str">
            <v>Quá 24h</v>
          </cell>
          <cell r="D2804" t="str">
            <v>Khiếu nại về dịch vụ FTTH</v>
          </cell>
          <cell r="W2804" t="str">
            <v>Đã đóng</v>
          </cell>
          <cell r="AJ2804" t="str">
            <v>Kiên Giang</v>
          </cell>
          <cell r="BX2804" t="str">
            <v>AON</v>
          </cell>
        </row>
        <row r="2805">
          <cell r="A2805" t="str">
            <v>OP</v>
          </cell>
          <cell r="B2805" t="str">
            <v>Quá 24h</v>
          </cell>
          <cell r="D2805" t="str">
            <v>Khiếu nại về dịch vụ NextTV</v>
          </cell>
          <cell r="W2805" t="str">
            <v>Đang xử lý</v>
          </cell>
          <cell r="AJ2805" t="str">
            <v>TP HCM</v>
          </cell>
          <cell r="BX2805" t="str">
            <v>AON</v>
          </cell>
        </row>
        <row r="2806">
          <cell r="A2806" t="str">
            <v>OP</v>
          </cell>
          <cell r="B2806" t="str">
            <v>Quá 24h</v>
          </cell>
          <cell r="D2806" t="str">
            <v>Khiếu nại về dịch vụ FTTH</v>
          </cell>
          <cell r="W2806" t="str">
            <v>Đã đóng</v>
          </cell>
          <cell r="AJ2806" t="str">
            <v>Điện Biên</v>
          </cell>
          <cell r="BX2806" t="str">
            <v>AON</v>
          </cell>
        </row>
        <row r="2807">
          <cell r="A2807" t="str">
            <v>OP</v>
          </cell>
          <cell r="B2807" t="str">
            <v>Quá 24h</v>
          </cell>
          <cell r="D2807" t="str">
            <v>Khiếu nại về dịch vụ FTTH</v>
          </cell>
          <cell r="W2807" t="str">
            <v>Đã đóng</v>
          </cell>
          <cell r="AJ2807" t="str">
            <v xml:space="preserve">Đồng Nai </v>
          </cell>
          <cell r="BX2807" t="str">
            <v>AON</v>
          </cell>
        </row>
        <row r="2808">
          <cell r="A2808" t="str">
            <v>OP</v>
          </cell>
          <cell r="B2808" t="str">
            <v>Quá 24h</v>
          </cell>
          <cell r="D2808" t="str">
            <v>Khiếu nại về dịch vụ FTTH</v>
          </cell>
          <cell r="W2808" t="str">
            <v>Đang xử lý</v>
          </cell>
          <cell r="AJ2808" t="str">
            <v>TP HCM</v>
          </cell>
          <cell r="BX2808" t="str">
            <v>GPON</v>
          </cell>
        </row>
        <row r="2809">
          <cell r="A2809" t="str">
            <v>OP</v>
          </cell>
          <cell r="B2809" t="str">
            <v>Quá 24h</v>
          </cell>
          <cell r="D2809" t="str">
            <v>Khiếu nại về dịch vụ FTTH</v>
          </cell>
          <cell r="W2809" t="str">
            <v>Đã đóng</v>
          </cell>
          <cell r="AJ2809" t="str">
            <v>Tiền Giang</v>
          </cell>
          <cell r="BX2809" t="str">
            <v>AON</v>
          </cell>
        </row>
        <row r="2810">
          <cell r="A2810" t="str">
            <v>OP</v>
          </cell>
          <cell r="B2810" t="str">
            <v>Quá 24h</v>
          </cell>
          <cell r="D2810" t="str">
            <v>Khiếu nại về dịch vụ FTTH</v>
          </cell>
          <cell r="W2810" t="str">
            <v>Đã đóng</v>
          </cell>
          <cell r="AJ2810" t="str">
            <v>Bình Dương</v>
          </cell>
          <cell r="BX2810" t="str">
            <v>AON</v>
          </cell>
        </row>
        <row r="2811">
          <cell r="A2811" t="str">
            <v>OP</v>
          </cell>
          <cell r="B2811" t="str">
            <v>Quá 24h</v>
          </cell>
          <cell r="D2811" t="str">
            <v>Khiếu nại về dịch vụ FTTH</v>
          </cell>
          <cell r="W2811" t="str">
            <v>Đã đóng</v>
          </cell>
          <cell r="AJ2811" t="str">
            <v>Thanh Hoá</v>
          </cell>
          <cell r="BX2811" t="str">
            <v>AON</v>
          </cell>
        </row>
        <row r="2812">
          <cell r="A2812" t="str">
            <v>OP</v>
          </cell>
          <cell r="B2812" t="str">
            <v>Quá 24h</v>
          </cell>
          <cell r="D2812" t="str">
            <v>Khiếu nại về dịch vụ FTTH</v>
          </cell>
          <cell r="W2812" t="str">
            <v>Đã đóng</v>
          </cell>
          <cell r="AJ2812" t="str">
            <v>Thanh Hoá</v>
          </cell>
          <cell r="BX2812" t="str">
            <v>AON</v>
          </cell>
        </row>
        <row r="2813">
          <cell r="A2813" t="str">
            <v>OP</v>
          </cell>
          <cell r="B2813" t="str">
            <v>Quá 24h</v>
          </cell>
          <cell r="D2813" t="str">
            <v>Khiếu nại về dịch vụ FTTH</v>
          </cell>
          <cell r="W2813" t="str">
            <v>Đã đóng</v>
          </cell>
          <cell r="AJ2813" t="str">
            <v>Hải Phòng</v>
          </cell>
          <cell r="BX2813" t="str">
            <v>AON</v>
          </cell>
        </row>
        <row r="2814">
          <cell r="A2814" t="str">
            <v>OP</v>
          </cell>
          <cell r="B2814" t="str">
            <v>Quá 24h</v>
          </cell>
          <cell r="D2814" t="str">
            <v>Khiếu nại về dịch vụ FTTH</v>
          </cell>
          <cell r="W2814" t="str">
            <v>Đã đóng</v>
          </cell>
          <cell r="AJ2814" t="str">
            <v>TP HCM</v>
          </cell>
          <cell r="BX2814" t="str">
            <v>AON</v>
          </cell>
        </row>
        <row r="2815">
          <cell r="A2815" t="str">
            <v>OP</v>
          </cell>
          <cell r="B2815" t="str">
            <v>Quá 24h</v>
          </cell>
          <cell r="D2815" t="str">
            <v>Khiếu nại về dịch vụ FTTH</v>
          </cell>
          <cell r="W2815" t="str">
            <v>Đã đóng</v>
          </cell>
          <cell r="AJ2815" t="str">
            <v>Lào Cai</v>
          </cell>
          <cell r="BX2815" t="str">
            <v>AON</v>
          </cell>
        </row>
        <row r="2816">
          <cell r="A2816" t="str">
            <v>OP</v>
          </cell>
          <cell r="B2816" t="str">
            <v>Quá 24h</v>
          </cell>
          <cell r="D2816" t="str">
            <v>Khiếu nại về dịch vụ FTTH</v>
          </cell>
          <cell r="W2816" t="str">
            <v>Đã đóng</v>
          </cell>
          <cell r="AJ2816" t="str">
            <v>Lào Cai</v>
          </cell>
          <cell r="BX2816" t="str">
            <v>AON</v>
          </cell>
        </row>
        <row r="2817">
          <cell r="A2817" t="str">
            <v>OP</v>
          </cell>
          <cell r="B2817" t="str">
            <v>Quá 24h</v>
          </cell>
          <cell r="D2817" t="str">
            <v>Khiếu nại về dịch vụ FTTH</v>
          </cell>
          <cell r="W2817" t="str">
            <v>Đã đóng</v>
          </cell>
          <cell r="AJ2817" t="str">
            <v>Hưng Yên</v>
          </cell>
          <cell r="BX2817" t="str">
            <v>AON</v>
          </cell>
        </row>
        <row r="2818">
          <cell r="A2818" t="str">
            <v>OP</v>
          </cell>
          <cell r="B2818" t="str">
            <v>Quá 24h</v>
          </cell>
          <cell r="D2818" t="str">
            <v>Khiếu nại về dịch vụ FTTH</v>
          </cell>
          <cell r="W2818" t="str">
            <v>Đang xử lý</v>
          </cell>
          <cell r="AJ2818" t="str">
            <v>Vĩnh Long</v>
          </cell>
          <cell r="BX2818" t="str">
            <v>AON</v>
          </cell>
        </row>
        <row r="2819">
          <cell r="A2819" t="str">
            <v>OP</v>
          </cell>
          <cell r="B2819" t="str">
            <v>Quá 24h</v>
          </cell>
          <cell r="D2819" t="str">
            <v>Khiếu nại về dịch vụ FTTH</v>
          </cell>
          <cell r="W2819" t="str">
            <v>Đã đóng</v>
          </cell>
          <cell r="AJ2819" t="str">
            <v>An Giang</v>
          </cell>
          <cell r="BX2819" t="str">
            <v>AON</v>
          </cell>
        </row>
        <row r="2820">
          <cell r="A2820" t="str">
            <v>OP</v>
          </cell>
          <cell r="B2820" t="str">
            <v>Quá 24h</v>
          </cell>
          <cell r="D2820" t="str">
            <v>Khiếu nại về dịch vụ FTTH</v>
          </cell>
          <cell r="W2820" t="str">
            <v>Đã đóng</v>
          </cell>
          <cell r="AJ2820" t="str">
            <v>Hà Nội 2</v>
          </cell>
          <cell r="BX2820" t="str">
            <v>AON</v>
          </cell>
        </row>
        <row r="2821">
          <cell r="A2821" t="str">
            <v>OP</v>
          </cell>
          <cell r="B2821" t="str">
            <v>Quá 24h</v>
          </cell>
          <cell r="D2821" t="str">
            <v>Khiếu nại về dịch vụ FTTH</v>
          </cell>
          <cell r="W2821" t="str">
            <v>Đã đóng</v>
          </cell>
          <cell r="AJ2821" t="str">
            <v>Hưng Yên</v>
          </cell>
          <cell r="BX2821" t="str">
            <v>AON</v>
          </cell>
        </row>
        <row r="2822">
          <cell r="A2822" t="str">
            <v>OP</v>
          </cell>
          <cell r="B2822" t="str">
            <v>Quá 24h</v>
          </cell>
          <cell r="D2822" t="str">
            <v>Khiếu nại về dịch vụ FTTH</v>
          </cell>
          <cell r="W2822" t="str">
            <v>Đã đóng</v>
          </cell>
          <cell r="AJ2822" t="str">
            <v>Ninh Bình</v>
          </cell>
          <cell r="BX2822" t="str">
            <v>AON</v>
          </cell>
        </row>
        <row r="2823">
          <cell r="A2823" t="str">
            <v>OP</v>
          </cell>
          <cell r="B2823" t="str">
            <v>Quá 24h</v>
          </cell>
          <cell r="D2823" t="str">
            <v>Khiếu nại về dịch vụ FTTH</v>
          </cell>
          <cell r="W2823" t="str">
            <v>Đã đóng</v>
          </cell>
          <cell r="AJ2823" t="str">
            <v xml:space="preserve">Đồng Nai </v>
          </cell>
          <cell r="BX2823" t="str">
            <v>AON</v>
          </cell>
        </row>
        <row r="2824">
          <cell r="A2824" t="str">
            <v>OP</v>
          </cell>
          <cell r="B2824" t="str">
            <v>Quá 24h</v>
          </cell>
          <cell r="D2824" t="str">
            <v>Khiếu nại về dịch vụ FTTH</v>
          </cell>
          <cell r="W2824" t="str">
            <v>Đã đóng</v>
          </cell>
          <cell r="AJ2824" t="str">
            <v>Ninh Bình</v>
          </cell>
          <cell r="BX2824" t="str">
            <v>AON</v>
          </cell>
        </row>
        <row r="2825">
          <cell r="A2825" t="str">
            <v>OP</v>
          </cell>
          <cell r="B2825" t="str">
            <v>Quá 24h</v>
          </cell>
          <cell r="D2825" t="str">
            <v>Khiếu nại về dịch vụ FTTH</v>
          </cell>
          <cell r="W2825" t="str">
            <v>Đã đóng</v>
          </cell>
          <cell r="AJ2825" t="str">
            <v>Cần Thơ</v>
          </cell>
          <cell r="BX2825" t="str">
            <v>AON</v>
          </cell>
        </row>
        <row r="2826">
          <cell r="A2826" t="str">
            <v>OP</v>
          </cell>
          <cell r="B2826" t="str">
            <v>Quá 24h</v>
          </cell>
          <cell r="D2826" t="str">
            <v>Khiếu nại về dịch vụ NextTV</v>
          </cell>
          <cell r="W2826" t="str">
            <v>Đã đóng</v>
          </cell>
          <cell r="AJ2826" t="str">
            <v>TP HCM</v>
          </cell>
          <cell r="BX2826" t="str">
            <v>AON</v>
          </cell>
        </row>
        <row r="2827">
          <cell r="A2827" t="str">
            <v>OP</v>
          </cell>
          <cell r="B2827" t="str">
            <v>Quá 24h</v>
          </cell>
          <cell r="D2827" t="str">
            <v>Khiếu nại về dịch vụ FTTH</v>
          </cell>
          <cell r="W2827" t="str">
            <v>Đã đóng</v>
          </cell>
          <cell r="AJ2827" t="str">
            <v>Hà Nội 2</v>
          </cell>
          <cell r="BX2827" t="str">
            <v>AON</v>
          </cell>
        </row>
        <row r="2828">
          <cell r="A2828" t="str">
            <v>OP</v>
          </cell>
          <cell r="B2828" t="str">
            <v>Quá 24h</v>
          </cell>
          <cell r="D2828" t="str">
            <v>Khiếu nại về dịch vụ FTTH</v>
          </cell>
          <cell r="W2828" t="str">
            <v>Đã đóng</v>
          </cell>
          <cell r="AJ2828" t="str">
            <v>TP HCM</v>
          </cell>
          <cell r="BX2828" t="str">
            <v>AON</v>
          </cell>
        </row>
        <row r="2829">
          <cell r="A2829" t="str">
            <v>OP</v>
          </cell>
          <cell r="B2829" t="str">
            <v>Quá 24h</v>
          </cell>
          <cell r="D2829" t="str">
            <v>Khiếu nại về dịch vụ FTTH</v>
          </cell>
          <cell r="W2829" t="str">
            <v>Đã đóng</v>
          </cell>
          <cell r="AJ2829" t="str">
            <v>Hà Nội 1</v>
          </cell>
          <cell r="BX2829" t="str">
            <v>AON</v>
          </cell>
        </row>
        <row r="2830">
          <cell r="A2830" t="str">
            <v>OP</v>
          </cell>
          <cell r="B2830" t="str">
            <v>Quá 24h</v>
          </cell>
          <cell r="D2830" t="str">
            <v>Khiếu nại về dịch vụ FTTH</v>
          </cell>
          <cell r="W2830" t="str">
            <v>Đang xử lý</v>
          </cell>
          <cell r="AJ2830" t="str">
            <v>Hải Phòng</v>
          </cell>
          <cell r="BX2830" t="str">
            <v>AON</v>
          </cell>
        </row>
        <row r="2831">
          <cell r="A2831" t="str">
            <v>OP</v>
          </cell>
          <cell r="B2831" t="str">
            <v>Quá 24h</v>
          </cell>
          <cell r="D2831" t="str">
            <v>Khiếu nại về dịch vụ FTTH</v>
          </cell>
          <cell r="W2831" t="str">
            <v>Đã đóng</v>
          </cell>
          <cell r="AJ2831" t="str">
            <v>Hải Dương</v>
          </cell>
          <cell r="BX2831" t="str">
            <v>AON</v>
          </cell>
        </row>
        <row r="2832">
          <cell r="A2832" t="str">
            <v>OP</v>
          </cell>
          <cell r="B2832" t="str">
            <v>Quá 24h</v>
          </cell>
          <cell r="D2832" t="str">
            <v>Khiếu nại về dịch vụ FTTH</v>
          </cell>
          <cell r="W2832" t="str">
            <v>Đã đóng</v>
          </cell>
          <cell r="AJ2832" t="str">
            <v>TP HCM</v>
          </cell>
          <cell r="BX2832" t="str">
            <v>GPON</v>
          </cell>
        </row>
        <row r="2833">
          <cell r="A2833" t="str">
            <v>OP</v>
          </cell>
          <cell r="B2833" t="str">
            <v>Quá 24h</v>
          </cell>
          <cell r="D2833" t="str">
            <v>Khiếu nại về dịch vụ FTTH</v>
          </cell>
          <cell r="W2833" t="str">
            <v>Đã đóng</v>
          </cell>
          <cell r="AJ2833" t="str">
            <v>Sóc Trăng</v>
          </cell>
          <cell r="BX2833" t="str">
            <v>AON</v>
          </cell>
        </row>
        <row r="2834">
          <cell r="A2834" t="str">
            <v>OP</v>
          </cell>
          <cell r="B2834" t="str">
            <v>Quá 24h</v>
          </cell>
          <cell r="D2834" t="str">
            <v>Khiếu nại về dịch vụ FTTH</v>
          </cell>
          <cell r="W2834" t="str">
            <v>Đã đóng</v>
          </cell>
          <cell r="AJ2834" t="str">
            <v>Sơn La</v>
          </cell>
          <cell r="BX2834" t="str">
            <v>AON</v>
          </cell>
        </row>
        <row r="2835">
          <cell r="A2835" t="str">
            <v>OP</v>
          </cell>
          <cell r="B2835" t="str">
            <v>Quá 24h</v>
          </cell>
          <cell r="D2835" t="str">
            <v>Khiếu nại về dịch vụ NextTV</v>
          </cell>
          <cell r="W2835" t="str">
            <v>Đã đóng</v>
          </cell>
          <cell r="AJ2835" t="str">
            <v>Nghệ An</v>
          </cell>
          <cell r="BX2835" t="str">
            <v>AON</v>
          </cell>
        </row>
        <row r="2836">
          <cell r="A2836" t="str">
            <v>OP</v>
          </cell>
          <cell r="B2836" t="str">
            <v>Quá 24h</v>
          </cell>
          <cell r="D2836" t="str">
            <v>Khiếu nại về dịch vụ FTTH</v>
          </cell>
          <cell r="W2836" t="str">
            <v>Đã đóng</v>
          </cell>
          <cell r="AJ2836" t="str">
            <v xml:space="preserve">Đắc Lắk </v>
          </cell>
          <cell r="BX2836" t="str">
            <v>AON</v>
          </cell>
        </row>
        <row r="2837">
          <cell r="A2837" t="str">
            <v>OP</v>
          </cell>
          <cell r="B2837" t="str">
            <v>Quá 24h</v>
          </cell>
          <cell r="D2837" t="str">
            <v>Khiếu nại về dịch vụ FTTH</v>
          </cell>
          <cell r="W2837" t="str">
            <v>Đã đóng</v>
          </cell>
          <cell r="AJ2837" t="str">
            <v>Quảng Ngãi</v>
          </cell>
          <cell r="BX2837" t="str">
            <v>AON</v>
          </cell>
        </row>
        <row r="2838">
          <cell r="A2838" t="str">
            <v>OP</v>
          </cell>
          <cell r="B2838" t="str">
            <v>Quá 24h</v>
          </cell>
          <cell r="D2838" t="str">
            <v>Khiếu nại về dịch vụ FTTH</v>
          </cell>
          <cell r="W2838" t="str">
            <v>Đã đóng</v>
          </cell>
          <cell r="AJ2838" t="str">
            <v>Tiền Giang</v>
          </cell>
          <cell r="BX2838" t="str">
            <v>AON</v>
          </cell>
        </row>
        <row r="2839">
          <cell r="A2839" t="str">
            <v>OP</v>
          </cell>
          <cell r="B2839" t="str">
            <v>Quá 24h</v>
          </cell>
          <cell r="D2839" t="str">
            <v>Khiếu nại về dịch vụ FTTH</v>
          </cell>
          <cell r="W2839" t="str">
            <v>Đã đóng</v>
          </cell>
          <cell r="AJ2839" t="str">
            <v>Hải Phòng</v>
          </cell>
          <cell r="BX2839" t="str">
            <v>AON</v>
          </cell>
        </row>
        <row r="2840">
          <cell r="A2840" t="str">
            <v>OP</v>
          </cell>
          <cell r="B2840" t="str">
            <v>Quá 24h</v>
          </cell>
          <cell r="D2840" t="str">
            <v>Khiếu nại về dịch vụ FTTH</v>
          </cell>
          <cell r="W2840" t="str">
            <v>Đã đóng</v>
          </cell>
          <cell r="AJ2840" t="str">
            <v>Hà Giang</v>
          </cell>
          <cell r="BX2840" t="str">
            <v>AON</v>
          </cell>
        </row>
        <row r="2841">
          <cell r="A2841" t="str">
            <v>OP</v>
          </cell>
          <cell r="B2841" t="str">
            <v>Quá 24h</v>
          </cell>
          <cell r="D2841" t="str">
            <v>Khiếu nại về dịch vụ FTTH</v>
          </cell>
          <cell r="W2841" t="str">
            <v>Đã đóng</v>
          </cell>
          <cell r="AJ2841" t="str">
            <v>Hà Nội 1</v>
          </cell>
          <cell r="BX2841" t="str">
            <v>AON</v>
          </cell>
        </row>
        <row r="2842">
          <cell r="A2842" t="str">
            <v>OP</v>
          </cell>
          <cell r="B2842" t="str">
            <v>Quá 24h</v>
          </cell>
          <cell r="D2842" t="str">
            <v>Khiếu nại về dịch vụ FTTH</v>
          </cell>
          <cell r="W2842" t="str">
            <v>Đã đóng</v>
          </cell>
          <cell r="AJ2842" t="str">
            <v xml:space="preserve">Đồng Nai </v>
          </cell>
          <cell r="BX2842" t="str">
            <v>AON</v>
          </cell>
        </row>
        <row r="2843">
          <cell r="A2843" t="str">
            <v>OP</v>
          </cell>
          <cell r="B2843" t="str">
            <v>Quá 24h</v>
          </cell>
          <cell r="D2843" t="str">
            <v>Khiếu nại về dịch vụ FTTH</v>
          </cell>
          <cell r="W2843" t="str">
            <v>Đã đóng</v>
          </cell>
          <cell r="AJ2843" t="str">
            <v>Bắc Giang</v>
          </cell>
          <cell r="BX2843" t="str">
            <v>AON</v>
          </cell>
        </row>
        <row r="2844">
          <cell r="A2844" t="str">
            <v>OP</v>
          </cell>
          <cell r="B2844" t="str">
            <v>Quá 24h</v>
          </cell>
          <cell r="D2844" t="str">
            <v>Khiếu nại về dịch vụ FTTH</v>
          </cell>
          <cell r="W2844" t="str">
            <v>Đã đóng</v>
          </cell>
          <cell r="AJ2844" t="str">
            <v>Nam Định</v>
          </cell>
          <cell r="BX2844" t="str">
            <v>AON</v>
          </cell>
        </row>
        <row r="2845">
          <cell r="A2845" t="str">
            <v>OP</v>
          </cell>
          <cell r="B2845" t="str">
            <v>Quá 24h</v>
          </cell>
          <cell r="D2845" t="str">
            <v>Khiếu nại về dịch vụ FTTH</v>
          </cell>
          <cell r="W2845" t="str">
            <v>Đã đóng</v>
          </cell>
          <cell r="AJ2845" t="str">
            <v xml:space="preserve">Đắc Lắk </v>
          </cell>
          <cell r="BX2845" t="str">
            <v>AON</v>
          </cell>
        </row>
        <row r="2846">
          <cell r="A2846" t="str">
            <v>OP</v>
          </cell>
          <cell r="B2846" t="str">
            <v>Quá 24h</v>
          </cell>
          <cell r="D2846" t="str">
            <v>Khiếu nại về dịch vụ FTTH</v>
          </cell>
          <cell r="W2846" t="str">
            <v>Đã đóng</v>
          </cell>
          <cell r="AJ2846" t="str">
            <v>TP HCM</v>
          </cell>
          <cell r="BX2846" t="str">
            <v>AON</v>
          </cell>
        </row>
        <row r="2847">
          <cell r="A2847" t="str">
            <v>OP</v>
          </cell>
          <cell r="B2847" t="str">
            <v>Quá 24h</v>
          </cell>
          <cell r="D2847" t="str">
            <v>Khiếu nại về dịch vụ FTTH</v>
          </cell>
          <cell r="W2847" t="str">
            <v>Đã đóng</v>
          </cell>
          <cell r="AJ2847" t="str">
            <v>Thái Bình</v>
          </cell>
          <cell r="BX2847" t="str">
            <v>AON</v>
          </cell>
        </row>
        <row r="2848">
          <cell r="A2848" t="str">
            <v>OP</v>
          </cell>
          <cell r="B2848" t="str">
            <v>Quá 24h</v>
          </cell>
          <cell r="D2848" t="str">
            <v>Khiếu nại về dịch vụ FTTH</v>
          </cell>
          <cell r="W2848" t="str">
            <v>Đã đóng</v>
          </cell>
          <cell r="AJ2848" t="str">
            <v>Hà Nội 1</v>
          </cell>
          <cell r="BX2848" t="str">
            <v>AON</v>
          </cell>
        </row>
        <row r="2849">
          <cell r="A2849" t="str">
            <v>OP</v>
          </cell>
          <cell r="B2849" t="str">
            <v>Quá 24h</v>
          </cell>
          <cell r="D2849" t="str">
            <v>Khiếu nại về dịch vụ FTTH</v>
          </cell>
          <cell r="W2849" t="str">
            <v>Đã đóng</v>
          </cell>
          <cell r="AJ2849" t="str">
            <v>Thanh Hoá</v>
          </cell>
          <cell r="BX2849" t="str">
            <v>AON</v>
          </cell>
        </row>
        <row r="2850">
          <cell r="A2850" t="str">
            <v>OP</v>
          </cell>
          <cell r="B2850" t="str">
            <v>Quá 24h</v>
          </cell>
          <cell r="D2850" t="str">
            <v>Khiếu nại về dịch vụ FTTH</v>
          </cell>
          <cell r="W2850" t="str">
            <v>Đã đóng</v>
          </cell>
          <cell r="AJ2850" t="str">
            <v>Lào Cai</v>
          </cell>
          <cell r="BX2850" t="str">
            <v>AON</v>
          </cell>
        </row>
        <row r="2851">
          <cell r="A2851" t="str">
            <v>OP</v>
          </cell>
          <cell r="B2851" t="str">
            <v>Quá 24h</v>
          </cell>
          <cell r="D2851" t="str">
            <v>Khiếu nại về dịch vụ FTTH</v>
          </cell>
          <cell r="W2851" t="str">
            <v>Đã đóng</v>
          </cell>
          <cell r="AJ2851" t="str">
            <v>Hưng Yên</v>
          </cell>
          <cell r="BX2851" t="str">
            <v>AON</v>
          </cell>
        </row>
        <row r="2852">
          <cell r="A2852" t="str">
            <v>OP</v>
          </cell>
          <cell r="B2852" t="str">
            <v>Quá 24h</v>
          </cell>
          <cell r="D2852" t="str">
            <v>Khiếu nại về dịch vụ NextTV</v>
          </cell>
          <cell r="W2852" t="str">
            <v>Đã đóng</v>
          </cell>
          <cell r="AJ2852" t="str">
            <v>Quảng Ninh</v>
          </cell>
          <cell r="BX2852" t="str">
            <v>AON</v>
          </cell>
        </row>
        <row r="2853">
          <cell r="A2853" t="str">
            <v>OP</v>
          </cell>
          <cell r="B2853" t="str">
            <v>Quá 24h</v>
          </cell>
          <cell r="D2853" t="str">
            <v>Khiếu nại về dịch vụ FTTH</v>
          </cell>
          <cell r="W2853" t="str">
            <v>Đã đóng</v>
          </cell>
          <cell r="AJ2853" t="str">
            <v>TP HCM</v>
          </cell>
          <cell r="BX2853" t="str">
            <v>AON</v>
          </cell>
        </row>
        <row r="2854">
          <cell r="A2854" t="str">
            <v>OP</v>
          </cell>
          <cell r="B2854" t="str">
            <v>Quá 24h</v>
          </cell>
          <cell r="D2854" t="str">
            <v>Khiếu nại về dịch vụ FTTH</v>
          </cell>
          <cell r="W2854" t="str">
            <v>Đã đóng</v>
          </cell>
          <cell r="AJ2854" t="str">
            <v>Bình Phước</v>
          </cell>
          <cell r="BX2854" t="str">
            <v>AON</v>
          </cell>
        </row>
        <row r="2855">
          <cell r="A2855" t="str">
            <v>OP</v>
          </cell>
          <cell r="B2855" t="str">
            <v>Quá 24h</v>
          </cell>
          <cell r="D2855" t="str">
            <v>Khiếu nại về dịch vụ FTTH</v>
          </cell>
          <cell r="W2855" t="str">
            <v>Đã đóng</v>
          </cell>
          <cell r="AJ2855" t="str">
            <v>Lâm Đồng</v>
          </cell>
          <cell r="BX2855" t="str">
            <v>AON</v>
          </cell>
        </row>
        <row r="2856">
          <cell r="A2856" t="str">
            <v>OP</v>
          </cell>
          <cell r="B2856" t="str">
            <v>Quá 24h</v>
          </cell>
          <cell r="D2856" t="str">
            <v>Khiếu nại về dịch vụ FTTH</v>
          </cell>
          <cell r="W2856" t="str">
            <v>Đã đóng</v>
          </cell>
          <cell r="AJ2856" t="str">
            <v>Hà Nội 1</v>
          </cell>
          <cell r="BX2856" t="str">
            <v>AON</v>
          </cell>
        </row>
        <row r="2857">
          <cell r="A2857" t="str">
            <v>OP</v>
          </cell>
          <cell r="B2857" t="str">
            <v>Quá 24h</v>
          </cell>
          <cell r="D2857" t="str">
            <v>Khiếu nại về dịch vụ FTTH</v>
          </cell>
          <cell r="W2857" t="str">
            <v>Đã đóng</v>
          </cell>
          <cell r="AJ2857" t="str">
            <v xml:space="preserve">Hà Tĩnh </v>
          </cell>
          <cell r="BX2857" t="str">
            <v>AON</v>
          </cell>
        </row>
        <row r="2858">
          <cell r="A2858" t="str">
            <v>OP</v>
          </cell>
          <cell r="B2858" t="str">
            <v>Quá 24h</v>
          </cell>
          <cell r="D2858" t="str">
            <v>Khiếu nại về dịch vụ FTTH</v>
          </cell>
          <cell r="W2858" t="str">
            <v>Đã đóng</v>
          </cell>
          <cell r="AJ2858" t="str">
            <v>Bà Rịa - Vũng Tàu</v>
          </cell>
          <cell r="BX2858" t="str">
            <v>AON</v>
          </cell>
        </row>
        <row r="2859">
          <cell r="A2859" t="str">
            <v>OP</v>
          </cell>
          <cell r="B2859" t="str">
            <v>Quá 24h</v>
          </cell>
          <cell r="D2859" t="str">
            <v>Khiếu nại về dịch vụ FTTH</v>
          </cell>
          <cell r="W2859" t="str">
            <v>Đã đóng</v>
          </cell>
          <cell r="AJ2859" t="str">
            <v>Bình Dương</v>
          </cell>
          <cell r="BX2859" t="str">
            <v>AON</v>
          </cell>
        </row>
        <row r="2860">
          <cell r="A2860" t="str">
            <v>OP</v>
          </cell>
          <cell r="B2860" t="str">
            <v>Quá 24h</v>
          </cell>
          <cell r="D2860" t="str">
            <v>Khiếu nại về dịch vụ FTTH</v>
          </cell>
          <cell r="W2860" t="str">
            <v>Đã đóng</v>
          </cell>
          <cell r="AJ2860" t="str">
            <v>Hải Phòng</v>
          </cell>
          <cell r="BX2860" t="str">
            <v>AON</v>
          </cell>
        </row>
        <row r="2861">
          <cell r="A2861" t="str">
            <v>OP</v>
          </cell>
          <cell r="B2861" t="str">
            <v>Quá 24h</v>
          </cell>
          <cell r="D2861" t="str">
            <v>Khiếu nại về dịch vụ FTTH</v>
          </cell>
          <cell r="W2861" t="str">
            <v>Đã đóng</v>
          </cell>
          <cell r="AJ2861" t="str">
            <v>Hoà Bình</v>
          </cell>
          <cell r="BX2861" t="str">
            <v>AON</v>
          </cell>
        </row>
        <row r="2862">
          <cell r="A2862" t="str">
            <v>OP</v>
          </cell>
          <cell r="B2862" t="str">
            <v>Quá 24h</v>
          </cell>
          <cell r="D2862" t="str">
            <v>Khiếu nại về dịch vụ FTTH</v>
          </cell>
          <cell r="W2862" t="str">
            <v>Đang xử lý</v>
          </cell>
          <cell r="AJ2862" t="str">
            <v>TP HCM</v>
          </cell>
          <cell r="BX2862" t="str">
            <v>GPON</v>
          </cell>
        </row>
        <row r="2863">
          <cell r="A2863" t="str">
            <v>OP</v>
          </cell>
          <cell r="B2863" t="str">
            <v>Quá 24h</v>
          </cell>
          <cell r="D2863" t="str">
            <v>Khiếu nại về dịch vụ FTTH</v>
          </cell>
          <cell r="W2863" t="str">
            <v>Đã đóng</v>
          </cell>
          <cell r="AJ2863" t="str">
            <v>Đồng Tháp</v>
          </cell>
          <cell r="BX2863" t="str">
            <v>AON</v>
          </cell>
        </row>
        <row r="2864">
          <cell r="A2864" t="str">
            <v>OP</v>
          </cell>
          <cell r="B2864" t="str">
            <v>Quá 24h</v>
          </cell>
          <cell r="D2864" t="str">
            <v>Khiếu nại về dịch vụ FTTH</v>
          </cell>
          <cell r="W2864" t="str">
            <v>Đã đóng</v>
          </cell>
          <cell r="AJ2864" t="str">
            <v>Thái Bình</v>
          </cell>
          <cell r="BX2864" t="str">
            <v>AON</v>
          </cell>
        </row>
        <row r="2865">
          <cell r="A2865" t="str">
            <v>OP</v>
          </cell>
          <cell r="B2865" t="str">
            <v>Quá 24h</v>
          </cell>
          <cell r="D2865" t="str">
            <v>Khiếu nại về dịch vụ FTTH</v>
          </cell>
          <cell r="W2865" t="str">
            <v>Đã đóng</v>
          </cell>
          <cell r="AJ2865" t="str">
            <v>TP HCM</v>
          </cell>
          <cell r="BX2865" t="str">
            <v>AON</v>
          </cell>
        </row>
        <row r="2866">
          <cell r="A2866" t="str">
            <v>OP</v>
          </cell>
          <cell r="B2866" t="str">
            <v>Quá 24h</v>
          </cell>
          <cell r="D2866" t="str">
            <v>Khiếu nại về dịch vụ FTTH</v>
          </cell>
          <cell r="W2866" t="str">
            <v>Đã đóng</v>
          </cell>
          <cell r="AJ2866" t="str">
            <v xml:space="preserve">Đồng Nai </v>
          </cell>
          <cell r="BX2866" t="str">
            <v>AON</v>
          </cell>
        </row>
        <row r="2867">
          <cell r="A2867" t="str">
            <v>OP</v>
          </cell>
          <cell r="B2867" t="str">
            <v>Quá 24h</v>
          </cell>
          <cell r="D2867" t="str">
            <v>Khiếu nại về dịch vụ FTTH</v>
          </cell>
          <cell r="W2867" t="str">
            <v>Đã đóng</v>
          </cell>
          <cell r="AJ2867" t="str">
            <v>Bắc Ninh</v>
          </cell>
          <cell r="BX2867" t="str">
            <v>AON</v>
          </cell>
        </row>
        <row r="2868">
          <cell r="A2868" t="str">
            <v>OP</v>
          </cell>
          <cell r="B2868" t="str">
            <v>Quá 24h</v>
          </cell>
          <cell r="D2868" t="str">
            <v>Khiếu nại về dịch vụ FTTH</v>
          </cell>
          <cell r="W2868" t="str">
            <v>Đã đóng</v>
          </cell>
          <cell r="AJ2868" t="str">
            <v>Quảng Ngãi</v>
          </cell>
          <cell r="BX2868" t="str">
            <v>AON</v>
          </cell>
        </row>
        <row r="2869">
          <cell r="A2869" t="str">
            <v>OP</v>
          </cell>
          <cell r="B2869" t="str">
            <v>Quá 24h</v>
          </cell>
          <cell r="D2869" t="str">
            <v>Khiếu nại về dịch vụ FTTH</v>
          </cell>
          <cell r="W2869" t="str">
            <v>Đã đóng</v>
          </cell>
          <cell r="AJ2869" t="str">
            <v>Cần Thơ</v>
          </cell>
          <cell r="BX2869" t="str">
            <v>AON</v>
          </cell>
        </row>
        <row r="2870">
          <cell r="A2870" t="str">
            <v>OP</v>
          </cell>
          <cell r="B2870" t="str">
            <v>Quá 24h</v>
          </cell>
          <cell r="D2870" t="str">
            <v>Khiếu nại về dịch vụ FTTH</v>
          </cell>
          <cell r="W2870" t="str">
            <v>Đã đóng</v>
          </cell>
          <cell r="AJ2870" t="str">
            <v>Hà Nội 1</v>
          </cell>
          <cell r="BX2870" t="str">
            <v>AON</v>
          </cell>
        </row>
        <row r="2871">
          <cell r="A2871" t="str">
            <v>OP</v>
          </cell>
          <cell r="B2871" t="str">
            <v>Quá 24h</v>
          </cell>
          <cell r="D2871" t="str">
            <v>Khiếu nại về dịch vụ FTTH</v>
          </cell>
          <cell r="W2871" t="str">
            <v>Đã đóng</v>
          </cell>
          <cell r="AJ2871" t="str">
            <v>Hà Nội 1</v>
          </cell>
          <cell r="BX2871" t="str">
            <v>AON</v>
          </cell>
        </row>
        <row r="2872">
          <cell r="A2872" t="str">
            <v>OP</v>
          </cell>
          <cell r="B2872" t="str">
            <v>Quá 24h</v>
          </cell>
          <cell r="D2872" t="str">
            <v>Khiếu nại về dịch vụ FTTH</v>
          </cell>
          <cell r="W2872" t="str">
            <v>Đang xử lý</v>
          </cell>
          <cell r="AJ2872" t="str">
            <v>Quảng Trị</v>
          </cell>
          <cell r="BX2872" t="str">
            <v>AON</v>
          </cell>
        </row>
        <row r="2873">
          <cell r="A2873" t="str">
            <v>OP</v>
          </cell>
          <cell r="B2873" t="str">
            <v>Quá 24h</v>
          </cell>
          <cell r="D2873" t="str">
            <v>Khiếu nại về dịch vụ FTTH</v>
          </cell>
          <cell r="W2873" t="str">
            <v>Đã đóng</v>
          </cell>
          <cell r="AJ2873" t="str">
            <v>Khánh Hoà</v>
          </cell>
          <cell r="BX2873" t="str">
            <v>AON</v>
          </cell>
        </row>
        <row r="2874">
          <cell r="A2874" t="str">
            <v>OP</v>
          </cell>
          <cell r="B2874" t="str">
            <v>Quá 24h</v>
          </cell>
          <cell r="D2874" t="str">
            <v>Khiếu nại về dịch vụ FTTH</v>
          </cell>
          <cell r="W2874" t="str">
            <v>Đã đóng</v>
          </cell>
          <cell r="AJ2874" t="str">
            <v>TP HCM</v>
          </cell>
          <cell r="BX2874" t="str">
            <v>AON</v>
          </cell>
        </row>
        <row r="2875">
          <cell r="A2875" t="str">
            <v>OP</v>
          </cell>
          <cell r="B2875" t="str">
            <v>Quá 24h</v>
          </cell>
          <cell r="D2875" t="str">
            <v>Khiếu nại về dịch vụ FTTH</v>
          </cell>
          <cell r="W2875" t="str">
            <v>Đã đóng</v>
          </cell>
          <cell r="AJ2875" t="str">
            <v>Bình Dương</v>
          </cell>
          <cell r="BX2875" t="str">
            <v>AON</v>
          </cell>
        </row>
        <row r="2876">
          <cell r="A2876" t="str">
            <v>OP</v>
          </cell>
          <cell r="B2876" t="str">
            <v>Quá 24h</v>
          </cell>
          <cell r="D2876" t="str">
            <v>Khiếu nại về dịch vụ FTTH</v>
          </cell>
          <cell r="W2876" t="str">
            <v>Đã đóng</v>
          </cell>
          <cell r="AJ2876" t="str">
            <v>TP HCM</v>
          </cell>
          <cell r="BX2876" t="str">
            <v>GPON</v>
          </cell>
        </row>
        <row r="2877">
          <cell r="A2877" t="str">
            <v>OP</v>
          </cell>
          <cell r="B2877" t="str">
            <v>Quá 24h</v>
          </cell>
          <cell r="D2877" t="str">
            <v>Khiếu nại về dịch vụ FTTH</v>
          </cell>
          <cell r="W2877" t="str">
            <v>Đã đóng</v>
          </cell>
          <cell r="AJ2877" t="str">
            <v>TP HCM</v>
          </cell>
          <cell r="BX2877" t="str">
            <v>GPON</v>
          </cell>
        </row>
        <row r="2878">
          <cell r="A2878" t="str">
            <v>OP</v>
          </cell>
          <cell r="B2878" t="str">
            <v>Quá 24h</v>
          </cell>
          <cell r="D2878" t="str">
            <v>Khiếu nại về dịch vụ FTTH</v>
          </cell>
          <cell r="W2878" t="str">
            <v>Đã đóng</v>
          </cell>
          <cell r="AJ2878" t="str">
            <v>Thái Nguyên</v>
          </cell>
          <cell r="BX2878" t="str">
            <v>AON</v>
          </cell>
        </row>
        <row r="2879">
          <cell r="A2879" t="str">
            <v>OP</v>
          </cell>
          <cell r="B2879" t="str">
            <v>Quá 24h</v>
          </cell>
          <cell r="D2879" t="str">
            <v>Khiếu nại về dịch vụ FTTH</v>
          </cell>
          <cell r="W2879" t="str">
            <v>Đã đóng</v>
          </cell>
          <cell r="AJ2879" t="str">
            <v>An Giang</v>
          </cell>
          <cell r="BX2879" t="str">
            <v>AON</v>
          </cell>
        </row>
        <row r="2880">
          <cell r="A2880" t="str">
            <v>OP</v>
          </cell>
          <cell r="B2880" t="str">
            <v>Quá 24h</v>
          </cell>
          <cell r="D2880" t="str">
            <v>Khiếu nại về dịch vụ FTTH</v>
          </cell>
          <cell r="W2880" t="str">
            <v>Đã đóng</v>
          </cell>
          <cell r="AJ2880" t="str">
            <v>TP HCM</v>
          </cell>
          <cell r="BX2880" t="str">
            <v>AON</v>
          </cell>
        </row>
        <row r="2881">
          <cell r="A2881" t="str">
            <v>OP</v>
          </cell>
          <cell r="B2881" t="str">
            <v>Quá 24h</v>
          </cell>
          <cell r="D2881" t="str">
            <v>Khiếu nại về dịch vụ FTTH</v>
          </cell>
          <cell r="W2881" t="str">
            <v>Đã đóng</v>
          </cell>
          <cell r="AJ2881" t="str">
            <v xml:space="preserve">Đồng Nai </v>
          </cell>
          <cell r="BX2881" t="str">
            <v>AON</v>
          </cell>
        </row>
        <row r="2882">
          <cell r="A2882" t="str">
            <v>OP</v>
          </cell>
          <cell r="B2882" t="str">
            <v>Quá 24h</v>
          </cell>
          <cell r="D2882" t="str">
            <v>Khiếu nại về dịch vụ FTTH</v>
          </cell>
          <cell r="W2882" t="str">
            <v>Đã đóng</v>
          </cell>
          <cell r="AJ2882" t="str">
            <v>Hậu Giang</v>
          </cell>
          <cell r="BX2882" t="str">
            <v>AON</v>
          </cell>
        </row>
        <row r="2883">
          <cell r="A2883" t="str">
            <v>OP</v>
          </cell>
          <cell r="B2883" t="str">
            <v>Quá 24h</v>
          </cell>
          <cell r="D2883" t="str">
            <v>Khiếu nại về dịch vụ FTTH</v>
          </cell>
          <cell r="W2883" t="str">
            <v>Đã đóng</v>
          </cell>
          <cell r="AJ2883" t="str">
            <v>Tuyên Quang</v>
          </cell>
          <cell r="BX2883" t="str">
            <v>AON</v>
          </cell>
        </row>
        <row r="2884">
          <cell r="A2884" t="str">
            <v>OP</v>
          </cell>
          <cell r="B2884" t="str">
            <v>Quá 24h</v>
          </cell>
          <cell r="D2884" t="str">
            <v>Khiếu nại về dịch vụ FTTH</v>
          </cell>
          <cell r="W2884" t="str">
            <v>Đã đóng</v>
          </cell>
          <cell r="AJ2884" t="str">
            <v>Lâm Đồng</v>
          </cell>
          <cell r="BX2884" t="str">
            <v>AON</v>
          </cell>
        </row>
        <row r="2885">
          <cell r="A2885" t="str">
            <v>OP</v>
          </cell>
          <cell r="B2885" t="str">
            <v>Quá 24h</v>
          </cell>
          <cell r="D2885" t="str">
            <v>Khiếu nại về dịch vụ FTTH</v>
          </cell>
          <cell r="W2885" t="str">
            <v>Đã đóng</v>
          </cell>
          <cell r="AJ2885" t="str">
            <v>Đồng Tháp</v>
          </cell>
          <cell r="BX2885" t="str">
            <v>AON</v>
          </cell>
        </row>
        <row r="2886">
          <cell r="A2886" t="str">
            <v>OP</v>
          </cell>
          <cell r="B2886" t="str">
            <v>Quá 24h</v>
          </cell>
          <cell r="D2886" t="str">
            <v>Khiếu nại về dịch vụ FTTH</v>
          </cell>
          <cell r="W2886" t="str">
            <v>Đang xử lý</v>
          </cell>
          <cell r="AJ2886" t="str">
            <v>Thái Nguyên</v>
          </cell>
          <cell r="BX2886" t="str">
            <v>AON</v>
          </cell>
        </row>
        <row r="2887">
          <cell r="A2887" t="str">
            <v>OP</v>
          </cell>
          <cell r="B2887" t="str">
            <v>Quá 24h</v>
          </cell>
          <cell r="D2887" t="str">
            <v>Khiếu nại về dịch vụ FTTH</v>
          </cell>
          <cell r="W2887" t="str">
            <v>Đã đóng</v>
          </cell>
          <cell r="AJ2887" t="str">
            <v>Hà Nội 1</v>
          </cell>
          <cell r="BX2887" t="str">
            <v>AON</v>
          </cell>
        </row>
        <row r="2888">
          <cell r="A2888" t="str">
            <v>OP</v>
          </cell>
          <cell r="B2888" t="str">
            <v>Quá 24h</v>
          </cell>
          <cell r="D2888" t="str">
            <v>Khiếu nại về dịch vụ FTTH</v>
          </cell>
          <cell r="W2888" t="str">
            <v>Đã đóng</v>
          </cell>
          <cell r="AJ2888" t="str">
            <v>Hải Phòng</v>
          </cell>
          <cell r="BX2888" t="str">
            <v>AON</v>
          </cell>
        </row>
        <row r="2889">
          <cell r="A2889" t="str">
            <v>OP</v>
          </cell>
          <cell r="B2889" t="str">
            <v>Quá 24h</v>
          </cell>
          <cell r="D2889" t="str">
            <v>Khiếu nại về dịch vụ FTTH</v>
          </cell>
          <cell r="W2889" t="str">
            <v>Đã đóng</v>
          </cell>
          <cell r="AJ2889" t="str">
            <v>TP HCM</v>
          </cell>
          <cell r="BX2889" t="str">
            <v>GPON</v>
          </cell>
        </row>
        <row r="2890">
          <cell r="A2890" t="str">
            <v>OP</v>
          </cell>
          <cell r="B2890" t="str">
            <v>Quá 24h</v>
          </cell>
          <cell r="D2890" t="str">
            <v>Khiếu nại về dịch vụ FTTH</v>
          </cell>
          <cell r="W2890" t="str">
            <v>Đã đóng</v>
          </cell>
          <cell r="AJ2890" t="str">
            <v>TP HCM</v>
          </cell>
          <cell r="BX2890" t="str">
            <v>AON</v>
          </cell>
        </row>
        <row r="2891">
          <cell r="A2891" t="str">
            <v>OP</v>
          </cell>
          <cell r="B2891" t="str">
            <v>Quá 24h</v>
          </cell>
          <cell r="D2891" t="str">
            <v>Khiếu nại về dịch vụ FTTH</v>
          </cell>
          <cell r="W2891" t="str">
            <v>Đã đóng</v>
          </cell>
          <cell r="AJ2891" t="str">
            <v>TP HCM</v>
          </cell>
          <cell r="BX2891" t="str">
            <v>AON</v>
          </cell>
        </row>
        <row r="2892">
          <cell r="A2892" t="str">
            <v>OP</v>
          </cell>
          <cell r="B2892" t="str">
            <v>Quá 24h</v>
          </cell>
          <cell r="D2892" t="str">
            <v>Khiếu nại về dịch vụ FTTH</v>
          </cell>
          <cell r="W2892" t="str">
            <v>Đã đóng</v>
          </cell>
          <cell r="AJ2892" t="str">
            <v>Nghệ An</v>
          </cell>
          <cell r="BX2892" t="str">
            <v>AON</v>
          </cell>
        </row>
        <row r="2893">
          <cell r="A2893" t="str">
            <v>OP</v>
          </cell>
          <cell r="B2893" t="str">
            <v>Quá 24h</v>
          </cell>
          <cell r="D2893" t="str">
            <v>Khiếu nại về dịch vụ FTTH</v>
          </cell>
          <cell r="W2893" t="str">
            <v>Đang xử lý</v>
          </cell>
          <cell r="AJ2893" t="str">
            <v>Quảng Ninh</v>
          </cell>
          <cell r="BX2893" t="str">
            <v>AON</v>
          </cell>
        </row>
        <row r="2894">
          <cell r="A2894" t="str">
            <v>OP</v>
          </cell>
          <cell r="B2894" t="str">
            <v>Quá 24h</v>
          </cell>
          <cell r="D2894" t="str">
            <v>Khiếu nại về dịch vụ FTTH</v>
          </cell>
          <cell r="W2894" t="str">
            <v>Đã đóng</v>
          </cell>
          <cell r="AJ2894" t="str">
            <v>Đồng Tháp</v>
          </cell>
          <cell r="BX2894" t="str">
            <v>AON</v>
          </cell>
        </row>
        <row r="2895">
          <cell r="A2895" t="str">
            <v>OP</v>
          </cell>
          <cell r="B2895" t="str">
            <v>Quá 24h</v>
          </cell>
          <cell r="D2895" t="str">
            <v>Khiếu nại về dịch vụ FTTH</v>
          </cell>
          <cell r="W2895" t="str">
            <v>Đã đóng</v>
          </cell>
          <cell r="AJ2895" t="str">
            <v>Hà Nội 1</v>
          </cell>
          <cell r="BX2895" t="str">
            <v>AON</v>
          </cell>
        </row>
        <row r="2896">
          <cell r="A2896" t="str">
            <v>OP</v>
          </cell>
          <cell r="B2896" t="str">
            <v>Quá 24h</v>
          </cell>
          <cell r="D2896" t="str">
            <v>Khiếu nại về dịch vụ FTTH</v>
          </cell>
          <cell r="W2896" t="str">
            <v>Đã đóng</v>
          </cell>
          <cell r="AJ2896" t="str">
            <v>Gia Lai</v>
          </cell>
          <cell r="BX2896" t="str">
            <v>AON</v>
          </cell>
        </row>
        <row r="2897">
          <cell r="A2897" t="str">
            <v>OP</v>
          </cell>
          <cell r="B2897" t="str">
            <v>Quá 24h</v>
          </cell>
          <cell r="D2897" t="str">
            <v>Khiếu nại về dịch vụ FTTH</v>
          </cell>
          <cell r="W2897" t="str">
            <v>Đang xử lý</v>
          </cell>
          <cell r="AJ2897" t="str">
            <v>TP HCM</v>
          </cell>
          <cell r="BX2897" t="str">
            <v>AON</v>
          </cell>
        </row>
        <row r="2898">
          <cell r="A2898" t="str">
            <v>OP</v>
          </cell>
          <cell r="B2898" t="str">
            <v>Quá 24h</v>
          </cell>
          <cell r="D2898" t="str">
            <v>Khiếu nại về dịch vụ FTTH</v>
          </cell>
          <cell r="W2898" t="str">
            <v>Đã đóng</v>
          </cell>
          <cell r="AJ2898" t="str">
            <v>Hà Nội 2</v>
          </cell>
          <cell r="BX2898" t="str">
            <v>AON</v>
          </cell>
        </row>
        <row r="2899">
          <cell r="A2899" t="str">
            <v>OP</v>
          </cell>
          <cell r="B2899" t="str">
            <v>Quá 24h</v>
          </cell>
          <cell r="D2899" t="str">
            <v>Khiếu nại về dịch vụ FTTH</v>
          </cell>
          <cell r="W2899" t="str">
            <v>Đã đóng</v>
          </cell>
          <cell r="AJ2899" t="str">
            <v>Đắc Nông</v>
          </cell>
          <cell r="BX2899" t="str">
            <v>AON</v>
          </cell>
        </row>
        <row r="2900">
          <cell r="A2900" t="str">
            <v>OP</v>
          </cell>
          <cell r="B2900" t="str">
            <v>Quá 24h</v>
          </cell>
          <cell r="D2900" t="str">
            <v>Khiếu nại về dịch vụ FTTH</v>
          </cell>
          <cell r="W2900" t="str">
            <v>Đã đóng</v>
          </cell>
          <cell r="AJ2900" t="str">
            <v>Kiên Giang</v>
          </cell>
          <cell r="BX2900" t="str">
            <v>AON</v>
          </cell>
        </row>
        <row r="2901">
          <cell r="A2901" t="str">
            <v>OP</v>
          </cell>
          <cell r="B2901" t="str">
            <v>Quá 24h</v>
          </cell>
          <cell r="D2901" t="str">
            <v>Khiếu nại về dịch vụ FTTH</v>
          </cell>
          <cell r="W2901" t="str">
            <v>Đã đóng</v>
          </cell>
          <cell r="AJ2901" t="str">
            <v>Thanh Hoá</v>
          </cell>
          <cell r="BX2901" t="str">
            <v>AON</v>
          </cell>
        </row>
        <row r="2902">
          <cell r="A2902" t="str">
            <v>OP</v>
          </cell>
          <cell r="B2902" t="str">
            <v>Quá 24h</v>
          </cell>
          <cell r="D2902" t="str">
            <v>Khiếu nại về dịch vụ FTTH</v>
          </cell>
          <cell r="W2902" t="str">
            <v>Đang xử lý</v>
          </cell>
          <cell r="AJ2902" t="str">
            <v>Hà Nội 2</v>
          </cell>
          <cell r="BX2902" t="str">
            <v>AON</v>
          </cell>
        </row>
        <row r="2903">
          <cell r="A2903" t="str">
            <v>OP</v>
          </cell>
          <cell r="B2903" t="str">
            <v>Quá 24h</v>
          </cell>
          <cell r="D2903" t="str">
            <v>Khiếu nại về dịch vụ FTTH</v>
          </cell>
          <cell r="W2903" t="str">
            <v>Đã đóng</v>
          </cell>
          <cell r="AJ2903" t="str">
            <v>TP HCM</v>
          </cell>
          <cell r="BX2903" t="str">
            <v>GPON</v>
          </cell>
        </row>
        <row r="2904">
          <cell r="A2904" t="str">
            <v>OP</v>
          </cell>
          <cell r="B2904" t="str">
            <v>Quá 24h</v>
          </cell>
          <cell r="D2904" t="str">
            <v>Khiếu nại về dịch vụ FTTH</v>
          </cell>
          <cell r="W2904" t="str">
            <v>Đã đóng</v>
          </cell>
          <cell r="AJ2904" t="str">
            <v>TP HCM</v>
          </cell>
          <cell r="BX2904" t="str">
            <v>AON</v>
          </cell>
        </row>
        <row r="2905">
          <cell r="A2905" t="str">
            <v>OP</v>
          </cell>
          <cell r="B2905" t="str">
            <v>Quá 24h</v>
          </cell>
          <cell r="D2905" t="str">
            <v>Khiếu nại về dịch vụ FTTH</v>
          </cell>
          <cell r="W2905" t="str">
            <v>Đã đóng</v>
          </cell>
          <cell r="AJ2905" t="str">
            <v>Kiên Giang</v>
          </cell>
          <cell r="BX2905" t="str">
            <v>AON</v>
          </cell>
        </row>
        <row r="2906">
          <cell r="A2906" t="str">
            <v>OP</v>
          </cell>
          <cell r="B2906" t="str">
            <v>Quá 24h</v>
          </cell>
          <cell r="D2906" t="str">
            <v>Khiếu nại về dịch vụ FTTH</v>
          </cell>
          <cell r="W2906" t="str">
            <v>Đã đóng</v>
          </cell>
          <cell r="AJ2906" t="str">
            <v>Hà Nội 1</v>
          </cell>
          <cell r="BX2906" t="str">
            <v>AON</v>
          </cell>
        </row>
        <row r="2907">
          <cell r="A2907" t="str">
            <v>OP</v>
          </cell>
          <cell r="B2907" t="str">
            <v>Quá 24h</v>
          </cell>
          <cell r="D2907" t="str">
            <v>Khiếu nại về dịch vụ FTTH</v>
          </cell>
          <cell r="W2907" t="str">
            <v>Đang xử lý</v>
          </cell>
          <cell r="AJ2907" t="str">
            <v>Bắc Ninh</v>
          </cell>
          <cell r="BX2907" t="str">
            <v>AON</v>
          </cell>
        </row>
        <row r="2908">
          <cell r="A2908" t="str">
            <v>OP</v>
          </cell>
          <cell r="B2908" t="str">
            <v>Quá 24h</v>
          </cell>
          <cell r="D2908" t="str">
            <v>Khiếu nại về dịch vụ FTTH</v>
          </cell>
          <cell r="W2908" t="str">
            <v>Đã đóng</v>
          </cell>
          <cell r="AJ2908" t="str">
            <v>TP HCM</v>
          </cell>
          <cell r="BX2908" t="str">
            <v>AON</v>
          </cell>
        </row>
        <row r="2909">
          <cell r="A2909" t="str">
            <v>OP</v>
          </cell>
          <cell r="B2909" t="str">
            <v>Quá 24h</v>
          </cell>
          <cell r="D2909" t="str">
            <v>Khiếu nại về dịch vụ FTTH</v>
          </cell>
          <cell r="W2909" t="str">
            <v>Đã đóng</v>
          </cell>
          <cell r="AJ2909" t="str">
            <v>Bắc Ninh</v>
          </cell>
          <cell r="BX2909" t="str">
            <v>AON</v>
          </cell>
        </row>
        <row r="2910">
          <cell r="A2910" t="str">
            <v>OP</v>
          </cell>
          <cell r="B2910" t="str">
            <v>Quá 24h</v>
          </cell>
          <cell r="D2910" t="str">
            <v>Khiếu nại về dịch vụ FTTH</v>
          </cell>
          <cell r="W2910" t="str">
            <v>Đã đóng</v>
          </cell>
          <cell r="AJ2910" t="str">
            <v>Quảng Trị</v>
          </cell>
          <cell r="BX2910" t="str">
            <v>AON</v>
          </cell>
        </row>
        <row r="2911">
          <cell r="A2911" t="str">
            <v>OP</v>
          </cell>
          <cell r="B2911" t="str">
            <v>Quá 24h</v>
          </cell>
          <cell r="D2911" t="str">
            <v>Khiếu nại về dịch vụ FTTH</v>
          </cell>
          <cell r="W2911" t="str">
            <v>Đã đóng</v>
          </cell>
          <cell r="AJ2911" t="str">
            <v>Hà Nội 1</v>
          </cell>
          <cell r="BX2911" t="str">
            <v>AON</v>
          </cell>
        </row>
        <row r="2912">
          <cell r="A2912" t="str">
            <v>OP</v>
          </cell>
          <cell r="B2912" t="str">
            <v>Quá 24h</v>
          </cell>
          <cell r="D2912" t="str">
            <v>Khiếu nại về dịch vụ FTTH</v>
          </cell>
          <cell r="W2912" t="str">
            <v>Đang xử lý</v>
          </cell>
          <cell r="AJ2912" t="str">
            <v>Bắc Ninh</v>
          </cell>
          <cell r="BX2912" t="str">
            <v>AON</v>
          </cell>
        </row>
        <row r="2913">
          <cell r="A2913" t="str">
            <v>OP</v>
          </cell>
          <cell r="B2913" t="str">
            <v>Quá 24h</v>
          </cell>
          <cell r="D2913" t="str">
            <v>Khiếu nại về dịch vụ FTTH</v>
          </cell>
          <cell r="W2913" t="str">
            <v>Đã đóng</v>
          </cell>
          <cell r="AJ2913" t="str">
            <v>TP HCM</v>
          </cell>
          <cell r="BX2913" t="str">
            <v>AON</v>
          </cell>
        </row>
        <row r="2914">
          <cell r="A2914" t="str">
            <v>OP</v>
          </cell>
          <cell r="B2914" t="str">
            <v>Quá 24h</v>
          </cell>
          <cell r="D2914" t="str">
            <v>Khiếu nại về dịch vụ FTTH</v>
          </cell>
          <cell r="W2914" t="str">
            <v>Đã đóng</v>
          </cell>
          <cell r="AJ2914" t="str">
            <v>Lào Cai</v>
          </cell>
          <cell r="BX2914" t="str">
            <v>AON</v>
          </cell>
        </row>
        <row r="2915">
          <cell r="A2915" t="str">
            <v>OP</v>
          </cell>
          <cell r="B2915" t="str">
            <v>Quá 24h</v>
          </cell>
          <cell r="D2915" t="str">
            <v>Khiếu nại về dịch vụ FTTH</v>
          </cell>
          <cell r="W2915" t="str">
            <v>Đã đóng</v>
          </cell>
          <cell r="AJ2915" t="str">
            <v>Lạng Sơn</v>
          </cell>
          <cell r="BX2915" t="str">
            <v>AON</v>
          </cell>
        </row>
        <row r="2916">
          <cell r="A2916" t="str">
            <v>OP</v>
          </cell>
          <cell r="B2916" t="str">
            <v>Quá 24h</v>
          </cell>
          <cell r="D2916" t="str">
            <v>Khiếu nại về dịch vụ FTTH</v>
          </cell>
          <cell r="W2916" t="str">
            <v>Đã đóng</v>
          </cell>
          <cell r="AJ2916" t="str">
            <v>Bà Rịa - Vũng Tàu</v>
          </cell>
          <cell r="BX2916" t="str">
            <v>AON</v>
          </cell>
        </row>
        <row r="2917">
          <cell r="A2917" t="str">
            <v>OP</v>
          </cell>
          <cell r="B2917" t="str">
            <v>Quá 24h</v>
          </cell>
          <cell r="D2917" t="str">
            <v>Khiếu nại về dịch vụ FTTH</v>
          </cell>
          <cell r="W2917" t="str">
            <v>Đã đóng</v>
          </cell>
          <cell r="AJ2917" t="str">
            <v>Hà Nội 2</v>
          </cell>
          <cell r="BX2917" t="str">
            <v>AON</v>
          </cell>
        </row>
        <row r="2918">
          <cell r="A2918" t="str">
            <v>OP</v>
          </cell>
          <cell r="B2918" t="str">
            <v>Quá 24h</v>
          </cell>
          <cell r="D2918" t="str">
            <v>Khiếu nại về dịch vụ FTTH</v>
          </cell>
          <cell r="W2918" t="str">
            <v>Đang xử lý</v>
          </cell>
          <cell r="AJ2918" t="str">
            <v>TP HCM</v>
          </cell>
          <cell r="BX2918" t="str">
            <v>AON</v>
          </cell>
        </row>
        <row r="2919">
          <cell r="A2919" t="str">
            <v>OP</v>
          </cell>
          <cell r="B2919" t="str">
            <v>Quá 24h</v>
          </cell>
          <cell r="D2919" t="str">
            <v>Khiếu nại về dịch vụ FTTH</v>
          </cell>
          <cell r="W2919" t="str">
            <v>Đang xử lý</v>
          </cell>
          <cell r="AJ2919" t="str">
            <v xml:space="preserve">Đà Nẵng </v>
          </cell>
          <cell r="BX2919" t="str">
            <v>AON</v>
          </cell>
        </row>
        <row r="2920">
          <cell r="A2920" t="str">
            <v>OP</v>
          </cell>
          <cell r="B2920" t="str">
            <v>Quá 24h</v>
          </cell>
          <cell r="D2920" t="str">
            <v>Khiếu nại về dịch vụ FTTH</v>
          </cell>
          <cell r="W2920" t="str">
            <v>Đã đóng</v>
          </cell>
          <cell r="AJ2920" t="str">
            <v>Hải Phòng</v>
          </cell>
          <cell r="BX2920" t="str">
            <v>AON</v>
          </cell>
        </row>
        <row r="2921">
          <cell r="A2921" t="str">
            <v>OP</v>
          </cell>
          <cell r="B2921" t="str">
            <v>Quá 24h</v>
          </cell>
          <cell r="D2921" t="str">
            <v>Khiếu nại về dịch vụ FTTH</v>
          </cell>
          <cell r="W2921" t="str">
            <v>Đã đóng</v>
          </cell>
          <cell r="AJ2921" t="str">
            <v>Gia Lai</v>
          </cell>
          <cell r="BX2921" t="str">
            <v>AON</v>
          </cell>
        </row>
        <row r="2922">
          <cell r="A2922" t="str">
            <v>OP</v>
          </cell>
          <cell r="B2922" t="str">
            <v>Quá 24h</v>
          </cell>
          <cell r="D2922" t="str">
            <v>Khiếu nại về dịch vụ FTTH</v>
          </cell>
          <cell r="W2922" t="str">
            <v>Đã đóng</v>
          </cell>
          <cell r="AJ2922" t="str">
            <v>Hà Nội 1</v>
          </cell>
          <cell r="BX2922" t="str">
            <v>AON</v>
          </cell>
        </row>
        <row r="2923">
          <cell r="A2923" t="str">
            <v>OP</v>
          </cell>
          <cell r="B2923" t="str">
            <v>Quá 24h</v>
          </cell>
          <cell r="D2923" t="str">
            <v>Khiếu nại về dịch vụ FTTH</v>
          </cell>
          <cell r="W2923" t="str">
            <v>Đang xử lý</v>
          </cell>
          <cell r="AJ2923" t="str">
            <v>TP HCM</v>
          </cell>
          <cell r="BX2923" t="str">
            <v>AON</v>
          </cell>
        </row>
        <row r="2924">
          <cell r="A2924" t="str">
            <v>OP</v>
          </cell>
          <cell r="B2924" t="str">
            <v>Quá 24h</v>
          </cell>
          <cell r="D2924" t="str">
            <v>Khiếu nại về dịch vụ FTTH</v>
          </cell>
          <cell r="W2924" t="str">
            <v>Đã đóng</v>
          </cell>
          <cell r="AJ2924" t="str">
            <v>TP HCM</v>
          </cell>
          <cell r="BX2924" t="str">
            <v>AON</v>
          </cell>
        </row>
        <row r="2925">
          <cell r="A2925" t="str">
            <v>OP</v>
          </cell>
          <cell r="B2925" t="str">
            <v>Quá 24h</v>
          </cell>
          <cell r="D2925" t="str">
            <v>Khiếu nại về dịch vụ FTTH</v>
          </cell>
          <cell r="W2925" t="str">
            <v>Đã đóng</v>
          </cell>
          <cell r="AJ2925" t="str">
            <v>Bắc Giang</v>
          </cell>
          <cell r="BX2925" t="str">
            <v>AON</v>
          </cell>
        </row>
        <row r="2926">
          <cell r="A2926" t="str">
            <v>OP</v>
          </cell>
          <cell r="B2926" t="str">
            <v>Quá 24h</v>
          </cell>
          <cell r="D2926" t="str">
            <v>Khiếu nại về dịch vụ FTTH</v>
          </cell>
          <cell r="W2926" t="str">
            <v>Đã đóng</v>
          </cell>
          <cell r="AJ2926" t="str">
            <v>Quảng Bình</v>
          </cell>
          <cell r="BX2926" t="str">
            <v>AON</v>
          </cell>
        </row>
        <row r="2927">
          <cell r="A2927" t="str">
            <v>OP</v>
          </cell>
          <cell r="B2927" t="str">
            <v>Quá 24h</v>
          </cell>
          <cell r="D2927" t="str">
            <v>Khiếu nại về dịch vụ FTTH</v>
          </cell>
          <cell r="W2927" t="str">
            <v>Đã đóng</v>
          </cell>
          <cell r="AJ2927" t="str">
            <v xml:space="preserve">Đà Nẵng </v>
          </cell>
          <cell r="BX2927" t="str">
            <v>AON</v>
          </cell>
        </row>
        <row r="2928">
          <cell r="A2928" t="str">
            <v>OP</v>
          </cell>
          <cell r="B2928" t="str">
            <v>Quá 24h</v>
          </cell>
          <cell r="D2928" t="str">
            <v>Khiếu nại về dịch vụ FTTH</v>
          </cell>
          <cell r="W2928" t="str">
            <v>Đã đóng</v>
          </cell>
          <cell r="AJ2928" t="str">
            <v>Hà Nội 1</v>
          </cell>
          <cell r="BX2928" t="str">
            <v>AON</v>
          </cell>
        </row>
        <row r="2929">
          <cell r="A2929" t="str">
            <v>OP</v>
          </cell>
          <cell r="B2929" t="str">
            <v>Quá 24h</v>
          </cell>
          <cell r="D2929" t="str">
            <v>Khiếu nại về dịch vụ FTTH</v>
          </cell>
          <cell r="W2929" t="str">
            <v>Đã đóng</v>
          </cell>
          <cell r="AJ2929" t="str">
            <v>TP HCM</v>
          </cell>
          <cell r="BX2929" t="str">
            <v>AON</v>
          </cell>
        </row>
        <row r="2930">
          <cell r="A2930" t="str">
            <v>OP</v>
          </cell>
          <cell r="B2930" t="str">
            <v>Quá 24h</v>
          </cell>
          <cell r="D2930" t="str">
            <v>Khiếu nại về dịch vụ FTTH</v>
          </cell>
          <cell r="W2930" t="str">
            <v>Đã đóng</v>
          </cell>
          <cell r="AJ2930" t="str">
            <v>Thái Nguyên</v>
          </cell>
          <cell r="BX2930" t="str">
            <v>AON</v>
          </cell>
        </row>
        <row r="2931">
          <cell r="A2931" t="str">
            <v>OP</v>
          </cell>
          <cell r="B2931" t="str">
            <v>Quá 24h</v>
          </cell>
          <cell r="D2931" t="str">
            <v>Khiếu nại về dịch vụ FTTH</v>
          </cell>
          <cell r="W2931" t="str">
            <v>Đã đóng</v>
          </cell>
          <cell r="AJ2931" t="str">
            <v>Bắc Giang</v>
          </cell>
          <cell r="BX2931" t="str">
            <v>AON</v>
          </cell>
        </row>
        <row r="2932">
          <cell r="A2932" t="str">
            <v>OP</v>
          </cell>
          <cell r="B2932" t="str">
            <v>Quá 24h</v>
          </cell>
          <cell r="D2932" t="str">
            <v>Khiếu nại về dịch vụ FTTH</v>
          </cell>
          <cell r="W2932" t="str">
            <v>Đã đóng</v>
          </cell>
          <cell r="AJ2932" t="str">
            <v>Bình Thuận</v>
          </cell>
          <cell r="BX2932" t="str">
            <v>AON</v>
          </cell>
        </row>
        <row r="2933">
          <cell r="A2933" t="str">
            <v>OP</v>
          </cell>
          <cell r="B2933" t="str">
            <v>Quá 24h</v>
          </cell>
          <cell r="D2933" t="str">
            <v>Khiếu nại về dịch vụ FTTH</v>
          </cell>
          <cell r="W2933" t="str">
            <v>Đã đóng</v>
          </cell>
          <cell r="AJ2933" t="str">
            <v>Bình Phước</v>
          </cell>
          <cell r="BX2933" t="str">
            <v>AON</v>
          </cell>
        </row>
        <row r="2934">
          <cell r="A2934" t="str">
            <v>OP</v>
          </cell>
          <cell r="B2934" t="str">
            <v>Quá 24h</v>
          </cell>
          <cell r="D2934" t="str">
            <v>Khiếu nại về dịch vụ FTTH</v>
          </cell>
          <cell r="W2934" t="str">
            <v>Đã đóng</v>
          </cell>
          <cell r="AJ2934" t="str">
            <v>Thái Bình</v>
          </cell>
          <cell r="BX2934" t="str">
            <v>AON</v>
          </cell>
        </row>
        <row r="2935">
          <cell r="A2935" t="str">
            <v>OP</v>
          </cell>
          <cell r="B2935" t="str">
            <v>Quá 24h</v>
          </cell>
          <cell r="D2935" t="str">
            <v>Khiếu nại về dịch vụ FTTH</v>
          </cell>
          <cell r="W2935" t="str">
            <v>Đã đóng</v>
          </cell>
          <cell r="AJ2935" t="str">
            <v>TP HCM</v>
          </cell>
          <cell r="BX2935" t="str">
            <v>AON</v>
          </cell>
        </row>
        <row r="2936">
          <cell r="A2936" t="str">
            <v>OP</v>
          </cell>
          <cell r="B2936" t="str">
            <v>Quá 24h</v>
          </cell>
          <cell r="D2936" t="str">
            <v>Khiếu nại về dịch vụ FTTH</v>
          </cell>
          <cell r="W2936" t="str">
            <v>Đã đóng</v>
          </cell>
          <cell r="AJ2936" t="str">
            <v>Nghệ An</v>
          </cell>
          <cell r="BX2936" t="str">
            <v>AON</v>
          </cell>
        </row>
        <row r="2937">
          <cell r="A2937" t="str">
            <v>OP</v>
          </cell>
          <cell r="B2937" t="str">
            <v>Quá 24h</v>
          </cell>
          <cell r="D2937" t="str">
            <v>Khiếu nại về dịch vụ FTTH</v>
          </cell>
          <cell r="W2937" t="str">
            <v>Đã đóng</v>
          </cell>
          <cell r="AJ2937" t="str">
            <v>Bắc Ninh</v>
          </cell>
          <cell r="BX2937" t="str">
            <v>AON</v>
          </cell>
        </row>
        <row r="2938">
          <cell r="A2938" t="str">
            <v>OP</v>
          </cell>
          <cell r="B2938" t="str">
            <v>Quá 24h</v>
          </cell>
          <cell r="D2938" t="str">
            <v>Khiếu nại về dịch vụ FTTH</v>
          </cell>
          <cell r="W2938" t="str">
            <v>Đã đóng</v>
          </cell>
          <cell r="AJ2938" t="str">
            <v>Khánh Hoà</v>
          </cell>
          <cell r="BX2938" t="str">
            <v>AON</v>
          </cell>
        </row>
        <row r="2939">
          <cell r="A2939" t="str">
            <v>OP</v>
          </cell>
          <cell r="B2939" t="str">
            <v>Quá 24h</v>
          </cell>
          <cell r="D2939" t="str">
            <v>Khiếu nại về dịch vụ FTTH</v>
          </cell>
          <cell r="W2939" t="str">
            <v>Đã đóng</v>
          </cell>
          <cell r="AJ2939" t="str">
            <v>Long An</v>
          </cell>
          <cell r="BX2939" t="str">
            <v>AON</v>
          </cell>
        </row>
        <row r="2940">
          <cell r="A2940" t="str">
            <v>OP</v>
          </cell>
          <cell r="B2940" t="str">
            <v>Quá 24h</v>
          </cell>
          <cell r="D2940" t="str">
            <v>Khiếu nại về dịch vụ FTTH</v>
          </cell>
          <cell r="W2940" t="str">
            <v>Đã đóng</v>
          </cell>
          <cell r="AJ2940" t="str">
            <v>Hà Nội 1</v>
          </cell>
          <cell r="BX2940" t="str">
            <v>AON</v>
          </cell>
        </row>
        <row r="2941">
          <cell r="A2941" t="str">
            <v>OP</v>
          </cell>
          <cell r="B2941" t="str">
            <v>Quá 24h</v>
          </cell>
          <cell r="D2941" t="str">
            <v>Khiếu nại về dịch vụ FTTH</v>
          </cell>
          <cell r="W2941" t="str">
            <v>Đã đóng</v>
          </cell>
          <cell r="AJ2941" t="str">
            <v>Thái Nguyên</v>
          </cell>
          <cell r="BX2941" t="str">
            <v>AON</v>
          </cell>
        </row>
        <row r="2942">
          <cell r="A2942" t="str">
            <v>OP</v>
          </cell>
          <cell r="B2942" t="str">
            <v>Quá 24h</v>
          </cell>
          <cell r="D2942" t="str">
            <v>Khiếu nại về dịch vụ FTTH</v>
          </cell>
          <cell r="W2942" t="str">
            <v>Đang xử lý</v>
          </cell>
          <cell r="AJ2942" t="str">
            <v>Bắc Ninh</v>
          </cell>
          <cell r="BX2942" t="str">
            <v>AON</v>
          </cell>
        </row>
        <row r="2943">
          <cell r="A2943" t="str">
            <v>OP</v>
          </cell>
          <cell r="B2943" t="str">
            <v>Quá 24h</v>
          </cell>
          <cell r="D2943" t="str">
            <v>Khiếu nại về dịch vụ FTTH</v>
          </cell>
          <cell r="W2943" t="str">
            <v>Đã đóng</v>
          </cell>
          <cell r="AJ2943" t="str">
            <v>Vĩnh Long</v>
          </cell>
          <cell r="BX2943" t="str">
            <v>AON</v>
          </cell>
        </row>
        <row r="2944">
          <cell r="A2944" t="str">
            <v>OP</v>
          </cell>
          <cell r="B2944" t="str">
            <v>Quá 24h</v>
          </cell>
          <cell r="D2944" t="str">
            <v>Khiếu nại về dịch vụ FTTH</v>
          </cell>
          <cell r="W2944" t="str">
            <v>Đã đóng</v>
          </cell>
          <cell r="AJ2944" t="str">
            <v>TP HCM</v>
          </cell>
          <cell r="BX2944" t="str">
            <v>AON</v>
          </cell>
        </row>
        <row r="2945">
          <cell r="A2945" t="str">
            <v>OP</v>
          </cell>
          <cell r="B2945" t="str">
            <v>Quá 24h</v>
          </cell>
          <cell r="D2945" t="str">
            <v>Khiếu nại về dịch vụ FTTH</v>
          </cell>
          <cell r="W2945" t="str">
            <v>Đã đóng</v>
          </cell>
          <cell r="AJ2945" t="str">
            <v>Đồng Tháp</v>
          </cell>
          <cell r="BX2945" t="str">
            <v>AON</v>
          </cell>
        </row>
        <row r="2946">
          <cell r="A2946" t="str">
            <v>OP</v>
          </cell>
          <cell r="B2946" t="str">
            <v>Quá 24h</v>
          </cell>
          <cell r="D2946" t="str">
            <v>Khiếu nại về dịch vụ FTTH</v>
          </cell>
          <cell r="W2946" t="str">
            <v>Đã đóng</v>
          </cell>
          <cell r="AJ2946" t="str">
            <v>Hậu Giang</v>
          </cell>
          <cell r="BX2946" t="str">
            <v>AON</v>
          </cell>
        </row>
        <row r="2947">
          <cell r="A2947" t="str">
            <v>OP</v>
          </cell>
          <cell r="B2947" t="str">
            <v>Quá 24h</v>
          </cell>
          <cell r="D2947" t="str">
            <v>Khiếu nại về dịch vụ NextTV</v>
          </cell>
          <cell r="W2947" t="str">
            <v>Đã đóng</v>
          </cell>
          <cell r="AJ2947" t="str">
            <v xml:space="preserve">Đắc Lắk </v>
          </cell>
          <cell r="BX2947" t="str">
            <v>AON</v>
          </cell>
        </row>
        <row r="2948">
          <cell r="A2948" t="str">
            <v>OP</v>
          </cell>
          <cell r="B2948" t="str">
            <v>Quá 24h</v>
          </cell>
          <cell r="D2948" t="str">
            <v>Khiếu nại về dịch vụ FTTH</v>
          </cell>
          <cell r="W2948" t="str">
            <v>Đã đóng</v>
          </cell>
          <cell r="AJ2948" t="str">
            <v>Cà Mau</v>
          </cell>
          <cell r="BX2948" t="str">
            <v>AON</v>
          </cell>
        </row>
        <row r="2949">
          <cell r="A2949" t="str">
            <v>OP</v>
          </cell>
          <cell r="B2949" t="str">
            <v>Quá 24h</v>
          </cell>
          <cell r="D2949" t="str">
            <v>Khiếu nại về dịch vụ FTTH</v>
          </cell>
          <cell r="W2949" t="str">
            <v>Đã đóng</v>
          </cell>
          <cell r="AJ2949" t="str">
            <v>Thừa Thiên Huế</v>
          </cell>
          <cell r="BX2949" t="str">
            <v>AON</v>
          </cell>
        </row>
        <row r="2950">
          <cell r="A2950" t="str">
            <v>OP</v>
          </cell>
          <cell r="B2950" t="str">
            <v>Quá 24h</v>
          </cell>
          <cell r="D2950" t="str">
            <v>Khiếu nại về dịch vụ FTTH</v>
          </cell>
          <cell r="W2950" t="str">
            <v>Đã đóng</v>
          </cell>
          <cell r="AJ2950" t="str">
            <v>Thanh Hoá</v>
          </cell>
          <cell r="BX2950" t="str">
            <v>AON</v>
          </cell>
        </row>
        <row r="2951">
          <cell r="A2951" t="str">
            <v>OP</v>
          </cell>
          <cell r="B2951" t="str">
            <v>Quá 24h</v>
          </cell>
          <cell r="D2951" t="str">
            <v>Khiếu nại về dịch vụ FTTH</v>
          </cell>
          <cell r="W2951" t="str">
            <v>Đã đóng</v>
          </cell>
          <cell r="AJ2951" t="str">
            <v>TP HCM</v>
          </cell>
          <cell r="BX2951" t="str">
            <v>AON</v>
          </cell>
        </row>
        <row r="2952">
          <cell r="A2952" t="str">
            <v>OP</v>
          </cell>
          <cell r="B2952" t="str">
            <v>Quá 24h</v>
          </cell>
          <cell r="D2952" t="str">
            <v>Khiếu nại về dịch vụ FTTH</v>
          </cell>
          <cell r="W2952" t="str">
            <v>Đang xử lý</v>
          </cell>
          <cell r="AJ2952" t="str">
            <v>Quảng Ninh</v>
          </cell>
          <cell r="BX2952" t="str">
            <v>AON</v>
          </cell>
        </row>
        <row r="2953">
          <cell r="A2953" t="str">
            <v>OP</v>
          </cell>
          <cell r="B2953" t="str">
            <v>Quá 24h</v>
          </cell>
          <cell r="D2953" t="str">
            <v>Khiếu nại về dịch vụ FTTH</v>
          </cell>
          <cell r="W2953" t="str">
            <v>Đã đóng</v>
          </cell>
          <cell r="AJ2953" t="str">
            <v>Hà Giang</v>
          </cell>
          <cell r="BX2953" t="str">
            <v>AON</v>
          </cell>
        </row>
        <row r="2954">
          <cell r="A2954" t="str">
            <v>OP</v>
          </cell>
          <cell r="B2954" t="str">
            <v>Quá 24h</v>
          </cell>
          <cell r="D2954" t="str">
            <v>Khiếu nại về dịch vụ FTTH</v>
          </cell>
          <cell r="W2954" t="str">
            <v>Đang xử lý</v>
          </cell>
          <cell r="AJ2954" t="str">
            <v>Bình Dương</v>
          </cell>
          <cell r="BX2954" t="str">
            <v>AON</v>
          </cell>
        </row>
        <row r="2955">
          <cell r="A2955" t="str">
            <v>OP</v>
          </cell>
          <cell r="B2955" t="str">
            <v>Quá 24h</v>
          </cell>
          <cell r="D2955" t="str">
            <v>Khiếu nại về dịch vụ FTTH</v>
          </cell>
          <cell r="W2955" t="str">
            <v>Đã đóng</v>
          </cell>
          <cell r="AJ2955" t="str">
            <v>Nam Định</v>
          </cell>
          <cell r="BX2955" t="str">
            <v>AON</v>
          </cell>
        </row>
        <row r="2956">
          <cell r="A2956" t="str">
            <v>OP</v>
          </cell>
          <cell r="B2956" t="str">
            <v>Quá 24h</v>
          </cell>
          <cell r="D2956" t="str">
            <v>Khiếu nại về dịch vụ FTTH</v>
          </cell>
          <cell r="W2956" t="str">
            <v>Đã đóng</v>
          </cell>
          <cell r="AJ2956" t="str">
            <v>TP HCM</v>
          </cell>
          <cell r="BX2956" t="str">
            <v>AON</v>
          </cell>
        </row>
        <row r="2957">
          <cell r="A2957" t="str">
            <v>OP</v>
          </cell>
          <cell r="B2957" t="str">
            <v>Quá 24h</v>
          </cell>
          <cell r="D2957" t="str">
            <v>Khiếu nại về dịch vụ FTTH</v>
          </cell>
          <cell r="W2957" t="str">
            <v>Đã đóng</v>
          </cell>
          <cell r="AJ2957" t="str">
            <v xml:space="preserve">Đắc Lắk </v>
          </cell>
          <cell r="BX2957" t="str">
            <v>AON</v>
          </cell>
        </row>
        <row r="2958">
          <cell r="A2958" t="str">
            <v>OP</v>
          </cell>
          <cell r="B2958" t="str">
            <v>Quá 24h</v>
          </cell>
          <cell r="D2958" t="str">
            <v>Khiếu nại về dịch vụ FTTH</v>
          </cell>
          <cell r="W2958" t="str">
            <v>Đã đóng</v>
          </cell>
          <cell r="AJ2958" t="str">
            <v>Bắc Ninh</v>
          </cell>
          <cell r="BX2958" t="str">
            <v>AON</v>
          </cell>
        </row>
        <row r="2959">
          <cell r="A2959" t="str">
            <v>OP</v>
          </cell>
          <cell r="B2959" t="str">
            <v>Quá 24h</v>
          </cell>
          <cell r="D2959" t="str">
            <v>Khiếu nại về dịch vụ FTTH</v>
          </cell>
          <cell r="W2959" t="str">
            <v>Đang xử lý</v>
          </cell>
          <cell r="AJ2959" t="str">
            <v>Thái Nguyên</v>
          </cell>
          <cell r="BX2959" t="str">
            <v>AON</v>
          </cell>
        </row>
        <row r="2960">
          <cell r="A2960" t="str">
            <v>OP</v>
          </cell>
          <cell r="B2960" t="str">
            <v>Quá 24h</v>
          </cell>
          <cell r="D2960" t="str">
            <v>Khiếu nại về dịch vụ FTTH</v>
          </cell>
          <cell r="W2960" t="str">
            <v>Đã đóng</v>
          </cell>
          <cell r="AJ2960" t="str">
            <v>Thái Bình</v>
          </cell>
          <cell r="BX2960" t="str">
            <v>AON</v>
          </cell>
        </row>
        <row r="2961">
          <cell r="A2961" t="str">
            <v>OP</v>
          </cell>
          <cell r="B2961" t="str">
            <v>Quá 24h</v>
          </cell>
          <cell r="D2961" t="str">
            <v>Khiếu nại về dịch vụ FTTH</v>
          </cell>
          <cell r="W2961" t="str">
            <v>Đã đóng</v>
          </cell>
          <cell r="AJ2961" t="str">
            <v>TP HCM</v>
          </cell>
          <cell r="BX2961" t="str">
            <v>AON</v>
          </cell>
        </row>
        <row r="2962">
          <cell r="A2962" t="str">
            <v>OP</v>
          </cell>
          <cell r="B2962" t="str">
            <v>Quá 24h</v>
          </cell>
          <cell r="D2962" t="str">
            <v>Khiếu nại về dịch vụ FTTH</v>
          </cell>
          <cell r="W2962" t="str">
            <v>Đã đóng</v>
          </cell>
          <cell r="AJ2962" t="str">
            <v>Thái Bình</v>
          </cell>
          <cell r="BX2962" t="str">
            <v>AON</v>
          </cell>
        </row>
        <row r="2963">
          <cell r="A2963" t="str">
            <v>OP</v>
          </cell>
          <cell r="B2963" t="str">
            <v>Quá 24h</v>
          </cell>
          <cell r="D2963" t="str">
            <v>Khiếu nại về dịch vụ FTTH</v>
          </cell>
          <cell r="W2963" t="str">
            <v>Đã đóng</v>
          </cell>
          <cell r="AJ2963" t="str">
            <v>Bắc Ninh</v>
          </cell>
          <cell r="BX2963" t="str">
            <v>AON</v>
          </cell>
        </row>
        <row r="2964">
          <cell r="A2964" t="str">
            <v>OP</v>
          </cell>
          <cell r="B2964" t="str">
            <v>Quá 24h</v>
          </cell>
          <cell r="D2964" t="str">
            <v>Khiếu nại về dịch vụ FTTH</v>
          </cell>
          <cell r="W2964" t="str">
            <v>Đã đóng</v>
          </cell>
          <cell r="AJ2964" t="str">
            <v xml:space="preserve">Hà Tĩnh </v>
          </cell>
          <cell r="BX2964" t="str">
            <v>AON</v>
          </cell>
        </row>
        <row r="2965">
          <cell r="A2965" t="str">
            <v>OP</v>
          </cell>
          <cell r="B2965" t="str">
            <v>Quá 24h</v>
          </cell>
          <cell r="D2965" t="str">
            <v>Khiếu nại về dịch vụ FTTH</v>
          </cell>
          <cell r="W2965" t="str">
            <v>Đã đóng</v>
          </cell>
          <cell r="AJ2965" t="str">
            <v>Thái Bình</v>
          </cell>
          <cell r="BX2965" t="str">
            <v>AON</v>
          </cell>
        </row>
        <row r="2966">
          <cell r="A2966" t="str">
            <v>OP</v>
          </cell>
          <cell r="B2966" t="str">
            <v>Quá 24h</v>
          </cell>
          <cell r="D2966" t="str">
            <v>Khiếu nại về dịch vụ FTTH</v>
          </cell>
          <cell r="W2966" t="str">
            <v>Đã đóng</v>
          </cell>
          <cell r="AJ2966" t="str">
            <v>Thanh Hoá</v>
          </cell>
          <cell r="BX2966" t="str">
            <v>AON</v>
          </cell>
        </row>
        <row r="2967">
          <cell r="A2967" t="str">
            <v>OP</v>
          </cell>
          <cell r="B2967" t="str">
            <v>Quá 24h</v>
          </cell>
          <cell r="D2967" t="str">
            <v>Khiếu nại về dịch vụ FTTH</v>
          </cell>
          <cell r="W2967" t="str">
            <v>Đã đóng</v>
          </cell>
          <cell r="AJ2967" t="str">
            <v>TP HCM</v>
          </cell>
          <cell r="BX2967" t="str">
            <v>AON</v>
          </cell>
        </row>
        <row r="2968">
          <cell r="A2968" t="str">
            <v>OP</v>
          </cell>
          <cell r="B2968" t="str">
            <v>Quá 24h</v>
          </cell>
          <cell r="D2968" t="str">
            <v>Khiếu nại về dịch vụ NextTV</v>
          </cell>
          <cell r="W2968" t="str">
            <v>Đã đóng</v>
          </cell>
          <cell r="AJ2968" t="str">
            <v>Vĩnh Phúc</v>
          </cell>
          <cell r="BX2968" t="str">
            <v>AON</v>
          </cell>
        </row>
        <row r="2969">
          <cell r="A2969" t="str">
            <v>OP</v>
          </cell>
          <cell r="B2969" t="str">
            <v>Quá 24h</v>
          </cell>
          <cell r="D2969" t="str">
            <v>Khiếu nại về dịch vụ FTTH</v>
          </cell>
          <cell r="W2969" t="str">
            <v>Đã đóng</v>
          </cell>
          <cell r="AJ2969" t="str">
            <v>Hà Nội 1</v>
          </cell>
          <cell r="BX2969" t="str">
            <v>AON</v>
          </cell>
        </row>
        <row r="2970">
          <cell r="A2970" t="str">
            <v>OP</v>
          </cell>
          <cell r="B2970" t="str">
            <v>Quá 24h</v>
          </cell>
          <cell r="D2970" t="str">
            <v>Khiếu nại về dịch vụ FTTH</v>
          </cell>
          <cell r="W2970" t="str">
            <v>Đã đóng</v>
          </cell>
          <cell r="AJ2970" t="str">
            <v>TP HCM</v>
          </cell>
          <cell r="BX2970" t="str">
            <v>AON</v>
          </cell>
        </row>
        <row r="2971">
          <cell r="A2971" t="str">
            <v>OP</v>
          </cell>
          <cell r="B2971" t="str">
            <v>Quá 24h</v>
          </cell>
          <cell r="D2971" t="str">
            <v>Khiếu nại về dịch vụ FTTH</v>
          </cell>
          <cell r="W2971" t="str">
            <v>Đã đóng</v>
          </cell>
          <cell r="AJ2971" t="str">
            <v>Nghệ An</v>
          </cell>
          <cell r="BX2971" t="str">
            <v>AON</v>
          </cell>
        </row>
        <row r="2972">
          <cell r="A2972" t="str">
            <v>OP</v>
          </cell>
          <cell r="B2972" t="str">
            <v>Quá 24h</v>
          </cell>
          <cell r="D2972" t="str">
            <v>Khiếu nại về dịch vụ FTTH</v>
          </cell>
          <cell r="W2972" t="str">
            <v>Đã đóng</v>
          </cell>
          <cell r="AJ2972" t="str">
            <v>TP HCM</v>
          </cell>
          <cell r="BX2972" t="str">
            <v>AON</v>
          </cell>
        </row>
        <row r="2973">
          <cell r="A2973" t="str">
            <v>OP</v>
          </cell>
          <cell r="B2973" t="str">
            <v>Quá 24h</v>
          </cell>
          <cell r="D2973" t="str">
            <v>Khiếu nại về dịch vụ FTTH</v>
          </cell>
          <cell r="W2973" t="str">
            <v>Đã đóng</v>
          </cell>
          <cell r="AJ2973" t="str">
            <v>TP HCM</v>
          </cell>
          <cell r="BX2973" t="str">
            <v>AON</v>
          </cell>
        </row>
        <row r="2974">
          <cell r="A2974" t="str">
            <v>OP</v>
          </cell>
          <cell r="B2974" t="str">
            <v>Quá 24h</v>
          </cell>
          <cell r="D2974" t="str">
            <v>Khiếu nại về dịch vụ FTTH</v>
          </cell>
          <cell r="W2974" t="str">
            <v>Đã đóng</v>
          </cell>
          <cell r="AJ2974" t="str">
            <v>Nghệ An</v>
          </cell>
          <cell r="BX2974" t="str">
            <v>AON</v>
          </cell>
        </row>
        <row r="2975">
          <cell r="A2975" t="str">
            <v>OP</v>
          </cell>
          <cell r="B2975" t="str">
            <v>Quá 24h</v>
          </cell>
          <cell r="D2975" t="str">
            <v>Khiếu nại về dịch vụ FTTH</v>
          </cell>
          <cell r="W2975" t="str">
            <v>Đã đóng</v>
          </cell>
          <cell r="AJ2975" t="str">
            <v>Hà Nội 2</v>
          </cell>
          <cell r="BX2975" t="str">
            <v>AON</v>
          </cell>
        </row>
        <row r="2976">
          <cell r="A2976" t="str">
            <v>OP</v>
          </cell>
          <cell r="B2976" t="str">
            <v>Quá 24h</v>
          </cell>
          <cell r="D2976" t="str">
            <v>Khiếu nại về dịch vụ FTTH</v>
          </cell>
          <cell r="W2976" t="str">
            <v>Đang xử lý</v>
          </cell>
          <cell r="AJ2976" t="str">
            <v>Bình Dương</v>
          </cell>
          <cell r="BX2976" t="str">
            <v>AON</v>
          </cell>
        </row>
        <row r="2977">
          <cell r="A2977" t="str">
            <v>OP</v>
          </cell>
          <cell r="B2977" t="str">
            <v>Quá 24h</v>
          </cell>
          <cell r="D2977" t="str">
            <v>Khiếu nại về dịch vụ FTTH</v>
          </cell>
          <cell r="W2977" t="str">
            <v>Đang xử lý</v>
          </cell>
          <cell r="AJ2977" t="str">
            <v>Bình Thuận</v>
          </cell>
          <cell r="BX2977" t="str">
            <v>AON</v>
          </cell>
        </row>
        <row r="2978">
          <cell r="A2978" t="str">
            <v>OP</v>
          </cell>
          <cell r="B2978" t="str">
            <v>Quá 24h</v>
          </cell>
          <cell r="D2978" t="str">
            <v>Khiếu nại về dịch vụ FTTH</v>
          </cell>
          <cell r="W2978" t="str">
            <v>Đã đóng</v>
          </cell>
          <cell r="AJ2978" t="str">
            <v>Hà Nội 1</v>
          </cell>
          <cell r="BX2978" t="str">
            <v>AON</v>
          </cell>
        </row>
        <row r="2979">
          <cell r="A2979" t="str">
            <v>OP</v>
          </cell>
          <cell r="B2979" t="str">
            <v>Quá 24h</v>
          </cell>
          <cell r="D2979" t="str">
            <v>Khiếu nại về dịch vụ NextTV</v>
          </cell>
          <cell r="W2979" t="str">
            <v>Đã đóng</v>
          </cell>
          <cell r="AJ2979" t="str">
            <v>Phú Thọ</v>
          </cell>
          <cell r="BX2979" t="str">
            <v>AON</v>
          </cell>
        </row>
        <row r="2980">
          <cell r="A2980" t="str">
            <v>OP</v>
          </cell>
          <cell r="B2980" t="str">
            <v>Quá 24h</v>
          </cell>
          <cell r="D2980" t="str">
            <v>Khiếu nại về dịch vụ FTTH</v>
          </cell>
          <cell r="W2980" t="str">
            <v>Đã đóng</v>
          </cell>
          <cell r="AJ2980" t="str">
            <v>Hà Nam</v>
          </cell>
          <cell r="BX2980" t="str">
            <v>AON</v>
          </cell>
        </row>
        <row r="2981">
          <cell r="A2981" t="str">
            <v>OP</v>
          </cell>
          <cell r="B2981" t="str">
            <v>Quá 24h</v>
          </cell>
          <cell r="D2981" t="str">
            <v>Khiếu nại về dịch vụ FTTH</v>
          </cell>
          <cell r="W2981" t="str">
            <v>Đã đóng</v>
          </cell>
          <cell r="AJ2981" t="str">
            <v>TP HCM</v>
          </cell>
          <cell r="BX2981" t="str">
            <v>AON</v>
          </cell>
        </row>
        <row r="2982">
          <cell r="A2982" t="str">
            <v>OP</v>
          </cell>
          <cell r="B2982" t="str">
            <v>Quá 24h</v>
          </cell>
          <cell r="D2982" t="str">
            <v>Khiếu nại về dịch vụ FTTH</v>
          </cell>
          <cell r="W2982" t="str">
            <v>Đã đóng</v>
          </cell>
          <cell r="AJ2982" t="str">
            <v xml:space="preserve">Đồng Nai </v>
          </cell>
          <cell r="BX2982" t="str">
            <v>AON</v>
          </cell>
        </row>
        <row r="2983">
          <cell r="A2983" t="str">
            <v>OP</v>
          </cell>
          <cell r="B2983" t="str">
            <v>Quá 24h</v>
          </cell>
          <cell r="D2983" t="str">
            <v>Khiếu nại về dịch vụ FTTH</v>
          </cell>
          <cell r="W2983" t="str">
            <v>Đã đóng</v>
          </cell>
          <cell r="AJ2983" t="str">
            <v>Tây Ninh</v>
          </cell>
          <cell r="BX2983" t="str">
            <v>AON</v>
          </cell>
        </row>
        <row r="2984">
          <cell r="A2984" t="str">
            <v>OP</v>
          </cell>
          <cell r="B2984" t="str">
            <v>Quá 24h</v>
          </cell>
          <cell r="D2984" t="str">
            <v>Khiếu nại về dịch vụ NextTV</v>
          </cell>
          <cell r="W2984" t="str">
            <v>Đã đóng</v>
          </cell>
          <cell r="AJ2984" t="str">
            <v>TP HCM</v>
          </cell>
          <cell r="BX2984" t="str">
            <v>AON</v>
          </cell>
        </row>
        <row r="2985">
          <cell r="A2985" t="str">
            <v>OP</v>
          </cell>
          <cell r="B2985" t="str">
            <v>Quá 24h</v>
          </cell>
          <cell r="D2985" t="str">
            <v>Khiếu nại về dịch vụ FTTH</v>
          </cell>
          <cell r="W2985" t="str">
            <v>Đã đóng</v>
          </cell>
          <cell r="AJ2985" t="str">
            <v>TP HCM</v>
          </cell>
          <cell r="BX2985" t="str">
            <v>AON</v>
          </cell>
        </row>
        <row r="2986">
          <cell r="A2986" t="str">
            <v>OP</v>
          </cell>
          <cell r="B2986" t="str">
            <v>Quá 24h</v>
          </cell>
          <cell r="D2986" t="str">
            <v>Khiếu nại về dịch vụ FTTH</v>
          </cell>
          <cell r="W2986" t="str">
            <v>Đã đóng</v>
          </cell>
          <cell r="AJ2986" t="str">
            <v>Ninh Bình</v>
          </cell>
          <cell r="BX2986" t="str">
            <v>AON</v>
          </cell>
        </row>
        <row r="2987">
          <cell r="A2987" t="str">
            <v>OP</v>
          </cell>
          <cell r="B2987" t="str">
            <v>Quá 24h</v>
          </cell>
          <cell r="D2987" t="str">
            <v>Khiếu nại về dịch vụ FTTH</v>
          </cell>
          <cell r="W2987" t="str">
            <v>Đã đóng</v>
          </cell>
          <cell r="AJ2987" t="str">
            <v>Thái Nguyên</v>
          </cell>
          <cell r="BX2987" t="str">
            <v>AON</v>
          </cell>
        </row>
        <row r="2988">
          <cell r="A2988" t="str">
            <v>OP</v>
          </cell>
          <cell r="B2988" t="str">
            <v>Quá 24h</v>
          </cell>
          <cell r="D2988" t="str">
            <v>Khiếu nại về dịch vụ FTTH</v>
          </cell>
          <cell r="W2988" t="str">
            <v>Đã đóng</v>
          </cell>
          <cell r="AJ2988" t="str">
            <v>Vĩnh Long</v>
          </cell>
          <cell r="BX2988" t="str">
            <v>AON</v>
          </cell>
        </row>
        <row r="2989">
          <cell r="A2989" t="str">
            <v>OP</v>
          </cell>
          <cell r="B2989" t="str">
            <v>Quá 24h</v>
          </cell>
          <cell r="D2989" t="str">
            <v>Khiếu nại về dịch vụ FTTH</v>
          </cell>
          <cell r="W2989" t="str">
            <v>Đã đóng</v>
          </cell>
          <cell r="AJ2989" t="str">
            <v>TP HCM</v>
          </cell>
          <cell r="BX2989" t="str">
            <v>GPON</v>
          </cell>
        </row>
        <row r="2990">
          <cell r="A2990" t="str">
            <v>OP</v>
          </cell>
          <cell r="B2990" t="str">
            <v>Quá 24h</v>
          </cell>
          <cell r="D2990" t="str">
            <v>Khiếu nại về dịch vụ FTTH</v>
          </cell>
          <cell r="W2990" t="str">
            <v>Đã đóng</v>
          </cell>
          <cell r="AJ2990" t="str">
            <v>TP HCM</v>
          </cell>
          <cell r="BX2990" t="str">
            <v>AON</v>
          </cell>
        </row>
        <row r="2991">
          <cell r="A2991" t="str">
            <v>OP</v>
          </cell>
          <cell r="B2991" t="str">
            <v>Quá 24h</v>
          </cell>
          <cell r="D2991" t="str">
            <v>Khiếu nại về dịch vụ FTTH</v>
          </cell>
          <cell r="W2991" t="str">
            <v>Đã đóng</v>
          </cell>
          <cell r="AJ2991" t="str">
            <v>Thái Bình</v>
          </cell>
          <cell r="BX2991" t="str">
            <v>AON</v>
          </cell>
        </row>
        <row r="2992">
          <cell r="A2992" t="str">
            <v>OP</v>
          </cell>
          <cell r="B2992" t="str">
            <v>Quá 24h</v>
          </cell>
          <cell r="D2992" t="str">
            <v>Khiếu nại về dịch vụ FTTH</v>
          </cell>
          <cell r="W2992" t="str">
            <v>Đang xử lý</v>
          </cell>
          <cell r="AJ2992" t="str">
            <v>Thừa Thiên Huế</v>
          </cell>
          <cell r="BX2992" t="str">
            <v>AON</v>
          </cell>
        </row>
        <row r="2993">
          <cell r="A2993" t="str">
            <v>OP</v>
          </cell>
          <cell r="B2993" t="str">
            <v>Quá 24h</v>
          </cell>
          <cell r="D2993" t="str">
            <v>Khiếu nại về dịch vụ FTTH</v>
          </cell>
          <cell r="W2993" t="str">
            <v>Đã đóng</v>
          </cell>
          <cell r="AJ2993" t="str">
            <v xml:space="preserve">Đồng Nai </v>
          </cell>
          <cell r="BX2993" t="str">
            <v>AON</v>
          </cell>
        </row>
        <row r="2994">
          <cell r="A2994" t="str">
            <v>OP</v>
          </cell>
          <cell r="B2994" t="str">
            <v>Quá 24h</v>
          </cell>
          <cell r="D2994" t="str">
            <v>Khiếu nại về dịch vụ FTTH</v>
          </cell>
          <cell r="W2994" t="str">
            <v>Đã đóng</v>
          </cell>
          <cell r="AJ2994" t="str">
            <v>TP HCM</v>
          </cell>
          <cell r="BX2994" t="str">
            <v>AON</v>
          </cell>
        </row>
        <row r="2995">
          <cell r="A2995" t="str">
            <v>OP</v>
          </cell>
          <cell r="B2995" t="str">
            <v>Quá 24h</v>
          </cell>
          <cell r="D2995" t="str">
            <v>Khiếu nại về dịch vụ FTTH</v>
          </cell>
          <cell r="W2995" t="str">
            <v>Đã đóng</v>
          </cell>
          <cell r="AJ2995" t="str">
            <v>Hà Nội 2</v>
          </cell>
          <cell r="BX2995" t="str">
            <v>AON</v>
          </cell>
        </row>
        <row r="2996">
          <cell r="A2996" t="str">
            <v>OP</v>
          </cell>
          <cell r="B2996" t="str">
            <v>Quá 24h</v>
          </cell>
          <cell r="D2996" t="str">
            <v>Khiếu nại về dịch vụ FTTH</v>
          </cell>
          <cell r="W2996" t="str">
            <v>Đã đóng</v>
          </cell>
          <cell r="AJ2996" t="str">
            <v>Hà Nội 2</v>
          </cell>
          <cell r="BX2996" t="str">
            <v>AON</v>
          </cell>
        </row>
        <row r="2997">
          <cell r="A2997" t="str">
            <v>OP</v>
          </cell>
          <cell r="B2997" t="str">
            <v>Quá 24h</v>
          </cell>
          <cell r="D2997" t="str">
            <v>Khiếu nại về dịch vụ FTTH</v>
          </cell>
          <cell r="W2997" t="str">
            <v>Đã đóng</v>
          </cell>
          <cell r="AJ2997" t="str">
            <v>TP HCM</v>
          </cell>
          <cell r="BX2997" t="str">
            <v>AON</v>
          </cell>
        </row>
        <row r="2998">
          <cell r="A2998" t="str">
            <v>OP</v>
          </cell>
          <cell r="B2998" t="str">
            <v>Quá 24h</v>
          </cell>
          <cell r="D2998" t="str">
            <v>Khiếu nại về dịch vụ FTTH</v>
          </cell>
          <cell r="W2998" t="str">
            <v>Đã đóng</v>
          </cell>
          <cell r="AJ2998" t="str">
            <v>Hải Phòng</v>
          </cell>
          <cell r="BX2998" t="str">
            <v>AON</v>
          </cell>
        </row>
        <row r="2999">
          <cell r="A2999" t="str">
            <v>OP</v>
          </cell>
          <cell r="B2999" t="str">
            <v>Quá 24h</v>
          </cell>
          <cell r="D2999" t="str">
            <v>Khiếu nại về dịch vụ FTTH</v>
          </cell>
          <cell r="W2999" t="str">
            <v>Đã đóng</v>
          </cell>
          <cell r="AJ2999" t="str">
            <v>Hà Nội 1</v>
          </cell>
          <cell r="BX2999" t="str">
            <v>AON</v>
          </cell>
        </row>
        <row r="3000">
          <cell r="A3000" t="str">
            <v>OP</v>
          </cell>
          <cell r="B3000" t="str">
            <v>Quá 24h</v>
          </cell>
          <cell r="D3000" t="str">
            <v>Khiếu nại về dịch vụ FTTH</v>
          </cell>
          <cell r="W3000" t="str">
            <v>Đã đóng</v>
          </cell>
          <cell r="AJ3000" t="str">
            <v>Hậu Giang</v>
          </cell>
          <cell r="BX3000" t="str">
            <v>AON</v>
          </cell>
        </row>
        <row r="3001">
          <cell r="A3001" t="str">
            <v>OP</v>
          </cell>
          <cell r="B3001" t="str">
            <v>Quá 24h</v>
          </cell>
          <cell r="D3001" t="str">
            <v>Khiếu nại về dịch vụ FTTH</v>
          </cell>
          <cell r="W3001" t="str">
            <v>Đã đóng</v>
          </cell>
          <cell r="AJ3001" t="str">
            <v>Hà Nội 1</v>
          </cell>
          <cell r="BX3001" t="str">
            <v>AON</v>
          </cell>
        </row>
        <row r="3002">
          <cell r="A3002" t="str">
            <v>OP</v>
          </cell>
          <cell r="B3002" t="str">
            <v>Quá 24h</v>
          </cell>
          <cell r="D3002" t="str">
            <v>Khiếu nại về dịch vụ FTTH</v>
          </cell>
          <cell r="W3002" t="str">
            <v>Đã đóng</v>
          </cell>
          <cell r="AJ3002" t="str">
            <v>Bình Thuận</v>
          </cell>
          <cell r="BX3002" t="str">
            <v>AON</v>
          </cell>
        </row>
        <row r="3003">
          <cell r="A3003" t="str">
            <v>OP</v>
          </cell>
          <cell r="B3003" t="str">
            <v>Quá 24h</v>
          </cell>
          <cell r="D3003" t="str">
            <v>Khiếu nại về dịch vụ FTTH</v>
          </cell>
          <cell r="W3003" t="str">
            <v>Đã đóng</v>
          </cell>
          <cell r="AJ3003" t="str">
            <v>TP HCM</v>
          </cell>
          <cell r="BX3003" t="str">
            <v>AON</v>
          </cell>
        </row>
        <row r="3004">
          <cell r="A3004" t="str">
            <v>OP</v>
          </cell>
          <cell r="B3004" t="str">
            <v>Quá 24h</v>
          </cell>
          <cell r="D3004" t="str">
            <v>Khiếu nại về dịch vụ FTTH</v>
          </cell>
          <cell r="W3004" t="str">
            <v>Đã đóng</v>
          </cell>
          <cell r="AJ3004" t="str">
            <v>TP HCM</v>
          </cell>
          <cell r="BX3004" t="str">
            <v>AON</v>
          </cell>
        </row>
        <row r="3005">
          <cell r="A3005" t="str">
            <v>OP</v>
          </cell>
          <cell r="B3005" t="str">
            <v>Quá 24h</v>
          </cell>
          <cell r="D3005" t="str">
            <v>Khiếu nại về dịch vụ FTTH</v>
          </cell>
          <cell r="W3005" t="str">
            <v>Đã đóng</v>
          </cell>
          <cell r="AJ3005" t="str">
            <v>Bình Thuận</v>
          </cell>
          <cell r="BX3005" t="str">
            <v>AON</v>
          </cell>
        </row>
        <row r="3006">
          <cell r="A3006" t="str">
            <v>OP</v>
          </cell>
          <cell r="B3006" t="str">
            <v>Quá 24h</v>
          </cell>
          <cell r="D3006" t="str">
            <v>Khiếu nại về dịch vụ FTTH</v>
          </cell>
          <cell r="W3006" t="str">
            <v>Đã đóng</v>
          </cell>
          <cell r="AJ3006" t="str">
            <v>Lào Cai</v>
          </cell>
          <cell r="BX3006" t="str">
            <v>AON</v>
          </cell>
        </row>
        <row r="3007">
          <cell r="A3007" t="str">
            <v>OP</v>
          </cell>
          <cell r="B3007" t="str">
            <v>Quá 24h</v>
          </cell>
          <cell r="D3007" t="str">
            <v>Khiếu nại về dịch vụ FTTH</v>
          </cell>
          <cell r="W3007" t="str">
            <v>Đã đóng</v>
          </cell>
          <cell r="AJ3007" t="str">
            <v>Ninh Bình</v>
          </cell>
          <cell r="BX3007" t="str">
            <v>AON</v>
          </cell>
        </row>
        <row r="3008">
          <cell r="A3008" t="str">
            <v>OP</v>
          </cell>
          <cell r="B3008" t="str">
            <v>Quá 24h</v>
          </cell>
          <cell r="D3008" t="str">
            <v>Khiếu nại về dịch vụ FTTH</v>
          </cell>
          <cell r="W3008" t="str">
            <v>Đã đóng</v>
          </cell>
          <cell r="AJ3008" t="str">
            <v>Cần Thơ</v>
          </cell>
          <cell r="BX3008" t="str">
            <v>AON</v>
          </cell>
        </row>
        <row r="3009">
          <cell r="A3009" t="str">
            <v>OP</v>
          </cell>
          <cell r="B3009" t="str">
            <v>Quá 24h</v>
          </cell>
          <cell r="D3009" t="str">
            <v>Khiếu nại về dịch vụ FTTH</v>
          </cell>
          <cell r="W3009" t="str">
            <v>Đã đóng</v>
          </cell>
          <cell r="AJ3009" t="str">
            <v>Tuyên Quang</v>
          </cell>
          <cell r="BX3009" t="str">
            <v>AON</v>
          </cell>
        </row>
        <row r="3010">
          <cell r="A3010" t="str">
            <v>OP</v>
          </cell>
          <cell r="B3010" t="str">
            <v>Quá 24h</v>
          </cell>
          <cell r="D3010" t="str">
            <v>Khiếu nại về dịch vụ FTTH</v>
          </cell>
          <cell r="W3010" t="str">
            <v>Đã đóng</v>
          </cell>
          <cell r="AJ3010" t="str">
            <v>Hà Nội 1</v>
          </cell>
          <cell r="BX3010" t="str">
            <v>AON</v>
          </cell>
        </row>
        <row r="3011">
          <cell r="A3011" t="str">
            <v>OP</v>
          </cell>
          <cell r="B3011" t="str">
            <v>Quá 24h</v>
          </cell>
          <cell r="D3011" t="str">
            <v>Khiếu nại về dịch vụ FTTH</v>
          </cell>
          <cell r="W3011" t="str">
            <v>Đã đóng</v>
          </cell>
          <cell r="AJ3011" t="str">
            <v>Bà Rịa - Vũng Tàu</v>
          </cell>
          <cell r="BX3011" t="str">
            <v>AON</v>
          </cell>
        </row>
        <row r="3012">
          <cell r="A3012" t="str">
            <v>OP</v>
          </cell>
          <cell r="B3012" t="str">
            <v>Quá 24h</v>
          </cell>
          <cell r="D3012" t="str">
            <v>Khiếu nại về dịch vụ FTTH</v>
          </cell>
          <cell r="W3012" t="str">
            <v>Đã đóng</v>
          </cell>
          <cell r="AJ3012" t="str">
            <v>Thái Nguyên</v>
          </cell>
          <cell r="BX3012" t="str">
            <v>AON</v>
          </cell>
        </row>
        <row r="3013">
          <cell r="A3013" t="str">
            <v>OP</v>
          </cell>
          <cell r="B3013" t="str">
            <v>Quá 24h</v>
          </cell>
          <cell r="D3013" t="str">
            <v>Khiếu nại về dịch vụ FTTH</v>
          </cell>
          <cell r="W3013" t="str">
            <v>Đã đóng</v>
          </cell>
          <cell r="AJ3013" t="str">
            <v>Hậu Giang</v>
          </cell>
          <cell r="BX3013" t="str">
            <v>AON</v>
          </cell>
        </row>
        <row r="3014">
          <cell r="A3014" t="str">
            <v>OP</v>
          </cell>
          <cell r="B3014" t="str">
            <v>Quá 24h</v>
          </cell>
          <cell r="D3014" t="str">
            <v>Khiếu nại về dịch vụ FTTH</v>
          </cell>
          <cell r="W3014" t="str">
            <v>Đã đóng</v>
          </cell>
          <cell r="AJ3014" t="str">
            <v>TP HCM</v>
          </cell>
          <cell r="BX3014" t="str">
            <v>AON</v>
          </cell>
        </row>
        <row r="3015">
          <cell r="A3015" t="str">
            <v>OP</v>
          </cell>
          <cell r="B3015" t="str">
            <v>Quá 24h</v>
          </cell>
          <cell r="D3015" t="str">
            <v>Khiếu nại về dịch vụ FTTH</v>
          </cell>
          <cell r="W3015" t="str">
            <v>Đang xử lý</v>
          </cell>
          <cell r="AJ3015" t="str">
            <v>Thái Nguyên</v>
          </cell>
          <cell r="BX3015" t="str">
            <v>AON</v>
          </cell>
        </row>
        <row r="3016">
          <cell r="A3016" t="str">
            <v>OP</v>
          </cell>
          <cell r="B3016" t="str">
            <v>Quá 24h</v>
          </cell>
          <cell r="D3016" t="str">
            <v>Khiếu nại về dịch vụ NextTV</v>
          </cell>
          <cell r="W3016" t="str">
            <v>Đã đóng</v>
          </cell>
          <cell r="AJ3016" t="str">
            <v>Khánh Hoà</v>
          </cell>
          <cell r="BX3016" t="str">
            <v>AON</v>
          </cell>
        </row>
        <row r="3017">
          <cell r="A3017" t="str">
            <v>OP</v>
          </cell>
          <cell r="B3017" t="str">
            <v>Quá 24h</v>
          </cell>
          <cell r="D3017" t="str">
            <v>Khiếu nại về dịch vụ FTTH</v>
          </cell>
          <cell r="W3017" t="str">
            <v>Đã đóng</v>
          </cell>
          <cell r="AJ3017" t="str">
            <v>Hải Phòng</v>
          </cell>
          <cell r="BX3017" t="str">
            <v>AON</v>
          </cell>
        </row>
        <row r="3018">
          <cell r="A3018" t="str">
            <v>OP</v>
          </cell>
          <cell r="B3018" t="str">
            <v>Quá 24h</v>
          </cell>
          <cell r="D3018" t="str">
            <v>Khiếu nại về dịch vụ FTTH</v>
          </cell>
          <cell r="W3018" t="str">
            <v>Đã đóng</v>
          </cell>
          <cell r="AJ3018" t="str">
            <v>TP HCM</v>
          </cell>
          <cell r="BX3018" t="str">
            <v>GPON</v>
          </cell>
        </row>
        <row r="3019">
          <cell r="A3019" t="str">
            <v>OP</v>
          </cell>
          <cell r="B3019" t="str">
            <v>Quá 24h</v>
          </cell>
          <cell r="D3019" t="str">
            <v>Khiếu nại về dịch vụ FTTH</v>
          </cell>
          <cell r="W3019" t="str">
            <v>Đã đóng</v>
          </cell>
          <cell r="AJ3019" t="str">
            <v>Hà Nội 1</v>
          </cell>
          <cell r="BX3019" t="str">
            <v>AON</v>
          </cell>
        </row>
        <row r="3020">
          <cell r="A3020" t="str">
            <v>OP</v>
          </cell>
          <cell r="B3020" t="str">
            <v>Quá 24h</v>
          </cell>
          <cell r="D3020" t="str">
            <v>Khiếu nại về dịch vụ FTTH</v>
          </cell>
          <cell r="W3020" t="str">
            <v>Đã đóng</v>
          </cell>
          <cell r="AJ3020" t="str">
            <v>Đồng Tháp</v>
          </cell>
          <cell r="BX3020" t="str">
            <v>AON</v>
          </cell>
        </row>
        <row r="3021">
          <cell r="A3021" t="str">
            <v>OP</v>
          </cell>
          <cell r="B3021" t="str">
            <v>Quá 24h</v>
          </cell>
          <cell r="D3021" t="str">
            <v>Khiếu nại về dịch vụ FTTH</v>
          </cell>
          <cell r="W3021" t="str">
            <v>Đang xử lý</v>
          </cell>
          <cell r="AJ3021" t="str">
            <v>Thanh Hoá</v>
          </cell>
          <cell r="BX3021" t="str">
            <v>AON</v>
          </cell>
        </row>
        <row r="3022">
          <cell r="A3022" t="str">
            <v>OP</v>
          </cell>
          <cell r="B3022" t="str">
            <v>Quá 24h</v>
          </cell>
          <cell r="D3022" t="str">
            <v>Khiếu nại về dịch vụ FTTH</v>
          </cell>
          <cell r="W3022" t="str">
            <v>Đã đóng</v>
          </cell>
          <cell r="AJ3022" t="str">
            <v>Thái Bình</v>
          </cell>
          <cell r="BX3022" t="str">
            <v>AON</v>
          </cell>
        </row>
        <row r="3023">
          <cell r="A3023" t="str">
            <v>OP</v>
          </cell>
          <cell r="B3023" t="str">
            <v>Quá 24h</v>
          </cell>
          <cell r="D3023" t="str">
            <v>Khiếu nại về dịch vụ FTTH</v>
          </cell>
          <cell r="W3023" t="str">
            <v>Đã đóng</v>
          </cell>
          <cell r="AJ3023" t="str">
            <v>Vĩnh Long</v>
          </cell>
          <cell r="BX3023" t="str">
            <v>AON</v>
          </cell>
        </row>
        <row r="3024">
          <cell r="A3024" t="str">
            <v>OP</v>
          </cell>
          <cell r="B3024" t="str">
            <v>Quá 24h</v>
          </cell>
          <cell r="D3024" t="str">
            <v>Khiếu nại về dịch vụ FTTH</v>
          </cell>
          <cell r="W3024" t="str">
            <v>Đã đóng</v>
          </cell>
          <cell r="AJ3024" t="str">
            <v>Thái Nguyên</v>
          </cell>
          <cell r="BX3024" t="str">
            <v>AON</v>
          </cell>
        </row>
        <row r="3025">
          <cell r="A3025" t="str">
            <v>OP</v>
          </cell>
          <cell r="B3025" t="str">
            <v>Quá 24h</v>
          </cell>
          <cell r="D3025" t="str">
            <v>Khiếu nại về dịch vụ FTTH</v>
          </cell>
          <cell r="W3025" t="str">
            <v>Đã đóng</v>
          </cell>
          <cell r="AJ3025" t="str">
            <v>Cần Thơ</v>
          </cell>
          <cell r="BX3025" t="str">
            <v>AON</v>
          </cell>
        </row>
        <row r="3026">
          <cell r="A3026" t="str">
            <v>OP</v>
          </cell>
          <cell r="B3026" t="str">
            <v>Quá 24h</v>
          </cell>
          <cell r="D3026" t="str">
            <v>Khiếu nại về dịch vụ FTTH</v>
          </cell>
          <cell r="W3026" t="str">
            <v>Đã đóng</v>
          </cell>
          <cell r="AJ3026" t="str">
            <v>Bình Dương</v>
          </cell>
          <cell r="BX3026" t="str">
            <v>AON</v>
          </cell>
        </row>
        <row r="3027">
          <cell r="A3027" t="str">
            <v>OP</v>
          </cell>
          <cell r="B3027" t="str">
            <v>Quá 24h</v>
          </cell>
          <cell r="D3027" t="str">
            <v>Khiếu nại về dịch vụ FTTH</v>
          </cell>
          <cell r="W3027" t="str">
            <v>Đã đóng</v>
          </cell>
          <cell r="AJ3027" t="str">
            <v>Hà Giang</v>
          </cell>
          <cell r="BX3027" t="str">
            <v>AON</v>
          </cell>
        </row>
        <row r="3028">
          <cell r="A3028" t="str">
            <v>OP</v>
          </cell>
          <cell r="B3028" t="str">
            <v>Quá 24h</v>
          </cell>
          <cell r="D3028" t="str">
            <v>Khiếu nại về dịch vụ FTTH</v>
          </cell>
          <cell r="W3028" t="str">
            <v>Đang xử lý</v>
          </cell>
          <cell r="AJ3028" t="str">
            <v>TP HCM</v>
          </cell>
          <cell r="BX3028" t="str">
            <v>AON</v>
          </cell>
        </row>
        <row r="3029">
          <cell r="A3029" t="str">
            <v>OP</v>
          </cell>
          <cell r="B3029" t="str">
            <v>Quá 24h</v>
          </cell>
          <cell r="D3029" t="str">
            <v>Khiếu nại về dịch vụ FTTH</v>
          </cell>
          <cell r="W3029" t="str">
            <v>Đang xử lý</v>
          </cell>
          <cell r="AJ3029" t="str">
            <v>TP HCM</v>
          </cell>
          <cell r="BX3029" t="str">
            <v>AON</v>
          </cell>
        </row>
        <row r="3030">
          <cell r="A3030" t="str">
            <v>OP</v>
          </cell>
          <cell r="B3030" t="str">
            <v>Quá 24h</v>
          </cell>
          <cell r="D3030" t="str">
            <v>Khiếu nại về dịch vụ FTTH</v>
          </cell>
          <cell r="W3030" t="str">
            <v>Đã đóng</v>
          </cell>
          <cell r="AJ3030" t="str">
            <v>Bắc Ninh</v>
          </cell>
          <cell r="BX3030" t="str">
            <v>AON</v>
          </cell>
        </row>
        <row r="3031">
          <cell r="A3031" t="str">
            <v>OP</v>
          </cell>
          <cell r="B3031" t="str">
            <v>Quá 24h</v>
          </cell>
          <cell r="D3031" t="str">
            <v>Khiếu nại về dịch vụ FTTH</v>
          </cell>
          <cell r="W3031" t="str">
            <v>Đã đóng</v>
          </cell>
          <cell r="AJ3031" t="str">
            <v>TP HCM</v>
          </cell>
          <cell r="BX3031" t="str">
            <v>AON</v>
          </cell>
        </row>
        <row r="3032">
          <cell r="A3032" t="str">
            <v>OP</v>
          </cell>
          <cell r="B3032" t="str">
            <v>Quá 24h</v>
          </cell>
          <cell r="D3032" t="str">
            <v>Khiếu nại về dịch vụ FTTH</v>
          </cell>
          <cell r="W3032" t="str">
            <v>Đang xử lý</v>
          </cell>
          <cell r="AJ3032" t="str">
            <v>Hà Nam</v>
          </cell>
          <cell r="BX3032" t="str">
            <v>AON</v>
          </cell>
        </row>
        <row r="3033">
          <cell r="A3033" t="str">
            <v>OP</v>
          </cell>
          <cell r="B3033" t="str">
            <v>Quá 24h</v>
          </cell>
          <cell r="D3033" t="str">
            <v>Khiếu nại về dịch vụ FTTH</v>
          </cell>
          <cell r="W3033" t="str">
            <v>Đang xử lý</v>
          </cell>
          <cell r="AJ3033" t="str">
            <v>Thái Nguyên</v>
          </cell>
          <cell r="BX3033" t="str">
            <v>AON</v>
          </cell>
        </row>
        <row r="3034">
          <cell r="A3034" t="str">
            <v>OP</v>
          </cell>
          <cell r="B3034" t="str">
            <v>Quá 24h</v>
          </cell>
          <cell r="D3034" t="str">
            <v>Khiếu nại về dịch vụ FTTH</v>
          </cell>
          <cell r="W3034" t="str">
            <v>Đã đóng</v>
          </cell>
          <cell r="AJ3034" t="str">
            <v>TP HCM</v>
          </cell>
          <cell r="BX3034" t="str">
            <v>AON</v>
          </cell>
        </row>
        <row r="3035">
          <cell r="A3035" t="str">
            <v>OP</v>
          </cell>
          <cell r="B3035" t="str">
            <v>Quá 24h</v>
          </cell>
          <cell r="D3035" t="str">
            <v>Khiếu nại về dịch vụ FTTH</v>
          </cell>
          <cell r="W3035" t="str">
            <v>Đang xử lý</v>
          </cell>
          <cell r="AJ3035" t="str">
            <v>Quảng Ngãi</v>
          </cell>
          <cell r="BX3035" t="str">
            <v>AON</v>
          </cell>
        </row>
        <row r="3036">
          <cell r="A3036" t="str">
            <v>OP</v>
          </cell>
          <cell r="B3036" t="str">
            <v>Quá 24h</v>
          </cell>
          <cell r="D3036" t="str">
            <v>Khiếu nại về dịch vụ FTTH</v>
          </cell>
          <cell r="W3036" t="str">
            <v>Đã đóng</v>
          </cell>
          <cell r="AJ3036" t="str">
            <v>Gia Lai</v>
          </cell>
          <cell r="BX3036" t="str">
            <v>AON</v>
          </cell>
        </row>
        <row r="3037">
          <cell r="A3037" t="str">
            <v>OP</v>
          </cell>
          <cell r="B3037" t="str">
            <v>Quá 24h</v>
          </cell>
          <cell r="D3037" t="str">
            <v>Khiếu nại về dịch vụ FTTH</v>
          </cell>
          <cell r="W3037" t="str">
            <v>Đã đóng</v>
          </cell>
          <cell r="AJ3037" t="str">
            <v>Quảng Ninh</v>
          </cell>
          <cell r="BX3037" t="str">
            <v>AON</v>
          </cell>
        </row>
        <row r="3038">
          <cell r="A3038" t="str">
            <v>OP</v>
          </cell>
          <cell r="B3038" t="str">
            <v>Quá 24h</v>
          </cell>
          <cell r="D3038" t="str">
            <v>Khiếu nại về dịch vụ FTTH</v>
          </cell>
          <cell r="W3038" t="str">
            <v>Đã đóng</v>
          </cell>
          <cell r="AJ3038" t="str">
            <v>TP HCM</v>
          </cell>
          <cell r="BX3038" t="str">
            <v>AON</v>
          </cell>
        </row>
        <row r="3039">
          <cell r="A3039" t="str">
            <v>OP</v>
          </cell>
          <cell r="B3039" t="str">
            <v>Quá 24h</v>
          </cell>
          <cell r="D3039" t="str">
            <v>Khiếu nại về dịch vụ FTTH</v>
          </cell>
          <cell r="W3039" t="str">
            <v>Đã đóng</v>
          </cell>
          <cell r="AJ3039" t="str">
            <v>TP HCM</v>
          </cell>
          <cell r="BX3039" t="str">
            <v>AON</v>
          </cell>
        </row>
        <row r="3040">
          <cell r="A3040" t="str">
            <v>OP</v>
          </cell>
          <cell r="B3040" t="str">
            <v>Quá 24h</v>
          </cell>
          <cell r="D3040" t="str">
            <v>Khiếu nại về dịch vụ FTTH</v>
          </cell>
          <cell r="W3040" t="str">
            <v>Đang xử lý</v>
          </cell>
          <cell r="AJ3040" t="str">
            <v>Cà Mau</v>
          </cell>
          <cell r="BX3040" t="str">
            <v>AON</v>
          </cell>
        </row>
        <row r="3041">
          <cell r="A3041" t="str">
            <v>OP</v>
          </cell>
          <cell r="B3041" t="str">
            <v>Quá 24h</v>
          </cell>
          <cell r="D3041" t="str">
            <v>Khiếu nại về dịch vụ FTTH</v>
          </cell>
          <cell r="W3041" t="str">
            <v>Đã đóng</v>
          </cell>
          <cell r="AJ3041" t="str">
            <v>Tây Ninh</v>
          </cell>
          <cell r="BX3041" t="str">
            <v>AON</v>
          </cell>
        </row>
        <row r="3042">
          <cell r="A3042" t="str">
            <v>OP</v>
          </cell>
          <cell r="B3042" t="str">
            <v>Quá 24h</v>
          </cell>
          <cell r="D3042" t="str">
            <v>Khiếu nại về dịch vụ FTTH</v>
          </cell>
          <cell r="W3042" t="str">
            <v>Đã đóng</v>
          </cell>
          <cell r="AJ3042" t="str">
            <v>Hưng Yên</v>
          </cell>
          <cell r="BX3042" t="str">
            <v>AON</v>
          </cell>
        </row>
        <row r="3043">
          <cell r="A3043" t="str">
            <v>OP</v>
          </cell>
          <cell r="B3043" t="str">
            <v>Quá 24h</v>
          </cell>
          <cell r="D3043" t="str">
            <v>Khiếu nại về dịch vụ FTTH</v>
          </cell>
          <cell r="W3043" t="str">
            <v>Đã đóng</v>
          </cell>
          <cell r="AJ3043" t="str">
            <v>TP HCM</v>
          </cell>
          <cell r="BX3043" t="str">
            <v>GPON</v>
          </cell>
        </row>
        <row r="3044">
          <cell r="A3044" t="str">
            <v>OP</v>
          </cell>
          <cell r="B3044" t="str">
            <v>Quá 24h</v>
          </cell>
          <cell r="D3044" t="str">
            <v>Khiếu nại về dịch vụ FTTH</v>
          </cell>
          <cell r="W3044" t="str">
            <v>Đã đóng</v>
          </cell>
          <cell r="AJ3044" t="str">
            <v>Quảng Ninh</v>
          </cell>
          <cell r="BX3044" t="str">
            <v>AON</v>
          </cell>
        </row>
        <row r="3045">
          <cell r="A3045" t="str">
            <v>OP</v>
          </cell>
          <cell r="B3045" t="str">
            <v>Quá 24h</v>
          </cell>
          <cell r="D3045" t="str">
            <v>Khiếu nại về dịch vụ FTTH</v>
          </cell>
          <cell r="W3045" t="str">
            <v>Đã đóng</v>
          </cell>
          <cell r="AJ3045" t="str">
            <v xml:space="preserve">Quảng Nam </v>
          </cell>
          <cell r="BX3045" t="str">
            <v>AON</v>
          </cell>
        </row>
        <row r="3046">
          <cell r="A3046" t="str">
            <v>OP</v>
          </cell>
          <cell r="B3046" t="str">
            <v>Quá 24h</v>
          </cell>
          <cell r="D3046" t="str">
            <v>Khiếu nại về dịch vụ FTTH</v>
          </cell>
          <cell r="W3046" t="str">
            <v>Đã đóng</v>
          </cell>
          <cell r="AJ3046" t="str">
            <v>Hà Nội 2</v>
          </cell>
          <cell r="BX3046" t="str">
            <v>AON</v>
          </cell>
        </row>
        <row r="3047">
          <cell r="A3047" t="str">
            <v>OP</v>
          </cell>
          <cell r="B3047" t="str">
            <v>Quá 24h</v>
          </cell>
          <cell r="D3047" t="str">
            <v>Khiếu nại về dịch vụ FTTH</v>
          </cell>
          <cell r="W3047" t="str">
            <v>Đã đóng</v>
          </cell>
          <cell r="AJ3047" t="str">
            <v>TP HCM</v>
          </cell>
          <cell r="BX3047" t="str">
            <v>AON</v>
          </cell>
        </row>
        <row r="3048">
          <cell r="A3048" t="str">
            <v>OP</v>
          </cell>
          <cell r="B3048" t="str">
            <v>Quá 24h</v>
          </cell>
          <cell r="D3048" t="str">
            <v>Khiếu nại về dịch vụ FTTH</v>
          </cell>
          <cell r="W3048" t="str">
            <v>Đã đóng</v>
          </cell>
          <cell r="AJ3048" t="str">
            <v>Lâm Đồng</v>
          </cell>
          <cell r="BX3048" t="str">
            <v>AON</v>
          </cell>
        </row>
        <row r="3049">
          <cell r="A3049" t="str">
            <v>OP</v>
          </cell>
          <cell r="B3049" t="str">
            <v>Quá 24h</v>
          </cell>
          <cell r="D3049" t="str">
            <v>Khiếu nại về dịch vụ FTTH</v>
          </cell>
          <cell r="W3049" t="str">
            <v>Đã đóng</v>
          </cell>
          <cell r="AJ3049" t="str">
            <v>Kiên Giang</v>
          </cell>
          <cell r="BX3049" t="str">
            <v>AON</v>
          </cell>
        </row>
        <row r="3050">
          <cell r="A3050" t="str">
            <v>OP</v>
          </cell>
          <cell r="B3050" t="str">
            <v>Quá 24h</v>
          </cell>
          <cell r="D3050" t="str">
            <v>Khiếu nại về dịch vụ FTTH</v>
          </cell>
          <cell r="W3050" t="str">
            <v>Đã đóng</v>
          </cell>
          <cell r="AJ3050" t="str">
            <v>Thái Bình</v>
          </cell>
          <cell r="BX3050" t="str">
            <v>AON</v>
          </cell>
        </row>
        <row r="3051">
          <cell r="A3051" t="str">
            <v>OP</v>
          </cell>
          <cell r="B3051" t="str">
            <v>Quá 24h</v>
          </cell>
          <cell r="D3051" t="str">
            <v>Khiếu nại về dịch vụ FTTH</v>
          </cell>
          <cell r="W3051" t="str">
            <v>Đã đóng</v>
          </cell>
          <cell r="AJ3051" t="str">
            <v>Cần Thơ</v>
          </cell>
          <cell r="BX3051" t="str">
            <v>AON</v>
          </cell>
        </row>
        <row r="3052">
          <cell r="A3052" t="str">
            <v>OP</v>
          </cell>
          <cell r="B3052" t="str">
            <v>Quá 24h</v>
          </cell>
          <cell r="D3052" t="str">
            <v>Khiếu nại về dịch vụ FTTH</v>
          </cell>
          <cell r="W3052" t="str">
            <v>Đã đóng</v>
          </cell>
          <cell r="AJ3052" t="str">
            <v>Quảng Ninh</v>
          </cell>
          <cell r="BX3052" t="str">
            <v>AON</v>
          </cell>
        </row>
        <row r="3053">
          <cell r="A3053" t="str">
            <v>OP</v>
          </cell>
          <cell r="B3053" t="str">
            <v>Quá 24h</v>
          </cell>
          <cell r="D3053" t="str">
            <v>Khiếu nại về dịch vụ FTTH</v>
          </cell>
          <cell r="W3053" t="str">
            <v>Đã đóng</v>
          </cell>
          <cell r="AJ3053" t="str">
            <v>Bình Phước</v>
          </cell>
          <cell r="BX3053" t="str">
            <v>AON</v>
          </cell>
        </row>
        <row r="3054">
          <cell r="A3054" t="str">
            <v>OP</v>
          </cell>
          <cell r="B3054" t="str">
            <v>Quá 24h</v>
          </cell>
          <cell r="D3054" t="str">
            <v>Khiếu nại về dịch vụ FTTH</v>
          </cell>
          <cell r="W3054" t="str">
            <v>Đang xử lý</v>
          </cell>
          <cell r="AJ3054" t="str">
            <v>TP HCM</v>
          </cell>
          <cell r="BX3054" t="str">
            <v>AON</v>
          </cell>
        </row>
        <row r="3055">
          <cell r="A3055" t="str">
            <v>OP</v>
          </cell>
          <cell r="B3055" t="str">
            <v>Quá 24h</v>
          </cell>
          <cell r="D3055" t="str">
            <v>Khiếu nại về dịch vụ FTTH</v>
          </cell>
          <cell r="W3055" t="str">
            <v>Đã đóng</v>
          </cell>
          <cell r="AJ3055" t="str">
            <v>Hà Nội 2</v>
          </cell>
          <cell r="BX3055" t="str">
            <v>AON</v>
          </cell>
        </row>
        <row r="3056">
          <cell r="A3056" t="str">
            <v>OP</v>
          </cell>
          <cell r="B3056" t="str">
            <v>Quá 24h</v>
          </cell>
          <cell r="D3056" t="str">
            <v>Khiếu nại về dịch vụ FTTH</v>
          </cell>
          <cell r="W3056" t="str">
            <v>Đã đóng</v>
          </cell>
          <cell r="AJ3056" t="str">
            <v>Lâm Đồng</v>
          </cell>
          <cell r="BX3056" t="str">
            <v>AON</v>
          </cell>
        </row>
        <row r="3057">
          <cell r="A3057" t="str">
            <v>OP</v>
          </cell>
          <cell r="B3057" t="str">
            <v>Quá 24h</v>
          </cell>
          <cell r="D3057" t="str">
            <v>Khiếu nại về dịch vụ FTTH</v>
          </cell>
          <cell r="W3057" t="str">
            <v>Đã đóng</v>
          </cell>
          <cell r="AJ3057" t="str">
            <v>TP HCM</v>
          </cell>
          <cell r="BX3057" t="str">
            <v>AON</v>
          </cell>
        </row>
        <row r="3058">
          <cell r="A3058" t="str">
            <v>OP</v>
          </cell>
          <cell r="B3058" t="str">
            <v>Quá 24h</v>
          </cell>
          <cell r="D3058" t="str">
            <v>Khiếu nại về dịch vụ FTTH</v>
          </cell>
          <cell r="W3058" t="str">
            <v>Đã đóng</v>
          </cell>
          <cell r="AJ3058" t="str">
            <v>TP HCM</v>
          </cell>
          <cell r="BX3058" t="str">
            <v>AON</v>
          </cell>
        </row>
        <row r="3059">
          <cell r="A3059" t="str">
            <v>OP</v>
          </cell>
          <cell r="B3059" t="str">
            <v>Quá 24h</v>
          </cell>
          <cell r="D3059" t="str">
            <v>Khiếu nại về dịch vụ FTTH</v>
          </cell>
          <cell r="W3059" t="str">
            <v>Đã đóng</v>
          </cell>
          <cell r="AJ3059" t="str">
            <v>TP HCM</v>
          </cell>
          <cell r="BX3059" t="str">
            <v>AON</v>
          </cell>
        </row>
        <row r="3060">
          <cell r="A3060" t="str">
            <v>OP</v>
          </cell>
          <cell r="B3060" t="str">
            <v>Quá 24h</v>
          </cell>
          <cell r="D3060" t="str">
            <v>Khiếu nại về dịch vụ FTTH</v>
          </cell>
          <cell r="W3060" t="str">
            <v>Đã đóng</v>
          </cell>
          <cell r="AJ3060" t="str">
            <v>Hà Nội 2</v>
          </cell>
          <cell r="BX3060" t="str">
            <v>AON</v>
          </cell>
        </row>
        <row r="3061">
          <cell r="A3061" t="str">
            <v>OP</v>
          </cell>
          <cell r="B3061" t="str">
            <v>Quá 24h</v>
          </cell>
          <cell r="D3061" t="str">
            <v>Khiếu nại về dịch vụ FTTH</v>
          </cell>
          <cell r="W3061" t="str">
            <v>Đang xử lý</v>
          </cell>
          <cell r="AJ3061" t="str">
            <v>Gia Lai</v>
          </cell>
          <cell r="BX3061" t="str">
            <v>AON</v>
          </cell>
        </row>
        <row r="3062">
          <cell r="A3062" t="str">
            <v>OP</v>
          </cell>
          <cell r="B3062" t="str">
            <v>Quá 24h</v>
          </cell>
          <cell r="D3062" t="str">
            <v>Khiếu nại về dịch vụ FTTH</v>
          </cell>
          <cell r="W3062" t="str">
            <v>Đang xử lý</v>
          </cell>
          <cell r="AJ3062" t="str">
            <v>Thanh Hoá</v>
          </cell>
          <cell r="BX3062" t="str">
            <v>AON</v>
          </cell>
        </row>
        <row r="3063">
          <cell r="A3063" t="str">
            <v>OP</v>
          </cell>
          <cell r="B3063" t="str">
            <v>Quá 24h</v>
          </cell>
          <cell r="D3063" t="str">
            <v>Khiếu nại về dịch vụ FTTH</v>
          </cell>
          <cell r="W3063" t="str">
            <v>Đã đóng</v>
          </cell>
          <cell r="AJ3063" t="str">
            <v>Gia Lai</v>
          </cell>
          <cell r="BX3063" t="str">
            <v>AON</v>
          </cell>
        </row>
        <row r="3064">
          <cell r="A3064" t="str">
            <v>OP</v>
          </cell>
          <cell r="B3064" t="str">
            <v>Quá 24h</v>
          </cell>
          <cell r="D3064" t="str">
            <v>Khiếu nại về dịch vụ FTTH</v>
          </cell>
          <cell r="W3064" t="str">
            <v>Đã đóng</v>
          </cell>
          <cell r="AJ3064" t="str">
            <v>Cà Mau</v>
          </cell>
          <cell r="BX3064" t="str">
            <v>AON</v>
          </cell>
        </row>
        <row r="3065">
          <cell r="A3065" t="str">
            <v>OP</v>
          </cell>
          <cell r="B3065" t="str">
            <v>Quá 24h</v>
          </cell>
          <cell r="D3065" t="str">
            <v>Khiếu nại về dịch vụ FTTH</v>
          </cell>
          <cell r="W3065" t="str">
            <v>Đã đóng</v>
          </cell>
          <cell r="AJ3065" t="str">
            <v>Hậu Giang</v>
          </cell>
          <cell r="BX3065" t="str">
            <v>AON</v>
          </cell>
        </row>
        <row r="3066">
          <cell r="A3066" t="str">
            <v>OP</v>
          </cell>
          <cell r="B3066" t="str">
            <v>Quá 24h</v>
          </cell>
          <cell r="D3066" t="str">
            <v>Khiếu nại về dịch vụ FTTH</v>
          </cell>
          <cell r="W3066" t="str">
            <v>Đã đóng</v>
          </cell>
          <cell r="AJ3066" t="str">
            <v>Hưng Yên</v>
          </cell>
          <cell r="BX3066" t="str">
            <v>AON</v>
          </cell>
        </row>
        <row r="3067">
          <cell r="A3067" t="str">
            <v>OP</v>
          </cell>
          <cell r="B3067" t="str">
            <v>Quá 24h</v>
          </cell>
          <cell r="D3067" t="str">
            <v>Khiếu nại về dịch vụ FTTH</v>
          </cell>
          <cell r="W3067" t="str">
            <v>Đã đóng</v>
          </cell>
          <cell r="AJ3067" t="str">
            <v>Hưng Yên</v>
          </cell>
          <cell r="BX3067" t="str">
            <v>AON</v>
          </cell>
        </row>
        <row r="3068">
          <cell r="A3068" t="str">
            <v>OP</v>
          </cell>
          <cell r="B3068" t="str">
            <v>Quá 24h</v>
          </cell>
          <cell r="D3068" t="str">
            <v>Khiếu nại về dịch vụ FTTH</v>
          </cell>
          <cell r="W3068" t="str">
            <v>Đã đóng</v>
          </cell>
          <cell r="AJ3068" t="str">
            <v>TP HCM</v>
          </cell>
          <cell r="BX3068" t="str">
            <v>AON</v>
          </cell>
        </row>
        <row r="3069">
          <cell r="A3069" t="str">
            <v>OP</v>
          </cell>
          <cell r="B3069" t="str">
            <v>Quá 24h</v>
          </cell>
          <cell r="D3069" t="str">
            <v>Khiếu nại về dịch vụ FTTH</v>
          </cell>
          <cell r="W3069" t="str">
            <v>Đã đóng</v>
          </cell>
          <cell r="AJ3069" t="str">
            <v xml:space="preserve">Đà Nẵng </v>
          </cell>
          <cell r="BX3069" t="str">
            <v>AON</v>
          </cell>
        </row>
        <row r="3070">
          <cell r="A3070" t="str">
            <v>OP</v>
          </cell>
          <cell r="B3070" t="str">
            <v>Quá 24h</v>
          </cell>
          <cell r="D3070" t="str">
            <v>Khiếu nại về dịch vụ FTTH</v>
          </cell>
          <cell r="W3070" t="str">
            <v>Đã đóng</v>
          </cell>
          <cell r="AJ3070" t="str">
            <v xml:space="preserve">Đắc Lắk </v>
          </cell>
          <cell r="BX3070" t="str">
            <v>AON</v>
          </cell>
        </row>
        <row r="3071">
          <cell r="A3071" t="str">
            <v>OP</v>
          </cell>
          <cell r="B3071" t="str">
            <v>Quá 24h</v>
          </cell>
          <cell r="D3071" t="str">
            <v>Khiếu nại về dịch vụ FTTH</v>
          </cell>
          <cell r="W3071" t="str">
            <v>Đã đóng</v>
          </cell>
          <cell r="AJ3071" t="str">
            <v>Bình Dương</v>
          </cell>
          <cell r="BX3071" t="str">
            <v>AON</v>
          </cell>
        </row>
        <row r="3072">
          <cell r="A3072" t="str">
            <v>OP</v>
          </cell>
          <cell r="B3072" t="str">
            <v>Quá 24h</v>
          </cell>
          <cell r="D3072" t="str">
            <v>Khiếu nại về dịch vụ NextTV</v>
          </cell>
          <cell r="W3072" t="str">
            <v>Đã đóng</v>
          </cell>
          <cell r="AJ3072" t="str">
            <v>Hà Nội 1</v>
          </cell>
          <cell r="BX3072" t="str">
            <v>AON</v>
          </cell>
        </row>
        <row r="3073">
          <cell r="A3073" t="str">
            <v>OP</v>
          </cell>
          <cell r="B3073" t="str">
            <v>Quá 24h</v>
          </cell>
          <cell r="D3073" t="str">
            <v>Khiếu nại về dịch vụ FTTH</v>
          </cell>
          <cell r="W3073" t="str">
            <v>Đã đóng</v>
          </cell>
          <cell r="AJ3073" t="str">
            <v xml:space="preserve">Đà Nẵng </v>
          </cell>
          <cell r="BX3073" t="str">
            <v>AON</v>
          </cell>
        </row>
        <row r="3074">
          <cell r="A3074" t="str">
            <v>OP</v>
          </cell>
          <cell r="B3074" t="str">
            <v>Quá 24h</v>
          </cell>
          <cell r="D3074" t="str">
            <v>Khiếu nại về dịch vụ FTTH</v>
          </cell>
          <cell r="W3074" t="str">
            <v>Đã đóng</v>
          </cell>
          <cell r="AJ3074" t="str">
            <v>Hưng Yên</v>
          </cell>
          <cell r="BX3074" t="str">
            <v>AON</v>
          </cell>
        </row>
        <row r="3075">
          <cell r="A3075" t="str">
            <v>OP</v>
          </cell>
          <cell r="B3075" t="str">
            <v>Quá 24h</v>
          </cell>
          <cell r="D3075" t="str">
            <v>Khiếu nại về dịch vụ FTTH</v>
          </cell>
          <cell r="W3075" t="str">
            <v>Đã đóng</v>
          </cell>
          <cell r="AJ3075" t="str">
            <v>Bình Dương</v>
          </cell>
          <cell r="BX3075" t="str">
            <v>AON</v>
          </cell>
        </row>
        <row r="3076">
          <cell r="A3076" t="str">
            <v>OP</v>
          </cell>
          <cell r="B3076" t="str">
            <v>Quá 24h</v>
          </cell>
          <cell r="D3076" t="str">
            <v>Khiếu nại về dịch vụ FTTH</v>
          </cell>
          <cell r="W3076" t="str">
            <v>Đã đóng</v>
          </cell>
          <cell r="AJ3076" t="str">
            <v>Thái Nguyên</v>
          </cell>
          <cell r="BX3076" t="str">
            <v>AON</v>
          </cell>
        </row>
        <row r="3077">
          <cell r="A3077" t="str">
            <v>OP</v>
          </cell>
          <cell r="B3077" t="str">
            <v>Quá 24h</v>
          </cell>
          <cell r="D3077" t="str">
            <v>Khiếu nại về dịch vụ FTTH</v>
          </cell>
          <cell r="W3077" t="str">
            <v>Đã đóng</v>
          </cell>
          <cell r="AJ3077" t="str">
            <v>TP HCM</v>
          </cell>
          <cell r="BX3077" t="str">
            <v>AON</v>
          </cell>
        </row>
        <row r="3078">
          <cell r="A3078" t="str">
            <v>OP</v>
          </cell>
          <cell r="B3078" t="str">
            <v>Quá 24h</v>
          </cell>
          <cell r="D3078" t="str">
            <v>Khiếu nại về dịch vụ FTTH</v>
          </cell>
          <cell r="W3078" t="str">
            <v>Đã đóng</v>
          </cell>
          <cell r="AJ3078" t="str">
            <v>Cà Mau</v>
          </cell>
          <cell r="BX3078" t="str">
            <v>AON</v>
          </cell>
        </row>
        <row r="3079">
          <cell r="A3079" t="str">
            <v>OP</v>
          </cell>
          <cell r="B3079" t="str">
            <v>Quá 24h</v>
          </cell>
          <cell r="D3079" t="str">
            <v>Khiếu nại về dịch vụ FTTH</v>
          </cell>
          <cell r="W3079" t="str">
            <v>Đang xử lý</v>
          </cell>
          <cell r="AJ3079" t="str">
            <v>Bình Dương</v>
          </cell>
          <cell r="BX3079" t="str">
            <v>AON</v>
          </cell>
        </row>
        <row r="3080">
          <cell r="A3080" t="str">
            <v>OP</v>
          </cell>
          <cell r="B3080" t="str">
            <v>Quá 24h</v>
          </cell>
          <cell r="D3080" t="str">
            <v>Khiếu nại về dịch vụ FTTH</v>
          </cell>
          <cell r="W3080" t="str">
            <v>Đã đóng</v>
          </cell>
          <cell r="AJ3080" t="str">
            <v>TP HCM</v>
          </cell>
          <cell r="BX3080" t="str">
            <v>AON</v>
          </cell>
        </row>
        <row r="3081">
          <cell r="A3081" t="str">
            <v>OP</v>
          </cell>
          <cell r="B3081" t="str">
            <v>Quá 24h</v>
          </cell>
          <cell r="D3081" t="str">
            <v>Khiếu nại về dịch vụ FTTH</v>
          </cell>
          <cell r="W3081" t="str">
            <v>Đã đóng</v>
          </cell>
          <cell r="AJ3081" t="str">
            <v>Hà Nội 2</v>
          </cell>
          <cell r="BX3081" t="str">
            <v>AON</v>
          </cell>
        </row>
        <row r="3082">
          <cell r="A3082" t="str">
            <v>OP</v>
          </cell>
          <cell r="B3082" t="str">
            <v>Quá 24h</v>
          </cell>
          <cell r="D3082" t="str">
            <v>Khiếu nại về dịch vụ FTTH</v>
          </cell>
          <cell r="W3082" t="str">
            <v>Đang xử lý</v>
          </cell>
          <cell r="AJ3082" t="str">
            <v>Thanh Hoá</v>
          </cell>
          <cell r="BX3082" t="str">
            <v>AON</v>
          </cell>
        </row>
        <row r="3083">
          <cell r="A3083" t="str">
            <v>OP</v>
          </cell>
          <cell r="B3083" t="str">
            <v>Quá 24h</v>
          </cell>
          <cell r="D3083" t="str">
            <v>Khiếu nại về dịch vụ FTTH</v>
          </cell>
          <cell r="W3083" t="str">
            <v>Đã đóng</v>
          </cell>
          <cell r="AJ3083" t="str">
            <v>Hoà Bình</v>
          </cell>
          <cell r="BX3083" t="str">
            <v>AON</v>
          </cell>
        </row>
        <row r="3084">
          <cell r="A3084" t="str">
            <v>OP</v>
          </cell>
          <cell r="B3084" t="str">
            <v>Quá 24h</v>
          </cell>
          <cell r="D3084" t="str">
            <v>Khiếu nại về dịch vụ FTTH</v>
          </cell>
          <cell r="W3084" t="str">
            <v>Đã đóng</v>
          </cell>
          <cell r="AJ3084" t="str">
            <v>TP HCM</v>
          </cell>
          <cell r="BX3084" t="str">
            <v>AON</v>
          </cell>
        </row>
        <row r="3085">
          <cell r="A3085" t="str">
            <v>OP</v>
          </cell>
          <cell r="B3085" t="str">
            <v>Quá 24h</v>
          </cell>
          <cell r="D3085" t="str">
            <v>Khiếu nại về dịch vụ FTTH</v>
          </cell>
          <cell r="W3085" t="str">
            <v>Đang xử lý</v>
          </cell>
          <cell r="AJ3085" t="str">
            <v>Bắc Ninh</v>
          </cell>
          <cell r="BX3085" t="str">
            <v>AON</v>
          </cell>
        </row>
        <row r="3086">
          <cell r="A3086" t="str">
            <v>OP</v>
          </cell>
          <cell r="B3086" t="str">
            <v>Quá 24h</v>
          </cell>
          <cell r="D3086" t="str">
            <v>Khiếu nại về dịch vụ FTTH</v>
          </cell>
          <cell r="W3086" t="str">
            <v>Đã đóng</v>
          </cell>
          <cell r="AJ3086" t="str">
            <v>Bình Định</v>
          </cell>
          <cell r="BX3086" t="str">
            <v>AON</v>
          </cell>
        </row>
        <row r="3087">
          <cell r="A3087" t="str">
            <v>OP</v>
          </cell>
          <cell r="B3087" t="str">
            <v>Quá 24h</v>
          </cell>
          <cell r="D3087" t="str">
            <v>Khiếu nại về dịch vụ FTTH</v>
          </cell>
          <cell r="W3087" t="str">
            <v>Đang xử lý</v>
          </cell>
          <cell r="AJ3087" t="str">
            <v>TP HCM</v>
          </cell>
          <cell r="BX3087" t="str">
            <v>AON</v>
          </cell>
        </row>
        <row r="3088">
          <cell r="A3088" t="str">
            <v>OP</v>
          </cell>
          <cell r="B3088" t="str">
            <v>Quá 24h</v>
          </cell>
          <cell r="D3088" t="str">
            <v>Khiếu nại về dịch vụ FTTH</v>
          </cell>
          <cell r="W3088" t="str">
            <v>Đã đóng</v>
          </cell>
          <cell r="AJ3088" t="str">
            <v>Bình Dương</v>
          </cell>
          <cell r="BX3088" t="str">
            <v>AON</v>
          </cell>
        </row>
        <row r="3089">
          <cell r="A3089" t="str">
            <v>OP</v>
          </cell>
          <cell r="B3089" t="str">
            <v>Quá 24h</v>
          </cell>
          <cell r="D3089" t="str">
            <v>Khiếu nại về dịch vụ FTTH</v>
          </cell>
          <cell r="W3089" t="str">
            <v>Đã đóng</v>
          </cell>
          <cell r="AJ3089" t="str">
            <v>TP HCM</v>
          </cell>
          <cell r="BX3089" t="str">
            <v>AON</v>
          </cell>
        </row>
        <row r="3090">
          <cell r="A3090" t="str">
            <v>OP</v>
          </cell>
          <cell r="B3090" t="str">
            <v>Quá 24h</v>
          </cell>
          <cell r="D3090" t="str">
            <v>Khiếu nại về dịch vụ FTTH</v>
          </cell>
          <cell r="W3090" t="str">
            <v>Đã đóng</v>
          </cell>
          <cell r="AJ3090" t="str">
            <v>TP HCM</v>
          </cell>
          <cell r="BX3090" t="str">
            <v>AON</v>
          </cell>
        </row>
        <row r="3091">
          <cell r="A3091" t="str">
            <v>OP</v>
          </cell>
          <cell r="B3091" t="str">
            <v>Quá 24h</v>
          </cell>
          <cell r="D3091" t="str">
            <v>Khiếu nại về dịch vụ FTTH</v>
          </cell>
          <cell r="W3091" t="str">
            <v>Đang xử lý</v>
          </cell>
          <cell r="AJ3091" t="str">
            <v>Bình Định</v>
          </cell>
          <cell r="BX3091" t="str">
            <v>AON</v>
          </cell>
        </row>
        <row r="3092">
          <cell r="A3092" t="str">
            <v>OP</v>
          </cell>
          <cell r="B3092" t="str">
            <v>Quá 24h</v>
          </cell>
          <cell r="D3092" t="str">
            <v>Khiếu nại về dịch vụ FTTH</v>
          </cell>
          <cell r="W3092" t="str">
            <v>Đã đóng</v>
          </cell>
          <cell r="AJ3092" t="str">
            <v>Nam Định</v>
          </cell>
          <cell r="BX3092" t="str">
            <v>AON</v>
          </cell>
        </row>
        <row r="3093">
          <cell r="A3093" t="str">
            <v>OP</v>
          </cell>
          <cell r="B3093" t="str">
            <v>Quá 24h</v>
          </cell>
          <cell r="D3093" t="str">
            <v>Khiếu nại về dịch vụ FTTH</v>
          </cell>
          <cell r="W3093" t="str">
            <v>Đang xử lý</v>
          </cell>
          <cell r="AJ3093" t="str">
            <v>Thái Bình</v>
          </cell>
          <cell r="BX3093" t="str">
            <v>AON</v>
          </cell>
        </row>
        <row r="3094">
          <cell r="A3094" t="str">
            <v>OP</v>
          </cell>
          <cell r="B3094" t="str">
            <v>Quá 24h</v>
          </cell>
          <cell r="D3094" t="str">
            <v>Khiếu nại về dịch vụ NextTV</v>
          </cell>
          <cell r="W3094" t="str">
            <v>Đã đóng</v>
          </cell>
          <cell r="AJ3094" t="str">
            <v>TP HCM</v>
          </cell>
          <cell r="BX3094" t="str">
            <v>AON</v>
          </cell>
        </row>
        <row r="3095">
          <cell r="A3095" t="str">
            <v>OP</v>
          </cell>
          <cell r="B3095" t="str">
            <v>Quá 24h</v>
          </cell>
          <cell r="D3095" t="str">
            <v>Khiếu nại về dịch vụ FTTH</v>
          </cell>
          <cell r="W3095" t="str">
            <v>Đang xử lý</v>
          </cell>
          <cell r="AJ3095" t="str">
            <v xml:space="preserve">Quảng Nam </v>
          </cell>
          <cell r="BX3095" t="str">
            <v>AON</v>
          </cell>
        </row>
        <row r="3096">
          <cell r="A3096" t="str">
            <v>OP</v>
          </cell>
          <cell r="B3096" t="str">
            <v>Quá 24h</v>
          </cell>
          <cell r="D3096" t="str">
            <v>Khiếu nại về dịch vụ FTTH</v>
          </cell>
          <cell r="W3096" t="str">
            <v>Đang xử lý</v>
          </cell>
          <cell r="AJ3096" t="str">
            <v>Hà Nội 1</v>
          </cell>
          <cell r="BX3096" t="str">
            <v>AON</v>
          </cell>
        </row>
        <row r="3097">
          <cell r="A3097" t="str">
            <v>OP</v>
          </cell>
          <cell r="B3097" t="str">
            <v>Quá 24h</v>
          </cell>
          <cell r="D3097" t="str">
            <v>Khiếu nại về dịch vụ FTTH</v>
          </cell>
          <cell r="W3097" t="str">
            <v>Đã đóng</v>
          </cell>
          <cell r="AJ3097" t="str">
            <v>Hà Nội 1</v>
          </cell>
          <cell r="BX3097" t="str">
            <v>AON</v>
          </cell>
        </row>
        <row r="3098">
          <cell r="A3098" t="str">
            <v>OP</v>
          </cell>
          <cell r="B3098" t="str">
            <v>Quá 24h</v>
          </cell>
          <cell r="D3098" t="str">
            <v>Khiếu nại về dịch vụ FTTH</v>
          </cell>
          <cell r="W3098" t="str">
            <v>Đã đóng</v>
          </cell>
          <cell r="AJ3098" t="str">
            <v>Bà Rịa - Vũng Tàu</v>
          </cell>
          <cell r="BX3098" t="str">
            <v>AON</v>
          </cell>
        </row>
        <row r="3099">
          <cell r="A3099" t="str">
            <v>OP</v>
          </cell>
          <cell r="B3099" t="str">
            <v>Quá 24h</v>
          </cell>
          <cell r="D3099" t="str">
            <v>Khiếu nại về dịch vụ FTTH</v>
          </cell>
          <cell r="W3099" t="str">
            <v>Đang xử lý</v>
          </cell>
          <cell r="AJ3099" t="str">
            <v>Thái Nguyên</v>
          </cell>
          <cell r="BX3099" t="str">
            <v>AON</v>
          </cell>
        </row>
        <row r="3100">
          <cell r="A3100" t="str">
            <v>OP</v>
          </cell>
          <cell r="B3100" t="str">
            <v>Quá 24h</v>
          </cell>
          <cell r="D3100" t="str">
            <v>Khiếu nại về dịch vụ FTTH</v>
          </cell>
          <cell r="W3100" t="str">
            <v>Đã đóng</v>
          </cell>
          <cell r="AJ3100" t="str">
            <v>TP HCM</v>
          </cell>
          <cell r="BX3100" t="str">
            <v>AON</v>
          </cell>
        </row>
        <row r="3101">
          <cell r="A3101" t="str">
            <v>OP</v>
          </cell>
          <cell r="B3101" t="str">
            <v>Quá 24h</v>
          </cell>
          <cell r="D3101" t="str">
            <v>Khiếu nại về dịch vụ FTTH</v>
          </cell>
          <cell r="W3101" t="str">
            <v>Đã đóng</v>
          </cell>
          <cell r="AJ3101" t="str">
            <v>Hà Nội 2</v>
          </cell>
          <cell r="BX3101" t="str">
            <v>AON</v>
          </cell>
        </row>
        <row r="3102">
          <cell r="A3102" t="str">
            <v>OP</v>
          </cell>
          <cell r="B3102" t="str">
            <v>Quá 24h</v>
          </cell>
          <cell r="D3102" t="str">
            <v>Khiếu nại về dịch vụ FTTH</v>
          </cell>
          <cell r="W3102" t="str">
            <v>Đã đóng</v>
          </cell>
          <cell r="AJ3102" t="str">
            <v>TP HCM</v>
          </cell>
          <cell r="BX3102" t="str">
            <v>AON</v>
          </cell>
        </row>
        <row r="3103">
          <cell r="A3103" t="str">
            <v>OP</v>
          </cell>
          <cell r="B3103" t="str">
            <v>Quá 24h</v>
          </cell>
          <cell r="D3103" t="str">
            <v>Khiếu nại về dịch vụ FTTH</v>
          </cell>
          <cell r="W3103" t="str">
            <v>Đang xử lý</v>
          </cell>
          <cell r="AJ3103" t="str">
            <v>TP HCM</v>
          </cell>
          <cell r="BX3103" t="str">
            <v>AON</v>
          </cell>
        </row>
        <row r="3104">
          <cell r="A3104" t="str">
            <v>OP</v>
          </cell>
          <cell r="B3104" t="str">
            <v>Quá 24h</v>
          </cell>
          <cell r="D3104" t="str">
            <v>Khiếu nại về dịch vụ NextTV</v>
          </cell>
          <cell r="W3104" t="str">
            <v>Đã đóng</v>
          </cell>
          <cell r="AJ3104" t="str">
            <v>TP HCM</v>
          </cell>
          <cell r="BX3104" t="str">
            <v>AON</v>
          </cell>
        </row>
        <row r="3105">
          <cell r="A3105" t="str">
            <v>OP</v>
          </cell>
          <cell r="B3105" t="str">
            <v>Quá 24h</v>
          </cell>
          <cell r="D3105" t="str">
            <v>Khiếu nại về dịch vụ FTTH</v>
          </cell>
          <cell r="W3105" t="str">
            <v>Đang xử lý</v>
          </cell>
          <cell r="AJ3105" t="str">
            <v xml:space="preserve">Quảng Nam </v>
          </cell>
          <cell r="BX3105" t="str">
            <v>AON</v>
          </cell>
        </row>
        <row r="3106">
          <cell r="A3106" t="str">
            <v>OP</v>
          </cell>
          <cell r="B3106" t="str">
            <v>Quá 24h</v>
          </cell>
          <cell r="D3106" t="str">
            <v>Khiếu nại về dịch vụ FTTH</v>
          </cell>
          <cell r="W3106" t="str">
            <v>Đã đóng</v>
          </cell>
          <cell r="AJ3106" t="str">
            <v>Hà Giang</v>
          </cell>
          <cell r="BX3106" t="str">
            <v>AON</v>
          </cell>
        </row>
        <row r="3107">
          <cell r="A3107" t="str">
            <v>OP</v>
          </cell>
          <cell r="B3107" t="str">
            <v>Quá 24h</v>
          </cell>
          <cell r="D3107" t="str">
            <v>Khiếu nại về dịch vụ FTTH</v>
          </cell>
          <cell r="W3107" t="str">
            <v>Đã đóng</v>
          </cell>
          <cell r="AJ3107" t="str">
            <v xml:space="preserve">Đồng Nai </v>
          </cell>
          <cell r="BX3107" t="str">
            <v>AON</v>
          </cell>
        </row>
        <row r="3108">
          <cell r="A3108" t="str">
            <v>OP</v>
          </cell>
          <cell r="B3108" t="str">
            <v>Quá 24h</v>
          </cell>
          <cell r="D3108" t="str">
            <v>Khiếu nại về dịch vụ FTTH</v>
          </cell>
          <cell r="W3108" t="str">
            <v>Đang xử lý</v>
          </cell>
          <cell r="AJ3108" t="str">
            <v>Bình Thuận</v>
          </cell>
          <cell r="BX3108" t="str">
            <v>AON</v>
          </cell>
        </row>
        <row r="3109">
          <cell r="A3109" t="str">
            <v>OP</v>
          </cell>
          <cell r="B3109" t="str">
            <v>Quá 24h</v>
          </cell>
          <cell r="D3109" t="str">
            <v>Khiếu nại về dịch vụ FTTH</v>
          </cell>
          <cell r="W3109" t="str">
            <v>Đang xử lý</v>
          </cell>
          <cell r="AJ3109" t="str">
            <v>TP HCM</v>
          </cell>
          <cell r="BX3109" t="str">
            <v>AON</v>
          </cell>
        </row>
        <row r="3110">
          <cell r="A3110" t="str">
            <v>OP</v>
          </cell>
          <cell r="B3110" t="str">
            <v>Quá 24h</v>
          </cell>
          <cell r="D3110" t="str">
            <v>Khiếu nại về dịch vụ FTTH</v>
          </cell>
          <cell r="W3110" t="str">
            <v>Đã đóng</v>
          </cell>
          <cell r="AJ3110" t="str">
            <v>Cà Mau</v>
          </cell>
          <cell r="BX3110" t="str">
            <v>AON</v>
          </cell>
        </row>
        <row r="3111">
          <cell r="A3111" t="str">
            <v>OP</v>
          </cell>
          <cell r="B3111" t="str">
            <v>Quá 24h</v>
          </cell>
          <cell r="D3111" t="str">
            <v>Khiếu nại về dịch vụ FTTH</v>
          </cell>
          <cell r="W3111" t="str">
            <v>Đã đóng</v>
          </cell>
          <cell r="AJ3111" t="str">
            <v>Ninh Bình</v>
          </cell>
          <cell r="BX3111" t="str">
            <v>AON</v>
          </cell>
        </row>
        <row r="3112">
          <cell r="A3112" t="str">
            <v>OP</v>
          </cell>
          <cell r="B3112" t="str">
            <v>Quá 24h</v>
          </cell>
          <cell r="D3112" t="str">
            <v>Khiếu nại về dịch vụ FTTH</v>
          </cell>
          <cell r="W3112" t="str">
            <v>Đang xử lý</v>
          </cell>
          <cell r="AJ3112" t="str">
            <v>Gia Lai</v>
          </cell>
          <cell r="BX3112" t="str">
            <v>AON</v>
          </cell>
        </row>
        <row r="3113">
          <cell r="A3113" t="str">
            <v>OP</v>
          </cell>
          <cell r="B3113" t="str">
            <v>Quá 24h</v>
          </cell>
          <cell r="D3113" t="str">
            <v>Khiếu nại về dịch vụ FTTH</v>
          </cell>
          <cell r="W3113" t="str">
            <v>Đã đóng</v>
          </cell>
          <cell r="AJ3113" t="str">
            <v>Yên Bái</v>
          </cell>
          <cell r="BX3113" t="str">
            <v>AON</v>
          </cell>
        </row>
        <row r="3114">
          <cell r="A3114" t="str">
            <v>OP</v>
          </cell>
          <cell r="B3114" t="str">
            <v>Quá 24h</v>
          </cell>
          <cell r="D3114" t="str">
            <v>Khiếu nại về dịch vụ NextTV</v>
          </cell>
          <cell r="W3114" t="str">
            <v>Đã đóng</v>
          </cell>
          <cell r="AJ3114" t="str">
            <v>Hà Nội 1</v>
          </cell>
          <cell r="BX3114" t="str">
            <v>AON</v>
          </cell>
        </row>
        <row r="3115">
          <cell r="A3115" t="str">
            <v>OP</v>
          </cell>
          <cell r="B3115" t="str">
            <v>Quá 24h</v>
          </cell>
          <cell r="D3115" t="str">
            <v>Khiếu nại về dịch vụ FTTH</v>
          </cell>
          <cell r="W3115" t="str">
            <v>Đang xử lý</v>
          </cell>
          <cell r="AJ3115" t="str">
            <v>Phú Yên</v>
          </cell>
          <cell r="BX3115" t="str">
            <v>AON</v>
          </cell>
        </row>
        <row r="3116">
          <cell r="A3116" t="str">
            <v>OP</v>
          </cell>
          <cell r="B3116" t="str">
            <v>Quá 24h</v>
          </cell>
          <cell r="D3116" t="str">
            <v>Khiếu nại về dịch vụ FTTH</v>
          </cell>
          <cell r="W3116" t="str">
            <v>Đã đóng</v>
          </cell>
          <cell r="AJ3116" t="str">
            <v>Hà Nội 1</v>
          </cell>
          <cell r="BX3116" t="str">
            <v>AON</v>
          </cell>
        </row>
        <row r="3117">
          <cell r="A3117" t="str">
            <v>OP</v>
          </cell>
          <cell r="B3117" t="str">
            <v>Quá 24h</v>
          </cell>
          <cell r="D3117" t="str">
            <v>Khiếu nại về dịch vụ FTTH</v>
          </cell>
          <cell r="W3117" t="str">
            <v>Đã đóng</v>
          </cell>
          <cell r="AJ3117" t="str">
            <v>TP HCM</v>
          </cell>
          <cell r="BX3117" t="str">
            <v>AON</v>
          </cell>
        </row>
        <row r="3118">
          <cell r="A3118" t="str">
            <v>OP</v>
          </cell>
          <cell r="B3118" t="str">
            <v>Quá 24h</v>
          </cell>
          <cell r="D3118" t="str">
            <v>Khiếu nại về dịch vụ FTTH</v>
          </cell>
          <cell r="W3118" t="str">
            <v>Đang xử lý</v>
          </cell>
          <cell r="AJ3118" t="str">
            <v>TP HCM</v>
          </cell>
          <cell r="BX3118" t="str">
            <v>AON</v>
          </cell>
        </row>
        <row r="3119">
          <cell r="A3119" t="str">
            <v>OP</v>
          </cell>
          <cell r="B3119" t="str">
            <v>Quá 24h</v>
          </cell>
          <cell r="D3119" t="str">
            <v>Khiếu nại về dịch vụ FTTH</v>
          </cell>
          <cell r="W3119" t="str">
            <v>Đã đóng</v>
          </cell>
          <cell r="AJ3119" t="str">
            <v>Bình Thuận</v>
          </cell>
          <cell r="BX3119" t="str">
            <v>AON</v>
          </cell>
        </row>
        <row r="3120">
          <cell r="A3120" t="str">
            <v>OP</v>
          </cell>
          <cell r="B3120" t="str">
            <v>Quá 24h</v>
          </cell>
          <cell r="D3120" t="str">
            <v>Khiếu nại về dịch vụ FTTH</v>
          </cell>
          <cell r="W3120" t="str">
            <v>Đang xử lý</v>
          </cell>
          <cell r="AJ3120" t="str">
            <v>Long An</v>
          </cell>
          <cell r="BX3120" t="str">
            <v>AON</v>
          </cell>
        </row>
        <row r="3121">
          <cell r="A3121" t="str">
            <v>OP</v>
          </cell>
          <cell r="B3121" t="str">
            <v>Quá 24h</v>
          </cell>
          <cell r="D3121" t="str">
            <v>Khiếu nại về dịch vụ FTTH</v>
          </cell>
          <cell r="W3121" t="str">
            <v>Đã đóng</v>
          </cell>
          <cell r="AJ3121" t="str">
            <v>Tuyên Quang</v>
          </cell>
          <cell r="BX3121" t="str">
            <v>AON</v>
          </cell>
        </row>
        <row r="3122">
          <cell r="A3122" t="str">
            <v>OP</v>
          </cell>
          <cell r="B3122" t="str">
            <v>Quá 24h</v>
          </cell>
          <cell r="D3122" t="str">
            <v>Khiếu nại về dịch vụ FTTH</v>
          </cell>
          <cell r="W3122" t="str">
            <v>Đã đóng</v>
          </cell>
          <cell r="AJ3122" t="str">
            <v>Bình Phước</v>
          </cell>
          <cell r="BX3122" t="str">
            <v>AON</v>
          </cell>
        </row>
        <row r="3123">
          <cell r="A3123" t="str">
            <v>OP</v>
          </cell>
          <cell r="B3123" t="str">
            <v>Quá 24h</v>
          </cell>
          <cell r="D3123" t="str">
            <v>Khiếu nại về dịch vụ FTTH</v>
          </cell>
          <cell r="W3123" t="str">
            <v>Đã đóng</v>
          </cell>
          <cell r="AJ3123" t="str">
            <v>TP HCM</v>
          </cell>
          <cell r="BX3123" t="str">
            <v>AON</v>
          </cell>
        </row>
        <row r="3124">
          <cell r="A3124" t="str">
            <v>OP</v>
          </cell>
          <cell r="B3124" t="str">
            <v>Quá 24h</v>
          </cell>
          <cell r="D3124" t="str">
            <v>Khiếu nại về dịch vụ FTTH</v>
          </cell>
          <cell r="W3124" t="str">
            <v>Đang xử lý</v>
          </cell>
          <cell r="AJ3124" t="str">
            <v>TP HCM</v>
          </cell>
          <cell r="BX3124" t="str">
            <v>AON</v>
          </cell>
        </row>
        <row r="3125">
          <cell r="A3125" t="str">
            <v>OP</v>
          </cell>
          <cell r="B3125" t="str">
            <v>Quá 24h</v>
          </cell>
          <cell r="D3125" t="str">
            <v>Khiếu nại về dịch vụ FTTH</v>
          </cell>
          <cell r="W3125" t="str">
            <v>Đã đóng</v>
          </cell>
          <cell r="AJ3125" t="str">
            <v>TP HCM</v>
          </cell>
          <cell r="BX3125" t="str">
            <v>AON</v>
          </cell>
        </row>
        <row r="3126">
          <cell r="A3126" t="str">
            <v>OP</v>
          </cell>
          <cell r="B3126" t="str">
            <v>Quá 24h</v>
          </cell>
          <cell r="D3126" t="str">
            <v>Khiếu nại về dịch vụ FTTH</v>
          </cell>
          <cell r="W3126" t="str">
            <v>Đã đóng</v>
          </cell>
          <cell r="AJ3126" t="str">
            <v>TP HCM</v>
          </cell>
          <cell r="BX3126" t="str">
            <v>AON</v>
          </cell>
        </row>
        <row r="3127">
          <cell r="A3127" t="str">
            <v>OP</v>
          </cell>
          <cell r="B3127" t="str">
            <v>Quá 24h</v>
          </cell>
          <cell r="D3127" t="str">
            <v>Khiếu nại về dịch vụ FTTH</v>
          </cell>
          <cell r="W3127" t="str">
            <v>Đã đóng</v>
          </cell>
          <cell r="AJ3127" t="str">
            <v>Hà Nội 1</v>
          </cell>
          <cell r="BX3127" t="str">
            <v>AON</v>
          </cell>
        </row>
        <row r="3128">
          <cell r="A3128" t="str">
            <v>OP</v>
          </cell>
          <cell r="B3128" t="str">
            <v>Quá 24h</v>
          </cell>
          <cell r="D3128" t="str">
            <v>Khiếu nại về dịch vụ NextTV</v>
          </cell>
          <cell r="W3128" t="str">
            <v>Đã đóng</v>
          </cell>
          <cell r="AJ3128" t="str">
            <v>TP HCM</v>
          </cell>
          <cell r="BX3128" t="str">
            <v>AON</v>
          </cell>
        </row>
        <row r="3129">
          <cell r="A3129" t="str">
            <v>OP</v>
          </cell>
          <cell r="B3129" t="str">
            <v>Quá 24h</v>
          </cell>
          <cell r="D3129" t="str">
            <v>Khiếu nại về dịch vụ FTTH</v>
          </cell>
          <cell r="W3129" t="str">
            <v>Đã đóng</v>
          </cell>
          <cell r="AJ3129" t="str">
            <v>Hà Nội 2</v>
          </cell>
          <cell r="BX3129" t="str">
            <v>AON</v>
          </cell>
        </row>
        <row r="3130">
          <cell r="A3130" t="str">
            <v>OP</v>
          </cell>
          <cell r="B3130" t="str">
            <v>Quá 24h</v>
          </cell>
          <cell r="D3130" t="str">
            <v>Khiếu nại về dịch vụ FTTH</v>
          </cell>
          <cell r="W3130" t="str">
            <v>Đã đóng</v>
          </cell>
          <cell r="AJ3130" t="str">
            <v>An Giang</v>
          </cell>
          <cell r="BX3130" t="str">
            <v>AON</v>
          </cell>
        </row>
        <row r="3131">
          <cell r="A3131" t="str">
            <v>OP</v>
          </cell>
          <cell r="B3131" t="str">
            <v>Quá 24h</v>
          </cell>
          <cell r="D3131" t="str">
            <v>Khiếu nại về dịch vụ FTTH</v>
          </cell>
          <cell r="W3131" t="str">
            <v>Đã đóng</v>
          </cell>
          <cell r="AJ3131" t="str">
            <v>TP HCM</v>
          </cell>
          <cell r="BX3131" t="str">
            <v>AON</v>
          </cell>
        </row>
        <row r="3132">
          <cell r="A3132" t="str">
            <v>OP</v>
          </cell>
          <cell r="B3132" t="str">
            <v>Quá 24h</v>
          </cell>
          <cell r="D3132" t="str">
            <v>Khiếu nại về dịch vụ FTTH</v>
          </cell>
          <cell r="W3132" t="str">
            <v>Đã đóng</v>
          </cell>
          <cell r="AJ3132" t="str">
            <v>Hậu Giang</v>
          </cell>
          <cell r="BX3132" t="str">
            <v>AON</v>
          </cell>
        </row>
        <row r="3133">
          <cell r="A3133" t="str">
            <v>OP</v>
          </cell>
          <cell r="B3133" t="str">
            <v>Quá 24h</v>
          </cell>
          <cell r="D3133" t="str">
            <v>Khiếu nại về dịch vụ FTTH</v>
          </cell>
          <cell r="W3133" t="str">
            <v>Đang xử lý</v>
          </cell>
          <cell r="AJ3133" t="str">
            <v xml:space="preserve">Đà Nẵng </v>
          </cell>
          <cell r="BX3133" t="str">
            <v>AON</v>
          </cell>
        </row>
        <row r="3134">
          <cell r="A3134" t="str">
            <v>OP</v>
          </cell>
          <cell r="B3134" t="str">
            <v>Quá 24h</v>
          </cell>
          <cell r="D3134" t="str">
            <v>Khiếu nại về dịch vụ FTTH</v>
          </cell>
          <cell r="W3134" t="str">
            <v>Đã đóng</v>
          </cell>
          <cell r="AJ3134" t="str">
            <v>Tây Ninh</v>
          </cell>
          <cell r="BX3134" t="str">
            <v>AON</v>
          </cell>
        </row>
        <row r="3135">
          <cell r="A3135" t="str">
            <v>OP</v>
          </cell>
          <cell r="B3135" t="str">
            <v>Quá 24h</v>
          </cell>
          <cell r="D3135" t="str">
            <v>Khiếu nại về dịch vụ FTTH</v>
          </cell>
          <cell r="W3135" t="str">
            <v>Đang xử lý</v>
          </cell>
          <cell r="AJ3135" t="str">
            <v>Thanh Hoá</v>
          </cell>
          <cell r="BX3135" t="str">
            <v>AON</v>
          </cell>
        </row>
        <row r="3136">
          <cell r="A3136" t="str">
            <v>OP</v>
          </cell>
          <cell r="B3136" t="str">
            <v>Quá 24h</v>
          </cell>
          <cell r="D3136" t="str">
            <v>Khiếu nại về dịch vụ FTTH</v>
          </cell>
          <cell r="W3136" t="str">
            <v>Đã đóng</v>
          </cell>
          <cell r="AJ3136" t="str">
            <v>Hải Phòng</v>
          </cell>
          <cell r="BX3136" t="str">
            <v>AON</v>
          </cell>
        </row>
        <row r="3137">
          <cell r="A3137" t="str">
            <v>OP</v>
          </cell>
          <cell r="B3137" t="str">
            <v>Quá 24h</v>
          </cell>
          <cell r="D3137" t="str">
            <v>Khiếu nại về dịch vụ FTTH</v>
          </cell>
          <cell r="W3137" t="str">
            <v>Đã đóng</v>
          </cell>
          <cell r="AJ3137" t="str">
            <v xml:space="preserve">Đà Nẵng </v>
          </cell>
          <cell r="BX3137" t="str">
            <v>AON</v>
          </cell>
        </row>
        <row r="3138">
          <cell r="A3138" t="str">
            <v>OP</v>
          </cell>
          <cell r="B3138" t="str">
            <v>Quá 24h</v>
          </cell>
          <cell r="D3138" t="str">
            <v>Khiếu nại về dịch vụ FTTH</v>
          </cell>
          <cell r="W3138" t="str">
            <v>Đang xử lý</v>
          </cell>
          <cell r="AJ3138" t="str">
            <v>Bắc Ninh</v>
          </cell>
          <cell r="BX3138" t="str">
            <v>AON</v>
          </cell>
        </row>
        <row r="3139">
          <cell r="A3139" t="str">
            <v>OP</v>
          </cell>
          <cell r="B3139" t="str">
            <v>Quá 24h</v>
          </cell>
          <cell r="D3139" t="str">
            <v>Khiếu nại về dịch vụ NextTV</v>
          </cell>
          <cell r="W3139" t="str">
            <v>Đã đóng</v>
          </cell>
          <cell r="AJ3139" t="str">
            <v>Quảng Ngãi</v>
          </cell>
          <cell r="BX3139" t="str">
            <v>AON</v>
          </cell>
        </row>
        <row r="3140">
          <cell r="A3140" t="str">
            <v>OP</v>
          </cell>
          <cell r="B3140" t="str">
            <v>Quá 24h</v>
          </cell>
          <cell r="D3140" t="str">
            <v>Khiếu nại về dịch vụ FTTH</v>
          </cell>
          <cell r="W3140" t="str">
            <v>Đã đóng</v>
          </cell>
          <cell r="AJ3140" t="str">
            <v>Hà Nội 2</v>
          </cell>
          <cell r="BX3140" t="str">
            <v>AON</v>
          </cell>
        </row>
        <row r="3141">
          <cell r="A3141" t="str">
            <v>OP</v>
          </cell>
          <cell r="B3141" t="str">
            <v>Quá 24h</v>
          </cell>
          <cell r="D3141" t="str">
            <v>Khiếu nại về dịch vụ FTTH</v>
          </cell>
          <cell r="W3141" t="str">
            <v>Đã đóng</v>
          </cell>
          <cell r="AJ3141" t="str">
            <v>Hải Dương</v>
          </cell>
          <cell r="BX3141" t="str">
            <v>AON</v>
          </cell>
        </row>
        <row r="3142">
          <cell r="A3142" t="str">
            <v>OP</v>
          </cell>
          <cell r="B3142" t="str">
            <v>Quá 24h</v>
          </cell>
          <cell r="D3142" t="str">
            <v>Khiếu nại về dịch vụ FTTH</v>
          </cell>
          <cell r="W3142" t="str">
            <v>Đã đóng</v>
          </cell>
          <cell r="AJ3142" t="str">
            <v>Hà Nội 2</v>
          </cell>
          <cell r="BX3142" t="str">
            <v>AON</v>
          </cell>
        </row>
        <row r="3143">
          <cell r="A3143" t="str">
            <v>OP</v>
          </cell>
          <cell r="B3143" t="str">
            <v>Quá 24h</v>
          </cell>
          <cell r="D3143" t="str">
            <v>Khiếu nại về dịch vụ FTTH</v>
          </cell>
          <cell r="W3143" t="str">
            <v>Đã đóng</v>
          </cell>
          <cell r="AJ3143" t="str">
            <v>Đắc Nông</v>
          </cell>
          <cell r="BX3143" t="str">
            <v>AON</v>
          </cell>
        </row>
        <row r="3144">
          <cell r="A3144" t="str">
            <v>OP</v>
          </cell>
          <cell r="B3144" t="str">
            <v>Quá 24h</v>
          </cell>
          <cell r="D3144" t="str">
            <v>Khiếu nại về dịch vụ FTTH</v>
          </cell>
          <cell r="W3144" t="str">
            <v>Đã đóng</v>
          </cell>
          <cell r="AJ3144" t="str">
            <v>TP HCM</v>
          </cell>
          <cell r="BX3144" t="str">
            <v>AON</v>
          </cell>
        </row>
        <row r="3145">
          <cell r="A3145" t="str">
            <v>OP</v>
          </cell>
          <cell r="B3145" t="str">
            <v>Quá 24h</v>
          </cell>
          <cell r="D3145" t="str">
            <v>Khiếu nại về dịch vụ FTTH</v>
          </cell>
          <cell r="W3145" t="str">
            <v>Đã đóng</v>
          </cell>
          <cell r="AJ3145" t="str">
            <v>Tây Ninh</v>
          </cell>
          <cell r="BX3145" t="str">
            <v>AON</v>
          </cell>
        </row>
        <row r="3146">
          <cell r="A3146" t="str">
            <v>OP</v>
          </cell>
          <cell r="B3146" t="str">
            <v>Quá 24h</v>
          </cell>
          <cell r="D3146" t="str">
            <v>Khiếu nại về dịch vụ NextTV</v>
          </cell>
          <cell r="W3146" t="str">
            <v>Đã đóng</v>
          </cell>
          <cell r="AJ3146" t="str">
            <v>Lâm Đồng</v>
          </cell>
          <cell r="BX3146" t="str">
            <v>AON</v>
          </cell>
        </row>
        <row r="3147">
          <cell r="A3147" t="str">
            <v>OP</v>
          </cell>
          <cell r="B3147" t="str">
            <v>Quá 24h</v>
          </cell>
          <cell r="D3147" t="str">
            <v>Khiếu nại về dịch vụ FTTH</v>
          </cell>
          <cell r="W3147" t="str">
            <v>Đang xử lý</v>
          </cell>
          <cell r="AJ3147" t="str">
            <v>Bình Định</v>
          </cell>
          <cell r="BX3147" t="str">
            <v>AON</v>
          </cell>
        </row>
        <row r="3148">
          <cell r="A3148" t="str">
            <v>OP</v>
          </cell>
          <cell r="B3148" t="str">
            <v>Quá 24h</v>
          </cell>
          <cell r="D3148" t="str">
            <v>Khiếu nại về dịch vụ FTTH</v>
          </cell>
          <cell r="W3148" t="str">
            <v>Đã đóng</v>
          </cell>
          <cell r="AJ3148" t="str">
            <v>Vĩnh Phúc</v>
          </cell>
          <cell r="BX3148" t="str">
            <v>AON</v>
          </cell>
        </row>
        <row r="3149">
          <cell r="A3149" t="str">
            <v>OP</v>
          </cell>
          <cell r="B3149" t="str">
            <v>Quá 24h</v>
          </cell>
          <cell r="D3149" t="str">
            <v>Khiếu nại về dịch vụ NextTV</v>
          </cell>
          <cell r="W3149" t="str">
            <v>Đã đóng</v>
          </cell>
          <cell r="AJ3149" t="str">
            <v>Cần Thơ</v>
          </cell>
          <cell r="BX3149" t="str">
            <v>AON</v>
          </cell>
        </row>
        <row r="3150">
          <cell r="A3150" t="str">
            <v>OP</v>
          </cell>
          <cell r="B3150" t="str">
            <v>Quá 24h</v>
          </cell>
          <cell r="D3150" t="str">
            <v>Khiếu nại về dịch vụ FTTH</v>
          </cell>
          <cell r="W3150" t="str">
            <v>Đã đóng</v>
          </cell>
          <cell r="AJ3150" t="str">
            <v>Yên Bái</v>
          </cell>
          <cell r="BX3150" t="str">
            <v>AON</v>
          </cell>
        </row>
        <row r="3151">
          <cell r="A3151" t="str">
            <v>OP</v>
          </cell>
          <cell r="B3151" t="str">
            <v>Quá 24h</v>
          </cell>
          <cell r="D3151" t="str">
            <v>Khiếu nại về dịch vụ FTTH</v>
          </cell>
          <cell r="W3151" t="str">
            <v>Đang xử lý</v>
          </cell>
          <cell r="AJ3151" t="str">
            <v>Hà Nội 1</v>
          </cell>
          <cell r="BX3151" t="str">
            <v>AON</v>
          </cell>
        </row>
        <row r="3152">
          <cell r="A3152" t="str">
            <v>OP</v>
          </cell>
          <cell r="B3152" t="str">
            <v>Quá 24h</v>
          </cell>
          <cell r="D3152" t="str">
            <v>Khiếu nại về dịch vụ FTTH</v>
          </cell>
          <cell r="W3152" t="str">
            <v>Đã đóng</v>
          </cell>
          <cell r="AJ3152" t="str">
            <v>Hà Nội 2</v>
          </cell>
          <cell r="BX3152" t="str">
            <v>AON</v>
          </cell>
        </row>
        <row r="3153">
          <cell r="A3153" t="str">
            <v>OP</v>
          </cell>
          <cell r="B3153" t="str">
            <v>Quá 24h</v>
          </cell>
          <cell r="D3153" t="str">
            <v>Khiếu nại về dịch vụ FTTH</v>
          </cell>
          <cell r="W3153" t="str">
            <v>Đã đóng</v>
          </cell>
          <cell r="AJ3153" t="str">
            <v>Hà Nội 2</v>
          </cell>
          <cell r="BX3153" t="str">
            <v>AON</v>
          </cell>
        </row>
        <row r="3154">
          <cell r="A3154" t="str">
            <v>OP</v>
          </cell>
          <cell r="B3154" t="str">
            <v>Quá 24h</v>
          </cell>
          <cell r="D3154" t="str">
            <v>Khiếu nại về dịch vụ FTTH</v>
          </cell>
          <cell r="W3154" t="str">
            <v>Đã đóng</v>
          </cell>
          <cell r="AJ3154" t="str">
            <v>Hà Nội 1</v>
          </cell>
          <cell r="BX3154" t="str">
            <v>AON</v>
          </cell>
        </row>
        <row r="3155">
          <cell r="A3155" t="str">
            <v>OP</v>
          </cell>
          <cell r="B3155" t="str">
            <v>Quá 24h</v>
          </cell>
          <cell r="D3155" t="str">
            <v>Khiếu nại về dịch vụ FTTH</v>
          </cell>
          <cell r="W3155" t="str">
            <v>Đã đóng</v>
          </cell>
          <cell r="AJ3155" t="str">
            <v>Nam Định</v>
          </cell>
          <cell r="BX3155" t="str">
            <v>AON</v>
          </cell>
        </row>
        <row r="3156">
          <cell r="A3156" t="str">
            <v>OP</v>
          </cell>
          <cell r="B3156" t="str">
            <v>Quá 24h</v>
          </cell>
          <cell r="D3156" t="str">
            <v>Khiếu nại về dịch vụ FTTH</v>
          </cell>
          <cell r="W3156" t="str">
            <v>Đã đóng</v>
          </cell>
          <cell r="AJ3156" t="str">
            <v>Bắc Giang</v>
          </cell>
          <cell r="BX3156" t="str">
            <v>AON</v>
          </cell>
        </row>
        <row r="3157">
          <cell r="A3157" t="str">
            <v>OP</v>
          </cell>
          <cell r="B3157" t="str">
            <v>Quá 24h</v>
          </cell>
          <cell r="D3157" t="str">
            <v>Khiếu nại về dịch vụ FTTH</v>
          </cell>
          <cell r="W3157" t="str">
            <v>Đã đóng</v>
          </cell>
          <cell r="AJ3157" t="str">
            <v>Hà Nội 2</v>
          </cell>
          <cell r="BX3157" t="str">
            <v>AON</v>
          </cell>
        </row>
        <row r="3158">
          <cell r="A3158" t="str">
            <v>OP</v>
          </cell>
          <cell r="B3158" t="str">
            <v>Quá 24h</v>
          </cell>
          <cell r="D3158" t="str">
            <v>Khiếu nại về dịch vụ FTTH</v>
          </cell>
          <cell r="W3158" t="str">
            <v>Đã đóng</v>
          </cell>
          <cell r="AJ3158" t="str">
            <v>Bình Thuận</v>
          </cell>
          <cell r="BX3158" t="str">
            <v>AON</v>
          </cell>
        </row>
        <row r="3159">
          <cell r="A3159" t="str">
            <v>OP</v>
          </cell>
          <cell r="B3159" t="str">
            <v>Quá 24h</v>
          </cell>
          <cell r="D3159" t="str">
            <v>Khiếu nại về dịch vụ FTTH</v>
          </cell>
          <cell r="W3159" t="str">
            <v>Đang xử lý</v>
          </cell>
          <cell r="AJ3159" t="str">
            <v>Nam Định</v>
          </cell>
          <cell r="BX3159" t="str">
            <v>AON</v>
          </cell>
        </row>
        <row r="3160">
          <cell r="A3160" t="str">
            <v>OP</v>
          </cell>
          <cell r="B3160" t="str">
            <v>Quá 24h</v>
          </cell>
          <cell r="D3160" t="str">
            <v>Khiếu nại về dịch vụ FTTH</v>
          </cell>
          <cell r="W3160" t="str">
            <v>Đã đóng</v>
          </cell>
          <cell r="AJ3160" t="str">
            <v>Bình Dương</v>
          </cell>
          <cell r="BX3160" t="str">
            <v>AON</v>
          </cell>
        </row>
        <row r="3161">
          <cell r="A3161" t="str">
            <v>OP</v>
          </cell>
          <cell r="B3161" t="str">
            <v>Quá 24h</v>
          </cell>
          <cell r="D3161" t="str">
            <v>Khiếu nại về dịch vụ FTTH</v>
          </cell>
          <cell r="W3161" t="str">
            <v>Đã đóng</v>
          </cell>
          <cell r="AJ3161" t="str">
            <v>Quảng Ninh</v>
          </cell>
          <cell r="BX3161" t="str">
            <v>AON</v>
          </cell>
        </row>
        <row r="3162">
          <cell r="A3162" t="str">
            <v>OP</v>
          </cell>
          <cell r="B3162" t="str">
            <v>Quá 24h</v>
          </cell>
          <cell r="D3162" t="str">
            <v>Khiếu nại về dịch vụ FTTH</v>
          </cell>
          <cell r="W3162" t="str">
            <v>Đã đóng</v>
          </cell>
          <cell r="AJ3162" t="str">
            <v>Hà Nội 1</v>
          </cell>
          <cell r="BX3162" t="str">
            <v>AON</v>
          </cell>
        </row>
        <row r="3163">
          <cell r="A3163" t="str">
            <v>OP</v>
          </cell>
          <cell r="B3163" t="str">
            <v>Quá 24h</v>
          </cell>
          <cell r="D3163" t="str">
            <v>Khiếu nại về dịch vụ FTTH</v>
          </cell>
          <cell r="W3163" t="str">
            <v>Đã đóng</v>
          </cell>
          <cell r="AJ3163" t="str">
            <v>Quảng Ninh</v>
          </cell>
          <cell r="BX3163" t="str">
            <v>AON</v>
          </cell>
        </row>
        <row r="3164">
          <cell r="A3164" t="str">
            <v>OP</v>
          </cell>
          <cell r="B3164" t="str">
            <v>Quá 24h</v>
          </cell>
          <cell r="D3164" t="str">
            <v>Khiếu nại về dịch vụ NextTV</v>
          </cell>
          <cell r="W3164" t="str">
            <v>Đã đóng</v>
          </cell>
          <cell r="AJ3164" t="str">
            <v>Thái Nguyên</v>
          </cell>
          <cell r="BX3164" t="str">
            <v>AON</v>
          </cell>
        </row>
        <row r="3165">
          <cell r="A3165" t="str">
            <v>OP</v>
          </cell>
          <cell r="B3165" t="str">
            <v>Quá 24h</v>
          </cell>
          <cell r="D3165" t="str">
            <v>Khiếu nại về dịch vụ FTTH</v>
          </cell>
          <cell r="W3165" t="str">
            <v>Đã đóng</v>
          </cell>
          <cell r="AJ3165" t="str">
            <v>TP HCM</v>
          </cell>
          <cell r="BX3165" t="str">
            <v>AON</v>
          </cell>
        </row>
        <row r="3166">
          <cell r="A3166" t="str">
            <v>OP</v>
          </cell>
          <cell r="B3166" t="str">
            <v>Quá 24h</v>
          </cell>
          <cell r="D3166" t="str">
            <v>Khiếu nại về dịch vụ FTTH</v>
          </cell>
          <cell r="W3166" t="str">
            <v>Đã đóng</v>
          </cell>
          <cell r="AJ3166" t="str">
            <v>Hà Nội 1</v>
          </cell>
          <cell r="BX3166" t="str">
            <v>AON</v>
          </cell>
        </row>
        <row r="3167">
          <cell r="A3167" t="str">
            <v>OP</v>
          </cell>
          <cell r="B3167" t="str">
            <v>Quá 24h</v>
          </cell>
          <cell r="D3167" t="str">
            <v>Khiếu nại về dịch vụ NextTV</v>
          </cell>
          <cell r="W3167" t="str">
            <v>Đã đóng</v>
          </cell>
          <cell r="AJ3167" t="str">
            <v>Hà Nam</v>
          </cell>
          <cell r="BX3167" t="str">
            <v>AON</v>
          </cell>
        </row>
        <row r="3168">
          <cell r="A3168" t="str">
            <v>OP</v>
          </cell>
          <cell r="B3168" t="str">
            <v>Quá 24h</v>
          </cell>
          <cell r="D3168" t="str">
            <v>Khiếu nại về dịch vụ FTTH</v>
          </cell>
          <cell r="W3168" t="str">
            <v>Đang xử lý</v>
          </cell>
          <cell r="AJ3168" t="str">
            <v>Phú Yên</v>
          </cell>
          <cell r="BX3168" t="str">
            <v>AON</v>
          </cell>
        </row>
        <row r="3169">
          <cell r="A3169" t="str">
            <v>OP</v>
          </cell>
          <cell r="B3169" t="str">
            <v>Quá 24h</v>
          </cell>
          <cell r="D3169" t="str">
            <v>Khiếu nại về dịch vụ FTTH</v>
          </cell>
          <cell r="W3169" t="str">
            <v>Đã đóng</v>
          </cell>
          <cell r="AJ3169" t="str">
            <v>Quảng Ninh</v>
          </cell>
          <cell r="BX3169" t="str">
            <v>AON</v>
          </cell>
        </row>
        <row r="3170">
          <cell r="A3170" t="str">
            <v>OP</v>
          </cell>
          <cell r="B3170" t="str">
            <v>Quá 24h</v>
          </cell>
          <cell r="D3170" t="str">
            <v>Khiếu nại về dịch vụ FTTH</v>
          </cell>
          <cell r="W3170" t="str">
            <v>Đã đóng</v>
          </cell>
          <cell r="AJ3170" t="str">
            <v>Thái Nguyên</v>
          </cell>
          <cell r="BX3170" t="str">
            <v>AON</v>
          </cell>
        </row>
        <row r="3171">
          <cell r="A3171" t="str">
            <v>OP</v>
          </cell>
          <cell r="B3171" t="str">
            <v>Quá 24h</v>
          </cell>
          <cell r="D3171" t="str">
            <v>Khiếu nại về dịch vụ FTTH</v>
          </cell>
          <cell r="W3171" t="str">
            <v>Đang xử lý</v>
          </cell>
          <cell r="AJ3171" t="str">
            <v>Hà Nội 1</v>
          </cell>
          <cell r="BX3171" t="str">
            <v>AON</v>
          </cell>
        </row>
        <row r="3172">
          <cell r="A3172" t="str">
            <v>OP</v>
          </cell>
          <cell r="B3172" t="str">
            <v>Quá 24h</v>
          </cell>
          <cell r="D3172" t="str">
            <v>Khiếu nại về dịch vụ FTTH</v>
          </cell>
          <cell r="W3172" t="str">
            <v>Đã đóng</v>
          </cell>
          <cell r="AJ3172" t="str">
            <v>Sơn La</v>
          </cell>
          <cell r="BX3172" t="str">
            <v>AON</v>
          </cell>
        </row>
        <row r="3173">
          <cell r="A3173" t="str">
            <v>OP</v>
          </cell>
          <cell r="B3173" t="str">
            <v>Quá 24h</v>
          </cell>
          <cell r="D3173" t="str">
            <v>Khiếu nại về dịch vụ FTTH</v>
          </cell>
          <cell r="W3173" t="str">
            <v>Đã đóng</v>
          </cell>
          <cell r="AJ3173" t="str">
            <v>TP HCM</v>
          </cell>
          <cell r="BX3173" t="str">
            <v>AON</v>
          </cell>
        </row>
        <row r="3174">
          <cell r="A3174" t="str">
            <v>OP</v>
          </cell>
          <cell r="B3174" t="str">
            <v>Quá 24h</v>
          </cell>
          <cell r="D3174" t="str">
            <v>Khiếu nại về dịch vụ FTTH</v>
          </cell>
          <cell r="W3174" t="str">
            <v>Đã đóng</v>
          </cell>
          <cell r="AJ3174" t="str">
            <v xml:space="preserve">Đồng Nai </v>
          </cell>
          <cell r="BX3174" t="str">
            <v>AON</v>
          </cell>
        </row>
        <row r="3175">
          <cell r="A3175" t="str">
            <v>OP</v>
          </cell>
          <cell r="B3175" t="str">
            <v>Quá 24h</v>
          </cell>
          <cell r="D3175" t="str">
            <v>Khiếu nại về dịch vụ FTTH</v>
          </cell>
          <cell r="W3175" t="str">
            <v>Đã đóng</v>
          </cell>
          <cell r="AJ3175" t="str">
            <v>Hà Nội 2</v>
          </cell>
          <cell r="BX3175" t="str">
            <v>AON</v>
          </cell>
        </row>
        <row r="3176">
          <cell r="A3176" t="str">
            <v>OP</v>
          </cell>
          <cell r="B3176" t="str">
            <v>Quá 24h</v>
          </cell>
          <cell r="D3176" t="str">
            <v>Khiếu nại về dịch vụ NextTV</v>
          </cell>
          <cell r="W3176" t="str">
            <v>Đã đóng</v>
          </cell>
          <cell r="AJ3176" t="str">
            <v>TP HCM</v>
          </cell>
          <cell r="BX3176" t="str">
            <v>AON</v>
          </cell>
        </row>
        <row r="3177">
          <cell r="A3177" t="str">
            <v>OP</v>
          </cell>
          <cell r="B3177" t="str">
            <v>Quá 24h</v>
          </cell>
          <cell r="D3177" t="str">
            <v>Khiếu nại về dịch vụ FTTH</v>
          </cell>
          <cell r="W3177" t="str">
            <v>Đã đóng</v>
          </cell>
          <cell r="AJ3177" t="str">
            <v>TP HCM</v>
          </cell>
          <cell r="BX3177" t="str">
            <v>AON</v>
          </cell>
        </row>
        <row r="3178">
          <cell r="A3178" t="str">
            <v>OP</v>
          </cell>
          <cell r="B3178" t="str">
            <v>Quá 24h</v>
          </cell>
          <cell r="D3178" t="str">
            <v>Khiếu nại về dịch vụ FTTH</v>
          </cell>
          <cell r="W3178" t="str">
            <v>Đang xử lý</v>
          </cell>
          <cell r="AJ3178" t="str">
            <v>TP HCM</v>
          </cell>
          <cell r="BX3178" t="str">
            <v>AON</v>
          </cell>
        </row>
        <row r="3179">
          <cell r="A3179" t="str">
            <v>OP</v>
          </cell>
          <cell r="B3179" t="str">
            <v>Quá 24h</v>
          </cell>
          <cell r="D3179" t="str">
            <v>Khiếu nại về dịch vụ FTTH</v>
          </cell>
          <cell r="W3179" t="str">
            <v>Đã đóng</v>
          </cell>
          <cell r="AJ3179" t="str">
            <v>TP HCM</v>
          </cell>
          <cell r="BX3179" t="str">
            <v>AON</v>
          </cell>
        </row>
        <row r="3180">
          <cell r="A3180" t="str">
            <v>OP</v>
          </cell>
          <cell r="B3180" t="str">
            <v>Quá 24h</v>
          </cell>
          <cell r="D3180" t="str">
            <v>Khiếu nại về dịch vụ FTTH</v>
          </cell>
          <cell r="W3180" t="str">
            <v>Đã đóng</v>
          </cell>
          <cell r="AJ3180" t="str">
            <v>Lâm Đồng</v>
          </cell>
          <cell r="BX3180" t="str">
            <v>AON</v>
          </cell>
        </row>
        <row r="3181">
          <cell r="A3181" t="str">
            <v>OP</v>
          </cell>
          <cell r="B3181" t="str">
            <v>Quá 24h</v>
          </cell>
          <cell r="D3181" t="str">
            <v>Khiếu nại về dịch vụ FTTH</v>
          </cell>
          <cell r="W3181" t="str">
            <v>Đã đóng</v>
          </cell>
          <cell r="AJ3181" t="str">
            <v>TP HCM</v>
          </cell>
          <cell r="BX3181" t="str">
            <v>GPON</v>
          </cell>
        </row>
        <row r="3182">
          <cell r="A3182" t="str">
            <v>OP</v>
          </cell>
          <cell r="B3182" t="str">
            <v>Quá 24h</v>
          </cell>
          <cell r="D3182" t="str">
            <v>Khiếu nại về dịch vụ FTTH</v>
          </cell>
          <cell r="W3182" t="str">
            <v>Đã đóng</v>
          </cell>
          <cell r="AJ3182" t="str">
            <v>Hà Nội 1</v>
          </cell>
          <cell r="BX3182" t="str">
            <v>AON</v>
          </cell>
        </row>
        <row r="3183">
          <cell r="A3183" t="str">
            <v>OP</v>
          </cell>
          <cell r="B3183" t="str">
            <v>Quá 24h</v>
          </cell>
          <cell r="D3183" t="str">
            <v>Khiếu nại về dịch vụ FTTH</v>
          </cell>
          <cell r="W3183" t="str">
            <v>Đã đóng</v>
          </cell>
          <cell r="AJ3183" t="str">
            <v>TP HCM</v>
          </cell>
          <cell r="BX3183" t="str">
            <v>AON</v>
          </cell>
        </row>
        <row r="3184">
          <cell r="A3184" t="str">
            <v>OP</v>
          </cell>
          <cell r="B3184" t="str">
            <v>Quá 24h</v>
          </cell>
          <cell r="D3184" t="str">
            <v>Khiếu nại về dịch vụ FTTH</v>
          </cell>
          <cell r="W3184" t="str">
            <v>Đã đóng</v>
          </cell>
          <cell r="AJ3184" t="str">
            <v>Cà Mau</v>
          </cell>
          <cell r="BX3184" t="str">
            <v>AON</v>
          </cell>
        </row>
        <row r="3185">
          <cell r="A3185" t="str">
            <v>OP</v>
          </cell>
          <cell r="B3185" t="str">
            <v>Quá 24h</v>
          </cell>
          <cell r="D3185" t="str">
            <v>Khiếu nại về dịch vụ FTTH</v>
          </cell>
          <cell r="W3185" t="str">
            <v>Đã đóng</v>
          </cell>
          <cell r="AJ3185" t="str">
            <v>TP HCM</v>
          </cell>
          <cell r="BX3185" t="str">
            <v>AON</v>
          </cell>
        </row>
        <row r="3186">
          <cell r="A3186" t="str">
            <v>OP</v>
          </cell>
          <cell r="B3186" t="str">
            <v>Quá 24h</v>
          </cell>
          <cell r="D3186" t="str">
            <v>Khiếu nại về dịch vụ FTTH</v>
          </cell>
          <cell r="W3186" t="str">
            <v>Đã đóng</v>
          </cell>
          <cell r="AJ3186" t="str">
            <v>TP HCM</v>
          </cell>
          <cell r="BX3186" t="str">
            <v>AON</v>
          </cell>
        </row>
        <row r="3187">
          <cell r="A3187" t="str">
            <v>OP</v>
          </cell>
          <cell r="B3187" t="str">
            <v>Quá 24h</v>
          </cell>
          <cell r="D3187" t="str">
            <v>Khiếu nại về dịch vụ FTTH</v>
          </cell>
          <cell r="W3187" t="str">
            <v>Đã đóng</v>
          </cell>
          <cell r="AJ3187" t="str">
            <v>Quảng Ngãi</v>
          </cell>
          <cell r="BX3187" t="str">
            <v>AON</v>
          </cell>
        </row>
        <row r="3188">
          <cell r="A3188" t="str">
            <v>OP</v>
          </cell>
          <cell r="B3188" t="str">
            <v>Quá 24h</v>
          </cell>
          <cell r="D3188" t="str">
            <v>Khiếu nại về dịch vụ FTTH</v>
          </cell>
          <cell r="W3188" t="str">
            <v>Đã đóng</v>
          </cell>
          <cell r="AJ3188" t="str">
            <v>TP HCM</v>
          </cell>
          <cell r="BX3188" t="str">
            <v>AON</v>
          </cell>
        </row>
        <row r="3189">
          <cell r="A3189" t="str">
            <v>OP</v>
          </cell>
          <cell r="B3189" t="str">
            <v>Quá 24h</v>
          </cell>
          <cell r="D3189" t="str">
            <v>Khiếu nại về dịch vụ FTTH</v>
          </cell>
          <cell r="W3189" t="str">
            <v>Đã đóng</v>
          </cell>
          <cell r="AJ3189" t="str">
            <v>TP HCM</v>
          </cell>
          <cell r="BX3189" t="str">
            <v>AON</v>
          </cell>
        </row>
        <row r="3190">
          <cell r="A3190" t="str">
            <v>OP</v>
          </cell>
          <cell r="B3190" t="str">
            <v>Quá 24h</v>
          </cell>
          <cell r="D3190" t="str">
            <v>Khiếu nại về dịch vụ FTTH</v>
          </cell>
          <cell r="W3190" t="str">
            <v>Đã đóng</v>
          </cell>
          <cell r="AJ3190" t="str">
            <v>TP HCM</v>
          </cell>
          <cell r="BX3190" t="str">
            <v>AON</v>
          </cell>
        </row>
        <row r="3191">
          <cell r="A3191" t="str">
            <v>OP</v>
          </cell>
          <cell r="B3191" t="str">
            <v>Quá 24h</v>
          </cell>
          <cell r="D3191" t="str">
            <v>Khiếu nại về dịch vụ FTTH</v>
          </cell>
          <cell r="W3191" t="str">
            <v>Đã đóng</v>
          </cell>
          <cell r="AJ3191" t="str">
            <v>Quảng Ninh</v>
          </cell>
          <cell r="BX3191" t="str">
            <v>AON</v>
          </cell>
        </row>
        <row r="3192">
          <cell r="A3192" t="str">
            <v>OP</v>
          </cell>
          <cell r="B3192" t="str">
            <v>Quá 24h</v>
          </cell>
          <cell r="D3192" t="str">
            <v>Khiếu nại về dịch vụ FTTH</v>
          </cell>
          <cell r="W3192" t="str">
            <v>Đã đóng</v>
          </cell>
          <cell r="AJ3192" t="str">
            <v>Thái Nguyên</v>
          </cell>
          <cell r="BX3192" t="str">
            <v>AON</v>
          </cell>
        </row>
        <row r="3193">
          <cell r="A3193" t="str">
            <v>OP</v>
          </cell>
          <cell r="B3193" t="str">
            <v>Quá 24h</v>
          </cell>
          <cell r="D3193" t="str">
            <v>Khiếu nại về dịch vụ FTTH</v>
          </cell>
          <cell r="W3193" t="str">
            <v>Đã đóng</v>
          </cell>
          <cell r="AJ3193" t="str">
            <v>TP HCM</v>
          </cell>
          <cell r="BX3193" t="str">
            <v>AON</v>
          </cell>
        </row>
        <row r="3194">
          <cell r="A3194" t="str">
            <v>OP</v>
          </cell>
          <cell r="B3194" t="str">
            <v>Quá 24h</v>
          </cell>
          <cell r="D3194" t="str">
            <v>Khiếu nại về dịch vụ FTTH</v>
          </cell>
          <cell r="W3194" t="str">
            <v>Đã đóng</v>
          </cell>
          <cell r="AJ3194" t="str">
            <v>Bình Định</v>
          </cell>
          <cell r="BX3194" t="str">
            <v>AON</v>
          </cell>
        </row>
        <row r="3195">
          <cell r="A3195" t="str">
            <v>OP</v>
          </cell>
          <cell r="B3195" t="str">
            <v>Quá 24h</v>
          </cell>
          <cell r="D3195" t="str">
            <v>Khiếu nại về dịch vụ FTTH</v>
          </cell>
          <cell r="W3195" t="str">
            <v>Đang xử lý</v>
          </cell>
          <cell r="AJ3195" t="str">
            <v>TP HCM</v>
          </cell>
          <cell r="BX3195" t="str">
            <v>GPON</v>
          </cell>
        </row>
        <row r="3196">
          <cell r="A3196" t="str">
            <v>OP</v>
          </cell>
          <cell r="B3196" t="str">
            <v>Quá 24h</v>
          </cell>
          <cell r="D3196" t="str">
            <v>Khiếu nại về dịch vụ FTTH</v>
          </cell>
          <cell r="W3196" t="str">
            <v>Đã đóng</v>
          </cell>
          <cell r="AJ3196" t="str">
            <v>Bình Dương</v>
          </cell>
          <cell r="BX3196" t="str">
            <v>AON</v>
          </cell>
        </row>
        <row r="3197">
          <cell r="A3197" t="str">
            <v>OP</v>
          </cell>
          <cell r="B3197" t="str">
            <v>Quá 24h</v>
          </cell>
          <cell r="D3197" t="str">
            <v>Khiếu nại về dịch vụ FTTH</v>
          </cell>
          <cell r="W3197" t="str">
            <v>Đang xử lý</v>
          </cell>
          <cell r="AJ3197" t="str">
            <v>TP HCM</v>
          </cell>
          <cell r="BX3197" t="str">
            <v>AON</v>
          </cell>
        </row>
        <row r="3198">
          <cell r="A3198" t="str">
            <v>OP</v>
          </cell>
          <cell r="B3198" t="str">
            <v>Quá 24h</v>
          </cell>
          <cell r="D3198" t="str">
            <v>Khiếu nại về dịch vụ FTTH</v>
          </cell>
          <cell r="W3198" t="str">
            <v>Đang xử lý</v>
          </cell>
          <cell r="AJ3198" t="str">
            <v xml:space="preserve">Đà Nẵng </v>
          </cell>
          <cell r="BX3198" t="str">
            <v>AON</v>
          </cell>
        </row>
        <row r="3199">
          <cell r="A3199" t="str">
            <v>OP</v>
          </cell>
          <cell r="B3199" t="str">
            <v>Quá 24h</v>
          </cell>
          <cell r="D3199" t="str">
            <v>Khiếu nại về dịch vụ FTTH</v>
          </cell>
          <cell r="W3199" t="str">
            <v>Đang xử lý</v>
          </cell>
          <cell r="AJ3199" t="str">
            <v>TP HCM</v>
          </cell>
          <cell r="BX3199" t="str">
            <v>AON</v>
          </cell>
        </row>
        <row r="3200">
          <cell r="A3200" t="str">
            <v>OP</v>
          </cell>
          <cell r="B3200" t="str">
            <v>Quá 24h</v>
          </cell>
          <cell r="D3200" t="str">
            <v>Khiếu nại về dịch vụ FTTH</v>
          </cell>
          <cell r="W3200" t="str">
            <v>Đang xử lý</v>
          </cell>
          <cell r="AJ3200" t="str">
            <v>Thừa Thiên Huế</v>
          </cell>
          <cell r="BX3200" t="str">
            <v>AON</v>
          </cell>
        </row>
        <row r="3201">
          <cell r="A3201" t="str">
            <v>OP</v>
          </cell>
          <cell r="B3201" t="str">
            <v>Quá 24h</v>
          </cell>
          <cell r="D3201" t="str">
            <v>Khiếu nại về dịch vụ FTTH</v>
          </cell>
          <cell r="W3201" t="str">
            <v>Đang xử lý</v>
          </cell>
          <cell r="AJ3201" t="str">
            <v xml:space="preserve">Đắc Lắk </v>
          </cell>
          <cell r="BX3201" t="str">
            <v>AON</v>
          </cell>
        </row>
        <row r="3202">
          <cell r="A3202" t="str">
            <v>OP</v>
          </cell>
          <cell r="B3202" t="str">
            <v>Quá 24h</v>
          </cell>
          <cell r="D3202" t="str">
            <v>Khiếu nại về dịch vụ FTTH</v>
          </cell>
          <cell r="W3202" t="str">
            <v>Đang xử lý</v>
          </cell>
          <cell r="AJ3202" t="str">
            <v>Thừa Thiên Huế</v>
          </cell>
          <cell r="BX3202" t="str">
            <v>AON</v>
          </cell>
        </row>
        <row r="3203">
          <cell r="A3203" t="str">
            <v>OP</v>
          </cell>
          <cell r="B3203" t="str">
            <v>Quá 24h</v>
          </cell>
          <cell r="D3203" t="str">
            <v>Khiếu nại về dịch vụ FTTH</v>
          </cell>
          <cell r="W3203" t="str">
            <v>Đang xử lý</v>
          </cell>
          <cell r="AJ3203" t="str">
            <v>Lâm Đồng</v>
          </cell>
          <cell r="BX3203" t="str">
            <v>AON</v>
          </cell>
        </row>
        <row r="3204">
          <cell r="A3204" t="str">
            <v>OP</v>
          </cell>
          <cell r="B3204" t="str">
            <v>Quá 24h</v>
          </cell>
          <cell r="D3204" t="str">
            <v>Khiếu nại về dịch vụ FTTH</v>
          </cell>
          <cell r="W3204" t="str">
            <v>Đang xử lý</v>
          </cell>
          <cell r="AJ3204" t="str">
            <v>Bình Thuận</v>
          </cell>
          <cell r="BX3204" t="str">
            <v>AON</v>
          </cell>
        </row>
        <row r="3205">
          <cell r="A3205" t="str">
            <v>OP</v>
          </cell>
          <cell r="B3205" t="str">
            <v>Quá 24h</v>
          </cell>
          <cell r="D3205" t="str">
            <v>Khiếu nại về dịch vụ FTTH</v>
          </cell>
          <cell r="W3205" t="str">
            <v>Đang xử lý</v>
          </cell>
          <cell r="AJ3205" t="str">
            <v>Phú Yên</v>
          </cell>
          <cell r="BX3205" t="str">
            <v>AON</v>
          </cell>
        </row>
        <row r="3206">
          <cell r="A3206" t="str">
            <v>OP</v>
          </cell>
          <cell r="B3206" t="str">
            <v>Quá 24h</v>
          </cell>
          <cell r="D3206" t="str">
            <v>Khiếu nại về dịch vụ FTTH</v>
          </cell>
          <cell r="W3206" t="str">
            <v>Đang xử lý</v>
          </cell>
          <cell r="AJ3206" t="str">
            <v>TP HCM</v>
          </cell>
          <cell r="BX3206" t="str">
            <v>AON</v>
          </cell>
        </row>
        <row r="3207">
          <cell r="A3207" t="str">
            <v>OP</v>
          </cell>
          <cell r="B3207" t="str">
            <v>Quá 24h</v>
          </cell>
          <cell r="D3207" t="str">
            <v>Khiếu nại về dịch vụ FTTH</v>
          </cell>
          <cell r="W3207" t="str">
            <v>Đang xử lý</v>
          </cell>
          <cell r="AJ3207" t="str">
            <v xml:space="preserve">Đắc Lắk </v>
          </cell>
          <cell r="BX3207" t="str">
            <v>AON</v>
          </cell>
        </row>
        <row r="3208">
          <cell r="A3208" t="str">
            <v>OP</v>
          </cell>
          <cell r="B3208" t="str">
            <v>Quá 24h</v>
          </cell>
          <cell r="D3208" t="str">
            <v>Khiếu nại về dịch vụ FTTH</v>
          </cell>
          <cell r="W3208" t="str">
            <v>Đang xử lý</v>
          </cell>
          <cell r="AJ3208" t="str">
            <v xml:space="preserve">Đắc Lắk </v>
          </cell>
          <cell r="BX3208" t="str">
            <v>AON</v>
          </cell>
        </row>
        <row r="3209">
          <cell r="A3209" t="str">
            <v>OP</v>
          </cell>
          <cell r="B3209" t="str">
            <v>Quá 24h</v>
          </cell>
          <cell r="D3209" t="str">
            <v>Khiếu nại về dịch vụ FTTH</v>
          </cell>
          <cell r="W3209" t="str">
            <v>Đang xử lý</v>
          </cell>
          <cell r="AJ3209" t="str">
            <v>TP HCM</v>
          </cell>
          <cell r="BX3209" t="str">
            <v>AON</v>
          </cell>
        </row>
        <row r="3210">
          <cell r="A3210" t="str">
            <v>OP</v>
          </cell>
          <cell r="B3210" t="str">
            <v>Quá 24h</v>
          </cell>
          <cell r="D3210" t="str">
            <v>Khiếu nại về dịch vụ FTTH</v>
          </cell>
          <cell r="W3210" t="str">
            <v>Đang xử lý</v>
          </cell>
          <cell r="AJ3210" t="str">
            <v>TP HCM</v>
          </cell>
          <cell r="BX3210" t="str">
            <v>AON</v>
          </cell>
        </row>
        <row r="3211">
          <cell r="A3211" t="str">
            <v>OP</v>
          </cell>
          <cell r="B3211" t="str">
            <v>Quá 24h</v>
          </cell>
          <cell r="D3211" t="str">
            <v>Khiếu nại về dịch vụ FTTH</v>
          </cell>
          <cell r="W3211" t="str">
            <v>Đang xử lý</v>
          </cell>
          <cell r="AJ3211" t="str">
            <v>Gia Lai</v>
          </cell>
          <cell r="BX3211" t="str">
            <v>AON</v>
          </cell>
        </row>
        <row r="3212">
          <cell r="A3212" t="str">
            <v>OP</v>
          </cell>
          <cell r="B3212" t="str">
            <v>Quá 24h</v>
          </cell>
          <cell r="D3212" t="str">
            <v>Khiếu nại về dịch vụ FTTH</v>
          </cell>
          <cell r="W3212" t="str">
            <v>Đang xử lý</v>
          </cell>
          <cell r="AJ3212" t="str">
            <v xml:space="preserve">Đắc Lắk </v>
          </cell>
          <cell r="BX3212" t="str">
            <v>AON</v>
          </cell>
        </row>
        <row r="3213">
          <cell r="A3213" t="str">
            <v>OP</v>
          </cell>
          <cell r="B3213" t="str">
            <v>Quá 24h</v>
          </cell>
          <cell r="D3213" t="str">
            <v>Khiếu nại về dịch vụ FTTH</v>
          </cell>
          <cell r="W3213" t="str">
            <v>Đã đóng</v>
          </cell>
          <cell r="AJ3213" t="str">
            <v>Bình Định</v>
          </cell>
          <cell r="BX3213" t="str">
            <v>AON</v>
          </cell>
        </row>
        <row r="3214">
          <cell r="A3214" t="str">
            <v>OP</v>
          </cell>
          <cell r="B3214" t="str">
            <v>Quá 24h</v>
          </cell>
          <cell r="D3214" t="str">
            <v>Khiếu nại về dịch vụ FTTH</v>
          </cell>
          <cell r="W3214" t="str">
            <v>Đang xử lý</v>
          </cell>
          <cell r="AJ3214" t="str">
            <v xml:space="preserve">Đà Nẵng </v>
          </cell>
          <cell r="BX3214" t="str">
            <v>AON</v>
          </cell>
        </row>
        <row r="3215">
          <cell r="A3215" t="str">
            <v>OP</v>
          </cell>
          <cell r="B3215" t="str">
            <v>Quá 24h</v>
          </cell>
          <cell r="D3215" t="str">
            <v>Khiếu nại về dịch vụ FTTH</v>
          </cell>
          <cell r="W3215" t="str">
            <v>Đang xử lý</v>
          </cell>
          <cell r="AJ3215" t="str">
            <v>Gia Lai</v>
          </cell>
          <cell r="BX3215" t="str">
            <v>AON</v>
          </cell>
        </row>
        <row r="3216">
          <cell r="A3216" t="str">
            <v>OP</v>
          </cell>
          <cell r="B3216" t="str">
            <v>Quá 24h</v>
          </cell>
          <cell r="D3216" t="str">
            <v>Khiếu nại về dịch vụ FTTH</v>
          </cell>
          <cell r="W3216" t="str">
            <v>Đang xử lý</v>
          </cell>
          <cell r="AJ3216" t="str">
            <v>TP HCM</v>
          </cell>
          <cell r="BX3216" t="str">
            <v>AON</v>
          </cell>
        </row>
        <row r="3217">
          <cell r="A3217" t="str">
            <v>OP</v>
          </cell>
          <cell r="B3217" t="str">
            <v>Quá 24h</v>
          </cell>
          <cell r="D3217" t="str">
            <v>Khiếu nại về dịch vụ FTTH</v>
          </cell>
          <cell r="W3217" t="str">
            <v>Đang xử lý</v>
          </cell>
          <cell r="AJ3217" t="str">
            <v xml:space="preserve">Đắc Lắk </v>
          </cell>
          <cell r="BX3217" t="str">
            <v>AON</v>
          </cell>
        </row>
        <row r="3218">
          <cell r="A3218" t="str">
            <v>OP</v>
          </cell>
          <cell r="B3218" t="str">
            <v>Quá 24h</v>
          </cell>
          <cell r="D3218" t="str">
            <v>Khiếu nại về dịch vụ FTTH</v>
          </cell>
          <cell r="W3218" t="str">
            <v>Đang xử lý</v>
          </cell>
          <cell r="AJ3218" t="str">
            <v>TP HCM</v>
          </cell>
          <cell r="BX3218" t="str">
            <v>GPON</v>
          </cell>
        </row>
        <row r="3219">
          <cell r="A3219" t="str">
            <v>OP</v>
          </cell>
          <cell r="B3219" t="str">
            <v>Quá 24h</v>
          </cell>
          <cell r="D3219" t="str">
            <v>Khiếu nại về dịch vụ FTTH</v>
          </cell>
          <cell r="W3219" t="str">
            <v>Đang xử lý</v>
          </cell>
          <cell r="AJ3219" t="str">
            <v>Bình Thuận</v>
          </cell>
          <cell r="BX3219" t="str">
            <v>AON</v>
          </cell>
        </row>
        <row r="3220">
          <cell r="A3220" t="str">
            <v>OP</v>
          </cell>
          <cell r="B3220" t="str">
            <v>Quá 24h</v>
          </cell>
          <cell r="D3220" t="str">
            <v>Khiếu nại về dịch vụ FTTH</v>
          </cell>
          <cell r="W3220" t="str">
            <v>Đang xử lý</v>
          </cell>
          <cell r="AJ3220" t="str">
            <v>Gia Lai</v>
          </cell>
          <cell r="BX3220" t="str">
            <v>AON</v>
          </cell>
        </row>
        <row r="3221">
          <cell r="A3221" t="str">
            <v>OP</v>
          </cell>
          <cell r="B3221" t="str">
            <v>Quá 24h</v>
          </cell>
          <cell r="D3221" t="str">
            <v>Khiếu nại về dịch vụ FTTH</v>
          </cell>
          <cell r="W3221" t="str">
            <v>Đang xử lý</v>
          </cell>
          <cell r="AJ3221" t="str">
            <v>TP HCM</v>
          </cell>
          <cell r="BX3221" t="str">
            <v>AON</v>
          </cell>
        </row>
        <row r="3222">
          <cell r="A3222" t="str">
            <v>OP</v>
          </cell>
          <cell r="B3222" t="str">
            <v>Quá 24h</v>
          </cell>
          <cell r="D3222" t="str">
            <v>Khiếu nại về dịch vụ FTTH</v>
          </cell>
          <cell r="W3222" t="str">
            <v>Đã đóng</v>
          </cell>
          <cell r="AJ3222" t="str">
            <v>Thừa Thiên Huế</v>
          </cell>
          <cell r="BX3222" t="str">
            <v>AON</v>
          </cell>
        </row>
        <row r="3223">
          <cell r="A3223" t="str">
            <v>OP</v>
          </cell>
          <cell r="B3223" t="str">
            <v>Quá 24h</v>
          </cell>
          <cell r="D3223" t="str">
            <v>Khiếu nại về dịch vụ FTTH</v>
          </cell>
          <cell r="W3223" t="str">
            <v>Đang xử lý</v>
          </cell>
          <cell r="AJ3223" t="str">
            <v xml:space="preserve">Đắc Lắk </v>
          </cell>
          <cell r="BX3223" t="str">
            <v>AON</v>
          </cell>
        </row>
        <row r="3224">
          <cell r="A3224" t="str">
            <v>OP</v>
          </cell>
          <cell r="B3224" t="str">
            <v>Quá 24h</v>
          </cell>
          <cell r="D3224" t="str">
            <v>Khiếu nại về dịch vụ FTTH</v>
          </cell>
          <cell r="W3224" t="str">
            <v>Đang xử lý</v>
          </cell>
          <cell r="AJ3224" t="str">
            <v>TP HCM</v>
          </cell>
          <cell r="BX3224" t="str">
            <v>AON</v>
          </cell>
        </row>
        <row r="3225">
          <cell r="A3225" t="str">
            <v>OP</v>
          </cell>
          <cell r="B3225" t="str">
            <v>Quá 24h</v>
          </cell>
          <cell r="D3225" t="str">
            <v>Khiếu nại về dịch vụ FTTH</v>
          </cell>
          <cell r="W3225" t="str">
            <v>Đang xử lý</v>
          </cell>
          <cell r="AJ3225" t="str">
            <v>Thừa Thiên Huế</v>
          </cell>
          <cell r="BX3225" t="str">
            <v>AON</v>
          </cell>
        </row>
        <row r="3226">
          <cell r="A3226" t="str">
            <v>OP</v>
          </cell>
          <cell r="B3226" t="str">
            <v>Quá 24h</v>
          </cell>
          <cell r="D3226" t="str">
            <v>Khiếu nại về dịch vụ FTTH</v>
          </cell>
          <cell r="W3226" t="str">
            <v>Đang xử lý</v>
          </cell>
          <cell r="AJ3226" t="str">
            <v xml:space="preserve">Đắc Lắk </v>
          </cell>
          <cell r="BX3226" t="str">
            <v>AON</v>
          </cell>
        </row>
        <row r="3227">
          <cell r="A3227" t="str">
            <v>OP</v>
          </cell>
          <cell r="B3227" t="str">
            <v>Quá 24h</v>
          </cell>
          <cell r="D3227" t="str">
            <v>Khiếu nại về dịch vụ FTTH</v>
          </cell>
          <cell r="W3227" t="str">
            <v>Đang xử lý</v>
          </cell>
          <cell r="AJ3227" t="str">
            <v xml:space="preserve">Đắc Lắk </v>
          </cell>
          <cell r="BX3227" t="str">
            <v>AON</v>
          </cell>
        </row>
        <row r="3228">
          <cell r="A3228" t="str">
            <v>OP</v>
          </cell>
          <cell r="B3228" t="str">
            <v>Quá 24h</v>
          </cell>
          <cell r="D3228" t="str">
            <v>Khiếu nại về dịch vụ FTTH</v>
          </cell>
          <cell r="W3228" t="str">
            <v>Đang xử lý</v>
          </cell>
          <cell r="AJ3228" t="str">
            <v>Bà Rịa - Vũng Tàu</v>
          </cell>
          <cell r="BX3228" t="str">
            <v>AON</v>
          </cell>
        </row>
        <row r="3229">
          <cell r="A3229" t="str">
            <v>OP</v>
          </cell>
          <cell r="B3229" t="str">
            <v>Quá 24h</v>
          </cell>
          <cell r="D3229" t="str">
            <v>Khiếu nại về dịch vụ FTTH</v>
          </cell>
          <cell r="W3229" t="str">
            <v>Đang xử lý</v>
          </cell>
          <cell r="AJ3229" t="str">
            <v>Tây Ninh</v>
          </cell>
          <cell r="BX3229" t="str">
            <v>AON</v>
          </cell>
        </row>
        <row r="3230">
          <cell r="A3230" t="str">
            <v>OP</v>
          </cell>
          <cell r="B3230" t="str">
            <v>Quá 24h</v>
          </cell>
          <cell r="D3230" t="str">
            <v>Khiếu nại về dịch vụ FTTH</v>
          </cell>
          <cell r="W3230" t="str">
            <v>Đang xử lý</v>
          </cell>
          <cell r="AJ3230" t="str">
            <v>TP HCM</v>
          </cell>
          <cell r="BX3230" t="str">
            <v>AON</v>
          </cell>
        </row>
        <row r="3231">
          <cell r="A3231" t="str">
            <v>OP</v>
          </cell>
          <cell r="B3231" t="str">
            <v>Quá 24h</v>
          </cell>
          <cell r="D3231" t="str">
            <v>Khiếu nại về dịch vụ FTTH</v>
          </cell>
          <cell r="W3231" t="str">
            <v>Đang xử lý</v>
          </cell>
          <cell r="AJ3231" t="str">
            <v xml:space="preserve">Đắc Lắk </v>
          </cell>
          <cell r="BX3231" t="str">
            <v>AON</v>
          </cell>
        </row>
        <row r="3232">
          <cell r="A3232" t="str">
            <v>OP</v>
          </cell>
          <cell r="B3232" t="str">
            <v>Quá 24h</v>
          </cell>
          <cell r="D3232" t="str">
            <v>Khiếu nại về dịch vụ FTTH</v>
          </cell>
          <cell r="W3232" t="str">
            <v>Đang xử lý</v>
          </cell>
          <cell r="AJ3232" t="str">
            <v>TP HCM</v>
          </cell>
          <cell r="BX3232" t="str">
            <v>AON</v>
          </cell>
        </row>
        <row r="3233">
          <cell r="A3233" t="str">
            <v>OP</v>
          </cell>
          <cell r="B3233" t="str">
            <v>Quá 24h</v>
          </cell>
          <cell r="D3233" t="str">
            <v>Khiếu nại về dịch vụ FTTH</v>
          </cell>
          <cell r="W3233" t="str">
            <v>Đang xử lý</v>
          </cell>
          <cell r="AJ3233" t="str">
            <v xml:space="preserve">Quảng Nam </v>
          </cell>
          <cell r="BX3233" t="str">
            <v>AON</v>
          </cell>
        </row>
        <row r="3234">
          <cell r="A3234" t="str">
            <v>OP</v>
          </cell>
          <cell r="B3234" t="str">
            <v>Quá 24h</v>
          </cell>
          <cell r="D3234" t="str">
            <v>Khiếu nại về dịch vụ FTTH</v>
          </cell>
          <cell r="W3234" t="str">
            <v>Đang xử lý</v>
          </cell>
          <cell r="AJ3234" t="str">
            <v>Lâm Đồng</v>
          </cell>
          <cell r="BX3234" t="str">
            <v>AON</v>
          </cell>
        </row>
        <row r="3235">
          <cell r="A3235" t="str">
            <v>OP</v>
          </cell>
          <cell r="B3235" t="str">
            <v>Quá 24h</v>
          </cell>
          <cell r="D3235" t="str">
            <v>Khiếu nại về dịch vụ FTTH</v>
          </cell>
          <cell r="W3235" t="str">
            <v>Đang xử lý</v>
          </cell>
          <cell r="AJ3235" t="str">
            <v xml:space="preserve">Đắc Lắk </v>
          </cell>
          <cell r="BX3235" t="str">
            <v>AON</v>
          </cell>
        </row>
        <row r="3236">
          <cell r="A3236" t="str">
            <v>OP</v>
          </cell>
          <cell r="B3236" t="str">
            <v>Quá 24h</v>
          </cell>
          <cell r="D3236" t="str">
            <v>Khiếu nại về dịch vụ FTTH</v>
          </cell>
          <cell r="W3236" t="str">
            <v>Đang xử lý</v>
          </cell>
          <cell r="AJ3236" t="str">
            <v>Lâm Đồng</v>
          </cell>
          <cell r="BX3236" t="str">
            <v>AON</v>
          </cell>
        </row>
        <row r="3237">
          <cell r="A3237" t="str">
            <v>OP</v>
          </cell>
          <cell r="B3237" t="str">
            <v>Quá 24h</v>
          </cell>
          <cell r="D3237" t="str">
            <v>Khiếu nại về dịch vụ FTTH</v>
          </cell>
          <cell r="W3237" t="str">
            <v>Đang xử lý</v>
          </cell>
          <cell r="AJ3237" t="str">
            <v>TP HCM</v>
          </cell>
          <cell r="BX3237" t="str">
            <v>AON</v>
          </cell>
        </row>
        <row r="3238">
          <cell r="A3238" t="str">
            <v>OP</v>
          </cell>
          <cell r="B3238" t="str">
            <v>Quá 24h</v>
          </cell>
          <cell r="D3238" t="str">
            <v>Khiếu nại về dịch vụ FTTH</v>
          </cell>
          <cell r="W3238" t="str">
            <v>Đang xử lý</v>
          </cell>
          <cell r="AJ3238" t="str">
            <v>Tiền Giang</v>
          </cell>
          <cell r="BX3238" t="str">
            <v>AON</v>
          </cell>
        </row>
        <row r="3239">
          <cell r="A3239" t="str">
            <v>OP</v>
          </cell>
          <cell r="B3239" t="str">
            <v>Quá 24h</v>
          </cell>
          <cell r="D3239" t="str">
            <v>Khiếu nại về dịch vụ FTTH</v>
          </cell>
          <cell r="W3239" t="str">
            <v>Đang xử lý</v>
          </cell>
          <cell r="AJ3239" t="str">
            <v>Thừa Thiên Huế</v>
          </cell>
          <cell r="BX3239" t="str">
            <v>AON</v>
          </cell>
        </row>
        <row r="3240">
          <cell r="A3240" t="str">
            <v>OP</v>
          </cell>
          <cell r="B3240" t="str">
            <v>Quá 24h</v>
          </cell>
          <cell r="D3240" t="str">
            <v>Khiếu nại về dịch vụ FTTH</v>
          </cell>
          <cell r="W3240" t="str">
            <v>Đang xử lý</v>
          </cell>
          <cell r="AJ3240" t="str">
            <v>Quảng Trị</v>
          </cell>
          <cell r="BX3240" t="str">
            <v>AON</v>
          </cell>
        </row>
        <row r="3241">
          <cell r="A3241" t="str">
            <v>OP</v>
          </cell>
          <cell r="B3241" t="str">
            <v>Quá 24h</v>
          </cell>
          <cell r="D3241" t="str">
            <v>Khiếu nại về dịch vụ FTTH</v>
          </cell>
          <cell r="W3241" t="str">
            <v>Đang xử lý</v>
          </cell>
          <cell r="AJ3241" t="str">
            <v>Lâm Đồng</v>
          </cell>
          <cell r="BX3241" t="str">
            <v>AON</v>
          </cell>
        </row>
        <row r="3242">
          <cell r="A3242" t="str">
            <v>OP</v>
          </cell>
          <cell r="B3242" t="str">
            <v>Quá 24h</v>
          </cell>
          <cell r="D3242" t="str">
            <v>Khiếu nại về dịch vụ FTTH</v>
          </cell>
          <cell r="W3242" t="str">
            <v>Đang xử lý</v>
          </cell>
          <cell r="AJ3242" t="str">
            <v>Bình Thuận</v>
          </cell>
          <cell r="BX3242" t="str">
            <v>AON</v>
          </cell>
        </row>
        <row r="3243">
          <cell r="A3243" t="str">
            <v>OP</v>
          </cell>
          <cell r="B3243" t="str">
            <v>Quá 24h</v>
          </cell>
          <cell r="D3243" t="str">
            <v>Khiếu nại về dịch vụ FTTH</v>
          </cell>
          <cell r="W3243" t="str">
            <v>Đang xử lý</v>
          </cell>
          <cell r="AJ3243" t="str">
            <v>Ninh Thuận</v>
          </cell>
          <cell r="BX3243" t="str">
            <v>AON</v>
          </cell>
        </row>
        <row r="3244">
          <cell r="A3244" t="str">
            <v>OP</v>
          </cell>
          <cell r="B3244" t="str">
            <v>Quá 24h</v>
          </cell>
          <cell r="D3244" t="str">
            <v>Khiếu nại về dịch vụ FTTH</v>
          </cell>
          <cell r="W3244" t="str">
            <v>Đang xử lý</v>
          </cell>
          <cell r="AJ3244" t="str">
            <v xml:space="preserve">Đắc Lắk </v>
          </cell>
          <cell r="BX3244" t="str">
            <v>AON</v>
          </cell>
        </row>
        <row r="3245">
          <cell r="A3245" t="str">
            <v>OP</v>
          </cell>
          <cell r="B3245" t="str">
            <v>Quá 24h</v>
          </cell>
          <cell r="D3245" t="str">
            <v>Khiếu nại về dịch vụ FTTH</v>
          </cell>
          <cell r="W3245" t="str">
            <v>Đang xử lý</v>
          </cell>
          <cell r="AJ3245" t="str">
            <v>Phú Yên</v>
          </cell>
          <cell r="BX3245" t="str">
            <v>AON</v>
          </cell>
        </row>
        <row r="3246">
          <cell r="A3246" t="str">
            <v>OP</v>
          </cell>
          <cell r="B3246" t="str">
            <v>Quá 24h</v>
          </cell>
          <cell r="D3246" t="str">
            <v>Khiếu nại về dịch vụ FTTH</v>
          </cell>
          <cell r="W3246" t="str">
            <v>Đang xử lý</v>
          </cell>
          <cell r="AJ3246" t="str">
            <v>TP HCM</v>
          </cell>
          <cell r="BX3246" t="str">
            <v>AON</v>
          </cell>
        </row>
        <row r="3247">
          <cell r="A3247" t="str">
            <v>OP</v>
          </cell>
          <cell r="B3247" t="str">
            <v>Quá 24h</v>
          </cell>
          <cell r="D3247" t="str">
            <v>Khiếu nại về dịch vụ FTTH</v>
          </cell>
          <cell r="W3247" t="str">
            <v>Đang xử lý</v>
          </cell>
          <cell r="AJ3247" t="str">
            <v>Quảng Trị</v>
          </cell>
          <cell r="BX3247" t="str">
            <v>AON</v>
          </cell>
        </row>
        <row r="3248">
          <cell r="A3248" t="str">
            <v>OP</v>
          </cell>
          <cell r="B3248" t="str">
            <v>Quá 24h</v>
          </cell>
          <cell r="D3248" t="str">
            <v>Khiếu nại về dịch vụ FTTH</v>
          </cell>
          <cell r="W3248" t="str">
            <v>Đã đóng</v>
          </cell>
          <cell r="AJ3248" t="str">
            <v>Bình Thuận</v>
          </cell>
          <cell r="BX3248" t="str">
            <v>AON</v>
          </cell>
        </row>
        <row r="3249">
          <cell r="A3249" t="str">
            <v>OP</v>
          </cell>
          <cell r="B3249" t="str">
            <v>Quá 24h</v>
          </cell>
          <cell r="D3249" t="str">
            <v>Khiếu nại về dịch vụ FTTH</v>
          </cell>
          <cell r="W3249" t="str">
            <v>Đang xử lý</v>
          </cell>
          <cell r="AJ3249" t="str">
            <v>Gia Lai</v>
          </cell>
          <cell r="BX3249" t="str">
            <v>AON</v>
          </cell>
        </row>
        <row r="3250">
          <cell r="A3250" t="str">
            <v>OP</v>
          </cell>
          <cell r="B3250" t="str">
            <v>Quá 24h</v>
          </cell>
          <cell r="D3250" t="str">
            <v>Khiếu nại về dịch vụ FTTH</v>
          </cell>
          <cell r="W3250" t="str">
            <v>Đang xử lý</v>
          </cell>
          <cell r="AJ3250" t="str">
            <v>Quảng Trị</v>
          </cell>
          <cell r="BX3250" t="str">
            <v>AON</v>
          </cell>
        </row>
        <row r="3251">
          <cell r="A3251" t="str">
            <v>OP</v>
          </cell>
          <cell r="B3251" t="str">
            <v>Quá 24h</v>
          </cell>
          <cell r="D3251" t="str">
            <v>Khiếu nại về dịch vụ FTTH</v>
          </cell>
          <cell r="W3251" t="str">
            <v>Đang xử lý</v>
          </cell>
          <cell r="AJ3251" t="str">
            <v>Bình Thuận</v>
          </cell>
          <cell r="BX3251" t="str">
            <v>AON</v>
          </cell>
        </row>
        <row r="3252">
          <cell r="A3252" t="str">
            <v>OP</v>
          </cell>
          <cell r="B3252" t="str">
            <v>Quá 24h</v>
          </cell>
          <cell r="D3252" t="str">
            <v>Khiếu nại về dịch vụ FTTH</v>
          </cell>
          <cell r="W3252" t="str">
            <v>Đang xử lý</v>
          </cell>
          <cell r="AJ3252" t="str">
            <v>Thừa Thiên Huế</v>
          </cell>
          <cell r="BX3252" t="str">
            <v>AON</v>
          </cell>
        </row>
        <row r="3253">
          <cell r="A3253" t="str">
            <v>OP</v>
          </cell>
          <cell r="B3253" t="str">
            <v>Quá 24h</v>
          </cell>
          <cell r="D3253" t="str">
            <v>Khiếu nại về dịch vụ FTTH</v>
          </cell>
          <cell r="W3253" t="str">
            <v>Đang xử lý</v>
          </cell>
          <cell r="AJ3253" t="str">
            <v xml:space="preserve">Đà Nẵng </v>
          </cell>
          <cell r="BX3253" t="str">
            <v>AON</v>
          </cell>
        </row>
        <row r="3254">
          <cell r="A3254" t="str">
            <v>OP</v>
          </cell>
          <cell r="B3254" t="str">
            <v>Quá 24h</v>
          </cell>
          <cell r="D3254" t="str">
            <v>Khiếu nại về dịch vụ FTTH</v>
          </cell>
          <cell r="W3254" t="str">
            <v>Đang xử lý</v>
          </cell>
          <cell r="AJ3254" t="str">
            <v>Phú Yên</v>
          </cell>
          <cell r="BX3254" t="str">
            <v>AON</v>
          </cell>
        </row>
        <row r="3255">
          <cell r="A3255" t="str">
            <v>OP</v>
          </cell>
          <cell r="B3255" t="str">
            <v>Quá 24h</v>
          </cell>
          <cell r="D3255" t="str">
            <v>Khiếu nại về dịch vụ FTTH</v>
          </cell>
          <cell r="W3255" t="str">
            <v>Đang xử lý</v>
          </cell>
          <cell r="AJ3255" t="str">
            <v>Gia Lai</v>
          </cell>
          <cell r="BX3255" t="str">
            <v>AON</v>
          </cell>
        </row>
        <row r="3256">
          <cell r="A3256" t="str">
            <v>OP</v>
          </cell>
          <cell r="B3256" t="str">
            <v>Quá 24h</v>
          </cell>
          <cell r="D3256" t="str">
            <v>Khiếu nại về dịch vụ FTTH</v>
          </cell>
          <cell r="W3256" t="str">
            <v>Đang xử lý</v>
          </cell>
          <cell r="AJ3256" t="str">
            <v>Bình Thuận</v>
          </cell>
          <cell r="BX3256" t="str">
            <v>AON</v>
          </cell>
        </row>
        <row r="3257">
          <cell r="A3257" t="str">
            <v>OP</v>
          </cell>
          <cell r="B3257" t="str">
            <v>Quá 24h</v>
          </cell>
          <cell r="D3257" t="str">
            <v>Khiếu nại về dịch vụ FTTH</v>
          </cell>
          <cell r="W3257" t="str">
            <v>Đang xử lý</v>
          </cell>
          <cell r="AJ3257" t="str">
            <v xml:space="preserve">Đắc Lắk </v>
          </cell>
          <cell r="BX3257" t="str">
            <v>AON</v>
          </cell>
        </row>
        <row r="3258">
          <cell r="A3258" t="str">
            <v>OP</v>
          </cell>
          <cell r="B3258" t="str">
            <v>Quá 24h</v>
          </cell>
          <cell r="D3258" t="str">
            <v>Khiếu nại về dịch vụ FTTH</v>
          </cell>
          <cell r="W3258" t="str">
            <v>Đang xử lý</v>
          </cell>
          <cell r="AJ3258" t="str">
            <v>Quảng Ngãi</v>
          </cell>
          <cell r="BX3258" t="str">
            <v>AON</v>
          </cell>
        </row>
        <row r="3259">
          <cell r="A3259" t="str">
            <v>OP</v>
          </cell>
          <cell r="B3259" t="str">
            <v>Quá 24h</v>
          </cell>
          <cell r="D3259" t="str">
            <v>Khiếu nại về dịch vụ FTTH</v>
          </cell>
          <cell r="W3259" t="str">
            <v>Đang xử lý</v>
          </cell>
          <cell r="AJ3259" t="str">
            <v>Kon Tum</v>
          </cell>
          <cell r="BX3259" t="str">
            <v>AON</v>
          </cell>
        </row>
        <row r="3260">
          <cell r="A3260" t="str">
            <v>OP</v>
          </cell>
          <cell r="B3260" t="str">
            <v>Quá 24h</v>
          </cell>
          <cell r="D3260" t="str">
            <v>Khiếu nại về dịch vụ FTTH</v>
          </cell>
          <cell r="W3260" t="str">
            <v>Đang xử lý</v>
          </cell>
          <cell r="AJ3260" t="str">
            <v>Quảng Ngãi</v>
          </cell>
          <cell r="BX3260" t="str">
            <v>AON</v>
          </cell>
        </row>
        <row r="3261">
          <cell r="A3261" t="str">
            <v>OP</v>
          </cell>
          <cell r="B3261" t="str">
            <v>Quá 24h</v>
          </cell>
          <cell r="D3261" t="str">
            <v>Khiếu nại về dịch vụ FTTH</v>
          </cell>
          <cell r="W3261" t="str">
            <v>Đang xử lý</v>
          </cell>
          <cell r="AJ3261" t="str">
            <v>Phú Yên</v>
          </cell>
          <cell r="BX3261" t="str">
            <v>AON</v>
          </cell>
        </row>
        <row r="3262">
          <cell r="A3262" t="str">
            <v>OP</v>
          </cell>
          <cell r="B3262" t="str">
            <v>Quá 24h</v>
          </cell>
          <cell r="D3262" t="str">
            <v>Khiếu nại về dịch vụ FTTH</v>
          </cell>
          <cell r="W3262" t="str">
            <v>Đang xử lý</v>
          </cell>
          <cell r="AJ3262" t="str">
            <v>Phú Yên</v>
          </cell>
          <cell r="BX3262" t="str">
            <v>AON</v>
          </cell>
        </row>
        <row r="3263">
          <cell r="A3263" t="str">
            <v>OP</v>
          </cell>
          <cell r="B3263" t="str">
            <v>Quá 24h</v>
          </cell>
          <cell r="D3263" t="str">
            <v>Khiếu nại về dịch vụ FTTH</v>
          </cell>
          <cell r="W3263" t="str">
            <v>Đang xử lý</v>
          </cell>
          <cell r="AJ3263" t="str">
            <v xml:space="preserve">Quảng Nam </v>
          </cell>
          <cell r="BX3263" t="str">
            <v>AON</v>
          </cell>
        </row>
        <row r="3264">
          <cell r="A3264" t="str">
            <v>OP</v>
          </cell>
          <cell r="B3264" t="str">
            <v>Quá 24h</v>
          </cell>
          <cell r="D3264" t="str">
            <v>Khiếu nại về dịch vụ FTTH</v>
          </cell>
          <cell r="W3264" t="str">
            <v>Đang xử lý</v>
          </cell>
          <cell r="AJ3264" t="str">
            <v>Kon Tum</v>
          </cell>
          <cell r="BX3264" t="str">
            <v>AON</v>
          </cell>
        </row>
        <row r="3265">
          <cell r="A3265" t="str">
            <v>OP</v>
          </cell>
          <cell r="B3265" t="str">
            <v>Quá 24h</v>
          </cell>
          <cell r="D3265" t="str">
            <v>Khiếu nại về dịch vụ FTTH</v>
          </cell>
          <cell r="W3265" t="str">
            <v>Đang xử lý</v>
          </cell>
          <cell r="AJ3265" t="str">
            <v xml:space="preserve">Đắc Lắk </v>
          </cell>
          <cell r="BX3265" t="str">
            <v>AON</v>
          </cell>
        </row>
        <row r="3266">
          <cell r="A3266" t="str">
            <v>OP</v>
          </cell>
          <cell r="B3266" t="str">
            <v>Quá 24h</v>
          </cell>
          <cell r="D3266" t="str">
            <v>Khiếu nại về dịch vụ FTTH</v>
          </cell>
          <cell r="W3266" t="str">
            <v>Đang xử lý</v>
          </cell>
          <cell r="AJ3266" t="str">
            <v>Thừa Thiên Huế</v>
          </cell>
          <cell r="BX3266" t="str">
            <v>AON</v>
          </cell>
        </row>
        <row r="3267">
          <cell r="A3267" t="str">
            <v>OP</v>
          </cell>
          <cell r="B3267" t="str">
            <v>Quá 24h</v>
          </cell>
          <cell r="D3267" t="str">
            <v>Khiếu nại về dịch vụ FTTH</v>
          </cell>
          <cell r="W3267" t="str">
            <v>Đang xử lý</v>
          </cell>
          <cell r="AJ3267" t="str">
            <v xml:space="preserve">Đắc Lắk </v>
          </cell>
          <cell r="BX3267" t="str">
            <v>AON</v>
          </cell>
        </row>
        <row r="3268">
          <cell r="A3268" t="str">
            <v>OP</v>
          </cell>
          <cell r="B3268" t="str">
            <v>Quá 24h</v>
          </cell>
          <cell r="D3268" t="str">
            <v>Khiếu nại về dịch vụ FTTH</v>
          </cell>
          <cell r="W3268" t="str">
            <v>Đang xử lý</v>
          </cell>
          <cell r="AJ3268" t="str">
            <v>TP HCM</v>
          </cell>
          <cell r="BX3268" t="str">
            <v>AON</v>
          </cell>
        </row>
        <row r="3269">
          <cell r="A3269" t="str">
            <v>OP</v>
          </cell>
          <cell r="B3269" t="str">
            <v>Quá 24h</v>
          </cell>
          <cell r="D3269" t="str">
            <v>Khiếu nại về dịch vụ FTTH</v>
          </cell>
          <cell r="W3269" t="str">
            <v>Đang xử lý</v>
          </cell>
          <cell r="AJ3269" t="str">
            <v>TP HCM</v>
          </cell>
          <cell r="BX3269" t="str">
            <v>AON</v>
          </cell>
        </row>
        <row r="3270">
          <cell r="A3270" t="str">
            <v>OP</v>
          </cell>
          <cell r="B3270" t="str">
            <v>Quá 24h</v>
          </cell>
          <cell r="D3270" t="str">
            <v>Khiếu nại về dịch vụ FTTH</v>
          </cell>
          <cell r="W3270" t="str">
            <v>Đang xử lý</v>
          </cell>
          <cell r="AJ3270" t="str">
            <v>Lâm Đồng</v>
          </cell>
          <cell r="BX3270" t="str">
            <v>AON</v>
          </cell>
        </row>
        <row r="3271">
          <cell r="A3271" t="str">
            <v>OP</v>
          </cell>
          <cell r="B3271" t="str">
            <v>Quá 24h</v>
          </cell>
          <cell r="D3271" t="str">
            <v>Khiếu nại về dịch vụ FTTH</v>
          </cell>
          <cell r="W3271" t="str">
            <v>Đang xử lý</v>
          </cell>
          <cell r="AJ3271" t="str">
            <v>Phú Yên</v>
          </cell>
          <cell r="BX3271" t="str">
            <v>AON</v>
          </cell>
        </row>
        <row r="3272">
          <cell r="A3272" t="str">
            <v>OP</v>
          </cell>
          <cell r="B3272" t="str">
            <v>Quá 24h</v>
          </cell>
          <cell r="D3272" t="str">
            <v>Khiếu nại về dịch vụ FTTH</v>
          </cell>
          <cell r="W3272" t="str">
            <v>Đã đóng</v>
          </cell>
          <cell r="AJ3272" t="str">
            <v>Bình Thuận</v>
          </cell>
          <cell r="BX3272" t="str">
            <v>AON</v>
          </cell>
        </row>
        <row r="3273">
          <cell r="A3273" t="str">
            <v>OP</v>
          </cell>
          <cell r="B3273" t="str">
            <v>Quá 24h</v>
          </cell>
          <cell r="D3273" t="str">
            <v>Khiếu nại về dịch vụ FTTH</v>
          </cell>
          <cell r="W3273" t="str">
            <v>Đang xử lý</v>
          </cell>
          <cell r="AJ3273" t="str">
            <v xml:space="preserve">Đà Nẵng </v>
          </cell>
          <cell r="BX3273" t="str">
            <v>AON</v>
          </cell>
        </row>
        <row r="3274">
          <cell r="A3274" t="str">
            <v>OP</v>
          </cell>
          <cell r="B3274" t="str">
            <v>Quá 24h</v>
          </cell>
          <cell r="D3274" t="str">
            <v>Khiếu nại về dịch vụ FTTH</v>
          </cell>
          <cell r="W3274" t="str">
            <v>Đang xử lý</v>
          </cell>
          <cell r="AJ3274" t="str">
            <v>Quảng Ngãi</v>
          </cell>
          <cell r="BX3274" t="str">
            <v>AON</v>
          </cell>
        </row>
        <row r="3275">
          <cell r="A3275" t="str">
            <v>OP</v>
          </cell>
          <cell r="B3275" t="str">
            <v>Quá 24h</v>
          </cell>
          <cell r="D3275" t="str">
            <v>Khiếu nại về dịch vụ FTTH</v>
          </cell>
          <cell r="W3275" t="str">
            <v>Đang xử lý</v>
          </cell>
          <cell r="AJ3275" t="str">
            <v>Quảng Trị</v>
          </cell>
          <cell r="BX3275" t="str">
            <v>AON</v>
          </cell>
        </row>
        <row r="3276">
          <cell r="A3276" t="str">
            <v>OP</v>
          </cell>
          <cell r="B3276" t="str">
            <v>Quá 24h</v>
          </cell>
          <cell r="D3276" t="str">
            <v>Khiếu nại về dịch vụ FTTH</v>
          </cell>
          <cell r="W3276" t="str">
            <v>Đang xử lý</v>
          </cell>
          <cell r="AJ3276" t="str">
            <v>Lâm Đồng</v>
          </cell>
          <cell r="BX3276" t="str">
            <v>AON</v>
          </cell>
        </row>
        <row r="3277">
          <cell r="A3277" t="str">
            <v>OP</v>
          </cell>
          <cell r="B3277" t="str">
            <v>Quá 24h</v>
          </cell>
          <cell r="D3277" t="str">
            <v>Khiếu nại về dịch vụ FTTH</v>
          </cell>
          <cell r="W3277" t="str">
            <v>Đang xử lý</v>
          </cell>
          <cell r="AJ3277" t="str">
            <v>TP HCM</v>
          </cell>
          <cell r="BX3277" t="str">
            <v>AON</v>
          </cell>
        </row>
        <row r="3278">
          <cell r="A3278" t="str">
            <v>OP</v>
          </cell>
          <cell r="B3278" t="str">
            <v>Quá 24h</v>
          </cell>
          <cell r="D3278" t="str">
            <v>Khiếu nại về dịch vụ FTTH</v>
          </cell>
          <cell r="W3278" t="str">
            <v>Đang xử lý</v>
          </cell>
          <cell r="AJ3278" t="str">
            <v>Gia Lai</v>
          </cell>
          <cell r="BX3278" t="str">
            <v>AON</v>
          </cell>
        </row>
        <row r="3279">
          <cell r="A3279" t="str">
            <v>OP</v>
          </cell>
          <cell r="B3279" t="str">
            <v>Quá 24h</v>
          </cell>
          <cell r="D3279" t="str">
            <v>Khiếu nại về dịch vụ FTTH</v>
          </cell>
          <cell r="W3279" t="str">
            <v>Đang xử lý</v>
          </cell>
          <cell r="AJ3279" t="str">
            <v>Phú Yên</v>
          </cell>
          <cell r="BX3279" t="str">
            <v>AON</v>
          </cell>
        </row>
        <row r="3280">
          <cell r="A3280" t="str">
            <v>OP</v>
          </cell>
          <cell r="B3280" t="str">
            <v>Quá 24h</v>
          </cell>
          <cell r="D3280" t="str">
            <v>Khiếu nại về dịch vụ FTTH</v>
          </cell>
          <cell r="W3280" t="str">
            <v>Đang xử lý</v>
          </cell>
          <cell r="AJ3280" t="str">
            <v xml:space="preserve">Đà Nẵng </v>
          </cell>
          <cell r="BX3280" t="str">
            <v>AON</v>
          </cell>
        </row>
        <row r="3281">
          <cell r="A3281" t="str">
            <v>OP</v>
          </cell>
          <cell r="B3281" t="str">
            <v>Quá 24h</v>
          </cell>
          <cell r="D3281" t="str">
            <v>Khiếu nại về dịch vụ FTTH</v>
          </cell>
          <cell r="W3281" t="str">
            <v>Đang xử lý</v>
          </cell>
          <cell r="AJ3281" t="str">
            <v xml:space="preserve">Đắc Lắk </v>
          </cell>
          <cell r="BX3281" t="str">
            <v>AON</v>
          </cell>
        </row>
        <row r="3282">
          <cell r="A3282" t="str">
            <v>OP</v>
          </cell>
          <cell r="B3282" t="str">
            <v>Quá 24h</v>
          </cell>
          <cell r="D3282" t="str">
            <v>Khiếu nại về dịch vụ FTTH</v>
          </cell>
          <cell r="W3282" t="str">
            <v>Đang xử lý</v>
          </cell>
          <cell r="AJ3282" t="str">
            <v xml:space="preserve">Quảng Nam </v>
          </cell>
          <cell r="BX3282" t="str">
            <v>AON</v>
          </cell>
        </row>
        <row r="3283">
          <cell r="A3283" t="str">
            <v>OP</v>
          </cell>
          <cell r="B3283" t="str">
            <v>Quá 24h</v>
          </cell>
          <cell r="D3283" t="str">
            <v>Khiếu nại về dịch vụ FTTH</v>
          </cell>
          <cell r="W3283" t="str">
            <v>Đang xử lý</v>
          </cell>
          <cell r="AJ3283" t="str">
            <v>TP HCM</v>
          </cell>
          <cell r="BX3283" t="str">
            <v>AON</v>
          </cell>
        </row>
        <row r="3284">
          <cell r="A3284" t="str">
            <v>OP</v>
          </cell>
          <cell r="B3284" t="str">
            <v>Quá 24h</v>
          </cell>
          <cell r="D3284" t="str">
            <v>Khiếu nại về dịch vụ FTTH</v>
          </cell>
          <cell r="W3284" t="str">
            <v>Đang xử lý</v>
          </cell>
          <cell r="AJ3284" t="str">
            <v xml:space="preserve">Đắc Lắk </v>
          </cell>
          <cell r="BX3284" t="str">
            <v>AON</v>
          </cell>
        </row>
        <row r="3285">
          <cell r="A3285" t="str">
            <v>OP</v>
          </cell>
          <cell r="B3285" t="str">
            <v>Quá 24h</v>
          </cell>
          <cell r="D3285" t="str">
            <v>Khiếu nại về dịch vụ FTTH</v>
          </cell>
          <cell r="W3285" t="str">
            <v>Đang xử lý</v>
          </cell>
          <cell r="AJ3285" t="str">
            <v>Thừa Thiên Huế</v>
          </cell>
          <cell r="BX3285" t="str">
            <v>AON</v>
          </cell>
        </row>
        <row r="3286">
          <cell r="A3286" t="str">
            <v>OP</v>
          </cell>
          <cell r="B3286" t="str">
            <v>Quá 24h</v>
          </cell>
          <cell r="D3286" t="str">
            <v>Khiếu nại về dịch vụ FTTH</v>
          </cell>
          <cell r="W3286" t="str">
            <v>Đang xử lý</v>
          </cell>
          <cell r="AJ3286" t="str">
            <v>Thừa Thiên Huế</v>
          </cell>
          <cell r="BX3286" t="str">
            <v>AON</v>
          </cell>
        </row>
        <row r="3287">
          <cell r="A3287" t="str">
            <v>OP</v>
          </cell>
          <cell r="B3287" t="str">
            <v>Quá 24h</v>
          </cell>
          <cell r="D3287" t="str">
            <v>Khiếu nại về dịch vụ FTTH</v>
          </cell>
          <cell r="W3287" t="str">
            <v>Đang xử lý</v>
          </cell>
          <cell r="AJ3287" t="str">
            <v>TP HCM</v>
          </cell>
          <cell r="BX3287" t="str">
            <v>AON</v>
          </cell>
        </row>
        <row r="3288">
          <cell r="A3288" t="str">
            <v>OP</v>
          </cell>
          <cell r="B3288" t="str">
            <v>Quá 24h</v>
          </cell>
          <cell r="D3288" t="str">
            <v>Khiếu nại về dịch vụ FTTH</v>
          </cell>
          <cell r="W3288" t="str">
            <v>Đang xử lý</v>
          </cell>
          <cell r="AJ3288" t="str">
            <v>Quảng Ngãi</v>
          </cell>
          <cell r="BX3288" t="str">
            <v>AON</v>
          </cell>
        </row>
        <row r="3289">
          <cell r="A3289" t="str">
            <v>OP</v>
          </cell>
          <cell r="B3289" t="str">
            <v>Quá 24h</v>
          </cell>
          <cell r="D3289" t="str">
            <v>Khiếu nại về dịch vụ FTTH</v>
          </cell>
          <cell r="W3289" t="str">
            <v>Đang xử lý</v>
          </cell>
          <cell r="AJ3289" t="str">
            <v>Bình Thuận</v>
          </cell>
          <cell r="BX3289" t="str">
            <v>AON</v>
          </cell>
        </row>
        <row r="3290">
          <cell r="A3290" t="str">
            <v>OP</v>
          </cell>
          <cell r="B3290" t="str">
            <v>Quá 24h</v>
          </cell>
          <cell r="D3290" t="str">
            <v>Khiếu nại về dịch vụ FTTH</v>
          </cell>
          <cell r="W3290" t="str">
            <v>Đang xử lý</v>
          </cell>
          <cell r="AJ3290" t="str">
            <v xml:space="preserve">Đắc Lắk </v>
          </cell>
          <cell r="BX3290" t="str">
            <v>AON</v>
          </cell>
        </row>
        <row r="3291">
          <cell r="A3291" t="str">
            <v>OP</v>
          </cell>
          <cell r="B3291" t="str">
            <v>Quá 24h</v>
          </cell>
          <cell r="D3291" t="str">
            <v>Khiếu nại về dịch vụ FTTH</v>
          </cell>
          <cell r="W3291" t="str">
            <v>Đang xử lý</v>
          </cell>
          <cell r="AJ3291" t="str">
            <v>Quảng Ngãi</v>
          </cell>
          <cell r="BX3291" t="str">
            <v>AON</v>
          </cell>
        </row>
        <row r="3292">
          <cell r="A3292" t="str">
            <v>OP</v>
          </cell>
          <cell r="B3292" t="str">
            <v>Quá 24h</v>
          </cell>
          <cell r="D3292" t="str">
            <v>Khiếu nại về dịch vụ FTTH</v>
          </cell>
          <cell r="W3292" t="str">
            <v>Đã đóng</v>
          </cell>
          <cell r="AJ3292" t="str">
            <v>TP HCM</v>
          </cell>
          <cell r="BX3292" t="str">
            <v>AON</v>
          </cell>
        </row>
        <row r="3293">
          <cell r="A3293" t="str">
            <v>OP</v>
          </cell>
          <cell r="B3293" t="str">
            <v>Quá 24h</v>
          </cell>
          <cell r="D3293" t="str">
            <v>Khiếu nại về dịch vụ FTTH</v>
          </cell>
          <cell r="W3293" t="str">
            <v>Đang xử lý</v>
          </cell>
          <cell r="AJ3293" t="str">
            <v xml:space="preserve">Đắc Lắk </v>
          </cell>
          <cell r="BX3293" t="str">
            <v>AON</v>
          </cell>
        </row>
        <row r="3294">
          <cell r="A3294" t="str">
            <v>OP</v>
          </cell>
          <cell r="B3294" t="str">
            <v>Quá 24h</v>
          </cell>
          <cell r="D3294" t="str">
            <v>Khiếu nại về dịch vụ FTTH</v>
          </cell>
          <cell r="W3294" t="str">
            <v>Đang xử lý</v>
          </cell>
          <cell r="AJ3294" t="str">
            <v>Lâm Đồng</v>
          </cell>
          <cell r="BX3294" t="str">
            <v>AON</v>
          </cell>
        </row>
        <row r="3295">
          <cell r="A3295" t="str">
            <v>OP</v>
          </cell>
          <cell r="B3295" t="str">
            <v>Quá 24h</v>
          </cell>
          <cell r="D3295" t="str">
            <v>Khiếu nại về dịch vụ FTTH</v>
          </cell>
          <cell r="W3295" t="str">
            <v>Đang xử lý</v>
          </cell>
          <cell r="AJ3295" t="str">
            <v>Gia Lai</v>
          </cell>
          <cell r="BX3295" t="str">
            <v>AON</v>
          </cell>
        </row>
        <row r="3296">
          <cell r="A3296" t="str">
            <v>OP</v>
          </cell>
          <cell r="B3296" t="str">
            <v>Quá 24h</v>
          </cell>
          <cell r="D3296" t="str">
            <v>Khiếu nại về dịch vụ FTTH</v>
          </cell>
          <cell r="W3296" t="str">
            <v>Đang xử lý</v>
          </cell>
          <cell r="AJ3296" t="str">
            <v>Phú Yên</v>
          </cell>
          <cell r="BX3296" t="str">
            <v>AON</v>
          </cell>
        </row>
        <row r="3297">
          <cell r="A3297" t="str">
            <v>OP</v>
          </cell>
          <cell r="B3297" t="str">
            <v>Quá 24h</v>
          </cell>
          <cell r="D3297" t="str">
            <v>Khiếu nại về dịch vụ FTTH</v>
          </cell>
          <cell r="W3297" t="str">
            <v>Đã đóng</v>
          </cell>
          <cell r="AJ3297" t="str">
            <v xml:space="preserve">Đà Nẵng </v>
          </cell>
          <cell r="BX3297" t="str">
            <v>AON</v>
          </cell>
        </row>
        <row r="3298">
          <cell r="A3298" t="str">
            <v>OP</v>
          </cell>
          <cell r="B3298" t="str">
            <v>Quá 24h</v>
          </cell>
          <cell r="D3298" t="str">
            <v>Khiếu nại về dịch vụ FTTH</v>
          </cell>
          <cell r="W3298" t="str">
            <v>Đã đóng</v>
          </cell>
          <cell r="AJ3298" t="str">
            <v>Bình Định</v>
          </cell>
          <cell r="BX3298" t="str">
            <v>AON</v>
          </cell>
        </row>
        <row r="3299">
          <cell r="A3299" t="str">
            <v>OP</v>
          </cell>
          <cell r="B3299" t="str">
            <v>Quá 24h</v>
          </cell>
          <cell r="D3299" t="str">
            <v>Khiếu nại về dịch vụ NextTV</v>
          </cell>
          <cell r="W3299" t="str">
            <v>Đang xử lý</v>
          </cell>
          <cell r="AJ3299" t="str">
            <v xml:space="preserve">Đà Nẵng </v>
          </cell>
          <cell r="BX3299" t="str">
            <v>AON</v>
          </cell>
        </row>
        <row r="3300">
          <cell r="A3300" t="str">
            <v>OP</v>
          </cell>
          <cell r="B3300" t="str">
            <v>Quá 24h</v>
          </cell>
          <cell r="D3300" t="str">
            <v>Khiếu nại về dịch vụ FTTH</v>
          </cell>
          <cell r="W3300" t="str">
            <v>Đang xử lý</v>
          </cell>
          <cell r="AJ3300" t="str">
            <v xml:space="preserve">Đắc Lắk </v>
          </cell>
          <cell r="BX3300" t="str">
            <v>AON</v>
          </cell>
        </row>
        <row r="3301">
          <cell r="A3301" t="str">
            <v>OP</v>
          </cell>
          <cell r="B3301" t="str">
            <v>Quá 24h</v>
          </cell>
          <cell r="D3301" t="str">
            <v>Khiếu nại về dịch vụ FTTH</v>
          </cell>
          <cell r="W3301" t="str">
            <v>Đang xử lý</v>
          </cell>
          <cell r="AJ3301" t="str">
            <v>Lâm Đồng</v>
          </cell>
          <cell r="BX3301" t="str">
            <v>AON</v>
          </cell>
        </row>
        <row r="3302">
          <cell r="A3302" t="str">
            <v>OP</v>
          </cell>
          <cell r="B3302" t="str">
            <v>Quá 24h</v>
          </cell>
          <cell r="D3302" t="str">
            <v>Khiếu nại về dịch vụ FTTH</v>
          </cell>
          <cell r="W3302" t="str">
            <v>Đang xử lý</v>
          </cell>
          <cell r="AJ3302" t="str">
            <v xml:space="preserve">Đà Nẵng </v>
          </cell>
          <cell r="BX3302" t="str">
            <v>AON</v>
          </cell>
        </row>
        <row r="3303">
          <cell r="A3303" t="str">
            <v>OP</v>
          </cell>
          <cell r="B3303" t="str">
            <v>Quá 24h</v>
          </cell>
          <cell r="D3303" t="str">
            <v>Khiếu nại về dịch vụ FTTH</v>
          </cell>
          <cell r="W3303" t="str">
            <v>Đang xử lý</v>
          </cell>
          <cell r="AJ3303" t="str">
            <v xml:space="preserve">Đà Nẵng </v>
          </cell>
          <cell r="BX3303" t="str">
            <v>AON</v>
          </cell>
        </row>
        <row r="3304">
          <cell r="A3304" t="str">
            <v>OP</v>
          </cell>
          <cell r="B3304" t="str">
            <v>Quá 24h</v>
          </cell>
          <cell r="D3304" t="str">
            <v>Khiếu nại về dịch vụ FTTH</v>
          </cell>
          <cell r="W3304" t="str">
            <v>Đang xử lý</v>
          </cell>
          <cell r="AJ3304" t="str">
            <v>Long An</v>
          </cell>
          <cell r="BX3304" t="str">
            <v>AON</v>
          </cell>
        </row>
        <row r="3305">
          <cell r="A3305" t="str">
            <v>OP</v>
          </cell>
          <cell r="B3305" t="str">
            <v>Quá 24h</v>
          </cell>
          <cell r="D3305" t="str">
            <v>Khiếu nại về dịch vụ FTTH</v>
          </cell>
          <cell r="W3305" t="str">
            <v>Đang xử lý</v>
          </cell>
          <cell r="AJ3305" t="str">
            <v>Ninh Thuận</v>
          </cell>
          <cell r="BX3305" t="str">
            <v>AON</v>
          </cell>
        </row>
        <row r="3306">
          <cell r="A3306" t="str">
            <v>OP</v>
          </cell>
          <cell r="B3306" t="str">
            <v>Quá 24h</v>
          </cell>
          <cell r="D3306" t="str">
            <v>Khiếu nại về dịch vụ FTTH</v>
          </cell>
          <cell r="W3306" t="str">
            <v>Đang xử lý</v>
          </cell>
          <cell r="AJ3306" t="str">
            <v>Gia Lai</v>
          </cell>
          <cell r="BX3306" t="str">
            <v>AON</v>
          </cell>
        </row>
        <row r="3307">
          <cell r="A3307" t="str">
            <v>OP</v>
          </cell>
          <cell r="B3307" t="str">
            <v>Quá 24h</v>
          </cell>
          <cell r="D3307" t="str">
            <v>Khiếu nại về dịch vụ FTTH</v>
          </cell>
          <cell r="W3307" t="str">
            <v>Đang xử lý</v>
          </cell>
          <cell r="AJ3307" t="str">
            <v>Quảng Ngãi</v>
          </cell>
          <cell r="BX3307" t="str">
            <v>AON</v>
          </cell>
        </row>
        <row r="3308">
          <cell r="A3308" t="str">
            <v>OP</v>
          </cell>
          <cell r="B3308" t="str">
            <v>Quá 24h</v>
          </cell>
          <cell r="D3308" t="str">
            <v>Khiếu nại về dịch vụ FTTH</v>
          </cell>
          <cell r="W3308" t="str">
            <v>Đã đóng</v>
          </cell>
          <cell r="AJ3308" t="str">
            <v>Bình Định</v>
          </cell>
          <cell r="BX3308" t="str">
            <v>AON</v>
          </cell>
        </row>
        <row r="3309">
          <cell r="A3309" t="str">
            <v>OP</v>
          </cell>
          <cell r="B3309" t="str">
            <v>Quá 24h</v>
          </cell>
          <cell r="D3309" t="str">
            <v>Khiếu nại về dịch vụ FTTH</v>
          </cell>
          <cell r="W3309" t="str">
            <v>Đang xử lý</v>
          </cell>
          <cell r="AJ3309" t="str">
            <v xml:space="preserve">Đắc Lắk </v>
          </cell>
          <cell r="BX3309" t="str">
            <v>AON</v>
          </cell>
        </row>
        <row r="3310">
          <cell r="A3310" t="str">
            <v>OP</v>
          </cell>
          <cell r="B3310" t="str">
            <v>Quá 24h</v>
          </cell>
          <cell r="D3310" t="str">
            <v>Khiếu nại về dịch vụ FTTH</v>
          </cell>
          <cell r="W3310" t="str">
            <v>Đang xử lý</v>
          </cell>
          <cell r="AJ3310" t="str">
            <v>Thừa Thiên Huế</v>
          </cell>
          <cell r="BX3310" t="str">
            <v>AON</v>
          </cell>
        </row>
        <row r="3311">
          <cell r="A3311" t="str">
            <v>OP</v>
          </cell>
          <cell r="B3311" t="str">
            <v>Quá 24h</v>
          </cell>
          <cell r="D3311" t="str">
            <v>Khiếu nại về dịch vụ FTTH</v>
          </cell>
          <cell r="W3311" t="str">
            <v>Đang xử lý</v>
          </cell>
          <cell r="AJ3311" t="str">
            <v>Quảng Trị</v>
          </cell>
          <cell r="BX3311" t="str">
            <v>AON</v>
          </cell>
        </row>
        <row r="3312">
          <cell r="A3312" t="str">
            <v>OP</v>
          </cell>
          <cell r="B3312" t="str">
            <v>Quá 24h</v>
          </cell>
          <cell r="D3312" t="str">
            <v>Khiếu nại về dịch vụ FTTH</v>
          </cell>
          <cell r="W3312" t="str">
            <v>Đang xử lý</v>
          </cell>
          <cell r="AJ3312" t="str">
            <v>Kon Tum</v>
          </cell>
          <cell r="BX3312" t="str">
            <v>AON</v>
          </cell>
        </row>
        <row r="3313">
          <cell r="A3313" t="str">
            <v>OP</v>
          </cell>
          <cell r="B3313" t="str">
            <v>Quá 24h</v>
          </cell>
          <cell r="D3313" t="str">
            <v>Khiếu nại về dịch vụ FTTH</v>
          </cell>
          <cell r="W3313" t="str">
            <v>Đang xử lý</v>
          </cell>
          <cell r="AJ3313" t="str">
            <v>Quảng Ngãi</v>
          </cell>
          <cell r="BX3313" t="str">
            <v>AON</v>
          </cell>
        </row>
        <row r="3314">
          <cell r="A3314" t="str">
            <v>OP</v>
          </cell>
          <cell r="B3314" t="str">
            <v>Quá 24h</v>
          </cell>
          <cell r="D3314" t="str">
            <v>Khiếu nại về dịch vụ FTTH</v>
          </cell>
          <cell r="W3314" t="str">
            <v>Đang xử lý</v>
          </cell>
          <cell r="AJ3314" t="str">
            <v>TP HCM</v>
          </cell>
          <cell r="BX3314" t="str">
            <v>GPON</v>
          </cell>
        </row>
        <row r="3315">
          <cell r="A3315" t="str">
            <v>OP</v>
          </cell>
          <cell r="B3315" t="str">
            <v>Quá 24h</v>
          </cell>
          <cell r="D3315" t="str">
            <v>Khiếu nại về dịch vụ FTTH</v>
          </cell>
          <cell r="W3315" t="str">
            <v>Đang xử lý</v>
          </cell>
          <cell r="AJ3315" t="str">
            <v xml:space="preserve">Quảng Nam </v>
          </cell>
          <cell r="BX3315" t="str">
            <v>AON</v>
          </cell>
        </row>
        <row r="3316">
          <cell r="A3316" t="str">
            <v>OP</v>
          </cell>
          <cell r="B3316" t="str">
            <v>Quá 24h</v>
          </cell>
          <cell r="D3316" t="str">
            <v>Khiếu nại về dịch vụ FTTH</v>
          </cell>
          <cell r="W3316" t="str">
            <v>Đang xử lý</v>
          </cell>
          <cell r="AJ3316" t="str">
            <v>TP HCM</v>
          </cell>
          <cell r="BX3316" t="str">
            <v>AON</v>
          </cell>
        </row>
        <row r="3317">
          <cell r="A3317" t="str">
            <v>OP</v>
          </cell>
          <cell r="B3317" t="str">
            <v>Quá 24h</v>
          </cell>
          <cell r="D3317" t="str">
            <v>Khiếu nại về dịch vụ FTTH</v>
          </cell>
          <cell r="W3317" t="str">
            <v>Đang xử lý</v>
          </cell>
          <cell r="AJ3317" t="str">
            <v>TP HCM</v>
          </cell>
          <cell r="BX3317" t="str">
            <v>AON</v>
          </cell>
        </row>
        <row r="3318">
          <cell r="A3318" t="str">
            <v>OP</v>
          </cell>
          <cell r="B3318" t="str">
            <v>Quá 24h</v>
          </cell>
          <cell r="D3318" t="str">
            <v>Khiếu nại về dịch vụ FTTH</v>
          </cell>
          <cell r="W3318" t="str">
            <v>Đang xử lý</v>
          </cell>
          <cell r="AJ3318" t="str">
            <v xml:space="preserve">Đà Nẵng </v>
          </cell>
          <cell r="BX3318" t="str">
            <v>AON</v>
          </cell>
        </row>
        <row r="3319">
          <cell r="A3319" t="str">
            <v>OP</v>
          </cell>
          <cell r="B3319" t="str">
            <v>Quá 24h</v>
          </cell>
          <cell r="D3319" t="str">
            <v>Khiếu nại về dịch vụ FTTH</v>
          </cell>
          <cell r="W3319" t="str">
            <v>Đang xử lý</v>
          </cell>
          <cell r="AJ3319" t="str">
            <v>An Giang</v>
          </cell>
          <cell r="BX3319" t="str">
            <v>AON</v>
          </cell>
        </row>
        <row r="3320">
          <cell r="A3320" t="str">
            <v>OP</v>
          </cell>
          <cell r="B3320" t="str">
            <v>Quá 24h</v>
          </cell>
          <cell r="D3320" t="str">
            <v>Khiếu nại về dịch vụ FTTH</v>
          </cell>
          <cell r="W3320" t="str">
            <v>Đang xử lý</v>
          </cell>
          <cell r="AJ3320" t="str">
            <v>Bình Định</v>
          </cell>
          <cell r="BX3320" t="str">
            <v>AON</v>
          </cell>
        </row>
        <row r="3321">
          <cell r="A3321" t="str">
            <v>OP</v>
          </cell>
          <cell r="B3321" t="str">
            <v>Quá 24h</v>
          </cell>
          <cell r="D3321" t="str">
            <v>Khiếu nại về dịch vụ FTTH</v>
          </cell>
          <cell r="W3321" t="str">
            <v>Đang xử lý</v>
          </cell>
          <cell r="AJ3321" t="str">
            <v xml:space="preserve">Đắc Lắk </v>
          </cell>
          <cell r="BX3321" t="str">
            <v>AON</v>
          </cell>
        </row>
        <row r="3322">
          <cell r="A3322" t="str">
            <v>OP</v>
          </cell>
          <cell r="B3322" t="str">
            <v>Quá 24h</v>
          </cell>
          <cell r="D3322" t="str">
            <v>Khiếu nại về dịch vụ FTTH</v>
          </cell>
          <cell r="W3322" t="str">
            <v>Đang xử lý</v>
          </cell>
          <cell r="AJ3322" t="str">
            <v xml:space="preserve">Quảng Nam </v>
          </cell>
          <cell r="BX3322" t="str">
            <v>AON</v>
          </cell>
        </row>
        <row r="3323">
          <cell r="A3323" t="str">
            <v>OP</v>
          </cell>
          <cell r="B3323" t="str">
            <v>Quá 24h</v>
          </cell>
          <cell r="D3323" t="str">
            <v>Khiếu nại về dịch vụ FTTH</v>
          </cell>
          <cell r="W3323" t="str">
            <v>Đã đóng</v>
          </cell>
          <cell r="AJ3323" t="str">
            <v>Thừa Thiên Huế</v>
          </cell>
          <cell r="BX3323" t="str">
            <v>AON</v>
          </cell>
        </row>
        <row r="3324">
          <cell r="A3324" t="str">
            <v>OP</v>
          </cell>
          <cell r="B3324" t="str">
            <v>Quá 24h</v>
          </cell>
          <cell r="D3324" t="str">
            <v>Khiếu nại về dịch vụ FTTH</v>
          </cell>
          <cell r="W3324" t="str">
            <v>Đang xử lý</v>
          </cell>
          <cell r="AJ3324" t="str">
            <v>Thừa Thiên Huế</v>
          </cell>
          <cell r="BX3324" t="str">
            <v>AON</v>
          </cell>
        </row>
        <row r="3325">
          <cell r="A3325" t="str">
            <v>OP</v>
          </cell>
          <cell r="B3325" t="str">
            <v>Quá 24h</v>
          </cell>
          <cell r="D3325" t="str">
            <v>Khiếu nại về dịch vụ FTTH</v>
          </cell>
          <cell r="W3325" t="str">
            <v>Đang xử lý</v>
          </cell>
          <cell r="AJ3325" t="str">
            <v xml:space="preserve">Đắc Lắk </v>
          </cell>
          <cell r="BX3325" t="str">
            <v>AON</v>
          </cell>
        </row>
        <row r="3326">
          <cell r="A3326" t="str">
            <v>OP</v>
          </cell>
          <cell r="B3326" t="str">
            <v>Quá 24h</v>
          </cell>
          <cell r="D3326" t="str">
            <v>Khiếu nại về dịch vụ FTTH</v>
          </cell>
          <cell r="W3326" t="str">
            <v>Đang xử lý</v>
          </cell>
          <cell r="AJ3326" t="str">
            <v xml:space="preserve">Đắc Lắk </v>
          </cell>
          <cell r="BX3326" t="str">
            <v>AON</v>
          </cell>
        </row>
        <row r="3327">
          <cell r="A3327" t="str">
            <v>OP</v>
          </cell>
          <cell r="B3327" t="str">
            <v>Quá 24h</v>
          </cell>
          <cell r="D3327" t="str">
            <v>Khiếu nại về dịch vụ FTTH</v>
          </cell>
          <cell r="W3327" t="str">
            <v>Đang xử lý</v>
          </cell>
          <cell r="AJ3327" t="str">
            <v>Bình Thuận</v>
          </cell>
          <cell r="BX3327" t="str">
            <v>AON</v>
          </cell>
        </row>
        <row r="3328">
          <cell r="A3328" t="str">
            <v>OP</v>
          </cell>
          <cell r="B3328" t="str">
            <v>Quá 24h</v>
          </cell>
          <cell r="D3328" t="str">
            <v>Khiếu nại về dịch vụ FTTH</v>
          </cell>
          <cell r="W3328" t="str">
            <v>Đang xử lý</v>
          </cell>
          <cell r="AJ3328" t="str">
            <v xml:space="preserve">Đắc Lắk </v>
          </cell>
          <cell r="BX3328" t="str">
            <v>AON</v>
          </cell>
        </row>
        <row r="3329">
          <cell r="A3329" t="str">
            <v>OP</v>
          </cell>
          <cell r="B3329" t="str">
            <v>Quá 24h</v>
          </cell>
          <cell r="D3329" t="str">
            <v>Khiếu nại về dịch vụ FTTH</v>
          </cell>
          <cell r="W3329" t="str">
            <v>Đang xử lý</v>
          </cell>
          <cell r="AJ3329" t="str">
            <v>Quảng Ngãi</v>
          </cell>
          <cell r="BX3329" t="str">
            <v>AON</v>
          </cell>
        </row>
        <row r="3330">
          <cell r="A3330" t="str">
            <v>OP</v>
          </cell>
          <cell r="B3330" t="str">
            <v>Quá 24h</v>
          </cell>
          <cell r="D3330" t="str">
            <v>Khiếu nại về dịch vụ FTTH</v>
          </cell>
          <cell r="W3330" t="str">
            <v>Đang xử lý</v>
          </cell>
          <cell r="AJ3330" t="str">
            <v xml:space="preserve">Đắc Lắk </v>
          </cell>
          <cell r="BX3330" t="str">
            <v>AON</v>
          </cell>
        </row>
        <row r="3331">
          <cell r="A3331" t="str">
            <v>OP</v>
          </cell>
          <cell r="B3331" t="str">
            <v>Quá 24h</v>
          </cell>
          <cell r="D3331" t="str">
            <v>Khiếu nại về dịch vụ FTTH</v>
          </cell>
          <cell r="W3331" t="str">
            <v>Đang xử lý</v>
          </cell>
          <cell r="AJ3331" t="str">
            <v xml:space="preserve">Quảng Nam </v>
          </cell>
          <cell r="BX3331" t="str">
            <v>AON</v>
          </cell>
        </row>
        <row r="3332">
          <cell r="A3332" t="str">
            <v>OP</v>
          </cell>
          <cell r="B3332" t="str">
            <v>Quá 24h</v>
          </cell>
          <cell r="D3332" t="str">
            <v>Khiếu nại về dịch vụ FTTH</v>
          </cell>
          <cell r="W3332" t="str">
            <v>Đang xử lý</v>
          </cell>
          <cell r="AJ3332" t="str">
            <v xml:space="preserve">Đắc Lắk </v>
          </cell>
          <cell r="BX3332" t="str">
            <v>AON</v>
          </cell>
        </row>
        <row r="3333">
          <cell r="A3333" t="str">
            <v>OP</v>
          </cell>
          <cell r="B3333" t="str">
            <v>Quá 24h</v>
          </cell>
          <cell r="D3333" t="str">
            <v>Khiếu nại về dịch vụ FTTH</v>
          </cell>
          <cell r="W3333" t="str">
            <v>Đang xử lý</v>
          </cell>
          <cell r="AJ3333" t="str">
            <v>Gia Lai</v>
          </cell>
          <cell r="BX3333" t="str">
            <v>AON</v>
          </cell>
        </row>
        <row r="3334">
          <cell r="A3334" t="str">
            <v>OP</v>
          </cell>
          <cell r="B3334" t="str">
            <v>Quá 24h</v>
          </cell>
          <cell r="D3334" t="str">
            <v>Khiếu nại về dịch vụ FTTH</v>
          </cell>
          <cell r="W3334" t="str">
            <v>Đang xử lý</v>
          </cell>
          <cell r="AJ3334" t="str">
            <v>Bình Thuận</v>
          </cell>
          <cell r="BX3334" t="str">
            <v>AON</v>
          </cell>
        </row>
        <row r="3335">
          <cell r="A3335" t="str">
            <v>OP</v>
          </cell>
          <cell r="B3335" t="str">
            <v>Quá 24h</v>
          </cell>
          <cell r="D3335" t="str">
            <v>Khiếu nại về dịch vụ FTTH</v>
          </cell>
          <cell r="W3335" t="str">
            <v>Đang xử lý</v>
          </cell>
          <cell r="AJ3335" t="str">
            <v xml:space="preserve">Đắc Lắk </v>
          </cell>
          <cell r="BX3335" t="str">
            <v>AON</v>
          </cell>
        </row>
        <row r="3336">
          <cell r="A3336" t="str">
            <v>OP</v>
          </cell>
          <cell r="B3336" t="str">
            <v>Quá 24h</v>
          </cell>
          <cell r="D3336" t="str">
            <v>Khiếu nại về dịch vụ FTTH</v>
          </cell>
          <cell r="W3336" t="str">
            <v>Đang xử lý</v>
          </cell>
          <cell r="AJ3336" t="str">
            <v>Bình Thuận</v>
          </cell>
          <cell r="BX3336" t="str">
            <v>AON</v>
          </cell>
        </row>
        <row r="3337">
          <cell r="A3337" t="str">
            <v>OP</v>
          </cell>
          <cell r="B3337" t="str">
            <v>Quá 24h</v>
          </cell>
          <cell r="D3337" t="str">
            <v>Khiếu nại về dịch vụ FTTH</v>
          </cell>
          <cell r="W3337" t="str">
            <v>Đang xử lý</v>
          </cell>
          <cell r="AJ3337" t="str">
            <v>Gia Lai</v>
          </cell>
          <cell r="BX3337" t="str">
            <v>AON</v>
          </cell>
        </row>
        <row r="3338">
          <cell r="A3338" t="str">
            <v>OP</v>
          </cell>
          <cell r="B3338" t="str">
            <v>Quá 24h</v>
          </cell>
          <cell r="D3338" t="str">
            <v>Khiếu nại về dịch vụ FTTH</v>
          </cell>
          <cell r="W3338" t="str">
            <v>Đang xử lý</v>
          </cell>
          <cell r="AJ3338" t="str">
            <v>Quảng Trị</v>
          </cell>
          <cell r="BX3338" t="str">
            <v>AON</v>
          </cell>
        </row>
        <row r="3339">
          <cell r="A3339" t="str">
            <v>OP</v>
          </cell>
          <cell r="B3339" t="str">
            <v>Quá 24h</v>
          </cell>
          <cell r="D3339" t="str">
            <v>Khiếu nại về dịch vụ FTTH</v>
          </cell>
          <cell r="W3339" t="str">
            <v>Đang xử lý</v>
          </cell>
          <cell r="AJ3339" t="str">
            <v>Gia Lai</v>
          </cell>
          <cell r="BX3339" t="str">
            <v>AON</v>
          </cell>
        </row>
        <row r="3340">
          <cell r="A3340" t="str">
            <v>OP</v>
          </cell>
          <cell r="B3340" t="str">
            <v>Quá 24h</v>
          </cell>
          <cell r="D3340" t="str">
            <v>Khiếu nại về dịch vụ FTTH</v>
          </cell>
          <cell r="W3340" t="str">
            <v>Đang xử lý</v>
          </cell>
          <cell r="AJ3340" t="str">
            <v>Thừa Thiên Huế</v>
          </cell>
          <cell r="BX3340" t="str">
            <v>AON</v>
          </cell>
        </row>
        <row r="3341">
          <cell r="A3341" t="str">
            <v>OP</v>
          </cell>
          <cell r="B3341" t="str">
            <v>Quá 24h</v>
          </cell>
          <cell r="D3341" t="str">
            <v>Khiếu nại về dịch vụ FTTH</v>
          </cell>
          <cell r="W3341" t="str">
            <v>Đang xử lý</v>
          </cell>
          <cell r="AJ3341" t="str">
            <v>Tây Ninh</v>
          </cell>
          <cell r="BX3341" t="str">
            <v>AON</v>
          </cell>
        </row>
        <row r="3342">
          <cell r="A3342" t="str">
            <v>OP</v>
          </cell>
          <cell r="B3342" t="str">
            <v>Quá 24h</v>
          </cell>
          <cell r="D3342" t="str">
            <v>Khiếu nại về dịch vụ FTTH</v>
          </cell>
          <cell r="W3342" t="str">
            <v>Đang xử lý</v>
          </cell>
          <cell r="AJ3342" t="str">
            <v xml:space="preserve">Đà Nẵng </v>
          </cell>
          <cell r="BX3342" t="str">
            <v>AON</v>
          </cell>
        </row>
        <row r="3343">
          <cell r="A3343" t="str">
            <v>OP</v>
          </cell>
          <cell r="B3343" t="str">
            <v>Quá 24h</v>
          </cell>
          <cell r="D3343" t="str">
            <v>Khiếu nại về dịch vụ FTTH</v>
          </cell>
          <cell r="W3343" t="str">
            <v>Đang xử lý</v>
          </cell>
          <cell r="AJ3343" t="str">
            <v xml:space="preserve">Đắc Lắk </v>
          </cell>
          <cell r="BX3343" t="str">
            <v>AON</v>
          </cell>
        </row>
        <row r="3344">
          <cell r="A3344" t="str">
            <v>OP</v>
          </cell>
          <cell r="B3344" t="str">
            <v>Quá 24h</v>
          </cell>
          <cell r="D3344" t="str">
            <v>Khiếu nại về dịch vụ FTTH</v>
          </cell>
          <cell r="W3344" t="str">
            <v>Đang xử lý</v>
          </cell>
          <cell r="AJ3344" t="str">
            <v>Bình Định</v>
          </cell>
          <cell r="BX3344" t="str">
            <v>AON</v>
          </cell>
        </row>
        <row r="3345">
          <cell r="A3345" t="str">
            <v>OP</v>
          </cell>
          <cell r="B3345" t="str">
            <v>Quá 24h</v>
          </cell>
          <cell r="D3345" t="str">
            <v>Khiếu nại về dịch vụ FTTH</v>
          </cell>
          <cell r="W3345" t="str">
            <v>Đã đóng</v>
          </cell>
          <cell r="AJ3345" t="str">
            <v>Thừa Thiên Huế</v>
          </cell>
          <cell r="BX3345" t="str">
            <v>AON</v>
          </cell>
        </row>
        <row r="3346">
          <cell r="A3346" t="str">
            <v>OP</v>
          </cell>
          <cell r="B3346" t="str">
            <v>Quá 24h</v>
          </cell>
          <cell r="D3346" t="str">
            <v>Khiếu nại về dịch vụ FTTH</v>
          </cell>
          <cell r="W3346" t="str">
            <v>Đang xử lý</v>
          </cell>
          <cell r="AJ3346" t="str">
            <v>TP HCM</v>
          </cell>
          <cell r="BX3346" t="str">
            <v>GPON</v>
          </cell>
        </row>
        <row r="3347">
          <cell r="A3347" t="str">
            <v>OP</v>
          </cell>
          <cell r="B3347" t="str">
            <v>Quá 24h</v>
          </cell>
          <cell r="D3347" t="str">
            <v>Khiếu nại về dịch vụ FTTH</v>
          </cell>
          <cell r="W3347" t="str">
            <v>Đã đóng</v>
          </cell>
          <cell r="AJ3347" t="str">
            <v xml:space="preserve">Đà Nẵng </v>
          </cell>
          <cell r="BX3347" t="str">
            <v>AON</v>
          </cell>
        </row>
        <row r="3348">
          <cell r="A3348" t="str">
            <v>OP</v>
          </cell>
          <cell r="B3348" t="str">
            <v>Quá 24h</v>
          </cell>
          <cell r="D3348" t="str">
            <v>Khiếu nại về dịch vụ FTTH</v>
          </cell>
          <cell r="W3348" t="str">
            <v>Đang xử lý</v>
          </cell>
          <cell r="AJ3348" t="str">
            <v>An Giang</v>
          </cell>
          <cell r="BX3348" t="str">
            <v>AON</v>
          </cell>
        </row>
        <row r="3349">
          <cell r="A3349" t="str">
            <v>OP</v>
          </cell>
          <cell r="B3349" t="str">
            <v>Quá 24h</v>
          </cell>
          <cell r="D3349" t="str">
            <v>Khiếu nại về dịch vụ FTTH</v>
          </cell>
          <cell r="W3349" t="str">
            <v>Đã đóng</v>
          </cell>
          <cell r="AJ3349" t="str">
            <v>Bình Dương</v>
          </cell>
          <cell r="BX3349" t="str">
            <v>AON</v>
          </cell>
        </row>
        <row r="3350">
          <cell r="A3350" t="str">
            <v>OP</v>
          </cell>
          <cell r="B3350" t="str">
            <v>Quá 24h</v>
          </cell>
          <cell r="D3350" t="str">
            <v>Khiếu nại về dịch vụ FTTH</v>
          </cell>
          <cell r="W3350" t="str">
            <v>Đang xử lý</v>
          </cell>
          <cell r="AJ3350" t="str">
            <v xml:space="preserve">Đà Nẵng </v>
          </cell>
          <cell r="BX3350" t="str">
            <v>AON</v>
          </cell>
        </row>
        <row r="3351">
          <cell r="A3351" t="str">
            <v>OP</v>
          </cell>
          <cell r="B3351" t="str">
            <v>Quá 24h</v>
          </cell>
          <cell r="D3351" t="str">
            <v>Khiếu nại về dịch vụ FTTH</v>
          </cell>
          <cell r="W3351" t="str">
            <v>Đang xử lý</v>
          </cell>
          <cell r="AJ3351" t="str">
            <v xml:space="preserve">Đắc Lắk </v>
          </cell>
          <cell r="BX3351" t="str">
            <v>AON</v>
          </cell>
        </row>
        <row r="3352">
          <cell r="A3352" t="str">
            <v>OP</v>
          </cell>
          <cell r="B3352" t="str">
            <v>Quá 24h</v>
          </cell>
          <cell r="D3352" t="str">
            <v>Khiếu nại về dịch vụ FTTH</v>
          </cell>
          <cell r="W3352" t="str">
            <v>Đã đóng</v>
          </cell>
          <cell r="AJ3352" t="str">
            <v>Cần Thơ</v>
          </cell>
          <cell r="BX3352" t="str">
            <v>AON</v>
          </cell>
        </row>
        <row r="3353">
          <cell r="A3353" t="str">
            <v>OP</v>
          </cell>
          <cell r="B3353" t="str">
            <v>Quá 24h</v>
          </cell>
          <cell r="D3353" t="str">
            <v>Khiếu nại về dịch vụ FTTH</v>
          </cell>
          <cell r="W3353" t="str">
            <v>Đã đóng</v>
          </cell>
          <cell r="AJ3353" t="str">
            <v xml:space="preserve">Đà Nẵng </v>
          </cell>
          <cell r="BX3353" t="str">
            <v>AON</v>
          </cell>
        </row>
        <row r="3354">
          <cell r="A3354" t="str">
            <v>OP</v>
          </cell>
          <cell r="B3354" t="str">
            <v>Quá 24h</v>
          </cell>
          <cell r="D3354" t="str">
            <v>Khiếu nại về dịch vụ FTTH</v>
          </cell>
          <cell r="W3354" t="str">
            <v>Đang xử lý</v>
          </cell>
          <cell r="AJ3354" t="str">
            <v xml:space="preserve">Đắc Lắk </v>
          </cell>
          <cell r="BX3354" t="str">
            <v>AON</v>
          </cell>
        </row>
        <row r="3355">
          <cell r="A3355" t="str">
            <v>OP</v>
          </cell>
          <cell r="B3355" t="str">
            <v>Quá 24h</v>
          </cell>
          <cell r="D3355" t="str">
            <v>Khiếu nại về dịch vụ FTTH</v>
          </cell>
          <cell r="W3355" t="str">
            <v>Đã đóng</v>
          </cell>
          <cell r="AJ3355" t="str">
            <v xml:space="preserve">Đà Nẵng </v>
          </cell>
          <cell r="BX3355" t="str">
            <v>AON</v>
          </cell>
        </row>
        <row r="3356">
          <cell r="A3356" t="str">
            <v>OP</v>
          </cell>
          <cell r="B3356" t="str">
            <v>Quá 24h</v>
          </cell>
          <cell r="D3356" t="str">
            <v>Khiếu nại về dịch vụ FTTH</v>
          </cell>
          <cell r="W3356" t="str">
            <v>Đang xử lý</v>
          </cell>
          <cell r="AJ3356" t="str">
            <v xml:space="preserve">Đắc Lắk </v>
          </cell>
          <cell r="BX3356" t="str">
            <v>AON</v>
          </cell>
        </row>
        <row r="3357">
          <cell r="A3357" t="str">
            <v>OP</v>
          </cell>
          <cell r="B3357" t="str">
            <v>Quá 24h</v>
          </cell>
          <cell r="D3357" t="str">
            <v>Khiếu nại về dịch vụ FTTH</v>
          </cell>
          <cell r="W3357" t="str">
            <v>Đang xử lý</v>
          </cell>
          <cell r="AJ3357" t="str">
            <v>Thừa Thiên Huế</v>
          </cell>
          <cell r="BX3357" t="str">
            <v>AON</v>
          </cell>
        </row>
        <row r="3358">
          <cell r="A3358" t="str">
            <v>OP</v>
          </cell>
          <cell r="B3358" t="str">
            <v>Quá 24h</v>
          </cell>
          <cell r="D3358" t="str">
            <v>Khiếu nại về dịch vụ FTTH</v>
          </cell>
          <cell r="W3358" t="str">
            <v>Đã đóng</v>
          </cell>
          <cell r="AJ3358" t="str">
            <v>Gia Lai</v>
          </cell>
          <cell r="BX3358" t="str">
            <v>AON</v>
          </cell>
        </row>
        <row r="3359">
          <cell r="A3359" t="str">
            <v>OP</v>
          </cell>
          <cell r="B3359" t="str">
            <v>Quá 24h</v>
          </cell>
          <cell r="D3359" t="str">
            <v>Khiếu nại về dịch vụ FTTH</v>
          </cell>
          <cell r="W3359" t="str">
            <v>Đang xử lý</v>
          </cell>
          <cell r="AJ3359" t="str">
            <v>TP HCM</v>
          </cell>
          <cell r="BX3359" t="str">
            <v>AON</v>
          </cell>
        </row>
        <row r="3360">
          <cell r="A3360" t="str">
            <v>OP</v>
          </cell>
          <cell r="B3360" t="str">
            <v>Quá 24h</v>
          </cell>
          <cell r="D3360" t="str">
            <v>Khiếu nại về dịch vụ FTTH</v>
          </cell>
          <cell r="W3360" t="str">
            <v>Đang xử lý</v>
          </cell>
          <cell r="AJ3360" t="str">
            <v>TP HCM</v>
          </cell>
          <cell r="BX3360" t="str">
            <v>AON</v>
          </cell>
        </row>
        <row r="3361">
          <cell r="A3361" t="str">
            <v>OP</v>
          </cell>
          <cell r="B3361" t="str">
            <v>Quá 24h</v>
          </cell>
          <cell r="D3361" t="str">
            <v>Khiếu nại về dịch vụ FTTH</v>
          </cell>
          <cell r="W3361" t="str">
            <v>Đã đóng</v>
          </cell>
          <cell r="AJ3361" t="str">
            <v>TP HCM</v>
          </cell>
          <cell r="BX3361" t="str">
            <v>AON</v>
          </cell>
        </row>
        <row r="3362">
          <cell r="A3362" t="str">
            <v>OP</v>
          </cell>
          <cell r="B3362" t="str">
            <v>Quá 24h</v>
          </cell>
          <cell r="D3362" t="str">
            <v>Khiếu nại về dịch vụ FTTH</v>
          </cell>
          <cell r="W3362" t="str">
            <v>Đã đóng</v>
          </cell>
          <cell r="AJ3362" t="str">
            <v>TP HCM</v>
          </cell>
          <cell r="BX3362" t="str">
            <v>AON</v>
          </cell>
        </row>
        <row r="3363">
          <cell r="A3363" t="str">
            <v>OP</v>
          </cell>
          <cell r="B3363" t="str">
            <v>Quá 24h</v>
          </cell>
          <cell r="D3363" t="str">
            <v>Khiếu nại về dịch vụ FTTH</v>
          </cell>
          <cell r="W3363" t="str">
            <v>Đã đóng</v>
          </cell>
          <cell r="AJ3363" t="str">
            <v>Thừa Thiên Huế</v>
          </cell>
          <cell r="BX3363" t="str">
            <v>AON</v>
          </cell>
        </row>
        <row r="3364">
          <cell r="A3364" t="str">
            <v>OP</v>
          </cell>
          <cell r="B3364" t="str">
            <v>Quá 24h</v>
          </cell>
          <cell r="D3364" t="str">
            <v>Khiếu nại về dịch vụ FTTH</v>
          </cell>
          <cell r="W3364" t="str">
            <v>Đã đóng</v>
          </cell>
          <cell r="AJ3364" t="str">
            <v>Cà Mau</v>
          </cell>
          <cell r="BX3364" t="str">
            <v>AON</v>
          </cell>
        </row>
        <row r="3365">
          <cell r="A3365" t="str">
            <v>OP</v>
          </cell>
          <cell r="B3365" t="str">
            <v>Quá 24h</v>
          </cell>
          <cell r="D3365" t="str">
            <v>Khiếu nại về dịch vụ FTTH</v>
          </cell>
          <cell r="W3365" t="str">
            <v>Đã đóng</v>
          </cell>
          <cell r="AJ3365" t="str">
            <v>TP HCM</v>
          </cell>
          <cell r="BX3365" t="str">
            <v>AON</v>
          </cell>
        </row>
        <row r="3366">
          <cell r="A3366" t="str">
            <v>OP</v>
          </cell>
          <cell r="B3366" t="str">
            <v>Quá 24h</v>
          </cell>
          <cell r="D3366" t="str">
            <v>Khiếu nại về dịch vụ FTTH</v>
          </cell>
          <cell r="W3366" t="str">
            <v>Đã đóng</v>
          </cell>
          <cell r="AJ3366" t="str">
            <v>Bình Dương</v>
          </cell>
          <cell r="BX3366" t="str">
            <v>AON</v>
          </cell>
        </row>
        <row r="3367">
          <cell r="A3367" t="str">
            <v>OP</v>
          </cell>
          <cell r="B3367" t="str">
            <v>Quá 24h</v>
          </cell>
          <cell r="D3367" t="str">
            <v>Khiếu nại về dịch vụ FTTH</v>
          </cell>
          <cell r="W3367" t="str">
            <v>Đã đóng</v>
          </cell>
          <cell r="AJ3367" t="str">
            <v>TP HCM</v>
          </cell>
          <cell r="BX3367" t="str">
            <v>GPON</v>
          </cell>
        </row>
        <row r="3368">
          <cell r="A3368" t="str">
            <v>OP</v>
          </cell>
          <cell r="B3368" t="str">
            <v>Quá 24h</v>
          </cell>
          <cell r="D3368" t="str">
            <v>Khiếu nại về dịch vụ NextTV</v>
          </cell>
          <cell r="W3368" t="str">
            <v>Đã đóng</v>
          </cell>
          <cell r="AJ3368" t="str">
            <v>Vĩnh Phúc</v>
          </cell>
          <cell r="BX3368" t="str">
            <v>AON</v>
          </cell>
        </row>
        <row r="3369">
          <cell r="A3369" t="str">
            <v>OP</v>
          </cell>
          <cell r="B3369" t="str">
            <v>Quá 24h</v>
          </cell>
          <cell r="D3369" t="str">
            <v>Khiếu nại về dịch vụ FTTH</v>
          </cell>
          <cell r="W3369" t="str">
            <v>Đã đóng</v>
          </cell>
          <cell r="AJ3369" t="str">
            <v>TP HCM</v>
          </cell>
          <cell r="BX3369" t="str">
            <v>GPON</v>
          </cell>
        </row>
        <row r="3370">
          <cell r="A3370" t="str">
            <v>OP</v>
          </cell>
          <cell r="B3370" t="str">
            <v>Quá 24h</v>
          </cell>
          <cell r="D3370" t="str">
            <v>Khiếu nại về dịch vụ FTTH</v>
          </cell>
          <cell r="W3370" t="str">
            <v>Đang xử lý</v>
          </cell>
          <cell r="AJ3370" t="str">
            <v>TP HCM</v>
          </cell>
          <cell r="BX3370" t="str">
            <v>AON</v>
          </cell>
        </row>
        <row r="3371">
          <cell r="A3371" t="str">
            <v>OP</v>
          </cell>
          <cell r="B3371" t="str">
            <v>Quá 24h</v>
          </cell>
          <cell r="D3371" t="str">
            <v>Khiếu nại về dịch vụ FTTH</v>
          </cell>
          <cell r="W3371" t="str">
            <v>Đang xử lý</v>
          </cell>
          <cell r="AJ3371" t="str">
            <v>Lâm Đồng</v>
          </cell>
          <cell r="BX3371" t="str">
            <v>AON</v>
          </cell>
        </row>
        <row r="3372">
          <cell r="A3372" t="str">
            <v>OP</v>
          </cell>
          <cell r="B3372" t="str">
            <v>Quá 24h</v>
          </cell>
          <cell r="D3372" t="str">
            <v>Khiếu nại về dịch vụ FTTH</v>
          </cell>
          <cell r="W3372" t="str">
            <v>Đang xử lý</v>
          </cell>
          <cell r="AJ3372" t="str">
            <v>Phú Yên</v>
          </cell>
          <cell r="BX3372" t="str">
            <v>AON</v>
          </cell>
        </row>
        <row r="3373">
          <cell r="A3373" t="str">
            <v>OP</v>
          </cell>
          <cell r="B3373" t="str">
            <v>Quá 24h</v>
          </cell>
          <cell r="D3373" t="str">
            <v>Khiếu nại về dịch vụ FTTH</v>
          </cell>
          <cell r="W3373" t="str">
            <v>Đang xử lý</v>
          </cell>
          <cell r="AJ3373" t="str">
            <v xml:space="preserve">Đắc Lắk </v>
          </cell>
          <cell r="BX3373" t="str">
            <v>AON</v>
          </cell>
        </row>
        <row r="3374">
          <cell r="A3374" t="str">
            <v>OP</v>
          </cell>
          <cell r="B3374" t="str">
            <v>Quá 24h</v>
          </cell>
          <cell r="D3374" t="str">
            <v>Khiếu nại về dịch vụ FTTH</v>
          </cell>
          <cell r="W3374" t="str">
            <v>Đang xử lý</v>
          </cell>
          <cell r="AJ3374" t="str">
            <v>Bình Thuận</v>
          </cell>
          <cell r="BX3374" t="str">
            <v>AON</v>
          </cell>
        </row>
        <row r="3375">
          <cell r="A3375" t="str">
            <v>OP</v>
          </cell>
          <cell r="B3375" t="str">
            <v>Quá 24h</v>
          </cell>
          <cell r="D3375" t="str">
            <v>Khiếu nại về dịch vụ FTTH</v>
          </cell>
          <cell r="W3375" t="str">
            <v>Đang xử lý</v>
          </cell>
          <cell r="AJ3375" t="str">
            <v xml:space="preserve">Đà Nẵng </v>
          </cell>
          <cell r="BX3375" t="str">
            <v>AON</v>
          </cell>
        </row>
        <row r="3376">
          <cell r="A3376" t="str">
            <v>OP</v>
          </cell>
          <cell r="B3376" t="str">
            <v>Quá 24h</v>
          </cell>
          <cell r="D3376" t="str">
            <v>Khiếu nại về dịch vụ FTTH</v>
          </cell>
          <cell r="W3376" t="str">
            <v>Đang xử lý</v>
          </cell>
          <cell r="AJ3376" t="str">
            <v>TP HCM</v>
          </cell>
          <cell r="BX3376" t="str">
            <v>AON</v>
          </cell>
        </row>
        <row r="3377">
          <cell r="A3377" t="str">
            <v>OP</v>
          </cell>
          <cell r="B3377" t="str">
            <v>Quá 24h</v>
          </cell>
          <cell r="D3377" t="str">
            <v>Khiếu nại về dịch vụ FTTH</v>
          </cell>
          <cell r="W3377" t="str">
            <v>Đang xử lý</v>
          </cell>
          <cell r="AJ3377" t="str">
            <v>Thừa Thiên Huế</v>
          </cell>
          <cell r="BX3377" t="str">
            <v>AON</v>
          </cell>
        </row>
        <row r="3378">
          <cell r="A3378" t="str">
            <v>OP</v>
          </cell>
          <cell r="B3378" t="str">
            <v>Quá 24h</v>
          </cell>
          <cell r="D3378" t="str">
            <v>Khiếu nại về dịch vụ FTTH</v>
          </cell>
          <cell r="W3378" t="str">
            <v>Đang xử lý</v>
          </cell>
          <cell r="AJ3378" t="str">
            <v>TP HCM</v>
          </cell>
          <cell r="BX3378" t="str">
            <v>AON</v>
          </cell>
        </row>
        <row r="3379">
          <cell r="A3379" t="str">
            <v>OP</v>
          </cell>
          <cell r="B3379" t="str">
            <v>Quá 24h</v>
          </cell>
          <cell r="D3379" t="str">
            <v>Khiếu nại về dịch vụ FTTH</v>
          </cell>
          <cell r="W3379" t="str">
            <v>Đang xử lý</v>
          </cell>
          <cell r="AJ3379" t="str">
            <v xml:space="preserve">Đắc Lắk </v>
          </cell>
          <cell r="BX3379" t="str">
            <v>AON</v>
          </cell>
        </row>
        <row r="3380">
          <cell r="A3380" t="str">
            <v>OP</v>
          </cell>
          <cell r="B3380" t="str">
            <v>Quá 24h</v>
          </cell>
          <cell r="D3380" t="str">
            <v>Khiếu nại về dịch vụ FTTH</v>
          </cell>
          <cell r="W3380" t="str">
            <v>Đang xử lý</v>
          </cell>
          <cell r="AJ3380" t="str">
            <v>Bình Định</v>
          </cell>
          <cell r="BX3380" t="str">
            <v>AON</v>
          </cell>
        </row>
        <row r="3381">
          <cell r="A3381" t="str">
            <v>OP</v>
          </cell>
          <cell r="B3381" t="str">
            <v>Quá 24h</v>
          </cell>
          <cell r="D3381" t="str">
            <v>Khiếu nại về dịch vụ NextTV</v>
          </cell>
          <cell r="W3381" t="str">
            <v>Đã đóng</v>
          </cell>
          <cell r="AJ3381" t="str">
            <v>Gia Lai</v>
          </cell>
          <cell r="BX3381" t="str">
            <v>AON</v>
          </cell>
        </row>
        <row r="3382">
          <cell r="A3382" t="str">
            <v>OP</v>
          </cell>
          <cell r="B3382" t="str">
            <v>Quá 24h</v>
          </cell>
          <cell r="D3382" t="str">
            <v>Khiếu nại về dịch vụ FTTH</v>
          </cell>
          <cell r="W3382" t="str">
            <v>Đã đóng</v>
          </cell>
          <cell r="AJ3382" t="str">
            <v>Hậu Giang</v>
          </cell>
          <cell r="BX3382" t="str">
            <v>AON</v>
          </cell>
        </row>
        <row r="3383">
          <cell r="A3383" t="str">
            <v>OP</v>
          </cell>
          <cell r="B3383" t="str">
            <v>Quá 24h</v>
          </cell>
          <cell r="D3383" t="str">
            <v>Khiếu nại về dịch vụ FTTH</v>
          </cell>
          <cell r="W3383" t="str">
            <v>Đã đóng</v>
          </cell>
          <cell r="AJ3383" t="str">
            <v>Bình Thuận</v>
          </cell>
          <cell r="BX3383" t="str">
            <v>AON</v>
          </cell>
        </row>
        <row r="3384">
          <cell r="A3384" t="str">
            <v>OP</v>
          </cell>
          <cell r="B3384" t="str">
            <v>Quá 24h</v>
          </cell>
          <cell r="D3384" t="str">
            <v>Khiếu nại về dịch vụ FTTH</v>
          </cell>
          <cell r="W3384" t="str">
            <v>Đã đóng</v>
          </cell>
          <cell r="AJ3384" t="str">
            <v>TP HCM</v>
          </cell>
          <cell r="BX3384" t="str">
            <v>AON</v>
          </cell>
        </row>
        <row r="3385">
          <cell r="A3385" t="str">
            <v>OP</v>
          </cell>
          <cell r="B3385" t="str">
            <v>Quá 24h</v>
          </cell>
          <cell r="D3385" t="str">
            <v>Khiếu nại về dịch vụ FTTH</v>
          </cell>
          <cell r="W3385" t="str">
            <v>Đã đóng</v>
          </cell>
          <cell r="AJ3385" t="str">
            <v xml:space="preserve">Đà Nẵng </v>
          </cell>
          <cell r="BX3385" t="str">
            <v>AON</v>
          </cell>
        </row>
        <row r="3386">
          <cell r="A3386" t="str">
            <v>OP</v>
          </cell>
          <cell r="B3386" t="str">
            <v>Quá 24h</v>
          </cell>
          <cell r="D3386" t="str">
            <v>Khiếu nại về dịch vụ FTTH</v>
          </cell>
          <cell r="W3386" t="str">
            <v>Đang xử lý</v>
          </cell>
          <cell r="AJ3386" t="str">
            <v>Hà Giang</v>
          </cell>
          <cell r="BX3386" t="str">
            <v>AON</v>
          </cell>
        </row>
        <row r="3387">
          <cell r="A3387" t="str">
            <v>OP</v>
          </cell>
          <cell r="B3387" t="str">
            <v>Quá 24h</v>
          </cell>
          <cell r="D3387" t="str">
            <v>Khiếu nại về dịch vụ FTTH</v>
          </cell>
          <cell r="W3387" t="str">
            <v>Đã đóng</v>
          </cell>
          <cell r="AJ3387" t="str">
            <v xml:space="preserve">Đắc Lắk </v>
          </cell>
          <cell r="BX3387" t="str">
            <v>AON</v>
          </cell>
        </row>
        <row r="3388">
          <cell r="A3388" t="str">
            <v>OP</v>
          </cell>
          <cell r="B3388" t="str">
            <v>Quá 24h</v>
          </cell>
          <cell r="D3388" t="str">
            <v>Khiếu nại về dịch vụ FTTH</v>
          </cell>
          <cell r="W3388" t="str">
            <v>Đang xử lý</v>
          </cell>
          <cell r="AJ3388" t="str">
            <v>Lâm Đồng</v>
          </cell>
          <cell r="BX3388" t="str">
            <v>AON</v>
          </cell>
        </row>
        <row r="3389">
          <cell r="A3389" t="str">
            <v>OP</v>
          </cell>
          <cell r="B3389" t="str">
            <v>Quá 24h</v>
          </cell>
          <cell r="D3389" t="str">
            <v>Khiếu nại về dịch vụ FTTH</v>
          </cell>
          <cell r="W3389" t="str">
            <v>Đã đóng</v>
          </cell>
          <cell r="AJ3389" t="str">
            <v xml:space="preserve">Đắc Lắk </v>
          </cell>
          <cell r="BX3389" t="str">
            <v>AON</v>
          </cell>
        </row>
        <row r="3390">
          <cell r="A3390" t="str">
            <v>OP</v>
          </cell>
          <cell r="B3390" t="str">
            <v>Quá 24h</v>
          </cell>
          <cell r="D3390" t="str">
            <v>Khiếu nại về dịch vụ FTTH</v>
          </cell>
          <cell r="W3390" t="str">
            <v>Đã đóng</v>
          </cell>
          <cell r="AJ3390" t="str">
            <v>Lâm Đồng</v>
          </cell>
          <cell r="BX3390" t="str">
            <v>AON</v>
          </cell>
        </row>
        <row r="3391">
          <cell r="A3391" t="str">
            <v>OP</v>
          </cell>
          <cell r="B3391" t="str">
            <v>Quá 24h</v>
          </cell>
          <cell r="D3391" t="str">
            <v>Khiếu nại về dịch vụ FTTH</v>
          </cell>
          <cell r="W3391" t="str">
            <v>Đã đóng</v>
          </cell>
          <cell r="AJ3391" t="str">
            <v xml:space="preserve">Đà Nẵng </v>
          </cell>
          <cell r="BX3391" t="str">
            <v>AON</v>
          </cell>
        </row>
        <row r="3392">
          <cell r="A3392" t="str">
            <v>OP</v>
          </cell>
          <cell r="B3392" t="str">
            <v>Quá 24h</v>
          </cell>
          <cell r="D3392" t="str">
            <v>Khiếu nại về dịch vụ FTTH</v>
          </cell>
          <cell r="W3392" t="str">
            <v>Đã đóng</v>
          </cell>
          <cell r="AJ3392" t="str">
            <v>Cao Bằng</v>
          </cell>
          <cell r="BX3392" t="str">
            <v>AON</v>
          </cell>
        </row>
        <row r="3393">
          <cell r="A3393" t="str">
            <v>OP</v>
          </cell>
          <cell r="B3393" t="str">
            <v>Quá 24h</v>
          </cell>
          <cell r="D3393" t="str">
            <v>Khiếu nại về dịch vụ FTTH</v>
          </cell>
          <cell r="W3393" t="str">
            <v>Đang xử lý</v>
          </cell>
          <cell r="AJ3393" t="str">
            <v>Đắc Nông</v>
          </cell>
          <cell r="BX3393" t="str">
            <v>AON</v>
          </cell>
        </row>
        <row r="3394">
          <cell r="A3394" t="str">
            <v>OP</v>
          </cell>
          <cell r="B3394" t="str">
            <v>Quá 24h</v>
          </cell>
          <cell r="D3394" t="str">
            <v>Khiếu nại về dịch vụ FTTH</v>
          </cell>
          <cell r="W3394" t="str">
            <v>Đã đóng</v>
          </cell>
          <cell r="AJ3394" t="str">
            <v>Lâm Đồng</v>
          </cell>
          <cell r="BX3394" t="str">
            <v>AON</v>
          </cell>
        </row>
        <row r="3395">
          <cell r="A3395" t="str">
            <v>OP</v>
          </cell>
          <cell r="B3395" t="str">
            <v>Quá 24h</v>
          </cell>
          <cell r="D3395" t="str">
            <v>Khiếu nại về dịch vụ FTTH</v>
          </cell>
          <cell r="W3395" t="str">
            <v>Đã đóng</v>
          </cell>
          <cell r="AJ3395" t="str">
            <v>Lâm Đồng</v>
          </cell>
          <cell r="BX3395" t="str">
            <v>AON</v>
          </cell>
        </row>
        <row r="3396">
          <cell r="A3396" t="str">
            <v>OP</v>
          </cell>
          <cell r="B3396" t="str">
            <v>Quá 24h</v>
          </cell>
          <cell r="D3396" t="str">
            <v>Khiếu nại về dịch vụ FTTH</v>
          </cell>
          <cell r="W3396" t="str">
            <v>Đang xử lý</v>
          </cell>
          <cell r="AJ3396" t="str">
            <v xml:space="preserve">Đắc Lắk </v>
          </cell>
          <cell r="BX3396" t="str">
            <v>AON</v>
          </cell>
        </row>
        <row r="3397">
          <cell r="A3397" t="str">
            <v>OP</v>
          </cell>
          <cell r="B3397" t="str">
            <v>Quá 24h</v>
          </cell>
          <cell r="D3397" t="str">
            <v>Khiếu nại về dịch vụ FTTH</v>
          </cell>
          <cell r="W3397" t="str">
            <v>Đã đóng</v>
          </cell>
          <cell r="AJ3397" t="str">
            <v>Bình Thuận</v>
          </cell>
          <cell r="BX3397" t="str">
            <v>AON</v>
          </cell>
        </row>
        <row r="3398">
          <cell r="A3398" t="str">
            <v>OP</v>
          </cell>
          <cell r="B3398" t="str">
            <v>Quá 24h</v>
          </cell>
          <cell r="D3398" t="str">
            <v>Khiếu nại về dịch vụ FTTH</v>
          </cell>
          <cell r="W3398" t="str">
            <v>Đã đóng</v>
          </cell>
          <cell r="AJ3398" t="str">
            <v>TP HCM</v>
          </cell>
          <cell r="BX3398" t="str">
            <v>AON</v>
          </cell>
        </row>
        <row r="3399">
          <cell r="A3399" t="str">
            <v>OP</v>
          </cell>
          <cell r="B3399" t="str">
            <v>Quá 24h</v>
          </cell>
          <cell r="D3399" t="str">
            <v>Khiếu nại về dịch vụ FTTH</v>
          </cell>
          <cell r="W3399" t="str">
            <v>Đã đóng</v>
          </cell>
          <cell r="AJ3399" t="str">
            <v xml:space="preserve">Đà Nẵng </v>
          </cell>
          <cell r="BX3399" t="str">
            <v>AON</v>
          </cell>
        </row>
        <row r="3400">
          <cell r="A3400" t="str">
            <v>OP</v>
          </cell>
          <cell r="B3400" t="str">
            <v>Quá 24h</v>
          </cell>
          <cell r="D3400" t="str">
            <v>Khiếu nại về dịch vụ FTTH</v>
          </cell>
          <cell r="W3400" t="str">
            <v>Đã đóng</v>
          </cell>
          <cell r="AJ3400" t="str">
            <v>Thừa Thiên Huế</v>
          </cell>
          <cell r="BX3400" t="str">
            <v>AON</v>
          </cell>
        </row>
        <row r="3401">
          <cell r="A3401" t="str">
            <v>OP</v>
          </cell>
          <cell r="B3401" t="str">
            <v>Quá 24h</v>
          </cell>
          <cell r="D3401" t="str">
            <v>Khiếu nại về dịch vụ FTTH</v>
          </cell>
          <cell r="W3401" t="str">
            <v>Đã đóng</v>
          </cell>
          <cell r="AJ3401" t="str">
            <v>Thừa Thiên Huế</v>
          </cell>
          <cell r="BX3401" t="str">
            <v>AON</v>
          </cell>
        </row>
        <row r="3402">
          <cell r="A3402" t="str">
            <v>OP</v>
          </cell>
          <cell r="B3402" t="str">
            <v>Quá 24h</v>
          </cell>
          <cell r="D3402" t="str">
            <v>Khiếu nại về dịch vụ FTTH</v>
          </cell>
          <cell r="W3402" t="str">
            <v>Đang xử lý</v>
          </cell>
          <cell r="AJ3402" t="str">
            <v>Bình Định</v>
          </cell>
          <cell r="BX3402" t="str">
            <v>AON</v>
          </cell>
        </row>
        <row r="3403">
          <cell r="A3403" t="str">
            <v>OP</v>
          </cell>
          <cell r="B3403" t="str">
            <v>Quá 24h</v>
          </cell>
          <cell r="D3403" t="str">
            <v>Khiếu nại về dịch vụ FTTH</v>
          </cell>
          <cell r="W3403" t="str">
            <v>Đã đóng</v>
          </cell>
          <cell r="AJ3403" t="str">
            <v>TP HCM</v>
          </cell>
          <cell r="BX3403" t="str">
            <v>AON</v>
          </cell>
        </row>
        <row r="3404">
          <cell r="A3404" t="str">
            <v>OP</v>
          </cell>
          <cell r="B3404" t="str">
            <v>Quá 24h</v>
          </cell>
          <cell r="D3404" t="str">
            <v>Khiếu nại về dịch vụ FTTH</v>
          </cell>
          <cell r="W3404" t="str">
            <v>Đang xử lý</v>
          </cell>
          <cell r="AJ3404" t="str">
            <v>Quảng Ngãi</v>
          </cell>
          <cell r="BX3404" t="str">
            <v>AON</v>
          </cell>
        </row>
        <row r="3405">
          <cell r="A3405" t="str">
            <v>OP</v>
          </cell>
          <cell r="B3405" t="str">
            <v>Quá 24h</v>
          </cell>
          <cell r="D3405" t="str">
            <v>Khiếu nại về dịch vụ FTTH</v>
          </cell>
          <cell r="W3405" t="str">
            <v>Đã đóng</v>
          </cell>
          <cell r="AJ3405" t="str">
            <v>Phú Thọ</v>
          </cell>
          <cell r="BX3405" t="str">
            <v>AON</v>
          </cell>
        </row>
        <row r="3406">
          <cell r="A3406" t="str">
            <v>OP</v>
          </cell>
          <cell r="B3406" t="str">
            <v>Quá 24h</v>
          </cell>
          <cell r="D3406" t="str">
            <v>Khiếu nại về dịch vụ FTTH</v>
          </cell>
          <cell r="W3406" t="str">
            <v>Đã đóng</v>
          </cell>
          <cell r="AJ3406" t="str">
            <v>TP HCM</v>
          </cell>
          <cell r="BX3406" t="str">
            <v>AON</v>
          </cell>
        </row>
        <row r="3407">
          <cell r="A3407" t="str">
            <v>OP</v>
          </cell>
          <cell r="B3407" t="str">
            <v>Quá 24h</v>
          </cell>
          <cell r="D3407" t="str">
            <v>Khiếu nại về dịch vụ FTTH</v>
          </cell>
          <cell r="W3407" t="str">
            <v>Đã đóng</v>
          </cell>
          <cell r="AJ3407" t="str">
            <v>Bến Tre</v>
          </cell>
          <cell r="BX3407" t="str">
            <v>AON</v>
          </cell>
        </row>
        <row r="3408">
          <cell r="A3408" t="str">
            <v>OP</v>
          </cell>
          <cell r="B3408" t="str">
            <v>Quá 24h</v>
          </cell>
          <cell r="D3408" t="str">
            <v>Khiếu nại về dịch vụ FTTH</v>
          </cell>
          <cell r="W3408" t="str">
            <v>Đã đóng</v>
          </cell>
          <cell r="AJ3408" t="str">
            <v>Bến Tre</v>
          </cell>
          <cell r="BX3408" t="str">
            <v>AON</v>
          </cell>
        </row>
        <row r="3409">
          <cell r="A3409" t="str">
            <v>OP</v>
          </cell>
          <cell r="B3409" t="str">
            <v>Quá 24h</v>
          </cell>
          <cell r="D3409" t="str">
            <v>Khiếu nại về dịch vụ FTTH</v>
          </cell>
          <cell r="W3409" t="str">
            <v>Đã đóng</v>
          </cell>
          <cell r="AJ3409" t="str">
            <v>Hậu Giang</v>
          </cell>
          <cell r="BX3409" t="str">
            <v>AON</v>
          </cell>
        </row>
        <row r="3410">
          <cell r="A3410" t="str">
            <v>OP</v>
          </cell>
          <cell r="B3410" t="str">
            <v>Quá 24h</v>
          </cell>
          <cell r="D3410" t="str">
            <v>Khiếu nại về dịch vụ FTTH</v>
          </cell>
          <cell r="W3410" t="str">
            <v>Đã đóng</v>
          </cell>
          <cell r="AJ3410" t="str">
            <v xml:space="preserve">Đà Nẵng </v>
          </cell>
          <cell r="BX3410" t="str">
            <v>AON</v>
          </cell>
        </row>
        <row r="3411">
          <cell r="A3411" t="str">
            <v>OP</v>
          </cell>
          <cell r="B3411" t="str">
            <v>Quá 24h</v>
          </cell>
          <cell r="D3411" t="str">
            <v>Khiếu nại về dịch vụ FTTH</v>
          </cell>
          <cell r="W3411" t="str">
            <v>Đang xử lý</v>
          </cell>
          <cell r="AJ3411" t="str">
            <v xml:space="preserve">Đắc Lắk </v>
          </cell>
          <cell r="BX3411" t="str">
            <v>AON</v>
          </cell>
        </row>
        <row r="3412">
          <cell r="A3412" t="str">
            <v>OP</v>
          </cell>
          <cell r="B3412" t="str">
            <v>Quá 24h</v>
          </cell>
          <cell r="D3412" t="str">
            <v>Khiếu nại về dịch vụ FTTH</v>
          </cell>
          <cell r="W3412" t="str">
            <v>Đang xử lý</v>
          </cell>
          <cell r="AJ3412" t="str">
            <v xml:space="preserve">Đà Nẵng </v>
          </cell>
          <cell r="BX3412" t="str">
            <v>AON</v>
          </cell>
        </row>
        <row r="3413">
          <cell r="A3413" t="str">
            <v>OP</v>
          </cell>
          <cell r="B3413" t="str">
            <v>Quá 24h</v>
          </cell>
          <cell r="D3413" t="str">
            <v>Khiếu nại về dịch vụ FTTH</v>
          </cell>
          <cell r="W3413" t="str">
            <v>Đã đóng</v>
          </cell>
          <cell r="AJ3413" t="str">
            <v>Ninh Bình</v>
          </cell>
          <cell r="BX3413" t="str">
            <v>AON</v>
          </cell>
        </row>
        <row r="3414">
          <cell r="A3414" t="str">
            <v>OP</v>
          </cell>
          <cell r="B3414" t="str">
            <v>Quá 24h</v>
          </cell>
          <cell r="D3414" t="str">
            <v>Khiếu nại về dịch vụ FTTH</v>
          </cell>
          <cell r="W3414" t="str">
            <v>Đang xử lý</v>
          </cell>
          <cell r="AJ3414" t="str">
            <v>Đắc Nông</v>
          </cell>
          <cell r="BX3414" t="str">
            <v>AON</v>
          </cell>
        </row>
        <row r="3415">
          <cell r="A3415" t="str">
            <v>OP</v>
          </cell>
          <cell r="B3415" t="str">
            <v>Quá 24h</v>
          </cell>
          <cell r="D3415" t="str">
            <v>Khiếu nại về dịch vụ FTTH</v>
          </cell>
          <cell r="W3415" t="str">
            <v>Đã đóng</v>
          </cell>
          <cell r="AJ3415" t="str">
            <v>Bình Thuận</v>
          </cell>
          <cell r="BX3415" t="str">
            <v>AON</v>
          </cell>
        </row>
        <row r="3416">
          <cell r="A3416" t="str">
            <v>OP</v>
          </cell>
          <cell r="B3416" t="str">
            <v>Quá 24h</v>
          </cell>
          <cell r="D3416" t="str">
            <v>Khiếu nại về dịch vụ FTTH</v>
          </cell>
          <cell r="W3416" t="str">
            <v>Đã đóng</v>
          </cell>
          <cell r="AJ3416" t="str">
            <v>Đồng Tháp</v>
          </cell>
          <cell r="BX3416" t="str">
            <v>AON</v>
          </cell>
        </row>
        <row r="3417">
          <cell r="A3417" t="str">
            <v>OP</v>
          </cell>
          <cell r="B3417" t="str">
            <v>Quá 24h</v>
          </cell>
          <cell r="D3417" t="str">
            <v>Khiếu nại về dịch vụ FTTH</v>
          </cell>
          <cell r="W3417" t="str">
            <v>Đã đóng</v>
          </cell>
          <cell r="AJ3417" t="str">
            <v>Tây Ninh</v>
          </cell>
          <cell r="BX3417" t="str">
            <v>AON</v>
          </cell>
        </row>
        <row r="3418">
          <cell r="A3418" t="str">
            <v>OP</v>
          </cell>
          <cell r="B3418" t="str">
            <v>Quá 24h</v>
          </cell>
          <cell r="D3418" t="str">
            <v>Khiếu nại về dịch vụ FTTH</v>
          </cell>
          <cell r="W3418" t="str">
            <v>Đang xử lý</v>
          </cell>
          <cell r="AJ3418" t="str">
            <v xml:space="preserve">Đắc Lắk </v>
          </cell>
          <cell r="BX3418" t="str">
            <v>AON</v>
          </cell>
        </row>
        <row r="3419">
          <cell r="A3419" t="str">
            <v>OP</v>
          </cell>
          <cell r="B3419" t="str">
            <v>Quá 24h</v>
          </cell>
          <cell r="D3419" t="str">
            <v>Khiếu nại về dịch vụ FTTH</v>
          </cell>
          <cell r="W3419" t="str">
            <v>Đã đóng</v>
          </cell>
          <cell r="AJ3419" t="str">
            <v xml:space="preserve">Đồng Nai </v>
          </cell>
          <cell r="BX3419" t="str">
            <v>AON</v>
          </cell>
        </row>
        <row r="3420">
          <cell r="A3420" t="str">
            <v>OP</v>
          </cell>
          <cell r="B3420" t="str">
            <v>Quá 24h</v>
          </cell>
          <cell r="D3420" t="str">
            <v>Khiếu nại về dịch vụ FTTH</v>
          </cell>
          <cell r="W3420" t="str">
            <v>Đã đóng</v>
          </cell>
          <cell r="AJ3420" t="str">
            <v>Bình Định</v>
          </cell>
          <cell r="BX3420" t="str">
            <v>AON</v>
          </cell>
        </row>
        <row r="3421">
          <cell r="A3421" t="str">
            <v>OP</v>
          </cell>
          <cell r="B3421" t="str">
            <v>Quá 24h</v>
          </cell>
          <cell r="D3421" t="str">
            <v>Khiếu nại về dịch vụ FTTH</v>
          </cell>
          <cell r="W3421" t="str">
            <v>Đã đóng</v>
          </cell>
          <cell r="AJ3421" t="str">
            <v>TP HCM</v>
          </cell>
          <cell r="BX3421" t="str">
            <v>AON</v>
          </cell>
        </row>
        <row r="3422">
          <cell r="A3422" t="str">
            <v>OP</v>
          </cell>
          <cell r="B3422" t="str">
            <v>Quá 24h</v>
          </cell>
          <cell r="D3422" t="str">
            <v>Khiếu nại về dịch vụ FTTH</v>
          </cell>
          <cell r="W3422" t="str">
            <v>Đã đóng</v>
          </cell>
          <cell r="AJ3422" t="str">
            <v xml:space="preserve">Đà Nẵng </v>
          </cell>
          <cell r="BX3422" t="str">
            <v>AON</v>
          </cell>
        </row>
        <row r="3423">
          <cell r="A3423" t="str">
            <v>OP</v>
          </cell>
          <cell r="B3423" t="str">
            <v>Quá 24h</v>
          </cell>
          <cell r="D3423" t="str">
            <v>Khiếu nại về dịch vụ FTTH</v>
          </cell>
          <cell r="W3423" t="str">
            <v>Đã đóng</v>
          </cell>
          <cell r="AJ3423" t="str">
            <v>Bạc Liêu</v>
          </cell>
          <cell r="BX3423" t="str">
            <v>AON</v>
          </cell>
        </row>
        <row r="3424">
          <cell r="A3424" t="str">
            <v>OP</v>
          </cell>
          <cell r="B3424" t="str">
            <v>Quá 24h</v>
          </cell>
          <cell r="D3424" t="str">
            <v>Khiếu nại về dịch vụ FTTH</v>
          </cell>
          <cell r="W3424" t="str">
            <v>Đang xử lý</v>
          </cell>
          <cell r="AJ3424" t="str">
            <v xml:space="preserve">Đà Nẵng </v>
          </cell>
          <cell r="BX3424" t="str">
            <v>AON</v>
          </cell>
        </row>
        <row r="3425">
          <cell r="A3425" t="str">
            <v>OP</v>
          </cell>
          <cell r="B3425" t="str">
            <v>Quá 24h</v>
          </cell>
          <cell r="D3425" t="str">
            <v>Khiếu nại về dịch vụ FTTH</v>
          </cell>
          <cell r="W3425" t="str">
            <v>Đã đóng</v>
          </cell>
          <cell r="AJ3425" t="str">
            <v>TP HCM</v>
          </cell>
          <cell r="BX3425" t="str">
            <v>AON</v>
          </cell>
        </row>
        <row r="3426">
          <cell r="A3426" t="str">
            <v>OP</v>
          </cell>
          <cell r="B3426" t="str">
            <v>Quá 24h</v>
          </cell>
          <cell r="D3426" t="str">
            <v>Khiếu nại về dịch vụ FTTH</v>
          </cell>
          <cell r="W3426" t="str">
            <v>Đang xử lý</v>
          </cell>
          <cell r="AJ3426" t="str">
            <v xml:space="preserve">Đồng Nai </v>
          </cell>
          <cell r="BX3426" t="str">
            <v>AON</v>
          </cell>
        </row>
        <row r="3427">
          <cell r="A3427" t="str">
            <v>OP</v>
          </cell>
          <cell r="B3427" t="str">
            <v>Quá 24h</v>
          </cell>
          <cell r="D3427" t="str">
            <v>Khiếu nại về dịch vụ FTTH</v>
          </cell>
          <cell r="W3427" t="str">
            <v>Đã đóng</v>
          </cell>
          <cell r="AJ3427" t="str">
            <v>TP HCM</v>
          </cell>
          <cell r="BX3427" t="str">
            <v>AON</v>
          </cell>
        </row>
        <row r="3428">
          <cell r="A3428" t="str">
            <v>OP</v>
          </cell>
          <cell r="B3428" t="str">
            <v>Quá 24h</v>
          </cell>
          <cell r="D3428" t="str">
            <v>Khiếu nại về dịch vụ FTTH</v>
          </cell>
          <cell r="W3428" t="str">
            <v>Đã đóng</v>
          </cell>
          <cell r="AJ3428" t="str">
            <v>Hải Phòng</v>
          </cell>
          <cell r="BX3428" t="str">
            <v>AON</v>
          </cell>
        </row>
        <row r="3429">
          <cell r="A3429" t="str">
            <v>OP</v>
          </cell>
          <cell r="B3429" t="str">
            <v>Quá 24h</v>
          </cell>
          <cell r="D3429" t="str">
            <v>Khiếu nại về dịch vụ FTTH</v>
          </cell>
          <cell r="W3429" t="str">
            <v>Đã đóng</v>
          </cell>
          <cell r="AJ3429" t="str">
            <v xml:space="preserve">Đồng Nai </v>
          </cell>
          <cell r="BX3429" t="str">
            <v>AON</v>
          </cell>
        </row>
        <row r="3430">
          <cell r="A3430" t="str">
            <v>OP</v>
          </cell>
          <cell r="B3430" t="str">
            <v>Quá 24h</v>
          </cell>
          <cell r="D3430" t="str">
            <v>Khiếu nại về dịch vụ FTTH</v>
          </cell>
          <cell r="W3430" t="str">
            <v>Đã đóng</v>
          </cell>
          <cell r="AJ3430" t="str">
            <v>TP HCM</v>
          </cell>
          <cell r="BX3430" t="str">
            <v>AON</v>
          </cell>
        </row>
        <row r="3431">
          <cell r="A3431" t="str">
            <v>OP</v>
          </cell>
          <cell r="B3431" t="str">
            <v>Quá 24h</v>
          </cell>
          <cell r="D3431" t="str">
            <v>Khiếu nại về dịch vụ FTTH</v>
          </cell>
          <cell r="W3431" t="str">
            <v>Đã đóng</v>
          </cell>
          <cell r="AJ3431" t="str">
            <v>Bình Định</v>
          </cell>
          <cell r="BX3431" t="str">
            <v>AON</v>
          </cell>
        </row>
        <row r="3432">
          <cell r="A3432" t="str">
            <v>OP</v>
          </cell>
          <cell r="B3432" t="str">
            <v>Quá 24h</v>
          </cell>
          <cell r="D3432" t="str">
            <v>Khiếu nại về dịch vụ FTTH</v>
          </cell>
          <cell r="W3432" t="str">
            <v>Đang xử lý</v>
          </cell>
          <cell r="AJ3432" t="str">
            <v>Lâm Đồng</v>
          </cell>
          <cell r="BX3432" t="str">
            <v>AON</v>
          </cell>
        </row>
        <row r="3433">
          <cell r="A3433" t="str">
            <v>OP</v>
          </cell>
          <cell r="B3433" t="str">
            <v>Quá 24h</v>
          </cell>
          <cell r="D3433" t="str">
            <v>Khiếu nại về dịch vụ FTTH</v>
          </cell>
          <cell r="W3433" t="str">
            <v>Đã đóng</v>
          </cell>
          <cell r="AJ3433" t="str">
            <v>Đắc Nông</v>
          </cell>
          <cell r="BX3433" t="str">
            <v>AON</v>
          </cell>
        </row>
        <row r="3434">
          <cell r="A3434" t="str">
            <v>OP</v>
          </cell>
          <cell r="B3434" t="str">
            <v>Quá 24h</v>
          </cell>
          <cell r="D3434" t="str">
            <v>Khiếu nại về dịch vụ FTTH</v>
          </cell>
          <cell r="W3434" t="str">
            <v>Đã đóng</v>
          </cell>
          <cell r="AJ3434" t="str">
            <v xml:space="preserve">Đồng Nai </v>
          </cell>
          <cell r="BX3434" t="str">
            <v>AON</v>
          </cell>
        </row>
        <row r="3435">
          <cell r="A3435" t="str">
            <v>OP</v>
          </cell>
          <cell r="B3435" t="str">
            <v>Quá 24h</v>
          </cell>
          <cell r="D3435" t="str">
            <v>Khiếu nại về dịch vụ FTTH</v>
          </cell>
          <cell r="W3435" t="str">
            <v>Đang xử lý</v>
          </cell>
          <cell r="AJ3435" t="str">
            <v>TP HCM</v>
          </cell>
          <cell r="BX3435" t="str">
            <v>AON</v>
          </cell>
        </row>
        <row r="3436">
          <cell r="A3436" t="str">
            <v>OP</v>
          </cell>
          <cell r="B3436" t="str">
            <v>Quá 24h</v>
          </cell>
          <cell r="D3436" t="str">
            <v>Khiếu nại về dịch vụ FTTH</v>
          </cell>
          <cell r="W3436" t="str">
            <v>Đã đóng</v>
          </cell>
          <cell r="AJ3436" t="str">
            <v>TP HCM</v>
          </cell>
          <cell r="BX3436" t="str">
            <v>AON</v>
          </cell>
        </row>
        <row r="3437">
          <cell r="A3437" t="str">
            <v>OP</v>
          </cell>
          <cell r="B3437" t="str">
            <v>Quá 24h</v>
          </cell>
          <cell r="D3437" t="str">
            <v>Khiếu nại về dịch vụ FTTH</v>
          </cell>
          <cell r="W3437" t="str">
            <v>Đã đóng</v>
          </cell>
          <cell r="AJ3437" t="str">
            <v>TP HCM</v>
          </cell>
          <cell r="BX3437" t="str">
            <v>AON</v>
          </cell>
        </row>
        <row r="3438">
          <cell r="A3438" t="str">
            <v>OP</v>
          </cell>
          <cell r="B3438" t="str">
            <v>Quá 24h</v>
          </cell>
          <cell r="D3438" t="str">
            <v>Khiếu nại về dịch vụ FTTH</v>
          </cell>
          <cell r="W3438" t="str">
            <v>Đã đóng</v>
          </cell>
          <cell r="AJ3438" t="str">
            <v>Phú Thọ</v>
          </cell>
          <cell r="BX3438" t="str">
            <v>AON</v>
          </cell>
        </row>
        <row r="3439">
          <cell r="A3439" t="str">
            <v>OP</v>
          </cell>
          <cell r="B3439" t="str">
            <v>Quá 24h</v>
          </cell>
          <cell r="D3439" t="str">
            <v>Khiếu nại về dịch vụ FTTH</v>
          </cell>
          <cell r="W3439" t="str">
            <v>Đang xử lý</v>
          </cell>
          <cell r="AJ3439" t="str">
            <v>TP HCM</v>
          </cell>
          <cell r="BX3439" t="str">
            <v>AON</v>
          </cell>
        </row>
        <row r="3440">
          <cell r="A3440" t="str">
            <v>OP</v>
          </cell>
          <cell r="B3440" t="str">
            <v>Quá 24h</v>
          </cell>
          <cell r="D3440" t="str">
            <v>Khiếu nại về dịch vụ FTTH</v>
          </cell>
          <cell r="W3440" t="str">
            <v>Đang xử lý</v>
          </cell>
          <cell r="AJ3440" t="str">
            <v>TP HCM</v>
          </cell>
          <cell r="BX3440" t="str">
            <v>AON</v>
          </cell>
        </row>
        <row r="3441">
          <cell r="A3441" t="str">
            <v>OP</v>
          </cell>
          <cell r="B3441" t="str">
            <v>Quá 24h</v>
          </cell>
          <cell r="D3441" t="str">
            <v>Khiếu nại về dịch vụ FTTH</v>
          </cell>
          <cell r="W3441" t="str">
            <v>Đang xử lý</v>
          </cell>
          <cell r="AJ3441" t="str">
            <v xml:space="preserve">Đà Nẵng </v>
          </cell>
          <cell r="BX3441" t="str">
            <v>AON</v>
          </cell>
        </row>
        <row r="3442">
          <cell r="A3442" t="str">
            <v>OP</v>
          </cell>
          <cell r="B3442" t="str">
            <v>Quá 24h</v>
          </cell>
          <cell r="D3442" t="str">
            <v>Khiếu nại về dịch vụ NextTV</v>
          </cell>
          <cell r="W3442" t="str">
            <v>Đã đóng</v>
          </cell>
          <cell r="AJ3442" t="str">
            <v>Hà Nội 1</v>
          </cell>
          <cell r="BX3442" t="str">
            <v>AON</v>
          </cell>
        </row>
        <row r="3443">
          <cell r="A3443" t="str">
            <v>OP</v>
          </cell>
          <cell r="B3443" t="str">
            <v>Quá 24h</v>
          </cell>
          <cell r="D3443" t="str">
            <v>Khiếu nại về dịch vụ FTTH</v>
          </cell>
          <cell r="W3443" t="str">
            <v>Đang xử lý</v>
          </cell>
          <cell r="AJ3443" t="str">
            <v>TP HCM</v>
          </cell>
          <cell r="BX3443" t="str">
            <v>AON</v>
          </cell>
        </row>
        <row r="3444">
          <cell r="A3444" t="str">
            <v>OP</v>
          </cell>
          <cell r="B3444" t="str">
            <v>Quá 24h</v>
          </cell>
          <cell r="D3444" t="str">
            <v>Khiếu nại về dịch vụ FTTH</v>
          </cell>
          <cell r="W3444" t="str">
            <v>Đã đóng</v>
          </cell>
          <cell r="AJ3444" t="str">
            <v>TP HCM</v>
          </cell>
          <cell r="BX3444" t="str">
            <v>AON</v>
          </cell>
        </row>
        <row r="3445">
          <cell r="A3445" t="str">
            <v>OP</v>
          </cell>
          <cell r="B3445" t="str">
            <v>Quá 24h</v>
          </cell>
          <cell r="D3445" t="str">
            <v>Khiếu nại về dịch vụ FTTH</v>
          </cell>
          <cell r="W3445" t="str">
            <v>Đã đóng</v>
          </cell>
          <cell r="AJ3445" t="str">
            <v>TP HCM</v>
          </cell>
          <cell r="BX3445" t="str">
            <v>AON</v>
          </cell>
        </row>
        <row r="3446">
          <cell r="A3446" t="str">
            <v>OP</v>
          </cell>
          <cell r="B3446" t="str">
            <v>Quá 24h</v>
          </cell>
          <cell r="D3446" t="str">
            <v>Khiếu nại về dịch vụ FTTH</v>
          </cell>
          <cell r="W3446" t="str">
            <v>Đang xử lý</v>
          </cell>
          <cell r="AJ3446" t="str">
            <v>Bình Thuận</v>
          </cell>
          <cell r="BX3446" t="str">
            <v>AON</v>
          </cell>
        </row>
        <row r="3447">
          <cell r="A3447" t="str">
            <v>OP</v>
          </cell>
          <cell r="B3447" t="str">
            <v>Quá 24h</v>
          </cell>
          <cell r="D3447" t="str">
            <v>Khiếu nại về dịch vụ FTTH</v>
          </cell>
          <cell r="W3447" t="str">
            <v>Đã đóng</v>
          </cell>
          <cell r="AJ3447" t="str">
            <v>Bình Thuận</v>
          </cell>
          <cell r="BX3447" t="str">
            <v>AON</v>
          </cell>
        </row>
        <row r="3448">
          <cell r="A3448" t="str">
            <v>OP</v>
          </cell>
          <cell r="B3448" t="str">
            <v>Quá 24h</v>
          </cell>
          <cell r="D3448" t="str">
            <v>Khiếu nại về dịch vụ FTTH</v>
          </cell>
          <cell r="W3448" t="str">
            <v>Đã đóng</v>
          </cell>
          <cell r="AJ3448" t="str">
            <v>Lâm Đồng</v>
          </cell>
          <cell r="BX3448" t="str">
            <v>AON</v>
          </cell>
        </row>
        <row r="3449">
          <cell r="A3449" t="str">
            <v>OP</v>
          </cell>
          <cell r="B3449" t="str">
            <v>Quá 24h</v>
          </cell>
          <cell r="D3449" t="str">
            <v>Khiếu nại về dịch vụ FTTH</v>
          </cell>
          <cell r="W3449" t="str">
            <v>Đang xử lý</v>
          </cell>
          <cell r="AJ3449" t="str">
            <v xml:space="preserve">Đắc Lắk </v>
          </cell>
          <cell r="BX3449" t="str">
            <v>AON</v>
          </cell>
        </row>
        <row r="3450">
          <cell r="A3450" t="str">
            <v>OP</v>
          </cell>
          <cell r="B3450" t="str">
            <v>Quá 24h</v>
          </cell>
          <cell r="D3450" t="str">
            <v>Khiếu nại về dịch vụ FTTH</v>
          </cell>
          <cell r="W3450" t="str">
            <v>Đã đóng</v>
          </cell>
          <cell r="AJ3450" t="str">
            <v>Bình Dương</v>
          </cell>
          <cell r="BX3450" t="str">
            <v>AON</v>
          </cell>
        </row>
        <row r="3451">
          <cell r="A3451" t="str">
            <v>OP</v>
          </cell>
          <cell r="B3451" t="str">
            <v>Quá 24h</v>
          </cell>
          <cell r="D3451" t="str">
            <v>Khiếu nại về dịch vụ FTTH</v>
          </cell>
          <cell r="W3451" t="str">
            <v>Đã đóng</v>
          </cell>
          <cell r="AJ3451" t="str">
            <v>Cần Thơ</v>
          </cell>
          <cell r="BX3451" t="str">
            <v>AON</v>
          </cell>
        </row>
        <row r="3452">
          <cell r="A3452" t="str">
            <v>OP</v>
          </cell>
          <cell r="B3452" t="str">
            <v>Quá 24h</v>
          </cell>
          <cell r="D3452" t="str">
            <v>Khiếu nại về dịch vụ FTTH</v>
          </cell>
          <cell r="W3452" t="str">
            <v>Đang xử lý</v>
          </cell>
          <cell r="AJ3452" t="str">
            <v>Phú Yên</v>
          </cell>
          <cell r="BX3452" t="str">
            <v>AON</v>
          </cell>
        </row>
        <row r="3453">
          <cell r="A3453" t="str">
            <v>OP</v>
          </cell>
          <cell r="B3453" t="str">
            <v>Quá 24h</v>
          </cell>
          <cell r="D3453" t="str">
            <v>Khiếu nại về dịch vụ FTTH</v>
          </cell>
          <cell r="W3453" t="str">
            <v>Đã đóng</v>
          </cell>
          <cell r="AJ3453" t="str">
            <v>Bình Thuận</v>
          </cell>
          <cell r="BX3453" t="str">
            <v>AON</v>
          </cell>
        </row>
        <row r="3454">
          <cell r="A3454" t="str">
            <v>OP</v>
          </cell>
          <cell r="B3454" t="str">
            <v>Quá 24h</v>
          </cell>
          <cell r="D3454" t="str">
            <v>Khiếu nại về dịch vụ FTTH</v>
          </cell>
          <cell r="W3454" t="str">
            <v>Đã đóng</v>
          </cell>
          <cell r="AJ3454" t="str">
            <v>An Giang</v>
          </cell>
          <cell r="BX3454" t="str">
            <v>AON</v>
          </cell>
        </row>
        <row r="3455">
          <cell r="A3455" t="str">
            <v>OP</v>
          </cell>
          <cell r="B3455" t="str">
            <v>Quá 24h</v>
          </cell>
          <cell r="D3455" t="str">
            <v>Khiếu nại về dịch vụ FTTH</v>
          </cell>
          <cell r="W3455" t="str">
            <v>Đang xử lý</v>
          </cell>
          <cell r="AJ3455" t="str">
            <v>Cần Thơ</v>
          </cell>
          <cell r="BX3455" t="str">
            <v>AON</v>
          </cell>
        </row>
        <row r="3456">
          <cell r="A3456" t="str">
            <v>OP</v>
          </cell>
          <cell r="B3456" t="str">
            <v>Quá 24h</v>
          </cell>
          <cell r="D3456" t="str">
            <v>Khiếu nại về dịch vụ FTTH</v>
          </cell>
          <cell r="W3456" t="str">
            <v>Đang xử lý</v>
          </cell>
          <cell r="AJ3456" t="str">
            <v>Bình Thuận</v>
          </cell>
          <cell r="BX3456" t="str">
            <v>AON</v>
          </cell>
        </row>
        <row r="3457">
          <cell r="A3457" t="str">
            <v>OP</v>
          </cell>
          <cell r="B3457" t="str">
            <v>Quá 24h</v>
          </cell>
          <cell r="D3457" t="str">
            <v>Khiếu nại về dịch vụ FTTH</v>
          </cell>
          <cell r="W3457" t="str">
            <v>Đang xử lý</v>
          </cell>
          <cell r="AJ3457" t="str">
            <v>Bình Định</v>
          </cell>
          <cell r="BX3457" t="str">
            <v>AON</v>
          </cell>
        </row>
        <row r="3458">
          <cell r="A3458" t="str">
            <v>OP</v>
          </cell>
          <cell r="B3458" t="str">
            <v>Quá 24h</v>
          </cell>
          <cell r="D3458" t="str">
            <v>Khiếu nại về dịch vụ FTTH</v>
          </cell>
          <cell r="W3458" t="str">
            <v>Đã đóng</v>
          </cell>
          <cell r="AJ3458" t="str">
            <v>Bình Thuận</v>
          </cell>
          <cell r="BX3458" t="str">
            <v>AON</v>
          </cell>
        </row>
        <row r="3459">
          <cell r="A3459" t="str">
            <v>OP</v>
          </cell>
          <cell r="B3459" t="str">
            <v>Quá 24h</v>
          </cell>
          <cell r="D3459" t="str">
            <v>Khiếu nại về dịch vụ FTTH</v>
          </cell>
          <cell r="W3459" t="str">
            <v>Đã đóng</v>
          </cell>
          <cell r="AJ3459" t="str">
            <v>An Giang</v>
          </cell>
          <cell r="BX3459" t="str">
            <v>AON</v>
          </cell>
        </row>
        <row r="3460">
          <cell r="A3460" t="str">
            <v>OP</v>
          </cell>
          <cell r="B3460" t="str">
            <v>Quá 24h</v>
          </cell>
          <cell r="D3460" t="str">
            <v>Khiếu nại về dịch vụ FTTH</v>
          </cell>
          <cell r="W3460" t="str">
            <v>Đang xử lý</v>
          </cell>
          <cell r="AJ3460" t="str">
            <v>TP HCM</v>
          </cell>
          <cell r="BX3460" t="str">
            <v>AON</v>
          </cell>
        </row>
        <row r="3461">
          <cell r="A3461" t="str">
            <v>OP</v>
          </cell>
          <cell r="B3461" t="str">
            <v>Quá 24h</v>
          </cell>
          <cell r="D3461" t="str">
            <v>Khiếu nại về dịch vụ FTTH</v>
          </cell>
          <cell r="W3461" t="str">
            <v>Đã đóng</v>
          </cell>
          <cell r="AJ3461" t="str">
            <v>Cần Thơ</v>
          </cell>
          <cell r="BX3461" t="str">
            <v>AON</v>
          </cell>
        </row>
        <row r="3462">
          <cell r="A3462" t="str">
            <v>OP</v>
          </cell>
          <cell r="B3462" t="str">
            <v>Quá 24h</v>
          </cell>
          <cell r="D3462" t="str">
            <v>Khiếu nại về dịch vụ FTTH</v>
          </cell>
          <cell r="W3462" t="str">
            <v>Đã đóng</v>
          </cell>
          <cell r="AJ3462" t="str">
            <v>Thừa Thiên Huế</v>
          </cell>
          <cell r="BX3462" t="str">
            <v>AON</v>
          </cell>
        </row>
        <row r="3463">
          <cell r="A3463" t="str">
            <v>OP</v>
          </cell>
          <cell r="B3463" t="str">
            <v>Quá 24h</v>
          </cell>
          <cell r="D3463" t="str">
            <v>Khiếu nại về dịch vụ FTTH</v>
          </cell>
          <cell r="W3463" t="str">
            <v>Đang xử lý</v>
          </cell>
          <cell r="AJ3463" t="str">
            <v xml:space="preserve">Đà Nẵng </v>
          </cell>
          <cell r="BX3463" t="str">
            <v>AON</v>
          </cell>
        </row>
        <row r="3464">
          <cell r="A3464" t="str">
            <v>OP</v>
          </cell>
          <cell r="B3464" t="str">
            <v>Quá 24h</v>
          </cell>
          <cell r="D3464" t="str">
            <v>Khiếu nại về dịch vụ FTTH</v>
          </cell>
          <cell r="W3464" t="str">
            <v>Đã đóng</v>
          </cell>
          <cell r="AJ3464" t="str">
            <v>TP HCM</v>
          </cell>
          <cell r="BX3464" t="str">
            <v>AON</v>
          </cell>
        </row>
        <row r="3465">
          <cell r="A3465" t="str">
            <v>OP</v>
          </cell>
          <cell r="B3465" t="str">
            <v>Quá 24h</v>
          </cell>
          <cell r="D3465" t="str">
            <v>Khiếu nại về dịch vụ FTTH</v>
          </cell>
          <cell r="W3465" t="str">
            <v>Đã đóng</v>
          </cell>
          <cell r="AJ3465" t="str">
            <v>Đắc Nông</v>
          </cell>
          <cell r="BX3465" t="str">
            <v>AON</v>
          </cell>
        </row>
        <row r="3466">
          <cell r="A3466" t="str">
            <v>OP</v>
          </cell>
          <cell r="B3466" t="str">
            <v>Quá 24h</v>
          </cell>
          <cell r="D3466" t="str">
            <v>Khiếu nại về dịch vụ FTTH</v>
          </cell>
          <cell r="W3466" t="str">
            <v>Đang xử lý</v>
          </cell>
          <cell r="AJ3466" t="str">
            <v>Bình Thuận</v>
          </cell>
          <cell r="BX3466" t="str">
            <v>AON</v>
          </cell>
        </row>
        <row r="3467">
          <cell r="A3467" t="str">
            <v>OP</v>
          </cell>
          <cell r="B3467" t="str">
            <v>Quá 24h</v>
          </cell>
          <cell r="D3467" t="str">
            <v>Khiếu nại về dịch vụ FTTH</v>
          </cell>
          <cell r="W3467" t="str">
            <v>Đã đóng</v>
          </cell>
          <cell r="AJ3467" t="str">
            <v>Long An</v>
          </cell>
          <cell r="BX3467" t="str">
            <v>AON</v>
          </cell>
        </row>
        <row r="3468">
          <cell r="A3468" t="str">
            <v>OP</v>
          </cell>
          <cell r="B3468" t="str">
            <v>Quá 24h</v>
          </cell>
          <cell r="D3468" t="str">
            <v>Khiếu nại về dịch vụ FTTH</v>
          </cell>
          <cell r="W3468" t="str">
            <v>Đã đóng</v>
          </cell>
          <cell r="AJ3468" t="str">
            <v>Thừa Thiên Huế</v>
          </cell>
          <cell r="BX3468" t="str">
            <v>AON</v>
          </cell>
        </row>
        <row r="3469">
          <cell r="A3469" t="str">
            <v>OP</v>
          </cell>
          <cell r="B3469" t="str">
            <v>Quá 24h</v>
          </cell>
          <cell r="D3469" t="str">
            <v>Khiếu nại về dịch vụ FTTH</v>
          </cell>
          <cell r="W3469" t="str">
            <v>Đã đóng</v>
          </cell>
          <cell r="AJ3469" t="str">
            <v>TP HCM</v>
          </cell>
          <cell r="BX3469" t="str">
            <v>AON</v>
          </cell>
        </row>
        <row r="3470">
          <cell r="A3470" t="str">
            <v>OP</v>
          </cell>
          <cell r="B3470" t="str">
            <v>Quá 24h</v>
          </cell>
          <cell r="D3470" t="str">
            <v>Khiếu nại về dịch vụ FTTH</v>
          </cell>
          <cell r="W3470" t="str">
            <v>Đang xử lý</v>
          </cell>
          <cell r="AJ3470" t="str">
            <v>Quảng Trị</v>
          </cell>
          <cell r="BX3470" t="str">
            <v>AON</v>
          </cell>
        </row>
        <row r="3471">
          <cell r="A3471" t="str">
            <v>OP</v>
          </cell>
          <cell r="B3471" t="str">
            <v>Quá 24h</v>
          </cell>
          <cell r="D3471" t="str">
            <v>Khiếu nại về dịch vụ NextTV</v>
          </cell>
          <cell r="W3471" t="str">
            <v>Đang xử lý</v>
          </cell>
          <cell r="AJ3471" t="str">
            <v>TP HCM</v>
          </cell>
          <cell r="BX3471" t="str">
            <v>AON</v>
          </cell>
        </row>
        <row r="3472">
          <cell r="A3472" t="str">
            <v>OP</v>
          </cell>
          <cell r="B3472" t="str">
            <v>Quá 24h</v>
          </cell>
          <cell r="D3472" t="str">
            <v>Khiếu nại về dịch vụ FTTH</v>
          </cell>
          <cell r="W3472" t="str">
            <v>Đang xử lý</v>
          </cell>
          <cell r="AJ3472" t="str">
            <v>Bình Định</v>
          </cell>
          <cell r="BX3472" t="str">
            <v>AON</v>
          </cell>
        </row>
        <row r="3473">
          <cell r="A3473" t="str">
            <v>OP</v>
          </cell>
          <cell r="B3473" t="str">
            <v>Quá 24h</v>
          </cell>
          <cell r="D3473" t="str">
            <v>Khiếu nại về dịch vụ NextTV</v>
          </cell>
          <cell r="W3473" t="str">
            <v>Đã đóng</v>
          </cell>
          <cell r="AJ3473" t="str">
            <v xml:space="preserve">Đắc Lắk </v>
          </cell>
          <cell r="BX3473" t="str">
            <v>AON</v>
          </cell>
        </row>
        <row r="3474">
          <cell r="A3474" t="str">
            <v>OP</v>
          </cell>
          <cell r="B3474" t="str">
            <v>Quá 24h</v>
          </cell>
          <cell r="D3474" t="str">
            <v>Khiếu nại về dịch vụ FTTH</v>
          </cell>
          <cell r="W3474" t="str">
            <v>Đã đóng</v>
          </cell>
          <cell r="AJ3474" t="str">
            <v>TP HCM</v>
          </cell>
          <cell r="BX3474" t="str">
            <v>AON</v>
          </cell>
        </row>
        <row r="3475">
          <cell r="A3475" t="str">
            <v>OP</v>
          </cell>
          <cell r="B3475" t="str">
            <v>Quá 24h</v>
          </cell>
          <cell r="D3475" t="str">
            <v>Khiếu nại về dịch vụ FTTH</v>
          </cell>
          <cell r="W3475" t="str">
            <v>Đã đóng</v>
          </cell>
          <cell r="AJ3475" t="str">
            <v>TP HCM</v>
          </cell>
          <cell r="BX3475" t="str">
            <v>GPON</v>
          </cell>
        </row>
        <row r="3476">
          <cell r="A3476" t="str">
            <v>OP</v>
          </cell>
          <cell r="B3476" t="str">
            <v>Quá 24h</v>
          </cell>
          <cell r="D3476" t="str">
            <v>Khiếu nại về dịch vụ FTTH</v>
          </cell>
          <cell r="W3476" t="str">
            <v>Đang xử lý</v>
          </cell>
          <cell r="AJ3476" t="str">
            <v>Quảng Ngãi</v>
          </cell>
          <cell r="BX3476" t="str">
            <v>AON</v>
          </cell>
        </row>
        <row r="3477">
          <cell r="A3477" t="str">
            <v>OP</v>
          </cell>
          <cell r="B3477" t="str">
            <v>Quá 24h</v>
          </cell>
          <cell r="D3477" t="str">
            <v>Khiếu nại về dịch vụ FTTH</v>
          </cell>
          <cell r="W3477" t="str">
            <v>Đang xử lý</v>
          </cell>
          <cell r="AJ3477" t="str">
            <v>Bình Định</v>
          </cell>
          <cell r="BX3477" t="str">
            <v>AON</v>
          </cell>
        </row>
        <row r="3478">
          <cell r="A3478" t="str">
            <v>OP</v>
          </cell>
          <cell r="B3478" t="str">
            <v>Quá 24h</v>
          </cell>
          <cell r="D3478" t="str">
            <v>Khiếu nại về dịch vụ FTTH</v>
          </cell>
          <cell r="W3478" t="str">
            <v>Đang xử lý</v>
          </cell>
          <cell r="AJ3478" t="str">
            <v>TP HCM</v>
          </cell>
          <cell r="BX3478" t="str">
            <v>AON</v>
          </cell>
        </row>
        <row r="3479">
          <cell r="A3479" t="str">
            <v>OP</v>
          </cell>
          <cell r="B3479" t="str">
            <v>Quá 24h</v>
          </cell>
          <cell r="D3479" t="str">
            <v>Khiếu nại về dịch vụ FTTH</v>
          </cell>
          <cell r="W3479" t="str">
            <v>Đã đóng</v>
          </cell>
          <cell r="AJ3479" t="str">
            <v>Bình Dương</v>
          </cell>
          <cell r="BX3479" t="str">
            <v>AON</v>
          </cell>
        </row>
        <row r="3480">
          <cell r="A3480" t="str">
            <v>OP</v>
          </cell>
          <cell r="B3480" t="str">
            <v>Quá 24h</v>
          </cell>
          <cell r="D3480" t="str">
            <v>Khiếu nại về dịch vụ FTTH</v>
          </cell>
          <cell r="W3480" t="str">
            <v>Đã đóng</v>
          </cell>
          <cell r="AJ3480" t="str">
            <v xml:space="preserve">Đắc Lắk </v>
          </cell>
          <cell r="BX3480" t="str">
            <v>AON</v>
          </cell>
        </row>
        <row r="3481">
          <cell r="A3481" t="str">
            <v>OP</v>
          </cell>
          <cell r="B3481" t="str">
            <v>Quá 24h</v>
          </cell>
          <cell r="D3481" t="str">
            <v>Khiếu nại về dịch vụ FTTH</v>
          </cell>
          <cell r="W3481" t="str">
            <v>Đã đóng</v>
          </cell>
          <cell r="AJ3481" t="str">
            <v xml:space="preserve">Đà Nẵng </v>
          </cell>
          <cell r="BX3481" t="str">
            <v>AON</v>
          </cell>
        </row>
        <row r="3482">
          <cell r="A3482" t="str">
            <v>OP</v>
          </cell>
          <cell r="B3482" t="str">
            <v>Quá 24h</v>
          </cell>
          <cell r="D3482" t="str">
            <v>Khiếu nại về dịch vụ FTTH</v>
          </cell>
          <cell r="W3482" t="str">
            <v>Đã đóng</v>
          </cell>
          <cell r="AJ3482" t="str">
            <v>Bình Dương</v>
          </cell>
          <cell r="BX3482" t="str">
            <v>AON</v>
          </cell>
        </row>
        <row r="3483">
          <cell r="A3483" t="str">
            <v>OP</v>
          </cell>
          <cell r="B3483" t="str">
            <v>Quá 24h</v>
          </cell>
          <cell r="D3483" t="str">
            <v>Khiếu nại về dịch vụ NextTV</v>
          </cell>
          <cell r="W3483" t="str">
            <v>Đang xử lý</v>
          </cell>
          <cell r="AJ3483" t="str">
            <v>Cà Mau</v>
          </cell>
          <cell r="BX3483" t="str">
            <v>AON</v>
          </cell>
        </row>
        <row r="3484">
          <cell r="A3484" t="str">
            <v>OP</v>
          </cell>
          <cell r="B3484" t="str">
            <v>Quá 24h</v>
          </cell>
          <cell r="D3484" t="str">
            <v>Khiếu nại về dịch vụ NextTV</v>
          </cell>
          <cell r="W3484" t="str">
            <v>Đã đóng</v>
          </cell>
          <cell r="AJ3484" t="str">
            <v>Bình Dương</v>
          </cell>
          <cell r="BX3484" t="str">
            <v>AON</v>
          </cell>
        </row>
        <row r="3485">
          <cell r="A3485" t="str">
            <v>OP</v>
          </cell>
          <cell r="B3485" t="str">
            <v>Quá 24h</v>
          </cell>
          <cell r="D3485" t="str">
            <v>Khiếu nại về dịch vụ FTTH</v>
          </cell>
          <cell r="W3485" t="str">
            <v>Đang xử lý</v>
          </cell>
          <cell r="AJ3485" t="str">
            <v>TP HCM</v>
          </cell>
          <cell r="BX3485" t="str">
            <v>AON</v>
          </cell>
        </row>
        <row r="3486">
          <cell r="A3486" t="str">
            <v>OP</v>
          </cell>
          <cell r="B3486" t="str">
            <v>Quá 24h</v>
          </cell>
          <cell r="D3486" t="str">
            <v>Khiếu nại về dịch vụ FTTH</v>
          </cell>
          <cell r="W3486" t="str">
            <v>Đã đóng</v>
          </cell>
          <cell r="AJ3486" t="str">
            <v>TP HCM</v>
          </cell>
          <cell r="BX3486" t="str">
            <v>GPON</v>
          </cell>
        </row>
        <row r="3487">
          <cell r="A3487" t="str">
            <v>OP</v>
          </cell>
          <cell r="B3487" t="str">
            <v>Quá 24h</v>
          </cell>
          <cell r="D3487" t="str">
            <v>Khiếu nại về dịch vụ FTTH</v>
          </cell>
          <cell r="W3487" t="str">
            <v>Đang xử lý</v>
          </cell>
          <cell r="AJ3487" t="str">
            <v>TP HCM</v>
          </cell>
          <cell r="BX3487" t="str">
            <v>GPON</v>
          </cell>
        </row>
        <row r="3488">
          <cell r="A3488" t="str">
            <v>OP</v>
          </cell>
          <cell r="B3488" t="str">
            <v>Quá 24h</v>
          </cell>
          <cell r="D3488" t="str">
            <v>Khiếu nại về dịch vụ FTTH</v>
          </cell>
          <cell r="W3488" t="str">
            <v>Đã đóng</v>
          </cell>
          <cell r="AJ3488" t="str">
            <v>Bình Dương</v>
          </cell>
          <cell r="BX3488" t="str">
            <v>AON</v>
          </cell>
        </row>
        <row r="3489">
          <cell r="A3489" t="str">
            <v>OP</v>
          </cell>
          <cell r="B3489" t="str">
            <v>Quá 24h</v>
          </cell>
          <cell r="D3489" t="str">
            <v>Khiếu nại về dịch vụ FTTH</v>
          </cell>
          <cell r="W3489" t="str">
            <v>Đã đóng</v>
          </cell>
          <cell r="AJ3489" t="str">
            <v>TP HCM</v>
          </cell>
          <cell r="BX3489" t="str">
            <v>AON</v>
          </cell>
        </row>
        <row r="3490">
          <cell r="A3490" t="str">
            <v>OP</v>
          </cell>
          <cell r="B3490" t="str">
            <v>Quá 24h</v>
          </cell>
          <cell r="D3490" t="str">
            <v>Khiếu nại về dịch vụ FTTH</v>
          </cell>
          <cell r="W3490" t="str">
            <v>Đã đóng</v>
          </cell>
          <cell r="AJ3490" t="str">
            <v>TP HCM</v>
          </cell>
          <cell r="BX3490" t="str">
            <v>AON</v>
          </cell>
        </row>
        <row r="3491">
          <cell r="A3491" t="str">
            <v>OP</v>
          </cell>
          <cell r="B3491" t="str">
            <v>Quá 24h</v>
          </cell>
          <cell r="D3491" t="str">
            <v>Khiếu nại về dịch vụ FTTH</v>
          </cell>
          <cell r="W3491" t="str">
            <v>Đã đóng</v>
          </cell>
          <cell r="AJ3491" t="str">
            <v>Thừa Thiên Huế</v>
          </cell>
          <cell r="BX3491" t="str">
            <v>AON</v>
          </cell>
        </row>
        <row r="3492">
          <cell r="A3492" t="str">
            <v>OP</v>
          </cell>
          <cell r="B3492" t="str">
            <v>Quá 24h</v>
          </cell>
          <cell r="D3492" t="str">
            <v>Khiếu nại về dịch vụ NextTV</v>
          </cell>
          <cell r="W3492" t="str">
            <v>Đang xử lý</v>
          </cell>
          <cell r="AJ3492" t="str">
            <v>TP HCM</v>
          </cell>
          <cell r="BX3492" t="str">
            <v>AON</v>
          </cell>
        </row>
        <row r="3493">
          <cell r="A3493" t="str">
            <v>OP</v>
          </cell>
          <cell r="B3493" t="str">
            <v>Quá 24h</v>
          </cell>
          <cell r="D3493" t="str">
            <v>Khiếu nại về dịch vụ FTTH</v>
          </cell>
          <cell r="W3493" t="str">
            <v>Đã đóng</v>
          </cell>
          <cell r="AJ3493" t="str">
            <v>An Giang</v>
          </cell>
          <cell r="BX3493" t="str">
            <v>AON</v>
          </cell>
        </row>
        <row r="3494">
          <cell r="A3494" t="str">
            <v>OP</v>
          </cell>
          <cell r="B3494" t="str">
            <v>Quá 24h</v>
          </cell>
          <cell r="D3494" t="str">
            <v>Khiếu nại về dịch vụ FTTH</v>
          </cell>
          <cell r="W3494" t="str">
            <v>Đã đóng</v>
          </cell>
          <cell r="AJ3494" t="str">
            <v>Lâm Đồng</v>
          </cell>
          <cell r="BX3494" t="str">
            <v>AON</v>
          </cell>
        </row>
        <row r="3495">
          <cell r="A3495" t="str">
            <v>OP</v>
          </cell>
          <cell r="B3495" t="str">
            <v>Quá 24h</v>
          </cell>
          <cell r="D3495" t="str">
            <v>Khiếu nại về dịch vụ FTTH</v>
          </cell>
          <cell r="W3495" t="str">
            <v>Đã đóng</v>
          </cell>
          <cell r="AJ3495" t="str">
            <v>An Giang</v>
          </cell>
          <cell r="BX3495" t="str">
            <v>AON</v>
          </cell>
        </row>
        <row r="3496">
          <cell r="A3496" t="str">
            <v>OP</v>
          </cell>
          <cell r="B3496" t="str">
            <v>Quá 24h</v>
          </cell>
          <cell r="D3496" t="str">
            <v>Khiếu nại về dịch vụ FTTH</v>
          </cell>
          <cell r="W3496" t="str">
            <v>Đã đóng</v>
          </cell>
          <cell r="AJ3496" t="str">
            <v>TP HCM</v>
          </cell>
          <cell r="BX3496" t="str">
            <v>AON</v>
          </cell>
        </row>
        <row r="3497">
          <cell r="A3497" t="str">
            <v>OP</v>
          </cell>
          <cell r="B3497" t="str">
            <v>Quá 24h</v>
          </cell>
          <cell r="D3497" t="str">
            <v>Khiếu nại về dịch vụ FTTH</v>
          </cell>
          <cell r="W3497" t="str">
            <v>Đang xử lý</v>
          </cell>
          <cell r="AJ3497" t="str">
            <v xml:space="preserve">Đà Nẵng </v>
          </cell>
          <cell r="BX3497" t="str">
            <v>AON</v>
          </cell>
        </row>
        <row r="3498">
          <cell r="A3498" t="str">
            <v>OP</v>
          </cell>
          <cell r="B3498" t="str">
            <v>Quá 24h</v>
          </cell>
          <cell r="D3498" t="str">
            <v>Khiếu nại về dịch vụ FTTH</v>
          </cell>
          <cell r="W3498" t="str">
            <v>Đang xử lý</v>
          </cell>
          <cell r="AJ3498" t="str">
            <v>Bình Thuận</v>
          </cell>
          <cell r="BX3498" t="str">
            <v>AON</v>
          </cell>
        </row>
        <row r="3499">
          <cell r="A3499" t="str">
            <v>OP</v>
          </cell>
          <cell r="B3499" t="str">
            <v>Quá 24h</v>
          </cell>
          <cell r="D3499" t="str">
            <v>Khiếu nại về dịch vụ NextTV</v>
          </cell>
          <cell r="W3499" t="str">
            <v>Đã đóng</v>
          </cell>
          <cell r="AJ3499" t="str">
            <v>TP HCM</v>
          </cell>
          <cell r="BX3499" t="str">
            <v>AON</v>
          </cell>
        </row>
        <row r="3500">
          <cell r="A3500" t="str">
            <v>OP</v>
          </cell>
          <cell r="B3500" t="str">
            <v>Quá 24h</v>
          </cell>
          <cell r="D3500" t="str">
            <v>Khiếu nại về dịch vụ FTTH</v>
          </cell>
          <cell r="W3500" t="str">
            <v>Đã đóng</v>
          </cell>
          <cell r="AJ3500" t="str">
            <v xml:space="preserve">Đắc Lắk </v>
          </cell>
          <cell r="BX3500" t="str">
            <v>AON</v>
          </cell>
        </row>
        <row r="3501">
          <cell r="A3501" t="str">
            <v>OP</v>
          </cell>
          <cell r="B3501" t="str">
            <v>Quá 24h</v>
          </cell>
          <cell r="D3501" t="str">
            <v>Khiếu nại về dịch vụ FTTH</v>
          </cell>
          <cell r="W3501" t="str">
            <v>Đã đóng</v>
          </cell>
          <cell r="AJ3501" t="str">
            <v>TP HCM</v>
          </cell>
          <cell r="BX3501" t="str">
            <v>AON</v>
          </cell>
        </row>
        <row r="3502">
          <cell r="A3502" t="str">
            <v>OP</v>
          </cell>
          <cell r="B3502" t="str">
            <v>Quá 24h</v>
          </cell>
          <cell r="D3502" t="str">
            <v>Khiếu nại về dịch vụ FTTH</v>
          </cell>
          <cell r="W3502" t="str">
            <v>Đang xử lý</v>
          </cell>
          <cell r="AJ3502" t="str">
            <v>Bình Dương</v>
          </cell>
          <cell r="BX3502" t="str">
            <v>AON</v>
          </cell>
        </row>
        <row r="3503">
          <cell r="A3503" t="str">
            <v>OP</v>
          </cell>
          <cell r="B3503" t="str">
            <v>Quá 24h</v>
          </cell>
          <cell r="D3503" t="str">
            <v>Khiếu nại về dịch vụ FTTH</v>
          </cell>
          <cell r="W3503" t="str">
            <v>Đã đóng</v>
          </cell>
          <cell r="AJ3503" t="str">
            <v>Kiên Giang</v>
          </cell>
          <cell r="BX3503" t="str">
            <v>AON</v>
          </cell>
        </row>
        <row r="3504">
          <cell r="A3504" t="str">
            <v>OP</v>
          </cell>
          <cell r="B3504" t="str">
            <v>Quá 24h</v>
          </cell>
          <cell r="D3504" t="str">
            <v>Khiếu nại về dịch vụ FTTH</v>
          </cell>
          <cell r="W3504" t="str">
            <v>Đã đóng</v>
          </cell>
          <cell r="AJ3504" t="str">
            <v>An Giang</v>
          </cell>
          <cell r="BX3504" t="str">
            <v>AON</v>
          </cell>
        </row>
        <row r="3505">
          <cell r="A3505" t="str">
            <v>OP</v>
          </cell>
          <cell r="B3505" t="str">
            <v>Quá 24h</v>
          </cell>
          <cell r="D3505" t="str">
            <v>Khiếu nại về dịch vụ FTTH</v>
          </cell>
          <cell r="W3505" t="str">
            <v>Đã đóng</v>
          </cell>
          <cell r="AJ3505" t="str">
            <v>Thừa Thiên Huế</v>
          </cell>
          <cell r="BX3505" t="str">
            <v>AON</v>
          </cell>
        </row>
        <row r="3506">
          <cell r="A3506" t="str">
            <v>OP</v>
          </cell>
          <cell r="B3506" t="str">
            <v>Quá 24h</v>
          </cell>
          <cell r="D3506" t="str">
            <v>Khiếu nại về dịch vụ FTTH</v>
          </cell>
          <cell r="W3506" t="str">
            <v>Đang xử lý</v>
          </cell>
          <cell r="AJ3506" t="str">
            <v>Bình Dương</v>
          </cell>
          <cell r="BX3506" t="str">
            <v>AON</v>
          </cell>
        </row>
        <row r="3507">
          <cell r="A3507" t="str">
            <v>OP</v>
          </cell>
          <cell r="B3507" t="str">
            <v>Quá 24h</v>
          </cell>
          <cell r="D3507" t="str">
            <v>Khiếu nại về dịch vụ FTTH</v>
          </cell>
          <cell r="W3507" t="str">
            <v>Đã đóng</v>
          </cell>
          <cell r="AJ3507" t="str">
            <v>TP HCM</v>
          </cell>
          <cell r="BX3507" t="str">
            <v>AON</v>
          </cell>
        </row>
        <row r="3508">
          <cell r="A3508" t="str">
            <v>OP</v>
          </cell>
          <cell r="B3508" t="str">
            <v>Quá 24h</v>
          </cell>
          <cell r="D3508" t="str">
            <v>Khiếu nại về dịch vụ FTTH</v>
          </cell>
          <cell r="W3508" t="str">
            <v>Đang xử lý</v>
          </cell>
          <cell r="AJ3508" t="str">
            <v>Gia Lai</v>
          </cell>
          <cell r="BX3508" t="str">
            <v>AON</v>
          </cell>
        </row>
        <row r="3509">
          <cell r="A3509" t="str">
            <v>OP</v>
          </cell>
          <cell r="B3509" t="str">
            <v>Quá 24h</v>
          </cell>
          <cell r="D3509" t="str">
            <v>Khiếu nại về dịch vụ FTTH</v>
          </cell>
          <cell r="W3509" t="str">
            <v>Đã đóng</v>
          </cell>
          <cell r="AJ3509" t="str">
            <v>TP HCM</v>
          </cell>
          <cell r="BX3509" t="str">
            <v>AON</v>
          </cell>
        </row>
        <row r="3510">
          <cell r="A3510" t="str">
            <v>OP</v>
          </cell>
          <cell r="B3510" t="str">
            <v>Quá 24h</v>
          </cell>
          <cell r="D3510" t="str">
            <v>Khiếu nại về dịch vụ FTTH</v>
          </cell>
          <cell r="W3510" t="str">
            <v>Đã đóng</v>
          </cell>
          <cell r="AJ3510" t="str">
            <v>TP HCM</v>
          </cell>
          <cell r="BX3510" t="str">
            <v>AON</v>
          </cell>
        </row>
        <row r="3511">
          <cell r="A3511" t="str">
            <v>OP</v>
          </cell>
          <cell r="B3511" t="str">
            <v>Quá 24h</v>
          </cell>
          <cell r="D3511" t="str">
            <v>Khiếu nại về dịch vụ FTTH</v>
          </cell>
          <cell r="W3511" t="str">
            <v>Đã đóng</v>
          </cell>
          <cell r="AJ3511" t="str">
            <v>TP HCM</v>
          </cell>
          <cell r="BX3511" t="str">
            <v>AON</v>
          </cell>
        </row>
        <row r="3512">
          <cell r="A3512" t="str">
            <v>OP</v>
          </cell>
          <cell r="B3512" t="str">
            <v>Quá 24h</v>
          </cell>
          <cell r="D3512" t="str">
            <v>Khiếu nại về dịch vụ FTTH</v>
          </cell>
          <cell r="W3512" t="str">
            <v>Đã đóng</v>
          </cell>
          <cell r="AJ3512" t="str">
            <v>Sóc Trăng</v>
          </cell>
          <cell r="BX3512" t="str">
            <v>AON</v>
          </cell>
        </row>
        <row r="3513">
          <cell r="A3513" t="str">
            <v>OP</v>
          </cell>
          <cell r="B3513" t="str">
            <v>Quá 24h</v>
          </cell>
          <cell r="D3513" t="str">
            <v>Khiếu nại về dịch vụ FTTH</v>
          </cell>
          <cell r="W3513" t="str">
            <v>Đã đóng</v>
          </cell>
          <cell r="AJ3513" t="str">
            <v>Bình Dương</v>
          </cell>
          <cell r="BX3513" t="str">
            <v>AON</v>
          </cell>
        </row>
        <row r="3514">
          <cell r="A3514" t="str">
            <v>OP</v>
          </cell>
          <cell r="B3514" t="str">
            <v>Quá 24h</v>
          </cell>
          <cell r="D3514" t="str">
            <v>Khiếu nại về dịch vụ FTTH</v>
          </cell>
          <cell r="W3514" t="str">
            <v>Đã đóng</v>
          </cell>
          <cell r="AJ3514" t="str">
            <v>Bình Thuận</v>
          </cell>
          <cell r="BX3514" t="str">
            <v>AON</v>
          </cell>
        </row>
        <row r="3515">
          <cell r="A3515" t="str">
            <v>OP</v>
          </cell>
          <cell r="B3515" t="str">
            <v>Quá 24h</v>
          </cell>
          <cell r="D3515" t="str">
            <v>Khiếu nại về dịch vụ FTTH</v>
          </cell>
          <cell r="W3515" t="str">
            <v>Đã đóng</v>
          </cell>
          <cell r="AJ3515" t="str">
            <v>Bến Tre</v>
          </cell>
          <cell r="BX3515" t="str">
            <v>AON</v>
          </cell>
        </row>
        <row r="3516">
          <cell r="A3516" t="str">
            <v>OP</v>
          </cell>
          <cell r="B3516" t="str">
            <v>Quá 24h</v>
          </cell>
          <cell r="D3516" t="str">
            <v>Khiếu nại về dịch vụ FTTH</v>
          </cell>
          <cell r="W3516" t="str">
            <v>Đã đóng</v>
          </cell>
          <cell r="AJ3516" t="str">
            <v>TP HCM</v>
          </cell>
          <cell r="BX3516" t="str">
            <v>AON</v>
          </cell>
        </row>
        <row r="3517">
          <cell r="A3517" t="str">
            <v>OP</v>
          </cell>
          <cell r="B3517" t="str">
            <v>Quá 24h</v>
          </cell>
          <cell r="D3517" t="str">
            <v>Khiếu nại về dịch vụ FTTH</v>
          </cell>
          <cell r="W3517" t="str">
            <v>Đang xử lý</v>
          </cell>
          <cell r="AJ3517" t="str">
            <v>Bình Dương</v>
          </cell>
          <cell r="BX3517" t="str">
            <v>AON</v>
          </cell>
        </row>
        <row r="3518">
          <cell r="A3518" t="str">
            <v>OP</v>
          </cell>
          <cell r="B3518" t="str">
            <v>Quá 24h</v>
          </cell>
          <cell r="D3518" t="str">
            <v>Khiếu nại về dịch vụ FTTH</v>
          </cell>
          <cell r="W3518" t="str">
            <v>Đã đóng</v>
          </cell>
          <cell r="AJ3518" t="str">
            <v>TP HCM</v>
          </cell>
          <cell r="BX3518" t="str">
            <v>GPON</v>
          </cell>
        </row>
        <row r="3519">
          <cell r="A3519" t="str">
            <v>OP</v>
          </cell>
          <cell r="B3519" t="str">
            <v>Quá 24h</v>
          </cell>
          <cell r="D3519" t="str">
            <v>Khiếu nại về dịch vụ FTTH</v>
          </cell>
          <cell r="W3519" t="str">
            <v>Đang xử lý</v>
          </cell>
          <cell r="AJ3519" t="str">
            <v>Cần Thơ</v>
          </cell>
          <cell r="BX3519" t="str">
            <v>AON</v>
          </cell>
        </row>
        <row r="3520">
          <cell r="A3520" t="str">
            <v>OP</v>
          </cell>
          <cell r="B3520" t="str">
            <v>Quá 24h</v>
          </cell>
          <cell r="D3520" t="str">
            <v>Khiếu nại về dịch vụ FTTH</v>
          </cell>
          <cell r="W3520" t="str">
            <v>Đã đóng</v>
          </cell>
          <cell r="AJ3520" t="str">
            <v>Lâm Đồng</v>
          </cell>
          <cell r="BX3520" t="str">
            <v>AON</v>
          </cell>
        </row>
        <row r="3521">
          <cell r="A3521" t="str">
            <v>OP</v>
          </cell>
          <cell r="B3521" t="str">
            <v>Quá 24h</v>
          </cell>
          <cell r="D3521" t="str">
            <v>Khiếu nại về dịch vụ FTTH</v>
          </cell>
          <cell r="W3521" t="str">
            <v>Đã đóng</v>
          </cell>
          <cell r="AJ3521" t="str">
            <v>Ninh Thuận</v>
          </cell>
          <cell r="BX3521" t="str">
            <v>AON</v>
          </cell>
        </row>
        <row r="3522">
          <cell r="A3522" t="str">
            <v>OP</v>
          </cell>
          <cell r="B3522" t="str">
            <v>Quá 24h</v>
          </cell>
          <cell r="D3522" t="str">
            <v>Khiếu nại về dịch vụ FTTH</v>
          </cell>
          <cell r="W3522" t="str">
            <v>Đã đóng</v>
          </cell>
          <cell r="AJ3522" t="str">
            <v>Bình Thuận</v>
          </cell>
          <cell r="BX3522" t="str">
            <v>AON</v>
          </cell>
        </row>
        <row r="3523">
          <cell r="A3523" t="str">
            <v>OP</v>
          </cell>
          <cell r="B3523" t="str">
            <v>Quá 24h</v>
          </cell>
          <cell r="D3523" t="str">
            <v>Khiếu nại về dịch vụ FTTH</v>
          </cell>
          <cell r="W3523" t="str">
            <v>Đang xử lý</v>
          </cell>
          <cell r="AJ3523" t="str">
            <v>Bình Định</v>
          </cell>
          <cell r="BX3523" t="str">
            <v>AON</v>
          </cell>
        </row>
        <row r="3524">
          <cell r="A3524" t="str">
            <v>OP</v>
          </cell>
          <cell r="B3524" t="str">
            <v>Quá 24h</v>
          </cell>
          <cell r="D3524" t="str">
            <v>Khiếu nại về dịch vụ FTTH</v>
          </cell>
          <cell r="W3524" t="str">
            <v>Đang xử lý</v>
          </cell>
          <cell r="AJ3524" t="str">
            <v>Bình Định</v>
          </cell>
          <cell r="BX3524" t="str">
            <v>AON</v>
          </cell>
        </row>
        <row r="3525">
          <cell r="A3525" t="str">
            <v>OP</v>
          </cell>
          <cell r="B3525" t="str">
            <v>Quá 24h</v>
          </cell>
          <cell r="D3525" t="str">
            <v>Khiếu nại về dịch vụ FTTH</v>
          </cell>
          <cell r="W3525" t="str">
            <v>Đã đóng</v>
          </cell>
          <cell r="AJ3525" t="str">
            <v>Đắc Nông</v>
          </cell>
          <cell r="BX3525" t="str">
            <v>AON</v>
          </cell>
        </row>
        <row r="3526">
          <cell r="A3526" t="str">
            <v>OP</v>
          </cell>
          <cell r="B3526" t="str">
            <v>Quá 24h</v>
          </cell>
          <cell r="D3526" t="str">
            <v>Khiếu nại về dịch vụ FTTH</v>
          </cell>
          <cell r="W3526" t="str">
            <v>Đã đóng</v>
          </cell>
          <cell r="AJ3526" t="str">
            <v>Lâm Đồng</v>
          </cell>
          <cell r="BX3526" t="str">
            <v>AON</v>
          </cell>
        </row>
        <row r="3527">
          <cell r="A3527" t="str">
            <v>OP</v>
          </cell>
          <cell r="B3527" t="str">
            <v>Quá 24h</v>
          </cell>
          <cell r="D3527" t="str">
            <v>Khiếu nại về dịch vụ FTTH</v>
          </cell>
          <cell r="W3527" t="str">
            <v>Đã đóng</v>
          </cell>
          <cell r="AJ3527" t="str">
            <v>An Giang</v>
          </cell>
          <cell r="BX3527" t="str">
            <v>AON</v>
          </cell>
        </row>
        <row r="3528">
          <cell r="A3528" t="str">
            <v>OP</v>
          </cell>
          <cell r="B3528" t="str">
            <v>Quá 24h</v>
          </cell>
          <cell r="D3528" t="str">
            <v>Khiếu nại về dịch vụ FTTH</v>
          </cell>
          <cell r="W3528" t="str">
            <v>Đã đóng</v>
          </cell>
          <cell r="AJ3528" t="str">
            <v>Gia Lai</v>
          </cell>
          <cell r="BX3528" t="str">
            <v>AON</v>
          </cell>
        </row>
        <row r="3529">
          <cell r="A3529" t="str">
            <v>OP</v>
          </cell>
          <cell r="B3529" t="str">
            <v>Quá 24h</v>
          </cell>
          <cell r="D3529" t="str">
            <v>Khiếu nại về dịch vụ FTTH</v>
          </cell>
          <cell r="W3529" t="str">
            <v>Đã đóng</v>
          </cell>
          <cell r="AJ3529" t="str">
            <v xml:space="preserve">Đà Nẵng </v>
          </cell>
          <cell r="BX3529" t="str">
            <v>AON</v>
          </cell>
        </row>
        <row r="3530">
          <cell r="A3530" t="str">
            <v>OP</v>
          </cell>
          <cell r="B3530" t="str">
            <v>Quá 24h</v>
          </cell>
          <cell r="D3530" t="str">
            <v>Khiếu nại về dịch vụ FTTH</v>
          </cell>
          <cell r="W3530" t="str">
            <v>Đang xử lý</v>
          </cell>
          <cell r="AJ3530" t="str">
            <v>TP HCM</v>
          </cell>
          <cell r="BX3530" t="str">
            <v>AON</v>
          </cell>
        </row>
        <row r="3531">
          <cell r="A3531" t="str">
            <v>OP</v>
          </cell>
          <cell r="B3531" t="str">
            <v>Quá 24h</v>
          </cell>
          <cell r="D3531" t="str">
            <v>Khiếu nại về dịch vụ FTTH</v>
          </cell>
          <cell r="W3531" t="str">
            <v>Đang xử lý</v>
          </cell>
          <cell r="AJ3531" t="str">
            <v>Bình Thuận</v>
          </cell>
          <cell r="BX3531" t="str">
            <v>AON</v>
          </cell>
        </row>
        <row r="3532">
          <cell r="A3532" t="str">
            <v>OP</v>
          </cell>
          <cell r="B3532" t="str">
            <v>Quá 24h</v>
          </cell>
          <cell r="D3532" t="str">
            <v>Khiếu nại về dịch vụ NextTV</v>
          </cell>
          <cell r="W3532" t="str">
            <v>Đang xử lý</v>
          </cell>
          <cell r="AJ3532" t="str">
            <v>Bình Thuận</v>
          </cell>
          <cell r="BX3532" t="str">
            <v>AON</v>
          </cell>
        </row>
        <row r="3533">
          <cell r="A3533" t="str">
            <v>OP</v>
          </cell>
          <cell r="B3533" t="str">
            <v>Quá 24h</v>
          </cell>
          <cell r="D3533" t="str">
            <v>Khiếu nại về dịch vụ FTTH</v>
          </cell>
          <cell r="W3533" t="str">
            <v>Đang xử lý</v>
          </cell>
          <cell r="AJ3533" t="str">
            <v>Thừa Thiên Huế</v>
          </cell>
          <cell r="BX3533" t="str">
            <v>AON</v>
          </cell>
        </row>
        <row r="3534">
          <cell r="A3534" t="str">
            <v>OP</v>
          </cell>
          <cell r="B3534" t="str">
            <v>Quá 24h</v>
          </cell>
          <cell r="D3534" t="str">
            <v>Khiếu nại về dịch vụ FTTH</v>
          </cell>
          <cell r="W3534" t="str">
            <v>Đang xử lý</v>
          </cell>
          <cell r="AJ3534" t="str">
            <v>Bình Thuận</v>
          </cell>
          <cell r="BX3534" t="str">
            <v>AON</v>
          </cell>
        </row>
        <row r="3535">
          <cell r="A3535" t="str">
            <v>OP</v>
          </cell>
          <cell r="B3535" t="str">
            <v>Quá 24h</v>
          </cell>
          <cell r="D3535" t="str">
            <v>Khiếu nại về dịch vụ FTTH</v>
          </cell>
          <cell r="W3535" t="str">
            <v>Đã đóng</v>
          </cell>
          <cell r="AJ3535" t="str">
            <v>Thừa Thiên Huế</v>
          </cell>
          <cell r="BX3535" t="str">
            <v>AON</v>
          </cell>
        </row>
        <row r="3536">
          <cell r="A3536" t="str">
            <v>OP</v>
          </cell>
          <cell r="B3536" t="str">
            <v>Quá 24h</v>
          </cell>
          <cell r="D3536" t="str">
            <v>Khiếu nại về dịch vụ FTTH</v>
          </cell>
          <cell r="W3536" t="str">
            <v>Đang xử lý</v>
          </cell>
          <cell r="AJ3536" t="str">
            <v>Thừa Thiên Huế</v>
          </cell>
          <cell r="BX3536" t="str">
            <v>AON</v>
          </cell>
        </row>
        <row r="3537">
          <cell r="A3537" t="str">
            <v>OP</v>
          </cell>
          <cell r="B3537" t="str">
            <v>Quá 24h</v>
          </cell>
          <cell r="D3537" t="str">
            <v>Khiếu nại về dịch vụ FTTH</v>
          </cell>
          <cell r="W3537" t="str">
            <v>Đang xử lý</v>
          </cell>
          <cell r="AJ3537" t="str">
            <v>Bình Định</v>
          </cell>
          <cell r="BX3537" t="str">
            <v>AON</v>
          </cell>
        </row>
        <row r="3538">
          <cell r="A3538" t="str">
            <v>OP</v>
          </cell>
          <cell r="B3538" t="str">
            <v>Quá 24h</v>
          </cell>
          <cell r="D3538" t="str">
            <v>Khiếu nại về dịch vụ FTTH</v>
          </cell>
          <cell r="W3538" t="str">
            <v>Đã đóng</v>
          </cell>
          <cell r="AJ3538" t="str">
            <v>Hậu Giang</v>
          </cell>
          <cell r="BX3538" t="str">
            <v>AON</v>
          </cell>
        </row>
        <row r="3539">
          <cell r="A3539" t="str">
            <v>OP</v>
          </cell>
          <cell r="B3539" t="str">
            <v>Quá 24h</v>
          </cell>
          <cell r="D3539" t="str">
            <v>Khiếu nại về dịch vụ FTTH</v>
          </cell>
          <cell r="W3539" t="str">
            <v>Đang xử lý</v>
          </cell>
          <cell r="AJ3539" t="str">
            <v>Bình Thuận</v>
          </cell>
          <cell r="BX3539" t="str">
            <v>AON</v>
          </cell>
        </row>
        <row r="3540">
          <cell r="A3540" t="str">
            <v>OP</v>
          </cell>
          <cell r="B3540" t="str">
            <v>Quá 24h</v>
          </cell>
          <cell r="D3540" t="str">
            <v>Khiếu nại về dịch vụ FTTH</v>
          </cell>
          <cell r="W3540" t="str">
            <v>Đã đóng</v>
          </cell>
          <cell r="AJ3540" t="str">
            <v>Bình Dương</v>
          </cell>
          <cell r="BX3540" t="str">
            <v>AON</v>
          </cell>
        </row>
        <row r="3541">
          <cell r="A3541" t="str">
            <v>OP</v>
          </cell>
          <cell r="B3541" t="str">
            <v>Quá 24h</v>
          </cell>
          <cell r="D3541" t="str">
            <v>Khiếu nại về dịch vụ FTTH</v>
          </cell>
          <cell r="W3541" t="str">
            <v>Đã đóng</v>
          </cell>
          <cell r="AJ3541" t="str">
            <v xml:space="preserve">Đà Nẵng </v>
          </cell>
          <cell r="BX3541" t="str">
            <v>AON</v>
          </cell>
        </row>
        <row r="3542">
          <cell r="A3542" t="str">
            <v>OP</v>
          </cell>
          <cell r="B3542" t="str">
            <v>Quá 24h</v>
          </cell>
          <cell r="D3542" t="str">
            <v>Khiếu nại về dịch vụ FTTH</v>
          </cell>
          <cell r="W3542" t="str">
            <v>Đang xử lý</v>
          </cell>
          <cell r="AJ3542" t="str">
            <v>Bình Thuận</v>
          </cell>
          <cell r="BX3542" t="str">
            <v>AON</v>
          </cell>
        </row>
        <row r="3543">
          <cell r="A3543" t="str">
            <v>OP</v>
          </cell>
          <cell r="B3543" t="str">
            <v>Quá 24h</v>
          </cell>
          <cell r="D3543" t="str">
            <v>Khiếu nại về dịch vụ FTTH</v>
          </cell>
          <cell r="W3543" t="str">
            <v>Đã đóng</v>
          </cell>
          <cell r="AJ3543" t="str">
            <v>Thừa Thiên Huế</v>
          </cell>
          <cell r="BX3543" t="str">
            <v>AON</v>
          </cell>
        </row>
        <row r="3544">
          <cell r="A3544" t="str">
            <v>OP</v>
          </cell>
          <cell r="B3544" t="str">
            <v>Quá 24h</v>
          </cell>
          <cell r="D3544" t="str">
            <v>Khiếu nại về dịch vụ FTTH</v>
          </cell>
          <cell r="W3544" t="str">
            <v>Đang xử lý</v>
          </cell>
          <cell r="AJ3544" t="str">
            <v xml:space="preserve">Đà Nẵng </v>
          </cell>
          <cell r="BX3544" t="str">
            <v>AON</v>
          </cell>
        </row>
        <row r="3545">
          <cell r="A3545" t="str">
            <v>OP</v>
          </cell>
          <cell r="B3545" t="str">
            <v>Quá 24h</v>
          </cell>
          <cell r="D3545" t="str">
            <v>Khiếu nại về dịch vụ FTTH</v>
          </cell>
          <cell r="W3545" t="str">
            <v>Đã đóng</v>
          </cell>
          <cell r="AJ3545" t="str">
            <v>TP HCM</v>
          </cell>
          <cell r="BX3545" t="str">
            <v>AON</v>
          </cell>
        </row>
        <row r="3546">
          <cell r="A3546" t="str">
            <v>OP</v>
          </cell>
          <cell r="B3546" t="str">
            <v>Quá 24h</v>
          </cell>
          <cell r="D3546" t="str">
            <v>Khiếu nại về dịch vụ FTTH</v>
          </cell>
          <cell r="W3546" t="str">
            <v>Đã đóng</v>
          </cell>
          <cell r="AJ3546" t="str">
            <v>TP HCM</v>
          </cell>
          <cell r="BX3546" t="str">
            <v>AON</v>
          </cell>
        </row>
        <row r="3547">
          <cell r="A3547" t="str">
            <v>OP</v>
          </cell>
          <cell r="B3547" t="str">
            <v>Quá 24h</v>
          </cell>
          <cell r="D3547" t="str">
            <v>Khiếu nại về dịch vụ FTTH</v>
          </cell>
          <cell r="W3547" t="str">
            <v>Đã đóng</v>
          </cell>
          <cell r="AJ3547" t="str">
            <v>Thừa Thiên Huế</v>
          </cell>
          <cell r="BX3547" t="str">
            <v>AON</v>
          </cell>
        </row>
        <row r="3548">
          <cell r="A3548" t="str">
            <v>OP</v>
          </cell>
          <cell r="B3548" t="str">
            <v>Quá 24h</v>
          </cell>
          <cell r="D3548" t="str">
            <v>Khiếu nại về dịch vụ FTTH</v>
          </cell>
          <cell r="W3548" t="str">
            <v>Đã đóng</v>
          </cell>
          <cell r="AJ3548" t="str">
            <v>Bà Rịa - Vũng Tàu</v>
          </cell>
          <cell r="BX3548" t="str">
            <v>AON</v>
          </cell>
        </row>
        <row r="3549">
          <cell r="A3549" t="str">
            <v>OP</v>
          </cell>
          <cell r="B3549" t="str">
            <v>Quá 24h</v>
          </cell>
          <cell r="D3549" t="str">
            <v>Khiếu nại về dịch vụ FTTH</v>
          </cell>
          <cell r="W3549" t="str">
            <v>Đã đóng</v>
          </cell>
          <cell r="AJ3549" t="str">
            <v>Long An</v>
          </cell>
          <cell r="BX3549" t="str">
            <v>AON</v>
          </cell>
        </row>
        <row r="3550">
          <cell r="A3550" t="str">
            <v>OP</v>
          </cell>
          <cell r="B3550" t="str">
            <v>Quá 24h</v>
          </cell>
          <cell r="D3550" t="str">
            <v>Khiếu nại về dịch vụ FTTH</v>
          </cell>
          <cell r="W3550" t="str">
            <v>Đang xử lý</v>
          </cell>
          <cell r="AJ3550" t="str">
            <v>Bình Thuận</v>
          </cell>
          <cell r="BX3550" t="str">
            <v>AON</v>
          </cell>
        </row>
        <row r="3551">
          <cell r="A3551" t="str">
            <v>OP</v>
          </cell>
          <cell r="B3551" t="str">
            <v>Quá 24h</v>
          </cell>
          <cell r="D3551" t="str">
            <v>Khiếu nại về dịch vụ FTTH</v>
          </cell>
          <cell r="W3551" t="str">
            <v>Đang xử lý</v>
          </cell>
          <cell r="AJ3551" t="str">
            <v>Long An</v>
          </cell>
          <cell r="BX3551" t="str">
            <v>AON</v>
          </cell>
        </row>
        <row r="3552">
          <cell r="A3552" t="str">
            <v>OP</v>
          </cell>
          <cell r="B3552" t="str">
            <v>Quá 24h</v>
          </cell>
          <cell r="D3552" t="str">
            <v>Khiếu nại về dịch vụ FTTH</v>
          </cell>
          <cell r="W3552" t="str">
            <v>Đã đóng</v>
          </cell>
          <cell r="AJ3552" t="str">
            <v>An Giang</v>
          </cell>
          <cell r="BX3552" t="str">
            <v>AON</v>
          </cell>
        </row>
        <row r="3553">
          <cell r="A3553" t="str">
            <v>OP</v>
          </cell>
          <cell r="B3553" t="str">
            <v>Quá 24h</v>
          </cell>
          <cell r="D3553" t="str">
            <v>Khiếu nại về dịch vụ FTTH</v>
          </cell>
          <cell r="W3553" t="str">
            <v>Đã đóng</v>
          </cell>
          <cell r="AJ3553" t="str">
            <v>Thừa Thiên Huế</v>
          </cell>
          <cell r="BX3553" t="str">
            <v>AON</v>
          </cell>
        </row>
        <row r="3554">
          <cell r="A3554" t="str">
            <v>OP</v>
          </cell>
          <cell r="B3554" t="str">
            <v>Quá 24h</v>
          </cell>
          <cell r="D3554" t="str">
            <v>Khiếu nại về dịch vụ FTTH</v>
          </cell>
          <cell r="W3554" t="str">
            <v>Đang xử lý</v>
          </cell>
          <cell r="AJ3554" t="str">
            <v>Cần Thơ</v>
          </cell>
          <cell r="BX3554" t="str">
            <v>AON</v>
          </cell>
        </row>
        <row r="3555">
          <cell r="A3555" t="str">
            <v>OP</v>
          </cell>
          <cell r="B3555" t="str">
            <v>Quá 24h</v>
          </cell>
          <cell r="D3555" t="str">
            <v>Khiếu nại về dịch vụ FTTH</v>
          </cell>
          <cell r="W3555" t="str">
            <v>Đã đóng</v>
          </cell>
          <cell r="AJ3555" t="str">
            <v xml:space="preserve">Đắc Lắk </v>
          </cell>
          <cell r="BX3555" t="str">
            <v>AON</v>
          </cell>
        </row>
        <row r="3556">
          <cell r="A3556" t="str">
            <v>OP</v>
          </cell>
          <cell r="B3556" t="str">
            <v>Quá 24h</v>
          </cell>
          <cell r="D3556" t="str">
            <v>Khiếu nại về dịch vụ FTTH</v>
          </cell>
          <cell r="W3556" t="str">
            <v>Đã đóng</v>
          </cell>
          <cell r="AJ3556" t="str">
            <v>Lâm Đồng</v>
          </cell>
          <cell r="BX3556" t="str">
            <v>AON</v>
          </cell>
        </row>
        <row r="3557">
          <cell r="A3557" t="str">
            <v>OP</v>
          </cell>
          <cell r="B3557" t="str">
            <v>Quá 24h</v>
          </cell>
          <cell r="D3557" t="str">
            <v>Khiếu nại về dịch vụ FTTH</v>
          </cell>
          <cell r="W3557" t="str">
            <v>Đang xử lý</v>
          </cell>
          <cell r="AJ3557" t="str">
            <v xml:space="preserve">Đà Nẵng </v>
          </cell>
          <cell r="BX3557" t="str">
            <v>AON</v>
          </cell>
        </row>
        <row r="3558">
          <cell r="A3558" t="str">
            <v>OP</v>
          </cell>
          <cell r="B3558" t="str">
            <v>Quá 24h</v>
          </cell>
          <cell r="D3558" t="str">
            <v>Khiếu nại về dịch vụ FTTH</v>
          </cell>
          <cell r="W3558" t="str">
            <v>Đã đóng</v>
          </cell>
          <cell r="AJ3558" t="str">
            <v>Bình Dương</v>
          </cell>
          <cell r="BX3558" t="str">
            <v>AON</v>
          </cell>
        </row>
        <row r="3559">
          <cell r="A3559" t="str">
            <v>OP</v>
          </cell>
          <cell r="B3559" t="str">
            <v>Quá 24h</v>
          </cell>
          <cell r="D3559" t="str">
            <v>Khiếu nại về dịch vụ FTTH</v>
          </cell>
          <cell r="W3559" t="str">
            <v>Đang xử lý</v>
          </cell>
          <cell r="AJ3559" t="str">
            <v xml:space="preserve">Đà Nẵng </v>
          </cell>
          <cell r="BX3559" t="str">
            <v>AON</v>
          </cell>
        </row>
        <row r="3560">
          <cell r="A3560" t="str">
            <v>OP</v>
          </cell>
          <cell r="B3560" t="str">
            <v>Quá 24h</v>
          </cell>
          <cell r="D3560" t="str">
            <v>Khiếu nại về dịch vụ FTTH</v>
          </cell>
          <cell r="W3560" t="str">
            <v>Đang xử lý</v>
          </cell>
          <cell r="AJ3560" t="str">
            <v>Thừa Thiên Huế</v>
          </cell>
          <cell r="BX3560" t="str">
            <v>AON</v>
          </cell>
        </row>
        <row r="3561">
          <cell r="A3561" t="str">
            <v>OP</v>
          </cell>
          <cell r="B3561" t="str">
            <v>Quá 24h</v>
          </cell>
          <cell r="D3561" t="str">
            <v>Khiếu nại về dịch vụ FTTH</v>
          </cell>
          <cell r="W3561" t="str">
            <v>Đã đóng</v>
          </cell>
          <cell r="AJ3561" t="str">
            <v>Kiên Giang</v>
          </cell>
          <cell r="BX3561" t="str">
            <v>AON</v>
          </cell>
        </row>
        <row r="3562">
          <cell r="A3562" t="str">
            <v>OP</v>
          </cell>
          <cell r="B3562" t="str">
            <v>Quá 24h</v>
          </cell>
          <cell r="D3562" t="str">
            <v>Khiếu nại về dịch vụ FTTH</v>
          </cell>
          <cell r="W3562" t="str">
            <v>Đã đóng</v>
          </cell>
          <cell r="AJ3562" t="str">
            <v>Tây Ninh</v>
          </cell>
          <cell r="BX3562" t="str">
            <v>AON</v>
          </cell>
        </row>
        <row r="3563">
          <cell r="A3563" t="str">
            <v>OP</v>
          </cell>
          <cell r="B3563" t="str">
            <v>Quá 24h</v>
          </cell>
          <cell r="D3563" t="str">
            <v>Khiếu nại về dịch vụ FTTH</v>
          </cell>
          <cell r="W3563" t="str">
            <v>Đã đóng</v>
          </cell>
          <cell r="AJ3563" t="str">
            <v xml:space="preserve">Đà Nẵng </v>
          </cell>
          <cell r="BX3563" t="str">
            <v>AON</v>
          </cell>
        </row>
        <row r="3564">
          <cell r="A3564" t="str">
            <v>OP</v>
          </cell>
          <cell r="B3564" t="str">
            <v>Quá 24h</v>
          </cell>
          <cell r="D3564" t="str">
            <v>Khiếu nại về dịch vụ FTTH</v>
          </cell>
          <cell r="W3564" t="str">
            <v>Đã đóng</v>
          </cell>
          <cell r="AJ3564" t="str">
            <v>TP HCM</v>
          </cell>
          <cell r="BX3564" t="str">
            <v>AON</v>
          </cell>
        </row>
        <row r="3565">
          <cell r="A3565" t="str">
            <v>OP</v>
          </cell>
          <cell r="B3565" t="str">
            <v>Quá 24h</v>
          </cell>
          <cell r="D3565" t="str">
            <v>Khiếu nại về dịch vụ FTTH</v>
          </cell>
          <cell r="W3565" t="str">
            <v>Đã đóng</v>
          </cell>
          <cell r="AJ3565" t="str">
            <v>TP HCM</v>
          </cell>
          <cell r="BX3565" t="str">
            <v>AON</v>
          </cell>
        </row>
        <row r="3566">
          <cell r="A3566" t="str">
            <v>OP</v>
          </cell>
          <cell r="B3566" t="str">
            <v>Quá 24h</v>
          </cell>
          <cell r="D3566" t="str">
            <v>Khiếu nại về dịch vụ FTTH</v>
          </cell>
          <cell r="W3566" t="str">
            <v>Đã đóng</v>
          </cell>
          <cell r="AJ3566" t="str">
            <v xml:space="preserve">Quảng Nam </v>
          </cell>
          <cell r="BX3566" t="str">
            <v>AON</v>
          </cell>
        </row>
        <row r="3567">
          <cell r="A3567" t="str">
            <v>OP</v>
          </cell>
          <cell r="B3567" t="str">
            <v>Quá 24h</v>
          </cell>
          <cell r="D3567" t="str">
            <v>Khiếu nại về dịch vụ FTTH</v>
          </cell>
          <cell r="W3567" t="str">
            <v>Đang xử lý</v>
          </cell>
          <cell r="AJ3567" t="str">
            <v>Vĩnh Long</v>
          </cell>
          <cell r="BX3567" t="str">
            <v>AON</v>
          </cell>
        </row>
        <row r="3568">
          <cell r="A3568" t="str">
            <v>OP</v>
          </cell>
          <cell r="B3568" t="str">
            <v>Quá 24h</v>
          </cell>
          <cell r="D3568" t="str">
            <v>Khiếu nại về dịch vụ FTTH</v>
          </cell>
          <cell r="W3568" t="str">
            <v>Đang xử lý</v>
          </cell>
          <cell r="AJ3568" t="str">
            <v>Bình Dương</v>
          </cell>
          <cell r="BX3568" t="str">
            <v>AON</v>
          </cell>
        </row>
        <row r="3569">
          <cell r="A3569" t="str">
            <v>OP</v>
          </cell>
          <cell r="B3569" t="str">
            <v>Quá 24h</v>
          </cell>
          <cell r="D3569" t="str">
            <v>Khiếu nại về dịch vụ FTTH</v>
          </cell>
          <cell r="W3569" t="str">
            <v>Đã đóng</v>
          </cell>
          <cell r="AJ3569" t="str">
            <v>TP HCM</v>
          </cell>
          <cell r="BX3569" t="str">
            <v>AON</v>
          </cell>
        </row>
        <row r="3570">
          <cell r="A3570" t="str">
            <v>OP</v>
          </cell>
          <cell r="B3570" t="str">
            <v>Quá 24h</v>
          </cell>
          <cell r="D3570" t="str">
            <v>Khiếu nại về dịch vụ FTTH</v>
          </cell>
          <cell r="W3570" t="str">
            <v>Đã đóng</v>
          </cell>
          <cell r="AJ3570" t="str">
            <v>TP HCM</v>
          </cell>
          <cell r="BX3570" t="str">
            <v>AON</v>
          </cell>
        </row>
        <row r="3571">
          <cell r="A3571" t="str">
            <v>OP</v>
          </cell>
          <cell r="B3571" t="str">
            <v>Quá 24h</v>
          </cell>
          <cell r="D3571" t="str">
            <v>Khiếu nại về dịch vụ FTTH</v>
          </cell>
          <cell r="W3571" t="str">
            <v>Đang xử lý</v>
          </cell>
          <cell r="AJ3571" t="str">
            <v xml:space="preserve">Đắc Lắk </v>
          </cell>
          <cell r="BX3571" t="str">
            <v>AON</v>
          </cell>
        </row>
        <row r="3572">
          <cell r="A3572" t="str">
            <v>OP</v>
          </cell>
          <cell r="B3572" t="str">
            <v>Quá 24h</v>
          </cell>
          <cell r="D3572" t="str">
            <v>Khiếu nại về dịch vụ FTTH</v>
          </cell>
          <cell r="W3572" t="str">
            <v>Đã đóng</v>
          </cell>
          <cell r="AJ3572" t="str">
            <v>TP HCM</v>
          </cell>
          <cell r="BX3572" t="str">
            <v>AON</v>
          </cell>
        </row>
        <row r="3573">
          <cell r="A3573" t="str">
            <v>OP</v>
          </cell>
          <cell r="B3573" t="str">
            <v>Quá 24h</v>
          </cell>
          <cell r="D3573" t="str">
            <v>Khiếu nại về dịch vụ FTTH</v>
          </cell>
          <cell r="W3573" t="str">
            <v>Đã đóng</v>
          </cell>
          <cell r="AJ3573" t="str">
            <v>Bình Dương</v>
          </cell>
          <cell r="BX3573" t="str">
            <v>AON</v>
          </cell>
        </row>
        <row r="3574">
          <cell r="A3574" t="str">
            <v>OP</v>
          </cell>
          <cell r="B3574" t="str">
            <v>Quá 24h</v>
          </cell>
          <cell r="D3574" t="str">
            <v>Khiếu nại về dịch vụ FTTH</v>
          </cell>
          <cell r="W3574" t="str">
            <v>Đã đóng</v>
          </cell>
          <cell r="AJ3574" t="str">
            <v xml:space="preserve">Đà Nẵng </v>
          </cell>
          <cell r="BX3574" t="str">
            <v>AON</v>
          </cell>
        </row>
        <row r="3575">
          <cell r="A3575" t="str">
            <v>OP</v>
          </cell>
          <cell r="B3575" t="str">
            <v>Quá 24h</v>
          </cell>
          <cell r="D3575" t="str">
            <v>Khiếu nại về dịch vụ NextTV</v>
          </cell>
          <cell r="W3575" t="str">
            <v>Đã đóng</v>
          </cell>
          <cell r="AJ3575" t="str">
            <v>TP HCM</v>
          </cell>
          <cell r="BX3575" t="str">
            <v>AON</v>
          </cell>
        </row>
        <row r="3576">
          <cell r="A3576" t="str">
            <v>OP</v>
          </cell>
          <cell r="B3576" t="str">
            <v>Quá 24h</v>
          </cell>
          <cell r="D3576" t="str">
            <v>Khiếu nại về dịch vụ FTTH</v>
          </cell>
          <cell r="W3576" t="str">
            <v>Đã đóng</v>
          </cell>
          <cell r="AJ3576" t="str">
            <v>TP HCM</v>
          </cell>
          <cell r="BX3576" t="str">
            <v>AON</v>
          </cell>
        </row>
        <row r="3577">
          <cell r="A3577" t="str">
            <v>OP</v>
          </cell>
          <cell r="B3577" t="str">
            <v>Quá 24h</v>
          </cell>
          <cell r="D3577" t="str">
            <v>Khiếu nại về dịch vụ FTTH</v>
          </cell>
          <cell r="W3577" t="str">
            <v>Đã đóng</v>
          </cell>
          <cell r="AJ3577" t="str">
            <v xml:space="preserve">Đà Nẵng </v>
          </cell>
          <cell r="BX3577" t="str">
            <v>AON</v>
          </cell>
        </row>
        <row r="3578">
          <cell r="A3578" t="str">
            <v>OP</v>
          </cell>
          <cell r="B3578" t="str">
            <v>Quá 24h</v>
          </cell>
          <cell r="D3578" t="str">
            <v>Khiếu nại về dịch vụ FTTH</v>
          </cell>
          <cell r="W3578" t="str">
            <v>Đang xử lý</v>
          </cell>
          <cell r="AJ3578" t="str">
            <v>Kon Tum</v>
          </cell>
          <cell r="BX3578" t="str">
            <v>AON</v>
          </cell>
        </row>
        <row r="3579">
          <cell r="A3579" t="str">
            <v>OP</v>
          </cell>
          <cell r="B3579" t="str">
            <v>Quá 24h</v>
          </cell>
          <cell r="D3579" t="str">
            <v>Khiếu nại về dịch vụ FTTH</v>
          </cell>
          <cell r="W3579" t="str">
            <v>Đã đóng</v>
          </cell>
          <cell r="AJ3579" t="str">
            <v>Thừa Thiên Huế</v>
          </cell>
          <cell r="BX3579" t="str">
            <v>AON</v>
          </cell>
        </row>
        <row r="3580">
          <cell r="A3580" t="str">
            <v>OP</v>
          </cell>
          <cell r="B3580" t="str">
            <v>Quá 24h</v>
          </cell>
          <cell r="D3580" t="str">
            <v>Khiếu nại về dịch vụ FTTH</v>
          </cell>
          <cell r="W3580" t="str">
            <v>Đang xử lý</v>
          </cell>
          <cell r="AJ3580" t="str">
            <v>Bình Thuận</v>
          </cell>
          <cell r="BX3580" t="str">
            <v>AON</v>
          </cell>
        </row>
        <row r="3581">
          <cell r="A3581" t="str">
            <v>OP</v>
          </cell>
          <cell r="B3581" t="str">
            <v>Quá 24h</v>
          </cell>
          <cell r="D3581" t="str">
            <v>Khiếu nại về dịch vụ FTTH</v>
          </cell>
          <cell r="W3581" t="str">
            <v>Đã đóng</v>
          </cell>
          <cell r="AJ3581" t="str">
            <v>TP HCM</v>
          </cell>
          <cell r="BX3581" t="str">
            <v>AON</v>
          </cell>
        </row>
        <row r="3582">
          <cell r="A3582" t="str">
            <v>OP</v>
          </cell>
          <cell r="B3582" t="str">
            <v>Quá 24h</v>
          </cell>
          <cell r="D3582" t="str">
            <v>Khiếu nại về dịch vụ FTTH</v>
          </cell>
          <cell r="W3582" t="str">
            <v>Đã đóng</v>
          </cell>
          <cell r="AJ3582" t="str">
            <v>Lâm Đồng</v>
          </cell>
          <cell r="BX3582" t="str">
            <v>AON</v>
          </cell>
        </row>
        <row r="3583">
          <cell r="A3583" t="str">
            <v>OP</v>
          </cell>
          <cell r="B3583" t="str">
            <v>Quá 24h</v>
          </cell>
          <cell r="D3583" t="str">
            <v>Khiếu nại về dịch vụ FTTH</v>
          </cell>
          <cell r="W3583" t="str">
            <v>Đang xử lý</v>
          </cell>
          <cell r="AJ3583" t="str">
            <v>Lâm Đồng</v>
          </cell>
          <cell r="BX3583" t="str">
            <v>AON</v>
          </cell>
        </row>
        <row r="3584">
          <cell r="A3584" t="str">
            <v>OP</v>
          </cell>
          <cell r="B3584" t="str">
            <v>Quá 24h</v>
          </cell>
          <cell r="D3584" t="str">
            <v>Khiếu nại về dịch vụ FTTH</v>
          </cell>
          <cell r="W3584" t="str">
            <v>Đã đóng</v>
          </cell>
          <cell r="AJ3584" t="str">
            <v>Hải Phòng</v>
          </cell>
          <cell r="BX3584" t="str">
            <v>AON</v>
          </cell>
        </row>
        <row r="3585">
          <cell r="A3585" t="str">
            <v>OP</v>
          </cell>
          <cell r="B3585" t="str">
            <v>Quá 24h</v>
          </cell>
          <cell r="D3585" t="str">
            <v>Khiếu nại về dịch vụ FTTH</v>
          </cell>
          <cell r="W3585" t="str">
            <v>Đã đóng</v>
          </cell>
          <cell r="AJ3585" t="str">
            <v>Hà Nội 1</v>
          </cell>
          <cell r="BX3585" t="str">
            <v>AON</v>
          </cell>
        </row>
        <row r="3586">
          <cell r="A3586" t="str">
            <v>OP</v>
          </cell>
          <cell r="B3586" t="str">
            <v>Quá 24h</v>
          </cell>
          <cell r="D3586" t="str">
            <v>Khiếu nại về dịch vụ FTTH</v>
          </cell>
          <cell r="W3586" t="str">
            <v>Đã đóng</v>
          </cell>
          <cell r="AJ3586" t="str">
            <v>Đắc Nông</v>
          </cell>
          <cell r="BX3586" t="str">
            <v>AON</v>
          </cell>
        </row>
        <row r="3587">
          <cell r="A3587" t="str">
            <v>OP</v>
          </cell>
          <cell r="B3587" t="str">
            <v>Quá 24h</v>
          </cell>
          <cell r="D3587" t="str">
            <v>Khiếu nại về dịch vụ FTTH</v>
          </cell>
          <cell r="W3587" t="str">
            <v>Đã đóng</v>
          </cell>
          <cell r="AJ3587" t="str">
            <v>TP HCM</v>
          </cell>
          <cell r="BX3587" t="str">
            <v>AON</v>
          </cell>
        </row>
        <row r="3588">
          <cell r="A3588" t="str">
            <v>OP</v>
          </cell>
          <cell r="B3588" t="str">
            <v>Quá 24h</v>
          </cell>
          <cell r="D3588" t="str">
            <v>Khiếu nại về dịch vụ FTTH</v>
          </cell>
          <cell r="W3588" t="str">
            <v>Đang xử lý</v>
          </cell>
          <cell r="AJ3588" t="str">
            <v>Bình Thuận</v>
          </cell>
          <cell r="BX3588" t="str">
            <v>AON</v>
          </cell>
        </row>
        <row r="3589">
          <cell r="A3589" t="str">
            <v>OP</v>
          </cell>
          <cell r="B3589" t="str">
            <v>Quá 24h</v>
          </cell>
          <cell r="D3589" t="str">
            <v>Khiếu nại về dịch vụ FTTH</v>
          </cell>
          <cell r="W3589" t="str">
            <v>Đã đóng</v>
          </cell>
          <cell r="AJ3589" t="str">
            <v>TP HCM</v>
          </cell>
          <cell r="BX3589" t="str">
            <v>AON</v>
          </cell>
        </row>
        <row r="3590">
          <cell r="A3590" t="str">
            <v>OP</v>
          </cell>
          <cell r="B3590" t="str">
            <v>Quá 24h</v>
          </cell>
          <cell r="D3590" t="str">
            <v>Khiếu nại về dịch vụ FTTH</v>
          </cell>
          <cell r="W3590" t="str">
            <v>Đã đóng</v>
          </cell>
          <cell r="AJ3590" t="str">
            <v>TP HCM</v>
          </cell>
          <cell r="BX3590" t="str">
            <v>AON</v>
          </cell>
        </row>
        <row r="3591">
          <cell r="A3591" t="str">
            <v>OP</v>
          </cell>
          <cell r="B3591" t="str">
            <v>Quá 24h</v>
          </cell>
          <cell r="D3591" t="str">
            <v>Khiếu nại về dịch vụ FTTH</v>
          </cell>
          <cell r="W3591" t="str">
            <v>Đã đóng</v>
          </cell>
          <cell r="AJ3591" t="str">
            <v>An Giang</v>
          </cell>
          <cell r="BX3591" t="str">
            <v>AON</v>
          </cell>
        </row>
        <row r="3592">
          <cell r="A3592" t="str">
            <v>OP</v>
          </cell>
          <cell r="B3592" t="str">
            <v>Quá 24h</v>
          </cell>
          <cell r="D3592" t="str">
            <v>Khiếu nại về dịch vụ FTTH</v>
          </cell>
          <cell r="W3592" t="str">
            <v>Đã đóng</v>
          </cell>
          <cell r="AJ3592" t="str">
            <v>Đắc Nông</v>
          </cell>
          <cell r="BX3592" t="str">
            <v>AON</v>
          </cell>
        </row>
        <row r="3593">
          <cell r="A3593" t="str">
            <v>OP</v>
          </cell>
          <cell r="B3593" t="str">
            <v>Quá 24h</v>
          </cell>
          <cell r="D3593" t="str">
            <v>Khiếu nại về dịch vụ FTTH</v>
          </cell>
          <cell r="W3593" t="str">
            <v>Đang xử lý</v>
          </cell>
          <cell r="AJ3593" t="str">
            <v>TP HCM</v>
          </cell>
          <cell r="BX3593" t="str">
            <v>AON</v>
          </cell>
        </row>
        <row r="3594">
          <cell r="A3594" t="str">
            <v>OP</v>
          </cell>
          <cell r="B3594" t="str">
            <v>Quá 24h</v>
          </cell>
          <cell r="D3594" t="str">
            <v>Khiếu nại về dịch vụ FTTH</v>
          </cell>
          <cell r="W3594" t="str">
            <v>Đã đóng</v>
          </cell>
          <cell r="AJ3594" t="str">
            <v>An Giang</v>
          </cell>
          <cell r="BX3594" t="str">
            <v>AON</v>
          </cell>
        </row>
        <row r="3595">
          <cell r="A3595" t="str">
            <v>OP</v>
          </cell>
          <cell r="B3595" t="str">
            <v>Quá 24h</v>
          </cell>
          <cell r="D3595" t="str">
            <v>Khiếu nại về dịch vụ FTTH</v>
          </cell>
          <cell r="W3595" t="str">
            <v>Đã đóng</v>
          </cell>
          <cell r="AJ3595" t="str">
            <v>An Giang</v>
          </cell>
          <cell r="BX3595" t="str">
            <v>AON</v>
          </cell>
        </row>
        <row r="3596">
          <cell r="A3596" t="str">
            <v>OP</v>
          </cell>
          <cell r="B3596" t="str">
            <v>Quá 24h</v>
          </cell>
          <cell r="D3596" t="str">
            <v>Khiếu nại về dịch vụ FTTH</v>
          </cell>
          <cell r="W3596" t="str">
            <v>Đã đóng</v>
          </cell>
          <cell r="AJ3596" t="str">
            <v>TP HCM</v>
          </cell>
          <cell r="BX3596" t="str">
            <v>AON</v>
          </cell>
        </row>
        <row r="3597">
          <cell r="A3597" t="str">
            <v>OP</v>
          </cell>
          <cell r="B3597" t="str">
            <v>Quá 24h</v>
          </cell>
          <cell r="D3597" t="str">
            <v>Khiếu nại về dịch vụ FTTH</v>
          </cell>
          <cell r="W3597" t="str">
            <v>Đã đóng</v>
          </cell>
          <cell r="AJ3597" t="str">
            <v>TP HCM</v>
          </cell>
          <cell r="BX3597" t="str">
            <v>AON</v>
          </cell>
        </row>
        <row r="3598">
          <cell r="A3598" t="str">
            <v>OP</v>
          </cell>
          <cell r="B3598" t="str">
            <v>Quá 24h</v>
          </cell>
          <cell r="D3598" t="str">
            <v>Khiếu nại về dịch vụ FTTH</v>
          </cell>
          <cell r="W3598" t="str">
            <v>Đã đóng</v>
          </cell>
          <cell r="AJ3598" t="str">
            <v xml:space="preserve">Đà Nẵng </v>
          </cell>
          <cell r="BX3598" t="str">
            <v>AON</v>
          </cell>
        </row>
        <row r="3599">
          <cell r="A3599" t="str">
            <v>OP</v>
          </cell>
          <cell r="B3599" t="str">
            <v>Quá 24h</v>
          </cell>
          <cell r="D3599" t="str">
            <v>Khiếu nại về dịch vụ FTTH</v>
          </cell>
          <cell r="W3599" t="str">
            <v>Đã đóng</v>
          </cell>
          <cell r="AJ3599" t="str">
            <v>Bình Thuận</v>
          </cell>
          <cell r="BX3599" t="str">
            <v>AON</v>
          </cell>
        </row>
        <row r="3600">
          <cell r="A3600" t="str">
            <v>OP</v>
          </cell>
          <cell r="B3600" t="str">
            <v>Quá 24h</v>
          </cell>
          <cell r="D3600" t="str">
            <v>Khiếu nại về dịch vụ FTTH</v>
          </cell>
          <cell r="W3600" t="str">
            <v>Đã đóng</v>
          </cell>
          <cell r="AJ3600" t="str">
            <v>Bình Thuận</v>
          </cell>
          <cell r="BX3600" t="str">
            <v>AON</v>
          </cell>
        </row>
        <row r="3601">
          <cell r="A3601" t="str">
            <v>OP</v>
          </cell>
          <cell r="B3601" t="str">
            <v>Quá 24h</v>
          </cell>
          <cell r="D3601" t="str">
            <v>Khiếu nại về dịch vụ FTTH</v>
          </cell>
          <cell r="W3601" t="str">
            <v>Đã đóng</v>
          </cell>
          <cell r="AJ3601" t="str">
            <v>TP HCM</v>
          </cell>
          <cell r="BX3601" t="str">
            <v>AON</v>
          </cell>
        </row>
        <row r="3602">
          <cell r="A3602" t="str">
            <v>OP</v>
          </cell>
          <cell r="B3602" t="str">
            <v>Quá 24h</v>
          </cell>
          <cell r="D3602" t="str">
            <v>Khiếu nại về dịch vụ FTTH</v>
          </cell>
          <cell r="W3602" t="str">
            <v>Đã đóng</v>
          </cell>
          <cell r="AJ3602" t="str">
            <v>TP HCM</v>
          </cell>
          <cell r="BX3602" t="str">
            <v>AON</v>
          </cell>
        </row>
        <row r="3603">
          <cell r="A3603" t="str">
            <v>OP</v>
          </cell>
          <cell r="B3603" t="str">
            <v>Quá 24h</v>
          </cell>
          <cell r="D3603" t="str">
            <v>Khiếu nại về dịch vụ FTTH</v>
          </cell>
          <cell r="W3603" t="str">
            <v>Đang xử lý</v>
          </cell>
          <cell r="AJ3603" t="str">
            <v>TP HCM</v>
          </cell>
          <cell r="BX3603" t="str">
            <v>AON</v>
          </cell>
        </row>
        <row r="3604">
          <cell r="A3604" t="str">
            <v>OP</v>
          </cell>
          <cell r="B3604" t="str">
            <v>Quá 24h</v>
          </cell>
          <cell r="D3604" t="str">
            <v>Khiếu nại về dịch vụ FTTH</v>
          </cell>
          <cell r="W3604" t="str">
            <v>Đã đóng</v>
          </cell>
          <cell r="AJ3604" t="str">
            <v>TP HCM</v>
          </cell>
          <cell r="BX3604" t="str">
            <v>AON</v>
          </cell>
        </row>
        <row r="3605">
          <cell r="A3605" t="str">
            <v>OP</v>
          </cell>
          <cell r="B3605" t="str">
            <v>Quá 24h</v>
          </cell>
          <cell r="D3605" t="str">
            <v>Khiếu nại về dịch vụ FTTH</v>
          </cell>
          <cell r="W3605" t="str">
            <v>Đã đóng</v>
          </cell>
          <cell r="AJ3605" t="str">
            <v>Bình Dương</v>
          </cell>
          <cell r="BX3605" t="str">
            <v>AON</v>
          </cell>
        </row>
        <row r="3606">
          <cell r="A3606" t="str">
            <v>OP</v>
          </cell>
          <cell r="B3606" t="str">
            <v>Quá 24h</v>
          </cell>
          <cell r="D3606" t="str">
            <v>Khiếu nại về dịch vụ FTTH</v>
          </cell>
          <cell r="W3606" t="str">
            <v>Đã đóng</v>
          </cell>
          <cell r="AJ3606" t="str">
            <v xml:space="preserve">Đà Nẵng </v>
          </cell>
          <cell r="BX3606" t="str">
            <v>AON</v>
          </cell>
        </row>
        <row r="3607">
          <cell r="A3607" t="str">
            <v>OP</v>
          </cell>
          <cell r="B3607" t="str">
            <v>Quá 24h</v>
          </cell>
          <cell r="D3607" t="str">
            <v>Khiếu nại về dịch vụ FTTH</v>
          </cell>
          <cell r="W3607" t="str">
            <v>Đã đóng</v>
          </cell>
          <cell r="AJ3607" t="str">
            <v>An Giang</v>
          </cell>
          <cell r="BX3607" t="str">
            <v>AON</v>
          </cell>
        </row>
        <row r="3608">
          <cell r="A3608" t="str">
            <v>OP</v>
          </cell>
          <cell r="B3608" t="str">
            <v>Quá 24h</v>
          </cell>
          <cell r="D3608" t="str">
            <v>Khiếu nại về dịch vụ FTTH</v>
          </cell>
          <cell r="W3608" t="str">
            <v>Đã đóng</v>
          </cell>
          <cell r="AJ3608" t="str">
            <v>Thừa Thiên Huế</v>
          </cell>
          <cell r="BX3608" t="str">
            <v>AON</v>
          </cell>
        </row>
        <row r="3609">
          <cell r="A3609" t="str">
            <v>OP</v>
          </cell>
          <cell r="B3609" t="str">
            <v>Quá 24h</v>
          </cell>
          <cell r="D3609" t="str">
            <v>Khiếu nại về dịch vụ FTTH</v>
          </cell>
          <cell r="W3609" t="str">
            <v>Đã đóng</v>
          </cell>
          <cell r="AJ3609" t="str">
            <v>Thừa Thiên Huế</v>
          </cell>
          <cell r="BX3609" t="str">
            <v>AON</v>
          </cell>
        </row>
        <row r="3610">
          <cell r="A3610" t="str">
            <v>OP</v>
          </cell>
          <cell r="B3610" t="str">
            <v>Quá 24h</v>
          </cell>
          <cell r="D3610" t="str">
            <v>Khiếu nại về dịch vụ FTTH</v>
          </cell>
          <cell r="W3610" t="str">
            <v>Đã đóng</v>
          </cell>
          <cell r="AJ3610" t="str">
            <v>TP HCM</v>
          </cell>
          <cell r="BX3610" t="str">
            <v>AON</v>
          </cell>
        </row>
        <row r="3611">
          <cell r="A3611" t="str">
            <v>OP</v>
          </cell>
          <cell r="B3611" t="str">
            <v>Quá 24h</v>
          </cell>
          <cell r="D3611" t="str">
            <v>Khiếu nại về dịch vụ FTTH</v>
          </cell>
          <cell r="W3611" t="str">
            <v>Đã đóng</v>
          </cell>
          <cell r="AJ3611" t="str">
            <v>Bình Định</v>
          </cell>
          <cell r="BX3611" t="str">
            <v>AON</v>
          </cell>
        </row>
        <row r="3612">
          <cell r="A3612" t="str">
            <v>OP</v>
          </cell>
          <cell r="B3612" t="str">
            <v>Quá 24h</v>
          </cell>
          <cell r="D3612" t="str">
            <v>Khiếu nại về dịch vụ FTTH</v>
          </cell>
          <cell r="W3612" t="str">
            <v>Đã đóng</v>
          </cell>
          <cell r="AJ3612" t="str">
            <v xml:space="preserve">Đà Nẵng </v>
          </cell>
          <cell r="BX3612" t="str">
            <v>AON</v>
          </cell>
        </row>
        <row r="3613">
          <cell r="A3613" t="str">
            <v>OP</v>
          </cell>
          <cell r="B3613" t="str">
            <v>Quá 24h</v>
          </cell>
          <cell r="D3613" t="str">
            <v>Khiếu nại về dịch vụ FTTH</v>
          </cell>
          <cell r="W3613" t="str">
            <v>Đã đóng</v>
          </cell>
          <cell r="AJ3613" t="str">
            <v xml:space="preserve">Đà Nẵng </v>
          </cell>
          <cell r="BX3613" t="str">
            <v>AON</v>
          </cell>
        </row>
        <row r="3614">
          <cell r="A3614" t="str">
            <v>OP</v>
          </cell>
          <cell r="B3614" t="str">
            <v>Quá 24h</v>
          </cell>
          <cell r="D3614" t="str">
            <v>Khiếu nại về dịch vụ FTTH</v>
          </cell>
          <cell r="W3614" t="str">
            <v>Đã đóng</v>
          </cell>
          <cell r="AJ3614" t="str">
            <v>Hậu Giang</v>
          </cell>
          <cell r="BX3614" t="str">
            <v>AON</v>
          </cell>
        </row>
        <row r="3615">
          <cell r="A3615" t="str">
            <v>OP</v>
          </cell>
          <cell r="B3615" t="str">
            <v>Quá 24h</v>
          </cell>
          <cell r="D3615" t="str">
            <v>Khiếu nại về dịch vụ FTTH</v>
          </cell>
          <cell r="W3615" t="str">
            <v>Đã đóng</v>
          </cell>
          <cell r="AJ3615" t="str">
            <v>TP HCM</v>
          </cell>
          <cell r="BX3615" t="str">
            <v>AON</v>
          </cell>
        </row>
        <row r="3616">
          <cell r="A3616" t="str">
            <v>OP</v>
          </cell>
          <cell r="B3616" t="str">
            <v>Quá 24h</v>
          </cell>
          <cell r="D3616" t="str">
            <v>Khiếu nại về dịch vụ FTTH</v>
          </cell>
          <cell r="W3616" t="str">
            <v>Đang xử lý</v>
          </cell>
          <cell r="AJ3616" t="str">
            <v>Cần Thơ</v>
          </cell>
          <cell r="BX3616" t="str">
            <v>AON</v>
          </cell>
        </row>
        <row r="3617">
          <cell r="A3617" t="str">
            <v>OP</v>
          </cell>
          <cell r="B3617" t="str">
            <v>Quá 24h</v>
          </cell>
          <cell r="D3617" t="str">
            <v>Khiếu nại về dịch vụ FTTH</v>
          </cell>
          <cell r="W3617" t="str">
            <v>Đã đóng</v>
          </cell>
          <cell r="AJ3617" t="str">
            <v>Bến Tre</v>
          </cell>
          <cell r="BX3617" t="str">
            <v>AON</v>
          </cell>
        </row>
        <row r="3618">
          <cell r="A3618" t="str">
            <v>OP</v>
          </cell>
          <cell r="B3618" t="str">
            <v>Quá 24h</v>
          </cell>
          <cell r="D3618" t="str">
            <v>Khiếu nại về dịch vụ FTTH</v>
          </cell>
          <cell r="W3618" t="str">
            <v>Đang xử lý</v>
          </cell>
          <cell r="AJ3618" t="str">
            <v>Bình Định</v>
          </cell>
          <cell r="BX3618" t="str">
            <v>AON</v>
          </cell>
        </row>
        <row r="3619">
          <cell r="A3619" t="str">
            <v>OP</v>
          </cell>
          <cell r="B3619" t="str">
            <v>Quá 24h</v>
          </cell>
          <cell r="D3619" t="str">
            <v>Khiếu nại về dịch vụ FTTH</v>
          </cell>
          <cell r="W3619" t="str">
            <v>Đã đóng</v>
          </cell>
          <cell r="AJ3619" t="str">
            <v>Bình Dương</v>
          </cell>
          <cell r="BX3619" t="str">
            <v>AON</v>
          </cell>
        </row>
        <row r="3620">
          <cell r="A3620" t="str">
            <v>OP</v>
          </cell>
          <cell r="B3620" t="str">
            <v>Quá 24h</v>
          </cell>
          <cell r="D3620" t="str">
            <v>Khiếu nại về dịch vụ FTTH</v>
          </cell>
          <cell r="W3620" t="str">
            <v>Đang xử lý</v>
          </cell>
          <cell r="AJ3620" t="str">
            <v>TP HCM</v>
          </cell>
          <cell r="BX3620" t="str">
            <v>AON</v>
          </cell>
        </row>
        <row r="3621">
          <cell r="A3621" t="str">
            <v>OP</v>
          </cell>
          <cell r="B3621" t="str">
            <v>Quá 24h</v>
          </cell>
          <cell r="D3621" t="str">
            <v>Khiếu nại về dịch vụ FTTH</v>
          </cell>
          <cell r="W3621" t="str">
            <v>Đang xử lý</v>
          </cell>
          <cell r="AJ3621" t="str">
            <v>Bình Dương</v>
          </cell>
          <cell r="BX3621" t="str">
            <v>AON</v>
          </cell>
        </row>
        <row r="3622">
          <cell r="A3622" t="str">
            <v>OP</v>
          </cell>
          <cell r="B3622" t="str">
            <v>Quá 24h</v>
          </cell>
          <cell r="D3622" t="str">
            <v>Khiếu nại về dịch vụ FTTH</v>
          </cell>
          <cell r="W3622" t="str">
            <v>Đang xử lý</v>
          </cell>
          <cell r="AJ3622" t="str">
            <v>Cần Thơ</v>
          </cell>
          <cell r="BX3622" t="str">
            <v>AON</v>
          </cell>
        </row>
        <row r="3623">
          <cell r="A3623" t="str">
            <v>OP</v>
          </cell>
          <cell r="B3623" t="str">
            <v>Quá 24h</v>
          </cell>
          <cell r="D3623" t="str">
            <v>Khiếu nại về dịch vụ FTTH</v>
          </cell>
          <cell r="W3623" t="str">
            <v>Đã đóng</v>
          </cell>
          <cell r="AJ3623" t="str">
            <v>TP HCM</v>
          </cell>
          <cell r="BX3623" t="str">
            <v>AON</v>
          </cell>
        </row>
        <row r="3624">
          <cell r="A3624" t="str">
            <v>OP</v>
          </cell>
          <cell r="B3624" t="str">
            <v>Quá 24h</v>
          </cell>
          <cell r="D3624" t="str">
            <v>Khiếu nại về dịch vụ FTTH</v>
          </cell>
          <cell r="W3624" t="str">
            <v>Đang xử lý</v>
          </cell>
          <cell r="AJ3624" t="str">
            <v>Bạc Liêu</v>
          </cell>
          <cell r="BX3624" t="str">
            <v>AON</v>
          </cell>
        </row>
        <row r="3625">
          <cell r="A3625" t="str">
            <v>OP</v>
          </cell>
          <cell r="B3625" t="str">
            <v>Quá 24h</v>
          </cell>
          <cell r="D3625" t="str">
            <v>Khiếu nại về dịch vụ FTTH</v>
          </cell>
          <cell r="W3625" t="str">
            <v>Đang xử lý</v>
          </cell>
          <cell r="AJ3625" t="str">
            <v>Tây Ninh</v>
          </cell>
          <cell r="BX3625" t="str">
            <v>AON</v>
          </cell>
        </row>
        <row r="3626">
          <cell r="A3626" t="str">
            <v>OP</v>
          </cell>
          <cell r="B3626" t="str">
            <v>Quá 24h</v>
          </cell>
          <cell r="D3626" t="str">
            <v>Khiếu nại về dịch vụ NextTV</v>
          </cell>
          <cell r="W3626" t="str">
            <v>Đã đóng</v>
          </cell>
          <cell r="AJ3626" t="str">
            <v>Thừa Thiên Huế</v>
          </cell>
          <cell r="BX3626" t="str">
            <v>AON</v>
          </cell>
        </row>
        <row r="3627">
          <cell r="A3627" t="str">
            <v>OP</v>
          </cell>
          <cell r="B3627" t="str">
            <v>Quá 24h</v>
          </cell>
          <cell r="D3627" t="str">
            <v>Khiếu nại về dịch vụ FTTH</v>
          </cell>
          <cell r="W3627" t="str">
            <v>Đã đóng</v>
          </cell>
          <cell r="AJ3627" t="str">
            <v>Bình Dương</v>
          </cell>
          <cell r="BX3627" t="str">
            <v>GPON</v>
          </cell>
        </row>
        <row r="3628">
          <cell r="A3628" t="str">
            <v>OP</v>
          </cell>
          <cell r="B3628" t="str">
            <v>Quá 24h</v>
          </cell>
          <cell r="D3628" t="str">
            <v>Khiếu nại về dịch vụ FTTH</v>
          </cell>
          <cell r="W3628" t="str">
            <v>Đã đóng</v>
          </cell>
          <cell r="AJ3628" t="str">
            <v>Bình Dương</v>
          </cell>
          <cell r="BX3628" t="str">
            <v>AON</v>
          </cell>
        </row>
        <row r="3629">
          <cell r="A3629" t="str">
            <v>OP</v>
          </cell>
          <cell r="B3629" t="str">
            <v>Quá 24h</v>
          </cell>
          <cell r="D3629" t="str">
            <v>Khiếu nại về dịch vụ FTTH</v>
          </cell>
          <cell r="W3629" t="str">
            <v>Đang xử lý</v>
          </cell>
          <cell r="AJ3629" t="str">
            <v>Thừa Thiên Huế</v>
          </cell>
          <cell r="BX3629" t="str">
            <v>AON</v>
          </cell>
        </row>
        <row r="3630">
          <cell r="A3630" t="str">
            <v>OP</v>
          </cell>
          <cell r="B3630" t="str">
            <v>Quá 24h</v>
          </cell>
          <cell r="D3630" t="str">
            <v>Khiếu nại về dịch vụ FTTH</v>
          </cell>
          <cell r="W3630" t="str">
            <v>Đã đóng</v>
          </cell>
          <cell r="AJ3630" t="str">
            <v>Bình Dương</v>
          </cell>
          <cell r="BX3630" t="str">
            <v>AON</v>
          </cell>
        </row>
        <row r="3631">
          <cell r="A3631" t="str">
            <v>OP</v>
          </cell>
          <cell r="B3631" t="str">
            <v>Quá 24h</v>
          </cell>
          <cell r="D3631" t="str">
            <v>Khiếu nại về dịch vụ FTTH</v>
          </cell>
          <cell r="W3631" t="str">
            <v>Đã đóng</v>
          </cell>
          <cell r="AJ3631" t="str">
            <v xml:space="preserve">Đắc Lắk </v>
          </cell>
          <cell r="BX3631" t="str">
            <v>AON</v>
          </cell>
        </row>
        <row r="3632">
          <cell r="A3632" t="str">
            <v>OP</v>
          </cell>
          <cell r="B3632" t="str">
            <v>Quá 24h</v>
          </cell>
          <cell r="D3632" t="str">
            <v>Khiếu nại về dịch vụ FTTH</v>
          </cell>
          <cell r="W3632" t="str">
            <v>Đã đóng</v>
          </cell>
          <cell r="AJ3632" t="str">
            <v xml:space="preserve">Đắc Lắk </v>
          </cell>
          <cell r="BX3632" t="str">
            <v>AON</v>
          </cell>
        </row>
        <row r="3633">
          <cell r="A3633" t="str">
            <v>OP</v>
          </cell>
          <cell r="B3633" t="str">
            <v>Quá 24h</v>
          </cell>
          <cell r="D3633" t="str">
            <v>Khiếu nại về dịch vụ FTTH</v>
          </cell>
          <cell r="W3633" t="str">
            <v>Đã đóng</v>
          </cell>
          <cell r="AJ3633" t="str">
            <v>Hậu Giang</v>
          </cell>
          <cell r="BX3633" t="str">
            <v>AON</v>
          </cell>
        </row>
        <row r="3634">
          <cell r="A3634" t="str">
            <v>OP</v>
          </cell>
          <cell r="B3634" t="str">
            <v>Quá 24h</v>
          </cell>
          <cell r="D3634" t="str">
            <v>Khiếu nại về dịch vụ FTTH</v>
          </cell>
          <cell r="W3634" t="str">
            <v>Đã đóng</v>
          </cell>
          <cell r="AJ3634" t="str">
            <v>TP HCM</v>
          </cell>
          <cell r="BX3634" t="str">
            <v>AON</v>
          </cell>
        </row>
        <row r="3635">
          <cell r="A3635" t="str">
            <v>OP</v>
          </cell>
          <cell r="B3635" t="str">
            <v>Quá 24h</v>
          </cell>
          <cell r="D3635" t="str">
            <v>Khiếu nại về dịch vụ FTTH</v>
          </cell>
          <cell r="W3635" t="str">
            <v>Đang xử lý</v>
          </cell>
          <cell r="AJ3635" t="str">
            <v>Thừa Thiên Huế</v>
          </cell>
          <cell r="BX3635" t="str">
            <v>AON</v>
          </cell>
        </row>
        <row r="3636">
          <cell r="A3636" t="str">
            <v>OP</v>
          </cell>
          <cell r="B3636" t="str">
            <v>Quá 24h</v>
          </cell>
          <cell r="D3636" t="str">
            <v>Khiếu nại về dịch vụ FTTH</v>
          </cell>
          <cell r="W3636" t="str">
            <v>Đã đóng</v>
          </cell>
          <cell r="AJ3636" t="str">
            <v>Thừa Thiên Huế</v>
          </cell>
          <cell r="BX3636" t="str">
            <v>AON</v>
          </cell>
        </row>
        <row r="3637">
          <cell r="A3637" t="str">
            <v>OP</v>
          </cell>
          <cell r="B3637" t="str">
            <v>Quá 24h</v>
          </cell>
          <cell r="D3637" t="str">
            <v>Khiếu nại về dịch vụ FTTH</v>
          </cell>
          <cell r="W3637" t="str">
            <v>Đã đóng</v>
          </cell>
          <cell r="AJ3637" t="str">
            <v>Tây Ninh</v>
          </cell>
          <cell r="BX3637" t="str">
            <v>AON</v>
          </cell>
        </row>
        <row r="3638">
          <cell r="A3638" t="str">
            <v>OP</v>
          </cell>
          <cell r="B3638" t="str">
            <v>Quá 24h</v>
          </cell>
          <cell r="D3638" t="str">
            <v>Khiếu nại về dịch vụ FTTH</v>
          </cell>
          <cell r="W3638" t="str">
            <v>Đã đóng</v>
          </cell>
          <cell r="AJ3638" t="str">
            <v>TP HCM</v>
          </cell>
          <cell r="BX3638" t="str">
            <v>AON</v>
          </cell>
        </row>
        <row r="3639">
          <cell r="A3639" t="str">
            <v>OP</v>
          </cell>
          <cell r="B3639" t="str">
            <v>Quá 24h</v>
          </cell>
          <cell r="D3639" t="str">
            <v>Khiếu nại về dịch vụ FTTH</v>
          </cell>
          <cell r="W3639" t="str">
            <v>Đã đóng</v>
          </cell>
          <cell r="AJ3639" t="str">
            <v>Cà Mau</v>
          </cell>
          <cell r="BX3639" t="str">
            <v>AON</v>
          </cell>
        </row>
        <row r="3640">
          <cell r="A3640" t="str">
            <v>OP</v>
          </cell>
          <cell r="B3640" t="str">
            <v>Quá 24h</v>
          </cell>
          <cell r="D3640" t="str">
            <v>Khiếu nại về dịch vụ FTTH</v>
          </cell>
          <cell r="W3640" t="str">
            <v>Đã đóng</v>
          </cell>
          <cell r="AJ3640" t="str">
            <v>Bình Dương</v>
          </cell>
          <cell r="BX3640" t="str">
            <v>AON</v>
          </cell>
        </row>
        <row r="3641">
          <cell r="A3641" t="str">
            <v>OP</v>
          </cell>
          <cell r="B3641" t="str">
            <v>Quá 24h</v>
          </cell>
          <cell r="D3641" t="str">
            <v>Khiếu nại về dịch vụ FTTH</v>
          </cell>
          <cell r="W3641" t="str">
            <v>Đang xử lý</v>
          </cell>
          <cell r="AJ3641" t="str">
            <v>Bình Dương</v>
          </cell>
          <cell r="BX3641" t="str">
            <v>AON</v>
          </cell>
        </row>
        <row r="3642">
          <cell r="A3642" t="str">
            <v>OP</v>
          </cell>
          <cell r="B3642" t="str">
            <v>Quá 24h</v>
          </cell>
          <cell r="D3642" t="str">
            <v>Khiếu nại về dịch vụ FTTH</v>
          </cell>
          <cell r="W3642" t="str">
            <v>Đã đóng</v>
          </cell>
          <cell r="AJ3642" t="str">
            <v>TP HCM</v>
          </cell>
          <cell r="BX3642" t="str">
            <v>AON</v>
          </cell>
        </row>
        <row r="3643">
          <cell r="A3643" t="str">
            <v>OP</v>
          </cell>
          <cell r="B3643" t="str">
            <v>Quá 24h</v>
          </cell>
          <cell r="D3643" t="str">
            <v>Khiếu nại về dịch vụ FTTH</v>
          </cell>
          <cell r="W3643" t="str">
            <v>Đang xử lý</v>
          </cell>
          <cell r="AJ3643" t="str">
            <v>Bình Dương</v>
          </cell>
          <cell r="BX3643" t="str">
            <v>AON</v>
          </cell>
        </row>
        <row r="3644">
          <cell r="A3644" t="str">
            <v>OP</v>
          </cell>
          <cell r="B3644" t="str">
            <v>Quá 24h</v>
          </cell>
          <cell r="D3644" t="str">
            <v>Khiếu nại về dịch vụ FTTH</v>
          </cell>
          <cell r="W3644" t="str">
            <v>Đang xử lý</v>
          </cell>
          <cell r="AJ3644" t="str">
            <v>Thừa Thiên Huế</v>
          </cell>
          <cell r="BX3644" t="str">
            <v>AON</v>
          </cell>
        </row>
        <row r="3645">
          <cell r="A3645" t="str">
            <v>OP</v>
          </cell>
          <cell r="B3645" t="str">
            <v>Quá 24h</v>
          </cell>
          <cell r="D3645" t="str">
            <v>Khiếu nại về dịch vụ FTTH</v>
          </cell>
          <cell r="W3645" t="str">
            <v>Đang xử lý</v>
          </cell>
          <cell r="AJ3645" t="str">
            <v>TP HCM</v>
          </cell>
          <cell r="BX3645" t="str">
            <v>AON</v>
          </cell>
        </row>
        <row r="3646">
          <cell r="A3646" t="str">
            <v>OP</v>
          </cell>
          <cell r="B3646" t="str">
            <v>Quá 24h</v>
          </cell>
          <cell r="D3646" t="str">
            <v>Khiếu nại về dịch vụ FTTH</v>
          </cell>
          <cell r="W3646" t="str">
            <v>Đang xử lý</v>
          </cell>
          <cell r="AJ3646" t="str">
            <v>Bình Dương</v>
          </cell>
          <cell r="BX3646" t="str">
            <v>AON</v>
          </cell>
        </row>
        <row r="3647">
          <cell r="A3647" t="str">
            <v>OP</v>
          </cell>
          <cell r="B3647" t="str">
            <v>Quá 24h</v>
          </cell>
          <cell r="D3647" t="str">
            <v>Khiếu nại về dịch vụ FTTH</v>
          </cell>
          <cell r="W3647" t="str">
            <v>Đã đóng</v>
          </cell>
          <cell r="AJ3647" t="str">
            <v>An Giang</v>
          </cell>
          <cell r="BX3647" t="str">
            <v>AON</v>
          </cell>
        </row>
        <row r="3648">
          <cell r="A3648" t="str">
            <v>OP</v>
          </cell>
          <cell r="B3648" t="str">
            <v>Quá 24h</v>
          </cell>
          <cell r="D3648" t="str">
            <v>Khiếu nại về dịch vụ FTTH</v>
          </cell>
          <cell r="W3648" t="str">
            <v>Đã đóng</v>
          </cell>
          <cell r="AJ3648" t="str">
            <v>TP HCM</v>
          </cell>
          <cell r="BX3648" t="str">
            <v>AON</v>
          </cell>
        </row>
        <row r="3649">
          <cell r="A3649" t="str">
            <v>OP</v>
          </cell>
          <cell r="B3649" t="str">
            <v>Quá 24h</v>
          </cell>
          <cell r="D3649" t="str">
            <v>Khiếu nại về dịch vụ FTTH</v>
          </cell>
          <cell r="W3649" t="str">
            <v>Đang xử lý</v>
          </cell>
          <cell r="AJ3649" t="str">
            <v>TP HCM</v>
          </cell>
          <cell r="BX3649" t="str">
            <v>AON</v>
          </cell>
        </row>
        <row r="3650">
          <cell r="A3650" t="str">
            <v>OP</v>
          </cell>
          <cell r="B3650" t="str">
            <v>Quá 24h</v>
          </cell>
          <cell r="D3650" t="str">
            <v>Khiếu nại về dịch vụ FTTH</v>
          </cell>
          <cell r="W3650" t="str">
            <v>Đã đóng</v>
          </cell>
          <cell r="AJ3650" t="str">
            <v>TP HCM</v>
          </cell>
          <cell r="BX3650" t="str">
            <v>AON</v>
          </cell>
        </row>
        <row r="3651">
          <cell r="A3651" t="str">
            <v>OP</v>
          </cell>
          <cell r="B3651" t="str">
            <v>Quá 24h</v>
          </cell>
          <cell r="D3651" t="str">
            <v>Khiếu nại về dịch vụ FTTH</v>
          </cell>
          <cell r="W3651" t="str">
            <v>Đang xử lý</v>
          </cell>
          <cell r="AJ3651" t="str">
            <v>Cần Thơ</v>
          </cell>
          <cell r="BX3651" t="str">
            <v>AON</v>
          </cell>
        </row>
        <row r="3652">
          <cell r="A3652" t="str">
            <v>OP</v>
          </cell>
          <cell r="B3652" t="str">
            <v>Quá 24h</v>
          </cell>
          <cell r="D3652" t="str">
            <v>Khiếu nại về dịch vụ FTTH</v>
          </cell>
          <cell r="W3652" t="str">
            <v>Đang xử lý</v>
          </cell>
          <cell r="AJ3652" t="str">
            <v xml:space="preserve">Đắc Lắk </v>
          </cell>
          <cell r="BX3652" t="str">
            <v>AON</v>
          </cell>
        </row>
        <row r="3653">
          <cell r="A3653" t="str">
            <v>OP</v>
          </cell>
          <cell r="B3653" t="str">
            <v>Quá 24h</v>
          </cell>
          <cell r="D3653" t="str">
            <v>Khiếu nại về dịch vụ FTTH</v>
          </cell>
          <cell r="W3653" t="str">
            <v>Đã đóng</v>
          </cell>
          <cell r="AJ3653" t="str">
            <v>TP HCM</v>
          </cell>
          <cell r="BX3653" t="str">
            <v>AON</v>
          </cell>
        </row>
        <row r="3654">
          <cell r="A3654" t="str">
            <v>OP</v>
          </cell>
          <cell r="B3654" t="str">
            <v>Quá 24h</v>
          </cell>
          <cell r="D3654" t="str">
            <v>Khiếu nại về dịch vụ FTTH</v>
          </cell>
          <cell r="W3654" t="str">
            <v>Đã đóng</v>
          </cell>
          <cell r="AJ3654" t="str">
            <v xml:space="preserve">Đắc Lắk </v>
          </cell>
          <cell r="BX3654" t="str">
            <v>AON</v>
          </cell>
        </row>
        <row r="3655">
          <cell r="A3655" t="str">
            <v>OP</v>
          </cell>
          <cell r="B3655" t="str">
            <v>Quá 24h</v>
          </cell>
          <cell r="D3655" t="str">
            <v>Khiếu nại về dịch vụ FTTH</v>
          </cell>
          <cell r="W3655" t="str">
            <v>Đã đóng</v>
          </cell>
          <cell r="AJ3655" t="str">
            <v>Phú Yên</v>
          </cell>
          <cell r="BX3655" t="str">
            <v>AON</v>
          </cell>
        </row>
        <row r="3656">
          <cell r="A3656" t="str">
            <v>OP</v>
          </cell>
          <cell r="B3656" t="str">
            <v>Quá 24h</v>
          </cell>
          <cell r="D3656" t="str">
            <v>Khiếu nại về dịch vụ NextTV</v>
          </cell>
          <cell r="W3656" t="str">
            <v>Đã đóng</v>
          </cell>
          <cell r="AJ3656" t="str">
            <v>TP HCM</v>
          </cell>
          <cell r="BX3656" t="str">
            <v>AON</v>
          </cell>
        </row>
        <row r="3657">
          <cell r="A3657" t="str">
            <v>OP</v>
          </cell>
          <cell r="B3657" t="str">
            <v>Quá 24h</v>
          </cell>
          <cell r="D3657" t="str">
            <v>Khiếu nại về dịch vụ FTTH</v>
          </cell>
          <cell r="W3657" t="str">
            <v>Đã đóng</v>
          </cell>
          <cell r="AJ3657" t="str">
            <v>Thừa Thiên Huế</v>
          </cell>
          <cell r="BX3657" t="str">
            <v>AON</v>
          </cell>
        </row>
        <row r="3658">
          <cell r="A3658" t="str">
            <v>OP</v>
          </cell>
          <cell r="B3658" t="str">
            <v>Quá 24h</v>
          </cell>
          <cell r="D3658" t="str">
            <v>Khiếu nại về dịch vụ FTTH</v>
          </cell>
          <cell r="W3658" t="str">
            <v>Đã đóng</v>
          </cell>
          <cell r="AJ3658" t="str">
            <v>Bình Dương</v>
          </cell>
          <cell r="BX3658" t="str">
            <v>AON</v>
          </cell>
        </row>
        <row r="3659">
          <cell r="A3659" t="str">
            <v>OP</v>
          </cell>
          <cell r="B3659" t="str">
            <v>Quá 24h</v>
          </cell>
          <cell r="D3659" t="str">
            <v>Khiếu nại về dịch vụ FTTH</v>
          </cell>
          <cell r="W3659" t="str">
            <v>Đã đóng</v>
          </cell>
          <cell r="AJ3659" t="str">
            <v>Thừa Thiên Huế</v>
          </cell>
          <cell r="BX3659" t="str">
            <v>AON</v>
          </cell>
        </row>
        <row r="3660">
          <cell r="A3660" t="str">
            <v>OP</v>
          </cell>
          <cell r="B3660" t="str">
            <v>Quá 24h</v>
          </cell>
          <cell r="D3660" t="str">
            <v>Khiếu nại về dịch vụ NextTV</v>
          </cell>
          <cell r="W3660" t="str">
            <v>Đã đóng</v>
          </cell>
          <cell r="AJ3660" t="str">
            <v>TP HCM</v>
          </cell>
          <cell r="BX3660" t="str">
            <v>AON</v>
          </cell>
        </row>
        <row r="3661">
          <cell r="A3661" t="str">
            <v>OP</v>
          </cell>
          <cell r="B3661" t="str">
            <v>Quá 24h</v>
          </cell>
          <cell r="D3661" t="str">
            <v>Khiếu nại về dịch vụ FTTH</v>
          </cell>
          <cell r="W3661" t="str">
            <v>Đã đóng</v>
          </cell>
          <cell r="AJ3661" t="str">
            <v>TP HCM</v>
          </cell>
          <cell r="BX3661" t="str">
            <v>AON</v>
          </cell>
        </row>
        <row r="3662">
          <cell r="A3662" t="str">
            <v>OP</v>
          </cell>
          <cell r="B3662" t="str">
            <v>Quá 24h</v>
          </cell>
          <cell r="D3662" t="str">
            <v>Khiếu nại về dịch vụ NextTV</v>
          </cell>
          <cell r="W3662" t="str">
            <v>Đã đóng</v>
          </cell>
          <cell r="AJ3662" t="str">
            <v>TP HCM</v>
          </cell>
          <cell r="BX3662" t="str">
            <v>AON</v>
          </cell>
        </row>
        <row r="3663">
          <cell r="A3663" t="str">
            <v>OP</v>
          </cell>
          <cell r="B3663" t="str">
            <v>Quá 24h</v>
          </cell>
          <cell r="D3663" t="str">
            <v>Khiếu nại về dịch vụ FTTH</v>
          </cell>
          <cell r="W3663" t="str">
            <v>Đã đóng</v>
          </cell>
          <cell r="AJ3663" t="str">
            <v>TP HCM</v>
          </cell>
          <cell r="BX3663" t="str">
            <v>AON</v>
          </cell>
        </row>
        <row r="3664">
          <cell r="A3664" t="str">
            <v>OP</v>
          </cell>
          <cell r="B3664" t="str">
            <v>Quá 24h</v>
          </cell>
          <cell r="D3664" t="str">
            <v>Khiếu nại về dịch vụ FTTH</v>
          </cell>
          <cell r="W3664" t="str">
            <v>Đã đóng</v>
          </cell>
          <cell r="AJ3664" t="str">
            <v>TP HCM</v>
          </cell>
          <cell r="BX3664" t="str">
            <v>GPON</v>
          </cell>
        </row>
        <row r="3665">
          <cell r="A3665" t="str">
            <v>OP</v>
          </cell>
          <cell r="B3665" t="str">
            <v>Quá 24h</v>
          </cell>
          <cell r="D3665" t="str">
            <v>Khiếu nại về dịch vụ FTTH</v>
          </cell>
          <cell r="W3665" t="str">
            <v>Đã đóng</v>
          </cell>
          <cell r="AJ3665" t="str">
            <v>TP HCM</v>
          </cell>
          <cell r="BX3665" t="str">
            <v>AON</v>
          </cell>
        </row>
        <row r="3666">
          <cell r="A3666" t="str">
            <v>OP</v>
          </cell>
          <cell r="B3666" t="str">
            <v>Quá 24h</v>
          </cell>
          <cell r="D3666" t="str">
            <v>Khiếu nại về dịch vụ FTTH</v>
          </cell>
          <cell r="W3666" t="str">
            <v>Đã đóng</v>
          </cell>
          <cell r="AJ3666" t="str">
            <v>An Giang</v>
          </cell>
          <cell r="BX3666" t="str">
            <v>AON</v>
          </cell>
        </row>
        <row r="3667">
          <cell r="A3667" t="str">
            <v>OP</v>
          </cell>
          <cell r="B3667" t="str">
            <v>Quá 24h</v>
          </cell>
          <cell r="D3667" t="str">
            <v>Khiếu nại về dịch vụ FTTH</v>
          </cell>
          <cell r="W3667" t="str">
            <v>Đã đóng</v>
          </cell>
          <cell r="AJ3667" t="str">
            <v>Bình Dương</v>
          </cell>
          <cell r="BX3667" t="str">
            <v>AON</v>
          </cell>
        </row>
        <row r="3668">
          <cell r="A3668" t="str">
            <v>OP</v>
          </cell>
          <cell r="B3668" t="str">
            <v>Quá 24h</v>
          </cell>
          <cell r="D3668" t="str">
            <v>Khiếu nại về dịch vụ FTTH</v>
          </cell>
          <cell r="W3668" t="str">
            <v>Đã đóng</v>
          </cell>
          <cell r="AJ3668" t="str">
            <v>Kon Tum</v>
          </cell>
          <cell r="BX3668" t="str">
            <v>AON</v>
          </cell>
        </row>
        <row r="3669">
          <cell r="A3669" t="str">
            <v>OP</v>
          </cell>
          <cell r="B3669" t="str">
            <v>Quá 24h</v>
          </cell>
          <cell r="D3669" t="str">
            <v>Khiếu nại về dịch vụ NextTV</v>
          </cell>
          <cell r="W3669" t="str">
            <v>Đã đóng</v>
          </cell>
          <cell r="AJ3669" t="str">
            <v>TP HCM</v>
          </cell>
          <cell r="BX3669" t="str">
            <v>AON</v>
          </cell>
        </row>
        <row r="3670">
          <cell r="A3670" t="str">
            <v>OP</v>
          </cell>
          <cell r="B3670" t="str">
            <v>Quá 24h</v>
          </cell>
          <cell r="D3670" t="str">
            <v>Khiếu nại về dịch vụ FTTH</v>
          </cell>
          <cell r="W3670" t="str">
            <v>Đã đóng</v>
          </cell>
          <cell r="AJ3670" t="str">
            <v>TP HCM</v>
          </cell>
          <cell r="BX3670" t="str">
            <v>AON</v>
          </cell>
        </row>
        <row r="3671">
          <cell r="A3671" t="str">
            <v>OP</v>
          </cell>
          <cell r="B3671" t="str">
            <v>Quá 24h</v>
          </cell>
          <cell r="D3671" t="str">
            <v>Khiếu nại về dịch vụ FTTH</v>
          </cell>
          <cell r="W3671" t="str">
            <v>Đã đóng</v>
          </cell>
          <cell r="AJ3671" t="str">
            <v>Kon Tum</v>
          </cell>
          <cell r="BX3671" t="str">
            <v>AON</v>
          </cell>
        </row>
        <row r="3672">
          <cell r="A3672" t="str">
            <v>OP</v>
          </cell>
          <cell r="B3672" t="str">
            <v>Quá 24h</v>
          </cell>
          <cell r="D3672" t="str">
            <v>Khiếu nại về dịch vụ FTTH</v>
          </cell>
          <cell r="W3672" t="str">
            <v>Đã đóng</v>
          </cell>
          <cell r="AJ3672" t="str">
            <v>Cần Thơ</v>
          </cell>
          <cell r="BX3672" t="str">
            <v>AON</v>
          </cell>
        </row>
        <row r="3673">
          <cell r="A3673" t="str">
            <v>OP</v>
          </cell>
          <cell r="B3673" t="str">
            <v>Quá 24h</v>
          </cell>
          <cell r="D3673" t="str">
            <v>Khiếu nại về dịch vụ NextTV</v>
          </cell>
          <cell r="W3673" t="str">
            <v>Đã đóng</v>
          </cell>
          <cell r="AJ3673" t="str">
            <v>Cần Thơ</v>
          </cell>
          <cell r="BX3673" t="str">
            <v>AON</v>
          </cell>
        </row>
        <row r="3674">
          <cell r="A3674" t="str">
            <v>OP</v>
          </cell>
          <cell r="B3674" t="str">
            <v>Quá 24h</v>
          </cell>
          <cell r="D3674" t="str">
            <v>Khiếu nại về dịch vụ FTTH</v>
          </cell>
          <cell r="W3674" t="str">
            <v>Đã đóng</v>
          </cell>
          <cell r="AJ3674" t="str">
            <v>TP HCM</v>
          </cell>
          <cell r="BX3674" t="str">
            <v>AON</v>
          </cell>
        </row>
        <row r="3675">
          <cell r="A3675" t="str">
            <v>OP</v>
          </cell>
          <cell r="B3675" t="str">
            <v>Quá 24h</v>
          </cell>
          <cell r="D3675" t="str">
            <v>Khiếu nại về dịch vụ FTTH</v>
          </cell>
          <cell r="W3675" t="str">
            <v>Đã đóng</v>
          </cell>
          <cell r="AJ3675" t="str">
            <v>Cà Mau</v>
          </cell>
          <cell r="BX3675" t="str">
            <v>AON</v>
          </cell>
        </row>
        <row r="3676">
          <cell r="A3676" t="str">
            <v>OP</v>
          </cell>
          <cell r="B3676" t="str">
            <v>Quá 24h</v>
          </cell>
          <cell r="D3676" t="str">
            <v>Khiếu nại về dịch vụ FTTH</v>
          </cell>
          <cell r="W3676" t="str">
            <v>Đã đóng</v>
          </cell>
          <cell r="AJ3676" t="str">
            <v>TP HCM</v>
          </cell>
          <cell r="BX3676" t="str">
            <v>AON</v>
          </cell>
        </row>
        <row r="3677">
          <cell r="A3677" t="str">
            <v>OP</v>
          </cell>
          <cell r="B3677" t="str">
            <v>Quá 24h</v>
          </cell>
          <cell r="D3677" t="str">
            <v>Khiếu nại về dịch vụ FTTH</v>
          </cell>
          <cell r="W3677" t="str">
            <v>Đã đóng</v>
          </cell>
          <cell r="AJ3677" t="str">
            <v>TP HCM</v>
          </cell>
          <cell r="BX3677" t="str">
            <v>AON</v>
          </cell>
        </row>
        <row r="3678">
          <cell r="A3678" t="str">
            <v>OP</v>
          </cell>
          <cell r="B3678" t="str">
            <v>Quá 24h</v>
          </cell>
          <cell r="D3678" t="str">
            <v>Khiếu nại về dịch vụ FTTH</v>
          </cell>
          <cell r="W3678" t="str">
            <v>Đang xử lý</v>
          </cell>
          <cell r="AJ3678" t="str">
            <v>Thừa Thiên Huế</v>
          </cell>
          <cell r="BX3678" t="str">
            <v>AON</v>
          </cell>
        </row>
        <row r="3679">
          <cell r="A3679" t="str">
            <v>OP</v>
          </cell>
          <cell r="B3679" t="str">
            <v>Quá 24h</v>
          </cell>
          <cell r="D3679" t="str">
            <v>Khiếu nại về dịch vụ FTTH</v>
          </cell>
          <cell r="W3679" t="str">
            <v>Đã đóng</v>
          </cell>
          <cell r="AJ3679" t="str">
            <v>TP HCM</v>
          </cell>
          <cell r="BX3679" t="str">
            <v>AON</v>
          </cell>
        </row>
        <row r="3680">
          <cell r="A3680" t="str">
            <v>OP</v>
          </cell>
          <cell r="B3680" t="str">
            <v>Quá 24h</v>
          </cell>
          <cell r="D3680" t="str">
            <v>Khiếu nại về dịch vụ FTTH</v>
          </cell>
          <cell r="W3680" t="str">
            <v>Đã đóng</v>
          </cell>
          <cell r="AJ3680" t="str">
            <v xml:space="preserve">Đà Nẵng </v>
          </cell>
          <cell r="BX3680" t="str">
            <v>AON</v>
          </cell>
        </row>
        <row r="3681">
          <cell r="A3681" t="str">
            <v>OP</v>
          </cell>
          <cell r="B3681" t="str">
            <v>Quá 24h</v>
          </cell>
          <cell r="D3681" t="str">
            <v>Khiếu nại về dịch vụ FTTH</v>
          </cell>
          <cell r="W3681" t="str">
            <v>Đã đóng</v>
          </cell>
          <cell r="AJ3681" t="str">
            <v>TP HCM</v>
          </cell>
          <cell r="BX3681" t="str">
            <v>AON</v>
          </cell>
        </row>
        <row r="3682">
          <cell r="A3682" t="str">
            <v>OP</v>
          </cell>
          <cell r="B3682" t="str">
            <v>Quá 24h</v>
          </cell>
          <cell r="D3682" t="str">
            <v>Khiếu nại về dịch vụ NextTV</v>
          </cell>
          <cell r="W3682" t="str">
            <v>Đang xử lý</v>
          </cell>
          <cell r="AJ3682" t="str">
            <v>An Giang</v>
          </cell>
          <cell r="BX3682" t="str">
            <v>AON</v>
          </cell>
        </row>
        <row r="3683">
          <cell r="A3683" t="str">
            <v>OP</v>
          </cell>
          <cell r="B3683" t="str">
            <v>Quá 24h</v>
          </cell>
          <cell r="D3683" t="str">
            <v>Khiếu nại về dịch vụ FTTH</v>
          </cell>
          <cell r="W3683" t="str">
            <v>Đã đóng</v>
          </cell>
          <cell r="AJ3683" t="str">
            <v>TP HCM</v>
          </cell>
          <cell r="BX3683" t="str">
            <v>AON</v>
          </cell>
        </row>
        <row r="3684">
          <cell r="A3684" t="str">
            <v>OP</v>
          </cell>
          <cell r="B3684" t="str">
            <v>Quá 24h</v>
          </cell>
          <cell r="D3684" t="str">
            <v>Khiếu nại về dịch vụ FTTH</v>
          </cell>
          <cell r="W3684" t="str">
            <v>Đã đóng</v>
          </cell>
          <cell r="AJ3684" t="str">
            <v>Hậu Giang</v>
          </cell>
          <cell r="BX3684" t="str">
            <v>AON</v>
          </cell>
        </row>
        <row r="3685">
          <cell r="A3685" t="str">
            <v>OP</v>
          </cell>
          <cell r="B3685" t="str">
            <v>Quá 24h</v>
          </cell>
          <cell r="D3685" t="str">
            <v>Khiếu nại về dịch vụ FTTH</v>
          </cell>
          <cell r="W3685" t="str">
            <v>Đã đóng</v>
          </cell>
          <cell r="AJ3685" t="str">
            <v>Phú Yên</v>
          </cell>
          <cell r="BX3685" t="str">
            <v>AON</v>
          </cell>
        </row>
        <row r="3686">
          <cell r="A3686" t="str">
            <v>OP</v>
          </cell>
          <cell r="B3686" t="str">
            <v>Quá 24h</v>
          </cell>
          <cell r="D3686" t="str">
            <v>Khiếu nại về dịch vụ FTTH</v>
          </cell>
          <cell r="W3686" t="str">
            <v>Đã đóng</v>
          </cell>
          <cell r="AJ3686" t="str">
            <v>Cà Mau</v>
          </cell>
          <cell r="BX3686" t="str">
            <v>AON</v>
          </cell>
        </row>
        <row r="3687">
          <cell r="A3687" t="str">
            <v>OP</v>
          </cell>
          <cell r="B3687" t="str">
            <v>Quá 24h</v>
          </cell>
          <cell r="D3687" t="str">
            <v>Khiếu nại về dịch vụ FTTH</v>
          </cell>
          <cell r="W3687" t="str">
            <v>Đã đóng</v>
          </cell>
          <cell r="AJ3687" t="str">
            <v>TP HCM</v>
          </cell>
          <cell r="BX3687" t="str">
            <v>AON</v>
          </cell>
        </row>
        <row r="3688">
          <cell r="A3688" t="str">
            <v>OP</v>
          </cell>
          <cell r="B3688" t="str">
            <v>Quá 24h</v>
          </cell>
          <cell r="D3688" t="str">
            <v>Khiếu nại về dịch vụ FTTH</v>
          </cell>
          <cell r="W3688" t="str">
            <v>Đang xử lý</v>
          </cell>
          <cell r="AJ3688" t="str">
            <v>Thừa Thiên Huế</v>
          </cell>
          <cell r="BX3688" t="str">
            <v>AON</v>
          </cell>
        </row>
        <row r="3689">
          <cell r="A3689" t="str">
            <v>OP</v>
          </cell>
          <cell r="B3689" t="str">
            <v>Quá 24h</v>
          </cell>
          <cell r="D3689" t="str">
            <v>Khiếu nại về dịch vụ FTTH</v>
          </cell>
          <cell r="W3689" t="str">
            <v>Đã đóng</v>
          </cell>
          <cell r="AJ3689" t="str">
            <v>Cần Thơ</v>
          </cell>
          <cell r="BX3689" t="str">
            <v>AON</v>
          </cell>
        </row>
        <row r="3690">
          <cell r="A3690" t="str">
            <v>OP</v>
          </cell>
          <cell r="B3690" t="str">
            <v>Quá 24h</v>
          </cell>
          <cell r="D3690" t="str">
            <v>Khiếu nại về dịch vụ FTTH</v>
          </cell>
          <cell r="W3690" t="str">
            <v>Đang xử lý</v>
          </cell>
          <cell r="AJ3690" t="str">
            <v>TP HCM</v>
          </cell>
          <cell r="BX3690" t="str">
            <v>AON</v>
          </cell>
        </row>
        <row r="3691">
          <cell r="A3691" t="str">
            <v>OP</v>
          </cell>
          <cell r="B3691" t="str">
            <v>Quá 24h</v>
          </cell>
          <cell r="D3691" t="str">
            <v>Khiếu nại về dịch vụ FTTH</v>
          </cell>
          <cell r="W3691" t="str">
            <v>Đã đóng</v>
          </cell>
          <cell r="AJ3691" t="str">
            <v>TP HCM</v>
          </cell>
          <cell r="BX3691" t="str">
            <v>AON</v>
          </cell>
        </row>
        <row r="3692">
          <cell r="A3692" t="str">
            <v>OP</v>
          </cell>
          <cell r="B3692" t="str">
            <v>Quá 24h</v>
          </cell>
          <cell r="D3692" t="str">
            <v>Khiếu nại về dịch vụ FTTH</v>
          </cell>
          <cell r="W3692" t="str">
            <v>Đang xử lý</v>
          </cell>
          <cell r="AJ3692" t="str">
            <v>TP HCM</v>
          </cell>
          <cell r="BX3692" t="str">
            <v>AON</v>
          </cell>
        </row>
        <row r="3693">
          <cell r="A3693" t="str">
            <v>OP</v>
          </cell>
          <cell r="B3693" t="str">
            <v>Quá 24h</v>
          </cell>
          <cell r="D3693" t="str">
            <v>Khiếu nại về dịch vụ FTTH</v>
          </cell>
          <cell r="W3693" t="str">
            <v>Đang xử lý</v>
          </cell>
          <cell r="AJ3693" t="str">
            <v xml:space="preserve">Đắc Lắk </v>
          </cell>
          <cell r="BX3693" t="str">
            <v>AON</v>
          </cell>
        </row>
        <row r="3694">
          <cell r="A3694" t="str">
            <v>OP</v>
          </cell>
          <cell r="B3694" t="str">
            <v>Quá 24h</v>
          </cell>
          <cell r="D3694" t="str">
            <v>Khiếu nại về dịch vụ FTTH</v>
          </cell>
          <cell r="W3694" t="str">
            <v>Đã đóng</v>
          </cell>
          <cell r="AJ3694" t="str">
            <v>Gia Lai</v>
          </cell>
          <cell r="BX3694" t="str">
            <v>AON</v>
          </cell>
        </row>
        <row r="3695">
          <cell r="A3695" t="str">
            <v>OP</v>
          </cell>
          <cell r="B3695" t="str">
            <v>Quá 24h</v>
          </cell>
          <cell r="D3695" t="str">
            <v>Khiếu nại về dịch vụ FTTH</v>
          </cell>
          <cell r="W3695" t="str">
            <v>Đã đóng</v>
          </cell>
          <cell r="AJ3695" t="str">
            <v>Bình Thuận</v>
          </cell>
          <cell r="BX3695" t="str">
            <v>AON</v>
          </cell>
        </row>
        <row r="3696">
          <cell r="A3696" t="str">
            <v>OP</v>
          </cell>
          <cell r="B3696" t="str">
            <v>Quá 24h</v>
          </cell>
          <cell r="D3696" t="str">
            <v>Khiếu nại về dịch vụ FTTH</v>
          </cell>
          <cell r="W3696" t="str">
            <v>Đã đóng</v>
          </cell>
          <cell r="AJ3696" t="str">
            <v>Hậu Giang</v>
          </cell>
          <cell r="BX3696" t="str">
            <v>AON</v>
          </cell>
        </row>
        <row r="3697">
          <cell r="A3697" t="str">
            <v>OP</v>
          </cell>
          <cell r="B3697" t="str">
            <v>Quá 24h</v>
          </cell>
          <cell r="D3697" t="str">
            <v>Khiếu nại về dịch vụ NextTV</v>
          </cell>
          <cell r="W3697" t="str">
            <v>Đã đóng</v>
          </cell>
          <cell r="AJ3697" t="str">
            <v>Bình Dương</v>
          </cell>
          <cell r="BX3697" t="str">
            <v>AON</v>
          </cell>
        </row>
        <row r="3698">
          <cell r="A3698" t="str">
            <v>OP</v>
          </cell>
          <cell r="B3698" t="str">
            <v>Quá 24h</v>
          </cell>
          <cell r="D3698" t="str">
            <v>Khiếu nại về dịch vụ FTTH</v>
          </cell>
          <cell r="W3698" t="str">
            <v>Đã đóng</v>
          </cell>
          <cell r="AJ3698" t="str">
            <v>Đồng Tháp</v>
          </cell>
          <cell r="BX3698" t="str">
            <v>AON</v>
          </cell>
        </row>
        <row r="3699">
          <cell r="A3699" t="str">
            <v>OP</v>
          </cell>
          <cell r="B3699" t="str">
            <v>Quá 24h</v>
          </cell>
          <cell r="D3699" t="str">
            <v>Khiếu nại về dịch vụ NextTV</v>
          </cell>
          <cell r="W3699" t="str">
            <v>Đã đóng</v>
          </cell>
          <cell r="AJ3699" t="str">
            <v>Tây Ninh</v>
          </cell>
          <cell r="BX3699" t="str">
            <v>AON</v>
          </cell>
        </row>
        <row r="3700">
          <cell r="A3700" t="str">
            <v>OP</v>
          </cell>
          <cell r="B3700" t="str">
            <v>Quá 24h</v>
          </cell>
          <cell r="D3700" t="str">
            <v>Khiếu nại về dịch vụ FTTH</v>
          </cell>
          <cell r="W3700" t="str">
            <v>Đã đóng</v>
          </cell>
          <cell r="AJ3700" t="str">
            <v>Kiên Giang</v>
          </cell>
          <cell r="BX3700" t="str">
            <v>AON</v>
          </cell>
        </row>
        <row r="3701">
          <cell r="A3701" t="str">
            <v>OP</v>
          </cell>
          <cell r="B3701" t="str">
            <v>Quá 24h</v>
          </cell>
          <cell r="D3701" t="str">
            <v>Khiếu nại về dịch vụ FTTH</v>
          </cell>
          <cell r="W3701" t="str">
            <v>Đã đóng</v>
          </cell>
          <cell r="AJ3701" t="str">
            <v>Hậu Giang</v>
          </cell>
          <cell r="BX3701" t="str">
            <v>AON</v>
          </cell>
        </row>
        <row r="3702">
          <cell r="A3702" t="str">
            <v>OP</v>
          </cell>
          <cell r="B3702" t="str">
            <v>Quá 24h</v>
          </cell>
          <cell r="D3702" t="str">
            <v>Khiếu nại về dịch vụ FTTH</v>
          </cell>
          <cell r="W3702" t="str">
            <v>Đã đóng</v>
          </cell>
          <cell r="AJ3702" t="str">
            <v xml:space="preserve">Quảng Nam </v>
          </cell>
          <cell r="BX3702" t="str">
            <v>AON</v>
          </cell>
        </row>
        <row r="3703">
          <cell r="A3703" t="str">
            <v>OP</v>
          </cell>
          <cell r="B3703" t="str">
            <v>Quá 24h</v>
          </cell>
          <cell r="D3703" t="str">
            <v>Khiếu nại về dịch vụ NextTV</v>
          </cell>
          <cell r="W3703" t="str">
            <v>Đang xử lý</v>
          </cell>
          <cell r="AJ3703" t="str">
            <v>Bến Tre</v>
          </cell>
          <cell r="BX3703" t="str">
            <v>AON</v>
          </cell>
        </row>
        <row r="3704">
          <cell r="A3704" t="str">
            <v>OP</v>
          </cell>
          <cell r="B3704" t="str">
            <v>Quá 24h</v>
          </cell>
          <cell r="D3704" t="str">
            <v>Khiếu nại về dịch vụ FTTH</v>
          </cell>
          <cell r="W3704" t="str">
            <v>Đang xử lý</v>
          </cell>
          <cell r="AJ3704" t="str">
            <v>TP HCM</v>
          </cell>
          <cell r="BX3704" t="str">
            <v>GPON</v>
          </cell>
        </row>
        <row r="3705">
          <cell r="A3705" t="str">
            <v>OP</v>
          </cell>
          <cell r="B3705" t="str">
            <v>Quá 24h</v>
          </cell>
          <cell r="D3705" t="str">
            <v>Khiếu nại về dịch vụ FTTH</v>
          </cell>
          <cell r="W3705" t="str">
            <v>Đã đóng</v>
          </cell>
          <cell r="AJ3705" t="str">
            <v>TP HCM</v>
          </cell>
          <cell r="BX3705" t="str">
            <v>AON</v>
          </cell>
        </row>
        <row r="3706">
          <cell r="A3706" t="str">
            <v>OP</v>
          </cell>
          <cell r="B3706" t="str">
            <v>Quá 24h</v>
          </cell>
          <cell r="D3706" t="str">
            <v>Khiếu nại về dịch vụ FTTH</v>
          </cell>
          <cell r="W3706" t="str">
            <v>Đã đóng</v>
          </cell>
          <cell r="AJ3706" t="str">
            <v>Bình Dương</v>
          </cell>
          <cell r="BX3706" t="str">
            <v>AON</v>
          </cell>
        </row>
        <row r="3707">
          <cell r="A3707" t="str">
            <v>OP</v>
          </cell>
          <cell r="B3707" t="str">
            <v>Quá 24h</v>
          </cell>
          <cell r="D3707" t="str">
            <v>Khiếu nại về dịch vụ FTTH</v>
          </cell>
          <cell r="W3707" t="str">
            <v>Đã đóng</v>
          </cell>
          <cell r="AJ3707" t="str">
            <v>TP HCM</v>
          </cell>
          <cell r="BX3707" t="str">
            <v>AON</v>
          </cell>
        </row>
        <row r="3708">
          <cell r="A3708" t="str">
            <v>OP</v>
          </cell>
          <cell r="B3708" t="str">
            <v>Quá 24h</v>
          </cell>
          <cell r="D3708" t="str">
            <v>Khiếu nại về dịch vụ FTTH</v>
          </cell>
          <cell r="W3708" t="str">
            <v>Đã đóng</v>
          </cell>
          <cell r="AJ3708" t="str">
            <v>An Giang</v>
          </cell>
          <cell r="BX3708" t="str">
            <v>AON</v>
          </cell>
        </row>
        <row r="3709">
          <cell r="A3709" t="str">
            <v>OP</v>
          </cell>
          <cell r="B3709" t="str">
            <v>Quá 24h</v>
          </cell>
          <cell r="D3709" t="str">
            <v>Khiếu nại về dịch vụ FTTH</v>
          </cell>
          <cell r="W3709" t="str">
            <v>Đã đóng</v>
          </cell>
          <cell r="AJ3709" t="str">
            <v>An Giang</v>
          </cell>
          <cell r="BX3709" t="str">
            <v>AON</v>
          </cell>
        </row>
        <row r="3710">
          <cell r="A3710" t="str">
            <v>OP</v>
          </cell>
          <cell r="B3710" t="str">
            <v>Quá 24h</v>
          </cell>
          <cell r="D3710" t="str">
            <v>Khiếu nại về dịch vụ FTTH</v>
          </cell>
          <cell r="W3710" t="str">
            <v>Đã đóng</v>
          </cell>
          <cell r="AJ3710" t="str">
            <v>Đắc Nông</v>
          </cell>
          <cell r="BX3710" t="str">
            <v>AON</v>
          </cell>
        </row>
        <row r="3711">
          <cell r="A3711" t="str">
            <v>OP</v>
          </cell>
          <cell r="B3711" t="str">
            <v>Quá 24h</v>
          </cell>
          <cell r="D3711" t="str">
            <v>Khiếu nại về dịch vụ FTTH</v>
          </cell>
          <cell r="W3711" t="str">
            <v>Đã đóng</v>
          </cell>
          <cell r="AJ3711" t="str">
            <v>Bình Dương</v>
          </cell>
          <cell r="BX3711" t="str">
            <v>AON</v>
          </cell>
        </row>
        <row r="3712">
          <cell r="A3712" t="str">
            <v>OP</v>
          </cell>
          <cell r="B3712" t="str">
            <v>Quá 24h</v>
          </cell>
          <cell r="D3712" t="str">
            <v>Khiếu nại về dịch vụ FTTH</v>
          </cell>
          <cell r="W3712" t="str">
            <v>Đã đóng</v>
          </cell>
          <cell r="AJ3712" t="str">
            <v>TP HCM</v>
          </cell>
          <cell r="BX3712" t="str">
            <v>AON</v>
          </cell>
        </row>
        <row r="3713">
          <cell r="A3713" t="str">
            <v>OP</v>
          </cell>
          <cell r="B3713" t="str">
            <v>Quá 24h</v>
          </cell>
          <cell r="D3713" t="str">
            <v>Khiếu nại về dịch vụ FTTH</v>
          </cell>
          <cell r="W3713" t="str">
            <v>Đã đóng</v>
          </cell>
          <cell r="AJ3713" t="str">
            <v>Bình Dương</v>
          </cell>
          <cell r="BX3713" t="str">
            <v>AON</v>
          </cell>
        </row>
        <row r="3714">
          <cell r="A3714" t="str">
            <v>OP</v>
          </cell>
          <cell r="B3714" t="str">
            <v>Quá 24h</v>
          </cell>
          <cell r="D3714" t="str">
            <v>Khiếu nại về dịch vụ FTTH</v>
          </cell>
          <cell r="W3714" t="str">
            <v>Đã đóng</v>
          </cell>
          <cell r="AJ3714" t="str">
            <v>TP HCM</v>
          </cell>
          <cell r="BX3714" t="str">
            <v>AON</v>
          </cell>
        </row>
        <row r="3715">
          <cell r="A3715" t="str">
            <v>OP</v>
          </cell>
          <cell r="B3715" t="str">
            <v>Quá 24h</v>
          </cell>
          <cell r="D3715" t="str">
            <v>Khiếu nại về dịch vụ FTTH</v>
          </cell>
          <cell r="W3715" t="str">
            <v>Đã đóng</v>
          </cell>
          <cell r="AJ3715" t="str">
            <v>Hậu Giang</v>
          </cell>
          <cell r="BX3715" t="str">
            <v>AON</v>
          </cell>
        </row>
        <row r="3716">
          <cell r="A3716" t="str">
            <v>OP</v>
          </cell>
          <cell r="B3716" t="str">
            <v>Quá 24h</v>
          </cell>
          <cell r="D3716" t="str">
            <v>Khiếu nại về dịch vụ FTTH</v>
          </cell>
          <cell r="W3716" t="str">
            <v>Đã đóng</v>
          </cell>
          <cell r="AJ3716" t="str">
            <v>Hậu Giang</v>
          </cell>
          <cell r="BX3716" t="str">
            <v>AON</v>
          </cell>
        </row>
        <row r="3717">
          <cell r="A3717" t="str">
            <v>OP</v>
          </cell>
          <cell r="B3717" t="str">
            <v>Quá 24h</v>
          </cell>
          <cell r="D3717" t="str">
            <v>Khiếu nại về dịch vụ FTTH</v>
          </cell>
          <cell r="W3717" t="str">
            <v>Đã đóng</v>
          </cell>
          <cell r="AJ3717" t="str">
            <v>Bình Dương</v>
          </cell>
          <cell r="BX3717" t="str">
            <v>AON</v>
          </cell>
        </row>
        <row r="3718">
          <cell r="A3718" t="str">
            <v>OP</v>
          </cell>
          <cell r="B3718" t="str">
            <v>Quá 24h</v>
          </cell>
          <cell r="D3718" t="str">
            <v>Khiếu nại về dịch vụ FTTH</v>
          </cell>
          <cell r="W3718" t="str">
            <v>Đã đóng</v>
          </cell>
          <cell r="AJ3718" t="str">
            <v>TP HCM</v>
          </cell>
          <cell r="BX3718" t="str">
            <v>AON</v>
          </cell>
        </row>
        <row r="3719">
          <cell r="A3719" t="str">
            <v>OP</v>
          </cell>
          <cell r="B3719" t="str">
            <v>Quá 24h</v>
          </cell>
          <cell r="D3719" t="str">
            <v>Khiếu nại về dịch vụ FTTH</v>
          </cell>
          <cell r="W3719" t="str">
            <v>Đã đóng</v>
          </cell>
          <cell r="AJ3719" t="str">
            <v>An Giang</v>
          </cell>
          <cell r="BX3719" t="str">
            <v>AON</v>
          </cell>
        </row>
        <row r="3720">
          <cell r="A3720" t="str">
            <v>OP</v>
          </cell>
          <cell r="B3720" t="str">
            <v>Quá 24h</v>
          </cell>
          <cell r="D3720" t="str">
            <v>Khiếu nại về dịch vụ FTTH</v>
          </cell>
          <cell r="W3720" t="str">
            <v>Đã đóng</v>
          </cell>
          <cell r="AJ3720" t="str">
            <v>Bình Dương</v>
          </cell>
          <cell r="BX3720" t="str">
            <v>AON</v>
          </cell>
        </row>
        <row r="3721">
          <cell r="A3721" t="str">
            <v>OP</v>
          </cell>
          <cell r="B3721" t="str">
            <v>Quá 24h</v>
          </cell>
          <cell r="D3721" t="str">
            <v>Khiếu nại về dịch vụ FTTH</v>
          </cell>
          <cell r="W3721" t="str">
            <v>Đang xử lý</v>
          </cell>
          <cell r="AJ3721" t="str">
            <v>Cần Thơ</v>
          </cell>
          <cell r="BX3721" t="str">
            <v>AON</v>
          </cell>
        </row>
        <row r="3722">
          <cell r="A3722" t="str">
            <v>OP</v>
          </cell>
          <cell r="B3722" t="str">
            <v>Quá 24h</v>
          </cell>
          <cell r="D3722" t="str">
            <v>Khiếu nại về dịch vụ FTTH</v>
          </cell>
          <cell r="W3722" t="str">
            <v>Đã đóng</v>
          </cell>
          <cell r="AJ3722" t="str">
            <v>TP HCM</v>
          </cell>
          <cell r="BX3722" t="str">
            <v>GPON</v>
          </cell>
        </row>
        <row r="3723">
          <cell r="A3723" t="str">
            <v>OP</v>
          </cell>
          <cell r="B3723" t="str">
            <v>Quá 24h</v>
          </cell>
          <cell r="D3723" t="str">
            <v>Khiếu nại về dịch vụ FTTH</v>
          </cell>
          <cell r="W3723" t="str">
            <v>Đã đóng</v>
          </cell>
          <cell r="AJ3723" t="str">
            <v>Thừa Thiên Huế</v>
          </cell>
          <cell r="BX3723" t="str">
            <v>AON</v>
          </cell>
        </row>
        <row r="3724">
          <cell r="A3724" t="str">
            <v>OP</v>
          </cell>
          <cell r="B3724" t="str">
            <v>Quá 24h</v>
          </cell>
          <cell r="D3724" t="str">
            <v>Khiếu nại về dịch vụ FTTH</v>
          </cell>
          <cell r="W3724" t="str">
            <v>Đã đóng</v>
          </cell>
          <cell r="AJ3724" t="str">
            <v>TP HCM</v>
          </cell>
          <cell r="BX3724" t="str">
            <v>AON</v>
          </cell>
        </row>
        <row r="3725">
          <cell r="A3725" t="str">
            <v>OP</v>
          </cell>
          <cell r="B3725" t="str">
            <v>Quá 24h</v>
          </cell>
          <cell r="D3725" t="str">
            <v>Khiếu nại về dịch vụ FTTH</v>
          </cell>
          <cell r="W3725" t="str">
            <v>Đã đóng</v>
          </cell>
          <cell r="AJ3725" t="str">
            <v>Kiên Giang</v>
          </cell>
          <cell r="BX3725" t="str">
            <v>AON</v>
          </cell>
        </row>
        <row r="3726">
          <cell r="A3726" t="str">
            <v>OP</v>
          </cell>
          <cell r="B3726" t="str">
            <v>Quá 24h</v>
          </cell>
          <cell r="D3726" t="str">
            <v>Khiếu nại về dịch vụ FTTH</v>
          </cell>
          <cell r="W3726" t="str">
            <v>Đang xử lý</v>
          </cell>
          <cell r="AJ3726" t="str">
            <v>TP HCM</v>
          </cell>
          <cell r="BX3726" t="str">
            <v>AON</v>
          </cell>
        </row>
        <row r="3727">
          <cell r="A3727" t="str">
            <v>OP</v>
          </cell>
          <cell r="B3727" t="str">
            <v>Quá 24h</v>
          </cell>
          <cell r="D3727" t="str">
            <v>Khiếu nại về dịch vụ FTTH</v>
          </cell>
          <cell r="W3727" t="str">
            <v>Đã đóng</v>
          </cell>
          <cell r="AJ3727" t="str">
            <v>TP HCM</v>
          </cell>
          <cell r="BX3727" t="str">
            <v>AON</v>
          </cell>
        </row>
        <row r="3728">
          <cell r="A3728" t="str">
            <v>OP</v>
          </cell>
          <cell r="B3728" t="str">
            <v>Quá 24h</v>
          </cell>
          <cell r="D3728" t="str">
            <v>Khiếu nại về dịch vụ FTTH</v>
          </cell>
          <cell r="W3728" t="str">
            <v>Đang xử lý</v>
          </cell>
          <cell r="AJ3728" t="str">
            <v xml:space="preserve">Đà Nẵng </v>
          </cell>
          <cell r="BX3728" t="str">
            <v>AON</v>
          </cell>
        </row>
        <row r="3729">
          <cell r="A3729" t="str">
            <v>OP</v>
          </cell>
          <cell r="B3729" t="str">
            <v>Quá 24h</v>
          </cell>
          <cell r="D3729" t="str">
            <v>Khiếu nại về dịch vụ FTTH</v>
          </cell>
          <cell r="W3729" t="str">
            <v>Đã đóng</v>
          </cell>
          <cell r="AJ3729" t="str">
            <v>Lâm Đồng</v>
          </cell>
          <cell r="BX3729" t="str">
            <v>AON</v>
          </cell>
        </row>
        <row r="3730">
          <cell r="A3730" t="str">
            <v>OP</v>
          </cell>
          <cell r="B3730" t="str">
            <v>Quá 24h</v>
          </cell>
          <cell r="D3730" t="str">
            <v>Khiếu nại về dịch vụ NextTV</v>
          </cell>
          <cell r="W3730" t="str">
            <v>Đã đóng</v>
          </cell>
          <cell r="AJ3730" t="str">
            <v>TP HCM</v>
          </cell>
          <cell r="BX3730" t="str">
            <v>AON</v>
          </cell>
        </row>
        <row r="3731">
          <cell r="A3731" t="str">
            <v>OP</v>
          </cell>
          <cell r="B3731" t="str">
            <v>Quá 24h</v>
          </cell>
          <cell r="D3731" t="str">
            <v>Khiếu nại về dịch vụ FTTH</v>
          </cell>
          <cell r="W3731" t="str">
            <v>Đã đóng</v>
          </cell>
          <cell r="AJ3731" t="str">
            <v>Cà Mau</v>
          </cell>
          <cell r="BX3731" t="str">
            <v>AON</v>
          </cell>
        </row>
        <row r="3732">
          <cell r="A3732" t="str">
            <v>OP</v>
          </cell>
          <cell r="B3732" t="str">
            <v>Quá 24h</v>
          </cell>
          <cell r="D3732" t="str">
            <v>Khiếu nại về dịch vụ FTTH</v>
          </cell>
          <cell r="W3732" t="str">
            <v>Đang xử lý</v>
          </cell>
          <cell r="AJ3732" t="str">
            <v>TP HCM</v>
          </cell>
          <cell r="BX3732" t="str">
            <v>AON</v>
          </cell>
        </row>
        <row r="3733">
          <cell r="A3733" t="str">
            <v>OP</v>
          </cell>
          <cell r="B3733" t="str">
            <v>Quá 24h</v>
          </cell>
          <cell r="D3733" t="str">
            <v>Khiếu nại về dịch vụ FTTH</v>
          </cell>
          <cell r="W3733" t="str">
            <v>Đã đóng</v>
          </cell>
          <cell r="AJ3733" t="str">
            <v>Cà Mau</v>
          </cell>
          <cell r="BX3733" t="str">
            <v>AON</v>
          </cell>
        </row>
        <row r="3734">
          <cell r="A3734" t="str">
            <v>OP</v>
          </cell>
          <cell r="B3734" t="str">
            <v>Quá 24h</v>
          </cell>
          <cell r="D3734" t="str">
            <v>Khiếu nại về dịch vụ FTTH</v>
          </cell>
          <cell r="W3734" t="str">
            <v>Đã đóng</v>
          </cell>
          <cell r="AJ3734" t="str">
            <v>An Giang</v>
          </cell>
          <cell r="BX3734" t="str">
            <v>AON</v>
          </cell>
        </row>
        <row r="3735">
          <cell r="A3735" t="str">
            <v>OP</v>
          </cell>
          <cell r="B3735" t="str">
            <v>Quá 24h</v>
          </cell>
          <cell r="D3735" t="str">
            <v>Khiếu nại về dịch vụ FTTH</v>
          </cell>
          <cell r="W3735" t="str">
            <v>Đã đóng</v>
          </cell>
          <cell r="AJ3735" t="str">
            <v>Lâm Đồng</v>
          </cell>
          <cell r="BX3735" t="str">
            <v>AON</v>
          </cell>
        </row>
        <row r="3736">
          <cell r="A3736" t="str">
            <v>OP</v>
          </cell>
          <cell r="B3736" t="str">
            <v>Quá 24h</v>
          </cell>
          <cell r="D3736" t="str">
            <v>Khiếu nại về dịch vụ FTTH</v>
          </cell>
          <cell r="W3736" t="str">
            <v>Đang xử lý</v>
          </cell>
          <cell r="AJ3736" t="str">
            <v xml:space="preserve">Đắc Lắk </v>
          </cell>
          <cell r="BX3736" t="str">
            <v>AON</v>
          </cell>
        </row>
        <row r="3737">
          <cell r="A3737" t="str">
            <v>OP</v>
          </cell>
          <cell r="B3737" t="str">
            <v>Quá 24h</v>
          </cell>
          <cell r="D3737" t="str">
            <v>Khiếu nại về dịch vụ FTTH</v>
          </cell>
          <cell r="W3737" t="str">
            <v>Đã đóng</v>
          </cell>
          <cell r="AJ3737" t="str">
            <v>TP HCM</v>
          </cell>
          <cell r="BX3737" t="str">
            <v>AON</v>
          </cell>
        </row>
        <row r="3738">
          <cell r="A3738" t="str">
            <v>OP</v>
          </cell>
          <cell r="B3738" t="str">
            <v>Quá 24h</v>
          </cell>
          <cell r="D3738" t="str">
            <v>Khiếu nại về dịch vụ FTTH</v>
          </cell>
          <cell r="W3738" t="str">
            <v>Đã đóng</v>
          </cell>
          <cell r="AJ3738" t="str">
            <v>TP HCM</v>
          </cell>
          <cell r="BX3738" t="str">
            <v>AON</v>
          </cell>
        </row>
        <row r="3739">
          <cell r="A3739" t="str">
            <v>OP</v>
          </cell>
          <cell r="B3739" t="str">
            <v>Quá 24h</v>
          </cell>
          <cell r="D3739" t="str">
            <v>Khiếu nại về dịch vụ FTTH</v>
          </cell>
          <cell r="W3739" t="str">
            <v>Đã đóng</v>
          </cell>
          <cell r="AJ3739" t="str">
            <v>TP HCM</v>
          </cell>
          <cell r="BX3739" t="str">
            <v>AON</v>
          </cell>
        </row>
        <row r="3740">
          <cell r="A3740" t="str">
            <v>OP</v>
          </cell>
          <cell r="B3740" t="str">
            <v>Quá 24h</v>
          </cell>
          <cell r="D3740" t="str">
            <v>Khiếu nại về dịch vụ FTTH</v>
          </cell>
          <cell r="W3740" t="str">
            <v>Đã đóng</v>
          </cell>
          <cell r="AJ3740" t="str">
            <v>Bình Dương</v>
          </cell>
          <cell r="BX3740" t="str">
            <v>AON</v>
          </cell>
        </row>
        <row r="3741">
          <cell r="A3741" t="str">
            <v>OP</v>
          </cell>
          <cell r="B3741" t="str">
            <v>Quá 24h</v>
          </cell>
          <cell r="D3741" t="str">
            <v>Khiếu nại về dịch vụ FTTH</v>
          </cell>
          <cell r="W3741" t="str">
            <v>Đã đóng</v>
          </cell>
          <cell r="AJ3741" t="str">
            <v>TP HCM</v>
          </cell>
          <cell r="BX3741" t="str">
            <v>AON</v>
          </cell>
        </row>
        <row r="3742">
          <cell r="A3742" t="str">
            <v>OP</v>
          </cell>
          <cell r="B3742" t="str">
            <v>Quá 24h</v>
          </cell>
          <cell r="D3742" t="str">
            <v>Khiếu nại về dịch vụ FTTH</v>
          </cell>
          <cell r="W3742" t="str">
            <v>Đã đóng</v>
          </cell>
          <cell r="AJ3742" t="str">
            <v>TP HCM</v>
          </cell>
          <cell r="BX3742" t="str">
            <v>AON</v>
          </cell>
        </row>
        <row r="3743">
          <cell r="A3743" t="str">
            <v>OP</v>
          </cell>
          <cell r="B3743" t="str">
            <v>Quá 24h</v>
          </cell>
          <cell r="D3743" t="str">
            <v>Khiếu nại về dịch vụ FTTH</v>
          </cell>
          <cell r="W3743" t="str">
            <v>Đã đóng</v>
          </cell>
          <cell r="AJ3743" t="str">
            <v>TP HCM</v>
          </cell>
          <cell r="BX3743" t="str">
            <v>AON</v>
          </cell>
        </row>
        <row r="3744">
          <cell r="A3744" t="str">
            <v>OP</v>
          </cell>
          <cell r="B3744" t="str">
            <v>Quá 24h</v>
          </cell>
          <cell r="D3744" t="str">
            <v>Khiếu nại về dịch vụ FTTH</v>
          </cell>
          <cell r="W3744" t="str">
            <v>Đã đóng</v>
          </cell>
          <cell r="AJ3744" t="str">
            <v>Hậu Giang</v>
          </cell>
          <cell r="BX3744" t="str">
            <v>AON</v>
          </cell>
        </row>
        <row r="3745">
          <cell r="A3745" t="str">
            <v>OP</v>
          </cell>
          <cell r="B3745" t="str">
            <v>Quá 24h</v>
          </cell>
          <cell r="D3745" t="str">
            <v>Khiếu nại về dịch vụ FTTH</v>
          </cell>
          <cell r="W3745" t="str">
            <v>Đã đóng</v>
          </cell>
          <cell r="AJ3745" t="str">
            <v>TP HCM</v>
          </cell>
          <cell r="BX3745" t="str">
            <v>AON</v>
          </cell>
        </row>
        <row r="3746">
          <cell r="A3746" t="str">
            <v>OP</v>
          </cell>
          <cell r="B3746" t="str">
            <v>Quá 24h</v>
          </cell>
          <cell r="D3746" t="str">
            <v>Khiếu nại về dịch vụ FTTH</v>
          </cell>
          <cell r="W3746" t="str">
            <v>Đã đóng</v>
          </cell>
          <cell r="AJ3746" t="str">
            <v>Cần Thơ</v>
          </cell>
          <cell r="BX3746" t="str">
            <v>AON</v>
          </cell>
        </row>
        <row r="3747">
          <cell r="A3747" t="str">
            <v>OP</v>
          </cell>
          <cell r="B3747" t="str">
            <v>Quá 24h</v>
          </cell>
          <cell r="D3747" t="str">
            <v>Khiếu nại về dịch vụ FTTH</v>
          </cell>
          <cell r="W3747" t="str">
            <v>Đang xử lý</v>
          </cell>
          <cell r="AJ3747" t="str">
            <v>Thừa Thiên Huế</v>
          </cell>
          <cell r="BX3747" t="str">
            <v>AON</v>
          </cell>
        </row>
        <row r="3748">
          <cell r="A3748" t="str">
            <v>OP</v>
          </cell>
          <cell r="B3748" t="str">
            <v>Quá 24h</v>
          </cell>
          <cell r="D3748" t="str">
            <v>Khiếu nại về dịch vụ FTTH</v>
          </cell>
          <cell r="W3748" t="str">
            <v>Đã đóng</v>
          </cell>
          <cell r="AJ3748" t="str">
            <v>Bình Định</v>
          </cell>
          <cell r="BX3748" t="str">
            <v>AON</v>
          </cell>
        </row>
        <row r="3749">
          <cell r="A3749" t="str">
            <v>OP</v>
          </cell>
          <cell r="B3749" t="str">
            <v>Quá 24h</v>
          </cell>
          <cell r="D3749" t="str">
            <v>Khiếu nại về dịch vụ FTTH</v>
          </cell>
          <cell r="W3749" t="str">
            <v>Đã đóng</v>
          </cell>
          <cell r="AJ3749" t="str">
            <v>TP HCM</v>
          </cell>
          <cell r="BX3749" t="str">
            <v>AON</v>
          </cell>
        </row>
        <row r="3750">
          <cell r="A3750" t="str">
            <v>OP</v>
          </cell>
          <cell r="B3750" t="str">
            <v>Quá 24h</v>
          </cell>
          <cell r="D3750" t="str">
            <v>Khiếu nại về dịch vụ FTTH</v>
          </cell>
          <cell r="W3750" t="str">
            <v>Đang xử lý</v>
          </cell>
          <cell r="AJ3750" t="str">
            <v>Cà Mau</v>
          </cell>
          <cell r="BX3750" t="str">
            <v>AON</v>
          </cell>
        </row>
        <row r="3751">
          <cell r="A3751" t="str">
            <v>OP</v>
          </cell>
          <cell r="B3751" t="str">
            <v>Quá 24h</v>
          </cell>
          <cell r="D3751" t="str">
            <v>Khiếu nại về dịch vụ FTTH</v>
          </cell>
          <cell r="W3751" t="str">
            <v>Đã đóng</v>
          </cell>
          <cell r="AJ3751" t="str">
            <v>TP HCM</v>
          </cell>
          <cell r="BX3751" t="str">
            <v>AON</v>
          </cell>
        </row>
        <row r="3752">
          <cell r="A3752" t="str">
            <v>OP</v>
          </cell>
          <cell r="B3752" t="str">
            <v>Quá 24h</v>
          </cell>
          <cell r="D3752" t="str">
            <v>Khiếu nại về dịch vụ FTTH</v>
          </cell>
          <cell r="W3752" t="str">
            <v>Đang xử lý</v>
          </cell>
          <cell r="AJ3752" t="str">
            <v>TP HCM</v>
          </cell>
          <cell r="BX3752" t="str">
            <v>AON</v>
          </cell>
        </row>
        <row r="3753">
          <cell r="A3753" t="str">
            <v>OP</v>
          </cell>
          <cell r="B3753" t="str">
            <v>Quá 24h</v>
          </cell>
          <cell r="D3753" t="str">
            <v>Khiếu nại về dịch vụ FTTH</v>
          </cell>
          <cell r="W3753" t="str">
            <v>Đã đóng</v>
          </cell>
          <cell r="AJ3753" t="str">
            <v>Cần Thơ</v>
          </cell>
          <cell r="BX3753" t="str">
            <v>AON</v>
          </cell>
        </row>
        <row r="3754">
          <cell r="A3754" t="str">
            <v>OP</v>
          </cell>
          <cell r="B3754" t="str">
            <v>Quá 24h</v>
          </cell>
          <cell r="D3754" t="str">
            <v>Khiếu nại về dịch vụ FTTH</v>
          </cell>
          <cell r="W3754" t="str">
            <v>Đã đóng</v>
          </cell>
          <cell r="AJ3754" t="str">
            <v xml:space="preserve">Đà Nẵng </v>
          </cell>
          <cell r="BX3754" t="str">
            <v>AON</v>
          </cell>
        </row>
        <row r="3755">
          <cell r="A3755" t="str">
            <v>OP</v>
          </cell>
          <cell r="B3755" t="str">
            <v>Quá 24h</v>
          </cell>
          <cell r="D3755" t="str">
            <v>Khiếu nại về dịch vụ FTTH</v>
          </cell>
          <cell r="W3755" t="str">
            <v>Đang xử lý</v>
          </cell>
          <cell r="AJ3755" t="str">
            <v>Thừa Thiên Huế</v>
          </cell>
          <cell r="BX3755" t="str">
            <v>AON</v>
          </cell>
        </row>
        <row r="3756">
          <cell r="A3756" t="str">
            <v>OP</v>
          </cell>
          <cell r="B3756" t="str">
            <v>Quá 24h</v>
          </cell>
          <cell r="D3756" t="str">
            <v>Khiếu nại về dịch vụ FTTH</v>
          </cell>
          <cell r="W3756" t="str">
            <v>Đã đóng</v>
          </cell>
          <cell r="AJ3756" t="str">
            <v>TP HCM</v>
          </cell>
          <cell r="BX3756" t="str">
            <v>AON</v>
          </cell>
        </row>
        <row r="3757">
          <cell r="A3757" t="str">
            <v>OP</v>
          </cell>
          <cell r="B3757" t="str">
            <v>Quá 24h</v>
          </cell>
          <cell r="D3757" t="str">
            <v>Khiếu nại về dịch vụ FTTH</v>
          </cell>
          <cell r="W3757" t="str">
            <v>Đã đóng</v>
          </cell>
          <cell r="AJ3757" t="str">
            <v>Hậu Giang</v>
          </cell>
          <cell r="BX3757" t="str">
            <v>AON</v>
          </cell>
        </row>
        <row r="3758">
          <cell r="A3758" t="str">
            <v>OP</v>
          </cell>
          <cell r="B3758" t="str">
            <v>Quá 24h</v>
          </cell>
          <cell r="D3758" t="str">
            <v>Khiếu nại về dịch vụ FTTH</v>
          </cell>
          <cell r="W3758" t="str">
            <v>Đã đóng</v>
          </cell>
          <cell r="AJ3758" t="str">
            <v>TP HCM</v>
          </cell>
          <cell r="BX3758" t="str">
            <v>AON</v>
          </cell>
        </row>
        <row r="3759">
          <cell r="A3759" t="str">
            <v>OP</v>
          </cell>
          <cell r="B3759" t="str">
            <v>Quá 24h</v>
          </cell>
          <cell r="D3759" t="str">
            <v>Khiếu nại về dịch vụ FTTH</v>
          </cell>
          <cell r="W3759" t="str">
            <v>Đã đóng</v>
          </cell>
          <cell r="AJ3759" t="str">
            <v>An Giang</v>
          </cell>
          <cell r="BX3759" t="str">
            <v>AON</v>
          </cell>
        </row>
        <row r="3760">
          <cell r="A3760" t="str">
            <v>OP</v>
          </cell>
          <cell r="B3760" t="str">
            <v>Quá 24h</v>
          </cell>
          <cell r="D3760" t="str">
            <v>Khiếu nại về dịch vụ FTTH</v>
          </cell>
          <cell r="W3760" t="str">
            <v>Đang xử lý</v>
          </cell>
          <cell r="AJ3760" t="str">
            <v>TP HCM</v>
          </cell>
          <cell r="BX3760" t="str">
            <v>AON</v>
          </cell>
        </row>
        <row r="3761">
          <cell r="A3761" t="str">
            <v>OP</v>
          </cell>
          <cell r="B3761" t="str">
            <v>Quá 24h</v>
          </cell>
          <cell r="D3761" t="str">
            <v>Khiếu nại về dịch vụ FTTH</v>
          </cell>
          <cell r="W3761" t="str">
            <v>Đang xử lý</v>
          </cell>
          <cell r="AJ3761" t="str">
            <v>TP HCM</v>
          </cell>
          <cell r="BX3761" t="str">
            <v>AON</v>
          </cell>
        </row>
        <row r="3762">
          <cell r="A3762" t="str">
            <v>OP</v>
          </cell>
          <cell r="B3762" t="str">
            <v>Quá 24h</v>
          </cell>
          <cell r="D3762" t="str">
            <v>Khiếu nại về dịch vụ FTTH</v>
          </cell>
          <cell r="W3762" t="str">
            <v>Đã đóng</v>
          </cell>
          <cell r="AJ3762" t="str">
            <v>Cà Mau</v>
          </cell>
          <cell r="BX3762" t="str">
            <v>AON</v>
          </cell>
        </row>
        <row r="3763">
          <cell r="A3763" t="str">
            <v>OP</v>
          </cell>
          <cell r="B3763" t="str">
            <v>Quá 24h</v>
          </cell>
          <cell r="D3763" t="str">
            <v>Khiếu nại về dịch vụ FTTH</v>
          </cell>
          <cell r="W3763" t="str">
            <v>Đã đóng</v>
          </cell>
          <cell r="AJ3763" t="str">
            <v>Cà Mau</v>
          </cell>
          <cell r="BX3763" t="str">
            <v>GPON</v>
          </cell>
        </row>
        <row r="3764">
          <cell r="A3764" t="str">
            <v>OP</v>
          </cell>
          <cell r="B3764" t="str">
            <v>Quá 24h</v>
          </cell>
          <cell r="D3764" t="str">
            <v>Khiếu nại về dịch vụ FTTH</v>
          </cell>
          <cell r="W3764" t="str">
            <v>Đã đóng</v>
          </cell>
          <cell r="AJ3764" t="str">
            <v>Thừa Thiên Huế</v>
          </cell>
          <cell r="BX3764" t="str">
            <v>AON</v>
          </cell>
        </row>
        <row r="3765">
          <cell r="A3765" t="str">
            <v>OP</v>
          </cell>
          <cell r="B3765" t="str">
            <v>Quá 24h</v>
          </cell>
          <cell r="D3765" t="str">
            <v>Khiếu nại về dịch vụ FTTH</v>
          </cell>
          <cell r="W3765" t="str">
            <v>Đã đóng</v>
          </cell>
          <cell r="AJ3765" t="str">
            <v>Phú Yên</v>
          </cell>
          <cell r="BX3765" t="str">
            <v>AON</v>
          </cell>
        </row>
        <row r="3766">
          <cell r="A3766" t="str">
            <v>OP</v>
          </cell>
          <cell r="B3766" t="str">
            <v>Quá 24h</v>
          </cell>
          <cell r="D3766" t="str">
            <v>Khiếu nại về dịch vụ FTTH</v>
          </cell>
          <cell r="W3766" t="str">
            <v>Đã đóng</v>
          </cell>
          <cell r="AJ3766" t="str">
            <v xml:space="preserve">Đà Nẵng </v>
          </cell>
          <cell r="BX3766" t="str">
            <v>AON</v>
          </cell>
        </row>
        <row r="3767">
          <cell r="A3767" t="str">
            <v>OP</v>
          </cell>
          <cell r="B3767" t="str">
            <v>Quá 24h</v>
          </cell>
          <cell r="D3767" t="str">
            <v>Khiếu nại về dịch vụ FTTH</v>
          </cell>
          <cell r="W3767" t="str">
            <v>Đã đóng</v>
          </cell>
          <cell r="AJ3767" t="str">
            <v xml:space="preserve">Quảng Nam </v>
          </cell>
          <cell r="BX3767" t="str">
            <v>AON</v>
          </cell>
        </row>
        <row r="3768">
          <cell r="A3768" t="str">
            <v>OP</v>
          </cell>
          <cell r="B3768" t="str">
            <v>Quá 24h</v>
          </cell>
          <cell r="D3768" t="str">
            <v>Khiếu nại về dịch vụ FTTH</v>
          </cell>
          <cell r="W3768" t="str">
            <v>Đang xử lý</v>
          </cell>
          <cell r="AJ3768" t="str">
            <v>Bình Dương</v>
          </cell>
          <cell r="BX3768" t="str">
            <v>AON</v>
          </cell>
        </row>
        <row r="3769">
          <cell r="A3769" t="str">
            <v>OP</v>
          </cell>
          <cell r="B3769" t="str">
            <v>Quá 24h</v>
          </cell>
          <cell r="D3769" t="str">
            <v>Khiếu nại về dịch vụ FTTH</v>
          </cell>
          <cell r="W3769" t="str">
            <v>Đã đóng</v>
          </cell>
          <cell r="AJ3769" t="str">
            <v>TP HCM</v>
          </cell>
          <cell r="BX3769" t="str">
            <v>AON</v>
          </cell>
        </row>
        <row r="3770">
          <cell r="A3770" t="str">
            <v>OP</v>
          </cell>
          <cell r="B3770" t="str">
            <v>Quá 24h</v>
          </cell>
          <cell r="D3770" t="str">
            <v>Khiếu nại về dịch vụ FTTH</v>
          </cell>
          <cell r="W3770" t="str">
            <v>Đã đóng</v>
          </cell>
          <cell r="AJ3770" t="str">
            <v>TP HCM</v>
          </cell>
          <cell r="BX3770" t="str">
            <v>GPON</v>
          </cell>
        </row>
        <row r="3771">
          <cell r="A3771" t="str">
            <v>OP</v>
          </cell>
          <cell r="B3771" t="str">
            <v>Quá 24h</v>
          </cell>
          <cell r="D3771" t="str">
            <v>Khiếu nại về dịch vụ FTTH</v>
          </cell>
          <cell r="W3771" t="str">
            <v>Đã đóng</v>
          </cell>
          <cell r="AJ3771" t="str">
            <v>TP HCM</v>
          </cell>
          <cell r="BX3771" t="str">
            <v>AON</v>
          </cell>
        </row>
        <row r="3772">
          <cell r="A3772" t="str">
            <v>OP</v>
          </cell>
          <cell r="B3772" t="str">
            <v>Quá 24h</v>
          </cell>
          <cell r="D3772" t="str">
            <v>Khiếu nại về dịch vụ FTTH</v>
          </cell>
          <cell r="W3772" t="str">
            <v>Đã đóng</v>
          </cell>
          <cell r="AJ3772" t="str">
            <v xml:space="preserve">Quảng Nam </v>
          </cell>
          <cell r="BX3772" t="str">
            <v>AON</v>
          </cell>
        </row>
        <row r="3773">
          <cell r="A3773" t="str">
            <v>OP</v>
          </cell>
          <cell r="B3773" t="str">
            <v>Quá 24h</v>
          </cell>
          <cell r="D3773" t="str">
            <v>Khiếu nại về dịch vụ FTTH</v>
          </cell>
          <cell r="W3773" t="str">
            <v>Đã đóng</v>
          </cell>
          <cell r="AJ3773" t="str">
            <v>Bình Định</v>
          </cell>
          <cell r="BX3773" t="str">
            <v>AON</v>
          </cell>
        </row>
        <row r="3774">
          <cell r="A3774" t="str">
            <v>OP</v>
          </cell>
          <cell r="B3774" t="str">
            <v>Quá 24h</v>
          </cell>
          <cell r="D3774" t="str">
            <v>Khiếu nại về dịch vụ FTTH</v>
          </cell>
          <cell r="W3774" t="str">
            <v>Đã đóng</v>
          </cell>
          <cell r="AJ3774" t="str">
            <v>An Giang</v>
          </cell>
          <cell r="BX3774" t="str">
            <v>AON</v>
          </cell>
        </row>
        <row r="3775">
          <cell r="A3775" t="str">
            <v>OP</v>
          </cell>
          <cell r="B3775" t="str">
            <v>Quá 24h</v>
          </cell>
          <cell r="D3775" t="str">
            <v>Khiếu nại về dịch vụ FTTH</v>
          </cell>
          <cell r="W3775" t="str">
            <v>Đang xử lý</v>
          </cell>
          <cell r="AJ3775" t="str">
            <v>Thừa Thiên Huế</v>
          </cell>
          <cell r="BX3775" t="str">
            <v>AON</v>
          </cell>
        </row>
        <row r="3776">
          <cell r="A3776" t="str">
            <v>OP</v>
          </cell>
          <cell r="B3776" t="str">
            <v>Quá 24h</v>
          </cell>
          <cell r="D3776" t="str">
            <v>Khiếu nại về dịch vụ FTTH</v>
          </cell>
          <cell r="W3776" t="str">
            <v>Đã đóng</v>
          </cell>
          <cell r="AJ3776" t="str">
            <v xml:space="preserve">Quảng Nam </v>
          </cell>
          <cell r="BX3776" t="str">
            <v>AON</v>
          </cell>
        </row>
        <row r="3777">
          <cell r="A3777" t="str">
            <v>OP</v>
          </cell>
          <cell r="B3777" t="str">
            <v>Quá 24h</v>
          </cell>
          <cell r="D3777" t="str">
            <v>Khiếu nại về dịch vụ FTTH</v>
          </cell>
          <cell r="W3777" t="str">
            <v>Đã đóng</v>
          </cell>
          <cell r="AJ3777" t="str">
            <v>Bình Dương</v>
          </cell>
          <cell r="BX3777" t="str">
            <v>AON</v>
          </cell>
        </row>
        <row r="3778">
          <cell r="A3778" t="str">
            <v>OP</v>
          </cell>
          <cell r="B3778" t="str">
            <v>Quá 24h</v>
          </cell>
          <cell r="D3778" t="str">
            <v>Khiếu nại về dịch vụ FTTH</v>
          </cell>
          <cell r="W3778" t="str">
            <v>Đã đóng</v>
          </cell>
          <cell r="AJ3778" t="str">
            <v>Thừa Thiên Huế</v>
          </cell>
          <cell r="BX3778" t="str">
            <v>AON</v>
          </cell>
        </row>
        <row r="3779">
          <cell r="A3779" t="str">
            <v>OP</v>
          </cell>
          <cell r="B3779" t="str">
            <v>Quá 24h</v>
          </cell>
          <cell r="D3779" t="str">
            <v>Khiếu nại về dịch vụ FTTH</v>
          </cell>
          <cell r="W3779" t="str">
            <v>Đang xử lý</v>
          </cell>
          <cell r="AJ3779" t="str">
            <v>Bình Thuận</v>
          </cell>
          <cell r="BX3779" t="str">
            <v>AON</v>
          </cell>
        </row>
        <row r="3780">
          <cell r="A3780" t="str">
            <v>OP</v>
          </cell>
          <cell r="B3780" t="str">
            <v>Quá 24h</v>
          </cell>
          <cell r="D3780" t="str">
            <v>Khiếu nại về dịch vụ FTTH</v>
          </cell>
          <cell r="W3780" t="str">
            <v>Đã đóng</v>
          </cell>
          <cell r="AJ3780" t="str">
            <v>Hậu Giang</v>
          </cell>
          <cell r="BX3780" t="str">
            <v>AON</v>
          </cell>
        </row>
        <row r="3781">
          <cell r="A3781" t="str">
            <v>OP</v>
          </cell>
          <cell r="B3781" t="str">
            <v>Quá 24h</v>
          </cell>
          <cell r="D3781" t="str">
            <v>Khiếu nại về dịch vụ FTTH</v>
          </cell>
          <cell r="W3781" t="str">
            <v>Đã đóng</v>
          </cell>
          <cell r="AJ3781" t="str">
            <v>TP HCM</v>
          </cell>
          <cell r="BX3781" t="str">
            <v>AON</v>
          </cell>
        </row>
        <row r="3782">
          <cell r="A3782" t="str">
            <v>OP</v>
          </cell>
          <cell r="B3782" t="str">
            <v>Quá 24h</v>
          </cell>
          <cell r="D3782" t="str">
            <v>Khiếu nại về dịch vụ FTTH</v>
          </cell>
          <cell r="W3782" t="str">
            <v>Đã đóng</v>
          </cell>
          <cell r="AJ3782" t="str">
            <v>TP HCM</v>
          </cell>
          <cell r="BX3782" t="str">
            <v>AON</v>
          </cell>
        </row>
        <row r="3783">
          <cell r="A3783" t="str">
            <v>OP</v>
          </cell>
          <cell r="B3783" t="str">
            <v>Quá 24h</v>
          </cell>
          <cell r="D3783" t="str">
            <v>Khiếu nại về dịch vụ FTTH</v>
          </cell>
          <cell r="W3783" t="str">
            <v>Đã đóng</v>
          </cell>
          <cell r="AJ3783" t="str">
            <v>Bình Thuận</v>
          </cell>
          <cell r="BX3783" t="str">
            <v>AON</v>
          </cell>
        </row>
        <row r="3784">
          <cell r="A3784" t="str">
            <v>OP</v>
          </cell>
          <cell r="B3784" t="str">
            <v>Quá 24h</v>
          </cell>
          <cell r="D3784" t="str">
            <v>Khiếu nại về dịch vụ FTTH</v>
          </cell>
          <cell r="W3784" t="str">
            <v>Đã đóng</v>
          </cell>
          <cell r="AJ3784" t="str">
            <v>Kon Tum</v>
          </cell>
          <cell r="BX3784" t="str">
            <v>AON</v>
          </cell>
        </row>
        <row r="3785">
          <cell r="A3785" t="str">
            <v>OP</v>
          </cell>
          <cell r="B3785" t="str">
            <v>Quá 24h</v>
          </cell>
          <cell r="D3785" t="str">
            <v>Khiếu nại về dịch vụ FTTH</v>
          </cell>
          <cell r="W3785" t="str">
            <v>Đã đóng</v>
          </cell>
          <cell r="AJ3785" t="str">
            <v>Khánh Hoà</v>
          </cell>
          <cell r="BX3785" t="str">
            <v>AON</v>
          </cell>
        </row>
        <row r="3786">
          <cell r="A3786" t="str">
            <v>OP</v>
          </cell>
          <cell r="B3786" t="str">
            <v>Quá 24h</v>
          </cell>
          <cell r="D3786" t="str">
            <v>Khiếu nại về dịch vụ FTTH</v>
          </cell>
          <cell r="W3786" t="str">
            <v>Đã đóng</v>
          </cell>
          <cell r="AJ3786" t="str">
            <v>Bình Thuận</v>
          </cell>
          <cell r="BX3786" t="str">
            <v>AON</v>
          </cell>
        </row>
        <row r="3787">
          <cell r="A3787" t="str">
            <v>OP</v>
          </cell>
          <cell r="B3787" t="str">
            <v>Quá 24h</v>
          </cell>
          <cell r="D3787" t="str">
            <v>Khiếu nại về dịch vụ FTTH</v>
          </cell>
          <cell r="W3787" t="str">
            <v>Đã đóng</v>
          </cell>
          <cell r="AJ3787" t="str">
            <v>Tiền Giang</v>
          </cell>
          <cell r="BX3787" t="str">
            <v>AON</v>
          </cell>
        </row>
        <row r="3788">
          <cell r="A3788" t="str">
            <v>OP</v>
          </cell>
          <cell r="B3788" t="str">
            <v>Quá 24h</v>
          </cell>
          <cell r="D3788" t="str">
            <v>Khiếu nại về dịch vụ FTTH</v>
          </cell>
          <cell r="W3788" t="str">
            <v>Đã đóng</v>
          </cell>
          <cell r="AJ3788" t="str">
            <v>Khánh Hoà</v>
          </cell>
          <cell r="BX3788" t="str">
            <v>AON</v>
          </cell>
        </row>
        <row r="3789">
          <cell r="A3789" t="str">
            <v>OP</v>
          </cell>
          <cell r="B3789" t="str">
            <v>Quá 24h</v>
          </cell>
          <cell r="D3789" t="str">
            <v>Khiếu nại về dịch vụ NextTV</v>
          </cell>
          <cell r="W3789" t="str">
            <v>Đã đóng</v>
          </cell>
          <cell r="AJ3789" t="str">
            <v xml:space="preserve">Đà Nẵng </v>
          </cell>
          <cell r="BX3789" t="str">
            <v>AON</v>
          </cell>
        </row>
        <row r="3790">
          <cell r="A3790" t="str">
            <v>OP</v>
          </cell>
          <cell r="B3790" t="str">
            <v>Quá 24h</v>
          </cell>
          <cell r="D3790" t="str">
            <v>Khiếu nại về dịch vụ FTTH</v>
          </cell>
          <cell r="W3790" t="str">
            <v>Đã đóng</v>
          </cell>
          <cell r="AJ3790" t="str">
            <v>TP HCM</v>
          </cell>
          <cell r="BX3790" t="str">
            <v>AON</v>
          </cell>
        </row>
        <row r="3791">
          <cell r="A3791" t="str">
            <v>OP</v>
          </cell>
          <cell r="B3791" t="str">
            <v>Quá 24h</v>
          </cell>
          <cell r="D3791" t="str">
            <v>Khiếu nại về dịch vụ FTTH</v>
          </cell>
          <cell r="W3791" t="str">
            <v>Đã đóng</v>
          </cell>
          <cell r="AJ3791" t="str">
            <v>TP HCM</v>
          </cell>
          <cell r="BX3791" t="str">
            <v>AON</v>
          </cell>
        </row>
        <row r="3792">
          <cell r="A3792" t="str">
            <v>OP</v>
          </cell>
          <cell r="B3792" t="str">
            <v>Quá 24h</v>
          </cell>
          <cell r="D3792" t="str">
            <v>Khiếu nại về dịch vụ FTTH</v>
          </cell>
          <cell r="W3792" t="str">
            <v>Đã đóng</v>
          </cell>
          <cell r="AJ3792" t="str">
            <v>Bến Tre</v>
          </cell>
          <cell r="BX3792" t="str">
            <v>AON</v>
          </cell>
        </row>
        <row r="3793">
          <cell r="A3793" t="str">
            <v>OP</v>
          </cell>
          <cell r="B3793" t="str">
            <v>Quá 24h</v>
          </cell>
          <cell r="D3793" t="str">
            <v>Khiếu nại về dịch vụ FTTH</v>
          </cell>
          <cell r="W3793" t="str">
            <v>Đã đóng</v>
          </cell>
          <cell r="AJ3793" t="str">
            <v>Bình Dương</v>
          </cell>
          <cell r="BX3793" t="str">
            <v>AON</v>
          </cell>
        </row>
        <row r="3794">
          <cell r="A3794" t="str">
            <v>OP</v>
          </cell>
          <cell r="B3794" t="str">
            <v>Quá 24h</v>
          </cell>
          <cell r="D3794" t="str">
            <v>Khiếu nại về dịch vụ FTTH</v>
          </cell>
          <cell r="W3794" t="str">
            <v>Đã đóng</v>
          </cell>
          <cell r="AJ3794" t="str">
            <v>TP HCM</v>
          </cell>
          <cell r="BX3794" t="str">
            <v>AON</v>
          </cell>
        </row>
        <row r="3795">
          <cell r="A3795" t="str">
            <v>OP</v>
          </cell>
          <cell r="B3795" t="str">
            <v>Quá 24h</v>
          </cell>
          <cell r="D3795" t="str">
            <v>Khiếu nại về dịch vụ FTTH</v>
          </cell>
          <cell r="W3795" t="str">
            <v>Đã đóng</v>
          </cell>
          <cell r="AJ3795" t="str">
            <v xml:space="preserve">Quảng Nam </v>
          </cell>
          <cell r="BX3795" t="str">
            <v>AON</v>
          </cell>
        </row>
        <row r="3796">
          <cell r="A3796" t="str">
            <v>OP</v>
          </cell>
          <cell r="B3796" t="str">
            <v>Quá 24h</v>
          </cell>
          <cell r="D3796" t="str">
            <v>Khiếu nại về dịch vụ FTTH</v>
          </cell>
          <cell r="W3796" t="str">
            <v>Đang xử lý</v>
          </cell>
          <cell r="AJ3796" t="str">
            <v>TP HCM</v>
          </cell>
          <cell r="BX3796" t="str">
            <v>GPON</v>
          </cell>
        </row>
        <row r="3797">
          <cell r="A3797" t="str">
            <v>OP</v>
          </cell>
          <cell r="B3797" t="str">
            <v>Quá 24h</v>
          </cell>
          <cell r="D3797" t="str">
            <v>Khiếu nại về dịch vụ FTTH</v>
          </cell>
          <cell r="W3797" t="str">
            <v>Đã đóng</v>
          </cell>
          <cell r="AJ3797" t="str">
            <v>An Giang</v>
          </cell>
          <cell r="BX3797" t="str">
            <v>AON</v>
          </cell>
        </row>
        <row r="3798">
          <cell r="A3798" t="str">
            <v>OP</v>
          </cell>
          <cell r="B3798" t="str">
            <v>Quá 24h</v>
          </cell>
          <cell r="D3798" t="str">
            <v>Khiếu nại về dịch vụ FTTH</v>
          </cell>
          <cell r="W3798" t="str">
            <v>Đã đóng</v>
          </cell>
          <cell r="AJ3798" t="str">
            <v xml:space="preserve">Đà Nẵng </v>
          </cell>
          <cell r="BX3798" t="str">
            <v>AON</v>
          </cell>
        </row>
        <row r="3799">
          <cell r="A3799" t="str">
            <v>OP</v>
          </cell>
          <cell r="B3799" t="str">
            <v>Quá 24h</v>
          </cell>
          <cell r="D3799" t="str">
            <v>Khiếu nại về dịch vụ FTTH</v>
          </cell>
          <cell r="W3799" t="str">
            <v>Đã đóng</v>
          </cell>
          <cell r="AJ3799" t="str">
            <v>Tây Ninh</v>
          </cell>
          <cell r="BX3799" t="str">
            <v>AON</v>
          </cell>
        </row>
        <row r="3800">
          <cell r="A3800" t="str">
            <v>OP</v>
          </cell>
          <cell r="B3800" t="str">
            <v>Quá 24h</v>
          </cell>
          <cell r="D3800" t="str">
            <v>Khiếu nại về dịch vụ FTTH</v>
          </cell>
          <cell r="W3800" t="str">
            <v>Đã đóng</v>
          </cell>
          <cell r="AJ3800" t="str">
            <v>TP HCM</v>
          </cell>
          <cell r="BX3800" t="str">
            <v>AON</v>
          </cell>
        </row>
        <row r="3801">
          <cell r="A3801" t="str">
            <v>OP</v>
          </cell>
          <cell r="B3801" t="str">
            <v>Quá 24h</v>
          </cell>
          <cell r="D3801" t="str">
            <v>Khiếu nại về dịch vụ NextTV</v>
          </cell>
          <cell r="W3801" t="str">
            <v>Đã đóng</v>
          </cell>
          <cell r="AJ3801" t="str">
            <v>TP HCM</v>
          </cell>
          <cell r="BX3801" t="str">
            <v>AON</v>
          </cell>
        </row>
        <row r="3802">
          <cell r="A3802" t="str">
            <v>OP</v>
          </cell>
          <cell r="B3802" t="str">
            <v>Quá 24h</v>
          </cell>
          <cell r="D3802" t="str">
            <v>Khiếu nại về dịch vụ FTTH</v>
          </cell>
          <cell r="W3802" t="str">
            <v>Đã đóng</v>
          </cell>
          <cell r="AJ3802" t="str">
            <v>TP HCM</v>
          </cell>
          <cell r="BX3802" t="str">
            <v>AON</v>
          </cell>
        </row>
        <row r="3803">
          <cell r="A3803" t="str">
            <v>OP</v>
          </cell>
          <cell r="B3803" t="str">
            <v>Quá 24h</v>
          </cell>
          <cell r="D3803" t="str">
            <v>Khiếu nại về dịch vụ FTTH</v>
          </cell>
          <cell r="W3803" t="str">
            <v>Đã đóng</v>
          </cell>
          <cell r="AJ3803" t="str">
            <v>Bình Định</v>
          </cell>
          <cell r="BX3803" t="str">
            <v>AON</v>
          </cell>
        </row>
        <row r="3804">
          <cell r="A3804" t="str">
            <v>OP</v>
          </cell>
          <cell r="B3804" t="str">
            <v>Quá 24h</v>
          </cell>
          <cell r="D3804" t="str">
            <v>Khiếu nại về dịch vụ NextTV</v>
          </cell>
          <cell r="W3804" t="str">
            <v>Đã đóng</v>
          </cell>
          <cell r="AJ3804" t="str">
            <v>TP HCM</v>
          </cell>
          <cell r="BX3804" t="str">
            <v>AON</v>
          </cell>
        </row>
        <row r="3805">
          <cell r="A3805" t="str">
            <v>OP</v>
          </cell>
          <cell r="B3805" t="str">
            <v>Quá 24h</v>
          </cell>
          <cell r="D3805" t="str">
            <v>Khiếu nại về dịch vụ FTTH</v>
          </cell>
          <cell r="W3805" t="str">
            <v>Đã đóng</v>
          </cell>
          <cell r="AJ3805" t="str">
            <v>TP HCM</v>
          </cell>
          <cell r="BX3805" t="str">
            <v>GPON</v>
          </cell>
        </row>
        <row r="3806">
          <cell r="A3806" t="str">
            <v>OP</v>
          </cell>
          <cell r="B3806" t="str">
            <v>Quá 24h</v>
          </cell>
          <cell r="D3806" t="str">
            <v>Khiếu nại về dịch vụ FTTH</v>
          </cell>
          <cell r="W3806" t="str">
            <v>Đang xử lý</v>
          </cell>
          <cell r="AJ3806" t="str">
            <v xml:space="preserve">Đà Nẵng </v>
          </cell>
          <cell r="BX3806" t="str">
            <v>AON</v>
          </cell>
        </row>
        <row r="3807">
          <cell r="A3807" t="str">
            <v>OP</v>
          </cell>
          <cell r="B3807" t="str">
            <v>Quá 24h</v>
          </cell>
          <cell r="D3807" t="str">
            <v>Khiếu nại về dịch vụ NextTV</v>
          </cell>
          <cell r="W3807" t="str">
            <v>Đã đóng</v>
          </cell>
          <cell r="AJ3807" t="str">
            <v>Quảng Ngãi</v>
          </cell>
          <cell r="BX3807" t="str">
            <v>AON</v>
          </cell>
        </row>
        <row r="3808">
          <cell r="A3808" t="str">
            <v>OP</v>
          </cell>
          <cell r="B3808" t="str">
            <v>Quá 24h</v>
          </cell>
          <cell r="D3808" t="str">
            <v>Khiếu nại về dịch vụ NextTV</v>
          </cell>
          <cell r="W3808" t="str">
            <v>Đã đóng</v>
          </cell>
          <cell r="AJ3808" t="str">
            <v>TP HCM</v>
          </cell>
          <cell r="BX3808" t="str">
            <v>GPON</v>
          </cell>
        </row>
        <row r="3809">
          <cell r="A3809" t="str">
            <v>OP</v>
          </cell>
          <cell r="B3809" t="str">
            <v>Quá 24h</v>
          </cell>
          <cell r="D3809" t="str">
            <v>Khiếu nại về dịch vụ NextTV</v>
          </cell>
          <cell r="W3809" t="str">
            <v>Đang xử lý</v>
          </cell>
          <cell r="AJ3809" t="str">
            <v xml:space="preserve">Quảng Nam </v>
          </cell>
          <cell r="BX3809" t="str">
            <v>AON</v>
          </cell>
        </row>
        <row r="3810">
          <cell r="A3810" t="str">
            <v>OP</v>
          </cell>
          <cell r="B3810" t="str">
            <v>Quá 24h</v>
          </cell>
          <cell r="D3810" t="str">
            <v>Khiếu nại về dịch vụ NextTV</v>
          </cell>
          <cell r="W3810" t="str">
            <v>Đã đóng</v>
          </cell>
          <cell r="AJ3810" t="str">
            <v>Khánh Hoà</v>
          </cell>
          <cell r="BX3810" t="str">
            <v>AON</v>
          </cell>
        </row>
        <row r="3811">
          <cell r="A3811" t="str">
            <v>OP</v>
          </cell>
          <cell r="B3811" t="str">
            <v>Quá 24h</v>
          </cell>
          <cell r="D3811" t="str">
            <v>Khiếu nại về dịch vụ NextTV</v>
          </cell>
          <cell r="W3811" t="str">
            <v>Đã đóng</v>
          </cell>
          <cell r="AJ3811" t="str">
            <v>TP HCM</v>
          </cell>
          <cell r="BX3811" t="str">
            <v>AON</v>
          </cell>
        </row>
        <row r="3812">
          <cell r="A3812" t="str">
            <v>OP</v>
          </cell>
          <cell r="B3812" t="str">
            <v>Quá 24h</v>
          </cell>
          <cell r="D3812" t="str">
            <v>Khiếu nại về dịch vụ NextTV</v>
          </cell>
          <cell r="W3812" t="str">
            <v>Đang xử lý</v>
          </cell>
          <cell r="AJ3812" t="str">
            <v>TP HCM</v>
          </cell>
          <cell r="BX3812" t="str">
            <v>AON</v>
          </cell>
        </row>
        <row r="3813">
          <cell r="A3813" t="str">
            <v>OP</v>
          </cell>
          <cell r="B3813" t="str">
            <v>Quá 24h</v>
          </cell>
          <cell r="D3813" t="str">
            <v>Khiếu nại về dịch vụ NextTV</v>
          </cell>
          <cell r="W3813" t="str">
            <v>Đã đóng</v>
          </cell>
          <cell r="AJ3813" t="str">
            <v>TP HCM</v>
          </cell>
          <cell r="BX3813" t="str">
            <v>AON</v>
          </cell>
        </row>
        <row r="3814">
          <cell r="A3814" t="str">
            <v>OP</v>
          </cell>
          <cell r="B3814" t="str">
            <v>Quá 24h</v>
          </cell>
          <cell r="D3814" t="str">
            <v>Khiếu nại về dịch vụ NextTV</v>
          </cell>
          <cell r="W3814" t="str">
            <v>Đã đóng</v>
          </cell>
          <cell r="AJ3814" t="str">
            <v>TP HCM</v>
          </cell>
          <cell r="BX3814" t="str">
            <v>AON</v>
          </cell>
        </row>
        <row r="3815">
          <cell r="A3815" t="str">
            <v>OP</v>
          </cell>
          <cell r="B3815" t="str">
            <v>Quá 24h</v>
          </cell>
          <cell r="D3815" t="str">
            <v>Khiếu nại về dịch vụ NextTV</v>
          </cell>
          <cell r="W3815" t="str">
            <v>Đã đóng</v>
          </cell>
          <cell r="AJ3815" t="str">
            <v>Bà Rịa - Vũng Tàu</v>
          </cell>
          <cell r="BX3815" t="str">
            <v>AON</v>
          </cell>
        </row>
        <row r="3816">
          <cell r="A3816" t="str">
            <v>OP</v>
          </cell>
          <cell r="B3816" t="str">
            <v>Quá 24h</v>
          </cell>
          <cell r="D3816" t="str">
            <v>Khiếu nại về dịch vụ NextTV</v>
          </cell>
          <cell r="W3816" t="str">
            <v>Đang xử lý</v>
          </cell>
          <cell r="AJ3816" t="str">
            <v>TP HCM</v>
          </cell>
          <cell r="BX3816" t="str">
            <v>AON</v>
          </cell>
        </row>
        <row r="3817">
          <cell r="A3817" t="str">
            <v>OP</v>
          </cell>
          <cell r="B3817" t="str">
            <v>Quá 24h</v>
          </cell>
          <cell r="D3817" t="str">
            <v>Khiếu nại về dịch vụ NextTV</v>
          </cell>
          <cell r="W3817" t="str">
            <v>Đã đóng</v>
          </cell>
          <cell r="AJ3817" t="str">
            <v xml:space="preserve">Đồng Nai </v>
          </cell>
          <cell r="BX3817" t="str">
            <v>AON</v>
          </cell>
        </row>
        <row r="3818">
          <cell r="A3818" t="str">
            <v>OP</v>
          </cell>
          <cell r="B3818" t="str">
            <v>Quá 24h</v>
          </cell>
          <cell r="D3818" t="str">
            <v>Khiếu nại về dịch vụ NextTV</v>
          </cell>
          <cell r="W3818" t="str">
            <v>Đã đóng</v>
          </cell>
          <cell r="AJ3818" t="str">
            <v>TP HCM</v>
          </cell>
          <cell r="BX3818" t="str">
            <v>AON</v>
          </cell>
        </row>
        <row r="3819">
          <cell r="A3819" t="str">
            <v>OP</v>
          </cell>
          <cell r="B3819" t="str">
            <v>Quá 24h</v>
          </cell>
          <cell r="D3819" t="str">
            <v>Khiếu nại về dịch vụ FTTH</v>
          </cell>
          <cell r="W3819" t="str">
            <v>Đang xử lý</v>
          </cell>
          <cell r="AJ3819" t="str">
            <v>Hà Nội 2</v>
          </cell>
          <cell r="BX3819" t="str">
            <v>AON</v>
          </cell>
        </row>
        <row r="3820">
          <cell r="A3820" t="str">
            <v>OP</v>
          </cell>
          <cell r="B3820" t="str">
            <v>Quá 24h</v>
          </cell>
          <cell r="D3820" t="str">
            <v>Khiếu nại về dịch vụ FTTH</v>
          </cell>
          <cell r="W3820" t="str">
            <v>Đang xử lý</v>
          </cell>
          <cell r="AJ3820" t="str">
            <v>Thanh Hoá</v>
          </cell>
          <cell r="BX3820" t="str">
            <v>AON</v>
          </cell>
        </row>
        <row r="3821">
          <cell r="A3821" t="str">
            <v>OP</v>
          </cell>
          <cell r="B3821" t="str">
            <v>Quá 24h</v>
          </cell>
          <cell r="D3821" t="str">
            <v>Khiếu nại về dịch vụ FTTH</v>
          </cell>
          <cell r="W3821" t="str">
            <v>Đang xử lý</v>
          </cell>
          <cell r="AJ3821" t="str">
            <v>Thanh Hoá</v>
          </cell>
          <cell r="BX3821" t="str">
            <v>AON</v>
          </cell>
        </row>
        <row r="3822">
          <cell r="A3822" t="str">
            <v>OP</v>
          </cell>
          <cell r="B3822" t="str">
            <v>Quá 24h</v>
          </cell>
          <cell r="D3822" t="str">
            <v>Khiếu nại về dịch vụ FTTH</v>
          </cell>
          <cell r="W3822" t="str">
            <v>Đang xử lý</v>
          </cell>
          <cell r="AJ3822" t="str">
            <v>Nam Định</v>
          </cell>
          <cell r="BX3822" t="str">
            <v>AON</v>
          </cell>
        </row>
        <row r="3823">
          <cell r="A3823" t="str">
            <v>OP</v>
          </cell>
          <cell r="B3823" t="str">
            <v>Quá 24h</v>
          </cell>
          <cell r="D3823" t="str">
            <v>Khiếu nại về dịch vụ FTTH</v>
          </cell>
          <cell r="W3823" t="str">
            <v>Đang xử lý</v>
          </cell>
          <cell r="AJ3823" t="str">
            <v>Hà Nội 2</v>
          </cell>
          <cell r="BX3823" t="str">
            <v>AON</v>
          </cell>
        </row>
        <row r="3824">
          <cell r="A3824" t="str">
            <v>OP</v>
          </cell>
          <cell r="B3824" t="str">
            <v>Quá 24h</v>
          </cell>
          <cell r="D3824" t="str">
            <v>Khiếu nại về dịch vụ FTTH</v>
          </cell>
          <cell r="W3824" t="str">
            <v>Đang xử lý</v>
          </cell>
          <cell r="AJ3824" t="str">
            <v>Tuyên Quang</v>
          </cell>
          <cell r="BX3824" t="str">
            <v>AON</v>
          </cell>
        </row>
        <row r="3825">
          <cell r="A3825" t="str">
            <v>OP</v>
          </cell>
          <cell r="B3825" t="str">
            <v>Quá 24h</v>
          </cell>
          <cell r="D3825" t="str">
            <v>Khiếu nại về dịch vụ FTTH</v>
          </cell>
          <cell r="W3825" t="str">
            <v>Đang xử lý</v>
          </cell>
          <cell r="AJ3825" t="str">
            <v>Hà Nội 1</v>
          </cell>
          <cell r="BX3825" t="str">
            <v>AON</v>
          </cell>
        </row>
        <row r="3826">
          <cell r="A3826" t="str">
            <v>OP</v>
          </cell>
          <cell r="B3826" t="str">
            <v>Quá 24h</v>
          </cell>
          <cell r="D3826" t="str">
            <v>Khiếu nại về dịch vụ FTTH</v>
          </cell>
          <cell r="W3826" t="str">
            <v>Đang xử lý</v>
          </cell>
          <cell r="AJ3826" t="str">
            <v>Hà Nội 1</v>
          </cell>
          <cell r="BX3826" t="str">
            <v>AON</v>
          </cell>
        </row>
        <row r="3827">
          <cell r="A3827" t="str">
            <v>OP</v>
          </cell>
          <cell r="B3827" t="str">
            <v>Quá 24h</v>
          </cell>
          <cell r="D3827" t="str">
            <v>Khiếu nại về dịch vụ FTTH</v>
          </cell>
          <cell r="W3827" t="str">
            <v>Đang xử lý</v>
          </cell>
          <cell r="AJ3827" t="str">
            <v>Hải Phòng</v>
          </cell>
          <cell r="BX3827" t="str">
            <v>AON</v>
          </cell>
        </row>
        <row r="3828">
          <cell r="A3828" t="str">
            <v>OP</v>
          </cell>
          <cell r="B3828" t="str">
            <v>Quá 24h</v>
          </cell>
          <cell r="D3828" t="str">
            <v>Khiếu nại về dịch vụ FTTH</v>
          </cell>
          <cell r="W3828" t="str">
            <v>Đang xử lý</v>
          </cell>
          <cell r="AJ3828" t="str">
            <v>Hà Nội 2</v>
          </cell>
          <cell r="BX3828" t="str">
            <v>AON</v>
          </cell>
        </row>
        <row r="3829">
          <cell r="A3829" t="str">
            <v>OP</v>
          </cell>
          <cell r="B3829" t="str">
            <v>Quá 24h</v>
          </cell>
          <cell r="D3829" t="str">
            <v>Khiếu nại về dịch vụ FTTH</v>
          </cell>
          <cell r="W3829" t="str">
            <v>Đang xử lý</v>
          </cell>
          <cell r="AJ3829" t="str">
            <v>Thanh Hoá</v>
          </cell>
          <cell r="BX3829" t="str">
            <v>AON</v>
          </cell>
        </row>
        <row r="3830">
          <cell r="A3830" t="str">
            <v>OP</v>
          </cell>
          <cell r="B3830" t="str">
            <v>Quá 24h</v>
          </cell>
          <cell r="D3830" t="str">
            <v>Khiếu nại về dịch vụ FTTH</v>
          </cell>
          <cell r="W3830" t="str">
            <v>Đang xử lý</v>
          </cell>
          <cell r="AJ3830" t="str">
            <v xml:space="preserve">Hà Tĩnh </v>
          </cell>
          <cell r="BX3830" t="str">
            <v>AON</v>
          </cell>
        </row>
        <row r="3831">
          <cell r="A3831" t="str">
            <v>OP</v>
          </cell>
          <cell r="B3831" t="str">
            <v>Quá 24h</v>
          </cell>
          <cell r="D3831" t="str">
            <v>Khiếu nại về dịch vụ FTTH</v>
          </cell>
          <cell r="W3831" t="str">
            <v>Đang xử lý</v>
          </cell>
          <cell r="AJ3831" t="str">
            <v>Hải Phòng</v>
          </cell>
          <cell r="BX3831" t="str">
            <v>AON</v>
          </cell>
        </row>
        <row r="3832">
          <cell r="A3832" t="str">
            <v>OP</v>
          </cell>
          <cell r="B3832" t="str">
            <v>Quá 24h</v>
          </cell>
          <cell r="D3832" t="str">
            <v>Khiếu nại về dịch vụ FTTH</v>
          </cell>
          <cell r="W3832" t="str">
            <v>Đang xử lý</v>
          </cell>
          <cell r="AJ3832" t="str">
            <v>Bắc Giang</v>
          </cell>
          <cell r="BX3832" t="str">
            <v>AON</v>
          </cell>
        </row>
        <row r="3833">
          <cell r="A3833" t="str">
            <v>OP</v>
          </cell>
          <cell r="B3833" t="str">
            <v>Quá 24h</v>
          </cell>
          <cell r="D3833" t="str">
            <v>Khiếu nại về dịch vụ FTTH</v>
          </cell>
          <cell r="W3833" t="str">
            <v>Đang xử lý</v>
          </cell>
          <cell r="AJ3833" t="str">
            <v>Hà Nội 1</v>
          </cell>
          <cell r="BX3833" t="str">
            <v>AON</v>
          </cell>
        </row>
        <row r="3834">
          <cell r="A3834" t="str">
            <v>OP</v>
          </cell>
          <cell r="B3834" t="str">
            <v>Quá 24h</v>
          </cell>
          <cell r="D3834" t="str">
            <v>Khiếu nại về dịch vụ FTTH</v>
          </cell>
          <cell r="W3834" t="str">
            <v>Đang xử lý</v>
          </cell>
          <cell r="AJ3834" t="str">
            <v>Hà Nội 2</v>
          </cell>
          <cell r="BX3834" t="str">
            <v>AON</v>
          </cell>
        </row>
        <row r="3835">
          <cell r="A3835" t="str">
            <v>OP</v>
          </cell>
          <cell r="B3835" t="str">
            <v>Quá 24h</v>
          </cell>
          <cell r="D3835" t="str">
            <v>Khiếu nại về dịch vụ FTTH</v>
          </cell>
          <cell r="W3835" t="str">
            <v>Đang xử lý</v>
          </cell>
          <cell r="AJ3835" t="str">
            <v>Hà Nội 1</v>
          </cell>
          <cell r="BX3835" t="str">
            <v>AON</v>
          </cell>
        </row>
        <row r="3836">
          <cell r="A3836" t="str">
            <v>OP</v>
          </cell>
          <cell r="B3836" t="str">
            <v>Quá 24h</v>
          </cell>
          <cell r="D3836" t="str">
            <v>Khiếu nại về dịch vụ FTTH</v>
          </cell>
          <cell r="W3836" t="str">
            <v>Đã đóng</v>
          </cell>
          <cell r="AJ3836" t="str">
            <v>Hà Nam</v>
          </cell>
          <cell r="BX3836" t="str">
            <v>AON</v>
          </cell>
        </row>
        <row r="3837">
          <cell r="A3837" t="str">
            <v>OP</v>
          </cell>
          <cell r="B3837" t="str">
            <v>Quá 24h</v>
          </cell>
          <cell r="D3837" t="str">
            <v>Khiếu nại về dịch vụ FTTH</v>
          </cell>
          <cell r="W3837" t="str">
            <v>Đang xử lý</v>
          </cell>
          <cell r="AJ3837" t="str">
            <v>Bắc Giang</v>
          </cell>
          <cell r="BX3837" t="str">
            <v>AON</v>
          </cell>
        </row>
        <row r="3838">
          <cell r="A3838" t="str">
            <v>OP</v>
          </cell>
          <cell r="B3838" t="str">
            <v>Quá 24h</v>
          </cell>
          <cell r="D3838" t="str">
            <v>Khiếu nại về dịch vụ FTTH</v>
          </cell>
          <cell r="W3838" t="str">
            <v>Đang xử lý</v>
          </cell>
          <cell r="AJ3838" t="str">
            <v>Hải Phòng</v>
          </cell>
          <cell r="BX3838" t="str">
            <v>AON</v>
          </cell>
        </row>
        <row r="3839">
          <cell r="A3839" t="str">
            <v>OP</v>
          </cell>
          <cell r="B3839" t="str">
            <v>Quá 24h</v>
          </cell>
          <cell r="D3839" t="str">
            <v>Khiếu nại về dịch vụ FTTH</v>
          </cell>
          <cell r="W3839" t="str">
            <v>Đang xử lý</v>
          </cell>
          <cell r="AJ3839" t="str">
            <v>Hà Nội 1</v>
          </cell>
          <cell r="BX3839" t="str">
            <v>AON</v>
          </cell>
        </row>
        <row r="3840">
          <cell r="A3840" t="str">
            <v>OP</v>
          </cell>
          <cell r="B3840" t="str">
            <v>Quá 24h</v>
          </cell>
          <cell r="D3840" t="str">
            <v>Khiếu nại về dịch vụ FTTH</v>
          </cell>
          <cell r="W3840" t="str">
            <v>Đang xử lý</v>
          </cell>
          <cell r="AJ3840" t="str">
            <v>Lạng Sơn</v>
          </cell>
          <cell r="BX3840" t="str">
            <v>AON</v>
          </cell>
        </row>
        <row r="3841">
          <cell r="A3841" t="str">
            <v>OP</v>
          </cell>
          <cell r="B3841" t="str">
            <v>Quá 24h</v>
          </cell>
          <cell r="D3841" t="str">
            <v>Khiếu nại về dịch vụ FTTH</v>
          </cell>
          <cell r="W3841" t="str">
            <v>Đang xử lý</v>
          </cell>
          <cell r="AJ3841" t="str">
            <v xml:space="preserve">Hà Tĩnh </v>
          </cell>
          <cell r="BX3841" t="str">
            <v>AON</v>
          </cell>
        </row>
        <row r="3842">
          <cell r="A3842" t="str">
            <v>OP</v>
          </cell>
          <cell r="B3842" t="str">
            <v>Quá 24h</v>
          </cell>
          <cell r="D3842" t="str">
            <v>Khiếu nại về dịch vụ FTTH</v>
          </cell>
          <cell r="W3842" t="str">
            <v>Đang xử lý</v>
          </cell>
          <cell r="AJ3842" t="str">
            <v>Hà Nam</v>
          </cell>
          <cell r="BX3842" t="str">
            <v>AON</v>
          </cell>
        </row>
        <row r="3843">
          <cell r="A3843" t="str">
            <v>OP</v>
          </cell>
          <cell r="B3843" t="str">
            <v>Quá 24h</v>
          </cell>
          <cell r="D3843" t="str">
            <v>Khiếu nại về dịch vụ FTTH</v>
          </cell>
          <cell r="W3843" t="str">
            <v>Đang xử lý</v>
          </cell>
          <cell r="AJ3843" t="str">
            <v>Hải Phòng</v>
          </cell>
          <cell r="BX3843" t="str">
            <v>AON</v>
          </cell>
        </row>
        <row r="3844">
          <cell r="A3844" t="str">
            <v>OP</v>
          </cell>
          <cell r="B3844" t="str">
            <v>Quá 24h</v>
          </cell>
          <cell r="D3844" t="str">
            <v>Khiếu nại về dịch vụ FTTH</v>
          </cell>
          <cell r="W3844" t="str">
            <v>Đang xử lý</v>
          </cell>
          <cell r="AJ3844" t="str">
            <v>Hà Nội 1</v>
          </cell>
          <cell r="BX3844" t="str">
            <v>AON</v>
          </cell>
        </row>
        <row r="3845">
          <cell r="A3845" t="str">
            <v>OP</v>
          </cell>
          <cell r="B3845" t="str">
            <v>Quá 24h</v>
          </cell>
          <cell r="D3845" t="str">
            <v>Khiếu nại về dịch vụ FTTH</v>
          </cell>
          <cell r="W3845" t="str">
            <v>Đã đóng</v>
          </cell>
          <cell r="AJ3845" t="str">
            <v>Hà Nam</v>
          </cell>
          <cell r="BX3845" t="str">
            <v>AON</v>
          </cell>
        </row>
        <row r="3846">
          <cell r="A3846" t="str">
            <v>OP</v>
          </cell>
          <cell r="B3846" t="str">
            <v>Quá 24h</v>
          </cell>
          <cell r="D3846" t="str">
            <v>Khiếu nại về dịch vụ FTTH</v>
          </cell>
          <cell r="W3846" t="str">
            <v>Đang xử lý</v>
          </cell>
          <cell r="AJ3846" t="str">
            <v>Yên Bái</v>
          </cell>
          <cell r="BX3846" t="str">
            <v>AON</v>
          </cell>
        </row>
        <row r="3847">
          <cell r="A3847" t="str">
            <v>OP</v>
          </cell>
          <cell r="B3847" t="str">
            <v>Quá 24h</v>
          </cell>
          <cell r="D3847" t="str">
            <v>Khiếu nại về dịch vụ FTTH</v>
          </cell>
          <cell r="W3847" t="str">
            <v>Đang xử lý</v>
          </cell>
          <cell r="AJ3847" t="str">
            <v>Hải Phòng</v>
          </cell>
          <cell r="BX3847" t="str">
            <v>AON</v>
          </cell>
        </row>
        <row r="3848">
          <cell r="A3848" t="str">
            <v>OP</v>
          </cell>
          <cell r="B3848" t="str">
            <v>Quá 24h</v>
          </cell>
          <cell r="D3848" t="str">
            <v>Khiếu nại về dịch vụ FTTH</v>
          </cell>
          <cell r="W3848" t="str">
            <v>Đang xử lý</v>
          </cell>
          <cell r="AJ3848" t="str">
            <v>Hải Phòng</v>
          </cell>
          <cell r="BX3848" t="str">
            <v>AON</v>
          </cell>
        </row>
        <row r="3849">
          <cell r="A3849" t="str">
            <v>OP</v>
          </cell>
          <cell r="B3849" t="str">
            <v>Quá 24h</v>
          </cell>
          <cell r="D3849" t="str">
            <v>Khiếu nại về dịch vụ FTTH</v>
          </cell>
          <cell r="W3849" t="str">
            <v>Đã đóng</v>
          </cell>
          <cell r="AJ3849" t="str">
            <v>Thái Nguyên</v>
          </cell>
          <cell r="BX3849" t="str">
            <v>AON</v>
          </cell>
        </row>
        <row r="3850">
          <cell r="A3850" t="str">
            <v>OP</v>
          </cell>
          <cell r="B3850" t="str">
            <v>Quá 24h</v>
          </cell>
          <cell r="D3850" t="str">
            <v>Khiếu nại về dịch vụ FTTH</v>
          </cell>
          <cell r="W3850" t="str">
            <v>Đã đóng</v>
          </cell>
          <cell r="AJ3850" t="str">
            <v>Hà Nam</v>
          </cell>
          <cell r="BX3850" t="str">
            <v>AON</v>
          </cell>
        </row>
        <row r="3851">
          <cell r="A3851" t="str">
            <v>OP</v>
          </cell>
          <cell r="B3851" t="str">
            <v>Quá 24h</v>
          </cell>
          <cell r="D3851" t="str">
            <v>Khiếu nại về dịch vụ FTTH</v>
          </cell>
          <cell r="W3851" t="str">
            <v>Đang xử lý</v>
          </cell>
          <cell r="AJ3851" t="str">
            <v>Bắc Giang</v>
          </cell>
          <cell r="BX3851" t="str">
            <v>AON</v>
          </cell>
        </row>
        <row r="3852">
          <cell r="A3852" t="str">
            <v>OP</v>
          </cell>
          <cell r="B3852" t="str">
            <v>Quá 24h</v>
          </cell>
          <cell r="D3852" t="str">
            <v>Khiếu nại về dịch vụ FTTH</v>
          </cell>
          <cell r="W3852" t="str">
            <v>Đang xử lý</v>
          </cell>
          <cell r="AJ3852" t="str">
            <v>Hải Dương</v>
          </cell>
          <cell r="BX3852" t="str">
            <v>AON</v>
          </cell>
        </row>
        <row r="3853">
          <cell r="A3853" t="str">
            <v>OP</v>
          </cell>
          <cell r="B3853" t="str">
            <v>Quá 24h</v>
          </cell>
          <cell r="D3853" t="str">
            <v>Khiếu nại về dịch vụ FTTH</v>
          </cell>
          <cell r="W3853" t="str">
            <v>Đang xử lý</v>
          </cell>
          <cell r="AJ3853" t="str">
            <v>Hà Nội 1</v>
          </cell>
          <cell r="BX3853" t="str">
            <v>AON</v>
          </cell>
        </row>
        <row r="3854">
          <cell r="A3854" t="str">
            <v>OP</v>
          </cell>
          <cell r="B3854" t="str">
            <v>Quá 24h</v>
          </cell>
          <cell r="D3854" t="str">
            <v>Khiếu nại về dịch vụ FTTH</v>
          </cell>
          <cell r="W3854" t="str">
            <v>Đang xử lý</v>
          </cell>
          <cell r="AJ3854" t="str">
            <v>Hà Nội 2</v>
          </cell>
          <cell r="BX3854" t="str">
            <v>AON</v>
          </cell>
        </row>
        <row r="3855">
          <cell r="A3855" t="str">
            <v>OP</v>
          </cell>
          <cell r="B3855" t="str">
            <v>Quá 24h</v>
          </cell>
          <cell r="D3855" t="str">
            <v>Khiếu nại về dịch vụ FTTH</v>
          </cell>
          <cell r="W3855" t="str">
            <v>Đang xử lý</v>
          </cell>
          <cell r="AJ3855" t="str">
            <v xml:space="preserve">Hà Tĩnh </v>
          </cell>
          <cell r="BX3855" t="str">
            <v>AON</v>
          </cell>
        </row>
        <row r="3856">
          <cell r="A3856" t="str">
            <v>OP</v>
          </cell>
          <cell r="B3856" t="str">
            <v>Quá 24h</v>
          </cell>
          <cell r="D3856" t="str">
            <v>Khiếu nại về dịch vụ FTTH</v>
          </cell>
          <cell r="W3856" t="str">
            <v>Đang xử lý</v>
          </cell>
          <cell r="AJ3856" t="str">
            <v>Hải Phòng</v>
          </cell>
          <cell r="BX3856" t="str">
            <v>AON</v>
          </cell>
        </row>
        <row r="3857">
          <cell r="A3857" t="str">
            <v>OP</v>
          </cell>
          <cell r="B3857" t="str">
            <v>Quá 24h</v>
          </cell>
          <cell r="D3857" t="str">
            <v>Khiếu nại về dịch vụ FTTH</v>
          </cell>
          <cell r="W3857" t="str">
            <v>Đang xử lý</v>
          </cell>
          <cell r="AJ3857" t="str">
            <v>Thái Nguyên</v>
          </cell>
          <cell r="BX3857" t="str">
            <v>AON</v>
          </cell>
        </row>
        <row r="3858">
          <cell r="A3858" t="str">
            <v>OP</v>
          </cell>
          <cell r="B3858" t="str">
            <v>Quá 24h</v>
          </cell>
          <cell r="D3858" t="str">
            <v>Khiếu nại về dịch vụ FTTH</v>
          </cell>
          <cell r="W3858" t="str">
            <v>Đang xử lý</v>
          </cell>
          <cell r="AJ3858" t="str">
            <v>Thanh Hoá</v>
          </cell>
          <cell r="BX3858" t="str">
            <v>AON</v>
          </cell>
        </row>
        <row r="3859">
          <cell r="A3859" t="str">
            <v>OP</v>
          </cell>
          <cell r="B3859" t="str">
            <v>Quá 24h</v>
          </cell>
          <cell r="D3859" t="str">
            <v>Khiếu nại về dịch vụ FTTH</v>
          </cell>
          <cell r="W3859" t="str">
            <v>Đang xử lý</v>
          </cell>
          <cell r="AJ3859" t="str">
            <v>Hà Nội 2</v>
          </cell>
          <cell r="BX3859" t="str">
            <v>AON</v>
          </cell>
        </row>
        <row r="3860">
          <cell r="A3860" t="str">
            <v>OP</v>
          </cell>
          <cell r="B3860" t="str">
            <v>Quá 24h</v>
          </cell>
          <cell r="D3860" t="str">
            <v>Khiếu nại về dịch vụ FTTH</v>
          </cell>
          <cell r="W3860" t="str">
            <v>Đã đóng</v>
          </cell>
          <cell r="AJ3860" t="str">
            <v>Nghệ An</v>
          </cell>
          <cell r="BX3860" t="str">
            <v>AON</v>
          </cell>
        </row>
        <row r="3861">
          <cell r="A3861" t="str">
            <v>OP</v>
          </cell>
          <cell r="B3861" t="str">
            <v>Quá 24h</v>
          </cell>
          <cell r="D3861" t="str">
            <v>Khiếu nại về dịch vụ FTTH</v>
          </cell>
          <cell r="W3861" t="str">
            <v>Đang xử lý</v>
          </cell>
          <cell r="AJ3861" t="str">
            <v>Hà Nội 2</v>
          </cell>
          <cell r="BX3861" t="str">
            <v>AON</v>
          </cell>
        </row>
        <row r="3862">
          <cell r="A3862" t="str">
            <v>OP</v>
          </cell>
          <cell r="B3862" t="str">
            <v>Quá 24h</v>
          </cell>
          <cell r="D3862" t="str">
            <v>Khiếu nại về dịch vụ FTTH</v>
          </cell>
          <cell r="W3862" t="str">
            <v>Đang xử lý</v>
          </cell>
          <cell r="AJ3862" t="str">
            <v>Hà Nội 1</v>
          </cell>
          <cell r="BX3862" t="str">
            <v>AON</v>
          </cell>
        </row>
        <row r="3863">
          <cell r="A3863" t="str">
            <v>OP</v>
          </cell>
          <cell r="B3863" t="str">
            <v>Quá 24h</v>
          </cell>
          <cell r="D3863" t="str">
            <v>Khiếu nại về dịch vụ FTTH</v>
          </cell>
          <cell r="W3863" t="str">
            <v>Đang xử lý</v>
          </cell>
          <cell r="AJ3863" t="str">
            <v>Yên Bái</v>
          </cell>
          <cell r="BX3863" t="str">
            <v>AON</v>
          </cell>
        </row>
        <row r="3864">
          <cell r="A3864" t="str">
            <v>OP</v>
          </cell>
          <cell r="B3864" t="str">
            <v>Quá 24h</v>
          </cell>
          <cell r="D3864" t="str">
            <v>Khiếu nại về dịch vụ FTTH</v>
          </cell>
          <cell r="W3864" t="str">
            <v>Đang xử lý</v>
          </cell>
          <cell r="AJ3864" t="str">
            <v>Hà Nội 1</v>
          </cell>
          <cell r="BX3864" t="str">
            <v>AON</v>
          </cell>
        </row>
        <row r="3865">
          <cell r="A3865" t="str">
            <v>OP</v>
          </cell>
          <cell r="B3865" t="str">
            <v>Quá 24h</v>
          </cell>
          <cell r="D3865" t="str">
            <v>Khiếu nại về dịch vụ FTTH</v>
          </cell>
          <cell r="W3865" t="str">
            <v>Đã đóng</v>
          </cell>
          <cell r="AJ3865" t="str">
            <v>Quảng Ninh</v>
          </cell>
          <cell r="BX3865" t="str">
            <v>AON</v>
          </cell>
        </row>
        <row r="3866">
          <cell r="A3866" t="str">
            <v>OP</v>
          </cell>
          <cell r="B3866" t="str">
            <v>Quá 24h</v>
          </cell>
          <cell r="D3866" t="str">
            <v>Khiếu nại về dịch vụ FTTH</v>
          </cell>
          <cell r="W3866" t="str">
            <v>Đã đóng</v>
          </cell>
          <cell r="AJ3866" t="str">
            <v>Nghệ An</v>
          </cell>
          <cell r="BX3866" t="str">
            <v>AON</v>
          </cell>
        </row>
        <row r="3867">
          <cell r="A3867" t="str">
            <v>OP</v>
          </cell>
          <cell r="B3867" t="str">
            <v>Quá 24h</v>
          </cell>
          <cell r="D3867" t="str">
            <v>Khiếu nại về dịch vụ FTTH</v>
          </cell>
          <cell r="W3867" t="str">
            <v>Đang xử lý</v>
          </cell>
          <cell r="AJ3867" t="str">
            <v>Hà Nội 2</v>
          </cell>
          <cell r="BX3867" t="str">
            <v>AON</v>
          </cell>
        </row>
        <row r="3868">
          <cell r="A3868" t="str">
            <v>OP</v>
          </cell>
          <cell r="B3868" t="str">
            <v>Quá 24h</v>
          </cell>
          <cell r="D3868" t="str">
            <v>Khiếu nại về dịch vụ FTTH</v>
          </cell>
          <cell r="W3868" t="str">
            <v>Đã đóng</v>
          </cell>
          <cell r="AJ3868" t="str">
            <v>Nghệ An</v>
          </cell>
          <cell r="BX3868" t="str">
            <v>AON</v>
          </cell>
        </row>
        <row r="3869">
          <cell r="A3869" t="str">
            <v>OP</v>
          </cell>
          <cell r="B3869" t="str">
            <v>Quá 24h</v>
          </cell>
          <cell r="D3869" t="str">
            <v>Khiếu nại về dịch vụ FTTH</v>
          </cell>
          <cell r="W3869" t="str">
            <v>Đang xử lý</v>
          </cell>
          <cell r="AJ3869" t="str">
            <v>Hà Nội 1</v>
          </cell>
          <cell r="BX3869" t="str">
            <v>AON</v>
          </cell>
        </row>
        <row r="3870">
          <cell r="A3870" t="str">
            <v>OP</v>
          </cell>
          <cell r="B3870" t="str">
            <v>Quá 24h</v>
          </cell>
          <cell r="D3870" t="str">
            <v>Khiếu nại về dịch vụ FTTH</v>
          </cell>
          <cell r="W3870" t="str">
            <v>Đã đóng</v>
          </cell>
          <cell r="AJ3870" t="str">
            <v>Nghệ An</v>
          </cell>
          <cell r="BX3870" t="str">
            <v>AON</v>
          </cell>
        </row>
        <row r="3871">
          <cell r="A3871" t="str">
            <v>OP</v>
          </cell>
          <cell r="B3871" t="str">
            <v>Quá 24h</v>
          </cell>
          <cell r="D3871" t="str">
            <v>Khiếu nại về dịch vụ FTTH</v>
          </cell>
          <cell r="W3871" t="str">
            <v>Đã đóng</v>
          </cell>
          <cell r="AJ3871" t="str">
            <v>Quảng Ninh</v>
          </cell>
          <cell r="BX3871" t="str">
            <v>AON</v>
          </cell>
        </row>
        <row r="3872">
          <cell r="A3872" t="str">
            <v>OP</v>
          </cell>
          <cell r="B3872" t="str">
            <v>Quá 24h</v>
          </cell>
          <cell r="D3872" t="str">
            <v>Khiếu nại về dịch vụ FTTH</v>
          </cell>
          <cell r="W3872" t="str">
            <v>Đang xử lý</v>
          </cell>
          <cell r="AJ3872" t="str">
            <v>Nam Định</v>
          </cell>
          <cell r="BX3872" t="str">
            <v>AON</v>
          </cell>
        </row>
        <row r="3873">
          <cell r="A3873" t="str">
            <v>OP</v>
          </cell>
          <cell r="B3873" t="str">
            <v>Quá 24h</v>
          </cell>
          <cell r="D3873" t="str">
            <v>Khiếu nại về dịch vụ FTTH</v>
          </cell>
          <cell r="W3873" t="str">
            <v>Đã đóng</v>
          </cell>
          <cell r="AJ3873" t="str">
            <v>Bắc Ninh</v>
          </cell>
          <cell r="BX3873" t="str">
            <v>AON</v>
          </cell>
        </row>
        <row r="3874">
          <cell r="A3874" t="str">
            <v>OP</v>
          </cell>
          <cell r="B3874" t="str">
            <v>Quá 24h</v>
          </cell>
          <cell r="D3874" t="str">
            <v>Khiếu nại về dịch vụ FTTH</v>
          </cell>
          <cell r="W3874" t="str">
            <v>Đang xử lý</v>
          </cell>
          <cell r="AJ3874" t="str">
            <v>Hà Nội 2</v>
          </cell>
          <cell r="BX3874" t="str">
            <v>AON</v>
          </cell>
        </row>
        <row r="3875">
          <cell r="A3875" t="str">
            <v>OP</v>
          </cell>
          <cell r="B3875" t="str">
            <v>Quá 24h</v>
          </cell>
          <cell r="D3875" t="str">
            <v>Khiếu nại về dịch vụ FTTH</v>
          </cell>
          <cell r="W3875" t="str">
            <v>Đã đóng</v>
          </cell>
          <cell r="AJ3875" t="str">
            <v>Nghệ An</v>
          </cell>
          <cell r="BX3875" t="str">
            <v>AON</v>
          </cell>
        </row>
        <row r="3876">
          <cell r="A3876" t="str">
            <v>OP</v>
          </cell>
          <cell r="B3876" t="str">
            <v>Quá 24h</v>
          </cell>
          <cell r="D3876" t="str">
            <v>Khiếu nại về dịch vụ FTTH</v>
          </cell>
          <cell r="W3876" t="str">
            <v>Đã đóng</v>
          </cell>
          <cell r="AJ3876" t="str">
            <v>Thanh Hoá</v>
          </cell>
          <cell r="BX3876" t="str">
            <v>AON</v>
          </cell>
        </row>
        <row r="3877">
          <cell r="A3877" t="str">
            <v>OP</v>
          </cell>
          <cell r="B3877" t="str">
            <v>Quá 24h</v>
          </cell>
          <cell r="D3877" t="str">
            <v>Khiếu nại về dịch vụ FTTH</v>
          </cell>
          <cell r="W3877" t="str">
            <v>Đã đóng</v>
          </cell>
          <cell r="AJ3877" t="str">
            <v>Bắc Ninh</v>
          </cell>
          <cell r="BX3877" t="str">
            <v>AON</v>
          </cell>
        </row>
        <row r="3878">
          <cell r="A3878" t="str">
            <v>OP</v>
          </cell>
          <cell r="B3878" t="str">
            <v>Quá 24h</v>
          </cell>
          <cell r="D3878" t="str">
            <v>Khiếu nại về dịch vụ FTTH</v>
          </cell>
          <cell r="W3878" t="str">
            <v>Đã đóng</v>
          </cell>
          <cell r="AJ3878" t="str">
            <v>Hà Nam</v>
          </cell>
          <cell r="BX3878" t="str">
            <v>AON</v>
          </cell>
        </row>
        <row r="3879">
          <cell r="A3879" t="str">
            <v>OP</v>
          </cell>
          <cell r="B3879" t="str">
            <v>Quá 24h</v>
          </cell>
          <cell r="D3879" t="str">
            <v>Khiếu nại về dịch vụ FTTH</v>
          </cell>
          <cell r="W3879" t="str">
            <v>Đang xử lý</v>
          </cell>
          <cell r="AJ3879" t="str">
            <v xml:space="preserve">Hà Tĩnh </v>
          </cell>
          <cell r="BX3879" t="str">
            <v>AON</v>
          </cell>
        </row>
        <row r="3880">
          <cell r="A3880" t="str">
            <v>OP</v>
          </cell>
          <cell r="B3880" t="str">
            <v>Quá 24h</v>
          </cell>
          <cell r="D3880" t="str">
            <v>Khiếu nại về dịch vụ FTTH</v>
          </cell>
          <cell r="W3880" t="str">
            <v>Đang xử lý</v>
          </cell>
          <cell r="AJ3880" t="str">
            <v>Nam Định</v>
          </cell>
          <cell r="BX3880" t="str">
            <v>AON</v>
          </cell>
        </row>
        <row r="3881">
          <cell r="A3881" t="str">
            <v>OP</v>
          </cell>
          <cell r="B3881" t="str">
            <v>Quá 24h</v>
          </cell>
          <cell r="D3881" t="str">
            <v>Khiếu nại về dịch vụ FTTH</v>
          </cell>
          <cell r="W3881" t="str">
            <v>Đã đóng</v>
          </cell>
          <cell r="AJ3881" t="str">
            <v>Nghệ An</v>
          </cell>
          <cell r="BX3881" t="str">
            <v>AON</v>
          </cell>
        </row>
        <row r="3882">
          <cell r="A3882" t="str">
            <v>OP</v>
          </cell>
          <cell r="B3882" t="str">
            <v>Quá 24h</v>
          </cell>
          <cell r="D3882" t="str">
            <v>Khiếu nại về dịch vụ FTTH</v>
          </cell>
          <cell r="W3882" t="str">
            <v>Đã đóng</v>
          </cell>
          <cell r="AJ3882" t="str">
            <v>Nghệ An</v>
          </cell>
          <cell r="BX3882" t="str">
            <v>AON</v>
          </cell>
        </row>
        <row r="3883">
          <cell r="A3883" t="str">
            <v>OP</v>
          </cell>
          <cell r="B3883" t="str">
            <v>Quá 24h</v>
          </cell>
          <cell r="D3883" t="str">
            <v>Khiếu nại về dịch vụ FTTH</v>
          </cell>
          <cell r="W3883" t="str">
            <v>Đã đóng</v>
          </cell>
          <cell r="AJ3883" t="str">
            <v>Bắc Ninh</v>
          </cell>
          <cell r="BX3883" t="str">
            <v>AON</v>
          </cell>
        </row>
        <row r="3884">
          <cell r="A3884" t="str">
            <v>OP</v>
          </cell>
          <cell r="B3884" t="str">
            <v>Quá 24h</v>
          </cell>
          <cell r="D3884" t="str">
            <v>Khiếu nại về dịch vụ FTTH</v>
          </cell>
          <cell r="W3884" t="str">
            <v>Đã đóng</v>
          </cell>
          <cell r="AJ3884" t="str">
            <v>Quảng Ninh</v>
          </cell>
          <cell r="BX3884" t="str">
            <v>AON</v>
          </cell>
        </row>
        <row r="3885">
          <cell r="A3885" t="str">
            <v>OP</v>
          </cell>
          <cell r="B3885" t="str">
            <v>Quá 24h</v>
          </cell>
          <cell r="D3885" t="str">
            <v>Khiếu nại về dịch vụ FTTH</v>
          </cell>
          <cell r="W3885" t="str">
            <v>Đã đóng</v>
          </cell>
          <cell r="AJ3885" t="str">
            <v>Nghệ An</v>
          </cell>
          <cell r="BX3885" t="str">
            <v>AON</v>
          </cell>
        </row>
        <row r="3886">
          <cell r="A3886" t="str">
            <v>OP</v>
          </cell>
          <cell r="B3886" t="str">
            <v>Quá 24h</v>
          </cell>
          <cell r="D3886" t="str">
            <v>Khiếu nại về dịch vụ FTTH</v>
          </cell>
          <cell r="W3886" t="str">
            <v>Đã đóng</v>
          </cell>
          <cell r="AJ3886" t="str">
            <v>Quảng Ninh</v>
          </cell>
          <cell r="BX3886" t="str">
            <v>AON</v>
          </cell>
        </row>
        <row r="3887">
          <cell r="A3887" t="str">
            <v>OP</v>
          </cell>
          <cell r="B3887" t="str">
            <v>Quá 24h</v>
          </cell>
          <cell r="D3887" t="str">
            <v>Khiếu nại về dịch vụ FTTH</v>
          </cell>
          <cell r="W3887" t="str">
            <v>Đã đóng</v>
          </cell>
          <cell r="AJ3887" t="str">
            <v>Hưng Yên</v>
          </cell>
          <cell r="BX3887" t="str">
            <v>AON</v>
          </cell>
        </row>
        <row r="3888">
          <cell r="A3888" t="str">
            <v>OP</v>
          </cell>
          <cell r="B3888" t="str">
            <v>Quá 24h</v>
          </cell>
          <cell r="D3888" t="str">
            <v>Khiếu nại về dịch vụ FTTH</v>
          </cell>
          <cell r="W3888" t="str">
            <v>Đang xử lý</v>
          </cell>
          <cell r="AJ3888" t="str">
            <v>Bắc Giang</v>
          </cell>
          <cell r="BX3888" t="str">
            <v>AON</v>
          </cell>
        </row>
        <row r="3889">
          <cell r="A3889" t="str">
            <v>OP</v>
          </cell>
          <cell r="B3889" t="str">
            <v>Quá 24h</v>
          </cell>
          <cell r="D3889" t="str">
            <v>Khiếu nại về dịch vụ FTTH</v>
          </cell>
          <cell r="W3889" t="str">
            <v>Đang xử lý</v>
          </cell>
          <cell r="AJ3889" t="str">
            <v>Quảng Ninh</v>
          </cell>
          <cell r="BX3889" t="str">
            <v>AON</v>
          </cell>
        </row>
        <row r="3890">
          <cell r="A3890" t="str">
            <v>OP</v>
          </cell>
          <cell r="B3890" t="str">
            <v>Quá 24h</v>
          </cell>
          <cell r="D3890" t="str">
            <v>Khiếu nại về dịch vụ FTTH</v>
          </cell>
          <cell r="W3890" t="str">
            <v>Đã đóng</v>
          </cell>
          <cell r="AJ3890" t="str">
            <v>Nghệ An</v>
          </cell>
          <cell r="BX3890" t="str">
            <v>AON</v>
          </cell>
        </row>
        <row r="3891">
          <cell r="A3891" t="str">
            <v>OP</v>
          </cell>
          <cell r="B3891" t="str">
            <v>Quá 24h</v>
          </cell>
          <cell r="D3891" t="str">
            <v>Khiếu nại về dịch vụ FTTH</v>
          </cell>
          <cell r="W3891" t="str">
            <v>Đã đóng</v>
          </cell>
          <cell r="AJ3891" t="str">
            <v>Quảng Ninh</v>
          </cell>
          <cell r="BX3891" t="str">
            <v>AON</v>
          </cell>
        </row>
        <row r="3892">
          <cell r="A3892" t="str">
            <v>OP</v>
          </cell>
          <cell r="B3892" t="str">
            <v>Quá 24h</v>
          </cell>
          <cell r="D3892" t="str">
            <v>Khiếu nại về dịch vụ FTTH</v>
          </cell>
          <cell r="W3892" t="str">
            <v>Đang xử lý</v>
          </cell>
          <cell r="AJ3892" t="str">
            <v>Hà Nội 1</v>
          </cell>
          <cell r="BX3892" t="str">
            <v>AON</v>
          </cell>
        </row>
        <row r="3893">
          <cell r="A3893" t="str">
            <v>OP</v>
          </cell>
          <cell r="B3893" t="str">
            <v>Quá 24h</v>
          </cell>
          <cell r="D3893" t="str">
            <v>Khiếu nại về dịch vụ FTTH</v>
          </cell>
          <cell r="W3893" t="str">
            <v>Đã đóng</v>
          </cell>
          <cell r="AJ3893" t="str">
            <v>Cao Bằng</v>
          </cell>
          <cell r="BX3893" t="str">
            <v>AON</v>
          </cell>
        </row>
        <row r="3894">
          <cell r="A3894" t="str">
            <v>OP</v>
          </cell>
          <cell r="B3894" t="str">
            <v>Quá 24h</v>
          </cell>
          <cell r="D3894" t="str">
            <v>Khiếu nại về dịch vụ FTTH</v>
          </cell>
          <cell r="W3894" t="str">
            <v>Đã đóng</v>
          </cell>
          <cell r="AJ3894" t="str">
            <v>Thái Nguyên</v>
          </cell>
          <cell r="BX3894" t="str">
            <v>AON</v>
          </cell>
        </row>
        <row r="3895">
          <cell r="A3895" t="str">
            <v>OP</v>
          </cell>
          <cell r="B3895" t="str">
            <v>Quá 24h</v>
          </cell>
          <cell r="D3895" t="str">
            <v>Khiếu nại về dịch vụ FTTH</v>
          </cell>
          <cell r="W3895" t="str">
            <v>Đang xử lý</v>
          </cell>
          <cell r="AJ3895" t="str">
            <v>Hải Phòng</v>
          </cell>
          <cell r="BX3895" t="str">
            <v>AON</v>
          </cell>
        </row>
        <row r="3896">
          <cell r="A3896" t="str">
            <v>OP</v>
          </cell>
          <cell r="B3896" t="str">
            <v>Quá 24h</v>
          </cell>
          <cell r="D3896" t="str">
            <v>Khiếu nại về dịch vụ FTTH</v>
          </cell>
          <cell r="W3896" t="str">
            <v>Đã đóng</v>
          </cell>
          <cell r="AJ3896" t="str">
            <v>Hoà Bình</v>
          </cell>
          <cell r="BX3896" t="str">
            <v>AON</v>
          </cell>
        </row>
        <row r="3897">
          <cell r="A3897" t="str">
            <v>OP</v>
          </cell>
          <cell r="B3897" t="str">
            <v>Quá 24h</v>
          </cell>
          <cell r="D3897" t="str">
            <v>Khiếu nại về dịch vụ FTTH</v>
          </cell>
          <cell r="W3897" t="str">
            <v>Đang xử lý</v>
          </cell>
          <cell r="AJ3897" t="str">
            <v>Hà Nội 2</v>
          </cell>
          <cell r="BX3897" t="str">
            <v>AON</v>
          </cell>
        </row>
        <row r="3898">
          <cell r="A3898" t="str">
            <v>OP</v>
          </cell>
          <cell r="B3898" t="str">
            <v>Quá 24h</v>
          </cell>
          <cell r="D3898" t="str">
            <v>Khiếu nại về dịch vụ FTTH</v>
          </cell>
          <cell r="W3898" t="str">
            <v>Đang xử lý</v>
          </cell>
          <cell r="AJ3898" t="str">
            <v>Hà Nội 1</v>
          </cell>
          <cell r="BX3898" t="str">
            <v>AON</v>
          </cell>
        </row>
        <row r="3899">
          <cell r="A3899" t="str">
            <v>OP</v>
          </cell>
          <cell r="B3899" t="str">
            <v>Quá 24h</v>
          </cell>
          <cell r="D3899" t="str">
            <v>Khiếu nại về dịch vụ FTTH</v>
          </cell>
          <cell r="W3899" t="str">
            <v>Đang xử lý</v>
          </cell>
          <cell r="AJ3899" t="str">
            <v>Nam Định</v>
          </cell>
          <cell r="BX3899" t="str">
            <v>AON</v>
          </cell>
        </row>
        <row r="3900">
          <cell r="A3900" t="str">
            <v>OP</v>
          </cell>
          <cell r="B3900" t="str">
            <v>Quá 24h</v>
          </cell>
          <cell r="D3900" t="str">
            <v>Khiếu nại về dịch vụ FTTH</v>
          </cell>
          <cell r="W3900" t="str">
            <v>Đang xử lý</v>
          </cell>
          <cell r="AJ3900" t="str">
            <v>Hà Nội 1</v>
          </cell>
          <cell r="BX3900" t="str">
            <v>AON</v>
          </cell>
        </row>
        <row r="3901">
          <cell r="A3901" t="str">
            <v>OP</v>
          </cell>
          <cell r="B3901" t="str">
            <v>Quá 24h</v>
          </cell>
          <cell r="D3901" t="str">
            <v>Khiếu nại về dịch vụ FTTH</v>
          </cell>
          <cell r="W3901" t="str">
            <v>Đang xử lý</v>
          </cell>
          <cell r="AJ3901" t="str">
            <v>Thái Nguyên</v>
          </cell>
          <cell r="BX3901" t="str">
            <v>AON</v>
          </cell>
        </row>
        <row r="3902">
          <cell r="A3902" t="str">
            <v>OP</v>
          </cell>
          <cell r="B3902" t="str">
            <v>Quá 24h</v>
          </cell>
          <cell r="D3902" t="str">
            <v>Khiếu nại về dịch vụ FTTH</v>
          </cell>
          <cell r="W3902" t="str">
            <v>Đang xử lý</v>
          </cell>
          <cell r="AJ3902" t="str">
            <v>Bắc Ninh</v>
          </cell>
          <cell r="BX3902" t="str">
            <v>AON</v>
          </cell>
        </row>
        <row r="3903">
          <cell r="A3903" t="str">
            <v>OP</v>
          </cell>
          <cell r="B3903" t="str">
            <v>Quá 24h</v>
          </cell>
          <cell r="D3903" t="str">
            <v>Khiếu nại về dịch vụ FTTH</v>
          </cell>
          <cell r="W3903" t="str">
            <v>Đã đóng</v>
          </cell>
          <cell r="AJ3903" t="str">
            <v>Thái Nguyên</v>
          </cell>
          <cell r="BX3903" t="str">
            <v>AON</v>
          </cell>
        </row>
        <row r="3904">
          <cell r="A3904" t="str">
            <v>OP</v>
          </cell>
          <cell r="B3904" t="str">
            <v>Quá 24h</v>
          </cell>
          <cell r="D3904" t="str">
            <v>Khiếu nại về dịch vụ NextTV</v>
          </cell>
          <cell r="W3904" t="str">
            <v>Đang xử lý</v>
          </cell>
          <cell r="AJ3904" t="str">
            <v>Hà Nam</v>
          </cell>
          <cell r="BX3904" t="str">
            <v>AON</v>
          </cell>
        </row>
        <row r="3905">
          <cell r="A3905" t="str">
            <v>OP</v>
          </cell>
          <cell r="B3905" t="str">
            <v>Quá 24h</v>
          </cell>
          <cell r="D3905" t="str">
            <v>Khiếu nại về dịch vụ FTTH</v>
          </cell>
          <cell r="W3905" t="str">
            <v>Đã đóng</v>
          </cell>
          <cell r="AJ3905" t="str">
            <v>TP HCM</v>
          </cell>
          <cell r="BX3905" t="str">
            <v>AON</v>
          </cell>
        </row>
        <row r="3906">
          <cell r="A3906" t="str">
            <v>OP</v>
          </cell>
          <cell r="B3906" t="str">
            <v>Quá 24h</v>
          </cell>
          <cell r="D3906" t="str">
            <v>Khiếu nại về dịch vụ FTTH</v>
          </cell>
          <cell r="W3906" t="str">
            <v>Đã đóng</v>
          </cell>
          <cell r="AJ3906" t="str">
            <v>TP HCM</v>
          </cell>
          <cell r="BX3906" t="str">
            <v>AON</v>
          </cell>
        </row>
        <row r="3907">
          <cell r="A3907" t="str">
            <v>OP</v>
          </cell>
          <cell r="B3907" t="str">
            <v>Quá 24h</v>
          </cell>
          <cell r="D3907" t="str">
            <v>Khiếu nại về dịch vụ FTTH</v>
          </cell>
          <cell r="W3907" t="str">
            <v>Đang xử lý</v>
          </cell>
          <cell r="AJ3907" t="str">
            <v>Bình Dương</v>
          </cell>
          <cell r="BX3907" t="str">
            <v>AON</v>
          </cell>
        </row>
        <row r="3908">
          <cell r="A3908" t="str">
            <v>OP</v>
          </cell>
          <cell r="B3908" t="str">
            <v>Quá 24h</v>
          </cell>
          <cell r="D3908" t="str">
            <v>Khiếu nại về dịch vụ FTTH</v>
          </cell>
          <cell r="W3908" t="str">
            <v>Đã đóng</v>
          </cell>
          <cell r="AJ3908" t="str">
            <v>Hậu Giang</v>
          </cell>
          <cell r="BX3908" t="str">
            <v>AON</v>
          </cell>
        </row>
        <row r="3909">
          <cell r="A3909" t="str">
            <v>OP</v>
          </cell>
          <cell r="B3909" t="str">
            <v>Quá 24h</v>
          </cell>
          <cell r="D3909" t="str">
            <v>Khiếu nại về dịch vụ FTTH</v>
          </cell>
          <cell r="W3909" t="str">
            <v>Đang xử lý</v>
          </cell>
          <cell r="AJ3909" t="str">
            <v>Bến Tre</v>
          </cell>
          <cell r="BX3909" t="str">
            <v>AON</v>
          </cell>
        </row>
        <row r="3910">
          <cell r="A3910" t="str">
            <v>OP</v>
          </cell>
          <cell r="B3910" t="str">
            <v>Quá 24h</v>
          </cell>
          <cell r="D3910" t="str">
            <v>Khiếu nại về dịch vụ FTTH</v>
          </cell>
          <cell r="W3910" t="str">
            <v>Đã đóng</v>
          </cell>
          <cell r="AJ3910" t="str">
            <v>Sơn La</v>
          </cell>
          <cell r="BX3910" t="str">
            <v>AON</v>
          </cell>
        </row>
        <row r="3911">
          <cell r="A3911" t="str">
            <v>OP</v>
          </cell>
          <cell r="B3911" t="str">
            <v>Quá 24h</v>
          </cell>
          <cell r="D3911" t="str">
            <v>Khiếu nại về dịch vụ FTTH</v>
          </cell>
          <cell r="W3911" t="str">
            <v>Đã đóng</v>
          </cell>
          <cell r="AJ3911" t="str">
            <v>TP HCM</v>
          </cell>
          <cell r="BX3911" t="str">
            <v>AON</v>
          </cell>
        </row>
        <row r="3912">
          <cell r="A3912" t="str">
            <v>OP</v>
          </cell>
          <cell r="B3912" t="str">
            <v>Quá 24h</v>
          </cell>
          <cell r="D3912" t="str">
            <v>Khiếu nại về dịch vụ FTTH</v>
          </cell>
          <cell r="W3912" t="str">
            <v>Đã đóng</v>
          </cell>
          <cell r="AJ3912" t="str">
            <v>Nghệ An</v>
          </cell>
          <cell r="BX3912" t="str">
            <v>AON</v>
          </cell>
        </row>
        <row r="3913">
          <cell r="A3913" t="str">
            <v>OP</v>
          </cell>
          <cell r="B3913" t="str">
            <v>Quá 24h</v>
          </cell>
          <cell r="D3913" t="str">
            <v>Khiếu nại về dịch vụ FTTH</v>
          </cell>
          <cell r="W3913" t="str">
            <v>Đã đóng</v>
          </cell>
          <cell r="AJ3913" t="str">
            <v>Bắc Ninh</v>
          </cell>
          <cell r="BX3913" t="str">
            <v>AON</v>
          </cell>
        </row>
        <row r="3914">
          <cell r="A3914" t="str">
            <v>OP</v>
          </cell>
          <cell r="B3914" t="str">
            <v>Quá 24h</v>
          </cell>
          <cell r="D3914" t="str">
            <v>Khiếu nại về dịch vụ FTTH</v>
          </cell>
          <cell r="W3914" t="str">
            <v>Đã đóng</v>
          </cell>
          <cell r="AJ3914" t="str">
            <v>Hà Nam</v>
          </cell>
          <cell r="BX3914" t="str">
            <v>AON</v>
          </cell>
        </row>
        <row r="3915">
          <cell r="A3915" t="str">
            <v>OP</v>
          </cell>
          <cell r="B3915" t="str">
            <v>Quá 24h</v>
          </cell>
          <cell r="D3915" t="str">
            <v>Khiếu nại về dịch vụ FTTH</v>
          </cell>
          <cell r="W3915" t="str">
            <v>Đang xử lý</v>
          </cell>
          <cell r="AJ3915" t="str">
            <v>TP HCM</v>
          </cell>
          <cell r="BX3915" t="str">
            <v>GPON</v>
          </cell>
        </row>
        <row r="3916">
          <cell r="A3916" t="str">
            <v>OP</v>
          </cell>
          <cell r="B3916" t="str">
            <v>Quá 24h</v>
          </cell>
          <cell r="D3916" t="str">
            <v>Khiếu nại về dịch vụ FTTH</v>
          </cell>
          <cell r="W3916" t="str">
            <v>Đã đóng</v>
          </cell>
          <cell r="AJ3916" t="str">
            <v>Bến Tre</v>
          </cell>
          <cell r="BX3916" t="str">
            <v>AON</v>
          </cell>
        </row>
        <row r="3917">
          <cell r="A3917" t="str">
            <v>OP</v>
          </cell>
          <cell r="B3917" t="str">
            <v>Quá 24h</v>
          </cell>
          <cell r="D3917" t="str">
            <v>Khiếu nại về dịch vụ FTTH</v>
          </cell>
          <cell r="W3917" t="str">
            <v>Đã đóng</v>
          </cell>
          <cell r="AJ3917" t="str">
            <v>Bắc Ninh</v>
          </cell>
          <cell r="BX3917" t="str">
            <v>AON</v>
          </cell>
        </row>
        <row r="3918">
          <cell r="A3918" t="str">
            <v>OP</v>
          </cell>
          <cell r="B3918" t="str">
            <v>Quá 24h</v>
          </cell>
          <cell r="D3918" t="str">
            <v>Khiếu nại về dịch vụ FTTH</v>
          </cell>
          <cell r="W3918" t="str">
            <v>Đã đóng</v>
          </cell>
          <cell r="AJ3918" t="str">
            <v>Bắc Giang</v>
          </cell>
          <cell r="BX3918" t="str">
            <v>AON</v>
          </cell>
        </row>
        <row r="3919">
          <cell r="A3919" t="str">
            <v>OP</v>
          </cell>
          <cell r="B3919" t="str">
            <v>Quá 24h</v>
          </cell>
          <cell r="D3919" t="str">
            <v>Khiếu nại về dịch vụ FTTH</v>
          </cell>
          <cell r="W3919" t="str">
            <v>Đang xử lý</v>
          </cell>
          <cell r="AJ3919" t="str">
            <v>TP HCM</v>
          </cell>
          <cell r="BX3919" t="str">
            <v>GPON</v>
          </cell>
        </row>
        <row r="3920">
          <cell r="A3920" t="str">
            <v>OP</v>
          </cell>
          <cell r="B3920" t="str">
            <v>Quá 24h</v>
          </cell>
          <cell r="D3920" t="str">
            <v>Khiếu nại về dịch vụ FTTH</v>
          </cell>
          <cell r="W3920" t="str">
            <v>Đã đóng</v>
          </cell>
          <cell r="AJ3920" t="str">
            <v>TP HCM</v>
          </cell>
          <cell r="BX3920" t="str">
            <v>AON</v>
          </cell>
        </row>
        <row r="3921">
          <cell r="A3921" t="str">
            <v>OP</v>
          </cell>
          <cell r="B3921" t="str">
            <v>Quá 24h</v>
          </cell>
          <cell r="D3921" t="str">
            <v>Khiếu nại về dịch vụ FTTH</v>
          </cell>
          <cell r="W3921" t="str">
            <v>Đã đóng</v>
          </cell>
          <cell r="AJ3921" t="str">
            <v>TP HCM</v>
          </cell>
          <cell r="BX3921" t="str">
            <v>AON</v>
          </cell>
        </row>
        <row r="3922">
          <cell r="A3922" t="str">
            <v>OP</v>
          </cell>
          <cell r="B3922" t="str">
            <v>Quá 24h</v>
          </cell>
          <cell r="D3922" t="str">
            <v>Khiếu nại về dịch vụ FTTH</v>
          </cell>
          <cell r="W3922" t="str">
            <v>Đã đóng</v>
          </cell>
          <cell r="AJ3922" t="str">
            <v>Quảng Ninh</v>
          </cell>
          <cell r="BX3922" t="str">
            <v>AON</v>
          </cell>
        </row>
        <row r="3923">
          <cell r="A3923" t="str">
            <v>OP</v>
          </cell>
          <cell r="B3923" t="str">
            <v>Quá 24h</v>
          </cell>
          <cell r="D3923" t="str">
            <v>Khiếu nại về dịch vụ FTTH</v>
          </cell>
          <cell r="W3923" t="str">
            <v>Đang xử lý</v>
          </cell>
          <cell r="AJ3923" t="str">
            <v>TP HCM</v>
          </cell>
          <cell r="BX3923" t="str">
            <v>AON</v>
          </cell>
        </row>
        <row r="3924">
          <cell r="A3924" t="str">
            <v>OP</v>
          </cell>
          <cell r="B3924" t="str">
            <v>Quá 24h</v>
          </cell>
          <cell r="D3924" t="str">
            <v>Khiếu nại về dịch vụ FTTH</v>
          </cell>
          <cell r="W3924" t="str">
            <v>Đang xử lý</v>
          </cell>
          <cell r="AJ3924" t="str">
            <v>TP HCM</v>
          </cell>
          <cell r="BX3924" t="str">
            <v>AON</v>
          </cell>
        </row>
        <row r="3925">
          <cell r="A3925" t="str">
            <v>OP</v>
          </cell>
          <cell r="B3925" t="str">
            <v>Quá 24h</v>
          </cell>
          <cell r="D3925" t="str">
            <v>Khiếu nại về dịch vụ FTTH</v>
          </cell>
          <cell r="W3925" t="str">
            <v>Đã đóng</v>
          </cell>
          <cell r="AJ3925" t="str">
            <v>Thanh Hoá</v>
          </cell>
          <cell r="BX3925" t="str">
            <v>AON</v>
          </cell>
        </row>
        <row r="3926">
          <cell r="A3926" t="str">
            <v>OP</v>
          </cell>
          <cell r="B3926" t="str">
            <v>Quá 24h</v>
          </cell>
          <cell r="D3926" t="str">
            <v>Khiếu nại về dịch vụ FTTH</v>
          </cell>
          <cell r="W3926" t="str">
            <v>Đã đóng</v>
          </cell>
          <cell r="AJ3926" t="str">
            <v>Thái Nguyên</v>
          </cell>
          <cell r="BX3926" t="str">
            <v>AON</v>
          </cell>
        </row>
        <row r="3927">
          <cell r="A3927" t="str">
            <v>OP</v>
          </cell>
          <cell r="B3927" t="str">
            <v>Quá 24h</v>
          </cell>
          <cell r="D3927" t="str">
            <v>Khiếu nại về dịch vụ FTTH</v>
          </cell>
          <cell r="W3927" t="str">
            <v>Đã đóng</v>
          </cell>
          <cell r="AJ3927" t="str">
            <v>Quảng Ninh</v>
          </cell>
          <cell r="BX3927" t="str">
            <v>AON</v>
          </cell>
        </row>
        <row r="3928">
          <cell r="A3928" t="str">
            <v>OP</v>
          </cell>
          <cell r="B3928" t="str">
            <v>Quá 24h</v>
          </cell>
          <cell r="D3928" t="str">
            <v>Khiếu nại về dịch vụ FTTH</v>
          </cell>
          <cell r="W3928" t="str">
            <v>Đã đóng</v>
          </cell>
          <cell r="AJ3928" t="str">
            <v>Quảng Ninh</v>
          </cell>
          <cell r="BX3928" t="str">
            <v>AON</v>
          </cell>
        </row>
        <row r="3929">
          <cell r="A3929" t="str">
            <v>OP</v>
          </cell>
          <cell r="B3929" t="str">
            <v>Quá 24h</v>
          </cell>
          <cell r="D3929" t="str">
            <v>Khiếu nại về dịch vụ FTTH</v>
          </cell>
          <cell r="W3929" t="str">
            <v>Đã đóng</v>
          </cell>
          <cell r="AJ3929" t="str">
            <v>Quảng Ninh</v>
          </cell>
          <cell r="BX3929" t="str">
            <v>AON</v>
          </cell>
        </row>
        <row r="3930">
          <cell r="A3930" t="str">
            <v>OP</v>
          </cell>
          <cell r="B3930" t="str">
            <v>Quá 24h</v>
          </cell>
          <cell r="D3930" t="str">
            <v>Khiếu nại về dịch vụ NextTV</v>
          </cell>
          <cell r="W3930" t="str">
            <v>Đã đóng</v>
          </cell>
          <cell r="AJ3930" t="str">
            <v>Thanh Hoá</v>
          </cell>
          <cell r="BX3930" t="str">
            <v>AON</v>
          </cell>
        </row>
        <row r="3931">
          <cell r="A3931" t="str">
            <v>OP</v>
          </cell>
          <cell r="B3931" t="str">
            <v>Quá 24h</v>
          </cell>
          <cell r="D3931" t="str">
            <v>Khiếu nại về dịch vụ FTTH</v>
          </cell>
          <cell r="W3931" t="str">
            <v>Đã đóng</v>
          </cell>
          <cell r="AJ3931" t="str">
            <v>Quảng Ninh</v>
          </cell>
          <cell r="BX3931" t="str">
            <v>AON</v>
          </cell>
        </row>
        <row r="3932">
          <cell r="A3932" t="str">
            <v>OP</v>
          </cell>
          <cell r="B3932" t="str">
            <v>Quá 24h</v>
          </cell>
          <cell r="D3932" t="str">
            <v>Khiếu nại về dịch vụ FTTH</v>
          </cell>
          <cell r="W3932" t="str">
            <v>Đã đóng</v>
          </cell>
          <cell r="AJ3932" t="str">
            <v>Thái Nguyên</v>
          </cell>
          <cell r="BX3932" t="str">
            <v>AON</v>
          </cell>
        </row>
        <row r="3933">
          <cell r="A3933" t="str">
            <v>OP</v>
          </cell>
          <cell r="B3933" t="str">
            <v>Quá 24h</v>
          </cell>
          <cell r="D3933" t="str">
            <v>Khiếu nại về dịch vụ FTTH</v>
          </cell>
          <cell r="W3933" t="str">
            <v>Đang xử lý</v>
          </cell>
          <cell r="AJ3933" t="str">
            <v>Bắc Ninh</v>
          </cell>
          <cell r="BX3933" t="str">
            <v>AON</v>
          </cell>
        </row>
        <row r="3934">
          <cell r="A3934" t="str">
            <v>OP</v>
          </cell>
          <cell r="B3934" t="str">
            <v>Quá 24h</v>
          </cell>
          <cell r="D3934" t="str">
            <v>Khiếu nại về dịch vụ NextTV</v>
          </cell>
          <cell r="W3934" t="str">
            <v>Đã đóng</v>
          </cell>
          <cell r="AJ3934" t="str">
            <v>Nam Định</v>
          </cell>
          <cell r="BX3934" t="str">
            <v>AON</v>
          </cell>
        </row>
        <row r="3935">
          <cell r="A3935" t="str">
            <v>OP</v>
          </cell>
          <cell r="B3935" t="str">
            <v>Quá 24h</v>
          </cell>
          <cell r="D3935" t="str">
            <v>Khiếu nại về dịch vụ FTTH</v>
          </cell>
          <cell r="W3935" t="str">
            <v>Đang xử lý</v>
          </cell>
          <cell r="AJ3935" t="str">
            <v>Hà Nam</v>
          </cell>
          <cell r="BX3935" t="str">
            <v>AON</v>
          </cell>
        </row>
        <row r="3936">
          <cell r="A3936" t="str">
            <v>OP</v>
          </cell>
          <cell r="B3936" t="str">
            <v>Quá 24h</v>
          </cell>
          <cell r="D3936" t="str">
            <v>Khiếu nại về dịch vụ FTTH</v>
          </cell>
          <cell r="W3936" t="str">
            <v>Đang xử lý</v>
          </cell>
          <cell r="AJ3936" t="str">
            <v>Hà Nội 2</v>
          </cell>
          <cell r="BX3936" t="str">
            <v>AON</v>
          </cell>
        </row>
        <row r="3937">
          <cell r="A3937" t="str">
            <v>OP</v>
          </cell>
          <cell r="B3937" t="str">
            <v>Quá 24h</v>
          </cell>
          <cell r="D3937" t="str">
            <v>Khiếu nại về dịch vụ FTTH</v>
          </cell>
          <cell r="W3937" t="str">
            <v>Đã đóng</v>
          </cell>
          <cell r="AJ3937" t="str">
            <v>Quảng Ninh</v>
          </cell>
          <cell r="BX3937" t="str">
            <v>AON</v>
          </cell>
        </row>
        <row r="3938">
          <cell r="A3938" t="str">
            <v>OP</v>
          </cell>
          <cell r="B3938" t="str">
            <v>Quá 24h</v>
          </cell>
          <cell r="D3938" t="str">
            <v>Khiếu nại về dịch vụ FTTH</v>
          </cell>
          <cell r="W3938" t="str">
            <v>Đã đóng</v>
          </cell>
          <cell r="AJ3938" t="str">
            <v>Quảng Ninh</v>
          </cell>
          <cell r="BX3938" t="str">
            <v>AON</v>
          </cell>
        </row>
        <row r="3939">
          <cell r="A3939" t="str">
            <v>OP</v>
          </cell>
          <cell r="B3939" t="str">
            <v>Quá 24h</v>
          </cell>
          <cell r="D3939" t="str">
            <v>Khiếu nại về dịch vụ FTTH</v>
          </cell>
          <cell r="W3939" t="str">
            <v>Đã đóng</v>
          </cell>
          <cell r="AJ3939" t="str">
            <v>Quảng Ninh</v>
          </cell>
          <cell r="BX3939" t="str">
            <v>AON</v>
          </cell>
        </row>
        <row r="3940">
          <cell r="A3940" t="str">
            <v>OP</v>
          </cell>
          <cell r="B3940" t="str">
            <v>Quá 24h</v>
          </cell>
          <cell r="D3940" t="str">
            <v>Khiếu nại về dịch vụ FTTH</v>
          </cell>
          <cell r="W3940" t="str">
            <v>Đã đóng</v>
          </cell>
          <cell r="AJ3940" t="str">
            <v>Quảng Ninh</v>
          </cell>
          <cell r="BX3940" t="str">
            <v>AON</v>
          </cell>
        </row>
        <row r="3941">
          <cell r="A3941" t="str">
            <v>OP</v>
          </cell>
          <cell r="B3941" t="str">
            <v>Quá 24h</v>
          </cell>
          <cell r="D3941" t="str">
            <v>Khiếu nại về dịch vụ FTTH</v>
          </cell>
          <cell r="W3941" t="str">
            <v>Đang xử lý</v>
          </cell>
          <cell r="AJ3941" t="str">
            <v>Hà Nội 2</v>
          </cell>
          <cell r="BX3941" t="str">
            <v>AON</v>
          </cell>
        </row>
        <row r="3942">
          <cell r="A3942" t="str">
            <v>OP</v>
          </cell>
          <cell r="B3942" t="str">
            <v>Quá 24h</v>
          </cell>
          <cell r="D3942" t="str">
            <v>Khiếu nại về dịch vụ FTTH</v>
          </cell>
          <cell r="W3942" t="str">
            <v>Đã đóng</v>
          </cell>
          <cell r="AJ3942" t="str">
            <v>Bắc Giang</v>
          </cell>
          <cell r="BX3942" t="str">
            <v>AON</v>
          </cell>
        </row>
        <row r="3943">
          <cell r="A3943" t="str">
            <v>OP</v>
          </cell>
          <cell r="B3943" t="str">
            <v>Quá 24h</v>
          </cell>
          <cell r="D3943" t="str">
            <v>Khiếu nại về dịch vụ FTTH</v>
          </cell>
          <cell r="W3943" t="str">
            <v>Đã đóng</v>
          </cell>
          <cell r="AJ3943" t="str">
            <v>Thái Bình</v>
          </cell>
          <cell r="BX3943" t="str">
            <v>AON</v>
          </cell>
        </row>
        <row r="3944">
          <cell r="A3944" t="str">
            <v>OP</v>
          </cell>
          <cell r="B3944" t="str">
            <v>Quá 24h</v>
          </cell>
          <cell r="D3944" t="str">
            <v>Khiếu nại về dịch vụ FTTH</v>
          </cell>
          <cell r="W3944" t="str">
            <v>Đã đóng</v>
          </cell>
          <cell r="AJ3944" t="str">
            <v>Bắc Ninh</v>
          </cell>
          <cell r="BX3944" t="str">
            <v>AON</v>
          </cell>
        </row>
        <row r="3945">
          <cell r="A3945" t="str">
            <v>OP</v>
          </cell>
          <cell r="B3945" t="str">
            <v>Quá 24h</v>
          </cell>
          <cell r="D3945" t="str">
            <v>Khiếu nại về dịch vụ FTTH</v>
          </cell>
          <cell r="W3945" t="str">
            <v>Đã đóng</v>
          </cell>
          <cell r="AJ3945" t="str">
            <v>Hà Nam</v>
          </cell>
          <cell r="BX3945" t="str">
            <v>AON</v>
          </cell>
        </row>
        <row r="3946">
          <cell r="A3946" t="str">
            <v>OP</v>
          </cell>
          <cell r="B3946" t="str">
            <v>Quá 24h</v>
          </cell>
          <cell r="D3946" t="str">
            <v>Khiếu nại về dịch vụ FTTH</v>
          </cell>
          <cell r="W3946" t="str">
            <v>Đã đóng</v>
          </cell>
          <cell r="AJ3946" t="str">
            <v>Thái Nguyên</v>
          </cell>
          <cell r="BX3946" t="str">
            <v>AON</v>
          </cell>
        </row>
        <row r="3947">
          <cell r="A3947" t="str">
            <v>OP</v>
          </cell>
          <cell r="B3947" t="str">
            <v>Quá 24h</v>
          </cell>
          <cell r="D3947" t="str">
            <v>Khiếu nại về dịch vụ FTTH</v>
          </cell>
          <cell r="W3947" t="str">
            <v>Đã đóng</v>
          </cell>
          <cell r="AJ3947" t="str">
            <v>Quảng Ninh</v>
          </cell>
          <cell r="BX3947" t="str">
            <v>AON</v>
          </cell>
        </row>
        <row r="3948">
          <cell r="A3948" t="str">
            <v>OP</v>
          </cell>
          <cell r="B3948" t="str">
            <v>Quá 24h</v>
          </cell>
          <cell r="D3948" t="str">
            <v>Khiếu nại về dịch vụ FTTH</v>
          </cell>
          <cell r="W3948" t="str">
            <v>Đã đóng</v>
          </cell>
          <cell r="AJ3948" t="str">
            <v>Quảng Ninh</v>
          </cell>
          <cell r="BX3948" t="str">
            <v>AON</v>
          </cell>
        </row>
        <row r="3949">
          <cell r="A3949" t="str">
            <v>OP</v>
          </cell>
          <cell r="B3949" t="str">
            <v>Quá 24h</v>
          </cell>
          <cell r="D3949" t="str">
            <v>Khiếu nại về dịch vụ FTTH</v>
          </cell>
          <cell r="W3949" t="str">
            <v>Đã đóng</v>
          </cell>
          <cell r="AJ3949" t="str">
            <v>Nghệ An</v>
          </cell>
          <cell r="BX3949" t="str">
            <v>AON</v>
          </cell>
        </row>
        <row r="3950">
          <cell r="A3950" t="str">
            <v>OP</v>
          </cell>
          <cell r="B3950" t="str">
            <v>Quá 24h</v>
          </cell>
          <cell r="D3950" t="str">
            <v>Khiếu nại về dịch vụ FTTH</v>
          </cell>
          <cell r="W3950" t="str">
            <v>Đang xử lý</v>
          </cell>
          <cell r="AJ3950" t="str">
            <v>Hà Nội 1</v>
          </cell>
          <cell r="BX3950" t="str">
            <v>AON</v>
          </cell>
        </row>
        <row r="3951">
          <cell r="A3951" t="str">
            <v>OP</v>
          </cell>
          <cell r="B3951" t="str">
            <v>Quá 24h</v>
          </cell>
          <cell r="D3951" t="str">
            <v>Khiếu nại về dịch vụ FTTH</v>
          </cell>
          <cell r="W3951" t="str">
            <v>Đã đóng</v>
          </cell>
          <cell r="AJ3951" t="str">
            <v>Nghệ An</v>
          </cell>
          <cell r="BX3951" t="str">
            <v>AON</v>
          </cell>
        </row>
        <row r="3952">
          <cell r="A3952" t="str">
            <v>OP</v>
          </cell>
          <cell r="B3952" t="str">
            <v>Quá 24h</v>
          </cell>
          <cell r="D3952" t="str">
            <v>Khiếu nại về dịch vụ FTTH</v>
          </cell>
          <cell r="W3952" t="str">
            <v>Đã đóng</v>
          </cell>
          <cell r="AJ3952" t="str">
            <v>Bắc Ninh</v>
          </cell>
          <cell r="BX3952" t="str">
            <v>AON</v>
          </cell>
        </row>
        <row r="3953">
          <cell r="A3953" t="str">
            <v>OP</v>
          </cell>
          <cell r="B3953" t="str">
            <v>Quá 24h</v>
          </cell>
          <cell r="D3953" t="str">
            <v>Khiếu nại về dịch vụ FTTH</v>
          </cell>
          <cell r="W3953" t="str">
            <v>Đã đóng</v>
          </cell>
          <cell r="AJ3953" t="str">
            <v>Quảng Ninh</v>
          </cell>
          <cell r="BX3953" t="str">
            <v>AON</v>
          </cell>
        </row>
        <row r="3954">
          <cell r="A3954" t="str">
            <v>OP</v>
          </cell>
          <cell r="B3954" t="str">
            <v>Quá 24h</v>
          </cell>
          <cell r="D3954" t="str">
            <v>Khiếu nại về dịch vụ FTTH</v>
          </cell>
          <cell r="W3954" t="str">
            <v>Đã đóng</v>
          </cell>
          <cell r="AJ3954" t="str">
            <v>Quảng Ninh</v>
          </cell>
          <cell r="BX3954" t="str">
            <v>AON</v>
          </cell>
        </row>
        <row r="3955">
          <cell r="A3955" t="str">
            <v>OP</v>
          </cell>
          <cell r="B3955" t="str">
            <v>Quá 24h</v>
          </cell>
          <cell r="D3955" t="str">
            <v>Khiếu nại về dịch vụ FTTH</v>
          </cell>
          <cell r="W3955" t="str">
            <v>Đã đóng</v>
          </cell>
          <cell r="AJ3955" t="str">
            <v>Quảng Ninh</v>
          </cell>
          <cell r="BX3955" t="str">
            <v>AON</v>
          </cell>
        </row>
        <row r="3956">
          <cell r="A3956" t="str">
            <v>OP</v>
          </cell>
          <cell r="B3956" t="str">
            <v>Quá 24h</v>
          </cell>
          <cell r="D3956" t="str">
            <v>Khiếu nại về dịch vụ FTTH</v>
          </cell>
          <cell r="W3956" t="str">
            <v>Đã đóng</v>
          </cell>
          <cell r="AJ3956" t="str">
            <v>Nghệ An</v>
          </cell>
          <cell r="BX3956" t="str">
            <v>AON</v>
          </cell>
        </row>
        <row r="3957">
          <cell r="A3957" t="str">
            <v>OP</v>
          </cell>
          <cell r="B3957" t="str">
            <v>Quá 24h</v>
          </cell>
          <cell r="D3957" t="str">
            <v>Khiếu nại về dịch vụ FTTH</v>
          </cell>
          <cell r="W3957" t="str">
            <v>Đã đóng</v>
          </cell>
          <cell r="AJ3957" t="str">
            <v>Quảng Ninh</v>
          </cell>
          <cell r="BX3957" t="str">
            <v>AON</v>
          </cell>
        </row>
        <row r="3958">
          <cell r="A3958" t="str">
            <v>OP</v>
          </cell>
          <cell r="B3958" t="str">
            <v>Quá 24h</v>
          </cell>
          <cell r="D3958" t="str">
            <v>Khiếu nại về dịch vụ FTTH</v>
          </cell>
          <cell r="W3958" t="str">
            <v>Đã đóng</v>
          </cell>
          <cell r="AJ3958" t="str">
            <v>Quảng Ninh</v>
          </cell>
          <cell r="BX3958" t="str">
            <v>AON</v>
          </cell>
        </row>
        <row r="3959">
          <cell r="A3959" t="str">
            <v>OP</v>
          </cell>
          <cell r="B3959" t="str">
            <v>Quá 24h</v>
          </cell>
          <cell r="D3959" t="str">
            <v>Khiếu nại về dịch vụ FTTH</v>
          </cell>
          <cell r="W3959" t="str">
            <v>Đã đóng</v>
          </cell>
          <cell r="AJ3959" t="str">
            <v>Quảng Ninh</v>
          </cell>
          <cell r="BX3959" t="str">
            <v>AON</v>
          </cell>
        </row>
        <row r="3960">
          <cell r="A3960" t="str">
            <v>OP</v>
          </cell>
          <cell r="B3960" t="str">
            <v>Quá 24h</v>
          </cell>
          <cell r="D3960" t="str">
            <v>Khiếu nại về dịch vụ FTTH</v>
          </cell>
          <cell r="W3960" t="str">
            <v>Đang xử lý</v>
          </cell>
          <cell r="AJ3960" t="str">
            <v>Quảng Ninh</v>
          </cell>
          <cell r="BX3960" t="str">
            <v>AON</v>
          </cell>
        </row>
        <row r="3961">
          <cell r="A3961" t="str">
            <v>OP</v>
          </cell>
          <cell r="B3961" t="str">
            <v>Quá 24h</v>
          </cell>
          <cell r="D3961" t="str">
            <v>Khiếu nại về dịch vụ FTTH</v>
          </cell>
          <cell r="W3961" t="str">
            <v>Đang xử lý</v>
          </cell>
          <cell r="AJ3961" t="str">
            <v>Quảng Ninh</v>
          </cell>
          <cell r="BX3961" t="str">
            <v>AON</v>
          </cell>
        </row>
        <row r="3962">
          <cell r="A3962" t="str">
            <v>OP</v>
          </cell>
          <cell r="B3962" t="str">
            <v>Quá 24h</v>
          </cell>
          <cell r="D3962" t="str">
            <v>Khiếu nại về dịch vụ FTTH</v>
          </cell>
          <cell r="W3962" t="str">
            <v>Đang xử lý</v>
          </cell>
          <cell r="AJ3962" t="str">
            <v>Quảng Ninh</v>
          </cell>
          <cell r="BX3962" t="str">
            <v>AON</v>
          </cell>
        </row>
        <row r="3963">
          <cell r="A3963" t="str">
            <v>OP</v>
          </cell>
          <cell r="B3963" t="str">
            <v>Quá 24h</v>
          </cell>
          <cell r="D3963" t="str">
            <v>Khiếu nại về dịch vụ FTTH</v>
          </cell>
          <cell r="W3963" t="str">
            <v>Đã đóng</v>
          </cell>
          <cell r="AJ3963" t="str">
            <v>Thái Bình</v>
          </cell>
          <cell r="BX3963" t="str">
            <v>AON</v>
          </cell>
        </row>
        <row r="3964">
          <cell r="A3964" t="str">
            <v>OP</v>
          </cell>
          <cell r="B3964" t="str">
            <v>Quá 24h</v>
          </cell>
          <cell r="D3964" t="str">
            <v>Khiếu nại về dịch vụ FTTH</v>
          </cell>
          <cell r="W3964" t="str">
            <v>Đang xử lý</v>
          </cell>
          <cell r="AJ3964" t="str">
            <v>Bắc Ninh</v>
          </cell>
          <cell r="BX3964" t="str">
            <v>AON</v>
          </cell>
        </row>
        <row r="3965">
          <cell r="A3965" t="str">
            <v>OP</v>
          </cell>
          <cell r="B3965" t="str">
            <v>Quá 24h</v>
          </cell>
          <cell r="D3965" t="str">
            <v>Khiếu nại về dịch vụ FTTH</v>
          </cell>
          <cell r="W3965" t="str">
            <v>Đã đóng</v>
          </cell>
          <cell r="AJ3965" t="str">
            <v>Thanh Hoá</v>
          </cell>
          <cell r="BX3965" t="str">
            <v>AON</v>
          </cell>
        </row>
        <row r="3966">
          <cell r="A3966" t="str">
            <v>OP</v>
          </cell>
          <cell r="B3966" t="str">
            <v>Quá 24h</v>
          </cell>
          <cell r="D3966" t="str">
            <v>Khiếu nại về dịch vụ FTTH</v>
          </cell>
          <cell r="W3966" t="str">
            <v>Đã đóng</v>
          </cell>
          <cell r="AJ3966" t="str">
            <v>Quảng Ninh</v>
          </cell>
          <cell r="BX3966" t="str">
            <v>AON</v>
          </cell>
        </row>
        <row r="3967">
          <cell r="A3967" t="str">
            <v>OP</v>
          </cell>
          <cell r="B3967" t="str">
            <v>Quá 24h</v>
          </cell>
          <cell r="D3967" t="str">
            <v>Khiếu nại về dịch vụ FTTH</v>
          </cell>
          <cell r="W3967" t="str">
            <v>Đã đóng</v>
          </cell>
          <cell r="AJ3967" t="str">
            <v>Nam Định</v>
          </cell>
          <cell r="BX3967" t="str">
            <v>AON</v>
          </cell>
        </row>
        <row r="3968">
          <cell r="A3968" t="str">
            <v>OP</v>
          </cell>
          <cell r="B3968" t="str">
            <v>Quá 24h</v>
          </cell>
          <cell r="D3968" t="str">
            <v>Khiếu nại về dịch vụ FTTH</v>
          </cell>
          <cell r="W3968" t="str">
            <v>Đã đóng</v>
          </cell>
          <cell r="AJ3968" t="str">
            <v>Sơn La</v>
          </cell>
          <cell r="BX3968" t="str">
            <v>AON</v>
          </cell>
        </row>
        <row r="3969">
          <cell r="A3969" t="str">
            <v>OP</v>
          </cell>
          <cell r="B3969" t="str">
            <v>Quá 24h</v>
          </cell>
          <cell r="D3969" t="str">
            <v>Khiếu nại về dịch vụ NextTV</v>
          </cell>
          <cell r="W3969" t="str">
            <v>Đã đóng</v>
          </cell>
          <cell r="AJ3969" t="str">
            <v>Thái Bình</v>
          </cell>
          <cell r="BX3969" t="str">
            <v>AON</v>
          </cell>
        </row>
        <row r="3970">
          <cell r="A3970" t="str">
            <v>OP</v>
          </cell>
          <cell r="B3970" t="str">
            <v>Quá 24h</v>
          </cell>
          <cell r="D3970" t="str">
            <v>Khiếu nại về dịch vụ FTTH</v>
          </cell>
          <cell r="W3970" t="str">
            <v>Đã đóng</v>
          </cell>
          <cell r="AJ3970" t="str">
            <v>Quảng Ninh</v>
          </cell>
          <cell r="BX3970" t="str">
            <v>AON</v>
          </cell>
        </row>
        <row r="3971">
          <cell r="A3971" t="str">
            <v>OP</v>
          </cell>
          <cell r="B3971" t="str">
            <v>Quá 24h</v>
          </cell>
          <cell r="D3971" t="str">
            <v>Khiếu nại về dịch vụ FTTH</v>
          </cell>
          <cell r="W3971" t="str">
            <v>Đã đóng</v>
          </cell>
          <cell r="AJ3971" t="str">
            <v>Thái Nguyên</v>
          </cell>
          <cell r="BX3971" t="str">
            <v>AON</v>
          </cell>
        </row>
        <row r="3972">
          <cell r="A3972" t="str">
            <v>OP</v>
          </cell>
          <cell r="B3972" t="str">
            <v>Quá 24h</v>
          </cell>
          <cell r="D3972" t="str">
            <v>Khiếu nại về dịch vụ FTTH</v>
          </cell>
          <cell r="W3972" t="str">
            <v>Đang xử lý</v>
          </cell>
          <cell r="AJ3972" t="str">
            <v>Quảng Ninh</v>
          </cell>
          <cell r="BX3972" t="str">
            <v>AON</v>
          </cell>
        </row>
        <row r="3973">
          <cell r="A3973" t="str">
            <v>OP</v>
          </cell>
          <cell r="B3973" t="str">
            <v>Quá 24h</v>
          </cell>
          <cell r="D3973" t="str">
            <v>Khiếu nại về dịch vụ FTTH</v>
          </cell>
          <cell r="W3973" t="str">
            <v>Đã đóng</v>
          </cell>
          <cell r="AJ3973" t="str">
            <v>Hà Nội 1</v>
          </cell>
          <cell r="BX3973" t="str">
            <v>AON</v>
          </cell>
        </row>
        <row r="3974">
          <cell r="A3974" t="str">
            <v>OP</v>
          </cell>
          <cell r="B3974" t="str">
            <v>Quá 24h</v>
          </cell>
          <cell r="D3974" t="str">
            <v>Khiếu nại về dịch vụ FTTH</v>
          </cell>
          <cell r="W3974" t="str">
            <v>Đã đóng</v>
          </cell>
          <cell r="AJ3974" t="str">
            <v>Hà Nam</v>
          </cell>
          <cell r="BX3974" t="str">
            <v>AON</v>
          </cell>
        </row>
        <row r="3975">
          <cell r="A3975" t="str">
            <v>OP</v>
          </cell>
          <cell r="B3975" t="str">
            <v>Quá 24h</v>
          </cell>
          <cell r="D3975" t="str">
            <v>Khiếu nại về dịch vụ FTTH</v>
          </cell>
          <cell r="W3975" t="str">
            <v>Đã đóng</v>
          </cell>
          <cell r="AJ3975" t="str">
            <v>Thái Nguyên</v>
          </cell>
          <cell r="BX3975" t="str">
            <v>AON</v>
          </cell>
        </row>
        <row r="3976">
          <cell r="A3976" t="str">
            <v>OP</v>
          </cell>
          <cell r="B3976" t="str">
            <v>Quá 24h</v>
          </cell>
          <cell r="D3976" t="str">
            <v>Khiếu nại về dịch vụ FTTH</v>
          </cell>
          <cell r="W3976" t="str">
            <v>Đang xử lý</v>
          </cell>
          <cell r="AJ3976" t="str">
            <v>Long An</v>
          </cell>
          <cell r="BX3976" t="str">
            <v>AON</v>
          </cell>
        </row>
        <row r="3977">
          <cell r="A3977" t="str">
            <v>OP</v>
          </cell>
          <cell r="B3977" t="str">
            <v>Quá 24h</v>
          </cell>
          <cell r="D3977" t="str">
            <v>Khiếu nại về dịch vụ FTTH</v>
          </cell>
          <cell r="W3977" t="str">
            <v>Đang xử lý</v>
          </cell>
          <cell r="AJ3977" t="str">
            <v>Hà Nội 1</v>
          </cell>
          <cell r="BX3977" t="str">
            <v>AON</v>
          </cell>
        </row>
        <row r="3978">
          <cell r="A3978" t="str">
            <v>OP</v>
          </cell>
          <cell r="B3978" t="str">
            <v>Quá 24h</v>
          </cell>
          <cell r="D3978" t="str">
            <v>Khiếu nại về dịch vụ FTTH</v>
          </cell>
          <cell r="W3978" t="str">
            <v>Đã đóng</v>
          </cell>
          <cell r="AJ3978" t="str">
            <v>Quảng Ninh</v>
          </cell>
          <cell r="BX3978" t="str">
            <v>AON</v>
          </cell>
        </row>
        <row r="3979">
          <cell r="A3979" t="str">
            <v>OP</v>
          </cell>
          <cell r="B3979" t="str">
            <v>Quá 24h</v>
          </cell>
          <cell r="D3979" t="str">
            <v>Khiếu nại về dịch vụ FTTH</v>
          </cell>
          <cell r="W3979" t="str">
            <v>Đã đóng</v>
          </cell>
          <cell r="AJ3979" t="str">
            <v>Nam Định</v>
          </cell>
          <cell r="BX3979" t="str">
            <v>AON</v>
          </cell>
        </row>
        <row r="3980">
          <cell r="A3980" t="str">
            <v>OP</v>
          </cell>
          <cell r="B3980" t="str">
            <v>Quá 24h</v>
          </cell>
          <cell r="D3980" t="str">
            <v>Khiếu nại về dịch vụ FTTH</v>
          </cell>
          <cell r="W3980" t="str">
            <v>Đã đóng</v>
          </cell>
          <cell r="AJ3980" t="str">
            <v>Nghệ An</v>
          </cell>
          <cell r="BX3980" t="str">
            <v>AON</v>
          </cell>
        </row>
        <row r="3981">
          <cell r="A3981" t="str">
            <v>OP</v>
          </cell>
          <cell r="B3981" t="str">
            <v>Quá 24h</v>
          </cell>
          <cell r="D3981" t="str">
            <v>Khiếu nại về dịch vụ FTTH</v>
          </cell>
          <cell r="W3981" t="str">
            <v>Đang xử lý</v>
          </cell>
          <cell r="AJ3981" t="str">
            <v>Hoà Bình</v>
          </cell>
          <cell r="BX3981" t="str">
            <v>AON</v>
          </cell>
        </row>
        <row r="3982">
          <cell r="A3982" t="str">
            <v>OP</v>
          </cell>
          <cell r="B3982" t="str">
            <v>Quá 24h</v>
          </cell>
          <cell r="D3982" t="str">
            <v>Khiếu nại về dịch vụ FTTH</v>
          </cell>
          <cell r="W3982" t="str">
            <v>Đang xử lý</v>
          </cell>
          <cell r="AJ3982" t="str">
            <v>TP HCM</v>
          </cell>
          <cell r="BX3982" t="str">
            <v>AON</v>
          </cell>
        </row>
        <row r="3983">
          <cell r="A3983" t="str">
            <v>OP</v>
          </cell>
          <cell r="B3983" t="str">
            <v>Quá 24h</v>
          </cell>
          <cell r="D3983" t="str">
            <v>Khiếu nại về dịch vụ FTTH</v>
          </cell>
          <cell r="W3983" t="str">
            <v>Đã đóng</v>
          </cell>
          <cell r="AJ3983" t="str">
            <v>TP HCM</v>
          </cell>
          <cell r="BX3983" t="str">
            <v>AON</v>
          </cell>
        </row>
        <row r="3984">
          <cell r="A3984" t="str">
            <v>OP</v>
          </cell>
          <cell r="B3984" t="str">
            <v>Quá 24h</v>
          </cell>
          <cell r="D3984" t="str">
            <v>Khiếu nại về dịch vụ FTTH</v>
          </cell>
          <cell r="W3984" t="str">
            <v>Đã đóng</v>
          </cell>
          <cell r="AJ3984" t="str">
            <v>Bắc Ninh</v>
          </cell>
          <cell r="BX3984" t="str">
            <v>AON</v>
          </cell>
        </row>
        <row r="3985">
          <cell r="A3985" t="str">
            <v>OP</v>
          </cell>
          <cell r="B3985" t="str">
            <v>Quá 24h</v>
          </cell>
          <cell r="D3985" t="str">
            <v>Khiếu nại về dịch vụ FTTH</v>
          </cell>
          <cell r="W3985" t="str">
            <v>Đã đóng</v>
          </cell>
          <cell r="AJ3985" t="str">
            <v>Nam Định</v>
          </cell>
          <cell r="BX3985" t="str">
            <v>AON</v>
          </cell>
        </row>
        <row r="3986">
          <cell r="A3986" t="str">
            <v>OP</v>
          </cell>
          <cell r="B3986" t="str">
            <v>Quá 24h</v>
          </cell>
          <cell r="D3986" t="str">
            <v>Khiếu nại về dịch vụ FTTH</v>
          </cell>
          <cell r="W3986" t="str">
            <v>Đã đóng</v>
          </cell>
          <cell r="AJ3986" t="str">
            <v>Quảng Bình</v>
          </cell>
          <cell r="BX3986" t="str">
            <v>AON</v>
          </cell>
        </row>
        <row r="3987">
          <cell r="A3987" t="str">
            <v>OP</v>
          </cell>
          <cell r="B3987" t="str">
            <v>Quá 24h</v>
          </cell>
          <cell r="D3987" t="str">
            <v>Khiếu nại về dịch vụ FTTH</v>
          </cell>
          <cell r="W3987" t="str">
            <v>Đã đóng</v>
          </cell>
          <cell r="AJ3987" t="str">
            <v>Hà Nội 1</v>
          </cell>
          <cell r="BX3987" t="str">
            <v>AON</v>
          </cell>
        </row>
        <row r="3988">
          <cell r="A3988" t="str">
            <v>OP</v>
          </cell>
          <cell r="B3988" t="str">
            <v>Quá 24h</v>
          </cell>
          <cell r="D3988" t="str">
            <v>Khiếu nại về dịch vụ FTTH</v>
          </cell>
          <cell r="W3988" t="str">
            <v>Đã đóng</v>
          </cell>
          <cell r="AJ3988" t="str">
            <v>Bình Dương</v>
          </cell>
          <cell r="BX3988" t="str">
            <v>AON</v>
          </cell>
        </row>
        <row r="3989">
          <cell r="A3989" t="str">
            <v>OP</v>
          </cell>
          <cell r="B3989" t="str">
            <v>Quá 24h</v>
          </cell>
          <cell r="D3989" t="str">
            <v>Khiếu nại về dịch vụ FTTH</v>
          </cell>
          <cell r="W3989" t="str">
            <v>Đã đóng</v>
          </cell>
          <cell r="AJ3989" t="str">
            <v>Bình Dương</v>
          </cell>
          <cell r="BX3989" t="str">
            <v>AON</v>
          </cell>
        </row>
        <row r="3990">
          <cell r="A3990" t="str">
            <v>OP</v>
          </cell>
          <cell r="B3990" t="str">
            <v>Quá 24h</v>
          </cell>
          <cell r="D3990" t="str">
            <v>Khiếu nại về dịch vụ FTTH</v>
          </cell>
          <cell r="W3990" t="str">
            <v>Đã đóng</v>
          </cell>
          <cell r="AJ3990" t="str">
            <v>Bình Dương</v>
          </cell>
          <cell r="BX3990" t="str">
            <v>AON</v>
          </cell>
        </row>
        <row r="3991">
          <cell r="A3991" t="str">
            <v>OP</v>
          </cell>
          <cell r="B3991" t="str">
            <v>Quá 24h</v>
          </cell>
          <cell r="D3991" t="str">
            <v>Khiếu nại về dịch vụ FTTH</v>
          </cell>
          <cell r="W3991" t="str">
            <v>Đã đóng</v>
          </cell>
          <cell r="AJ3991" t="str">
            <v xml:space="preserve">Hà Tĩnh </v>
          </cell>
          <cell r="BX3991" t="str">
            <v>AON</v>
          </cell>
        </row>
        <row r="3992">
          <cell r="A3992" t="str">
            <v>OP</v>
          </cell>
          <cell r="B3992" t="str">
            <v>Quá 24h</v>
          </cell>
          <cell r="D3992" t="str">
            <v>Khiếu nại về dịch vụ FTTH</v>
          </cell>
          <cell r="W3992" t="str">
            <v>Đã đóng</v>
          </cell>
          <cell r="AJ3992" t="str">
            <v>Quảng Ninh</v>
          </cell>
          <cell r="BX3992" t="str">
            <v>AON</v>
          </cell>
        </row>
        <row r="3993">
          <cell r="A3993" t="str">
            <v>OP</v>
          </cell>
          <cell r="B3993" t="str">
            <v>Quá 24h</v>
          </cell>
          <cell r="D3993" t="str">
            <v>Khiếu nại về dịch vụ FTTH</v>
          </cell>
          <cell r="W3993" t="str">
            <v>Đã đóng</v>
          </cell>
          <cell r="AJ3993" t="str">
            <v>TP HCM</v>
          </cell>
          <cell r="BX3993" t="str">
            <v>GPON</v>
          </cell>
        </row>
        <row r="3994">
          <cell r="A3994" t="str">
            <v>OP</v>
          </cell>
          <cell r="B3994" t="str">
            <v>Quá 24h</v>
          </cell>
          <cell r="D3994" t="str">
            <v>Khiếu nại về dịch vụ FTTH</v>
          </cell>
          <cell r="W3994" t="str">
            <v>Đã đóng</v>
          </cell>
          <cell r="AJ3994" t="str">
            <v>Kiên Giang</v>
          </cell>
          <cell r="BX3994" t="str">
            <v>AON</v>
          </cell>
        </row>
        <row r="3995">
          <cell r="A3995" t="str">
            <v>OP</v>
          </cell>
          <cell r="B3995" t="str">
            <v>Quá 24h</v>
          </cell>
          <cell r="D3995" t="str">
            <v>Khiếu nại về dịch vụ FTTH</v>
          </cell>
          <cell r="W3995" t="str">
            <v>Đã đóng</v>
          </cell>
          <cell r="AJ3995" t="str">
            <v>Nghệ An</v>
          </cell>
          <cell r="BX3995" t="str">
            <v>AON</v>
          </cell>
        </row>
        <row r="3996">
          <cell r="A3996" t="str">
            <v>OP</v>
          </cell>
          <cell r="B3996" t="str">
            <v>Quá 24h</v>
          </cell>
          <cell r="D3996" t="str">
            <v>Khiếu nại về dịch vụ FTTH</v>
          </cell>
          <cell r="W3996" t="str">
            <v>Đã đóng</v>
          </cell>
          <cell r="AJ3996" t="str">
            <v>TP HCM</v>
          </cell>
          <cell r="BX3996" t="str">
            <v>AON</v>
          </cell>
        </row>
        <row r="3997">
          <cell r="A3997" t="str">
            <v>OP</v>
          </cell>
          <cell r="B3997" t="str">
            <v>Quá 24h</v>
          </cell>
          <cell r="D3997" t="str">
            <v>Khiếu nại về dịch vụ FTTH</v>
          </cell>
          <cell r="W3997" t="str">
            <v>Đang xử lý</v>
          </cell>
          <cell r="AJ3997" t="str">
            <v>TP HCM</v>
          </cell>
          <cell r="BX3997" t="str">
            <v>AON</v>
          </cell>
        </row>
        <row r="3998">
          <cell r="A3998" t="str">
            <v>OP</v>
          </cell>
          <cell r="B3998" t="str">
            <v>Quá 24h</v>
          </cell>
          <cell r="D3998" t="str">
            <v>Khiếu nại về dịch vụ NextTV</v>
          </cell>
          <cell r="W3998" t="str">
            <v>Đã đóng</v>
          </cell>
          <cell r="AJ3998" t="str">
            <v>TP HCM</v>
          </cell>
          <cell r="BX3998" t="str">
            <v>AON</v>
          </cell>
        </row>
        <row r="3999">
          <cell r="A3999" t="str">
            <v>OP</v>
          </cell>
          <cell r="B3999" t="str">
            <v>Quá 24h</v>
          </cell>
          <cell r="D3999" t="str">
            <v>Khiếu nại về dịch vụ FTTH</v>
          </cell>
          <cell r="W3999" t="str">
            <v>Đã đóng</v>
          </cell>
          <cell r="AJ3999" t="str">
            <v>TP HCM</v>
          </cell>
          <cell r="BX3999" t="str">
            <v>AON</v>
          </cell>
        </row>
        <row r="4000">
          <cell r="A4000" t="str">
            <v>OP</v>
          </cell>
          <cell r="B4000" t="str">
            <v>Quá 24h</v>
          </cell>
          <cell r="D4000" t="str">
            <v>Khiếu nại về dịch vụ FTTH</v>
          </cell>
          <cell r="W4000" t="str">
            <v>Đang xử lý</v>
          </cell>
          <cell r="AJ4000" t="str">
            <v>Quảng Ninh</v>
          </cell>
          <cell r="BX4000" t="str">
            <v>AON</v>
          </cell>
        </row>
        <row r="4001">
          <cell r="A4001" t="str">
            <v>OP</v>
          </cell>
          <cell r="B4001" t="str">
            <v>Quá 24h</v>
          </cell>
          <cell r="D4001" t="str">
            <v>Khiếu nại về dịch vụ FTTH</v>
          </cell>
          <cell r="W4001" t="str">
            <v>Đã đóng</v>
          </cell>
          <cell r="AJ4001" t="str">
            <v>Hoà Bình</v>
          </cell>
          <cell r="BX4001" t="str">
            <v>AON</v>
          </cell>
        </row>
        <row r="4002">
          <cell r="A4002" t="str">
            <v>OP</v>
          </cell>
          <cell r="B4002" t="str">
            <v>Quá 24h</v>
          </cell>
          <cell r="D4002" t="str">
            <v>Khiếu nại về dịch vụ FTTH</v>
          </cell>
          <cell r="W4002" t="str">
            <v>Đã đóng</v>
          </cell>
          <cell r="AJ4002" t="str">
            <v>Kiên Giang</v>
          </cell>
          <cell r="BX4002" t="str">
            <v>AON</v>
          </cell>
        </row>
        <row r="4003">
          <cell r="A4003" t="str">
            <v>OP</v>
          </cell>
          <cell r="B4003" t="str">
            <v>Quá 24h</v>
          </cell>
          <cell r="D4003" t="str">
            <v>Khiếu nại về dịch vụ FTTH</v>
          </cell>
          <cell r="W4003" t="str">
            <v>Đang xử lý</v>
          </cell>
          <cell r="AJ4003" t="str">
            <v>Bình Dương</v>
          </cell>
          <cell r="BX4003" t="str">
            <v>AON</v>
          </cell>
        </row>
        <row r="4004">
          <cell r="A4004" t="str">
            <v>OP</v>
          </cell>
          <cell r="B4004" t="str">
            <v>Quá 24h</v>
          </cell>
          <cell r="D4004" t="str">
            <v>Khiếu nại về dịch vụ FTTH</v>
          </cell>
          <cell r="W4004" t="str">
            <v>Đã đóng</v>
          </cell>
          <cell r="AJ4004" t="str">
            <v>TP HCM</v>
          </cell>
          <cell r="BX4004" t="str">
            <v>AON</v>
          </cell>
        </row>
        <row r="4005">
          <cell r="A4005" t="str">
            <v>OP</v>
          </cell>
          <cell r="B4005" t="str">
            <v>Quá 24h</v>
          </cell>
          <cell r="D4005" t="str">
            <v>Khiếu nại về dịch vụ FTTH</v>
          </cell>
          <cell r="W4005" t="str">
            <v>Đã đóng</v>
          </cell>
          <cell r="AJ4005" t="str">
            <v>TP HCM</v>
          </cell>
          <cell r="BX4005" t="str">
            <v>AON</v>
          </cell>
        </row>
        <row r="4006">
          <cell r="A4006" t="str">
            <v>OP</v>
          </cell>
          <cell r="B4006" t="str">
            <v>Quá 24h</v>
          </cell>
          <cell r="D4006" t="str">
            <v>Khiếu nại về dịch vụ FTTH</v>
          </cell>
          <cell r="W4006" t="str">
            <v>Đã đóng</v>
          </cell>
          <cell r="AJ4006" t="str">
            <v>Quảng Bình</v>
          </cell>
          <cell r="BX4006" t="str">
            <v>AON</v>
          </cell>
        </row>
        <row r="4007">
          <cell r="A4007" t="str">
            <v>OP</v>
          </cell>
          <cell r="B4007" t="str">
            <v>Quá 24h</v>
          </cell>
          <cell r="D4007" t="str">
            <v>Khiếu nại về dịch vụ FTTH</v>
          </cell>
          <cell r="W4007" t="str">
            <v>Đã đóng</v>
          </cell>
          <cell r="AJ4007" t="str">
            <v>Thái Nguyên</v>
          </cell>
          <cell r="BX4007" t="str">
            <v>AON</v>
          </cell>
        </row>
        <row r="4008">
          <cell r="A4008" t="str">
            <v>OP</v>
          </cell>
          <cell r="B4008" t="str">
            <v>Quá 24h</v>
          </cell>
          <cell r="D4008" t="str">
            <v>Khiếu nại về dịch vụ FTTH</v>
          </cell>
          <cell r="W4008" t="str">
            <v>Đã đóng</v>
          </cell>
          <cell r="AJ4008" t="str">
            <v>Bắc Ninh</v>
          </cell>
          <cell r="BX4008" t="str">
            <v>AON</v>
          </cell>
        </row>
        <row r="4009">
          <cell r="A4009" t="str">
            <v>OP</v>
          </cell>
          <cell r="B4009" t="str">
            <v>Quá 24h</v>
          </cell>
          <cell r="D4009" t="str">
            <v>Khiếu nại về dịch vụ FTTH</v>
          </cell>
          <cell r="W4009" t="str">
            <v>Đang xử lý</v>
          </cell>
          <cell r="AJ4009" t="str">
            <v>Hà Nội 2</v>
          </cell>
          <cell r="BX4009" t="str">
            <v>AON</v>
          </cell>
        </row>
        <row r="4010">
          <cell r="A4010" t="str">
            <v>OP</v>
          </cell>
          <cell r="B4010" t="str">
            <v>Quá 24h</v>
          </cell>
          <cell r="D4010" t="str">
            <v>Khiếu nại về dịch vụ FTTH</v>
          </cell>
          <cell r="W4010" t="str">
            <v>Đã đóng</v>
          </cell>
          <cell r="AJ4010" t="str">
            <v>Bình Dương</v>
          </cell>
          <cell r="BX4010" t="str">
            <v>AON</v>
          </cell>
        </row>
        <row r="4011">
          <cell r="A4011" t="str">
            <v>OP</v>
          </cell>
          <cell r="B4011" t="str">
            <v>Quá 24h</v>
          </cell>
          <cell r="D4011" t="str">
            <v>Khiếu nại về dịch vụ FTTH</v>
          </cell>
          <cell r="W4011" t="str">
            <v>Đã đóng</v>
          </cell>
          <cell r="AJ4011" t="str">
            <v>Thái Nguyên</v>
          </cell>
          <cell r="BX4011" t="str">
            <v>AON</v>
          </cell>
        </row>
        <row r="4012">
          <cell r="A4012" t="str">
            <v>OP</v>
          </cell>
          <cell r="B4012" t="str">
            <v>Quá 24h</v>
          </cell>
          <cell r="D4012" t="str">
            <v>Khiếu nại về dịch vụ FTTH</v>
          </cell>
          <cell r="W4012" t="str">
            <v>Đang xử lý</v>
          </cell>
          <cell r="AJ4012" t="str">
            <v>Hà Nội 2</v>
          </cell>
          <cell r="BX4012" t="str">
            <v>AON</v>
          </cell>
        </row>
        <row r="4013">
          <cell r="A4013" t="str">
            <v>OP</v>
          </cell>
          <cell r="B4013" t="str">
            <v>Quá 24h</v>
          </cell>
          <cell r="D4013" t="str">
            <v>Khiếu nại về dịch vụ FTTH</v>
          </cell>
          <cell r="W4013" t="str">
            <v>Đã đóng</v>
          </cell>
          <cell r="AJ4013" t="str">
            <v>Nam Định</v>
          </cell>
          <cell r="BX4013" t="str">
            <v>AON</v>
          </cell>
        </row>
        <row r="4014">
          <cell r="A4014" t="str">
            <v>OP</v>
          </cell>
          <cell r="B4014" t="str">
            <v>Quá 24h</v>
          </cell>
          <cell r="D4014" t="str">
            <v>Khiếu nại về dịch vụ FTTH</v>
          </cell>
          <cell r="W4014" t="str">
            <v>Đã đóng</v>
          </cell>
          <cell r="AJ4014" t="str">
            <v xml:space="preserve">Hà Tĩnh </v>
          </cell>
          <cell r="BX4014" t="str">
            <v>AON</v>
          </cell>
        </row>
        <row r="4015">
          <cell r="A4015" t="str">
            <v>OP</v>
          </cell>
          <cell r="B4015" t="str">
            <v>Quá 24h</v>
          </cell>
          <cell r="D4015" t="str">
            <v>Khiếu nại về dịch vụ FTTH</v>
          </cell>
          <cell r="W4015" t="str">
            <v>Đang xử lý</v>
          </cell>
          <cell r="AJ4015" t="str">
            <v>Hà Nội 2</v>
          </cell>
          <cell r="BX4015" t="str">
            <v>AON</v>
          </cell>
        </row>
        <row r="4016">
          <cell r="A4016" t="str">
            <v>OP</v>
          </cell>
          <cell r="B4016" t="str">
            <v>Quá 24h</v>
          </cell>
          <cell r="D4016" t="str">
            <v>Khiếu nại về dịch vụ FTTH</v>
          </cell>
          <cell r="W4016" t="str">
            <v>Đã đóng</v>
          </cell>
          <cell r="AJ4016" t="str">
            <v>Bình Dương</v>
          </cell>
          <cell r="BX4016" t="str">
            <v>AON</v>
          </cell>
        </row>
        <row r="4017">
          <cell r="A4017" t="str">
            <v>OP</v>
          </cell>
          <cell r="B4017" t="str">
            <v>Quá 24h</v>
          </cell>
          <cell r="D4017" t="str">
            <v>Khiếu nại về dịch vụ FTTH</v>
          </cell>
          <cell r="W4017" t="str">
            <v>Đã đóng</v>
          </cell>
          <cell r="AJ4017" t="str">
            <v>TP HCM</v>
          </cell>
          <cell r="BX4017" t="str">
            <v>AON</v>
          </cell>
        </row>
        <row r="4018">
          <cell r="A4018" t="str">
            <v>OP</v>
          </cell>
          <cell r="B4018" t="str">
            <v>Quá 24h</v>
          </cell>
          <cell r="D4018" t="str">
            <v>Khiếu nại về dịch vụ FTTH</v>
          </cell>
          <cell r="W4018" t="str">
            <v>Đã đóng</v>
          </cell>
          <cell r="AJ4018" t="str">
            <v>TP HCM</v>
          </cell>
          <cell r="BX4018" t="str">
            <v>GPON</v>
          </cell>
        </row>
        <row r="4019">
          <cell r="A4019" t="str">
            <v>OP</v>
          </cell>
          <cell r="B4019" t="str">
            <v>Quá 24h</v>
          </cell>
          <cell r="D4019" t="str">
            <v>Khiếu nại về dịch vụ FTTH</v>
          </cell>
          <cell r="W4019" t="str">
            <v>Đang xử lý</v>
          </cell>
          <cell r="AJ4019" t="str">
            <v>Quảng Ninh</v>
          </cell>
          <cell r="BX4019" t="str">
            <v>AON</v>
          </cell>
        </row>
        <row r="4020">
          <cell r="A4020" t="str">
            <v>OP</v>
          </cell>
          <cell r="B4020" t="str">
            <v>Quá 24h</v>
          </cell>
          <cell r="D4020" t="str">
            <v>Khiếu nại về dịch vụ FTTH</v>
          </cell>
          <cell r="W4020" t="str">
            <v>Đã đóng</v>
          </cell>
          <cell r="AJ4020" t="str">
            <v>TP HCM</v>
          </cell>
          <cell r="BX4020" t="str">
            <v>AON</v>
          </cell>
        </row>
        <row r="4021">
          <cell r="A4021" t="str">
            <v>OP</v>
          </cell>
          <cell r="B4021" t="str">
            <v>Quá 24h</v>
          </cell>
          <cell r="D4021" t="str">
            <v>Khiếu nại về dịch vụ FTTH</v>
          </cell>
          <cell r="W4021" t="str">
            <v>Đang xử lý</v>
          </cell>
          <cell r="AJ4021" t="str">
            <v>Thái Bình</v>
          </cell>
          <cell r="BX4021" t="str">
            <v>AON</v>
          </cell>
        </row>
        <row r="4022">
          <cell r="A4022" t="str">
            <v>OP</v>
          </cell>
          <cell r="B4022" t="str">
            <v>Quá 24h</v>
          </cell>
          <cell r="D4022" t="str">
            <v>Khiếu nại về dịch vụ FTTH</v>
          </cell>
          <cell r="W4022" t="str">
            <v>Đang xử lý</v>
          </cell>
          <cell r="AJ4022" t="str">
            <v>Hà Nội 2</v>
          </cell>
          <cell r="BX4022" t="str">
            <v>AON</v>
          </cell>
        </row>
        <row r="4023">
          <cell r="A4023" t="str">
            <v>OP</v>
          </cell>
          <cell r="B4023" t="str">
            <v>Quá 24h</v>
          </cell>
          <cell r="D4023" t="str">
            <v>Khiếu nại về dịch vụ FTTH</v>
          </cell>
          <cell r="W4023" t="str">
            <v>Đã đóng</v>
          </cell>
          <cell r="AJ4023" t="str">
            <v>TP HCM</v>
          </cell>
          <cell r="BX4023" t="str">
            <v>AON</v>
          </cell>
        </row>
        <row r="4024">
          <cell r="A4024" t="str">
            <v>OP</v>
          </cell>
          <cell r="B4024" t="str">
            <v>Quá 24h</v>
          </cell>
          <cell r="D4024" t="str">
            <v>Khiếu nại về dịch vụ FTTH</v>
          </cell>
          <cell r="W4024" t="str">
            <v>Đang xử lý</v>
          </cell>
          <cell r="AJ4024" t="str">
            <v>Quảng Ninh</v>
          </cell>
          <cell r="BX4024" t="str">
            <v>AON</v>
          </cell>
        </row>
        <row r="4025">
          <cell r="A4025" t="str">
            <v>OP</v>
          </cell>
          <cell r="B4025" t="str">
            <v>Quá 24h</v>
          </cell>
          <cell r="D4025" t="str">
            <v>Khiếu nại về dịch vụ FTTH</v>
          </cell>
          <cell r="W4025" t="str">
            <v>Đã đóng</v>
          </cell>
          <cell r="AJ4025" t="str">
            <v>An Giang</v>
          </cell>
          <cell r="BX4025" t="str">
            <v>AON</v>
          </cell>
        </row>
        <row r="4026">
          <cell r="A4026" t="str">
            <v>OP</v>
          </cell>
          <cell r="B4026" t="str">
            <v>Quá 24h</v>
          </cell>
          <cell r="D4026" t="str">
            <v>Khiếu nại về dịch vụ FTTH</v>
          </cell>
          <cell r="W4026" t="str">
            <v>Đã đóng</v>
          </cell>
          <cell r="AJ4026" t="str">
            <v>TP HCM</v>
          </cell>
          <cell r="BX4026" t="str">
            <v>AON</v>
          </cell>
        </row>
        <row r="4027">
          <cell r="A4027" t="str">
            <v>OP</v>
          </cell>
          <cell r="B4027" t="str">
            <v>Quá 24h</v>
          </cell>
          <cell r="D4027" t="str">
            <v>Khiếu nại về dịch vụ FTTH</v>
          </cell>
          <cell r="W4027" t="str">
            <v>Đã đóng</v>
          </cell>
          <cell r="AJ4027" t="str">
            <v>Quảng Ninh</v>
          </cell>
          <cell r="BX4027" t="str">
            <v>AON</v>
          </cell>
        </row>
        <row r="4028">
          <cell r="A4028" t="str">
            <v>OP</v>
          </cell>
          <cell r="B4028" t="str">
            <v>Quá 24h</v>
          </cell>
          <cell r="D4028" t="str">
            <v>Khiếu nại về dịch vụ FTTH</v>
          </cell>
          <cell r="W4028" t="str">
            <v>Đã đóng</v>
          </cell>
          <cell r="AJ4028" t="str">
            <v>Thanh Hoá</v>
          </cell>
          <cell r="BX4028" t="str">
            <v>AON</v>
          </cell>
        </row>
        <row r="4029">
          <cell r="A4029" t="str">
            <v>OP</v>
          </cell>
          <cell r="B4029" t="str">
            <v>Quá 24h</v>
          </cell>
          <cell r="D4029" t="str">
            <v>Khiếu nại về dịch vụ NextTV</v>
          </cell>
          <cell r="W4029" t="str">
            <v>Đã đóng</v>
          </cell>
          <cell r="AJ4029" t="str">
            <v>TP HCM</v>
          </cell>
          <cell r="BX4029" t="str">
            <v>AON</v>
          </cell>
        </row>
        <row r="4030">
          <cell r="A4030" t="str">
            <v>OP</v>
          </cell>
          <cell r="B4030" t="str">
            <v>Quá 24h</v>
          </cell>
          <cell r="D4030" t="str">
            <v>Khiếu nại về dịch vụ FTTH</v>
          </cell>
          <cell r="W4030" t="str">
            <v>Đang xử lý</v>
          </cell>
          <cell r="AJ4030" t="str">
            <v xml:space="preserve">Hà Tĩnh </v>
          </cell>
          <cell r="BX4030" t="str">
            <v>AON</v>
          </cell>
        </row>
        <row r="4031">
          <cell r="A4031" t="str">
            <v>OP</v>
          </cell>
          <cell r="B4031" t="str">
            <v>Quá 24h</v>
          </cell>
          <cell r="D4031" t="str">
            <v>Khiếu nại về dịch vụ FTTH</v>
          </cell>
          <cell r="W4031" t="str">
            <v>Đã đóng</v>
          </cell>
          <cell r="AJ4031" t="str">
            <v>Quảng Ninh</v>
          </cell>
          <cell r="BX4031" t="str">
            <v>AON</v>
          </cell>
        </row>
        <row r="4032">
          <cell r="A4032" t="str">
            <v>OP</v>
          </cell>
          <cell r="B4032" t="str">
            <v>Quá 24h</v>
          </cell>
          <cell r="D4032" t="str">
            <v>Khiếu nại về dịch vụ FTTH</v>
          </cell>
          <cell r="W4032" t="str">
            <v>Đã đóng</v>
          </cell>
          <cell r="AJ4032" t="str">
            <v>Bình Dương</v>
          </cell>
          <cell r="BX4032" t="str">
            <v>AON</v>
          </cell>
        </row>
        <row r="4033">
          <cell r="A4033" t="str">
            <v>OP</v>
          </cell>
          <cell r="B4033" t="str">
            <v>Quá 24h</v>
          </cell>
          <cell r="D4033" t="str">
            <v>Khiếu nại về dịch vụ FTTH</v>
          </cell>
          <cell r="W4033" t="str">
            <v>Đã đóng</v>
          </cell>
          <cell r="AJ4033" t="str">
            <v>Thanh Hoá</v>
          </cell>
          <cell r="BX4033" t="str">
            <v>AON</v>
          </cell>
        </row>
        <row r="4034">
          <cell r="A4034" t="str">
            <v>OP</v>
          </cell>
          <cell r="B4034" t="str">
            <v>Quá 24h</v>
          </cell>
          <cell r="D4034" t="str">
            <v>Khiếu nại về dịch vụ FTTH</v>
          </cell>
          <cell r="W4034" t="str">
            <v>Đã đóng</v>
          </cell>
          <cell r="AJ4034" t="str">
            <v>Quảng Ninh</v>
          </cell>
          <cell r="BX4034" t="str">
            <v>AON</v>
          </cell>
        </row>
        <row r="4035">
          <cell r="A4035" t="str">
            <v>OP</v>
          </cell>
          <cell r="B4035" t="str">
            <v>Quá 24h</v>
          </cell>
          <cell r="D4035" t="str">
            <v>Khiếu nại về dịch vụ FTTH</v>
          </cell>
          <cell r="W4035" t="str">
            <v>Đã đóng</v>
          </cell>
          <cell r="AJ4035" t="str">
            <v>Quảng Ninh</v>
          </cell>
          <cell r="BX4035" t="str">
            <v>AON</v>
          </cell>
        </row>
        <row r="4036">
          <cell r="A4036" t="str">
            <v>OP</v>
          </cell>
          <cell r="B4036" t="str">
            <v>Quá 24h</v>
          </cell>
          <cell r="D4036" t="str">
            <v>Khiếu nại về dịch vụ FTTH</v>
          </cell>
          <cell r="W4036" t="str">
            <v>Đã đóng</v>
          </cell>
          <cell r="AJ4036" t="str">
            <v>Bắc Ninh</v>
          </cell>
          <cell r="BX4036" t="str">
            <v>AON</v>
          </cell>
        </row>
        <row r="4037">
          <cell r="A4037" t="str">
            <v>OP</v>
          </cell>
          <cell r="B4037" t="str">
            <v>Quá 24h</v>
          </cell>
          <cell r="D4037" t="str">
            <v>Khiếu nại về dịch vụ FTTH</v>
          </cell>
          <cell r="W4037" t="str">
            <v>Đã đóng</v>
          </cell>
          <cell r="AJ4037" t="str">
            <v>Quảng Ninh</v>
          </cell>
          <cell r="BX4037" t="str">
            <v>AON</v>
          </cell>
        </row>
        <row r="4038">
          <cell r="A4038" t="str">
            <v>OP</v>
          </cell>
          <cell r="B4038" t="str">
            <v>Quá 24h</v>
          </cell>
          <cell r="D4038" t="str">
            <v>Khiếu nại về dịch vụ FTTH</v>
          </cell>
          <cell r="W4038" t="str">
            <v>Đã đóng</v>
          </cell>
          <cell r="AJ4038" t="str">
            <v>Quảng Ninh</v>
          </cell>
          <cell r="BX4038" t="str">
            <v>AON</v>
          </cell>
        </row>
        <row r="4039">
          <cell r="A4039" t="str">
            <v>OP</v>
          </cell>
          <cell r="B4039" t="str">
            <v>Quá 24h</v>
          </cell>
          <cell r="D4039" t="str">
            <v>Khiếu nại về dịch vụ FTTH</v>
          </cell>
          <cell r="W4039" t="str">
            <v>Đã đóng</v>
          </cell>
          <cell r="AJ4039" t="str">
            <v>Quảng Ninh</v>
          </cell>
          <cell r="BX4039" t="str">
            <v>AON</v>
          </cell>
        </row>
        <row r="4040">
          <cell r="A4040" t="str">
            <v>OP</v>
          </cell>
          <cell r="B4040" t="str">
            <v>Quá 24h</v>
          </cell>
          <cell r="D4040" t="str">
            <v>Khiếu nại về dịch vụ FTTH</v>
          </cell>
          <cell r="W4040" t="str">
            <v>Đã đóng</v>
          </cell>
          <cell r="AJ4040" t="str">
            <v>Bình Dương</v>
          </cell>
          <cell r="BX4040" t="str">
            <v>AON</v>
          </cell>
        </row>
        <row r="4041">
          <cell r="A4041" t="str">
            <v>OP</v>
          </cell>
          <cell r="B4041" t="str">
            <v>Quá 24h</v>
          </cell>
          <cell r="D4041" t="str">
            <v>Khiếu nại về dịch vụ FTTH</v>
          </cell>
          <cell r="W4041" t="str">
            <v>Đã đóng</v>
          </cell>
          <cell r="AJ4041" t="str">
            <v>Quảng Ninh</v>
          </cell>
          <cell r="BX4041" t="str">
            <v>AON</v>
          </cell>
        </row>
        <row r="4042">
          <cell r="A4042" t="str">
            <v>OP</v>
          </cell>
          <cell r="B4042" t="str">
            <v>Quá 24h</v>
          </cell>
          <cell r="D4042" t="str">
            <v>Khiếu nại về dịch vụ FTTH</v>
          </cell>
          <cell r="W4042" t="str">
            <v>Đã đóng</v>
          </cell>
          <cell r="AJ4042" t="str">
            <v>Bắc Ninh</v>
          </cell>
          <cell r="BX4042" t="str">
            <v>AON</v>
          </cell>
        </row>
        <row r="4043">
          <cell r="A4043" t="str">
            <v>OP</v>
          </cell>
          <cell r="B4043" t="str">
            <v>Quá 24h</v>
          </cell>
          <cell r="D4043" t="str">
            <v>Khiếu nại về dịch vụ NextTV</v>
          </cell>
          <cell r="W4043" t="str">
            <v>Đã đóng</v>
          </cell>
          <cell r="AJ4043" t="str">
            <v>Hà Nam</v>
          </cell>
          <cell r="BX4043" t="str">
            <v>AON</v>
          </cell>
        </row>
        <row r="4044">
          <cell r="A4044" t="str">
            <v>OP</v>
          </cell>
          <cell r="B4044" t="str">
            <v>Quá 24h</v>
          </cell>
          <cell r="D4044" t="str">
            <v>Khiếu nại về dịch vụ FTTH</v>
          </cell>
          <cell r="W4044" t="str">
            <v>Đang xử lý</v>
          </cell>
          <cell r="AJ4044" t="str">
            <v>Nam Định</v>
          </cell>
          <cell r="BX4044" t="str">
            <v>AON</v>
          </cell>
        </row>
        <row r="4045">
          <cell r="A4045" t="str">
            <v>OP</v>
          </cell>
          <cell r="B4045" t="str">
            <v>Quá 24h</v>
          </cell>
          <cell r="D4045" t="str">
            <v>Khiếu nại về dịch vụ FTTH</v>
          </cell>
          <cell r="W4045" t="str">
            <v>Đã đóng</v>
          </cell>
          <cell r="AJ4045" t="str">
            <v>Bình Dương</v>
          </cell>
          <cell r="BX4045" t="str">
            <v>AON</v>
          </cell>
        </row>
        <row r="4046">
          <cell r="A4046" t="str">
            <v>OP</v>
          </cell>
          <cell r="B4046" t="str">
            <v>Quá 24h</v>
          </cell>
          <cell r="D4046" t="str">
            <v>Khiếu nại về dịch vụ FTTH</v>
          </cell>
          <cell r="W4046" t="str">
            <v>Đã đóng</v>
          </cell>
          <cell r="AJ4046" t="str">
            <v>Thanh Hoá</v>
          </cell>
          <cell r="BX4046" t="str">
            <v>AON</v>
          </cell>
        </row>
        <row r="4047">
          <cell r="A4047" t="str">
            <v>OP</v>
          </cell>
          <cell r="B4047" t="str">
            <v>Quá 24h</v>
          </cell>
          <cell r="D4047" t="str">
            <v>Khiếu nại về dịch vụ NextTV</v>
          </cell>
          <cell r="W4047" t="str">
            <v>Đã đóng</v>
          </cell>
          <cell r="AJ4047" t="str">
            <v>Bình Dương</v>
          </cell>
          <cell r="BX4047" t="str">
            <v>AON</v>
          </cell>
        </row>
        <row r="4048">
          <cell r="A4048" t="str">
            <v>OP</v>
          </cell>
          <cell r="B4048" t="str">
            <v>Quá 24h</v>
          </cell>
          <cell r="D4048" t="str">
            <v>Khiếu nại về dịch vụ FTTH</v>
          </cell>
          <cell r="W4048" t="str">
            <v>Đã đóng</v>
          </cell>
          <cell r="AJ4048" t="str">
            <v>Bình Dương</v>
          </cell>
          <cell r="BX4048" t="str">
            <v>AON</v>
          </cell>
        </row>
        <row r="4049">
          <cell r="A4049" t="str">
            <v>OP</v>
          </cell>
          <cell r="B4049" t="str">
            <v>Quá 24h</v>
          </cell>
          <cell r="D4049" t="str">
            <v>Khiếu nại về dịch vụ FTTH</v>
          </cell>
          <cell r="W4049" t="str">
            <v>Đã đóng</v>
          </cell>
          <cell r="AJ4049" t="str">
            <v>Nghệ An</v>
          </cell>
          <cell r="BX4049" t="str">
            <v>AON</v>
          </cell>
        </row>
        <row r="4050">
          <cell r="A4050" t="str">
            <v>OP</v>
          </cell>
          <cell r="B4050" t="str">
            <v>Quá 24h</v>
          </cell>
          <cell r="D4050" t="str">
            <v>Khiếu nại về dịch vụ NextTV</v>
          </cell>
          <cell r="W4050" t="str">
            <v>Đã đóng</v>
          </cell>
          <cell r="AJ4050" t="str">
            <v>Nghệ An</v>
          </cell>
          <cell r="BX4050" t="str">
            <v>AON</v>
          </cell>
        </row>
        <row r="4051">
          <cell r="A4051" t="str">
            <v>OP</v>
          </cell>
          <cell r="B4051" t="str">
            <v>Quá 24h</v>
          </cell>
          <cell r="D4051" t="str">
            <v>Khiếu nại về dịch vụ FTTH</v>
          </cell>
          <cell r="W4051" t="str">
            <v>Đang xử lý</v>
          </cell>
          <cell r="AJ4051" t="str">
            <v>Quảng Ninh</v>
          </cell>
          <cell r="BX4051" t="str">
            <v>AON</v>
          </cell>
        </row>
        <row r="4052">
          <cell r="A4052" t="str">
            <v>OP</v>
          </cell>
          <cell r="B4052" t="str">
            <v>Quá 24h</v>
          </cell>
          <cell r="D4052" t="str">
            <v>Khiếu nại về dịch vụ FTTH</v>
          </cell>
          <cell r="W4052" t="str">
            <v>Đang xử lý</v>
          </cell>
          <cell r="AJ4052" t="str">
            <v>Hà Nội 2</v>
          </cell>
          <cell r="BX4052" t="str">
            <v>AON</v>
          </cell>
        </row>
        <row r="4053">
          <cell r="A4053" t="str">
            <v>OP</v>
          </cell>
          <cell r="B4053" t="str">
            <v>Quá 24h</v>
          </cell>
          <cell r="D4053" t="str">
            <v>Khiếu nại về dịch vụ FTTH</v>
          </cell>
          <cell r="W4053" t="str">
            <v>Đã đóng</v>
          </cell>
          <cell r="AJ4053" t="str">
            <v>Quảng Ninh</v>
          </cell>
          <cell r="BX4053" t="str">
            <v>AON</v>
          </cell>
        </row>
        <row r="4054">
          <cell r="A4054" t="str">
            <v>OP</v>
          </cell>
          <cell r="B4054" t="str">
            <v>Quá 24h</v>
          </cell>
          <cell r="D4054" t="str">
            <v>Khiếu nại về dịch vụ FTTH</v>
          </cell>
          <cell r="W4054" t="str">
            <v>Đang xử lý</v>
          </cell>
          <cell r="AJ4054" t="str">
            <v>Hải Dương</v>
          </cell>
          <cell r="BX4054" t="str">
            <v>AON</v>
          </cell>
        </row>
        <row r="4055">
          <cell r="A4055" t="str">
            <v>OP</v>
          </cell>
          <cell r="B4055" t="str">
            <v>Quá 24h</v>
          </cell>
          <cell r="D4055" t="str">
            <v>Khiếu nại về dịch vụ FTTH</v>
          </cell>
          <cell r="W4055" t="str">
            <v>Đã đóng</v>
          </cell>
          <cell r="AJ4055" t="str">
            <v>Sơn La</v>
          </cell>
          <cell r="BX4055" t="str">
            <v>AON</v>
          </cell>
        </row>
        <row r="4056">
          <cell r="A4056" t="str">
            <v>OP</v>
          </cell>
          <cell r="B4056" t="str">
            <v>Quá 24h</v>
          </cell>
          <cell r="D4056" t="str">
            <v>Khiếu nại về dịch vụ FTTH</v>
          </cell>
          <cell r="W4056" t="str">
            <v>Đang xử lý</v>
          </cell>
          <cell r="AJ4056" t="str">
            <v>Nam Định</v>
          </cell>
          <cell r="BX4056" t="str">
            <v>AON</v>
          </cell>
        </row>
        <row r="4057">
          <cell r="A4057" t="str">
            <v>OP</v>
          </cell>
          <cell r="B4057" t="str">
            <v>Quá 24h</v>
          </cell>
          <cell r="D4057" t="str">
            <v>Khiếu nại về dịch vụ NextTV</v>
          </cell>
          <cell r="W4057" t="str">
            <v>Đã đóng</v>
          </cell>
          <cell r="AJ4057" t="str">
            <v>Nam Định</v>
          </cell>
          <cell r="BX4057" t="str">
            <v>AON</v>
          </cell>
        </row>
        <row r="4058">
          <cell r="A4058" t="str">
            <v>OP</v>
          </cell>
          <cell r="B4058" t="str">
            <v>Quá 24h</v>
          </cell>
          <cell r="D4058" t="str">
            <v>Khiếu nại về dịch vụ FTTH</v>
          </cell>
          <cell r="W4058" t="str">
            <v>Đã đóng</v>
          </cell>
          <cell r="AJ4058" t="str">
            <v>Quảng Bình</v>
          </cell>
          <cell r="BX4058" t="str">
            <v>AON</v>
          </cell>
        </row>
        <row r="4059">
          <cell r="A4059" t="str">
            <v>OP</v>
          </cell>
          <cell r="B4059" t="str">
            <v>Quá 24h</v>
          </cell>
          <cell r="D4059" t="str">
            <v>Khiếu nại về dịch vụ FTTH</v>
          </cell>
          <cell r="W4059" t="str">
            <v>Đã đóng</v>
          </cell>
          <cell r="AJ4059" t="str">
            <v>Bắc Ninh</v>
          </cell>
          <cell r="BX4059" t="str">
            <v>AON</v>
          </cell>
        </row>
        <row r="4060">
          <cell r="A4060" t="str">
            <v>OP</v>
          </cell>
          <cell r="B4060" t="str">
            <v>Quá 24h</v>
          </cell>
          <cell r="D4060" t="str">
            <v>Khiếu nại về dịch vụ NextTV</v>
          </cell>
          <cell r="W4060" t="str">
            <v>Đã đóng</v>
          </cell>
          <cell r="AJ4060" t="str">
            <v>Nghệ An</v>
          </cell>
          <cell r="BX4060" t="str">
            <v>AON</v>
          </cell>
        </row>
        <row r="4061">
          <cell r="A4061" t="str">
            <v>OP</v>
          </cell>
          <cell r="B4061" t="str">
            <v>Quá 24h</v>
          </cell>
          <cell r="D4061" t="str">
            <v>Khiếu nại về dịch vụ FTTH</v>
          </cell>
          <cell r="W4061" t="str">
            <v>Đã đóng</v>
          </cell>
          <cell r="AJ4061" t="str">
            <v>Thái Nguyên</v>
          </cell>
          <cell r="BX4061" t="str">
            <v>AON</v>
          </cell>
        </row>
        <row r="4062">
          <cell r="A4062" t="str">
            <v>OP</v>
          </cell>
          <cell r="B4062" t="str">
            <v>Quá 24h</v>
          </cell>
          <cell r="D4062" t="str">
            <v>Khiếu nại về dịch vụ FTTH</v>
          </cell>
          <cell r="W4062" t="str">
            <v>Đang xử lý</v>
          </cell>
          <cell r="AJ4062" t="str">
            <v>Bắc Ninh</v>
          </cell>
          <cell r="BX4062" t="str">
            <v>AON</v>
          </cell>
        </row>
        <row r="4063">
          <cell r="A4063" t="str">
            <v>OP</v>
          </cell>
          <cell r="B4063" t="str">
            <v>Quá 24h</v>
          </cell>
          <cell r="D4063" t="str">
            <v>Khiếu nại về dịch vụ FTTH</v>
          </cell>
          <cell r="W4063" t="str">
            <v>Đã đóng</v>
          </cell>
          <cell r="AJ4063" t="str">
            <v>Quảng Ninh</v>
          </cell>
          <cell r="BX4063" t="str">
            <v>AON</v>
          </cell>
        </row>
        <row r="4064">
          <cell r="A4064" t="str">
            <v>OP</v>
          </cell>
          <cell r="B4064" t="str">
            <v>Quá 24h</v>
          </cell>
          <cell r="D4064" t="str">
            <v>Khiếu nại về dịch vụ FTTH</v>
          </cell>
          <cell r="W4064" t="str">
            <v>Đang xử lý</v>
          </cell>
          <cell r="AJ4064" t="str">
            <v>Bắc Ninh</v>
          </cell>
          <cell r="BX4064" t="str">
            <v>AON</v>
          </cell>
        </row>
        <row r="4065">
          <cell r="A4065" t="str">
            <v>OP</v>
          </cell>
          <cell r="B4065" t="str">
            <v>Quá 24h</v>
          </cell>
          <cell r="D4065" t="str">
            <v>Khiếu nại về dịch vụ FTTH</v>
          </cell>
          <cell r="W4065" t="str">
            <v>Đang xử lý</v>
          </cell>
          <cell r="AJ4065" t="str">
            <v>Bắc Ninh</v>
          </cell>
          <cell r="BX4065" t="str">
            <v>AON</v>
          </cell>
        </row>
        <row r="4066">
          <cell r="A4066" t="str">
            <v>OP</v>
          </cell>
          <cell r="B4066" t="str">
            <v>Quá 24h</v>
          </cell>
          <cell r="D4066" t="str">
            <v>Khiếu nại về dịch vụ FTTH</v>
          </cell>
          <cell r="W4066" t="str">
            <v>Đang xử lý</v>
          </cell>
          <cell r="AJ4066" t="str">
            <v>Hà Nam</v>
          </cell>
          <cell r="BX4066" t="str">
            <v>AON</v>
          </cell>
        </row>
        <row r="4067">
          <cell r="A4067" t="str">
            <v>OP</v>
          </cell>
          <cell r="B4067" t="str">
            <v>Quá 24h</v>
          </cell>
          <cell r="D4067" t="str">
            <v>Khiếu nại về dịch vụ NextTV</v>
          </cell>
          <cell r="W4067" t="str">
            <v>Đã đóng</v>
          </cell>
          <cell r="AJ4067" t="str">
            <v>Tây Ninh</v>
          </cell>
          <cell r="BX4067" t="str">
            <v>AON</v>
          </cell>
        </row>
        <row r="4068">
          <cell r="A4068" t="str">
            <v>OP</v>
          </cell>
          <cell r="B4068" t="str">
            <v>Quá 24h</v>
          </cell>
          <cell r="D4068" t="str">
            <v>Khiếu nại về dịch vụ FTTH</v>
          </cell>
          <cell r="W4068" t="str">
            <v>Đã đóng</v>
          </cell>
          <cell r="AJ4068" t="str">
            <v>Quảng Ninh</v>
          </cell>
          <cell r="BX4068" t="str">
            <v>AON</v>
          </cell>
        </row>
        <row r="4069">
          <cell r="A4069" t="str">
            <v>OP</v>
          </cell>
          <cell r="B4069" t="str">
            <v>Quá 24h</v>
          </cell>
          <cell r="D4069" t="str">
            <v>Khiếu nại về dịch vụ FTTH</v>
          </cell>
          <cell r="W4069" t="str">
            <v>Đã đóng</v>
          </cell>
          <cell r="AJ4069" t="str">
            <v>Hà Nội 1</v>
          </cell>
          <cell r="BX4069" t="str">
            <v>AON</v>
          </cell>
        </row>
        <row r="4070">
          <cell r="A4070" t="str">
            <v>OP</v>
          </cell>
          <cell r="B4070" t="str">
            <v>Quá 24h</v>
          </cell>
          <cell r="D4070" t="str">
            <v>Khiếu nại về dịch vụ FTTH</v>
          </cell>
          <cell r="W4070" t="str">
            <v>Đang xử lý</v>
          </cell>
          <cell r="AJ4070" t="str">
            <v>Hà Nam</v>
          </cell>
          <cell r="BX4070" t="str">
            <v>AON</v>
          </cell>
        </row>
        <row r="4071">
          <cell r="A4071" t="str">
            <v>OP</v>
          </cell>
          <cell r="B4071" t="str">
            <v>Quá 24h</v>
          </cell>
          <cell r="D4071" t="str">
            <v>Khiếu nại về dịch vụ FTTH</v>
          </cell>
          <cell r="W4071" t="str">
            <v>Đã đóng</v>
          </cell>
          <cell r="AJ4071" t="str">
            <v>Thanh Hoá</v>
          </cell>
          <cell r="BX4071" t="str">
            <v>AON</v>
          </cell>
        </row>
        <row r="4072">
          <cell r="A4072" t="str">
            <v>OP</v>
          </cell>
          <cell r="B4072" t="str">
            <v>Quá 24h</v>
          </cell>
          <cell r="D4072" t="str">
            <v>Khiếu nại về dịch vụ FTTH</v>
          </cell>
          <cell r="W4072" t="str">
            <v>Đang xử lý</v>
          </cell>
          <cell r="AJ4072" t="str">
            <v>Bắc Ninh</v>
          </cell>
          <cell r="BX4072" t="str">
            <v>AON</v>
          </cell>
        </row>
        <row r="4073">
          <cell r="A4073" t="str">
            <v>OP</v>
          </cell>
          <cell r="B4073" t="str">
            <v>Quá 24h</v>
          </cell>
          <cell r="D4073" t="str">
            <v>Khiếu nại về dịch vụ FTTH</v>
          </cell>
          <cell r="W4073" t="str">
            <v>Đang xử lý</v>
          </cell>
          <cell r="AJ4073" t="str">
            <v>Hà Nội 2</v>
          </cell>
          <cell r="BX4073" t="str">
            <v>AON</v>
          </cell>
        </row>
        <row r="4074">
          <cell r="A4074" t="str">
            <v>OP</v>
          </cell>
          <cell r="B4074" t="str">
            <v>Quá 24h</v>
          </cell>
          <cell r="D4074" t="str">
            <v>Khiếu nại về dịch vụ FTTH</v>
          </cell>
          <cell r="W4074" t="str">
            <v>Đang xử lý</v>
          </cell>
          <cell r="AJ4074" t="str">
            <v>Bắc Ninh</v>
          </cell>
          <cell r="BX4074" t="str">
            <v>AON</v>
          </cell>
        </row>
        <row r="4075">
          <cell r="A4075" t="str">
            <v>OP</v>
          </cell>
          <cell r="B4075" t="str">
            <v>Quá 24h</v>
          </cell>
          <cell r="D4075" t="str">
            <v>Khiếu nại về dịch vụ FTTH</v>
          </cell>
          <cell r="W4075" t="str">
            <v>Đang xử lý</v>
          </cell>
          <cell r="AJ4075" t="str">
            <v>Bắc Ninh</v>
          </cell>
          <cell r="BX4075" t="str">
            <v>AON</v>
          </cell>
        </row>
        <row r="4076">
          <cell r="A4076" t="str">
            <v>OP</v>
          </cell>
          <cell r="B4076" t="str">
            <v>Quá 24h</v>
          </cell>
          <cell r="D4076" t="str">
            <v>Khiếu nại về dịch vụ FTTH</v>
          </cell>
          <cell r="W4076" t="str">
            <v>Đã đóng</v>
          </cell>
          <cell r="AJ4076" t="str">
            <v xml:space="preserve">Hà Tĩnh </v>
          </cell>
          <cell r="BX4076" t="str">
            <v>AON</v>
          </cell>
        </row>
        <row r="4077">
          <cell r="A4077" t="str">
            <v>OP</v>
          </cell>
          <cell r="B4077" t="str">
            <v>Quá 24h</v>
          </cell>
          <cell r="D4077" t="str">
            <v>Khiếu nại về dịch vụ FTTH</v>
          </cell>
          <cell r="W4077" t="str">
            <v>Đã đóng</v>
          </cell>
          <cell r="AJ4077" t="str">
            <v>Bắc Ninh</v>
          </cell>
          <cell r="BX4077" t="str">
            <v>AON</v>
          </cell>
        </row>
        <row r="4078">
          <cell r="A4078" t="str">
            <v>OP</v>
          </cell>
          <cell r="B4078" t="str">
            <v>Quá 24h</v>
          </cell>
          <cell r="D4078" t="str">
            <v>Khiếu nại về dịch vụ FTTH</v>
          </cell>
          <cell r="W4078" t="str">
            <v>Đang xử lý</v>
          </cell>
          <cell r="AJ4078" t="str">
            <v>Hải Phòng</v>
          </cell>
          <cell r="BX4078" t="str">
            <v>AON</v>
          </cell>
        </row>
        <row r="4079">
          <cell r="A4079" t="str">
            <v>OP</v>
          </cell>
          <cell r="B4079" t="str">
            <v>Quá 24h</v>
          </cell>
          <cell r="D4079" t="str">
            <v>Khiếu nại về dịch vụ FTTH</v>
          </cell>
          <cell r="W4079" t="str">
            <v>Đã đóng</v>
          </cell>
          <cell r="AJ4079" t="str">
            <v>Quảng Ninh</v>
          </cell>
          <cell r="BX4079" t="str">
            <v>AON</v>
          </cell>
        </row>
        <row r="4080">
          <cell r="A4080" t="str">
            <v>OP</v>
          </cell>
          <cell r="B4080" t="str">
            <v>Quá 24h</v>
          </cell>
          <cell r="D4080" t="str">
            <v>Khiếu nại về dịch vụ FTTH</v>
          </cell>
          <cell r="W4080" t="str">
            <v>Đang xử lý</v>
          </cell>
          <cell r="AJ4080" t="str">
            <v>Hà Nội 2</v>
          </cell>
          <cell r="BX4080" t="str">
            <v>AON</v>
          </cell>
        </row>
        <row r="4081">
          <cell r="A4081" t="str">
            <v>OP</v>
          </cell>
          <cell r="B4081" t="str">
            <v>Quá 24h</v>
          </cell>
          <cell r="D4081" t="str">
            <v>Khiếu nại về dịch vụ FTTH</v>
          </cell>
          <cell r="W4081" t="str">
            <v>Đang xử lý</v>
          </cell>
          <cell r="AJ4081" t="str">
            <v>Bắc Ninh</v>
          </cell>
          <cell r="BX4081" t="str">
            <v>AON</v>
          </cell>
        </row>
        <row r="4082">
          <cell r="A4082" t="str">
            <v>OP</v>
          </cell>
          <cell r="B4082" t="str">
            <v>Quá 24h</v>
          </cell>
          <cell r="D4082" t="str">
            <v>Khiếu nại về dịch vụ FTTH</v>
          </cell>
          <cell r="W4082" t="str">
            <v>Đang xử lý</v>
          </cell>
          <cell r="AJ4082" t="str">
            <v>Bắc Ninh</v>
          </cell>
          <cell r="BX4082" t="str">
            <v>AON</v>
          </cell>
        </row>
        <row r="4083">
          <cell r="A4083" t="str">
            <v>OP</v>
          </cell>
          <cell r="B4083" t="str">
            <v>Quá 24h</v>
          </cell>
          <cell r="D4083" t="str">
            <v>Khiếu nại về dịch vụ FTTH</v>
          </cell>
          <cell r="W4083" t="str">
            <v>Đã đóng</v>
          </cell>
          <cell r="AJ4083" t="str">
            <v>Quảng Ninh</v>
          </cell>
          <cell r="BX4083" t="str">
            <v>AON</v>
          </cell>
        </row>
        <row r="4084">
          <cell r="A4084" t="str">
            <v>OP</v>
          </cell>
          <cell r="B4084" t="str">
            <v>Quá 24h</v>
          </cell>
          <cell r="D4084" t="str">
            <v>Khiếu nại về dịch vụ FTTH</v>
          </cell>
          <cell r="W4084" t="str">
            <v>Đã đóng</v>
          </cell>
          <cell r="AJ4084" t="str">
            <v>An Giang</v>
          </cell>
          <cell r="BX4084" t="str">
            <v>AON</v>
          </cell>
        </row>
        <row r="4085">
          <cell r="A4085" t="str">
            <v>OP</v>
          </cell>
          <cell r="B4085" t="str">
            <v>Quá 24h</v>
          </cell>
          <cell r="D4085" t="str">
            <v>Khiếu nại về dịch vụ FTTH</v>
          </cell>
          <cell r="W4085" t="str">
            <v>Đã đóng</v>
          </cell>
          <cell r="AJ4085" t="str">
            <v>Bình Dương</v>
          </cell>
          <cell r="BX4085" t="str">
            <v>AON</v>
          </cell>
        </row>
        <row r="4086">
          <cell r="A4086" t="str">
            <v>OP</v>
          </cell>
          <cell r="B4086" t="str">
            <v>Quá 24h</v>
          </cell>
          <cell r="D4086" t="str">
            <v>Khiếu nại về dịch vụ FTTH</v>
          </cell>
          <cell r="W4086" t="str">
            <v>Đang xử lý</v>
          </cell>
          <cell r="AJ4086" t="str">
            <v>Hà Nội 1</v>
          </cell>
          <cell r="BX4086" t="str">
            <v>AON</v>
          </cell>
        </row>
        <row r="4087">
          <cell r="A4087" t="str">
            <v>OP</v>
          </cell>
          <cell r="B4087" t="str">
            <v>Quá 24h</v>
          </cell>
          <cell r="D4087" t="str">
            <v>Khiếu nại về dịch vụ FTTH</v>
          </cell>
          <cell r="W4087" t="str">
            <v>Đã đóng</v>
          </cell>
          <cell r="AJ4087" t="str">
            <v>Cần Thơ</v>
          </cell>
          <cell r="BX4087" t="str">
            <v>AON</v>
          </cell>
        </row>
        <row r="4088">
          <cell r="A4088" t="str">
            <v>OP</v>
          </cell>
          <cell r="B4088" t="str">
            <v>Quá 24h</v>
          </cell>
          <cell r="D4088" t="str">
            <v>Khiếu nại về dịch vụ FTTH</v>
          </cell>
          <cell r="W4088" t="str">
            <v>Đang xử lý</v>
          </cell>
          <cell r="AJ4088" t="str">
            <v>Bà Rịa - Vũng Tàu</v>
          </cell>
          <cell r="BX4088" t="str">
            <v>AON</v>
          </cell>
        </row>
        <row r="4089">
          <cell r="A4089" t="str">
            <v>OP</v>
          </cell>
          <cell r="B4089" t="str">
            <v>Quá 24h</v>
          </cell>
          <cell r="D4089" t="str">
            <v>Khiếu nại về dịch vụ FTTH</v>
          </cell>
          <cell r="W4089" t="str">
            <v>Đang xử lý</v>
          </cell>
          <cell r="AJ4089" t="str">
            <v>Bình Dương</v>
          </cell>
          <cell r="BX4089" t="str">
            <v>AON</v>
          </cell>
        </row>
        <row r="4090">
          <cell r="A4090" t="str">
            <v>OP</v>
          </cell>
          <cell r="B4090" t="str">
            <v>Quá 24h</v>
          </cell>
          <cell r="D4090" t="str">
            <v>Khiếu nại về dịch vụ FTTH</v>
          </cell>
          <cell r="W4090" t="str">
            <v>Đã đóng</v>
          </cell>
          <cell r="AJ4090" t="str">
            <v xml:space="preserve">Đồng Nai </v>
          </cell>
          <cell r="BX4090" t="str">
            <v>AON</v>
          </cell>
        </row>
        <row r="4091">
          <cell r="A4091" t="str">
            <v>OP</v>
          </cell>
          <cell r="B4091" t="str">
            <v>Quá 24h</v>
          </cell>
          <cell r="D4091" t="str">
            <v>Khiếu nại về dịch vụ FTTH</v>
          </cell>
          <cell r="W4091" t="str">
            <v>Đã đóng</v>
          </cell>
          <cell r="AJ4091" t="str">
            <v>Hà Nội 2</v>
          </cell>
          <cell r="BX4091" t="str">
            <v>AON</v>
          </cell>
        </row>
        <row r="4092">
          <cell r="A4092" t="str">
            <v>OP</v>
          </cell>
          <cell r="B4092" t="str">
            <v>Quá 24h</v>
          </cell>
          <cell r="D4092" t="str">
            <v>Khiếu nại về dịch vụ FTTH</v>
          </cell>
          <cell r="W4092" t="str">
            <v>Đang xử lý</v>
          </cell>
          <cell r="AJ4092" t="str">
            <v>Hải Phòng</v>
          </cell>
          <cell r="BX4092" t="str">
            <v>AON</v>
          </cell>
        </row>
        <row r="4093">
          <cell r="A4093" t="str">
            <v>OP</v>
          </cell>
          <cell r="B4093" t="str">
            <v>Quá 24h</v>
          </cell>
          <cell r="D4093" t="str">
            <v>Khiếu nại về dịch vụ NextTV</v>
          </cell>
          <cell r="W4093" t="str">
            <v>Đã đóng</v>
          </cell>
          <cell r="AJ4093" t="str">
            <v>TP HCM</v>
          </cell>
          <cell r="BX4093" t="str">
            <v>GPON</v>
          </cell>
        </row>
        <row r="4094">
          <cell r="A4094" t="str">
            <v>OP</v>
          </cell>
          <cell r="B4094" t="str">
            <v>Quá 24h</v>
          </cell>
          <cell r="D4094" t="str">
            <v>Khiếu nại về dịch vụ FTTH</v>
          </cell>
          <cell r="W4094" t="str">
            <v>Đã đóng</v>
          </cell>
          <cell r="AJ4094" t="str">
            <v>Bình Dương</v>
          </cell>
          <cell r="BX4094" t="str">
            <v>AON</v>
          </cell>
        </row>
        <row r="4095">
          <cell r="A4095" t="str">
            <v>OP</v>
          </cell>
          <cell r="B4095" t="str">
            <v>Quá 24h</v>
          </cell>
          <cell r="D4095" t="str">
            <v>Khiếu nại về dịch vụ FTTH</v>
          </cell>
          <cell r="W4095" t="str">
            <v>Đang xử lý</v>
          </cell>
          <cell r="AJ4095" t="str">
            <v>Bình Dương</v>
          </cell>
          <cell r="BX4095" t="str">
            <v>AON</v>
          </cell>
        </row>
        <row r="4096">
          <cell r="A4096" t="str">
            <v>OP</v>
          </cell>
          <cell r="B4096" t="str">
            <v>Quá 24h</v>
          </cell>
          <cell r="D4096" t="str">
            <v>Khiếu nại về dịch vụ FTTH</v>
          </cell>
          <cell r="W4096" t="str">
            <v>Đang xử lý</v>
          </cell>
          <cell r="AJ4096" t="str">
            <v>TP HCM</v>
          </cell>
          <cell r="BX4096" t="str">
            <v>AON</v>
          </cell>
        </row>
        <row r="4097">
          <cell r="A4097" t="str">
            <v>OP</v>
          </cell>
          <cell r="B4097" t="str">
            <v>Quá 24h</v>
          </cell>
          <cell r="D4097" t="str">
            <v>Khiếu nại về dịch vụ FTTH</v>
          </cell>
          <cell r="W4097" t="str">
            <v>Đang xử lý</v>
          </cell>
          <cell r="AJ4097" t="str">
            <v>Hà Nội 2</v>
          </cell>
          <cell r="BX4097" t="str">
            <v>AON</v>
          </cell>
        </row>
        <row r="4098">
          <cell r="A4098" t="str">
            <v>OP</v>
          </cell>
          <cell r="B4098" t="str">
            <v>Quá 24h</v>
          </cell>
          <cell r="D4098" t="str">
            <v>Khiếu nại về dịch vụ FTTH</v>
          </cell>
          <cell r="W4098" t="str">
            <v>Đã đóng</v>
          </cell>
          <cell r="AJ4098" t="str">
            <v>Nghệ An</v>
          </cell>
          <cell r="BX4098" t="str">
            <v>AON</v>
          </cell>
        </row>
        <row r="4099">
          <cell r="A4099" t="str">
            <v>OP</v>
          </cell>
          <cell r="B4099" t="str">
            <v>Quá 24h</v>
          </cell>
          <cell r="D4099" t="str">
            <v>Khiếu nại về dịch vụ FTTH</v>
          </cell>
          <cell r="W4099" t="str">
            <v>Đã đóng</v>
          </cell>
          <cell r="AJ4099" t="str">
            <v>Bắc Ninh</v>
          </cell>
          <cell r="BX4099" t="str">
            <v>AON</v>
          </cell>
        </row>
        <row r="4100">
          <cell r="A4100" t="str">
            <v>OP</v>
          </cell>
          <cell r="B4100" t="str">
            <v>Quá 24h</v>
          </cell>
          <cell r="D4100" t="str">
            <v>Khiếu nại về dịch vụ FTTH</v>
          </cell>
          <cell r="W4100" t="str">
            <v>Đã đóng</v>
          </cell>
          <cell r="AJ4100" t="str">
            <v>Quảng Ninh</v>
          </cell>
          <cell r="BX4100" t="str">
            <v>AON</v>
          </cell>
        </row>
        <row r="4101">
          <cell r="A4101" t="str">
            <v>OP</v>
          </cell>
          <cell r="B4101" t="str">
            <v>Quá 24h</v>
          </cell>
          <cell r="D4101" t="str">
            <v>Khiếu nại về dịch vụ FTTH</v>
          </cell>
          <cell r="W4101" t="str">
            <v>Đã đóng</v>
          </cell>
          <cell r="AJ4101" t="str">
            <v>Quảng Bình</v>
          </cell>
          <cell r="BX4101" t="str">
            <v>AON</v>
          </cell>
        </row>
        <row r="4102">
          <cell r="A4102" t="str">
            <v>OP</v>
          </cell>
          <cell r="B4102" t="str">
            <v>Quá 24h</v>
          </cell>
          <cell r="D4102" t="str">
            <v>Khiếu nại về dịch vụ FTTH</v>
          </cell>
          <cell r="W4102" t="str">
            <v>Đang xử lý</v>
          </cell>
          <cell r="AJ4102" t="str">
            <v>Bắc Ninh</v>
          </cell>
          <cell r="BX4102" t="str">
            <v>AON</v>
          </cell>
        </row>
        <row r="4103">
          <cell r="A4103" t="str">
            <v>OP</v>
          </cell>
          <cell r="B4103" t="str">
            <v>Quá 24h</v>
          </cell>
          <cell r="D4103" t="str">
            <v>Khiếu nại về dịch vụ FTTH</v>
          </cell>
          <cell r="W4103" t="str">
            <v>Đã đóng</v>
          </cell>
          <cell r="AJ4103" t="str">
            <v>Hà Nội 1</v>
          </cell>
          <cell r="BX4103" t="str">
            <v>AON</v>
          </cell>
        </row>
        <row r="4104">
          <cell r="A4104" t="str">
            <v>OP</v>
          </cell>
          <cell r="B4104" t="str">
            <v>Quá 24h</v>
          </cell>
          <cell r="D4104" t="str">
            <v>Khiếu nại về dịch vụ FTTH</v>
          </cell>
          <cell r="W4104" t="str">
            <v>Đã đóng</v>
          </cell>
          <cell r="AJ4104" t="str">
            <v>Thái Nguyên</v>
          </cell>
          <cell r="BX4104" t="str">
            <v>AON</v>
          </cell>
        </row>
        <row r="4105">
          <cell r="A4105" t="str">
            <v>OP</v>
          </cell>
          <cell r="B4105" t="str">
            <v>Quá 24h</v>
          </cell>
          <cell r="D4105" t="str">
            <v>Khiếu nại về dịch vụ FTTH</v>
          </cell>
          <cell r="W4105" t="str">
            <v>Đã đóng</v>
          </cell>
          <cell r="AJ4105" t="str">
            <v>Bắc Ninh</v>
          </cell>
          <cell r="BX4105" t="str">
            <v>AON</v>
          </cell>
        </row>
        <row r="4106">
          <cell r="A4106" t="str">
            <v>OP</v>
          </cell>
          <cell r="B4106" t="str">
            <v>Quá 24h</v>
          </cell>
          <cell r="D4106" t="str">
            <v>Khiếu nại về dịch vụ FTTH</v>
          </cell>
          <cell r="W4106" t="str">
            <v>Đang xử lý</v>
          </cell>
          <cell r="AJ4106" t="str">
            <v>Bắc Ninh</v>
          </cell>
          <cell r="BX4106" t="str">
            <v>AON</v>
          </cell>
        </row>
        <row r="4107">
          <cell r="A4107" t="str">
            <v>OP</v>
          </cell>
          <cell r="B4107" t="str">
            <v>Quá 24h</v>
          </cell>
          <cell r="D4107" t="str">
            <v>Khiếu nại về dịch vụ FTTH</v>
          </cell>
          <cell r="W4107" t="str">
            <v>Đã đóng</v>
          </cell>
          <cell r="AJ4107" t="str">
            <v>Nghệ An</v>
          </cell>
          <cell r="BX4107" t="str">
            <v>AON</v>
          </cell>
        </row>
        <row r="4108">
          <cell r="A4108" t="str">
            <v>OP</v>
          </cell>
          <cell r="B4108" t="str">
            <v>Quá 24h</v>
          </cell>
          <cell r="D4108" t="str">
            <v>Khiếu nại về dịch vụ FTTH</v>
          </cell>
          <cell r="W4108" t="str">
            <v>Đã đóng</v>
          </cell>
          <cell r="AJ4108" t="str">
            <v>Phú Thọ</v>
          </cell>
          <cell r="BX4108" t="str">
            <v>AON</v>
          </cell>
        </row>
        <row r="4109">
          <cell r="A4109" t="str">
            <v>OP</v>
          </cell>
          <cell r="B4109" t="str">
            <v>Quá 24h</v>
          </cell>
          <cell r="D4109" t="str">
            <v>Khiếu nại về dịch vụ FTTH</v>
          </cell>
          <cell r="W4109" t="str">
            <v>Đã đóng</v>
          </cell>
          <cell r="AJ4109" t="str">
            <v>Thái Nguyên</v>
          </cell>
          <cell r="BX4109" t="str">
            <v>AON</v>
          </cell>
        </row>
        <row r="4110">
          <cell r="A4110" t="str">
            <v>OP</v>
          </cell>
          <cell r="B4110" t="str">
            <v>Quá 24h</v>
          </cell>
          <cell r="D4110" t="str">
            <v>Khiếu nại về dịch vụ FTTH</v>
          </cell>
          <cell r="W4110" t="str">
            <v>Đang xử lý</v>
          </cell>
          <cell r="AJ4110" t="str">
            <v>Bắc Ninh</v>
          </cell>
          <cell r="BX4110" t="str">
            <v>AON</v>
          </cell>
        </row>
        <row r="4111">
          <cell r="A4111" t="str">
            <v>OP</v>
          </cell>
          <cell r="B4111" t="str">
            <v>Quá 24h</v>
          </cell>
          <cell r="D4111" t="str">
            <v>Khiếu nại về dịch vụ NextTV</v>
          </cell>
          <cell r="W4111" t="str">
            <v>Đã đóng</v>
          </cell>
          <cell r="AJ4111" t="str">
            <v>Quảng Ninh</v>
          </cell>
          <cell r="BX4111" t="str">
            <v>AON</v>
          </cell>
        </row>
        <row r="4112">
          <cell r="A4112" t="str">
            <v>OP</v>
          </cell>
          <cell r="B4112" t="str">
            <v>Quá 24h</v>
          </cell>
          <cell r="D4112" t="str">
            <v>Khiếu nại về dịch vụ FTTH</v>
          </cell>
          <cell r="W4112" t="str">
            <v>Đang xử lý</v>
          </cell>
          <cell r="AJ4112" t="str">
            <v>Bắc Ninh</v>
          </cell>
          <cell r="BX4112" t="str">
            <v>AON</v>
          </cell>
        </row>
        <row r="4113">
          <cell r="A4113" t="str">
            <v>OP</v>
          </cell>
          <cell r="B4113" t="str">
            <v>Quá 24h</v>
          </cell>
          <cell r="D4113" t="str">
            <v>Khiếu nại về dịch vụ FTTH</v>
          </cell>
          <cell r="W4113" t="str">
            <v>Đang xử lý</v>
          </cell>
          <cell r="AJ4113" t="str">
            <v>Quảng Ninh</v>
          </cell>
          <cell r="BX4113" t="str">
            <v>AON</v>
          </cell>
        </row>
        <row r="4114">
          <cell r="A4114" t="str">
            <v>OP</v>
          </cell>
          <cell r="B4114" t="str">
            <v>Quá 24h</v>
          </cell>
          <cell r="D4114" t="str">
            <v>Khiếu nại về dịch vụ FTTH</v>
          </cell>
          <cell r="W4114" t="str">
            <v>Đang xử lý</v>
          </cell>
          <cell r="AJ4114" t="str">
            <v>Bắc Ninh</v>
          </cell>
          <cell r="BX4114" t="str">
            <v>AON</v>
          </cell>
        </row>
        <row r="4115">
          <cell r="A4115" t="str">
            <v>OP</v>
          </cell>
          <cell r="B4115" t="str">
            <v>Quá 24h</v>
          </cell>
          <cell r="D4115" t="str">
            <v>Khiếu nại về dịch vụ FTTH</v>
          </cell>
          <cell r="W4115" t="str">
            <v>Đã đóng</v>
          </cell>
          <cell r="AJ4115" t="str">
            <v>Quảng Bình</v>
          </cell>
          <cell r="BX4115" t="str">
            <v>AON</v>
          </cell>
        </row>
        <row r="4116">
          <cell r="A4116" t="str">
            <v>OP</v>
          </cell>
          <cell r="B4116" t="str">
            <v>Quá 24h</v>
          </cell>
          <cell r="D4116" t="str">
            <v>Khiếu nại về dịch vụ FTTH</v>
          </cell>
          <cell r="W4116" t="str">
            <v>Đang xử lý</v>
          </cell>
          <cell r="AJ4116" t="str">
            <v>Quảng Ninh</v>
          </cell>
          <cell r="BX4116" t="str">
            <v>AON</v>
          </cell>
        </row>
        <row r="4117">
          <cell r="A4117" t="str">
            <v>OP</v>
          </cell>
          <cell r="B4117" t="str">
            <v>Quá 24h</v>
          </cell>
          <cell r="D4117" t="str">
            <v>Khiếu nại về dịch vụ FTTH</v>
          </cell>
          <cell r="W4117" t="str">
            <v>Đã đóng</v>
          </cell>
          <cell r="AJ4117" t="str">
            <v>Quảng Ninh</v>
          </cell>
          <cell r="BX4117" t="str">
            <v>AON</v>
          </cell>
        </row>
        <row r="4118">
          <cell r="A4118" t="str">
            <v>OP</v>
          </cell>
          <cell r="B4118" t="str">
            <v>Quá 24h</v>
          </cell>
          <cell r="D4118" t="str">
            <v>Khiếu nại về dịch vụ FTTH</v>
          </cell>
          <cell r="W4118" t="str">
            <v>Đã đóng</v>
          </cell>
          <cell r="AJ4118" t="str">
            <v>Quảng Ninh</v>
          </cell>
          <cell r="BX4118" t="str">
            <v>AON</v>
          </cell>
        </row>
        <row r="4119">
          <cell r="A4119" t="str">
            <v>OP</v>
          </cell>
          <cell r="B4119" t="str">
            <v>Quá 24h</v>
          </cell>
          <cell r="D4119" t="str">
            <v>Khiếu nại về dịch vụ FTTH</v>
          </cell>
          <cell r="W4119" t="str">
            <v>Đã đóng</v>
          </cell>
          <cell r="AJ4119" t="str">
            <v>Bắc Ninh</v>
          </cell>
          <cell r="BX4119" t="str">
            <v>AON</v>
          </cell>
        </row>
        <row r="4120">
          <cell r="A4120" t="str">
            <v>OP</v>
          </cell>
          <cell r="B4120" t="str">
            <v>Quá 24h</v>
          </cell>
          <cell r="D4120" t="str">
            <v>Khiếu nại về dịch vụ FTTH</v>
          </cell>
          <cell r="W4120" t="str">
            <v>Đang xử lý</v>
          </cell>
          <cell r="AJ4120" t="str">
            <v>Quảng Ninh</v>
          </cell>
          <cell r="BX4120" t="str">
            <v>AON</v>
          </cell>
        </row>
        <row r="4121">
          <cell r="A4121" t="str">
            <v>OP</v>
          </cell>
          <cell r="B4121" t="str">
            <v>Quá 24h</v>
          </cell>
          <cell r="D4121" t="str">
            <v>Khiếu nại về dịch vụ FTTH</v>
          </cell>
          <cell r="W4121" t="str">
            <v>Đã đóng</v>
          </cell>
          <cell r="AJ4121" t="str">
            <v>Hà Nam</v>
          </cell>
          <cell r="BX4121" t="str">
            <v>AON</v>
          </cell>
        </row>
        <row r="4122">
          <cell r="A4122" t="str">
            <v>OP</v>
          </cell>
          <cell r="B4122" t="str">
            <v>Quá 24h</v>
          </cell>
          <cell r="D4122" t="str">
            <v>Khiếu nại về dịch vụ NextTV</v>
          </cell>
          <cell r="W4122" t="str">
            <v>Đã đóng</v>
          </cell>
          <cell r="AJ4122" t="str">
            <v>Quảng Ninh</v>
          </cell>
          <cell r="BX4122" t="str">
            <v>AON</v>
          </cell>
        </row>
        <row r="4123">
          <cell r="A4123" t="str">
            <v>OP</v>
          </cell>
          <cell r="B4123" t="str">
            <v>Quá 24h</v>
          </cell>
          <cell r="D4123" t="str">
            <v>Khiếu nại về dịch vụ FTTH</v>
          </cell>
          <cell r="W4123" t="str">
            <v>Đã đóng</v>
          </cell>
          <cell r="AJ4123" t="str">
            <v>Bắc Ninh</v>
          </cell>
          <cell r="BX4123" t="str">
            <v>AON</v>
          </cell>
        </row>
        <row r="4124">
          <cell r="A4124" t="str">
            <v>OP</v>
          </cell>
          <cell r="B4124" t="str">
            <v>Quá 24h</v>
          </cell>
          <cell r="D4124" t="str">
            <v>Khiếu nại về dịch vụ FTTH</v>
          </cell>
          <cell r="W4124" t="str">
            <v>Đang xử lý</v>
          </cell>
          <cell r="AJ4124" t="str">
            <v>Nghệ An</v>
          </cell>
          <cell r="BX4124" t="str">
            <v>AON</v>
          </cell>
        </row>
        <row r="4125">
          <cell r="A4125" t="str">
            <v>OP</v>
          </cell>
          <cell r="B4125" t="str">
            <v>Quá 24h</v>
          </cell>
          <cell r="D4125" t="str">
            <v>Khiếu nại về dịch vụ FTTH</v>
          </cell>
          <cell r="W4125" t="str">
            <v>Đang xử lý</v>
          </cell>
          <cell r="AJ4125" t="str">
            <v>Bắc Ninh</v>
          </cell>
          <cell r="BX4125" t="str">
            <v>AON</v>
          </cell>
        </row>
        <row r="4126">
          <cell r="A4126" t="str">
            <v>OP</v>
          </cell>
          <cell r="B4126" t="str">
            <v>Quá 24h</v>
          </cell>
          <cell r="D4126" t="str">
            <v>Khiếu nại về dịch vụ FTTH</v>
          </cell>
          <cell r="W4126" t="str">
            <v>Đã đóng</v>
          </cell>
          <cell r="AJ4126" t="str">
            <v>Thái Nguyên</v>
          </cell>
          <cell r="BX4126" t="str">
            <v>AON</v>
          </cell>
        </row>
        <row r="4127">
          <cell r="A4127" t="str">
            <v>OP</v>
          </cell>
          <cell r="B4127" t="str">
            <v>Quá 24h</v>
          </cell>
          <cell r="D4127" t="str">
            <v>Khiếu nại về dịch vụ FTTH</v>
          </cell>
          <cell r="W4127" t="str">
            <v>Đang xử lý</v>
          </cell>
          <cell r="AJ4127" t="str">
            <v>Hải Phòng</v>
          </cell>
          <cell r="BX4127" t="str">
            <v>AON</v>
          </cell>
        </row>
        <row r="4128">
          <cell r="A4128" t="str">
            <v>OP</v>
          </cell>
          <cell r="B4128" t="str">
            <v>Quá 24h</v>
          </cell>
          <cell r="D4128" t="str">
            <v>Khiếu nại về dịch vụ FTTH</v>
          </cell>
          <cell r="W4128" t="str">
            <v>Đã đóng</v>
          </cell>
          <cell r="AJ4128" t="str">
            <v>Quảng Ninh</v>
          </cell>
          <cell r="BX4128" t="str">
            <v>AON</v>
          </cell>
        </row>
        <row r="4129">
          <cell r="A4129" t="str">
            <v>OP</v>
          </cell>
          <cell r="B4129" t="str">
            <v>Quá 24h</v>
          </cell>
          <cell r="D4129" t="str">
            <v>Khiếu nại về dịch vụ FTTH</v>
          </cell>
          <cell r="W4129" t="str">
            <v>Đang xử lý</v>
          </cell>
          <cell r="AJ4129" t="str">
            <v>Quảng Ninh</v>
          </cell>
          <cell r="BX4129" t="str">
            <v>AON</v>
          </cell>
        </row>
        <row r="4130">
          <cell r="A4130" t="str">
            <v>OP</v>
          </cell>
          <cell r="B4130" t="str">
            <v>Quá 24h</v>
          </cell>
          <cell r="D4130" t="str">
            <v>Khiếu nại về dịch vụ FTTH</v>
          </cell>
          <cell r="W4130" t="str">
            <v>Đã đóng</v>
          </cell>
          <cell r="AJ4130" t="str">
            <v>Thái Nguyên</v>
          </cell>
          <cell r="BX4130" t="str">
            <v>AON</v>
          </cell>
        </row>
        <row r="4131">
          <cell r="A4131" t="str">
            <v>OP</v>
          </cell>
          <cell r="B4131" t="str">
            <v>Quá 24h</v>
          </cell>
          <cell r="D4131" t="str">
            <v>Khiếu nại về dịch vụ FTTH</v>
          </cell>
          <cell r="W4131" t="str">
            <v>Đã đóng</v>
          </cell>
          <cell r="AJ4131" t="str">
            <v>Thái Nguyên</v>
          </cell>
          <cell r="BX4131" t="str">
            <v>AON</v>
          </cell>
        </row>
        <row r="4132">
          <cell r="A4132" t="str">
            <v>OP</v>
          </cell>
          <cell r="B4132" t="str">
            <v>Quá 24h</v>
          </cell>
          <cell r="D4132" t="str">
            <v>Khiếu nại về dịch vụ FTTH</v>
          </cell>
          <cell r="W4132" t="str">
            <v>Đã đóng</v>
          </cell>
          <cell r="AJ4132" t="str">
            <v>Bắc Ninh</v>
          </cell>
          <cell r="BX4132" t="str">
            <v>AON</v>
          </cell>
        </row>
        <row r="4133">
          <cell r="A4133" t="str">
            <v>OP</v>
          </cell>
          <cell r="B4133" t="str">
            <v>Quá 24h</v>
          </cell>
          <cell r="D4133" t="str">
            <v>Khiếu nại về dịch vụ FTTH</v>
          </cell>
          <cell r="W4133" t="str">
            <v>Đã đóng</v>
          </cell>
          <cell r="AJ4133" t="str">
            <v>Bắc Ninh</v>
          </cell>
          <cell r="BX4133" t="str">
            <v>AON</v>
          </cell>
        </row>
        <row r="4134">
          <cell r="A4134" t="str">
            <v>OP</v>
          </cell>
          <cell r="B4134" t="str">
            <v>Quá 24h</v>
          </cell>
          <cell r="D4134" t="str">
            <v>Khiếu nại về dịch vụ FTTH</v>
          </cell>
          <cell r="W4134" t="str">
            <v>Đã đóng</v>
          </cell>
          <cell r="AJ4134" t="str">
            <v>Quảng Ninh</v>
          </cell>
          <cell r="BX4134" t="str">
            <v>AON</v>
          </cell>
        </row>
        <row r="4135">
          <cell r="A4135" t="str">
            <v>OP</v>
          </cell>
          <cell r="B4135" t="str">
            <v>Quá 24h</v>
          </cell>
          <cell r="D4135" t="str">
            <v>Khiếu nại về dịch vụ FTTH</v>
          </cell>
          <cell r="W4135" t="str">
            <v>Đã đóng</v>
          </cell>
          <cell r="AJ4135" t="str">
            <v>Hà Nội 2</v>
          </cell>
          <cell r="BX4135" t="str">
            <v>AON</v>
          </cell>
        </row>
        <row r="4136">
          <cell r="A4136" t="str">
            <v>OP</v>
          </cell>
          <cell r="B4136" t="str">
            <v>Quá 24h</v>
          </cell>
          <cell r="D4136" t="str">
            <v>Khiếu nại về dịch vụ FTTH</v>
          </cell>
          <cell r="W4136" t="str">
            <v>Đang xử lý</v>
          </cell>
          <cell r="AJ4136" t="str">
            <v>Quảng Ninh</v>
          </cell>
          <cell r="BX4136" t="str">
            <v>AON</v>
          </cell>
        </row>
        <row r="4137">
          <cell r="A4137" t="str">
            <v>OP</v>
          </cell>
          <cell r="B4137" t="str">
            <v>Quá 24h</v>
          </cell>
          <cell r="D4137" t="str">
            <v>Khiếu nại về dịch vụ FTTH</v>
          </cell>
          <cell r="W4137" t="str">
            <v>Đã đóng</v>
          </cell>
          <cell r="AJ4137" t="str">
            <v>Bắc Ninh</v>
          </cell>
          <cell r="BX4137" t="str">
            <v>AON</v>
          </cell>
        </row>
        <row r="4138">
          <cell r="A4138" t="str">
            <v>OP</v>
          </cell>
          <cell r="B4138" t="str">
            <v>Quá 24h</v>
          </cell>
          <cell r="D4138" t="str">
            <v>Khiếu nại về dịch vụ FTTH</v>
          </cell>
          <cell r="W4138" t="str">
            <v>Đã đóng</v>
          </cell>
          <cell r="AJ4138" t="str">
            <v>Nghệ An</v>
          </cell>
          <cell r="BX4138" t="str">
            <v>AON</v>
          </cell>
        </row>
        <row r="4139">
          <cell r="A4139" t="str">
            <v>OP</v>
          </cell>
          <cell r="B4139" t="str">
            <v>Quá 24h</v>
          </cell>
          <cell r="D4139" t="str">
            <v>Khiếu nại về dịch vụ FTTH</v>
          </cell>
          <cell r="W4139" t="str">
            <v>Đã đóng</v>
          </cell>
          <cell r="AJ4139" t="str">
            <v>Bắc Ninh</v>
          </cell>
          <cell r="BX4139" t="str">
            <v>AON</v>
          </cell>
        </row>
        <row r="4140">
          <cell r="A4140" t="str">
            <v>OP</v>
          </cell>
          <cell r="B4140" t="str">
            <v>Quá 24h</v>
          </cell>
          <cell r="D4140" t="str">
            <v>Khiếu nại về dịch vụ FTTH</v>
          </cell>
          <cell r="W4140" t="str">
            <v>Đang xử lý</v>
          </cell>
          <cell r="AJ4140" t="str">
            <v>Bắc Ninh</v>
          </cell>
          <cell r="BX4140" t="str">
            <v>AON</v>
          </cell>
        </row>
        <row r="4141">
          <cell r="A4141" t="str">
            <v>OP</v>
          </cell>
          <cell r="B4141" t="str">
            <v>Quá 24h</v>
          </cell>
          <cell r="D4141" t="str">
            <v>Khiếu nại về dịch vụ FTTH</v>
          </cell>
          <cell r="W4141" t="str">
            <v>Đã đóng</v>
          </cell>
          <cell r="AJ4141" t="str">
            <v>Quảng Ninh</v>
          </cell>
          <cell r="BX4141" t="str">
            <v>AON</v>
          </cell>
        </row>
        <row r="4142">
          <cell r="A4142" t="str">
            <v>OP</v>
          </cell>
          <cell r="B4142" t="str">
            <v>Quá 24h</v>
          </cell>
          <cell r="D4142" t="str">
            <v>Khiếu nại về dịch vụ FTTH</v>
          </cell>
          <cell r="W4142" t="str">
            <v>Đang xử lý</v>
          </cell>
          <cell r="AJ4142" t="str">
            <v>Thanh Hoá</v>
          </cell>
          <cell r="BX4142" t="str">
            <v>AON</v>
          </cell>
        </row>
        <row r="4143">
          <cell r="A4143" t="str">
            <v>OP</v>
          </cell>
          <cell r="B4143" t="str">
            <v>Quá 24h</v>
          </cell>
          <cell r="D4143" t="str">
            <v>Khiếu nại về dịch vụ FTTH</v>
          </cell>
          <cell r="W4143" t="str">
            <v>Đã đóng</v>
          </cell>
          <cell r="AJ4143" t="str">
            <v>Quảng Ninh</v>
          </cell>
          <cell r="BX4143" t="str">
            <v>AON</v>
          </cell>
        </row>
        <row r="4144">
          <cell r="A4144" t="str">
            <v>OP</v>
          </cell>
          <cell r="B4144" t="str">
            <v>Quá 24h</v>
          </cell>
          <cell r="D4144" t="str">
            <v>Khiếu nại về dịch vụ FTTH</v>
          </cell>
          <cell r="W4144" t="str">
            <v>Đã đóng</v>
          </cell>
          <cell r="AJ4144" t="str">
            <v xml:space="preserve">Hà Tĩnh </v>
          </cell>
          <cell r="BX4144" t="str">
            <v>AON</v>
          </cell>
        </row>
        <row r="4145">
          <cell r="A4145" t="str">
            <v>OP</v>
          </cell>
          <cell r="B4145" t="str">
            <v>Quá 24h</v>
          </cell>
          <cell r="D4145" t="str">
            <v>Khiếu nại về dịch vụ FTTH</v>
          </cell>
          <cell r="W4145" t="str">
            <v>Đã đóng</v>
          </cell>
          <cell r="AJ4145" t="str">
            <v>Hà Nội 2</v>
          </cell>
          <cell r="BX4145" t="str">
            <v>AON</v>
          </cell>
        </row>
        <row r="4146">
          <cell r="A4146" t="str">
            <v>OP</v>
          </cell>
          <cell r="B4146" t="str">
            <v>Quá 24h</v>
          </cell>
          <cell r="D4146" t="str">
            <v>Khiếu nại về dịch vụ FTTH</v>
          </cell>
          <cell r="W4146" t="str">
            <v>Đang xử lý</v>
          </cell>
          <cell r="AJ4146" t="str">
            <v>Hà Nội 2</v>
          </cell>
          <cell r="BX4146" t="str">
            <v>AON</v>
          </cell>
        </row>
        <row r="4147">
          <cell r="A4147" t="str">
            <v>OP</v>
          </cell>
          <cell r="B4147" t="str">
            <v>Quá 24h</v>
          </cell>
          <cell r="D4147" t="str">
            <v>Khiếu nại về dịch vụ FTTH</v>
          </cell>
          <cell r="W4147" t="str">
            <v>Đang xử lý</v>
          </cell>
          <cell r="AJ4147" t="str">
            <v>Bắc Ninh</v>
          </cell>
          <cell r="BX4147" t="str">
            <v>AON</v>
          </cell>
        </row>
        <row r="4148">
          <cell r="A4148" t="str">
            <v>OP</v>
          </cell>
          <cell r="B4148" t="str">
            <v>Quá 24h</v>
          </cell>
          <cell r="D4148" t="str">
            <v>Khiếu nại về dịch vụ FTTH</v>
          </cell>
          <cell r="W4148" t="str">
            <v>Đã đóng</v>
          </cell>
          <cell r="AJ4148" t="str">
            <v>Thái Nguyên</v>
          </cell>
          <cell r="BX4148" t="str">
            <v>AON</v>
          </cell>
        </row>
        <row r="4149">
          <cell r="A4149" t="str">
            <v>OP</v>
          </cell>
          <cell r="B4149" t="str">
            <v>Quá 24h</v>
          </cell>
          <cell r="D4149" t="str">
            <v>Khiếu nại về dịch vụ FTTH</v>
          </cell>
          <cell r="W4149" t="str">
            <v>Đã đóng</v>
          </cell>
          <cell r="AJ4149" t="str">
            <v>Quảng Ninh</v>
          </cell>
          <cell r="BX4149" t="str">
            <v>AON</v>
          </cell>
        </row>
        <row r="4150">
          <cell r="A4150" t="str">
            <v>OP</v>
          </cell>
          <cell r="B4150" t="str">
            <v>Quá 24h</v>
          </cell>
          <cell r="D4150" t="str">
            <v>Khiếu nại về dịch vụ FTTH</v>
          </cell>
          <cell r="W4150" t="str">
            <v>Đã đóng</v>
          </cell>
          <cell r="AJ4150" t="str">
            <v>Quảng Ninh</v>
          </cell>
          <cell r="BX4150" t="str">
            <v>AON</v>
          </cell>
        </row>
        <row r="4151">
          <cell r="A4151" t="str">
            <v>OP</v>
          </cell>
          <cell r="B4151" t="str">
            <v>Quá 24h</v>
          </cell>
          <cell r="D4151" t="str">
            <v>Khiếu nại về dịch vụ FTTH</v>
          </cell>
          <cell r="W4151" t="str">
            <v>Đã đóng</v>
          </cell>
          <cell r="AJ4151" t="str">
            <v>Quảng Ninh</v>
          </cell>
          <cell r="BX4151" t="str">
            <v>AON</v>
          </cell>
        </row>
        <row r="4152">
          <cell r="A4152" t="str">
            <v>OP</v>
          </cell>
          <cell r="B4152" t="str">
            <v>Quá 24h</v>
          </cell>
          <cell r="D4152" t="str">
            <v>Khiếu nại về dịch vụ FTTH</v>
          </cell>
          <cell r="W4152" t="str">
            <v>Đã đóng</v>
          </cell>
          <cell r="AJ4152" t="str">
            <v>Bắc Ninh</v>
          </cell>
          <cell r="BX4152" t="str">
            <v>AON</v>
          </cell>
        </row>
        <row r="4153">
          <cell r="A4153" t="str">
            <v>OP</v>
          </cell>
          <cell r="B4153" t="str">
            <v>Quá 24h</v>
          </cell>
          <cell r="D4153" t="str">
            <v>Khiếu nại về dịch vụ FTTH</v>
          </cell>
          <cell r="W4153" t="str">
            <v>Đã đóng</v>
          </cell>
          <cell r="AJ4153" t="str">
            <v>Bắc Ninh</v>
          </cell>
          <cell r="BX4153" t="str">
            <v>AON</v>
          </cell>
        </row>
        <row r="4154">
          <cell r="A4154" t="str">
            <v>OP</v>
          </cell>
          <cell r="B4154" t="str">
            <v>Quá 24h</v>
          </cell>
          <cell r="D4154" t="str">
            <v>Khiếu nại về dịch vụ FTTH</v>
          </cell>
          <cell r="W4154" t="str">
            <v>Đã đóng</v>
          </cell>
          <cell r="AJ4154" t="str">
            <v>Hà Nội 1</v>
          </cell>
          <cell r="BX4154" t="str">
            <v>AON</v>
          </cell>
        </row>
        <row r="4155">
          <cell r="A4155" t="str">
            <v>OP</v>
          </cell>
          <cell r="B4155" t="str">
            <v>Quá 24h</v>
          </cell>
          <cell r="D4155" t="str">
            <v>Khiếu nại về dịch vụ FTTH</v>
          </cell>
          <cell r="W4155" t="str">
            <v>Đang xử lý</v>
          </cell>
          <cell r="AJ4155" t="str">
            <v>Quảng Ninh</v>
          </cell>
          <cell r="BX4155" t="str">
            <v>AON</v>
          </cell>
        </row>
        <row r="4156">
          <cell r="A4156" t="str">
            <v>OP</v>
          </cell>
          <cell r="B4156" t="str">
            <v>Quá 24h</v>
          </cell>
          <cell r="D4156" t="str">
            <v>Khiếu nại về dịch vụ FTTH</v>
          </cell>
          <cell r="W4156" t="str">
            <v>Đang xử lý</v>
          </cell>
          <cell r="AJ4156" t="str">
            <v>Bắc Giang</v>
          </cell>
          <cell r="BX4156" t="str">
            <v>AON</v>
          </cell>
        </row>
        <row r="4157">
          <cell r="A4157" t="str">
            <v>OP</v>
          </cell>
          <cell r="B4157" t="str">
            <v>Quá 24h</v>
          </cell>
          <cell r="D4157" t="str">
            <v>Khiếu nại về dịch vụ FTTH</v>
          </cell>
          <cell r="W4157" t="str">
            <v>Đã đóng</v>
          </cell>
          <cell r="AJ4157" t="str">
            <v>Nghệ An</v>
          </cell>
          <cell r="BX4157" t="str">
            <v>AON</v>
          </cell>
        </row>
        <row r="4158">
          <cell r="A4158" t="str">
            <v>OP</v>
          </cell>
          <cell r="B4158" t="str">
            <v>Quá 24h</v>
          </cell>
          <cell r="D4158" t="str">
            <v>Khiếu nại về dịch vụ FTTH</v>
          </cell>
          <cell r="W4158" t="str">
            <v>Đang xử lý</v>
          </cell>
          <cell r="AJ4158" t="str">
            <v>Bắc Ninh</v>
          </cell>
          <cell r="BX4158" t="str">
            <v>AON</v>
          </cell>
        </row>
        <row r="4159">
          <cell r="A4159" t="str">
            <v>OP</v>
          </cell>
          <cell r="B4159" t="str">
            <v>Quá 24h</v>
          </cell>
          <cell r="D4159" t="str">
            <v>Khiếu nại về dịch vụ FTTH</v>
          </cell>
          <cell r="W4159" t="str">
            <v>Đã đóng</v>
          </cell>
          <cell r="AJ4159" t="str">
            <v>Quảng Ninh</v>
          </cell>
          <cell r="BX4159" t="str">
            <v>AON</v>
          </cell>
        </row>
        <row r="4160">
          <cell r="A4160" t="str">
            <v>OP</v>
          </cell>
          <cell r="B4160" t="str">
            <v>Quá 24h</v>
          </cell>
          <cell r="D4160" t="str">
            <v>Khiếu nại về dịch vụ FTTH</v>
          </cell>
          <cell r="W4160" t="str">
            <v>Đang xử lý</v>
          </cell>
          <cell r="AJ4160" t="str">
            <v>Bắc Ninh</v>
          </cell>
          <cell r="BX4160" t="str">
            <v>AON</v>
          </cell>
        </row>
        <row r="4161">
          <cell r="A4161" t="str">
            <v>OP</v>
          </cell>
          <cell r="B4161" t="str">
            <v>Quá 24h</v>
          </cell>
          <cell r="D4161" t="str">
            <v>Khiếu nại về dịch vụ FTTH</v>
          </cell>
          <cell r="W4161" t="str">
            <v>Đã đóng</v>
          </cell>
          <cell r="AJ4161" t="str">
            <v xml:space="preserve">Hà Tĩnh </v>
          </cell>
          <cell r="BX4161" t="str">
            <v>AON</v>
          </cell>
        </row>
        <row r="4162">
          <cell r="A4162" t="str">
            <v>OP</v>
          </cell>
          <cell r="B4162" t="str">
            <v>Quá 24h</v>
          </cell>
          <cell r="D4162" t="str">
            <v>Khiếu nại về dịch vụ FTTH</v>
          </cell>
          <cell r="W4162" t="str">
            <v>Đã đóng</v>
          </cell>
          <cell r="AJ4162" t="str">
            <v>Nam Định</v>
          </cell>
          <cell r="BX4162" t="str">
            <v>AON</v>
          </cell>
        </row>
        <row r="4163">
          <cell r="A4163" t="str">
            <v>OP</v>
          </cell>
          <cell r="B4163" t="str">
            <v>Quá 24h</v>
          </cell>
          <cell r="D4163" t="str">
            <v>Khiếu nại về dịch vụ FTTH</v>
          </cell>
          <cell r="W4163" t="str">
            <v>Đang xử lý</v>
          </cell>
          <cell r="AJ4163" t="str">
            <v>Bắc Ninh</v>
          </cell>
          <cell r="BX4163" t="str">
            <v>AON</v>
          </cell>
        </row>
        <row r="4164">
          <cell r="A4164" t="str">
            <v>OP</v>
          </cell>
          <cell r="B4164" t="str">
            <v>Quá 24h</v>
          </cell>
          <cell r="D4164" t="str">
            <v>Khiếu nại về dịch vụ FTTH</v>
          </cell>
          <cell r="W4164" t="str">
            <v>Đang xử lý</v>
          </cell>
          <cell r="AJ4164" t="str">
            <v>Hà Nội 2</v>
          </cell>
          <cell r="BX4164" t="str">
            <v>AON</v>
          </cell>
        </row>
        <row r="4165">
          <cell r="A4165" t="str">
            <v>OP</v>
          </cell>
          <cell r="B4165" t="str">
            <v>Quá 24h</v>
          </cell>
          <cell r="D4165" t="str">
            <v>Khiếu nại về dịch vụ FTTH</v>
          </cell>
          <cell r="W4165" t="str">
            <v>Đang xử lý</v>
          </cell>
          <cell r="AJ4165" t="str">
            <v>Hà Nội 2</v>
          </cell>
          <cell r="BX4165" t="str">
            <v>AON</v>
          </cell>
        </row>
        <row r="4166">
          <cell r="A4166" t="str">
            <v>OP</v>
          </cell>
          <cell r="B4166" t="str">
            <v>Quá 24h</v>
          </cell>
          <cell r="D4166" t="str">
            <v>Khiếu nại về dịch vụ FTTH</v>
          </cell>
          <cell r="W4166" t="str">
            <v>Đã đóng</v>
          </cell>
          <cell r="AJ4166" t="str">
            <v>Thái Nguyên</v>
          </cell>
          <cell r="BX4166" t="str">
            <v>AON</v>
          </cell>
        </row>
        <row r="4167">
          <cell r="A4167" t="str">
            <v>OP</v>
          </cell>
          <cell r="B4167" t="str">
            <v>Quá 24h</v>
          </cell>
          <cell r="D4167" t="str">
            <v>Khiếu nại về dịch vụ FTTH</v>
          </cell>
          <cell r="W4167" t="str">
            <v>Đang xử lý</v>
          </cell>
          <cell r="AJ4167" t="str">
            <v>Bắc Ninh</v>
          </cell>
          <cell r="BX4167" t="str">
            <v>AON</v>
          </cell>
        </row>
        <row r="4168">
          <cell r="A4168" t="str">
            <v>OP</v>
          </cell>
          <cell r="B4168" t="str">
            <v>Quá 24h</v>
          </cell>
          <cell r="D4168" t="str">
            <v>Khiếu nại về dịch vụ FTTH</v>
          </cell>
          <cell r="W4168" t="str">
            <v>Đã đóng</v>
          </cell>
          <cell r="AJ4168" t="str">
            <v>Quảng Ninh</v>
          </cell>
          <cell r="BX4168" t="str">
            <v>AON</v>
          </cell>
        </row>
        <row r="4169">
          <cell r="A4169" t="str">
            <v>OP</v>
          </cell>
          <cell r="B4169" t="str">
            <v>Quá 24h</v>
          </cell>
          <cell r="D4169" t="str">
            <v>Khiếu nại về dịch vụ FTTH</v>
          </cell>
          <cell r="W4169" t="str">
            <v>Đã đóng</v>
          </cell>
          <cell r="AJ4169" t="str">
            <v>Bắc Giang</v>
          </cell>
          <cell r="BX4169" t="str">
            <v>AON</v>
          </cell>
        </row>
        <row r="4170">
          <cell r="A4170" t="str">
            <v>OP</v>
          </cell>
          <cell r="B4170" t="str">
            <v>Quá 24h</v>
          </cell>
          <cell r="D4170" t="str">
            <v>Khiếu nại về dịch vụ FTTH</v>
          </cell>
          <cell r="W4170" t="str">
            <v>Đang xử lý</v>
          </cell>
          <cell r="AJ4170" t="str">
            <v>Thái Nguyên</v>
          </cell>
          <cell r="BX4170" t="str">
            <v>AON</v>
          </cell>
        </row>
        <row r="4171">
          <cell r="A4171" t="str">
            <v>OP</v>
          </cell>
          <cell r="B4171" t="str">
            <v>Quá 24h</v>
          </cell>
          <cell r="D4171" t="str">
            <v>Khiếu nại về dịch vụ FTTH</v>
          </cell>
          <cell r="W4171" t="str">
            <v>Đã đóng</v>
          </cell>
          <cell r="AJ4171" t="str">
            <v>Quảng Ninh</v>
          </cell>
          <cell r="BX4171" t="str">
            <v>AON</v>
          </cell>
        </row>
        <row r="4172">
          <cell r="A4172" t="str">
            <v>OP</v>
          </cell>
          <cell r="B4172" t="str">
            <v>Quá 24h</v>
          </cell>
          <cell r="D4172" t="str">
            <v>Khiếu nại về dịch vụ FTTH</v>
          </cell>
          <cell r="W4172" t="str">
            <v>Đang xử lý</v>
          </cell>
          <cell r="AJ4172" t="str">
            <v>Bắc Ninh</v>
          </cell>
          <cell r="BX4172" t="str">
            <v>AON</v>
          </cell>
        </row>
        <row r="4173">
          <cell r="A4173" t="str">
            <v>OP</v>
          </cell>
          <cell r="B4173" t="str">
            <v>Quá 24h</v>
          </cell>
          <cell r="D4173" t="str">
            <v>Khiếu nại về dịch vụ FTTH</v>
          </cell>
          <cell r="W4173" t="str">
            <v>Đã đóng</v>
          </cell>
          <cell r="AJ4173" t="str">
            <v>Nghệ An</v>
          </cell>
          <cell r="BX4173" t="str">
            <v>AON</v>
          </cell>
        </row>
        <row r="4174">
          <cell r="A4174" t="str">
            <v>OP</v>
          </cell>
          <cell r="B4174" t="str">
            <v>Quá 24h</v>
          </cell>
          <cell r="D4174" t="str">
            <v>Khiếu nại về dịch vụ FTTH</v>
          </cell>
          <cell r="W4174" t="str">
            <v>Đã đóng</v>
          </cell>
          <cell r="AJ4174" t="str">
            <v>Bắc Ninh</v>
          </cell>
          <cell r="BX4174" t="str">
            <v>AON</v>
          </cell>
        </row>
        <row r="4175">
          <cell r="A4175" t="str">
            <v>OP</v>
          </cell>
          <cell r="B4175" t="str">
            <v>Quá 24h</v>
          </cell>
          <cell r="D4175" t="str">
            <v>Khiếu nại về dịch vụ FTTH</v>
          </cell>
          <cell r="W4175" t="str">
            <v>Đã đóng</v>
          </cell>
          <cell r="AJ4175" t="str">
            <v xml:space="preserve">Hà Tĩnh </v>
          </cell>
          <cell r="BX4175" t="str">
            <v>AON</v>
          </cell>
        </row>
        <row r="4176">
          <cell r="A4176" t="str">
            <v>OP</v>
          </cell>
          <cell r="B4176" t="str">
            <v>Quá 24h</v>
          </cell>
          <cell r="D4176" t="str">
            <v>Khiếu nại về dịch vụ FTTH</v>
          </cell>
          <cell r="W4176" t="str">
            <v>Đã đóng</v>
          </cell>
          <cell r="AJ4176" t="str">
            <v>Quảng Ninh</v>
          </cell>
          <cell r="BX4176" t="str">
            <v>AON</v>
          </cell>
        </row>
        <row r="4177">
          <cell r="A4177" t="str">
            <v>OP</v>
          </cell>
          <cell r="B4177" t="str">
            <v>Quá 24h</v>
          </cell>
          <cell r="D4177" t="str">
            <v>Khiếu nại về dịch vụ FTTH</v>
          </cell>
          <cell r="W4177" t="str">
            <v>Đã đóng</v>
          </cell>
          <cell r="AJ4177" t="str">
            <v>Tuyên Quang</v>
          </cell>
          <cell r="BX4177" t="str">
            <v>AON</v>
          </cell>
        </row>
        <row r="4178">
          <cell r="A4178" t="str">
            <v>OP</v>
          </cell>
          <cell r="B4178" t="str">
            <v>Quá 24h</v>
          </cell>
          <cell r="D4178" t="str">
            <v>Khiếu nại về dịch vụ FTTH</v>
          </cell>
          <cell r="W4178" t="str">
            <v>Đã đóng</v>
          </cell>
          <cell r="AJ4178" t="str">
            <v>Quảng Ninh</v>
          </cell>
          <cell r="BX4178" t="str">
            <v>AON</v>
          </cell>
        </row>
        <row r="4179">
          <cell r="A4179" t="str">
            <v>OP</v>
          </cell>
          <cell r="B4179" t="str">
            <v>Quá 24h</v>
          </cell>
          <cell r="D4179" t="str">
            <v>Khiếu nại về dịch vụ FTTH</v>
          </cell>
          <cell r="W4179" t="str">
            <v>Đang xử lý</v>
          </cell>
          <cell r="AJ4179" t="str">
            <v>Quảng Ninh</v>
          </cell>
          <cell r="BX4179" t="str">
            <v>AON</v>
          </cell>
        </row>
        <row r="4180">
          <cell r="A4180" t="str">
            <v>OP</v>
          </cell>
          <cell r="B4180" t="str">
            <v>Quá 24h</v>
          </cell>
          <cell r="D4180" t="str">
            <v>Khiếu nại về dịch vụ FTTH</v>
          </cell>
          <cell r="W4180" t="str">
            <v>Đã đóng</v>
          </cell>
          <cell r="AJ4180" t="str">
            <v>Quảng Ninh</v>
          </cell>
          <cell r="BX4180" t="str">
            <v>AON</v>
          </cell>
        </row>
        <row r="4181">
          <cell r="A4181" t="str">
            <v>OP</v>
          </cell>
          <cell r="B4181" t="str">
            <v>Quá 24h</v>
          </cell>
          <cell r="D4181" t="str">
            <v>Khiếu nại về dịch vụ FTTH</v>
          </cell>
          <cell r="W4181" t="str">
            <v>Đã đóng</v>
          </cell>
          <cell r="AJ4181" t="str">
            <v>Quảng Ninh</v>
          </cell>
          <cell r="BX4181" t="str">
            <v>AON</v>
          </cell>
        </row>
        <row r="4182">
          <cell r="A4182" t="str">
            <v>OP</v>
          </cell>
          <cell r="B4182" t="str">
            <v>Quá 24h</v>
          </cell>
          <cell r="D4182" t="str">
            <v>Khiếu nại về dịch vụ FTTH</v>
          </cell>
          <cell r="W4182" t="str">
            <v>Đã đóng</v>
          </cell>
          <cell r="AJ4182" t="str">
            <v>Bắc Ninh</v>
          </cell>
          <cell r="BX4182" t="str">
            <v>AON</v>
          </cell>
        </row>
        <row r="4183">
          <cell r="A4183" t="str">
            <v>OP</v>
          </cell>
          <cell r="B4183" t="str">
            <v>Quá 24h</v>
          </cell>
          <cell r="D4183" t="str">
            <v>Khiếu nại về dịch vụ FTTH</v>
          </cell>
          <cell r="W4183" t="str">
            <v>Đã đóng</v>
          </cell>
          <cell r="AJ4183" t="str">
            <v>Nghệ An</v>
          </cell>
          <cell r="BX4183" t="str">
            <v>AON</v>
          </cell>
        </row>
        <row r="4184">
          <cell r="A4184" t="str">
            <v>OP</v>
          </cell>
          <cell r="B4184" t="str">
            <v>Quá 24h</v>
          </cell>
          <cell r="D4184" t="str">
            <v>Khiếu nại về dịch vụ FTTH</v>
          </cell>
          <cell r="W4184" t="str">
            <v>Đã đóng</v>
          </cell>
          <cell r="AJ4184" t="str">
            <v>Thái Nguyên</v>
          </cell>
          <cell r="BX4184" t="str">
            <v>AON</v>
          </cell>
        </row>
        <row r="4185">
          <cell r="A4185" t="str">
            <v>OP</v>
          </cell>
          <cell r="B4185" t="str">
            <v>Quá 24h</v>
          </cell>
          <cell r="D4185" t="str">
            <v>Khiếu nại về dịch vụ FTTH</v>
          </cell>
          <cell r="W4185" t="str">
            <v>Đã đóng</v>
          </cell>
          <cell r="AJ4185" t="str">
            <v>Bắc Giang</v>
          </cell>
          <cell r="BX4185" t="str">
            <v>AON</v>
          </cell>
        </row>
        <row r="4186">
          <cell r="A4186" t="str">
            <v>OP</v>
          </cell>
          <cell r="B4186" t="str">
            <v>Quá 24h</v>
          </cell>
          <cell r="D4186" t="str">
            <v>Khiếu nại về dịch vụ FTTH</v>
          </cell>
          <cell r="W4186" t="str">
            <v>Đã đóng</v>
          </cell>
          <cell r="AJ4186" t="str">
            <v>Quảng Ninh</v>
          </cell>
          <cell r="BX4186" t="str">
            <v>AON</v>
          </cell>
        </row>
        <row r="4187">
          <cell r="A4187" t="str">
            <v>OP</v>
          </cell>
          <cell r="B4187" t="str">
            <v>Quá 24h</v>
          </cell>
          <cell r="D4187" t="str">
            <v>Khiếu nại về dịch vụ FTTH</v>
          </cell>
          <cell r="W4187" t="str">
            <v>Đã đóng</v>
          </cell>
          <cell r="AJ4187" t="str">
            <v>Bắc Ninh</v>
          </cell>
          <cell r="BX4187" t="str">
            <v>AON</v>
          </cell>
        </row>
        <row r="4188">
          <cell r="A4188" t="str">
            <v>OP</v>
          </cell>
          <cell r="B4188" t="str">
            <v>Quá 24h</v>
          </cell>
          <cell r="D4188" t="str">
            <v>Khiếu nại về dịch vụ FTTH</v>
          </cell>
          <cell r="W4188" t="str">
            <v>Đã đóng</v>
          </cell>
          <cell r="AJ4188" t="str">
            <v>Hà Nam</v>
          </cell>
          <cell r="BX4188" t="str">
            <v>AON</v>
          </cell>
        </row>
        <row r="4189">
          <cell r="A4189" t="str">
            <v>OP</v>
          </cell>
          <cell r="B4189" t="str">
            <v>Quá 24h</v>
          </cell>
          <cell r="D4189" t="str">
            <v>Khiếu nại về dịch vụ FTTH</v>
          </cell>
          <cell r="W4189" t="str">
            <v>Đã đóng</v>
          </cell>
          <cell r="AJ4189" t="str">
            <v>Bắc Ninh</v>
          </cell>
          <cell r="BX4189" t="str">
            <v>AON</v>
          </cell>
        </row>
        <row r="4190">
          <cell r="A4190" t="str">
            <v>OP</v>
          </cell>
          <cell r="B4190" t="str">
            <v>Quá 24h</v>
          </cell>
          <cell r="D4190" t="str">
            <v>Khiếu nại về dịch vụ FTTH</v>
          </cell>
          <cell r="W4190" t="str">
            <v>Đã đóng</v>
          </cell>
          <cell r="AJ4190" t="str">
            <v>Quảng Bình</v>
          </cell>
          <cell r="BX4190" t="str">
            <v>AON</v>
          </cell>
        </row>
        <row r="4191">
          <cell r="A4191" t="str">
            <v>OP</v>
          </cell>
          <cell r="B4191" t="str">
            <v>Quá 24h</v>
          </cell>
          <cell r="D4191" t="str">
            <v>Khiếu nại về dịch vụ FTTH</v>
          </cell>
          <cell r="W4191" t="str">
            <v>Đã đóng</v>
          </cell>
          <cell r="AJ4191" t="str">
            <v>Bắc Ninh</v>
          </cell>
          <cell r="BX4191" t="str">
            <v>AON</v>
          </cell>
        </row>
        <row r="4192">
          <cell r="A4192" t="str">
            <v>OP</v>
          </cell>
          <cell r="B4192" t="str">
            <v>Quá 24h</v>
          </cell>
          <cell r="D4192" t="str">
            <v>Khiếu nại về dịch vụ FTTH</v>
          </cell>
          <cell r="W4192" t="str">
            <v>Đã đóng</v>
          </cell>
          <cell r="AJ4192" t="str">
            <v>Thanh Hoá</v>
          </cell>
          <cell r="BX4192" t="str">
            <v>AON</v>
          </cell>
        </row>
        <row r="4193">
          <cell r="A4193" t="str">
            <v>OP</v>
          </cell>
          <cell r="B4193" t="str">
            <v>Quá 24h</v>
          </cell>
          <cell r="D4193" t="str">
            <v>Khiếu nại về dịch vụ FTTH</v>
          </cell>
          <cell r="W4193" t="str">
            <v>Đã đóng</v>
          </cell>
          <cell r="AJ4193" t="str">
            <v>Quảng Ninh</v>
          </cell>
          <cell r="BX4193" t="str">
            <v>AON</v>
          </cell>
        </row>
        <row r="4194">
          <cell r="A4194" t="str">
            <v>OP</v>
          </cell>
          <cell r="B4194" t="str">
            <v>Quá 24h</v>
          </cell>
          <cell r="D4194" t="str">
            <v>Khiếu nại về dịch vụ NextTV</v>
          </cell>
          <cell r="W4194" t="str">
            <v>Đã đóng</v>
          </cell>
          <cell r="AJ4194" t="str">
            <v>Sơn La</v>
          </cell>
          <cell r="BX4194" t="str">
            <v>AON</v>
          </cell>
        </row>
        <row r="4195">
          <cell r="A4195" t="str">
            <v>OP</v>
          </cell>
          <cell r="B4195" t="str">
            <v>Quá 24h</v>
          </cell>
          <cell r="D4195" t="str">
            <v>Khiếu nại về dịch vụ FTTH</v>
          </cell>
          <cell r="W4195" t="str">
            <v>Đang xử lý</v>
          </cell>
          <cell r="AJ4195" t="str">
            <v>Nam Định</v>
          </cell>
          <cell r="BX4195" t="str">
            <v>AON</v>
          </cell>
        </row>
        <row r="4196">
          <cell r="A4196" t="str">
            <v>OP</v>
          </cell>
          <cell r="B4196" t="str">
            <v>Quá 24h</v>
          </cell>
          <cell r="D4196" t="str">
            <v>Khiếu nại về dịch vụ FTTH</v>
          </cell>
          <cell r="W4196" t="str">
            <v>Đã đóng</v>
          </cell>
          <cell r="AJ4196" t="str">
            <v>Nghệ An</v>
          </cell>
          <cell r="BX4196" t="str">
            <v>AON</v>
          </cell>
        </row>
        <row r="4197">
          <cell r="A4197" t="str">
            <v>OP</v>
          </cell>
          <cell r="B4197" t="str">
            <v>Quá 24h</v>
          </cell>
          <cell r="D4197" t="str">
            <v>Khiếu nại về dịch vụ FTTH</v>
          </cell>
          <cell r="W4197" t="str">
            <v>Đã đóng</v>
          </cell>
          <cell r="AJ4197" t="str">
            <v>Thái Nguyên</v>
          </cell>
          <cell r="BX4197" t="str">
            <v>AON</v>
          </cell>
        </row>
        <row r="4198">
          <cell r="A4198" t="str">
            <v>OP</v>
          </cell>
          <cell r="B4198" t="str">
            <v>Quá 24h</v>
          </cell>
          <cell r="D4198" t="str">
            <v>Khiếu nại về dịch vụ FTTH</v>
          </cell>
          <cell r="W4198" t="str">
            <v>Đang xử lý</v>
          </cell>
          <cell r="AJ4198" t="str">
            <v>Quảng Ninh</v>
          </cell>
          <cell r="BX4198" t="str">
            <v>AON</v>
          </cell>
        </row>
        <row r="4199">
          <cell r="A4199" t="str">
            <v>OP</v>
          </cell>
          <cell r="B4199" t="str">
            <v>Quá 24h</v>
          </cell>
          <cell r="D4199" t="str">
            <v>Khiếu nại về dịch vụ NextTV</v>
          </cell>
          <cell r="W4199" t="str">
            <v>Đã đóng</v>
          </cell>
          <cell r="AJ4199" t="str">
            <v>Thái Nguyên</v>
          </cell>
          <cell r="BX4199" t="str">
            <v>AON</v>
          </cell>
        </row>
        <row r="4200">
          <cell r="A4200" t="str">
            <v>OP</v>
          </cell>
          <cell r="B4200" t="str">
            <v>Quá 24h</v>
          </cell>
          <cell r="D4200" t="str">
            <v>Khiếu nại về dịch vụ NextTV</v>
          </cell>
          <cell r="W4200" t="str">
            <v>Đã đóng</v>
          </cell>
          <cell r="AJ4200" t="str">
            <v>Bắc Ninh</v>
          </cell>
          <cell r="BX4200" t="str">
            <v>AON</v>
          </cell>
        </row>
        <row r="4201">
          <cell r="A4201" t="str">
            <v>OP</v>
          </cell>
          <cell r="B4201" t="str">
            <v>Quá 24h</v>
          </cell>
          <cell r="D4201" t="str">
            <v>Khiếu nại về dịch vụ FTTH</v>
          </cell>
          <cell r="W4201" t="str">
            <v>Đã đóng</v>
          </cell>
          <cell r="AJ4201" t="str">
            <v>Quảng Ninh</v>
          </cell>
          <cell r="BX4201" t="str">
            <v>AON</v>
          </cell>
        </row>
        <row r="4202">
          <cell r="A4202" t="str">
            <v>OP</v>
          </cell>
          <cell r="B4202" t="str">
            <v>Quá 24h</v>
          </cell>
          <cell r="D4202" t="str">
            <v>Khiếu nại về dịch vụ FTTH</v>
          </cell>
          <cell r="W4202" t="str">
            <v>Đã đóng</v>
          </cell>
          <cell r="AJ4202" t="str">
            <v>Nghệ An</v>
          </cell>
          <cell r="BX4202" t="str">
            <v>AON</v>
          </cell>
        </row>
        <row r="4203">
          <cell r="A4203" t="str">
            <v>OP</v>
          </cell>
          <cell r="B4203" t="str">
            <v>Quá 24h</v>
          </cell>
          <cell r="D4203" t="str">
            <v>Khiếu nại về dịch vụ FTTH</v>
          </cell>
          <cell r="W4203" t="str">
            <v>Đã đóng</v>
          </cell>
          <cell r="AJ4203" t="str">
            <v xml:space="preserve">Hà Tĩnh </v>
          </cell>
          <cell r="BX4203" t="str">
            <v>AON</v>
          </cell>
        </row>
        <row r="4204">
          <cell r="A4204" t="str">
            <v>OP</v>
          </cell>
          <cell r="B4204" t="str">
            <v>Quá 24h</v>
          </cell>
          <cell r="D4204" t="str">
            <v>Khiếu nại về dịch vụ FTTH</v>
          </cell>
          <cell r="W4204" t="str">
            <v>Đã đóng</v>
          </cell>
          <cell r="AJ4204" t="str">
            <v>Hà Nội 2</v>
          </cell>
          <cell r="BX4204" t="str">
            <v>AON</v>
          </cell>
        </row>
        <row r="4205">
          <cell r="A4205" t="str">
            <v>OP</v>
          </cell>
          <cell r="B4205" t="str">
            <v>Quá 24h</v>
          </cell>
          <cell r="D4205" t="str">
            <v>Khiếu nại về dịch vụ FTTH</v>
          </cell>
          <cell r="W4205" t="str">
            <v>Đang xử lý</v>
          </cell>
          <cell r="AJ4205" t="str">
            <v>Hà Nam</v>
          </cell>
          <cell r="BX4205" t="str">
            <v>AON</v>
          </cell>
        </row>
        <row r="4206">
          <cell r="A4206" t="str">
            <v>OP</v>
          </cell>
          <cell r="B4206" t="str">
            <v>Quá 24h</v>
          </cell>
          <cell r="D4206" t="str">
            <v>Khiếu nại về dịch vụ FTTH</v>
          </cell>
          <cell r="W4206" t="str">
            <v>Đang xử lý</v>
          </cell>
          <cell r="AJ4206" t="str">
            <v>Quảng Ninh</v>
          </cell>
          <cell r="BX4206" t="str">
            <v>AON</v>
          </cell>
        </row>
        <row r="4207">
          <cell r="A4207" t="str">
            <v>OP</v>
          </cell>
          <cell r="B4207" t="str">
            <v>Quá 24h</v>
          </cell>
          <cell r="D4207" t="str">
            <v>Khiếu nại về dịch vụ NextTV</v>
          </cell>
          <cell r="W4207" t="str">
            <v>Đã đóng</v>
          </cell>
          <cell r="AJ4207" t="str">
            <v>Sơn La</v>
          </cell>
          <cell r="BX4207" t="str">
            <v>AON</v>
          </cell>
        </row>
        <row r="4208">
          <cell r="A4208" t="str">
            <v>OP</v>
          </cell>
          <cell r="B4208" t="str">
            <v>Quá 24h</v>
          </cell>
          <cell r="D4208" t="str">
            <v>Khiếu nại về dịch vụ FTTH</v>
          </cell>
          <cell r="W4208" t="str">
            <v>Đang xử lý</v>
          </cell>
          <cell r="AJ4208" t="str">
            <v>Bắc Ninh</v>
          </cell>
          <cell r="BX4208" t="str">
            <v>AON</v>
          </cell>
        </row>
        <row r="4209">
          <cell r="A4209" t="str">
            <v>OP</v>
          </cell>
          <cell r="B4209" t="str">
            <v>Quá 24h</v>
          </cell>
          <cell r="D4209" t="str">
            <v>Khiếu nại về dịch vụ FTTH</v>
          </cell>
          <cell r="W4209" t="str">
            <v>Đã đóng</v>
          </cell>
          <cell r="AJ4209" t="str">
            <v>Thanh Hoá</v>
          </cell>
          <cell r="BX4209" t="str">
            <v>AON</v>
          </cell>
        </row>
        <row r="4210">
          <cell r="A4210" t="str">
            <v>OP</v>
          </cell>
          <cell r="B4210" t="str">
            <v>Quá 24h</v>
          </cell>
          <cell r="D4210" t="str">
            <v>Khiếu nại về dịch vụ FTTH</v>
          </cell>
          <cell r="W4210" t="str">
            <v>Đã đóng</v>
          </cell>
          <cell r="AJ4210" t="str">
            <v>Bắc Giang</v>
          </cell>
          <cell r="BX4210" t="str">
            <v>AON</v>
          </cell>
        </row>
        <row r="4211">
          <cell r="A4211" t="str">
            <v>OP</v>
          </cell>
          <cell r="B4211" t="str">
            <v>Quá 24h</v>
          </cell>
          <cell r="D4211" t="str">
            <v>Khiếu nại về dịch vụ FTTH</v>
          </cell>
          <cell r="W4211" t="str">
            <v>Đã đóng</v>
          </cell>
          <cell r="AJ4211" t="str">
            <v>Lai Châu</v>
          </cell>
          <cell r="BX4211" t="str">
            <v>AON</v>
          </cell>
        </row>
        <row r="4212">
          <cell r="A4212" t="str">
            <v>OP</v>
          </cell>
          <cell r="B4212" t="str">
            <v>Quá 24h</v>
          </cell>
          <cell r="D4212" t="str">
            <v>Khiếu nại về dịch vụ FTTH</v>
          </cell>
          <cell r="W4212" t="str">
            <v>Đã đóng</v>
          </cell>
          <cell r="AJ4212" t="str">
            <v>Quảng Ninh</v>
          </cell>
          <cell r="BX4212" t="str">
            <v>AON</v>
          </cell>
        </row>
        <row r="4213">
          <cell r="A4213" t="str">
            <v>OP</v>
          </cell>
          <cell r="B4213" t="str">
            <v>Quá 24h</v>
          </cell>
          <cell r="D4213" t="str">
            <v>Khiếu nại về dịch vụ FTTH</v>
          </cell>
          <cell r="W4213" t="str">
            <v>Đã đóng</v>
          </cell>
          <cell r="AJ4213" t="str">
            <v>Thái Nguyên</v>
          </cell>
          <cell r="BX4213" t="str">
            <v>AON</v>
          </cell>
        </row>
        <row r="4214">
          <cell r="A4214" t="str">
            <v>OP</v>
          </cell>
          <cell r="B4214" t="str">
            <v>Quá 24h</v>
          </cell>
          <cell r="D4214" t="str">
            <v>Khiếu nại về dịch vụ NextTV</v>
          </cell>
          <cell r="W4214" t="str">
            <v>Đã đóng</v>
          </cell>
          <cell r="AJ4214" t="str">
            <v>Bắc Giang</v>
          </cell>
          <cell r="BX4214" t="str">
            <v>AON</v>
          </cell>
        </row>
        <row r="4215">
          <cell r="A4215" t="str">
            <v>OP</v>
          </cell>
          <cell r="B4215" t="str">
            <v>Quá 24h</v>
          </cell>
          <cell r="D4215" t="str">
            <v>Khiếu nại về dịch vụ FTTH</v>
          </cell>
          <cell r="W4215" t="str">
            <v>Đã đóng</v>
          </cell>
          <cell r="AJ4215" t="str">
            <v>Quảng Ninh</v>
          </cell>
          <cell r="BX4215" t="str">
            <v>AON</v>
          </cell>
        </row>
        <row r="4216">
          <cell r="A4216" t="str">
            <v>OP</v>
          </cell>
          <cell r="B4216" t="str">
            <v>Quá 24h</v>
          </cell>
          <cell r="D4216" t="str">
            <v>Khiếu nại về dịch vụ FTTH</v>
          </cell>
          <cell r="W4216" t="str">
            <v>Đã đóng</v>
          </cell>
          <cell r="AJ4216" t="str">
            <v>Nghệ An</v>
          </cell>
          <cell r="BX4216" t="str">
            <v>AON</v>
          </cell>
        </row>
        <row r="4217">
          <cell r="A4217" t="str">
            <v>OP</v>
          </cell>
          <cell r="B4217" t="str">
            <v>Quá 24h</v>
          </cell>
          <cell r="D4217" t="str">
            <v>Khiếu nại về dịch vụ FTTH</v>
          </cell>
          <cell r="W4217" t="str">
            <v>Đã đóng</v>
          </cell>
          <cell r="AJ4217" t="str">
            <v>Tuyên Quang</v>
          </cell>
          <cell r="BX4217" t="str">
            <v>AON</v>
          </cell>
        </row>
        <row r="4218">
          <cell r="A4218" t="str">
            <v>OP</v>
          </cell>
          <cell r="B4218" t="str">
            <v>Quá 24h</v>
          </cell>
          <cell r="D4218" t="str">
            <v>Khiếu nại về dịch vụ FTTH</v>
          </cell>
          <cell r="W4218" t="str">
            <v>Đã đóng</v>
          </cell>
          <cell r="AJ4218" t="str">
            <v>Quảng Ninh</v>
          </cell>
          <cell r="BX4218" t="str">
            <v>AON</v>
          </cell>
        </row>
        <row r="4219">
          <cell r="A4219" t="str">
            <v>OP</v>
          </cell>
          <cell r="B4219" t="str">
            <v>Quá 24h</v>
          </cell>
          <cell r="D4219" t="str">
            <v>Khiếu nại về dịch vụ NextTV</v>
          </cell>
          <cell r="W4219" t="str">
            <v>Đang xử lý</v>
          </cell>
          <cell r="AJ4219" t="str">
            <v>Hoà Bình</v>
          </cell>
          <cell r="BX4219" t="str">
            <v>AON</v>
          </cell>
        </row>
        <row r="4220">
          <cell r="A4220" t="str">
            <v>OP</v>
          </cell>
          <cell r="B4220" t="str">
            <v>Quá 24h</v>
          </cell>
          <cell r="D4220" t="str">
            <v>Khiếu nại về dịch vụ NextTV</v>
          </cell>
          <cell r="W4220" t="str">
            <v>Đã đóng</v>
          </cell>
          <cell r="AJ4220" t="str">
            <v>Lai Châu</v>
          </cell>
          <cell r="BX4220" t="str">
            <v>AON</v>
          </cell>
        </row>
        <row r="4221">
          <cell r="A4221" t="str">
            <v>OP</v>
          </cell>
          <cell r="B4221" t="str">
            <v>Quá 24h</v>
          </cell>
          <cell r="D4221" t="str">
            <v>Khiếu nại về dịch vụ NextTV</v>
          </cell>
          <cell r="W4221" t="str">
            <v>Đã đóng</v>
          </cell>
          <cell r="AJ4221" t="str">
            <v>Hà Nội 1</v>
          </cell>
          <cell r="BX4221" t="str">
            <v>AON</v>
          </cell>
        </row>
        <row r="4222">
          <cell r="A4222" t="str">
            <v>OP</v>
          </cell>
          <cell r="B4222" t="str">
            <v>Quá 24h</v>
          </cell>
          <cell r="D4222" t="str">
            <v>Khiếu nại về dịch vụ NextTV</v>
          </cell>
          <cell r="W4222" t="str">
            <v>Đã đóng</v>
          </cell>
          <cell r="AJ4222" t="str">
            <v>Bắc Ninh</v>
          </cell>
          <cell r="BX4222" t="str">
            <v>AON</v>
          </cell>
        </row>
        <row r="4223">
          <cell r="A4223" t="str">
            <v>OP</v>
          </cell>
          <cell r="B4223" t="str">
            <v>Quá 24h</v>
          </cell>
          <cell r="D4223" t="str">
            <v>Khiếu nại về dịch vụ NextTV</v>
          </cell>
          <cell r="W4223" t="str">
            <v>Đang xử lý</v>
          </cell>
          <cell r="AJ4223" t="str">
            <v>Nghệ An</v>
          </cell>
          <cell r="BX4223" t="str">
            <v>AON</v>
          </cell>
        </row>
        <row r="4224">
          <cell r="A4224" t="str">
            <v>OP</v>
          </cell>
          <cell r="B4224" t="str">
            <v>Quá 24h</v>
          </cell>
          <cell r="D4224" t="str">
            <v>Khiếu nại về dịch vụ NextTV</v>
          </cell>
          <cell r="W4224" t="str">
            <v>Đã đóng</v>
          </cell>
          <cell r="AJ4224" t="str">
            <v>Hà Nội 2</v>
          </cell>
          <cell r="BX4224" t="str">
            <v>AON</v>
          </cell>
        </row>
        <row r="4225">
          <cell r="A4225" t="str">
            <v>OP</v>
          </cell>
          <cell r="B4225" t="str">
            <v>Quá 24h</v>
          </cell>
          <cell r="D4225" t="str">
            <v>Khiếu nại về dịch vụ NextTV</v>
          </cell>
          <cell r="W4225" t="str">
            <v>Đã đóng</v>
          </cell>
          <cell r="AJ4225" t="str">
            <v>Thái Nguyên</v>
          </cell>
          <cell r="BX4225" t="str">
            <v>AON</v>
          </cell>
        </row>
        <row r="4226">
          <cell r="A4226" t="str">
            <v>OP</v>
          </cell>
          <cell r="B4226" t="str">
            <v>Quá 24h</v>
          </cell>
          <cell r="D4226" t="str">
            <v>Khiếu nại về dịch vụ NextTV</v>
          </cell>
          <cell r="W4226" t="str">
            <v>Đã đóng</v>
          </cell>
          <cell r="AJ4226" t="str">
            <v>Hà Giang</v>
          </cell>
          <cell r="BX4226" t="str">
            <v>AON</v>
          </cell>
        </row>
        <row r="4227">
          <cell r="A4227" t="str">
            <v>OP</v>
          </cell>
          <cell r="B4227" t="str">
            <v>Quá 24h</v>
          </cell>
          <cell r="D4227" t="str">
            <v>Khiếu nại về dịch vụ NextTV</v>
          </cell>
          <cell r="W4227" t="str">
            <v>Đã đóng</v>
          </cell>
          <cell r="AJ4227" t="str">
            <v>Hà Nội 2</v>
          </cell>
          <cell r="BX4227" t="str">
            <v>AON</v>
          </cell>
        </row>
        <row r="4228">
          <cell r="A4228" t="str">
            <v>OP</v>
          </cell>
          <cell r="B4228" t="str">
            <v>Quá 24h</v>
          </cell>
          <cell r="D4228" t="str">
            <v>Khiếu nại về dịch vụ NextTV</v>
          </cell>
          <cell r="W4228" t="str">
            <v>Đã đóng</v>
          </cell>
          <cell r="AJ4228" t="str">
            <v>Hà Nam</v>
          </cell>
          <cell r="BX4228" t="str">
            <v>AON</v>
          </cell>
        </row>
        <row r="4229">
          <cell r="A4229" t="str">
            <v>OP</v>
          </cell>
          <cell r="B4229" t="str">
            <v>Quá 24h</v>
          </cell>
          <cell r="D4229" t="str">
            <v>Khiếu nại về dịch vụ NextTV</v>
          </cell>
          <cell r="W4229" t="str">
            <v>Đang xử lý</v>
          </cell>
          <cell r="AJ4229" t="str">
            <v>Nghệ An</v>
          </cell>
          <cell r="BX4229" t="str">
            <v>AON</v>
          </cell>
        </row>
        <row r="4230">
          <cell r="A4230" t="str">
            <v>OP</v>
          </cell>
          <cell r="B4230" t="str">
            <v>Quá 24h</v>
          </cell>
          <cell r="D4230" t="str">
            <v>Khiếu nại về dịch vụ NextTV</v>
          </cell>
          <cell r="W4230" t="str">
            <v>Đã đóng</v>
          </cell>
          <cell r="AJ4230" t="str">
            <v>Hà Nội 1</v>
          </cell>
          <cell r="BX4230" t="str">
            <v>AON</v>
          </cell>
        </row>
        <row r="4231">
          <cell r="A4231" t="str">
            <v>OP</v>
          </cell>
          <cell r="B4231" t="str">
            <v>Quá 24h</v>
          </cell>
          <cell r="D4231" t="str">
            <v>Khiếu nại về dịch vụ NextTV</v>
          </cell>
          <cell r="W4231" t="str">
            <v>Đã đóng</v>
          </cell>
          <cell r="AJ4231" t="str">
            <v>Thái Nguyên</v>
          </cell>
          <cell r="BX4231" t="str">
            <v>AON</v>
          </cell>
        </row>
        <row r="4232">
          <cell r="A4232" t="str">
            <v>OP</v>
          </cell>
          <cell r="B4232" t="str">
            <v>Quá 24h</v>
          </cell>
          <cell r="D4232" t="str">
            <v>Khiếu nại về dịch vụ NextTV</v>
          </cell>
          <cell r="W4232" t="str">
            <v>Đã đóng</v>
          </cell>
          <cell r="AJ4232" t="str">
            <v>Thái Nguyên</v>
          </cell>
          <cell r="BX4232" t="str">
            <v>AON</v>
          </cell>
        </row>
      </sheetData>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 bieu do"/>
      <sheetName val="NIMS"/>
      <sheetName val="Chi tiet theo tinh"/>
      <sheetName val="CT XL 36h -0-24 ngay n-2"/>
      <sheetName val="Sheet3"/>
      <sheetName val="So lieu de coppy"/>
      <sheetName val="Sheet1"/>
      <sheetName val="NN"/>
      <sheetName val="Chi tiet chuan"/>
    </sheetNames>
    <sheetDataSet>
      <sheetData sheetId="0" refreshError="1"/>
      <sheetData sheetId="1" refreshError="1"/>
      <sheetData sheetId="2" refreshError="1"/>
      <sheetData sheetId="3" refreshError="1"/>
      <sheetData sheetId="4" refreshError="1">
        <row r="1">
          <cell r="A1" t="str">
            <v>FTTH_Sự cố</v>
          </cell>
          <cell r="B1" t="str">
            <v>FTTH</v>
          </cell>
        </row>
        <row r="2">
          <cell r="A2" t="str">
            <v>FTTH_Sự cố hàng loạt</v>
          </cell>
          <cell r="B2" t="str">
            <v>FTTH</v>
          </cell>
        </row>
        <row r="3">
          <cell r="A3" t="str">
            <v>NextTV_Sự cố</v>
          </cell>
          <cell r="B3" t="str">
            <v>NextTV</v>
          </cell>
        </row>
        <row r="4">
          <cell r="A4" t="str">
            <v>NextTV_Sự cố hàng loạt</v>
          </cell>
          <cell r="B4" t="str">
            <v>NextTV</v>
          </cell>
        </row>
        <row r="6">
          <cell r="A6" t="str">
            <v>Đang xử lý</v>
          </cell>
          <cell r="B6" t="str">
            <v>Đang xử lý</v>
          </cell>
        </row>
        <row r="7">
          <cell r="A7" t="str">
            <v>Đã đóng</v>
          </cell>
          <cell r="B7" t="str">
            <v>Đã đóng</v>
          </cell>
        </row>
        <row r="8">
          <cell r="A8" t="str">
            <v>Chưa xử lý</v>
          </cell>
          <cell r="B8" t="str">
            <v>Đang xử lý</v>
          </cell>
        </row>
        <row r="9">
          <cell r="A9" t="str">
            <v>Đã xử lý xong</v>
          </cell>
          <cell r="B9" t="str">
            <v>Đã đóng</v>
          </cell>
        </row>
      </sheetData>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NIMS"/>
      <sheetName val="Chi tiet chuan"/>
      <sheetName val="Tong hop"/>
      <sheetName val="Nhan su"/>
    </sheetNames>
    <sheetDataSet>
      <sheetData sheetId="0"/>
      <sheetData sheetId="1"/>
      <sheetData sheetId="2">
        <row r="2">
          <cell r="A2" t="str">
            <v>ON</v>
          </cell>
          <cell r="B2" t="str">
            <v>Trong 24h</v>
          </cell>
          <cell r="D2" t="str">
            <v>Khiếu nại về dịch vụ FTTH</v>
          </cell>
          <cell r="W2" t="str">
            <v>Đã đóng</v>
          </cell>
          <cell r="AJ2" t="str">
            <v>TP HCM</v>
          </cell>
          <cell r="BX2" t="str">
            <v>AON</v>
          </cell>
        </row>
        <row r="3">
          <cell r="A3" t="str">
            <v>ON</v>
          </cell>
          <cell r="B3" t="str">
            <v>Trong 24h</v>
          </cell>
          <cell r="D3" t="str">
            <v>Khiếu nại về dịch vụ NextTV</v>
          </cell>
          <cell r="W3" t="str">
            <v>Đã đóng</v>
          </cell>
          <cell r="AJ3" t="str">
            <v>Bạc Liêu</v>
          </cell>
          <cell r="BX3" t="str">
            <v>AON</v>
          </cell>
        </row>
        <row r="4">
          <cell r="A4" t="str">
            <v>ON</v>
          </cell>
          <cell r="B4" t="str">
            <v>Trong 24h</v>
          </cell>
          <cell r="D4" t="str">
            <v>Khiếu nại về dịch vụ NextTV</v>
          </cell>
          <cell r="W4" t="str">
            <v>Đã đóng</v>
          </cell>
          <cell r="AJ4" t="str">
            <v>Bạc Liêu</v>
          </cell>
          <cell r="BX4" t="str">
            <v>AON</v>
          </cell>
        </row>
        <row r="5">
          <cell r="A5" t="str">
            <v>ON</v>
          </cell>
          <cell r="B5" t="str">
            <v>Trong 24h</v>
          </cell>
          <cell r="D5" t="str">
            <v>Khiếu nại về dịch vụ FTTH</v>
          </cell>
          <cell r="W5" t="str">
            <v>Đã đóng</v>
          </cell>
          <cell r="AJ5" t="str">
            <v>TP HCM</v>
          </cell>
          <cell r="BX5" t="str">
            <v>AON</v>
          </cell>
        </row>
        <row r="6">
          <cell r="A6" t="str">
            <v>ON</v>
          </cell>
          <cell r="B6" t="str">
            <v>Trong 24h</v>
          </cell>
          <cell r="D6" t="str">
            <v>Khiếu nại về dịch vụ FTTH</v>
          </cell>
          <cell r="W6" t="str">
            <v>Đã đóng</v>
          </cell>
          <cell r="AJ6" t="str">
            <v>TP HCM</v>
          </cell>
          <cell r="BX6" t="str">
            <v>AON</v>
          </cell>
        </row>
        <row r="7">
          <cell r="A7" t="str">
            <v>ON</v>
          </cell>
          <cell r="B7" t="str">
            <v>Trong 24h</v>
          </cell>
          <cell r="D7" t="str">
            <v>Khiếu nại về dịch vụ FTTH</v>
          </cell>
          <cell r="W7" t="str">
            <v>Đã đóng</v>
          </cell>
          <cell r="AJ7" t="str">
            <v>Bình Dương</v>
          </cell>
          <cell r="BX7" t="str">
            <v>AON</v>
          </cell>
        </row>
        <row r="8">
          <cell r="A8" t="str">
            <v>ON</v>
          </cell>
          <cell r="B8" t="str">
            <v>Trong 24h</v>
          </cell>
          <cell r="D8" t="str">
            <v>Khiếu nại về dịch vụ FTTH</v>
          </cell>
          <cell r="W8" t="str">
            <v>Đang xử lý</v>
          </cell>
          <cell r="AJ8" t="str">
            <v>Thái Nguyên</v>
          </cell>
          <cell r="BX8" t="str">
            <v>AON</v>
          </cell>
        </row>
        <row r="9">
          <cell r="A9" t="str">
            <v>ON</v>
          </cell>
          <cell r="B9" t="str">
            <v>Trong 24h</v>
          </cell>
          <cell r="D9" t="str">
            <v>Khiếu nại về dịch vụ NextTV</v>
          </cell>
          <cell r="W9" t="str">
            <v>Đã đóng</v>
          </cell>
          <cell r="AJ9" t="str">
            <v>Bình Dương</v>
          </cell>
          <cell r="BX9" t="str">
            <v>AON</v>
          </cell>
        </row>
        <row r="10">
          <cell r="A10" t="str">
            <v>ON</v>
          </cell>
          <cell r="B10" t="str">
            <v>Trong 24h</v>
          </cell>
          <cell r="D10" t="str">
            <v>Khiếu nại về dịch vụ FTTH</v>
          </cell>
          <cell r="W10" t="str">
            <v>Đã đóng</v>
          </cell>
          <cell r="AJ10" t="str">
            <v>TP HCM</v>
          </cell>
          <cell r="BX10" t="str">
            <v>AON</v>
          </cell>
        </row>
        <row r="11">
          <cell r="A11" t="str">
            <v>ON</v>
          </cell>
          <cell r="B11" t="str">
            <v>Trong 24h</v>
          </cell>
          <cell r="D11" t="str">
            <v>Khiếu nại về dịch vụ FTTH</v>
          </cell>
          <cell r="W11" t="str">
            <v>Đã đóng</v>
          </cell>
          <cell r="AJ11" t="str">
            <v>Bình Dương</v>
          </cell>
          <cell r="BX11" t="str">
            <v>AON</v>
          </cell>
        </row>
        <row r="12">
          <cell r="A12" t="str">
            <v>ON</v>
          </cell>
          <cell r="B12" t="str">
            <v>Trong 24h</v>
          </cell>
          <cell r="D12" t="str">
            <v>Khiếu nại về dịch vụ FTTH</v>
          </cell>
          <cell r="W12" t="str">
            <v>Đã đóng</v>
          </cell>
          <cell r="AJ12" t="str">
            <v>Đắc Nông</v>
          </cell>
          <cell r="BX12" t="str">
            <v>AON</v>
          </cell>
        </row>
        <row r="13">
          <cell r="A13" t="str">
            <v>ON</v>
          </cell>
          <cell r="B13" t="str">
            <v>Trong 24h</v>
          </cell>
          <cell r="D13" t="str">
            <v>Khiếu nại về dịch vụ FTTH</v>
          </cell>
          <cell r="W13" t="str">
            <v>Đã đóng</v>
          </cell>
          <cell r="AJ13" t="str">
            <v>Bình Phước</v>
          </cell>
          <cell r="BX13" t="str">
            <v>AON</v>
          </cell>
        </row>
        <row r="14">
          <cell r="A14" t="str">
            <v>ON</v>
          </cell>
          <cell r="B14" t="str">
            <v>Trong 24h</v>
          </cell>
          <cell r="D14" t="str">
            <v>Khiếu nại về dịch vụ FTTH</v>
          </cell>
          <cell r="W14" t="str">
            <v>Đã đóng</v>
          </cell>
          <cell r="AJ14" t="str">
            <v>Quảng Ninh</v>
          </cell>
          <cell r="BX14" t="str">
            <v>AON</v>
          </cell>
        </row>
        <row r="15">
          <cell r="A15" t="str">
            <v>ON</v>
          </cell>
          <cell r="B15" t="str">
            <v>Trong 24h</v>
          </cell>
          <cell r="D15" t="str">
            <v>Khiếu nại về dịch vụ FTTH</v>
          </cell>
          <cell r="W15" t="str">
            <v>Đã đóng</v>
          </cell>
          <cell r="AJ15" t="str">
            <v>An Giang</v>
          </cell>
          <cell r="BX15" t="str">
            <v>AON</v>
          </cell>
        </row>
        <row r="16">
          <cell r="A16" t="str">
            <v>ON</v>
          </cell>
          <cell r="B16" t="str">
            <v>Trong 24h</v>
          </cell>
          <cell r="D16" t="str">
            <v>Khiếu nại về dịch vụ FTTH</v>
          </cell>
          <cell r="W16" t="str">
            <v>Đã đóng</v>
          </cell>
          <cell r="AJ16" t="str">
            <v>Tây Ninh</v>
          </cell>
          <cell r="BX16" t="str">
            <v>AON</v>
          </cell>
        </row>
        <row r="17">
          <cell r="A17" t="str">
            <v>ON</v>
          </cell>
          <cell r="B17" t="str">
            <v>Trong 24h</v>
          </cell>
          <cell r="D17" t="str">
            <v>Khiếu nại về dịch vụ FTTH</v>
          </cell>
          <cell r="W17" t="str">
            <v>Đã đóng</v>
          </cell>
          <cell r="AJ17" t="str">
            <v>Bình Thuận</v>
          </cell>
          <cell r="BX17" t="str">
            <v>AON</v>
          </cell>
        </row>
        <row r="18">
          <cell r="A18" t="str">
            <v>ON</v>
          </cell>
          <cell r="B18" t="str">
            <v>Trong 24h</v>
          </cell>
          <cell r="D18" t="str">
            <v>Khiếu nại về dịch vụ FTTH</v>
          </cell>
          <cell r="W18" t="str">
            <v>Đã đóng</v>
          </cell>
          <cell r="AJ18" t="str">
            <v>Ninh Bình</v>
          </cell>
          <cell r="BX18" t="str">
            <v>AON</v>
          </cell>
        </row>
        <row r="19">
          <cell r="A19" t="str">
            <v>ON</v>
          </cell>
          <cell r="B19" t="str">
            <v>Trong 24h</v>
          </cell>
          <cell r="D19" t="str">
            <v>Khiếu nại về dịch vụ FTTH</v>
          </cell>
          <cell r="W19" t="str">
            <v>Đã đóng</v>
          </cell>
          <cell r="AJ19" t="str">
            <v>Đồng Tháp</v>
          </cell>
          <cell r="BX19" t="str">
            <v>AON</v>
          </cell>
        </row>
        <row r="20">
          <cell r="A20" t="str">
            <v>ON</v>
          </cell>
          <cell r="B20" t="str">
            <v>Trong 24h</v>
          </cell>
          <cell r="D20" t="str">
            <v>Khiếu nại về dịch vụ FTTH</v>
          </cell>
          <cell r="W20" t="str">
            <v>Đã đóng</v>
          </cell>
          <cell r="AJ20" t="str">
            <v>Bến Tre</v>
          </cell>
          <cell r="BX20" t="str">
            <v>AON</v>
          </cell>
        </row>
        <row r="21">
          <cell r="A21" t="str">
            <v>ON</v>
          </cell>
          <cell r="B21" t="str">
            <v>Trong 24h</v>
          </cell>
          <cell r="D21" t="str">
            <v>Khiếu nại về dịch vụ FTTH</v>
          </cell>
          <cell r="W21" t="str">
            <v>Đang xử lý</v>
          </cell>
          <cell r="AJ21" t="str">
            <v>Bắc Ninh</v>
          </cell>
          <cell r="BX21" t="str">
            <v>AON</v>
          </cell>
        </row>
        <row r="22">
          <cell r="A22" t="str">
            <v>ON</v>
          </cell>
          <cell r="B22" t="str">
            <v>Trong 24h</v>
          </cell>
          <cell r="D22" t="str">
            <v>Khiếu nại về dịch vụ FTTH</v>
          </cell>
          <cell r="W22" t="str">
            <v>Đã đóng</v>
          </cell>
          <cell r="AJ22" t="str">
            <v>Lâm Đồng</v>
          </cell>
          <cell r="BX22" t="str">
            <v>AON</v>
          </cell>
        </row>
        <row r="23">
          <cell r="A23" t="str">
            <v>ON</v>
          </cell>
          <cell r="B23" t="str">
            <v>Trong 24h</v>
          </cell>
          <cell r="D23" t="str">
            <v>Khiếu nại về dịch vụ FTTH</v>
          </cell>
          <cell r="W23" t="str">
            <v>Đã đóng</v>
          </cell>
          <cell r="AJ23" t="str">
            <v>Bà Rịa - Vũng Tàu</v>
          </cell>
          <cell r="BX23" t="str">
            <v>AON</v>
          </cell>
        </row>
        <row r="24">
          <cell r="A24" t="str">
            <v>ON</v>
          </cell>
          <cell r="B24" t="str">
            <v>Trong 24h</v>
          </cell>
          <cell r="D24" t="str">
            <v>Khiếu nại về dịch vụ FTTH</v>
          </cell>
          <cell r="W24" t="str">
            <v>Đã đóng</v>
          </cell>
          <cell r="AJ24" t="str">
            <v>Phú Yên</v>
          </cell>
          <cell r="BX24" t="str">
            <v>AON</v>
          </cell>
        </row>
        <row r="25">
          <cell r="A25" t="str">
            <v>ON</v>
          </cell>
          <cell r="B25" t="str">
            <v>Trong 24h</v>
          </cell>
          <cell r="D25" t="str">
            <v>Khiếu nại về dịch vụ FTTH</v>
          </cell>
          <cell r="W25" t="str">
            <v>Đã đóng</v>
          </cell>
          <cell r="AJ25" t="str">
            <v xml:space="preserve">Đồng Nai </v>
          </cell>
          <cell r="BX25" t="str">
            <v>AON</v>
          </cell>
        </row>
        <row r="26">
          <cell r="A26" t="str">
            <v>ON</v>
          </cell>
          <cell r="B26" t="str">
            <v>Trong 24h</v>
          </cell>
          <cell r="D26" t="str">
            <v>Khiếu nại về dịch vụ FTTH</v>
          </cell>
          <cell r="W26" t="str">
            <v>Đã đóng</v>
          </cell>
          <cell r="AJ26" t="str">
            <v>TP HCM</v>
          </cell>
          <cell r="BX26" t="str">
            <v>AON</v>
          </cell>
        </row>
        <row r="27">
          <cell r="A27" t="str">
            <v>ON</v>
          </cell>
          <cell r="B27" t="str">
            <v>Trong 24h</v>
          </cell>
          <cell r="D27" t="str">
            <v>Khiếu nại về dịch vụ FTTH</v>
          </cell>
          <cell r="W27" t="str">
            <v>Đã đóng</v>
          </cell>
          <cell r="AJ27" t="str">
            <v>Bắc Ninh</v>
          </cell>
          <cell r="BX27" t="str">
            <v>AON</v>
          </cell>
        </row>
        <row r="28">
          <cell r="A28" t="str">
            <v>ON</v>
          </cell>
          <cell r="B28" t="str">
            <v>Trong 24h</v>
          </cell>
          <cell r="D28" t="str">
            <v>Khiếu nại về dịch vụ FTTH</v>
          </cell>
          <cell r="W28" t="str">
            <v>Đã đóng</v>
          </cell>
          <cell r="AJ28" t="str">
            <v>Bình Phước</v>
          </cell>
          <cell r="BX28" t="str">
            <v>AON</v>
          </cell>
        </row>
        <row r="29">
          <cell r="A29" t="str">
            <v>ON</v>
          </cell>
          <cell r="B29" t="str">
            <v>Trong 24h</v>
          </cell>
          <cell r="D29" t="str">
            <v>Khiếu nại về dịch vụ FTTH</v>
          </cell>
          <cell r="W29" t="str">
            <v>Đã đóng</v>
          </cell>
          <cell r="AJ29" t="str">
            <v>An Giang</v>
          </cell>
          <cell r="BX29" t="str">
            <v>AON</v>
          </cell>
        </row>
        <row r="30">
          <cell r="A30" t="str">
            <v>ON</v>
          </cell>
          <cell r="B30" t="str">
            <v>Trong 24h</v>
          </cell>
          <cell r="D30" t="str">
            <v>Khiếu nại về dịch vụ FTTH</v>
          </cell>
          <cell r="W30" t="str">
            <v>Đã đóng</v>
          </cell>
          <cell r="AJ30" t="str">
            <v>TP HCM</v>
          </cell>
          <cell r="BX30" t="str">
            <v>GPON</v>
          </cell>
        </row>
        <row r="31">
          <cell r="A31" t="str">
            <v>ON</v>
          </cell>
          <cell r="B31" t="str">
            <v>Trong 24h</v>
          </cell>
          <cell r="D31" t="str">
            <v>Khiếu nại về dịch vụ FTTH</v>
          </cell>
          <cell r="W31" t="str">
            <v>Đã đóng</v>
          </cell>
          <cell r="AJ31" t="str">
            <v>Quảng Bình</v>
          </cell>
          <cell r="BX31" t="str">
            <v>AON</v>
          </cell>
        </row>
        <row r="32">
          <cell r="A32" t="str">
            <v>ON</v>
          </cell>
          <cell r="B32" t="str">
            <v>Trong 24h</v>
          </cell>
          <cell r="D32" t="str">
            <v>Khiếu nại về dịch vụ FTTH</v>
          </cell>
          <cell r="W32" t="str">
            <v>Đang xử lý</v>
          </cell>
          <cell r="AJ32" t="str">
            <v>Vĩnh Phúc</v>
          </cell>
          <cell r="BX32" t="str">
            <v>AON</v>
          </cell>
        </row>
        <row r="33">
          <cell r="A33" t="str">
            <v>ON</v>
          </cell>
          <cell r="B33" t="str">
            <v>Trong 24h</v>
          </cell>
          <cell r="D33" t="str">
            <v>Khiếu nại về dịch vụ FTTH</v>
          </cell>
          <cell r="W33" t="str">
            <v>Đang xử lý</v>
          </cell>
          <cell r="AJ33" t="str">
            <v>Bắc Ninh</v>
          </cell>
          <cell r="BX33" t="str">
            <v>AON</v>
          </cell>
        </row>
        <row r="34">
          <cell r="A34" t="str">
            <v>ON</v>
          </cell>
          <cell r="B34" t="str">
            <v>Trong 24h</v>
          </cell>
          <cell r="D34" t="str">
            <v>Khiếu nại về dịch vụ FTTH</v>
          </cell>
          <cell r="W34" t="str">
            <v>Đã đóng</v>
          </cell>
          <cell r="AJ34" t="str">
            <v>Bình Dương</v>
          </cell>
          <cell r="BX34" t="str">
            <v>AON</v>
          </cell>
        </row>
        <row r="35">
          <cell r="A35" t="str">
            <v>ON</v>
          </cell>
          <cell r="B35" t="str">
            <v>Trong 24h</v>
          </cell>
          <cell r="D35" t="str">
            <v>Khiếu nại về dịch vụ FTTH</v>
          </cell>
          <cell r="W35" t="str">
            <v>Đã đóng</v>
          </cell>
          <cell r="AJ35" t="str">
            <v>Quảng Ngãi</v>
          </cell>
          <cell r="BX35" t="str">
            <v>AON</v>
          </cell>
        </row>
        <row r="36">
          <cell r="A36" t="str">
            <v>ON</v>
          </cell>
          <cell r="B36" t="str">
            <v>Trong 24h</v>
          </cell>
          <cell r="D36" t="str">
            <v>Khiếu nại về dịch vụ FTTH</v>
          </cell>
          <cell r="W36" t="str">
            <v>Đã đóng</v>
          </cell>
          <cell r="AJ36" t="str">
            <v>Lâm Đồng</v>
          </cell>
          <cell r="BX36" t="str">
            <v>AON</v>
          </cell>
        </row>
        <row r="37">
          <cell r="A37" t="str">
            <v>ON</v>
          </cell>
          <cell r="B37" t="str">
            <v>Trong 24h</v>
          </cell>
          <cell r="D37" t="str">
            <v>Khiếu nại về dịch vụ FTTH</v>
          </cell>
          <cell r="W37" t="str">
            <v>Đã đóng</v>
          </cell>
          <cell r="AJ37" t="str">
            <v>TP HCM</v>
          </cell>
          <cell r="BX37" t="str">
            <v>AON</v>
          </cell>
        </row>
        <row r="38">
          <cell r="A38" t="str">
            <v>ON</v>
          </cell>
          <cell r="B38" t="str">
            <v>Trong 24h</v>
          </cell>
          <cell r="D38" t="str">
            <v>Khiếu nại về dịch vụ FTTH</v>
          </cell>
          <cell r="W38" t="str">
            <v>Đã đóng</v>
          </cell>
          <cell r="AJ38" t="str">
            <v>TP HCM</v>
          </cell>
          <cell r="BX38" t="str">
            <v>AON</v>
          </cell>
        </row>
        <row r="39">
          <cell r="A39" t="str">
            <v>ON</v>
          </cell>
          <cell r="B39" t="str">
            <v>Trong 24h</v>
          </cell>
          <cell r="D39" t="str">
            <v>Khiếu nại về dịch vụ FTTH</v>
          </cell>
          <cell r="W39" t="str">
            <v>Đã đóng</v>
          </cell>
          <cell r="AJ39" t="str">
            <v>Thái Nguyên</v>
          </cell>
          <cell r="BX39" t="str">
            <v>AON</v>
          </cell>
        </row>
        <row r="40">
          <cell r="A40" t="str">
            <v>ON</v>
          </cell>
          <cell r="B40" t="str">
            <v>Trong 24h</v>
          </cell>
          <cell r="D40" t="str">
            <v>Khiếu nại về dịch vụ FTTH</v>
          </cell>
          <cell r="W40" t="str">
            <v>Đã đóng</v>
          </cell>
          <cell r="AJ40" t="str">
            <v>TP HCM</v>
          </cell>
          <cell r="BX40" t="str">
            <v>AON</v>
          </cell>
        </row>
        <row r="41">
          <cell r="A41" t="str">
            <v>ON</v>
          </cell>
          <cell r="B41" t="str">
            <v>Trong 24h</v>
          </cell>
          <cell r="D41" t="str">
            <v>Khiếu nại về dịch vụ FTTH</v>
          </cell>
          <cell r="W41" t="str">
            <v>Đã đóng</v>
          </cell>
          <cell r="AJ41" t="str">
            <v>Bắc Ninh</v>
          </cell>
          <cell r="BX41" t="str">
            <v>AON</v>
          </cell>
        </row>
        <row r="42">
          <cell r="A42" t="str">
            <v>ON</v>
          </cell>
          <cell r="B42" t="str">
            <v>Trong 24h</v>
          </cell>
          <cell r="D42" t="str">
            <v>Khiếu nại về dịch vụ FTTH</v>
          </cell>
          <cell r="W42" t="str">
            <v>Đã đóng</v>
          </cell>
          <cell r="AJ42" t="str">
            <v>Bình Dương</v>
          </cell>
          <cell r="BX42" t="str">
            <v>AON</v>
          </cell>
        </row>
        <row r="43">
          <cell r="A43" t="str">
            <v>ON</v>
          </cell>
          <cell r="B43" t="str">
            <v>Trong 24h</v>
          </cell>
          <cell r="D43" t="str">
            <v>Khiếu nại về dịch vụ FTTH</v>
          </cell>
          <cell r="W43" t="str">
            <v>Đã đóng</v>
          </cell>
          <cell r="AJ43" t="str">
            <v>Thái Nguyên</v>
          </cell>
          <cell r="BX43" t="str">
            <v>AON</v>
          </cell>
        </row>
        <row r="44">
          <cell r="A44" t="str">
            <v>ON</v>
          </cell>
          <cell r="B44" t="str">
            <v>Trong 24h</v>
          </cell>
          <cell r="D44" t="str">
            <v>Khiếu nại về dịch vụ FTTH</v>
          </cell>
          <cell r="W44" t="str">
            <v>Đã đóng</v>
          </cell>
          <cell r="AJ44" t="str">
            <v>TP HCM</v>
          </cell>
          <cell r="BX44" t="str">
            <v>AON</v>
          </cell>
        </row>
        <row r="45">
          <cell r="A45" t="str">
            <v>ON</v>
          </cell>
          <cell r="B45" t="str">
            <v>Trong 24h</v>
          </cell>
          <cell r="D45" t="str">
            <v>Khiếu nại về dịch vụ FTTH</v>
          </cell>
          <cell r="W45" t="str">
            <v>Đang xử lý</v>
          </cell>
          <cell r="AJ45" t="str">
            <v>Lâm Đồng</v>
          </cell>
          <cell r="BX45" t="str">
            <v>AON</v>
          </cell>
        </row>
        <row r="46">
          <cell r="A46" t="str">
            <v>ON</v>
          </cell>
          <cell r="B46" t="str">
            <v>Trong 24h</v>
          </cell>
          <cell r="D46" t="str">
            <v>Khiếu nại về dịch vụ FTTH</v>
          </cell>
          <cell r="W46" t="str">
            <v>Đang xử lý</v>
          </cell>
          <cell r="AJ46" t="str">
            <v>TP HCM</v>
          </cell>
          <cell r="BX46" t="str">
            <v>AON</v>
          </cell>
        </row>
        <row r="47">
          <cell r="A47" t="str">
            <v>ON</v>
          </cell>
          <cell r="B47" t="str">
            <v>Trong 24h</v>
          </cell>
          <cell r="D47" t="str">
            <v>Khiếu nại về dịch vụ FTTH</v>
          </cell>
          <cell r="W47" t="str">
            <v>Đã đóng</v>
          </cell>
          <cell r="AJ47" t="str">
            <v>Nam Định</v>
          </cell>
          <cell r="BX47" t="str">
            <v>AON</v>
          </cell>
        </row>
        <row r="48">
          <cell r="A48" t="str">
            <v>ON</v>
          </cell>
          <cell r="B48" t="str">
            <v>Trong 24h</v>
          </cell>
          <cell r="D48" t="str">
            <v>Khiếu nại về dịch vụ FTTH</v>
          </cell>
          <cell r="W48" t="str">
            <v>Đã đóng</v>
          </cell>
          <cell r="AJ48" t="str">
            <v>Phú Yên</v>
          </cell>
          <cell r="BX48" t="str">
            <v>AON</v>
          </cell>
        </row>
        <row r="49">
          <cell r="A49" t="str">
            <v>ON</v>
          </cell>
          <cell r="B49" t="str">
            <v>Trong 24h</v>
          </cell>
          <cell r="D49" t="str">
            <v>Khiếu nại về dịch vụ FTTH</v>
          </cell>
          <cell r="W49" t="str">
            <v>Đã đóng</v>
          </cell>
          <cell r="AJ49" t="str">
            <v>Ninh Thuận</v>
          </cell>
          <cell r="BX49" t="str">
            <v>AON</v>
          </cell>
        </row>
        <row r="50">
          <cell r="A50" t="str">
            <v>ON</v>
          </cell>
          <cell r="B50" t="str">
            <v>Trong 24h</v>
          </cell>
          <cell r="D50" t="str">
            <v>Khiếu nại về dịch vụ FTTH</v>
          </cell>
          <cell r="W50" t="str">
            <v>Đã đóng</v>
          </cell>
          <cell r="AJ50" t="str">
            <v>TP HCM</v>
          </cell>
          <cell r="BX50" t="str">
            <v>AON</v>
          </cell>
        </row>
        <row r="51">
          <cell r="A51" t="str">
            <v>ON</v>
          </cell>
          <cell r="B51" t="str">
            <v>Trong 24h</v>
          </cell>
          <cell r="D51" t="str">
            <v>Khiếu nại về dịch vụ FTTH</v>
          </cell>
          <cell r="W51" t="str">
            <v>Đã đóng</v>
          </cell>
          <cell r="AJ51" t="str">
            <v>Hải Phòng</v>
          </cell>
          <cell r="BX51" t="str">
            <v>AON</v>
          </cell>
        </row>
        <row r="52">
          <cell r="A52" t="str">
            <v>ON</v>
          </cell>
          <cell r="B52" t="str">
            <v>Trong 24h</v>
          </cell>
          <cell r="D52" t="str">
            <v>Khiếu nại về dịch vụ FTTH</v>
          </cell>
          <cell r="W52" t="str">
            <v>Đã đóng</v>
          </cell>
          <cell r="AJ52" t="str">
            <v>Bình Phước</v>
          </cell>
          <cell r="BX52" t="str">
            <v>AON</v>
          </cell>
        </row>
        <row r="53">
          <cell r="A53" t="str">
            <v>ON</v>
          </cell>
          <cell r="B53" t="str">
            <v>Trong 24h</v>
          </cell>
          <cell r="D53" t="str">
            <v>Khiếu nại về dịch vụ FTTH</v>
          </cell>
          <cell r="W53" t="str">
            <v>Đã đóng</v>
          </cell>
          <cell r="AJ53" t="str">
            <v>TP HCM</v>
          </cell>
          <cell r="BX53" t="str">
            <v>AON</v>
          </cell>
        </row>
        <row r="54">
          <cell r="A54" t="str">
            <v>ON</v>
          </cell>
          <cell r="B54" t="str">
            <v>Trong 24h</v>
          </cell>
          <cell r="D54" t="str">
            <v>Khiếu nại về dịch vụ FTTH</v>
          </cell>
          <cell r="W54" t="str">
            <v>Đã đóng</v>
          </cell>
          <cell r="AJ54" t="str">
            <v>Bạc Liêu</v>
          </cell>
          <cell r="BX54" t="str">
            <v>AON</v>
          </cell>
        </row>
        <row r="55">
          <cell r="A55" t="str">
            <v>ON</v>
          </cell>
          <cell r="B55" t="str">
            <v>Trong 24h</v>
          </cell>
          <cell r="D55" t="str">
            <v>Khiếu nại về dịch vụ FTTH</v>
          </cell>
          <cell r="W55" t="str">
            <v>Đã đóng</v>
          </cell>
          <cell r="AJ55" t="str">
            <v>Quảng Ngãi</v>
          </cell>
          <cell r="BX55" t="str">
            <v>AON</v>
          </cell>
        </row>
        <row r="56">
          <cell r="A56" t="str">
            <v>ON</v>
          </cell>
          <cell r="B56" t="str">
            <v>Trong 24h</v>
          </cell>
          <cell r="D56" t="str">
            <v>Khiếu nại về dịch vụ FTTH</v>
          </cell>
          <cell r="W56" t="str">
            <v>Đã đóng</v>
          </cell>
          <cell r="AJ56" t="str">
            <v>Hậu Giang</v>
          </cell>
          <cell r="BX56" t="str">
            <v>AON</v>
          </cell>
        </row>
        <row r="57">
          <cell r="A57" t="str">
            <v>ON</v>
          </cell>
          <cell r="B57" t="str">
            <v>Trong 24h</v>
          </cell>
          <cell r="D57" t="str">
            <v>Khiếu nại về dịch vụ FTTH</v>
          </cell>
          <cell r="W57" t="str">
            <v>Đã đóng</v>
          </cell>
          <cell r="AJ57" t="str">
            <v>TP HCM</v>
          </cell>
          <cell r="BX57" t="str">
            <v>AON</v>
          </cell>
        </row>
        <row r="58">
          <cell r="A58" t="str">
            <v>ON</v>
          </cell>
          <cell r="B58" t="str">
            <v>Trong 24h</v>
          </cell>
          <cell r="D58" t="str">
            <v>Khiếu nại về dịch vụ FTTH</v>
          </cell>
          <cell r="W58" t="str">
            <v>Đã đóng</v>
          </cell>
          <cell r="AJ58" t="str">
            <v>Sơn La</v>
          </cell>
          <cell r="BX58" t="str">
            <v>AON</v>
          </cell>
        </row>
        <row r="59">
          <cell r="A59" t="str">
            <v>ON</v>
          </cell>
          <cell r="B59" t="str">
            <v>Trong 24h</v>
          </cell>
          <cell r="D59" t="str">
            <v>Khiếu nại về dịch vụ FTTH</v>
          </cell>
          <cell r="W59" t="str">
            <v>Đã đóng</v>
          </cell>
          <cell r="AJ59" t="str">
            <v>Vĩnh Phúc</v>
          </cell>
          <cell r="BX59" t="str">
            <v>AON</v>
          </cell>
        </row>
        <row r="60">
          <cell r="A60" t="str">
            <v>ON</v>
          </cell>
          <cell r="B60" t="str">
            <v>Trong 24h</v>
          </cell>
          <cell r="D60" t="str">
            <v>Khiếu nại về dịch vụ FTTH</v>
          </cell>
          <cell r="W60" t="str">
            <v>Đã đóng</v>
          </cell>
          <cell r="AJ60" t="str">
            <v>Hậu Giang</v>
          </cell>
          <cell r="BX60" t="str">
            <v>AON</v>
          </cell>
        </row>
        <row r="61">
          <cell r="A61" t="str">
            <v>ON</v>
          </cell>
          <cell r="B61" t="str">
            <v>Trong 24h</v>
          </cell>
          <cell r="D61" t="str">
            <v>Khiếu nại về dịch vụ FTTH</v>
          </cell>
          <cell r="W61" t="str">
            <v>Đã đóng</v>
          </cell>
          <cell r="AJ61" t="str">
            <v>Hậu Giang</v>
          </cell>
          <cell r="BX61" t="str">
            <v>AON</v>
          </cell>
        </row>
        <row r="62">
          <cell r="A62" t="str">
            <v>ON</v>
          </cell>
          <cell r="B62" t="str">
            <v>Trong 24h</v>
          </cell>
          <cell r="D62" t="str">
            <v>Khiếu nại về dịch vụ FTTH</v>
          </cell>
          <cell r="W62" t="str">
            <v>Đã đóng</v>
          </cell>
          <cell r="AJ62" t="str">
            <v xml:space="preserve">Quảng Nam </v>
          </cell>
          <cell r="BX62" t="str">
            <v>AON</v>
          </cell>
        </row>
        <row r="63">
          <cell r="A63" t="str">
            <v>ON</v>
          </cell>
          <cell r="B63" t="str">
            <v>Trong 24h</v>
          </cell>
          <cell r="D63" t="str">
            <v>Khiếu nại về dịch vụ FTTH</v>
          </cell>
          <cell r="W63" t="str">
            <v>Đã đóng</v>
          </cell>
          <cell r="AJ63" t="str">
            <v>TP HCM</v>
          </cell>
          <cell r="BX63" t="str">
            <v>AON</v>
          </cell>
        </row>
        <row r="64">
          <cell r="A64" t="str">
            <v>ON</v>
          </cell>
          <cell r="B64" t="str">
            <v>Trong 24h</v>
          </cell>
          <cell r="D64" t="str">
            <v>Khiếu nại về dịch vụ FTTH</v>
          </cell>
          <cell r="W64" t="str">
            <v>Đã đóng</v>
          </cell>
          <cell r="AJ64" t="str">
            <v>Hà Nội 2</v>
          </cell>
          <cell r="BX64" t="str">
            <v>AON</v>
          </cell>
        </row>
        <row r="65">
          <cell r="A65" t="str">
            <v>ON</v>
          </cell>
          <cell r="B65" t="str">
            <v>Trong 24h</v>
          </cell>
          <cell r="D65" t="str">
            <v>Khiếu nại về dịch vụ FTTH</v>
          </cell>
          <cell r="W65" t="str">
            <v>Đã đóng</v>
          </cell>
          <cell r="AJ65" t="str">
            <v>Cần Thơ</v>
          </cell>
          <cell r="BX65" t="str">
            <v>AON</v>
          </cell>
        </row>
        <row r="66">
          <cell r="A66" t="str">
            <v>ON</v>
          </cell>
          <cell r="B66" t="str">
            <v>Trong 24h</v>
          </cell>
          <cell r="D66" t="str">
            <v>Khiếu nại về dịch vụ FTTH</v>
          </cell>
          <cell r="W66" t="str">
            <v>Đang xử lý</v>
          </cell>
          <cell r="AJ66" t="str">
            <v>Bình Định</v>
          </cell>
          <cell r="BX66" t="str">
            <v>AON</v>
          </cell>
        </row>
        <row r="67">
          <cell r="A67" t="str">
            <v>ON</v>
          </cell>
          <cell r="B67" t="str">
            <v>Trong 24h</v>
          </cell>
          <cell r="D67" t="str">
            <v>Khiếu nại về dịch vụ FTTH</v>
          </cell>
          <cell r="W67" t="str">
            <v>Đã đóng</v>
          </cell>
          <cell r="AJ67" t="str">
            <v>Quảng Ninh</v>
          </cell>
          <cell r="BX67" t="str">
            <v>AON</v>
          </cell>
        </row>
        <row r="68">
          <cell r="A68" t="str">
            <v>ON</v>
          </cell>
          <cell r="B68" t="str">
            <v>Trong 24h</v>
          </cell>
          <cell r="D68" t="str">
            <v>Khiếu nại về dịch vụ FTTH</v>
          </cell>
          <cell r="W68" t="str">
            <v>Đã đóng</v>
          </cell>
          <cell r="AJ68" t="str">
            <v>Vĩnh Long</v>
          </cell>
          <cell r="BX68" t="str">
            <v>AON</v>
          </cell>
        </row>
        <row r="69">
          <cell r="A69" t="str">
            <v>ON</v>
          </cell>
          <cell r="B69" t="str">
            <v>Trong 24h</v>
          </cell>
          <cell r="D69" t="str">
            <v>Khiếu nại về dịch vụ FTTH</v>
          </cell>
          <cell r="W69" t="str">
            <v>Đã đóng</v>
          </cell>
          <cell r="AJ69" t="str">
            <v>Hậu Giang</v>
          </cell>
          <cell r="BX69" t="str">
            <v>AON</v>
          </cell>
        </row>
        <row r="70">
          <cell r="A70" t="str">
            <v>ON</v>
          </cell>
          <cell r="B70" t="str">
            <v>Trong 24h</v>
          </cell>
          <cell r="D70" t="str">
            <v>Khiếu nại về dịch vụ FTTH</v>
          </cell>
          <cell r="W70" t="str">
            <v>Đã đóng</v>
          </cell>
          <cell r="AJ70" t="str">
            <v>Nghệ An</v>
          </cell>
          <cell r="BX70" t="str">
            <v>AON</v>
          </cell>
        </row>
        <row r="71">
          <cell r="A71" t="str">
            <v>ON</v>
          </cell>
          <cell r="B71" t="str">
            <v>Trong 24h</v>
          </cell>
          <cell r="D71" t="str">
            <v>Khiếu nại về dịch vụ FTTH</v>
          </cell>
          <cell r="W71" t="str">
            <v>Đã đóng</v>
          </cell>
          <cell r="AJ71" t="str">
            <v>Lào Cai</v>
          </cell>
          <cell r="BX71" t="str">
            <v>AON</v>
          </cell>
        </row>
        <row r="72">
          <cell r="A72" t="str">
            <v>ON</v>
          </cell>
          <cell r="B72" t="str">
            <v>Trong 24h</v>
          </cell>
          <cell r="D72" t="str">
            <v>Khiếu nại về dịch vụ FTTH</v>
          </cell>
          <cell r="W72" t="str">
            <v>Đang xử lý</v>
          </cell>
          <cell r="AJ72" t="str">
            <v>Bến Tre</v>
          </cell>
          <cell r="BX72" t="str">
            <v>AON</v>
          </cell>
        </row>
        <row r="73">
          <cell r="A73" t="str">
            <v>ON</v>
          </cell>
          <cell r="B73" t="str">
            <v>Trong 24h</v>
          </cell>
          <cell r="D73" t="str">
            <v>Khiếu nại về dịch vụ FTTH</v>
          </cell>
          <cell r="W73" t="str">
            <v>Đã đóng</v>
          </cell>
          <cell r="AJ73" t="str">
            <v>Khánh Hoà</v>
          </cell>
          <cell r="BX73" t="str">
            <v>AON</v>
          </cell>
        </row>
        <row r="74">
          <cell r="A74" t="str">
            <v>ON</v>
          </cell>
          <cell r="B74" t="str">
            <v>Trong 24h</v>
          </cell>
          <cell r="D74" t="str">
            <v>Khiếu nại về dịch vụ FTTH</v>
          </cell>
          <cell r="W74" t="str">
            <v>Đã đóng</v>
          </cell>
          <cell r="AJ74" t="str">
            <v>Bạc Liêu</v>
          </cell>
          <cell r="BX74" t="str">
            <v>AON</v>
          </cell>
        </row>
        <row r="75">
          <cell r="A75" t="str">
            <v>ON</v>
          </cell>
          <cell r="B75" t="str">
            <v>Trong 24h</v>
          </cell>
          <cell r="D75" t="str">
            <v>Khiếu nại về dịch vụ FTTH</v>
          </cell>
          <cell r="W75" t="str">
            <v>Đã đóng</v>
          </cell>
          <cell r="AJ75" t="str">
            <v>TP HCM</v>
          </cell>
          <cell r="BX75" t="str">
            <v>AON</v>
          </cell>
        </row>
        <row r="76">
          <cell r="A76" t="str">
            <v>ON</v>
          </cell>
          <cell r="B76" t="str">
            <v>Trong 24h</v>
          </cell>
          <cell r="D76" t="str">
            <v>Khiếu nại về dịch vụ FTTH</v>
          </cell>
          <cell r="W76" t="str">
            <v>Đã đóng</v>
          </cell>
          <cell r="AJ76" t="str">
            <v>Quảng Ngãi</v>
          </cell>
          <cell r="BX76" t="str">
            <v>AON</v>
          </cell>
        </row>
        <row r="77">
          <cell r="A77" t="str">
            <v>ON</v>
          </cell>
          <cell r="B77" t="str">
            <v>Trong 24h</v>
          </cell>
          <cell r="D77" t="str">
            <v>Khiếu nại về dịch vụ FTTH</v>
          </cell>
          <cell r="W77" t="str">
            <v>Đã đóng</v>
          </cell>
          <cell r="AJ77" t="str">
            <v>Bình Dương</v>
          </cell>
          <cell r="BX77" t="str">
            <v>AON</v>
          </cell>
        </row>
        <row r="78">
          <cell r="A78" t="str">
            <v>ON</v>
          </cell>
          <cell r="B78" t="str">
            <v>Trong 24h</v>
          </cell>
          <cell r="D78" t="str">
            <v>Khiếu nại về dịch vụ FTTH</v>
          </cell>
          <cell r="W78" t="str">
            <v>Đã đóng</v>
          </cell>
          <cell r="AJ78" t="str">
            <v>Gia Lai</v>
          </cell>
          <cell r="BX78" t="str">
            <v>AON</v>
          </cell>
        </row>
        <row r="79">
          <cell r="A79" t="str">
            <v>ON</v>
          </cell>
          <cell r="B79" t="str">
            <v>Trong 24h</v>
          </cell>
          <cell r="D79" t="str">
            <v>Khiếu nại về dịch vụ FTTH</v>
          </cell>
          <cell r="W79" t="str">
            <v>Đã đóng</v>
          </cell>
          <cell r="AJ79" t="str">
            <v>TP HCM</v>
          </cell>
          <cell r="BX79" t="str">
            <v>AON</v>
          </cell>
        </row>
        <row r="80">
          <cell r="A80" t="str">
            <v>ON</v>
          </cell>
          <cell r="B80" t="str">
            <v>Trong 24h</v>
          </cell>
          <cell r="D80" t="str">
            <v>Khiếu nại về dịch vụ FTTH</v>
          </cell>
          <cell r="W80" t="str">
            <v>Đã đóng</v>
          </cell>
          <cell r="AJ80" t="str">
            <v>Cần Thơ</v>
          </cell>
          <cell r="BX80" t="str">
            <v>AON</v>
          </cell>
        </row>
        <row r="81">
          <cell r="A81" t="str">
            <v>ON</v>
          </cell>
          <cell r="B81" t="str">
            <v>Trong 24h</v>
          </cell>
          <cell r="D81" t="str">
            <v>Khiếu nại về dịch vụ FTTH</v>
          </cell>
          <cell r="W81" t="str">
            <v>Đã đóng</v>
          </cell>
          <cell r="AJ81" t="str">
            <v>Khánh Hoà</v>
          </cell>
          <cell r="BX81" t="str">
            <v>AON</v>
          </cell>
        </row>
        <row r="82">
          <cell r="A82" t="str">
            <v>ON</v>
          </cell>
          <cell r="B82" t="str">
            <v>Trong 24h</v>
          </cell>
          <cell r="D82" t="str">
            <v>Khiếu nại về dịch vụ FTTH</v>
          </cell>
          <cell r="W82" t="str">
            <v>Đã đóng</v>
          </cell>
          <cell r="AJ82" t="str">
            <v>Đồng Tháp</v>
          </cell>
          <cell r="BX82" t="str">
            <v>AON</v>
          </cell>
        </row>
        <row r="83">
          <cell r="A83" t="str">
            <v>ON</v>
          </cell>
          <cell r="B83" t="str">
            <v>Trong 24h</v>
          </cell>
          <cell r="D83" t="str">
            <v>Khiếu nại về dịch vụ FTTH</v>
          </cell>
          <cell r="W83" t="str">
            <v>Đang xử lý</v>
          </cell>
          <cell r="AJ83" t="str">
            <v>Bến Tre</v>
          </cell>
          <cell r="BX83" t="str">
            <v>AON</v>
          </cell>
        </row>
        <row r="84">
          <cell r="A84" t="str">
            <v>ON</v>
          </cell>
          <cell r="B84" t="str">
            <v>Trong 24h</v>
          </cell>
          <cell r="D84" t="str">
            <v>Khiếu nại về dịch vụ FTTH</v>
          </cell>
          <cell r="W84" t="str">
            <v>Đã đóng</v>
          </cell>
          <cell r="AJ84" t="str">
            <v>Thái Bình</v>
          </cell>
          <cell r="BX84" t="str">
            <v>AON</v>
          </cell>
        </row>
        <row r="85">
          <cell r="A85" t="str">
            <v>ON</v>
          </cell>
          <cell r="B85" t="str">
            <v>Trong 24h</v>
          </cell>
          <cell r="D85" t="str">
            <v>Khiếu nại về dịch vụ FTTH</v>
          </cell>
          <cell r="W85" t="str">
            <v>Đã đóng</v>
          </cell>
          <cell r="AJ85" t="str">
            <v>TP HCM</v>
          </cell>
          <cell r="BX85" t="str">
            <v>AON</v>
          </cell>
        </row>
        <row r="86">
          <cell r="A86" t="str">
            <v>ON</v>
          </cell>
          <cell r="B86" t="str">
            <v>Trong 24h</v>
          </cell>
          <cell r="D86" t="str">
            <v>Khiếu nại về dịch vụ FTTH</v>
          </cell>
          <cell r="W86" t="str">
            <v>Đang xử lý</v>
          </cell>
          <cell r="AJ86" t="str">
            <v>Bắc Ninh</v>
          </cell>
          <cell r="BX86" t="str">
            <v>AON</v>
          </cell>
        </row>
        <row r="87">
          <cell r="A87" t="str">
            <v>ON</v>
          </cell>
          <cell r="B87" t="str">
            <v>Trong 24h</v>
          </cell>
          <cell r="D87" t="str">
            <v>Khiếu nại về dịch vụ NextTV</v>
          </cell>
          <cell r="W87" t="str">
            <v>Đang xử lý</v>
          </cell>
          <cell r="AJ87" t="str">
            <v>Bến Tre</v>
          </cell>
          <cell r="BX87" t="str">
            <v>AON</v>
          </cell>
        </row>
        <row r="88">
          <cell r="A88" t="str">
            <v>ON</v>
          </cell>
          <cell r="B88" t="str">
            <v>Trong 24h</v>
          </cell>
          <cell r="D88" t="str">
            <v>Khiếu nại về dịch vụ FTTH</v>
          </cell>
          <cell r="W88" t="str">
            <v>Đã đóng</v>
          </cell>
          <cell r="AJ88" t="str">
            <v>TP HCM</v>
          </cell>
          <cell r="BX88" t="str">
            <v>AON</v>
          </cell>
        </row>
        <row r="89">
          <cell r="A89" t="str">
            <v>ON</v>
          </cell>
          <cell r="B89" t="str">
            <v>Trong 24h</v>
          </cell>
          <cell r="D89" t="str">
            <v>Khiếu nại về dịch vụ FTTH</v>
          </cell>
          <cell r="W89" t="str">
            <v>Đã đóng</v>
          </cell>
          <cell r="AJ89" t="str">
            <v>Bà Rịa - Vũng Tàu</v>
          </cell>
          <cell r="BX89" t="str">
            <v>AON</v>
          </cell>
        </row>
        <row r="90">
          <cell r="A90" t="str">
            <v>ON</v>
          </cell>
          <cell r="B90" t="str">
            <v>Trong 24h</v>
          </cell>
          <cell r="D90" t="str">
            <v>Khiếu nại về dịch vụ FTTH</v>
          </cell>
          <cell r="W90" t="str">
            <v>Đã đóng</v>
          </cell>
          <cell r="AJ90" t="str">
            <v xml:space="preserve">Đà Nẵng </v>
          </cell>
          <cell r="BX90" t="str">
            <v>AON</v>
          </cell>
        </row>
        <row r="91">
          <cell r="A91" t="str">
            <v>ON</v>
          </cell>
          <cell r="B91" t="str">
            <v>Trong 24h</v>
          </cell>
          <cell r="D91" t="str">
            <v>Khiếu nại về dịch vụ FTTH</v>
          </cell>
          <cell r="W91" t="str">
            <v>Đã đóng</v>
          </cell>
          <cell r="AJ91" t="str">
            <v>Hậu Giang</v>
          </cell>
          <cell r="BX91" t="str">
            <v>AON</v>
          </cell>
        </row>
        <row r="92">
          <cell r="A92" t="str">
            <v>ON</v>
          </cell>
          <cell r="B92" t="str">
            <v>Trong 24h</v>
          </cell>
          <cell r="D92" t="str">
            <v>Khiếu nại về dịch vụ FTTH</v>
          </cell>
          <cell r="W92" t="str">
            <v>Đã đóng</v>
          </cell>
          <cell r="AJ92" t="str">
            <v>TP HCM</v>
          </cell>
          <cell r="BX92" t="str">
            <v>AON</v>
          </cell>
        </row>
        <row r="93">
          <cell r="A93" t="str">
            <v>ON</v>
          </cell>
          <cell r="B93" t="str">
            <v>Trong 24h</v>
          </cell>
          <cell r="D93" t="str">
            <v>Khiếu nại về dịch vụ FTTH</v>
          </cell>
          <cell r="W93" t="str">
            <v>Đã đóng</v>
          </cell>
          <cell r="AJ93" t="str">
            <v>Cần Thơ</v>
          </cell>
          <cell r="BX93" t="str">
            <v>AON</v>
          </cell>
        </row>
        <row r="94">
          <cell r="A94" t="str">
            <v>ON</v>
          </cell>
          <cell r="B94" t="str">
            <v>Trong 24h</v>
          </cell>
          <cell r="D94" t="str">
            <v>Khiếu nại về dịch vụ FTTH</v>
          </cell>
          <cell r="W94" t="str">
            <v>Đã đóng</v>
          </cell>
          <cell r="AJ94" t="str">
            <v>Hà Nội 1</v>
          </cell>
          <cell r="BX94" t="str">
            <v>AON</v>
          </cell>
        </row>
        <row r="95">
          <cell r="A95" t="str">
            <v>ON</v>
          </cell>
          <cell r="B95" t="str">
            <v>Trong 24h</v>
          </cell>
          <cell r="D95" t="str">
            <v>Khiếu nại về dịch vụ FTTH</v>
          </cell>
          <cell r="W95" t="str">
            <v>Đã đóng</v>
          </cell>
          <cell r="AJ95" t="str">
            <v xml:space="preserve">Quảng Nam </v>
          </cell>
          <cell r="BX95" t="str">
            <v>AON</v>
          </cell>
        </row>
        <row r="96">
          <cell r="A96" t="str">
            <v>ON</v>
          </cell>
          <cell r="B96" t="str">
            <v>Trong 24h</v>
          </cell>
          <cell r="D96" t="str">
            <v>Khiếu nại về dịch vụ FTTH</v>
          </cell>
          <cell r="W96" t="str">
            <v>Đã đóng</v>
          </cell>
          <cell r="AJ96" t="str">
            <v>TP HCM</v>
          </cell>
          <cell r="BX96" t="str">
            <v>AON</v>
          </cell>
        </row>
        <row r="97">
          <cell r="A97" t="str">
            <v>ON</v>
          </cell>
          <cell r="B97" t="str">
            <v>Trong 24h</v>
          </cell>
          <cell r="D97" t="str">
            <v>Khiếu nại về dịch vụ FTTH</v>
          </cell>
          <cell r="W97" t="str">
            <v>Đã đóng</v>
          </cell>
          <cell r="AJ97" t="str">
            <v>Hà Nội 2</v>
          </cell>
          <cell r="BX97" t="str">
            <v>AON</v>
          </cell>
        </row>
        <row r="98">
          <cell r="A98" t="str">
            <v>ON</v>
          </cell>
          <cell r="B98" t="str">
            <v>Trong 24h</v>
          </cell>
          <cell r="D98" t="str">
            <v>Khiếu nại về dịch vụ FTTH</v>
          </cell>
          <cell r="W98" t="str">
            <v>Đã đóng</v>
          </cell>
          <cell r="AJ98" t="str">
            <v>Bà Rịa - Vũng Tàu</v>
          </cell>
          <cell r="BX98" t="str">
            <v>AON</v>
          </cell>
        </row>
        <row r="99">
          <cell r="A99" t="str">
            <v>ON</v>
          </cell>
          <cell r="B99" t="str">
            <v>Trong 24h</v>
          </cell>
          <cell r="D99" t="str">
            <v>Khiếu nại về dịch vụ FTTH</v>
          </cell>
          <cell r="W99" t="str">
            <v>Đã đóng</v>
          </cell>
          <cell r="AJ99" t="str">
            <v>Hưng Yên</v>
          </cell>
          <cell r="BX99" t="str">
            <v>AON</v>
          </cell>
        </row>
        <row r="100">
          <cell r="A100" t="str">
            <v>ON</v>
          </cell>
          <cell r="B100" t="str">
            <v>Trong 24h</v>
          </cell>
          <cell r="D100" t="str">
            <v>Khiếu nại về dịch vụ FTTH</v>
          </cell>
          <cell r="W100" t="str">
            <v>Đã đóng</v>
          </cell>
          <cell r="AJ100" t="str">
            <v>TP HCM</v>
          </cell>
          <cell r="BX100" t="str">
            <v>AON</v>
          </cell>
        </row>
        <row r="101">
          <cell r="A101" t="str">
            <v>ON</v>
          </cell>
          <cell r="B101" t="str">
            <v>Trong 24h</v>
          </cell>
          <cell r="D101" t="str">
            <v>Khiếu nại về dịch vụ FTTH</v>
          </cell>
          <cell r="W101" t="str">
            <v>Đang xử lý</v>
          </cell>
          <cell r="AJ101" t="str">
            <v>Bình Dương</v>
          </cell>
          <cell r="BX101" t="str">
            <v>AON</v>
          </cell>
        </row>
        <row r="102">
          <cell r="A102" t="str">
            <v>ON</v>
          </cell>
          <cell r="B102" t="str">
            <v>Trong 24h</v>
          </cell>
          <cell r="D102" t="str">
            <v>Khiếu nại về dịch vụ FTTH</v>
          </cell>
          <cell r="W102" t="str">
            <v>Đã đóng</v>
          </cell>
          <cell r="AJ102" t="str">
            <v>Bà Rịa - Vũng Tàu</v>
          </cell>
          <cell r="BX102" t="str">
            <v>AON</v>
          </cell>
        </row>
        <row r="103">
          <cell r="A103" t="str">
            <v>ON</v>
          </cell>
          <cell r="B103" t="str">
            <v>Trong 24h</v>
          </cell>
          <cell r="D103" t="str">
            <v>Khiếu nại về dịch vụ FTTH</v>
          </cell>
          <cell r="W103" t="str">
            <v>Đã đóng</v>
          </cell>
          <cell r="AJ103" t="str">
            <v>Kiên Giang</v>
          </cell>
          <cell r="BX103" t="str">
            <v>AON</v>
          </cell>
        </row>
        <row r="104">
          <cell r="A104" t="str">
            <v>ON</v>
          </cell>
          <cell r="B104" t="str">
            <v>Trong 24h</v>
          </cell>
          <cell r="D104" t="str">
            <v>Khiếu nại về dịch vụ FTTH</v>
          </cell>
          <cell r="W104" t="str">
            <v>Đang xử lý</v>
          </cell>
          <cell r="AJ104" t="str">
            <v>TP HCM</v>
          </cell>
          <cell r="BX104" t="str">
            <v>AON</v>
          </cell>
        </row>
        <row r="105">
          <cell r="A105" t="str">
            <v>ON</v>
          </cell>
          <cell r="B105" t="str">
            <v>Trong 24h</v>
          </cell>
          <cell r="D105" t="str">
            <v>Khiếu nại về dịch vụ FTTH</v>
          </cell>
          <cell r="W105" t="str">
            <v>Đã đóng</v>
          </cell>
          <cell r="AJ105" t="str">
            <v>Hà Nội 1</v>
          </cell>
          <cell r="BX105" t="str">
            <v>AON</v>
          </cell>
        </row>
        <row r="106">
          <cell r="A106" t="str">
            <v>ON</v>
          </cell>
          <cell r="B106" t="str">
            <v>Trong 24h</v>
          </cell>
          <cell r="D106" t="str">
            <v>Khiếu nại về dịch vụ FTTH</v>
          </cell>
          <cell r="W106" t="str">
            <v>Đã đóng</v>
          </cell>
          <cell r="AJ106" t="str">
            <v>Thái Nguyên</v>
          </cell>
          <cell r="BX106" t="str">
            <v>AON</v>
          </cell>
        </row>
        <row r="107">
          <cell r="A107" t="str">
            <v>ON</v>
          </cell>
          <cell r="B107" t="str">
            <v>Trong 24h</v>
          </cell>
          <cell r="D107" t="str">
            <v>Khiếu nại về dịch vụ FTTH</v>
          </cell>
          <cell r="W107" t="str">
            <v>Đang xử lý</v>
          </cell>
          <cell r="AJ107" t="str">
            <v>TP HCM</v>
          </cell>
          <cell r="BX107" t="str">
            <v>AON</v>
          </cell>
        </row>
        <row r="108">
          <cell r="A108" t="str">
            <v>ON</v>
          </cell>
          <cell r="B108" t="str">
            <v>Trong 24h</v>
          </cell>
          <cell r="D108" t="str">
            <v>Khiếu nại về dịch vụ FTTH</v>
          </cell>
          <cell r="W108" t="str">
            <v>Đã đóng</v>
          </cell>
          <cell r="AJ108" t="str">
            <v xml:space="preserve">Đồng Nai </v>
          </cell>
          <cell r="BX108" t="str">
            <v>AON</v>
          </cell>
        </row>
        <row r="109">
          <cell r="A109" t="str">
            <v>ON</v>
          </cell>
          <cell r="B109" t="str">
            <v>Trong 24h</v>
          </cell>
          <cell r="D109" t="str">
            <v>Khiếu nại về dịch vụ FTTH</v>
          </cell>
          <cell r="W109" t="str">
            <v>Đang xử lý</v>
          </cell>
          <cell r="AJ109" t="str">
            <v>Bắc Ninh</v>
          </cell>
          <cell r="BX109" t="str">
            <v>AON</v>
          </cell>
        </row>
        <row r="110">
          <cell r="A110" t="str">
            <v>ON</v>
          </cell>
          <cell r="B110" t="str">
            <v>Trong 24h</v>
          </cell>
          <cell r="D110" t="str">
            <v>Khiếu nại về dịch vụ FTTH</v>
          </cell>
          <cell r="W110" t="str">
            <v>Đã đóng</v>
          </cell>
          <cell r="AJ110" t="str">
            <v>Hậu Giang</v>
          </cell>
          <cell r="BX110" t="str">
            <v>AON</v>
          </cell>
        </row>
        <row r="111">
          <cell r="A111" t="str">
            <v>ON</v>
          </cell>
          <cell r="B111" t="str">
            <v>Trong 24h</v>
          </cell>
          <cell r="D111" t="str">
            <v>Khiếu nại về dịch vụ FTTH</v>
          </cell>
          <cell r="W111" t="str">
            <v>Đã đóng</v>
          </cell>
          <cell r="AJ111" t="str">
            <v>Cần Thơ</v>
          </cell>
          <cell r="BX111" t="str">
            <v>AON</v>
          </cell>
        </row>
        <row r="112">
          <cell r="A112" t="str">
            <v>ON</v>
          </cell>
          <cell r="B112" t="str">
            <v>Trong 24h</v>
          </cell>
          <cell r="D112" t="str">
            <v>Khiếu nại về dịch vụ FTTH</v>
          </cell>
          <cell r="W112" t="str">
            <v>Đã đóng</v>
          </cell>
          <cell r="AJ112" t="str">
            <v>Bắc Ninh</v>
          </cell>
          <cell r="BX112" t="str">
            <v>AON</v>
          </cell>
        </row>
        <row r="113">
          <cell r="A113" t="str">
            <v>ON</v>
          </cell>
          <cell r="B113" t="str">
            <v>Trong 24h</v>
          </cell>
          <cell r="D113" t="str">
            <v>Khiếu nại về dịch vụ FTTH</v>
          </cell>
          <cell r="W113" t="str">
            <v>Đã đóng</v>
          </cell>
          <cell r="AJ113" t="str">
            <v>TP HCM</v>
          </cell>
          <cell r="BX113" t="str">
            <v>AON</v>
          </cell>
        </row>
        <row r="114">
          <cell r="A114" t="str">
            <v>ON</v>
          </cell>
          <cell r="B114" t="str">
            <v>Trong 24h</v>
          </cell>
          <cell r="D114" t="str">
            <v>Khiếu nại về dịch vụ FTTH</v>
          </cell>
          <cell r="W114" t="str">
            <v>Đã đóng</v>
          </cell>
          <cell r="AJ114" t="str">
            <v>Bình Dương</v>
          </cell>
          <cell r="BX114" t="str">
            <v>AON</v>
          </cell>
        </row>
        <row r="115">
          <cell r="A115" t="str">
            <v>ON</v>
          </cell>
          <cell r="B115" t="str">
            <v>Trong 24h</v>
          </cell>
          <cell r="D115" t="str">
            <v>Khiếu nại về dịch vụ NextTV</v>
          </cell>
          <cell r="W115" t="str">
            <v>Đã đóng</v>
          </cell>
          <cell r="AJ115" t="str">
            <v>Phú Thọ</v>
          </cell>
          <cell r="BX115" t="str">
            <v>AON</v>
          </cell>
        </row>
        <row r="116">
          <cell r="A116" t="str">
            <v>ON</v>
          </cell>
          <cell r="B116" t="str">
            <v>Trong 24h</v>
          </cell>
          <cell r="D116" t="str">
            <v>Khiếu nại về dịch vụ FTTH</v>
          </cell>
          <cell r="W116" t="str">
            <v>Đã đóng</v>
          </cell>
          <cell r="AJ116" t="str">
            <v>Bình Dương</v>
          </cell>
          <cell r="BX116" t="str">
            <v>AON</v>
          </cell>
        </row>
        <row r="117">
          <cell r="A117" t="str">
            <v>ON</v>
          </cell>
          <cell r="B117" t="str">
            <v>Trong 24h</v>
          </cell>
          <cell r="D117" t="str">
            <v>Khiếu nại về dịch vụ FTTH</v>
          </cell>
          <cell r="W117" t="str">
            <v>Đã đóng</v>
          </cell>
          <cell r="AJ117" t="str">
            <v>TP HCM</v>
          </cell>
          <cell r="BX117" t="str">
            <v>AON</v>
          </cell>
        </row>
        <row r="118">
          <cell r="A118" t="str">
            <v>ON</v>
          </cell>
          <cell r="B118" t="str">
            <v>Trong 24h</v>
          </cell>
          <cell r="D118" t="str">
            <v>Khiếu nại về dịch vụ FTTH</v>
          </cell>
          <cell r="W118" t="str">
            <v>Đã đóng</v>
          </cell>
          <cell r="AJ118" t="str">
            <v>Trà Vinh</v>
          </cell>
          <cell r="BX118" t="str">
            <v>AON</v>
          </cell>
        </row>
        <row r="119">
          <cell r="A119" t="str">
            <v>ON</v>
          </cell>
          <cell r="B119" t="str">
            <v>Trong 24h</v>
          </cell>
          <cell r="D119" t="str">
            <v>Khiếu nại về dịch vụ FTTH</v>
          </cell>
          <cell r="W119" t="str">
            <v>Đã đóng</v>
          </cell>
          <cell r="AJ119" t="str">
            <v>Bình Định</v>
          </cell>
          <cell r="BX119" t="str">
            <v>AON</v>
          </cell>
        </row>
        <row r="120">
          <cell r="A120" t="str">
            <v>ON</v>
          </cell>
          <cell r="B120" t="str">
            <v>Trong 24h</v>
          </cell>
          <cell r="D120" t="str">
            <v>Khiếu nại về dịch vụ FTTH</v>
          </cell>
          <cell r="W120" t="str">
            <v>Đã đóng</v>
          </cell>
          <cell r="AJ120" t="str">
            <v>Bình Dương</v>
          </cell>
          <cell r="BX120" t="str">
            <v>AON</v>
          </cell>
        </row>
        <row r="121">
          <cell r="A121" t="str">
            <v>ON</v>
          </cell>
          <cell r="B121" t="str">
            <v>Trong 24h</v>
          </cell>
          <cell r="D121" t="str">
            <v>Khiếu nại về dịch vụ FTTH</v>
          </cell>
          <cell r="W121" t="str">
            <v>Đã đóng</v>
          </cell>
          <cell r="AJ121" t="str">
            <v xml:space="preserve">Đồng Nai </v>
          </cell>
          <cell r="BX121" t="str">
            <v>AON</v>
          </cell>
        </row>
        <row r="122">
          <cell r="A122" t="str">
            <v>ON</v>
          </cell>
          <cell r="B122" t="str">
            <v>Trong 24h</v>
          </cell>
          <cell r="D122" t="str">
            <v>Khiếu nại về dịch vụ FTTH</v>
          </cell>
          <cell r="W122" t="str">
            <v>Đã đóng</v>
          </cell>
          <cell r="AJ122" t="str">
            <v>Thái Bình</v>
          </cell>
          <cell r="BX122" t="str">
            <v>AON</v>
          </cell>
        </row>
        <row r="123">
          <cell r="A123" t="str">
            <v>ON</v>
          </cell>
          <cell r="B123" t="str">
            <v>Trong 24h</v>
          </cell>
          <cell r="D123" t="str">
            <v>Khiếu nại về dịch vụ FTTH</v>
          </cell>
          <cell r="W123" t="str">
            <v>Đã đóng</v>
          </cell>
          <cell r="AJ123" t="str">
            <v>Bắc Kạn</v>
          </cell>
          <cell r="BX123" t="str">
            <v>AON</v>
          </cell>
        </row>
        <row r="124">
          <cell r="A124" t="str">
            <v>ON</v>
          </cell>
          <cell r="B124" t="str">
            <v>Trong 24h</v>
          </cell>
          <cell r="D124" t="str">
            <v>Khiếu nại về dịch vụ FTTH</v>
          </cell>
          <cell r="W124" t="str">
            <v>Đã đóng</v>
          </cell>
          <cell r="AJ124" t="str">
            <v>Bắc Ninh</v>
          </cell>
          <cell r="BX124" t="str">
            <v>AON</v>
          </cell>
        </row>
        <row r="125">
          <cell r="A125" t="str">
            <v>ON</v>
          </cell>
          <cell r="B125" t="str">
            <v>Trong 24h</v>
          </cell>
          <cell r="D125" t="str">
            <v>Khiếu nại về dịch vụ FTTH</v>
          </cell>
          <cell r="W125" t="str">
            <v>Đã đóng</v>
          </cell>
          <cell r="AJ125" t="str">
            <v>Hà Nội 1</v>
          </cell>
          <cell r="BX125" t="str">
            <v>AON</v>
          </cell>
        </row>
        <row r="126">
          <cell r="A126" t="str">
            <v>ON</v>
          </cell>
          <cell r="B126" t="str">
            <v>Trong 24h</v>
          </cell>
          <cell r="D126" t="str">
            <v>Khiếu nại về dịch vụ FTTH</v>
          </cell>
          <cell r="W126" t="str">
            <v>Đã đóng</v>
          </cell>
          <cell r="AJ126" t="str">
            <v>Hưng Yên</v>
          </cell>
          <cell r="BX126" t="str">
            <v>AON</v>
          </cell>
        </row>
        <row r="127">
          <cell r="A127" t="str">
            <v>ON</v>
          </cell>
          <cell r="B127" t="str">
            <v>Trong 24h</v>
          </cell>
          <cell r="D127" t="str">
            <v>Khiếu nại về dịch vụ FTTH</v>
          </cell>
          <cell r="W127" t="str">
            <v>Đã đóng</v>
          </cell>
          <cell r="AJ127" t="str">
            <v>TP HCM</v>
          </cell>
          <cell r="BX127" t="str">
            <v>AON</v>
          </cell>
        </row>
        <row r="128">
          <cell r="A128" t="str">
            <v>ON</v>
          </cell>
          <cell r="B128" t="str">
            <v>Trong 24h</v>
          </cell>
          <cell r="D128" t="str">
            <v>Khiếu nại về dịch vụ FTTH</v>
          </cell>
          <cell r="W128" t="str">
            <v>Đã đóng</v>
          </cell>
          <cell r="AJ128" t="str">
            <v>Bình Dương</v>
          </cell>
          <cell r="BX128" t="str">
            <v>AON</v>
          </cell>
        </row>
        <row r="129">
          <cell r="A129" t="str">
            <v>ON</v>
          </cell>
          <cell r="B129" t="str">
            <v>Trong 24h</v>
          </cell>
          <cell r="D129" t="str">
            <v>Khiếu nại về dịch vụ FTTH</v>
          </cell>
          <cell r="W129" t="str">
            <v>Đã đóng</v>
          </cell>
          <cell r="AJ129" t="str">
            <v>TP HCM</v>
          </cell>
          <cell r="BX129" t="str">
            <v>AON</v>
          </cell>
        </row>
        <row r="130">
          <cell r="A130" t="str">
            <v>ON</v>
          </cell>
          <cell r="B130" t="str">
            <v>Trong 24h</v>
          </cell>
          <cell r="D130" t="str">
            <v>Khiếu nại về dịch vụ FTTH</v>
          </cell>
          <cell r="W130" t="str">
            <v>Đã đóng</v>
          </cell>
          <cell r="AJ130" t="str">
            <v>TP HCM</v>
          </cell>
          <cell r="BX130" t="str">
            <v>AON</v>
          </cell>
        </row>
        <row r="131">
          <cell r="A131" t="str">
            <v>ON</v>
          </cell>
          <cell r="B131" t="str">
            <v>Trong 24h</v>
          </cell>
          <cell r="D131" t="str">
            <v>Khiếu nại về dịch vụ FTTH</v>
          </cell>
          <cell r="W131" t="str">
            <v>Đã đóng</v>
          </cell>
          <cell r="AJ131" t="str">
            <v>Thái Nguyên</v>
          </cell>
          <cell r="BX131" t="str">
            <v>AON</v>
          </cell>
        </row>
        <row r="132">
          <cell r="A132" t="str">
            <v>ON</v>
          </cell>
          <cell r="B132" t="str">
            <v>Trong 24h</v>
          </cell>
          <cell r="D132" t="str">
            <v>Khiếu nại về dịch vụ FTTH</v>
          </cell>
          <cell r="W132" t="str">
            <v>Đang xử lý</v>
          </cell>
          <cell r="AJ132" t="str">
            <v>Bình Định</v>
          </cell>
          <cell r="BX132" t="str">
            <v>AON</v>
          </cell>
        </row>
        <row r="133">
          <cell r="A133" t="str">
            <v>ON</v>
          </cell>
          <cell r="B133" t="str">
            <v>Trong 24h</v>
          </cell>
          <cell r="D133" t="str">
            <v>Khiếu nại về dịch vụ FTTH</v>
          </cell>
          <cell r="W133" t="str">
            <v>Đã đóng</v>
          </cell>
          <cell r="AJ133" t="str">
            <v xml:space="preserve">Đà Nẵng </v>
          </cell>
          <cell r="BX133" t="str">
            <v>AON</v>
          </cell>
        </row>
        <row r="134">
          <cell r="A134" t="str">
            <v>ON</v>
          </cell>
          <cell r="B134" t="str">
            <v>Trong 24h</v>
          </cell>
          <cell r="D134" t="str">
            <v>Khiếu nại về dịch vụ FTTH</v>
          </cell>
          <cell r="W134" t="str">
            <v>Đang xử lý</v>
          </cell>
          <cell r="AJ134" t="str">
            <v>Bắc Ninh</v>
          </cell>
          <cell r="BX134" t="str">
            <v>AON</v>
          </cell>
        </row>
        <row r="135">
          <cell r="A135" t="str">
            <v>ON</v>
          </cell>
          <cell r="B135" t="str">
            <v>Trong 24h</v>
          </cell>
          <cell r="D135" t="str">
            <v>Khiếu nại về dịch vụ FTTH</v>
          </cell>
          <cell r="W135" t="str">
            <v>Đang xử lý</v>
          </cell>
          <cell r="AJ135" t="str">
            <v>Hà Nội 2</v>
          </cell>
          <cell r="BX135" t="str">
            <v>AON</v>
          </cell>
        </row>
        <row r="136">
          <cell r="A136" t="str">
            <v>ON</v>
          </cell>
          <cell r="B136" t="str">
            <v>Trong 24h</v>
          </cell>
          <cell r="D136" t="str">
            <v>Khiếu nại về dịch vụ FTTH</v>
          </cell>
          <cell r="W136" t="str">
            <v>Đã đóng</v>
          </cell>
          <cell r="AJ136" t="str">
            <v xml:space="preserve">Đắc Lắk </v>
          </cell>
          <cell r="BX136" t="str">
            <v>AON</v>
          </cell>
        </row>
        <row r="137">
          <cell r="A137" t="str">
            <v>ON</v>
          </cell>
          <cell r="B137" t="str">
            <v>Trong 24h</v>
          </cell>
          <cell r="D137" t="str">
            <v>Khiếu nại về dịch vụ FTTH</v>
          </cell>
          <cell r="W137" t="str">
            <v>Đã đóng</v>
          </cell>
          <cell r="AJ137" t="str">
            <v>Bình Thuận</v>
          </cell>
          <cell r="BX137" t="str">
            <v>AON</v>
          </cell>
        </row>
        <row r="138">
          <cell r="A138" t="str">
            <v>ON</v>
          </cell>
          <cell r="B138" t="str">
            <v>Trong 24h</v>
          </cell>
          <cell r="D138" t="str">
            <v>Khiếu nại về dịch vụ FTTH</v>
          </cell>
          <cell r="W138" t="str">
            <v>Đã đóng</v>
          </cell>
          <cell r="AJ138" t="str">
            <v>Bắc Ninh</v>
          </cell>
          <cell r="BX138" t="str">
            <v>AON</v>
          </cell>
        </row>
        <row r="139">
          <cell r="A139" t="str">
            <v>ON</v>
          </cell>
          <cell r="B139" t="str">
            <v>Trong 24h</v>
          </cell>
          <cell r="D139" t="str">
            <v>Khiếu nại về dịch vụ FTTH</v>
          </cell>
          <cell r="W139" t="str">
            <v>Đã đóng</v>
          </cell>
          <cell r="AJ139" t="str">
            <v>TP HCM</v>
          </cell>
          <cell r="BX139" t="str">
            <v>AON</v>
          </cell>
        </row>
        <row r="140">
          <cell r="A140" t="str">
            <v>ON</v>
          </cell>
          <cell r="B140" t="str">
            <v>Trong 24h</v>
          </cell>
          <cell r="D140" t="str">
            <v>Khiếu nại về dịch vụ FTTH</v>
          </cell>
          <cell r="W140" t="str">
            <v>Đã đóng</v>
          </cell>
          <cell r="AJ140" t="str">
            <v>Thái Bình</v>
          </cell>
          <cell r="BX140" t="str">
            <v>AON</v>
          </cell>
        </row>
        <row r="141">
          <cell r="A141" t="str">
            <v>ON</v>
          </cell>
          <cell r="B141" t="str">
            <v>Trong 24h</v>
          </cell>
          <cell r="D141" t="str">
            <v>Khiếu nại về dịch vụ FTTH</v>
          </cell>
          <cell r="W141" t="str">
            <v>Đang xử lý</v>
          </cell>
          <cell r="AJ141" t="str">
            <v>Kiên Giang</v>
          </cell>
          <cell r="BX141" t="str">
            <v>AON</v>
          </cell>
        </row>
        <row r="142">
          <cell r="A142" t="str">
            <v>ON</v>
          </cell>
          <cell r="B142" t="str">
            <v>Trong 24h</v>
          </cell>
          <cell r="D142" t="str">
            <v>Khiếu nại về dịch vụ FTTH</v>
          </cell>
          <cell r="W142" t="str">
            <v>Đã đóng</v>
          </cell>
          <cell r="AJ142" t="str">
            <v>Hà Nội 1</v>
          </cell>
          <cell r="BX142" t="str">
            <v>AON</v>
          </cell>
        </row>
        <row r="143">
          <cell r="A143" t="str">
            <v>ON</v>
          </cell>
          <cell r="B143" t="str">
            <v>Trong 24h</v>
          </cell>
          <cell r="D143" t="str">
            <v>Khiếu nại về dịch vụ FTTH</v>
          </cell>
          <cell r="W143" t="str">
            <v>Đã đóng</v>
          </cell>
          <cell r="AJ143" t="str">
            <v>TP HCM</v>
          </cell>
          <cell r="BX143" t="str">
            <v>AON</v>
          </cell>
        </row>
        <row r="144">
          <cell r="A144" t="str">
            <v>ON</v>
          </cell>
          <cell r="B144" t="str">
            <v>Trong 24h</v>
          </cell>
          <cell r="D144" t="str">
            <v>Khiếu nại về dịch vụ FTTH</v>
          </cell>
          <cell r="W144" t="str">
            <v>Đã đóng</v>
          </cell>
          <cell r="AJ144" t="str">
            <v>TP HCM</v>
          </cell>
          <cell r="BX144" t="str">
            <v>AON</v>
          </cell>
        </row>
        <row r="145">
          <cell r="A145" t="str">
            <v>ON</v>
          </cell>
          <cell r="B145" t="str">
            <v>Trong 24h</v>
          </cell>
          <cell r="D145" t="str">
            <v>Khiếu nại về dịch vụ FTTH</v>
          </cell>
          <cell r="W145" t="str">
            <v>Đã đóng</v>
          </cell>
          <cell r="AJ145" t="str">
            <v>Quảng Ngãi</v>
          </cell>
          <cell r="BX145" t="str">
            <v>AON</v>
          </cell>
        </row>
        <row r="146">
          <cell r="A146" t="str">
            <v>ON</v>
          </cell>
          <cell r="B146" t="str">
            <v>Trong 24h</v>
          </cell>
          <cell r="D146" t="str">
            <v>Khiếu nại về dịch vụ NextTV</v>
          </cell>
          <cell r="W146" t="str">
            <v>Đã đóng</v>
          </cell>
          <cell r="AJ146" t="str">
            <v>Phú Thọ</v>
          </cell>
          <cell r="BX146" t="str">
            <v>AON</v>
          </cell>
        </row>
        <row r="147">
          <cell r="A147" t="str">
            <v>ON</v>
          </cell>
          <cell r="B147" t="str">
            <v>Trong 24h</v>
          </cell>
          <cell r="D147" t="str">
            <v>Khiếu nại về dịch vụ FTTH</v>
          </cell>
          <cell r="W147" t="str">
            <v>Đã đóng</v>
          </cell>
          <cell r="AJ147" t="str">
            <v>Hà Nội 1</v>
          </cell>
          <cell r="BX147" t="str">
            <v>AON</v>
          </cell>
        </row>
        <row r="148">
          <cell r="A148" t="str">
            <v>ON</v>
          </cell>
          <cell r="B148" t="str">
            <v>Trong 24h</v>
          </cell>
          <cell r="D148" t="str">
            <v>Khiếu nại về dịch vụ FTTH</v>
          </cell>
          <cell r="W148" t="str">
            <v>Đã đóng</v>
          </cell>
          <cell r="AJ148" t="str">
            <v>Tiền Giang</v>
          </cell>
          <cell r="BX148" t="str">
            <v>AON</v>
          </cell>
        </row>
        <row r="149">
          <cell r="A149" t="str">
            <v>ON</v>
          </cell>
          <cell r="B149" t="str">
            <v>Trong 24h</v>
          </cell>
          <cell r="D149" t="str">
            <v>Khiếu nại về dịch vụ FTTH</v>
          </cell>
          <cell r="W149" t="str">
            <v>Đã đóng</v>
          </cell>
          <cell r="AJ149" t="str">
            <v>Lạng Sơn</v>
          </cell>
          <cell r="BX149" t="str">
            <v>AON</v>
          </cell>
        </row>
        <row r="150">
          <cell r="A150" t="str">
            <v>ON</v>
          </cell>
          <cell r="B150" t="str">
            <v>Trong 24h</v>
          </cell>
          <cell r="D150" t="str">
            <v>Khiếu nại về dịch vụ FTTH</v>
          </cell>
          <cell r="W150" t="str">
            <v>Đã đóng</v>
          </cell>
          <cell r="AJ150" t="str">
            <v>Bình Dương</v>
          </cell>
          <cell r="BX150" t="str">
            <v>AON</v>
          </cell>
        </row>
        <row r="151">
          <cell r="A151" t="str">
            <v>ON</v>
          </cell>
          <cell r="B151" t="str">
            <v>Trong 24h</v>
          </cell>
          <cell r="D151" t="str">
            <v>Khiếu nại về dịch vụ FTTH</v>
          </cell>
          <cell r="W151" t="str">
            <v>Đã đóng</v>
          </cell>
          <cell r="AJ151" t="str">
            <v>Hậu Giang</v>
          </cell>
          <cell r="BX151" t="str">
            <v>AON</v>
          </cell>
        </row>
        <row r="152">
          <cell r="A152" t="str">
            <v>ON</v>
          </cell>
          <cell r="B152" t="str">
            <v>Trong 24h</v>
          </cell>
          <cell r="D152" t="str">
            <v>Khiếu nại về dịch vụ FTTH</v>
          </cell>
          <cell r="W152" t="str">
            <v>Đã đóng</v>
          </cell>
          <cell r="AJ152" t="str">
            <v>TP HCM</v>
          </cell>
          <cell r="BX152" t="str">
            <v>AON</v>
          </cell>
        </row>
        <row r="153">
          <cell r="A153" t="str">
            <v>ON</v>
          </cell>
          <cell r="B153" t="str">
            <v>Trong 24h</v>
          </cell>
          <cell r="D153" t="str">
            <v>Khiếu nại về dịch vụ FTTH</v>
          </cell>
          <cell r="W153" t="str">
            <v>Đã đóng</v>
          </cell>
          <cell r="AJ153" t="str">
            <v>Phú Thọ</v>
          </cell>
          <cell r="BX153" t="str">
            <v>AON</v>
          </cell>
        </row>
        <row r="154">
          <cell r="A154" t="str">
            <v>ON</v>
          </cell>
          <cell r="B154" t="str">
            <v>Trong 24h</v>
          </cell>
          <cell r="D154" t="str">
            <v>Khiếu nại về dịch vụ FTTH</v>
          </cell>
          <cell r="W154" t="str">
            <v>Đã đóng</v>
          </cell>
          <cell r="AJ154" t="str">
            <v>Quảng Ninh</v>
          </cell>
          <cell r="BX154" t="str">
            <v>AON</v>
          </cell>
        </row>
        <row r="155">
          <cell r="A155" t="str">
            <v>ON</v>
          </cell>
          <cell r="B155" t="str">
            <v>Trong 24h</v>
          </cell>
          <cell r="D155" t="str">
            <v>Khiếu nại về dịch vụ FTTH</v>
          </cell>
          <cell r="W155" t="str">
            <v>Đã đóng</v>
          </cell>
          <cell r="AJ155" t="str">
            <v>Phú Thọ</v>
          </cell>
          <cell r="BX155" t="str">
            <v>AON</v>
          </cell>
        </row>
        <row r="156">
          <cell r="A156" t="str">
            <v>ON</v>
          </cell>
          <cell r="B156" t="str">
            <v>Trong 24h</v>
          </cell>
          <cell r="D156" t="str">
            <v>Khiếu nại về dịch vụ FTTH</v>
          </cell>
          <cell r="W156" t="str">
            <v>Đã đóng</v>
          </cell>
          <cell r="AJ156" t="str">
            <v>Thanh Hoá</v>
          </cell>
          <cell r="BX156" t="str">
            <v>AON</v>
          </cell>
        </row>
        <row r="157">
          <cell r="A157" t="str">
            <v>ON</v>
          </cell>
          <cell r="B157" t="str">
            <v>Trong 24h</v>
          </cell>
          <cell r="D157" t="str">
            <v>Khiếu nại về dịch vụ FTTH</v>
          </cell>
          <cell r="W157" t="str">
            <v>Đã đóng</v>
          </cell>
          <cell r="AJ157" t="str">
            <v>Bắc Giang</v>
          </cell>
          <cell r="BX157" t="str">
            <v>AON</v>
          </cell>
        </row>
        <row r="158">
          <cell r="A158" t="str">
            <v>ON</v>
          </cell>
          <cell r="B158" t="str">
            <v>Trong 24h</v>
          </cell>
          <cell r="D158" t="str">
            <v>Khiếu nại về dịch vụ FTTH</v>
          </cell>
          <cell r="W158" t="str">
            <v>Đã đóng</v>
          </cell>
          <cell r="AJ158" t="str">
            <v>Thừa Thiên Huế</v>
          </cell>
          <cell r="BX158" t="str">
            <v>AON</v>
          </cell>
        </row>
        <row r="159">
          <cell r="A159" t="str">
            <v>ON</v>
          </cell>
          <cell r="B159" t="str">
            <v>Trong 24h</v>
          </cell>
          <cell r="D159" t="str">
            <v>Khiếu nại về dịch vụ FTTH</v>
          </cell>
          <cell r="W159" t="str">
            <v>Đã đóng</v>
          </cell>
          <cell r="AJ159" t="str">
            <v xml:space="preserve">Đồng Nai </v>
          </cell>
          <cell r="BX159" t="str">
            <v>AON</v>
          </cell>
        </row>
        <row r="160">
          <cell r="A160" t="str">
            <v>ON</v>
          </cell>
          <cell r="B160" t="str">
            <v>Trong 24h</v>
          </cell>
          <cell r="D160" t="str">
            <v>Khiếu nại về dịch vụ FTTH</v>
          </cell>
          <cell r="W160" t="str">
            <v>Đã đóng</v>
          </cell>
          <cell r="AJ160" t="str">
            <v>Bắc Ninh</v>
          </cell>
          <cell r="BX160" t="str">
            <v>AON</v>
          </cell>
        </row>
        <row r="161">
          <cell r="A161" t="str">
            <v>ON</v>
          </cell>
          <cell r="B161" t="str">
            <v>Trong 24h</v>
          </cell>
          <cell r="D161" t="str">
            <v>Khiếu nại về dịch vụ FTTH</v>
          </cell>
          <cell r="W161" t="str">
            <v>Đã đóng</v>
          </cell>
          <cell r="AJ161" t="str">
            <v>Bình Định</v>
          </cell>
          <cell r="BX161" t="str">
            <v>AON</v>
          </cell>
        </row>
        <row r="162">
          <cell r="A162" t="str">
            <v>ON</v>
          </cell>
          <cell r="B162" t="str">
            <v>Trong 24h</v>
          </cell>
          <cell r="D162" t="str">
            <v>Khiếu nại về dịch vụ FTTH</v>
          </cell>
          <cell r="W162" t="str">
            <v>Đã đóng</v>
          </cell>
          <cell r="AJ162" t="str">
            <v>Quảng Trị</v>
          </cell>
          <cell r="BX162" t="str">
            <v>AON</v>
          </cell>
        </row>
        <row r="163">
          <cell r="A163" t="str">
            <v>ON</v>
          </cell>
          <cell r="B163" t="str">
            <v>Trong 24h</v>
          </cell>
          <cell r="D163" t="str">
            <v>Khiếu nại về dịch vụ FTTH</v>
          </cell>
          <cell r="W163" t="str">
            <v>Đang xử lý</v>
          </cell>
          <cell r="AJ163" t="str">
            <v xml:space="preserve">Đà Nẵng </v>
          </cell>
          <cell r="BX163" t="str">
            <v>AON</v>
          </cell>
        </row>
        <row r="164">
          <cell r="A164" t="str">
            <v>ON</v>
          </cell>
          <cell r="B164" t="str">
            <v>Trong 24h</v>
          </cell>
          <cell r="D164" t="str">
            <v>Khiếu nại về dịch vụ FTTH</v>
          </cell>
          <cell r="W164" t="str">
            <v>Đã đóng</v>
          </cell>
          <cell r="AJ164" t="str">
            <v>Thái Bình</v>
          </cell>
          <cell r="BX164" t="str">
            <v>AON</v>
          </cell>
        </row>
        <row r="165">
          <cell r="A165" t="str">
            <v>ON</v>
          </cell>
          <cell r="B165" t="str">
            <v>Trong 24h</v>
          </cell>
          <cell r="D165" t="str">
            <v>Khiếu nại về dịch vụ FTTH</v>
          </cell>
          <cell r="W165" t="str">
            <v>Đã đóng</v>
          </cell>
          <cell r="AJ165" t="str">
            <v xml:space="preserve">Quảng Nam </v>
          </cell>
          <cell r="BX165" t="str">
            <v>AON</v>
          </cell>
        </row>
        <row r="166">
          <cell r="A166" t="str">
            <v>ON</v>
          </cell>
          <cell r="B166" t="str">
            <v>Trong 24h</v>
          </cell>
          <cell r="D166" t="str">
            <v>Khiếu nại về dịch vụ FTTH</v>
          </cell>
          <cell r="W166" t="str">
            <v>Đã đóng</v>
          </cell>
          <cell r="AJ166" t="str">
            <v>Hà Nội 1</v>
          </cell>
          <cell r="BX166" t="str">
            <v>AON</v>
          </cell>
        </row>
        <row r="167">
          <cell r="A167" t="str">
            <v>ON</v>
          </cell>
          <cell r="B167" t="str">
            <v>Trong 24h</v>
          </cell>
          <cell r="D167" t="str">
            <v>Khiếu nại về dịch vụ FTTH</v>
          </cell>
          <cell r="W167" t="str">
            <v>Đã đóng</v>
          </cell>
          <cell r="AJ167" t="str">
            <v>TP HCM</v>
          </cell>
          <cell r="BX167" t="str">
            <v>AON</v>
          </cell>
        </row>
        <row r="168">
          <cell r="A168" t="str">
            <v>ON</v>
          </cell>
          <cell r="B168" t="str">
            <v>Trong 24h</v>
          </cell>
          <cell r="D168" t="str">
            <v>Khiếu nại về dịch vụ FTTH</v>
          </cell>
          <cell r="W168" t="str">
            <v>Đã đóng</v>
          </cell>
          <cell r="AJ168" t="str">
            <v>Sóc Trăng</v>
          </cell>
          <cell r="BX168" t="str">
            <v>AON</v>
          </cell>
        </row>
        <row r="169">
          <cell r="A169" t="str">
            <v>ON</v>
          </cell>
          <cell r="B169" t="str">
            <v>Trong 24h</v>
          </cell>
          <cell r="D169" t="str">
            <v>Khiếu nại về dịch vụ FTTH</v>
          </cell>
          <cell r="W169" t="str">
            <v>Đã đóng</v>
          </cell>
          <cell r="AJ169" t="str">
            <v xml:space="preserve">Đắc Lắk </v>
          </cell>
          <cell r="BX169" t="str">
            <v>AON</v>
          </cell>
        </row>
        <row r="170">
          <cell r="A170" t="str">
            <v>ON</v>
          </cell>
          <cell r="B170" t="str">
            <v>Trong 24h</v>
          </cell>
          <cell r="D170" t="str">
            <v>Khiếu nại về dịch vụ FTTH</v>
          </cell>
          <cell r="W170" t="str">
            <v>Đã đóng</v>
          </cell>
          <cell r="AJ170" t="str">
            <v>TP HCM</v>
          </cell>
          <cell r="BX170" t="str">
            <v>AON</v>
          </cell>
        </row>
        <row r="171">
          <cell r="A171" t="str">
            <v>ON</v>
          </cell>
          <cell r="B171" t="str">
            <v>Trong 24h</v>
          </cell>
          <cell r="D171" t="str">
            <v>Khiếu nại về dịch vụ FTTH</v>
          </cell>
          <cell r="W171" t="str">
            <v>Đã đóng</v>
          </cell>
          <cell r="AJ171" t="str">
            <v xml:space="preserve">Hà Tĩnh </v>
          </cell>
          <cell r="BX171" t="str">
            <v>AON</v>
          </cell>
        </row>
        <row r="172">
          <cell r="A172" t="str">
            <v>ON</v>
          </cell>
          <cell r="B172" t="str">
            <v>Trong 24h</v>
          </cell>
          <cell r="D172" t="str">
            <v>Khiếu nại về dịch vụ FTTH</v>
          </cell>
          <cell r="W172" t="str">
            <v>Đã đóng</v>
          </cell>
          <cell r="AJ172" t="str">
            <v>TP HCM</v>
          </cell>
          <cell r="BX172" t="str">
            <v>AON</v>
          </cell>
        </row>
        <row r="173">
          <cell r="A173" t="str">
            <v>ON</v>
          </cell>
          <cell r="B173" t="str">
            <v>Trong 24h</v>
          </cell>
          <cell r="D173" t="str">
            <v>Khiếu nại về dịch vụ FTTH</v>
          </cell>
          <cell r="W173" t="str">
            <v>Đang xử lý</v>
          </cell>
          <cell r="AJ173" t="str">
            <v xml:space="preserve">Quảng Nam </v>
          </cell>
          <cell r="BX173" t="str">
            <v>AON</v>
          </cell>
        </row>
        <row r="174">
          <cell r="A174" t="str">
            <v>ON</v>
          </cell>
          <cell r="B174" t="str">
            <v>Trong 24h</v>
          </cell>
          <cell r="D174" t="str">
            <v>Khiếu nại về dịch vụ FTTH</v>
          </cell>
          <cell r="W174" t="str">
            <v>Đã đóng</v>
          </cell>
          <cell r="AJ174" t="str">
            <v>TP HCM</v>
          </cell>
          <cell r="BX174" t="str">
            <v>AON</v>
          </cell>
        </row>
        <row r="175">
          <cell r="A175" t="str">
            <v>ON</v>
          </cell>
          <cell r="B175" t="str">
            <v>Trong 24h</v>
          </cell>
          <cell r="D175" t="str">
            <v>Khiếu nại về dịch vụ FTTH</v>
          </cell>
          <cell r="W175" t="str">
            <v>Đã đóng</v>
          </cell>
          <cell r="AJ175" t="str">
            <v xml:space="preserve">Đắc Lắk </v>
          </cell>
          <cell r="BX175" t="str">
            <v>AON</v>
          </cell>
        </row>
        <row r="176">
          <cell r="A176" t="str">
            <v>ON</v>
          </cell>
          <cell r="B176" t="str">
            <v>Trong 24h</v>
          </cell>
          <cell r="D176" t="str">
            <v>Khiếu nại về dịch vụ FTTH</v>
          </cell>
          <cell r="W176" t="str">
            <v>Đang xử lý</v>
          </cell>
          <cell r="AJ176" t="str">
            <v>Bình Dương</v>
          </cell>
          <cell r="BX176" t="str">
            <v>AON</v>
          </cell>
        </row>
        <row r="177">
          <cell r="A177" t="str">
            <v>ON</v>
          </cell>
          <cell r="B177" t="str">
            <v>Trong 24h</v>
          </cell>
          <cell r="D177" t="str">
            <v>Khiếu nại về dịch vụ FTTH</v>
          </cell>
          <cell r="W177" t="str">
            <v>Đã đóng</v>
          </cell>
          <cell r="AJ177" t="str">
            <v>Bình Dương</v>
          </cell>
          <cell r="BX177" t="str">
            <v>AON</v>
          </cell>
        </row>
        <row r="178">
          <cell r="A178" t="str">
            <v>ON</v>
          </cell>
          <cell r="B178" t="str">
            <v>Trong 24h</v>
          </cell>
          <cell r="D178" t="str">
            <v>Khiếu nại về dịch vụ NextTV</v>
          </cell>
          <cell r="W178" t="str">
            <v>Đã đóng</v>
          </cell>
          <cell r="AJ178" t="str">
            <v>Điện Biên</v>
          </cell>
          <cell r="BX178" t="str">
            <v>AON</v>
          </cell>
        </row>
        <row r="179">
          <cell r="A179" t="str">
            <v>ON</v>
          </cell>
          <cell r="B179" t="str">
            <v>Trong 24h</v>
          </cell>
          <cell r="D179" t="str">
            <v>Khiếu nại về dịch vụ FTTH</v>
          </cell>
          <cell r="W179" t="str">
            <v>Đã đóng</v>
          </cell>
          <cell r="AJ179" t="str">
            <v>Khánh Hoà</v>
          </cell>
          <cell r="BX179" t="str">
            <v>AON</v>
          </cell>
        </row>
        <row r="180">
          <cell r="A180" t="str">
            <v>ON</v>
          </cell>
          <cell r="B180" t="str">
            <v>Trong 24h</v>
          </cell>
          <cell r="D180" t="str">
            <v>Khiếu nại về dịch vụ FTTH</v>
          </cell>
          <cell r="W180" t="str">
            <v>Đã đóng</v>
          </cell>
          <cell r="AJ180" t="str">
            <v>Thái Nguyên</v>
          </cell>
          <cell r="BX180" t="str">
            <v>AON</v>
          </cell>
        </row>
        <row r="181">
          <cell r="A181" t="str">
            <v>ON</v>
          </cell>
          <cell r="B181" t="str">
            <v>Trong 24h</v>
          </cell>
          <cell r="D181" t="str">
            <v>Khiếu nại về dịch vụ FTTH</v>
          </cell>
          <cell r="W181" t="str">
            <v>Đã đóng</v>
          </cell>
          <cell r="AJ181" t="str">
            <v>Cần Thơ</v>
          </cell>
          <cell r="BX181" t="str">
            <v>AON</v>
          </cell>
        </row>
        <row r="182">
          <cell r="A182" t="str">
            <v>ON</v>
          </cell>
          <cell r="B182" t="str">
            <v>Trong 24h</v>
          </cell>
          <cell r="D182" t="str">
            <v>Khiếu nại về dịch vụ FTTH</v>
          </cell>
          <cell r="W182" t="str">
            <v>Đã đóng</v>
          </cell>
          <cell r="AJ182" t="str">
            <v>Bình Dương</v>
          </cell>
          <cell r="BX182" t="str">
            <v>AON</v>
          </cell>
        </row>
        <row r="183">
          <cell r="A183" t="str">
            <v>ON</v>
          </cell>
          <cell r="B183" t="str">
            <v>Trong 24h</v>
          </cell>
          <cell r="D183" t="str">
            <v>Khiếu nại về dịch vụ FTTH</v>
          </cell>
          <cell r="W183" t="str">
            <v>Đã đóng</v>
          </cell>
          <cell r="AJ183" t="str">
            <v>Hà Nội 1</v>
          </cell>
          <cell r="BX183" t="str">
            <v>AON</v>
          </cell>
        </row>
        <row r="184">
          <cell r="A184" t="str">
            <v>ON</v>
          </cell>
          <cell r="B184" t="str">
            <v>Trong 24h</v>
          </cell>
          <cell r="D184" t="str">
            <v>Khiếu nại về dịch vụ FTTH</v>
          </cell>
          <cell r="W184" t="str">
            <v>Đã đóng</v>
          </cell>
          <cell r="AJ184" t="str">
            <v>Thừa Thiên Huế</v>
          </cell>
          <cell r="BX184" t="str">
            <v>AON</v>
          </cell>
        </row>
        <row r="185">
          <cell r="A185" t="str">
            <v>ON</v>
          </cell>
          <cell r="B185" t="str">
            <v>Trong 24h</v>
          </cell>
          <cell r="D185" t="str">
            <v>Khiếu nại về dịch vụ FTTH</v>
          </cell>
          <cell r="W185" t="str">
            <v>Đã đóng</v>
          </cell>
          <cell r="AJ185" t="str">
            <v>Ninh Bình</v>
          </cell>
          <cell r="BX185" t="str">
            <v>AON</v>
          </cell>
        </row>
        <row r="186">
          <cell r="A186" t="str">
            <v>ON</v>
          </cell>
          <cell r="B186" t="str">
            <v>Trong 24h</v>
          </cell>
          <cell r="D186" t="str">
            <v>Khiếu nại về dịch vụ FTTH</v>
          </cell>
          <cell r="W186" t="str">
            <v>Đã đóng</v>
          </cell>
          <cell r="AJ186" t="str">
            <v xml:space="preserve">Đà Nẵng </v>
          </cell>
          <cell r="BX186" t="str">
            <v>AON</v>
          </cell>
        </row>
        <row r="187">
          <cell r="A187" t="str">
            <v>ON</v>
          </cell>
          <cell r="B187" t="str">
            <v>Trong 24h</v>
          </cell>
          <cell r="D187" t="str">
            <v>Khiếu nại về dịch vụ FTTH</v>
          </cell>
          <cell r="W187" t="str">
            <v>Đã đóng</v>
          </cell>
          <cell r="AJ187" t="str">
            <v>Bắc Ninh</v>
          </cell>
          <cell r="BX187" t="str">
            <v>AON</v>
          </cell>
        </row>
        <row r="188">
          <cell r="A188" t="str">
            <v>ON</v>
          </cell>
          <cell r="B188" t="str">
            <v>Trong 24h</v>
          </cell>
          <cell r="D188" t="str">
            <v>Khiếu nại về dịch vụ FTTH</v>
          </cell>
          <cell r="W188" t="str">
            <v>Đã đóng</v>
          </cell>
          <cell r="AJ188" t="str">
            <v>TP HCM</v>
          </cell>
          <cell r="BX188" t="str">
            <v>AON</v>
          </cell>
        </row>
        <row r="189">
          <cell r="A189" t="str">
            <v>ON</v>
          </cell>
          <cell r="B189" t="str">
            <v>Trong 24h</v>
          </cell>
          <cell r="D189" t="str">
            <v>Khiếu nại về dịch vụ FTTH</v>
          </cell>
          <cell r="W189" t="str">
            <v>Đã đóng</v>
          </cell>
          <cell r="AJ189" t="str">
            <v>Tiền Giang</v>
          </cell>
          <cell r="BX189" t="str">
            <v>AON</v>
          </cell>
        </row>
        <row r="190">
          <cell r="A190" t="str">
            <v>ON</v>
          </cell>
          <cell r="B190" t="str">
            <v>Trong 24h</v>
          </cell>
          <cell r="D190" t="str">
            <v>Khiếu nại về dịch vụ FTTH</v>
          </cell>
          <cell r="W190" t="str">
            <v>Đã đóng</v>
          </cell>
          <cell r="AJ190" t="str">
            <v>Hậu Giang</v>
          </cell>
          <cell r="BX190" t="str">
            <v>AON</v>
          </cell>
        </row>
        <row r="191">
          <cell r="A191" t="str">
            <v>ON</v>
          </cell>
          <cell r="B191" t="str">
            <v>Trong 24h</v>
          </cell>
          <cell r="D191" t="str">
            <v>Khiếu nại về dịch vụ FTTH</v>
          </cell>
          <cell r="W191" t="str">
            <v>Đã đóng</v>
          </cell>
          <cell r="AJ191" t="str">
            <v>Bình Dương</v>
          </cell>
          <cell r="BX191" t="str">
            <v>AON</v>
          </cell>
        </row>
        <row r="192">
          <cell r="A192" t="str">
            <v>ON</v>
          </cell>
          <cell r="B192" t="str">
            <v>Trong 24h</v>
          </cell>
          <cell r="D192" t="str">
            <v>Khiếu nại về dịch vụ FTTH</v>
          </cell>
          <cell r="W192" t="str">
            <v>Đã đóng</v>
          </cell>
          <cell r="AJ192" t="str">
            <v>Quảng Ngãi</v>
          </cell>
          <cell r="BX192" t="str">
            <v>AON</v>
          </cell>
        </row>
        <row r="193">
          <cell r="A193" t="str">
            <v>ON</v>
          </cell>
          <cell r="B193" t="str">
            <v>Trong 24h</v>
          </cell>
          <cell r="D193" t="str">
            <v>Khiếu nại về dịch vụ FTTH</v>
          </cell>
          <cell r="W193" t="str">
            <v>Đã đóng</v>
          </cell>
          <cell r="AJ193" t="str">
            <v>TP HCM</v>
          </cell>
          <cell r="BX193" t="str">
            <v>AON</v>
          </cell>
        </row>
        <row r="194">
          <cell r="A194" t="str">
            <v>ON</v>
          </cell>
          <cell r="B194" t="str">
            <v>Trong 24h</v>
          </cell>
          <cell r="D194" t="str">
            <v>Khiếu nại về dịch vụ FTTH</v>
          </cell>
          <cell r="W194" t="str">
            <v>Đã đóng</v>
          </cell>
          <cell r="AJ194" t="str">
            <v>TP HCM</v>
          </cell>
          <cell r="BX194" t="str">
            <v>AON</v>
          </cell>
        </row>
        <row r="195">
          <cell r="A195" t="str">
            <v>ON</v>
          </cell>
          <cell r="B195" t="str">
            <v>Trong 24h</v>
          </cell>
          <cell r="D195" t="str">
            <v>Khiếu nại về dịch vụ FTTH</v>
          </cell>
          <cell r="W195" t="str">
            <v>Đã đóng</v>
          </cell>
          <cell r="AJ195" t="str">
            <v>Hà Nội 2</v>
          </cell>
          <cell r="BX195" t="str">
            <v>AON</v>
          </cell>
        </row>
        <row r="196">
          <cell r="A196" t="str">
            <v>ON</v>
          </cell>
          <cell r="B196" t="str">
            <v>Trong 24h</v>
          </cell>
          <cell r="D196" t="str">
            <v>Khiếu nại về dịch vụ FTTH</v>
          </cell>
          <cell r="W196" t="str">
            <v>Đang xử lý</v>
          </cell>
          <cell r="AJ196" t="str">
            <v>Lâm Đồng</v>
          </cell>
          <cell r="BX196" t="str">
            <v>AON</v>
          </cell>
        </row>
        <row r="197">
          <cell r="A197" t="str">
            <v>ON</v>
          </cell>
          <cell r="B197" t="str">
            <v>Trong 24h</v>
          </cell>
          <cell r="D197" t="str">
            <v>Khiếu nại về dịch vụ FTTH</v>
          </cell>
          <cell r="W197" t="str">
            <v>Đã đóng</v>
          </cell>
          <cell r="AJ197" t="str">
            <v>Bạc Liêu</v>
          </cell>
          <cell r="BX197" t="str">
            <v>AON</v>
          </cell>
        </row>
        <row r="198">
          <cell r="A198" t="str">
            <v>ON</v>
          </cell>
          <cell r="B198" t="str">
            <v>Trong 24h</v>
          </cell>
          <cell r="D198" t="str">
            <v>Khiếu nại về dịch vụ FTTH</v>
          </cell>
          <cell r="W198" t="str">
            <v>Đã đóng</v>
          </cell>
          <cell r="AJ198" t="str">
            <v>Quảng Trị</v>
          </cell>
          <cell r="BX198" t="str">
            <v>AON</v>
          </cell>
        </row>
        <row r="199">
          <cell r="A199" t="str">
            <v>ON</v>
          </cell>
          <cell r="B199" t="str">
            <v>Trong 24h</v>
          </cell>
          <cell r="D199" t="str">
            <v>Khiếu nại về dịch vụ FTTH</v>
          </cell>
          <cell r="W199" t="str">
            <v>Đã đóng</v>
          </cell>
          <cell r="AJ199" t="str">
            <v>TP HCM</v>
          </cell>
          <cell r="BX199" t="str">
            <v>AON</v>
          </cell>
        </row>
        <row r="200">
          <cell r="A200" t="str">
            <v>ON</v>
          </cell>
          <cell r="B200" t="str">
            <v>Trong 24h</v>
          </cell>
          <cell r="D200" t="str">
            <v>Khiếu nại về dịch vụ FTTH</v>
          </cell>
          <cell r="W200" t="str">
            <v>Đã đóng</v>
          </cell>
          <cell r="AJ200" t="str">
            <v>Hà Nội 1</v>
          </cell>
          <cell r="BX200" t="str">
            <v>AON</v>
          </cell>
        </row>
        <row r="201">
          <cell r="A201" t="str">
            <v>ON</v>
          </cell>
          <cell r="B201" t="str">
            <v>Trong 24h</v>
          </cell>
          <cell r="D201" t="str">
            <v>Khiếu nại về dịch vụ FTTH</v>
          </cell>
          <cell r="W201" t="str">
            <v>Đã đóng</v>
          </cell>
          <cell r="AJ201" t="str">
            <v>TP HCM</v>
          </cell>
          <cell r="BX201" t="str">
            <v>AON</v>
          </cell>
        </row>
        <row r="202">
          <cell r="A202" t="str">
            <v>ON</v>
          </cell>
          <cell r="B202" t="str">
            <v>Trong 24h</v>
          </cell>
          <cell r="D202" t="str">
            <v>Khiếu nại về dịch vụ FTTH</v>
          </cell>
          <cell r="W202" t="str">
            <v>Đang xử lý</v>
          </cell>
          <cell r="AJ202" t="str">
            <v>Bắc Giang</v>
          </cell>
          <cell r="BX202" t="str">
            <v>AON</v>
          </cell>
        </row>
        <row r="203">
          <cell r="A203" t="str">
            <v>ON</v>
          </cell>
          <cell r="B203" t="str">
            <v>Trong 24h</v>
          </cell>
          <cell r="D203" t="str">
            <v>Khiếu nại về dịch vụ FTTH</v>
          </cell>
          <cell r="W203" t="str">
            <v>Đã đóng</v>
          </cell>
          <cell r="AJ203" t="str">
            <v>Hậu Giang</v>
          </cell>
          <cell r="BX203" t="str">
            <v>AON</v>
          </cell>
        </row>
        <row r="204">
          <cell r="A204" t="str">
            <v>ON</v>
          </cell>
          <cell r="B204" t="str">
            <v>Trong 24h</v>
          </cell>
          <cell r="D204" t="str">
            <v>Khiếu nại về dịch vụ FTTH</v>
          </cell>
          <cell r="W204" t="str">
            <v>Đã đóng</v>
          </cell>
          <cell r="AJ204" t="str">
            <v xml:space="preserve">Quảng Nam </v>
          </cell>
          <cell r="BX204" t="str">
            <v>AON</v>
          </cell>
        </row>
        <row r="205">
          <cell r="A205" t="str">
            <v>ON</v>
          </cell>
          <cell r="B205" t="str">
            <v>Trong 24h</v>
          </cell>
          <cell r="D205" t="str">
            <v>Khiếu nại về dịch vụ FTTH</v>
          </cell>
          <cell r="W205" t="str">
            <v>Đang xử lý</v>
          </cell>
          <cell r="AJ205" t="str">
            <v>TP HCM</v>
          </cell>
          <cell r="BX205" t="str">
            <v>AON</v>
          </cell>
        </row>
        <row r="206">
          <cell r="A206" t="str">
            <v>ON</v>
          </cell>
          <cell r="B206" t="str">
            <v>Trong 24h</v>
          </cell>
          <cell r="D206" t="str">
            <v>Khiếu nại về dịch vụ FTTH</v>
          </cell>
          <cell r="W206" t="str">
            <v>Đã đóng</v>
          </cell>
          <cell r="AJ206" t="str">
            <v>Bình Dương</v>
          </cell>
          <cell r="BX206" t="str">
            <v>AON</v>
          </cell>
        </row>
        <row r="207">
          <cell r="A207" t="str">
            <v>ON</v>
          </cell>
          <cell r="B207" t="str">
            <v>Trong 24h</v>
          </cell>
          <cell r="D207" t="str">
            <v>Khiếu nại về dịch vụ FTTH</v>
          </cell>
          <cell r="W207" t="str">
            <v>Đang xử lý</v>
          </cell>
          <cell r="AJ207" t="str">
            <v>Bắc Ninh</v>
          </cell>
          <cell r="BX207" t="str">
            <v>AON</v>
          </cell>
        </row>
        <row r="208">
          <cell r="A208" t="str">
            <v>ON</v>
          </cell>
          <cell r="B208" t="str">
            <v>Trong 24h</v>
          </cell>
          <cell r="D208" t="str">
            <v>Khiếu nại về dịch vụ FTTH</v>
          </cell>
          <cell r="W208" t="str">
            <v>Đã đóng</v>
          </cell>
          <cell r="AJ208" t="str">
            <v xml:space="preserve">Quảng Nam </v>
          </cell>
          <cell r="BX208" t="str">
            <v>AON</v>
          </cell>
        </row>
        <row r="209">
          <cell r="A209" t="str">
            <v>ON</v>
          </cell>
          <cell r="B209" t="str">
            <v>Trong 24h</v>
          </cell>
          <cell r="D209" t="str">
            <v>Khiếu nại về dịch vụ FTTH</v>
          </cell>
          <cell r="W209" t="str">
            <v>Đã đóng</v>
          </cell>
          <cell r="AJ209" t="str">
            <v>Nghệ An</v>
          </cell>
          <cell r="BX209" t="str">
            <v>AON</v>
          </cell>
        </row>
        <row r="210">
          <cell r="A210" t="str">
            <v>ON</v>
          </cell>
          <cell r="B210" t="str">
            <v>Trong 24h</v>
          </cell>
          <cell r="D210" t="str">
            <v>Khiếu nại về dịch vụ FTTH</v>
          </cell>
          <cell r="W210" t="str">
            <v>Đã đóng</v>
          </cell>
          <cell r="AJ210" t="str">
            <v>TP HCM</v>
          </cell>
          <cell r="BX210" t="str">
            <v>AON</v>
          </cell>
        </row>
        <row r="211">
          <cell r="A211" t="str">
            <v>ON</v>
          </cell>
          <cell r="B211" t="str">
            <v>Trong 24h</v>
          </cell>
          <cell r="D211" t="str">
            <v>Khiếu nại về dịch vụ FTTH</v>
          </cell>
          <cell r="W211" t="str">
            <v>Đã đóng</v>
          </cell>
          <cell r="AJ211" t="str">
            <v>Quảng Ninh</v>
          </cell>
          <cell r="BX211" t="str">
            <v>AON</v>
          </cell>
        </row>
        <row r="212">
          <cell r="A212" t="str">
            <v>ON</v>
          </cell>
          <cell r="B212" t="str">
            <v>Trong 24h</v>
          </cell>
          <cell r="D212" t="str">
            <v>Khiếu nại về dịch vụ FTTH</v>
          </cell>
          <cell r="W212" t="str">
            <v>Đang xử lý</v>
          </cell>
          <cell r="AJ212" t="str">
            <v>Bình Định</v>
          </cell>
          <cell r="BX212" t="str">
            <v>AON</v>
          </cell>
        </row>
        <row r="213">
          <cell r="A213" t="str">
            <v>ON</v>
          </cell>
          <cell r="B213" t="str">
            <v>Trong 24h</v>
          </cell>
          <cell r="D213" t="str">
            <v>Khiếu nại về dịch vụ FTTH</v>
          </cell>
          <cell r="W213" t="str">
            <v>Đang xử lý</v>
          </cell>
          <cell r="AJ213" t="str">
            <v>Thừa Thiên Huế</v>
          </cell>
          <cell r="BX213" t="str">
            <v>AON</v>
          </cell>
        </row>
        <row r="214">
          <cell r="A214" t="str">
            <v>ON</v>
          </cell>
          <cell r="B214" t="str">
            <v>Trong 24h</v>
          </cell>
          <cell r="D214" t="str">
            <v>Khiếu nại về dịch vụ FTTH</v>
          </cell>
          <cell r="W214" t="str">
            <v>Đã đóng</v>
          </cell>
          <cell r="AJ214" t="str">
            <v>Hậu Giang</v>
          </cell>
          <cell r="BX214" t="str">
            <v>AON</v>
          </cell>
        </row>
        <row r="215">
          <cell r="A215" t="str">
            <v>ON</v>
          </cell>
          <cell r="B215" t="str">
            <v>Trong 24h</v>
          </cell>
          <cell r="D215" t="str">
            <v>Khiếu nại về dịch vụ FTTH</v>
          </cell>
          <cell r="W215" t="str">
            <v>Đã đóng</v>
          </cell>
          <cell r="AJ215" t="str">
            <v>An Giang</v>
          </cell>
          <cell r="BX215" t="str">
            <v>AON</v>
          </cell>
        </row>
        <row r="216">
          <cell r="A216" t="str">
            <v>ON</v>
          </cell>
          <cell r="B216" t="str">
            <v>Trong 24h</v>
          </cell>
          <cell r="D216" t="str">
            <v>Khiếu nại về dịch vụ FTTH</v>
          </cell>
          <cell r="W216" t="str">
            <v>Đã đóng</v>
          </cell>
          <cell r="AJ216" t="str">
            <v>Hưng Yên</v>
          </cell>
          <cell r="BX216" t="str">
            <v>AON</v>
          </cell>
        </row>
        <row r="217">
          <cell r="A217" t="str">
            <v>ON</v>
          </cell>
          <cell r="B217" t="str">
            <v>Trong 24h</v>
          </cell>
          <cell r="D217" t="str">
            <v>Khiếu nại về dịch vụ FTTH</v>
          </cell>
          <cell r="W217" t="str">
            <v>Đã đóng</v>
          </cell>
          <cell r="AJ217" t="str">
            <v>Thái Bình</v>
          </cell>
          <cell r="BX217" t="str">
            <v>AON</v>
          </cell>
        </row>
        <row r="218">
          <cell r="A218" t="str">
            <v>ON</v>
          </cell>
          <cell r="B218" t="str">
            <v>Trong 24h</v>
          </cell>
          <cell r="D218" t="str">
            <v>Khiếu nại về dịch vụ FTTH</v>
          </cell>
          <cell r="W218" t="str">
            <v>Đã đóng</v>
          </cell>
          <cell r="AJ218" t="str">
            <v>Đồng Tháp</v>
          </cell>
          <cell r="BX218" t="str">
            <v>AON</v>
          </cell>
        </row>
        <row r="219">
          <cell r="A219" t="str">
            <v>ON</v>
          </cell>
          <cell r="B219" t="str">
            <v>Trong 24h</v>
          </cell>
          <cell r="D219" t="str">
            <v>Khiếu nại về dịch vụ FTTH</v>
          </cell>
          <cell r="W219" t="str">
            <v>Đã đóng</v>
          </cell>
          <cell r="AJ219" t="str">
            <v>Bắc Giang</v>
          </cell>
          <cell r="BX219" t="str">
            <v>AON</v>
          </cell>
        </row>
        <row r="220">
          <cell r="A220" t="str">
            <v>ON</v>
          </cell>
          <cell r="B220" t="str">
            <v>Trong 24h</v>
          </cell>
          <cell r="D220" t="str">
            <v>Khiếu nại về dịch vụ FTTH</v>
          </cell>
          <cell r="W220" t="str">
            <v>Đã đóng</v>
          </cell>
          <cell r="AJ220" t="str">
            <v>Trà Vinh</v>
          </cell>
          <cell r="BX220" t="str">
            <v>AON</v>
          </cell>
        </row>
        <row r="221">
          <cell r="A221" t="str">
            <v>ON</v>
          </cell>
          <cell r="B221" t="str">
            <v>Trong 24h</v>
          </cell>
          <cell r="D221" t="str">
            <v>Khiếu nại về dịch vụ FTTH</v>
          </cell>
          <cell r="W221" t="str">
            <v>Đã đóng</v>
          </cell>
          <cell r="AJ221" t="str">
            <v>TP HCM</v>
          </cell>
          <cell r="BX221" t="str">
            <v>AON</v>
          </cell>
        </row>
        <row r="222">
          <cell r="A222" t="str">
            <v>ON</v>
          </cell>
          <cell r="B222" t="str">
            <v>Trong 24h</v>
          </cell>
          <cell r="D222" t="str">
            <v>Khiếu nại về dịch vụ FTTH</v>
          </cell>
          <cell r="W222" t="str">
            <v>Đã đóng</v>
          </cell>
          <cell r="AJ222" t="str">
            <v>TP HCM</v>
          </cell>
          <cell r="BX222" t="str">
            <v>AON</v>
          </cell>
        </row>
        <row r="223">
          <cell r="A223" t="str">
            <v>ON</v>
          </cell>
          <cell r="B223" t="str">
            <v>Trong 24h</v>
          </cell>
          <cell r="D223" t="str">
            <v>Khiếu nại về dịch vụ FTTH</v>
          </cell>
          <cell r="W223" t="str">
            <v>Đã đóng</v>
          </cell>
          <cell r="AJ223" t="str">
            <v>Hà Nội 1</v>
          </cell>
          <cell r="BX223" t="str">
            <v>AON</v>
          </cell>
        </row>
        <row r="224">
          <cell r="A224" t="str">
            <v>ON</v>
          </cell>
          <cell r="B224" t="str">
            <v>Trong 24h</v>
          </cell>
          <cell r="D224" t="str">
            <v>Khiếu nại về dịch vụ FTTH</v>
          </cell>
          <cell r="W224" t="str">
            <v>Đã đóng</v>
          </cell>
          <cell r="AJ224" t="str">
            <v>TP HCM</v>
          </cell>
          <cell r="BX224" t="str">
            <v>AON</v>
          </cell>
        </row>
        <row r="225">
          <cell r="A225" t="str">
            <v>ON</v>
          </cell>
          <cell r="B225" t="str">
            <v>Trong 24h</v>
          </cell>
          <cell r="D225" t="str">
            <v>Khiếu nại về dịch vụ FTTH</v>
          </cell>
          <cell r="W225" t="str">
            <v>Đã đóng</v>
          </cell>
          <cell r="AJ225" t="str">
            <v>An Giang</v>
          </cell>
          <cell r="BX225" t="str">
            <v>AON</v>
          </cell>
        </row>
        <row r="226">
          <cell r="A226" t="str">
            <v>ON</v>
          </cell>
          <cell r="B226" t="str">
            <v>Trong 24h</v>
          </cell>
          <cell r="D226" t="str">
            <v>Khiếu nại về dịch vụ FTTH</v>
          </cell>
          <cell r="W226" t="str">
            <v>Đã đóng</v>
          </cell>
          <cell r="AJ226" t="str">
            <v>Bình Dương</v>
          </cell>
          <cell r="BX226" t="str">
            <v>AON</v>
          </cell>
        </row>
        <row r="227">
          <cell r="A227" t="str">
            <v>ON</v>
          </cell>
          <cell r="B227" t="str">
            <v>Trong 24h</v>
          </cell>
          <cell r="D227" t="str">
            <v>Khiếu nại về dịch vụ FTTH</v>
          </cell>
          <cell r="W227" t="str">
            <v>Đã đóng</v>
          </cell>
          <cell r="AJ227" t="str">
            <v>Đồng Tháp</v>
          </cell>
          <cell r="BX227" t="str">
            <v>AON</v>
          </cell>
        </row>
        <row r="228">
          <cell r="A228" t="str">
            <v>ON</v>
          </cell>
          <cell r="B228" t="str">
            <v>Trong 24h</v>
          </cell>
          <cell r="D228" t="str">
            <v>Khiếu nại về dịch vụ FTTH</v>
          </cell>
          <cell r="W228" t="str">
            <v>Đã đóng</v>
          </cell>
          <cell r="AJ228" t="str">
            <v>Quảng Ninh</v>
          </cell>
          <cell r="BX228" t="str">
            <v>AON</v>
          </cell>
        </row>
        <row r="229">
          <cell r="A229" t="str">
            <v>ON</v>
          </cell>
          <cell r="B229" t="str">
            <v>Trong 24h</v>
          </cell>
          <cell r="D229" t="str">
            <v>Khiếu nại về dịch vụ NextTV</v>
          </cell>
          <cell r="W229" t="str">
            <v>Đã đóng</v>
          </cell>
          <cell r="AJ229" t="str">
            <v>TP HCM</v>
          </cell>
          <cell r="BX229" t="str">
            <v>AON</v>
          </cell>
        </row>
        <row r="230">
          <cell r="A230" t="str">
            <v>ON</v>
          </cell>
          <cell r="B230" t="str">
            <v>Trong 24h</v>
          </cell>
          <cell r="D230" t="str">
            <v>Khiếu nại về dịch vụ FTTH</v>
          </cell>
          <cell r="W230" t="str">
            <v>Đã đóng</v>
          </cell>
          <cell r="AJ230" t="str">
            <v>Hà Nội 2</v>
          </cell>
          <cell r="BX230" t="str">
            <v>AON</v>
          </cell>
        </row>
        <row r="231">
          <cell r="A231" t="str">
            <v>ON</v>
          </cell>
          <cell r="B231" t="str">
            <v>Trong 24h</v>
          </cell>
          <cell r="D231" t="str">
            <v>Khiếu nại về dịch vụ FTTH</v>
          </cell>
          <cell r="W231" t="str">
            <v>Đã đóng</v>
          </cell>
          <cell r="AJ231" t="str">
            <v>TP HCM</v>
          </cell>
          <cell r="BX231" t="str">
            <v>AON</v>
          </cell>
        </row>
        <row r="232">
          <cell r="A232" t="str">
            <v>ON</v>
          </cell>
          <cell r="B232" t="str">
            <v>Trong 24h</v>
          </cell>
          <cell r="D232" t="str">
            <v>Khiếu nại về dịch vụ FTTH</v>
          </cell>
          <cell r="W232" t="str">
            <v>Đã đóng</v>
          </cell>
          <cell r="AJ232" t="str">
            <v xml:space="preserve">Đồng Nai </v>
          </cell>
          <cell r="BX232" t="str">
            <v>AON</v>
          </cell>
        </row>
        <row r="233">
          <cell r="A233" t="str">
            <v>ON</v>
          </cell>
          <cell r="B233" t="str">
            <v>Trong 24h</v>
          </cell>
          <cell r="D233" t="str">
            <v>Khiếu nại về dịch vụ FTTH</v>
          </cell>
          <cell r="W233" t="str">
            <v>Đã đóng</v>
          </cell>
          <cell r="AJ233" t="str">
            <v>Hà Nội 2</v>
          </cell>
          <cell r="BX233" t="str">
            <v>AON</v>
          </cell>
        </row>
        <row r="234">
          <cell r="A234" t="str">
            <v>ON</v>
          </cell>
          <cell r="B234" t="str">
            <v>Trong 24h</v>
          </cell>
          <cell r="D234" t="str">
            <v>Khiếu nại về dịch vụ FTTH</v>
          </cell>
          <cell r="W234" t="str">
            <v>Đã đóng</v>
          </cell>
          <cell r="AJ234" t="str">
            <v>TP HCM</v>
          </cell>
          <cell r="BX234" t="str">
            <v>AON</v>
          </cell>
        </row>
        <row r="235">
          <cell r="A235" t="str">
            <v>ON</v>
          </cell>
          <cell r="B235" t="str">
            <v>Trong 24h</v>
          </cell>
          <cell r="D235" t="str">
            <v>Khiếu nại về dịch vụ FTTH</v>
          </cell>
          <cell r="W235" t="str">
            <v>Đã đóng</v>
          </cell>
          <cell r="AJ235" t="str">
            <v>TP HCM</v>
          </cell>
          <cell r="BX235" t="str">
            <v>AON</v>
          </cell>
        </row>
        <row r="236">
          <cell r="A236" t="str">
            <v>ON</v>
          </cell>
          <cell r="B236" t="str">
            <v>Trong 24h</v>
          </cell>
          <cell r="D236" t="str">
            <v>Khiếu nại về dịch vụ FTTH</v>
          </cell>
          <cell r="W236" t="str">
            <v>Đã đóng</v>
          </cell>
          <cell r="AJ236" t="str">
            <v>TP HCM</v>
          </cell>
          <cell r="BX236" t="str">
            <v>AON</v>
          </cell>
        </row>
        <row r="237">
          <cell r="A237" t="str">
            <v>ON</v>
          </cell>
          <cell r="B237" t="str">
            <v>Trong 24h</v>
          </cell>
          <cell r="D237" t="str">
            <v>Khiếu nại về dịch vụ FTTH</v>
          </cell>
          <cell r="W237" t="str">
            <v>Đã đóng</v>
          </cell>
          <cell r="AJ237" t="str">
            <v>TP HCM</v>
          </cell>
          <cell r="BX237" t="str">
            <v>AON</v>
          </cell>
        </row>
        <row r="238">
          <cell r="A238" t="str">
            <v>ON</v>
          </cell>
          <cell r="B238" t="str">
            <v>Trong 24h</v>
          </cell>
          <cell r="D238" t="str">
            <v>Khiếu nại về dịch vụ FTTH</v>
          </cell>
          <cell r="W238" t="str">
            <v>Đang xử lý</v>
          </cell>
          <cell r="AJ238" t="str">
            <v>Bình Dương</v>
          </cell>
          <cell r="BX238" t="str">
            <v>AON</v>
          </cell>
        </row>
        <row r="239">
          <cell r="A239" t="str">
            <v>ON</v>
          </cell>
          <cell r="B239" t="str">
            <v>Trong 24h</v>
          </cell>
          <cell r="D239" t="str">
            <v>Khiếu nại về dịch vụ FTTH</v>
          </cell>
          <cell r="W239" t="str">
            <v>Đã đóng</v>
          </cell>
          <cell r="AJ239" t="str">
            <v>Hà Nội 1</v>
          </cell>
          <cell r="BX239" t="str">
            <v>AON</v>
          </cell>
        </row>
        <row r="240">
          <cell r="A240" t="str">
            <v>ON</v>
          </cell>
          <cell r="B240" t="str">
            <v>Trong 24h</v>
          </cell>
          <cell r="D240" t="str">
            <v>Khiếu nại về dịch vụ FTTH</v>
          </cell>
          <cell r="W240" t="str">
            <v>Đã đóng</v>
          </cell>
          <cell r="AJ240" t="str">
            <v>Bình Phước</v>
          </cell>
          <cell r="BX240" t="str">
            <v>AON</v>
          </cell>
        </row>
        <row r="241">
          <cell r="A241" t="str">
            <v>ON</v>
          </cell>
          <cell r="B241" t="str">
            <v>Trong 24h</v>
          </cell>
          <cell r="D241" t="str">
            <v>Khiếu nại về dịch vụ FTTH</v>
          </cell>
          <cell r="W241" t="str">
            <v>Đang xử lý</v>
          </cell>
          <cell r="AJ241" t="str">
            <v>Đắc Nông</v>
          </cell>
          <cell r="BX241" t="str">
            <v>AON</v>
          </cell>
        </row>
        <row r="242">
          <cell r="A242" t="str">
            <v>ON</v>
          </cell>
          <cell r="B242" t="str">
            <v>Trong 24h</v>
          </cell>
          <cell r="D242" t="str">
            <v>Khiếu nại về dịch vụ FTTH</v>
          </cell>
          <cell r="W242" t="str">
            <v>Đã đóng</v>
          </cell>
          <cell r="AJ242" t="str">
            <v xml:space="preserve">Đà Nẵng </v>
          </cell>
          <cell r="BX242" t="str">
            <v>AON</v>
          </cell>
        </row>
        <row r="243">
          <cell r="A243" t="str">
            <v>ON</v>
          </cell>
          <cell r="B243" t="str">
            <v>Trong 24h</v>
          </cell>
          <cell r="D243" t="str">
            <v>Khiếu nại về dịch vụ FTTH</v>
          </cell>
          <cell r="W243" t="str">
            <v>Đã đóng</v>
          </cell>
          <cell r="AJ243" t="str">
            <v>Quảng Ninh</v>
          </cell>
          <cell r="BX243" t="str">
            <v>AON</v>
          </cell>
        </row>
        <row r="244">
          <cell r="A244" t="str">
            <v>ON</v>
          </cell>
          <cell r="B244" t="str">
            <v>Trong 24h</v>
          </cell>
          <cell r="D244" t="str">
            <v>Khiếu nại về dịch vụ FTTH</v>
          </cell>
          <cell r="W244" t="str">
            <v>Đang xử lý</v>
          </cell>
          <cell r="AJ244" t="str">
            <v xml:space="preserve">Đắc Lắk </v>
          </cell>
          <cell r="BX244" t="str">
            <v>AON</v>
          </cell>
        </row>
        <row r="245">
          <cell r="A245" t="str">
            <v>ON</v>
          </cell>
          <cell r="B245" t="str">
            <v>Trong 24h</v>
          </cell>
          <cell r="D245" t="str">
            <v>Khiếu nại về dịch vụ FTTH</v>
          </cell>
          <cell r="W245" t="str">
            <v>Đã đóng</v>
          </cell>
          <cell r="AJ245" t="str">
            <v>TP HCM</v>
          </cell>
          <cell r="BX245" t="str">
            <v>AON</v>
          </cell>
        </row>
        <row r="246">
          <cell r="A246" t="str">
            <v>ON</v>
          </cell>
          <cell r="B246" t="str">
            <v>Trong 24h</v>
          </cell>
          <cell r="D246" t="str">
            <v>Khiếu nại về dịch vụ FTTH</v>
          </cell>
          <cell r="W246" t="str">
            <v>Đã đóng</v>
          </cell>
          <cell r="AJ246" t="str">
            <v>Long An</v>
          </cell>
          <cell r="BX246" t="str">
            <v>AON</v>
          </cell>
        </row>
        <row r="247">
          <cell r="A247" t="str">
            <v>ON</v>
          </cell>
          <cell r="B247" t="str">
            <v>Trong 24h</v>
          </cell>
          <cell r="D247" t="str">
            <v>Khiếu nại về dịch vụ FTTH</v>
          </cell>
          <cell r="W247" t="str">
            <v>Đã đóng</v>
          </cell>
          <cell r="AJ247" t="str">
            <v>TP HCM</v>
          </cell>
          <cell r="BX247" t="str">
            <v>AON</v>
          </cell>
        </row>
        <row r="248">
          <cell r="A248" t="str">
            <v>ON</v>
          </cell>
          <cell r="B248" t="str">
            <v>Trong 24h</v>
          </cell>
          <cell r="D248" t="str">
            <v>Khiếu nại về dịch vụ FTTH</v>
          </cell>
          <cell r="W248" t="str">
            <v>Đã đóng</v>
          </cell>
          <cell r="AJ248" t="str">
            <v>Sóc Trăng</v>
          </cell>
          <cell r="BX248" t="str">
            <v>AON</v>
          </cell>
        </row>
        <row r="249">
          <cell r="A249" t="str">
            <v>ON</v>
          </cell>
          <cell r="B249" t="str">
            <v>Trong 24h</v>
          </cell>
          <cell r="D249" t="str">
            <v>Khiếu nại về dịch vụ FTTH</v>
          </cell>
          <cell r="W249" t="str">
            <v>Đã đóng</v>
          </cell>
          <cell r="AJ249" t="str">
            <v>TP HCM</v>
          </cell>
          <cell r="BX249" t="str">
            <v>AON</v>
          </cell>
        </row>
        <row r="250">
          <cell r="A250" t="str">
            <v>ON</v>
          </cell>
          <cell r="B250" t="str">
            <v>Trong 24h</v>
          </cell>
          <cell r="D250" t="str">
            <v>Khiếu nại về dịch vụ FTTH</v>
          </cell>
          <cell r="W250" t="str">
            <v>Đã đóng</v>
          </cell>
          <cell r="AJ250" t="str">
            <v>Hậu Giang</v>
          </cell>
          <cell r="BX250" t="str">
            <v>AON</v>
          </cell>
        </row>
        <row r="251">
          <cell r="A251" t="str">
            <v>ON</v>
          </cell>
          <cell r="B251" t="str">
            <v>Trong 24h</v>
          </cell>
          <cell r="D251" t="str">
            <v>Khiếu nại về dịch vụ FTTH</v>
          </cell>
          <cell r="W251" t="str">
            <v>Đang xử lý</v>
          </cell>
          <cell r="AJ251" t="str">
            <v>Thanh Hoá</v>
          </cell>
          <cell r="BX251" t="str">
            <v>AON</v>
          </cell>
        </row>
        <row r="252">
          <cell r="A252" t="str">
            <v>ON</v>
          </cell>
          <cell r="B252" t="str">
            <v>Trong 24h</v>
          </cell>
          <cell r="D252" t="str">
            <v>Khiếu nại về dịch vụ FTTH</v>
          </cell>
          <cell r="W252" t="str">
            <v>Đã đóng</v>
          </cell>
          <cell r="AJ252" t="str">
            <v>TP HCM</v>
          </cell>
          <cell r="BX252" t="str">
            <v>AON</v>
          </cell>
        </row>
        <row r="253">
          <cell r="A253" t="str">
            <v>ON</v>
          </cell>
          <cell r="B253" t="str">
            <v>Trong 24h</v>
          </cell>
          <cell r="D253" t="str">
            <v>Khiếu nại về dịch vụ FTTH</v>
          </cell>
          <cell r="W253" t="str">
            <v>Đã đóng</v>
          </cell>
          <cell r="AJ253" t="str">
            <v>Hà Nội 2</v>
          </cell>
          <cell r="BX253" t="str">
            <v>AON</v>
          </cell>
        </row>
        <row r="254">
          <cell r="A254" t="str">
            <v>ON</v>
          </cell>
          <cell r="B254" t="str">
            <v>Trong 24h</v>
          </cell>
          <cell r="D254" t="str">
            <v>Khiếu nại về dịch vụ FTTH</v>
          </cell>
          <cell r="W254" t="str">
            <v>Đã đóng</v>
          </cell>
          <cell r="AJ254" t="str">
            <v>Quảng Ninh</v>
          </cell>
          <cell r="BX254" t="str">
            <v>AON</v>
          </cell>
        </row>
        <row r="255">
          <cell r="A255" t="str">
            <v>ON</v>
          </cell>
          <cell r="B255" t="str">
            <v>Trong 24h</v>
          </cell>
          <cell r="D255" t="str">
            <v>Khiếu nại về dịch vụ FTTH</v>
          </cell>
          <cell r="W255" t="str">
            <v>Đã đóng</v>
          </cell>
          <cell r="AJ255" t="str">
            <v>TP HCM</v>
          </cell>
          <cell r="BX255" t="str">
            <v>AON</v>
          </cell>
        </row>
        <row r="256">
          <cell r="A256" t="str">
            <v>ON</v>
          </cell>
          <cell r="B256" t="str">
            <v>Trong 24h</v>
          </cell>
          <cell r="D256" t="str">
            <v>Khiếu nại về dịch vụ NextTV</v>
          </cell>
          <cell r="W256" t="str">
            <v>Đang xử lý</v>
          </cell>
          <cell r="AJ256" t="str">
            <v>TP HCM</v>
          </cell>
          <cell r="BX256" t="str">
            <v>AON</v>
          </cell>
        </row>
        <row r="257">
          <cell r="A257" t="str">
            <v>ON</v>
          </cell>
          <cell r="B257" t="str">
            <v>Trong 24h</v>
          </cell>
          <cell r="D257" t="str">
            <v>Khiếu nại về dịch vụ FTTH</v>
          </cell>
          <cell r="W257" t="str">
            <v>Đang xử lý</v>
          </cell>
          <cell r="AJ257" t="str">
            <v>Bình Thuận</v>
          </cell>
          <cell r="BX257" t="str">
            <v>AON</v>
          </cell>
        </row>
        <row r="258">
          <cell r="A258" t="str">
            <v>ON</v>
          </cell>
          <cell r="B258" t="str">
            <v>Trong 24h</v>
          </cell>
          <cell r="D258" t="str">
            <v>Khiếu nại về dịch vụ FTTH</v>
          </cell>
          <cell r="W258" t="str">
            <v>Đang xử lý</v>
          </cell>
          <cell r="AJ258" t="str">
            <v>Bình Định</v>
          </cell>
          <cell r="BX258" t="str">
            <v>AON</v>
          </cell>
        </row>
        <row r="259">
          <cell r="A259" t="str">
            <v>ON</v>
          </cell>
          <cell r="B259" t="str">
            <v>Trong 24h</v>
          </cell>
          <cell r="D259" t="str">
            <v>Khiếu nại về dịch vụ FTTH</v>
          </cell>
          <cell r="W259" t="str">
            <v>Đã đóng</v>
          </cell>
          <cell r="AJ259" t="str">
            <v>TP HCM</v>
          </cell>
          <cell r="BX259" t="str">
            <v>AON</v>
          </cell>
        </row>
        <row r="260">
          <cell r="A260" t="str">
            <v>ON</v>
          </cell>
          <cell r="B260" t="str">
            <v>Trong 24h</v>
          </cell>
          <cell r="D260" t="str">
            <v>Khiếu nại về dịch vụ NextTV</v>
          </cell>
          <cell r="W260" t="str">
            <v>Đã đóng</v>
          </cell>
          <cell r="AJ260" t="str">
            <v>Tiền Giang</v>
          </cell>
          <cell r="BX260" t="str">
            <v>AON</v>
          </cell>
        </row>
        <row r="261">
          <cell r="A261" t="str">
            <v>ON</v>
          </cell>
          <cell r="B261" t="str">
            <v>Trong 24h</v>
          </cell>
          <cell r="D261" t="str">
            <v>Khiếu nại về dịch vụ FTTH</v>
          </cell>
          <cell r="W261" t="str">
            <v>Đã đóng</v>
          </cell>
          <cell r="AJ261" t="str">
            <v>Lào Cai</v>
          </cell>
          <cell r="BX261" t="str">
            <v>AON</v>
          </cell>
        </row>
        <row r="262">
          <cell r="A262" t="str">
            <v>ON</v>
          </cell>
          <cell r="B262" t="str">
            <v>Trong 24h</v>
          </cell>
          <cell r="D262" t="str">
            <v>Khiếu nại về dịch vụ FTTH</v>
          </cell>
          <cell r="W262" t="str">
            <v>Đã đóng</v>
          </cell>
          <cell r="AJ262" t="str">
            <v>Bắc Ninh</v>
          </cell>
          <cell r="BX262" t="str">
            <v>AON</v>
          </cell>
        </row>
        <row r="263">
          <cell r="A263" t="str">
            <v>ON</v>
          </cell>
          <cell r="B263" t="str">
            <v>Trong 24h</v>
          </cell>
          <cell r="D263" t="str">
            <v>Khiếu nại về dịch vụ FTTH</v>
          </cell>
          <cell r="W263" t="str">
            <v>Đã đóng</v>
          </cell>
          <cell r="AJ263" t="str">
            <v>An Giang</v>
          </cell>
          <cell r="BX263" t="str">
            <v>AON</v>
          </cell>
        </row>
        <row r="264">
          <cell r="A264" t="str">
            <v>ON</v>
          </cell>
          <cell r="B264" t="str">
            <v>Trong 24h</v>
          </cell>
          <cell r="D264" t="str">
            <v>Khiếu nại về dịch vụ FTTH</v>
          </cell>
          <cell r="W264" t="str">
            <v>Đã đóng</v>
          </cell>
          <cell r="AJ264" t="str">
            <v>Sơn La</v>
          </cell>
          <cell r="BX264" t="str">
            <v>AON</v>
          </cell>
        </row>
        <row r="265">
          <cell r="A265" t="str">
            <v>ON</v>
          </cell>
          <cell r="B265" t="str">
            <v>Trong 24h</v>
          </cell>
          <cell r="D265" t="str">
            <v>Khiếu nại về dịch vụ FTTH</v>
          </cell>
          <cell r="W265" t="str">
            <v>Đã đóng</v>
          </cell>
          <cell r="AJ265" t="str">
            <v>TP HCM</v>
          </cell>
          <cell r="BX265" t="str">
            <v>AON</v>
          </cell>
        </row>
        <row r="266">
          <cell r="A266" t="str">
            <v>ON</v>
          </cell>
          <cell r="B266" t="str">
            <v>Trong 24h</v>
          </cell>
          <cell r="D266" t="str">
            <v>Khiếu nại về dịch vụ FTTH</v>
          </cell>
          <cell r="W266" t="str">
            <v>Đã đóng</v>
          </cell>
          <cell r="AJ266" t="str">
            <v>Hậu Giang</v>
          </cell>
          <cell r="BX266" t="str">
            <v>AON</v>
          </cell>
        </row>
        <row r="267">
          <cell r="A267" t="str">
            <v>ON</v>
          </cell>
          <cell r="B267" t="str">
            <v>Trong 24h</v>
          </cell>
          <cell r="D267" t="str">
            <v>Khiếu nại về dịch vụ FTTH</v>
          </cell>
          <cell r="W267" t="str">
            <v>Đã đóng</v>
          </cell>
          <cell r="AJ267" t="str">
            <v>TP HCM</v>
          </cell>
          <cell r="BX267" t="str">
            <v>AON</v>
          </cell>
        </row>
        <row r="268">
          <cell r="A268" t="str">
            <v>ON</v>
          </cell>
          <cell r="B268" t="str">
            <v>Trong 24h</v>
          </cell>
          <cell r="D268" t="str">
            <v>Khiếu nại về dịch vụ FTTH</v>
          </cell>
          <cell r="W268" t="str">
            <v>Đã đóng</v>
          </cell>
          <cell r="AJ268" t="str">
            <v>Sóc Trăng</v>
          </cell>
          <cell r="BX268" t="str">
            <v>AON</v>
          </cell>
        </row>
        <row r="269">
          <cell r="A269" t="str">
            <v>ON</v>
          </cell>
          <cell r="B269" t="str">
            <v>Trong 24h</v>
          </cell>
          <cell r="D269" t="str">
            <v>Khiếu nại về dịch vụ FTTH</v>
          </cell>
          <cell r="W269" t="str">
            <v>Đang xử lý</v>
          </cell>
          <cell r="AJ269" t="str">
            <v>Cà Mau</v>
          </cell>
          <cell r="BX269" t="str">
            <v>AON</v>
          </cell>
        </row>
        <row r="270">
          <cell r="A270" t="str">
            <v>ON</v>
          </cell>
          <cell r="B270" t="str">
            <v>Trong 24h</v>
          </cell>
          <cell r="D270" t="str">
            <v>Khiếu nại về dịch vụ NextTV</v>
          </cell>
          <cell r="W270" t="str">
            <v>Đang xử lý</v>
          </cell>
          <cell r="AJ270" t="str">
            <v>Thanh Hoá</v>
          </cell>
          <cell r="BX270" t="str">
            <v>AON</v>
          </cell>
        </row>
        <row r="271">
          <cell r="A271" t="str">
            <v>ON</v>
          </cell>
          <cell r="B271" t="str">
            <v>Trong 24h</v>
          </cell>
          <cell r="D271" t="str">
            <v>Khiếu nại về dịch vụ FTTH</v>
          </cell>
          <cell r="W271" t="str">
            <v>Đã đóng</v>
          </cell>
          <cell r="AJ271" t="str">
            <v>Quảng Ninh</v>
          </cell>
          <cell r="BX271" t="str">
            <v>AON</v>
          </cell>
        </row>
        <row r="272">
          <cell r="A272" t="str">
            <v>ON</v>
          </cell>
          <cell r="B272" t="str">
            <v>Trong 24h</v>
          </cell>
          <cell r="D272" t="str">
            <v>Khiếu nại về dịch vụ FTTH</v>
          </cell>
          <cell r="W272" t="str">
            <v>Đã đóng</v>
          </cell>
          <cell r="AJ272" t="str">
            <v>Quảng Trị</v>
          </cell>
          <cell r="BX272" t="str">
            <v>AON</v>
          </cell>
        </row>
        <row r="273">
          <cell r="A273" t="str">
            <v>ON</v>
          </cell>
          <cell r="B273" t="str">
            <v>Trong 24h</v>
          </cell>
          <cell r="D273" t="str">
            <v>Khiếu nại về dịch vụ FTTH</v>
          </cell>
          <cell r="W273" t="str">
            <v>Đang xử lý</v>
          </cell>
          <cell r="AJ273" t="str">
            <v>TP HCM</v>
          </cell>
          <cell r="BX273" t="str">
            <v>AON</v>
          </cell>
        </row>
        <row r="274">
          <cell r="A274" t="str">
            <v>ON</v>
          </cell>
          <cell r="B274" t="str">
            <v>Trong 24h</v>
          </cell>
          <cell r="D274" t="str">
            <v>Khiếu nại về dịch vụ FTTH</v>
          </cell>
          <cell r="W274" t="str">
            <v>Đã đóng</v>
          </cell>
          <cell r="AJ274" t="str">
            <v>An Giang</v>
          </cell>
          <cell r="BX274" t="str">
            <v>AON</v>
          </cell>
        </row>
        <row r="275">
          <cell r="A275" t="str">
            <v>ON</v>
          </cell>
          <cell r="B275" t="str">
            <v>Trong 24h</v>
          </cell>
          <cell r="D275" t="str">
            <v>Khiếu nại về dịch vụ FTTH</v>
          </cell>
          <cell r="W275" t="str">
            <v>Đã đóng</v>
          </cell>
          <cell r="AJ275" t="str">
            <v>Nam Định</v>
          </cell>
          <cell r="BX275" t="str">
            <v>AON</v>
          </cell>
        </row>
        <row r="276">
          <cell r="A276" t="str">
            <v>ON</v>
          </cell>
          <cell r="B276" t="str">
            <v>Trong 24h</v>
          </cell>
          <cell r="D276" t="str">
            <v>Khiếu nại về dịch vụ FTTH</v>
          </cell>
          <cell r="W276" t="str">
            <v>Đã đóng</v>
          </cell>
          <cell r="AJ276" t="str">
            <v>Bình Phước</v>
          </cell>
          <cell r="BX276" t="str">
            <v>AON</v>
          </cell>
        </row>
        <row r="277">
          <cell r="A277" t="str">
            <v>ON</v>
          </cell>
          <cell r="B277" t="str">
            <v>Trong 24h</v>
          </cell>
          <cell r="D277" t="str">
            <v>Khiếu nại về dịch vụ FTTH</v>
          </cell>
          <cell r="W277" t="str">
            <v>Đã đóng</v>
          </cell>
          <cell r="AJ277" t="str">
            <v>Hưng Yên</v>
          </cell>
          <cell r="BX277" t="str">
            <v>AON</v>
          </cell>
        </row>
        <row r="278">
          <cell r="A278" t="str">
            <v>ON</v>
          </cell>
          <cell r="B278" t="str">
            <v>Trong 24h</v>
          </cell>
          <cell r="D278" t="str">
            <v>Khiếu nại về dịch vụ FTTH</v>
          </cell>
          <cell r="W278" t="str">
            <v>Đã đóng</v>
          </cell>
          <cell r="AJ278" t="str">
            <v>Gia Lai</v>
          </cell>
          <cell r="BX278" t="str">
            <v>AON</v>
          </cell>
        </row>
        <row r="279">
          <cell r="A279" t="str">
            <v>ON</v>
          </cell>
          <cell r="B279" t="str">
            <v>Trong 24h</v>
          </cell>
          <cell r="D279" t="str">
            <v>Khiếu nại về dịch vụ FTTH</v>
          </cell>
          <cell r="W279" t="str">
            <v>Đang xử lý</v>
          </cell>
          <cell r="AJ279" t="str">
            <v>Bắc Ninh</v>
          </cell>
          <cell r="BX279" t="str">
            <v>AON</v>
          </cell>
        </row>
        <row r="280">
          <cell r="A280" t="str">
            <v>ON</v>
          </cell>
          <cell r="B280" t="str">
            <v>Trong 24h</v>
          </cell>
          <cell r="D280" t="str">
            <v>Khiếu nại về dịch vụ FTTH</v>
          </cell>
          <cell r="W280" t="str">
            <v>Đã đóng</v>
          </cell>
          <cell r="AJ280" t="str">
            <v>Hậu Giang</v>
          </cell>
          <cell r="BX280" t="str">
            <v>AON</v>
          </cell>
        </row>
        <row r="281">
          <cell r="A281" t="str">
            <v>ON</v>
          </cell>
          <cell r="B281" t="str">
            <v>Trong 24h</v>
          </cell>
          <cell r="D281" t="str">
            <v>Khiếu nại về dịch vụ FTTH</v>
          </cell>
          <cell r="W281" t="str">
            <v>Đã đóng</v>
          </cell>
          <cell r="AJ281" t="str">
            <v>Hà Nội 1</v>
          </cell>
          <cell r="BX281" t="str">
            <v>AON</v>
          </cell>
        </row>
        <row r="282">
          <cell r="A282" t="str">
            <v>ON</v>
          </cell>
          <cell r="B282" t="str">
            <v>Trong 24h</v>
          </cell>
          <cell r="D282" t="str">
            <v>Khiếu nại về dịch vụ FTTH</v>
          </cell>
          <cell r="W282" t="str">
            <v>Đã đóng</v>
          </cell>
          <cell r="AJ282" t="str">
            <v>Gia Lai</v>
          </cell>
          <cell r="BX282" t="str">
            <v>AON</v>
          </cell>
        </row>
        <row r="283">
          <cell r="A283" t="str">
            <v>ON</v>
          </cell>
          <cell r="B283" t="str">
            <v>Trong 24h</v>
          </cell>
          <cell r="D283" t="str">
            <v>Khiếu nại về dịch vụ FTTH</v>
          </cell>
          <cell r="W283" t="str">
            <v>Đã đóng</v>
          </cell>
          <cell r="AJ283" t="str">
            <v xml:space="preserve">Đồng Nai </v>
          </cell>
          <cell r="BX283" t="str">
            <v>GPON</v>
          </cell>
        </row>
        <row r="284">
          <cell r="A284" t="str">
            <v>ON</v>
          </cell>
          <cell r="B284" t="str">
            <v>Trong 24h</v>
          </cell>
          <cell r="D284" t="str">
            <v>Khiếu nại về dịch vụ NextTV</v>
          </cell>
          <cell r="W284" t="str">
            <v>Đã đóng</v>
          </cell>
          <cell r="AJ284" t="str">
            <v>Quảng Trị</v>
          </cell>
          <cell r="BX284" t="str">
            <v>AON</v>
          </cell>
        </row>
        <row r="285">
          <cell r="A285" t="str">
            <v>ON</v>
          </cell>
          <cell r="B285" t="str">
            <v>Trong 24h</v>
          </cell>
          <cell r="D285" t="str">
            <v>Khiếu nại về dịch vụ FTTH</v>
          </cell>
          <cell r="W285" t="str">
            <v>Đã đóng</v>
          </cell>
          <cell r="AJ285" t="str">
            <v>Hà Nội 1</v>
          </cell>
          <cell r="BX285" t="str">
            <v>AON</v>
          </cell>
        </row>
        <row r="286">
          <cell r="A286" t="str">
            <v>ON</v>
          </cell>
          <cell r="B286" t="str">
            <v>Trong 24h</v>
          </cell>
          <cell r="D286" t="str">
            <v>Khiếu nại về dịch vụ FTTH</v>
          </cell>
          <cell r="W286" t="str">
            <v>Đã đóng</v>
          </cell>
          <cell r="AJ286" t="str">
            <v>Hậu Giang</v>
          </cell>
          <cell r="BX286" t="str">
            <v>AON</v>
          </cell>
        </row>
        <row r="287">
          <cell r="A287" t="str">
            <v>ON</v>
          </cell>
          <cell r="B287" t="str">
            <v>Trong 24h</v>
          </cell>
          <cell r="D287" t="str">
            <v>Khiếu nại về dịch vụ FTTH</v>
          </cell>
          <cell r="W287" t="str">
            <v>Đã đóng</v>
          </cell>
          <cell r="AJ287" t="str">
            <v>Gia Lai</v>
          </cell>
          <cell r="BX287" t="str">
            <v>AON</v>
          </cell>
        </row>
        <row r="288">
          <cell r="A288" t="str">
            <v>ON</v>
          </cell>
          <cell r="B288" t="str">
            <v>Trong 24h</v>
          </cell>
          <cell r="D288" t="str">
            <v>Khiếu nại về dịch vụ FTTH</v>
          </cell>
          <cell r="W288" t="str">
            <v>Đã đóng</v>
          </cell>
          <cell r="AJ288" t="str">
            <v>TP HCM</v>
          </cell>
          <cell r="BX288" t="str">
            <v>AON</v>
          </cell>
        </row>
        <row r="289">
          <cell r="A289" t="str">
            <v>ON</v>
          </cell>
          <cell r="B289" t="str">
            <v>Trong 24h</v>
          </cell>
          <cell r="D289" t="str">
            <v>Khiếu nại về dịch vụ FTTH</v>
          </cell>
          <cell r="W289" t="str">
            <v>Đã đóng</v>
          </cell>
          <cell r="AJ289" t="str">
            <v>Hải Phòng</v>
          </cell>
          <cell r="BX289" t="str">
            <v>AON</v>
          </cell>
        </row>
        <row r="290">
          <cell r="A290" t="str">
            <v>ON</v>
          </cell>
          <cell r="B290" t="str">
            <v>Trong 24h</v>
          </cell>
          <cell r="D290" t="str">
            <v>Khiếu nại về dịch vụ FTTH</v>
          </cell>
          <cell r="W290" t="str">
            <v>Đã đóng</v>
          </cell>
          <cell r="AJ290" t="str">
            <v>TP HCM</v>
          </cell>
          <cell r="BX290" t="str">
            <v>AON</v>
          </cell>
        </row>
        <row r="291">
          <cell r="A291" t="str">
            <v>ON</v>
          </cell>
          <cell r="B291" t="str">
            <v>Trong 24h</v>
          </cell>
          <cell r="D291" t="str">
            <v>Khiếu nại về dịch vụ FTTH</v>
          </cell>
          <cell r="W291" t="str">
            <v>Đã đóng</v>
          </cell>
          <cell r="AJ291" t="str">
            <v>TP HCM</v>
          </cell>
          <cell r="BX291" t="str">
            <v>AON</v>
          </cell>
        </row>
        <row r="292">
          <cell r="A292" t="str">
            <v>ON</v>
          </cell>
          <cell r="B292" t="str">
            <v>Trong 24h</v>
          </cell>
          <cell r="D292" t="str">
            <v>Khiếu nại về dịch vụ FTTH</v>
          </cell>
          <cell r="W292" t="str">
            <v>Đã đóng</v>
          </cell>
          <cell r="AJ292" t="str">
            <v>Ninh Bình</v>
          </cell>
          <cell r="BX292" t="str">
            <v>AON</v>
          </cell>
        </row>
        <row r="293">
          <cell r="A293" t="str">
            <v>ON</v>
          </cell>
          <cell r="B293" t="str">
            <v>Trong 24h</v>
          </cell>
          <cell r="D293" t="str">
            <v>Khiếu nại về dịch vụ FTTH</v>
          </cell>
          <cell r="W293" t="str">
            <v>Đã đóng</v>
          </cell>
          <cell r="AJ293" t="str">
            <v>TP HCM</v>
          </cell>
          <cell r="BX293" t="str">
            <v>AON</v>
          </cell>
        </row>
        <row r="294">
          <cell r="A294" t="str">
            <v>ON</v>
          </cell>
          <cell r="B294" t="str">
            <v>Trong 24h</v>
          </cell>
          <cell r="D294" t="str">
            <v>Khiếu nại về dịch vụ FTTH</v>
          </cell>
          <cell r="W294" t="str">
            <v>Đã đóng</v>
          </cell>
          <cell r="AJ294" t="str">
            <v>Hà Nội 2</v>
          </cell>
          <cell r="BX294" t="str">
            <v>AON</v>
          </cell>
        </row>
        <row r="295">
          <cell r="A295" t="str">
            <v>ON</v>
          </cell>
          <cell r="B295" t="str">
            <v>Trong 24h</v>
          </cell>
          <cell r="D295" t="str">
            <v>Khiếu nại về dịch vụ FTTH</v>
          </cell>
          <cell r="W295" t="str">
            <v>Đang xử lý</v>
          </cell>
          <cell r="AJ295" t="str">
            <v>Quảng Ninh</v>
          </cell>
          <cell r="BX295" t="str">
            <v>AON</v>
          </cell>
        </row>
        <row r="296">
          <cell r="A296" t="str">
            <v>ON</v>
          </cell>
          <cell r="B296" t="str">
            <v>Trong 24h</v>
          </cell>
          <cell r="D296" t="str">
            <v>Khiếu nại về dịch vụ FTTH</v>
          </cell>
          <cell r="W296" t="str">
            <v>Đã đóng</v>
          </cell>
          <cell r="AJ296" t="str">
            <v>TP HCM</v>
          </cell>
          <cell r="BX296" t="str">
            <v>AON</v>
          </cell>
        </row>
        <row r="297">
          <cell r="A297" t="str">
            <v>ON</v>
          </cell>
          <cell r="B297" t="str">
            <v>Trong 24h</v>
          </cell>
          <cell r="D297" t="str">
            <v>Khiếu nại về dịch vụ FTTH</v>
          </cell>
          <cell r="W297" t="str">
            <v>Đã đóng</v>
          </cell>
          <cell r="AJ297" t="str">
            <v>Hà Nội 1</v>
          </cell>
          <cell r="BX297" t="str">
            <v>AON</v>
          </cell>
        </row>
        <row r="298">
          <cell r="A298" t="str">
            <v>ON</v>
          </cell>
          <cell r="B298" t="str">
            <v>Trong 24h</v>
          </cell>
          <cell r="D298" t="str">
            <v>Khiếu nại về dịch vụ FTTH</v>
          </cell>
          <cell r="W298" t="str">
            <v>Đã đóng</v>
          </cell>
          <cell r="AJ298" t="str">
            <v>Bắc Giang</v>
          </cell>
          <cell r="BX298" t="str">
            <v>AON</v>
          </cell>
        </row>
        <row r="299">
          <cell r="A299" t="str">
            <v>ON</v>
          </cell>
          <cell r="B299" t="str">
            <v>Trong 24h</v>
          </cell>
          <cell r="D299" t="str">
            <v>Khiếu nại về dịch vụ FTTH</v>
          </cell>
          <cell r="W299" t="str">
            <v>Đang xử lý</v>
          </cell>
          <cell r="AJ299" t="str">
            <v>Quảng Ninh</v>
          </cell>
          <cell r="BX299" t="str">
            <v>AON</v>
          </cell>
        </row>
        <row r="300">
          <cell r="A300" t="str">
            <v>ON</v>
          </cell>
          <cell r="B300" t="str">
            <v>Trong 24h</v>
          </cell>
          <cell r="D300" t="str">
            <v>Khiếu nại về dịch vụ FTTH</v>
          </cell>
          <cell r="W300" t="str">
            <v>Đã đóng</v>
          </cell>
          <cell r="AJ300" t="str">
            <v>Tuyên Quang</v>
          </cell>
          <cell r="BX300" t="str">
            <v>AON</v>
          </cell>
        </row>
        <row r="301">
          <cell r="A301" t="str">
            <v>ON</v>
          </cell>
          <cell r="B301" t="str">
            <v>Trong 24h</v>
          </cell>
          <cell r="D301" t="str">
            <v>Khiếu nại về dịch vụ FTTH</v>
          </cell>
          <cell r="W301" t="str">
            <v>Đã đóng</v>
          </cell>
          <cell r="AJ301" t="str">
            <v>Sóc Trăng</v>
          </cell>
          <cell r="BX301" t="str">
            <v>AON</v>
          </cell>
        </row>
        <row r="302">
          <cell r="A302" t="str">
            <v>ON</v>
          </cell>
          <cell r="B302" t="str">
            <v>Trong 24h</v>
          </cell>
          <cell r="D302" t="str">
            <v>Khiếu nại về dịch vụ FTTH</v>
          </cell>
          <cell r="W302" t="str">
            <v>Đã đóng</v>
          </cell>
          <cell r="AJ302" t="str">
            <v>Hà Nội 1</v>
          </cell>
          <cell r="BX302" t="str">
            <v>AON</v>
          </cell>
        </row>
        <row r="303">
          <cell r="A303" t="str">
            <v>ON</v>
          </cell>
          <cell r="B303" t="str">
            <v>Trong 24h</v>
          </cell>
          <cell r="D303" t="str">
            <v>Khiếu nại về dịch vụ FTTH</v>
          </cell>
          <cell r="W303" t="str">
            <v>Đã đóng</v>
          </cell>
          <cell r="AJ303" t="str">
            <v xml:space="preserve">Đồng Nai </v>
          </cell>
          <cell r="BX303" t="str">
            <v>AON</v>
          </cell>
        </row>
        <row r="304">
          <cell r="A304" t="str">
            <v>ON</v>
          </cell>
          <cell r="B304" t="str">
            <v>Trong 24h</v>
          </cell>
          <cell r="D304" t="str">
            <v>Khiếu nại về dịch vụ FTTH</v>
          </cell>
          <cell r="W304" t="str">
            <v>Đã đóng</v>
          </cell>
          <cell r="AJ304" t="str">
            <v>Hậu Giang</v>
          </cell>
          <cell r="BX304" t="str">
            <v>AON</v>
          </cell>
        </row>
        <row r="305">
          <cell r="A305" t="str">
            <v>ON</v>
          </cell>
          <cell r="B305" t="str">
            <v>Trong 24h</v>
          </cell>
          <cell r="D305" t="str">
            <v>Khiếu nại về dịch vụ FTTH</v>
          </cell>
          <cell r="W305" t="str">
            <v>Đã đóng</v>
          </cell>
          <cell r="AJ305" t="str">
            <v>Hà Nội 2</v>
          </cell>
          <cell r="BX305" t="str">
            <v>AON</v>
          </cell>
        </row>
        <row r="306">
          <cell r="A306" t="str">
            <v>ON</v>
          </cell>
          <cell r="B306" t="str">
            <v>Trong 24h</v>
          </cell>
          <cell r="D306" t="str">
            <v>Khiếu nại về dịch vụ FTTH</v>
          </cell>
          <cell r="W306" t="str">
            <v>Đã đóng</v>
          </cell>
          <cell r="AJ306" t="str">
            <v>Hà Nội 1</v>
          </cell>
          <cell r="BX306" t="str">
            <v>AON</v>
          </cell>
        </row>
        <row r="307">
          <cell r="A307" t="str">
            <v>ON</v>
          </cell>
          <cell r="B307" t="str">
            <v>Trong 24h</v>
          </cell>
          <cell r="D307" t="str">
            <v>Khiếu nại về dịch vụ FTTH</v>
          </cell>
          <cell r="W307" t="str">
            <v>Đang xử lý</v>
          </cell>
          <cell r="AJ307" t="str">
            <v>An Giang</v>
          </cell>
          <cell r="BX307" t="str">
            <v>AON</v>
          </cell>
        </row>
        <row r="308">
          <cell r="A308" t="str">
            <v>ON</v>
          </cell>
          <cell r="B308" t="str">
            <v>Trong 24h</v>
          </cell>
          <cell r="D308" t="str">
            <v>Khiếu nại về dịch vụ FTTH</v>
          </cell>
          <cell r="W308" t="str">
            <v>Đang xử lý</v>
          </cell>
          <cell r="AJ308" t="str">
            <v>TP HCM</v>
          </cell>
          <cell r="BX308" t="str">
            <v>AON</v>
          </cell>
        </row>
        <row r="309">
          <cell r="A309" t="str">
            <v>ON</v>
          </cell>
          <cell r="B309" t="str">
            <v>Trong 24h</v>
          </cell>
          <cell r="D309" t="str">
            <v>Khiếu nại về dịch vụ FTTH</v>
          </cell>
          <cell r="W309" t="str">
            <v>Đã đóng</v>
          </cell>
          <cell r="AJ309" t="str">
            <v>Ninh Thuận</v>
          </cell>
          <cell r="BX309" t="str">
            <v>AON</v>
          </cell>
        </row>
        <row r="310">
          <cell r="A310" t="str">
            <v>ON</v>
          </cell>
          <cell r="B310" t="str">
            <v>Trong 24h</v>
          </cell>
          <cell r="D310" t="str">
            <v>Khiếu nại về dịch vụ FTTH</v>
          </cell>
          <cell r="W310" t="str">
            <v>Đang xử lý</v>
          </cell>
          <cell r="AJ310" t="str">
            <v>Quảng Ninh</v>
          </cell>
          <cell r="BX310" t="str">
            <v>AON</v>
          </cell>
        </row>
        <row r="311">
          <cell r="A311" t="str">
            <v>ON</v>
          </cell>
          <cell r="B311" t="str">
            <v>Trong 24h</v>
          </cell>
          <cell r="D311" t="str">
            <v>Khiếu nại về dịch vụ FTTH</v>
          </cell>
          <cell r="W311" t="str">
            <v>Đã đóng</v>
          </cell>
          <cell r="AJ311" t="str">
            <v>Bình Dương</v>
          </cell>
          <cell r="BX311" t="str">
            <v>AON</v>
          </cell>
        </row>
        <row r="312">
          <cell r="A312" t="str">
            <v>ON</v>
          </cell>
          <cell r="B312" t="str">
            <v>Trong 24h</v>
          </cell>
          <cell r="D312" t="str">
            <v>Khiếu nại về dịch vụ FTTH</v>
          </cell>
          <cell r="W312" t="str">
            <v>Đã đóng</v>
          </cell>
          <cell r="AJ312" t="str">
            <v>TP HCM</v>
          </cell>
          <cell r="BX312" t="str">
            <v>AON</v>
          </cell>
        </row>
        <row r="313">
          <cell r="A313" t="str">
            <v>ON</v>
          </cell>
          <cell r="B313" t="str">
            <v>Trong 24h</v>
          </cell>
          <cell r="D313" t="str">
            <v>Khiếu nại về dịch vụ FTTH</v>
          </cell>
          <cell r="W313" t="str">
            <v>Đã đóng</v>
          </cell>
          <cell r="AJ313" t="str">
            <v>TP HCM</v>
          </cell>
          <cell r="BX313" t="str">
            <v>AON</v>
          </cell>
        </row>
        <row r="314">
          <cell r="A314" t="str">
            <v>ON</v>
          </cell>
          <cell r="B314" t="str">
            <v>Trong 24h</v>
          </cell>
          <cell r="D314" t="str">
            <v>Khiếu nại về dịch vụ FTTH</v>
          </cell>
          <cell r="W314" t="str">
            <v>Đang xử lý</v>
          </cell>
          <cell r="AJ314" t="str">
            <v>TP HCM</v>
          </cell>
          <cell r="BX314" t="str">
            <v>AON</v>
          </cell>
        </row>
        <row r="315">
          <cell r="A315" t="str">
            <v>ON</v>
          </cell>
          <cell r="B315" t="str">
            <v>Trong 24h</v>
          </cell>
          <cell r="D315" t="str">
            <v>Khiếu nại về dịch vụ FTTH</v>
          </cell>
          <cell r="W315" t="str">
            <v>Đã đóng</v>
          </cell>
          <cell r="AJ315" t="str">
            <v>TP HCM</v>
          </cell>
          <cell r="BX315" t="str">
            <v>AON</v>
          </cell>
        </row>
        <row r="316">
          <cell r="A316" t="str">
            <v>ON</v>
          </cell>
          <cell r="B316" t="str">
            <v>Trong 24h</v>
          </cell>
          <cell r="D316" t="str">
            <v>Khiếu nại về dịch vụ FTTH</v>
          </cell>
          <cell r="W316" t="str">
            <v>Đã đóng</v>
          </cell>
          <cell r="AJ316" t="str">
            <v>Hà Nội 1</v>
          </cell>
          <cell r="BX316" t="str">
            <v>AON</v>
          </cell>
        </row>
        <row r="317">
          <cell r="A317" t="str">
            <v>ON</v>
          </cell>
          <cell r="B317" t="str">
            <v>Trong 24h</v>
          </cell>
          <cell r="D317" t="str">
            <v>Khiếu nại về dịch vụ FTTH</v>
          </cell>
          <cell r="W317" t="str">
            <v>Đã đóng</v>
          </cell>
          <cell r="AJ317" t="str">
            <v xml:space="preserve">Đồng Nai </v>
          </cell>
          <cell r="BX317" t="str">
            <v>AON</v>
          </cell>
        </row>
        <row r="318">
          <cell r="A318" t="str">
            <v>ON</v>
          </cell>
          <cell r="B318" t="str">
            <v>Trong 24h</v>
          </cell>
          <cell r="D318" t="str">
            <v>Khiếu nại về dịch vụ FTTH</v>
          </cell>
          <cell r="W318" t="str">
            <v>Đã đóng</v>
          </cell>
          <cell r="AJ318" t="str">
            <v>Thái Bình</v>
          </cell>
          <cell r="BX318" t="str">
            <v>AON</v>
          </cell>
        </row>
        <row r="319">
          <cell r="A319" t="str">
            <v>ON</v>
          </cell>
          <cell r="B319" t="str">
            <v>Trong 24h</v>
          </cell>
          <cell r="D319" t="str">
            <v>Khiếu nại về dịch vụ FTTH</v>
          </cell>
          <cell r="W319" t="str">
            <v>Đang xử lý</v>
          </cell>
          <cell r="AJ319" t="str">
            <v>Hà Giang</v>
          </cell>
          <cell r="BX319" t="str">
            <v>AON</v>
          </cell>
        </row>
        <row r="320">
          <cell r="A320" t="str">
            <v>ON</v>
          </cell>
          <cell r="B320" t="str">
            <v>Trong 24h</v>
          </cell>
          <cell r="D320" t="str">
            <v>Khiếu nại về dịch vụ FTTH</v>
          </cell>
          <cell r="W320" t="str">
            <v>Đã đóng</v>
          </cell>
          <cell r="AJ320" t="str">
            <v>Hải Dương</v>
          </cell>
          <cell r="BX320" t="str">
            <v>AON</v>
          </cell>
        </row>
        <row r="321">
          <cell r="A321" t="str">
            <v>ON</v>
          </cell>
          <cell r="B321" t="str">
            <v>Trong 24h</v>
          </cell>
          <cell r="D321" t="str">
            <v>Khiếu nại về dịch vụ FTTH</v>
          </cell>
          <cell r="W321" t="str">
            <v>Đã đóng</v>
          </cell>
          <cell r="AJ321" t="str">
            <v>Bình Định</v>
          </cell>
          <cell r="BX321" t="str">
            <v>AON</v>
          </cell>
        </row>
        <row r="322">
          <cell r="A322" t="str">
            <v>ON</v>
          </cell>
          <cell r="B322" t="str">
            <v>Trong 24h</v>
          </cell>
          <cell r="D322" t="str">
            <v>Khiếu nại về dịch vụ FTTH</v>
          </cell>
          <cell r="W322" t="str">
            <v>Đã đóng</v>
          </cell>
          <cell r="AJ322" t="str">
            <v>TP HCM</v>
          </cell>
          <cell r="BX322" t="str">
            <v>AON</v>
          </cell>
        </row>
        <row r="323">
          <cell r="A323" t="str">
            <v>ON</v>
          </cell>
          <cell r="B323" t="str">
            <v>Trong 24h</v>
          </cell>
          <cell r="D323" t="str">
            <v>Khiếu nại về dịch vụ FTTH</v>
          </cell>
          <cell r="W323" t="str">
            <v>Đang xử lý</v>
          </cell>
          <cell r="AJ323" t="str">
            <v>Hà Nội 2</v>
          </cell>
          <cell r="BX323" t="str">
            <v>AON</v>
          </cell>
        </row>
        <row r="324">
          <cell r="A324" t="str">
            <v>ON</v>
          </cell>
          <cell r="B324" t="str">
            <v>Trong 24h</v>
          </cell>
          <cell r="D324" t="str">
            <v>Khiếu nại về dịch vụ FTTH</v>
          </cell>
          <cell r="W324" t="str">
            <v>Đã đóng</v>
          </cell>
          <cell r="AJ324" t="str">
            <v xml:space="preserve">Đắc Lắk </v>
          </cell>
          <cell r="BX324" t="str">
            <v>AON</v>
          </cell>
        </row>
        <row r="325">
          <cell r="A325" t="str">
            <v>ON</v>
          </cell>
          <cell r="B325" t="str">
            <v>Trong 24h</v>
          </cell>
          <cell r="D325" t="str">
            <v>Khiếu nại về dịch vụ FTTH</v>
          </cell>
          <cell r="W325" t="str">
            <v>Đã đóng</v>
          </cell>
          <cell r="AJ325" t="str">
            <v>TP HCM</v>
          </cell>
          <cell r="BX325" t="str">
            <v>AON</v>
          </cell>
        </row>
        <row r="326">
          <cell r="A326" t="str">
            <v>ON</v>
          </cell>
          <cell r="B326" t="str">
            <v>Trong 24h</v>
          </cell>
          <cell r="D326" t="str">
            <v>Khiếu nại về dịch vụ FTTH</v>
          </cell>
          <cell r="W326" t="str">
            <v>Đang xử lý</v>
          </cell>
          <cell r="AJ326" t="str">
            <v>Bình Định</v>
          </cell>
          <cell r="BX326" t="str">
            <v>AON</v>
          </cell>
        </row>
        <row r="327">
          <cell r="A327" t="str">
            <v>ON</v>
          </cell>
          <cell r="B327" t="str">
            <v>Trong 24h</v>
          </cell>
          <cell r="D327" t="str">
            <v>Khiếu nại về dịch vụ FTTH</v>
          </cell>
          <cell r="W327" t="str">
            <v>Đã đóng</v>
          </cell>
          <cell r="AJ327" t="str">
            <v>Bắc Ninh</v>
          </cell>
          <cell r="BX327" t="str">
            <v>AON</v>
          </cell>
        </row>
        <row r="328">
          <cell r="A328" t="str">
            <v>ON</v>
          </cell>
          <cell r="B328" t="str">
            <v>Trong 24h</v>
          </cell>
          <cell r="D328" t="str">
            <v>Khiếu nại về dịch vụ FTTH</v>
          </cell>
          <cell r="W328" t="str">
            <v>Đã đóng</v>
          </cell>
          <cell r="AJ328" t="str">
            <v>Hà Nội 1</v>
          </cell>
          <cell r="BX328" t="str">
            <v>AON</v>
          </cell>
        </row>
        <row r="329">
          <cell r="A329" t="str">
            <v>ON</v>
          </cell>
          <cell r="B329" t="str">
            <v>Trong 24h</v>
          </cell>
          <cell r="D329" t="str">
            <v>Khiếu nại về dịch vụ FTTH</v>
          </cell>
          <cell r="W329" t="str">
            <v>Đã đóng</v>
          </cell>
          <cell r="AJ329" t="str">
            <v>TP HCM</v>
          </cell>
          <cell r="BX329" t="str">
            <v>AON</v>
          </cell>
        </row>
        <row r="330">
          <cell r="A330" t="str">
            <v>ON</v>
          </cell>
          <cell r="B330" t="str">
            <v>Trong 24h</v>
          </cell>
          <cell r="D330" t="str">
            <v>Khiếu nại về dịch vụ FTTH</v>
          </cell>
          <cell r="W330" t="str">
            <v>Đã đóng</v>
          </cell>
          <cell r="AJ330" t="str">
            <v>Bạc Liêu</v>
          </cell>
          <cell r="BX330" t="str">
            <v>AON</v>
          </cell>
        </row>
        <row r="331">
          <cell r="A331" t="str">
            <v>ON</v>
          </cell>
          <cell r="B331" t="str">
            <v>Trong 24h</v>
          </cell>
          <cell r="D331" t="str">
            <v>Khiếu nại về dịch vụ FTTH</v>
          </cell>
          <cell r="W331" t="str">
            <v>Đã đóng</v>
          </cell>
          <cell r="AJ331" t="str">
            <v>Thừa Thiên Huế</v>
          </cell>
          <cell r="BX331" t="str">
            <v>AON</v>
          </cell>
        </row>
        <row r="332">
          <cell r="A332" t="str">
            <v>ON</v>
          </cell>
          <cell r="B332" t="str">
            <v>Trong 24h</v>
          </cell>
          <cell r="D332" t="str">
            <v>Khiếu nại về dịch vụ FTTH</v>
          </cell>
          <cell r="W332" t="str">
            <v>Đã đóng</v>
          </cell>
          <cell r="AJ332" t="str">
            <v>Bình Dương</v>
          </cell>
          <cell r="BX332" t="str">
            <v>AON</v>
          </cell>
        </row>
        <row r="333">
          <cell r="A333" t="str">
            <v>ON</v>
          </cell>
          <cell r="B333" t="str">
            <v>Trong 24h</v>
          </cell>
          <cell r="D333" t="str">
            <v>Khiếu nại về dịch vụ FTTH</v>
          </cell>
          <cell r="W333" t="str">
            <v>Đã đóng</v>
          </cell>
          <cell r="AJ333" t="str">
            <v>TP HCM</v>
          </cell>
          <cell r="BX333" t="str">
            <v>AON</v>
          </cell>
        </row>
        <row r="334">
          <cell r="A334" t="str">
            <v>ON</v>
          </cell>
          <cell r="B334" t="str">
            <v>Trong 24h</v>
          </cell>
          <cell r="D334" t="str">
            <v>Khiếu nại về dịch vụ FTTH</v>
          </cell>
          <cell r="W334" t="str">
            <v>Đã đóng</v>
          </cell>
          <cell r="AJ334" t="str">
            <v>Phú Thọ</v>
          </cell>
          <cell r="BX334" t="str">
            <v>AON</v>
          </cell>
        </row>
        <row r="335">
          <cell r="A335" t="str">
            <v>ON</v>
          </cell>
          <cell r="B335" t="str">
            <v>Trong 24h</v>
          </cell>
          <cell r="D335" t="str">
            <v>Khiếu nại về dịch vụ FTTH</v>
          </cell>
          <cell r="W335" t="str">
            <v>Đã đóng</v>
          </cell>
          <cell r="AJ335" t="str">
            <v>TP HCM</v>
          </cell>
          <cell r="BX335" t="str">
            <v>AON</v>
          </cell>
        </row>
        <row r="336">
          <cell r="A336" t="str">
            <v>ON</v>
          </cell>
          <cell r="B336" t="str">
            <v>Trong 24h</v>
          </cell>
          <cell r="D336" t="str">
            <v>Khiếu nại về dịch vụ FTTH</v>
          </cell>
          <cell r="W336" t="str">
            <v>Đã đóng</v>
          </cell>
          <cell r="AJ336" t="str">
            <v>TP HCM</v>
          </cell>
          <cell r="BX336" t="str">
            <v>AON</v>
          </cell>
        </row>
        <row r="337">
          <cell r="A337" t="str">
            <v>ON</v>
          </cell>
          <cell r="B337" t="str">
            <v>Trong 24h</v>
          </cell>
          <cell r="D337" t="str">
            <v>Khiếu nại về dịch vụ FTTH</v>
          </cell>
          <cell r="W337" t="str">
            <v>Đã đóng</v>
          </cell>
          <cell r="AJ337" t="str">
            <v>Yên Bái</v>
          </cell>
          <cell r="BX337" t="str">
            <v>AON</v>
          </cell>
        </row>
        <row r="338">
          <cell r="A338" t="str">
            <v>ON</v>
          </cell>
          <cell r="B338" t="str">
            <v>Trong 24h</v>
          </cell>
          <cell r="D338" t="str">
            <v>Khiếu nại về dịch vụ FTTH</v>
          </cell>
          <cell r="W338" t="str">
            <v>Đang xử lý</v>
          </cell>
          <cell r="AJ338" t="str">
            <v>TP HCM</v>
          </cell>
          <cell r="BX338" t="str">
            <v>AON</v>
          </cell>
        </row>
        <row r="339">
          <cell r="A339" t="str">
            <v>ON</v>
          </cell>
          <cell r="B339" t="str">
            <v>Trong 24h</v>
          </cell>
          <cell r="D339" t="str">
            <v>Khiếu nại về dịch vụ FTTH</v>
          </cell>
          <cell r="W339" t="str">
            <v>Đã đóng</v>
          </cell>
          <cell r="AJ339" t="str">
            <v>TP HCM</v>
          </cell>
          <cell r="BX339" t="str">
            <v>AON</v>
          </cell>
        </row>
        <row r="340">
          <cell r="A340" t="str">
            <v>ON</v>
          </cell>
          <cell r="B340" t="str">
            <v>Trong 24h</v>
          </cell>
          <cell r="D340" t="str">
            <v>Khiếu nại về dịch vụ FTTH</v>
          </cell>
          <cell r="W340" t="str">
            <v>Đã đóng</v>
          </cell>
          <cell r="AJ340" t="str">
            <v>An Giang</v>
          </cell>
          <cell r="BX340" t="str">
            <v>AON</v>
          </cell>
        </row>
        <row r="341">
          <cell r="A341" t="str">
            <v>ON</v>
          </cell>
          <cell r="B341" t="str">
            <v>Trong 24h</v>
          </cell>
          <cell r="D341" t="str">
            <v>Khiếu nại về dịch vụ FTTH</v>
          </cell>
          <cell r="W341" t="str">
            <v>Đang xử lý</v>
          </cell>
          <cell r="AJ341" t="str">
            <v>Quảng Ninh</v>
          </cell>
          <cell r="BX341" t="str">
            <v>AON</v>
          </cell>
        </row>
        <row r="342">
          <cell r="A342" t="str">
            <v>ON</v>
          </cell>
          <cell r="B342" t="str">
            <v>Trong 24h</v>
          </cell>
          <cell r="D342" t="str">
            <v>Khiếu nại về dịch vụ FTTH</v>
          </cell>
          <cell r="W342" t="str">
            <v>Đã đóng</v>
          </cell>
          <cell r="AJ342" t="str">
            <v>TP HCM</v>
          </cell>
          <cell r="BX342" t="str">
            <v>AON</v>
          </cell>
        </row>
        <row r="343">
          <cell r="A343" t="str">
            <v>ON</v>
          </cell>
          <cell r="B343" t="str">
            <v>Trong 24h</v>
          </cell>
          <cell r="D343" t="str">
            <v>Khiếu nại về dịch vụ FTTH</v>
          </cell>
          <cell r="W343" t="str">
            <v>Đang xử lý</v>
          </cell>
          <cell r="AJ343" t="str">
            <v>TP HCM</v>
          </cell>
          <cell r="BX343" t="str">
            <v>AON</v>
          </cell>
        </row>
        <row r="344">
          <cell r="A344" t="str">
            <v>ON</v>
          </cell>
          <cell r="B344" t="str">
            <v>Trong 24h</v>
          </cell>
          <cell r="D344" t="str">
            <v>Khiếu nại về dịch vụ FTTH</v>
          </cell>
          <cell r="W344" t="str">
            <v>Đang xử lý</v>
          </cell>
          <cell r="AJ344" t="str">
            <v>Hà Nội 1</v>
          </cell>
          <cell r="BX344" t="str">
            <v>AON</v>
          </cell>
        </row>
        <row r="345">
          <cell r="A345" t="str">
            <v>ON</v>
          </cell>
          <cell r="B345" t="str">
            <v>Trong 24h</v>
          </cell>
          <cell r="D345" t="str">
            <v>Khiếu nại về dịch vụ FTTH</v>
          </cell>
          <cell r="W345" t="str">
            <v>Đã đóng</v>
          </cell>
          <cell r="AJ345" t="str">
            <v>Bắc Giang</v>
          </cell>
          <cell r="BX345" t="str">
            <v>AON</v>
          </cell>
        </row>
        <row r="346">
          <cell r="A346" t="str">
            <v>ON</v>
          </cell>
          <cell r="B346" t="str">
            <v>Trong 24h</v>
          </cell>
          <cell r="D346" t="str">
            <v>Khiếu nại về dịch vụ FTTH</v>
          </cell>
          <cell r="W346" t="str">
            <v>Đã đóng</v>
          </cell>
          <cell r="AJ346" t="str">
            <v xml:space="preserve">Đà Nẵng </v>
          </cell>
          <cell r="BX346" t="str">
            <v>AON</v>
          </cell>
        </row>
        <row r="347">
          <cell r="A347" t="str">
            <v>ON</v>
          </cell>
          <cell r="B347" t="str">
            <v>Trong 24h</v>
          </cell>
          <cell r="D347" t="str">
            <v>Khiếu nại về dịch vụ FTTH</v>
          </cell>
          <cell r="W347" t="str">
            <v>Đã đóng</v>
          </cell>
          <cell r="AJ347" t="str">
            <v>Bình Định</v>
          </cell>
          <cell r="BX347" t="str">
            <v>AON</v>
          </cell>
        </row>
        <row r="348">
          <cell r="A348" t="str">
            <v>ON</v>
          </cell>
          <cell r="B348" t="str">
            <v>Trong 24h</v>
          </cell>
          <cell r="D348" t="str">
            <v>Khiếu nại về dịch vụ NextTV</v>
          </cell>
          <cell r="W348" t="str">
            <v>Đang xử lý</v>
          </cell>
          <cell r="AJ348" t="str">
            <v>TP HCM</v>
          </cell>
          <cell r="BX348" t="str">
            <v>AON</v>
          </cell>
        </row>
        <row r="349">
          <cell r="A349" t="str">
            <v>ON</v>
          </cell>
          <cell r="B349" t="str">
            <v>Trong 24h</v>
          </cell>
          <cell r="D349" t="str">
            <v>Khiếu nại về dịch vụ FTTH</v>
          </cell>
          <cell r="W349" t="str">
            <v>Đã đóng</v>
          </cell>
          <cell r="AJ349" t="str">
            <v>Hà Nội 1</v>
          </cell>
          <cell r="BX349" t="str">
            <v>AON</v>
          </cell>
        </row>
        <row r="350">
          <cell r="A350" t="str">
            <v>ON</v>
          </cell>
          <cell r="B350" t="str">
            <v>Trong 24h</v>
          </cell>
          <cell r="D350" t="str">
            <v>Khiếu nại về dịch vụ FTTH</v>
          </cell>
          <cell r="W350" t="str">
            <v>Đang xử lý</v>
          </cell>
          <cell r="AJ350" t="str">
            <v>Thừa Thiên Huế</v>
          </cell>
          <cell r="BX350" t="str">
            <v>AON</v>
          </cell>
        </row>
        <row r="351">
          <cell r="A351" t="str">
            <v>ON</v>
          </cell>
          <cell r="B351" t="str">
            <v>Trong 24h</v>
          </cell>
          <cell r="D351" t="str">
            <v>Khiếu nại về dịch vụ FTTH</v>
          </cell>
          <cell r="W351" t="str">
            <v>Đã đóng</v>
          </cell>
          <cell r="AJ351" t="str">
            <v>Quảng Ngãi</v>
          </cell>
          <cell r="BX351" t="str">
            <v>AON</v>
          </cell>
        </row>
        <row r="352">
          <cell r="A352" t="str">
            <v>ON</v>
          </cell>
          <cell r="B352" t="str">
            <v>Trong 24h</v>
          </cell>
          <cell r="D352" t="str">
            <v>Khiếu nại về dịch vụ FTTH</v>
          </cell>
          <cell r="W352" t="str">
            <v>Đã đóng</v>
          </cell>
          <cell r="AJ352" t="str">
            <v>Thừa Thiên Huế</v>
          </cell>
          <cell r="BX352" t="str">
            <v>AON</v>
          </cell>
        </row>
        <row r="353">
          <cell r="A353" t="str">
            <v>ON</v>
          </cell>
          <cell r="B353" t="str">
            <v>Trong 24h</v>
          </cell>
          <cell r="D353" t="str">
            <v>Khiếu nại về dịch vụ FTTH</v>
          </cell>
          <cell r="W353" t="str">
            <v>Đã đóng</v>
          </cell>
          <cell r="AJ353" t="str">
            <v>An Giang</v>
          </cell>
          <cell r="BX353" t="str">
            <v>AON</v>
          </cell>
        </row>
        <row r="354">
          <cell r="A354" t="str">
            <v>ON</v>
          </cell>
          <cell r="B354" t="str">
            <v>Trong 24h</v>
          </cell>
          <cell r="D354" t="str">
            <v>Khiếu nại về dịch vụ FTTH</v>
          </cell>
          <cell r="W354" t="str">
            <v>Đã đóng</v>
          </cell>
          <cell r="AJ354" t="str">
            <v>Hải Dương</v>
          </cell>
          <cell r="BX354" t="str">
            <v>AON</v>
          </cell>
        </row>
        <row r="355">
          <cell r="A355" t="str">
            <v>ON</v>
          </cell>
          <cell r="B355" t="str">
            <v>Trong 24h</v>
          </cell>
          <cell r="D355" t="str">
            <v>Khiếu nại về dịch vụ FTTH</v>
          </cell>
          <cell r="W355" t="str">
            <v>Đã đóng</v>
          </cell>
          <cell r="AJ355" t="str">
            <v>Thanh Hoá</v>
          </cell>
          <cell r="BX355" t="str">
            <v>AON</v>
          </cell>
        </row>
        <row r="356">
          <cell r="A356" t="str">
            <v>ON</v>
          </cell>
          <cell r="B356" t="str">
            <v>Trong 24h</v>
          </cell>
          <cell r="D356" t="str">
            <v>Khiếu nại về dịch vụ FTTH</v>
          </cell>
          <cell r="W356" t="str">
            <v>Đã đóng</v>
          </cell>
          <cell r="AJ356" t="str">
            <v>Phú Thọ</v>
          </cell>
          <cell r="BX356" t="str">
            <v>AON</v>
          </cell>
        </row>
        <row r="357">
          <cell r="A357" t="str">
            <v>ON</v>
          </cell>
          <cell r="B357" t="str">
            <v>Trong 24h</v>
          </cell>
          <cell r="D357" t="str">
            <v>Khiếu nại về dịch vụ FTTH</v>
          </cell>
          <cell r="W357" t="str">
            <v>Đã đóng</v>
          </cell>
          <cell r="AJ357" t="str">
            <v>Hà Nội 2</v>
          </cell>
          <cell r="BX357" t="str">
            <v>AON</v>
          </cell>
        </row>
        <row r="358">
          <cell r="A358" t="str">
            <v>ON</v>
          </cell>
          <cell r="B358" t="str">
            <v>Trong 24h</v>
          </cell>
          <cell r="D358" t="str">
            <v>Khiếu nại về dịch vụ FTTH</v>
          </cell>
          <cell r="W358" t="str">
            <v>Đã đóng</v>
          </cell>
          <cell r="AJ358" t="str">
            <v>Nam Định</v>
          </cell>
          <cell r="BX358" t="str">
            <v>AON</v>
          </cell>
        </row>
        <row r="359">
          <cell r="A359" t="str">
            <v>ON</v>
          </cell>
          <cell r="B359" t="str">
            <v>Trong 24h</v>
          </cell>
          <cell r="D359" t="str">
            <v>Khiếu nại về dịch vụ FTTH</v>
          </cell>
          <cell r="W359" t="str">
            <v>Đã đóng</v>
          </cell>
          <cell r="AJ359" t="str">
            <v>Hà Nội 1</v>
          </cell>
          <cell r="BX359" t="str">
            <v>AON</v>
          </cell>
        </row>
        <row r="360">
          <cell r="A360" t="str">
            <v>ON</v>
          </cell>
          <cell r="B360" t="str">
            <v>Trong 24h</v>
          </cell>
          <cell r="D360" t="str">
            <v>Khiếu nại về dịch vụ FTTH</v>
          </cell>
          <cell r="W360" t="str">
            <v>Đã đóng</v>
          </cell>
          <cell r="AJ360" t="str">
            <v>Hà Nội 2</v>
          </cell>
          <cell r="BX360" t="str">
            <v>AON</v>
          </cell>
        </row>
        <row r="361">
          <cell r="A361" t="str">
            <v>ON</v>
          </cell>
          <cell r="B361" t="str">
            <v>Trong 24h</v>
          </cell>
          <cell r="D361" t="str">
            <v>Khiếu nại về dịch vụ FTTH</v>
          </cell>
          <cell r="W361" t="str">
            <v>Đã đóng</v>
          </cell>
          <cell r="AJ361" t="str">
            <v>Hậu Giang</v>
          </cell>
          <cell r="BX361" t="str">
            <v>AON</v>
          </cell>
        </row>
        <row r="362">
          <cell r="A362" t="str">
            <v>ON</v>
          </cell>
          <cell r="B362" t="str">
            <v>Trong 24h</v>
          </cell>
          <cell r="D362" t="str">
            <v>Khiếu nại về dịch vụ FTTH</v>
          </cell>
          <cell r="W362" t="str">
            <v>Đã đóng</v>
          </cell>
          <cell r="AJ362" t="str">
            <v>Hà Nội 1</v>
          </cell>
          <cell r="BX362" t="str">
            <v>AON</v>
          </cell>
        </row>
        <row r="363">
          <cell r="A363" t="str">
            <v>ON</v>
          </cell>
          <cell r="B363" t="str">
            <v>Trong 24h</v>
          </cell>
          <cell r="D363" t="str">
            <v>Khiếu nại về dịch vụ FTTH</v>
          </cell>
          <cell r="W363" t="str">
            <v>Đã đóng</v>
          </cell>
          <cell r="AJ363" t="str">
            <v>Hậu Giang</v>
          </cell>
          <cell r="BX363" t="str">
            <v>AON</v>
          </cell>
        </row>
        <row r="364">
          <cell r="A364" t="str">
            <v>ON</v>
          </cell>
          <cell r="B364" t="str">
            <v>Trong 24h</v>
          </cell>
          <cell r="D364" t="str">
            <v>Khiếu nại về dịch vụ FTTH</v>
          </cell>
          <cell r="W364" t="str">
            <v>Đã đóng</v>
          </cell>
          <cell r="AJ364" t="str">
            <v xml:space="preserve">Đồng Nai </v>
          </cell>
          <cell r="BX364" t="str">
            <v>AON</v>
          </cell>
        </row>
        <row r="365">
          <cell r="A365" t="str">
            <v>ON</v>
          </cell>
          <cell r="B365" t="str">
            <v>Trong 24h</v>
          </cell>
          <cell r="D365" t="str">
            <v>Khiếu nại về dịch vụ FTTH</v>
          </cell>
          <cell r="W365" t="str">
            <v>Đã đóng</v>
          </cell>
          <cell r="AJ365" t="str">
            <v>Lào Cai</v>
          </cell>
          <cell r="BX365" t="str">
            <v>AON</v>
          </cell>
        </row>
        <row r="366">
          <cell r="A366" t="str">
            <v>ON</v>
          </cell>
          <cell r="B366" t="str">
            <v>Trong 24h</v>
          </cell>
          <cell r="D366" t="str">
            <v>Khiếu nại về dịch vụ FTTH</v>
          </cell>
          <cell r="W366" t="str">
            <v>Đã đóng</v>
          </cell>
          <cell r="AJ366" t="str">
            <v>Long An</v>
          </cell>
          <cell r="BX366" t="str">
            <v>AON</v>
          </cell>
        </row>
        <row r="367">
          <cell r="A367" t="str">
            <v>ON</v>
          </cell>
          <cell r="B367" t="str">
            <v>Trong 24h</v>
          </cell>
          <cell r="D367" t="str">
            <v>Khiếu nại về dịch vụ FTTH</v>
          </cell>
          <cell r="W367" t="str">
            <v>Đã đóng</v>
          </cell>
          <cell r="AJ367" t="str">
            <v>Thái Bình</v>
          </cell>
          <cell r="BX367" t="str">
            <v>AON</v>
          </cell>
        </row>
        <row r="368">
          <cell r="A368" t="str">
            <v>ON</v>
          </cell>
          <cell r="B368" t="str">
            <v>Trong 24h</v>
          </cell>
          <cell r="D368" t="str">
            <v>Khiếu nại về dịch vụ FTTH</v>
          </cell>
          <cell r="W368" t="str">
            <v>Đã đóng</v>
          </cell>
          <cell r="AJ368" t="str">
            <v>TP HCM</v>
          </cell>
          <cell r="BX368" t="str">
            <v>AON</v>
          </cell>
        </row>
        <row r="369">
          <cell r="A369" t="str">
            <v>ON</v>
          </cell>
          <cell r="B369" t="str">
            <v>Trong 24h</v>
          </cell>
          <cell r="D369" t="str">
            <v>Khiếu nại về dịch vụ FTTH</v>
          </cell>
          <cell r="W369" t="str">
            <v>Đang xử lý</v>
          </cell>
          <cell r="AJ369" t="str">
            <v>Thừa Thiên Huế</v>
          </cell>
          <cell r="BX369" t="str">
            <v>AON</v>
          </cell>
        </row>
        <row r="370">
          <cell r="A370" t="str">
            <v>ON</v>
          </cell>
          <cell r="B370" t="str">
            <v>Trong 24h</v>
          </cell>
          <cell r="D370" t="str">
            <v>Khiếu nại về dịch vụ FTTH</v>
          </cell>
          <cell r="W370" t="str">
            <v>Đã đóng</v>
          </cell>
          <cell r="AJ370" t="str">
            <v>Hà Nội 1</v>
          </cell>
          <cell r="BX370" t="str">
            <v>AON</v>
          </cell>
        </row>
        <row r="371">
          <cell r="A371" t="str">
            <v>ON</v>
          </cell>
          <cell r="B371" t="str">
            <v>Trong 24h</v>
          </cell>
          <cell r="D371" t="str">
            <v>Khiếu nại về dịch vụ FTTH</v>
          </cell>
          <cell r="W371" t="str">
            <v>Đã đóng</v>
          </cell>
          <cell r="AJ371" t="str">
            <v>TP HCM</v>
          </cell>
          <cell r="BX371" t="str">
            <v>AON</v>
          </cell>
        </row>
        <row r="372">
          <cell r="A372" t="str">
            <v>ON</v>
          </cell>
          <cell r="B372" t="str">
            <v>Trong 24h</v>
          </cell>
          <cell r="D372" t="str">
            <v>Khiếu nại về dịch vụ FTTH</v>
          </cell>
          <cell r="W372" t="str">
            <v>Đã đóng</v>
          </cell>
          <cell r="AJ372" t="str">
            <v>Tiền Giang</v>
          </cell>
          <cell r="BX372" t="str">
            <v>AON</v>
          </cell>
        </row>
        <row r="373">
          <cell r="A373" t="str">
            <v>ON</v>
          </cell>
          <cell r="B373" t="str">
            <v>Trong 24h</v>
          </cell>
          <cell r="D373" t="str">
            <v>Khiếu nại về dịch vụ FTTH</v>
          </cell>
          <cell r="W373" t="str">
            <v>Đã đóng</v>
          </cell>
          <cell r="AJ373" t="str">
            <v>Ninh Bình</v>
          </cell>
          <cell r="BX373" t="str">
            <v>AON</v>
          </cell>
        </row>
        <row r="374">
          <cell r="A374" t="str">
            <v>ON</v>
          </cell>
          <cell r="B374" t="str">
            <v>Trong 24h</v>
          </cell>
          <cell r="D374" t="str">
            <v>Khiếu nại về dịch vụ FTTH</v>
          </cell>
          <cell r="W374" t="str">
            <v>Đã đóng</v>
          </cell>
          <cell r="AJ374" t="str">
            <v>Khánh Hoà</v>
          </cell>
          <cell r="BX374" t="str">
            <v>AON</v>
          </cell>
        </row>
        <row r="375">
          <cell r="A375" t="str">
            <v>ON</v>
          </cell>
          <cell r="B375" t="str">
            <v>Trong 24h</v>
          </cell>
          <cell r="D375" t="str">
            <v>Khiếu nại về dịch vụ FTTH</v>
          </cell>
          <cell r="W375" t="str">
            <v>Đã đóng</v>
          </cell>
          <cell r="AJ375" t="str">
            <v>TP HCM</v>
          </cell>
          <cell r="BX375" t="str">
            <v>AON</v>
          </cell>
        </row>
        <row r="376">
          <cell r="A376" t="str">
            <v>ON</v>
          </cell>
          <cell r="B376" t="str">
            <v>Trong 24h</v>
          </cell>
          <cell r="D376" t="str">
            <v>Khiếu nại về dịch vụ FTTH</v>
          </cell>
          <cell r="W376" t="str">
            <v>Đã đóng</v>
          </cell>
          <cell r="AJ376" t="str">
            <v>Vĩnh Phúc</v>
          </cell>
          <cell r="BX376" t="str">
            <v>AON</v>
          </cell>
        </row>
        <row r="377">
          <cell r="A377" t="str">
            <v>ON</v>
          </cell>
          <cell r="B377" t="str">
            <v>Trong 24h</v>
          </cell>
          <cell r="D377" t="str">
            <v>Khiếu nại về dịch vụ FTTH</v>
          </cell>
          <cell r="W377" t="str">
            <v>Đã đóng</v>
          </cell>
          <cell r="AJ377" t="str">
            <v xml:space="preserve">Đồng Nai </v>
          </cell>
          <cell r="BX377" t="str">
            <v>AON</v>
          </cell>
        </row>
        <row r="378">
          <cell r="A378" t="str">
            <v>ON</v>
          </cell>
          <cell r="B378" t="str">
            <v>Trong 24h</v>
          </cell>
          <cell r="D378" t="str">
            <v>Khiếu nại về dịch vụ FTTH</v>
          </cell>
          <cell r="W378" t="str">
            <v>Đã đóng</v>
          </cell>
          <cell r="AJ378" t="str">
            <v>Sóc Trăng</v>
          </cell>
          <cell r="BX378" t="str">
            <v>AON</v>
          </cell>
        </row>
        <row r="379">
          <cell r="A379" t="str">
            <v>ON</v>
          </cell>
          <cell r="B379" t="str">
            <v>Trong 24h</v>
          </cell>
          <cell r="D379" t="str">
            <v>Khiếu nại về dịch vụ FTTH</v>
          </cell>
          <cell r="W379" t="str">
            <v>Đã đóng</v>
          </cell>
          <cell r="AJ379" t="str">
            <v>Cần Thơ</v>
          </cell>
          <cell r="BX379" t="str">
            <v>AON</v>
          </cell>
        </row>
        <row r="380">
          <cell r="A380" t="str">
            <v>ON</v>
          </cell>
          <cell r="B380" t="str">
            <v>Trong 24h</v>
          </cell>
          <cell r="D380" t="str">
            <v>Khiếu nại về dịch vụ FTTH</v>
          </cell>
          <cell r="W380" t="str">
            <v>Đã đóng</v>
          </cell>
          <cell r="AJ380" t="str">
            <v>Long An</v>
          </cell>
          <cell r="BX380" t="str">
            <v>AON</v>
          </cell>
        </row>
        <row r="381">
          <cell r="A381" t="str">
            <v>ON</v>
          </cell>
          <cell r="B381" t="str">
            <v>Trong 24h</v>
          </cell>
          <cell r="D381" t="str">
            <v>Khiếu nại về dịch vụ FTTH</v>
          </cell>
          <cell r="W381" t="str">
            <v>Đang xử lý</v>
          </cell>
          <cell r="AJ381" t="str">
            <v>Hà Nội 2</v>
          </cell>
          <cell r="BX381" t="str">
            <v>AON</v>
          </cell>
        </row>
        <row r="382">
          <cell r="A382" t="str">
            <v>ON</v>
          </cell>
          <cell r="B382" t="str">
            <v>Trong 24h</v>
          </cell>
          <cell r="D382" t="str">
            <v>Khiếu nại về dịch vụ FTTH</v>
          </cell>
          <cell r="W382" t="str">
            <v>Đã đóng</v>
          </cell>
          <cell r="AJ382" t="str">
            <v>TP HCM</v>
          </cell>
          <cell r="BX382" t="str">
            <v>AON</v>
          </cell>
        </row>
        <row r="383">
          <cell r="A383" t="str">
            <v>ON</v>
          </cell>
          <cell r="B383" t="str">
            <v>Trong 24h</v>
          </cell>
          <cell r="D383" t="str">
            <v>Khiếu nại về dịch vụ FTTH</v>
          </cell>
          <cell r="W383" t="str">
            <v>Đã đóng</v>
          </cell>
          <cell r="AJ383" t="str">
            <v>TP HCM</v>
          </cell>
          <cell r="BX383" t="str">
            <v>AON</v>
          </cell>
        </row>
        <row r="384">
          <cell r="A384" t="str">
            <v>ON</v>
          </cell>
          <cell r="B384" t="str">
            <v>Trong 24h</v>
          </cell>
          <cell r="D384" t="str">
            <v>Khiếu nại về dịch vụ FTTH</v>
          </cell>
          <cell r="W384" t="str">
            <v>Đã đóng</v>
          </cell>
          <cell r="AJ384" t="str">
            <v>TP HCM</v>
          </cell>
          <cell r="BX384" t="str">
            <v>AON</v>
          </cell>
        </row>
        <row r="385">
          <cell r="A385" t="str">
            <v>ON</v>
          </cell>
          <cell r="B385" t="str">
            <v>Trong 24h</v>
          </cell>
          <cell r="D385" t="str">
            <v>Khiếu nại về dịch vụ FTTH</v>
          </cell>
          <cell r="W385" t="str">
            <v>Đã đóng</v>
          </cell>
          <cell r="AJ385" t="str">
            <v xml:space="preserve">Quảng Nam </v>
          </cell>
          <cell r="BX385" t="str">
            <v>AON</v>
          </cell>
        </row>
        <row r="386">
          <cell r="A386" t="str">
            <v>ON</v>
          </cell>
          <cell r="B386" t="str">
            <v>Trong 24h</v>
          </cell>
          <cell r="D386" t="str">
            <v>Khiếu nại về dịch vụ FTTH</v>
          </cell>
          <cell r="W386" t="str">
            <v>Đang xử lý</v>
          </cell>
          <cell r="AJ386" t="str">
            <v>TP HCM</v>
          </cell>
          <cell r="BX386" t="str">
            <v>AON</v>
          </cell>
        </row>
        <row r="387">
          <cell r="A387" t="str">
            <v>ON</v>
          </cell>
          <cell r="B387" t="str">
            <v>Trong 24h</v>
          </cell>
          <cell r="D387" t="str">
            <v>Khiếu nại về dịch vụ FTTH</v>
          </cell>
          <cell r="W387" t="str">
            <v>Đã đóng</v>
          </cell>
          <cell r="AJ387" t="str">
            <v>TP HCM</v>
          </cell>
          <cell r="BX387" t="str">
            <v>AON</v>
          </cell>
        </row>
        <row r="388">
          <cell r="A388" t="str">
            <v>ON</v>
          </cell>
          <cell r="B388" t="str">
            <v>Trong 24h</v>
          </cell>
          <cell r="D388" t="str">
            <v>Khiếu nại về dịch vụ FTTH</v>
          </cell>
          <cell r="W388" t="str">
            <v>Đang xử lý</v>
          </cell>
          <cell r="AJ388" t="str">
            <v>TP HCM</v>
          </cell>
          <cell r="BX388" t="str">
            <v>AON</v>
          </cell>
        </row>
        <row r="389">
          <cell r="A389" t="str">
            <v>ON</v>
          </cell>
          <cell r="B389" t="str">
            <v>Trong 24h</v>
          </cell>
          <cell r="D389" t="str">
            <v>Khiếu nại về dịch vụ FTTH</v>
          </cell>
          <cell r="W389" t="str">
            <v>Đã đóng</v>
          </cell>
          <cell r="AJ389" t="str">
            <v>TP HCM</v>
          </cell>
          <cell r="BX389" t="str">
            <v>AON</v>
          </cell>
        </row>
        <row r="390">
          <cell r="A390" t="str">
            <v>ON</v>
          </cell>
          <cell r="B390" t="str">
            <v>Trong 24h</v>
          </cell>
          <cell r="D390" t="str">
            <v>Khiếu nại về dịch vụ FTTH</v>
          </cell>
          <cell r="W390" t="str">
            <v>Đã đóng</v>
          </cell>
          <cell r="AJ390" t="str">
            <v>Gia Lai</v>
          </cell>
          <cell r="BX390" t="str">
            <v>AON</v>
          </cell>
        </row>
        <row r="391">
          <cell r="A391" t="str">
            <v>ON</v>
          </cell>
          <cell r="B391" t="str">
            <v>Trong 24h</v>
          </cell>
          <cell r="D391" t="str">
            <v>Khiếu nại về dịch vụ FTTH</v>
          </cell>
          <cell r="W391" t="str">
            <v>Đã đóng</v>
          </cell>
          <cell r="AJ391" t="str">
            <v>An Giang</v>
          </cell>
          <cell r="BX391" t="str">
            <v>AON</v>
          </cell>
        </row>
        <row r="392">
          <cell r="A392" t="str">
            <v>ON</v>
          </cell>
          <cell r="B392" t="str">
            <v>Trong 24h</v>
          </cell>
          <cell r="D392" t="str">
            <v>Khiếu nại về dịch vụ FTTH</v>
          </cell>
          <cell r="W392" t="str">
            <v>Đã đóng</v>
          </cell>
          <cell r="AJ392" t="str">
            <v>Bình Phước</v>
          </cell>
          <cell r="BX392" t="str">
            <v>AON</v>
          </cell>
        </row>
        <row r="393">
          <cell r="A393" t="str">
            <v>ON</v>
          </cell>
          <cell r="B393" t="str">
            <v>Trong 24h</v>
          </cell>
          <cell r="D393" t="str">
            <v>Khiếu nại về dịch vụ FTTH</v>
          </cell>
          <cell r="W393" t="str">
            <v>Đang xử lý</v>
          </cell>
          <cell r="AJ393" t="str">
            <v>Thái Nguyên</v>
          </cell>
          <cell r="BX393" t="str">
            <v>AON</v>
          </cell>
        </row>
        <row r="394">
          <cell r="A394" t="str">
            <v>ON</v>
          </cell>
          <cell r="B394" t="str">
            <v>Trong 24h</v>
          </cell>
          <cell r="D394" t="str">
            <v>Khiếu nại về dịch vụ FTTH</v>
          </cell>
          <cell r="W394" t="str">
            <v>Đã đóng</v>
          </cell>
          <cell r="AJ394" t="str">
            <v>An Giang</v>
          </cell>
          <cell r="BX394" t="str">
            <v>AON</v>
          </cell>
        </row>
        <row r="395">
          <cell r="A395" t="str">
            <v>ON</v>
          </cell>
          <cell r="B395" t="str">
            <v>Trong 24h</v>
          </cell>
          <cell r="D395" t="str">
            <v>Khiếu nại về dịch vụ FTTH</v>
          </cell>
          <cell r="W395" t="str">
            <v>Đã đóng</v>
          </cell>
          <cell r="AJ395" t="str">
            <v>TP HCM</v>
          </cell>
          <cell r="BX395" t="str">
            <v>AON</v>
          </cell>
        </row>
        <row r="396">
          <cell r="A396" t="str">
            <v>ON</v>
          </cell>
          <cell r="B396" t="str">
            <v>Trong 24h</v>
          </cell>
          <cell r="D396" t="str">
            <v>Khiếu nại về dịch vụ FTTH</v>
          </cell>
          <cell r="W396" t="str">
            <v>Đã đóng</v>
          </cell>
          <cell r="AJ396" t="str">
            <v>Bình Dương</v>
          </cell>
          <cell r="BX396" t="str">
            <v>AON</v>
          </cell>
        </row>
        <row r="397">
          <cell r="A397" t="str">
            <v>ON</v>
          </cell>
          <cell r="B397" t="str">
            <v>Trong 24h</v>
          </cell>
          <cell r="D397" t="str">
            <v>Khiếu nại về dịch vụ FTTH</v>
          </cell>
          <cell r="W397" t="str">
            <v>Đã đóng</v>
          </cell>
          <cell r="AJ397" t="str">
            <v>Hà Nội 2</v>
          </cell>
          <cell r="BX397" t="str">
            <v>AON</v>
          </cell>
        </row>
        <row r="398">
          <cell r="A398" t="str">
            <v>ON</v>
          </cell>
          <cell r="B398" t="str">
            <v>Trong 24h</v>
          </cell>
          <cell r="D398" t="str">
            <v>Khiếu nại về dịch vụ FTTH</v>
          </cell>
          <cell r="W398" t="str">
            <v>Đã đóng</v>
          </cell>
          <cell r="AJ398" t="str">
            <v>Quảng Ninh</v>
          </cell>
          <cell r="BX398" t="str">
            <v>AON</v>
          </cell>
        </row>
        <row r="399">
          <cell r="A399" t="str">
            <v>ON</v>
          </cell>
          <cell r="B399" t="str">
            <v>Trong 24h</v>
          </cell>
          <cell r="D399" t="str">
            <v>Khiếu nại về dịch vụ FTTH</v>
          </cell>
          <cell r="W399" t="str">
            <v>Đã đóng</v>
          </cell>
          <cell r="AJ399" t="str">
            <v xml:space="preserve">Đà Nẵng </v>
          </cell>
          <cell r="BX399" t="str">
            <v>AON</v>
          </cell>
        </row>
        <row r="400">
          <cell r="A400" t="str">
            <v>ON</v>
          </cell>
          <cell r="B400" t="str">
            <v>Trong 24h</v>
          </cell>
          <cell r="D400" t="str">
            <v>Khiếu nại về dịch vụ FTTH</v>
          </cell>
          <cell r="W400" t="str">
            <v>Đã đóng</v>
          </cell>
          <cell r="AJ400" t="str">
            <v>Thừa Thiên Huế</v>
          </cell>
          <cell r="BX400" t="str">
            <v>AON</v>
          </cell>
        </row>
        <row r="401">
          <cell r="A401" t="str">
            <v>ON</v>
          </cell>
          <cell r="B401" t="str">
            <v>Trong 24h</v>
          </cell>
          <cell r="D401" t="str">
            <v>Khiếu nại về dịch vụ FTTH</v>
          </cell>
          <cell r="W401" t="str">
            <v>Đã đóng</v>
          </cell>
          <cell r="AJ401" t="str">
            <v>Hà Nội 1</v>
          </cell>
          <cell r="BX401" t="str">
            <v>AON</v>
          </cell>
        </row>
        <row r="402">
          <cell r="A402" t="str">
            <v>ON</v>
          </cell>
          <cell r="B402" t="str">
            <v>Trong 24h</v>
          </cell>
          <cell r="D402" t="str">
            <v>Khiếu nại về dịch vụ FTTH</v>
          </cell>
          <cell r="W402" t="str">
            <v>Đã đóng</v>
          </cell>
          <cell r="AJ402" t="str">
            <v>Quảng Ninh</v>
          </cell>
          <cell r="BX402" t="str">
            <v>AON</v>
          </cell>
        </row>
        <row r="403">
          <cell r="A403" t="str">
            <v>ON</v>
          </cell>
          <cell r="B403" t="str">
            <v>Trong 24h</v>
          </cell>
          <cell r="D403" t="str">
            <v>Khiếu nại về dịch vụ FTTH</v>
          </cell>
          <cell r="W403" t="str">
            <v>Đã đóng</v>
          </cell>
          <cell r="AJ403" t="str">
            <v>Hà Nội 2</v>
          </cell>
          <cell r="BX403" t="str">
            <v>AON</v>
          </cell>
        </row>
        <row r="404">
          <cell r="A404" t="str">
            <v>ON</v>
          </cell>
          <cell r="B404" t="str">
            <v>Trong 24h</v>
          </cell>
          <cell r="D404" t="str">
            <v>Khiếu nại về dịch vụ FTTH</v>
          </cell>
          <cell r="W404" t="str">
            <v>Đang xử lý</v>
          </cell>
          <cell r="AJ404" t="str">
            <v>TP HCM</v>
          </cell>
          <cell r="BX404" t="str">
            <v>AON</v>
          </cell>
        </row>
        <row r="405">
          <cell r="A405" t="str">
            <v>ON</v>
          </cell>
          <cell r="B405" t="str">
            <v>Trong 24h</v>
          </cell>
          <cell r="D405" t="str">
            <v>Khiếu nại về dịch vụ NextTV</v>
          </cell>
          <cell r="W405" t="str">
            <v>Đã đóng</v>
          </cell>
          <cell r="AJ405" t="str">
            <v>Hà Nội 1</v>
          </cell>
          <cell r="BX405" t="str">
            <v>AON</v>
          </cell>
        </row>
        <row r="406">
          <cell r="A406" t="str">
            <v>ON</v>
          </cell>
          <cell r="B406" t="str">
            <v>Trong 24h</v>
          </cell>
          <cell r="D406" t="str">
            <v>Khiếu nại về dịch vụ FTTH</v>
          </cell>
          <cell r="W406" t="str">
            <v>Đang xử lý</v>
          </cell>
          <cell r="AJ406" t="str">
            <v>Nghệ An</v>
          </cell>
          <cell r="BX406" t="str">
            <v>AON</v>
          </cell>
        </row>
        <row r="407">
          <cell r="A407" t="str">
            <v>ON</v>
          </cell>
          <cell r="B407" t="str">
            <v>Trong 24h</v>
          </cell>
          <cell r="D407" t="str">
            <v>Khiếu nại về dịch vụ FTTH</v>
          </cell>
          <cell r="W407" t="str">
            <v>Đã đóng</v>
          </cell>
          <cell r="AJ407" t="str">
            <v>TP HCM</v>
          </cell>
          <cell r="BX407" t="str">
            <v>AON</v>
          </cell>
        </row>
        <row r="408">
          <cell r="A408" t="str">
            <v>ON</v>
          </cell>
          <cell r="B408" t="str">
            <v>Trong 24h</v>
          </cell>
          <cell r="D408" t="str">
            <v>Khiếu nại về dịch vụ FTTH</v>
          </cell>
          <cell r="W408" t="str">
            <v>Đã đóng</v>
          </cell>
          <cell r="AJ408" t="str">
            <v>TP HCM</v>
          </cell>
          <cell r="BX408" t="str">
            <v>AON</v>
          </cell>
        </row>
        <row r="409">
          <cell r="A409" t="str">
            <v>ON</v>
          </cell>
          <cell r="B409" t="str">
            <v>Trong 24h</v>
          </cell>
          <cell r="D409" t="str">
            <v>Khiếu nại về dịch vụ FTTH</v>
          </cell>
          <cell r="W409" t="str">
            <v>Đã đóng</v>
          </cell>
          <cell r="AJ409" t="str">
            <v xml:space="preserve">Đồng Nai </v>
          </cell>
          <cell r="BX409" t="str">
            <v>AON</v>
          </cell>
        </row>
        <row r="410">
          <cell r="A410" t="str">
            <v>ON</v>
          </cell>
          <cell r="B410" t="str">
            <v>Trong 24h</v>
          </cell>
          <cell r="D410" t="str">
            <v>Khiếu nại về dịch vụ FTTH</v>
          </cell>
          <cell r="W410" t="str">
            <v>Đã đóng</v>
          </cell>
          <cell r="AJ410" t="str">
            <v xml:space="preserve">Đồng Nai </v>
          </cell>
          <cell r="BX410" t="str">
            <v>AON</v>
          </cell>
        </row>
        <row r="411">
          <cell r="A411" t="str">
            <v>ON</v>
          </cell>
          <cell r="B411" t="str">
            <v>Trong 24h</v>
          </cell>
          <cell r="D411" t="str">
            <v>Khiếu nại về dịch vụ FTTH</v>
          </cell>
          <cell r="W411" t="str">
            <v>Đã đóng</v>
          </cell>
          <cell r="AJ411" t="str">
            <v>Quảng Ninh</v>
          </cell>
          <cell r="BX411" t="str">
            <v>AON</v>
          </cell>
        </row>
        <row r="412">
          <cell r="A412" t="str">
            <v>ON</v>
          </cell>
          <cell r="B412" t="str">
            <v>Trong 24h</v>
          </cell>
          <cell r="D412" t="str">
            <v>Khiếu nại về dịch vụ FTTH</v>
          </cell>
          <cell r="W412" t="str">
            <v>Đã đóng</v>
          </cell>
          <cell r="AJ412" t="str">
            <v xml:space="preserve">Đắc Lắk </v>
          </cell>
          <cell r="BX412" t="str">
            <v>AON</v>
          </cell>
        </row>
        <row r="413">
          <cell r="A413" t="str">
            <v>ON</v>
          </cell>
          <cell r="B413" t="str">
            <v>Trong 24h</v>
          </cell>
          <cell r="D413" t="str">
            <v>Khiếu nại về dịch vụ FTTH</v>
          </cell>
          <cell r="W413" t="str">
            <v>Đã đóng</v>
          </cell>
          <cell r="AJ413" t="str">
            <v>Cần Thơ</v>
          </cell>
          <cell r="BX413" t="str">
            <v>AON</v>
          </cell>
        </row>
        <row r="414">
          <cell r="A414" t="str">
            <v>ON</v>
          </cell>
          <cell r="B414" t="str">
            <v>Trong 24h</v>
          </cell>
          <cell r="D414" t="str">
            <v>Khiếu nại về dịch vụ FTTH</v>
          </cell>
          <cell r="W414" t="str">
            <v>Đã đóng</v>
          </cell>
          <cell r="AJ414" t="str">
            <v xml:space="preserve">Đồng Nai </v>
          </cell>
          <cell r="BX414" t="str">
            <v>AON</v>
          </cell>
        </row>
        <row r="415">
          <cell r="A415" t="str">
            <v>ON</v>
          </cell>
          <cell r="B415" t="str">
            <v>Trong 24h</v>
          </cell>
          <cell r="D415" t="str">
            <v>Khiếu nại về dịch vụ FTTH</v>
          </cell>
          <cell r="W415" t="str">
            <v>Đang xử lý</v>
          </cell>
          <cell r="AJ415" t="str">
            <v>TP HCM</v>
          </cell>
          <cell r="BX415" t="str">
            <v>AON</v>
          </cell>
        </row>
        <row r="416">
          <cell r="A416" t="str">
            <v>ON</v>
          </cell>
          <cell r="B416" t="str">
            <v>Trong 24h</v>
          </cell>
          <cell r="D416" t="str">
            <v>Khiếu nại về dịch vụ FTTH</v>
          </cell>
          <cell r="W416" t="str">
            <v>Đã đóng</v>
          </cell>
          <cell r="AJ416" t="str">
            <v>Hà Nội 1</v>
          </cell>
          <cell r="BX416" t="str">
            <v>AON</v>
          </cell>
        </row>
        <row r="417">
          <cell r="A417" t="str">
            <v>ON</v>
          </cell>
          <cell r="B417" t="str">
            <v>Trong 24h</v>
          </cell>
          <cell r="D417" t="str">
            <v>Khiếu nại về dịch vụ FTTH</v>
          </cell>
          <cell r="W417" t="str">
            <v>Đang xử lý</v>
          </cell>
          <cell r="AJ417" t="str">
            <v xml:space="preserve">Đắc Lắk </v>
          </cell>
          <cell r="BX417" t="str">
            <v>AON</v>
          </cell>
        </row>
        <row r="418">
          <cell r="A418" t="str">
            <v>ON</v>
          </cell>
          <cell r="B418" t="str">
            <v>Trong 24h</v>
          </cell>
          <cell r="D418" t="str">
            <v>Khiếu nại về dịch vụ FTTH</v>
          </cell>
          <cell r="W418" t="str">
            <v>Đã đóng</v>
          </cell>
          <cell r="AJ418" t="str">
            <v>TP HCM</v>
          </cell>
          <cell r="BX418" t="str">
            <v>AON</v>
          </cell>
        </row>
        <row r="419">
          <cell r="A419" t="str">
            <v>ON</v>
          </cell>
          <cell r="B419" t="str">
            <v>Trong 24h</v>
          </cell>
          <cell r="D419" t="str">
            <v>Khiếu nại về dịch vụ FTTH</v>
          </cell>
          <cell r="W419" t="str">
            <v>Đã đóng</v>
          </cell>
          <cell r="AJ419" t="str">
            <v xml:space="preserve">Đồng Nai </v>
          </cell>
          <cell r="BX419" t="str">
            <v>AON</v>
          </cell>
        </row>
        <row r="420">
          <cell r="A420" t="str">
            <v>ON</v>
          </cell>
          <cell r="B420" t="str">
            <v>Trong 24h</v>
          </cell>
          <cell r="D420" t="str">
            <v>Khiếu nại về dịch vụ FTTH</v>
          </cell>
          <cell r="W420" t="str">
            <v>Đang xử lý</v>
          </cell>
          <cell r="AJ420" t="str">
            <v xml:space="preserve">Đồng Nai </v>
          </cell>
          <cell r="BX420" t="str">
            <v>AON</v>
          </cell>
        </row>
        <row r="421">
          <cell r="A421" t="str">
            <v>ON</v>
          </cell>
          <cell r="B421" t="str">
            <v>Trong 24h</v>
          </cell>
          <cell r="D421" t="str">
            <v>Khiếu nại về dịch vụ FTTH</v>
          </cell>
          <cell r="W421" t="str">
            <v>Đã đóng</v>
          </cell>
          <cell r="AJ421" t="str">
            <v>Đồng Tháp</v>
          </cell>
          <cell r="BX421" t="str">
            <v>AON</v>
          </cell>
        </row>
        <row r="422">
          <cell r="A422" t="str">
            <v>ON</v>
          </cell>
          <cell r="B422" t="str">
            <v>Trong 24h</v>
          </cell>
          <cell r="D422" t="str">
            <v>Khiếu nại về dịch vụ FTTH</v>
          </cell>
          <cell r="W422" t="str">
            <v>Đã đóng</v>
          </cell>
          <cell r="AJ422" t="str">
            <v>Hải Phòng</v>
          </cell>
          <cell r="BX422" t="str">
            <v>AON</v>
          </cell>
        </row>
        <row r="423">
          <cell r="A423" t="str">
            <v>ON</v>
          </cell>
          <cell r="B423" t="str">
            <v>Trong 24h</v>
          </cell>
          <cell r="D423" t="str">
            <v>Khiếu nại về dịch vụ FTTH</v>
          </cell>
          <cell r="W423" t="str">
            <v>Đã đóng</v>
          </cell>
          <cell r="AJ423" t="str">
            <v>Bình Phước</v>
          </cell>
          <cell r="BX423" t="str">
            <v>AON</v>
          </cell>
        </row>
        <row r="424">
          <cell r="A424" t="str">
            <v>ON</v>
          </cell>
          <cell r="B424" t="str">
            <v>Trong 24h</v>
          </cell>
          <cell r="D424" t="str">
            <v>Khiếu nại về dịch vụ FTTH</v>
          </cell>
          <cell r="W424" t="str">
            <v>Đã đóng</v>
          </cell>
          <cell r="AJ424" t="str">
            <v>Quảng Ninh</v>
          </cell>
          <cell r="BX424" t="str">
            <v>AON</v>
          </cell>
        </row>
        <row r="425">
          <cell r="A425" t="str">
            <v>ON</v>
          </cell>
          <cell r="B425" t="str">
            <v>Trong 24h</v>
          </cell>
          <cell r="D425" t="str">
            <v>Khiếu nại về dịch vụ FTTH</v>
          </cell>
          <cell r="W425" t="str">
            <v>Đã đóng</v>
          </cell>
          <cell r="AJ425" t="str">
            <v>An Giang</v>
          </cell>
          <cell r="BX425" t="str">
            <v>AON</v>
          </cell>
        </row>
        <row r="426">
          <cell r="A426" t="str">
            <v>ON</v>
          </cell>
          <cell r="B426" t="str">
            <v>Trong 24h</v>
          </cell>
          <cell r="D426" t="str">
            <v>Khiếu nại về dịch vụ FTTH</v>
          </cell>
          <cell r="W426" t="str">
            <v>Đã đóng</v>
          </cell>
          <cell r="AJ426" t="str">
            <v>Hậu Giang</v>
          </cell>
          <cell r="BX426" t="str">
            <v>AON</v>
          </cell>
        </row>
        <row r="427">
          <cell r="A427" t="str">
            <v>ON</v>
          </cell>
          <cell r="B427" t="str">
            <v>Trong 24h</v>
          </cell>
          <cell r="D427" t="str">
            <v>Khiếu nại về dịch vụ FTTH</v>
          </cell>
          <cell r="W427" t="str">
            <v>Đã đóng</v>
          </cell>
          <cell r="AJ427" t="str">
            <v>Hà Nội 2</v>
          </cell>
          <cell r="BX427" t="str">
            <v>AON</v>
          </cell>
        </row>
        <row r="428">
          <cell r="A428" t="str">
            <v>ON</v>
          </cell>
          <cell r="B428" t="str">
            <v>Trong 24h</v>
          </cell>
          <cell r="D428" t="str">
            <v>Khiếu nại về dịch vụ FTTH</v>
          </cell>
          <cell r="W428" t="str">
            <v>Đang xử lý</v>
          </cell>
          <cell r="AJ428" t="str">
            <v>Bắc Giang</v>
          </cell>
          <cell r="BX428" t="str">
            <v>AON</v>
          </cell>
        </row>
        <row r="429">
          <cell r="A429" t="str">
            <v>ON</v>
          </cell>
          <cell r="B429" t="str">
            <v>Trong 24h</v>
          </cell>
          <cell r="D429" t="str">
            <v>Khiếu nại về dịch vụ FTTH</v>
          </cell>
          <cell r="W429" t="str">
            <v>Đã đóng</v>
          </cell>
          <cell r="AJ429" t="str">
            <v>Thái Nguyên</v>
          </cell>
          <cell r="BX429" t="str">
            <v>AON</v>
          </cell>
        </row>
        <row r="430">
          <cell r="A430" t="str">
            <v>ON</v>
          </cell>
          <cell r="B430" t="str">
            <v>Trong 24h</v>
          </cell>
          <cell r="D430" t="str">
            <v>Khiếu nại về dịch vụ FTTH</v>
          </cell>
          <cell r="W430" t="str">
            <v>Đã đóng</v>
          </cell>
          <cell r="AJ430" t="str">
            <v>Cao Bằng</v>
          </cell>
          <cell r="BX430" t="str">
            <v>AON</v>
          </cell>
        </row>
        <row r="431">
          <cell r="A431" t="str">
            <v>ON</v>
          </cell>
          <cell r="B431" t="str">
            <v>Trong 24h</v>
          </cell>
          <cell r="D431" t="str">
            <v>Khiếu nại về dịch vụ FTTH</v>
          </cell>
          <cell r="W431" t="str">
            <v>Đã đóng</v>
          </cell>
          <cell r="AJ431" t="str">
            <v>Bình Dương</v>
          </cell>
          <cell r="BX431" t="str">
            <v>AON</v>
          </cell>
        </row>
        <row r="432">
          <cell r="A432" t="str">
            <v>ON</v>
          </cell>
          <cell r="B432" t="str">
            <v>Trong 24h</v>
          </cell>
          <cell r="D432" t="str">
            <v>Khiếu nại về dịch vụ FTTH</v>
          </cell>
          <cell r="W432" t="str">
            <v>Đang xử lý</v>
          </cell>
          <cell r="AJ432" t="str">
            <v>Quảng Ninh</v>
          </cell>
          <cell r="BX432" t="str">
            <v>AON</v>
          </cell>
        </row>
        <row r="433">
          <cell r="A433" t="str">
            <v>ON</v>
          </cell>
          <cell r="B433" t="str">
            <v>Trong 24h</v>
          </cell>
          <cell r="D433" t="str">
            <v>Khiếu nại về dịch vụ FTTH</v>
          </cell>
          <cell r="W433" t="str">
            <v>Đã đóng</v>
          </cell>
          <cell r="AJ433" t="str">
            <v>Hà Nội 2</v>
          </cell>
          <cell r="BX433" t="str">
            <v>AON</v>
          </cell>
        </row>
        <row r="434">
          <cell r="A434" t="str">
            <v>ON</v>
          </cell>
          <cell r="B434" t="str">
            <v>Trong 24h</v>
          </cell>
          <cell r="D434" t="str">
            <v>Khiếu nại về dịch vụ FTTH</v>
          </cell>
          <cell r="W434" t="str">
            <v>Đã đóng</v>
          </cell>
          <cell r="AJ434" t="str">
            <v>TP HCM</v>
          </cell>
          <cell r="BX434" t="str">
            <v>AON</v>
          </cell>
        </row>
        <row r="435">
          <cell r="A435" t="str">
            <v>ON</v>
          </cell>
          <cell r="B435" t="str">
            <v>Trong 24h</v>
          </cell>
          <cell r="D435" t="str">
            <v>Khiếu nại về dịch vụ FTTH</v>
          </cell>
          <cell r="W435" t="str">
            <v>Đã đóng</v>
          </cell>
          <cell r="AJ435" t="str">
            <v>Kon Tum</v>
          </cell>
          <cell r="BX435" t="str">
            <v>AON</v>
          </cell>
        </row>
        <row r="436">
          <cell r="A436" t="str">
            <v>ON</v>
          </cell>
          <cell r="B436" t="str">
            <v>Trong 24h</v>
          </cell>
          <cell r="D436" t="str">
            <v>Khiếu nại về dịch vụ FTTH</v>
          </cell>
          <cell r="W436" t="str">
            <v>Đã đóng</v>
          </cell>
          <cell r="AJ436" t="str">
            <v>TP HCM</v>
          </cell>
          <cell r="BX436" t="str">
            <v>AON</v>
          </cell>
        </row>
        <row r="437">
          <cell r="A437" t="str">
            <v>ON</v>
          </cell>
          <cell r="B437" t="str">
            <v>Trong 24h</v>
          </cell>
          <cell r="D437" t="str">
            <v>Khiếu nại về dịch vụ FTTH</v>
          </cell>
          <cell r="W437" t="str">
            <v>Đã đóng</v>
          </cell>
          <cell r="AJ437" t="str">
            <v>Lai Châu</v>
          </cell>
          <cell r="BX437" t="str">
            <v>AON</v>
          </cell>
        </row>
        <row r="438">
          <cell r="A438" t="str">
            <v>ON</v>
          </cell>
          <cell r="B438" t="str">
            <v>Trong 24h</v>
          </cell>
          <cell r="D438" t="str">
            <v>Khiếu nại về dịch vụ FTTH</v>
          </cell>
          <cell r="W438" t="str">
            <v>Đã đóng</v>
          </cell>
          <cell r="AJ438" t="str">
            <v>TP HCM</v>
          </cell>
          <cell r="BX438" t="str">
            <v>AON</v>
          </cell>
        </row>
        <row r="439">
          <cell r="A439" t="str">
            <v>ON</v>
          </cell>
          <cell r="B439" t="str">
            <v>Trong 24h</v>
          </cell>
          <cell r="D439" t="str">
            <v>Khiếu nại về dịch vụ FTTH</v>
          </cell>
          <cell r="W439" t="str">
            <v>Đã đóng</v>
          </cell>
          <cell r="AJ439" t="str">
            <v>Hà Nội 1</v>
          </cell>
          <cell r="BX439" t="str">
            <v>AON</v>
          </cell>
        </row>
        <row r="440">
          <cell r="A440" t="str">
            <v>ON</v>
          </cell>
          <cell r="B440" t="str">
            <v>Trong 24h</v>
          </cell>
          <cell r="D440" t="str">
            <v>Khiếu nại về dịch vụ FTTH</v>
          </cell>
          <cell r="W440" t="str">
            <v>Đã đóng</v>
          </cell>
          <cell r="AJ440" t="str">
            <v>Lâm Đồng</v>
          </cell>
          <cell r="BX440" t="str">
            <v>AON</v>
          </cell>
        </row>
        <row r="441">
          <cell r="A441" t="str">
            <v>ON</v>
          </cell>
          <cell r="B441" t="str">
            <v>Trong 24h</v>
          </cell>
          <cell r="D441" t="str">
            <v>Khiếu nại về dịch vụ FTTH</v>
          </cell>
          <cell r="W441" t="str">
            <v>Đã đóng</v>
          </cell>
          <cell r="AJ441" t="str">
            <v>Hải Phòng</v>
          </cell>
          <cell r="BX441" t="str">
            <v>AON</v>
          </cell>
        </row>
        <row r="442">
          <cell r="A442" t="str">
            <v>ON</v>
          </cell>
          <cell r="B442" t="str">
            <v>Trong 24h</v>
          </cell>
          <cell r="D442" t="str">
            <v>Khiếu nại về dịch vụ FTTH</v>
          </cell>
          <cell r="W442" t="str">
            <v>Đã đóng</v>
          </cell>
          <cell r="AJ442" t="str">
            <v>Quảng Ngãi</v>
          </cell>
          <cell r="BX442" t="str">
            <v>AON</v>
          </cell>
        </row>
        <row r="443">
          <cell r="A443" t="str">
            <v>ON</v>
          </cell>
          <cell r="B443" t="str">
            <v>Trong 24h</v>
          </cell>
          <cell r="D443" t="str">
            <v>Khiếu nại về dịch vụ FTTH</v>
          </cell>
          <cell r="W443" t="str">
            <v>Đã đóng</v>
          </cell>
          <cell r="AJ443" t="str">
            <v>Cà Mau</v>
          </cell>
          <cell r="BX443" t="str">
            <v>AON</v>
          </cell>
        </row>
        <row r="444">
          <cell r="A444" t="str">
            <v>ON</v>
          </cell>
          <cell r="B444" t="str">
            <v>Trong 24h</v>
          </cell>
          <cell r="D444" t="str">
            <v>Khiếu nại về dịch vụ FTTH</v>
          </cell>
          <cell r="W444" t="str">
            <v>Đang xử lý</v>
          </cell>
          <cell r="AJ444" t="str">
            <v>Kiên Giang</v>
          </cell>
          <cell r="BX444" t="str">
            <v>AON</v>
          </cell>
        </row>
        <row r="445">
          <cell r="A445" t="str">
            <v>ON</v>
          </cell>
          <cell r="B445" t="str">
            <v>Trong 24h</v>
          </cell>
          <cell r="D445" t="str">
            <v>Khiếu nại về dịch vụ FTTH</v>
          </cell>
          <cell r="W445" t="str">
            <v>Đã đóng</v>
          </cell>
          <cell r="AJ445" t="str">
            <v>TP HCM</v>
          </cell>
          <cell r="BX445" t="str">
            <v>AON</v>
          </cell>
        </row>
        <row r="446">
          <cell r="A446" t="str">
            <v>ON</v>
          </cell>
          <cell r="B446" t="str">
            <v>Trong 24h</v>
          </cell>
          <cell r="D446" t="str">
            <v>Khiếu nại về dịch vụ FTTH</v>
          </cell>
          <cell r="W446" t="str">
            <v>Đã đóng</v>
          </cell>
          <cell r="AJ446" t="str">
            <v>Hậu Giang</v>
          </cell>
          <cell r="BX446" t="str">
            <v>AON</v>
          </cell>
        </row>
        <row r="447">
          <cell r="A447" t="str">
            <v>ON</v>
          </cell>
          <cell r="B447" t="str">
            <v>Trong 24h</v>
          </cell>
          <cell r="D447" t="str">
            <v>Khiếu nại về dịch vụ FTTH</v>
          </cell>
          <cell r="W447" t="str">
            <v>Đã đóng</v>
          </cell>
          <cell r="AJ447" t="str">
            <v>Hà Nội 1</v>
          </cell>
          <cell r="BX447" t="str">
            <v>AON</v>
          </cell>
        </row>
        <row r="448">
          <cell r="A448" t="str">
            <v>ON</v>
          </cell>
          <cell r="B448" t="str">
            <v>Trong 24h</v>
          </cell>
          <cell r="D448" t="str">
            <v>Khiếu nại về dịch vụ FTTH</v>
          </cell>
          <cell r="W448" t="str">
            <v>Đang xử lý</v>
          </cell>
          <cell r="AJ448" t="str">
            <v>Hậu Giang</v>
          </cell>
          <cell r="BX448" t="str">
            <v>AON</v>
          </cell>
        </row>
        <row r="449">
          <cell r="A449" t="str">
            <v>ON</v>
          </cell>
          <cell r="B449" t="str">
            <v>Trong 24h</v>
          </cell>
          <cell r="D449" t="str">
            <v>Khiếu nại về dịch vụ FTTH</v>
          </cell>
          <cell r="W449" t="str">
            <v>Đã đóng</v>
          </cell>
          <cell r="AJ449" t="str">
            <v xml:space="preserve">Đồng Nai </v>
          </cell>
          <cell r="BX449" t="str">
            <v>AON</v>
          </cell>
        </row>
        <row r="450">
          <cell r="A450" t="str">
            <v>ON</v>
          </cell>
          <cell r="B450" t="str">
            <v>Trong 24h</v>
          </cell>
          <cell r="D450" t="str">
            <v>Khiếu nại về dịch vụ FTTH</v>
          </cell>
          <cell r="W450" t="str">
            <v>Đang xử lý</v>
          </cell>
          <cell r="AJ450" t="str">
            <v xml:space="preserve">Đồng Nai </v>
          </cell>
          <cell r="BX450" t="str">
            <v>AON</v>
          </cell>
        </row>
        <row r="451">
          <cell r="A451" t="str">
            <v>ON</v>
          </cell>
          <cell r="B451" t="str">
            <v>Trong 24h</v>
          </cell>
          <cell r="D451" t="str">
            <v>Khiếu nại về dịch vụ FTTH</v>
          </cell>
          <cell r="W451" t="str">
            <v>Đã đóng</v>
          </cell>
          <cell r="AJ451" t="str">
            <v>Nghệ An</v>
          </cell>
          <cell r="BX451" t="str">
            <v>AON</v>
          </cell>
        </row>
        <row r="452">
          <cell r="A452" t="str">
            <v>ON</v>
          </cell>
          <cell r="B452" t="str">
            <v>Trong 24h</v>
          </cell>
          <cell r="D452" t="str">
            <v>Khiếu nại về dịch vụ FTTH</v>
          </cell>
          <cell r="W452" t="str">
            <v>Đã đóng</v>
          </cell>
          <cell r="AJ452" t="str">
            <v>Vĩnh Phúc</v>
          </cell>
          <cell r="BX452" t="str">
            <v>AON</v>
          </cell>
        </row>
        <row r="453">
          <cell r="A453" t="str">
            <v>ON</v>
          </cell>
          <cell r="B453" t="str">
            <v>Trong 24h</v>
          </cell>
          <cell r="D453" t="str">
            <v>Khiếu nại về dịch vụ FTTH</v>
          </cell>
          <cell r="W453" t="str">
            <v>Đã đóng</v>
          </cell>
          <cell r="AJ453" t="str">
            <v>Hà Nội 1</v>
          </cell>
          <cell r="BX453" t="str">
            <v>AON</v>
          </cell>
        </row>
        <row r="454">
          <cell r="A454" t="str">
            <v>ON</v>
          </cell>
          <cell r="B454" t="str">
            <v>Trong 24h</v>
          </cell>
          <cell r="D454" t="str">
            <v>Khiếu nại về dịch vụ FTTH</v>
          </cell>
          <cell r="W454" t="str">
            <v>Đã đóng</v>
          </cell>
          <cell r="AJ454" t="str">
            <v>Quảng Ninh</v>
          </cell>
          <cell r="BX454" t="str">
            <v>AON</v>
          </cell>
        </row>
        <row r="455">
          <cell r="A455" t="str">
            <v>ON</v>
          </cell>
          <cell r="B455" t="str">
            <v>Trong 24h</v>
          </cell>
          <cell r="D455" t="str">
            <v>Khiếu nại về dịch vụ FTTH</v>
          </cell>
          <cell r="W455" t="str">
            <v>Đã đóng</v>
          </cell>
          <cell r="AJ455" t="str">
            <v>Kon Tum</v>
          </cell>
          <cell r="BX455" t="str">
            <v>AON</v>
          </cell>
        </row>
        <row r="456">
          <cell r="A456" t="str">
            <v>ON</v>
          </cell>
          <cell r="B456" t="str">
            <v>Trong 24h</v>
          </cell>
          <cell r="D456" t="str">
            <v>Khiếu nại về dịch vụ FTTH</v>
          </cell>
          <cell r="W456" t="str">
            <v>Đã đóng</v>
          </cell>
          <cell r="AJ456" t="str">
            <v xml:space="preserve">Hà Tĩnh </v>
          </cell>
          <cell r="BX456" t="str">
            <v>AON</v>
          </cell>
        </row>
        <row r="457">
          <cell r="A457" t="str">
            <v>ON</v>
          </cell>
          <cell r="B457" t="str">
            <v>Trong 24h</v>
          </cell>
          <cell r="D457" t="str">
            <v>Khiếu nại về dịch vụ FTTH</v>
          </cell>
          <cell r="W457" t="str">
            <v>Đã đóng</v>
          </cell>
          <cell r="AJ457" t="str">
            <v>Bà Rịa - Vũng Tàu</v>
          </cell>
          <cell r="BX457" t="str">
            <v>AON</v>
          </cell>
        </row>
        <row r="458">
          <cell r="A458" t="str">
            <v>ON</v>
          </cell>
          <cell r="B458" t="str">
            <v>Trong 24h</v>
          </cell>
          <cell r="D458" t="str">
            <v>Khiếu nại về dịch vụ FTTH</v>
          </cell>
          <cell r="W458" t="str">
            <v>Đã đóng</v>
          </cell>
          <cell r="AJ458" t="str">
            <v>Hậu Giang</v>
          </cell>
          <cell r="BX458" t="str">
            <v>AON</v>
          </cell>
        </row>
        <row r="459">
          <cell r="A459" t="str">
            <v>ON</v>
          </cell>
          <cell r="B459" t="str">
            <v>Trong 24h</v>
          </cell>
          <cell r="D459" t="str">
            <v>Khiếu nại về dịch vụ FTTH</v>
          </cell>
          <cell r="W459" t="str">
            <v>Đã đóng</v>
          </cell>
          <cell r="AJ459" t="str">
            <v>Hà Nội 2</v>
          </cell>
          <cell r="BX459" t="str">
            <v>AON</v>
          </cell>
        </row>
        <row r="460">
          <cell r="A460" t="str">
            <v>ON</v>
          </cell>
          <cell r="B460" t="str">
            <v>Trong 24h</v>
          </cell>
          <cell r="D460" t="str">
            <v>Khiếu nại về dịch vụ FTTH</v>
          </cell>
          <cell r="W460" t="str">
            <v>Đã đóng</v>
          </cell>
          <cell r="AJ460" t="str">
            <v xml:space="preserve">Đồng Nai </v>
          </cell>
          <cell r="BX460" t="str">
            <v>AON</v>
          </cell>
        </row>
        <row r="461">
          <cell r="A461" t="str">
            <v>ON</v>
          </cell>
          <cell r="B461" t="str">
            <v>Trong 24h</v>
          </cell>
          <cell r="D461" t="str">
            <v>Khiếu nại về dịch vụ FTTH</v>
          </cell>
          <cell r="W461" t="str">
            <v>Đã đóng</v>
          </cell>
          <cell r="AJ461" t="str">
            <v>TP HCM</v>
          </cell>
          <cell r="BX461" t="str">
            <v>AON</v>
          </cell>
        </row>
        <row r="462">
          <cell r="A462" t="str">
            <v>ON</v>
          </cell>
          <cell r="B462" t="str">
            <v>Trong 24h</v>
          </cell>
          <cell r="D462" t="str">
            <v>Khiếu nại về dịch vụ FTTH</v>
          </cell>
          <cell r="W462" t="str">
            <v>Đã đóng</v>
          </cell>
          <cell r="AJ462" t="str">
            <v>Gia Lai</v>
          </cell>
          <cell r="BX462" t="str">
            <v>AON</v>
          </cell>
        </row>
        <row r="463">
          <cell r="A463" t="str">
            <v>ON</v>
          </cell>
          <cell r="B463" t="str">
            <v>Trong 24h</v>
          </cell>
          <cell r="D463" t="str">
            <v>Khiếu nại về dịch vụ FTTH</v>
          </cell>
          <cell r="W463" t="str">
            <v>Đã đóng</v>
          </cell>
          <cell r="AJ463" t="str">
            <v>TP HCM</v>
          </cell>
          <cell r="BX463" t="str">
            <v>AON</v>
          </cell>
        </row>
        <row r="464">
          <cell r="A464" t="str">
            <v>ON</v>
          </cell>
          <cell r="B464" t="str">
            <v>Trong 24h</v>
          </cell>
          <cell r="D464" t="str">
            <v>Khiếu nại về dịch vụ FTTH</v>
          </cell>
          <cell r="W464" t="str">
            <v>Đang xử lý</v>
          </cell>
          <cell r="AJ464" t="str">
            <v>Bến Tre</v>
          </cell>
          <cell r="BX464" t="str">
            <v>AON</v>
          </cell>
        </row>
        <row r="465">
          <cell r="A465" t="str">
            <v>ON</v>
          </cell>
          <cell r="B465" t="str">
            <v>Trong 24h</v>
          </cell>
          <cell r="D465" t="str">
            <v>Khiếu nại về dịch vụ FTTH</v>
          </cell>
          <cell r="W465" t="str">
            <v>Đã đóng</v>
          </cell>
          <cell r="AJ465" t="str">
            <v xml:space="preserve">Đồng Nai </v>
          </cell>
          <cell r="BX465" t="str">
            <v>AON</v>
          </cell>
        </row>
        <row r="466">
          <cell r="A466" t="str">
            <v>ON</v>
          </cell>
          <cell r="B466" t="str">
            <v>Trong 24h</v>
          </cell>
          <cell r="D466" t="str">
            <v>Khiếu nại về dịch vụ FTTH</v>
          </cell>
          <cell r="W466" t="str">
            <v>Đã đóng</v>
          </cell>
          <cell r="AJ466" t="str">
            <v>TP HCM</v>
          </cell>
          <cell r="BX466" t="str">
            <v>AON</v>
          </cell>
        </row>
        <row r="467">
          <cell r="A467" t="str">
            <v>ON</v>
          </cell>
          <cell r="B467" t="str">
            <v>Trong 24h</v>
          </cell>
          <cell r="D467" t="str">
            <v>Khiếu nại về dịch vụ FTTH</v>
          </cell>
          <cell r="W467" t="str">
            <v>Đã đóng</v>
          </cell>
          <cell r="AJ467" t="str">
            <v>TP HCM</v>
          </cell>
          <cell r="BX467" t="str">
            <v>AON</v>
          </cell>
        </row>
        <row r="468">
          <cell r="A468" t="str">
            <v>ON</v>
          </cell>
          <cell r="B468" t="str">
            <v>Trong 24h</v>
          </cell>
          <cell r="D468" t="str">
            <v>Khiếu nại về dịch vụ FTTH</v>
          </cell>
          <cell r="W468" t="str">
            <v>Đã đóng</v>
          </cell>
          <cell r="AJ468" t="str">
            <v>An Giang</v>
          </cell>
          <cell r="BX468" t="str">
            <v>AON</v>
          </cell>
        </row>
        <row r="469">
          <cell r="A469" t="str">
            <v>ON</v>
          </cell>
          <cell r="B469" t="str">
            <v>Trong 24h</v>
          </cell>
          <cell r="D469" t="str">
            <v>Khiếu nại về dịch vụ FTTH</v>
          </cell>
          <cell r="W469" t="str">
            <v>Đang xử lý</v>
          </cell>
          <cell r="AJ469" t="str">
            <v>TP HCM</v>
          </cell>
          <cell r="BX469" t="str">
            <v>AON</v>
          </cell>
        </row>
        <row r="470">
          <cell r="A470" t="str">
            <v>ON</v>
          </cell>
          <cell r="B470" t="str">
            <v>Trong 24h</v>
          </cell>
          <cell r="D470" t="str">
            <v>Khiếu nại về dịch vụ FTTH</v>
          </cell>
          <cell r="W470" t="str">
            <v>Đang xử lý</v>
          </cell>
          <cell r="AJ470" t="str">
            <v>Quảng Ninh</v>
          </cell>
          <cell r="BX470" t="str">
            <v>AON</v>
          </cell>
        </row>
        <row r="471">
          <cell r="A471" t="str">
            <v>ON</v>
          </cell>
          <cell r="B471" t="str">
            <v>Trong 24h</v>
          </cell>
          <cell r="D471" t="str">
            <v>Khiếu nại về dịch vụ FTTH</v>
          </cell>
          <cell r="W471" t="str">
            <v>Đã đóng</v>
          </cell>
          <cell r="AJ471" t="str">
            <v>Hải Phòng</v>
          </cell>
          <cell r="BX471" t="str">
            <v>AON</v>
          </cell>
        </row>
        <row r="472">
          <cell r="A472" t="str">
            <v>ON</v>
          </cell>
          <cell r="B472" t="str">
            <v>Trong 24h</v>
          </cell>
          <cell r="D472" t="str">
            <v>Khiếu nại về dịch vụ FTTH</v>
          </cell>
          <cell r="W472" t="str">
            <v>Đã đóng</v>
          </cell>
          <cell r="AJ472" t="str">
            <v>Hà Nội 1</v>
          </cell>
          <cell r="BX472" t="str">
            <v>AON</v>
          </cell>
        </row>
        <row r="473">
          <cell r="A473" t="str">
            <v>ON</v>
          </cell>
          <cell r="B473" t="str">
            <v>Trong 24h</v>
          </cell>
          <cell r="D473" t="str">
            <v>Khiếu nại về dịch vụ FTTH</v>
          </cell>
          <cell r="W473" t="str">
            <v>Đang xử lý</v>
          </cell>
          <cell r="AJ473" t="str">
            <v>Cà Mau</v>
          </cell>
          <cell r="BX473" t="str">
            <v>AON</v>
          </cell>
        </row>
        <row r="474">
          <cell r="A474" t="str">
            <v>ON</v>
          </cell>
          <cell r="B474" t="str">
            <v>Trong 24h</v>
          </cell>
          <cell r="D474" t="str">
            <v>Khiếu nại về dịch vụ FTTH</v>
          </cell>
          <cell r="W474" t="str">
            <v>Đã đóng</v>
          </cell>
          <cell r="AJ474" t="str">
            <v>Hải Phòng</v>
          </cell>
          <cell r="BX474" t="str">
            <v>AON</v>
          </cell>
        </row>
        <row r="475">
          <cell r="A475" t="str">
            <v>ON</v>
          </cell>
          <cell r="B475" t="str">
            <v>Trong 24h</v>
          </cell>
          <cell r="D475" t="str">
            <v>Khiếu nại về dịch vụ FTTH</v>
          </cell>
          <cell r="W475" t="str">
            <v>Đang xử lý</v>
          </cell>
          <cell r="AJ475" t="str">
            <v>Nghệ An</v>
          </cell>
          <cell r="BX475" t="str">
            <v>AON</v>
          </cell>
        </row>
        <row r="476">
          <cell r="A476" t="str">
            <v>ON</v>
          </cell>
          <cell r="B476" t="str">
            <v>Trong 24h</v>
          </cell>
          <cell r="D476" t="str">
            <v>Khiếu nại về dịch vụ FTTH</v>
          </cell>
          <cell r="W476" t="str">
            <v>Đang xử lý</v>
          </cell>
          <cell r="AJ476" t="str">
            <v>Bình Định</v>
          </cell>
          <cell r="BX476" t="str">
            <v>AON</v>
          </cell>
        </row>
        <row r="477">
          <cell r="A477" t="str">
            <v>ON</v>
          </cell>
          <cell r="B477" t="str">
            <v>Trong 24h</v>
          </cell>
          <cell r="D477" t="str">
            <v>Khiếu nại về dịch vụ FTTH</v>
          </cell>
          <cell r="W477" t="str">
            <v>Đã đóng</v>
          </cell>
          <cell r="AJ477" t="str">
            <v>Bình Dương</v>
          </cell>
          <cell r="BX477" t="str">
            <v>AON</v>
          </cell>
        </row>
        <row r="478">
          <cell r="A478" t="str">
            <v>ON</v>
          </cell>
          <cell r="B478" t="str">
            <v>Trong 24h</v>
          </cell>
          <cell r="D478" t="str">
            <v>Khiếu nại về dịch vụ FTTH</v>
          </cell>
          <cell r="W478" t="str">
            <v>Đã đóng</v>
          </cell>
          <cell r="AJ478" t="str">
            <v>Bắc Kạn</v>
          </cell>
          <cell r="BX478" t="str">
            <v>AON</v>
          </cell>
        </row>
        <row r="479">
          <cell r="A479" t="str">
            <v>ON</v>
          </cell>
          <cell r="B479" t="str">
            <v>Trong 24h</v>
          </cell>
          <cell r="D479" t="str">
            <v>Khiếu nại về dịch vụ FTTH</v>
          </cell>
          <cell r="W479" t="str">
            <v>Đã đóng</v>
          </cell>
          <cell r="AJ479" t="str">
            <v>TP HCM</v>
          </cell>
          <cell r="BX479" t="str">
            <v>AON</v>
          </cell>
        </row>
        <row r="480">
          <cell r="A480" t="str">
            <v>ON</v>
          </cell>
          <cell r="B480" t="str">
            <v>Trong 24h</v>
          </cell>
          <cell r="D480" t="str">
            <v>Khiếu nại về dịch vụ FTTH</v>
          </cell>
          <cell r="W480" t="str">
            <v>Đã đóng</v>
          </cell>
          <cell r="AJ480" t="str">
            <v>TP HCM</v>
          </cell>
          <cell r="BX480" t="str">
            <v>AON</v>
          </cell>
        </row>
        <row r="481">
          <cell r="A481" t="str">
            <v>ON</v>
          </cell>
          <cell r="B481" t="str">
            <v>Trong 24h</v>
          </cell>
          <cell r="D481" t="str">
            <v>Khiếu nại về dịch vụ FTTH</v>
          </cell>
          <cell r="W481" t="str">
            <v>Đã đóng</v>
          </cell>
          <cell r="AJ481" t="str">
            <v>TP HCM</v>
          </cell>
          <cell r="BX481" t="str">
            <v>GPON</v>
          </cell>
        </row>
        <row r="482">
          <cell r="A482" t="str">
            <v>ON</v>
          </cell>
          <cell r="B482" t="str">
            <v>Trong 24h</v>
          </cell>
          <cell r="D482" t="str">
            <v>Khiếu nại về dịch vụ FTTH</v>
          </cell>
          <cell r="W482" t="str">
            <v>Đã đóng</v>
          </cell>
          <cell r="AJ482" t="str">
            <v>Thái Bình</v>
          </cell>
          <cell r="BX482" t="str">
            <v>AON</v>
          </cell>
        </row>
        <row r="483">
          <cell r="A483" t="str">
            <v>ON</v>
          </cell>
          <cell r="B483" t="str">
            <v>Trong 24h</v>
          </cell>
          <cell r="D483" t="str">
            <v>Khiếu nại về dịch vụ FTTH</v>
          </cell>
          <cell r="W483" t="str">
            <v>Đã đóng</v>
          </cell>
          <cell r="AJ483" t="str">
            <v>Hà Nội 1</v>
          </cell>
          <cell r="BX483" t="str">
            <v>AON</v>
          </cell>
        </row>
        <row r="484">
          <cell r="A484" t="str">
            <v>ON</v>
          </cell>
          <cell r="B484" t="str">
            <v>Trong 24h</v>
          </cell>
          <cell r="D484" t="str">
            <v>Khiếu nại về dịch vụ FTTH</v>
          </cell>
          <cell r="W484" t="str">
            <v>Đã đóng</v>
          </cell>
          <cell r="AJ484" t="str">
            <v>Bình Thuận</v>
          </cell>
          <cell r="BX484" t="str">
            <v>AON</v>
          </cell>
        </row>
        <row r="485">
          <cell r="A485" t="str">
            <v>ON</v>
          </cell>
          <cell r="B485" t="str">
            <v>Trong 24h</v>
          </cell>
          <cell r="D485" t="str">
            <v>Khiếu nại về dịch vụ FTTH</v>
          </cell>
          <cell r="W485" t="str">
            <v>Đã đóng</v>
          </cell>
          <cell r="AJ485" t="str">
            <v>Cao Bằng</v>
          </cell>
          <cell r="BX485" t="str">
            <v>AON</v>
          </cell>
        </row>
        <row r="486">
          <cell r="A486" t="str">
            <v>ON</v>
          </cell>
          <cell r="B486" t="str">
            <v>Trong 24h</v>
          </cell>
          <cell r="D486" t="str">
            <v>Khiếu nại về dịch vụ FTTH</v>
          </cell>
          <cell r="W486" t="str">
            <v>Đã đóng</v>
          </cell>
          <cell r="AJ486" t="str">
            <v>TP HCM</v>
          </cell>
          <cell r="BX486" t="str">
            <v>AON</v>
          </cell>
        </row>
        <row r="487">
          <cell r="A487" t="str">
            <v>ON</v>
          </cell>
          <cell r="B487" t="str">
            <v>Trong 24h</v>
          </cell>
          <cell r="D487" t="str">
            <v>Khiếu nại về dịch vụ FTTH</v>
          </cell>
          <cell r="W487" t="str">
            <v>Đã đóng</v>
          </cell>
          <cell r="AJ487" t="str">
            <v>Lạng Sơn</v>
          </cell>
          <cell r="BX487" t="str">
            <v>AON</v>
          </cell>
        </row>
        <row r="488">
          <cell r="A488" t="str">
            <v>ON</v>
          </cell>
          <cell r="B488" t="str">
            <v>Trong 24h</v>
          </cell>
          <cell r="D488" t="str">
            <v>Khiếu nại về dịch vụ FTTH</v>
          </cell>
          <cell r="W488" t="str">
            <v>Đang xử lý</v>
          </cell>
          <cell r="AJ488" t="str">
            <v>TP HCM</v>
          </cell>
          <cell r="BX488" t="str">
            <v>AON</v>
          </cell>
        </row>
        <row r="489">
          <cell r="A489" t="str">
            <v>ON</v>
          </cell>
          <cell r="B489" t="str">
            <v>Trong 24h</v>
          </cell>
          <cell r="D489" t="str">
            <v>Khiếu nại về dịch vụ FTTH</v>
          </cell>
          <cell r="W489" t="str">
            <v>Đã đóng</v>
          </cell>
          <cell r="AJ489" t="str">
            <v>TP HCM</v>
          </cell>
          <cell r="BX489" t="str">
            <v>GPON</v>
          </cell>
        </row>
        <row r="490">
          <cell r="A490" t="str">
            <v>ON</v>
          </cell>
          <cell r="B490" t="str">
            <v>Trong 24h</v>
          </cell>
          <cell r="D490" t="str">
            <v>Khiếu nại về dịch vụ FTTH</v>
          </cell>
          <cell r="W490" t="str">
            <v>Đã đóng</v>
          </cell>
          <cell r="AJ490" t="str">
            <v>Gia Lai</v>
          </cell>
          <cell r="BX490" t="str">
            <v>AON</v>
          </cell>
        </row>
        <row r="491">
          <cell r="A491" t="str">
            <v>ON</v>
          </cell>
          <cell r="B491" t="str">
            <v>Trong 24h</v>
          </cell>
          <cell r="D491" t="str">
            <v>Khiếu nại về dịch vụ FTTH</v>
          </cell>
          <cell r="W491" t="str">
            <v>Đã đóng</v>
          </cell>
          <cell r="AJ491" t="str">
            <v>TP HCM</v>
          </cell>
          <cell r="BX491" t="str">
            <v>AON</v>
          </cell>
        </row>
        <row r="492">
          <cell r="A492" t="str">
            <v>ON</v>
          </cell>
          <cell r="B492" t="str">
            <v>Trong 24h</v>
          </cell>
          <cell r="D492" t="str">
            <v>Khiếu nại về dịch vụ FTTH</v>
          </cell>
          <cell r="W492" t="str">
            <v>Đã đóng</v>
          </cell>
          <cell r="AJ492" t="str">
            <v>Bắc Ninh</v>
          </cell>
          <cell r="BX492" t="str">
            <v>AON</v>
          </cell>
        </row>
        <row r="493">
          <cell r="A493" t="str">
            <v>ON</v>
          </cell>
          <cell r="B493" t="str">
            <v>Trong 24h</v>
          </cell>
          <cell r="D493" t="str">
            <v>Khiếu nại về dịch vụ FTTH</v>
          </cell>
          <cell r="W493" t="str">
            <v>Đã đóng</v>
          </cell>
          <cell r="AJ493" t="str">
            <v>Bình Dương</v>
          </cell>
          <cell r="BX493" t="str">
            <v>AON</v>
          </cell>
        </row>
        <row r="494">
          <cell r="A494" t="str">
            <v>ON</v>
          </cell>
          <cell r="B494" t="str">
            <v>Trong 24h</v>
          </cell>
          <cell r="D494" t="str">
            <v>Khiếu nại về dịch vụ FTTH</v>
          </cell>
          <cell r="W494" t="str">
            <v>Đã đóng</v>
          </cell>
          <cell r="AJ494" t="str">
            <v>Hà Nội 1</v>
          </cell>
          <cell r="BX494" t="str">
            <v>AON</v>
          </cell>
        </row>
        <row r="495">
          <cell r="A495" t="str">
            <v>ON</v>
          </cell>
          <cell r="B495" t="str">
            <v>Trong 24h</v>
          </cell>
          <cell r="D495" t="str">
            <v>Khiếu nại về dịch vụ FTTH</v>
          </cell>
          <cell r="W495" t="str">
            <v>Đã đóng</v>
          </cell>
          <cell r="AJ495" t="str">
            <v>Bắc Ninh</v>
          </cell>
          <cell r="BX495" t="str">
            <v>AON</v>
          </cell>
        </row>
        <row r="496">
          <cell r="A496" t="str">
            <v>ON</v>
          </cell>
          <cell r="B496" t="str">
            <v>Trong 24h</v>
          </cell>
          <cell r="D496" t="str">
            <v>Khiếu nại về dịch vụ FTTH</v>
          </cell>
          <cell r="W496" t="str">
            <v>Đã đóng</v>
          </cell>
          <cell r="AJ496" t="str">
            <v>Nam Định</v>
          </cell>
          <cell r="BX496" t="str">
            <v>AON</v>
          </cell>
        </row>
        <row r="497">
          <cell r="A497" t="str">
            <v>ON</v>
          </cell>
          <cell r="B497" t="str">
            <v>Trong 24h</v>
          </cell>
          <cell r="D497" t="str">
            <v>Khiếu nại về dịch vụ FTTH</v>
          </cell>
          <cell r="W497" t="str">
            <v>Đã đóng</v>
          </cell>
          <cell r="AJ497" t="str">
            <v>Nam Định</v>
          </cell>
          <cell r="BX497" t="str">
            <v>AON</v>
          </cell>
        </row>
        <row r="498">
          <cell r="A498" t="str">
            <v>ON</v>
          </cell>
          <cell r="B498" t="str">
            <v>Trong 24h</v>
          </cell>
          <cell r="D498" t="str">
            <v>Khiếu nại về dịch vụ FTTH</v>
          </cell>
          <cell r="W498" t="str">
            <v>Đã đóng</v>
          </cell>
          <cell r="AJ498" t="str">
            <v>Cà Mau</v>
          </cell>
          <cell r="BX498" t="str">
            <v>AON</v>
          </cell>
        </row>
        <row r="499">
          <cell r="A499" t="str">
            <v>ON</v>
          </cell>
          <cell r="B499" t="str">
            <v>Trong 24h</v>
          </cell>
          <cell r="D499" t="str">
            <v>Khiếu nại về dịch vụ FTTH</v>
          </cell>
          <cell r="W499" t="str">
            <v>Đã đóng</v>
          </cell>
          <cell r="AJ499" t="str">
            <v>TP HCM</v>
          </cell>
          <cell r="BX499" t="str">
            <v>AON</v>
          </cell>
        </row>
        <row r="500">
          <cell r="A500" t="str">
            <v>ON</v>
          </cell>
          <cell r="B500" t="str">
            <v>Trong 24h</v>
          </cell>
          <cell r="D500" t="str">
            <v>Khiếu nại về dịch vụ NextTV</v>
          </cell>
          <cell r="W500" t="str">
            <v>Đang xử lý</v>
          </cell>
          <cell r="AJ500" t="str">
            <v>TP HCM</v>
          </cell>
          <cell r="BX500" t="str">
            <v>AON</v>
          </cell>
        </row>
        <row r="501">
          <cell r="A501" t="str">
            <v>ON</v>
          </cell>
          <cell r="B501" t="str">
            <v>Trong 24h</v>
          </cell>
          <cell r="D501" t="str">
            <v>Khiếu nại về dịch vụ FTTH</v>
          </cell>
          <cell r="W501" t="str">
            <v>Đã đóng</v>
          </cell>
          <cell r="AJ501" t="str">
            <v>Bắc Ninh</v>
          </cell>
          <cell r="BX501" t="str">
            <v>AON</v>
          </cell>
        </row>
        <row r="502">
          <cell r="A502" t="str">
            <v>ON</v>
          </cell>
          <cell r="B502" t="str">
            <v>Trong 24h</v>
          </cell>
          <cell r="D502" t="str">
            <v>Khiếu nại về dịch vụ FTTH</v>
          </cell>
          <cell r="W502" t="str">
            <v>Đã đóng</v>
          </cell>
          <cell r="AJ502" t="str">
            <v>Bình Dương</v>
          </cell>
          <cell r="BX502" t="str">
            <v>AON</v>
          </cell>
        </row>
        <row r="503">
          <cell r="A503" t="str">
            <v>ON</v>
          </cell>
          <cell r="B503" t="str">
            <v>Trong 24h</v>
          </cell>
          <cell r="D503" t="str">
            <v>Khiếu nại về dịch vụ FTTH</v>
          </cell>
          <cell r="W503" t="str">
            <v>Đã đóng</v>
          </cell>
          <cell r="AJ503" t="str">
            <v>TP HCM</v>
          </cell>
          <cell r="BX503" t="str">
            <v>GPON</v>
          </cell>
        </row>
        <row r="504">
          <cell r="A504" t="str">
            <v>ON</v>
          </cell>
          <cell r="B504" t="str">
            <v>Trong 24h</v>
          </cell>
          <cell r="D504" t="str">
            <v>Khiếu nại về dịch vụ FTTH</v>
          </cell>
          <cell r="W504" t="str">
            <v>Đã đóng</v>
          </cell>
          <cell r="AJ504" t="str">
            <v>TP HCM</v>
          </cell>
          <cell r="BX504" t="str">
            <v>AON</v>
          </cell>
        </row>
        <row r="505">
          <cell r="A505" t="str">
            <v>ON</v>
          </cell>
          <cell r="B505" t="str">
            <v>Trong 24h</v>
          </cell>
          <cell r="D505" t="str">
            <v>Khiếu nại về dịch vụ FTTH</v>
          </cell>
          <cell r="W505" t="str">
            <v>Đã đóng</v>
          </cell>
          <cell r="AJ505" t="str">
            <v>TP HCM</v>
          </cell>
          <cell r="BX505" t="str">
            <v>AON</v>
          </cell>
        </row>
        <row r="506">
          <cell r="A506" t="str">
            <v>ON</v>
          </cell>
          <cell r="B506" t="str">
            <v>Trong 24h</v>
          </cell>
          <cell r="D506" t="str">
            <v>Khiếu nại về dịch vụ FTTH</v>
          </cell>
          <cell r="W506" t="str">
            <v>Đã đóng</v>
          </cell>
          <cell r="AJ506" t="str">
            <v>Phú Yên</v>
          </cell>
          <cell r="BX506" t="str">
            <v>AON</v>
          </cell>
        </row>
        <row r="507">
          <cell r="A507" t="str">
            <v>ON</v>
          </cell>
          <cell r="B507" t="str">
            <v>Trong 24h</v>
          </cell>
          <cell r="D507" t="str">
            <v>Khiếu nại về dịch vụ FTTH</v>
          </cell>
          <cell r="W507" t="str">
            <v>Đang xử lý</v>
          </cell>
          <cell r="AJ507" t="str">
            <v xml:space="preserve">Đắc Lắk </v>
          </cell>
          <cell r="BX507" t="str">
            <v>AON</v>
          </cell>
        </row>
        <row r="508">
          <cell r="A508" t="str">
            <v>ON</v>
          </cell>
          <cell r="B508" t="str">
            <v>Trong 24h</v>
          </cell>
          <cell r="D508" t="str">
            <v>Khiếu nại về dịch vụ FTTH</v>
          </cell>
          <cell r="W508" t="str">
            <v>Đã đóng</v>
          </cell>
          <cell r="AJ508" t="str">
            <v>TP HCM</v>
          </cell>
          <cell r="BX508" t="str">
            <v>AON</v>
          </cell>
        </row>
        <row r="509">
          <cell r="A509" t="str">
            <v>ON</v>
          </cell>
          <cell r="B509" t="str">
            <v>Trong 24h</v>
          </cell>
          <cell r="D509" t="str">
            <v>Khiếu nại về dịch vụ FTTH</v>
          </cell>
          <cell r="W509" t="str">
            <v>Đang xử lý</v>
          </cell>
          <cell r="AJ509" t="str">
            <v>Lâm Đồng</v>
          </cell>
          <cell r="BX509" t="str">
            <v>AON</v>
          </cell>
        </row>
        <row r="510">
          <cell r="A510" t="str">
            <v>ON</v>
          </cell>
          <cell r="B510" t="str">
            <v>Trong 24h</v>
          </cell>
          <cell r="D510" t="str">
            <v>Khiếu nại về dịch vụ FTTH</v>
          </cell>
          <cell r="W510" t="str">
            <v>Đang xử lý</v>
          </cell>
          <cell r="AJ510" t="str">
            <v>TP HCM</v>
          </cell>
          <cell r="BX510" t="str">
            <v>GPON</v>
          </cell>
        </row>
        <row r="511">
          <cell r="A511" t="str">
            <v>ON</v>
          </cell>
          <cell r="B511" t="str">
            <v>Trong 24h</v>
          </cell>
          <cell r="D511" t="str">
            <v>Khiếu nại về dịch vụ FTTH</v>
          </cell>
          <cell r="W511" t="str">
            <v>Đã đóng</v>
          </cell>
          <cell r="AJ511" t="str">
            <v>TP HCM</v>
          </cell>
          <cell r="BX511" t="str">
            <v>GPON</v>
          </cell>
        </row>
        <row r="512">
          <cell r="A512" t="str">
            <v>ON</v>
          </cell>
          <cell r="B512" t="str">
            <v>Trong 24h</v>
          </cell>
          <cell r="D512" t="str">
            <v>Khiếu nại về dịch vụ FTTH</v>
          </cell>
          <cell r="W512" t="str">
            <v>Đã đóng</v>
          </cell>
          <cell r="AJ512" t="str">
            <v>Phú Thọ</v>
          </cell>
          <cell r="BX512" t="str">
            <v>AON</v>
          </cell>
        </row>
        <row r="513">
          <cell r="A513" t="str">
            <v>ON</v>
          </cell>
          <cell r="B513" t="str">
            <v>Trong 24h</v>
          </cell>
          <cell r="D513" t="str">
            <v>Khiếu nại về dịch vụ FTTH</v>
          </cell>
          <cell r="W513" t="str">
            <v>Đã đóng</v>
          </cell>
          <cell r="AJ513" t="str">
            <v>Thừa Thiên Huế</v>
          </cell>
          <cell r="BX513" t="str">
            <v>AON</v>
          </cell>
        </row>
        <row r="514">
          <cell r="A514" t="str">
            <v>ON</v>
          </cell>
          <cell r="B514" t="str">
            <v>Trong 24h</v>
          </cell>
          <cell r="D514" t="str">
            <v>Khiếu nại về dịch vụ FTTH</v>
          </cell>
          <cell r="W514" t="str">
            <v>Đã đóng</v>
          </cell>
          <cell r="AJ514" t="str">
            <v>Hà Nội 2</v>
          </cell>
          <cell r="BX514" t="str">
            <v>AON</v>
          </cell>
        </row>
        <row r="515">
          <cell r="A515" t="str">
            <v>ON</v>
          </cell>
          <cell r="B515" t="str">
            <v>Trong 24h</v>
          </cell>
          <cell r="D515" t="str">
            <v>Khiếu nại về dịch vụ FTTH</v>
          </cell>
          <cell r="W515" t="str">
            <v>Đã đóng</v>
          </cell>
          <cell r="AJ515" t="str">
            <v>Hà Nội 2</v>
          </cell>
          <cell r="BX515" t="str">
            <v>AON</v>
          </cell>
        </row>
        <row r="516">
          <cell r="A516" t="str">
            <v>ON</v>
          </cell>
          <cell r="B516" t="str">
            <v>Trong 24h</v>
          </cell>
          <cell r="D516" t="str">
            <v>Khiếu nại về dịch vụ FTTH</v>
          </cell>
          <cell r="W516" t="str">
            <v>Đã đóng</v>
          </cell>
          <cell r="AJ516" t="str">
            <v>TP HCM</v>
          </cell>
          <cell r="BX516" t="str">
            <v>AON</v>
          </cell>
        </row>
        <row r="517">
          <cell r="A517" t="str">
            <v>ON</v>
          </cell>
          <cell r="B517" t="str">
            <v>Trong 24h</v>
          </cell>
          <cell r="D517" t="str">
            <v>Khiếu nại về dịch vụ FTTH</v>
          </cell>
          <cell r="W517" t="str">
            <v>Đang xử lý</v>
          </cell>
          <cell r="AJ517" t="str">
            <v>TP HCM</v>
          </cell>
          <cell r="BX517" t="str">
            <v>AON</v>
          </cell>
        </row>
        <row r="518">
          <cell r="A518" t="str">
            <v>ON</v>
          </cell>
          <cell r="B518" t="str">
            <v>Trong 24h</v>
          </cell>
          <cell r="D518" t="str">
            <v>Khiếu nại về dịch vụ FTTH</v>
          </cell>
          <cell r="W518" t="str">
            <v>Đã đóng</v>
          </cell>
          <cell r="AJ518" t="str">
            <v xml:space="preserve">Đà Nẵng </v>
          </cell>
          <cell r="BX518" t="str">
            <v>AON</v>
          </cell>
        </row>
        <row r="519">
          <cell r="A519" t="str">
            <v>ON</v>
          </cell>
          <cell r="B519" t="str">
            <v>Trong 24h</v>
          </cell>
          <cell r="D519" t="str">
            <v>Khiếu nại về dịch vụ FTTH</v>
          </cell>
          <cell r="W519" t="str">
            <v>Đang xử lý</v>
          </cell>
          <cell r="AJ519" t="str">
            <v>Kon Tum</v>
          </cell>
          <cell r="BX519" t="str">
            <v>AON</v>
          </cell>
        </row>
        <row r="520">
          <cell r="A520" t="str">
            <v>ON</v>
          </cell>
          <cell r="B520" t="str">
            <v>Trong 24h</v>
          </cell>
          <cell r="D520" t="str">
            <v>Khiếu nại về dịch vụ FTTH</v>
          </cell>
          <cell r="W520" t="str">
            <v>Đã đóng</v>
          </cell>
          <cell r="AJ520" t="str">
            <v>Hà Nội 1</v>
          </cell>
          <cell r="BX520" t="str">
            <v>AON</v>
          </cell>
        </row>
        <row r="521">
          <cell r="A521" t="str">
            <v>ON</v>
          </cell>
          <cell r="B521" t="str">
            <v>Trong 24h</v>
          </cell>
          <cell r="D521" t="str">
            <v>Khiếu nại về dịch vụ FTTH</v>
          </cell>
          <cell r="W521" t="str">
            <v>Đã đóng</v>
          </cell>
          <cell r="AJ521" t="str">
            <v>TP HCM</v>
          </cell>
          <cell r="BX521" t="str">
            <v>GPON</v>
          </cell>
        </row>
        <row r="522">
          <cell r="A522" t="str">
            <v>ON</v>
          </cell>
          <cell r="B522" t="str">
            <v>Trong 24h</v>
          </cell>
          <cell r="D522" t="str">
            <v>Khiếu nại về dịch vụ FTTH</v>
          </cell>
          <cell r="W522" t="str">
            <v>Đang xử lý</v>
          </cell>
          <cell r="AJ522" t="str">
            <v>TP HCM</v>
          </cell>
          <cell r="BX522" t="str">
            <v>GPON</v>
          </cell>
        </row>
        <row r="523">
          <cell r="A523" t="str">
            <v>ON</v>
          </cell>
          <cell r="B523" t="str">
            <v>Trong 24h</v>
          </cell>
          <cell r="D523" t="str">
            <v>Khiếu nại về dịch vụ FTTH</v>
          </cell>
          <cell r="W523" t="str">
            <v>Đang xử lý</v>
          </cell>
          <cell r="AJ523" t="str">
            <v>Quảng Ninh</v>
          </cell>
          <cell r="BX523" t="str">
            <v>AON</v>
          </cell>
        </row>
        <row r="524">
          <cell r="A524" t="str">
            <v>ON</v>
          </cell>
          <cell r="B524" t="str">
            <v>Trong 24h</v>
          </cell>
          <cell r="D524" t="str">
            <v>Khiếu nại về dịch vụ FTTH</v>
          </cell>
          <cell r="W524" t="str">
            <v>Đã đóng</v>
          </cell>
          <cell r="AJ524" t="str">
            <v>TP HCM</v>
          </cell>
          <cell r="BX524" t="str">
            <v>AON</v>
          </cell>
        </row>
        <row r="525">
          <cell r="A525" t="str">
            <v>ON</v>
          </cell>
          <cell r="B525" t="str">
            <v>Trong 24h</v>
          </cell>
          <cell r="D525" t="str">
            <v>Khiếu nại về dịch vụ FTTH</v>
          </cell>
          <cell r="W525" t="str">
            <v>Đã đóng</v>
          </cell>
          <cell r="AJ525" t="str">
            <v>Quảng Ninh</v>
          </cell>
          <cell r="BX525" t="str">
            <v>AON</v>
          </cell>
        </row>
        <row r="526">
          <cell r="A526" t="str">
            <v>ON</v>
          </cell>
          <cell r="B526" t="str">
            <v>Trong 24h</v>
          </cell>
          <cell r="D526" t="str">
            <v>Khiếu nại về dịch vụ FTTH</v>
          </cell>
          <cell r="W526" t="str">
            <v>Đã đóng</v>
          </cell>
          <cell r="AJ526" t="str">
            <v>Lào Cai</v>
          </cell>
          <cell r="BX526" t="str">
            <v>AON</v>
          </cell>
        </row>
        <row r="527">
          <cell r="A527" t="str">
            <v>ON</v>
          </cell>
          <cell r="B527" t="str">
            <v>Trong 24h</v>
          </cell>
          <cell r="D527" t="str">
            <v>Khiếu nại về dịch vụ FTTH</v>
          </cell>
          <cell r="W527" t="str">
            <v>Đã đóng</v>
          </cell>
          <cell r="AJ527" t="str">
            <v>TP HCM</v>
          </cell>
          <cell r="BX527" t="str">
            <v>GPON</v>
          </cell>
        </row>
        <row r="528">
          <cell r="A528" t="str">
            <v>ON</v>
          </cell>
          <cell r="B528" t="str">
            <v>Trong 24h</v>
          </cell>
          <cell r="D528" t="str">
            <v>Khiếu nại về dịch vụ FTTH</v>
          </cell>
          <cell r="W528" t="str">
            <v>Đã đóng</v>
          </cell>
          <cell r="AJ528" t="str">
            <v>Hà Nội 1</v>
          </cell>
          <cell r="BX528" t="str">
            <v>AON</v>
          </cell>
        </row>
        <row r="529">
          <cell r="A529" t="str">
            <v>ON</v>
          </cell>
          <cell r="B529" t="str">
            <v>Trong 24h</v>
          </cell>
          <cell r="D529" t="str">
            <v>Khiếu nại về dịch vụ FTTH</v>
          </cell>
          <cell r="W529" t="str">
            <v>Đã đóng</v>
          </cell>
          <cell r="AJ529" t="str">
            <v>Bình Định</v>
          </cell>
          <cell r="BX529" t="str">
            <v>AON</v>
          </cell>
        </row>
        <row r="530">
          <cell r="A530" t="str">
            <v>ON</v>
          </cell>
          <cell r="B530" t="str">
            <v>Trong 24h</v>
          </cell>
          <cell r="D530" t="str">
            <v>Khiếu nại về dịch vụ FTTH</v>
          </cell>
          <cell r="W530" t="str">
            <v>Đã đóng</v>
          </cell>
          <cell r="AJ530" t="str">
            <v>TP HCM</v>
          </cell>
          <cell r="BX530" t="str">
            <v>AON</v>
          </cell>
        </row>
        <row r="531">
          <cell r="A531" t="str">
            <v>ON</v>
          </cell>
          <cell r="B531" t="str">
            <v>Trong 24h</v>
          </cell>
          <cell r="D531" t="str">
            <v>Khiếu nại về dịch vụ FTTH</v>
          </cell>
          <cell r="W531" t="str">
            <v>Đã đóng</v>
          </cell>
          <cell r="AJ531" t="str">
            <v>TP HCM</v>
          </cell>
          <cell r="BX531" t="str">
            <v>AON</v>
          </cell>
        </row>
        <row r="532">
          <cell r="A532" t="str">
            <v>ON</v>
          </cell>
          <cell r="B532" t="str">
            <v>Trong 24h</v>
          </cell>
          <cell r="D532" t="str">
            <v>Khiếu nại về dịch vụ FTTH</v>
          </cell>
          <cell r="W532" t="str">
            <v>Đã đóng</v>
          </cell>
          <cell r="AJ532" t="str">
            <v>Bình Thuận</v>
          </cell>
          <cell r="BX532" t="str">
            <v>AON</v>
          </cell>
        </row>
        <row r="533">
          <cell r="A533" t="str">
            <v>ON</v>
          </cell>
          <cell r="B533" t="str">
            <v>Trong 24h</v>
          </cell>
          <cell r="D533" t="str">
            <v>Khiếu nại về dịch vụ FTTH</v>
          </cell>
          <cell r="W533" t="str">
            <v>Đang xử lý</v>
          </cell>
          <cell r="AJ533" t="str">
            <v>Thái Nguyên</v>
          </cell>
          <cell r="BX533" t="str">
            <v>AON</v>
          </cell>
        </row>
        <row r="534">
          <cell r="A534" t="str">
            <v>ON</v>
          </cell>
          <cell r="B534" t="str">
            <v>Trong 24h</v>
          </cell>
          <cell r="D534" t="str">
            <v>Khiếu nại về dịch vụ FTTH</v>
          </cell>
          <cell r="W534" t="str">
            <v>Đã đóng</v>
          </cell>
          <cell r="AJ534" t="str">
            <v>Bến Tre</v>
          </cell>
          <cell r="BX534" t="str">
            <v>AON</v>
          </cell>
        </row>
        <row r="535">
          <cell r="A535" t="str">
            <v>ON</v>
          </cell>
          <cell r="B535" t="str">
            <v>Trong 24h</v>
          </cell>
          <cell r="D535" t="str">
            <v>Khiếu nại về dịch vụ FTTH</v>
          </cell>
          <cell r="W535" t="str">
            <v>Đã đóng</v>
          </cell>
          <cell r="AJ535" t="str">
            <v>Hà Nam</v>
          </cell>
          <cell r="BX535" t="str">
            <v>AON</v>
          </cell>
        </row>
        <row r="536">
          <cell r="A536" t="str">
            <v>ON</v>
          </cell>
          <cell r="B536" t="str">
            <v>Trong 24h</v>
          </cell>
          <cell r="D536" t="str">
            <v>Khiếu nại về dịch vụ FTTH</v>
          </cell>
          <cell r="W536" t="str">
            <v>Đã đóng</v>
          </cell>
          <cell r="AJ536" t="str">
            <v>TP HCM</v>
          </cell>
          <cell r="BX536" t="str">
            <v>AON</v>
          </cell>
        </row>
        <row r="537">
          <cell r="A537" t="str">
            <v>ON</v>
          </cell>
          <cell r="B537" t="str">
            <v>Trong 24h</v>
          </cell>
          <cell r="D537" t="str">
            <v>Khiếu nại về dịch vụ FTTH</v>
          </cell>
          <cell r="W537" t="str">
            <v>Đã đóng</v>
          </cell>
          <cell r="AJ537" t="str">
            <v>Nghệ An</v>
          </cell>
          <cell r="BX537" t="str">
            <v>AON</v>
          </cell>
        </row>
        <row r="538">
          <cell r="A538" t="str">
            <v>ON</v>
          </cell>
          <cell r="B538" t="str">
            <v>Trong 24h</v>
          </cell>
          <cell r="D538" t="str">
            <v>Khiếu nại về dịch vụ FTTH</v>
          </cell>
          <cell r="W538" t="str">
            <v>Đã đóng</v>
          </cell>
          <cell r="AJ538" t="str">
            <v>TP HCM</v>
          </cell>
          <cell r="BX538" t="str">
            <v>AON</v>
          </cell>
        </row>
        <row r="539">
          <cell r="A539" t="str">
            <v>ON</v>
          </cell>
          <cell r="B539" t="str">
            <v>Trong 24h</v>
          </cell>
          <cell r="D539" t="str">
            <v>Khiếu nại về dịch vụ FTTH</v>
          </cell>
          <cell r="W539" t="str">
            <v>Đang xử lý</v>
          </cell>
          <cell r="AJ539" t="str">
            <v>TP HCM</v>
          </cell>
          <cell r="BX539" t="str">
            <v>AON</v>
          </cell>
        </row>
        <row r="540">
          <cell r="A540" t="str">
            <v>ON</v>
          </cell>
          <cell r="B540" t="str">
            <v>Trong 24h</v>
          </cell>
          <cell r="D540" t="str">
            <v>Khiếu nại về dịch vụ FTTH</v>
          </cell>
          <cell r="W540" t="str">
            <v>Đã đóng</v>
          </cell>
          <cell r="AJ540" t="str">
            <v>Bình Dương</v>
          </cell>
          <cell r="BX540" t="str">
            <v>AON</v>
          </cell>
        </row>
        <row r="541">
          <cell r="A541" t="str">
            <v>ON</v>
          </cell>
          <cell r="B541" t="str">
            <v>Trong 24h</v>
          </cell>
          <cell r="D541" t="str">
            <v>Khiếu nại về dịch vụ FTTH</v>
          </cell>
          <cell r="W541" t="str">
            <v>Đã đóng</v>
          </cell>
          <cell r="AJ541" t="str">
            <v>Nghệ An</v>
          </cell>
          <cell r="BX541" t="str">
            <v>AON</v>
          </cell>
        </row>
        <row r="542">
          <cell r="A542" t="str">
            <v>ON</v>
          </cell>
          <cell r="B542" t="str">
            <v>Trong 24h</v>
          </cell>
          <cell r="D542" t="str">
            <v>Khiếu nại về dịch vụ FTTH</v>
          </cell>
          <cell r="W542" t="str">
            <v>Đã đóng</v>
          </cell>
          <cell r="AJ542" t="str">
            <v>Kiên Giang</v>
          </cell>
          <cell r="BX542" t="str">
            <v>GPON</v>
          </cell>
        </row>
        <row r="543">
          <cell r="A543" t="str">
            <v>ON</v>
          </cell>
          <cell r="B543" t="str">
            <v>Trong 24h</v>
          </cell>
          <cell r="D543" t="str">
            <v>Khiếu nại về dịch vụ FTTH</v>
          </cell>
          <cell r="W543" t="str">
            <v>Đã đóng</v>
          </cell>
          <cell r="AJ543" t="str">
            <v>Hà Nội 1</v>
          </cell>
          <cell r="BX543" t="str">
            <v>AON</v>
          </cell>
        </row>
        <row r="544">
          <cell r="A544" t="str">
            <v>ON</v>
          </cell>
          <cell r="B544" t="str">
            <v>Trong 24h</v>
          </cell>
          <cell r="D544" t="str">
            <v>Khiếu nại về dịch vụ NextTV</v>
          </cell>
          <cell r="W544" t="str">
            <v>Đã đóng</v>
          </cell>
          <cell r="AJ544" t="str">
            <v>Lạng Sơn</v>
          </cell>
          <cell r="BX544" t="str">
            <v>AON</v>
          </cell>
        </row>
        <row r="545">
          <cell r="A545" t="str">
            <v>ON</v>
          </cell>
          <cell r="B545" t="str">
            <v>Trong 24h</v>
          </cell>
          <cell r="D545" t="str">
            <v>Khiếu nại về dịch vụ FTTH</v>
          </cell>
          <cell r="W545" t="str">
            <v>Đã đóng</v>
          </cell>
          <cell r="AJ545" t="str">
            <v>TP HCM</v>
          </cell>
          <cell r="BX545" t="str">
            <v>AON</v>
          </cell>
        </row>
        <row r="546">
          <cell r="A546" t="str">
            <v>ON</v>
          </cell>
          <cell r="B546" t="str">
            <v>Trong 24h</v>
          </cell>
          <cell r="D546" t="str">
            <v>Khiếu nại về dịch vụ FTTH</v>
          </cell>
          <cell r="W546" t="str">
            <v>Đã đóng</v>
          </cell>
          <cell r="AJ546" t="str">
            <v>Tây Ninh</v>
          </cell>
          <cell r="BX546" t="str">
            <v>AON</v>
          </cell>
        </row>
        <row r="547">
          <cell r="A547" t="str">
            <v>ON</v>
          </cell>
          <cell r="B547" t="str">
            <v>Trong 24h</v>
          </cell>
          <cell r="D547" t="str">
            <v>Khiếu nại về dịch vụ FTTH</v>
          </cell>
          <cell r="W547" t="str">
            <v>Đã đóng</v>
          </cell>
          <cell r="AJ547" t="str">
            <v>Trà Vinh</v>
          </cell>
          <cell r="BX547" t="str">
            <v>AON</v>
          </cell>
        </row>
        <row r="548">
          <cell r="A548" t="str">
            <v>ON</v>
          </cell>
          <cell r="B548" t="str">
            <v>Trong 24h</v>
          </cell>
          <cell r="D548" t="str">
            <v>Khiếu nại về dịch vụ FTTH</v>
          </cell>
          <cell r="W548" t="str">
            <v>Đang xử lý</v>
          </cell>
          <cell r="AJ548" t="str">
            <v>TP HCM</v>
          </cell>
          <cell r="BX548" t="str">
            <v>AON</v>
          </cell>
        </row>
        <row r="549">
          <cell r="A549" t="str">
            <v>ON</v>
          </cell>
          <cell r="B549" t="str">
            <v>Trong 24h</v>
          </cell>
          <cell r="D549" t="str">
            <v>Khiếu nại về dịch vụ FTTH</v>
          </cell>
          <cell r="W549" t="str">
            <v>Đã đóng</v>
          </cell>
          <cell r="AJ549" t="str">
            <v>TP HCM</v>
          </cell>
          <cell r="BX549" t="str">
            <v>AON</v>
          </cell>
        </row>
        <row r="550">
          <cell r="A550" t="str">
            <v>ON</v>
          </cell>
          <cell r="B550" t="str">
            <v>Trong 24h</v>
          </cell>
          <cell r="D550" t="str">
            <v>Khiếu nại về dịch vụ FTTH</v>
          </cell>
          <cell r="W550" t="str">
            <v>Đã đóng</v>
          </cell>
          <cell r="AJ550" t="str">
            <v>Hậu Giang</v>
          </cell>
          <cell r="BX550" t="str">
            <v>AON</v>
          </cell>
        </row>
        <row r="551">
          <cell r="A551" t="str">
            <v>ON</v>
          </cell>
          <cell r="B551" t="str">
            <v>Trong 24h</v>
          </cell>
          <cell r="D551" t="str">
            <v>Khiếu nại về dịch vụ FTTH</v>
          </cell>
          <cell r="W551" t="str">
            <v>Đã đóng</v>
          </cell>
          <cell r="AJ551" t="str">
            <v>TP HCM</v>
          </cell>
          <cell r="BX551" t="str">
            <v>AON</v>
          </cell>
        </row>
        <row r="552">
          <cell r="A552" t="str">
            <v>ON</v>
          </cell>
          <cell r="B552" t="str">
            <v>Trong 24h</v>
          </cell>
          <cell r="D552" t="str">
            <v>Khiếu nại về dịch vụ FTTH</v>
          </cell>
          <cell r="W552" t="str">
            <v>Đã đóng</v>
          </cell>
          <cell r="AJ552" t="str">
            <v>Quảng Bình</v>
          </cell>
          <cell r="BX552" t="str">
            <v>AON</v>
          </cell>
        </row>
        <row r="553">
          <cell r="A553" t="str">
            <v>ON</v>
          </cell>
          <cell r="B553" t="str">
            <v>Trong 24h</v>
          </cell>
          <cell r="D553" t="str">
            <v>Khiếu nại về dịch vụ FTTH</v>
          </cell>
          <cell r="W553" t="str">
            <v>Đã đóng</v>
          </cell>
          <cell r="AJ553" t="str">
            <v>Hà Nội 2</v>
          </cell>
          <cell r="BX553" t="str">
            <v>AON</v>
          </cell>
        </row>
        <row r="554">
          <cell r="A554" t="str">
            <v>ON</v>
          </cell>
          <cell r="B554" t="str">
            <v>Trong 24h</v>
          </cell>
          <cell r="D554" t="str">
            <v>Khiếu nại về dịch vụ NextTV</v>
          </cell>
          <cell r="W554" t="str">
            <v>Đang xử lý</v>
          </cell>
          <cell r="AJ554" t="str">
            <v>Cần Thơ</v>
          </cell>
          <cell r="BX554" t="str">
            <v>AON</v>
          </cell>
        </row>
        <row r="555">
          <cell r="A555" t="str">
            <v>ON</v>
          </cell>
          <cell r="B555" t="str">
            <v>Trong 24h</v>
          </cell>
          <cell r="D555" t="str">
            <v>Khiếu nại về dịch vụ FTTH</v>
          </cell>
          <cell r="W555" t="str">
            <v>Đã đóng</v>
          </cell>
          <cell r="AJ555" t="str">
            <v>Hải Phòng</v>
          </cell>
          <cell r="BX555" t="str">
            <v>AON</v>
          </cell>
        </row>
        <row r="556">
          <cell r="A556" t="str">
            <v>ON</v>
          </cell>
          <cell r="B556" t="str">
            <v>Trong 24h</v>
          </cell>
          <cell r="D556" t="str">
            <v>Khiếu nại về dịch vụ FTTH</v>
          </cell>
          <cell r="W556" t="str">
            <v>Đã đóng</v>
          </cell>
          <cell r="AJ556" t="str">
            <v>Long An</v>
          </cell>
          <cell r="BX556" t="str">
            <v>AON</v>
          </cell>
        </row>
        <row r="557">
          <cell r="A557" t="str">
            <v>ON</v>
          </cell>
          <cell r="B557" t="str">
            <v>Trong 24h</v>
          </cell>
          <cell r="D557" t="str">
            <v>Khiếu nại về dịch vụ FTTH</v>
          </cell>
          <cell r="W557" t="str">
            <v>Đã đóng</v>
          </cell>
          <cell r="AJ557" t="str">
            <v>TP HCM</v>
          </cell>
          <cell r="BX557" t="str">
            <v>AON</v>
          </cell>
        </row>
        <row r="558">
          <cell r="A558" t="str">
            <v>ON</v>
          </cell>
          <cell r="B558" t="str">
            <v>Trong 24h</v>
          </cell>
          <cell r="D558" t="str">
            <v>Khiếu nại về dịch vụ FTTH</v>
          </cell>
          <cell r="W558" t="str">
            <v>Đã đóng</v>
          </cell>
          <cell r="AJ558" t="str">
            <v>Quảng Trị</v>
          </cell>
          <cell r="BX558" t="str">
            <v>AON</v>
          </cell>
        </row>
        <row r="559">
          <cell r="A559" t="str">
            <v>ON</v>
          </cell>
          <cell r="B559" t="str">
            <v>Trong 24h</v>
          </cell>
          <cell r="D559" t="str">
            <v>Khiếu nại về dịch vụ FTTH</v>
          </cell>
          <cell r="W559" t="str">
            <v>Đã đóng</v>
          </cell>
          <cell r="AJ559" t="str">
            <v>Bình Dương</v>
          </cell>
          <cell r="BX559" t="str">
            <v>AON</v>
          </cell>
        </row>
        <row r="560">
          <cell r="A560" t="str">
            <v>ON</v>
          </cell>
          <cell r="B560" t="str">
            <v>Trong 24h</v>
          </cell>
          <cell r="D560" t="str">
            <v>Khiếu nại về dịch vụ FTTH</v>
          </cell>
          <cell r="W560" t="str">
            <v>Đã đóng</v>
          </cell>
          <cell r="AJ560" t="str">
            <v>Tây Ninh</v>
          </cell>
          <cell r="BX560" t="str">
            <v>AON</v>
          </cell>
        </row>
        <row r="561">
          <cell r="A561" t="str">
            <v>ON</v>
          </cell>
          <cell r="B561" t="str">
            <v>Trong 24h</v>
          </cell>
          <cell r="D561" t="str">
            <v>Khiếu nại về dịch vụ FTTH</v>
          </cell>
          <cell r="W561" t="str">
            <v>Đã đóng</v>
          </cell>
          <cell r="AJ561" t="str">
            <v>Lâm Đồng</v>
          </cell>
          <cell r="BX561" t="str">
            <v>AON</v>
          </cell>
        </row>
        <row r="562">
          <cell r="A562" t="str">
            <v>ON</v>
          </cell>
          <cell r="B562" t="str">
            <v>Trong 24h</v>
          </cell>
          <cell r="D562" t="str">
            <v>Khiếu nại về dịch vụ FTTH</v>
          </cell>
          <cell r="W562" t="str">
            <v>Đã đóng</v>
          </cell>
          <cell r="AJ562" t="str">
            <v xml:space="preserve">Đắc Lắk </v>
          </cell>
          <cell r="BX562" t="str">
            <v>AON</v>
          </cell>
        </row>
        <row r="563">
          <cell r="A563" t="str">
            <v>ON</v>
          </cell>
          <cell r="B563" t="str">
            <v>Trong 24h</v>
          </cell>
          <cell r="D563" t="str">
            <v>Khiếu nại về dịch vụ FTTH</v>
          </cell>
          <cell r="W563" t="str">
            <v>Đã đóng</v>
          </cell>
          <cell r="AJ563" t="str">
            <v>An Giang</v>
          </cell>
          <cell r="BX563" t="str">
            <v>AON</v>
          </cell>
        </row>
        <row r="564">
          <cell r="A564" t="str">
            <v>ON</v>
          </cell>
          <cell r="B564" t="str">
            <v>Trong 24h</v>
          </cell>
          <cell r="D564" t="str">
            <v>Khiếu nại về dịch vụ FTTH</v>
          </cell>
          <cell r="W564" t="str">
            <v>Đã đóng</v>
          </cell>
          <cell r="AJ564" t="str">
            <v>TP HCM</v>
          </cell>
          <cell r="BX564" t="str">
            <v>AON</v>
          </cell>
        </row>
        <row r="565">
          <cell r="A565" t="str">
            <v>ON</v>
          </cell>
          <cell r="B565" t="str">
            <v>Trong 24h</v>
          </cell>
          <cell r="D565" t="str">
            <v>Khiếu nại về dịch vụ FTTH</v>
          </cell>
          <cell r="W565" t="str">
            <v>Đã đóng</v>
          </cell>
          <cell r="AJ565" t="str">
            <v>TP HCM</v>
          </cell>
          <cell r="BX565" t="str">
            <v>AON</v>
          </cell>
        </row>
        <row r="566">
          <cell r="A566" t="str">
            <v>ON</v>
          </cell>
          <cell r="B566" t="str">
            <v>Trong 24h</v>
          </cell>
          <cell r="D566" t="str">
            <v>Khiếu nại về dịch vụ FTTH</v>
          </cell>
          <cell r="W566" t="str">
            <v>Đang xử lý</v>
          </cell>
          <cell r="AJ566" t="str">
            <v>Bình Định</v>
          </cell>
          <cell r="BX566" t="str">
            <v>AON</v>
          </cell>
        </row>
        <row r="567">
          <cell r="A567" t="str">
            <v>ON</v>
          </cell>
          <cell r="B567" t="str">
            <v>Trong 24h</v>
          </cell>
          <cell r="D567" t="str">
            <v>Khiếu nại về dịch vụ FTTH</v>
          </cell>
          <cell r="W567" t="str">
            <v>Đã đóng</v>
          </cell>
          <cell r="AJ567" t="str">
            <v>Hà Nội 1</v>
          </cell>
          <cell r="BX567" t="str">
            <v>AON</v>
          </cell>
        </row>
        <row r="568">
          <cell r="A568" t="str">
            <v>ON</v>
          </cell>
          <cell r="B568" t="str">
            <v>Trong 24h</v>
          </cell>
          <cell r="D568" t="str">
            <v>Khiếu nại về dịch vụ FTTH</v>
          </cell>
          <cell r="W568" t="str">
            <v>Đã đóng</v>
          </cell>
          <cell r="AJ568" t="str">
            <v>TP HCM</v>
          </cell>
          <cell r="BX568" t="str">
            <v>AON</v>
          </cell>
        </row>
        <row r="569">
          <cell r="A569" t="str">
            <v>ON</v>
          </cell>
          <cell r="B569" t="str">
            <v>Trong 24h</v>
          </cell>
          <cell r="D569" t="str">
            <v>Khiếu nại về dịch vụ FTTH</v>
          </cell>
          <cell r="W569" t="str">
            <v>Đã đóng</v>
          </cell>
          <cell r="AJ569" t="str">
            <v>TP HCM</v>
          </cell>
          <cell r="BX569" t="str">
            <v>AON</v>
          </cell>
        </row>
        <row r="570">
          <cell r="A570" t="str">
            <v>ON</v>
          </cell>
          <cell r="B570" t="str">
            <v>Trong 24h</v>
          </cell>
          <cell r="D570" t="str">
            <v>Khiếu nại về dịch vụ FTTH</v>
          </cell>
          <cell r="W570" t="str">
            <v>Đã đóng</v>
          </cell>
          <cell r="AJ570" t="str">
            <v>TP HCM</v>
          </cell>
          <cell r="BX570" t="str">
            <v>AON</v>
          </cell>
        </row>
        <row r="571">
          <cell r="A571" t="str">
            <v>ON</v>
          </cell>
          <cell r="B571" t="str">
            <v>Trong 24h</v>
          </cell>
          <cell r="D571" t="str">
            <v>Khiếu nại về dịch vụ FTTH</v>
          </cell>
          <cell r="W571" t="str">
            <v>Đã đóng</v>
          </cell>
          <cell r="AJ571" t="str">
            <v>TP HCM</v>
          </cell>
          <cell r="BX571" t="str">
            <v>AON</v>
          </cell>
        </row>
        <row r="572">
          <cell r="A572" t="str">
            <v>ON</v>
          </cell>
          <cell r="B572" t="str">
            <v>Trong 24h</v>
          </cell>
          <cell r="D572" t="str">
            <v>Khiếu nại về dịch vụ FTTH</v>
          </cell>
          <cell r="W572" t="str">
            <v>Đã đóng</v>
          </cell>
          <cell r="AJ572" t="str">
            <v>Hà Nội 1</v>
          </cell>
          <cell r="BX572" t="str">
            <v>AON</v>
          </cell>
        </row>
        <row r="573">
          <cell r="A573" t="str">
            <v>ON</v>
          </cell>
          <cell r="B573" t="str">
            <v>Trong 24h</v>
          </cell>
          <cell r="D573" t="str">
            <v>Khiếu nại về dịch vụ FTTH</v>
          </cell>
          <cell r="W573" t="str">
            <v>Đã đóng</v>
          </cell>
          <cell r="AJ573" t="str">
            <v>TP HCM</v>
          </cell>
          <cell r="BX573" t="str">
            <v>GPON</v>
          </cell>
        </row>
        <row r="574">
          <cell r="A574" t="str">
            <v>ON</v>
          </cell>
          <cell r="B574" t="str">
            <v>Trong 24h</v>
          </cell>
          <cell r="D574" t="str">
            <v>Khiếu nại về dịch vụ FTTH</v>
          </cell>
          <cell r="W574" t="str">
            <v>Đã đóng</v>
          </cell>
          <cell r="AJ574" t="str">
            <v>Thanh Hoá</v>
          </cell>
          <cell r="BX574" t="str">
            <v>AON</v>
          </cell>
        </row>
        <row r="575">
          <cell r="A575" t="str">
            <v>ON</v>
          </cell>
          <cell r="B575" t="str">
            <v>Trong 24h</v>
          </cell>
          <cell r="D575" t="str">
            <v>Khiếu nại về dịch vụ FTTH</v>
          </cell>
          <cell r="W575" t="str">
            <v>Đã đóng</v>
          </cell>
          <cell r="AJ575" t="str">
            <v>Bình Dương</v>
          </cell>
          <cell r="BX575" t="str">
            <v>AON</v>
          </cell>
        </row>
        <row r="576">
          <cell r="A576" t="str">
            <v>ON</v>
          </cell>
          <cell r="B576" t="str">
            <v>Trong 24h</v>
          </cell>
          <cell r="D576" t="str">
            <v>Khiếu nại về dịch vụ NextTV</v>
          </cell>
          <cell r="W576" t="str">
            <v>Đã đóng</v>
          </cell>
          <cell r="AJ576" t="str">
            <v>TP HCM</v>
          </cell>
          <cell r="BX576" t="str">
            <v>AON</v>
          </cell>
        </row>
        <row r="577">
          <cell r="A577" t="str">
            <v>ON</v>
          </cell>
          <cell r="B577" t="str">
            <v>Trong 24h</v>
          </cell>
          <cell r="D577" t="str">
            <v>Khiếu nại về dịch vụ FTTH</v>
          </cell>
          <cell r="W577" t="str">
            <v>Đã đóng</v>
          </cell>
          <cell r="AJ577" t="str">
            <v>Hà Nội 1</v>
          </cell>
          <cell r="BX577" t="str">
            <v>AON</v>
          </cell>
        </row>
        <row r="578">
          <cell r="A578" t="str">
            <v>ON</v>
          </cell>
          <cell r="B578" t="str">
            <v>Trong 24h</v>
          </cell>
          <cell r="D578" t="str">
            <v>Khiếu nại về dịch vụ FTTH</v>
          </cell>
          <cell r="W578" t="str">
            <v>Đã đóng</v>
          </cell>
          <cell r="AJ578" t="str">
            <v>Bến Tre</v>
          </cell>
          <cell r="BX578" t="str">
            <v>AON</v>
          </cell>
        </row>
        <row r="579">
          <cell r="A579" t="str">
            <v>ON</v>
          </cell>
          <cell r="B579" t="str">
            <v>Trong 24h</v>
          </cell>
          <cell r="D579" t="str">
            <v>Khiếu nại về dịch vụ FTTH</v>
          </cell>
          <cell r="W579" t="str">
            <v>Đã đóng</v>
          </cell>
          <cell r="AJ579" t="str">
            <v>Cần Thơ</v>
          </cell>
          <cell r="BX579" t="str">
            <v>AON</v>
          </cell>
        </row>
        <row r="580">
          <cell r="A580" t="str">
            <v>ON</v>
          </cell>
          <cell r="B580" t="str">
            <v>Trong 24h</v>
          </cell>
          <cell r="D580" t="str">
            <v>Khiếu nại về dịch vụ FTTH</v>
          </cell>
          <cell r="W580" t="str">
            <v>Đã đóng</v>
          </cell>
          <cell r="AJ580" t="str">
            <v xml:space="preserve">Hà Tĩnh </v>
          </cell>
          <cell r="BX580" t="str">
            <v>AON</v>
          </cell>
        </row>
        <row r="581">
          <cell r="A581" t="str">
            <v>ON</v>
          </cell>
          <cell r="B581" t="str">
            <v>Trong 24h</v>
          </cell>
          <cell r="D581" t="str">
            <v>Khiếu nại về dịch vụ FTTH</v>
          </cell>
          <cell r="W581" t="str">
            <v>Đã đóng</v>
          </cell>
          <cell r="AJ581" t="str">
            <v>Quảng Trị</v>
          </cell>
          <cell r="BX581" t="str">
            <v>AON</v>
          </cell>
        </row>
        <row r="582">
          <cell r="A582" t="str">
            <v>ON</v>
          </cell>
          <cell r="B582" t="str">
            <v>Trong 24h</v>
          </cell>
          <cell r="D582" t="str">
            <v>Khiếu nại về dịch vụ FTTH</v>
          </cell>
          <cell r="W582" t="str">
            <v>Đã đóng</v>
          </cell>
          <cell r="AJ582" t="str">
            <v xml:space="preserve">Hà Tĩnh </v>
          </cell>
          <cell r="BX582" t="str">
            <v>AON</v>
          </cell>
        </row>
        <row r="583">
          <cell r="A583" t="str">
            <v>ON</v>
          </cell>
          <cell r="B583" t="str">
            <v>Trong 24h</v>
          </cell>
          <cell r="D583" t="str">
            <v>Khiếu nại về dịch vụ FTTH</v>
          </cell>
          <cell r="W583" t="str">
            <v>Đã đóng</v>
          </cell>
          <cell r="AJ583" t="str">
            <v>Lào Cai</v>
          </cell>
          <cell r="BX583" t="str">
            <v>AON</v>
          </cell>
        </row>
        <row r="584">
          <cell r="A584" t="str">
            <v>ON</v>
          </cell>
          <cell r="B584" t="str">
            <v>Trong 24h</v>
          </cell>
          <cell r="D584" t="str">
            <v>Khiếu nại về dịch vụ FTTH</v>
          </cell>
          <cell r="W584" t="str">
            <v>Đang xử lý</v>
          </cell>
          <cell r="AJ584" t="str">
            <v>TP HCM</v>
          </cell>
          <cell r="BX584" t="str">
            <v>GPON</v>
          </cell>
        </row>
        <row r="585">
          <cell r="A585" t="str">
            <v>ON</v>
          </cell>
          <cell r="B585" t="str">
            <v>Trong 24h</v>
          </cell>
          <cell r="D585" t="str">
            <v>Khiếu nại về dịch vụ FTTH</v>
          </cell>
          <cell r="W585" t="str">
            <v>Đã đóng</v>
          </cell>
          <cell r="AJ585" t="str">
            <v xml:space="preserve">Đồng Nai </v>
          </cell>
          <cell r="BX585" t="str">
            <v>AON</v>
          </cell>
        </row>
        <row r="586">
          <cell r="A586" t="str">
            <v>ON</v>
          </cell>
          <cell r="B586" t="str">
            <v>Trong 24h</v>
          </cell>
          <cell r="D586" t="str">
            <v>Khiếu nại về dịch vụ FTTH</v>
          </cell>
          <cell r="W586" t="str">
            <v>Đã đóng</v>
          </cell>
          <cell r="AJ586" t="str">
            <v>Thanh Hoá</v>
          </cell>
          <cell r="BX586" t="str">
            <v>AON</v>
          </cell>
        </row>
        <row r="587">
          <cell r="A587" t="str">
            <v>ON</v>
          </cell>
          <cell r="B587" t="str">
            <v>Trong 24h</v>
          </cell>
          <cell r="D587" t="str">
            <v>Khiếu nại về dịch vụ FTTH</v>
          </cell>
          <cell r="W587" t="str">
            <v>Đang xử lý</v>
          </cell>
          <cell r="AJ587" t="str">
            <v>Quảng Ninh</v>
          </cell>
          <cell r="BX587" t="str">
            <v>AON</v>
          </cell>
        </row>
        <row r="588">
          <cell r="A588" t="str">
            <v>ON</v>
          </cell>
          <cell r="B588" t="str">
            <v>Trong 24h</v>
          </cell>
          <cell r="D588" t="str">
            <v>Khiếu nại về dịch vụ FTTH</v>
          </cell>
          <cell r="W588" t="str">
            <v>Đã đóng</v>
          </cell>
          <cell r="AJ588" t="str">
            <v>Hưng Yên</v>
          </cell>
          <cell r="BX588" t="str">
            <v>AON</v>
          </cell>
        </row>
        <row r="589">
          <cell r="A589" t="str">
            <v>ON</v>
          </cell>
          <cell r="B589" t="str">
            <v>Trong 24h</v>
          </cell>
          <cell r="D589" t="str">
            <v>Khiếu nại về dịch vụ FTTH</v>
          </cell>
          <cell r="W589" t="str">
            <v>Đã đóng</v>
          </cell>
          <cell r="AJ589" t="str">
            <v>Sóc Trăng</v>
          </cell>
          <cell r="BX589" t="str">
            <v>GPON</v>
          </cell>
        </row>
        <row r="590">
          <cell r="A590" t="str">
            <v>ON</v>
          </cell>
          <cell r="B590" t="str">
            <v>Trong 24h</v>
          </cell>
          <cell r="D590" t="str">
            <v>Khiếu nại về dịch vụ FTTH</v>
          </cell>
          <cell r="W590" t="str">
            <v>Đã đóng</v>
          </cell>
          <cell r="AJ590" t="str">
            <v xml:space="preserve">Đắc Lắk </v>
          </cell>
          <cell r="BX590" t="str">
            <v>AON</v>
          </cell>
        </row>
        <row r="591">
          <cell r="A591" t="str">
            <v>ON</v>
          </cell>
          <cell r="B591" t="str">
            <v>Trong 24h</v>
          </cell>
          <cell r="D591" t="str">
            <v>Khiếu nại về dịch vụ FTTH</v>
          </cell>
          <cell r="W591" t="str">
            <v>Đã đóng</v>
          </cell>
          <cell r="AJ591" t="str">
            <v>Tây Ninh</v>
          </cell>
          <cell r="BX591" t="str">
            <v>AON</v>
          </cell>
        </row>
        <row r="592">
          <cell r="A592" t="str">
            <v>ON</v>
          </cell>
          <cell r="B592" t="str">
            <v>Trong 24h</v>
          </cell>
          <cell r="D592" t="str">
            <v>Khiếu nại về dịch vụ FTTH</v>
          </cell>
          <cell r="W592" t="str">
            <v>Đã đóng</v>
          </cell>
          <cell r="AJ592" t="str">
            <v>Thanh Hoá</v>
          </cell>
          <cell r="BX592" t="str">
            <v>AON</v>
          </cell>
        </row>
        <row r="593">
          <cell r="A593" t="str">
            <v>ON</v>
          </cell>
          <cell r="B593" t="str">
            <v>Trong 24h</v>
          </cell>
          <cell r="D593" t="str">
            <v>Khiếu nại về dịch vụ FTTH</v>
          </cell>
          <cell r="W593" t="str">
            <v>Đã đóng</v>
          </cell>
          <cell r="AJ593" t="str">
            <v>TP HCM</v>
          </cell>
          <cell r="BX593" t="str">
            <v>AON</v>
          </cell>
        </row>
        <row r="594">
          <cell r="A594" t="str">
            <v>ON</v>
          </cell>
          <cell r="B594" t="str">
            <v>Trong 24h</v>
          </cell>
          <cell r="D594" t="str">
            <v>Khiếu nại về dịch vụ FTTH</v>
          </cell>
          <cell r="W594" t="str">
            <v>Đã đóng</v>
          </cell>
          <cell r="AJ594" t="str">
            <v>Vĩnh Long</v>
          </cell>
          <cell r="BX594" t="str">
            <v>AON</v>
          </cell>
        </row>
        <row r="595">
          <cell r="A595" t="str">
            <v>ON</v>
          </cell>
          <cell r="B595" t="str">
            <v>Trong 24h</v>
          </cell>
          <cell r="D595" t="str">
            <v>Khiếu nại về dịch vụ FTTH</v>
          </cell>
          <cell r="W595" t="str">
            <v>Đang xử lý</v>
          </cell>
          <cell r="AJ595" t="str">
            <v>Bình Dương</v>
          </cell>
          <cell r="BX595" t="str">
            <v>AON</v>
          </cell>
        </row>
        <row r="596">
          <cell r="A596" t="str">
            <v>ON</v>
          </cell>
          <cell r="B596" t="str">
            <v>Trong 24h</v>
          </cell>
          <cell r="D596" t="str">
            <v>Khiếu nại về dịch vụ FTTH</v>
          </cell>
          <cell r="W596" t="str">
            <v>Đã đóng</v>
          </cell>
          <cell r="AJ596" t="str">
            <v>Cần Thơ</v>
          </cell>
          <cell r="BX596" t="str">
            <v>AON</v>
          </cell>
        </row>
        <row r="597">
          <cell r="A597" t="str">
            <v>ON</v>
          </cell>
          <cell r="B597" t="str">
            <v>Trong 24h</v>
          </cell>
          <cell r="D597" t="str">
            <v>Khiếu nại về dịch vụ FTTH</v>
          </cell>
          <cell r="W597" t="str">
            <v>Đã đóng</v>
          </cell>
          <cell r="AJ597" t="str">
            <v>Gia Lai</v>
          </cell>
          <cell r="BX597" t="str">
            <v>AON</v>
          </cell>
        </row>
        <row r="598">
          <cell r="A598" t="str">
            <v>ON</v>
          </cell>
          <cell r="B598" t="str">
            <v>Trong 24h</v>
          </cell>
          <cell r="D598" t="str">
            <v>Khiếu nại về dịch vụ FTTH</v>
          </cell>
          <cell r="W598" t="str">
            <v>Đã đóng</v>
          </cell>
          <cell r="AJ598" t="str">
            <v>Bình Dương</v>
          </cell>
          <cell r="BX598" t="str">
            <v>AON</v>
          </cell>
        </row>
        <row r="599">
          <cell r="A599" t="str">
            <v>ON</v>
          </cell>
          <cell r="B599" t="str">
            <v>Trong 24h</v>
          </cell>
          <cell r="D599" t="str">
            <v>Khiếu nại về dịch vụ FTTH</v>
          </cell>
          <cell r="W599" t="str">
            <v>Đang xử lý</v>
          </cell>
          <cell r="AJ599" t="str">
            <v>TP HCM</v>
          </cell>
          <cell r="BX599" t="str">
            <v>AON</v>
          </cell>
        </row>
        <row r="600">
          <cell r="A600" t="str">
            <v>ON</v>
          </cell>
          <cell r="B600" t="str">
            <v>Trong 24h</v>
          </cell>
          <cell r="D600" t="str">
            <v>Khiếu nại về dịch vụ FTTH</v>
          </cell>
          <cell r="W600" t="str">
            <v>Đã đóng</v>
          </cell>
          <cell r="AJ600" t="str">
            <v xml:space="preserve">Đồng Nai </v>
          </cell>
          <cell r="BX600" t="str">
            <v>AON</v>
          </cell>
        </row>
        <row r="601">
          <cell r="A601" t="str">
            <v>ON</v>
          </cell>
          <cell r="B601" t="str">
            <v>Trong 24h</v>
          </cell>
          <cell r="D601" t="str">
            <v>Khiếu nại về dịch vụ FTTH</v>
          </cell>
          <cell r="W601" t="str">
            <v>Đã đóng</v>
          </cell>
          <cell r="AJ601" t="str">
            <v>Nam Định</v>
          </cell>
          <cell r="BX601" t="str">
            <v>AON</v>
          </cell>
        </row>
        <row r="602">
          <cell r="A602" t="str">
            <v>ON</v>
          </cell>
          <cell r="B602" t="str">
            <v>Trong 24h</v>
          </cell>
          <cell r="D602" t="str">
            <v>Khiếu nại về dịch vụ FTTH</v>
          </cell>
          <cell r="W602" t="str">
            <v>Đã đóng</v>
          </cell>
          <cell r="AJ602" t="str">
            <v>Tiền Giang</v>
          </cell>
          <cell r="BX602" t="str">
            <v>AON</v>
          </cell>
        </row>
        <row r="603">
          <cell r="A603" t="str">
            <v>ON</v>
          </cell>
          <cell r="B603" t="str">
            <v>Trong 24h</v>
          </cell>
          <cell r="D603" t="str">
            <v>Khiếu nại về dịch vụ FTTH</v>
          </cell>
          <cell r="W603" t="str">
            <v>Đang xử lý</v>
          </cell>
          <cell r="AJ603" t="str">
            <v xml:space="preserve">Hà Tĩnh </v>
          </cell>
          <cell r="BX603" t="str">
            <v>AON</v>
          </cell>
        </row>
        <row r="604">
          <cell r="A604" t="str">
            <v>ON</v>
          </cell>
          <cell r="B604" t="str">
            <v>Trong 24h</v>
          </cell>
          <cell r="D604" t="str">
            <v>Khiếu nại về dịch vụ FTTH</v>
          </cell>
          <cell r="W604" t="str">
            <v>Đã đóng</v>
          </cell>
          <cell r="AJ604" t="str">
            <v xml:space="preserve">Đồng Nai </v>
          </cell>
          <cell r="BX604" t="str">
            <v>AON</v>
          </cell>
        </row>
        <row r="605">
          <cell r="A605" t="str">
            <v>ON</v>
          </cell>
          <cell r="B605" t="str">
            <v>Trong 24h</v>
          </cell>
          <cell r="D605" t="str">
            <v>Khiếu nại về dịch vụ FTTH</v>
          </cell>
          <cell r="W605" t="str">
            <v>Đã đóng</v>
          </cell>
          <cell r="AJ605" t="str">
            <v>TP HCM</v>
          </cell>
          <cell r="BX605" t="str">
            <v>AON</v>
          </cell>
        </row>
        <row r="606">
          <cell r="A606" t="str">
            <v>ON</v>
          </cell>
          <cell r="B606" t="str">
            <v>Trong 24h</v>
          </cell>
          <cell r="D606" t="str">
            <v>Khiếu nại về dịch vụ NextTV</v>
          </cell>
          <cell r="W606" t="str">
            <v>Đã đóng</v>
          </cell>
          <cell r="AJ606" t="str">
            <v>Thanh Hoá</v>
          </cell>
          <cell r="BX606" t="str">
            <v>AON</v>
          </cell>
        </row>
        <row r="607">
          <cell r="A607" t="str">
            <v>ON</v>
          </cell>
          <cell r="B607" t="str">
            <v>Trong 24h</v>
          </cell>
          <cell r="D607" t="str">
            <v>Khiếu nại về dịch vụ FTTH</v>
          </cell>
          <cell r="W607" t="str">
            <v>Đã đóng</v>
          </cell>
          <cell r="AJ607" t="str">
            <v>Hà Nội 2</v>
          </cell>
          <cell r="BX607" t="str">
            <v>AON</v>
          </cell>
        </row>
        <row r="608">
          <cell r="A608" t="str">
            <v>ON</v>
          </cell>
          <cell r="B608" t="str">
            <v>Trong 24h</v>
          </cell>
          <cell r="D608" t="str">
            <v>Khiếu nại về dịch vụ FTTH</v>
          </cell>
          <cell r="W608" t="str">
            <v>Đang xử lý</v>
          </cell>
          <cell r="AJ608" t="str">
            <v>Bắc Ninh</v>
          </cell>
          <cell r="BX608" t="str">
            <v>AON</v>
          </cell>
        </row>
        <row r="609">
          <cell r="A609" t="str">
            <v>ON</v>
          </cell>
          <cell r="B609" t="str">
            <v>Trong 24h</v>
          </cell>
          <cell r="D609" t="str">
            <v>Khiếu nại về dịch vụ FTTH</v>
          </cell>
          <cell r="W609" t="str">
            <v>Đang xử lý</v>
          </cell>
          <cell r="AJ609" t="str">
            <v>TP HCM</v>
          </cell>
          <cell r="BX609" t="str">
            <v>AON</v>
          </cell>
        </row>
        <row r="610">
          <cell r="A610" t="str">
            <v>ON</v>
          </cell>
          <cell r="B610" t="str">
            <v>Trong 24h</v>
          </cell>
          <cell r="D610" t="str">
            <v>Khiếu nại về dịch vụ FTTH</v>
          </cell>
          <cell r="W610" t="str">
            <v>Đã đóng</v>
          </cell>
          <cell r="AJ610" t="str">
            <v>TP HCM</v>
          </cell>
          <cell r="BX610" t="str">
            <v>AON</v>
          </cell>
        </row>
        <row r="611">
          <cell r="A611" t="str">
            <v>ON</v>
          </cell>
          <cell r="B611" t="str">
            <v>Trong 24h</v>
          </cell>
          <cell r="D611" t="str">
            <v>Khiếu nại về dịch vụ FTTH</v>
          </cell>
          <cell r="W611" t="str">
            <v>Đã đóng</v>
          </cell>
          <cell r="AJ611" t="str">
            <v>TP HCM</v>
          </cell>
          <cell r="BX611" t="str">
            <v>AON</v>
          </cell>
        </row>
        <row r="612">
          <cell r="A612" t="str">
            <v>ON</v>
          </cell>
          <cell r="B612" t="str">
            <v>Trong 24h</v>
          </cell>
          <cell r="D612" t="str">
            <v>Khiếu nại về dịch vụ FTTH</v>
          </cell>
          <cell r="W612" t="str">
            <v>Đang xử lý</v>
          </cell>
          <cell r="AJ612" t="str">
            <v>Tây Ninh</v>
          </cell>
          <cell r="BX612" t="str">
            <v>AON</v>
          </cell>
        </row>
        <row r="613">
          <cell r="A613" t="str">
            <v>ON</v>
          </cell>
          <cell r="B613" t="str">
            <v>Trong 24h</v>
          </cell>
          <cell r="D613" t="str">
            <v>Khiếu nại về dịch vụ FTTH</v>
          </cell>
          <cell r="W613" t="str">
            <v>Đã đóng</v>
          </cell>
          <cell r="AJ613" t="str">
            <v>Hà Nội 1</v>
          </cell>
          <cell r="BX613" t="str">
            <v>AON</v>
          </cell>
        </row>
        <row r="614">
          <cell r="A614" t="str">
            <v>ON</v>
          </cell>
          <cell r="B614" t="str">
            <v>Trong 24h</v>
          </cell>
          <cell r="D614" t="str">
            <v>Khiếu nại về dịch vụ NextTV</v>
          </cell>
          <cell r="W614" t="str">
            <v>Đã đóng</v>
          </cell>
          <cell r="AJ614" t="str">
            <v>Đắc Nông</v>
          </cell>
          <cell r="BX614" t="str">
            <v>AON</v>
          </cell>
        </row>
        <row r="615">
          <cell r="A615" t="str">
            <v>ON</v>
          </cell>
          <cell r="B615" t="str">
            <v>Trong 24h</v>
          </cell>
          <cell r="D615" t="str">
            <v>Khiếu nại về dịch vụ FTTH</v>
          </cell>
          <cell r="W615" t="str">
            <v>Đang xử lý</v>
          </cell>
          <cell r="AJ615" t="str">
            <v>Hải Dương</v>
          </cell>
          <cell r="BX615" t="str">
            <v>AON</v>
          </cell>
        </row>
        <row r="616">
          <cell r="A616" t="str">
            <v>ON</v>
          </cell>
          <cell r="B616" t="str">
            <v>Trong 24h</v>
          </cell>
          <cell r="D616" t="str">
            <v>Khiếu nại về dịch vụ FTTH</v>
          </cell>
          <cell r="W616" t="str">
            <v>Đã đóng</v>
          </cell>
          <cell r="AJ616" t="str">
            <v>TP HCM</v>
          </cell>
          <cell r="BX616" t="str">
            <v>AON</v>
          </cell>
        </row>
        <row r="617">
          <cell r="A617" t="str">
            <v>ON</v>
          </cell>
          <cell r="B617" t="str">
            <v>Trong 24h</v>
          </cell>
          <cell r="D617" t="str">
            <v>Khiếu nại về dịch vụ FTTH</v>
          </cell>
          <cell r="W617" t="str">
            <v>Đang xử lý</v>
          </cell>
          <cell r="AJ617" t="str">
            <v>Thanh Hoá</v>
          </cell>
          <cell r="BX617" t="str">
            <v>AON</v>
          </cell>
        </row>
        <row r="618">
          <cell r="A618" t="str">
            <v>ON</v>
          </cell>
          <cell r="B618" t="str">
            <v>Trong 24h</v>
          </cell>
          <cell r="D618" t="str">
            <v>Khiếu nại về dịch vụ FTTH</v>
          </cell>
          <cell r="W618" t="str">
            <v>Đã đóng</v>
          </cell>
          <cell r="AJ618" t="str">
            <v>Hải Phòng</v>
          </cell>
          <cell r="BX618" t="str">
            <v>AON</v>
          </cell>
        </row>
        <row r="619">
          <cell r="A619" t="str">
            <v>ON</v>
          </cell>
          <cell r="B619" t="str">
            <v>Trong 24h</v>
          </cell>
          <cell r="D619" t="str">
            <v>Khiếu nại về dịch vụ FTTH</v>
          </cell>
          <cell r="W619" t="str">
            <v>Đã đóng</v>
          </cell>
          <cell r="AJ619" t="str">
            <v>Long An</v>
          </cell>
          <cell r="BX619" t="str">
            <v>AON</v>
          </cell>
        </row>
        <row r="620">
          <cell r="A620" t="str">
            <v>ON</v>
          </cell>
          <cell r="B620" t="str">
            <v>Trong 24h</v>
          </cell>
          <cell r="D620" t="str">
            <v>Khiếu nại về dịch vụ FTTH</v>
          </cell>
          <cell r="W620" t="str">
            <v>Đã đóng</v>
          </cell>
          <cell r="AJ620" t="str">
            <v>Thừa Thiên Huế</v>
          </cell>
          <cell r="BX620" t="str">
            <v>AON</v>
          </cell>
        </row>
        <row r="621">
          <cell r="A621" t="str">
            <v>ON</v>
          </cell>
          <cell r="B621" t="str">
            <v>Trong 24h</v>
          </cell>
          <cell r="D621" t="str">
            <v>Khiếu nại về dịch vụ NextTV</v>
          </cell>
          <cell r="W621" t="str">
            <v>Đã đóng</v>
          </cell>
          <cell r="AJ621" t="str">
            <v>Bình Dương</v>
          </cell>
          <cell r="BX621" t="str">
            <v>AON</v>
          </cell>
        </row>
        <row r="622">
          <cell r="A622" t="str">
            <v>ON</v>
          </cell>
          <cell r="B622" t="str">
            <v>Trong 24h</v>
          </cell>
          <cell r="D622" t="str">
            <v>Khiếu nại về dịch vụ FTTH</v>
          </cell>
          <cell r="W622" t="str">
            <v>Đang xử lý</v>
          </cell>
          <cell r="AJ622" t="str">
            <v>Lâm Đồng</v>
          </cell>
          <cell r="BX622" t="str">
            <v>AON</v>
          </cell>
        </row>
        <row r="623">
          <cell r="A623" t="str">
            <v>ON</v>
          </cell>
          <cell r="B623" t="str">
            <v>Trong 24h</v>
          </cell>
          <cell r="D623" t="str">
            <v>Khiếu nại về dịch vụ FTTH</v>
          </cell>
          <cell r="W623" t="str">
            <v>Đã đóng</v>
          </cell>
          <cell r="AJ623" t="str">
            <v>TP HCM</v>
          </cell>
          <cell r="BX623" t="str">
            <v>AON</v>
          </cell>
        </row>
        <row r="624">
          <cell r="A624" t="str">
            <v>ON</v>
          </cell>
          <cell r="B624" t="str">
            <v>Trong 24h</v>
          </cell>
          <cell r="D624" t="str">
            <v>Khiếu nại về dịch vụ FTTH</v>
          </cell>
          <cell r="W624" t="str">
            <v>Đã đóng</v>
          </cell>
          <cell r="AJ624" t="str">
            <v>Hà Nội 2</v>
          </cell>
          <cell r="BX624" t="str">
            <v>AON</v>
          </cell>
        </row>
        <row r="625">
          <cell r="A625" t="str">
            <v>ON</v>
          </cell>
          <cell r="B625" t="str">
            <v>Trong 24h</v>
          </cell>
          <cell r="D625" t="str">
            <v>Khiếu nại về dịch vụ FTTH</v>
          </cell>
          <cell r="W625" t="str">
            <v>Đã đóng</v>
          </cell>
          <cell r="AJ625" t="str">
            <v>Hải Phòng</v>
          </cell>
          <cell r="BX625" t="str">
            <v>AON</v>
          </cell>
        </row>
        <row r="626">
          <cell r="A626" t="str">
            <v>ON</v>
          </cell>
          <cell r="B626" t="str">
            <v>Trong 24h</v>
          </cell>
          <cell r="D626" t="str">
            <v>Khiếu nại về dịch vụ FTTH</v>
          </cell>
          <cell r="W626" t="str">
            <v>Đã đóng</v>
          </cell>
          <cell r="AJ626" t="str">
            <v>TP HCM</v>
          </cell>
          <cell r="BX626" t="str">
            <v>AON</v>
          </cell>
        </row>
        <row r="627">
          <cell r="A627" t="str">
            <v>ON</v>
          </cell>
          <cell r="B627" t="str">
            <v>Trong 24h</v>
          </cell>
          <cell r="D627" t="str">
            <v>Khiếu nại về dịch vụ FTTH</v>
          </cell>
          <cell r="W627" t="str">
            <v>Đã đóng</v>
          </cell>
          <cell r="AJ627" t="str">
            <v>Gia Lai</v>
          </cell>
          <cell r="BX627" t="str">
            <v>AON</v>
          </cell>
        </row>
        <row r="628">
          <cell r="A628" t="str">
            <v>ON</v>
          </cell>
          <cell r="B628" t="str">
            <v>Trong 24h</v>
          </cell>
          <cell r="D628" t="str">
            <v>Khiếu nại về dịch vụ FTTH</v>
          </cell>
          <cell r="W628" t="str">
            <v>Đã đóng</v>
          </cell>
          <cell r="AJ628" t="str">
            <v>Hậu Giang</v>
          </cell>
          <cell r="BX628" t="str">
            <v>AON</v>
          </cell>
        </row>
        <row r="629">
          <cell r="A629" t="str">
            <v>ON</v>
          </cell>
          <cell r="B629" t="str">
            <v>Trong 24h</v>
          </cell>
          <cell r="D629" t="str">
            <v>Khiếu nại về dịch vụ FTTH</v>
          </cell>
          <cell r="W629" t="str">
            <v>Đã đóng</v>
          </cell>
          <cell r="AJ629" t="str">
            <v>TP HCM</v>
          </cell>
          <cell r="BX629" t="str">
            <v>AON</v>
          </cell>
        </row>
        <row r="630">
          <cell r="A630" t="str">
            <v>ON</v>
          </cell>
          <cell r="B630" t="str">
            <v>Trong 24h</v>
          </cell>
          <cell r="D630" t="str">
            <v>Khiếu nại về dịch vụ FTTH</v>
          </cell>
          <cell r="W630" t="str">
            <v>Đang xử lý</v>
          </cell>
          <cell r="AJ630" t="str">
            <v>Cần Thơ</v>
          </cell>
          <cell r="BX630" t="str">
            <v>AON</v>
          </cell>
        </row>
        <row r="631">
          <cell r="A631" t="str">
            <v>ON</v>
          </cell>
          <cell r="B631" t="str">
            <v>Trong 24h</v>
          </cell>
          <cell r="D631" t="str">
            <v>Khiếu nại về dịch vụ FTTH</v>
          </cell>
          <cell r="W631" t="str">
            <v>Đang xử lý</v>
          </cell>
          <cell r="AJ631" t="str">
            <v>Bình Dương</v>
          </cell>
          <cell r="BX631" t="str">
            <v>AON</v>
          </cell>
        </row>
        <row r="632">
          <cell r="A632" t="str">
            <v>ON</v>
          </cell>
          <cell r="B632" t="str">
            <v>Trong 24h</v>
          </cell>
          <cell r="D632" t="str">
            <v>Khiếu nại về dịch vụ FTTH</v>
          </cell>
          <cell r="W632" t="str">
            <v>Đã đóng</v>
          </cell>
          <cell r="AJ632" t="str">
            <v>Đắc Nông</v>
          </cell>
          <cell r="BX632" t="str">
            <v>AON</v>
          </cell>
        </row>
        <row r="633">
          <cell r="A633" t="str">
            <v>ON</v>
          </cell>
          <cell r="B633" t="str">
            <v>Trong 24h</v>
          </cell>
          <cell r="D633" t="str">
            <v>Khiếu nại về dịch vụ FTTH</v>
          </cell>
          <cell r="W633" t="str">
            <v>Đang xử lý</v>
          </cell>
          <cell r="AJ633" t="str">
            <v>TP HCM</v>
          </cell>
          <cell r="BX633" t="str">
            <v>AON</v>
          </cell>
        </row>
        <row r="634">
          <cell r="A634" t="str">
            <v>ON</v>
          </cell>
          <cell r="B634" t="str">
            <v>Trong 24h</v>
          </cell>
          <cell r="D634" t="str">
            <v>Khiếu nại về dịch vụ FTTH</v>
          </cell>
          <cell r="W634" t="str">
            <v>Đã đóng</v>
          </cell>
          <cell r="AJ634" t="str">
            <v>Thái Bình</v>
          </cell>
          <cell r="BX634" t="str">
            <v>AON</v>
          </cell>
        </row>
        <row r="635">
          <cell r="A635" t="str">
            <v>ON</v>
          </cell>
          <cell r="B635" t="str">
            <v>Trong 24h</v>
          </cell>
          <cell r="D635" t="str">
            <v>Khiếu nại về dịch vụ FTTH</v>
          </cell>
          <cell r="W635" t="str">
            <v>Đã đóng</v>
          </cell>
          <cell r="AJ635" t="str">
            <v>Hà Nội 2</v>
          </cell>
          <cell r="BX635" t="str">
            <v>AON</v>
          </cell>
        </row>
        <row r="636">
          <cell r="A636" t="str">
            <v>ON</v>
          </cell>
          <cell r="B636" t="str">
            <v>Trong 24h</v>
          </cell>
          <cell r="D636" t="str">
            <v>Khiếu nại về dịch vụ FTTH</v>
          </cell>
          <cell r="W636" t="str">
            <v>Đã đóng</v>
          </cell>
          <cell r="AJ636" t="str">
            <v xml:space="preserve">Đồng Nai </v>
          </cell>
          <cell r="BX636" t="str">
            <v>AON</v>
          </cell>
        </row>
        <row r="637">
          <cell r="A637" t="str">
            <v>ON</v>
          </cell>
          <cell r="B637" t="str">
            <v>Trong 24h</v>
          </cell>
          <cell r="D637" t="str">
            <v>Khiếu nại về dịch vụ FTTH</v>
          </cell>
          <cell r="W637" t="str">
            <v>Đã đóng</v>
          </cell>
          <cell r="AJ637" t="str">
            <v>Hậu Giang</v>
          </cell>
          <cell r="BX637" t="str">
            <v>AON</v>
          </cell>
        </row>
        <row r="638">
          <cell r="A638" t="str">
            <v>ON</v>
          </cell>
          <cell r="B638" t="str">
            <v>Trong 24h</v>
          </cell>
          <cell r="D638" t="str">
            <v>Khiếu nại về dịch vụ FTTH</v>
          </cell>
          <cell r="W638" t="str">
            <v>Đang xử lý</v>
          </cell>
          <cell r="AJ638" t="str">
            <v>Lạng Sơn</v>
          </cell>
          <cell r="BX638" t="str">
            <v>AON</v>
          </cell>
        </row>
        <row r="639">
          <cell r="A639" t="str">
            <v>ON</v>
          </cell>
          <cell r="B639" t="str">
            <v>Trong 24h</v>
          </cell>
          <cell r="D639" t="str">
            <v>Khiếu nại về dịch vụ FTTH</v>
          </cell>
          <cell r="W639" t="str">
            <v>Đã đóng</v>
          </cell>
          <cell r="AJ639" t="str">
            <v>Hà Nội 1</v>
          </cell>
          <cell r="BX639" t="str">
            <v>AON</v>
          </cell>
        </row>
        <row r="640">
          <cell r="A640" t="str">
            <v>ON</v>
          </cell>
          <cell r="B640" t="str">
            <v>Trong 24h</v>
          </cell>
          <cell r="D640" t="str">
            <v>Khiếu nại về dịch vụ FTTH</v>
          </cell>
          <cell r="W640" t="str">
            <v>Đã đóng</v>
          </cell>
          <cell r="AJ640" t="str">
            <v>Thừa Thiên Huế</v>
          </cell>
          <cell r="BX640" t="str">
            <v>AON</v>
          </cell>
        </row>
        <row r="641">
          <cell r="A641" t="str">
            <v>ON</v>
          </cell>
          <cell r="B641" t="str">
            <v>Trong 24h</v>
          </cell>
          <cell r="D641" t="str">
            <v>Khiếu nại về dịch vụ FTTH</v>
          </cell>
          <cell r="W641" t="str">
            <v>Đang xử lý</v>
          </cell>
          <cell r="AJ641" t="str">
            <v>TP HCM</v>
          </cell>
          <cell r="BX641" t="str">
            <v>AON</v>
          </cell>
        </row>
        <row r="642">
          <cell r="A642" t="str">
            <v>ON</v>
          </cell>
          <cell r="B642" t="str">
            <v>Trong 24h</v>
          </cell>
          <cell r="D642" t="str">
            <v>Khiếu nại về dịch vụ FTTH</v>
          </cell>
          <cell r="W642" t="str">
            <v>Đã đóng</v>
          </cell>
          <cell r="AJ642" t="str">
            <v>Bình Dương</v>
          </cell>
          <cell r="BX642" t="str">
            <v>AON</v>
          </cell>
        </row>
        <row r="643">
          <cell r="A643" t="str">
            <v>ON</v>
          </cell>
          <cell r="B643" t="str">
            <v>Trong 24h</v>
          </cell>
          <cell r="D643" t="str">
            <v>Khiếu nại về dịch vụ FTTH</v>
          </cell>
          <cell r="W643" t="str">
            <v>Đã đóng</v>
          </cell>
          <cell r="AJ643" t="str">
            <v>Thừa Thiên Huế</v>
          </cell>
          <cell r="BX643" t="str">
            <v>AON</v>
          </cell>
        </row>
        <row r="644">
          <cell r="A644" t="str">
            <v>ON</v>
          </cell>
          <cell r="B644" t="str">
            <v>Trong 24h</v>
          </cell>
          <cell r="D644" t="str">
            <v>Khiếu nại về dịch vụ FTTH</v>
          </cell>
          <cell r="W644" t="str">
            <v>Đã đóng</v>
          </cell>
          <cell r="AJ644" t="str">
            <v>Hà Nội 1</v>
          </cell>
          <cell r="BX644" t="str">
            <v>AON</v>
          </cell>
        </row>
        <row r="645">
          <cell r="A645" t="str">
            <v>ON</v>
          </cell>
          <cell r="B645" t="str">
            <v>Trong 24h</v>
          </cell>
          <cell r="D645" t="str">
            <v>Khiếu nại về dịch vụ FTTH</v>
          </cell>
          <cell r="W645" t="str">
            <v>Đã đóng</v>
          </cell>
          <cell r="AJ645" t="str">
            <v>Hà Nội 2</v>
          </cell>
          <cell r="BX645" t="str">
            <v>AON</v>
          </cell>
        </row>
        <row r="646">
          <cell r="A646" t="str">
            <v>ON</v>
          </cell>
          <cell r="B646" t="str">
            <v>Trong 24h</v>
          </cell>
          <cell r="D646" t="str">
            <v>Khiếu nại về dịch vụ FTTH</v>
          </cell>
          <cell r="W646" t="str">
            <v>Đang xử lý</v>
          </cell>
          <cell r="AJ646" t="str">
            <v>Kiên Giang</v>
          </cell>
          <cell r="BX646" t="str">
            <v>AON</v>
          </cell>
        </row>
        <row r="647">
          <cell r="A647" t="str">
            <v>ON</v>
          </cell>
          <cell r="B647" t="str">
            <v>Trong 24h</v>
          </cell>
          <cell r="D647" t="str">
            <v>Khiếu nại về dịch vụ FTTH</v>
          </cell>
          <cell r="W647" t="str">
            <v>Đã đóng</v>
          </cell>
          <cell r="AJ647" t="str">
            <v>Quảng Bình</v>
          </cell>
          <cell r="BX647" t="str">
            <v>AON</v>
          </cell>
        </row>
        <row r="648">
          <cell r="A648" t="str">
            <v>ON</v>
          </cell>
          <cell r="B648" t="str">
            <v>Trong 24h</v>
          </cell>
          <cell r="D648" t="str">
            <v>Khiếu nại về dịch vụ FTTH</v>
          </cell>
          <cell r="W648" t="str">
            <v>Đang xử lý</v>
          </cell>
          <cell r="AJ648" t="str">
            <v xml:space="preserve">Đồng Nai </v>
          </cell>
          <cell r="BX648" t="str">
            <v>AON</v>
          </cell>
        </row>
        <row r="649">
          <cell r="A649" t="str">
            <v>ON</v>
          </cell>
          <cell r="B649" t="str">
            <v>Trong 24h</v>
          </cell>
          <cell r="D649" t="str">
            <v>Khiếu nại về dịch vụ FTTH</v>
          </cell>
          <cell r="W649" t="str">
            <v>Đã đóng</v>
          </cell>
          <cell r="AJ649" t="str">
            <v>An Giang</v>
          </cell>
          <cell r="BX649" t="str">
            <v>AON</v>
          </cell>
        </row>
        <row r="650">
          <cell r="A650" t="str">
            <v>ON</v>
          </cell>
          <cell r="B650" t="str">
            <v>Trong 24h</v>
          </cell>
          <cell r="D650" t="str">
            <v>Khiếu nại về dịch vụ FTTH</v>
          </cell>
          <cell r="W650" t="str">
            <v>Đã đóng</v>
          </cell>
          <cell r="AJ650" t="str">
            <v>Thái Bình</v>
          </cell>
          <cell r="BX650" t="str">
            <v>AON</v>
          </cell>
        </row>
        <row r="651">
          <cell r="A651" t="str">
            <v>ON</v>
          </cell>
          <cell r="B651" t="str">
            <v>Trong 24h</v>
          </cell>
          <cell r="D651" t="str">
            <v>Khiếu nại về dịch vụ FTTH</v>
          </cell>
          <cell r="W651" t="str">
            <v>Đã đóng</v>
          </cell>
          <cell r="AJ651" t="str">
            <v>Sóc Trăng</v>
          </cell>
          <cell r="BX651" t="str">
            <v>AON</v>
          </cell>
        </row>
        <row r="652">
          <cell r="A652" t="str">
            <v>ON</v>
          </cell>
          <cell r="B652" t="str">
            <v>Trong 24h</v>
          </cell>
          <cell r="D652" t="str">
            <v>Khiếu nại về dịch vụ FTTH</v>
          </cell>
          <cell r="W652" t="str">
            <v>Đã đóng</v>
          </cell>
          <cell r="AJ652" t="str">
            <v>Thừa Thiên Huế</v>
          </cell>
          <cell r="BX652" t="str">
            <v>AON</v>
          </cell>
        </row>
        <row r="653">
          <cell r="A653" t="str">
            <v>ON</v>
          </cell>
          <cell r="B653" t="str">
            <v>Trong 24h</v>
          </cell>
          <cell r="D653" t="str">
            <v>Khiếu nại về dịch vụ FTTH</v>
          </cell>
          <cell r="W653" t="str">
            <v>Đã đóng</v>
          </cell>
          <cell r="AJ653" t="str">
            <v>Bà Rịa - Vũng Tàu</v>
          </cell>
          <cell r="BX653" t="str">
            <v>AON</v>
          </cell>
        </row>
        <row r="654">
          <cell r="A654" t="str">
            <v>ON</v>
          </cell>
          <cell r="B654" t="str">
            <v>Trong 24h</v>
          </cell>
          <cell r="D654" t="str">
            <v>Khiếu nại về dịch vụ FTTH</v>
          </cell>
          <cell r="W654" t="str">
            <v>Đã đóng</v>
          </cell>
          <cell r="AJ654" t="str">
            <v>Hà Nội 1</v>
          </cell>
          <cell r="BX654" t="str">
            <v>AON</v>
          </cell>
        </row>
        <row r="655">
          <cell r="A655" t="str">
            <v>ON</v>
          </cell>
          <cell r="B655" t="str">
            <v>Trong 24h</v>
          </cell>
          <cell r="D655" t="str">
            <v>Khiếu nại về dịch vụ FTTH</v>
          </cell>
          <cell r="W655" t="str">
            <v>Đã đóng</v>
          </cell>
          <cell r="AJ655" t="str">
            <v>Hà Nội 2</v>
          </cell>
          <cell r="BX655" t="str">
            <v>AON</v>
          </cell>
        </row>
        <row r="656">
          <cell r="A656" t="str">
            <v>ON</v>
          </cell>
          <cell r="B656" t="str">
            <v>Trong 24h</v>
          </cell>
          <cell r="D656" t="str">
            <v>Khiếu nại về dịch vụ FTTH</v>
          </cell>
          <cell r="W656" t="str">
            <v>Đã đóng</v>
          </cell>
          <cell r="AJ656" t="str">
            <v>TP HCM</v>
          </cell>
          <cell r="BX656" t="str">
            <v>AON</v>
          </cell>
        </row>
        <row r="657">
          <cell r="A657" t="str">
            <v>ON</v>
          </cell>
          <cell r="B657" t="str">
            <v>Trong 24h</v>
          </cell>
          <cell r="D657" t="str">
            <v>Khiếu nại về dịch vụ FTTH</v>
          </cell>
          <cell r="W657" t="str">
            <v>Đã đóng</v>
          </cell>
          <cell r="AJ657" t="str">
            <v>TP HCM</v>
          </cell>
          <cell r="BX657" t="str">
            <v>AON</v>
          </cell>
        </row>
        <row r="658">
          <cell r="A658" t="str">
            <v>ON</v>
          </cell>
          <cell r="B658" t="str">
            <v>Trong 24h</v>
          </cell>
          <cell r="D658" t="str">
            <v>Khiếu nại về dịch vụ FTTH</v>
          </cell>
          <cell r="W658" t="str">
            <v>Đã đóng</v>
          </cell>
          <cell r="AJ658" t="str">
            <v>TP HCM</v>
          </cell>
          <cell r="BX658" t="str">
            <v>AON</v>
          </cell>
        </row>
        <row r="659">
          <cell r="A659" t="str">
            <v>ON</v>
          </cell>
          <cell r="B659" t="str">
            <v>Trong 24h</v>
          </cell>
          <cell r="D659" t="str">
            <v>Khiếu nại về dịch vụ FTTH</v>
          </cell>
          <cell r="W659" t="str">
            <v>Đã đóng</v>
          </cell>
          <cell r="AJ659" t="str">
            <v>TP HCM</v>
          </cell>
          <cell r="BX659" t="str">
            <v>AON</v>
          </cell>
        </row>
        <row r="660">
          <cell r="A660" t="str">
            <v>ON</v>
          </cell>
          <cell r="B660" t="str">
            <v>Trong 24h</v>
          </cell>
          <cell r="D660" t="str">
            <v>Khiếu nại về dịch vụ FTTH</v>
          </cell>
          <cell r="W660" t="str">
            <v>Đang xử lý</v>
          </cell>
          <cell r="AJ660" t="str">
            <v>Thừa Thiên Huế</v>
          </cell>
          <cell r="BX660" t="str">
            <v>AON</v>
          </cell>
        </row>
        <row r="661">
          <cell r="A661" t="str">
            <v>ON</v>
          </cell>
          <cell r="B661" t="str">
            <v>Trong 24h</v>
          </cell>
          <cell r="D661" t="str">
            <v>Khiếu nại về dịch vụ FTTH</v>
          </cell>
          <cell r="W661" t="str">
            <v>Đã đóng</v>
          </cell>
          <cell r="AJ661" t="str">
            <v>Quảng Trị</v>
          </cell>
          <cell r="BX661" t="str">
            <v>AON</v>
          </cell>
        </row>
        <row r="662">
          <cell r="A662" t="str">
            <v>ON</v>
          </cell>
          <cell r="B662" t="str">
            <v>Trong 24h</v>
          </cell>
          <cell r="D662" t="str">
            <v>Khiếu nại về dịch vụ FTTH</v>
          </cell>
          <cell r="W662" t="str">
            <v>Đã đóng</v>
          </cell>
          <cell r="AJ662" t="str">
            <v>TP HCM</v>
          </cell>
          <cell r="BX662" t="str">
            <v>AON</v>
          </cell>
        </row>
        <row r="663">
          <cell r="A663" t="str">
            <v>ON</v>
          </cell>
          <cell r="B663" t="str">
            <v>Trong 24h</v>
          </cell>
          <cell r="D663" t="str">
            <v>Khiếu nại về dịch vụ FTTH</v>
          </cell>
          <cell r="W663" t="str">
            <v>Đã đóng</v>
          </cell>
          <cell r="AJ663" t="str">
            <v>Điện Biên</v>
          </cell>
          <cell r="BX663" t="str">
            <v>AON</v>
          </cell>
        </row>
        <row r="664">
          <cell r="A664" t="str">
            <v>ON</v>
          </cell>
          <cell r="B664" t="str">
            <v>Trong 24h</v>
          </cell>
          <cell r="D664" t="str">
            <v>Khiếu nại về dịch vụ FTTH</v>
          </cell>
          <cell r="W664" t="str">
            <v>Đã đóng</v>
          </cell>
          <cell r="AJ664" t="str">
            <v>TP HCM</v>
          </cell>
          <cell r="BX664" t="str">
            <v>AON</v>
          </cell>
        </row>
        <row r="665">
          <cell r="A665" t="str">
            <v>ON</v>
          </cell>
          <cell r="B665" t="str">
            <v>Trong 24h</v>
          </cell>
          <cell r="D665" t="str">
            <v>Khiếu nại về dịch vụ FTTH</v>
          </cell>
          <cell r="W665" t="str">
            <v>Đang xử lý</v>
          </cell>
          <cell r="AJ665" t="str">
            <v>Bình Thuận</v>
          </cell>
          <cell r="BX665" t="str">
            <v>AON</v>
          </cell>
        </row>
        <row r="666">
          <cell r="A666" t="str">
            <v>ON</v>
          </cell>
          <cell r="B666" t="str">
            <v>Trong 24h</v>
          </cell>
          <cell r="D666" t="str">
            <v>Khiếu nại về dịch vụ FTTH</v>
          </cell>
          <cell r="W666" t="str">
            <v>Đang xử lý</v>
          </cell>
          <cell r="AJ666" t="str">
            <v>TP HCM</v>
          </cell>
          <cell r="BX666" t="str">
            <v>AON</v>
          </cell>
        </row>
        <row r="667">
          <cell r="A667" t="str">
            <v>ON</v>
          </cell>
          <cell r="B667" t="str">
            <v>Trong 24h</v>
          </cell>
          <cell r="D667" t="str">
            <v>Khiếu nại về dịch vụ FTTH</v>
          </cell>
          <cell r="W667" t="str">
            <v>Đã đóng</v>
          </cell>
          <cell r="AJ667" t="str">
            <v>Long An</v>
          </cell>
          <cell r="BX667" t="str">
            <v>AON</v>
          </cell>
        </row>
        <row r="668">
          <cell r="A668" t="str">
            <v>ON</v>
          </cell>
          <cell r="B668" t="str">
            <v>Trong 24h</v>
          </cell>
          <cell r="D668" t="str">
            <v>Khiếu nại về dịch vụ FTTH</v>
          </cell>
          <cell r="W668" t="str">
            <v>Đã đóng</v>
          </cell>
          <cell r="AJ668" t="str">
            <v xml:space="preserve">Hà Tĩnh </v>
          </cell>
          <cell r="BX668" t="str">
            <v>AON</v>
          </cell>
        </row>
        <row r="669">
          <cell r="A669" t="str">
            <v>ON</v>
          </cell>
          <cell r="B669" t="str">
            <v>Trong 24h</v>
          </cell>
          <cell r="D669" t="str">
            <v>Khiếu nại về dịch vụ FTTH</v>
          </cell>
          <cell r="W669" t="str">
            <v>Đang xử lý</v>
          </cell>
          <cell r="AJ669" t="str">
            <v>Cần Thơ</v>
          </cell>
          <cell r="BX669" t="str">
            <v>AON</v>
          </cell>
        </row>
        <row r="670">
          <cell r="A670" t="str">
            <v>ON</v>
          </cell>
          <cell r="B670" t="str">
            <v>Trong 24h</v>
          </cell>
          <cell r="D670" t="str">
            <v>Khiếu nại về dịch vụ FTTH</v>
          </cell>
          <cell r="W670" t="str">
            <v>Đã đóng</v>
          </cell>
          <cell r="AJ670" t="str">
            <v>Nam Định</v>
          </cell>
          <cell r="BX670" t="str">
            <v>AON</v>
          </cell>
        </row>
        <row r="671">
          <cell r="A671" t="str">
            <v>ON</v>
          </cell>
          <cell r="B671" t="str">
            <v>Trong 24h</v>
          </cell>
          <cell r="D671" t="str">
            <v>Khiếu nại về dịch vụ FTTH</v>
          </cell>
          <cell r="W671" t="str">
            <v>Đã đóng</v>
          </cell>
          <cell r="AJ671" t="str">
            <v>TP HCM</v>
          </cell>
          <cell r="BX671" t="str">
            <v>AON</v>
          </cell>
        </row>
        <row r="672">
          <cell r="A672" t="str">
            <v>ON</v>
          </cell>
          <cell r="B672" t="str">
            <v>Trong 24h</v>
          </cell>
          <cell r="D672" t="str">
            <v>Khiếu nại về dịch vụ FTTH</v>
          </cell>
          <cell r="W672" t="str">
            <v>Đã đóng</v>
          </cell>
          <cell r="AJ672" t="str">
            <v>Bình Dương</v>
          </cell>
          <cell r="BX672" t="str">
            <v>AON</v>
          </cell>
        </row>
        <row r="673">
          <cell r="A673" t="str">
            <v>ON</v>
          </cell>
          <cell r="B673" t="str">
            <v>Trong 24h</v>
          </cell>
          <cell r="D673" t="str">
            <v>Khiếu nại về dịch vụ FTTH</v>
          </cell>
          <cell r="W673" t="str">
            <v>Đã đóng</v>
          </cell>
          <cell r="AJ673" t="str">
            <v>TP HCM</v>
          </cell>
          <cell r="BX673" t="str">
            <v>AON</v>
          </cell>
        </row>
        <row r="674">
          <cell r="A674" t="str">
            <v>ON</v>
          </cell>
          <cell r="B674" t="str">
            <v>Trong 24h</v>
          </cell>
          <cell r="D674" t="str">
            <v>Khiếu nại về dịch vụ FTTH</v>
          </cell>
          <cell r="W674" t="str">
            <v>Đã đóng</v>
          </cell>
          <cell r="AJ674" t="str">
            <v>Hải Phòng</v>
          </cell>
          <cell r="BX674" t="str">
            <v>AON</v>
          </cell>
        </row>
        <row r="675">
          <cell r="A675" t="str">
            <v>ON</v>
          </cell>
          <cell r="B675" t="str">
            <v>Trong 24h</v>
          </cell>
          <cell r="D675" t="str">
            <v>Khiếu nại về dịch vụ FTTH</v>
          </cell>
          <cell r="W675" t="str">
            <v>Đã đóng</v>
          </cell>
          <cell r="AJ675" t="str">
            <v>TP HCM</v>
          </cell>
          <cell r="BX675" t="str">
            <v>AON</v>
          </cell>
        </row>
        <row r="676">
          <cell r="A676" t="str">
            <v>ON</v>
          </cell>
          <cell r="B676" t="str">
            <v>Trong 24h</v>
          </cell>
          <cell r="D676" t="str">
            <v>Khiếu nại về dịch vụ FTTH</v>
          </cell>
          <cell r="W676" t="str">
            <v>Đã đóng</v>
          </cell>
          <cell r="AJ676" t="str">
            <v>TP HCM</v>
          </cell>
          <cell r="BX676" t="str">
            <v>AON</v>
          </cell>
        </row>
        <row r="677">
          <cell r="A677" t="str">
            <v>ON</v>
          </cell>
          <cell r="B677" t="str">
            <v>Trong 24h</v>
          </cell>
          <cell r="D677" t="str">
            <v>Khiếu nại về dịch vụ FTTH</v>
          </cell>
          <cell r="W677" t="str">
            <v>Đã đóng</v>
          </cell>
          <cell r="AJ677" t="str">
            <v>Bắc Kạn</v>
          </cell>
          <cell r="BX677" t="str">
            <v>AON</v>
          </cell>
        </row>
        <row r="678">
          <cell r="A678" t="str">
            <v>ON</v>
          </cell>
          <cell r="B678" t="str">
            <v>Trong 24h</v>
          </cell>
          <cell r="D678" t="str">
            <v>Khiếu nại về dịch vụ FTTH</v>
          </cell>
          <cell r="W678" t="str">
            <v>Đã đóng</v>
          </cell>
          <cell r="AJ678" t="str">
            <v>TP HCM</v>
          </cell>
          <cell r="BX678" t="str">
            <v>AON</v>
          </cell>
        </row>
        <row r="679">
          <cell r="A679" t="str">
            <v>ON</v>
          </cell>
          <cell r="B679" t="str">
            <v>Trong 24h</v>
          </cell>
          <cell r="D679" t="str">
            <v>Khiếu nại về dịch vụ FTTH</v>
          </cell>
          <cell r="W679" t="str">
            <v>Đã đóng</v>
          </cell>
          <cell r="AJ679" t="str">
            <v>TP HCM</v>
          </cell>
          <cell r="BX679" t="str">
            <v>AON</v>
          </cell>
        </row>
        <row r="680">
          <cell r="A680" t="str">
            <v>ON</v>
          </cell>
          <cell r="B680" t="str">
            <v>Trong 24h</v>
          </cell>
          <cell r="D680" t="str">
            <v>Khiếu nại về dịch vụ FTTH</v>
          </cell>
          <cell r="W680" t="str">
            <v>Đã đóng</v>
          </cell>
          <cell r="AJ680" t="str">
            <v xml:space="preserve">Hà Tĩnh </v>
          </cell>
          <cell r="BX680" t="str">
            <v>AON</v>
          </cell>
        </row>
        <row r="681">
          <cell r="A681" t="str">
            <v>ON</v>
          </cell>
          <cell r="B681" t="str">
            <v>Trong 24h</v>
          </cell>
          <cell r="D681" t="str">
            <v>Khiếu nại về dịch vụ FTTH</v>
          </cell>
          <cell r="W681" t="str">
            <v>Đã đóng</v>
          </cell>
          <cell r="AJ681" t="str">
            <v xml:space="preserve">Quảng Nam </v>
          </cell>
          <cell r="BX681" t="str">
            <v>AON</v>
          </cell>
        </row>
        <row r="682">
          <cell r="A682" t="str">
            <v>ON</v>
          </cell>
          <cell r="B682" t="str">
            <v>Trong 24h</v>
          </cell>
          <cell r="D682" t="str">
            <v>Khiếu nại về dịch vụ FTTH</v>
          </cell>
          <cell r="W682" t="str">
            <v>Đang xử lý</v>
          </cell>
          <cell r="AJ682" t="str">
            <v>TP HCM</v>
          </cell>
          <cell r="BX682" t="str">
            <v>AON</v>
          </cell>
        </row>
        <row r="683">
          <cell r="A683" t="str">
            <v>ON</v>
          </cell>
          <cell r="B683" t="str">
            <v>Trong 24h</v>
          </cell>
          <cell r="D683" t="str">
            <v>Khiếu nại về dịch vụ FTTH</v>
          </cell>
          <cell r="W683" t="str">
            <v>Đã đóng</v>
          </cell>
          <cell r="AJ683" t="str">
            <v>TP HCM</v>
          </cell>
          <cell r="BX683" t="str">
            <v>GPON</v>
          </cell>
        </row>
        <row r="684">
          <cell r="A684" t="str">
            <v>ON</v>
          </cell>
          <cell r="B684" t="str">
            <v>Trong 24h</v>
          </cell>
          <cell r="D684" t="str">
            <v>Khiếu nại về dịch vụ FTTH</v>
          </cell>
          <cell r="W684" t="str">
            <v>Đã đóng</v>
          </cell>
          <cell r="AJ684" t="str">
            <v>Hải Phòng</v>
          </cell>
          <cell r="BX684" t="str">
            <v>AON</v>
          </cell>
        </row>
        <row r="685">
          <cell r="A685" t="str">
            <v>ON</v>
          </cell>
          <cell r="B685" t="str">
            <v>Trong 24h</v>
          </cell>
          <cell r="D685" t="str">
            <v>Khiếu nại về dịch vụ FTTH</v>
          </cell>
          <cell r="W685" t="str">
            <v>Đang xử lý</v>
          </cell>
          <cell r="AJ685" t="str">
            <v xml:space="preserve">Đà Nẵng </v>
          </cell>
          <cell r="BX685" t="str">
            <v>AON</v>
          </cell>
        </row>
        <row r="686">
          <cell r="A686" t="str">
            <v>ON</v>
          </cell>
          <cell r="B686" t="str">
            <v>Trong 24h</v>
          </cell>
          <cell r="D686" t="str">
            <v>Khiếu nại về dịch vụ FTTH</v>
          </cell>
          <cell r="W686" t="str">
            <v>Đã đóng</v>
          </cell>
          <cell r="AJ686" t="str">
            <v>Quảng Ninh</v>
          </cell>
          <cell r="BX686" t="str">
            <v>AON</v>
          </cell>
        </row>
        <row r="687">
          <cell r="A687" t="str">
            <v>ON</v>
          </cell>
          <cell r="B687" t="str">
            <v>Trong 24h</v>
          </cell>
          <cell r="D687" t="str">
            <v>Khiếu nại về dịch vụ NextTV</v>
          </cell>
          <cell r="W687" t="str">
            <v>Đã đóng</v>
          </cell>
          <cell r="AJ687" t="str">
            <v>Thái Nguyên</v>
          </cell>
          <cell r="BX687" t="str">
            <v>AON</v>
          </cell>
        </row>
        <row r="688">
          <cell r="A688" t="str">
            <v>ON</v>
          </cell>
          <cell r="B688" t="str">
            <v>Trong 24h</v>
          </cell>
          <cell r="D688" t="str">
            <v>Khiếu nại về dịch vụ FTTH</v>
          </cell>
          <cell r="W688" t="str">
            <v>Đã đóng</v>
          </cell>
          <cell r="AJ688" t="str">
            <v>Bắc Ninh</v>
          </cell>
          <cell r="BX688" t="str">
            <v>AON</v>
          </cell>
        </row>
        <row r="689">
          <cell r="A689" t="str">
            <v>ON</v>
          </cell>
          <cell r="B689" t="str">
            <v>Trong 24h</v>
          </cell>
          <cell r="D689" t="str">
            <v>Khiếu nại về dịch vụ FTTH</v>
          </cell>
          <cell r="W689" t="str">
            <v>Đã đóng</v>
          </cell>
          <cell r="AJ689" t="str">
            <v>Bình Dương</v>
          </cell>
          <cell r="BX689" t="str">
            <v>AON</v>
          </cell>
        </row>
        <row r="690">
          <cell r="A690" t="str">
            <v>ON</v>
          </cell>
          <cell r="B690" t="str">
            <v>Trong 24h</v>
          </cell>
          <cell r="D690" t="str">
            <v>Khiếu nại về dịch vụ FTTH</v>
          </cell>
          <cell r="W690" t="str">
            <v>Đã đóng</v>
          </cell>
          <cell r="AJ690" t="str">
            <v>TP HCM</v>
          </cell>
          <cell r="BX690" t="str">
            <v>AON</v>
          </cell>
        </row>
        <row r="691">
          <cell r="A691" t="str">
            <v>ON</v>
          </cell>
          <cell r="B691" t="str">
            <v>Trong 24h</v>
          </cell>
          <cell r="D691" t="str">
            <v>Khiếu nại về dịch vụ FTTH</v>
          </cell>
          <cell r="W691" t="str">
            <v>Đang xử lý</v>
          </cell>
          <cell r="AJ691" t="str">
            <v>Bình Định</v>
          </cell>
          <cell r="BX691" t="str">
            <v>AON</v>
          </cell>
        </row>
        <row r="692">
          <cell r="A692" t="str">
            <v>ON</v>
          </cell>
          <cell r="B692" t="str">
            <v>Trong 24h</v>
          </cell>
          <cell r="D692" t="str">
            <v>Khiếu nại về dịch vụ FTTH</v>
          </cell>
          <cell r="W692" t="str">
            <v>Đã đóng</v>
          </cell>
          <cell r="AJ692" t="str">
            <v>Hải Phòng</v>
          </cell>
          <cell r="BX692" t="str">
            <v>AON</v>
          </cell>
        </row>
        <row r="693">
          <cell r="A693" t="str">
            <v>ON</v>
          </cell>
          <cell r="B693" t="str">
            <v>Trong 24h</v>
          </cell>
          <cell r="D693" t="str">
            <v>Khiếu nại về dịch vụ FTTH</v>
          </cell>
          <cell r="W693" t="str">
            <v>Đã đóng</v>
          </cell>
          <cell r="AJ693" t="str">
            <v>Hà Nội 1</v>
          </cell>
          <cell r="BX693" t="str">
            <v>AON</v>
          </cell>
        </row>
        <row r="694">
          <cell r="A694" t="str">
            <v>ON</v>
          </cell>
          <cell r="B694" t="str">
            <v>Trong 24h</v>
          </cell>
          <cell r="D694" t="str">
            <v>Khiếu nại về dịch vụ FTTH</v>
          </cell>
          <cell r="W694" t="str">
            <v>Đã đóng</v>
          </cell>
          <cell r="AJ694" t="str">
            <v>Quảng Trị</v>
          </cell>
          <cell r="BX694" t="str">
            <v>AON</v>
          </cell>
        </row>
        <row r="695">
          <cell r="A695" t="str">
            <v>ON</v>
          </cell>
          <cell r="B695" t="str">
            <v>Trong 24h</v>
          </cell>
          <cell r="D695" t="str">
            <v>Khiếu nại về dịch vụ FTTH</v>
          </cell>
          <cell r="W695" t="str">
            <v>Đã đóng</v>
          </cell>
          <cell r="AJ695" t="str">
            <v>Hải Phòng</v>
          </cell>
          <cell r="BX695" t="str">
            <v>AON</v>
          </cell>
        </row>
        <row r="696">
          <cell r="A696" t="str">
            <v>ON</v>
          </cell>
          <cell r="B696" t="str">
            <v>Trong 24h</v>
          </cell>
          <cell r="D696" t="str">
            <v>Khiếu nại về dịch vụ FTTH</v>
          </cell>
          <cell r="W696" t="str">
            <v>Đã đóng</v>
          </cell>
          <cell r="AJ696" t="str">
            <v>Bình Dương</v>
          </cell>
          <cell r="BX696" t="str">
            <v>AON</v>
          </cell>
        </row>
        <row r="697">
          <cell r="A697" t="str">
            <v>ON</v>
          </cell>
          <cell r="B697" t="str">
            <v>Trong 24h</v>
          </cell>
          <cell r="D697" t="str">
            <v>Khiếu nại về dịch vụ FTTH</v>
          </cell>
          <cell r="W697" t="str">
            <v>Đã đóng</v>
          </cell>
          <cell r="AJ697" t="str">
            <v xml:space="preserve">Đồng Nai </v>
          </cell>
          <cell r="BX697" t="str">
            <v>AON</v>
          </cell>
        </row>
        <row r="698">
          <cell r="A698" t="str">
            <v>ON</v>
          </cell>
          <cell r="B698" t="str">
            <v>Trong 24h</v>
          </cell>
          <cell r="D698" t="str">
            <v>Khiếu nại về dịch vụ FTTH</v>
          </cell>
          <cell r="W698" t="str">
            <v>Đã đóng</v>
          </cell>
          <cell r="AJ698" t="str">
            <v>Thái Bình</v>
          </cell>
          <cell r="BX698" t="str">
            <v>AON</v>
          </cell>
        </row>
        <row r="699">
          <cell r="A699" t="str">
            <v>ON</v>
          </cell>
          <cell r="B699" t="str">
            <v>Trong 24h</v>
          </cell>
          <cell r="D699" t="str">
            <v>Khiếu nại về dịch vụ FTTH</v>
          </cell>
          <cell r="W699" t="str">
            <v>Đã đóng</v>
          </cell>
          <cell r="AJ699" t="str">
            <v>An Giang</v>
          </cell>
          <cell r="BX699" t="str">
            <v>AON</v>
          </cell>
        </row>
        <row r="700">
          <cell r="A700" t="str">
            <v>ON</v>
          </cell>
          <cell r="B700" t="str">
            <v>Trong 24h</v>
          </cell>
          <cell r="D700" t="str">
            <v>Khiếu nại về dịch vụ FTTH</v>
          </cell>
          <cell r="W700" t="str">
            <v>Đã đóng</v>
          </cell>
          <cell r="AJ700" t="str">
            <v>Tiền Giang</v>
          </cell>
          <cell r="BX700" t="str">
            <v>AON</v>
          </cell>
        </row>
        <row r="701">
          <cell r="A701" t="str">
            <v>ON</v>
          </cell>
          <cell r="B701" t="str">
            <v>Trong 24h</v>
          </cell>
          <cell r="D701" t="str">
            <v>Khiếu nại về dịch vụ FTTH</v>
          </cell>
          <cell r="W701" t="str">
            <v>Đã đóng</v>
          </cell>
          <cell r="AJ701" t="str">
            <v>Tiền Giang</v>
          </cell>
          <cell r="BX701" t="str">
            <v>AON</v>
          </cell>
        </row>
        <row r="702">
          <cell r="A702" t="str">
            <v>ON</v>
          </cell>
          <cell r="B702" t="str">
            <v>Trong 24h</v>
          </cell>
          <cell r="D702" t="str">
            <v>Khiếu nại về dịch vụ FTTH</v>
          </cell>
          <cell r="W702" t="str">
            <v>Đã đóng</v>
          </cell>
          <cell r="AJ702" t="str">
            <v>Bình Dương</v>
          </cell>
          <cell r="BX702" t="str">
            <v>AON</v>
          </cell>
        </row>
        <row r="703">
          <cell r="A703" t="str">
            <v>ON</v>
          </cell>
          <cell r="B703" t="str">
            <v>Trong 24h</v>
          </cell>
          <cell r="D703" t="str">
            <v>Khiếu nại về dịch vụ FTTH</v>
          </cell>
          <cell r="W703" t="str">
            <v>Đã đóng</v>
          </cell>
          <cell r="AJ703" t="str">
            <v>Bến Tre</v>
          </cell>
          <cell r="BX703" t="str">
            <v>AON</v>
          </cell>
        </row>
        <row r="704">
          <cell r="A704" t="str">
            <v>ON</v>
          </cell>
          <cell r="B704" t="str">
            <v>Trong 24h</v>
          </cell>
          <cell r="D704" t="str">
            <v>Khiếu nại về dịch vụ FTTH</v>
          </cell>
          <cell r="W704" t="str">
            <v>Đã đóng</v>
          </cell>
          <cell r="AJ704" t="str">
            <v>TP HCM</v>
          </cell>
          <cell r="BX704" t="str">
            <v>AON</v>
          </cell>
        </row>
        <row r="705">
          <cell r="A705" t="str">
            <v>ON</v>
          </cell>
          <cell r="B705" t="str">
            <v>Trong 24h</v>
          </cell>
          <cell r="D705" t="str">
            <v>Khiếu nại về dịch vụ FTTH</v>
          </cell>
          <cell r="W705" t="str">
            <v>Đã đóng</v>
          </cell>
          <cell r="AJ705" t="str">
            <v>Phú Thọ</v>
          </cell>
          <cell r="BX705" t="str">
            <v>AON</v>
          </cell>
        </row>
        <row r="706">
          <cell r="A706" t="str">
            <v>ON</v>
          </cell>
          <cell r="B706" t="str">
            <v>Trong 24h</v>
          </cell>
          <cell r="D706" t="str">
            <v>Khiếu nại về dịch vụ FTTH</v>
          </cell>
          <cell r="W706" t="str">
            <v>Đã đóng</v>
          </cell>
          <cell r="AJ706" t="str">
            <v>TP HCM</v>
          </cell>
          <cell r="BX706" t="str">
            <v>AON</v>
          </cell>
        </row>
        <row r="707">
          <cell r="A707" t="str">
            <v>ON</v>
          </cell>
          <cell r="B707" t="str">
            <v>Trong 24h</v>
          </cell>
          <cell r="D707" t="str">
            <v>Khiếu nại về dịch vụ FTTH</v>
          </cell>
          <cell r="W707" t="str">
            <v>Đã đóng</v>
          </cell>
          <cell r="AJ707" t="str">
            <v>Quảng Ngãi</v>
          </cell>
          <cell r="BX707" t="str">
            <v>AON</v>
          </cell>
        </row>
        <row r="708">
          <cell r="A708" t="str">
            <v>ON</v>
          </cell>
          <cell r="B708" t="str">
            <v>Trong 24h</v>
          </cell>
          <cell r="D708" t="str">
            <v>Khiếu nại về dịch vụ FTTH</v>
          </cell>
          <cell r="W708" t="str">
            <v>Đã đóng</v>
          </cell>
          <cell r="AJ708" t="str">
            <v>TP HCM</v>
          </cell>
          <cell r="BX708" t="str">
            <v>AON</v>
          </cell>
        </row>
        <row r="709">
          <cell r="A709" t="str">
            <v>ON</v>
          </cell>
          <cell r="B709" t="str">
            <v>Trong 24h</v>
          </cell>
          <cell r="D709" t="str">
            <v>Khiếu nại về dịch vụ FTTH</v>
          </cell>
          <cell r="W709" t="str">
            <v>Đã đóng</v>
          </cell>
          <cell r="AJ709" t="str">
            <v>TP HCM</v>
          </cell>
          <cell r="BX709" t="str">
            <v>GPON</v>
          </cell>
        </row>
        <row r="710">
          <cell r="A710" t="str">
            <v>ON</v>
          </cell>
          <cell r="B710" t="str">
            <v>Trong 24h</v>
          </cell>
          <cell r="D710" t="str">
            <v>Khiếu nại về dịch vụ FTTH</v>
          </cell>
          <cell r="W710" t="str">
            <v>Đã đóng</v>
          </cell>
          <cell r="AJ710" t="str">
            <v>Hậu Giang</v>
          </cell>
          <cell r="BX710" t="str">
            <v>AON</v>
          </cell>
        </row>
        <row r="711">
          <cell r="A711" t="str">
            <v>ON</v>
          </cell>
          <cell r="B711" t="str">
            <v>Trong 24h</v>
          </cell>
          <cell r="D711" t="str">
            <v>Khiếu nại về dịch vụ NextTV</v>
          </cell>
          <cell r="W711" t="str">
            <v>Đã đóng</v>
          </cell>
          <cell r="AJ711" t="str">
            <v>Long An</v>
          </cell>
          <cell r="BX711" t="str">
            <v>AON</v>
          </cell>
        </row>
        <row r="712">
          <cell r="A712" t="str">
            <v>ON</v>
          </cell>
          <cell r="B712" t="str">
            <v>Trong 24h</v>
          </cell>
          <cell r="D712" t="str">
            <v>Khiếu nại về dịch vụ FTTH</v>
          </cell>
          <cell r="W712" t="str">
            <v>Đã đóng</v>
          </cell>
          <cell r="AJ712" t="str">
            <v xml:space="preserve">Đà Nẵng </v>
          </cell>
          <cell r="BX712" t="str">
            <v>AON</v>
          </cell>
        </row>
        <row r="713">
          <cell r="A713" t="str">
            <v>ON</v>
          </cell>
          <cell r="B713" t="str">
            <v>Trong 24h</v>
          </cell>
          <cell r="D713" t="str">
            <v>Khiếu nại về dịch vụ FTTH</v>
          </cell>
          <cell r="W713" t="str">
            <v>Đã đóng</v>
          </cell>
          <cell r="AJ713" t="str">
            <v>TP HCM</v>
          </cell>
          <cell r="BX713" t="str">
            <v>AON</v>
          </cell>
        </row>
        <row r="714">
          <cell r="A714" t="str">
            <v>ON</v>
          </cell>
          <cell r="B714" t="str">
            <v>Trong 24h</v>
          </cell>
          <cell r="D714" t="str">
            <v>Khiếu nại về dịch vụ NextTV</v>
          </cell>
          <cell r="W714" t="str">
            <v>Đã đóng</v>
          </cell>
          <cell r="AJ714" t="str">
            <v>TP HCM</v>
          </cell>
          <cell r="BX714" t="str">
            <v>AON</v>
          </cell>
        </row>
        <row r="715">
          <cell r="A715" t="str">
            <v>ON</v>
          </cell>
          <cell r="B715" t="str">
            <v>Trong 24h</v>
          </cell>
          <cell r="D715" t="str">
            <v>Khiếu nại về dịch vụ FTTH</v>
          </cell>
          <cell r="W715" t="str">
            <v>Đang xử lý</v>
          </cell>
          <cell r="AJ715" t="str">
            <v>Hà Nam</v>
          </cell>
          <cell r="BX715" t="str">
            <v>AON</v>
          </cell>
        </row>
        <row r="716">
          <cell r="A716" t="str">
            <v>ON</v>
          </cell>
          <cell r="B716" t="str">
            <v>Trong 24h</v>
          </cell>
          <cell r="D716" t="str">
            <v>Khiếu nại về dịch vụ FTTH</v>
          </cell>
          <cell r="W716" t="str">
            <v>Đã đóng</v>
          </cell>
          <cell r="AJ716" t="str">
            <v>Bắc Ninh</v>
          </cell>
          <cell r="BX716" t="str">
            <v>AON</v>
          </cell>
        </row>
        <row r="717">
          <cell r="A717" t="str">
            <v>ON</v>
          </cell>
          <cell r="B717" t="str">
            <v>Trong 24h</v>
          </cell>
          <cell r="D717" t="str">
            <v>Khiếu nại về dịch vụ FTTH</v>
          </cell>
          <cell r="W717" t="str">
            <v>Đã đóng</v>
          </cell>
          <cell r="AJ717" t="str">
            <v>Quảng Ninh</v>
          </cell>
          <cell r="BX717" t="str">
            <v>AON</v>
          </cell>
        </row>
        <row r="718">
          <cell r="A718" t="str">
            <v>ON</v>
          </cell>
          <cell r="B718" t="str">
            <v>Trong 24h</v>
          </cell>
          <cell r="D718" t="str">
            <v>Khiếu nại về dịch vụ FTTH</v>
          </cell>
          <cell r="W718" t="str">
            <v>Đã đóng</v>
          </cell>
          <cell r="AJ718" t="str">
            <v>TP HCM</v>
          </cell>
          <cell r="BX718" t="str">
            <v>AON</v>
          </cell>
        </row>
        <row r="719">
          <cell r="A719" t="str">
            <v>ON</v>
          </cell>
          <cell r="B719" t="str">
            <v>Trong 24h</v>
          </cell>
          <cell r="D719" t="str">
            <v>Khiếu nại về dịch vụ FTTH</v>
          </cell>
          <cell r="W719" t="str">
            <v>Đã đóng</v>
          </cell>
          <cell r="AJ719" t="str">
            <v>TP HCM</v>
          </cell>
          <cell r="BX719" t="str">
            <v>AON</v>
          </cell>
        </row>
        <row r="720">
          <cell r="A720" t="str">
            <v>ON</v>
          </cell>
          <cell r="B720" t="str">
            <v>Trong 24h</v>
          </cell>
          <cell r="D720" t="str">
            <v>Khiếu nại về dịch vụ FTTH</v>
          </cell>
          <cell r="W720" t="str">
            <v>Đang xử lý</v>
          </cell>
          <cell r="AJ720" t="str">
            <v xml:space="preserve">Đồng Nai </v>
          </cell>
          <cell r="BX720" t="str">
            <v>AON</v>
          </cell>
        </row>
        <row r="721">
          <cell r="A721" t="str">
            <v>ON</v>
          </cell>
          <cell r="B721" t="str">
            <v>Trong 24h</v>
          </cell>
          <cell r="D721" t="str">
            <v>Khiếu nại về dịch vụ FTTH</v>
          </cell>
          <cell r="W721" t="str">
            <v>Đã đóng</v>
          </cell>
          <cell r="AJ721" t="str">
            <v>TP HCM</v>
          </cell>
          <cell r="BX721" t="str">
            <v>AON</v>
          </cell>
        </row>
        <row r="722">
          <cell r="A722" t="str">
            <v>ON</v>
          </cell>
          <cell r="B722" t="str">
            <v>Trong 24h</v>
          </cell>
          <cell r="D722" t="str">
            <v>Khiếu nại về dịch vụ FTTH</v>
          </cell>
          <cell r="W722" t="str">
            <v>Đã đóng</v>
          </cell>
          <cell r="AJ722" t="str">
            <v>Thái Nguyên</v>
          </cell>
          <cell r="BX722" t="str">
            <v>AON</v>
          </cell>
        </row>
        <row r="723">
          <cell r="A723" t="str">
            <v>ON</v>
          </cell>
          <cell r="B723" t="str">
            <v>Trong 24h</v>
          </cell>
          <cell r="D723" t="str">
            <v>Khiếu nại về dịch vụ FTTH</v>
          </cell>
          <cell r="W723" t="str">
            <v>Đang xử lý</v>
          </cell>
          <cell r="AJ723" t="str">
            <v>Thái Nguyên</v>
          </cell>
          <cell r="BX723" t="str">
            <v>AON</v>
          </cell>
        </row>
        <row r="724">
          <cell r="A724" t="str">
            <v>ON</v>
          </cell>
          <cell r="B724" t="str">
            <v>Trong 24h</v>
          </cell>
          <cell r="D724" t="str">
            <v>Khiếu nại về dịch vụ FTTH</v>
          </cell>
          <cell r="W724" t="str">
            <v>Đang xử lý</v>
          </cell>
          <cell r="AJ724" t="str">
            <v>TP HCM</v>
          </cell>
          <cell r="BX724" t="str">
            <v>AON</v>
          </cell>
        </row>
        <row r="725">
          <cell r="A725" t="str">
            <v>ON</v>
          </cell>
          <cell r="B725" t="str">
            <v>Trong 24h</v>
          </cell>
          <cell r="D725" t="str">
            <v>Khiếu nại về dịch vụ FTTH</v>
          </cell>
          <cell r="W725" t="str">
            <v>Đã đóng</v>
          </cell>
          <cell r="AJ725" t="str">
            <v>TP HCM</v>
          </cell>
          <cell r="BX725" t="str">
            <v>AON</v>
          </cell>
        </row>
        <row r="726">
          <cell r="A726" t="str">
            <v>ON</v>
          </cell>
          <cell r="B726" t="str">
            <v>Trong 24h</v>
          </cell>
          <cell r="D726" t="str">
            <v>Khiếu nại về dịch vụ FTTH</v>
          </cell>
          <cell r="W726" t="str">
            <v>Đã đóng</v>
          </cell>
          <cell r="AJ726" t="str">
            <v>Bình Phước</v>
          </cell>
          <cell r="BX726" t="str">
            <v>AON</v>
          </cell>
        </row>
        <row r="727">
          <cell r="A727" t="str">
            <v>ON</v>
          </cell>
          <cell r="B727" t="str">
            <v>Trong 24h</v>
          </cell>
          <cell r="D727" t="str">
            <v>Khiếu nại về dịch vụ FTTH</v>
          </cell>
          <cell r="W727" t="str">
            <v>Đã đóng</v>
          </cell>
          <cell r="AJ727" t="str">
            <v>Hải Phòng</v>
          </cell>
          <cell r="BX727" t="str">
            <v>AON</v>
          </cell>
        </row>
        <row r="728">
          <cell r="A728" t="str">
            <v>ON</v>
          </cell>
          <cell r="B728" t="str">
            <v>Trong 24h</v>
          </cell>
          <cell r="D728" t="str">
            <v>Khiếu nại về dịch vụ FTTH</v>
          </cell>
          <cell r="W728" t="str">
            <v>Đã đóng</v>
          </cell>
          <cell r="AJ728" t="str">
            <v>Quảng Bình</v>
          </cell>
          <cell r="BX728" t="str">
            <v>AON</v>
          </cell>
        </row>
        <row r="729">
          <cell r="A729" t="str">
            <v>ON</v>
          </cell>
          <cell r="B729" t="str">
            <v>Trong 24h</v>
          </cell>
          <cell r="D729" t="str">
            <v>Khiếu nại về dịch vụ FTTH</v>
          </cell>
          <cell r="W729" t="str">
            <v>Đang xử lý</v>
          </cell>
          <cell r="AJ729" t="str">
            <v>Hà Nam</v>
          </cell>
          <cell r="BX729" t="str">
            <v>AON</v>
          </cell>
        </row>
        <row r="730">
          <cell r="A730" t="str">
            <v>ON</v>
          </cell>
          <cell r="B730" t="str">
            <v>Trong 24h</v>
          </cell>
          <cell r="D730" t="str">
            <v>Khiếu nại về dịch vụ FTTH</v>
          </cell>
          <cell r="W730" t="str">
            <v>Đang xử lý</v>
          </cell>
          <cell r="AJ730" t="str">
            <v>Nghệ An</v>
          </cell>
          <cell r="BX730" t="str">
            <v>AON</v>
          </cell>
        </row>
        <row r="731">
          <cell r="A731" t="str">
            <v>ON</v>
          </cell>
          <cell r="B731" t="str">
            <v>Trong 24h</v>
          </cell>
          <cell r="D731" t="str">
            <v>Khiếu nại về dịch vụ FTTH</v>
          </cell>
          <cell r="W731" t="str">
            <v>Đã đóng</v>
          </cell>
          <cell r="AJ731" t="str">
            <v>Long An</v>
          </cell>
          <cell r="BX731" t="str">
            <v>AON</v>
          </cell>
        </row>
        <row r="732">
          <cell r="A732" t="str">
            <v>ON</v>
          </cell>
          <cell r="B732" t="str">
            <v>Trong 24h</v>
          </cell>
          <cell r="D732" t="str">
            <v>Khiếu nại về dịch vụ FTTH</v>
          </cell>
          <cell r="W732" t="str">
            <v>Đã đóng</v>
          </cell>
          <cell r="AJ732" t="str">
            <v>TP HCM</v>
          </cell>
          <cell r="BX732" t="str">
            <v>AON</v>
          </cell>
        </row>
        <row r="733">
          <cell r="A733" t="str">
            <v>ON</v>
          </cell>
          <cell r="B733" t="str">
            <v>Trong 24h</v>
          </cell>
          <cell r="D733" t="str">
            <v>Khiếu nại về dịch vụ FTTH</v>
          </cell>
          <cell r="W733" t="str">
            <v>Đã đóng</v>
          </cell>
          <cell r="AJ733" t="str">
            <v xml:space="preserve">Đồng Nai </v>
          </cell>
          <cell r="BX733" t="str">
            <v>AON</v>
          </cell>
        </row>
        <row r="734">
          <cell r="A734" t="str">
            <v>ON</v>
          </cell>
          <cell r="B734" t="str">
            <v>Trong 24h</v>
          </cell>
          <cell r="D734" t="str">
            <v>Khiếu nại về dịch vụ FTTH</v>
          </cell>
          <cell r="W734" t="str">
            <v>Đã đóng</v>
          </cell>
          <cell r="AJ734" t="str">
            <v>TP HCM</v>
          </cell>
          <cell r="BX734" t="str">
            <v>AON</v>
          </cell>
        </row>
        <row r="735">
          <cell r="A735" t="str">
            <v>ON</v>
          </cell>
          <cell r="B735" t="str">
            <v>Trong 24h</v>
          </cell>
          <cell r="D735" t="str">
            <v>Khiếu nại về dịch vụ FTTH</v>
          </cell>
          <cell r="W735" t="str">
            <v>Đã đóng</v>
          </cell>
          <cell r="AJ735" t="str">
            <v>Hà Nội 1</v>
          </cell>
          <cell r="BX735" t="str">
            <v>AON</v>
          </cell>
        </row>
        <row r="736">
          <cell r="A736" t="str">
            <v>ON</v>
          </cell>
          <cell r="B736" t="str">
            <v>Trong 24h</v>
          </cell>
          <cell r="D736" t="str">
            <v>Khiếu nại về dịch vụ FTTH</v>
          </cell>
          <cell r="W736" t="str">
            <v>Đã đóng</v>
          </cell>
          <cell r="AJ736" t="str">
            <v>TP HCM</v>
          </cell>
          <cell r="BX736" t="str">
            <v>AON</v>
          </cell>
        </row>
        <row r="737">
          <cell r="A737" t="str">
            <v>ON</v>
          </cell>
          <cell r="B737" t="str">
            <v>Trong 24h</v>
          </cell>
          <cell r="D737" t="str">
            <v>Khiếu nại về dịch vụ FTTH</v>
          </cell>
          <cell r="W737" t="str">
            <v>Đang xử lý</v>
          </cell>
          <cell r="AJ737" t="str">
            <v>Thừa Thiên Huế</v>
          </cell>
          <cell r="BX737" t="str">
            <v>AON</v>
          </cell>
        </row>
        <row r="738">
          <cell r="A738" t="str">
            <v>ON</v>
          </cell>
          <cell r="B738" t="str">
            <v>Trong 24h</v>
          </cell>
          <cell r="D738" t="str">
            <v>Khiếu nại về dịch vụ NextTV</v>
          </cell>
          <cell r="W738" t="str">
            <v>Đã đóng</v>
          </cell>
          <cell r="AJ738" t="str">
            <v>TP HCM</v>
          </cell>
          <cell r="BX738" t="str">
            <v>AON</v>
          </cell>
        </row>
        <row r="739">
          <cell r="A739" t="str">
            <v>ON</v>
          </cell>
          <cell r="B739" t="str">
            <v>Trong 24h</v>
          </cell>
          <cell r="D739" t="str">
            <v>Khiếu nại về dịch vụ FTTH</v>
          </cell>
          <cell r="W739" t="str">
            <v>Đã đóng</v>
          </cell>
          <cell r="AJ739" t="str">
            <v>TP HCM</v>
          </cell>
          <cell r="BX739" t="str">
            <v>AON</v>
          </cell>
        </row>
        <row r="740">
          <cell r="A740" t="str">
            <v>ON</v>
          </cell>
          <cell r="B740" t="str">
            <v>Trong 24h</v>
          </cell>
          <cell r="D740" t="str">
            <v>Khiếu nại về dịch vụ FTTH</v>
          </cell>
          <cell r="W740" t="str">
            <v>Đang xử lý</v>
          </cell>
          <cell r="AJ740" t="str">
            <v>Thừa Thiên Huế</v>
          </cell>
          <cell r="BX740" t="str">
            <v>AON</v>
          </cell>
        </row>
        <row r="741">
          <cell r="A741" t="str">
            <v>ON</v>
          </cell>
          <cell r="B741" t="str">
            <v>Trong 24h</v>
          </cell>
          <cell r="D741" t="str">
            <v>Khiếu nại về dịch vụ FTTH</v>
          </cell>
          <cell r="W741" t="str">
            <v>Đã đóng</v>
          </cell>
          <cell r="AJ741" t="str">
            <v>Hà Nội 2</v>
          </cell>
          <cell r="BX741" t="str">
            <v>AON</v>
          </cell>
        </row>
        <row r="742">
          <cell r="A742" t="str">
            <v>ON</v>
          </cell>
          <cell r="B742" t="str">
            <v>Trong 24h</v>
          </cell>
          <cell r="D742" t="str">
            <v>Khiếu nại về dịch vụ FTTH</v>
          </cell>
          <cell r="W742" t="str">
            <v>Đã đóng</v>
          </cell>
          <cell r="AJ742" t="str">
            <v>Bà Rịa - Vũng Tàu</v>
          </cell>
          <cell r="BX742" t="str">
            <v>AON</v>
          </cell>
        </row>
        <row r="743">
          <cell r="A743" t="str">
            <v>ON</v>
          </cell>
          <cell r="B743" t="str">
            <v>Trong 24h</v>
          </cell>
          <cell r="D743" t="str">
            <v>Khiếu nại về dịch vụ NextTV</v>
          </cell>
          <cell r="W743" t="str">
            <v>Đã đóng</v>
          </cell>
          <cell r="AJ743" t="str">
            <v>Lai Châu</v>
          </cell>
          <cell r="BX743" t="str">
            <v>AON</v>
          </cell>
        </row>
        <row r="744">
          <cell r="A744" t="str">
            <v>ON</v>
          </cell>
          <cell r="B744" t="str">
            <v>Trong 24h</v>
          </cell>
          <cell r="D744" t="str">
            <v>Khiếu nại về dịch vụ FTTH</v>
          </cell>
          <cell r="W744" t="str">
            <v>Đã đóng</v>
          </cell>
          <cell r="AJ744" t="str">
            <v>Bắc Giang</v>
          </cell>
          <cell r="BX744" t="str">
            <v>AON</v>
          </cell>
        </row>
        <row r="745">
          <cell r="A745" t="str">
            <v>ON</v>
          </cell>
          <cell r="B745" t="str">
            <v>Trong 24h</v>
          </cell>
          <cell r="D745" t="str">
            <v>Khiếu nại về dịch vụ FTTH</v>
          </cell>
          <cell r="W745" t="str">
            <v>Đã đóng</v>
          </cell>
          <cell r="AJ745" t="str">
            <v>Nam Định</v>
          </cell>
          <cell r="BX745" t="str">
            <v>AON</v>
          </cell>
        </row>
        <row r="746">
          <cell r="A746" t="str">
            <v>ON</v>
          </cell>
          <cell r="B746" t="str">
            <v>Trong 24h</v>
          </cell>
          <cell r="D746" t="str">
            <v>Khiếu nại về dịch vụ FTTH</v>
          </cell>
          <cell r="W746" t="str">
            <v>Đã đóng</v>
          </cell>
          <cell r="AJ746" t="str">
            <v>TP HCM</v>
          </cell>
          <cell r="BX746" t="str">
            <v>AON</v>
          </cell>
        </row>
        <row r="747">
          <cell r="A747" t="str">
            <v>ON</v>
          </cell>
          <cell r="B747" t="str">
            <v>Trong 24h</v>
          </cell>
          <cell r="D747" t="str">
            <v>Khiếu nại về dịch vụ FTTH</v>
          </cell>
          <cell r="W747" t="str">
            <v>Đang xử lý</v>
          </cell>
          <cell r="AJ747" t="str">
            <v>Quảng Ninh</v>
          </cell>
          <cell r="BX747" t="str">
            <v>AON</v>
          </cell>
        </row>
        <row r="748">
          <cell r="A748" t="str">
            <v>ON</v>
          </cell>
          <cell r="B748" t="str">
            <v>Trong 24h</v>
          </cell>
          <cell r="D748" t="str">
            <v>Khiếu nại về dịch vụ FTTH</v>
          </cell>
          <cell r="W748" t="str">
            <v>Đã đóng</v>
          </cell>
          <cell r="AJ748" t="str">
            <v>TP HCM</v>
          </cell>
          <cell r="BX748" t="str">
            <v>AON</v>
          </cell>
        </row>
        <row r="749">
          <cell r="A749" t="str">
            <v>ON</v>
          </cell>
          <cell r="B749" t="str">
            <v>Trong 24h</v>
          </cell>
          <cell r="D749" t="str">
            <v>Khiếu nại về dịch vụ FTTH</v>
          </cell>
          <cell r="W749" t="str">
            <v>Đã đóng</v>
          </cell>
          <cell r="AJ749" t="str">
            <v>Hậu Giang</v>
          </cell>
          <cell r="BX749" t="str">
            <v>AON</v>
          </cell>
        </row>
        <row r="750">
          <cell r="A750" t="str">
            <v>ON</v>
          </cell>
          <cell r="B750" t="str">
            <v>Trong 24h</v>
          </cell>
          <cell r="D750" t="str">
            <v>Khiếu nại về dịch vụ FTTH</v>
          </cell>
          <cell r="W750" t="str">
            <v>Đã đóng</v>
          </cell>
          <cell r="AJ750" t="str">
            <v>Bắc Giang</v>
          </cell>
          <cell r="BX750" t="str">
            <v>AON</v>
          </cell>
        </row>
        <row r="751">
          <cell r="A751" t="str">
            <v>ON</v>
          </cell>
          <cell r="B751" t="str">
            <v>Trong 24h</v>
          </cell>
          <cell r="D751" t="str">
            <v>Khiếu nại về dịch vụ FTTH</v>
          </cell>
          <cell r="W751" t="str">
            <v>Đang xử lý</v>
          </cell>
          <cell r="AJ751" t="str">
            <v>Long An</v>
          </cell>
          <cell r="BX751" t="str">
            <v>AON</v>
          </cell>
        </row>
        <row r="752">
          <cell r="A752" t="str">
            <v>ON</v>
          </cell>
          <cell r="B752" t="str">
            <v>Trong 24h</v>
          </cell>
          <cell r="D752" t="str">
            <v>Khiếu nại về dịch vụ FTTH</v>
          </cell>
          <cell r="W752" t="str">
            <v>Đã đóng</v>
          </cell>
          <cell r="AJ752" t="str">
            <v>Cần Thơ</v>
          </cell>
          <cell r="BX752" t="str">
            <v>AON</v>
          </cell>
        </row>
        <row r="753">
          <cell r="A753" t="str">
            <v>ON</v>
          </cell>
          <cell r="B753" t="str">
            <v>Trong 24h</v>
          </cell>
          <cell r="D753" t="str">
            <v>Khiếu nại về dịch vụ FTTH</v>
          </cell>
          <cell r="W753" t="str">
            <v>Đã đóng</v>
          </cell>
          <cell r="AJ753" t="str">
            <v>TP HCM</v>
          </cell>
          <cell r="BX753" t="str">
            <v>AON</v>
          </cell>
        </row>
        <row r="754">
          <cell r="A754" t="str">
            <v>ON</v>
          </cell>
          <cell r="B754" t="str">
            <v>Trong 24h</v>
          </cell>
          <cell r="D754" t="str">
            <v>Khiếu nại về dịch vụ FTTH</v>
          </cell>
          <cell r="W754" t="str">
            <v>Đang xử lý</v>
          </cell>
          <cell r="AJ754" t="str">
            <v>Kon Tum</v>
          </cell>
          <cell r="BX754" t="str">
            <v>AON</v>
          </cell>
        </row>
        <row r="755">
          <cell r="A755" t="str">
            <v>ON</v>
          </cell>
          <cell r="B755" t="str">
            <v>Trong 24h</v>
          </cell>
          <cell r="D755" t="str">
            <v>Khiếu nại về dịch vụ FTTH</v>
          </cell>
          <cell r="W755" t="str">
            <v>Đã đóng</v>
          </cell>
          <cell r="AJ755" t="str">
            <v>Bình Thuận</v>
          </cell>
          <cell r="BX755" t="str">
            <v>AON</v>
          </cell>
        </row>
        <row r="756">
          <cell r="A756" t="str">
            <v>ON</v>
          </cell>
          <cell r="B756" t="str">
            <v>Trong 24h</v>
          </cell>
          <cell r="D756" t="str">
            <v>Khiếu nại về dịch vụ NextTV</v>
          </cell>
          <cell r="W756" t="str">
            <v>Đã đóng</v>
          </cell>
          <cell r="AJ756" t="str">
            <v>Bình Phước</v>
          </cell>
          <cell r="BX756" t="str">
            <v>AON</v>
          </cell>
        </row>
        <row r="757">
          <cell r="A757" t="str">
            <v>ON</v>
          </cell>
          <cell r="B757" t="str">
            <v>Trong 24h</v>
          </cell>
          <cell r="D757" t="str">
            <v>Khiếu nại về dịch vụ FTTH</v>
          </cell>
          <cell r="W757" t="str">
            <v>Đã đóng</v>
          </cell>
          <cell r="AJ757" t="str">
            <v>Ninh Bình</v>
          </cell>
          <cell r="BX757" t="str">
            <v>AON</v>
          </cell>
        </row>
        <row r="758">
          <cell r="A758" t="str">
            <v>ON</v>
          </cell>
          <cell r="B758" t="str">
            <v>Trong 24h</v>
          </cell>
          <cell r="D758" t="str">
            <v>Khiếu nại về dịch vụ FTTH</v>
          </cell>
          <cell r="W758" t="str">
            <v>Đã đóng</v>
          </cell>
          <cell r="AJ758" t="str">
            <v>Đồng Tháp</v>
          </cell>
          <cell r="BX758" t="str">
            <v>AON</v>
          </cell>
        </row>
        <row r="759">
          <cell r="A759" t="str">
            <v>ON</v>
          </cell>
          <cell r="B759" t="str">
            <v>Trong 24h</v>
          </cell>
          <cell r="D759" t="str">
            <v>Khiếu nại về dịch vụ FTTH</v>
          </cell>
          <cell r="W759" t="str">
            <v>Đã đóng</v>
          </cell>
          <cell r="AJ759" t="str">
            <v>Thái Bình</v>
          </cell>
          <cell r="BX759" t="str">
            <v>AON</v>
          </cell>
        </row>
        <row r="760">
          <cell r="A760" t="str">
            <v>ON</v>
          </cell>
          <cell r="B760" t="str">
            <v>Trong 24h</v>
          </cell>
          <cell r="D760" t="str">
            <v>Khiếu nại về dịch vụ FTTH</v>
          </cell>
          <cell r="W760" t="str">
            <v>Đã đóng</v>
          </cell>
          <cell r="AJ760" t="str">
            <v>Phú Thọ</v>
          </cell>
          <cell r="BX760" t="str">
            <v>AON</v>
          </cell>
        </row>
        <row r="761">
          <cell r="A761" t="str">
            <v>ON</v>
          </cell>
          <cell r="B761" t="str">
            <v>Trong 24h</v>
          </cell>
          <cell r="D761" t="str">
            <v>Khiếu nại về dịch vụ FTTH</v>
          </cell>
          <cell r="W761" t="str">
            <v>Đã đóng</v>
          </cell>
          <cell r="AJ761" t="str">
            <v>Tây Ninh</v>
          </cell>
          <cell r="BX761" t="str">
            <v>AON</v>
          </cell>
        </row>
        <row r="762">
          <cell r="A762" t="str">
            <v>ON</v>
          </cell>
          <cell r="B762" t="str">
            <v>Trong 24h</v>
          </cell>
          <cell r="D762" t="str">
            <v>Khiếu nại về dịch vụ FTTH</v>
          </cell>
          <cell r="W762" t="str">
            <v>Đã đóng</v>
          </cell>
          <cell r="AJ762" t="str">
            <v>TP HCM</v>
          </cell>
          <cell r="BX762" t="str">
            <v>AON</v>
          </cell>
        </row>
        <row r="763">
          <cell r="A763" t="str">
            <v>ON</v>
          </cell>
          <cell r="B763" t="str">
            <v>Trong 24h</v>
          </cell>
          <cell r="D763" t="str">
            <v>Khiếu nại về dịch vụ FTTH</v>
          </cell>
          <cell r="W763" t="str">
            <v>Đã đóng</v>
          </cell>
          <cell r="AJ763" t="str">
            <v>TP HCM</v>
          </cell>
          <cell r="BX763" t="str">
            <v>AON</v>
          </cell>
        </row>
        <row r="764">
          <cell r="A764" t="str">
            <v>ON</v>
          </cell>
          <cell r="B764" t="str">
            <v>Trong 24h</v>
          </cell>
          <cell r="D764" t="str">
            <v>Khiếu nại về dịch vụ FTTH</v>
          </cell>
          <cell r="W764" t="str">
            <v>Đã đóng</v>
          </cell>
          <cell r="AJ764" t="str">
            <v>Quảng Ninh</v>
          </cell>
          <cell r="BX764" t="str">
            <v>AON</v>
          </cell>
        </row>
        <row r="765">
          <cell r="A765" t="str">
            <v>ON</v>
          </cell>
          <cell r="B765" t="str">
            <v>Trong 24h</v>
          </cell>
          <cell r="D765" t="str">
            <v>Khiếu nại về dịch vụ FTTH</v>
          </cell>
          <cell r="W765" t="str">
            <v>Đã đóng</v>
          </cell>
          <cell r="AJ765" t="str">
            <v>Bắc Ninh</v>
          </cell>
          <cell r="BX765" t="str">
            <v>AON</v>
          </cell>
        </row>
        <row r="766">
          <cell r="A766" t="str">
            <v>ON</v>
          </cell>
          <cell r="B766" t="str">
            <v>Trong 24h</v>
          </cell>
          <cell r="D766" t="str">
            <v>Khiếu nại về dịch vụ FTTH</v>
          </cell>
          <cell r="W766" t="str">
            <v>Đã đóng</v>
          </cell>
          <cell r="AJ766" t="str">
            <v>Ninh Bình</v>
          </cell>
          <cell r="BX766" t="str">
            <v>AON</v>
          </cell>
        </row>
        <row r="767">
          <cell r="A767" t="str">
            <v>ON</v>
          </cell>
          <cell r="B767" t="str">
            <v>Trong 24h</v>
          </cell>
          <cell r="D767" t="str">
            <v>Khiếu nại về dịch vụ FTTH</v>
          </cell>
          <cell r="W767" t="str">
            <v>Đã đóng</v>
          </cell>
          <cell r="AJ767" t="str">
            <v>Tây Ninh</v>
          </cell>
          <cell r="BX767" t="str">
            <v>AON</v>
          </cell>
        </row>
        <row r="768">
          <cell r="A768" t="str">
            <v>ON</v>
          </cell>
          <cell r="B768" t="str">
            <v>Trong 24h</v>
          </cell>
          <cell r="D768" t="str">
            <v>Khiếu nại về dịch vụ FTTH</v>
          </cell>
          <cell r="W768" t="str">
            <v>Đang xử lý</v>
          </cell>
          <cell r="AJ768" t="str">
            <v>Thừa Thiên Huế</v>
          </cell>
          <cell r="BX768" t="str">
            <v>AON</v>
          </cell>
        </row>
        <row r="769">
          <cell r="A769" t="str">
            <v>ON</v>
          </cell>
          <cell r="B769" t="str">
            <v>Trong 24h</v>
          </cell>
          <cell r="D769" t="str">
            <v>Khiếu nại về dịch vụ FTTH</v>
          </cell>
          <cell r="W769" t="str">
            <v>Đang xử lý</v>
          </cell>
          <cell r="AJ769" t="str">
            <v>TP HCM</v>
          </cell>
          <cell r="BX769" t="str">
            <v>AON</v>
          </cell>
        </row>
        <row r="770">
          <cell r="A770" t="str">
            <v>ON</v>
          </cell>
          <cell r="B770" t="str">
            <v>Trong 24h</v>
          </cell>
          <cell r="D770" t="str">
            <v>Khiếu nại về dịch vụ FTTH</v>
          </cell>
          <cell r="W770" t="str">
            <v>Đang xử lý</v>
          </cell>
          <cell r="AJ770" t="str">
            <v>Hà Nội 2</v>
          </cell>
          <cell r="BX770" t="str">
            <v>AON</v>
          </cell>
        </row>
        <row r="771">
          <cell r="A771" t="str">
            <v>ON</v>
          </cell>
          <cell r="B771" t="str">
            <v>Trong 24h</v>
          </cell>
          <cell r="D771" t="str">
            <v>Khiếu nại về dịch vụ FTTH</v>
          </cell>
          <cell r="W771" t="str">
            <v>Đã đóng</v>
          </cell>
          <cell r="AJ771" t="str">
            <v>Bình Dương</v>
          </cell>
          <cell r="BX771" t="str">
            <v>AON</v>
          </cell>
        </row>
        <row r="772">
          <cell r="A772" t="str">
            <v>ON</v>
          </cell>
          <cell r="B772" t="str">
            <v>Trong 24h</v>
          </cell>
          <cell r="D772" t="str">
            <v>Khiếu nại về dịch vụ FTTH</v>
          </cell>
          <cell r="W772" t="str">
            <v>Đang xử lý</v>
          </cell>
          <cell r="AJ772" t="str">
            <v>Bắc Ninh</v>
          </cell>
          <cell r="BX772" t="str">
            <v>AON</v>
          </cell>
        </row>
        <row r="773">
          <cell r="A773" t="str">
            <v>ON</v>
          </cell>
          <cell r="B773" t="str">
            <v>Trong 24h</v>
          </cell>
          <cell r="D773" t="str">
            <v>Khiếu nại về dịch vụ NextTV</v>
          </cell>
          <cell r="W773" t="str">
            <v>Đã đóng</v>
          </cell>
          <cell r="AJ773" t="str">
            <v>TP HCM</v>
          </cell>
          <cell r="BX773" t="str">
            <v>AON</v>
          </cell>
        </row>
        <row r="774">
          <cell r="A774" t="str">
            <v>ON</v>
          </cell>
          <cell r="B774" t="str">
            <v>Trong 24h</v>
          </cell>
          <cell r="D774" t="str">
            <v>Khiếu nại về dịch vụ FTTH</v>
          </cell>
          <cell r="W774" t="str">
            <v>Đã đóng</v>
          </cell>
          <cell r="AJ774" t="str">
            <v>TP HCM</v>
          </cell>
          <cell r="BX774" t="str">
            <v>GPON</v>
          </cell>
        </row>
        <row r="775">
          <cell r="A775" t="str">
            <v>ON</v>
          </cell>
          <cell r="B775" t="str">
            <v>Trong 24h</v>
          </cell>
          <cell r="D775" t="str">
            <v>Khiếu nại về dịch vụ FTTH</v>
          </cell>
          <cell r="W775" t="str">
            <v>Đang xử lý</v>
          </cell>
          <cell r="AJ775" t="str">
            <v>TP HCM</v>
          </cell>
          <cell r="BX775" t="str">
            <v>AON</v>
          </cell>
        </row>
        <row r="776">
          <cell r="A776" t="str">
            <v>ON</v>
          </cell>
          <cell r="B776" t="str">
            <v>Trong 24h</v>
          </cell>
          <cell r="D776" t="str">
            <v>Khiếu nại về dịch vụ FTTH</v>
          </cell>
          <cell r="W776" t="str">
            <v>Đã đóng</v>
          </cell>
          <cell r="AJ776" t="str">
            <v>Hà Nội 1</v>
          </cell>
          <cell r="BX776" t="str">
            <v>AON</v>
          </cell>
        </row>
        <row r="777">
          <cell r="A777" t="str">
            <v>ON</v>
          </cell>
          <cell r="B777" t="str">
            <v>Trong 24h</v>
          </cell>
          <cell r="D777" t="str">
            <v>Khiếu nại về dịch vụ FTTH</v>
          </cell>
          <cell r="W777" t="str">
            <v>Đã đóng</v>
          </cell>
          <cell r="AJ777" t="str">
            <v>TP HCM</v>
          </cell>
          <cell r="BX777" t="str">
            <v>AON</v>
          </cell>
        </row>
        <row r="778">
          <cell r="A778" t="str">
            <v>ON</v>
          </cell>
          <cell r="B778" t="str">
            <v>Trong 24h</v>
          </cell>
          <cell r="D778" t="str">
            <v>Khiếu nại về dịch vụ FTTH</v>
          </cell>
          <cell r="W778" t="str">
            <v>Đang xử lý</v>
          </cell>
          <cell r="AJ778" t="str">
            <v xml:space="preserve">Đắc Lắk </v>
          </cell>
          <cell r="BX778" t="str">
            <v>AON</v>
          </cell>
        </row>
        <row r="779">
          <cell r="A779" t="str">
            <v>ON</v>
          </cell>
          <cell r="B779" t="str">
            <v>Trong 24h</v>
          </cell>
          <cell r="D779" t="str">
            <v>Khiếu nại về dịch vụ FTTH</v>
          </cell>
          <cell r="W779" t="str">
            <v>Đã đóng</v>
          </cell>
          <cell r="AJ779" t="str">
            <v>Hậu Giang</v>
          </cell>
          <cell r="BX779" t="str">
            <v>AON</v>
          </cell>
        </row>
        <row r="780">
          <cell r="A780" t="str">
            <v>ON</v>
          </cell>
          <cell r="B780" t="str">
            <v>Trong 24h</v>
          </cell>
          <cell r="D780" t="str">
            <v>Khiếu nại về dịch vụ FTTH</v>
          </cell>
          <cell r="W780" t="str">
            <v>Đang xử lý</v>
          </cell>
          <cell r="AJ780" t="str">
            <v>TP HCM</v>
          </cell>
          <cell r="BX780" t="str">
            <v>AON</v>
          </cell>
        </row>
        <row r="781">
          <cell r="A781" t="str">
            <v>ON</v>
          </cell>
          <cell r="B781" t="str">
            <v>Trong 24h</v>
          </cell>
          <cell r="D781" t="str">
            <v>Khiếu nại về dịch vụ FTTH</v>
          </cell>
          <cell r="W781" t="str">
            <v>Đã đóng</v>
          </cell>
          <cell r="AJ781" t="str">
            <v>Đắc Nông</v>
          </cell>
          <cell r="BX781" t="str">
            <v>AON</v>
          </cell>
        </row>
        <row r="782">
          <cell r="A782" t="str">
            <v>ON</v>
          </cell>
          <cell r="B782" t="str">
            <v>Trong 24h</v>
          </cell>
          <cell r="D782" t="str">
            <v>Khiếu nại về dịch vụ FTTH</v>
          </cell>
          <cell r="W782" t="str">
            <v>Đã đóng</v>
          </cell>
          <cell r="AJ782" t="str">
            <v>Hà Nội 1</v>
          </cell>
          <cell r="BX782" t="str">
            <v>AON</v>
          </cell>
        </row>
        <row r="783">
          <cell r="A783" t="str">
            <v>ON</v>
          </cell>
          <cell r="B783" t="str">
            <v>Trong 24h</v>
          </cell>
          <cell r="D783" t="str">
            <v>Khiếu nại về dịch vụ FTTH</v>
          </cell>
          <cell r="W783" t="str">
            <v>Đã đóng</v>
          </cell>
          <cell r="AJ783" t="str">
            <v>Bình Dương</v>
          </cell>
          <cell r="BX783" t="str">
            <v>AON</v>
          </cell>
        </row>
        <row r="784">
          <cell r="A784" t="str">
            <v>ON</v>
          </cell>
          <cell r="B784" t="str">
            <v>Trong 24h</v>
          </cell>
          <cell r="D784" t="str">
            <v>Khiếu nại về dịch vụ FTTH</v>
          </cell>
          <cell r="W784" t="str">
            <v>Đã đóng</v>
          </cell>
          <cell r="AJ784" t="str">
            <v>An Giang</v>
          </cell>
          <cell r="BX784" t="str">
            <v>AON</v>
          </cell>
        </row>
        <row r="785">
          <cell r="A785" t="str">
            <v>ON</v>
          </cell>
          <cell r="B785" t="str">
            <v>Trong 24h</v>
          </cell>
          <cell r="D785" t="str">
            <v>Khiếu nại về dịch vụ FTTH</v>
          </cell>
          <cell r="W785" t="str">
            <v>Đang xử lý</v>
          </cell>
          <cell r="AJ785" t="str">
            <v>Bình Định</v>
          </cell>
          <cell r="BX785" t="str">
            <v>AON</v>
          </cell>
        </row>
        <row r="786">
          <cell r="A786" t="str">
            <v>ON</v>
          </cell>
          <cell r="B786" t="str">
            <v>Trong 24h</v>
          </cell>
          <cell r="D786" t="str">
            <v>Khiếu nại về dịch vụ FTTH</v>
          </cell>
          <cell r="W786" t="str">
            <v>Đã đóng</v>
          </cell>
          <cell r="AJ786" t="str">
            <v>Hải Phòng</v>
          </cell>
          <cell r="BX786" t="str">
            <v>AON</v>
          </cell>
        </row>
        <row r="787">
          <cell r="A787" t="str">
            <v>ON</v>
          </cell>
          <cell r="B787" t="str">
            <v>Trong 24h</v>
          </cell>
          <cell r="D787" t="str">
            <v>Khiếu nại về dịch vụ FTTH</v>
          </cell>
          <cell r="W787" t="str">
            <v>Đã đóng</v>
          </cell>
          <cell r="AJ787" t="str">
            <v>Bình Thuận</v>
          </cell>
          <cell r="BX787" t="str">
            <v>AON</v>
          </cell>
        </row>
        <row r="788">
          <cell r="A788" t="str">
            <v>ON</v>
          </cell>
          <cell r="B788" t="str">
            <v>Trong 24h</v>
          </cell>
          <cell r="D788" t="str">
            <v>Khiếu nại về dịch vụ FTTH</v>
          </cell>
          <cell r="W788" t="str">
            <v>Đã đóng</v>
          </cell>
          <cell r="AJ788" t="str">
            <v>Bình Dương</v>
          </cell>
          <cell r="BX788" t="str">
            <v>AON</v>
          </cell>
        </row>
        <row r="789">
          <cell r="A789" t="str">
            <v>ON</v>
          </cell>
          <cell r="B789" t="str">
            <v>Trong 24h</v>
          </cell>
          <cell r="D789" t="str">
            <v>Khiếu nại về dịch vụ FTTH</v>
          </cell>
          <cell r="W789" t="str">
            <v>Đã đóng</v>
          </cell>
          <cell r="AJ789" t="str">
            <v>Hà Nội 1</v>
          </cell>
          <cell r="BX789" t="str">
            <v>AON</v>
          </cell>
        </row>
        <row r="790">
          <cell r="A790" t="str">
            <v>ON</v>
          </cell>
          <cell r="B790" t="str">
            <v>Trong 24h</v>
          </cell>
          <cell r="D790" t="str">
            <v>Khiếu nại về dịch vụ FTTH</v>
          </cell>
          <cell r="W790" t="str">
            <v>Đã đóng</v>
          </cell>
          <cell r="AJ790" t="str">
            <v>Hà Nội 1</v>
          </cell>
          <cell r="BX790" t="str">
            <v>AON</v>
          </cell>
        </row>
        <row r="791">
          <cell r="A791" t="str">
            <v>ON</v>
          </cell>
          <cell r="B791" t="str">
            <v>Trong 24h</v>
          </cell>
          <cell r="D791" t="str">
            <v>Khiếu nại về dịch vụ FTTH</v>
          </cell>
          <cell r="W791" t="str">
            <v>Đã đóng</v>
          </cell>
          <cell r="AJ791" t="str">
            <v>TP HCM</v>
          </cell>
          <cell r="BX791" t="str">
            <v>AON</v>
          </cell>
        </row>
        <row r="792">
          <cell r="A792" t="str">
            <v>ON</v>
          </cell>
          <cell r="B792" t="str">
            <v>Trong 24h</v>
          </cell>
          <cell r="D792" t="str">
            <v>Khiếu nại về dịch vụ FTTH</v>
          </cell>
          <cell r="W792" t="str">
            <v>Đang xử lý</v>
          </cell>
          <cell r="AJ792" t="str">
            <v>Bình Dương</v>
          </cell>
          <cell r="BX792" t="str">
            <v>AON</v>
          </cell>
        </row>
        <row r="793">
          <cell r="A793" t="str">
            <v>ON</v>
          </cell>
          <cell r="B793" t="str">
            <v>Trong 24h</v>
          </cell>
          <cell r="D793" t="str">
            <v>Khiếu nại về dịch vụ FTTH</v>
          </cell>
          <cell r="W793" t="str">
            <v>Đang xử lý</v>
          </cell>
          <cell r="AJ793" t="str">
            <v>TP HCM</v>
          </cell>
          <cell r="BX793" t="str">
            <v>AON</v>
          </cell>
        </row>
        <row r="794">
          <cell r="A794" t="str">
            <v>ON</v>
          </cell>
          <cell r="B794" t="str">
            <v>Trong 24h</v>
          </cell>
          <cell r="D794" t="str">
            <v>Khiếu nại về dịch vụ FTTH</v>
          </cell>
          <cell r="W794" t="str">
            <v>Đã đóng</v>
          </cell>
          <cell r="AJ794" t="str">
            <v>Bình Thuận</v>
          </cell>
          <cell r="BX794" t="str">
            <v>AON</v>
          </cell>
        </row>
        <row r="795">
          <cell r="A795" t="str">
            <v>ON</v>
          </cell>
          <cell r="B795" t="str">
            <v>Trong 24h</v>
          </cell>
          <cell r="D795" t="str">
            <v>Khiếu nại về dịch vụ FTTH</v>
          </cell>
          <cell r="W795" t="str">
            <v>Đã đóng</v>
          </cell>
          <cell r="AJ795" t="str">
            <v>Long An</v>
          </cell>
          <cell r="BX795" t="str">
            <v>AON</v>
          </cell>
        </row>
        <row r="796">
          <cell r="A796" t="str">
            <v>ON</v>
          </cell>
          <cell r="B796" t="str">
            <v>Trong 24h</v>
          </cell>
          <cell r="D796" t="str">
            <v>Khiếu nại về dịch vụ FTTH</v>
          </cell>
          <cell r="W796" t="str">
            <v>Đã đóng</v>
          </cell>
          <cell r="AJ796" t="str">
            <v>TP HCM</v>
          </cell>
          <cell r="BX796" t="str">
            <v>AON</v>
          </cell>
        </row>
        <row r="797">
          <cell r="A797" t="str">
            <v>ON</v>
          </cell>
          <cell r="B797" t="str">
            <v>Trong 24h</v>
          </cell>
          <cell r="D797" t="str">
            <v>Khiếu nại về dịch vụ FTTH</v>
          </cell>
          <cell r="W797" t="str">
            <v>Đã đóng</v>
          </cell>
          <cell r="AJ797" t="str">
            <v>Bà Rịa - Vũng Tàu</v>
          </cell>
          <cell r="BX797" t="str">
            <v>AON</v>
          </cell>
        </row>
        <row r="798">
          <cell r="A798" t="str">
            <v>ON</v>
          </cell>
          <cell r="B798" t="str">
            <v>Trong 24h</v>
          </cell>
          <cell r="D798" t="str">
            <v>Khiếu nại về dịch vụ FTTH</v>
          </cell>
          <cell r="W798" t="str">
            <v>Đã đóng</v>
          </cell>
          <cell r="AJ798" t="str">
            <v>TP HCM</v>
          </cell>
          <cell r="BX798" t="str">
            <v>AON</v>
          </cell>
        </row>
        <row r="799">
          <cell r="A799" t="str">
            <v>ON</v>
          </cell>
          <cell r="B799" t="str">
            <v>Trong 24h</v>
          </cell>
          <cell r="D799" t="str">
            <v>Khiếu nại về dịch vụ FTTH</v>
          </cell>
          <cell r="W799" t="str">
            <v>Đã đóng</v>
          </cell>
          <cell r="AJ799" t="str">
            <v>Cần Thơ</v>
          </cell>
          <cell r="BX799" t="str">
            <v>AON</v>
          </cell>
        </row>
        <row r="800">
          <cell r="A800" t="str">
            <v>ON</v>
          </cell>
          <cell r="B800" t="str">
            <v>Trong 24h</v>
          </cell>
          <cell r="D800" t="str">
            <v>Khiếu nại về dịch vụ FTTH</v>
          </cell>
          <cell r="W800" t="str">
            <v>Đang xử lý</v>
          </cell>
          <cell r="AJ800" t="str">
            <v>TP HCM</v>
          </cell>
          <cell r="BX800" t="str">
            <v>AON</v>
          </cell>
        </row>
        <row r="801">
          <cell r="A801" t="str">
            <v>ON</v>
          </cell>
          <cell r="B801" t="str">
            <v>Trong 24h</v>
          </cell>
          <cell r="D801" t="str">
            <v>Khiếu nại về dịch vụ NextTV</v>
          </cell>
          <cell r="W801" t="str">
            <v>Đang xử lý</v>
          </cell>
          <cell r="AJ801" t="str">
            <v>Thái Nguyên</v>
          </cell>
          <cell r="BX801" t="str">
            <v>AON</v>
          </cell>
        </row>
        <row r="802">
          <cell r="A802" t="str">
            <v>ON</v>
          </cell>
          <cell r="B802" t="str">
            <v>Trong 24h</v>
          </cell>
          <cell r="D802" t="str">
            <v>Khiếu nại về dịch vụ FTTH</v>
          </cell>
          <cell r="W802" t="str">
            <v>Đang xử lý</v>
          </cell>
          <cell r="AJ802" t="str">
            <v>Bắc Ninh</v>
          </cell>
          <cell r="BX802" t="str">
            <v>AON</v>
          </cell>
        </row>
        <row r="803">
          <cell r="A803" t="str">
            <v>ON</v>
          </cell>
          <cell r="B803" t="str">
            <v>Trong 24h</v>
          </cell>
          <cell r="D803" t="str">
            <v>Khiếu nại về dịch vụ FTTH</v>
          </cell>
          <cell r="W803" t="str">
            <v>Đã đóng</v>
          </cell>
          <cell r="AJ803" t="str">
            <v>TP HCM</v>
          </cell>
          <cell r="BX803" t="str">
            <v>AON</v>
          </cell>
        </row>
        <row r="804">
          <cell r="A804" t="str">
            <v>ON</v>
          </cell>
          <cell r="B804" t="str">
            <v>Trong 24h</v>
          </cell>
          <cell r="D804" t="str">
            <v>Khiếu nại về dịch vụ FTTH</v>
          </cell>
          <cell r="W804" t="str">
            <v>Đã đóng</v>
          </cell>
          <cell r="AJ804" t="str">
            <v>Quảng Ninh</v>
          </cell>
          <cell r="BX804" t="str">
            <v>AON</v>
          </cell>
        </row>
        <row r="805">
          <cell r="A805" t="str">
            <v>ON</v>
          </cell>
          <cell r="B805" t="str">
            <v>Trong 24h</v>
          </cell>
          <cell r="D805" t="str">
            <v>Khiếu nại về dịch vụ FTTH</v>
          </cell>
          <cell r="W805" t="str">
            <v>Đã đóng</v>
          </cell>
          <cell r="AJ805" t="str">
            <v>TP HCM</v>
          </cell>
          <cell r="BX805" t="str">
            <v>AON</v>
          </cell>
        </row>
        <row r="806">
          <cell r="A806" t="str">
            <v>ON</v>
          </cell>
          <cell r="B806" t="str">
            <v>Trong 24h</v>
          </cell>
          <cell r="D806" t="str">
            <v>Khiếu nại về dịch vụ FTTH</v>
          </cell>
          <cell r="W806" t="str">
            <v>Đang xử lý</v>
          </cell>
          <cell r="AJ806" t="str">
            <v>Hà Nội 1</v>
          </cell>
          <cell r="BX806" t="str">
            <v>AON</v>
          </cell>
        </row>
        <row r="807">
          <cell r="A807" t="str">
            <v>ON</v>
          </cell>
          <cell r="B807" t="str">
            <v>Trong 24h</v>
          </cell>
          <cell r="D807" t="str">
            <v>Khiếu nại về dịch vụ FTTH</v>
          </cell>
          <cell r="W807" t="str">
            <v>Đã đóng</v>
          </cell>
          <cell r="AJ807" t="str">
            <v>TP HCM</v>
          </cell>
          <cell r="BX807" t="str">
            <v>AON</v>
          </cell>
        </row>
        <row r="808">
          <cell r="A808" t="str">
            <v>ON</v>
          </cell>
          <cell r="B808" t="str">
            <v>Trong 24h</v>
          </cell>
          <cell r="D808" t="str">
            <v>Khiếu nại về dịch vụ FTTH</v>
          </cell>
          <cell r="W808" t="str">
            <v>Đã đóng</v>
          </cell>
          <cell r="AJ808" t="str">
            <v>Lai Châu</v>
          </cell>
          <cell r="BX808" t="str">
            <v>AON</v>
          </cell>
        </row>
        <row r="809">
          <cell r="A809" t="str">
            <v>ON</v>
          </cell>
          <cell r="B809" t="str">
            <v>Trong 24h</v>
          </cell>
          <cell r="D809" t="str">
            <v>Khiếu nại về dịch vụ FTTH</v>
          </cell>
          <cell r="W809" t="str">
            <v>Đã đóng</v>
          </cell>
          <cell r="AJ809" t="str">
            <v>Khánh Hoà</v>
          </cell>
          <cell r="BX809" t="str">
            <v>AON</v>
          </cell>
        </row>
        <row r="810">
          <cell r="A810" t="str">
            <v>ON</v>
          </cell>
          <cell r="B810" t="str">
            <v>Trong 24h</v>
          </cell>
          <cell r="D810" t="str">
            <v>Khiếu nại về dịch vụ FTTH</v>
          </cell>
          <cell r="W810" t="str">
            <v>Đã đóng</v>
          </cell>
          <cell r="AJ810" t="str">
            <v>Đồng Tháp</v>
          </cell>
          <cell r="BX810" t="str">
            <v>AON</v>
          </cell>
        </row>
        <row r="811">
          <cell r="A811" t="str">
            <v>ON</v>
          </cell>
          <cell r="B811" t="str">
            <v>Trong 24h</v>
          </cell>
          <cell r="D811" t="str">
            <v>Khiếu nại về dịch vụ FTTH</v>
          </cell>
          <cell r="W811" t="str">
            <v>Đã đóng</v>
          </cell>
          <cell r="AJ811" t="str">
            <v>TP HCM</v>
          </cell>
          <cell r="BX811" t="str">
            <v>AON</v>
          </cell>
        </row>
        <row r="812">
          <cell r="A812" t="str">
            <v>ON</v>
          </cell>
          <cell r="B812" t="str">
            <v>Trong 24h</v>
          </cell>
          <cell r="D812" t="str">
            <v>Khiếu nại về dịch vụ NextTV</v>
          </cell>
          <cell r="W812" t="str">
            <v>Đã đóng</v>
          </cell>
          <cell r="AJ812" t="str">
            <v>Tuyên Quang</v>
          </cell>
          <cell r="BX812" t="str">
            <v>AON</v>
          </cell>
        </row>
        <row r="813">
          <cell r="A813" t="str">
            <v>ON</v>
          </cell>
          <cell r="B813" t="str">
            <v>Trong 24h</v>
          </cell>
          <cell r="D813" t="str">
            <v>Khiếu nại về dịch vụ FTTH</v>
          </cell>
          <cell r="W813" t="str">
            <v>Đang xử lý</v>
          </cell>
          <cell r="AJ813" t="str">
            <v xml:space="preserve">Đà Nẵng </v>
          </cell>
          <cell r="BX813" t="str">
            <v>AON</v>
          </cell>
        </row>
        <row r="814">
          <cell r="A814" t="str">
            <v>ON</v>
          </cell>
          <cell r="B814" t="str">
            <v>Trong 24h</v>
          </cell>
          <cell r="D814" t="str">
            <v>Khiếu nại về dịch vụ FTTH</v>
          </cell>
          <cell r="W814" t="str">
            <v>Đang xử lý</v>
          </cell>
          <cell r="AJ814" t="str">
            <v xml:space="preserve">Đồng Nai </v>
          </cell>
          <cell r="BX814" t="str">
            <v>AON</v>
          </cell>
        </row>
        <row r="815">
          <cell r="A815" t="str">
            <v>ON</v>
          </cell>
          <cell r="B815" t="str">
            <v>Trong 24h</v>
          </cell>
          <cell r="D815" t="str">
            <v>Khiếu nại về dịch vụ FTTH</v>
          </cell>
          <cell r="W815" t="str">
            <v>Đã đóng</v>
          </cell>
          <cell r="AJ815" t="str">
            <v>TP HCM</v>
          </cell>
          <cell r="BX815" t="str">
            <v>AON</v>
          </cell>
        </row>
        <row r="816">
          <cell r="A816" t="str">
            <v>ON</v>
          </cell>
          <cell r="B816" t="str">
            <v>Trong 24h</v>
          </cell>
          <cell r="D816" t="str">
            <v>Khiếu nại về dịch vụ FTTH</v>
          </cell>
          <cell r="W816" t="str">
            <v>Đã đóng</v>
          </cell>
          <cell r="AJ816" t="str">
            <v>Yên Bái</v>
          </cell>
          <cell r="BX816" t="str">
            <v>AON</v>
          </cell>
        </row>
        <row r="817">
          <cell r="A817" t="str">
            <v>ON</v>
          </cell>
          <cell r="B817" t="str">
            <v>Trong 24h</v>
          </cell>
          <cell r="D817" t="str">
            <v>Khiếu nại về dịch vụ FTTH</v>
          </cell>
          <cell r="W817" t="str">
            <v>Đã đóng</v>
          </cell>
          <cell r="AJ817" t="str">
            <v>TP HCM</v>
          </cell>
          <cell r="BX817" t="str">
            <v>AON</v>
          </cell>
        </row>
        <row r="818">
          <cell r="A818" t="str">
            <v>ON</v>
          </cell>
          <cell r="B818" t="str">
            <v>Trong 24h</v>
          </cell>
          <cell r="D818" t="str">
            <v>Khiếu nại về dịch vụ FTTH</v>
          </cell>
          <cell r="W818" t="str">
            <v>Đã đóng</v>
          </cell>
          <cell r="AJ818" t="str">
            <v>Sơn La</v>
          </cell>
          <cell r="BX818" t="str">
            <v>AON</v>
          </cell>
        </row>
        <row r="819">
          <cell r="A819" t="str">
            <v>ON</v>
          </cell>
          <cell r="B819" t="str">
            <v>Trong 24h</v>
          </cell>
          <cell r="D819" t="str">
            <v>Khiếu nại về dịch vụ FTTH</v>
          </cell>
          <cell r="W819" t="str">
            <v>Đã đóng</v>
          </cell>
          <cell r="AJ819" t="str">
            <v>TP HCM</v>
          </cell>
          <cell r="BX819" t="str">
            <v>AON</v>
          </cell>
        </row>
        <row r="820">
          <cell r="A820" t="str">
            <v>ON</v>
          </cell>
          <cell r="B820" t="str">
            <v>Trong 24h</v>
          </cell>
          <cell r="D820" t="str">
            <v>Khiếu nại về dịch vụ FTTH</v>
          </cell>
          <cell r="W820" t="str">
            <v>Đã đóng</v>
          </cell>
          <cell r="AJ820" t="str">
            <v>TP HCM</v>
          </cell>
          <cell r="BX820" t="str">
            <v>AON</v>
          </cell>
        </row>
        <row r="821">
          <cell r="A821" t="str">
            <v>ON</v>
          </cell>
          <cell r="B821" t="str">
            <v>Trong 24h</v>
          </cell>
          <cell r="D821" t="str">
            <v>Khiếu nại về dịch vụ FTTH</v>
          </cell>
          <cell r="W821" t="str">
            <v>Đã đóng</v>
          </cell>
          <cell r="AJ821" t="str">
            <v>Phú Yên</v>
          </cell>
          <cell r="BX821" t="str">
            <v>AON</v>
          </cell>
        </row>
        <row r="822">
          <cell r="A822" t="str">
            <v>ON</v>
          </cell>
          <cell r="B822" t="str">
            <v>Trong 24h</v>
          </cell>
          <cell r="D822" t="str">
            <v>Khiếu nại về dịch vụ FTTH</v>
          </cell>
          <cell r="W822" t="str">
            <v>Đang xử lý</v>
          </cell>
          <cell r="AJ822" t="str">
            <v>An Giang</v>
          </cell>
          <cell r="BX822" t="str">
            <v>AON</v>
          </cell>
        </row>
        <row r="823">
          <cell r="A823" t="str">
            <v>ON</v>
          </cell>
          <cell r="B823" t="str">
            <v>Trong 24h</v>
          </cell>
          <cell r="D823" t="str">
            <v>Khiếu nại về dịch vụ NextTV</v>
          </cell>
          <cell r="W823" t="str">
            <v>Đã đóng</v>
          </cell>
          <cell r="AJ823" t="str">
            <v>TP HCM</v>
          </cell>
          <cell r="BX823" t="str">
            <v>AON</v>
          </cell>
        </row>
        <row r="824">
          <cell r="A824" t="str">
            <v>ON</v>
          </cell>
          <cell r="B824" t="str">
            <v>Trong 24h</v>
          </cell>
          <cell r="D824" t="str">
            <v>Khiếu nại về dịch vụ FTTH</v>
          </cell>
          <cell r="W824" t="str">
            <v>Đang xử lý</v>
          </cell>
          <cell r="AJ824" t="str">
            <v>Thừa Thiên Huế</v>
          </cell>
          <cell r="BX824" t="str">
            <v>AON</v>
          </cell>
        </row>
        <row r="825">
          <cell r="A825" t="str">
            <v>ON</v>
          </cell>
          <cell r="B825" t="str">
            <v>Trong 24h</v>
          </cell>
          <cell r="D825" t="str">
            <v>Khiếu nại về dịch vụ FTTH</v>
          </cell>
          <cell r="W825" t="str">
            <v>Đã đóng</v>
          </cell>
          <cell r="AJ825" t="str">
            <v>TP HCM</v>
          </cell>
          <cell r="BX825" t="str">
            <v>GPON</v>
          </cell>
        </row>
        <row r="826">
          <cell r="A826" t="str">
            <v>ON</v>
          </cell>
          <cell r="B826" t="str">
            <v>Trong 24h</v>
          </cell>
          <cell r="D826" t="str">
            <v>Khiếu nại về dịch vụ FTTH</v>
          </cell>
          <cell r="W826" t="str">
            <v>Đã đóng</v>
          </cell>
          <cell r="AJ826" t="str">
            <v>Hà Nội 2</v>
          </cell>
          <cell r="BX826" t="str">
            <v>AON</v>
          </cell>
        </row>
        <row r="827">
          <cell r="A827" t="str">
            <v>ON</v>
          </cell>
          <cell r="B827" t="str">
            <v>Trong 24h</v>
          </cell>
          <cell r="D827" t="str">
            <v>Khiếu nại về dịch vụ FTTH</v>
          </cell>
          <cell r="W827" t="str">
            <v>Đã đóng</v>
          </cell>
          <cell r="AJ827" t="str">
            <v>Hà Nội 1</v>
          </cell>
          <cell r="BX827" t="str">
            <v>AON</v>
          </cell>
        </row>
        <row r="828">
          <cell r="A828" t="str">
            <v>ON</v>
          </cell>
          <cell r="B828" t="str">
            <v>Trong 24h</v>
          </cell>
          <cell r="D828" t="str">
            <v>Khiếu nại về dịch vụ FTTH</v>
          </cell>
          <cell r="W828" t="str">
            <v>Đã đóng</v>
          </cell>
          <cell r="AJ828" t="str">
            <v>Vĩnh Phúc</v>
          </cell>
          <cell r="BX828" t="str">
            <v>AON</v>
          </cell>
        </row>
        <row r="829">
          <cell r="A829" t="str">
            <v>ON</v>
          </cell>
          <cell r="B829" t="str">
            <v>Trong 24h</v>
          </cell>
          <cell r="D829" t="str">
            <v>Khiếu nại về dịch vụ FTTH</v>
          </cell>
          <cell r="W829" t="str">
            <v>Đã đóng</v>
          </cell>
          <cell r="AJ829" t="str">
            <v>Bắc Ninh</v>
          </cell>
          <cell r="BX829" t="str">
            <v>AON</v>
          </cell>
        </row>
        <row r="830">
          <cell r="A830" t="str">
            <v>ON</v>
          </cell>
          <cell r="B830" t="str">
            <v>Trong 24h</v>
          </cell>
          <cell r="D830" t="str">
            <v>Khiếu nại về dịch vụ FTTH</v>
          </cell>
          <cell r="W830" t="str">
            <v>Đang xử lý</v>
          </cell>
          <cell r="AJ830" t="str">
            <v>TP HCM</v>
          </cell>
          <cell r="BX830" t="str">
            <v>AON</v>
          </cell>
        </row>
        <row r="831">
          <cell r="A831" t="str">
            <v>ON</v>
          </cell>
          <cell r="B831" t="str">
            <v>Trong 24h</v>
          </cell>
          <cell r="D831" t="str">
            <v>Khiếu nại về dịch vụ FTTH</v>
          </cell>
          <cell r="W831" t="str">
            <v>Đang xử lý</v>
          </cell>
          <cell r="AJ831" t="str">
            <v>TP HCM</v>
          </cell>
          <cell r="BX831" t="str">
            <v>AON</v>
          </cell>
        </row>
        <row r="832">
          <cell r="A832" t="str">
            <v>ON</v>
          </cell>
          <cell r="B832" t="str">
            <v>Trong 24h</v>
          </cell>
          <cell r="D832" t="str">
            <v>Khiếu nại về dịch vụ FTTH</v>
          </cell>
          <cell r="W832" t="str">
            <v>Đang xử lý</v>
          </cell>
          <cell r="AJ832" t="str">
            <v>Bình Dương</v>
          </cell>
          <cell r="BX832" t="str">
            <v>AON</v>
          </cell>
        </row>
        <row r="833">
          <cell r="A833" t="str">
            <v>ON</v>
          </cell>
          <cell r="B833" t="str">
            <v>Trong 24h</v>
          </cell>
          <cell r="D833" t="str">
            <v>Khiếu nại về dịch vụ FTTH</v>
          </cell>
          <cell r="W833" t="str">
            <v>Đang xử lý</v>
          </cell>
          <cell r="AJ833" t="str">
            <v>TP HCM</v>
          </cell>
          <cell r="BX833" t="str">
            <v>GPON</v>
          </cell>
        </row>
        <row r="834">
          <cell r="A834" t="str">
            <v>ON</v>
          </cell>
          <cell r="B834" t="str">
            <v>Trong 24h</v>
          </cell>
          <cell r="D834" t="str">
            <v>Khiếu nại về dịch vụ FTTH</v>
          </cell>
          <cell r="W834" t="str">
            <v>Đang xử lý</v>
          </cell>
          <cell r="AJ834" t="str">
            <v>Hà Nam</v>
          </cell>
          <cell r="BX834" t="str">
            <v>AON</v>
          </cell>
        </row>
        <row r="835">
          <cell r="A835" t="str">
            <v>ON</v>
          </cell>
          <cell r="B835" t="str">
            <v>Trong 24h</v>
          </cell>
          <cell r="D835" t="str">
            <v>Khiếu nại về dịch vụ FTTH</v>
          </cell>
          <cell r="W835" t="str">
            <v>Đã đóng</v>
          </cell>
          <cell r="AJ835" t="str">
            <v xml:space="preserve">Đồng Nai </v>
          </cell>
          <cell r="BX835" t="str">
            <v>AON</v>
          </cell>
        </row>
        <row r="836">
          <cell r="A836" t="str">
            <v>ON</v>
          </cell>
          <cell r="B836" t="str">
            <v>Trong 24h</v>
          </cell>
          <cell r="D836" t="str">
            <v>Khiếu nại về dịch vụ FTTH</v>
          </cell>
          <cell r="W836" t="str">
            <v>Đã đóng</v>
          </cell>
          <cell r="AJ836" t="str">
            <v>Lào Cai</v>
          </cell>
          <cell r="BX836" t="str">
            <v>AON</v>
          </cell>
        </row>
        <row r="837">
          <cell r="A837" t="str">
            <v>ON</v>
          </cell>
          <cell r="B837" t="str">
            <v>Trong 24h</v>
          </cell>
          <cell r="D837" t="str">
            <v>Khiếu nại về dịch vụ FTTH</v>
          </cell>
          <cell r="W837" t="str">
            <v>Đã đóng</v>
          </cell>
          <cell r="AJ837" t="str">
            <v>Hưng Yên</v>
          </cell>
          <cell r="BX837" t="str">
            <v>AON</v>
          </cell>
        </row>
        <row r="838">
          <cell r="A838" t="str">
            <v>ON</v>
          </cell>
          <cell r="B838" t="str">
            <v>Trong 24h</v>
          </cell>
          <cell r="D838" t="str">
            <v>Khiếu nại về dịch vụ FTTH</v>
          </cell>
          <cell r="W838" t="str">
            <v>Đã đóng</v>
          </cell>
          <cell r="AJ838" t="str">
            <v>TP HCM</v>
          </cell>
          <cell r="BX838" t="str">
            <v>AON</v>
          </cell>
        </row>
        <row r="839">
          <cell r="A839" t="str">
            <v>ON</v>
          </cell>
          <cell r="B839" t="str">
            <v>Trong 24h</v>
          </cell>
          <cell r="D839" t="str">
            <v>Khiếu nại về dịch vụ FTTH</v>
          </cell>
          <cell r="W839" t="str">
            <v>Đã đóng</v>
          </cell>
          <cell r="AJ839" t="str">
            <v>TP HCM</v>
          </cell>
          <cell r="BX839" t="str">
            <v>AON</v>
          </cell>
        </row>
        <row r="840">
          <cell r="A840" t="str">
            <v>ON</v>
          </cell>
          <cell r="B840" t="str">
            <v>Trong 24h</v>
          </cell>
          <cell r="D840" t="str">
            <v>Khiếu nại về dịch vụ FTTH</v>
          </cell>
          <cell r="W840" t="str">
            <v>Đang xử lý</v>
          </cell>
          <cell r="AJ840" t="str">
            <v>Hoà Bình</v>
          </cell>
          <cell r="BX840" t="str">
            <v>AON</v>
          </cell>
        </row>
        <row r="841">
          <cell r="A841" t="str">
            <v>ON</v>
          </cell>
          <cell r="B841" t="str">
            <v>Trong 24h</v>
          </cell>
          <cell r="D841" t="str">
            <v>Khiếu nại về dịch vụ FTTH</v>
          </cell>
          <cell r="W841" t="str">
            <v>Đang xử lý</v>
          </cell>
          <cell r="AJ841" t="str">
            <v>Quảng Ninh</v>
          </cell>
          <cell r="BX841" t="str">
            <v>AON</v>
          </cell>
        </row>
        <row r="842">
          <cell r="A842" t="str">
            <v>ON</v>
          </cell>
          <cell r="B842" t="str">
            <v>Trong 24h</v>
          </cell>
          <cell r="D842" t="str">
            <v>Khiếu nại về dịch vụ NextTV</v>
          </cell>
          <cell r="W842" t="str">
            <v>Đã đóng</v>
          </cell>
          <cell r="AJ842" t="str">
            <v>Quảng Ninh</v>
          </cell>
          <cell r="BX842" t="str">
            <v>AON</v>
          </cell>
        </row>
        <row r="843">
          <cell r="A843" t="str">
            <v>ON</v>
          </cell>
          <cell r="B843" t="str">
            <v>Trong 24h</v>
          </cell>
          <cell r="D843" t="str">
            <v>Khiếu nại về dịch vụ FTTH</v>
          </cell>
          <cell r="W843" t="str">
            <v>Đã đóng</v>
          </cell>
          <cell r="AJ843" t="str">
            <v>TP HCM</v>
          </cell>
          <cell r="BX843" t="str">
            <v>AON</v>
          </cell>
        </row>
        <row r="844">
          <cell r="A844" t="str">
            <v>ON</v>
          </cell>
          <cell r="B844" t="str">
            <v>Trong 24h</v>
          </cell>
          <cell r="D844" t="str">
            <v>Khiếu nại về dịch vụ FTTH</v>
          </cell>
          <cell r="W844" t="str">
            <v>Đã đóng</v>
          </cell>
          <cell r="AJ844" t="str">
            <v>Bạc Liêu</v>
          </cell>
          <cell r="BX844" t="str">
            <v>AON</v>
          </cell>
        </row>
        <row r="845">
          <cell r="A845" t="str">
            <v>ON</v>
          </cell>
          <cell r="B845" t="str">
            <v>Trong 24h</v>
          </cell>
          <cell r="D845" t="str">
            <v>Khiếu nại về dịch vụ FTTH</v>
          </cell>
          <cell r="W845" t="str">
            <v>Đã đóng</v>
          </cell>
          <cell r="AJ845" t="str">
            <v>TP HCM</v>
          </cell>
          <cell r="BX845" t="str">
            <v>GPON</v>
          </cell>
        </row>
        <row r="846">
          <cell r="A846" t="str">
            <v>ON</v>
          </cell>
          <cell r="B846" t="str">
            <v>Trong 24h</v>
          </cell>
          <cell r="D846" t="str">
            <v>Khiếu nại về dịch vụ FTTH</v>
          </cell>
          <cell r="W846" t="str">
            <v>Đang xử lý</v>
          </cell>
          <cell r="AJ846" t="str">
            <v>Quảng Ninh</v>
          </cell>
          <cell r="BX846" t="str">
            <v>AON</v>
          </cell>
        </row>
        <row r="847">
          <cell r="A847" t="str">
            <v>ON</v>
          </cell>
          <cell r="B847" t="str">
            <v>Trong 24h</v>
          </cell>
          <cell r="D847" t="str">
            <v>Khiếu nại về dịch vụ NextTV</v>
          </cell>
          <cell r="W847" t="str">
            <v>Đang xử lý</v>
          </cell>
          <cell r="AJ847" t="str">
            <v>Quảng Ninh</v>
          </cell>
          <cell r="BX847" t="str">
            <v>AON</v>
          </cell>
        </row>
        <row r="848">
          <cell r="A848" t="str">
            <v>ON</v>
          </cell>
          <cell r="B848" t="str">
            <v>Trong 24h</v>
          </cell>
          <cell r="D848" t="str">
            <v>Khiếu nại về dịch vụ FTTH</v>
          </cell>
          <cell r="W848" t="str">
            <v>Đã đóng</v>
          </cell>
          <cell r="AJ848" t="str">
            <v>TP HCM</v>
          </cell>
          <cell r="BX848" t="str">
            <v>AON</v>
          </cell>
        </row>
        <row r="849">
          <cell r="A849" t="str">
            <v>ON</v>
          </cell>
          <cell r="B849" t="str">
            <v>Trong 24h</v>
          </cell>
          <cell r="D849" t="str">
            <v>Khiếu nại về dịch vụ FTTH</v>
          </cell>
          <cell r="W849" t="str">
            <v>Đã đóng</v>
          </cell>
          <cell r="AJ849" t="str">
            <v>TP HCM</v>
          </cell>
          <cell r="BX849" t="str">
            <v>AON</v>
          </cell>
        </row>
        <row r="850">
          <cell r="A850" t="str">
            <v>ON</v>
          </cell>
          <cell r="B850" t="str">
            <v>Trong 24h</v>
          </cell>
          <cell r="D850" t="str">
            <v>Khiếu nại về dịch vụ FTTH</v>
          </cell>
          <cell r="W850" t="str">
            <v>Đang xử lý</v>
          </cell>
          <cell r="AJ850" t="str">
            <v>Bắc Ninh</v>
          </cell>
          <cell r="BX850" t="str">
            <v>AON</v>
          </cell>
        </row>
        <row r="851">
          <cell r="A851" t="str">
            <v>ON</v>
          </cell>
          <cell r="B851" t="str">
            <v>Trong 24h</v>
          </cell>
          <cell r="D851" t="str">
            <v>Khiếu nại về dịch vụ FTTH</v>
          </cell>
          <cell r="W851" t="str">
            <v>Đã đóng</v>
          </cell>
          <cell r="AJ851" t="str">
            <v>Tây Ninh</v>
          </cell>
          <cell r="BX851" t="str">
            <v>AON</v>
          </cell>
        </row>
        <row r="852">
          <cell r="A852" t="str">
            <v>ON</v>
          </cell>
          <cell r="B852" t="str">
            <v>Trong 24h</v>
          </cell>
          <cell r="D852" t="str">
            <v>Khiếu nại về dịch vụ FTTH</v>
          </cell>
          <cell r="W852" t="str">
            <v>Đã đóng</v>
          </cell>
          <cell r="AJ852" t="str">
            <v>An Giang</v>
          </cell>
          <cell r="BX852" t="str">
            <v>AON</v>
          </cell>
        </row>
        <row r="853">
          <cell r="A853" t="str">
            <v>ON</v>
          </cell>
          <cell r="B853" t="str">
            <v>Trong 24h</v>
          </cell>
          <cell r="D853" t="str">
            <v>Khiếu nại về dịch vụ FTTH</v>
          </cell>
          <cell r="W853" t="str">
            <v>Đã đóng</v>
          </cell>
          <cell r="AJ853" t="str">
            <v>Khánh Hoà</v>
          </cell>
          <cell r="BX853" t="str">
            <v>AON</v>
          </cell>
        </row>
        <row r="854">
          <cell r="A854" t="str">
            <v>ON</v>
          </cell>
          <cell r="B854" t="str">
            <v>Trong 24h</v>
          </cell>
          <cell r="D854" t="str">
            <v>Khiếu nại về dịch vụ NextTV</v>
          </cell>
          <cell r="W854" t="str">
            <v>Đã đóng</v>
          </cell>
          <cell r="AJ854" t="str">
            <v>An Giang</v>
          </cell>
          <cell r="BX854" t="str">
            <v>AON</v>
          </cell>
        </row>
        <row r="855">
          <cell r="A855" t="str">
            <v>ON</v>
          </cell>
          <cell r="B855" t="str">
            <v>Trong 24h</v>
          </cell>
          <cell r="D855" t="str">
            <v>Khiếu nại về dịch vụ FTTH</v>
          </cell>
          <cell r="W855" t="str">
            <v>Đã đóng</v>
          </cell>
          <cell r="AJ855" t="str">
            <v>Bình Dương</v>
          </cell>
          <cell r="BX855" t="str">
            <v>AON</v>
          </cell>
        </row>
        <row r="856">
          <cell r="A856" t="str">
            <v>ON</v>
          </cell>
          <cell r="B856" t="str">
            <v>Trong 24h</v>
          </cell>
          <cell r="D856" t="str">
            <v>Khiếu nại về dịch vụ FTTH</v>
          </cell>
          <cell r="W856" t="str">
            <v>Đã đóng</v>
          </cell>
          <cell r="AJ856" t="str">
            <v>TP HCM</v>
          </cell>
          <cell r="BX856" t="str">
            <v>AON</v>
          </cell>
        </row>
        <row r="857">
          <cell r="A857" t="str">
            <v>ON</v>
          </cell>
          <cell r="B857" t="str">
            <v>Trong 24h</v>
          </cell>
          <cell r="D857" t="str">
            <v>Khiếu nại về dịch vụ FTTH</v>
          </cell>
          <cell r="W857" t="str">
            <v>Đã đóng</v>
          </cell>
          <cell r="AJ857" t="str">
            <v>Bắc Giang</v>
          </cell>
          <cell r="BX857" t="str">
            <v>AON</v>
          </cell>
        </row>
        <row r="858">
          <cell r="A858" t="str">
            <v>ON</v>
          </cell>
          <cell r="B858" t="str">
            <v>Trong 24h</v>
          </cell>
          <cell r="D858" t="str">
            <v>Khiếu nại về dịch vụ FTTH</v>
          </cell>
          <cell r="W858" t="str">
            <v>Đã đóng</v>
          </cell>
          <cell r="AJ858" t="str">
            <v>TP HCM</v>
          </cell>
          <cell r="BX858" t="str">
            <v>AON</v>
          </cell>
        </row>
        <row r="859">
          <cell r="A859" t="str">
            <v>ON</v>
          </cell>
          <cell r="B859" t="str">
            <v>Trong 24h</v>
          </cell>
          <cell r="D859" t="str">
            <v>Khiếu nại về dịch vụ FTTH</v>
          </cell>
          <cell r="W859" t="str">
            <v>Đã đóng</v>
          </cell>
          <cell r="AJ859" t="str">
            <v>Hà Nội 2</v>
          </cell>
          <cell r="BX859" t="str">
            <v>AON</v>
          </cell>
        </row>
        <row r="860">
          <cell r="A860" t="str">
            <v>ON</v>
          </cell>
          <cell r="B860" t="str">
            <v>Trong 24h</v>
          </cell>
          <cell r="D860" t="str">
            <v>Khiếu nại về dịch vụ FTTH</v>
          </cell>
          <cell r="W860" t="str">
            <v>Đã đóng</v>
          </cell>
          <cell r="AJ860" t="str">
            <v>Cần Thơ</v>
          </cell>
          <cell r="BX860" t="str">
            <v>AON</v>
          </cell>
        </row>
        <row r="861">
          <cell r="A861" t="str">
            <v>ON</v>
          </cell>
          <cell r="B861" t="str">
            <v>Trong 24h</v>
          </cell>
          <cell r="D861" t="str">
            <v>Khiếu nại về dịch vụ FTTH</v>
          </cell>
          <cell r="W861" t="str">
            <v>Đã đóng</v>
          </cell>
          <cell r="AJ861" t="str">
            <v>TP HCM</v>
          </cell>
          <cell r="BX861" t="str">
            <v>AON</v>
          </cell>
        </row>
        <row r="862">
          <cell r="A862" t="str">
            <v>ON</v>
          </cell>
          <cell r="B862" t="str">
            <v>Trong 24h</v>
          </cell>
          <cell r="D862" t="str">
            <v>Khiếu nại về dịch vụ FTTH</v>
          </cell>
          <cell r="W862" t="str">
            <v>Đang xử lý</v>
          </cell>
          <cell r="AJ862" t="str">
            <v>Quảng Bình</v>
          </cell>
          <cell r="BX862" t="str">
            <v>AON</v>
          </cell>
        </row>
        <row r="863">
          <cell r="A863" t="str">
            <v>ON</v>
          </cell>
          <cell r="B863" t="str">
            <v>Trong 24h</v>
          </cell>
          <cell r="D863" t="str">
            <v>Khiếu nại về dịch vụ FTTH</v>
          </cell>
          <cell r="W863" t="str">
            <v>Đã đóng</v>
          </cell>
          <cell r="AJ863" t="str">
            <v>Lâm Đồng</v>
          </cell>
          <cell r="BX863" t="str">
            <v>AON</v>
          </cell>
        </row>
        <row r="864">
          <cell r="A864" t="str">
            <v>ON</v>
          </cell>
          <cell r="B864" t="str">
            <v>Trong 24h</v>
          </cell>
          <cell r="D864" t="str">
            <v>Khiếu nại về dịch vụ FTTH</v>
          </cell>
          <cell r="W864" t="str">
            <v>Đã đóng</v>
          </cell>
          <cell r="AJ864" t="str">
            <v>Hà Nội 1</v>
          </cell>
          <cell r="BX864" t="str">
            <v>AON</v>
          </cell>
        </row>
        <row r="865">
          <cell r="A865" t="str">
            <v>ON</v>
          </cell>
          <cell r="B865" t="str">
            <v>Trong 24h</v>
          </cell>
          <cell r="D865" t="str">
            <v>Khiếu nại về dịch vụ FTTH</v>
          </cell>
          <cell r="W865" t="str">
            <v>Đang xử lý</v>
          </cell>
          <cell r="AJ865" t="str">
            <v>TP HCM</v>
          </cell>
          <cell r="BX865" t="str">
            <v>AON</v>
          </cell>
        </row>
        <row r="866">
          <cell r="A866" t="str">
            <v>ON</v>
          </cell>
          <cell r="B866" t="str">
            <v>Trong 24h</v>
          </cell>
          <cell r="D866" t="str">
            <v>Khiếu nại về dịch vụ NextTV</v>
          </cell>
          <cell r="W866" t="str">
            <v>Đã đóng</v>
          </cell>
          <cell r="AJ866" t="str">
            <v>TP HCM</v>
          </cell>
          <cell r="BX866" t="str">
            <v>AON</v>
          </cell>
        </row>
        <row r="867">
          <cell r="A867" t="str">
            <v>ON</v>
          </cell>
          <cell r="B867" t="str">
            <v>Trong 24h</v>
          </cell>
          <cell r="D867" t="str">
            <v>Khiếu nại về dịch vụ FTTH</v>
          </cell>
          <cell r="W867" t="str">
            <v>Đã đóng</v>
          </cell>
          <cell r="AJ867" t="str">
            <v>TP HCM</v>
          </cell>
          <cell r="BX867" t="str">
            <v>AON</v>
          </cell>
        </row>
        <row r="868">
          <cell r="A868" t="str">
            <v>ON</v>
          </cell>
          <cell r="B868" t="str">
            <v>Trong 24h</v>
          </cell>
          <cell r="D868" t="str">
            <v>Khiếu nại về dịch vụ FTTH</v>
          </cell>
          <cell r="W868" t="str">
            <v>Đã đóng</v>
          </cell>
          <cell r="AJ868" t="str">
            <v>Thái Bình</v>
          </cell>
          <cell r="BX868" t="str">
            <v>AON</v>
          </cell>
        </row>
        <row r="869">
          <cell r="A869" t="str">
            <v>ON</v>
          </cell>
          <cell r="B869" t="str">
            <v>Trong 24h</v>
          </cell>
          <cell r="D869" t="str">
            <v>Khiếu nại về dịch vụ FTTH</v>
          </cell>
          <cell r="W869" t="str">
            <v>Đã đóng</v>
          </cell>
          <cell r="AJ869" t="str">
            <v>Hà Nội 2</v>
          </cell>
          <cell r="BX869" t="str">
            <v>AON</v>
          </cell>
        </row>
        <row r="870">
          <cell r="A870" t="str">
            <v>ON</v>
          </cell>
          <cell r="B870" t="str">
            <v>Trong 24h</v>
          </cell>
          <cell r="D870" t="str">
            <v>Khiếu nại về dịch vụ FTTH</v>
          </cell>
          <cell r="W870" t="str">
            <v>Đã đóng</v>
          </cell>
          <cell r="AJ870" t="str">
            <v>Hà Nội 2</v>
          </cell>
          <cell r="BX870" t="str">
            <v>AON</v>
          </cell>
        </row>
        <row r="871">
          <cell r="A871" t="str">
            <v>ON</v>
          </cell>
          <cell r="B871" t="str">
            <v>Trong 24h</v>
          </cell>
          <cell r="D871" t="str">
            <v>Khiếu nại về dịch vụ FTTH</v>
          </cell>
          <cell r="W871" t="str">
            <v>Đang xử lý</v>
          </cell>
          <cell r="AJ871" t="str">
            <v>TP HCM</v>
          </cell>
          <cell r="BX871" t="str">
            <v>AON</v>
          </cell>
        </row>
        <row r="872">
          <cell r="A872" t="str">
            <v>ON</v>
          </cell>
          <cell r="B872" t="str">
            <v>Trong 24h</v>
          </cell>
          <cell r="D872" t="str">
            <v>Khiếu nại về dịch vụ FTTH</v>
          </cell>
          <cell r="W872" t="str">
            <v>Đã đóng</v>
          </cell>
          <cell r="AJ872" t="str">
            <v xml:space="preserve">Đồng Nai </v>
          </cell>
          <cell r="BX872" t="str">
            <v>AON</v>
          </cell>
        </row>
        <row r="873">
          <cell r="A873" t="str">
            <v>ON</v>
          </cell>
          <cell r="B873" t="str">
            <v>Trong 24h</v>
          </cell>
          <cell r="D873" t="str">
            <v>Khiếu nại về dịch vụ FTTH</v>
          </cell>
          <cell r="W873" t="str">
            <v>Đã đóng</v>
          </cell>
          <cell r="AJ873" t="str">
            <v>Hà Nội 2</v>
          </cell>
          <cell r="BX873" t="str">
            <v>AON</v>
          </cell>
        </row>
        <row r="874">
          <cell r="A874" t="str">
            <v>ON</v>
          </cell>
          <cell r="B874" t="str">
            <v>Trong 24h</v>
          </cell>
          <cell r="D874" t="str">
            <v>Khiếu nại về dịch vụ FTTH</v>
          </cell>
          <cell r="W874" t="str">
            <v>Đã đóng</v>
          </cell>
          <cell r="AJ874" t="str">
            <v>Lạng Sơn</v>
          </cell>
          <cell r="BX874" t="str">
            <v>AON</v>
          </cell>
        </row>
        <row r="875">
          <cell r="A875" t="str">
            <v>ON</v>
          </cell>
          <cell r="B875" t="str">
            <v>Trong 24h</v>
          </cell>
          <cell r="D875" t="str">
            <v>Khiếu nại về dịch vụ FTTH</v>
          </cell>
          <cell r="W875" t="str">
            <v>Đã đóng</v>
          </cell>
          <cell r="AJ875" t="str">
            <v>Hưng Yên</v>
          </cell>
          <cell r="BX875" t="str">
            <v>AON</v>
          </cell>
        </row>
        <row r="876">
          <cell r="A876" t="str">
            <v>ON</v>
          </cell>
          <cell r="B876" t="str">
            <v>Trong 24h</v>
          </cell>
          <cell r="D876" t="str">
            <v>Khiếu nại về dịch vụ NextTV</v>
          </cell>
          <cell r="W876" t="str">
            <v>Đang xử lý</v>
          </cell>
          <cell r="AJ876" t="str">
            <v>TP HCM</v>
          </cell>
          <cell r="BX876" t="str">
            <v>AON</v>
          </cell>
        </row>
        <row r="877">
          <cell r="A877" t="str">
            <v>ON</v>
          </cell>
          <cell r="B877" t="str">
            <v>Trong 24h</v>
          </cell>
          <cell r="D877" t="str">
            <v>Khiếu nại về dịch vụ FTTH</v>
          </cell>
          <cell r="W877" t="str">
            <v>Đã đóng</v>
          </cell>
          <cell r="AJ877" t="str">
            <v>Nghệ An</v>
          </cell>
          <cell r="BX877" t="str">
            <v>AON</v>
          </cell>
        </row>
        <row r="878">
          <cell r="A878" t="str">
            <v>ON</v>
          </cell>
          <cell r="B878" t="str">
            <v>Trong 24h</v>
          </cell>
          <cell r="D878" t="str">
            <v>Khiếu nại về dịch vụ FTTH</v>
          </cell>
          <cell r="W878" t="str">
            <v>Đã đóng</v>
          </cell>
          <cell r="AJ878" t="str">
            <v>Gia Lai</v>
          </cell>
          <cell r="BX878" t="str">
            <v>AON</v>
          </cell>
        </row>
        <row r="879">
          <cell r="A879" t="str">
            <v>ON</v>
          </cell>
          <cell r="B879" t="str">
            <v>Trong 24h</v>
          </cell>
          <cell r="D879" t="str">
            <v>Khiếu nại về dịch vụ FTTH</v>
          </cell>
          <cell r="W879" t="str">
            <v>Đã đóng</v>
          </cell>
          <cell r="AJ879" t="str">
            <v>An Giang</v>
          </cell>
          <cell r="BX879" t="str">
            <v>AON</v>
          </cell>
        </row>
        <row r="880">
          <cell r="A880" t="str">
            <v>ON</v>
          </cell>
          <cell r="B880" t="str">
            <v>Trong 24h</v>
          </cell>
          <cell r="D880" t="str">
            <v>Khiếu nại về dịch vụ FTTH</v>
          </cell>
          <cell r="W880" t="str">
            <v>Đã đóng</v>
          </cell>
          <cell r="AJ880" t="str">
            <v>Kiên Giang</v>
          </cell>
          <cell r="BX880" t="str">
            <v>AON</v>
          </cell>
        </row>
        <row r="881">
          <cell r="A881" t="str">
            <v>ON</v>
          </cell>
          <cell r="B881" t="str">
            <v>Trong 24h</v>
          </cell>
          <cell r="D881" t="str">
            <v>Khiếu nại về dịch vụ FTTH</v>
          </cell>
          <cell r="W881" t="str">
            <v>Đang xử lý</v>
          </cell>
          <cell r="AJ881" t="str">
            <v>Thanh Hoá</v>
          </cell>
          <cell r="BX881" t="str">
            <v>AON</v>
          </cell>
        </row>
        <row r="882">
          <cell r="A882" t="str">
            <v>ON</v>
          </cell>
          <cell r="B882" t="str">
            <v>Trong 24h</v>
          </cell>
          <cell r="D882" t="str">
            <v>Khiếu nại về dịch vụ FTTH</v>
          </cell>
          <cell r="W882" t="str">
            <v>Đã đóng</v>
          </cell>
          <cell r="AJ882" t="str">
            <v>Bình Dương</v>
          </cell>
          <cell r="BX882" t="str">
            <v>AON</v>
          </cell>
        </row>
        <row r="883">
          <cell r="A883" t="str">
            <v>ON</v>
          </cell>
          <cell r="B883" t="str">
            <v>Trong 24h</v>
          </cell>
          <cell r="D883" t="str">
            <v>Khiếu nại về dịch vụ FTTH</v>
          </cell>
          <cell r="W883" t="str">
            <v>Đã đóng</v>
          </cell>
          <cell r="AJ883" t="str">
            <v>An Giang</v>
          </cell>
          <cell r="BX883" t="str">
            <v>AON</v>
          </cell>
        </row>
        <row r="884">
          <cell r="A884" t="str">
            <v>ON</v>
          </cell>
          <cell r="B884" t="str">
            <v>Trong 24h</v>
          </cell>
          <cell r="D884" t="str">
            <v>Khiếu nại về dịch vụ FTTH</v>
          </cell>
          <cell r="W884" t="str">
            <v>Đã đóng</v>
          </cell>
          <cell r="AJ884" t="str">
            <v>Điện Biên</v>
          </cell>
          <cell r="BX884" t="str">
            <v>AON</v>
          </cell>
        </row>
        <row r="885">
          <cell r="A885" t="str">
            <v>ON</v>
          </cell>
          <cell r="B885" t="str">
            <v>Trong 24h</v>
          </cell>
          <cell r="D885" t="str">
            <v>Khiếu nại về dịch vụ FTTH</v>
          </cell>
          <cell r="W885" t="str">
            <v>Đã đóng</v>
          </cell>
          <cell r="AJ885" t="str">
            <v>Quảng Trị</v>
          </cell>
          <cell r="BX885" t="str">
            <v>AON</v>
          </cell>
        </row>
        <row r="886">
          <cell r="A886" t="str">
            <v>ON</v>
          </cell>
          <cell r="B886" t="str">
            <v>Trong 24h</v>
          </cell>
          <cell r="D886" t="str">
            <v>Khiếu nại về dịch vụ FTTH</v>
          </cell>
          <cell r="W886" t="str">
            <v>Đã đóng</v>
          </cell>
          <cell r="AJ886" t="str">
            <v>Bắc Giang</v>
          </cell>
          <cell r="BX886" t="str">
            <v>AON</v>
          </cell>
        </row>
        <row r="887">
          <cell r="A887" t="str">
            <v>ON</v>
          </cell>
          <cell r="B887" t="str">
            <v>Trong 24h</v>
          </cell>
          <cell r="D887" t="str">
            <v>Khiếu nại về dịch vụ FTTH</v>
          </cell>
          <cell r="W887" t="str">
            <v>Đã đóng</v>
          </cell>
          <cell r="AJ887" t="str">
            <v>Tây Ninh</v>
          </cell>
          <cell r="BX887" t="str">
            <v>AON</v>
          </cell>
        </row>
        <row r="888">
          <cell r="A888" t="str">
            <v>ON</v>
          </cell>
          <cell r="B888" t="str">
            <v>Trong 24h</v>
          </cell>
          <cell r="D888" t="str">
            <v>Khiếu nại về dịch vụ FTTH</v>
          </cell>
          <cell r="W888" t="str">
            <v>Đã đóng</v>
          </cell>
          <cell r="AJ888" t="str">
            <v>Quảng Ninh</v>
          </cell>
          <cell r="BX888" t="str">
            <v>AON</v>
          </cell>
        </row>
        <row r="889">
          <cell r="A889" t="str">
            <v>ON</v>
          </cell>
          <cell r="B889" t="str">
            <v>Trong 24h</v>
          </cell>
          <cell r="D889" t="str">
            <v>Khiếu nại về dịch vụ FTTH</v>
          </cell>
          <cell r="W889" t="str">
            <v>Đã đóng</v>
          </cell>
          <cell r="AJ889" t="str">
            <v>Thái Nguyên</v>
          </cell>
          <cell r="BX889" t="str">
            <v>AON</v>
          </cell>
        </row>
        <row r="890">
          <cell r="A890" t="str">
            <v>ON</v>
          </cell>
          <cell r="B890" t="str">
            <v>Trong 24h</v>
          </cell>
          <cell r="D890" t="str">
            <v>Khiếu nại về dịch vụ NextTV</v>
          </cell>
          <cell r="W890" t="str">
            <v>Đã đóng</v>
          </cell>
          <cell r="AJ890" t="str">
            <v>Hải Phòng</v>
          </cell>
          <cell r="BX890" t="str">
            <v>AON</v>
          </cell>
        </row>
        <row r="891">
          <cell r="A891" t="str">
            <v>ON</v>
          </cell>
          <cell r="B891" t="str">
            <v>Trong 24h</v>
          </cell>
          <cell r="D891" t="str">
            <v>Khiếu nại về dịch vụ FTTH</v>
          </cell>
          <cell r="W891" t="str">
            <v>Đã đóng</v>
          </cell>
          <cell r="AJ891" t="str">
            <v>TP HCM</v>
          </cell>
          <cell r="BX891" t="str">
            <v>AON</v>
          </cell>
        </row>
        <row r="892">
          <cell r="A892" t="str">
            <v>ON</v>
          </cell>
          <cell r="B892" t="str">
            <v>Trong 24h</v>
          </cell>
          <cell r="D892" t="str">
            <v>Khiếu nại về dịch vụ FTTH</v>
          </cell>
          <cell r="W892" t="str">
            <v>Đã đóng</v>
          </cell>
          <cell r="AJ892" t="str">
            <v>Hải Phòng</v>
          </cell>
          <cell r="BX892" t="str">
            <v>AON</v>
          </cell>
        </row>
        <row r="893">
          <cell r="A893" t="str">
            <v>ON</v>
          </cell>
          <cell r="B893" t="str">
            <v>Trong 24h</v>
          </cell>
          <cell r="D893" t="str">
            <v>Khiếu nại về dịch vụ NextTV</v>
          </cell>
          <cell r="W893" t="str">
            <v>Đã đóng</v>
          </cell>
          <cell r="AJ893" t="str">
            <v>Long An</v>
          </cell>
          <cell r="BX893" t="str">
            <v>AON</v>
          </cell>
        </row>
        <row r="894">
          <cell r="A894" t="str">
            <v>ON</v>
          </cell>
          <cell r="B894" t="str">
            <v>Trong 24h</v>
          </cell>
          <cell r="D894" t="str">
            <v>Khiếu nại về dịch vụ FTTH</v>
          </cell>
          <cell r="W894" t="str">
            <v>Đã đóng</v>
          </cell>
          <cell r="AJ894" t="str">
            <v>Hà Nội 2</v>
          </cell>
          <cell r="BX894" t="str">
            <v>AON</v>
          </cell>
        </row>
        <row r="895">
          <cell r="A895" t="str">
            <v>ON</v>
          </cell>
          <cell r="B895" t="str">
            <v>Trong 24h</v>
          </cell>
          <cell r="D895" t="str">
            <v>Khiếu nại về dịch vụ FTTH</v>
          </cell>
          <cell r="W895" t="str">
            <v>Đã đóng</v>
          </cell>
          <cell r="AJ895" t="str">
            <v>An Giang</v>
          </cell>
          <cell r="BX895" t="str">
            <v>AON</v>
          </cell>
        </row>
        <row r="896">
          <cell r="A896" t="str">
            <v>ON</v>
          </cell>
          <cell r="B896" t="str">
            <v>Trong 24h</v>
          </cell>
          <cell r="D896" t="str">
            <v>Khiếu nại về dịch vụ FTTH</v>
          </cell>
          <cell r="W896" t="str">
            <v>Đang xử lý</v>
          </cell>
          <cell r="AJ896" t="str">
            <v>TP HCM</v>
          </cell>
          <cell r="BX896" t="str">
            <v>GPON</v>
          </cell>
        </row>
        <row r="897">
          <cell r="A897" t="str">
            <v>ON</v>
          </cell>
          <cell r="B897" t="str">
            <v>Trong 24h</v>
          </cell>
          <cell r="D897" t="str">
            <v>Khiếu nại về dịch vụ FTTH</v>
          </cell>
          <cell r="W897" t="str">
            <v>Đang xử lý</v>
          </cell>
          <cell r="AJ897" t="str">
            <v>Phú Thọ</v>
          </cell>
          <cell r="BX897" t="str">
            <v>AON</v>
          </cell>
        </row>
        <row r="898">
          <cell r="A898" t="str">
            <v>ON</v>
          </cell>
          <cell r="B898" t="str">
            <v>Trong 24h</v>
          </cell>
          <cell r="D898" t="str">
            <v>Khiếu nại về dịch vụ FTTH</v>
          </cell>
          <cell r="W898" t="str">
            <v>Đã đóng</v>
          </cell>
          <cell r="AJ898" t="str">
            <v>Thái Bình</v>
          </cell>
          <cell r="BX898" t="str">
            <v>AON</v>
          </cell>
        </row>
        <row r="899">
          <cell r="A899" t="str">
            <v>ON</v>
          </cell>
          <cell r="B899" t="str">
            <v>Trong 24h</v>
          </cell>
          <cell r="D899" t="str">
            <v>Khiếu nại về dịch vụ FTTH</v>
          </cell>
          <cell r="W899" t="str">
            <v>Đã đóng</v>
          </cell>
          <cell r="AJ899" t="str">
            <v>Hà Nội 1</v>
          </cell>
          <cell r="BX899" t="str">
            <v>AON</v>
          </cell>
        </row>
        <row r="900">
          <cell r="A900" t="str">
            <v>ON</v>
          </cell>
          <cell r="B900" t="str">
            <v>Trong 24h</v>
          </cell>
          <cell r="D900" t="str">
            <v>Khiếu nại về dịch vụ FTTH</v>
          </cell>
          <cell r="W900" t="str">
            <v>Đang xử lý</v>
          </cell>
          <cell r="AJ900" t="str">
            <v>TP HCM</v>
          </cell>
          <cell r="BX900" t="str">
            <v>AON</v>
          </cell>
        </row>
        <row r="901">
          <cell r="A901" t="str">
            <v>ON</v>
          </cell>
          <cell r="B901" t="str">
            <v>Trong 24h</v>
          </cell>
          <cell r="D901" t="str">
            <v>Khiếu nại về dịch vụ FTTH</v>
          </cell>
          <cell r="W901" t="str">
            <v>Đã đóng</v>
          </cell>
          <cell r="AJ901" t="str">
            <v>Hải Dương</v>
          </cell>
          <cell r="BX901" t="str">
            <v>AON</v>
          </cell>
        </row>
        <row r="902">
          <cell r="A902" t="str">
            <v>ON</v>
          </cell>
          <cell r="B902" t="str">
            <v>Trong 24h</v>
          </cell>
          <cell r="D902" t="str">
            <v>Khiếu nại về dịch vụ FTTH</v>
          </cell>
          <cell r="W902" t="str">
            <v>Đã đóng</v>
          </cell>
          <cell r="AJ902" t="str">
            <v>Hậu Giang</v>
          </cell>
          <cell r="BX902" t="str">
            <v>AON</v>
          </cell>
        </row>
        <row r="903">
          <cell r="A903" t="str">
            <v>ON</v>
          </cell>
          <cell r="B903" t="str">
            <v>Trong 24h</v>
          </cell>
          <cell r="D903" t="str">
            <v>Khiếu nại về dịch vụ FTTH</v>
          </cell>
          <cell r="W903" t="str">
            <v>Đang xử lý</v>
          </cell>
          <cell r="AJ903" t="str">
            <v>TP HCM</v>
          </cell>
          <cell r="BX903" t="str">
            <v>AON</v>
          </cell>
        </row>
        <row r="904">
          <cell r="A904" t="str">
            <v>ON</v>
          </cell>
          <cell r="B904" t="str">
            <v>Trong 24h</v>
          </cell>
          <cell r="D904" t="str">
            <v>Khiếu nại về dịch vụ FTTH</v>
          </cell>
          <cell r="W904" t="str">
            <v>Đã đóng</v>
          </cell>
          <cell r="AJ904" t="str">
            <v>Hà Nội 1</v>
          </cell>
          <cell r="BX904" t="str">
            <v>AON</v>
          </cell>
        </row>
        <row r="905">
          <cell r="A905" t="str">
            <v>ON</v>
          </cell>
          <cell r="B905" t="str">
            <v>Trong 24h</v>
          </cell>
          <cell r="D905" t="str">
            <v>Khiếu nại về dịch vụ FTTH</v>
          </cell>
          <cell r="W905" t="str">
            <v>Đã đóng</v>
          </cell>
          <cell r="AJ905" t="str">
            <v>Cần Thơ</v>
          </cell>
          <cell r="BX905" t="str">
            <v>AON</v>
          </cell>
        </row>
        <row r="906">
          <cell r="A906" t="str">
            <v>ON</v>
          </cell>
          <cell r="B906" t="str">
            <v>Trong 24h</v>
          </cell>
          <cell r="D906" t="str">
            <v>Khiếu nại về dịch vụ FTTH</v>
          </cell>
          <cell r="W906" t="str">
            <v>Đã đóng</v>
          </cell>
          <cell r="AJ906" t="str">
            <v>Thái Bình</v>
          </cell>
          <cell r="BX906" t="str">
            <v>AON</v>
          </cell>
        </row>
        <row r="907">
          <cell r="A907" t="str">
            <v>ON</v>
          </cell>
          <cell r="B907" t="str">
            <v>Trong 24h</v>
          </cell>
          <cell r="D907" t="str">
            <v>Khiếu nại về dịch vụ FTTH</v>
          </cell>
          <cell r="W907" t="str">
            <v>Đã đóng</v>
          </cell>
          <cell r="AJ907" t="str">
            <v>Cần Thơ</v>
          </cell>
          <cell r="BX907" t="str">
            <v>AON</v>
          </cell>
        </row>
        <row r="908">
          <cell r="A908" t="str">
            <v>ON</v>
          </cell>
          <cell r="B908" t="str">
            <v>Trong 24h</v>
          </cell>
          <cell r="D908" t="str">
            <v>Khiếu nại về dịch vụ FTTH</v>
          </cell>
          <cell r="W908" t="str">
            <v>Đã đóng</v>
          </cell>
          <cell r="AJ908" t="str">
            <v>Sóc Trăng</v>
          </cell>
          <cell r="BX908" t="str">
            <v>AON</v>
          </cell>
        </row>
        <row r="909">
          <cell r="A909" t="str">
            <v>ON</v>
          </cell>
          <cell r="B909" t="str">
            <v>Trong 24h</v>
          </cell>
          <cell r="D909" t="str">
            <v>Khiếu nại về dịch vụ FTTH</v>
          </cell>
          <cell r="W909" t="str">
            <v>Đã đóng</v>
          </cell>
          <cell r="AJ909" t="str">
            <v>Hậu Giang</v>
          </cell>
          <cell r="BX909" t="str">
            <v>AON</v>
          </cell>
        </row>
        <row r="910">
          <cell r="A910" t="str">
            <v>ON</v>
          </cell>
          <cell r="B910" t="str">
            <v>Trong 24h</v>
          </cell>
          <cell r="D910" t="str">
            <v>Khiếu nại về dịch vụ FTTH</v>
          </cell>
          <cell r="W910" t="str">
            <v>Đã đóng</v>
          </cell>
          <cell r="AJ910" t="str">
            <v>TP HCM</v>
          </cell>
          <cell r="BX910" t="str">
            <v>AON</v>
          </cell>
        </row>
        <row r="911">
          <cell r="A911" t="str">
            <v>ON</v>
          </cell>
          <cell r="B911" t="str">
            <v>Trong 24h</v>
          </cell>
          <cell r="D911" t="str">
            <v>Khiếu nại về dịch vụ FTTH</v>
          </cell>
          <cell r="W911" t="str">
            <v>Đã đóng</v>
          </cell>
          <cell r="AJ911" t="str">
            <v xml:space="preserve">Quảng Nam </v>
          </cell>
          <cell r="BX911" t="str">
            <v>AON</v>
          </cell>
        </row>
        <row r="912">
          <cell r="A912" t="str">
            <v>ON</v>
          </cell>
          <cell r="B912" t="str">
            <v>Trong 24h</v>
          </cell>
          <cell r="D912" t="str">
            <v>Khiếu nại về dịch vụ FTTH</v>
          </cell>
          <cell r="W912" t="str">
            <v>Đã đóng</v>
          </cell>
          <cell r="AJ912" t="str">
            <v>Quảng Ngãi</v>
          </cell>
          <cell r="BX912" t="str">
            <v>AON</v>
          </cell>
        </row>
        <row r="913">
          <cell r="A913" t="str">
            <v>ON</v>
          </cell>
          <cell r="B913" t="str">
            <v>Trong 24h</v>
          </cell>
          <cell r="D913" t="str">
            <v>Khiếu nại về dịch vụ FTTH</v>
          </cell>
          <cell r="W913" t="str">
            <v>Đang xử lý</v>
          </cell>
          <cell r="AJ913" t="str">
            <v>Thanh Hoá</v>
          </cell>
          <cell r="BX913" t="str">
            <v>AON</v>
          </cell>
        </row>
        <row r="914">
          <cell r="A914" t="str">
            <v>ON</v>
          </cell>
          <cell r="B914" t="str">
            <v>Trong 24h</v>
          </cell>
          <cell r="D914" t="str">
            <v>Khiếu nại về dịch vụ FTTH</v>
          </cell>
          <cell r="W914" t="str">
            <v>Đã đóng</v>
          </cell>
          <cell r="AJ914" t="str">
            <v>TP HCM</v>
          </cell>
          <cell r="BX914" t="str">
            <v>AON</v>
          </cell>
        </row>
        <row r="915">
          <cell r="A915" t="str">
            <v>ON</v>
          </cell>
          <cell r="B915" t="str">
            <v>Trong 24h</v>
          </cell>
          <cell r="D915" t="str">
            <v>Khiếu nại về dịch vụ FTTH</v>
          </cell>
          <cell r="W915" t="str">
            <v>Đã đóng</v>
          </cell>
          <cell r="AJ915" t="str">
            <v>Hà Nội 1</v>
          </cell>
          <cell r="BX915" t="str">
            <v>AON</v>
          </cell>
        </row>
        <row r="916">
          <cell r="A916" t="str">
            <v>ON</v>
          </cell>
          <cell r="B916" t="str">
            <v>Trong 24h</v>
          </cell>
          <cell r="D916" t="str">
            <v>Khiếu nại về dịch vụ FTTH</v>
          </cell>
          <cell r="W916" t="str">
            <v>Đã đóng</v>
          </cell>
          <cell r="AJ916" t="str">
            <v>Bắc Giang</v>
          </cell>
          <cell r="BX916" t="str">
            <v>AON</v>
          </cell>
        </row>
        <row r="917">
          <cell r="A917" t="str">
            <v>ON</v>
          </cell>
          <cell r="B917" t="str">
            <v>Trong 24h</v>
          </cell>
          <cell r="D917" t="str">
            <v>Khiếu nại về dịch vụ FTTH</v>
          </cell>
          <cell r="W917" t="str">
            <v>Đã đóng</v>
          </cell>
          <cell r="AJ917" t="str">
            <v>Hà Nội 1</v>
          </cell>
          <cell r="BX917" t="str">
            <v>AON</v>
          </cell>
        </row>
        <row r="918">
          <cell r="A918" t="str">
            <v>ON</v>
          </cell>
          <cell r="B918" t="str">
            <v>Trong 24h</v>
          </cell>
          <cell r="D918" t="str">
            <v>Khiếu nại về dịch vụ FTTH</v>
          </cell>
          <cell r="W918" t="str">
            <v>Đã đóng</v>
          </cell>
          <cell r="AJ918" t="str">
            <v xml:space="preserve">Quảng Nam </v>
          </cell>
          <cell r="BX918" t="str">
            <v>AON</v>
          </cell>
        </row>
        <row r="919">
          <cell r="A919" t="str">
            <v>ON</v>
          </cell>
          <cell r="B919" t="str">
            <v>Trong 24h</v>
          </cell>
          <cell r="D919" t="str">
            <v>Khiếu nại về dịch vụ FTTH</v>
          </cell>
          <cell r="W919" t="str">
            <v>Đã đóng</v>
          </cell>
          <cell r="AJ919" t="str">
            <v xml:space="preserve">Đồng Nai </v>
          </cell>
          <cell r="BX919" t="str">
            <v>AON</v>
          </cell>
        </row>
        <row r="920">
          <cell r="A920" t="str">
            <v>ON</v>
          </cell>
          <cell r="B920" t="str">
            <v>Trong 24h</v>
          </cell>
          <cell r="D920" t="str">
            <v>Khiếu nại về dịch vụ FTTH</v>
          </cell>
          <cell r="W920" t="str">
            <v>Đang xử lý</v>
          </cell>
          <cell r="AJ920" t="str">
            <v xml:space="preserve">Đà Nẵng </v>
          </cell>
          <cell r="BX920" t="str">
            <v>AON</v>
          </cell>
        </row>
        <row r="921">
          <cell r="A921" t="str">
            <v>ON</v>
          </cell>
          <cell r="B921" t="str">
            <v>Trong 24h</v>
          </cell>
          <cell r="D921" t="str">
            <v>Khiếu nại về dịch vụ FTTH</v>
          </cell>
          <cell r="W921" t="str">
            <v>Đang xử lý</v>
          </cell>
          <cell r="AJ921" t="str">
            <v>Bình Định</v>
          </cell>
          <cell r="BX921" t="str">
            <v>AON</v>
          </cell>
        </row>
        <row r="922">
          <cell r="A922" t="str">
            <v>ON</v>
          </cell>
          <cell r="B922" t="str">
            <v>Trong 24h</v>
          </cell>
          <cell r="D922" t="str">
            <v>Khiếu nại về dịch vụ FTTH</v>
          </cell>
          <cell r="W922" t="str">
            <v>Đang xử lý</v>
          </cell>
          <cell r="AJ922" t="str">
            <v>Long An</v>
          </cell>
          <cell r="BX922" t="str">
            <v>AON</v>
          </cell>
        </row>
        <row r="923">
          <cell r="A923" t="str">
            <v>ON</v>
          </cell>
          <cell r="B923" t="str">
            <v>Trong 24h</v>
          </cell>
          <cell r="D923" t="str">
            <v>Khiếu nại về dịch vụ FTTH</v>
          </cell>
          <cell r="W923" t="str">
            <v>Đang xử lý</v>
          </cell>
          <cell r="AJ923" t="str">
            <v>Bình Thuận</v>
          </cell>
          <cell r="BX923" t="str">
            <v>AON</v>
          </cell>
        </row>
        <row r="924">
          <cell r="A924" t="str">
            <v>ON</v>
          </cell>
          <cell r="B924" t="str">
            <v>Trong 24h</v>
          </cell>
          <cell r="D924" t="str">
            <v>Khiếu nại về dịch vụ FTTH</v>
          </cell>
          <cell r="W924" t="str">
            <v>Đã đóng</v>
          </cell>
          <cell r="AJ924" t="str">
            <v xml:space="preserve">Đà Nẵng </v>
          </cell>
          <cell r="BX924" t="str">
            <v>AON</v>
          </cell>
        </row>
        <row r="925">
          <cell r="A925" t="str">
            <v>ON</v>
          </cell>
          <cell r="B925" t="str">
            <v>Trong 24h</v>
          </cell>
          <cell r="D925" t="str">
            <v>Khiếu nại về dịch vụ FTTH</v>
          </cell>
          <cell r="W925" t="str">
            <v>Đã đóng</v>
          </cell>
          <cell r="AJ925" t="str">
            <v>Trà Vinh</v>
          </cell>
          <cell r="BX925" t="str">
            <v>AON</v>
          </cell>
        </row>
        <row r="926">
          <cell r="A926" t="str">
            <v>ON</v>
          </cell>
          <cell r="B926" t="str">
            <v>Trong 24h</v>
          </cell>
          <cell r="D926" t="str">
            <v>Khiếu nại về dịch vụ FTTH</v>
          </cell>
          <cell r="W926" t="str">
            <v>Đã đóng</v>
          </cell>
          <cell r="AJ926" t="str">
            <v>Bình Dương</v>
          </cell>
          <cell r="BX926" t="str">
            <v>AON</v>
          </cell>
        </row>
        <row r="927">
          <cell r="A927" t="str">
            <v>ON</v>
          </cell>
          <cell r="B927" t="str">
            <v>Trong 24h</v>
          </cell>
          <cell r="D927" t="str">
            <v>Khiếu nại về dịch vụ FTTH</v>
          </cell>
          <cell r="W927" t="str">
            <v>Đã đóng</v>
          </cell>
          <cell r="AJ927" t="str">
            <v>Hà Nội 1</v>
          </cell>
          <cell r="BX927" t="str">
            <v>AON</v>
          </cell>
        </row>
        <row r="928">
          <cell r="A928" t="str">
            <v>ON</v>
          </cell>
          <cell r="B928" t="str">
            <v>Trong 24h</v>
          </cell>
          <cell r="D928" t="str">
            <v>Khiếu nại về dịch vụ FTTH</v>
          </cell>
          <cell r="W928" t="str">
            <v>Đang xử lý</v>
          </cell>
          <cell r="AJ928" t="str">
            <v>Hà Nam</v>
          </cell>
          <cell r="BX928" t="str">
            <v>AON</v>
          </cell>
        </row>
        <row r="929">
          <cell r="A929" t="str">
            <v>ON</v>
          </cell>
          <cell r="B929" t="str">
            <v>Trong 24h</v>
          </cell>
          <cell r="D929" t="str">
            <v>Khiếu nại về dịch vụ FTTH</v>
          </cell>
          <cell r="W929" t="str">
            <v>Đã đóng</v>
          </cell>
          <cell r="AJ929" t="str">
            <v>Phú Yên</v>
          </cell>
          <cell r="BX929" t="str">
            <v>AON</v>
          </cell>
        </row>
        <row r="930">
          <cell r="A930" t="str">
            <v>ON</v>
          </cell>
          <cell r="B930" t="str">
            <v>Trong 24h</v>
          </cell>
          <cell r="D930" t="str">
            <v>Khiếu nại về dịch vụ FTTH</v>
          </cell>
          <cell r="W930" t="str">
            <v>Đã đóng</v>
          </cell>
          <cell r="AJ930" t="str">
            <v>TP HCM</v>
          </cell>
          <cell r="BX930" t="str">
            <v>AON</v>
          </cell>
        </row>
        <row r="931">
          <cell r="A931" t="str">
            <v>ON</v>
          </cell>
          <cell r="B931" t="str">
            <v>Trong 24h</v>
          </cell>
          <cell r="D931" t="str">
            <v>Khiếu nại về dịch vụ FTTH</v>
          </cell>
          <cell r="W931" t="str">
            <v>Đang xử lý</v>
          </cell>
          <cell r="AJ931" t="str">
            <v>Kiên Giang</v>
          </cell>
          <cell r="BX931" t="str">
            <v>AON</v>
          </cell>
        </row>
        <row r="932">
          <cell r="A932" t="str">
            <v>ON</v>
          </cell>
          <cell r="B932" t="str">
            <v>Trong 24h</v>
          </cell>
          <cell r="D932" t="str">
            <v>Khiếu nại về dịch vụ FTTH</v>
          </cell>
          <cell r="W932" t="str">
            <v>Đã đóng</v>
          </cell>
          <cell r="AJ932" t="str">
            <v>Hà Nội 1</v>
          </cell>
          <cell r="BX932" t="str">
            <v>AON</v>
          </cell>
        </row>
        <row r="933">
          <cell r="A933" t="str">
            <v>ON</v>
          </cell>
          <cell r="B933" t="str">
            <v>Trong 24h</v>
          </cell>
          <cell r="D933" t="str">
            <v>Khiếu nại về dịch vụ FTTH</v>
          </cell>
          <cell r="W933" t="str">
            <v>Đã đóng</v>
          </cell>
          <cell r="AJ933" t="str">
            <v>Tiền Giang</v>
          </cell>
          <cell r="BX933" t="str">
            <v>AON</v>
          </cell>
        </row>
        <row r="934">
          <cell r="A934" t="str">
            <v>ON</v>
          </cell>
          <cell r="B934" t="str">
            <v>Trong 24h</v>
          </cell>
          <cell r="D934" t="str">
            <v>Khiếu nại về dịch vụ FTTH</v>
          </cell>
          <cell r="W934" t="str">
            <v>Đã đóng</v>
          </cell>
          <cell r="AJ934" t="str">
            <v>Hà Nội 1</v>
          </cell>
          <cell r="BX934" t="str">
            <v>AON</v>
          </cell>
        </row>
        <row r="935">
          <cell r="A935" t="str">
            <v>ON</v>
          </cell>
          <cell r="B935" t="str">
            <v>Trong 24h</v>
          </cell>
          <cell r="D935" t="str">
            <v>Khiếu nại về dịch vụ FTTH</v>
          </cell>
          <cell r="W935" t="str">
            <v>Đang xử lý</v>
          </cell>
          <cell r="AJ935" t="str">
            <v>Vĩnh Phúc</v>
          </cell>
          <cell r="BX935" t="str">
            <v>AON</v>
          </cell>
        </row>
        <row r="936">
          <cell r="A936" t="str">
            <v>ON</v>
          </cell>
          <cell r="B936" t="str">
            <v>Trong 24h</v>
          </cell>
          <cell r="D936" t="str">
            <v>Khiếu nại về dịch vụ FTTH</v>
          </cell>
          <cell r="W936" t="str">
            <v>Đã đóng</v>
          </cell>
          <cell r="AJ936" t="str">
            <v>Yên Bái</v>
          </cell>
          <cell r="BX936" t="str">
            <v>AON</v>
          </cell>
        </row>
        <row r="937">
          <cell r="A937" t="str">
            <v>ON</v>
          </cell>
          <cell r="B937" t="str">
            <v>Trong 24h</v>
          </cell>
          <cell r="D937" t="str">
            <v>Khiếu nại về dịch vụ FTTH</v>
          </cell>
          <cell r="W937" t="str">
            <v>Đã đóng</v>
          </cell>
          <cell r="AJ937" t="str">
            <v xml:space="preserve">Đà Nẵng </v>
          </cell>
          <cell r="BX937" t="str">
            <v>AON</v>
          </cell>
        </row>
        <row r="938">
          <cell r="A938" t="str">
            <v>ON</v>
          </cell>
          <cell r="B938" t="str">
            <v>Trong 24h</v>
          </cell>
          <cell r="D938" t="str">
            <v>Khiếu nại về dịch vụ FTTH</v>
          </cell>
          <cell r="W938" t="str">
            <v>Đang xử lý</v>
          </cell>
          <cell r="AJ938" t="str">
            <v>Bắc Ninh</v>
          </cell>
          <cell r="BX938" t="str">
            <v>AON</v>
          </cell>
        </row>
        <row r="939">
          <cell r="A939" t="str">
            <v>ON</v>
          </cell>
          <cell r="B939" t="str">
            <v>Trong 24h</v>
          </cell>
          <cell r="D939" t="str">
            <v>Khiếu nại về dịch vụ FTTH</v>
          </cell>
          <cell r="W939" t="str">
            <v>Đã đóng</v>
          </cell>
          <cell r="AJ939" t="str">
            <v>Hà Nội 2</v>
          </cell>
          <cell r="BX939" t="str">
            <v>AON</v>
          </cell>
        </row>
        <row r="940">
          <cell r="A940" t="str">
            <v>ON</v>
          </cell>
          <cell r="B940" t="str">
            <v>Trong 24h</v>
          </cell>
          <cell r="D940" t="str">
            <v>Khiếu nại về dịch vụ FTTH</v>
          </cell>
          <cell r="W940" t="str">
            <v>Đã đóng</v>
          </cell>
          <cell r="AJ940" t="str">
            <v>TP HCM</v>
          </cell>
          <cell r="BX940" t="str">
            <v>GPON</v>
          </cell>
        </row>
        <row r="941">
          <cell r="A941" t="str">
            <v>ON</v>
          </cell>
          <cell r="B941" t="str">
            <v>Trong 24h</v>
          </cell>
          <cell r="D941" t="str">
            <v>Khiếu nại về dịch vụ FTTH</v>
          </cell>
          <cell r="W941" t="str">
            <v>Đã đóng</v>
          </cell>
          <cell r="AJ941" t="str">
            <v>Hà Nội 1</v>
          </cell>
          <cell r="BX941" t="str">
            <v>AON</v>
          </cell>
        </row>
        <row r="942">
          <cell r="A942" t="str">
            <v>ON</v>
          </cell>
          <cell r="B942" t="str">
            <v>Trong 24h</v>
          </cell>
          <cell r="D942" t="str">
            <v>Khiếu nại về dịch vụ FTTH</v>
          </cell>
          <cell r="W942" t="str">
            <v>Đã đóng</v>
          </cell>
          <cell r="AJ942" t="str">
            <v>TP HCM</v>
          </cell>
          <cell r="BX942" t="str">
            <v>AON</v>
          </cell>
        </row>
        <row r="943">
          <cell r="A943" t="str">
            <v>ON</v>
          </cell>
          <cell r="B943" t="str">
            <v>Trong 24h</v>
          </cell>
          <cell r="D943" t="str">
            <v>Khiếu nại về dịch vụ FTTH</v>
          </cell>
          <cell r="W943" t="str">
            <v>Đã đóng</v>
          </cell>
          <cell r="AJ943" t="str">
            <v>Lâm Đồng</v>
          </cell>
          <cell r="BX943" t="str">
            <v>AON</v>
          </cell>
        </row>
        <row r="944">
          <cell r="A944" t="str">
            <v>ON</v>
          </cell>
          <cell r="B944" t="str">
            <v>Trong 24h</v>
          </cell>
          <cell r="D944" t="str">
            <v>Khiếu nại về dịch vụ FTTH</v>
          </cell>
          <cell r="W944" t="str">
            <v>Đã đóng</v>
          </cell>
          <cell r="AJ944" t="str">
            <v>Sóc Trăng</v>
          </cell>
          <cell r="BX944" t="str">
            <v>AON</v>
          </cell>
        </row>
        <row r="945">
          <cell r="A945" t="str">
            <v>ON</v>
          </cell>
          <cell r="B945" t="str">
            <v>Trong 24h</v>
          </cell>
          <cell r="D945" t="str">
            <v>Khiếu nại về dịch vụ FTTH</v>
          </cell>
          <cell r="W945" t="str">
            <v>Đã đóng</v>
          </cell>
          <cell r="AJ945" t="str">
            <v>Hải Dương</v>
          </cell>
          <cell r="BX945" t="str">
            <v>AON</v>
          </cell>
        </row>
        <row r="946">
          <cell r="A946" t="str">
            <v>ON</v>
          </cell>
          <cell r="B946" t="str">
            <v>Trong 24h</v>
          </cell>
          <cell r="D946" t="str">
            <v>Khiếu nại về dịch vụ FTTH</v>
          </cell>
          <cell r="W946" t="str">
            <v>Đang xử lý</v>
          </cell>
          <cell r="AJ946" t="str">
            <v>Bình Dương</v>
          </cell>
          <cell r="BX946" t="str">
            <v>AON</v>
          </cell>
        </row>
        <row r="947">
          <cell r="A947" t="str">
            <v>ON</v>
          </cell>
          <cell r="B947" t="str">
            <v>Trong 24h</v>
          </cell>
          <cell r="D947" t="str">
            <v>Khiếu nại về dịch vụ FTTH</v>
          </cell>
          <cell r="W947" t="str">
            <v>Đã đóng</v>
          </cell>
          <cell r="AJ947" t="str">
            <v>Hà Nội 2</v>
          </cell>
          <cell r="BX947" t="str">
            <v>AON</v>
          </cell>
        </row>
        <row r="948">
          <cell r="A948" t="str">
            <v>ON</v>
          </cell>
          <cell r="B948" t="str">
            <v>Trong 24h</v>
          </cell>
          <cell r="D948" t="str">
            <v>Khiếu nại về dịch vụ FTTH</v>
          </cell>
          <cell r="W948" t="str">
            <v>Đã đóng</v>
          </cell>
          <cell r="AJ948" t="str">
            <v>TP HCM</v>
          </cell>
          <cell r="BX948" t="str">
            <v>AON</v>
          </cell>
        </row>
        <row r="949">
          <cell r="A949" t="str">
            <v>ON</v>
          </cell>
          <cell r="B949" t="str">
            <v>Trong 24h</v>
          </cell>
          <cell r="D949" t="str">
            <v>Khiếu nại về dịch vụ FTTH</v>
          </cell>
          <cell r="W949" t="str">
            <v>Đã đóng</v>
          </cell>
          <cell r="AJ949" t="str">
            <v>TP HCM</v>
          </cell>
          <cell r="BX949" t="str">
            <v>AON</v>
          </cell>
        </row>
        <row r="950">
          <cell r="A950" t="str">
            <v>ON</v>
          </cell>
          <cell r="B950" t="str">
            <v>Trong 24h</v>
          </cell>
          <cell r="D950" t="str">
            <v>Khiếu nại về dịch vụ FTTH</v>
          </cell>
          <cell r="W950" t="str">
            <v>Đang xử lý</v>
          </cell>
          <cell r="AJ950" t="str">
            <v>Lâm Đồng</v>
          </cell>
          <cell r="BX950" t="str">
            <v>AON</v>
          </cell>
        </row>
        <row r="951">
          <cell r="A951" t="str">
            <v>ON</v>
          </cell>
          <cell r="B951" t="str">
            <v>Trong 24h</v>
          </cell>
          <cell r="D951" t="str">
            <v>Khiếu nại về dịch vụ FTTH</v>
          </cell>
          <cell r="W951" t="str">
            <v>Đã đóng</v>
          </cell>
          <cell r="AJ951" t="str">
            <v>Bình Định</v>
          </cell>
          <cell r="BX951" t="str">
            <v>AON</v>
          </cell>
        </row>
        <row r="952">
          <cell r="A952" t="str">
            <v>ON</v>
          </cell>
          <cell r="B952" t="str">
            <v>Trong 24h</v>
          </cell>
          <cell r="D952" t="str">
            <v>Khiếu nại về dịch vụ FTTH</v>
          </cell>
          <cell r="W952" t="str">
            <v>Đã đóng</v>
          </cell>
          <cell r="AJ952" t="str">
            <v>TP HCM</v>
          </cell>
          <cell r="BX952" t="str">
            <v>AON</v>
          </cell>
        </row>
        <row r="953">
          <cell r="A953" t="str">
            <v>ON</v>
          </cell>
          <cell r="B953" t="str">
            <v>Trong 24h</v>
          </cell>
          <cell r="D953" t="str">
            <v>Khiếu nại về dịch vụ FTTH</v>
          </cell>
          <cell r="W953" t="str">
            <v>Đã đóng</v>
          </cell>
          <cell r="AJ953" t="str">
            <v>Hà Nội 2</v>
          </cell>
          <cell r="BX953" t="str">
            <v>AON</v>
          </cell>
        </row>
        <row r="954">
          <cell r="A954" t="str">
            <v>ON</v>
          </cell>
          <cell r="B954" t="str">
            <v>Trong 24h</v>
          </cell>
          <cell r="D954" t="str">
            <v>Khiếu nại về dịch vụ FTTH</v>
          </cell>
          <cell r="W954" t="str">
            <v>Đã đóng</v>
          </cell>
          <cell r="AJ954" t="str">
            <v>TP HCM</v>
          </cell>
          <cell r="BX954" t="str">
            <v>GPON</v>
          </cell>
        </row>
        <row r="955">
          <cell r="A955" t="str">
            <v>ON</v>
          </cell>
          <cell r="B955" t="str">
            <v>Trong 24h</v>
          </cell>
          <cell r="D955" t="str">
            <v>Khiếu nại về dịch vụ FTTH</v>
          </cell>
          <cell r="W955" t="str">
            <v>Đang xử lý</v>
          </cell>
          <cell r="AJ955" t="str">
            <v>An Giang</v>
          </cell>
          <cell r="BX955" t="str">
            <v>AON</v>
          </cell>
        </row>
        <row r="956">
          <cell r="A956" t="str">
            <v>ON</v>
          </cell>
          <cell r="B956" t="str">
            <v>Trong 24h</v>
          </cell>
          <cell r="D956" t="str">
            <v>Khiếu nại về dịch vụ FTTH</v>
          </cell>
          <cell r="W956" t="str">
            <v>Đã đóng</v>
          </cell>
          <cell r="AJ956" t="str">
            <v>TP HCM</v>
          </cell>
          <cell r="BX956" t="str">
            <v>AON</v>
          </cell>
        </row>
        <row r="957">
          <cell r="A957" t="str">
            <v>ON</v>
          </cell>
          <cell r="B957" t="str">
            <v>Trong 24h</v>
          </cell>
          <cell r="D957" t="str">
            <v>Khiếu nại về dịch vụ FTTH</v>
          </cell>
          <cell r="W957" t="str">
            <v>Đang xử lý</v>
          </cell>
          <cell r="AJ957" t="str">
            <v>Bến Tre</v>
          </cell>
          <cell r="BX957" t="str">
            <v>AON</v>
          </cell>
        </row>
        <row r="958">
          <cell r="A958" t="str">
            <v>ON</v>
          </cell>
          <cell r="B958" t="str">
            <v>Trong 24h</v>
          </cell>
          <cell r="D958" t="str">
            <v>Khiếu nại về dịch vụ NextTV</v>
          </cell>
          <cell r="W958" t="str">
            <v>Đã đóng</v>
          </cell>
          <cell r="AJ958" t="str">
            <v>Quảng Ninh</v>
          </cell>
          <cell r="BX958" t="str">
            <v>AON</v>
          </cell>
        </row>
        <row r="959">
          <cell r="A959" t="str">
            <v>ON</v>
          </cell>
          <cell r="B959" t="str">
            <v>Trong 24h</v>
          </cell>
          <cell r="D959" t="str">
            <v>Khiếu nại về dịch vụ FTTH</v>
          </cell>
          <cell r="W959" t="str">
            <v>Đã đóng</v>
          </cell>
          <cell r="AJ959" t="str">
            <v>TP HCM</v>
          </cell>
          <cell r="BX959" t="str">
            <v>AON</v>
          </cell>
        </row>
        <row r="960">
          <cell r="A960" t="str">
            <v>ON</v>
          </cell>
          <cell r="B960" t="str">
            <v>Trong 24h</v>
          </cell>
          <cell r="D960" t="str">
            <v>Khiếu nại về dịch vụ FTTH</v>
          </cell>
          <cell r="W960" t="str">
            <v>Đã đóng</v>
          </cell>
          <cell r="AJ960" t="str">
            <v>An Giang</v>
          </cell>
          <cell r="BX960" t="str">
            <v>AON</v>
          </cell>
        </row>
        <row r="961">
          <cell r="A961" t="str">
            <v>ON</v>
          </cell>
          <cell r="B961" t="str">
            <v>Trong 24h</v>
          </cell>
          <cell r="D961" t="str">
            <v>Khiếu nại về dịch vụ FTTH</v>
          </cell>
          <cell r="W961" t="str">
            <v>Đang xử lý</v>
          </cell>
          <cell r="AJ961" t="str">
            <v>TP HCM</v>
          </cell>
          <cell r="BX961" t="str">
            <v>AON</v>
          </cell>
        </row>
        <row r="962">
          <cell r="A962" t="str">
            <v>ON</v>
          </cell>
          <cell r="B962" t="str">
            <v>Trong 24h</v>
          </cell>
          <cell r="D962" t="str">
            <v>Khiếu nại về dịch vụ FTTH</v>
          </cell>
          <cell r="W962" t="str">
            <v>Đang xử lý</v>
          </cell>
          <cell r="AJ962" t="str">
            <v>TP HCM</v>
          </cell>
          <cell r="BX962" t="str">
            <v>AON</v>
          </cell>
        </row>
        <row r="963">
          <cell r="A963" t="str">
            <v>ON</v>
          </cell>
          <cell r="B963" t="str">
            <v>Trong 24h</v>
          </cell>
          <cell r="D963" t="str">
            <v>Khiếu nại về dịch vụ FTTH</v>
          </cell>
          <cell r="W963" t="str">
            <v>Đã đóng</v>
          </cell>
          <cell r="AJ963" t="str">
            <v>TP HCM</v>
          </cell>
          <cell r="BX963" t="str">
            <v>AON</v>
          </cell>
        </row>
        <row r="964">
          <cell r="A964" t="str">
            <v>ON</v>
          </cell>
          <cell r="B964" t="str">
            <v>Trong 24h</v>
          </cell>
          <cell r="D964" t="str">
            <v>Khiếu nại về dịch vụ FTTH</v>
          </cell>
          <cell r="W964" t="str">
            <v>Đã đóng</v>
          </cell>
          <cell r="AJ964" t="str">
            <v>TP HCM</v>
          </cell>
          <cell r="BX964" t="str">
            <v>AON</v>
          </cell>
        </row>
        <row r="965">
          <cell r="A965" t="str">
            <v>ON</v>
          </cell>
          <cell r="B965" t="str">
            <v>Trong 24h</v>
          </cell>
          <cell r="D965" t="str">
            <v>Khiếu nại về dịch vụ FTTH</v>
          </cell>
          <cell r="W965" t="str">
            <v>Đã đóng</v>
          </cell>
          <cell r="AJ965" t="str">
            <v>Hải Dương</v>
          </cell>
          <cell r="BX965" t="str">
            <v>AON</v>
          </cell>
        </row>
        <row r="966">
          <cell r="A966" t="str">
            <v>ON</v>
          </cell>
          <cell r="B966" t="str">
            <v>Trong 24h</v>
          </cell>
          <cell r="D966" t="str">
            <v>Khiếu nại về dịch vụ FTTH</v>
          </cell>
          <cell r="W966" t="str">
            <v>Đã đóng</v>
          </cell>
          <cell r="AJ966" t="str">
            <v>Long An</v>
          </cell>
          <cell r="BX966" t="str">
            <v>AON</v>
          </cell>
        </row>
        <row r="967">
          <cell r="A967" t="str">
            <v>ON</v>
          </cell>
          <cell r="B967" t="str">
            <v>Trong 24h</v>
          </cell>
          <cell r="D967" t="str">
            <v>Khiếu nại về dịch vụ NextTV</v>
          </cell>
          <cell r="W967" t="str">
            <v>Đã đóng</v>
          </cell>
          <cell r="AJ967" t="str">
            <v>Hải Phòng</v>
          </cell>
          <cell r="BX967" t="str">
            <v>AON</v>
          </cell>
        </row>
        <row r="968">
          <cell r="A968" t="str">
            <v>ON</v>
          </cell>
          <cell r="B968" t="str">
            <v>Trong 24h</v>
          </cell>
          <cell r="D968" t="str">
            <v>Khiếu nại về dịch vụ FTTH</v>
          </cell>
          <cell r="W968" t="str">
            <v>Đã đóng</v>
          </cell>
          <cell r="AJ968" t="str">
            <v>Yên Bái</v>
          </cell>
          <cell r="BX968" t="str">
            <v>AON</v>
          </cell>
        </row>
        <row r="969">
          <cell r="A969" t="str">
            <v>ON</v>
          </cell>
          <cell r="B969" t="str">
            <v>Trong 24h</v>
          </cell>
          <cell r="D969" t="str">
            <v>Khiếu nại về dịch vụ FTTH</v>
          </cell>
          <cell r="W969" t="str">
            <v>Đã đóng</v>
          </cell>
          <cell r="AJ969" t="str">
            <v>TP HCM</v>
          </cell>
          <cell r="BX969" t="str">
            <v>GPON</v>
          </cell>
        </row>
        <row r="970">
          <cell r="A970" t="str">
            <v>ON</v>
          </cell>
          <cell r="B970" t="str">
            <v>Trong 24h</v>
          </cell>
          <cell r="D970" t="str">
            <v>Khiếu nại về dịch vụ FTTH</v>
          </cell>
          <cell r="W970" t="str">
            <v>Đã đóng</v>
          </cell>
          <cell r="AJ970" t="str">
            <v xml:space="preserve">Đồng Nai </v>
          </cell>
          <cell r="BX970" t="str">
            <v>AON</v>
          </cell>
        </row>
        <row r="971">
          <cell r="A971" t="str">
            <v>ON</v>
          </cell>
          <cell r="B971" t="str">
            <v>Trong 24h</v>
          </cell>
          <cell r="D971" t="str">
            <v>Khiếu nại về dịch vụ FTTH</v>
          </cell>
          <cell r="W971" t="str">
            <v>Đã đóng</v>
          </cell>
          <cell r="AJ971" t="str">
            <v>TP HCM</v>
          </cell>
          <cell r="BX971" t="str">
            <v>AON</v>
          </cell>
        </row>
        <row r="972">
          <cell r="A972" t="str">
            <v>ON</v>
          </cell>
          <cell r="B972" t="str">
            <v>Trong 24h</v>
          </cell>
          <cell r="D972" t="str">
            <v>Khiếu nại về dịch vụ FTTH</v>
          </cell>
          <cell r="W972" t="str">
            <v>Đã đóng</v>
          </cell>
          <cell r="AJ972" t="str">
            <v>Bà Rịa - Vũng Tàu</v>
          </cell>
          <cell r="BX972" t="str">
            <v>AON</v>
          </cell>
        </row>
        <row r="973">
          <cell r="A973" t="str">
            <v>ON</v>
          </cell>
          <cell r="B973" t="str">
            <v>Trong 24h</v>
          </cell>
          <cell r="D973" t="str">
            <v>Khiếu nại về dịch vụ FTTH</v>
          </cell>
          <cell r="W973" t="str">
            <v>Đang xử lý</v>
          </cell>
          <cell r="AJ973" t="str">
            <v>TP HCM</v>
          </cell>
          <cell r="BX973" t="str">
            <v>GPON</v>
          </cell>
        </row>
        <row r="974">
          <cell r="A974" t="str">
            <v>ON</v>
          </cell>
          <cell r="B974" t="str">
            <v>Trong 24h</v>
          </cell>
          <cell r="D974" t="str">
            <v>Khiếu nại về dịch vụ FTTH</v>
          </cell>
          <cell r="W974" t="str">
            <v>Đã đóng</v>
          </cell>
          <cell r="AJ974" t="str">
            <v>Bắc Ninh</v>
          </cell>
          <cell r="BX974" t="str">
            <v>AON</v>
          </cell>
        </row>
        <row r="975">
          <cell r="A975" t="str">
            <v>ON</v>
          </cell>
          <cell r="B975" t="str">
            <v>Trong 24h</v>
          </cell>
          <cell r="D975" t="str">
            <v>Khiếu nại về dịch vụ FTTH</v>
          </cell>
          <cell r="W975" t="str">
            <v>Đã đóng</v>
          </cell>
          <cell r="AJ975" t="str">
            <v>Đồng Tháp</v>
          </cell>
          <cell r="BX975" t="str">
            <v>AON</v>
          </cell>
        </row>
        <row r="976">
          <cell r="A976" t="str">
            <v>ON</v>
          </cell>
          <cell r="B976" t="str">
            <v>Trong 24h</v>
          </cell>
          <cell r="D976" t="str">
            <v>Khiếu nại về dịch vụ FTTH</v>
          </cell>
          <cell r="W976" t="str">
            <v>Đang xử lý</v>
          </cell>
          <cell r="AJ976" t="str">
            <v>Bắc Ninh</v>
          </cell>
          <cell r="BX976" t="str">
            <v>AON</v>
          </cell>
        </row>
        <row r="977">
          <cell r="A977" t="str">
            <v>ON</v>
          </cell>
          <cell r="B977" t="str">
            <v>Trong 24h</v>
          </cell>
          <cell r="D977" t="str">
            <v>Khiếu nại về dịch vụ FTTH</v>
          </cell>
          <cell r="W977" t="str">
            <v>Đã đóng</v>
          </cell>
          <cell r="AJ977" t="str">
            <v>TP HCM</v>
          </cell>
          <cell r="BX977" t="str">
            <v>AON</v>
          </cell>
        </row>
        <row r="978">
          <cell r="A978" t="str">
            <v>ON</v>
          </cell>
          <cell r="B978" t="str">
            <v>Trong 24h</v>
          </cell>
          <cell r="D978" t="str">
            <v>Khiếu nại về dịch vụ FTTH</v>
          </cell>
          <cell r="W978" t="str">
            <v>Đã đóng</v>
          </cell>
          <cell r="AJ978" t="str">
            <v>Bình Định</v>
          </cell>
          <cell r="BX978" t="str">
            <v>AON</v>
          </cell>
        </row>
        <row r="979">
          <cell r="A979" t="str">
            <v>ON</v>
          </cell>
          <cell r="B979" t="str">
            <v>Trong 24h</v>
          </cell>
          <cell r="D979" t="str">
            <v>Khiếu nại về dịch vụ FTTH</v>
          </cell>
          <cell r="W979" t="str">
            <v>Đã đóng</v>
          </cell>
          <cell r="AJ979" t="str">
            <v>TP HCM</v>
          </cell>
          <cell r="BX979" t="str">
            <v>AON</v>
          </cell>
        </row>
        <row r="980">
          <cell r="A980" t="str">
            <v>ON</v>
          </cell>
          <cell r="B980" t="str">
            <v>Trong 24h</v>
          </cell>
          <cell r="D980" t="str">
            <v>Khiếu nại về dịch vụ FTTH</v>
          </cell>
          <cell r="W980" t="str">
            <v>Đã đóng</v>
          </cell>
          <cell r="AJ980" t="str">
            <v>Bình Dương</v>
          </cell>
          <cell r="BX980" t="str">
            <v>AON</v>
          </cell>
        </row>
        <row r="981">
          <cell r="A981" t="str">
            <v>ON</v>
          </cell>
          <cell r="B981" t="str">
            <v>Trong 24h</v>
          </cell>
          <cell r="D981" t="str">
            <v>Khiếu nại về dịch vụ FTTH</v>
          </cell>
          <cell r="W981" t="str">
            <v>Đang xử lý</v>
          </cell>
          <cell r="AJ981" t="str">
            <v>Lâm Đồng</v>
          </cell>
          <cell r="BX981" t="str">
            <v>AON</v>
          </cell>
        </row>
        <row r="982">
          <cell r="A982" t="str">
            <v>ON</v>
          </cell>
          <cell r="B982" t="str">
            <v>Trong 24h</v>
          </cell>
          <cell r="D982" t="str">
            <v>Khiếu nại về dịch vụ FTTH</v>
          </cell>
          <cell r="W982" t="str">
            <v>Đã đóng</v>
          </cell>
          <cell r="AJ982" t="str">
            <v>Cần Thơ</v>
          </cell>
          <cell r="BX982" t="str">
            <v>AON</v>
          </cell>
        </row>
        <row r="983">
          <cell r="A983" t="str">
            <v>ON</v>
          </cell>
          <cell r="B983" t="str">
            <v>Trong 24h</v>
          </cell>
          <cell r="D983" t="str">
            <v>Khiếu nại về dịch vụ FTTH</v>
          </cell>
          <cell r="W983" t="str">
            <v>Đã đóng</v>
          </cell>
          <cell r="AJ983" t="str">
            <v>Hà Nội 1</v>
          </cell>
          <cell r="BX983" t="str">
            <v>AON</v>
          </cell>
        </row>
        <row r="984">
          <cell r="A984" t="str">
            <v>ON</v>
          </cell>
          <cell r="B984" t="str">
            <v>Trong 24h</v>
          </cell>
          <cell r="D984" t="str">
            <v>Khiếu nại về dịch vụ FTTH</v>
          </cell>
          <cell r="W984" t="str">
            <v>Đang xử lý</v>
          </cell>
          <cell r="AJ984" t="str">
            <v>Long An</v>
          </cell>
          <cell r="BX984" t="str">
            <v>AON</v>
          </cell>
        </row>
        <row r="985">
          <cell r="A985" t="str">
            <v>ON</v>
          </cell>
          <cell r="B985" t="str">
            <v>Trong 24h</v>
          </cell>
          <cell r="D985" t="str">
            <v>Khiếu nại về dịch vụ FTTH</v>
          </cell>
          <cell r="W985" t="str">
            <v>Đã đóng</v>
          </cell>
          <cell r="AJ985" t="str">
            <v>TP HCM</v>
          </cell>
          <cell r="BX985" t="str">
            <v>AON</v>
          </cell>
        </row>
        <row r="986">
          <cell r="A986" t="str">
            <v>ON</v>
          </cell>
          <cell r="B986" t="str">
            <v>Trong 24h</v>
          </cell>
          <cell r="D986" t="str">
            <v>Khiếu nại về dịch vụ FTTH</v>
          </cell>
          <cell r="W986" t="str">
            <v>Đã đóng</v>
          </cell>
          <cell r="AJ986" t="str">
            <v>TP HCM</v>
          </cell>
          <cell r="BX986" t="str">
            <v>GPON</v>
          </cell>
        </row>
        <row r="987">
          <cell r="A987" t="str">
            <v>ON</v>
          </cell>
          <cell r="B987" t="str">
            <v>Trong 24h</v>
          </cell>
          <cell r="D987" t="str">
            <v>Khiếu nại về dịch vụ FTTH</v>
          </cell>
          <cell r="W987" t="str">
            <v>Đã đóng</v>
          </cell>
          <cell r="AJ987" t="str">
            <v>TP HCM</v>
          </cell>
          <cell r="BX987" t="str">
            <v>AON</v>
          </cell>
        </row>
        <row r="988">
          <cell r="A988" t="str">
            <v>ON</v>
          </cell>
          <cell r="B988" t="str">
            <v>Trong 24h</v>
          </cell>
          <cell r="D988" t="str">
            <v>Khiếu nại về dịch vụ FTTH</v>
          </cell>
          <cell r="W988" t="str">
            <v>Đang xử lý</v>
          </cell>
          <cell r="AJ988" t="str">
            <v>Bắc Ninh</v>
          </cell>
          <cell r="BX988" t="str">
            <v>AON</v>
          </cell>
        </row>
        <row r="989">
          <cell r="A989" t="str">
            <v>ON</v>
          </cell>
          <cell r="B989" t="str">
            <v>Trong 24h</v>
          </cell>
          <cell r="D989" t="str">
            <v>Khiếu nại về dịch vụ FTTH</v>
          </cell>
          <cell r="W989" t="str">
            <v>Đã đóng</v>
          </cell>
          <cell r="AJ989" t="str">
            <v>TP HCM</v>
          </cell>
          <cell r="BX989" t="str">
            <v>AON</v>
          </cell>
        </row>
        <row r="990">
          <cell r="A990" t="str">
            <v>ON</v>
          </cell>
          <cell r="B990" t="str">
            <v>Trong 24h</v>
          </cell>
          <cell r="D990" t="str">
            <v>Khiếu nại về dịch vụ FTTH</v>
          </cell>
          <cell r="W990" t="str">
            <v>Đã đóng</v>
          </cell>
          <cell r="AJ990" t="str">
            <v>Bà Rịa - Vũng Tàu</v>
          </cell>
          <cell r="BX990" t="str">
            <v>AON</v>
          </cell>
        </row>
        <row r="991">
          <cell r="A991" t="str">
            <v>ON</v>
          </cell>
          <cell r="B991" t="str">
            <v>Trong 24h</v>
          </cell>
          <cell r="D991" t="str">
            <v>Khiếu nại về dịch vụ FTTH</v>
          </cell>
          <cell r="W991" t="str">
            <v>Đã đóng</v>
          </cell>
          <cell r="AJ991" t="str">
            <v>TP HCM</v>
          </cell>
          <cell r="BX991" t="str">
            <v>AON</v>
          </cell>
        </row>
        <row r="992">
          <cell r="A992" t="str">
            <v>ON</v>
          </cell>
          <cell r="B992" t="str">
            <v>Trong 24h</v>
          </cell>
          <cell r="D992" t="str">
            <v>Khiếu nại về dịch vụ NextTV</v>
          </cell>
          <cell r="W992" t="str">
            <v>Đã đóng</v>
          </cell>
          <cell r="AJ992" t="str">
            <v>Nghệ An</v>
          </cell>
          <cell r="BX992" t="str">
            <v>AON</v>
          </cell>
        </row>
        <row r="993">
          <cell r="A993" t="str">
            <v>ON</v>
          </cell>
          <cell r="B993" t="str">
            <v>Trong 24h</v>
          </cell>
          <cell r="D993" t="str">
            <v>Khiếu nại về dịch vụ FTTH</v>
          </cell>
          <cell r="W993" t="str">
            <v>Đã đóng</v>
          </cell>
          <cell r="AJ993" t="str">
            <v>TP HCM</v>
          </cell>
          <cell r="BX993" t="str">
            <v>AON</v>
          </cell>
        </row>
        <row r="994">
          <cell r="A994" t="str">
            <v>ON</v>
          </cell>
          <cell r="B994" t="str">
            <v>Trong 24h</v>
          </cell>
          <cell r="D994" t="str">
            <v>Khiếu nại về dịch vụ FTTH</v>
          </cell>
          <cell r="W994" t="str">
            <v>Đã đóng</v>
          </cell>
          <cell r="AJ994" t="str">
            <v xml:space="preserve">Đắc Lắk </v>
          </cell>
          <cell r="BX994" t="str">
            <v>AON</v>
          </cell>
        </row>
        <row r="995">
          <cell r="A995" t="str">
            <v>ON</v>
          </cell>
          <cell r="B995" t="str">
            <v>Trong 24h</v>
          </cell>
          <cell r="D995" t="str">
            <v>Khiếu nại về dịch vụ FTTH</v>
          </cell>
          <cell r="W995" t="str">
            <v>Đã đóng</v>
          </cell>
          <cell r="AJ995" t="str">
            <v>Hải Phòng</v>
          </cell>
          <cell r="BX995" t="str">
            <v>AON</v>
          </cell>
        </row>
        <row r="996">
          <cell r="A996" t="str">
            <v>ON</v>
          </cell>
          <cell r="B996" t="str">
            <v>Trong 24h</v>
          </cell>
          <cell r="D996" t="str">
            <v>Khiếu nại về dịch vụ FTTH</v>
          </cell>
          <cell r="W996" t="str">
            <v>Đã đóng</v>
          </cell>
          <cell r="AJ996" t="str">
            <v>TP HCM</v>
          </cell>
          <cell r="BX996" t="str">
            <v>AON</v>
          </cell>
        </row>
        <row r="997">
          <cell r="A997" t="str">
            <v>ON</v>
          </cell>
          <cell r="B997" t="str">
            <v>Trong 24h</v>
          </cell>
          <cell r="D997" t="str">
            <v>Khiếu nại về dịch vụ FTTH</v>
          </cell>
          <cell r="W997" t="str">
            <v>Đã đóng</v>
          </cell>
          <cell r="AJ997" t="str">
            <v xml:space="preserve">Đồng Nai </v>
          </cell>
          <cell r="BX997" t="str">
            <v>AON</v>
          </cell>
        </row>
        <row r="998">
          <cell r="A998" t="str">
            <v>ON</v>
          </cell>
          <cell r="B998" t="str">
            <v>Trong 24h</v>
          </cell>
          <cell r="D998" t="str">
            <v>Khiếu nại về dịch vụ FTTH</v>
          </cell>
          <cell r="W998" t="str">
            <v>Đã đóng</v>
          </cell>
          <cell r="AJ998" t="str">
            <v>Hà Nam</v>
          </cell>
          <cell r="BX998" t="str">
            <v>AON</v>
          </cell>
        </row>
        <row r="999">
          <cell r="A999" t="str">
            <v>ON</v>
          </cell>
          <cell r="B999" t="str">
            <v>Trong 24h</v>
          </cell>
          <cell r="D999" t="str">
            <v>Khiếu nại về dịch vụ FTTH</v>
          </cell>
          <cell r="W999" t="str">
            <v>Đã đóng</v>
          </cell>
          <cell r="AJ999" t="str">
            <v>Bình Thuận</v>
          </cell>
          <cell r="BX999" t="str">
            <v>AON</v>
          </cell>
        </row>
        <row r="1000">
          <cell r="A1000" t="str">
            <v>ON</v>
          </cell>
          <cell r="B1000" t="str">
            <v>Trong 24h</v>
          </cell>
          <cell r="D1000" t="str">
            <v>Khiếu nại về dịch vụ FTTH</v>
          </cell>
          <cell r="W1000" t="str">
            <v>Đang xử lý</v>
          </cell>
          <cell r="AJ1000" t="str">
            <v>Sóc Trăng</v>
          </cell>
          <cell r="BX1000" t="str">
            <v>GPON</v>
          </cell>
        </row>
        <row r="1001">
          <cell r="A1001" t="str">
            <v>ON</v>
          </cell>
          <cell r="B1001" t="str">
            <v>Trong 24h</v>
          </cell>
          <cell r="D1001" t="str">
            <v>Khiếu nại về dịch vụ FTTH</v>
          </cell>
          <cell r="W1001" t="str">
            <v>Đã đóng</v>
          </cell>
          <cell r="AJ1001" t="str">
            <v>Bình Dương</v>
          </cell>
          <cell r="BX1001" t="str">
            <v>AON</v>
          </cell>
        </row>
        <row r="1002">
          <cell r="A1002" t="str">
            <v>ON</v>
          </cell>
          <cell r="B1002" t="str">
            <v>Trong 24h</v>
          </cell>
          <cell r="D1002" t="str">
            <v>Khiếu nại về dịch vụ FTTH</v>
          </cell>
          <cell r="W1002" t="str">
            <v>Đang xử lý</v>
          </cell>
          <cell r="AJ1002" t="str">
            <v>TP HCM</v>
          </cell>
          <cell r="BX1002" t="str">
            <v>GPON</v>
          </cell>
        </row>
        <row r="1003">
          <cell r="A1003" t="str">
            <v>ON</v>
          </cell>
          <cell r="B1003" t="str">
            <v>Trong 24h</v>
          </cell>
          <cell r="D1003" t="str">
            <v>Khiếu nại về dịch vụ FTTH</v>
          </cell>
          <cell r="W1003" t="str">
            <v>Đang xử lý</v>
          </cell>
          <cell r="AJ1003" t="str">
            <v>Quảng Ninh</v>
          </cell>
          <cell r="BX1003" t="str">
            <v>AON</v>
          </cell>
        </row>
        <row r="1004">
          <cell r="A1004" t="str">
            <v>ON</v>
          </cell>
          <cell r="B1004" t="str">
            <v>Trong 24h</v>
          </cell>
          <cell r="D1004" t="str">
            <v>Khiếu nại về dịch vụ FTTH</v>
          </cell>
          <cell r="W1004" t="str">
            <v>Đã đóng</v>
          </cell>
          <cell r="AJ1004" t="str">
            <v>TP HCM</v>
          </cell>
          <cell r="BX1004" t="str">
            <v>AON</v>
          </cell>
        </row>
        <row r="1005">
          <cell r="A1005" t="str">
            <v>ON</v>
          </cell>
          <cell r="B1005" t="str">
            <v>Trong 24h</v>
          </cell>
          <cell r="D1005" t="str">
            <v>Khiếu nại về dịch vụ FTTH</v>
          </cell>
          <cell r="W1005" t="str">
            <v>Đang xử lý</v>
          </cell>
          <cell r="AJ1005" t="str">
            <v>An Giang</v>
          </cell>
          <cell r="BX1005" t="str">
            <v>AON</v>
          </cell>
        </row>
        <row r="1006">
          <cell r="A1006" t="str">
            <v>ON</v>
          </cell>
          <cell r="B1006" t="str">
            <v>Trong 24h</v>
          </cell>
          <cell r="D1006" t="str">
            <v>Khiếu nại về dịch vụ FTTH</v>
          </cell>
          <cell r="W1006" t="str">
            <v>Đã đóng</v>
          </cell>
          <cell r="AJ1006" t="str">
            <v>TP HCM</v>
          </cell>
          <cell r="BX1006" t="str">
            <v>AON</v>
          </cell>
        </row>
        <row r="1007">
          <cell r="A1007" t="str">
            <v>ON</v>
          </cell>
          <cell r="B1007" t="str">
            <v>Trong 24h</v>
          </cell>
          <cell r="D1007" t="str">
            <v>Khiếu nại về dịch vụ FTTH</v>
          </cell>
          <cell r="W1007" t="str">
            <v>Đang xử lý</v>
          </cell>
          <cell r="AJ1007" t="str">
            <v>Kiên Giang</v>
          </cell>
          <cell r="BX1007" t="str">
            <v>AON</v>
          </cell>
        </row>
        <row r="1008">
          <cell r="A1008" t="str">
            <v>ON</v>
          </cell>
          <cell r="B1008" t="str">
            <v>Trong 24h</v>
          </cell>
          <cell r="D1008" t="str">
            <v>Khiếu nại về dịch vụ FTTH</v>
          </cell>
          <cell r="W1008" t="str">
            <v>Đã đóng</v>
          </cell>
          <cell r="AJ1008" t="str">
            <v>Hải Phòng</v>
          </cell>
          <cell r="BX1008" t="str">
            <v>AON</v>
          </cell>
        </row>
        <row r="1009">
          <cell r="A1009" t="str">
            <v>ON</v>
          </cell>
          <cell r="B1009" t="str">
            <v>Trong 24h</v>
          </cell>
          <cell r="D1009" t="str">
            <v>Khiếu nại về dịch vụ FTTH</v>
          </cell>
          <cell r="W1009" t="str">
            <v>Đang xử lý</v>
          </cell>
          <cell r="AJ1009" t="str">
            <v>Cần Thơ</v>
          </cell>
          <cell r="BX1009" t="str">
            <v>AON</v>
          </cell>
        </row>
        <row r="1010">
          <cell r="A1010" t="str">
            <v>ON</v>
          </cell>
          <cell r="B1010" t="str">
            <v>Trong 24h</v>
          </cell>
          <cell r="D1010" t="str">
            <v>Khiếu nại về dịch vụ FTTH</v>
          </cell>
          <cell r="W1010" t="str">
            <v>Đã đóng</v>
          </cell>
          <cell r="AJ1010" t="str">
            <v>TP HCM</v>
          </cell>
          <cell r="BX1010" t="str">
            <v>AON</v>
          </cell>
        </row>
        <row r="1011">
          <cell r="A1011" t="str">
            <v>ON</v>
          </cell>
          <cell r="B1011" t="str">
            <v>Trong 24h</v>
          </cell>
          <cell r="D1011" t="str">
            <v>Khiếu nại về dịch vụ FTTH</v>
          </cell>
          <cell r="W1011" t="str">
            <v>Đã đóng</v>
          </cell>
          <cell r="AJ1011" t="str">
            <v xml:space="preserve">Đắc Lắk </v>
          </cell>
          <cell r="BX1011" t="str">
            <v>AON</v>
          </cell>
        </row>
        <row r="1012">
          <cell r="A1012" t="str">
            <v>ON</v>
          </cell>
          <cell r="B1012" t="str">
            <v>Trong 24h</v>
          </cell>
          <cell r="D1012" t="str">
            <v>Khiếu nại về dịch vụ FTTH</v>
          </cell>
          <cell r="W1012" t="str">
            <v>Đang xử lý</v>
          </cell>
          <cell r="AJ1012" t="str">
            <v>TP HCM</v>
          </cell>
          <cell r="BX1012" t="str">
            <v>AON</v>
          </cell>
        </row>
        <row r="1013">
          <cell r="A1013" t="str">
            <v>ON</v>
          </cell>
          <cell r="B1013" t="str">
            <v>Trong 24h</v>
          </cell>
          <cell r="D1013" t="str">
            <v>Khiếu nại về dịch vụ FTTH</v>
          </cell>
          <cell r="W1013" t="str">
            <v>Đã đóng</v>
          </cell>
          <cell r="AJ1013" t="str">
            <v>Bình Dương</v>
          </cell>
          <cell r="BX1013" t="str">
            <v>AON</v>
          </cell>
        </row>
        <row r="1014">
          <cell r="A1014" t="str">
            <v>ON</v>
          </cell>
          <cell r="B1014" t="str">
            <v>Trong 24h</v>
          </cell>
          <cell r="D1014" t="str">
            <v>Khiếu nại về dịch vụ FTTH</v>
          </cell>
          <cell r="W1014" t="str">
            <v>Đang xử lý</v>
          </cell>
          <cell r="AJ1014" t="str">
            <v>Cà Mau</v>
          </cell>
          <cell r="BX1014" t="str">
            <v>AON</v>
          </cell>
        </row>
        <row r="1015">
          <cell r="A1015" t="str">
            <v>ON</v>
          </cell>
          <cell r="B1015" t="str">
            <v>Trong 24h</v>
          </cell>
          <cell r="D1015" t="str">
            <v>Khiếu nại về dịch vụ FTTH</v>
          </cell>
          <cell r="W1015" t="str">
            <v>Đã đóng</v>
          </cell>
          <cell r="AJ1015" t="str">
            <v xml:space="preserve">Đồng Nai </v>
          </cell>
          <cell r="BX1015" t="str">
            <v>AON</v>
          </cell>
        </row>
        <row r="1016">
          <cell r="A1016" t="str">
            <v>ON</v>
          </cell>
          <cell r="B1016" t="str">
            <v>Trong 24h</v>
          </cell>
          <cell r="D1016" t="str">
            <v>Khiếu nại về dịch vụ FTTH</v>
          </cell>
          <cell r="W1016" t="str">
            <v>Đang xử lý</v>
          </cell>
          <cell r="AJ1016" t="str">
            <v>Quảng Ninh</v>
          </cell>
          <cell r="BX1016" t="str">
            <v>AON</v>
          </cell>
        </row>
        <row r="1017">
          <cell r="A1017" t="str">
            <v>ON</v>
          </cell>
          <cell r="B1017" t="str">
            <v>Trong 24h</v>
          </cell>
          <cell r="D1017" t="str">
            <v>Khiếu nại về dịch vụ FTTH</v>
          </cell>
          <cell r="W1017" t="str">
            <v>Đã đóng</v>
          </cell>
          <cell r="AJ1017" t="str">
            <v>An Giang</v>
          </cell>
          <cell r="BX1017" t="str">
            <v>AON</v>
          </cell>
        </row>
        <row r="1018">
          <cell r="A1018" t="str">
            <v>ON</v>
          </cell>
          <cell r="B1018" t="str">
            <v>Trong 24h</v>
          </cell>
          <cell r="D1018" t="str">
            <v>Khiếu nại về dịch vụ FTTH</v>
          </cell>
          <cell r="W1018" t="str">
            <v>Đã đóng</v>
          </cell>
          <cell r="AJ1018" t="str">
            <v>TP HCM</v>
          </cell>
          <cell r="BX1018" t="str">
            <v>AON</v>
          </cell>
        </row>
        <row r="1019">
          <cell r="A1019" t="str">
            <v>ON</v>
          </cell>
          <cell r="B1019" t="str">
            <v>Trong 24h</v>
          </cell>
          <cell r="D1019" t="str">
            <v>Khiếu nại về dịch vụ FTTH</v>
          </cell>
          <cell r="W1019" t="str">
            <v>Đang xử lý</v>
          </cell>
          <cell r="AJ1019" t="str">
            <v xml:space="preserve">Hà Tĩnh </v>
          </cell>
          <cell r="BX1019" t="str">
            <v>AON</v>
          </cell>
        </row>
        <row r="1020">
          <cell r="A1020" t="str">
            <v>ON</v>
          </cell>
          <cell r="B1020" t="str">
            <v>Trong 24h</v>
          </cell>
          <cell r="D1020" t="str">
            <v>Khiếu nại về dịch vụ FTTH</v>
          </cell>
          <cell r="W1020" t="str">
            <v>Đang xử lý</v>
          </cell>
          <cell r="AJ1020" t="str">
            <v>Bắc Giang</v>
          </cell>
          <cell r="BX1020" t="str">
            <v>AON</v>
          </cell>
        </row>
        <row r="1021">
          <cell r="A1021" t="str">
            <v>ON</v>
          </cell>
          <cell r="B1021" t="str">
            <v>Trong 24h</v>
          </cell>
          <cell r="D1021" t="str">
            <v>Khiếu nại về dịch vụ FTTH</v>
          </cell>
          <cell r="W1021" t="str">
            <v>Đã đóng</v>
          </cell>
          <cell r="AJ1021" t="str">
            <v>Long An</v>
          </cell>
          <cell r="BX1021" t="str">
            <v>AON</v>
          </cell>
        </row>
        <row r="1022">
          <cell r="A1022" t="str">
            <v>ON</v>
          </cell>
          <cell r="B1022" t="str">
            <v>Trong 24h</v>
          </cell>
          <cell r="D1022" t="str">
            <v>Khiếu nại về dịch vụ FTTH</v>
          </cell>
          <cell r="W1022" t="str">
            <v>Đã đóng</v>
          </cell>
          <cell r="AJ1022" t="str">
            <v>TP HCM</v>
          </cell>
          <cell r="BX1022" t="str">
            <v>AON</v>
          </cell>
        </row>
        <row r="1023">
          <cell r="A1023" t="str">
            <v>ON</v>
          </cell>
          <cell r="B1023" t="str">
            <v>Trong 24h</v>
          </cell>
          <cell r="D1023" t="str">
            <v>Khiếu nại về dịch vụ FTTH</v>
          </cell>
          <cell r="W1023" t="str">
            <v>Đã đóng</v>
          </cell>
          <cell r="AJ1023" t="str">
            <v>TP HCM</v>
          </cell>
          <cell r="BX1023" t="str">
            <v>GPON</v>
          </cell>
        </row>
        <row r="1024">
          <cell r="A1024" t="str">
            <v>ON</v>
          </cell>
          <cell r="B1024" t="str">
            <v>Trong 24h</v>
          </cell>
          <cell r="D1024" t="str">
            <v>Khiếu nại về dịch vụ FTTH</v>
          </cell>
          <cell r="W1024" t="str">
            <v>Đã đóng</v>
          </cell>
          <cell r="AJ1024" t="str">
            <v>TP HCM</v>
          </cell>
          <cell r="BX1024" t="str">
            <v>AON</v>
          </cell>
        </row>
        <row r="1025">
          <cell r="A1025" t="str">
            <v>ON</v>
          </cell>
          <cell r="B1025" t="str">
            <v>Trong 24h</v>
          </cell>
          <cell r="D1025" t="str">
            <v>Khiếu nại về dịch vụ FTTH</v>
          </cell>
          <cell r="W1025" t="str">
            <v>Đã đóng</v>
          </cell>
          <cell r="AJ1025" t="str">
            <v xml:space="preserve">Đà Nẵng </v>
          </cell>
          <cell r="BX1025" t="str">
            <v>AON</v>
          </cell>
        </row>
        <row r="1026">
          <cell r="A1026" t="str">
            <v>ON</v>
          </cell>
          <cell r="B1026" t="str">
            <v>Trong 24h</v>
          </cell>
          <cell r="D1026" t="str">
            <v>Khiếu nại về dịch vụ FTTH</v>
          </cell>
          <cell r="W1026" t="str">
            <v>Đang xử lý</v>
          </cell>
          <cell r="AJ1026" t="str">
            <v>TP HCM</v>
          </cell>
          <cell r="BX1026" t="str">
            <v>AON</v>
          </cell>
        </row>
        <row r="1027">
          <cell r="A1027" t="str">
            <v>ON</v>
          </cell>
          <cell r="B1027" t="str">
            <v>Trong 24h</v>
          </cell>
          <cell r="D1027" t="str">
            <v>Khiếu nại về dịch vụ FTTH</v>
          </cell>
          <cell r="W1027" t="str">
            <v>Đã đóng</v>
          </cell>
          <cell r="AJ1027" t="str">
            <v>TP HCM</v>
          </cell>
          <cell r="BX1027" t="str">
            <v>AON</v>
          </cell>
        </row>
        <row r="1028">
          <cell r="A1028" t="str">
            <v>ON</v>
          </cell>
          <cell r="B1028" t="str">
            <v>Trong 24h</v>
          </cell>
          <cell r="D1028" t="str">
            <v>Khiếu nại về dịch vụ NextTV</v>
          </cell>
          <cell r="W1028" t="str">
            <v>Đang xử lý</v>
          </cell>
          <cell r="AJ1028" t="str">
            <v>TP HCM</v>
          </cell>
          <cell r="BX1028" t="str">
            <v>AON</v>
          </cell>
        </row>
        <row r="1029">
          <cell r="A1029" t="str">
            <v>ON</v>
          </cell>
          <cell r="B1029" t="str">
            <v>Trong 24h</v>
          </cell>
          <cell r="D1029" t="str">
            <v>Khiếu nại về dịch vụ FTTH</v>
          </cell>
          <cell r="W1029" t="str">
            <v>Đã đóng</v>
          </cell>
          <cell r="AJ1029" t="str">
            <v>An Giang</v>
          </cell>
          <cell r="BX1029" t="str">
            <v>AON</v>
          </cell>
        </row>
        <row r="1030">
          <cell r="A1030" t="str">
            <v>ON</v>
          </cell>
          <cell r="B1030" t="str">
            <v>Trong 24h</v>
          </cell>
          <cell r="D1030" t="str">
            <v>Khiếu nại về dịch vụ FTTH</v>
          </cell>
          <cell r="W1030" t="str">
            <v>Đã đóng</v>
          </cell>
          <cell r="AJ1030" t="str">
            <v>Vĩnh Long</v>
          </cell>
          <cell r="BX1030" t="str">
            <v>AON</v>
          </cell>
        </row>
        <row r="1031">
          <cell r="A1031" t="str">
            <v>ON</v>
          </cell>
          <cell r="B1031" t="str">
            <v>Trong 24h</v>
          </cell>
          <cell r="D1031" t="str">
            <v>Khiếu nại về dịch vụ FTTH</v>
          </cell>
          <cell r="W1031" t="str">
            <v>Đã đóng</v>
          </cell>
          <cell r="AJ1031" t="str">
            <v>TP HCM</v>
          </cell>
          <cell r="BX1031" t="str">
            <v>AON</v>
          </cell>
        </row>
        <row r="1032">
          <cell r="A1032" t="str">
            <v>ON</v>
          </cell>
          <cell r="B1032" t="str">
            <v>Trong 24h</v>
          </cell>
          <cell r="D1032" t="str">
            <v>Khiếu nại về dịch vụ FTTH</v>
          </cell>
          <cell r="W1032" t="str">
            <v>Đã đóng</v>
          </cell>
          <cell r="AJ1032" t="str">
            <v>TP HCM</v>
          </cell>
          <cell r="BX1032" t="str">
            <v>AON</v>
          </cell>
        </row>
        <row r="1033">
          <cell r="A1033" t="str">
            <v>ON</v>
          </cell>
          <cell r="B1033" t="str">
            <v>Trong 24h</v>
          </cell>
          <cell r="D1033" t="str">
            <v>Khiếu nại về dịch vụ FTTH</v>
          </cell>
          <cell r="W1033" t="str">
            <v>Đã đóng</v>
          </cell>
          <cell r="AJ1033" t="str">
            <v>TP HCM</v>
          </cell>
          <cell r="BX1033" t="str">
            <v>AON</v>
          </cell>
        </row>
        <row r="1034">
          <cell r="A1034" t="str">
            <v>ON</v>
          </cell>
          <cell r="B1034" t="str">
            <v>Trong 24h</v>
          </cell>
          <cell r="D1034" t="str">
            <v>Khiếu nại về dịch vụ FTTH</v>
          </cell>
          <cell r="W1034" t="str">
            <v>Đang xử lý</v>
          </cell>
          <cell r="AJ1034" t="str">
            <v>Quảng Ninh</v>
          </cell>
          <cell r="BX1034" t="str">
            <v>AON</v>
          </cell>
        </row>
        <row r="1035">
          <cell r="A1035" t="str">
            <v>ON</v>
          </cell>
          <cell r="B1035" t="str">
            <v>Trong 24h</v>
          </cell>
          <cell r="D1035" t="str">
            <v>Khiếu nại về dịch vụ FTTH</v>
          </cell>
          <cell r="W1035" t="str">
            <v>Đã đóng</v>
          </cell>
          <cell r="AJ1035" t="str">
            <v>Bình Định</v>
          </cell>
          <cell r="BX1035" t="str">
            <v>AON</v>
          </cell>
        </row>
        <row r="1036">
          <cell r="A1036" t="str">
            <v>ON</v>
          </cell>
          <cell r="B1036" t="str">
            <v>Trong 24h</v>
          </cell>
          <cell r="D1036" t="str">
            <v>Khiếu nại về dịch vụ FTTH</v>
          </cell>
          <cell r="W1036" t="str">
            <v>Đã đóng</v>
          </cell>
          <cell r="AJ1036" t="str">
            <v>TP HCM</v>
          </cell>
          <cell r="BX1036" t="str">
            <v>AON</v>
          </cell>
        </row>
        <row r="1037">
          <cell r="A1037" t="str">
            <v>ON</v>
          </cell>
          <cell r="B1037" t="str">
            <v>Trong 24h</v>
          </cell>
          <cell r="D1037" t="str">
            <v>Khiếu nại về dịch vụ FTTH</v>
          </cell>
          <cell r="W1037" t="str">
            <v>Đã đóng</v>
          </cell>
          <cell r="AJ1037" t="str">
            <v>Long An</v>
          </cell>
          <cell r="BX1037" t="str">
            <v>AON</v>
          </cell>
        </row>
        <row r="1038">
          <cell r="A1038" t="str">
            <v>ON</v>
          </cell>
          <cell r="B1038" t="str">
            <v>Trong 24h</v>
          </cell>
          <cell r="D1038" t="str">
            <v>Khiếu nại về dịch vụ FTTH</v>
          </cell>
          <cell r="W1038" t="str">
            <v>Đã đóng</v>
          </cell>
          <cell r="AJ1038" t="str">
            <v>Long An</v>
          </cell>
          <cell r="BX1038" t="str">
            <v>AON</v>
          </cell>
        </row>
        <row r="1039">
          <cell r="A1039" t="str">
            <v>ON</v>
          </cell>
          <cell r="B1039" t="str">
            <v>Trong 24h</v>
          </cell>
          <cell r="D1039" t="str">
            <v>Khiếu nại về dịch vụ FTTH</v>
          </cell>
          <cell r="W1039" t="str">
            <v>Đang xử lý</v>
          </cell>
          <cell r="AJ1039" t="str">
            <v>Quảng Ninh</v>
          </cell>
          <cell r="BX1039" t="str">
            <v>AON</v>
          </cell>
        </row>
        <row r="1040">
          <cell r="A1040" t="str">
            <v>ON</v>
          </cell>
          <cell r="B1040" t="str">
            <v>Trong 24h</v>
          </cell>
          <cell r="D1040" t="str">
            <v>Khiếu nại về dịch vụ FTTH</v>
          </cell>
          <cell r="W1040" t="str">
            <v>Đang xử lý</v>
          </cell>
          <cell r="AJ1040" t="str">
            <v>Quảng Ninh</v>
          </cell>
          <cell r="BX1040" t="str">
            <v>AON</v>
          </cell>
        </row>
        <row r="1041">
          <cell r="A1041" t="str">
            <v>ON</v>
          </cell>
          <cell r="B1041" t="str">
            <v>Trong 24h</v>
          </cell>
          <cell r="D1041" t="str">
            <v>Khiếu nại về dịch vụ FTTH</v>
          </cell>
          <cell r="W1041" t="str">
            <v>Đã đóng</v>
          </cell>
          <cell r="AJ1041" t="str">
            <v>Điện Biên</v>
          </cell>
          <cell r="BX1041" t="str">
            <v>AON</v>
          </cell>
        </row>
        <row r="1042">
          <cell r="A1042" t="str">
            <v>ON</v>
          </cell>
          <cell r="B1042" t="str">
            <v>Trong 24h</v>
          </cell>
          <cell r="D1042" t="str">
            <v>Khiếu nại về dịch vụ FTTH</v>
          </cell>
          <cell r="W1042" t="str">
            <v>Đang xử lý</v>
          </cell>
          <cell r="AJ1042" t="str">
            <v>Lào Cai</v>
          </cell>
          <cell r="BX1042" t="str">
            <v>AON</v>
          </cell>
        </row>
        <row r="1043">
          <cell r="A1043" t="str">
            <v>ON</v>
          </cell>
          <cell r="B1043" t="str">
            <v>Trong 24h</v>
          </cell>
          <cell r="D1043" t="str">
            <v>Khiếu nại về dịch vụ FTTH</v>
          </cell>
          <cell r="W1043" t="str">
            <v>Đã đóng</v>
          </cell>
          <cell r="AJ1043" t="str">
            <v xml:space="preserve">Đồng Nai </v>
          </cell>
          <cell r="BX1043" t="str">
            <v>AON</v>
          </cell>
        </row>
        <row r="1044">
          <cell r="A1044" t="str">
            <v>ON</v>
          </cell>
          <cell r="B1044" t="str">
            <v>Trong 24h</v>
          </cell>
          <cell r="D1044" t="str">
            <v>Khiếu nại về dịch vụ FTTH</v>
          </cell>
          <cell r="W1044" t="str">
            <v>Đang xử lý</v>
          </cell>
          <cell r="AJ1044" t="str">
            <v>Bình Dương</v>
          </cell>
          <cell r="BX1044" t="str">
            <v>AON</v>
          </cell>
        </row>
        <row r="1045">
          <cell r="A1045" t="str">
            <v>ON</v>
          </cell>
          <cell r="B1045" t="str">
            <v>Trong 24h</v>
          </cell>
          <cell r="D1045" t="str">
            <v>Khiếu nại về dịch vụ FTTH</v>
          </cell>
          <cell r="W1045" t="str">
            <v>Đã đóng</v>
          </cell>
          <cell r="AJ1045" t="str">
            <v>Hoà Bình</v>
          </cell>
          <cell r="BX1045" t="str">
            <v>AON</v>
          </cell>
        </row>
        <row r="1046">
          <cell r="A1046" t="str">
            <v>ON</v>
          </cell>
          <cell r="B1046" t="str">
            <v>Trong 24h</v>
          </cell>
          <cell r="D1046" t="str">
            <v>Khiếu nại về dịch vụ FTTH</v>
          </cell>
          <cell r="W1046" t="str">
            <v>Đã đóng</v>
          </cell>
          <cell r="AJ1046" t="str">
            <v>Quảng Ngãi</v>
          </cell>
          <cell r="BX1046" t="str">
            <v>AON</v>
          </cell>
        </row>
        <row r="1047">
          <cell r="A1047" t="str">
            <v>ON</v>
          </cell>
          <cell r="B1047" t="str">
            <v>Trong 24h</v>
          </cell>
          <cell r="D1047" t="str">
            <v>Khiếu nại về dịch vụ FTTH</v>
          </cell>
          <cell r="W1047" t="str">
            <v>Đã đóng</v>
          </cell>
          <cell r="AJ1047" t="str">
            <v>TP HCM</v>
          </cell>
          <cell r="BX1047" t="str">
            <v>GPON</v>
          </cell>
        </row>
        <row r="1048">
          <cell r="A1048" t="str">
            <v>ON</v>
          </cell>
          <cell r="B1048" t="str">
            <v>Trong 24h</v>
          </cell>
          <cell r="D1048" t="str">
            <v>Khiếu nại về dịch vụ FTTH</v>
          </cell>
          <cell r="W1048" t="str">
            <v>Đã đóng</v>
          </cell>
          <cell r="AJ1048" t="str">
            <v>TP HCM</v>
          </cell>
          <cell r="BX1048" t="str">
            <v>AON</v>
          </cell>
        </row>
        <row r="1049">
          <cell r="A1049" t="str">
            <v>ON</v>
          </cell>
          <cell r="B1049" t="str">
            <v>Trong 24h</v>
          </cell>
          <cell r="D1049" t="str">
            <v>Khiếu nại về dịch vụ FTTH</v>
          </cell>
          <cell r="W1049" t="str">
            <v>Đang xử lý</v>
          </cell>
          <cell r="AJ1049" t="str">
            <v>Hà Nội 2</v>
          </cell>
          <cell r="BX1049" t="str">
            <v>AON</v>
          </cell>
        </row>
        <row r="1050">
          <cell r="A1050" t="str">
            <v>ON</v>
          </cell>
          <cell r="B1050" t="str">
            <v>Trong 24h</v>
          </cell>
          <cell r="D1050" t="str">
            <v>Khiếu nại về dịch vụ FTTH</v>
          </cell>
          <cell r="W1050" t="str">
            <v>Đang xử lý</v>
          </cell>
          <cell r="AJ1050" t="str">
            <v>Thừa Thiên Huế</v>
          </cell>
          <cell r="BX1050" t="str">
            <v>AON</v>
          </cell>
        </row>
        <row r="1051">
          <cell r="A1051" t="str">
            <v>ON</v>
          </cell>
          <cell r="B1051" t="str">
            <v>Trong 24h</v>
          </cell>
          <cell r="D1051" t="str">
            <v>Khiếu nại về dịch vụ FTTH</v>
          </cell>
          <cell r="W1051" t="str">
            <v>Đã đóng</v>
          </cell>
          <cell r="AJ1051" t="str">
            <v>TP HCM</v>
          </cell>
          <cell r="BX1051" t="str">
            <v>GPON</v>
          </cell>
        </row>
        <row r="1052">
          <cell r="A1052" t="str">
            <v>ON</v>
          </cell>
          <cell r="B1052" t="str">
            <v>Trong 24h</v>
          </cell>
          <cell r="D1052" t="str">
            <v>Khiếu nại về dịch vụ FTTH</v>
          </cell>
          <cell r="W1052" t="str">
            <v>Đã đóng</v>
          </cell>
          <cell r="AJ1052" t="str">
            <v>Tây Ninh</v>
          </cell>
          <cell r="BX1052" t="str">
            <v>AON</v>
          </cell>
        </row>
        <row r="1053">
          <cell r="A1053" t="str">
            <v>ON</v>
          </cell>
          <cell r="B1053" t="str">
            <v>Trong 24h</v>
          </cell>
          <cell r="D1053" t="str">
            <v>Khiếu nại về dịch vụ NextTV</v>
          </cell>
          <cell r="W1053" t="str">
            <v>Đã đóng</v>
          </cell>
          <cell r="AJ1053" t="str">
            <v>Đắc Nông</v>
          </cell>
          <cell r="BX1053" t="str">
            <v>AON</v>
          </cell>
        </row>
        <row r="1054">
          <cell r="A1054" t="str">
            <v>ON</v>
          </cell>
          <cell r="B1054" t="str">
            <v>Trong 24h</v>
          </cell>
          <cell r="D1054" t="str">
            <v>Khiếu nại về dịch vụ FTTH</v>
          </cell>
          <cell r="W1054" t="str">
            <v>Đã đóng</v>
          </cell>
          <cell r="AJ1054" t="str">
            <v>Hà Nội 2</v>
          </cell>
          <cell r="BX1054" t="str">
            <v>AON</v>
          </cell>
        </row>
        <row r="1055">
          <cell r="A1055" t="str">
            <v>ON</v>
          </cell>
          <cell r="B1055" t="str">
            <v>Trong 24h</v>
          </cell>
          <cell r="D1055" t="str">
            <v>Khiếu nại về dịch vụ FTTH</v>
          </cell>
          <cell r="W1055" t="str">
            <v>Đang xử lý</v>
          </cell>
          <cell r="AJ1055" t="str">
            <v>TP HCM</v>
          </cell>
          <cell r="BX1055" t="str">
            <v>AON</v>
          </cell>
        </row>
        <row r="1056">
          <cell r="A1056" t="str">
            <v>ON</v>
          </cell>
          <cell r="B1056" t="str">
            <v>Trong 24h</v>
          </cell>
          <cell r="D1056" t="str">
            <v>Khiếu nại về dịch vụ FTTH</v>
          </cell>
          <cell r="W1056" t="str">
            <v>Đã đóng</v>
          </cell>
          <cell r="AJ1056" t="str">
            <v>Hà Nội 2</v>
          </cell>
          <cell r="BX1056" t="str">
            <v>AON</v>
          </cell>
        </row>
        <row r="1057">
          <cell r="A1057" t="str">
            <v>ON</v>
          </cell>
          <cell r="B1057" t="str">
            <v>Trong 24h</v>
          </cell>
          <cell r="D1057" t="str">
            <v>Khiếu nại về dịch vụ FTTH</v>
          </cell>
          <cell r="W1057" t="str">
            <v>Đã đóng</v>
          </cell>
          <cell r="AJ1057" t="str">
            <v>TP HCM</v>
          </cell>
          <cell r="BX1057" t="str">
            <v>AON</v>
          </cell>
        </row>
        <row r="1058">
          <cell r="A1058" t="str">
            <v>ON</v>
          </cell>
          <cell r="B1058" t="str">
            <v>Trong 24h</v>
          </cell>
          <cell r="D1058" t="str">
            <v>Khiếu nại về dịch vụ NextTV</v>
          </cell>
          <cell r="W1058" t="str">
            <v>Đang xử lý</v>
          </cell>
          <cell r="AJ1058" t="str">
            <v>Hà Giang</v>
          </cell>
          <cell r="BX1058" t="str">
            <v>AON</v>
          </cell>
        </row>
        <row r="1059">
          <cell r="A1059" t="str">
            <v>ON</v>
          </cell>
          <cell r="B1059" t="str">
            <v>Trong 24h</v>
          </cell>
          <cell r="D1059" t="str">
            <v>Khiếu nại về dịch vụ FTTH</v>
          </cell>
          <cell r="W1059" t="str">
            <v>Đang xử lý</v>
          </cell>
          <cell r="AJ1059" t="str">
            <v>Quảng Ninh</v>
          </cell>
          <cell r="BX1059" t="str">
            <v>AON</v>
          </cell>
        </row>
        <row r="1060">
          <cell r="A1060" t="str">
            <v>ON</v>
          </cell>
          <cell r="B1060" t="str">
            <v>Trong 24h</v>
          </cell>
          <cell r="D1060" t="str">
            <v>Khiếu nại về dịch vụ FTTH</v>
          </cell>
          <cell r="W1060" t="str">
            <v>Đã đóng</v>
          </cell>
          <cell r="AJ1060" t="str">
            <v>Bắc Giang</v>
          </cell>
          <cell r="BX1060" t="str">
            <v>AON</v>
          </cell>
        </row>
        <row r="1061">
          <cell r="A1061" t="str">
            <v>ON</v>
          </cell>
          <cell r="B1061" t="str">
            <v>Trong 24h</v>
          </cell>
          <cell r="D1061" t="str">
            <v>Khiếu nại về dịch vụ FTTH</v>
          </cell>
          <cell r="W1061" t="str">
            <v>Đang xử lý</v>
          </cell>
          <cell r="AJ1061" t="str">
            <v>Quảng Ninh</v>
          </cell>
          <cell r="BX1061" t="str">
            <v>AON</v>
          </cell>
        </row>
        <row r="1062">
          <cell r="A1062" t="str">
            <v>ON</v>
          </cell>
          <cell r="B1062" t="str">
            <v>Trong 24h</v>
          </cell>
          <cell r="D1062" t="str">
            <v>Khiếu nại về dịch vụ FTTH</v>
          </cell>
          <cell r="W1062" t="str">
            <v>Đã đóng</v>
          </cell>
          <cell r="AJ1062" t="str">
            <v>Quảng Ninh</v>
          </cell>
          <cell r="BX1062" t="str">
            <v>AON</v>
          </cell>
        </row>
        <row r="1063">
          <cell r="A1063" t="str">
            <v>ON</v>
          </cell>
          <cell r="B1063" t="str">
            <v>Trong 24h</v>
          </cell>
          <cell r="D1063" t="str">
            <v>Khiếu nại về dịch vụ FTTH</v>
          </cell>
          <cell r="W1063" t="str">
            <v>Đang xử lý</v>
          </cell>
          <cell r="AJ1063" t="str">
            <v>Bắc Ninh</v>
          </cell>
          <cell r="BX1063" t="str">
            <v>AON</v>
          </cell>
        </row>
        <row r="1064">
          <cell r="A1064" t="str">
            <v>ON</v>
          </cell>
          <cell r="B1064" t="str">
            <v>Trong 24h</v>
          </cell>
          <cell r="D1064" t="str">
            <v>Khiếu nại về dịch vụ FTTH</v>
          </cell>
          <cell r="W1064" t="str">
            <v>Đã đóng</v>
          </cell>
          <cell r="AJ1064" t="str">
            <v>Hậu Giang</v>
          </cell>
          <cell r="BX1064" t="str">
            <v>AON</v>
          </cell>
        </row>
        <row r="1065">
          <cell r="A1065" t="str">
            <v>ON</v>
          </cell>
          <cell r="B1065" t="str">
            <v>Trong 24h</v>
          </cell>
          <cell r="D1065" t="str">
            <v>Khiếu nại về dịch vụ FTTH</v>
          </cell>
          <cell r="W1065" t="str">
            <v>Đã đóng</v>
          </cell>
          <cell r="AJ1065" t="str">
            <v>Quảng Trị</v>
          </cell>
          <cell r="BX1065" t="str">
            <v>AON</v>
          </cell>
        </row>
        <row r="1066">
          <cell r="A1066" t="str">
            <v>ON</v>
          </cell>
          <cell r="B1066" t="str">
            <v>Trong 24h</v>
          </cell>
          <cell r="D1066" t="str">
            <v>Khiếu nại về dịch vụ NextTV</v>
          </cell>
          <cell r="W1066" t="str">
            <v>Đã đóng</v>
          </cell>
          <cell r="AJ1066" t="str">
            <v>Quảng Trị</v>
          </cell>
          <cell r="BX1066" t="str">
            <v>AON</v>
          </cell>
        </row>
        <row r="1067">
          <cell r="A1067" t="str">
            <v>ON</v>
          </cell>
          <cell r="B1067" t="str">
            <v>Trong 24h</v>
          </cell>
          <cell r="D1067" t="str">
            <v>Khiếu nại về dịch vụ FTTH</v>
          </cell>
          <cell r="W1067" t="str">
            <v>Đã đóng</v>
          </cell>
          <cell r="AJ1067" t="str">
            <v>Hà Nội 2</v>
          </cell>
          <cell r="BX1067" t="str">
            <v>AON</v>
          </cell>
        </row>
        <row r="1068">
          <cell r="A1068" t="str">
            <v>ON</v>
          </cell>
          <cell r="B1068" t="str">
            <v>Trong 24h</v>
          </cell>
          <cell r="D1068" t="str">
            <v>Khiếu nại về dịch vụ FTTH</v>
          </cell>
          <cell r="W1068" t="str">
            <v>Đã đóng</v>
          </cell>
          <cell r="AJ1068" t="str">
            <v>TP HCM</v>
          </cell>
          <cell r="BX1068" t="str">
            <v>AON</v>
          </cell>
        </row>
        <row r="1069">
          <cell r="A1069" t="str">
            <v>ON</v>
          </cell>
          <cell r="B1069" t="str">
            <v>Trong 24h</v>
          </cell>
          <cell r="D1069" t="str">
            <v>Khiếu nại về dịch vụ FTTH</v>
          </cell>
          <cell r="W1069" t="str">
            <v>Đã đóng</v>
          </cell>
          <cell r="AJ1069" t="str">
            <v>TP HCM</v>
          </cell>
          <cell r="BX1069" t="str">
            <v>AON</v>
          </cell>
        </row>
        <row r="1070">
          <cell r="A1070" t="str">
            <v>ON</v>
          </cell>
          <cell r="B1070" t="str">
            <v>Trong 24h</v>
          </cell>
          <cell r="D1070" t="str">
            <v>Khiếu nại về dịch vụ FTTH</v>
          </cell>
          <cell r="W1070" t="str">
            <v>Đang xử lý</v>
          </cell>
          <cell r="AJ1070" t="str">
            <v>Thanh Hoá</v>
          </cell>
          <cell r="BX1070" t="str">
            <v>AON</v>
          </cell>
        </row>
        <row r="1071">
          <cell r="A1071" t="str">
            <v>ON</v>
          </cell>
          <cell r="B1071" t="str">
            <v>Trong 24h</v>
          </cell>
          <cell r="D1071" t="str">
            <v>Khiếu nại về dịch vụ FTTH</v>
          </cell>
          <cell r="W1071" t="str">
            <v>Đã đóng</v>
          </cell>
          <cell r="AJ1071" t="str">
            <v>Hà Nội 1</v>
          </cell>
          <cell r="BX1071" t="str">
            <v>AON</v>
          </cell>
        </row>
        <row r="1072">
          <cell r="A1072" t="str">
            <v>ON</v>
          </cell>
          <cell r="B1072" t="str">
            <v>Trong 24h</v>
          </cell>
          <cell r="D1072" t="str">
            <v>Khiếu nại về dịch vụ FTTH</v>
          </cell>
          <cell r="W1072" t="str">
            <v>Đã đóng</v>
          </cell>
          <cell r="AJ1072" t="str">
            <v>Hà Nội 1</v>
          </cell>
          <cell r="BX1072" t="str">
            <v>AON</v>
          </cell>
        </row>
        <row r="1073">
          <cell r="A1073" t="str">
            <v>ON</v>
          </cell>
          <cell r="B1073" t="str">
            <v>Trong 24h</v>
          </cell>
          <cell r="D1073" t="str">
            <v>Khiếu nại về dịch vụ FTTH</v>
          </cell>
          <cell r="W1073" t="str">
            <v>Đã đóng</v>
          </cell>
          <cell r="AJ1073" t="str">
            <v>Nghệ An</v>
          </cell>
          <cell r="BX1073" t="str">
            <v>AON</v>
          </cell>
        </row>
        <row r="1074">
          <cell r="A1074" t="str">
            <v>ON</v>
          </cell>
          <cell r="B1074" t="str">
            <v>Trong 24h</v>
          </cell>
          <cell r="D1074" t="str">
            <v>Khiếu nại về dịch vụ NextTV</v>
          </cell>
          <cell r="W1074" t="str">
            <v>Đang xử lý</v>
          </cell>
          <cell r="AJ1074" t="str">
            <v>Hưng Yên</v>
          </cell>
          <cell r="BX1074" t="str">
            <v>AON</v>
          </cell>
        </row>
        <row r="1075">
          <cell r="A1075" t="str">
            <v>ON</v>
          </cell>
          <cell r="B1075" t="str">
            <v>Trong 24h</v>
          </cell>
          <cell r="D1075" t="str">
            <v>Khiếu nại về dịch vụ FTTH</v>
          </cell>
          <cell r="W1075" t="str">
            <v>Đã đóng</v>
          </cell>
          <cell r="AJ1075" t="str">
            <v>Thái Nguyên</v>
          </cell>
          <cell r="BX1075" t="str">
            <v>AON</v>
          </cell>
        </row>
        <row r="1076">
          <cell r="A1076" t="str">
            <v>ON</v>
          </cell>
          <cell r="B1076" t="str">
            <v>Trong 24h</v>
          </cell>
          <cell r="D1076" t="str">
            <v>Khiếu nại về dịch vụ FTTH</v>
          </cell>
          <cell r="W1076" t="str">
            <v>Đã đóng</v>
          </cell>
          <cell r="AJ1076" t="str">
            <v xml:space="preserve">Đắc Lắk </v>
          </cell>
          <cell r="BX1076" t="str">
            <v>AON</v>
          </cell>
        </row>
        <row r="1077">
          <cell r="A1077" t="str">
            <v>ON</v>
          </cell>
          <cell r="B1077" t="str">
            <v>Trong 24h</v>
          </cell>
          <cell r="D1077" t="str">
            <v>Khiếu nại về dịch vụ FTTH</v>
          </cell>
          <cell r="W1077" t="str">
            <v>Đang xử lý</v>
          </cell>
          <cell r="AJ1077" t="str">
            <v>Quảng Ninh</v>
          </cell>
          <cell r="BX1077" t="str">
            <v>AON</v>
          </cell>
        </row>
        <row r="1078">
          <cell r="A1078" t="str">
            <v>ON</v>
          </cell>
          <cell r="B1078" t="str">
            <v>Trong 24h</v>
          </cell>
          <cell r="D1078" t="str">
            <v>Khiếu nại về dịch vụ FTTH</v>
          </cell>
          <cell r="W1078" t="str">
            <v>Đã đóng</v>
          </cell>
          <cell r="AJ1078" t="str">
            <v>Thái Nguyên</v>
          </cell>
          <cell r="BX1078" t="str">
            <v>AON</v>
          </cell>
        </row>
        <row r="1079">
          <cell r="A1079" t="str">
            <v>ON</v>
          </cell>
          <cell r="B1079" t="str">
            <v>Trong 24h</v>
          </cell>
          <cell r="D1079" t="str">
            <v>Khiếu nại về dịch vụ FTTH</v>
          </cell>
          <cell r="W1079" t="str">
            <v>Đang xử lý</v>
          </cell>
          <cell r="AJ1079" t="str">
            <v>An Giang</v>
          </cell>
          <cell r="BX1079" t="str">
            <v>AON</v>
          </cell>
        </row>
        <row r="1080">
          <cell r="A1080" t="str">
            <v>ON</v>
          </cell>
          <cell r="B1080" t="str">
            <v>Trong 24h</v>
          </cell>
          <cell r="D1080" t="str">
            <v>Khiếu nại về dịch vụ FTTH</v>
          </cell>
          <cell r="W1080" t="str">
            <v>Đang xử lý</v>
          </cell>
          <cell r="AJ1080" t="str">
            <v>Thanh Hoá</v>
          </cell>
          <cell r="BX1080" t="str">
            <v>AON</v>
          </cell>
        </row>
        <row r="1081">
          <cell r="A1081" t="str">
            <v>ON</v>
          </cell>
          <cell r="B1081" t="str">
            <v>Trong 24h</v>
          </cell>
          <cell r="D1081" t="str">
            <v>Khiếu nại về dịch vụ FTTH</v>
          </cell>
          <cell r="W1081" t="str">
            <v>Đang xử lý</v>
          </cell>
          <cell r="AJ1081" t="str">
            <v>Thái Bình</v>
          </cell>
          <cell r="BX1081" t="str">
            <v>AON</v>
          </cell>
        </row>
        <row r="1082">
          <cell r="A1082" t="str">
            <v>ON</v>
          </cell>
          <cell r="B1082" t="str">
            <v>Trong 24h</v>
          </cell>
          <cell r="D1082" t="str">
            <v>Khiếu nại về dịch vụ FTTH</v>
          </cell>
          <cell r="W1082" t="str">
            <v>Đã đóng</v>
          </cell>
          <cell r="AJ1082" t="str">
            <v>Hà Nam</v>
          </cell>
          <cell r="BX1082" t="str">
            <v>AON</v>
          </cell>
        </row>
        <row r="1083">
          <cell r="A1083" t="str">
            <v>ON</v>
          </cell>
          <cell r="B1083" t="str">
            <v>Trong 24h</v>
          </cell>
          <cell r="D1083" t="str">
            <v>Khiếu nại về dịch vụ FTTH</v>
          </cell>
          <cell r="W1083" t="str">
            <v>Đã đóng</v>
          </cell>
          <cell r="AJ1083" t="str">
            <v>Hà Nội 1</v>
          </cell>
          <cell r="BX1083" t="str">
            <v>AON</v>
          </cell>
        </row>
        <row r="1084">
          <cell r="A1084" t="str">
            <v>ON</v>
          </cell>
          <cell r="B1084" t="str">
            <v>Trong 24h</v>
          </cell>
          <cell r="D1084" t="str">
            <v>Khiếu nại về dịch vụ FTTH</v>
          </cell>
          <cell r="W1084" t="str">
            <v>Đã đóng</v>
          </cell>
          <cell r="AJ1084" t="str">
            <v>Cần Thơ</v>
          </cell>
          <cell r="BX1084" t="str">
            <v>AON</v>
          </cell>
        </row>
        <row r="1085">
          <cell r="A1085" t="str">
            <v>ON</v>
          </cell>
          <cell r="B1085" t="str">
            <v>Trong 24h</v>
          </cell>
          <cell r="D1085" t="str">
            <v>Khiếu nại về dịch vụ FTTH</v>
          </cell>
          <cell r="W1085" t="str">
            <v>Đã đóng</v>
          </cell>
          <cell r="AJ1085" t="str">
            <v>Bình Định</v>
          </cell>
          <cell r="BX1085" t="str">
            <v>AON</v>
          </cell>
        </row>
        <row r="1086">
          <cell r="A1086" t="str">
            <v>ON</v>
          </cell>
          <cell r="B1086" t="str">
            <v>Trong 24h</v>
          </cell>
          <cell r="D1086" t="str">
            <v>Khiếu nại về dịch vụ FTTH</v>
          </cell>
          <cell r="W1086" t="str">
            <v>Đã đóng</v>
          </cell>
          <cell r="AJ1086" t="str">
            <v>TP HCM</v>
          </cell>
          <cell r="BX1086" t="str">
            <v>AON</v>
          </cell>
        </row>
        <row r="1087">
          <cell r="A1087" t="str">
            <v>ON</v>
          </cell>
          <cell r="B1087" t="str">
            <v>Trong 24h</v>
          </cell>
          <cell r="D1087" t="str">
            <v>Khiếu nại về dịch vụ FTTH</v>
          </cell>
          <cell r="W1087" t="str">
            <v>Đã đóng</v>
          </cell>
          <cell r="AJ1087" t="str">
            <v>An Giang</v>
          </cell>
          <cell r="BX1087" t="str">
            <v>AON</v>
          </cell>
        </row>
        <row r="1088">
          <cell r="A1088" t="str">
            <v>ON</v>
          </cell>
          <cell r="B1088" t="str">
            <v>Trong 24h</v>
          </cell>
          <cell r="D1088" t="str">
            <v>Khiếu nại về dịch vụ FTTH</v>
          </cell>
          <cell r="W1088" t="str">
            <v>Đang xử lý</v>
          </cell>
          <cell r="AJ1088" t="str">
            <v>Bắc Ninh</v>
          </cell>
          <cell r="BX1088" t="str">
            <v>AON</v>
          </cell>
        </row>
        <row r="1089">
          <cell r="A1089" t="str">
            <v>ON</v>
          </cell>
          <cell r="B1089" t="str">
            <v>Trong 24h</v>
          </cell>
          <cell r="D1089" t="str">
            <v>Khiếu nại về dịch vụ FTTH</v>
          </cell>
          <cell r="W1089" t="str">
            <v>Đã đóng</v>
          </cell>
          <cell r="AJ1089" t="str">
            <v>TP HCM</v>
          </cell>
          <cell r="BX1089" t="str">
            <v>AON</v>
          </cell>
        </row>
        <row r="1090">
          <cell r="A1090" t="str">
            <v>ON</v>
          </cell>
          <cell r="B1090" t="str">
            <v>Trong 24h</v>
          </cell>
          <cell r="D1090" t="str">
            <v>Khiếu nại về dịch vụ FTTH</v>
          </cell>
          <cell r="W1090" t="str">
            <v>Đã đóng</v>
          </cell>
          <cell r="AJ1090" t="str">
            <v xml:space="preserve">Đắc Lắk </v>
          </cell>
          <cell r="BX1090" t="str">
            <v>AON</v>
          </cell>
        </row>
        <row r="1091">
          <cell r="A1091" t="str">
            <v>ON</v>
          </cell>
          <cell r="B1091" t="str">
            <v>Trong 24h</v>
          </cell>
          <cell r="D1091" t="str">
            <v>Khiếu nại về dịch vụ FTTH</v>
          </cell>
          <cell r="W1091" t="str">
            <v>Đang xử lý</v>
          </cell>
          <cell r="AJ1091" t="str">
            <v>Thái Nguyên</v>
          </cell>
          <cell r="BX1091" t="str">
            <v>AON</v>
          </cell>
        </row>
        <row r="1092">
          <cell r="A1092" t="str">
            <v>ON</v>
          </cell>
          <cell r="B1092" t="str">
            <v>Trong 24h</v>
          </cell>
          <cell r="D1092" t="str">
            <v>Khiếu nại về dịch vụ FTTH</v>
          </cell>
          <cell r="W1092" t="str">
            <v>Đang xử lý</v>
          </cell>
          <cell r="AJ1092" t="str">
            <v>Bắc Ninh</v>
          </cell>
          <cell r="BX1092" t="str">
            <v>AON</v>
          </cell>
        </row>
        <row r="1093">
          <cell r="A1093" t="str">
            <v>ON</v>
          </cell>
          <cell r="B1093" t="str">
            <v>Trong 24h</v>
          </cell>
          <cell r="D1093" t="str">
            <v>Khiếu nại về dịch vụ NextTV</v>
          </cell>
          <cell r="W1093" t="str">
            <v>Đang xử lý</v>
          </cell>
          <cell r="AJ1093" t="str">
            <v>Thanh Hoá</v>
          </cell>
          <cell r="BX1093" t="str">
            <v>AON</v>
          </cell>
        </row>
        <row r="1094">
          <cell r="A1094" t="str">
            <v>ON</v>
          </cell>
          <cell r="B1094" t="str">
            <v>Trong 24h</v>
          </cell>
          <cell r="D1094" t="str">
            <v>Khiếu nại về dịch vụ FTTH</v>
          </cell>
          <cell r="W1094" t="str">
            <v>Đã đóng</v>
          </cell>
          <cell r="AJ1094" t="str">
            <v>Hà Nội 1</v>
          </cell>
          <cell r="BX1094" t="str">
            <v>AON</v>
          </cell>
        </row>
        <row r="1095">
          <cell r="A1095" t="str">
            <v>ON</v>
          </cell>
          <cell r="B1095" t="str">
            <v>Trong 24h</v>
          </cell>
          <cell r="D1095" t="str">
            <v>Khiếu nại về dịch vụ FTTH</v>
          </cell>
          <cell r="W1095" t="str">
            <v>Đã đóng</v>
          </cell>
          <cell r="AJ1095" t="str">
            <v>TP HCM</v>
          </cell>
          <cell r="BX1095" t="str">
            <v>AON</v>
          </cell>
        </row>
        <row r="1096">
          <cell r="A1096" t="str">
            <v>ON</v>
          </cell>
          <cell r="B1096" t="str">
            <v>Trong 24h</v>
          </cell>
          <cell r="D1096" t="str">
            <v>Khiếu nại về dịch vụ FTTH</v>
          </cell>
          <cell r="W1096" t="str">
            <v>Đã đóng</v>
          </cell>
          <cell r="AJ1096" t="str">
            <v>TP HCM</v>
          </cell>
          <cell r="BX1096" t="str">
            <v>AON</v>
          </cell>
        </row>
        <row r="1097">
          <cell r="A1097" t="str">
            <v>ON</v>
          </cell>
          <cell r="B1097" t="str">
            <v>Trong 24h</v>
          </cell>
          <cell r="D1097" t="str">
            <v>Khiếu nại về dịch vụ FTTH</v>
          </cell>
          <cell r="W1097" t="str">
            <v>Đã đóng</v>
          </cell>
          <cell r="AJ1097" t="str">
            <v>Phú Yên</v>
          </cell>
          <cell r="BX1097" t="str">
            <v>AON</v>
          </cell>
        </row>
        <row r="1098">
          <cell r="A1098" t="str">
            <v>ON</v>
          </cell>
          <cell r="B1098" t="str">
            <v>Trong 24h</v>
          </cell>
          <cell r="D1098" t="str">
            <v>Khiếu nại về dịch vụ FTTH</v>
          </cell>
          <cell r="W1098" t="str">
            <v>Đang xử lý</v>
          </cell>
          <cell r="AJ1098" t="str">
            <v>Thanh Hoá</v>
          </cell>
          <cell r="BX1098" t="str">
            <v>AON</v>
          </cell>
        </row>
        <row r="1099">
          <cell r="A1099" t="str">
            <v>ON</v>
          </cell>
          <cell r="B1099" t="str">
            <v>Trong 24h</v>
          </cell>
          <cell r="D1099" t="str">
            <v>Khiếu nại về dịch vụ NextTV</v>
          </cell>
          <cell r="W1099" t="str">
            <v>Đã đóng</v>
          </cell>
          <cell r="AJ1099" t="str">
            <v xml:space="preserve">Đồng Nai </v>
          </cell>
          <cell r="BX1099" t="str">
            <v>AON</v>
          </cell>
        </row>
        <row r="1100">
          <cell r="A1100" t="str">
            <v>ON</v>
          </cell>
          <cell r="B1100" t="str">
            <v>Trong 24h</v>
          </cell>
          <cell r="D1100" t="str">
            <v>Khiếu nại về dịch vụ FTTH</v>
          </cell>
          <cell r="W1100" t="str">
            <v>Đã đóng</v>
          </cell>
          <cell r="AJ1100" t="str">
            <v>TP HCM</v>
          </cell>
          <cell r="BX1100" t="str">
            <v>AON</v>
          </cell>
        </row>
        <row r="1101">
          <cell r="A1101" t="str">
            <v>ON</v>
          </cell>
          <cell r="B1101" t="str">
            <v>Trong 24h</v>
          </cell>
          <cell r="D1101" t="str">
            <v>Khiếu nại về dịch vụ FTTH</v>
          </cell>
          <cell r="W1101" t="str">
            <v>Đã đóng</v>
          </cell>
          <cell r="AJ1101" t="str">
            <v>TP HCM</v>
          </cell>
          <cell r="BX1101" t="str">
            <v>AON</v>
          </cell>
        </row>
        <row r="1102">
          <cell r="A1102" t="str">
            <v>ON</v>
          </cell>
          <cell r="B1102" t="str">
            <v>Trong 24h</v>
          </cell>
          <cell r="D1102" t="str">
            <v>Khiếu nại về dịch vụ FTTH</v>
          </cell>
          <cell r="W1102" t="str">
            <v>Đã đóng</v>
          </cell>
          <cell r="AJ1102" t="str">
            <v>Sơn La</v>
          </cell>
          <cell r="BX1102" t="str">
            <v>AON</v>
          </cell>
        </row>
        <row r="1103">
          <cell r="A1103" t="str">
            <v>ON</v>
          </cell>
          <cell r="B1103" t="str">
            <v>Trong 24h</v>
          </cell>
          <cell r="D1103" t="str">
            <v>Khiếu nại về dịch vụ FTTH</v>
          </cell>
          <cell r="W1103" t="str">
            <v>Đã đóng</v>
          </cell>
          <cell r="AJ1103" t="str">
            <v>Sơn La</v>
          </cell>
          <cell r="BX1103" t="str">
            <v>AON</v>
          </cell>
        </row>
        <row r="1104">
          <cell r="A1104" t="str">
            <v>ON</v>
          </cell>
          <cell r="B1104" t="str">
            <v>Trong 24h</v>
          </cell>
          <cell r="D1104" t="str">
            <v>Khiếu nại về dịch vụ FTTH</v>
          </cell>
          <cell r="W1104" t="str">
            <v>Đã đóng</v>
          </cell>
          <cell r="AJ1104" t="str">
            <v xml:space="preserve">Đồng Nai </v>
          </cell>
          <cell r="BX1104" t="str">
            <v>AON</v>
          </cell>
        </row>
        <row r="1105">
          <cell r="A1105" t="str">
            <v>ON</v>
          </cell>
          <cell r="B1105" t="str">
            <v>Trong 24h</v>
          </cell>
          <cell r="D1105" t="str">
            <v>Khiếu nại về dịch vụ FTTH</v>
          </cell>
          <cell r="W1105" t="str">
            <v>Đã đóng</v>
          </cell>
          <cell r="AJ1105" t="str">
            <v>Tây Ninh</v>
          </cell>
          <cell r="BX1105" t="str">
            <v>AON</v>
          </cell>
        </row>
        <row r="1106">
          <cell r="A1106" t="str">
            <v>ON</v>
          </cell>
          <cell r="B1106" t="str">
            <v>Trong 24h</v>
          </cell>
          <cell r="D1106" t="str">
            <v>Khiếu nại về dịch vụ FTTH</v>
          </cell>
          <cell r="W1106" t="str">
            <v>Đã đóng</v>
          </cell>
          <cell r="AJ1106" t="str">
            <v>Bình Phước</v>
          </cell>
          <cell r="BX1106" t="str">
            <v>AON</v>
          </cell>
        </row>
        <row r="1107">
          <cell r="A1107" t="str">
            <v>ON</v>
          </cell>
          <cell r="B1107" t="str">
            <v>Trong 24h</v>
          </cell>
          <cell r="D1107" t="str">
            <v>Khiếu nại về dịch vụ FTTH</v>
          </cell>
          <cell r="W1107" t="str">
            <v>Đã đóng</v>
          </cell>
          <cell r="AJ1107" t="str">
            <v>Hà Nội 1</v>
          </cell>
          <cell r="BX1107" t="str">
            <v>AON</v>
          </cell>
        </row>
        <row r="1108">
          <cell r="A1108" t="str">
            <v>ON</v>
          </cell>
          <cell r="B1108" t="str">
            <v>Trong 24h</v>
          </cell>
          <cell r="D1108" t="str">
            <v>Khiếu nại về dịch vụ FTTH</v>
          </cell>
          <cell r="W1108" t="str">
            <v>Đã đóng</v>
          </cell>
          <cell r="AJ1108" t="str">
            <v>TP HCM</v>
          </cell>
          <cell r="BX1108" t="str">
            <v>AON</v>
          </cell>
        </row>
        <row r="1109">
          <cell r="A1109" t="str">
            <v>ON</v>
          </cell>
          <cell r="B1109" t="str">
            <v>Trong 24h</v>
          </cell>
          <cell r="D1109" t="str">
            <v>Khiếu nại về dịch vụ FTTH</v>
          </cell>
          <cell r="W1109" t="str">
            <v>Đã đóng</v>
          </cell>
          <cell r="AJ1109" t="str">
            <v>TP HCM</v>
          </cell>
          <cell r="BX1109" t="str">
            <v>AON</v>
          </cell>
        </row>
        <row r="1110">
          <cell r="A1110" t="str">
            <v>ON</v>
          </cell>
          <cell r="B1110" t="str">
            <v>Trong 24h</v>
          </cell>
          <cell r="D1110" t="str">
            <v>Khiếu nại về dịch vụ FTTH</v>
          </cell>
          <cell r="W1110" t="str">
            <v>Đã đóng</v>
          </cell>
          <cell r="AJ1110" t="str">
            <v xml:space="preserve">Quảng Nam </v>
          </cell>
          <cell r="BX1110" t="str">
            <v>AON</v>
          </cell>
        </row>
        <row r="1111">
          <cell r="A1111" t="str">
            <v>ON</v>
          </cell>
          <cell r="B1111" t="str">
            <v>Trong 24h</v>
          </cell>
          <cell r="D1111" t="str">
            <v>Khiếu nại về dịch vụ FTTH</v>
          </cell>
          <cell r="W1111" t="str">
            <v>Đã đóng</v>
          </cell>
          <cell r="AJ1111" t="str">
            <v>Khánh Hoà</v>
          </cell>
          <cell r="BX1111" t="str">
            <v>AON</v>
          </cell>
        </row>
        <row r="1112">
          <cell r="A1112" t="str">
            <v>ON</v>
          </cell>
          <cell r="B1112" t="str">
            <v>Trong 24h</v>
          </cell>
          <cell r="D1112" t="str">
            <v>Khiếu nại về dịch vụ FTTH</v>
          </cell>
          <cell r="W1112" t="str">
            <v>Đã đóng</v>
          </cell>
          <cell r="AJ1112" t="str">
            <v>TP HCM</v>
          </cell>
          <cell r="BX1112" t="str">
            <v>AON</v>
          </cell>
        </row>
        <row r="1113">
          <cell r="A1113" t="str">
            <v>ON</v>
          </cell>
          <cell r="B1113" t="str">
            <v>Trong 24h</v>
          </cell>
          <cell r="D1113" t="str">
            <v>Khiếu nại về dịch vụ FTTH</v>
          </cell>
          <cell r="W1113" t="str">
            <v>Đã đóng</v>
          </cell>
          <cell r="AJ1113" t="str">
            <v>Hà Nội 1</v>
          </cell>
          <cell r="BX1113" t="str">
            <v>AON</v>
          </cell>
        </row>
        <row r="1114">
          <cell r="A1114" t="str">
            <v>ON</v>
          </cell>
          <cell r="B1114" t="str">
            <v>Trong 24h</v>
          </cell>
          <cell r="D1114" t="str">
            <v>Khiếu nại về dịch vụ FTTH</v>
          </cell>
          <cell r="W1114" t="str">
            <v>Đã đóng</v>
          </cell>
          <cell r="AJ1114" t="str">
            <v>Sơn La</v>
          </cell>
          <cell r="BX1114" t="str">
            <v>AON</v>
          </cell>
        </row>
        <row r="1115">
          <cell r="A1115" t="str">
            <v>ON</v>
          </cell>
          <cell r="B1115" t="str">
            <v>Trong 24h</v>
          </cell>
          <cell r="D1115" t="str">
            <v>Khiếu nại về dịch vụ FTTH</v>
          </cell>
          <cell r="W1115" t="str">
            <v>Đã đóng</v>
          </cell>
          <cell r="AJ1115" t="str">
            <v>Hà Nội 2</v>
          </cell>
          <cell r="BX1115" t="str">
            <v>AON</v>
          </cell>
        </row>
        <row r="1116">
          <cell r="A1116" t="str">
            <v>ON</v>
          </cell>
          <cell r="B1116" t="str">
            <v>Trong 24h</v>
          </cell>
          <cell r="D1116" t="str">
            <v>Khiếu nại về dịch vụ FTTH</v>
          </cell>
          <cell r="W1116" t="str">
            <v>Đã đóng</v>
          </cell>
          <cell r="AJ1116" t="str">
            <v>TP HCM</v>
          </cell>
          <cell r="BX1116" t="str">
            <v>AON</v>
          </cell>
        </row>
        <row r="1117">
          <cell r="A1117" t="str">
            <v>ON</v>
          </cell>
          <cell r="B1117" t="str">
            <v>Trong 24h</v>
          </cell>
          <cell r="D1117" t="str">
            <v>Khiếu nại về dịch vụ FTTH</v>
          </cell>
          <cell r="W1117" t="str">
            <v>Đã đóng</v>
          </cell>
          <cell r="AJ1117" t="str">
            <v>Điện Biên</v>
          </cell>
          <cell r="BX1117" t="str">
            <v>AON</v>
          </cell>
        </row>
        <row r="1118">
          <cell r="A1118" t="str">
            <v>ON</v>
          </cell>
          <cell r="B1118" t="str">
            <v>Trong 24h</v>
          </cell>
          <cell r="D1118" t="str">
            <v>Khiếu nại về dịch vụ FTTH</v>
          </cell>
          <cell r="W1118" t="str">
            <v>Đã đóng</v>
          </cell>
          <cell r="AJ1118" t="str">
            <v>TP HCM</v>
          </cell>
          <cell r="BX1118" t="str">
            <v>GPON</v>
          </cell>
        </row>
        <row r="1119">
          <cell r="A1119" t="str">
            <v>ON</v>
          </cell>
          <cell r="B1119" t="str">
            <v>Trong 24h</v>
          </cell>
          <cell r="D1119" t="str">
            <v>Khiếu nại về dịch vụ FTTH</v>
          </cell>
          <cell r="W1119" t="str">
            <v>Đã đóng</v>
          </cell>
          <cell r="AJ1119" t="str">
            <v>Hà Nội 1</v>
          </cell>
          <cell r="BX1119" t="str">
            <v>AON</v>
          </cell>
        </row>
        <row r="1120">
          <cell r="A1120" t="str">
            <v>ON</v>
          </cell>
          <cell r="B1120" t="str">
            <v>Trong 24h</v>
          </cell>
          <cell r="D1120" t="str">
            <v>Khiếu nại về dịch vụ FTTH</v>
          </cell>
          <cell r="W1120" t="str">
            <v>Đã đóng</v>
          </cell>
          <cell r="AJ1120" t="str">
            <v>Hà Nội 2</v>
          </cell>
          <cell r="BX1120" t="str">
            <v>AON</v>
          </cell>
        </row>
        <row r="1121">
          <cell r="A1121" t="str">
            <v>ON</v>
          </cell>
          <cell r="B1121" t="str">
            <v>Trong 24h</v>
          </cell>
          <cell r="D1121" t="str">
            <v>Khiếu nại về dịch vụ NextTV</v>
          </cell>
          <cell r="W1121" t="str">
            <v>Đã đóng</v>
          </cell>
          <cell r="AJ1121" t="str">
            <v xml:space="preserve">Đồng Nai </v>
          </cell>
          <cell r="BX1121" t="str">
            <v>AON</v>
          </cell>
        </row>
        <row r="1122">
          <cell r="A1122" t="str">
            <v>ON</v>
          </cell>
          <cell r="B1122" t="str">
            <v>Trong 24h</v>
          </cell>
          <cell r="D1122" t="str">
            <v>Khiếu nại về dịch vụ NextTV</v>
          </cell>
          <cell r="W1122" t="str">
            <v>Đã đóng</v>
          </cell>
          <cell r="AJ1122" t="str">
            <v>TP HCM</v>
          </cell>
          <cell r="BX1122" t="str">
            <v>GPON</v>
          </cell>
        </row>
        <row r="1123">
          <cell r="A1123" t="str">
            <v>ON</v>
          </cell>
          <cell r="B1123" t="str">
            <v>Trong 24h</v>
          </cell>
          <cell r="D1123" t="str">
            <v>Khiếu nại về dịch vụ FTTH</v>
          </cell>
          <cell r="W1123" t="str">
            <v>Đã đóng</v>
          </cell>
          <cell r="AJ1123" t="str">
            <v>Bạc Liêu</v>
          </cell>
          <cell r="BX1123" t="str">
            <v>GPON</v>
          </cell>
        </row>
        <row r="1124">
          <cell r="A1124" t="str">
            <v>ON</v>
          </cell>
          <cell r="B1124" t="str">
            <v>Trong 24h</v>
          </cell>
          <cell r="D1124" t="str">
            <v>Khiếu nại về dịch vụ FTTH</v>
          </cell>
          <cell r="W1124" t="str">
            <v>Đã đóng</v>
          </cell>
          <cell r="AJ1124" t="str">
            <v xml:space="preserve">Đồng Nai </v>
          </cell>
          <cell r="BX1124" t="str">
            <v>AON</v>
          </cell>
        </row>
        <row r="1125">
          <cell r="A1125" t="str">
            <v>ON</v>
          </cell>
          <cell r="B1125" t="str">
            <v>Trong 24h</v>
          </cell>
          <cell r="D1125" t="str">
            <v>Khiếu nại về dịch vụ FTTH</v>
          </cell>
          <cell r="W1125" t="str">
            <v>Đang xử lý</v>
          </cell>
          <cell r="AJ1125" t="str">
            <v>Quảng Ninh</v>
          </cell>
          <cell r="BX1125" t="str">
            <v>AON</v>
          </cell>
        </row>
        <row r="1126">
          <cell r="A1126" t="str">
            <v>ON</v>
          </cell>
          <cell r="B1126" t="str">
            <v>Trong 24h</v>
          </cell>
          <cell r="D1126" t="str">
            <v>Khiếu nại về dịch vụ FTTH</v>
          </cell>
          <cell r="W1126" t="str">
            <v>Đã đóng</v>
          </cell>
          <cell r="AJ1126" t="str">
            <v>Trà Vinh</v>
          </cell>
          <cell r="BX1126" t="str">
            <v>AON</v>
          </cell>
        </row>
        <row r="1127">
          <cell r="A1127" t="str">
            <v>ON</v>
          </cell>
          <cell r="B1127" t="str">
            <v>Trong 24h</v>
          </cell>
          <cell r="D1127" t="str">
            <v>Khiếu nại về dịch vụ FTTH</v>
          </cell>
          <cell r="W1127" t="str">
            <v>Đã đóng</v>
          </cell>
          <cell r="AJ1127" t="str">
            <v>Hà Nội 1</v>
          </cell>
          <cell r="BX1127" t="str">
            <v>AON</v>
          </cell>
        </row>
        <row r="1128">
          <cell r="A1128" t="str">
            <v>ON</v>
          </cell>
          <cell r="B1128" t="str">
            <v>Trong 24h</v>
          </cell>
          <cell r="D1128" t="str">
            <v>Khiếu nại về dịch vụ FTTH</v>
          </cell>
          <cell r="W1128" t="str">
            <v>Đang xử lý</v>
          </cell>
          <cell r="AJ1128" t="str">
            <v>Cà Mau</v>
          </cell>
          <cell r="BX1128" t="str">
            <v>AON</v>
          </cell>
        </row>
        <row r="1129">
          <cell r="A1129" t="str">
            <v>ON</v>
          </cell>
          <cell r="B1129" t="str">
            <v>Trong 24h</v>
          </cell>
          <cell r="D1129" t="str">
            <v>Khiếu nại về dịch vụ NextTV</v>
          </cell>
          <cell r="W1129" t="str">
            <v>Đã đóng</v>
          </cell>
          <cell r="AJ1129" t="str">
            <v>TP HCM</v>
          </cell>
          <cell r="BX1129" t="str">
            <v>GPON</v>
          </cell>
        </row>
        <row r="1130">
          <cell r="A1130" t="str">
            <v>ON</v>
          </cell>
          <cell r="B1130" t="str">
            <v>Trong 24h</v>
          </cell>
          <cell r="D1130" t="str">
            <v>Khiếu nại về dịch vụ FTTH</v>
          </cell>
          <cell r="W1130" t="str">
            <v>Đã đóng</v>
          </cell>
          <cell r="AJ1130" t="str">
            <v>Bình Thuận</v>
          </cell>
          <cell r="BX1130" t="str">
            <v>AON</v>
          </cell>
        </row>
        <row r="1131">
          <cell r="A1131" t="str">
            <v>ON</v>
          </cell>
          <cell r="B1131" t="str">
            <v>Trong 24h</v>
          </cell>
          <cell r="D1131" t="str">
            <v>Khiếu nại về dịch vụ FTTH</v>
          </cell>
          <cell r="W1131" t="str">
            <v>Đang xử lý</v>
          </cell>
          <cell r="AJ1131" t="str">
            <v>Quảng Ninh</v>
          </cell>
          <cell r="BX1131" t="str">
            <v>AON</v>
          </cell>
        </row>
        <row r="1132">
          <cell r="A1132" t="str">
            <v>ON</v>
          </cell>
          <cell r="B1132" t="str">
            <v>Trong 24h</v>
          </cell>
          <cell r="D1132" t="str">
            <v>Khiếu nại về dịch vụ FTTH</v>
          </cell>
          <cell r="W1132" t="str">
            <v>Đã đóng</v>
          </cell>
          <cell r="AJ1132" t="str">
            <v>TP HCM</v>
          </cell>
          <cell r="BX1132" t="str">
            <v>AON</v>
          </cell>
        </row>
        <row r="1133">
          <cell r="A1133" t="str">
            <v>ON</v>
          </cell>
          <cell r="B1133" t="str">
            <v>Trong 24h</v>
          </cell>
          <cell r="D1133" t="str">
            <v>Khiếu nại về dịch vụ FTTH</v>
          </cell>
          <cell r="W1133" t="str">
            <v>Đang xử lý</v>
          </cell>
          <cell r="AJ1133" t="str">
            <v>Quảng Ninh</v>
          </cell>
          <cell r="BX1133" t="str">
            <v>AON</v>
          </cell>
        </row>
        <row r="1134">
          <cell r="A1134" t="str">
            <v>ON</v>
          </cell>
          <cell r="B1134" t="str">
            <v>Trong 24h</v>
          </cell>
          <cell r="D1134" t="str">
            <v>Khiếu nại về dịch vụ FTTH</v>
          </cell>
          <cell r="W1134" t="str">
            <v>Đã đóng</v>
          </cell>
          <cell r="AJ1134" t="str">
            <v>Thanh Hoá</v>
          </cell>
          <cell r="BX1134" t="str">
            <v>AON</v>
          </cell>
        </row>
        <row r="1135">
          <cell r="A1135" t="str">
            <v>ON</v>
          </cell>
          <cell r="B1135" t="str">
            <v>Trong 24h</v>
          </cell>
          <cell r="D1135" t="str">
            <v>Khiếu nại về dịch vụ FTTH</v>
          </cell>
          <cell r="W1135" t="str">
            <v>Đã đóng</v>
          </cell>
          <cell r="AJ1135" t="str">
            <v>Long An</v>
          </cell>
          <cell r="BX1135" t="str">
            <v>AON</v>
          </cell>
        </row>
        <row r="1136">
          <cell r="A1136" t="str">
            <v>ON</v>
          </cell>
          <cell r="B1136" t="str">
            <v>Trong 24h</v>
          </cell>
          <cell r="D1136" t="str">
            <v>Khiếu nại về dịch vụ FTTH</v>
          </cell>
          <cell r="W1136" t="str">
            <v>Đã đóng</v>
          </cell>
          <cell r="AJ1136" t="str">
            <v>Hà Nội 1</v>
          </cell>
          <cell r="BX1136" t="str">
            <v>AON</v>
          </cell>
        </row>
        <row r="1137">
          <cell r="A1137" t="str">
            <v>ON</v>
          </cell>
          <cell r="B1137" t="str">
            <v>Trong 24h</v>
          </cell>
          <cell r="D1137" t="str">
            <v>Khiếu nại về dịch vụ NextTV</v>
          </cell>
          <cell r="W1137" t="str">
            <v>Đã đóng</v>
          </cell>
          <cell r="AJ1137" t="str">
            <v>TP HCM</v>
          </cell>
          <cell r="BX1137" t="str">
            <v>AON</v>
          </cell>
        </row>
        <row r="1138">
          <cell r="A1138" t="str">
            <v>ON</v>
          </cell>
          <cell r="B1138" t="str">
            <v>Trong 24h</v>
          </cell>
          <cell r="D1138" t="str">
            <v>Khiếu nại về dịch vụ FTTH</v>
          </cell>
          <cell r="W1138" t="str">
            <v>Đã đóng</v>
          </cell>
          <cell r="AJ1138" t="str">
            <v>Hà Nội 2</v>
          </cell>
          <cell r="BX1138" t="str">
            <v>AON</v>
          </cell>
        </row>
        <row r="1139">
          <cell r="A1139" t="str">
            <v>ON</v>
          </cell>
          <cell r="B1139" t="str">
            <v>Trong 24h</v>
          </cell>
          <cell r="D1139" t="str">
            <v>Khiếu nại về dịch vụ FTTH</v>
          </cell>
          <cell r="W1139" t="str">
            <v>Đang xử lý</v>
          </cell>
          <cell r="AJ1139" t="str">
            <v>Sơn La</v>
          </cell>
          <cell r="BX1139" t="str">
            <v>AON</v>
          </cell>
        </row>
        <row r="1140">
          <cell r="A1140" t="str">
            <v>ON</v>
          </cell>
          <cell r="B1140" t="str">
            <v>Trong 24h</v>
          </cell>
          <cell r="D1140" t="str">
            <v>Khiếu nại về dịch vụ FTTH</v>
          </cell>
          <cell r="W1140" t="str">
            <v>Đã đóng</v>
          </cell>
          <cell r="AJ1140" t="str">
            <v>Kiên Giang</v>
          </cell>
          <cell r="BX1140" t="str">
            <v>AON</v>
          </cell>
        </row>
        <row r="1141">
          <cell r="A1141" t="str">
            <v>ON</v>
          </cell>
          <cell r="B1141" t="str">
            <v>Trong 24h</v>
          </cell>
          <cell r="D1141" t="str">
            <v>Khiếu nại về dịch vụ FTTH</v>
          </cell>
          <cell r="W1141" t="str">
            <v>Đã đóng</v>
          </cell>
          <cell r="AJ1141" t="str">
            <v>Long An</v>
          </cell>
          <cell r="BX1141" t="str">
            <v>AON</v>
          </cell>
        </row>
        <row r="1142">
          <cell r="A1142" t="str">
            <v>ON</v>
          </cell>
          <cell r="B1142" t="str">
            <v>Trong 24h</v>
          </cell>
          <cell r="D1142" t="str">
            <v>Khiếu nại về dịch vụ FTTH</v>
          </cell>
          <cell r="W1142" t="str">
            <v>Đã đóng</v>
          </cell>
          <cell r="AJ1142" t="str">
            <v>Hà Nội 2</v>
          </cell>
          <cell r="BX1142" t="str">
            <v>AON</v>
          </cell>
        </row>
        <row r="1143">
          <cell r="A1143" t="str">
            <v>ON</v>
          </cell>
          <cell r="B1143" t="str">
            <v>Trong 24h</v>
          </cell>
          <cell r="D1143" t="str">
            <v>Khiếu nại về dịch vụ NextTV</v>
          </cell>
          <cell r="W1143" t="str">
            <v>Đã đóng</v>
          </cell>
          <cell r="AJ1143" t="str">
            <v>Hải Phòng</v>
          </cell>
          <cell r="BX1143" t="str">
            <v>AON</v>
          </cell>
        </row>
        <row r="1144">
          <cell r="A1144" t="str">
            <v>ON</v>
          </cell>
          <cell r="B1144" t="str">
            <v>Trong 24h</v>
          </cell>
          <cell r="D1144" t="str">
            <v>Khiếu nại về dịch vụ FTTH</v>
          </cell>
          <cell r="W1144" t="str">
            <v>Đã đóng</v>
          </cell>
          <cell r="AJ1144" t="str">
            <v>Thái Bình</v>
          </cell>
          <cell r="BX1144" t="str">
            <v>AON</v>
          </cell>
        </row>
        <row r="1145">
          <cell r="A1145" t="str">
            <v>ON</v>
          </cell>
          <cell r="B1145" t="str">
            <v>Trong 24h</v>
          </cell>
          <cell r="D1145" t="str">
            <v>Khiếu nại về dịch vụ FTTH</v>
          </cell>
          <cell r="W1145" t="str">
            <v>Đã đóng</v>
          </cell>
          <cell r="AJ1145" t="str">
            <v>Lạng Sơn</v>
          </cell>
          <cell r="BX1145" t="str">
            <v>AON</v>
          </cell>
        </row>
        <row r="1146">
          <cell r="A1146" t="str">
            <v>ON</v>
          </cell>
          <cell r="B1146" t="str">
            <v>Trong 24h</v>
          </cell>
          <cell r="D1146" t="str">
            <v>Khiếu nại về dịch vụ FTTH</v>
          </cell>
          <cell r="W1146" t="str">
            <v>Đã đóng</v>
          </cell>
          <cell r="AJ1146" t="str">
            <v>Nam Định</v>
          </cell>
          <cell r="BX1146" t="str">
            <v>AON</v>
          </cell>
        </row>
        <row r="1147">
          <cell r="A1147" t="str">
            <v>ON</v>
          </cell>
          <cell r="B1147" t="str">
            <v>Trong 24h</v>
          </cell>
          <cell r="D1147" t="str">
            <v>Khiếu nại về dịch vụ FTTH</v>
          </cell>
          <cell r="W1147" t="str">
            <v>Đã đóng</v>
          </cell>
          <cell r="AJ1147" t="str">
            <v>TP HCM</v>
          </cell>
          <cell r="BX1147" t="str">
            <v>AON</v>
          </cell>
        </row>
        <row r="1148">
          <cell r="A1148" t="str">
            <v>ON</v>
          </cell>
          <cell r="B1148" t="str">
            <v>Trong 24h</v>
          </cell>
          <cell r="D1148" t="str">
            <v>Khiếu nại về dịch vụ FTTH</v>
          </cell>
          <cell r="W1148" t="str">
            <v>Đang xử lý</v>
          </cell>
          <cell r="AJ1148" t="str">
            <v>Quảng Ninh</v>
          </cell>
          <cell r="BX1148" t="str">
            <v>AON</v>
          </cell>
        </row>
        <row r="1149">
          <cell r="A1149" t="str">
            <v>ON</v>
          </cell>
          <cell r="B1149" t="str">
            <v>Trong 24h</v>
          </cell>
          <cell r="D1149" t="str">
            <v>Khiếu nại về dịch vụ FTTH</v>
          </cell>
          <cell r="W1149" t="str">
            <v>Đã đóng</v>
          </cell>
          <cell r="AJ1149" t="str">
            <v>Hậu Giang</v>
          </cell>
          <cell r="BX1149" t="str">
            <v>AON</v>
          </cell>
        </row>
        <row r="1150">
          <cell r="A1150" t="str">
            <v>ON</v>
          </cell>
          <cell r="B1150" t="str">
            <v>Trong 24h</v>
          </cell>
          <cell r="D1150" t="str">
            <v>Khiếu nại về dịch vụ FTTH</v>
          </cell>
          <cell r="W1150" t="str">
            <v>Đã đóng</v>
          </cell>
          <cell r="AJ1150" t="str">
            <v>Lai Châu</v>
          </cell>
          <cell r="BX1150" t="str">
            <v>AON</v>
          </cell>
        </row>
        <row r="1151">
          <cell r="A1151" t="str">
            <v>ON</v>
          </cell>
          <cell r="B1151" t="str">
            <v>Trong 24h</v>
          </cell>
          <cell r="D1151" t="str">
            <v>Khiếu nại về dịch vụ FTTH</v>
          </cell>
          <cell r="W1151" t="str">
            <v>Đang xử lý</v>
          </cell>
          <cell r="AJ1151" t="str">
            <v>Sóc Trăng</v>
          </cell>
          <cell r="BX1151" t="str">
            <v>AON</v>
          </cell>
        </row>
        <row r="1152">
          <cell r="A1152" t="str">
            <v>ON</v>
          </cell>
          <cell r="B1152" t="str">
            <v>Trong 24h</v>
          </cell>
          <cell r="D1152" t="str">
            <v>Khiếu nại về dịch vụ FTTH</v>
          </cell>
          <cell r="W1152" t="str">
            <v>Đã đóng</v>
          </cell>
          <cell r="AJ1152" t="str">
            <v>Bình Phước</v>
          </cell>
          <cell r="BX1152" t="str">
            <v>AON</v>
          </cell>
        </row>
        <row r="1153">
          <cell r="A1153" t="str">
            <v>ON</v>
          </cell>
          <cell r="B1153" t="str">
            <v>Trong 24h</v>
          </cell>
          <cell r="D1153" t="str">
            <v>Khiếu nại về dịch vụ FTTH</v>
          </cell>
          <cell r="W1153" t="str">
            <v>Đã đóng</v>
          </cell>
          <cell r="AJ1153" t="str">
            <v xml:space="preserve">Quảng Nam </v>
          </cell>
          <cell r="BX1153" t="str">
            <v>AON</v>
          </cell>
        </row>
        <row r="1154">
          <cell r="A1154" t="str">
            <v>ON</v>
          </cell>
          <cell r="B1154" t="str">
            <v>Trong 24h</v>
          </cell>
          <cell r="D1154" t="str">
            <v>Khiếu nại về dịch vụ FTTH</v>
          </cell>
          <cell r="W1154" t="str">
            <v>Đang xử lý</v>
          </cell>
          <cell r="AJ1154" t="str">
            <v>TP HCM</v>
          </cell>
          <cell r="BX1154" t="str">
            <v>AON</v>
          </cell>
        </row>
        <row r="1155">
          <cell r="A1155" t="str">
            <v>ON</v>
          </cell>
          <cell r="B1155" t="str">
            <v>Trong 24h</v>
          </cell>
          <cell r="D1155" t="str">
            <v>Khiếu nại về dịch vụ FTTH</v>
          </cell>
          <cell r="W1155" t="str">
            <v>Đã đóng</v>
          </cell>
          <cell r="AJ1155" t="str">
            <v>Hậu Giang</v>
          </cell>
          <cell r="BX1155" t="str">
            <v>AON</v>
          </cell>
        </row>
        <row r="1156">
          <cell r="A1156" t="str">
            <v>ON</v>
          </cell>
          <cell r="B1156" t="str">
            <v>Trong 24h</v>
          </cell>
          <cell r="D1156" t="str">
            <v>Khiếu nại về dịch vụ FTTH</v>
          </cell>
          <cell r="W1156" t="str">
            <v>Đang xử lý</v>
          </cell>
          <cell r="AJ1156" t="str">
            <v xml:space="preserve">Đồng Nai </v>
          </cell>
          <cell r="BX1156" t="str">
            <v>AON</v>
          </cell>
        </row>
        <row r="1157">
          <cell r="A1157" t="str">
            <v>ON</v>
          </cell>
          <cell r="B1157" t="str">
            <v>Trong 24h</v>
          </cell>
          <cell r="D1157" t="str">
            <v>Khiếu nại về dịch vụ FTTH</v>
          </cell>
          <cell r="W1157" t="str">
            <v>Đã đóng</v>
          </cell>
          <cell r="AJ1157" t="str">
            <v>Cần Thơ</v>
          </cell>
          <cell r="BX1157" t="str">
            <v>AON</v>
          </cell>
        </row>
        <row r="1158">
          <cell r="A1158" t="str">
            <v>ON</v>
          </cell>
          <cell r="B1158" t="str">
            <v>Trong 24h</v>
          </cell>
          <cell r="D1158" t="str">
            <v>Khiếu nại về dịch vụ FTTH</v>
          </cell>
          <cell r="W1158" t="str">
            <v>Đã đóng</v>
          </cell>
          <cell r="AJ1158" t="str">
            <v>Hậu Giang</v>
          </cell>
          <cell r="BX1158" t="str">
            <v>AON</v>
          </cell>
        </row>
        <row r="1159">
          <cell r="A1159" t="str">
            <v>ON</v>
          </cell>
          <cell r="B1159" t="str">
            <v>Trong 24h</v>
          </cell>
          <cell r="D1159" t="str">
            <v>Khiếu nại về dịch vụ FTTH</v>
          </cell>
          <cell r="W1159" t="str">
            <v>Đã đóng</v>
          </cell>
          <cell r="AJ1159" t="str">
            <v>Bắc Giang</v>
          </cell>
          <cell r="BX1159" t="str">
            <v>AON</v>
          </cell>
        </row>
        <row r="1160">
          <cell r="A1160" t="str">
            <v>ON</v>
          </cell>
          <cell r="B1160" t="str">
            <v>Trong 24h</v>
          </cell>
          <cell r="D1160" t="str">
            <v>Khiếu nại về dịch vụ FTTH</v>
          </cell>
          <cell r="W1160" t="str">
            <v>Đã đóng</v>
          </cell>
          <cell r="AJ1160" t="str">
            <v>TP HCM</v>
          </cell>
          <cell r="BX1160" t="str">
            <v>AON</v>
          </cell>
        </row>
        <row r="1161">
          <cell r="A1161" t="str">
            <v>ON</v>
          </cell>
          <cell r="B1161" t="str">
            <v>Trong 24h</v>
          </cell>
          <cell r="D1161" t="str">
            <v>Khiếu nại về dịch vụ FTTH</v>
          </cell>
          <cell r="W1161" t="str">
            <v>Đang xử lý</v>
          </cell>
          <cell r="AJ1161" t="str">
            <v>Nghệ An</v>
          </cell>
          <cell r="BX1161" t="str">
            <v>AON</v>
          </cell>
        </row>
        <row r="1162">
          <cell r="A1162" t="str">
            <v>ON</v>
          </cell>
          <cell r="B1162" t="str">
            <v>Trong 24h</v>
          </cell>
          <cell r="D1162" t="str">
            <v>Khiếu nại về dịch vụ FTTH</v>
          </cell>
          <cell r="W1162" t="str">
            <v>Đang xử lý</v>
          </cell>
          <cell r="AJ1162" t="str">
            <v>Bắc Ninh</v>
          </cell>
          <cell r="BX1162" t="str">
            <v>AON</v>
          </cell>
        </row>
        <row r="1163">
          <cell r="A1163" t="str">
            <v>ON</v>
          </cell>
          <cell r="B1163" t="str">
            <v>Trong 24h</v>
          </cell>
          <cell r="D1163" t="str">
            <v>Khiếu nại về dịch vụ FTTH</v>
          </cell>
          <cell r="W1163" t="str">
            <v>Đã đóng</v>
          </cell>
          <cell r="AJ1163" t="str">
            <v>Hà Nam</v>
          </cell>
          <cell r="BX1163" t="str">
            <v>AON</v>
          </cell>
        </row>
        <row r="1164">
          <cell r="A1164" t="str">
            <v>ON</v>
          </cell>
          <cell r="B1164" t="str">
            <v>Trong 24h</v>
          </cell>
          <cell r="D1164" t="str">
            <v>Khiếu nại về dịch vụ FTTH</v>
          </cell>
          <cell r="W1164" t="str">
            <v>Đã đóng</v>
          </cell>
          <cell r="AJ1164" t="str">
            <v>Gia Lai</v>
          </cell>
          <cell r="BX1164" t="str">
            <v>AON</v>
          </cell>
        </row>
        <row r="1165">
          <cell r="A1165" t="str">
            <v>ON</v>
          </cell>
          <cell r="B1165" t="str">
            <v>Trong 24h</v>
          </cell>
          <cell r="D1165" t="str">
            <v>Khiếu nại về dịch vụ FTTH</v>
          </cell>
          <cell r="W1165" t="str">
            <v>Đã đóng</v>
          </cell>
          <cell r="AJ1165" t="str">
            <v>TP HCM</v>
          </cell>
          <cell r="BX1165" t="str">
            <v>AON</v>
          </cell>
        </row>
        <row r="1166">
          <cell r="A1166" t="str">
            <v>ON</v>
          </cell>
          <cell r="B1166" t="str">
            <v>Trong 24h</v>
          </cell>
          <cell r="D1166" t="str">
            <v>Khiếu nại về dịch vụ FTTH</v>
          </cell>
          <cell r="W1166" t="str">
            <v>Đã đóng</v>
          </cell>
          <cell r="AJ1166" t="str">
            <v>Bến Tre</v>
          </cell>
          <cell r="BX1166" t="str">
            <v>AON</v>
          </cell>
        </row>
        <row r="1167">
          <cell r="A1167" t="str">
            <v>ON</v>
          </cell>
          <cell r="B1167" t="str">
            <v>Trong 24h</v>
          </cell>
          <cell r="D1167" t="str">
            <v>Khiếu nại về dịch vụ FTTH</v>
          </cell>
          <cell r="W1167" t="str">
            <v>Đã đóng</v>
          </cell>
          <cell r="AJ1167" t="str">
            <v>Quảng Ninh</v>
          </cell>
          <cell r="BX1167" t="str">
            <v>AON</v>
          </cell>
        </row>
        <row r="1168">
          <cell r="A1168" t="str">
            <v>ON</v>
          </cell>
          <cell r="B1168" t="str">
            <v>Trong 24h</v>
          </cell>
          <cell r="D1168" t="str">
            <v>Khiếu nại về dịch vụ FTTH</v>
          </cell>
          <cell r="W1168" t="str">
            <v>Đã đóng</v>
          </cell>
          <cell r="AJ1168" t="str">
            <v>TP HCM</v>
          </cell>
          <cell r="BX1168" t="str">
            <v>AON</v>
          </cell>
        </row>
        <row r="1169">
          <cell r="A1169" t="str">
            <v>ON</v>
          </cell>
          <cell r="B1169" t="str">
            <v>Trong 24h</v>
          </cell>
          <cell r="D1169" t="str">
            <v>Khiếu nại về dịch vụ FTTH</v>
          </cell>
          <cell r="W1169" t="str">
            <v>Đang xử lý</v>
          </cell>
          <cell r="AJ1169" t="str">
            <v>Nghệ An</v>
          </cell>
          <cell r="BX1169" t="str">
            <v>AON</v>
          </cell>
        </row>
        <row r="1170">
          <cell r="A1170" t="str">
            <v>ON</v>
          </cell>
          <cell r="B1170" t="str">
            <v>Trong 24h</v>
          </cell>
          <cell r="D1170" t="str">
            <v>Khiếu nại về dịch vụ FTTH</v>
          </cell>
          <cell r="W1170" t="str">
            <v>Đang xử lý</v>
          </cell>
          <cell r="AJ1170" t="str">
            <v>Thanh Hoá</v>
          </cell>
          <cell r="BX1170" t="str">
            <v>AON</v>
          </cell>
        </row>
        <row r="1171">
          <cell r="A1171" t="str">
            <v>ON</v>
          </cell>
          <cell r="B1171" t="str">
            <v>Trong 24h</v>
          </cell>
          <cell r="D1171" t="str">
            <v>Khiếu nại về dịch vụ FTTH</v>
          </cell>
          <cell r="W1171" t="str">
            <v>Đã đóng</v>
          </cell>
          <cell r="AJ1171" t="str">
            <v>Đắc Nông</v>
          </cell>
          <cell r="BX1171" t="str">
            <v>AON</v>
          </cell>
        </row>
        <row r="1172">
          <cell r="A1172" t="str">
            <v>ON</v>
          </cell>
          <cell r="B1172" t="str">
            <v>Trong 24h</v>
          </cell>
          <cell r="D1172" t="str">
            <v>Khiếu nại về dịch vụ FTTH</v>
          </cell>
          <cell r="W1172" t="str">
            <v>Đang xử lý</v>
          </cell>
          <cell r="AJ1172" t="str">
            <v>Bắc Ninh</v>
          </cell>
          <cell r="BX1172" t="str">
            <v>AON</v>
          </cell>
        </row>
        <row r="1173">
          <cell r="A1173" t="str">
            <v>ON</v>
          </cell>
          <cell r="B1173" t="str">
            <v>Trong 24h</v>
          </cell>
          <cell r="D1173" t="str">
            <v>Khiếu nại về dịch vụ FTTH</v>
          </cell>
          <cell r="W1173" t="str">
            <v>Đã đóng</v>
          </cell>
          <cell r="AJ1173" t="str">
            <v>Bắc Giang</v>
          </cell>
          <cell r="BX1173" t="str">
            <v>AON</v>
          </cell>
        </row>
        <row r="1174">
          <cell r="A1174" t="str">
            <v>ON</v>
          </cell>
          <cell r="B1174" t="str">
            <v>Trong 24h</v>
          </cell>
          <cell r="D1174" t="str">
            <v>Khiếu nại về dịch vụ FTTH</v>
          </cell>
          <cell r="W1174" t="str">
            <v>Đang xử lý</v>
          </cell>
          <cell r="AJ1174" t="str">
            <v>Nghệ An</v>
          </cell>
          <cell r="BX1174" t="str">
            <v>AON</v>
          </cell>
        </row>
        <row r="1175">
          <cell r="A1175" t="str">
            <v>ON</v>
          </cell>
          <cell r="B1175" t="str">
            <v>Trong 24h</v>
          </cell>
          <cell r="D1175" t="str">
            <v>Khiếu nại về dịch vụ FTTH</v>
          </cell>
          <cell r="W1175" t="str">
            <v>Đang xử lý</v>
          </cell>
          <cell r="AJ1175" t="str">
            <v>Bình Định</v>
          </cell>
          <cell r="BX1175" t="str">
            <v>AON</v>
          </cell>
        </row>
        <row r="1176">
          <cell r="A1176" t="str">
            <v>ON</v>
          </cell>
          <cell r="B1176" t="str">
            <v>Trong 24h</v>
          </cell>
          <cell r="D1176" t="str">
            <v>Khiếu nại về dịch vụ FTTH</v>
          </cell>
          <cell r="W1176" t="str">
            <v>Đang xử lý</v>
          </cell>
          <cell r="AJ1176" t="str">
            <v>Nam Định</v>
          </cell>
          <cell r="BX1176" t="str">
            <v>AON</v>
          </cell>
        </row>
        <row r="1177">
          <cell r="A1177" t="str">
            <v>ON</v>
          </cell>
          <cell r="B1177" t="str">
            <v>Trong 24h</v>
          </cell>
          <cell r="D1177" t="str">
            <v>Khiếu nại về dịch vụ FTTH</v>
          </cell>
          <cell r="W1177" t="str">
            <v>Đang xử lý</v>
          </cell>
          <cell r="AJ1177" t="str">
            <v xml:space="preserve">Đắc Lắk </v>
          </cell>
          <cell r="BX1177" t="str">
            <v>AON</v>
          </cell>
        </row>
        <row r="1178">
          <cell r="A1178" t="str">
            <v>ON</v>
          </cell>
          <cell r="B1178" t="str">
            <v>Trong 24h</v>
          </cell>
          <cell r="D1178" t="str">
            <v>Khiếu nại về dịch vụ FTTH</v>
          </cell>
          <cell r="W1178" t="str">
            <v>Đã đóng</v>
          </cell>
          <cell r="AJ1178" t="str">
            <v>Thanh Hoá</v>
          </cell>
          <cell r="BX1178" t="str">
            <v>AON</v>
          </cell>
        </row>
        <row r="1179">
          <cell r="A1179" t="str">
            <v>ON</v>
          </cell>
          <cell r="B1179" t="str">
            <v>Trong 24h</v>
          </cell>
          <cell r="D1179" t="str">
            <v>Khiếu nại về dịch vụ FTTH</v>
          </cell>
          <cell r="W1179" t="str">
            <v>Đã đóng</v>
          </cell>
          <cell r="AJ1179" t="str">
            <v>Bình Thuận</v>
          </cell>
          <cell r="BX1179" t="str">
            <v>AON</v>
          </cell>
        </row>
        <row r="1180">
          <cell r="A1180" t="str">
            <v>ON</v>
          </cell>
          <cell r="B1180" t="str">
            <v>Trong 24h</v>
          </cell>
          <cell r="D1180" t="str">
            <v>Khiếu nại về dịch vụ FTTH</v>
          </cell>
          <cell r="W1180" t="str">
            <v>Đã đóng</v>
          </cell>
          <cell r="AJ1180" t="str">
            <v>Bình Dương</v>
          </cell>
          <cell r="BX1180" t="str">
            <v>AON</v>
          </cell>
        </row>
        <row r="1181">
          <cell r="A1181" t="str">
            <v>ON</v>
          </cell>
          <cell r="B1181" t="str">
            <v>Trong 24h</v>
          </cell>
          <cell r="D1181" t="str">
            <v>Khiếu nại về dịch vụ FTTH</v>
          </cell>
          <cell r="W1181" t="str">
            <v>Đang xử lý</v>
          </cell>
          <cell r="AJ1181" t="str">
            <v>Lâm Đồng</v>
          </cell>
          <cell r="BX1181" t="str">
            <v>AON</v>
          </cell>
        </row>
        <row r="1182">
          <cell r="A1182" t="str">
            <v>ON</v>
          </cell>
          <cell r="B1182" t="str">
            <v>Trong 24h</v>
          </cell>
          <cell r="D1182" t="str">
            <v>Khiếu nại về dịch vụ FTTH</v>
          </cell>
          <cell r="W1182" t="str">
            <v>Đã đóng</v>
          </cell>
          <cell r="AJ1182" t="str">
            <v>Vĩnh Phúc</v>
          </cell>
          <cell r="BX1182" t="str">
            <v>AON</v>
          </cell>
        </row>
        <row r="1183">
          <cell r="A1183" t="str">
            <v>ON</v>
          </cell>
          <cell r="B1183" t="str">
            <v>Trong 24h</v>
          </cell>
          <cell r="D1183" t="str">
            <v>Khiếu nại về dịch vụ FTTH</v>
          </cell>
          <cell r="W1183" t="str">
            <v>Đã đóng</v>
          </cell>
          <cell r="AJ1183" t="str">
            <v>Bạc Liêu</v>
          </cell>
          <cell r="BX1183" t="str">
            <v>AON</v>
          </cell>
        </row>
        <row r="1184">
          <cell r="A1184" t="str">
            <v>ON</v>
          </cell>
          <cell r="B1184" t="str">
            <v>Trong 24h</v>
          </cell>
          <cell r="D1184" t="str">
            <v>Khiếu nại về dịch vụ FTTH</v>
          </cell>
          <cell r="W1184" t="str">
            <v>Đã đóng</v>
          </cell>
          <cell r="AJ1184" t="str">
            <v>Hậu Giang</v>
          </cell>
          <cell r="BX1184" t="str">
            <v>AON</v>
          </cell>
        </row>
        <row r="1185">
          <cell r="A1185" t="str">
            <v>ON</v>
          </cell>
          <cell r="B1185" t="str">
            <v>Trong 24h</v>
          </cell>
          <cell r="D1185" t="str">
            <v>Khiếu nại về dịch vụ FTTH</v>
          </cell>
          <cell r="W1185" t="str">
            <v>Đang xử lý</v>
          </cell>
          <cell r="AJ1185" t="str">
            <v>Trà Vinh</v>
          </cell>
          <cell r="BX1185" t="str">
            <v>AON</v>
          </cell>
        </row>
        <row r="1186">
          <cell r="A1186" t="str">
            <v>ON</v>
          </cell>
          <cell r="B1186" t="str">
            <v>Trong 24h</v>
          </cell>
          <cell r="D1186" t="str">
            <v>Khiếu nại về dịch vụ FTTH</v>
          </cell>
          <cell r="W1186" t="str">
            <v>Đang xử lý</v>
          </cell>
          <cell r="AJ1186" t="str">
            <v xml:space="preserve">Đà Nẵng </v>
          </cell>
          <cell r="BX1186" t="str">
            <v>AON</v>
          </cell>
        </row>
        <row r="1187">
          <cell r="A1187" t="str">
            <v>ON</v>
          </cell>
          <cell r="B1187" t="str">
            <v>Trong 24h</v>
          </cell>
          <cell r="D1187" t="str">
            <v>Khiếu nại về dịch vụ FTTH</v>
          </cell>
          <cell r="W1187" t="str">
            <v>Đã đóng</v>
          </cell>
          <cell r="AJ1187" t="str">
            <v>Bình Thuận</v>
          </cell>
          <cell r="BX1187" t="str">
            <v>AON</v>
          </cell>
        </row>
        <row r="1188">
          <cell r="A1188" t="str">
            <v>ON</v>
          </cell>
          <cell r="B1188" t="str">
            <v>Trong 24h</v>
          </cell>
          <cell r="D1188" t="str">
            <v>Khiếu nại về dịch vụ FTTH</v>
          </cell>
          <cell r="W1188" t="str">
            <v>Đã đóng</v>
          </cell>
          <cell r="AJ1188" t="str">
            <v>Bắc Ninh</v>
          </cell>
          <cell r="BX1188" t="str">
            <v>AON</v>
          </cell>
        </row>
        <row r="1189">
          <cell r="A1189" t="str">
            <v>ON</v>
          </cell>
          <cell r="B1189" t="str">
            <v>Trong 24h</v>
          </cell>
          <cell r="D1189" t="str">
            <v>Khiếu nại về dịch vụ FTTH</v>
          </cell>
          <cell r="W1189" t="str">
            <v>Đã đóng</v>
          </cell>
          <cell r="AJ1189" t="str">
            <v>Hà Nội 1</v>
          </cell>
          <cell r="BX1189" t="str">
            <v>AON</v>
          </cell>
        </row>
        <row r="1190">
          <cell r="A1190" t="str">
            <v>ON</v>
          </cell>
          <cell r="B1190" t="str">
            <v>Trong 24h</v>
          </cell>
          <cell r="D1190" t="str">
            <v>Khiếu nại về dịch vụ FTTH</v>
          </cell>
          <cell r="W1190" t="str">
            <v>Đang xử lý</v>
          </cell>
          <cell r="AJ1190" t="str">
            <v>Bình Dương</v>
          </cell>
          <cell r="BX1190" t="str">
            <v>AON</v>
          </cell>
        </row>
        <row r="1191">
          <cell r="A1191" t="str">
            <v>ON</v>
          </cell>
          <cell r="B1191" t="str">
            <v>Trong 24h</v>
          </cell>
          <cell r="D1191" t="str">
            <v>Khiếu nại về dịch vụ FTTH</v>
          </cell>
          <cell r="W1191" t="str">
            <v>Đã đóng</v>
          </cell>
          <cell r="AJ1191" t="str">
            <v>Thanh Hoá</v>
          </cell>
          <cell r="BX1191" t="str">
            <v>AON</v>
          </cell>
        </row>
        <row r="1192">
          <cell r="A1192" t="str">
            <v>ON</v>
          </cell>
          <cell r="B1192" t="str">
            <v>Trong 24h</v>
          </cell>
          <cell r="D1192" t="str">
            <v>Khiếu nại về dịch vụ FTTH</v>
          </cell>
          <cell r="W1192" t="str">
            <v>Đang xử lý</v>
          </cell>
          <cell r="AJ1192" t="str">
            <v>Bà Rịa - Vũng Tàu</v>
          </cell>
          <cell r="BX1192" t="str">
            <v>AON</v>
          </cell>
        </row>
        <row r="1193">
          <cell r="A1193" t="str">
            <v>ON</v>
          </cell>
          <cell r="B1193" t="str">
            <v>Trong 24h</v>
          </cell>
          <cell r="D1193" t="str">
            <v>Khiếu nại về dịch vụ FTTH</v>
          </cell>
          <cell r="W1193" t="str">
            <v>Đã đóng</v>
          </cell>
          <cell r="AJ1193" t="str">
            <v>Đắc Nông</v>
          </cell>
          <cell r="BX1193" t="str">
            <v>AON</v>
          </cell>
        </row>
        <row r="1194">
          <cell r="A1194" t="str">
            <v>ON</v>
          </cell>
          <cell r="B1194" t="str">
            <v>Trong 24h</v>
          </cell>
          <cell r="D1194" t="str">
            <v>Khiếu nại về dịch vụ FTTH</v>
          </cell>
          <cell r="W1194" t="str">
            <v>Đã đóng</v>
          </cell>
          <cell r="AJ1194" t="str">
            <v>Yên Bái</v>
          </cell>
          <cell r="BX1194" t="str">
            <v>AON</v>
          </cell>
        </row>
        <row r="1195">
          <cell r="A1195" t="str">
            <v>ON</v>
          </cell>
          <cell r="B1195" t="str">
            <v>Trong 24h</v>
          </cell>
          <cell r="D1195" t="str">
            <v>Khiếu nại về dịch vụ FTTH</v>
          </cell>
          <cell r="W1195" t="str">
            <v>Đã đóng</v>
          </cell>
          <cell r="AJ1195" t="str">
            <v>Sóc Trăng</v>
          </cell>
          <cell r="BX1195" t="str">
            <v>AON</v>
          </cell>
        </row>
        <row r="1196">
          <cell r="A1196" t="str">
            <v>ON</v>
          </cell>
          <cell r="B1196" t="str">
            <v>Trong 24h</v>
          </cell>
          <cell r="D1196" t="str">
            <v>Khiếu nại về dịch vụ FTTH</v>
          </cell>
          <cell r="W1196" t="str">
            <v>Đã đóng</v>
          </cell>
          <cell r="AJ1196" t="str">
            <v>TP HCM</v>
          </cell>
          <cell r="BX1196" t="str">
            <v>AON</v>
          </cell>
        </row>
        <row r="1197">
          <cell r="A1197" t="str">
            <v>ON</v>
          </cell>
          <cell r="B1197" t="str">
            <v>Trong 24h</v>
          </cell>
          <cell r="D1197" t="str">
            <v>Khiếu nại về dịch vụ FTTH</v>
          </cell>
          <cell r="W1197" t="str">
            <v>Đã đóng</v>
          </cell>
          <cell r="AJ1197" t="str">
            <v>TP HCM</v>
          </cell>
          <cell r="BX1197" t="str">
            <v>AON</v>
          </cell>
        </row>
        <row r="1198">
          <cell r="A1198" t="str">
            <v>ON</v>
          </cell>
          <cell r="B1198" t="str">
            <v>Trong 24h</v>
          </cell>
          <cell r="D1198" t="str">
            <v>Khiếu nại về dịch vụ FTTH</v>
          </cell>
          <cell r="W1198" t="str">
            <v>Đã đóng</v>
          </cell>
          <cell r="AJ1198" t="str">
            <v xml:space="preserve">Đồng Nai </v>
          </cell>
          <cell r="BX1198" t="str">
            <v>AON</v>
          </cell>
        </row>
        <row r="1199">
          <cell r="A1199" t="str">
            <v>ON</v>
          </cell>
          <cell r="B1199" t="str">
            <v>Trong 24h</v>
          </cell>
          <cell r="D1199" t="str">
            <v>Khiếu nại về dịch vụ FTTH</v>
          </cell>
          <cell r="W1199" t="str">
            <v>Đã đóng</v>
          </cell>
          <cell r="AJ1199" t="str">
            <v>Quảng Ninh</v>
          </cell>
          <cell r="BX1199" t="str">
            <v>AON</v>
          </cell>
        </row>
        <row r="1200">
          <cell r="A1200" t="str">
            <v>ON</v>
          </cell>
          <cell r="B1200" t="str">
            <v>Trong 24h</v>
          </cell>
          <cell r="D1200" t="str">
            <v>Khiếu nại về dịch vụ FTTH</v>
          </cell>
          <cell r="W1200" t="str">
            <v>Đang xử lý</v>
          </cell>
          <cell r="AJ1200" t="str">
            <v>Hà Nội 2</v>
          </cell>
          <cell r="BX1200" t="str">
            <v>AON</v>
          </cell>
        </row>
        <row r="1201">
          <cell r="A1201" t="str">
            <v>ON</v>
          </cell>
          <cell r="B1201" t="str">
            <v>Trong 24h</v>
          </cell>
          <cell r="D1201" t="str">
            <v>Khiếu nại về dịch vụ FTTH</v>
          </cell>
          <cell r="W1201" t="str">
            <v>Đã đóng</v>
          </cell>
          <cell r="AJ1201" t="str">
            <v>TP HCM</v>
          </cell>
          <cell r="BX1201" t="str">
            <v>AON</v>
          </cell>
        </row>
        <row r="1202">
          <cell r="A1202" t="str">
            <v>ON</v>
          </cell>
          <cell r="B1202" t="str">
            <v>Trong 24h</v>
          </cell>
          <cell r="D1202" t="str">
            <v>Khiếu nại về dịch vụ FTTH</v>
          </cell>
          <cell r="W1202" t="str">
            <v>Đã đóng</v>
          </cell>
          <cell r="AJ1202" t="str">
            <v>Sơn La</v>
          </cell>
          <cell r="BX1202" t="str">
            <v>AON</v>
          </cell>
        </row>
        <row r="1203">
          <cell r="A1203" t="str">
            <v>ON</v>
          </cell>
          <cell r="B1203" t="str">
            <v>Trong 24h</v>
          </cell>
          <cell r="D1203" t="str">
            <v>Khiếu nại về dịch vụ FTTH</v>
          </cell>
          <cell r="W1203" t="str">
            <v>Đã đóng</v>
          </cell>
          <cell r="AJ1203" t="str">
            <v>TP HCM</v>
          </cell>
          <cell r="BX1203" t="str">
            <v>AON</v>
          </cell>
        </row>
        <row r="1204">
          <cell r="A1204" t="str">
            <v>ON</v>
          </cell>
          <cell r="B1204" t="str">
            <v>Trong 24h</v>
          </cell>
          <cell r="D1204" t="str">
            <v>Khiếu nại về dịch vụ FTTH</v>
          </cell>
          <cell r="W1204" t="str">
            <v>Đã đóng</v>
          </cell>
          <cell r="AJ1204" t="str">
            <v>TP HCM</v>
          </cell>
          <cell r="BX1204" t="str">
            <v>AON</v>
          </cell>
        </row>
        <row r="1205">
          <cell r="A1205" t="str">
            <v>ON</v>
          </cell>
          <cell r="B1205" t="str">
            <v>Trong 24h</v>
          </cell>
          <cell r="D1205" t="str">
            <v>Khiếu nại về dịch vụ FTTH</v>
          </cell>
          <cell r="W1205" t="str">
            <v>Đã đóng</v>
          </cell>
          <cell r="AJ1205" t="str">
            <v>TP HCM</v>
          </cell>
          <cell r="BX1205" t="str">
            <v>AON</v>
          </cell>
        </row>
        <row r="1206">
          <cell r="A1206" t="str">
            <v>ON</v>
          </cell>
          <cell r="B1206" t="str">
            <v>Trong 24h</v>
          </cell>
          <cell r="D1206" t="str">
            <v>Khiếu nại về dịch vụ FTTH</v>
          </cell>
          <cell r="W1206" t="str">
            <v>Đã đóng</v>
          </cell>
          <cell r="AJ1206" t="str">
            <v>Nam Định</v>
          </cell>
          <cell r="BX1206" t="str">
            <v>AON</v>
          </cell>
        </row>
        <row r="1207">
          <cell r="A1207" t="str">
            <v>ON</v>
          </cell>
          <cell r="B1207" t="str">
            <v>Trong 24h</v>
          </cell>
          <cell r="D1207" t="str">
            <v>Khiếu nại về dịch vụ FTTH</v>
          </cell>
          <cell r="W1207" t="str">
            <v>Đã đóng</v>
          </cell>
          <cell r="AJ1207" t="str">
            <v>Bình Phước</v>
          </cell>
          <cell r="BX1207" t="str">
            <v>AON</v>
          </cell>
        </row>
        <row r="1208">
          <cell r="A1208" t="str">
            <v>ON</v>
          </cell>
          <cell r="B1208" t="str">
            <v>Trong 24h</v>
          </cell>
          <cell r="D1208" t="str">
            <v>Khiếu nại về dịch vụ FTTH</v>
          </cell>
          <cell r="W1208" t="str">
            <v>Đã đóng</v>
          </cell>
          <cell r="AJ1208" t="str">
            <v>TP HCM</v>
          </cell>
          <cell r="BX1208" t="str">
            <v>AON</v>
          </cell>
        </row>
        <row r="1209">
          <cell r="A1209" t="str">
            <v>ON</v>
          </cell>
          <cell r="B1209" t="str">
            <v>Trong 24h</v>
          </cell>
          <cell r="D1209" t="str">
            <v>Khiếu nại về dịch vụ FTTH</v>
          </cell>
          <cell r="W1209" t="str">
            <v>Đã đóng</v>
          </cell>
          <cell r="AJ1209" t="str">
            <v>Hậu Giang</v>
          </cell>
          <cell r="BX1209" t="str">
            <v>AON</v>
          </cell>
        </row>
        <row r="1210">
          <cell r="A1210" t="str">
            <v>ON</v>
          </cell>
          <cell r="B1210" t="str">
            <v>Trong 24h</v>
          </cell>
          <cell r="D1210" t="str">
            <v>Khiếu nại về dịch vụ FTTH</v>
          </cell>
          <cell r="W1210" t="str">
            <v>Đã đóng</v>
          </cell>
          <cell r="AJ1210" t="str">
            <v>Hà Nội 2</v>
          </cell>
          <cell r="BX1210" t="str">
            <v>AON</v>
          </cell>
        </row>
        <row r="1211">
          <cell r="A1211" t="str">
            <v>ON</v>
          </cell>
          <cell r="B1211" t="str">
            <v>Trong 24h</v>
          </cell>
          <cell r="D1211" t="str">
            <v>Khiếu nại về dịch vụ FTTH</v>
          </cell>
          <cell r="W1211" t="str">
            <v>Đã đóng</v>
          </cell>
          <cell r="AJ1211" t="str">
            <v>Hà Nội 2</v>
          </cell>
          <cell r="BX1211" t="str">
            <v>AON</v>
          </cell>
        </row>
        <row r="1212">
          <cell r="A1212" t="str">
            <v>ON</v>
          </cell>
          <cell r="B1212" t="str">
            <v>Trong 24h</v>
          </cell>
          <cell r="D1212" t="str">
            <v>Khiếu nại về dịch vụ NextTV</v>
          </cell>
          <cell r="W1212" t="str">
            <v>Đã đóng</v>
          </cell>
          <cell r="AJ1212" t="str">
            <v>Long An</v>
          </cell>
          <cell r="BX1212" t="str">
            <v>AON</v>
          </cell>
        </row>
        <row r="1213">
          <cell r="A1213" t="str">
            <v>ON</v>
          </cell>
          <cell r="B1213" t="str">
            <v>Trong 24h</v>
          </cell>
          <cell r="D1213" t="str">
            <v>Khiếu nại về dịch vụ FTTH</v>
          </cell>
          <cell r="W1213" t="str">
            <v>Đã đóng</v>
          </cell>
          <cell r="AJ1213" t="str">
            <v>Hà Nội 2</v>
          </cell>
          <cell r="BX1213" t="str">
            <v>AON</v>
          </cell>
        </row>
        <row r="1214">
          <cell r="A1214" t="str">
            <v>ON</v>
          </cell>
          <cell r="B1214" t="str">
            <v>Trong 24h</v>
          </cell>
          <cell r="D1214" t="str">
            <v>Khiếu nại về dịch vụ FTTH</v>
          </cell>
          <cell r="W1214" t="str">
            <v>Đã đóng</v>
          </cell>
          <cell r="AJ1214" t="str">
            <v>Ninh Bình</v>
          </cell>
          <cell r="BX1214" t="str">
            <v>AON</v>
          </cell>
        </row>
        <row r="1215">
          <cell r="A1215" t="str">
            <v>ON</v>
          </cell>
          <cell r="B1215" t="str">
            <v>Trong 24h</v>
          </cell>
          <cell r="D1215" t="str">
            <v>Khiếu nại về dịch vụ FTTH</v>
          </cell>
          <cell r="W1215" t="str">
            <v>Đã đóng</v>
          </cell>
          <cell r="AJ1215" t="str">
            <v>Hà Nội 2</v>
          </cell>
          <cell r="BX1215" t="str">
            <v>AON</v>
          </cell>
        </row>
        <row r="1216">
          <cell r="A1216" t="str">
            <v>ON</v>
          </cell>
          <cell r="B1216" t="str">
            <v>Trong 24h</v>
          </cell>
          <cell r="D1216" t="str">
            <v>Khiếu nại về dịch vụ FTTH</v>
          </cell>
          <cell r="W1216" t="str">
            <v>Đã đóng</v>
          </cell>
          <cell r="AJ1216" t="str">
            <v>Bình Phước</v>
          </cell>
          <cell r="BX1216" t="str">
            <v>AON</v>
          </cell>
        </row>
        <row r="1217">
          <cell r="A1217" t="str">
            <v>ON</v>
          </cell>
          <cell r="B1217" t="str">
            <v>Trong 24h</v>
          </cell>
          <cell r="D1217" t="str">
            <v>Khiếu nại về dịch vụ FTTH</v>
          </cell>
          <cell r="W1217" t="str">
            <v>Đã đóng</v>
          </cell>
          <cell r="AJ1217" t="str">
            <v>TP HCM</v>
          </cell>
          <cell r="BX1217" t="str">
            <v>AON</v>
          </cell>
        </row>
        <row r="1218">
          <cell r="A1218" t="str">
            <v>ON</v>
          </cell>
          <cell r="B1218" t="str">
            <v>Trong 24h</v>
          </cell>
          <cell r="D1218" t="str">
            <v>Khiếu nại về dịch vụ FTTH</v>
          </cell>
          <cell r="W1218" t="str">
            <v>Đã đóng</v>
          </cell>
          <cell r="AJ1218" t="str">
            <v>Quảng Bình</v>
          </cell>
          <cell r="BX1218" t="str">
            <v>AON</v>
          </cell>
        </row>
        <row r="1219">
          <cell r="A1219" t="str">
            <v>ON</v>
          </cell>
          <cell r="B1219" t="str">
            <v>Trong 24h</v>
          </cell>
          <cell r="D1219" t="str">
            <v>Khiếu nại về dịch vụ FTTH</v>
          </cell>
          <cell r="W1219" t="str">
            <v>Đang xử lý</v>
          </cell>
          <cell r="AJ1219" t="str">
            <v>Hà Nội 1</v>
          </cell>
          <cell r="BX1219" t="str">
            <v>AON</v>
          </cell>
        </row>
        <row r="1220">
          <cell r="A1220" t="str">
            <v>ON</v>
          </cell>
          <cell r="B1220" t="str">
            <v>Trong 24h</v>
          </cell>
          <cell r="D1220" t="str">
            <v>Khiếu nại về dịch vụ FTTH</v>
          </cell>
          <cell r="W1220" t="str">
            <v>Đã đóng</v>
          </cell>
          <cell r="AJ1220" t="str">
            <v>Lâm Đồng</v>
          </cell>
          <cell r="BX1220" t="str">
            <v>AON</v>
          </cell>
        </row>
        <row r="1221">
          <cell r="A1221" t="str">
            <v>ON</v>
          </cell>
          <cell r="B1221" t="str">
            <v>Trong 24h</v>
          </cell>
          <cell r="D1221" t="str">
            <v>Khiếu nại về dịch vụ FTTH</v>
          </cell>
          <cell r="W1221" t="str">
            <v>Đang xử lý</v>
          </cell>
          <cell r="AJ1221" t="str">
            <v>TP HCM</v>
          </cell>
          <cell r="BX1221" t="str">
            <v>AON</v>
          </cell>
        </row>
        <row r="1222">
          <cell r="A1222" t="str">
            <v>ON</v>
          </cell>
          <cell r="B1222" t="str">
            <v>Trong 24h</v>
          </cell>
          <cell r="D1222" t="str">
            <v>Khiếu nại về dịch vụ FTTH</v>
          </cell>
          <cell r="W1222" t="str">
            <v>Đã đóng</v>
          </cell>
          <cell r="AJ1222" t="str">
            <v>TP HCM</v>
          </cell>
          <cell r="BX1222" t="str">
            <v>AON</v>
          </cell>
        </row>
        <row r="1223">
          <cell r="A1223" t="str">
            <v>ON</v>
          </cell>
          <cell r="B1223" t="str">
            <v>Trong 24h</v>
          </cell>
          <cell r="D1223" t="str">
            <v>Khiếu nại về dịch vụ FTTH</v>
          </cell>
          <cell r="W1223" t="str">
            <v>Đã đóng</v>
          </cell>
          <cell r="AJ1223" t="str">
            <v>Bà Rịa - Vũng Tàu</v>
          </cell>
          <cell r="BX1223" t="str">
            <v>AON</v>
          </cell>
        </row>
        <row r="1224">
          <cell r="A1224" t="str">
            <v>ON</v>
          </cell>
          <cell r="B1224" t="str">
            <v>Trong 24h</v>
          </cell>
          <cell r="D1224" t="str">
            <v>Khiếu nại về dịch vụ FTTH</v>
          </cell>
          <cell r="W1224" t="str">
            <v>Đã đóng</v>
          </cell>
          <cell r="AJ1224" t="str">
            <v>TP HCM</v>
          </cell>
          <cell r="BX1224" t="str">
            <v>AON</v>
          </cell>
        </row>
        <row r="1225">
          <cell r="A1225" t="str">
            <v>ON</v>
          </cell>
          <cell r="B1225" t="str">
            <v>Trong 24h</v>
          </cell>
          <cell r="D1225" t="str">
            <v>Khiếu nại về dịch vụ FTTH</v>
          </cell>
          <cell r="W1225" t="str">
            <v>Đã đóng</v>
          </cell>
          <cell r="AJ1225" t="str">
            <v>TP HCM</v>
          </cell>
          <cell r="BX1225" t="str">
            <v>AON</v>
          </cell>
        </row>
        <row r="1226">
          <cell r="A1226" t="str">
            <v>ON</v>
          </cell>
          <cell r="B1226" t="str">
            <v>Trong 24h</v>
          </cell>
          <cell r="D1226" t="str">
            <v>Khiếu nại về dịch vụ FTTH</v>
          </cell>
          <cell r="W1226" t="str">
            <v>Đã đóng</v>
          </cell>
          <cell r="AJ1226" t="str">
            <v>Sơn La</v>
          </cell>
          <cell r="BX1226" t="str">
            <v>AON</v>
          </cell>
        </row>
        <row r="1227">
          <cell r="A1227" t="str">
            <v>ON</v>
          </cell>
          <cell r="B1227" t="str">
            <v>Trong 24h</v>
          </cell>
          <cell r="D1227" t="str">
            <v>Khiếu nại về dịch vụ FTTH</v>
          </cell>
          <cell r="W1227" t="str">
            <v>Đã đóng</v>
          </cell>
          <cell r="AJ1227" t="str">
            <v>TP HCM</v>
          </cell>
          <cell r="BX1227" t="str">
            <v>AON</v>
          </cell>
        </row>
        <row r="1228">
          <cell r="A1228" t="str">
            <v>ON</v>
          </cell>
          <cell r="B1228" t="str">
            <v>Trong 24h</v>
          </cell>
          <cell r="D1228" t="str">
            <v>Khiếu nại về dịch vụ FTTH</v>
          </cell>
          <cell r="W1228" t="str">
            <v>Đã đóng</v>
          </cell>
          <cell r="AJ1228" t="str">
            <v>Long An</v>
          </cell>
          <cell r="BX1228" t="str">
            <v>AON</v>
          </cell>
        </row>
        <row r="1229">
          <cell r="A1229" t="str">
            <v>ON</v>
          </cell>
          <cell r="B1229" t="str">
            <v>Trong 24h</v>
          </cell>
          <cell r="D1229" t="str">
            <v>Khiếu nại về dịch vụ NextTV</v>
          </cell>
          <cell r="W1229" t="str">
            <v>Đã đóng</v>
          </cell>
          <cell r="AJ1229" t="str">
            <v>TP HCM</v>
          </cell>
          <cell r="BX1229" t="str">
            <v>AON</v>
          </cell>
        </row>
        <row r="1230">
          <cell r="A1230" t="str">
            <v>ON</v>
          </cell>
          <cell r="B1230" t="str">
            <v>Trong 24h</v>
          </cell>
          <cell r="D1230" t="str">
            <v>Khiếu nại về dịch vụ FTTH</v>
          </cell>
          <cell r="W1230" t="str">
            <v>Đã đóng</v>
          </cell>
          <cell r="AJ1230" t="str">
            <v>Bắc Giang</v>
          </cell>
          <cell r="BX1230" t="str">
            <v>AON</v>
          </cell>
        </row>
        <row r="1231">
          <cell r="A1231" t="str">
            <v>ON</v>
          </cell>
          <cell r="B1231" t="str">
            <v>Trong 24h</v>
          </cell>
          <cell r="D1231" t="str">
            <v>Khiếu nại về dịch vụ FTTH</v>
          </cell>
          <cell r="W1231" t="str">
            <v>Đang xử lý</v>
          </cell>
          <cell r="AJ1231" t="str">
            <v>TP HCM</v>
          </cell>
          <cell r="BX1231" t="str">
            <v>AON</v>
          </cell>
        </row>
        <row r="1232">
          <cell r="A1232" t="str">
            <v>ON</v>
          </cell>
          <cell r="B1232" t="str">
            <v>Trong 24h</v>
          </cell>
          <cell r="D1232" t="str">
            <v>Khiếu nại về dịch vụ FTTH</v>
          </cell>
          <cell r="W1232" t="str">
            <v>Đã đóng</v>
          </cell>
          <cell r="AJ1232" t="str">
            <v xml:space="preserve">Đắc Lắk </v>
          </cell>
          <cell r="BX1232" t="str">
            <v>AON</v>
          </cell>
        </row>
        <row r="1233">
          <cell r="A1233" t="str">
            <v>ON</v>
          </cell>
          <cell r="B1233" t="str">
            <v>Trong 24h</v>
          </cell>
          <cell r="D1233" t="str">
            <v>Khiếu nại về dịch vụ FTTH</v>
          </cell>
          <cell r="W1233" t="str">
            <v>Đã đóng</v>
          </cell>
          <cell r="AJ1233" t="str">
            <v>Tiền Giang</v>
          </cell>
          <cell r="BX1233" t="str">
            <v>AON</v>
          </cell>
        </row>
        <row r="1234">
          <cell r="A1234" t="str">
            <v>ON</v>
          </cell>
          <cell r="B1234" t="str">
            <v>Trong 24h</v>
          </cell>
          <cell r="D1234" t="str">
            <v>Khiếu nại về dịch vụ FTTH</v>
          </cell>
          <cell r="W1234" t="str">
            <v>Đã đóng</v>
          </cell>
          <cell r="AJ1234" t="str">
            <v>TP HCM</v>
          </cell>
          <cell r="BX1234" t="str">
            <v>AON</v>
          </cell>
        </row>
        <row r="1235">
          <cell r="A1235" t="str">
            <v>ON</v>
          </cell>
          <cell r="B1235" t="str">
            <v>Trong 24h</v>
          </cell>
          <cell r="D1235" t="str">
            <v>Khiếu nại về dịch vụ FTTH</v>
          </cell>
          <cell r="W1235" t="str">
            <v>Đã đóng</v>
          </cell>
          <cell r="AJ1235" t="str">
            <v>TP HCM</v>
          </cell>
          <cell r="BX1235" t="str">
            <v>AON</v>
          </cell>
        </row>
        <row r="1236">
          <cell r="A1236" t="str">
            <v>ON</v>
          </cell>
          <cell r="B1236" t="str">
            <v>Trong 24h</v>
          </cell>
          <cell r="D1236" t="str">
            <v>Khiếu nại về dịch vụ FTTH</v>
          </cell>
          <cell r="W1236" t="str">
            <v>Đã đóng</v>
          </cell>
          <cell r="AJ1236" t="str">
            <v>TP HCM</v>
          </cell>
          <cell r="BX1236" t="str">
            <v>AON</v>
          </cell>
        </row>
        <row r="1237">
          <cell r="A1237" t="str">
            <v>ON</v>
          </cell>
          <cell r="B1237" t="str">
            <v>Trong 24h</v>
          </cell>
          <cell r="D1237" t="str">
            <v>Khiếu nại về dịch vụ FTTH</v>
          </cell>
          <cell r="W1237" t="str">
            <v>Đã đóng</v>
          </cell>
          <cell r="AJ1237" t="str">
            <v>Thái Bình</v>
          </cell>
          <cell r="BX1237" t="str">
            <v>AON</v>
          </cell>
        </row>
        <row r="1238">
          <cell r="A1238" t="str">
            <v>ON</v>
          </cell>
          <cell r="B1238" t="str">
            <v>Trong 24h</v>
          </cell>
          <cell r="D1238" t="str">
            <v>Khiếu nại về dịch vụ FTTH</v>
          </cell>
          <cell r="W1238" t="str">
            <v>Đã đóng</v>
          </cell>
          <cell r="AJ1238" t="str">
            <v>Thái Nguyên</v>
          </cell>
          <cell r="BX1238" t="str">
            <v>AON</v>
          </cell>
        </row>
        <row r="1239">
          <cell r="A1239" t="str">
            <v>ON</v>
          </cell>
          <cell r="B1239" t="str">
            <v>Trong 24h</v>
          </cell>
          <cell r="D1239" t="str">
            <v>Khiếu nại về dịch vụ FTTH</v>
          </cell>
          <cell r="W1239" t="str">
            <v>Đã đóng</v>
          </cell>
          <cell r="AJ1239" t="str">
            <v xml:space="preserve">Đồng Nai </v>
          </cell>
          <cell r="BX1239" t="str">
            <v>AON</v>
          </cell>
        </row>
        <row r="1240">
          <cell r="A1240" t="str">
            <v>ON</v>
          </cell>
          <cell r="B1240" t="str">
            <v>Trong 24h</v>
          </cell>
          <cell r="D1240" t="str">
            <v>Khiếu nại về dịch vụ FTTH</v>
          </cell>
          <cell r="W1240" t="str">
            <v>Đã đóng</v>
          </cell>
          <cell r="AJ1240" t="str">
            <v>TP HCM</v>
          </cell>
          <cell r="BX1240" t="str">
            <v>AON</v>
          </cell>
        </row>
        <row r="1241">
          <cell r="A1241" t="str">
            <v>ON</v>
          </cell>
          <cell r="B1241" t="str">
            <v>Trong 24h</v>
          </cell>
          <cell r="D1241" t="str">
            <v>Khiếu nại về dịch vụ FTTH</v>
          </cell>
          <cell r="W1241" t="str">
            <v>Đang xử lý</v>
          </cell>
          <cell r="AJ1241" t="str">
            <v>TP HCM</v>
          </cell>
          <cell r="BX1241" t="str">
            <v>AON</v>
          </cell>
        </row>
        <row r="1242">
          <cell r="A1242" t="str">
            <v>ON</v>
          </cell>
          <cell r="B1242" t="str">
            <v>Trong 24h</v>
          </cell>
          <cell r="D1242" t="str">
            <v>Khiếu nại về dịch vụ FTTH</v>
          </cell>
          <cell r="W1242" t="str">
            <v>Đang xử lý</v>
          </cell>
          <cell r="AJ1242" t="str">
            <v>TP HCM</v>
          </cell>
          <cell r="BX1242" t="str">
            <v>GPON</v>
          </cell>
        </row>
        <row r="1243">
          <cell r="A1243" t="str">
            <v>ON</v>
          </cell>
          <cell r="B1243" t="str">
            <v>Trong 24h</v>
          </cell>
          <cell r="D1243" t="str">
            <v>Khiếu nại về dịch vụ FTTH</v>
          </cell>
          <cell r="W1243" t="str">
            <v>Đã đóng</v>
          </cell>
          <cell r="AJ1243" t="str">
            <v>Ninh Bình</v>
          </cell>
          <cell r="BX1243" t="str">
            <v>AON</v>
          </cell>
        </row>
        <row r="1244">
          <cell r="A1244" t="str">
            <v>ON</v>
          </cell>
          <cell r="B1244" t="str">
            <v>Trong 24h</v>
          </cell>
          <cell r="D1244" t="str">
            <v>Khiếu nại về dịch vụ FTTH</v>
          </cell>
          <cell r="W1244" t="str">
            <v>Đã đóng</v>
          </cell>
          <cell r="AJ1244" t="str">
            <v>Hà Nội 2</v>
          </cell>
          <cell r="BX1244" t="str">
            <v>AON</v>
          </cell>
        </row>
        <row r="1245">
          <cell r="A1245" t="str">
            <v>ON</v>
          </cell>
          <cell r="B1245" t="str">
            <v>Trong 24h</v>
          </cell>
          <cell r="D1245" t="str">
            <v>Khiếu nại về dịch vụ FTTH</v>
          </cell>
          <cell r="W1245" t="str">
            <v>Đang xử lý</v>
          </cell>
          <cell r="AJ1245" t="str">
            <v>Thái Nguyên</v>
          </cell>
          <cell r="BX1245" t="str">
            <v>AON</v>
          </cell>
        </row>
        <row r="1246">
          <cell r="A1246" t="str">
            <v>ON</v>
          </cell>
          <cell r="B1246" t="str">
            <v>Trong 24h</v>
          </cell>
          <cell r="D1246" t="str">
            <v>Khiếu nại về dịch vụ FTTH</v>
          </cell>
          <cell r="W1246" t="str">
            <v>Đã đóng</v>
          </cell>
          <cell r="AJ1246" t="str">
            <v>Thừa Thiên Huế</v>
          </cell>
          <cell r="BX1246" t="str">
            <v>AON</v>
          </cell>
        </row>
        <row r="1247">
          <cell r="A1247" t="str">
            <v>ON</v>
          </cell>
          <cell r="B1247" t="str">
            <v>Trong 24h</v>
          </cell>
          <cell r="D1247" t="str">
            <v>Khiếu nại về dịch vụ FTTH</v>
          </cell>
          <cell r="W1247" t="str">
            <v>Đã đóng</v>
          </cell>
          <cell r="AJ1247" t="str">
            <v>TP HCM</v>
          </cell>
          <cell r="BX1247" t="str">
            <v>AON</v>
          </cell>
        </row>
        <row r="1248">
          <cell r="A1248" t="str">
            <v>ON</v>
          </cell>
          <cell r="B1248" t="str">
            <v>Trong 24h</v>
          </cell>
          <cell r="D1248" t="str">
            <v>Khiếu nại về dịch vụ FTTH</v>
          </cell>
          <cell r="W1248" t="str">
            <v>Đã đóng</v>
          </cell>
          <cell r="AJ1248" t="str">
            <v>Thái Nguyên</v>
          </cell>
          <cell r="BX1248" t="str">
            <v>AON</v>
          </cell>
        </row>
        <row r="1249">
          <cell r="A1249" t="str">
            <v>ON</v>
          </cell>
          <cell r="B1249" t="str">
            <v>Trong 24h</v>
          </cell>
          <cell r="D1249" t="str">
            <v>Khiếu nại về dịch vụ FTTH</v>
          </cell>
          <cell r="W1249" t="str">
            <v>Đã đóng</v>
          </cell>
          <cell r="AJ1249" t="str">
            <v>TP HCM</v>
          </cell>
          <cell r="BX1249" t="str">
            <v>AON</v>
          </cell>
        </row>
        <row r="1250">
          <cell r="A1250" t="str">
            <v>ON</v>
          </cell>
          <cell r="B1250" t="str">
            <v>Trong 24h</v>
          </cell>
          <cell r="D1250" t="str">
            <v>Khiếu nại về dịch vụ FTTH</v>
          </cell>
          <cell r="W1250" t="str">
            <v>Đang xử lý</v>
          </cell>
          <cell r="AJ1250" t="str">
            <v>Bình Dương</v>
          </cell>
          <cell r="BX1250" t="str">
            <v>AON</v>
          </cell>
        </row>
        <row r="1251">
          <cell r="A1251" t="str">
            <v>ON</v>
          </cell>
          <cell r="B1251" t="str">
            <v>Trong 24h</v>
          </cell>
          <cell r="D1251" t="str">
            <v>Khiếu nại về dịch vụ FTTH</v>
          </cell>
          <cell r="W1251" t="str">
            <v>Đã đóng</v>
          </cell>
          <cell r="AJ1251" t="str">
            <v>Hậu Giang</v>
          </cell>
          <cell r="BX1251" t="str">
            <v>AON</v>
          </cell>
        </row>
        <row r="1252">
          <cell r="A1252" t="str">
            <v>ON</v>
          </cell>
          <cell r="B1252" t="str">
            <v>Trong 24h</v>
          </cell>
          <cell r="D1252" t="str">
            <v>Khiếu nại về dịch vụ FTTH</v>
          </cell>
          <cell r="W1252" t="str">
            <v>Đã đóng</v>
          </cell>
          <cell r="AJ1252" t="str">
            <v>Tiền Giang</v>
          </cell>
          <cell r="BX1252" t="str">
            <v>AON</v>
          </cell>
        </row>
        <row r="1253">
          <cell r="A1253" t="str">
            <v>ON</v>
          </cell>
          <cell r="B1253" t="str">
            <v>Trong 24h</v>
          </cell>
          <cell r="D1253" t="str">
            <v>Khiếu nại về dịch vụ FTTH</v>
          </cell>
          <cell r="W1253" t="str">
            <v>Đã đóng</v>
          </cell>
          <cell r="AJ1253" t="str">
            <v>Ninh Bình</v>
          </cell>
          <cell r="BX1253" t="str">
            <v>AON</v>
          </cell>
        </row>
        <row r="1254">
          <cell r="A1254" t="str">
            <v>ON</v>
          </cell>
          <cell r="B1254" t="str">
            <v>Trong 24h</v>
          </cell>
          <cell r="D1254" t="str">
            <v>Khiếu nại về dịch vụ FTTH</v>
          </cell>
          <cell r="W1254" t="str">
            <v>Đã đóng</v>
          </cell>
          <cell r="AJ1254" t="str">
            <v>TP HCM</v>
          </cell>
          <cell r="BX1254" t="str">
            <v>AON</v>
          </cell>
        </row>
        <row r="1255">
          <cell r="A1255" t="str">
            <v>ON</v>
          </cell>
          <cell r="B1255" t="str">
            <v>Trong 24h</v>
          </cell>
          <cell r="D1255" t="str">
            <v>Khiếu nại về dịch vụ FTTH</v>
          </cell>
          <cell r="W1255" t="str">
            <v>Đã đóng</v>
          </cell>
          <cell r="AJ1255" t="str">
            <v>TP HCM</v>
          </cell>
          <cell r="BX1255" t="str">
            <v>AON</v>
          </cell>
        </row>
        <row r="1256">
          <cell r="A1256" t="str">
            <v>ON</v>
          </cell>
          <cell r="B1256" t="str">
            <v>Trong 24h</v>
          </cell>
          <cell r="D1256" t="str">
            <v>Khiếu nại về dịch vụ FTTH</v>
          </cell>
          <cell r="W1256" t="str">
            <v>Đang xử lý</v>
          </cell>
          <cell r="AJ1256" t="str">
            <v>Hà Nội 1</v>
          </cell>
          <cell r="BX1256" t="str">
            <v>AON</v>
          </cell>
        </row>
        <row r="1257">
          <cell r="A1257" t="str">
            <v>ON</v>
          </cell>
          <cell r="B1257" t="str">
            <v>Trong 24h</v>
          </cell>
          <cell r="D1257" t="str">
            <v>Khiếu nại về dịch vụ FTTH</v>
          </cell>
          <cell r="W1257" t="str">
            <v>Đã đóng</v>
          </cell>
          <cell r="AJ1257" t="str">
            <v>Hà Nội 2</v>
          </cell>
          <cell r="BX1257" t="str">
            <v>AON</v>
          </cell>
        </row>
        <row r="1258">
          <cell r="A1258" t="str">
            <v>ON</v>
          </cell>
          <cell r="B1258" t="str">
            <v>Trong 24h</v>
          </cell>
          <cell r="D1258" t="str">
            <v>Khiếu nại về dịch vụ FTTH</v>
          </cell>
          <cell r="W1258" t="str">
            <v>Đã đóng</v>
          </cell>
          <cell r="AJ1258" t="str">
            <v>Hậu Giang</v>
          </cell>
          <cell r="BX1258" t="str">
            <v>AON</v>
          </cell>
        </row>
        <row r="1259">
          <cell r="A1259" t="str">
            <v>ON</v>
          </cell>
          <cell r="B1259" t="str">
            <v>Trong 24h</v>
          </cell>
          <cell r="D1259" t="str">
            <v>Khiếu nại về dịch vụ FTTH</v>
          </cell>
          <cell r="W1259" t="str">
            <v>Đã đóng</v>
          </cell>
          <cell r="AJ1259" t="str">
            <v>Hà Nội 2</v>
          </cell>
          <cell r="BX1259" t="str">
            <v>AON</v>
          </cell>
        </row>
        <row r="1260">
          <cell r="A1260" t="str">
            <v>ON</v>
          </cell>
          <cell r="B1260" t="str">
            <v>Trong 24h</v>
          </cell>
          <cell r="D1260" t="str">
            <v>Khiếu nại về dịch vụ NextTV</v>
          </cell>
          <cell r="W1260" t="str">
            <v>Đã đóng</v>
          </cell>
          <cell r="AJ1260" t="str">
            <v>TP HCM</v>
          </cell>
          <cell r="BX1260" t="str">
            <v>AON</v>
          </cell>
        </row>
        <row r="1261">
          <cell r="A1261" t="str">
            <v>ON</v>
          </cell>
          <cell r="B1261" t="str">
            <v>Trong 24h</v>
          </cell>
          <cell r="D1261" t="str">
            <v>Khiếu nại về dịch vụ FTTH</v>
          </cell>
          <cell r="W1261" t="str">
            <v>Đã đóng</v>
          </cell>
          <cell r="AJ1261" t="str">
            <v>Nghệ An</v>
          </cell>
          <cell r="BX1261" t="str">
            <v>AON</v>
          </cell>
        </row>
        <row r="1262">
          <cell r="A1262" t="str">
            <v>ON</v>
          </cell>
          <cell r="B1262" t="str">
            <v>Trong 24h</v>
          </cell>
          <cell r="D1262" t="str">
            <v>Khiếu nại về dịch vụ FTTH</v>
          </cell>
          <cell r="W1262" t="str">
            <v>Đang xử lý</v>
          </cell>
          <cell r="AJ1262" t="str">
            <v>Quảng Trị</v>
          </cell>
          <cell r="BX1262" t="str">
            <v>AON</v>
          </cell>
        </row>
        <row r="1263">
          <cell r="A1263" t="str">
            <v>ON</v>
          </cell>
          <cell r="B1263" t="str">
            <v>Trong 24h</v>
          </cell>
          <cell r="D1263" t="str">
            <v>Khiếu nại về dịch vụ FTTH</v>
          </cell>
          <cell r="W1263" t="str">
            <v>Đã đóng</v>
          </cell>
          <cell r="AJ1263" t="str">
            <v>Hà Nội 1</v>
          </cell>
          <cell r="BX1263" t="str">
            <v>AON</v>
          </cell>
        </row>
        <row r="1264">
          <cell r="A1264" t="str">
            <v>ON</v>
          </cell>
          <cell r="B1264" t="str">
            <v>Trong 24h</v>
          </cell>
          <cell r="D1264" t="str">
            <v>Khiếu nại về dịch vụ FTTH</v>
          </cell>
          <cell r="W1264" t="str">
            <v>Đã đóng</v>
          </cell>
          <cell r="AJ1264" t="str">
            <v>Hậu Giang</v>
          </cell>
          <cell r="BX1264" t="str">
            <v>AON</v>
          </cell>
        </row>
        <row r="1265">
          <cell r="A1265" t="str">
            <v>ON</v>
          </cell>
          <cell r="B1265" t="str">
            <v>Trong 24h</v>
          </cell>
          <cell r="D1265" t="str">
            <v>Khiếu nại về dịch vụ FTTH</v>
          </cell>
          <cell r="W1265" t="str">
            <v>Đã đóng</v>
          </cell>
          <cell r="AJ1265" t="str">
            <v>Vĩnh Long</v>
          </cell>
          <cell r="BX1265" t="str">
            <v>AON</v>
          </cell>
        </row>
        <row r="1266">
          <cell r="A1266" t="str">
            <v>ON</v>
          </cell>
          <cell r="B1266" t="str">
            <v>Trong 24h</v>
          </cell>
          <cell r="D1266" t="str">
            <v>Khiếu nại về dịch vụ FTTH</v>
          </cell>
          <cell r="W1266" t="str">
            <v>Đã đóng</v>
          </cell>
          <cell r="AJ1266" t="str">
            <v>TP HCM</v>
          </cell>
          <cell r="BX1266" t="str">
            <v>AON</v>
          </cell>
        </row>
        <row r="1267">
          <cell r="A1267" t="str">
            <v>ON</v>
          </cell>
          <cell r="B1267" t="str">
            <v>Trong 24h</v>
          </cell>
          <cell r="D1267" t="str">
            <v>Khiếu nại về dịch vụ NextTV</v>
          </cell>
          <cell r="W1267" t="str">
            <v>Đã đóng</v>
          </cell>
          <cell r="AJ1267" t="str">
            <v>Hậu Giang</v>
          </cell>
          <cell r="BX1267" t="str">
            <v>AON</v>
          </cell>
        </row>
        <row r="1268">
          <cell r="A1268" t="str">
            <v>ON</v>
          </cell>
          <cell r="B1268" t="str">
            <v>Trong 24h</v>
          </cell>
          <cell r="D1268" t="str">
            <v>Khiếu nại về dịch vụ NextTV</v>
          </cell>
          <cell r="W1268" t="str">
            <v>Đã đóng</v>
          </cell>
          <cell r="AJ1268" t="str">
            <v xml:space="preserve">Đồng Nai </v>
          </cell>
          <cell r="BX1268" t="str">
            <v>AON</v>
          </cell>
        </row>
        <row r="1269">
          <cell r="A1269" t="str">
            <v>ON</v>
          </cell>
          <cell r="B1269" t="str">
            <v>Trong 24h</v>
          </cell>
          <cell r="D1269" t="str">
            <v>Khiếu nại về dịch vụ NextTV</v>
          </cell>
          <cell r="W1269" t="str">
            <v>Đã đóng</v>
          </cell>
          <cell r="AJ1269" t="str">
            <v>Thanh Hoá</v>
          </cell>
          <cell r="BX1269" t="str">
            <v>AON</v>
          </cell>
        </row>
        <row r="1270">
          <cell r="A1270" t="str">
            <v>ON</v>
          </cell>
          <cell r="B1270" t="str">
            <v>Trong 24h</v>
          </cell>
          <cell r="D1270" t="str">
            <v>Khiếu nại về dịch vụ FTTH</v>
          </cell>
          <cell r="W1270" t="str">
            <v>Đã đóng</v>
          </cell>
          <cell r="AJ1270" t="str">
            <v>TP HCM</v>
          </cell>
          <cell r="BX1270" t="str">
            <v>AON</v>
          </cell>
        </row>
        <row r="1271">
          <cell r="A1271" t="str">
            <v>ON</v>
          </cell>
          <cell r="B1271" t="str">
            <v>Trong 24h</v>
          </cell>
          <cell r="D1271" t="str">
            <v>Khiếu nại về dịch vụ NextTV</v>
          </cell>
          <cell r="W1271" t="str">
            <v>Đang xử lý</v>
          </cell>
          <cell r="AJ1271" t="str">
            <v>TP HCM</v>
          </cell>
          <cell r="BX1271" t="str">
            <v>AON</v>
          </cell>
        </row>
        <row r="1272">
          <cell r="A1272" t="str">
            <v>ON</v>
          </cell>
          <cell r="B1272" t="str">
            <v>Trong 24h</v>
          </cell>
          <cell r="D1272" t="str">
            <v>Khiếu nại về dịch vụ FTTH</v>
          </cell>
          <cell r="W1272" t="str">
            <v>Đã đóng</v>
          </cell>
          <cell r="AJ1272" t="str">
            <v>TP HCM</v>
          </cell>
          <cell r="BX1272" t="str">
            <v>AON</v>
          </cell>
        </row>
        <row r="1273">
          <cell r="A1273" t="str">
            <v>ON</v>
          </cell>
          <cell r="B1273" t="str">
            <v>Trong 24h</v>
          </cell>
          <cell r="D1273" t="str">
            <v>Khiếu nại về dịch vụ NextTV</v>
          </cell>
          <cell r="W1273" t="str">
            <v>Đang xử lý</v>
          </cell>
          <cell r="AJ1273" t="str">
            <v>TP HCM</v>
          </cell>
          <cell r="BX1273" t="str">
            <v>AON</v>
          </cell>
        </row>
        <row r="1274">
          <cell r="A1274" t="str">
            <v>ON</v>
          </cell>
          <cell r="B1274" t="str">
            <v>Trong 24h</v>
          </cell>
          <cell r="D1274" t="str">
            <v>Khiếu nại về dịch vụ FTTH</v>
          </cell>
          <cell r="W1274" t="str">
            <v>Đã đóng</v>
          </cell>
          <cell r="AJ1274" t="str">
            <v xml:space="preserve">Đồng Nai </v>
          </cell>
          <cell r="BX1274" t="str">
            <v>AON</v>
          </cell>
        </row>
        <row r="1275">
          <cell r="A1275" t="str">
            <v>ON</v>
          </cell>
          <cell r="B1275" t="str">
            <v>Trong 24h</v>
          </cell>
          <cell r="D1275" t="str">
            <v>Khiếu nại về dịch vụ FTTH</v>
          </cell>
          <cell r="W1275" t="str">
            <v>Đã đóng</v>
          </cell>
          <cell r="AJ1275" t="str">
            <v>TP HCM</v>
          </cell>
          <cell r="BX1275" t="str">
            <v>AON</v>
          </cell>
        </row>
        <row r="1276">
          <cell r="A1276" t="str">
            <v>ON</v>
          </cell>
          <cell r="B1276" t="str">
            <v>Trong 24h</v>
          </cell>
          <cell r="D1276" t="str">
            <v>Khiếu nại về dịch vụ FTTH</v>
          </cell>
          <cell r="W1276" t="str">
            <v>Đang xử lý</v>
          </cell>
          <cell r="AJ1276" t="str">
            <v>Quảng Ninh</v>
          </cell>
          <cell r="BX1276" t="str">
            <v>AON</v>
          </cell>
        </row>
        <row r="1277">
          <cell r="A1277" t="str">
            <v>ON</v>
          </cell>
          <cell r="B1277" t="str">
            <v>Trong 24h</v>
          </cell>
          <cell r="D1277" t="str">
            <v>Khiếu nại về dịch vụ FTTH</v>
          </cell>
          <cell r="W1277" t="str">
            <v>Đang xử lý</v>
          </cell>
          <cell r="AJ1277" t="str">
            <v>Nghệ An</v>
          </cell>
          <cell r="BX1277" t="str">
            <v>AON</v>
          </cell>
        </row>
        <row r="1278">
          <cell r="A1278" t="str">
            <v>ON</v>
          </cell>
          <cell r="B1278" t="str">
            <v>Trong 24h</v>
          </cell>
          <cell r="D1278" t="str">
            <v>Khiếu nại về dịch vụ FTTH</v>
          </cell>
          <cell r="W1278" t="str">
            <v>Đã đóng</v>
          </cell>
          <cell r="AJ1278" t="str">
            <v>Hà Nội 1</v>
          </cell>
          <cell r="BX1278" t="str">
            <v>AON</v>
          </cell>
        </row>
        <row r="1279">
          <cell r="A1279" t="str">
            <v>ON</v>
          </cell>
          <cell r="B1279" t="str">
            <v>Trong 24h</v>
          </cell>
          <cell r="D1279" t="str">
            <v>Khiếu nại về dịch vụ FTTH</v>
          </cell>
          <cell r="W1279" t="str">
            <v>Đang xử lý</v>
          </cell>
          <cell r="AJ1279" t="str">
            <v>TP HCM</v>
          </cell>
          <cell r="BX1279" t="str">
            <v>AON</v>
          </cell>
        </row>
        <row r="1280">
          <cell r="A1280" t="str">
            <v>ON</v>
          </cell>
          <cell r="B1280" t="str">
            <v>Trong 24h</v>
          </cell>
          <cell r="D1280" t="str">
            <v>Khiếu nại về dịch vụ FTTH</v>
          </cell>
          <cell r="W1280" t="str">
            <v>Đã đóng</v>
          </cell>
          <cell r="AJ1280" t="str">
            <v>Ninh Bình</v>
          </cell>
          <cell r="BX1280" t="str">
            <v>AON</v>
          </cell>
        </row>
        <row r="1281">
          <cell r="A1281" t="str">
            <v>ON</v>
          </cell>
          <cell r="B1281" t="str">
            <v>Trong 24h</v>
          </cell>
          <cell r="D1281" t="str">
            <v>Khiếu nại về dịch vụ FTTH</v>
          </cell>
          <cell r="W1281" t="str">
            <v>Đã đóng</v>
          </cell>
          <cell r="AJ1281" t="str">
            <v xml:space="preserve">Đồng Nai </v>
          </cell>
          <cell r="BX1281" t="str">
            <v>AON</v>
          </cell>
        </row>
        <row r="1282">
          <cell r="A1282" t="str">
            <v>ON</v>
          </cell>
          <cell r="B1282" t="str">
            <v>Trong 24h</v>
          </cell>
          <cell r="D1282" t="str">
            <v>Khiếu nại về dịch vụ FTTH</v>
          </cell>
          <cell r="W1282" t="str">
            <v>Đã đóng</v>
          </cell>
          <cell r="AJ1282" t="str">
            <v>Hà Nội 1</v>
          </cell>
          <cell r="BX1282" t="str">
            <v>AON</v>
          </cell>
        </row>
        <row r="1283">
          <cell r="A1283" t="str">
            <v>ON</v>
          </cell>
          <cell r="B1283" t="str">
            <v>Trong 24h</v>
          </cell>
          <cell r="D1283" t="str">
            <v>Khiếu nại về dịch vụ FTTH</v>
          </cell>
          <cell r="W1283" t="str">
            <v>Đang xử lý</v>
          </cell>
          <cell r="AJ1283" t="str">
            <v>Hải Phòng</v>
          </cell>
          <cell r="BX1283" t="str">
            <v>AON</v>
          </cell>
        </row>
        <row r="1284">
          <cell r="A1284" t="str">
            <v>ON</v>
          </cell>
          <cell r="B1284" t="str">
            <v>Trong 24h</v>
          </cell>
          <cell r="D1284" t="str">
            <v>Khiếu nại về dịch vụ FTTH</v>
          </cell>
          <cell r="W1284" t="str">
            <v>Đang xử lý</v>
          </cell>
          <cell r="AJ1284" t="str">
            <v>TP HCM</v>
          </cell>
          <cell r="BX1284" t="str">
            <v>AON</v>
          </cell>
        </row>
        <row r="1285">
          <cell r="A1285" t="str">
            <v>ON</v>
          </cell>
          <cell r="B1285" t="str">
            <v>Trong 24h</v>
          </cell>
          <cell r="D1285" t="str">
            <v>Khiếu nại về dịch vụ FTTH</v>
          </cell>
          <cell r="W1285" t="str">
            <v>Đã đóng</v>
          </cell>
          <cell r="AJ1285" t="str">
            <v>Hậu Giang</v>
          </cell>
          <cell r="BX1285" t="str">
            <v>AON</v>
          </cell>
        </row>
        <row r="1286">
          <cell r="A1286" t="str">
            <v>ON</v>
          </cell>
          <cell r="B1286" t="str">
            <v>Trong 24h</v>
          </cell>
          <cell r="D1286" t="str">
            <v>Khiếu nại về dịch vụ NextTV</v>
          </cell>
          <cell r="W1286" t="str">
            <v>Đã đóng</v>
          </cell>
          <cell r="AJ1286" t="str">
            <v>TP HCM</v>
          </cell>
          <cell r="BX1286" t="str">
            <v>AON</v>
          </cell>
        </row>
        <row r="1287">
          <cell r="A1287" t="str">
            <v>ON</v>
          </cell>
          <cell r="B1287" t="str">
            <v>Trong 24h</v>
          </cell>
          <cell r="D1287" t="str">
            <v>Khiếu nại về dịch vụ FTTH</v>
          </cell>
          <cell r="W1287" t="str">
            <v>Đã đóng</v>
          </cell>
          <cell r="AJ1287" t="str">
            <v xml:space="preserve">Đồng Nai </v>
          </cell>
          <cell r="BX1287" t="str">
            <v>AON</v>
          </cell>
        </row>
        <row r="1288">
          <cell r="A1288" t="str">
            <v>ON</v>
          </cell>
          <cell r="B1288" t="str">
            <v>Trong 24h</v>
          </cell>
          <cell r="D1288" t="str">
            <v>Khiếu nại về dịch vụ FTTH</v>
          </cell>
          <cell r="W1288" t="str">
            <v>Đã đóng</v>
          </cell>
          <cell r="AJ1288" t="str">
            <v>Hậu Giang</v>
          </cell>
          <cell r="BX1288" t="str">
            <v>AON</v>
          </cell>
        </row>
        <row r="1289">
          <cell r="A1289" t="str">
            <v>ON</v>
          </cell>
          <cell r="B1289" t="str">
            <v>Trong 24h</v>
          </cell>
          <cell r="D1289" t="str">
            <v>Khiếu nại về dịch vụ FTTH</v>
          </cell>
          <cell r="W1289" t="str">
            <v>Đã đóng</v>
          </cell>
          <cell r="AJ1289" t="str">
            <v>TP HCM</v>
          </cell>
          <cell r="BX1289" t="str">
            <v>AON</v>
          </cell>
        </row>
        <row r="1290">
          <cell r="A1290" t="str">
            <v>ON</v>
          </cell>
          <cell r="B1290" t="str">
            <v>Trong 24h</v>
          </cell>
          <cell r="D1290" t="str">
            <v>Khiếu nại về dịch vụ FTTH</v>
          </cell>
          <cell r="W1290" t="str">
            <v>Đang xử lý</v>
          </cell>
          <cell r="AJ1290" t="str">
            <v>Bình Dương</v>
          </cell>
          <cell r="BX1290" t="str">
            <v>AON</v>
          </cell>
        </row>
        <row r="1291">
          <cell r="A1291" t="str">
            <v>ON</v>
          </cell>
          <cell r="B1291" t="str">
            <v>Trong 24h</v>
          </cell>
          <cell r="D1291" t="str">
            <v>Khiếu nại về dịch vụ FTTH</v>
          </cell>
          <cell r="W1291" t="str">
            <v>Đang xử lý</v>
          </cell>
          <cell r="AJ1291" t="str">
            <v>Tuyên Quang</v>
          </cell>
          <cell r="BX1291" t="str">
            <v>AON</v>
          </cell>
        </row>
        <row r="1292">
          <cell r="A1292" t="str">
            <v>ON</v>
          </cell>
          <cell r="B1292" t="str">
            <v>Trong 24h</v>
          </cell>
          <cell r="D1292" t="str">
            <v>Khiếu nại về dịch vụ FTTH</v>
          </cell>
          <cell r="W1292" t="str">
            <v>Đang xử lý</v>
          </cell>
          <cell r="AJ1292" t="str">
            <v>Nghệ An</v>
          </cell>
          <cell r="BX1292" t="str">
            <v>AON</v>
          </cell>
        </row>
        <row r="1293">
          <cell r="A1293" t="str">
            <v>ON</v>
          </cell>
          <cell r="B1293" t="str">
            <v>Trong 24h</v>
          </cell>
          <cell r="D1293" t="str">
            <v>Khiếu nại về dịch vụ FTTH</v>
          </cell>
          <cell r="W1293" t="str">
            <v>Đã đóng</v>
          </cell>
          <cell r="AJ1293" t="str">
            <v>TP HCM</v>
          </cell>
          <cell r="BX1293" t="str">
            <v>AON</v>
          </cell>
        </row>
        <row r="1294">
          <cell r="A1294" t="str">
            <v>ON</v>
          </cell>
          <cell r="B1294" t="str">
            <v>Trong 24h</v>
          </cell>
          <cell r="D1294" t="str">
            <v>Khiếu nại về dịch vụ FTTH</v>
          </cell>
          <cell r="W1294" t="str">
            <v>Đã đóng</v>
          </cell>
          <cell r="AJ1294" t="str">
            <v>Bắc Ninh</v>
          </cell>
          <cell r="BX1294" t="str">
            <v>AON</v>
          </cell>
        </row>
        <row r="1295">
          <cell r="A1295" t="str">
            <v>ON</v>
          </cell>
          <cell r="B1295" t="str">
            <v>Trong 24h</v>
          </cell>
          <cell r="D1295" t="str">
            <v>Khiếu nại về dịch vụ FTTH</v>
          </cell>
          <cell r="W1295" t="str">
            <v>Đã đóng</v>
          </cell>
          <cell r="AJ1295" t="str">
            <v>Bắc Giang</v>
          </cell>
          <cell r="BX1295" t="str">
            <v>AON</v>
          </cell>
        </row>
        <row r="1296">
          <cell r="A1296" t="str">
            <v>ON</v>
          </cell>
          <cell r="B1296" t="str">
            <v>Trong 24h</v>
          </cell>
          <cell r="D1296" t="str">
            <v>Khiếu nại về dịch vụ FTTH</v>
          </cell>
          <cell r="W1296" t="str">
            <v>Đã đóng</v>
          </cell>
          <cell r="AJ1296" t="str">
            <v>TP HCM</v>
          </cell>
          <cell r="BX1296" t="str">
            <v>AON</v>
          </cell>
        </row>
        <row r="1297">
          <cell r="A1297" t="str">
            <v>ON</v>
          </cell>
          <cell r="B1297" t="str">
            <v>Trong 24h</v>
          </cell>
          <cell r="D1297" t="str">
            <v>Khiếu nại về dịch vụ FTTH</v>
          </cell>
          <cell r="W1297" t="str">
            <v>Đã đóng</v>
          </cell>
          <cell r="AJ1297" t="str">
            <v>Thái Bình</v>
          </cell>
          <cell r="BX1297" t="str">
            <v>AON</v>
          </cell>
        </row>
        <row r="1298">
          <cell r="A1298" t="str">
            <v>ON</v>
          </cell>
          <cell r="B1298" t="str">
            <v>Trong 24h</v>
          </cell>
          <cell r="D1298" t="str">
            <v>Khiếu nại về dịch vụ FTTH</v>
          </cell>
          <cell r="W1298" t="str">
            <v>Đã đóng</v>
          </cell>
          <cell r="AJ1298" t="str">
            <v>TP HCM</v>
          </cell>
          <cell r="BX1298" t="str">
            <v>AON</v>
          </cell>
        </row>
        <row r="1299">
          <cell r="A1299" t="str">
            <v>ON</v>
          </cell>
          <cell r="B1299" t="str">
            <v>Trong 24h</v>
          </cell>
          <cell r="D1299" t="str">
            <v>Khiếu nại về dịch vụ FTTH</v>
          </cell>
          <cell r="W1299" t="str">
            <v>Đã đóng</v>
          </cell>
          <cell r="AJ1299" t="str">
            <v>Lâm Đồng</v>
          </cell>
          <cell r="BX1299" t="str">
            <v>AON</v>
          </cell>
        </row>
        <row r="1300">
          <cell r="A1300" t="str">
            <v>ON</v>
          </cell>
          <cell r="B1300" t="str">
            <v>Trong 24h</v>
          </cell>
          <cell r="D1300" t="str">
            <v>Khiếu nại về dịch vụ FTTH</v>
          </cell>
          <cell r="W1300" t="str">
            <v>Đã đóng</v>
          </cell>
          <cell r="AJ1300" t="str">
            <v>Hà Nội 1</v>
          </cell>
          <cell r="BX1300" t="str">
            <v>AON</v>
          </cell>
        </row>
        <row r="1301">
          <cell r="A1301" t="str">
            <v>ON</v>
          </cell>
          <cell r="B1301" t="str">
            <v>Trong 24h</v>
          </cell>
          <cell r="D1301" t="str">
            <v>Khiếu nại về dịch vụ FTTH</v>
          </cell>
          <cell r="W1301" t="str">
            <v>Đã đóng</v>
          </cell>
          <cell r="AJ1301" t="str">
            <v>Hậu Giang</v>
          </cell>
          <cell r="BX1301" t="str">
            <v>GPON</v>
          </cell>
        </row>
        <row r="1302">
          <cell r="A1302" t="str">
            <v>ON</v>
          </cell>
          <cell r="B1302" t="str">
            <v>Trong 24h</v>
          </cell>
          <cell r="D1302" t="str">
            <v>Khiếu nại về dịch vụ FTTH</v>
          </cell>
          <cell r="W1302" t="str">
            <v>Đang xử lý</v>
          </cell>
          <cell r="AJ1302" t="str">
            <v>Bình Định</v>
          </cell>
          <cell r="BX1302" t="str">
            <v>AON</v>
          </cell>
        </row>
        <row r="1303">
          <cell r="A1303" t="str">
            <v>ON</v>
          </cell>
          <cell r="B1303" t="str">
            <v>Trong 24h</v>
          </cell>
          <cell r="D1303" t="str">
            <v>Khiếu nại về dịch vụ NextTV</v>
          </cell>
          <cell r="W1303" t="str">
            <v>Đã đóng</v>
          </cell>
          <cell r="AJ1303" t="str">
            <v>Quảng Trị</v>
          </cell>
          <cell r="BX1303" t="str">
            <v>AON</v>
          </cell>
        </row>
        <row r="1304">
          <cell r="A1304" t="str">
            <v>ON</v>
          </cell>
          <cell r="B1304" t="str">
            <v>Trong 24h</v>
          </cell>
          <cell r="D1304" t="str">
            <v>Khiếu nại về dịch vụ FTTH</v>
          </cell>
          <cell r="W1304" t="str">
            <v>Đã đóng</v>
          </cell>
          <cell r="AJ1304" t="str">
            <v>Lâm Đồng</v>
          </cell>
          <cell r="BX1304" t="str">
            <v>AON</v>
          </cell>
        </row>
        <row r="1305">
          <cell r="A1305" t="str">
            <v>ON</v>
          </cell>
          <cell r="B1305" t="str">
            <v>Trong 24h</v>
          </cell>
          <cell r="D1305" t="str">
            <v>Khiếu nại về dịch vụ FTTH</v>
          </cell>
          <cell r="W1305" t="str">
            <v>Đã đóng</v>
          </cell>
          <cell r="AJ1305" t="str">
            <v>TP HCM</v>
          </cell>
          <cell r="BX1305" t="str">
            <v>GPON</v>
          </cell>
        </row>
        <row r="1306">
          <cell r="A1306" t="str">
            <v>ON</v>
          </cell>
          <cell r="B1306" t="str">
            <v>Trong 24h</v>
          </cell>
          <cell r="D1306" t="str">
            <v>Khiếu nại về dịch vụ FTTH</v>
          </cell>
          <cell r="W1306" t="str">
            <v>Đã đóng</v>
          </cell>
          <cell r="AJ1306" t="str">
            <v>Hà Giang</v>
          </cell>
          <cell r="BX1306" t="str">
            <v>AON</v>
          </cell>
        </row>
        <row r="1307">
          <cell r="A1307" t="str">
            <v>ON</v>
          </cell>
          <cell r="B1307" t="str">
            <v>Trong 24h</v>
          </cell>
          <cell r="D1307" t="str">
            <v>Khiếu nại về dịch vụ FTTH</v>
          </cell>
          <cell r="W1307" t="str">
            <v>Đã đóng</v>
          </cell>
          <cell r="AJ1307" t="str">
            <v>TP HCM</v>
          </cell>
          <cell r="BX1307" t="str">
            <v>AON</v>
          </cell>
        </row>
        <row r="1308">
          <cell r="A1308" t="str">
            <v>ON</v>
          </cell>
          <cell r="B1308" t="str">
            <v>Trong 24h</v>
          </cell>
          <cell r="D1308" t="str">
            <v>Khiếu nại về dịch vụ FTTH</v>
          </cell>
          <cell r="W1308" t="str">
            <v>Đã đóng</v>
          </cell>
          <cell r="AJ1308" t="str">
            <v>TP HCM</v>
          </cell>
          <cell r="BX1308" t="str">
            <v>AON</v>
          </cell>
        </row>
        <row r="1309">
          <cell r="A1309" t="str">
            <v>ON</v>
          </cell>
          <cell r="B1309" t="str">
            <v>Trong 24h</v>
          </cell>
          <cell r="D1309" t="str">
            <v>Khiếu nại về dịch vụ FTTH</v>
          </cell>
          <cell r="W1309" t="str">
            <v>Đã đóng</v>
          </cell>
          <cell r="AJ1309" t="str">
            <v>Tây Ninh</v>
          </cell>
          <cell r="BX1309" t="str">
            <v>AON</v>
          </cell>
        </row>
        <row r="1310">
          <cell r="A1310" t="str">
            <v>ON</v>
          </cell>
          <cell r="B1310" t="str">
            <v>Trong 24h</v>
          </cell>
          <cell r="D1310" t="str">
            <v>Khiếu nại về dịch vụ FTTH</v>
          </cell>
          <cell r="W1310" t="str">
            <v>Đã đóng</v>
          </cell>
          <cell r="AJ1310" t="str">
            <v>Bạc Liêu</v>
          </cell>
          <cell r="BX1310" t="str">
            <v>GPON</v>
          </cell>
        </row>
        <row r="1311">
          <cell r="A1311" t="str">
            <v>ON</v>
          </cell>
          <cell r="B1311" t="str">
            <v>Trong 24h</v>
          </cell>
          <cell r="D1311" t="str">
            <v>Khiếu nại về dịch vụ FTTH</v>
          </cell>
          <cell r="W1311" t="str">
            <v>Đã đóng</v>
          </cell>
          <cell r="AJ1311" t="str">
            <v>TP HCM</v>
          </cell>
          <cell r="BX1311" t="str">
            <v>AON</v>
          </cell>
        </row>
        <row r="1312">
          <cell r="A1312" t="str">
            <v>ON</v>
          </cell>
          <cell r="B1312" t="str">
            <v>Trong 24h</v>
          </cell>
          <cell r="D1312" t="str">
            <v>Khiếu nại về dịch vụ FTTH</v>
          </cell>
          <cell r="W1312" t="str">
            <v>Đã đóng</v>
          </cell>
          <cell r="AJ1312" t="str">
            <v>Hậu Giang</v>
          </cell>
          <cell r="BX1312" t="str">
            <v>AON</v>
          </cell>
        </row>
        <row r="1313">
          <cell r="A1313" t="str">
            <v>ON</v>
          </cell>
          <cell r="B1313" t="str">
            <v>Trong 24h</v>
          </cell>
          <cell r="D1313" t="str">
            <v>Khiếu nại về dịch vụ FTTH</v>
          </cell>
          <cell r="W1313" t="str">
            <v>Đã đóng</v>
          </cell>
          <cell r="AJ1313" t="str">
            <v>TP HCM</v>
          </cell>
          <cell r="BX1313" t="str">
            <v>GPON</v>
          </cell>
        </row>
        <row r="1314">
          <cell r="A1314" t="str">
            <v>ON</v>
          </cell>
          <cell r="B1314" t="str">
            <v>Trong 24h</v>
          </cell>
          <cell r="D1314" t="str">
            <v>Khiếu nại về dịch vụ FTTH</v>
          </cell>
          <cell r="W1314" t="str">
            <v>Đã đóng</v>
          </cell>
          <cell r="AJ1314" t="str">
            <v>TP HCM</v>
          </cell>
          <cell r="BX1314" t="str">
            <v>AON</v>
          </cell>
        </row>
        <row r="1315">
          <cell r="A1315" t="str">
            <v>ON</v>
          </cell>
          <cell r="B1315" t="str">
            <v>Trong 24h</v>
          </cell>
          <cell r="D1315" t="str">
            <v>Khiếu nại về dịch vụ FTTH</v>
          </cell>
          <cell r="W1315" t="str">
            <v>Đã đóng</v>
          </cell>
          <cell r="AJ1315" t="str">
            <v>Bình Định</v>
          </cell>
          <cell r="BX1315" t="str">
            <v>AON</v>
          </cell>
        </row>
        <row r="1316">
          <cell r="A1316" t="str">
            <v>ON</v>
          </cell>
          <cell r="B1316" t="str">
            <v>Trong 24h</v>
          </cell>
          <cell r="D1316" t="str">
            <v>Khiếu nại về dịch vụ FTTH</v>
          </cell>
          <cell r="W1316" t="str">
            <v>Đã đóng</v>
          </cell>
          <cell r="AJ1316" t="str">
            <v>TP HCM</v>
          </cell>
          <cell r="BX1316" t="str">
            <v>AON</v>
          </cell>
        </row>
        <row r="1317">
          <cell r="A1317" t="str">
            <v>ON</v>
          </cell>
          <cell r="B1317" t="str">
            <v>Trong 24h</v>
          </cell>
          <cell r="D1317" t="str">
            <v>Khiếu nại về dịch vụ FTTH</v>
          </cell>
          <cell r="W1317" t="str">
            <v>Đã đóng</v>
          </cell>
          <cell r="AJ1317" t="str">
            <v>TP HCM</v>
          </cell>
          <cell r="BX1317" t="str">
            <v>AON</v>
          </cell>
        </row>
        <row r="1318">
          <cell r="A1318" t="str">
            <v>ON</v>
          </cell>
          <cell r="B1318" t="str">
            <v>Trong 24h</v>
          </cell>
          <cell r="D1318" t="str">
            <v>Khiếu nại về dịch vụ FTTH</v>
          </cell>
          <cell r="W1318" t="str">
            <v>Đã đóng</v>
          </cell>
          <cell r="AJ1318" t="str">
            <v>Hà Nội 1</v>
          </cell>
          <cell r="BX1318" t="str">
            <v>AON</v>
          </cell>
        </row>
        <row r="1319">
          <cell r="A1319" t="str">
            <v>ON</v>
          </cell>
          <cell r="B1319" t="str">
            <v>Trong 24h</v>
          </cell>
          <cell r="D1319" t="str">
            <v>Khiếu nại về dịch vụ FTTH</v>
          </cell>
          <cell r="W1319" t="str">
            <v>Đã đóng</v>
          </cell>
          <cell r="AJ1319" t="str">
            <v>Lào Cai</v>
          </cell>
          <cell r="BX1319" t="str">
            <v>AON</v>
          </cell>
        </row>
        <row r="1320">
          <cell r="A1320" t="str">
            <v>ON</v>
          </cell>
          <cell r="B1320" t="str">
            <v>Trong 24h</v>
          </cell>
          <cell r="D1320" t="str">
            <v>Khiếu nại về dịch vụ FTTH</v>
          </cell>
          <cell r="W1320" t="str">
            <v>Đang xử lý</v>
          </cell>
          <cell r="AJ1320" t="str">
            <v>TP HCM</v>
          </cell>
          <cell r="BX1320" t="str">
            <v>AON</v>
          </cell>
        </row>
        <row r="1321">
          <cell r="A1321" t="str">
            <v>ON</v>
          </cell>
          <cell r="B1321" t="str">
            <v>Trong 24h</v>
          </cell>
          <cell r="D1321" t="str">
            <v>Khiếu nại về dịch vụ FTTH</v>
          </cell>
          <cell r="W1321" t="str">
            <v>Đã đóng</v>
          </cell>
          <cell r="AJ1321" t="str">
            <v>Hậu Giang</v>
          </cell>
          <cell r="BX1321" t="str">
            <v>AON</v>
          </cell>
        </row>
        <row r="1322">
          <cell r="A1322" t="str">
            <v>ON</v>
          </cell>
          <cell r="B1322" t="str">
            <v>Trong 24h</v>
          </cell>
          <cell r="D1322" t="str">
            <v>Khiếu nại về dịch vụ FTTH</v>
          </cell>
          <cell r="W1322" t="str">
            <v>Đã đóng</v>
          </cell>
          <cell r="AJ1322" t="str">
            <v>TP HCM</v>
          </cell>
          <cell r="BX1322" t="str">
            <v>AON</v>
          </cell>
        </row>
        <row r="1323">
          <cell r="A1323" t="str">
            <v>ON</v>
          </cell>
          <cell r="B1323" t="str">
            <v>Trong 24h</v>
          </cell>
          <cell r="D1323" t="str">
            <v>Khiếu nại về dịch vụ FTTH</v>
          </cell>
          <cell r="W1323" t="str">
            <v>Đã đóng</v>
          </cell>
          <cell r="AJ1323" t="str">
            <v>Tây Ninh</v>
          </cell>
          <cell r="BX1323" t="str">
            <v>AON</v>
          </cell>
        </row>
        <row r="1324">
          <cell r="A1324" t="str">
            <v>ON</v>
          </cell>
          <cell r="B1324" t="str">
            <v>Trong 24h</v>
          </cell>
          <cell r="D1324" t="str">
            <v>Khiếu nại về dịch vụ FTTH</v>
          </cell>
          <cell r="W1324" t="str">
            <v>Đã đóng</v>
          </cell>
          <cell r="AJ1324" t="str">
            <v>TP HCM</v>
          </cell>
          <cell r="BX1324" t="str">
            <v>GPON</v>
          </cell>
        </row>
        <row r="1325">
          <cell r="A1325" t="str">
            <v>ON</v>
          </cell>
          <cell r="B1325" t="str">
            <v>Trong 24h</v>
          </cell>
          <cell r="D1325" t="str">
            <v>Khiếu nại về dịch vụ NextTV</v>
          </cell>
          <cell r="W1325" t="str">
            <v>Đang xử lý</v>
          </cell>
          <cell r="AJ1325" t="str">
            <v>Bình Thuận</v>
          </cell>
          <cell r="BX1325" t="str">
            <v>AON</v>
          </cell>
        </row>
        <row r="1326">
          <cell r="A1326" t="str">
            <v>ON</v>
          </cell>
          <cell r="B1326" t="str">
            <v>Trong 24h</v>
          </cell>
          <cell r="D1326" t="str">
            <v>Khiếu nại về dịch vụ FTTH</v>
          </cell>
          <cell r="W1326" t="str">
            <v>Đang xử lý</v>
          </cell>
          <cell r="AJ1326" t="str">
            <v>Cà Mau</v>
          </cell>
          <cell r="BX1326" t="str">
            <v>AON</v>
          </cell>
        </row>
        <row r="1327">
          <cell r="A1327" t="str">
            <v>ON</v>
          </cell>
          <cell r="B1327" t="str">
            <v>Trong 24h</v>
          </cell>
          <cell r="D1327" t="str">
            <v>Khiếu nại về dịch vụ FTTH</v>
          </cell>
          <cell r="W1327" t="str">
            <v>Đã đóng</v>
          </cell>
          <cell r="AJ1327" t="str">
            <v>Thái Nguyên</v>
          </cell>
          <cell r="BX1327" t="str">
            <v>AON</v>
          </cell>
        </row>
        <row r="1328">
          <cell r="A1328" t="str">
            <v>ON</v>
          </cell>
          <cell r="B1328" t="str">
            <v>Trong 24h</v>
          </cell>
          <cell r="D1328" t="str">
            <v>Khiếu nại về dịch vụ FTTH</v>
          </cell>
          <cell r="W1328" t="str">
            <v>Đang xử lý</v>
          </cell>
          <cell r="AJ1328" t="str">
            <v>Hà Nam</v>
          </cell>
          <cell r="BX1328" t="str">
            <v>AON</v>
          </cell>
        </row>
        <row r="1329">
          <cell r="A1329" t="str">
            <v>ON</v>
          </cell>
          <cell r="B1329" t="str">
            <v>Trong 24h</v>
          </cell>
          <cell r="D1329" t="str">
            <v>Khiếu nại về dịch vụ NextTV</v>
          </cell>
          <cell r="W1329" t="str">
            <v>Đã đóng</v>
          </cell>
          <cell r="AJ1329" t="str">
            <v>TP HCM</v>
          </cell>
          <cell r="BX1329" t="str">
            <v>AON</v>
          </cell>
        </row>
        <row r="1330">
          <cell r="A1330" t="str">
            <v>ON</v>
          </cell>
          <cell r="B1330" t="str">
            <v>Trong 24h</v>
          </cell>
          <cell r="D1330" t="str">
            <v>Khiếu nại về dịch vụ FTTH</v>
          </cell>
          <cell r="W1330" t="str">
            <v>Đang xử lý</v>
          </cell>
          <cell r="AJ1330" t="str">
            <v>Hà Nội 1</v>
          </cell>
          <cell r="BX1330" t="str">
            <v>AON</v>
          </cell>
        </row>
        <row r="1331">
          <cell r="A1331" t="str">
            <v>ON</v>
          </cell>
          <cell r="B1331" t="str">
            <v>Trong 24h</v>
          </cell>
          <cell r="D1331" t="str">
            <v>Khiếu nại về dịch vụ NextTV</v>
          </cell>
          <cell r="W1331" t="str">
            <v>Đã đóng</v>
          </cell>
          <cell r="AJ1331" t="str">
            <v>TP HCM</v>
          </cell>
          <cell r="BX1331" t="str">
            <v>AON</v>
          </cell>
        </row>
        <row r="1332">
          <cell r="A1332" t="str">
            <v>ON</v>
          </cell>
          <cell r="B1332" t="str">
            <v>Trong 24h</v>
          </cell>
          <cell r="D1332" t="str">
            <v>Khiếu nại về dịch vụ FTTH</v>
          </cell>
          <cell r="W1332" t="str">
            <v>Đã đóng</v>
          </cell>
          <cell r="AJ1332" t="str">
            <v>Tây Ninh</v>
          </cell>
          <cell r="BX1332" t="str">
            <v>AON</v>
          </cell>
        </row>
        <row r="1333">
          <cell r="A1333" t="str">
            <v>ON</v>
          </cell>
          <cell r="B1333" t="str">
            <v>Trong 24h</v>
          </cell>
          <cell r="D1333" t="str">
            <v>Khiếu nại về dịch vụ FTTH</v>
          </cell>
          <cell r="W1333" t="str">
            <v>Đã đóng</v>
          </cell>
          <cell r="AJ1333" t="str">
            <v>TP HCM</v>
          </cell>
          <cell r="BX1333" t="str">
            <v>AON</v>
          </cell>
        </row>
        <row r="1334">
          <cell r="A1334" t="str">
            <v>ON</v>
          </cell>
          <cell r="B1334" t="str">
            <v>Trong 24h</v>
          </cell>
          <cell r="D1334" t="str">
            <v>Khiếu nại về dịch vụ FTTH</v>
          </cell>
          <cell r="W1334" t="str">
            <v>Đang xử lý</v>
          </cell>
          <cell r="AJ1334" t="str">
            <v>Kiên Giang</v>
          </cell>
          <cell r="BX1334" t="str">
            <v>AON</v>
          </cell>
        </row>
        <row r="1335">
          <cell r="A1335" t="str">
            <v>ON</v>
          </cell>
          <cell r="B1335" t="str">
            <v>Trong 24h</v>
          </cell>
          <cell r="D1335" t="str">
            <v>Khiếu nại về dịch vụ FTTH</v>
          </cell>
          <cell r="W1335" t="str">
            <v>Đã đóng</v>
          </cell>
          <cell r="AJ1335" t="str">
            <v>Hà Nội 1</v>
          </cell>
          <cell r="BX1335" t="str">
            <v>AON</v>
          </cell>
        </row>
        <row r="1336">
          <cell r="A1336" t="str">
            <v>ON</v>
          </cell>
          <cell r="B1336" t="str">
            <v>Trong 24h</v>
          </cell>
          <cell r="D1336" t="str">
            <v>Khiếu nại về dịch vụ FTTH</v>
          </cell>
          <cell r="W1336" t="str">
            <v>Đã đóng</v>
          </cell>
          <cell r="AJ1336" t="str">
            <v>Hậu Giang</v>
          </cell>
          <cell r="BX1336" t="str">
            <v>AON</v>
          </cell>
        </row>
        <row r="1337">
          <cell r="A1337" t="str">
            <v>ON</v>
          </cell>
          <cell r="B1337" t="str">
            <v>Trong 24h</v>
          </cell>
          <cell r="D1337" t="str">
            <v>Khiếu nại về dịch vụ FTTH</v>
          </cell>
          <cell r="W1337" t="str">
            <v>Đã đóng</v>
          </cell>
          <cell r="AJ1337" t="str">
            <v>Quảng Ninh</v>
          </cell>
          <cell r="BX1337" t="str">
            <v>AON</v>
          </cell>
        </row>
        <row r="1338">
          <cell r="A1338" t="str">
            <v>ON</v>
          </cell>
          <cell r="B1338" t="str">
            <v>Trong 24h</v>
          </cell>
          <cell r="D1338" t="str">
            <v>Khiếu nại về dịch vụ FTTH</v>
          </cell>
          <cell r="W1338" t="str">
            <v>Đã đóng</v>
          </cell>
          <cell r="AJ1338" t="str">
            <v>Nghệ An</v>
          </cell>
          <cell r="BX1338" t="str">
            <v>AON</v>
          </cell>
        </row>
        <row r="1339">
          <cell r="A1339" t="str">
            <v>ON</v>
          </cell>
          <cell r="B1339" t="str">
            <v>Trong 24h</v>
          </cell>
          <cell r="D1339" t="str">
            <v>Khiếu nại về dịch vụ FTTH</v>
          </cell>
          <cell r="W1339" t="str">
            <v>Đã đóng</v>
          </cell>
          <cell r="AJ1339" t="str">
            <v>Thanh Hoá</v>
          </cell>
          <cell r="BX1339" t="str">
            <v>AON</v>
          </cell>
        </row>
        <row r="1340">
          <cell r="A1340" t="str">
            <v>ON</v>
          </cell>
          <cell r="B1340" t="str">
            <v>Trong 24h</v>
          </cell>
          <cell r="D1340" t="str">
            <v>Khiếu nại về dịch vụ FTTH</v>
          </cell>
          <cell r="W1340" t="str">
            <v>Đã đóng</v>
          </cell>
          <cell r="AJ1340" t="str">
            <v>TP HCM</v>
          </cell>
          <cell r="BX1340" t="str">
            <v>GPON</v>
          </cell>
        </row>
        <row r="1341">
          <cell r="A1341" t="str">
            <v>ON</v>
          </cell>
          <cell r="B1341" t="str">
            <v>Trong 24h</v>
          </cell>
          <cell r="D1341" t="str">
            <v>Khiếu nại về dịch vụ FTTH</v>
          </cell>
          <cell r="W1341" t="str">
            <v>Đã đóng</v>
          </cell>
          <cell r="AJ1341" t="str">
            <v>Bến Tre</v>
          </cell>
          <cell r="BX1341" t="str">
            <v>AON</v>
          </cell>
        </row>
        <row r="1342">
          <cell r="A1342" t="str">
            <v>ON</v>
          </cell>
          <cell r="B1342" t="str">
            <v>Trong 24h</v>
          </cell>
          <cell r="D1342" t="str">
            <v>Khiếu nại về dịch vụ FTTH</v>
          </cell>
          <cell r="W1342" t="str">
            <v>Đang xử lý</v>
          </cell>
          <cell r="AJ1342" t="str">
            <v>Hà Nam</v>
          </cell>
          <cell r="BX1342" t="str">
            <v>AON</v>
          </cell>
        </row>
        <row r="1343">
          <cell r="A1343" t="str">
            <v>ON</v>
          </cell>
          <cell r="B1343" t="str">
            <v>Trong 24h</v>
          </cell>
          <cell r="D1343" t="str">
            <v>Khiếu nại về dịch vụ FTTH</v>
          </cell>
          <cell r="W1343" t="str">
            <v>Đã đóng</v>
          </cell>
          <cell r="AJ1343" t="str">
            <v>Cần Thơ</v>
          </cell>
          <cell r="BX1343" t="str">
            <v>AON</v>
          </cell>
        </row>
        <row r="1344">
          <cell r="A1344" t="str">
            <v>ON</v>
          </cell>
          <cell r="B1344" t="str">
            <v>Trong 24h</v>
          </cell>
          <cell r="D1344" t="str">
            <v>Khiếu nại về dịch vụ FTTH</v>
          </cell>
          <cell r="W1344" t="str">
            <v>Đã đóng</v>
          </cell>
          <cell r="AJ1344" t="str">
            <v>Bến Tre</v>
          </cell>
          <cell r="BX1344" t="str">
            <v>AON</v>
          </cell>
        </row>
        <row r="1345">
          <cell r="A1345" t="str">
            <v>ON</v>
          </cell>
          <cell r="B1345" t="str">
            <v>Trong 24h</v>
          </cell>
          <cell r="D1345" t="str">
            <v>Khiếu nại về dịch vụ FTTH</v>
          </cell>
          <cell r="W1345" t="str">
            <v>Đã đóng</v>
          </cell>
          <cell r="AJ1345" t="str">
            <v>Hà Nội 1</v>
          </cell>
          <cell r="BX1345" t="str">
            <v>AON</v>
          </cell>
        </row>
        <row r="1346">
          <cell r="A1346" t="str">
            <v>ON</v>
          </cell>
          <cell r="B1346" t="str">
            <v>Trong 24h</v>
          </cell>
          <cell r="D1346" t="str">
            <v>Khiếu nại về dịch vụ FTTH</v>
          </cell>
          <cell r="W1346" t="str">
            <v>Đang xử lý</v>
          </cell>
          <cell r="AJ1346" t="str">
            <v>Bến Tre</v>
          </cell>
          <cell r="BX1346" t="str">
            <v>AON</v>
          </cell>
        </row>
        <row r="1347">
          <cell r="A1347" t="str">
            <v>ON</v>
          </cell>
          <cell r="B1347" t="str">
            <v>Trong 24h</v>
          </cell>
          <cell r="D1347" t="str">
            <v>Khiếu nại về dịch vụ FTTH</v>
          </cell>
          <cell r="W1347" t="str">
            <v>Đã đóng</v>
          </cell>
          <cell r="AJ1347" t="str">
            <v>Bình Dương</v>
          </cell>
          <cell r="BX1347" t="str">
            <v>AON</v>
          </cell>
        </row>
        <row r="1348">
          <cell r="A1348" t="str">
            <v>ON</v>
          </cell>
          <cell r="B1348" t="str">
            <v>Trong 24h</v>
          </cell>
          <cell r="D1348" t="str">
            <v>Khiếu nại về dịch vụ FTTH</v>
          </cell>
          <cell r="W1348" t="str">
            <v>Đã đóng</v>
          </cell>
          <cell r="AJ1348" t="str">
            <v>Hà Nội 1</v>
          </cell>
          <cell r="BX1348" t="str">
            <v>AON</v>
          </cell>
        </row>
        <row r="1349">
          <cell r="A1349" t="str">
            <v>ON</v>
          </cell>
          <cell r="B1349" t="str">
            <v>Trong 24h</v>
          </cell>
          <cell r="D1349" t="str">
            <v>Khiếu nại về dịch vụ NextTV</v>
          </cell>
          <cell r="W1349" t="str">
            <v>Đang xử lý</v>
          </cell>
          <cell r="AJ1349" t="str">
            <v>Quảng Ninh</v>
          </cell>
          <cell r="BX1349" t="str">
            <v>AON</v>
          </cell>
        </row>
        <row r="1350">
          <cell r="A1350" t="str">
            <v>ON</v>
          </cell>
          <cell r="B1350" t="str">
            <v>Trong 24h</v>
          </cell>
          <cell r="D1350" t="str">
            <v>Khiếu nại về dịch vụ FTTH</v>
          </cell>
          <cell r="W1350" t="str">
            <v>Đang xử lý</v>
          </cell>
          <cell r="AJ1350" t="str">
            <v>TP HCM</v>
          </cell>
          <cell r="BX1350" t="str">
            <v>AON</v>
          </cell>
        </row>
        <row r="1351">
          <cell r="A1351" t="str">
            <v>ON</v>
          </cell>
          <cell r="B1351" t="str">
            <v>Trong 24h</v>
          </cell>
          <cell r="D1351" t="str">
            <v>Khiếu nại về dịch vụ FTTH</v>
          </cell>
          <cell r="W1351" t="str">
            <v>Đã đóng</v>
          </cell>
          <cell r="AJ1351" t="str">
            <v>Hà Nội 2</v>
          </cell>
          <cell r="BX1351" t="str">
            <v>AON</v>
          </cell>
        </row>
        <row r="1352">
          <cell r="A1352" t="str">
            <v>ON</v>
          </cell>
          <cell r="B1352" t="str">
            <v>Trong 24h</v>
          </cell>
          <cell r="D1352" t="str">
            <v>Khiếu nại về dịch vụ FTTH</v>
          </cell>
          <cell r="W1352" t="str">
            <v>Đã đóng</v>
          </cell>
          <cell r="AJ1352" t="str">
            <v>Quảng Ninh</v>
          </cell>
          <cell r="BX1352" t="str">
            <v>AON</v>
          </cell>
        </row>
        <row r="1353">
          <cell r="A1353" t="str">
            <v>ON</v>
          </cell>
          <cell r="B1353" t="str">
            <v>Trong 24h</v>
          </cell>
          <cell r="D1353" t="str">
            <v>Khiếu nại về dịch vụ FTTH</v>
          </cell>
          <cell r="W1353" t="str">
            <v>Đang xử lý</v>
          </cell>
          <cell r="AJ1353" t="str">
            <v>Bình Dương</v>
          </cell>
          <cell r="BX1353" t="str">
            <v>AON</v>
          </cell>
        </row>
        <row r="1354">
          <cell r="A1354" t="str">
            <v>ON</v>
          </cell>
          <cell r="B1354" t="str">
            <v>Trong 24h</v>
          </cell>
          <cell r="D1354" t="str">
            <v>Khiếu nại về dịch vụ FTTH</v>
          </cell>
          <cell r="W1354" t="str">
            <v>Đã đóng</v>
          </cell>
          <cell r="AJ1354" t="str">
            <v>TP HCM</v>
          </cell>
          <cell r="BX1354" t="str">
            <v>AON</v>
          </cell>
        </row>
        <row r="1355">
          <cell r="A1355" t="str">
            <v>ON</v>
          </cell>
          <cell r="B1355" t="str">
            <v>Trong 24h</v>
          </cell>
          <cell r="D1355" t="str">
            <v>Khiếu nại về dịch vụ FTTH</v>
          </cell>
          <cell r="W1355" t="str">
            <v>Đang xử lý</v>
          </cell>
          <cell r="AJ1355" t="str">
            <v xml:space="preserve">Hà Tĩnh </v>
          </cell>
          <cell r="BX1355" t="str">
            <v>AON</v>
          </cell>
        </row>
        <row r="1356">
          <cell r="A1356" t="str">
            <v>ON</v>
          </cell>
          <cell r="B1356" t="str">
            <v>Trong 24h</v>
          </cell>
          <cell r="D1356" t="str">
            <v>Khiếu nại về dịch vụ FTTH</v>
          </cell>
          <cell r="W1356" t="str">
            <v>Đang xử lý</v>
          </cell>
          <cell r="AJ1356" t="str">
            <v>Bắc Ninh</v>
          </cell>
          <cell r="BX1356" t="str">
            <v>AON</v>
          </cell>
        </row>
        <row r="1357">
          <cell r="A1357" t="str">
            <v>ON</v>
          </cell>
          <cell r="B1357" t="str">
            <v>Trong 24h</v>
          </cell>
          <cell r="D1357" t="str">
            <v>Khiếu nại về dịch vụ FTTH</v>
          </cell>
          <cell r="W1357" t="str">
            <v>Đã đóng</v>
          </cell>
          <cell r="AJ1357" t="str">
            <v>Hà Nội 1</v>
          </cell>
          <cell r="BX1357" t="str">
            <v>AON</v>
          </cell>
        </row>
        <row r="1358">
          <cell r="A1358" t="str">
            <v>ON</v>
          </cell>
          <cell r="B1358" t="str">
            <v>Trong 24h</v>
          </cell>
          <cell r="D1358" t="str">
            <v>Khiếu nại về dịch vụ FTTH</v>
          </cell>
          <cell r="W1358" t="str">
            <v>Đã đóng</v>
          </cell>
          <cell r="AJ1358" t="str">
            <v>TP HCM</v>
          </cell>
          <cell r="BX1358" t="str">
            <v>AON</v>
          </cell>
        </row>
        <row r="1359">
          <cell r="A1359" t="str">
            <v>ON</v>
          </cell>
          <cell r="B1359" t="str">
            <v>Trong 24h</v>
          </cell>
          <cell r="D1359" t="str">
            <v>Khiếu nại về dịch vụ FTTH</v>
          </cell>
          <cell r="W1359" t="str">
            <v>Đã đóng</v>
          </cell>
          <cell r="AJ1359" t="str">
            <v>TP HCM</v>
          </cell>
          <cell r="BX1359" t="str">
            <v>AON</v>
          </cell>
        </row>
        <row r="1360">
          <cell r="A1360" t="str">
            <v>ON</v>
          </cell>
          <cell r="B1360" t="str">
            <v>Trong 24h</v>
          </cell>
          <cell r="D1360" t="str">
            <v>Khiếu nại về dịch vụ FTTH</v>
          </cell>
          <cell r="W1360" t="str">
            <v>Đã đóng</v>
          </cell>
          <cell r="AJ1360" t="str">
            <v>An Giang</v>
          </cell>
          <cell r="BX1360" t="str">
            <v>AON</v>
          </cell>
        </row>
        <row r="1361">
          <cell r="A1361" t="str">
            <v>ON</v>
          </cell>
          <cell r="B1361" t="str">
            <v>Trong 24h</v>
          </cell>
          <cell r="D1361" t="str">
            <v>Khiếu nại về dịch vụ FTTH</v>
          </cell>
          <cell r="W1361" t="str">
            <v>Đã đóng</v>
          </cell>
          <cell r="AJ1361" t="str">
            <v xml:space="preserve">Đắc Lắk </v>
          </cell>
          <cell r="BX1361" t="str">
            <v>AON</v>
          </cell>
        </row>
        <row r="1362">
          <cell r="A1362" t="str">
            <v>ON</v>
          </cell>
          <cell r="B1362" t="str">
            <v>Trong 24h</v>
          </cell>
          <cell r="D1362" t="str">
            <v>Khiếu nại về dịch vụ NextTV</v>
          </cell>
          <cell r="W1362" t="str">
            <v>Đã đóng</v>
          </cell>
          <cell r="AJ1362" t="str">
            <v>TP HCM</v>
          </cell>
          <cell r="BX1362" t="str">
            <v>GPON</v>
          </cell>
        </row>
        <row r="1363">
          <cell r="A1363" t="str">
            <v>ON</v>
          </cell>
          <cell r="B1363" t="str">
            <v>Trong 24h</v>
          </cell>
          <cell r="D1363" t="str">
            <v>Khiếu nại về dịch vụ FTTH</v>
          </cell>
          <cell r="W1363" t="str">
            <v>Đang xử lý</v>
          </cell>
          <cell r="AJ1363" t="str">
            <v>Thừa Thiên Huế</v>
          </cell>
          <cell r="BX1363" t="str">
            <v>AON</v>
          </cell>
        </row>
        <row r="1364">
          <cell r="A1364" t="str">
            <v>ON</v>
          </cell>
          <cell r="B1364" t="str">
            <v>Trong 24h</v>
          </cell>
          <cell r="D1364" t="str">
            <v>Khiếu nại về dịch vụ FTTH</v>
          </cell>
          <cell r="W1364" t="str">
            <v>Đã đóng</v>
          </cell>
          <cell r="AJ1364" t="str">
            <v>TP HCM</v>
          </cell>
          <cell r="BX1364" t="str">
            <v>AON</v>
          </cell>
        </row>
        <row r="1365">
          <cell r="A1365" t="str">
            <v>ON</v>
          </cell>
          <cell r="B1365" t="str">
            <v>Trong 24h</v>
          </cell>
          <cell r="D1365" t="str">
            <v>Khiếu nại về dịch vụ FTTH</v>
          </cell>
          <cell r="W1365" t="str">
            <v>Đã đóng</v>
          </cell>
          <cell r="AJ1365" t="str">
            <v>Tiền Giang</v>
          </cell>
          <cell r="BX1365" t="str">
            <v>AON</v>
          </cell>
        </row>
        <row r="1366">
          <cell r="A1366" t="str">
            <v>ON</v>
          </cell>
          <cell r="B1366" t="str">
            <v>Trong 24h</v>
          </cell>
          <cell r="D1366" t="str">
            <v>Khiếu nại về dịch vụ FTTH</v>
          </cell>
          <cell r="W1366" t="str">
            <v>Đang xử lý</v>
          </cell>
          <cell r="AJ1366" t="str">
            <v>TP HCM</v>
          </cell>
          <cell r="BX1366" t="str">
            <v>AON</v>
          </cell>
        </row>
        <row r="1367">
          <cell r="A1367" t="str">
            <v>ON</v>
          </cell>
          <cell r="B1367" t="str">
            <v>Trong 24h</v>
          </cell>
          <cell r="D1367" t="str">
            <v>Khiếu nại về dịch vụ FTTH</v>
          </cell>
          <cell r="W1367" t="str">
            <v>Đang xử lý</v>
          </cell>
          <cell r="AJ1367" t="str">
            <v>Bắc Ninh</v>
          </cell>
          <cell r="BX1367" t="str">
            <v>AON</v>
          </cell>
        </row>
        <row r="1368">
          <cell r="A1368" t="str">
            <v>ON</v>
          </cell>
          <cell r="B1368" t="str">
            <v>Trong 24h</v>
          </cell>
          <cell r="D1368" t="str">
            <v>Khiếu nại về dịch vụ FTTH</v>
          </cell>
          <cell r="W1368" t="str">
            <v>Đã đóng</v>
          </cell>
          <cell r="AJ1368" t="str">
            <v>Tây Ninh</v>
          </cell>
          <cell r="BX1368" t="str">
            <v>GPON</v>
          </cell>
        </row>
        <row r="1369">
          <cell r="A1369" t="str">
            <v>ON</v>
          </cell>
          <cell r="B1369" t="str">
            <v>Trong 24h</v>
          </cell>
          <cell r="D1369" t="str">
            <v>Khiếu nại về dịch vụ FTTH</v>
          </cell>
          <cell r="W1369" t="str">
            <v>Đã đóng</v>
          </cell>
          <cell r="AJ1369" t="str">
            <v>Quảng Trị</v>
          </cell>
          <cell r="BX1369" t="str">
            <v>AON</v>
          </cell>
        </row>
        <row r="1370">
          <cell r="A1370" t="str">
            <v>ON</v>
          </cell>
          <cell r="B1370" t="str">
            <v>Trong 24h</v>
          </cell>
          <cell r="D1370" t="str">
            <v>Khiếu nại về dịch vụ FTTH</v>
          </cell>
          <cell r="W1370" t="str">
            <v>Đã đóng</v>
          </cell>
          <cell r="AJ1370" t="str">
            <v>Tiền Giang</v>
          </cell>
          <cell r="BX1370" t="str">
            <v>AON</v>
          </cell>
        </row>
        <row r="1371">
          <cell r="A1371" t="str">
            <v>ON</v>
          </cell>
          <cell r="B1371" t="str">
            <v>Trong 24h</v>
          </cell>
          <cell r="D1371" t="str">
            <v>Khiếu nại về dịch vụ FTTH</v>
          </cell>
          <cell r="W1371" t="str">
            <v>Đã đóng</v>
          </cell>
          <cell r="AJ1371" t="str">
            <v>TP HCM</v>
          </cell>
          <cell r="BX1371" t="str">
            <v>AON</v>
          </cell>
        </row>
        <row r="1372">
          <cell r="A1372" t="str">
            <v>ON</v>
          </cell>
          <cell r="B1372" t="str">
            <v>Trong 24h</v>
          </cell>
          <cell r="D1372" t="str">
            <v>Khiếu nại về dịch vụ FTTH</v>
          </cell>
          <cell r="W1372" t="str">
            <v>Đã đóng</v>
          </cell>
          <cell r="AJ1372" t="str">
            <v>Tây Ninh</v>
          </cell>
          <cell r="BX1372" t="str">
            <v>GPON</v>
          </cell>
        </row>
        <row r="1373">
          <cell r="A1373" t="str">
            <v>ON</v>
          </cell>
          <cell r="B1373" t="str">
            <v>Trong 24h</v>
          </cell>
          <cell r="D1373" t="str">
            <v>Khiếu nại về dịch vụ FTTH</v>
          </cell>
          <cell r="W1373" t="str">
            <v>Đã đóng</v>
          </cell>
          <cell r="AJ1373" t="str">
            <v>TP HCM</v>
          </cell>
          <cell r="BX1373" t="str">
            <v>AON</v>
          </cell>
        </row>
        <row r="1374">
          <cell r="A1374" t="str">
            <v>ON</v>
          </cell>
          <cell r="B1374" t="str">
            <v>Trong 24h</v>
          </cell>
          <cell r="D1374" t="str">
            <v>Khiếu nại về dịch vụ FTTH</v>
          </cell>
          <cell r="W1374" t="str">
            <v>Đã đóng</v>
          </cell>
          <cell r="AJ1374" t="str">
            <v>Hà Nội 2</v>
          </cell>
          <cell r="BX1374" t="str">
            <v>AON</v>
          </cell>
        </row>
        <row r="1375">
          <cell r="A1375" t="str">
            <v>ON</v>
          </cell>
          <cell r="B1375" t="str">
            <v>Trong 24h</v>
          </cell>
          <cell r="D1375" t="str">
            <v>Khiếu nại về dịch vụ FTTH</v>
          </cell>
          <cell r="W1375" t="str">
            <v>Đã đóng</v>
          </cell>
          <cell r="AJ1375" t="str">
            <v>Kon Tum</v>
          </cell>
          <cell r="BX1375" t="str">
            <v>AON</v>
          </cell>
        </row>
        <row r="1376">
          <cell r="A1376" t="str">
            <v>ON</v>
          </cell>
          <cell r="B1376" t="str">
            <v>Trong 24h</v>
          </cell>
          <cell r="D1376" t="str">
            <v>Khiếu nại về dịch vụ FTTH</v>
          </cell>
          <cell r="W1376" t="str">
            <v>Đã đóng</v>
          </cell>
          <cell r="AJ1376" t="str">
            <v xml:space="preserve">Đồng Nai </v>
          </cell>
          <cell r="BX1376" t="str">
            <v>GPON</v>
          </cell>
        </row>
        <row r="1377">
          <cell r="A1377" t="str">
            <v>ON</v>
          </cell>
          <cell r="B1377" t="str">
            <v>Trong 24h</v>
          </cell>
          <cell r="D1377" t="str">
            <v>Khiếu nại về dịch vụ FTTH</v>
          </cell>
          <cell r="W1377" t="str">
            <v>Đang xử lý</v>
          </cell>
          <cell r="AJ1377" t="str">
            <v>Quảng Ninh</v>
          </cell>
          <cell r="BX1377" t="str">
            <v>AON</v>
          </cell>
        </row>
        <row r="1378">
          <cell r="A1378" t="str">
            <v>ON</v>
          </cell>
          <cell r="B1378" t="str">
            <v>Trong 24h</v>
          </cell>
          <cell r="D1378" t="str">
            <v>Khiếu nại về dịch vụ FTTH</v>
          </cell>
          <cell r="W1378" t="str">
            <v>Đã đóng</v>
          </cell>
          <cell r="AJ1378" t="str">
            <v>TP HCM</v>
          </cell>
          <cell r="BX1378" t="str">
            <v>AON</v>
          </cell>
        </row>
        <row r="1379">
          <cell r="A1379" t="str">
            <v>ON</v>
          </cell>
          <cell r="B1379" t="str">
            <v>Trong 24h</v>
          </cell>
          <cell r="D1379" t="str">
            <v>Khiếu nại về dịch vụ FTTH</v>
          </cell>
          <cell r="W1379" t="str">
            <v>Đang xử lý</v>
          </cell>
          <cell r="AJ1379" t="str">
            <v>TP HCM</v>
          </cell>
          <cell r="BX1379" t="str">
            <v>AON</v>
          </cell>
        </row>
        <row r="1380">
          <cell r="A1380" t="str">
            <v>ON</v>
          </cell>
          <cell r="B1380" t="str">
            <v>Trong 24h</v>
          </cell>
          <cell r="D1380" t="str">
            <v>Khiếu nại về dịch vụ FTTH</v>
          </cell>
          <cell r="W1380" t="str">
            <v>Đã đóng</v>
          </cell>
          <cell r="AJ1380" t="str">
            <v>Hải Dương</v>
          </cell>
          <cell r="BX1380" t="str">
            <v>AON</v>
          </cell>
        </row>
        <row r="1381">
          <cell r="A1381" t="str">
            <v>ON</v>
          </cell>
          <cell r="B1381" t="str">
            <v>Trong 24h</v>
          </cell>
          <cell r="D1381" t="str">
            <v>Khiếu nại về dịch vụ NextTV</v>
          </cell>
          <cell r="W1381" t="str">
            <v>Đã đóng</v>
          </cell>
          <cell r="AJ1381" t="str">
            <v>Cần Thơ</v>
          </cell>
          <cell r="BX1381" t="str">
            <v>AON</v>
          </cell>
        </row>
        <row r="1382">
          <cell r="A1382" t="str">
            <v>ON</v>
          </cell>
          <cell r="B1382" t="str">
            <v>Trong 24h</v>
          </cell>
          <cell r="D1382" t="str">
            <v>Khiếu nại về dịch vụ FTTH</v>
          </cell>
          <cell r="W1382" t="str">
            <v>Đã đóng</v>
          </cell>
          <cell r="AJ1382" t="str">
            <v>Bắc Giang</v>
          </cell>
          <cell r="BX1382" t="str">
            <v>AON</v>
          </cell>
        </row>
        <row r="1383">
          <cell r="A1383" t="str">
            <v>ON</v>
          </cell>
          <cell r="B1383" t="str">
            <v>Trong 24h</v>
          </cell>
          <cell r="D1383" t="str">
            <v>Khiếu nại về dịch vụ FTTH</v>
          </cell>
          <cell r="W1383" t="str">
            <v>Đang xử lý</v>
          </cell>
          <cell r="AJ1383" t="str">
            <v>Bến Tre</v>
          </cell>
          <cell r="BX1383" t="str">
            <v>AON</v>
          </cell>
        </row>
        <row r="1384">
          <cell r="A1384" t="str">
            <v>ON</v>
          </cell>
          <cell r="B1384" t="str">
            <v>Trong 24h</v>
          </cell>
          <cell r="D1384" t="str">
            <v>Khiếu nại về dịch vụ FTTH</v>
          </cell>
          <cell r="W1384" t="str">
            <v>Đang xử lý</v>
          </cell>
          <cell r="AJ1384" t="str">
            <v>An Giang</v>
          </cell>
          <cell r="BX1384" t="str">
            <v>AON</v>
          </cell>
        </row>
        <row r="1385">
          <cell r="A1385" t="str">
            <v>ON</v>
          </cell>
          <cell r="B1385" t="str">
            <v>Trong 24h</v>
          </cell>
          <cell r="D1385" t="str">
            <v>Khiếu nại về dịch vụ FTTH</v>
          </cell>
          <cell r="W1385" t="str">
            <v>Đã đóng</v>
          </cell>
          <cell r="AJ1385" t="str">
            <v>Hà Nội 1</v>
          </cell>
          <cell r="BX1385" t="str">
            <v>AON</v>
          </cell>
        </row>
        <row r="1386">
          <cell r="A1386" t="str">
            <v>ON</v>
          </cell>
          <cell r="B1386" t="str">
            <v>Trong 24h</v>
          </cell>
          <cell r="D1386" t="str">
            <v>Khiếu nại về dịch vụ FTTH</v>
          </cell>
          <cell r="W1386" t="str">
            <v>Đã đóng</v>
          </cell>
          <cell r="AJ1386" t="str">
            <v>TP HCM</v>
          </cell>
          <cell r="BX1386" t="str">
            <v>AON</v>
          </cell>
        </row>
        <row r="1387">
          <cell r="A1387" t="str">
            <v>ON</v>
          </cell>
          <cell r="B1387" t="str">
            <v>Trong 24h</v>
          </cell>
          <cell r="D1387" t="str">
            <v>Khiếu nại về dịch vụ FTTH</v>
          </cell>
          <cell r="W1387" t="str">
            <v>Đang xử lý</v>
          </cell>
          <cell r="AJ1387" t="str">
            <v xml:space="preserve">Quảng Nam </v>
          </cell>
          <cell r="BX1387" t="str">
            <v>AON</v>
          </cell>
        </row>
        <row r="1388">
          <cell r="A1388" t="str">
            <v>ON</v>
          </cell>
          <cell r="B1388" t="str">
            <v>Trong 24h</v>
          </cell>
          <cell r="D1388" t="str">
            <v>Khiếu nại về dịch vụ FTTH</v>
          </cell>
          <cell r="W1388" t="str">
            <v>Đã đóng</v>
          </cell>
          <cell r="AJ1388" t="str">
            <v>TP HCM</v>
          </cell>
          <cell r="BX1388" t="str">
            <v>AON</v>
          </cell>
        </row>
        <row r="1389">
          <cell r="A1389" t="str">
            <v>ON</v>
          </cell>
          <cell r="B1389" t="str">
            <v>Trong 24h</v>
          </cell>
          <cell r="D1389" t="str">
            <v>Khiếu nại về dịch vụ FTTH</v>
          </cell>
          <cell r="W1389" t="str">
            <v>Đang xử lý</v>
          </cell>
          <cell r="AJ1389" t="str">
            <v>TP HCM</v>
          </cell>
          <cell r="BX1389" t="str">
            <v>AON</v>
          </cell>
        </row>
        <row r="1390">
          <cell r="A1390" t="str">
            <v>ON</v>
          </cell>
          <cell r="B1390" t="str">
            <v>Trong 24h</v>
          </cell>
          <cell r="D1390" t="str">
            <v>Khiếu nại về dịch vụ FTTH</v>
          </cell>
          <cell r="W1390" t="str">
            <v>Đã đóng</v>
          </cell>
          <cell r="AJ1390" t="str">
            <v>TP HCM</v>
          </cell>
          <cell r="BX1390" t="str">
            <v>AON</v>
          </cell>
        </row>
        <row r="1391">
          <cell r="A1391" t="str">
            <v>ON</v>
          </cell>
          <cell r="B1391" t="str">
            <v>Trong 24h</v>
          </cell>
          <cell r="D1391" t="str">
            <v>Khiếu nại về dịch vụ FTTH</v>
          </cell>
          <cell r="W1391" t="str">
            <v>Đã đóng</v>
          </cell>
          <cell r="AJ1391" t="str">
            <v>Quảng Ngãi</v>
          </cell>
          <cell r="BX1391" t="str">
            <v>AON</v>
          </cell>
        </row>
        <row r="1392">
          <cell r="A1392" t="str">
            <v>ON</v>
          </cell>
          <cell r="B1392" t="str">
            <v>Trong 24h</v>
          </cell>
          <cell r="D1392" t="str">
            <v>Khiếu nại về dịch vụ NextTV</v>
          </cell>
          <cell r="W1392" t="str">
            <v>Đã đóng</v>
          </cell>
          <cell r="AJ1392" t="str">
            <v>TP HCM</v>
          </cell>
          <cell r="BX1392" t="str">
            <v>AON</v>
          </cell>
        </row>
        <row r="1393">
          <cell r="A1393" t="str">
            <v>ON</v>
          </cell>
          <cell r="B1393" t="str">
            <v>Trong 24h</v>
          </cell>
          <cell r="D1393" t="str">
            <v>Khiếu nại về dịch vụ FTTH</v>
          </cell>
          <cell r="W1393" t="str">
            <v>Đã đóng</v>
          </cell>
          <cell r="AJ1393" t="str">
            <v>Bình Dương</v>
          </cell>
          <cell r="BX1393" t="str">
            <v>AON</v>
          </cell>
        </row>
        <row r="1394">
          <cell r="A1394" t="str">
            <v>ON</v>
          </cell>
          <cell r="B1394" t="str">
            <v>Trong 24h</v>
          </cell>
          <cell r="D1394" t="str">
            <v>Khiếu nại về dịch vụ FTTH</v>
          </cell>
          <cell r="W1394" t="str">
            <v>Đã đóng</v>
          </cell>
          <cell r="AJ1394" t="str">
            <v>Quảng Ninh</v>
          </cell>
          <cell r="BX1394" t="str">
            <v>AON</v>
          </cell>
        </row>
        <row r="1395">
          <cell r="A1395" t="str">
            <v>ON</v>
          </cell>
          <cell r="B1395" t="str">
            <v>Trong 24h</v>
          </cell>
          <cell r="D1395" t="str">
            <v>Khiếu nại về dịch vụ FTTH</v>
          </cell>
          <cell r="W1395" t="str">
            <v>Đã đóng</v>
          </cell>
          <cell r="AJ1395" t="str">
            <v>An Giang</v>
          </cell>
          <cell r="BX1395" t="str">
            <v>AON</v>
          </cell>
        </row>
        <row r="1396">
          <cell r="A1396" t="str">
            <v>ON</v>
          </cell>
          <cell r="B1396" t="str">
            <v>Trong 24h</v>
          </cell>
          <cell r="D1396" t="str">
            <v>Khiếu nại về dịch vụ FTTH</v>
          </cell>
          <cell r="W1396" t="str">
            <v>Đã đóng</v>
          </cell>
          <cell r="AJ1396" t="str">
            <v>TP HCM</v>
          </cell>
          <cell r="BX1396" t="str">
            <v>AON</v>
          </cell>
        </row>
        <row r="1397">
          <cell r="A1397" t="str">
            <v>ON</v>
          </cell>
          <cell r="B1397" t="str">
            <v>Trong 24h</v>
          </cell>
          <cell r="D1397" t="str">
            <v>Khiếu nại về dịch vụ FTTH</v>
          </cell>
          <cell r="W1397" t="str">
            <v>Đã đóng</v>
          </cell>
          <cell r="AJ1397" t="str">
            <v>TP HCM</v>
          </cell>
          <cell r="BX1397" t="str">
            <v>AON</v>
          </cell>
        </row>
        <row r="1398">
          <cell r="A1398" t="str">
            <v>ON</v>
          </cell>
          <cell r="B1398" t="str">
            <v>Trong 24h</v>
          </cell>
          <cell r="D1398" t="str">
            <v>Khiếu nại về dịch vụ FTTH</v>
          </cell>
          <cell r="W1398" t="str">
            <v>Đã đóng</v>
          </cell>
          <cell r="AJ1398" t="str">
            <v>TP HCM</v>
          </cell>
          <cell r="BX1398" t="str">
            <v>AON</v>
          </cell>
        </row>
        <row r="1399">
          <cell r="A1399" t="str">
            <v>ON</v>
          </cell>
          <cell r="B1399" t="str">
            <v>Trong 24h</v>
          </cell>
          <cell r="D1399" t="str">
            <v>Khiếu nại về dịch vụ FTTH</v>
          </cell>
          <cell r="W1399" t="str">
            <v>Đang xử lý</v>
          </cell>
          <cell r="AJ1399" t="str">
            <v>TP HCM</v>
          </cell>
          <cell r="BX1399" t="str">
            <v>AON</v>
          </cell>
        </row>
        <row r="1400">
          <cell r="A1400" t="str">
            <v>ON</v>
          </cell>
          <cell r="B1400" t="str">
            <v>Trong 24h</v>
          </cell>
          <cell r="D1400" t="str">
            <v>Khiếu nại về dịch vụ FTTH</v>
          </cell>
          <cell r="W1400" t="str">
            <v>Đã đóng</v>
          </cell>
          <cell r="AJ1400" t="str">
            <v>Bắc Ninh</v>
          </cell>
          <cell r="BX1400" t="str">
            <v>AON</v>
          </cell>
        </row>
        <row r="1401">
          <cell r="A1401" t="str">
            <v>ON</v>
          </cell>
          <cell r="B1401" t="str">
            <v>Trong 24h</v>
          </cell>
          <cell r="D1401" t="str">
            <v>Khiếu nại về dịch vụ FTTH</v>
          </cell>
          <cell r="W1401" t="str">
            <v>Đã đóng</v>
          </cell>
          <cell r="AJ1401" t="str">
            <v>Hậu Giang</v>
          </cell>
          <cell r="BX1401" t="str">
            <v>AON</v>
          </cell>
        </row>
        <row r="1402">
          <cell r="A1402" t="str">
            <v>ON</v>
          </cell>
          <cell r="B1402" t="str">
            <v>Trong 24h</v>
          </cell>
          <cell r="D1402" t="str">
            <v>Khiếu nại về dịch vụ FTTH</v>
          </cell>
          <cell r="W1402" t="str">
            <v>Đang xử lý</v>
          </cell>
          <cell r="AJ1402" t="str">
            <v>Bình Thuận</v>
          </cell>
          <cell r="BX1402" t="str">
            <v>AON</v>
          </cell>
        </row>
        <row r="1403">
          <cell r="A1403" t="str">
            <v>ON</v>
          </cell>
          <cell r="B1403" t="str">
            <v>Trong 24h</v>
          </cell>
          <cell r="D1403" t="str">
            <v>Khiếu nại về dịch vụ FTTH</v>
          </cell>
          <cell r="W1403" t="str">
            <v>Đã đóng</v>
          </cell>
          <cell r="AJ1403" t="str">
            <v>TP HCM</v>
          </cell>
          <cell r="BX1403" t="str">
            <v>AON</v>
          </cell>
        </row>
        <row r="1404">
          <cell r="A1404" t="str">
            <v>ON</v>
          </cell>
          <cell r="B1404" t="str">
            <v>Trong 24h</v>
          </cell>
          <cell r="D1404" t="str">
            <v>Khiếu nại về dịch vụ FTTH</v>
          </cell>
          <cell r="W1404" t="str">
            <v>Đang xử lý</v>
          </cell>
          <cell r="AJ1404" t="str">
            <v>TP HCM</v>
          </cell>
          <cell r="BX1404" t="str">
            <v>AON</v>
          </cell>
        </row>
        <row r="1405">
          <cell r="A1405" t="str">
            <v>ON</v>
          </cell>
          <cell r="B1405" t="str">
            <v>Trong 24h</v>
          </cell>
          <cell r="D1405" t="str">
            <v>Khiếu nại về dịch vụ FTTH</v>
          </cell>
          <cell r="W1405" t="str">
            <v>Đang xử lý</v>
          </cell>
          <cell r="AJ1405" t="str">
            <v>TP HCM</v>
          </cell>
          <cell r="BX1405" t="str">
            <v>AON</v>
          </cell>
        </row>
        <row r="1406">
          <cell r="A1406" t="str">
            <v>ON</v>
          </cell>
          <cell r="B1406" t="str">
            <v>Trong 24h</v>
          </cell>
          <cell r="D1406" t="str">
            <v>Khiếu nại về dịch vụ FTTH</v>
          </cell>
          <cell r="W1406" t="str">
            <v>Đang xử lý</v>
          </cell>
          <cell r="AJ1406" t="str">
            <v>Hậu Giang</v>
          </cell>
          <cell r="BX1406" t="str">
            <v>AON</v>
          </cell>
        </row>
        <row r="1407">
          <cell r="A1407" t="str">
            <v>ON</v>
          </cell>
          <cell r="B1407" t="str">
            <v>Trong 24h</v>
          </cell>
          <cell r="D1407" t="str">
            <v>Khiếu nại về dịch vụ FTTH</v>
          </cell>
          <cell r="W1407" t="str">
            <v>Đã đóng</v>
          </cell>
          <cell r="AJ1407" t="str">
            <v>TP HCM</v>
          </cell>
          <cell r="BX1407" t="str">
            <v>AON</v>
          </cell>
        </row>
        <row r="1408">
          <cell r="A1408" t="str">
            <v>ON</v>
          </cell>
          <cell r="B1408" t="str">
            <v>Trong 24h</v>
          </cell>
          <cell r="D1408" t="str">
            <v>Khiếu nại về dịch vụ FTTH</v>
          </cell>
          <cell r="W1408" t="str">
            <v>Đã đóng</v>
          </cell>
          <cell r="AJ1408" t="str">
            <v>Hà Nội 2</v>
          </cell>
          <cell r="BX1408" t="str">
            <v>AON</v>
          </cell>
        </row>
        <row r="1409">
          <cell r="A1409" t="str">
            <v>ON</v>
          </cell>
          <cell r="B1409" t="str">
            <v>Trong 24h</v>
          </cell>
          <cell r="D1409" t="str">
            <v>Khiếu nại về dịch vụ FTTH</v>
          </cell>
          <cell r="W1409" t="str">
            <v>Đang xử lý</v>
          </cell>
          <cell r="AJ1409" t="str">
            <v>Bến Tre</v>
          </cell>
          <cell r="BX1409" t="str">
            <v>AON</v>
          </cell>
        </row>
        <row r="1410">
          <cell r="A1410" t="str">
            <v>ON</v>
          </cell>
          <cell r="B1410" t="str">
            <v>Trong 24h</v>
          </cell>
          <cell r="D1410" t="str">
            <v>Khiếu nại về dịch vụ FTTH</v>
          </cell>
          <cell r="W1410" t="str">
            <v>Đang xử lý</v>
          </cell>
          <cell r="AJ1410" t="str">
            <v>Cà Mau</v>
          </cell>
          <cell r="BX1410" t="str">
            <v>AON</v>
          </cell>
        </row>
        <row r="1411">
          <cell r="A1411" t="str">
            <v>ON</v>
          </cell>
          <cell r="B1411" t="str">
            <v>Trong 24h</v>
          </cell>
          <cell r="D1411" t="str">
            <v>Khiếu nại về dịch vụ FTTH</v>
          </cell>
          <cell r="W1411" t="str">
            <v>Đã đóng</v>
          </cell>
          <cell r="AJ1411" t="str">
            <v>TP HCM</v>
          </cell>
          <cell r="BX1411" t="str">
            <v>AON</v>
          </cell>
        </row>
        <row r="1412">
          <cell r="A1412" t="str">
            <v>ON</v>
          </cell>
          <cell r="B1412" t="str">
            <v>Trong 24h</v>
          </cell>
          <cell r="D1412" t="str">
            <v>Khiếu nại về dịch vụ FTTH</v>
          </cell>
          <cell r="W1412" t="str">
            <v>Đã đóng</v>
          </cell>
          <cell r="AJ1412" t="str">
            <v>Kiên Giang</v>
          </cell>
          <cell r="BX1412" t="str">
            <v>AON</v>
          </cell>
        </row>
        <row r="1413">
          <cell r="A1413" t="str">
            <v>ON</v>
          </cell>
          <cell r="B1413" t="str">
            <v>Trong 24h</v>
          </cell>
          <cell r="D1413" t="str">
            <v>Khiếu nại về dịch vụ FTTH</v>
          </cell>
          <cell r="W1413" t="str">
            <v>Đã đóng</v>
          </cell>
          <cell r="AJ1413" t="str">
            <v>TP HCM</v>
          </cell>
          <cell r="BX1413" t="str">
            <v>AON</v>
          </cell>
        </row>
        <row r="1414">
          <cell r="A1414" t="str">
            <v>ON</v>
          </cell>
          <cell r="B1414" t="str">
            <v>Trong 24h</v>
          </cell>
          <cell r="D1414" t="str">
            <v>Khiếu nại về dịch vụ FTTH</v>
          </cell>
          <cell r="W1414" t="str">
            <v>Đã đóng</v>
          </cell>
          <cell r="AJ1414" t="str">
            <v>Khánh Hoà</v>
          </cell>
          <cell r="BX1414" t="str">
            <v>AON</v>
          </cell>
        </row>
        <row r="1415">
          <cell r="A1415" t="str">
            <v>ON</v>
          </cell>
          <cell r="B1415" t="str">
            <v>Trong 24h</v>
          </cell>
          <cell r="D1415" t="str">
            <v>Khiếu nại về dịch vụ FTTH</v>
          </cell>
          <cell r="W1415" t="str">
            <v>Đã đóng</v>
          </cell>
          <cell r="AJ1415" t="str">
            <v>TP HCM</v>
          </cell>
          <cell r="BX1415" t="str">
            <v>GPON</v>
          </cell>
        </row>
        <row r="1416">
          <cell r="A1416" t="str">
            <v>ON</v>
          </cell>
          <cell r="B1416" t="str">
            <v>Trong 24h</v>
          </cell>
          <cell r="D1416" t="str">
            <v>Khiếu nại về dịch vụ FTTH</v>
          </cell>
          <cell r="W1416" t="str">
            <v>Đang xử lý</v>
          </cell>
          <cell r="AJ1416" t="str">
            <v>TP HCM</v>
          </cell>
          <cell r="BX1416" t="str">
            <v>AON</v>
          </cell>
        </row>
        <row r="1417">
          <cell r="A1417" t="str">
            <v>ON</v>
          </cell>
          <cell r="B1417" t="str">
            <v>Trong 24h</v>
          </cell>
          <cell r="D1417" t="str">
            <v>Khiếu nại về dịch vụ FTTH</v>
          </cell>
          <cell r="W1417" t="str">
            <v>Đang xử lý</v>
          </cell>
          <cell r="AJ1417" t="str">
            <v>TP HCM</v>
          </cell>
          <cell r="BX1417" t="str">
            <v>AON</v>
          </cell>
        </row>
        <row r="1418">
          <cell r="A1418" t="str">
            <v>ON</v>
          </cell>
          <cell r="B1418" t="str">
            <v>Trong 24h</v>
          </cell>
          <cell r="D1418" t="str">
            <v>Khiếu nại về dịch vụ FTTH</v>
          </cell>
          <cell r="W1418" t="str">
            <v>Đang xử lý</v>
          </cell>
          <cell r="AJ1418" t="str">
            <v>Bình Dương</v>
          </cell>
          <cell r="BX1418" t="str">
            <v>AON</v>
          </cell>
        </row>
        <row r="1419">
          <cell r="A1419" t="str">
            <v>ON</v>
          </cell>
          <cell r="B1419" t="str">
            <v>Trong 24h</v>
          </cell>
          <cell r="D1419" t="str">
            <v>Khiếu nại về dịch vụ FTTH</v>
          </cell>
          <cell r="W1419" t="str">
            <v>Đang xử lý</v>
          </cell>
          <cell r="AJ1419" t="str">
            <v>TP HCM</v>
          </cell>
          <cell r="BX1419" t="str">
            <v>AON</v>
          </cell>
        </row>
        <row r="1420">
          <cell r="A1420" t="str">
            <v>ON</v>
          </cell>
          <cell r="B1420" t="str">
            <v>Trong 24h</v>
          </cell>
          <cell r="D1420" t="str">
            <v>Khiếu nại về dịch vụ FTTH</v>
          </cell>
          <cell r="W1420" t="str">
            <v>Đã đóng</v>
          </cell>
          <cell r="AJ1420" t="str">
            <v>Quảng Ngãi</v>
          </cell>
          <cell r="BX1420" t="str">
            <v>AON</v>
          </cell>
        </row>
        <row r="1421">
          <cell r="A1421" t="str">
            <v>ON</v>
          </cell>
          <cell r="B1421" t="str">
            <v>Trong 24h</v>
          </cell>
          <cell r="D1421" t="str">
            <v>Khiếu nại về dịch vụ FTTH</v>
          </cell>
          <cell r="W1421" t="str">
            <v>Đã đóng</v>
          </cell>
          <cell r="AJ1421" t="str">
            <v xml:space="preserve">Đà Nẵng </v>
          </cell>
          <cell r="BX1421" t="str">
            <v>AON</v>
          </cell>
        </row>
        <row r="1422">
          <cell r="A1422" t="str">
            <v>ON</v>
          </cell>
          <cell r="B1422" t="str">
            <v>Trong 24h</v>
          </cell>
          <cell r="D1422" t="str">
            <v>Khiếu nại về dịch vụ FTTH</v>
          </cell>
          <cell r="W1422" t="str">
            <v>Đã đóng</v>
          </cell>
          <cell r="AJ1422" t="str">
            <v>Lâm Đồng</v>
          </cell>
          <cell r="BX1422" t="str">
            <v>AON</v>
          </cell>
        </row>
        <row r="1423">
          <cell r="A1423" t="str">
            <v>ON</v>
          </cell>
          <cell r="B1423" t="str">
            <v>Trong 24h</v>
          </cell>
          <cell r="D1423" t="str">
            <v>Khiếu nại về dịch vụ FTTH</v>
          </cell>
          <cell r="W1423" t="str">
            <v>Đang xử lý</v>
          </cell>
          <cell r="AJ1423" t="str">
            <v xml:space="preserve">Đắc Lắk </v>
          </cell>
          <cell r="BX1423" t="str">
            <v>AON</v>
          </cell>
        </row>
        <row r="1424">
          <cell r="A1424" t="str">
            <v>ON</v>
          </cell>
          <cell r="B1424" t="str">
            <v>Trong 24h</v>
          </cell>
          <cell r="D1424" t="str">
            <v>Khiếu nại về dịch vụ FTTH</v>
          </cell>
          <cell r="W1424" t="str">
            <v>Đã đóng</v>
          </cell>
          <cell r="AJ1424" t="str">
            <v>Hà Nội 1</v>
          </cell>
          <cell r="BX1424" t="str">
            <v>AON</v>
          </cell>
        </row>
        <row r="1425">
          <cell r="A1425" t="str">
            <v>ON</v>
          </cell>
          <cell r="B1425" t="str">
            <v>Trong 24h</v>
          </cell>
          <cell r="D1425" t="str">
            <v>Khiếu nại về dịch vụ FTTH</v>
          </cell>
          <cell r="W1425" t="str">
            <v>Đã đóng</v>
          </cell>
          <cell r="AJ1425" t="str">
            <v>TP HCM</v>
          </cell>
          <cell r="BX1425" t="str">
            <v>AON</v>
          </cell>
        </row>
        <row r="1426">
          <cell r="A1426" t="str">
            <v>ON</v>
          </cell>
          <cell r="B1426" t="str">
            <v>Trong 24h</v>
          </cell>
          <cell r="D1426" t="str">
            <v>Khiếu nại về dịch vụ FTTH</v>
          </cell>
          <cell r="W1426" t="str">
            <v>Đang xử lý</v>
          </cell>
          <cell r="AJ1426" t="str">
            <v>Nghệ An</v>
          </cell>
          <cell r="BX1426" t="str">
            <v>AON</v>
          </cell>
        </row>
        <row r="1427">
          <cell r="A1427" t="str">
            <v>ON</v>
          </cell>
          <cell r="B1427" t="str">
            <v>Trong 24h</v>
          </cell>
          <cell r="D1427" t="str">
            <v>Khiếu nại về dịch vụ FTTH</v>
          </cell>
          <cell r="W1427" t="str">
            <v>Đã đóng</v>
          </cell>
          <cell r="AJ1427" t="str">
            <v>Hà Nội 2</v>
          </cell>
          <cell r="BX1427" t="str">
            <v>AON</v>
          </cell>
        </row>
        <row r="1428">
          <cell r="A1428" t="str">
            <v>ON</v>
          </cell>
          <cell r="B1428" t="str">
            <v>Trong 24h</v>
          </cell>
          <cell r="D1428" t="str">
            <v>Khiếu nại về dịch vụ FTTH</v>
          </cell>
          <cell r="W1428" t="str">
            <v>Đã đóng</v>
          </cell>
          <cell r="AJ1428" t="str">
            <v>TP HCM</v>
          </cell>
          <cell r="BX1428" t="str">
            <v>AON</v>
          </cell>
        </row>
        <row r="1429">
          <cell r="A1429" t="str">
            <v>ON</v>
          </cell>
          <cell r="B1429" t="str">
            <v>Trong 24h</v>
          </cell>
          <cell r="D1429" t="str">
            <v>Khiếu nại về dịch vụ FTTH</v>
          </cell>
          <cell r="W1429" t="str">
            <v>Đã đóng</v>
          </cell>
          <cell r="AJ1429" t="str">
            <v>TP HCM</v>
          </cell>
          <cell r="BX1429" t="str">
            <v>AON</v>
          </cell>
        </row>
        <row r="1430">
          <cell r="A1430" t="str">
            <v>ON</v>
          </cell>
          <cell r="B1430" t="str">
            <v>Trong 24h</v>
          </cell>
          <cell r="D1430" t="str">
            <v>Khiếu nại về dịch vụ FTTH</v>
          </cell>
          <cell r="W1430" t="str">
            <v>Đã đóng</v>
          </cell>
          <cell r="AJ1430" t="str">
            <v>TP HCM</v>
          </cell>
          <cell r="BX1430" t="str">
            <v>AON</v>
          </cell>
        </row>
        <row r="1431">
          <cell r="A1431" t="str">
            <v>ON</v>
          </cell>
          <cell r="B1431" t="str">
            <v>Trong 24h</v>
          </cell>
          <cell r="D1431" t="str">
            <v>Khiếu nại về dịch vụ FTTH</v>
          </cell>
          <cell r="W1431" t="str">
            <v>Đang xử lý</v>
          </cell>
          <cell r="AJ1431" t="str">
            <v>Thừa Thiên Huế</v>
          </cell>
          <cell r="BX1431" t="str">
            <v>AON</v>
          </cell>
        </row>
        <row r="1432">
          <cell r="A1432" t="str">
            <v>ON</v>
          </cell>
          <cell r="B1432" t="str">
            <v>Trong 24h</v>
          </cell>
          <cell r="D1432" t="str">
            <v>Khiếu nại về dịch vụ FTTH</v>
          </cell>
          <cell r="W1432" t="str">
            <v>Đang xử lý</v>
          </cell>
          <cell r="AJ1432" t="str">
            <v xml:space="preserve">Đà Nẵng </v>
          </cell>
          <cell r="BX1432" t="str">
            <v>AON</v>
          </cell>
        </row>
        <row r="1433">
          <cell r="A1433" t="str">
            <v>ON</v>
          </cell>
          <cell r="B1433" t="str">
            <v>Trong 24h</v>
          </cell>
          <cell r="D1433" t="str">
            <v>Khiếu nại về dịch vụ FTTH</v>
          </cell>
          <cell r="W1433" t="str">
            <v>Đang xử lý</v>
          </cell>
          <cell r="AJ1433" t="str">
            <v>Lào Cai</v>
          </cell>
          <cell r="BX1433" t="str">
            <v>AON</v>
          </cell>
        </row>
        <row r="1434">
          <cell r="A1434" t="str">
            <v>ON</v>
          </cell>
          <cell r="B1434" t="str">
            <v>Trong 24h</v>
          </cell>
          <cell r="D1434" t="str">
            <v>Khiếu nại về dịch vụ FTTH</v>
          </cell>
          <cell r="W1434" t="str">
            <v>Đã đóng</v>
          </cell>
          <cell r="AJ1434" t="str">
            <v>Thái Bình</v>
          </cell>
          <cell r="BX1434" t="str">
            <v>AON</v>
          </cell>
        </row>
        <row r="1435">
          <cell r="A1435" t="str">
            <v>ON</v>
          </cell>
          <cell r="B1435" t="str">
            <v>Trong 24h</v>
          </cell>
          <cell r="D1435" t="str">
            <v>Khiếu nại về dịch vụ FTTH</v>
          </cell>
          <cell r="W1435" t="str">
            <v>Đang xử lý</v>
          </cell>
          <cell r="AJ1435" t="str">
            <v>Bạc Liêu</v>
          </cell>
          <cell r="BX1435" t="str">
            <v>AON</v>
          </cell>
        </row>
        <row r="1436">
          <cell r="A1436" t="str">
            <v>ON</v>
          </cell>
          <cell r="B1436" t="str">
            <v>Trong 24h</v>
          </cell>
          <cell r="D1436" t="str">
            <v>Khiếu nại về dịch vụ NextTV</v>
          </cell>
          <cell r="W1436" t="str">
            <v>Đang xử lý</v>
          </cell>
          <cell r="AJ1436" t="str">
            <v>Hà Nam</v>
          </cell>
          <cell r="BX1436" t="str">
            <v>AON</v>
          </cell>
        </row>
        <row r="1437">
          <cell r="A1437" t="str">
            <v>ON</v>
          </cell>
          <cell r="B1437" t="str">
            <v>Trong 24h</v>
          </cell>
          <cell r="D1437" t="str">
            <v>Khiếu nại về dịch vụ FTTH</v>
          </cell>
          <cell r="W1437" t="str">
            <v>Đã đóng</v>
          </cell>
          <cell r="AJ1437" t="str">
            <v>Nam Định</v>
          </cell>
          <cell r="BX1437" t="str">
            <v>AON</v>
          </cell>
        </row>
        <row r="1438">
          <cell r="A1438" t="str">
            <v>ON</v>
          </cell>
          <cell r="B1438" t="str">
            <v>Trong 24h</v>
          </cell>
          <cell r="D1438" t="str">
            <v>Khiếu nại về dịch vụ FTTH</v>
          </cell>
          <cell r="W1438" t="str">
            <v>Đã đóng</v>
          </cell>
          <cell r="AJ1438" t="str">
            <v>Hà Nội 1</v>
          </cell>
          <cell r="BX1438" t="str">
            <v>AON</v>
          </cell>
        </row>
        <row r="1439">
          <cell r="A1439" t="str">
            <v>ON</v>
          </cell>
          <cell r="B1439" t="str">
            <v>Trong 24h</v>
          </cell>
          <cell r="D1439" t="str">
            <v>Khiếu nại về dịch vụ FTTH</v>
          </cell>
          <cell r="W1439" t="str">
            <v>Đã đóng</v>
          </cell>
          <cell r="AJ1439" t="str">
            <v>Cần Thơ</v>
          </cell>
          <cell r="BX1439" t="str">
            <v>AON</v>
          </cell>
        </row>
        <row r="1440">
          <cell r="A1440" t="str">
            <v>ON</v>
          </cell>
          <cell r="B1440" t="str">
            <v>Trong 24h</v>
          </cell>
          <cell r="D1440" t="str">
            <v>Khiếu nại về dịch vụ FTTH</v>
          </cell>
          <cell r="W1440" t="str">
            <v>Đã đóng</v>
          </cell>
          <cell r="AJ1440" t="str">
            <v>Hậu Giang</v>
          </cell>
          <cell r="BX1440" t="str">
            <v>AON</v>
          </cell>
        </row>
        <row r="1441">
          <cell r="A1441" t="str">
            <v>ON</v>
          </cell>
          <cell r="B1441" t="str">
            <v>Trong 24h</v>
          </cell>
          <cell r="D1441" t="str">
            <v>Khiếu nại về dịch vụ FTTH</v>
          </cell>
          <cell r="W1441" t="str">
            <v>Đang xử lý</v>
          </cell>
          <cell r="AJ1441" t="str">
            <v>TP HCM</v>
          </cell>
          <cell r="BX1441" t="str">
            <v>AON</v>
          </cell>
        </row>
        <row r="1442">
          <cell r="A1442" t="str">
            <v>ON</v>
          </cell>
          <cell r="B1442" t="str">
            <v>Trong 24h</v>
          </cell>
          <cell r="D1442" t="str">
            <v>Khiếu nại về dịch vụ FTTH</v>
          </cell>
          <cell r="W1442" t="str">
            <v>Đã đóng</v>
          </cell>
          <cell r="AJ1442" t="str">
            <v>Hải Phòng</v>
          </cell>
          <cell r="BX1442" t="str">
            <v>AON</v>
          </cell>
        </row>
        <row r="1443">
          <cell r="A1443" t="str">
            <v>ON</v>
          </cell>
          <cell r="B1443" t="str">
            <v>Trong 24h</v>
          </cell>
          <cell r="D1443" t="str">
            <v>Khiếu nại về dịch vụ FTTH</v>
          </cell>
          <cell r="W1443" t="str">
            <v>Đã đóng</v>
          </cell>
          <cell r="AJ1443" t="str">
            <v>Thanh Hoá</v>
          </cell>
          <cell r="BX1443" t="str">
            <v>AON</v>
          </cell>
        </row>
        <row r="1444">
          <cell r="A1444" t="str">
            <v>ON</v>
          </cell>
          <cell r="B1444" t="str">
            <v>Trong 24h</v>
          </cell>
          <cell r="D1444" t="str">
            <v>Khiếu nại về dịch vụ FTTH</v>
          </cell>
          <cell r="W1444" t="str">
            <v>Đã đóng</v>
          </cell>
          <cell r="AJ1444" t="str">
            <v xml:space="preserve">Hà Tĩnh </v>
          </cell>
          <cell r="BX1444" t="str">
            <v>AON</v>
          </cell>
        </row>
        <row r="1445">
          <cell r="A1445" t="str">
            <v>ON</v>
          </cell>
          <cell r="B1445" t="str">
            <v>Trong 24h</v>
          </cell>
          <cell r="D1445" t="str">
            <v>Khiếu nại về dịch vụ FTTH</v>
          </cell>
          <cell r="W1445" t="str">
            <v>Đã đóng</v>
          </cell>
          <cell r="AJ1445" t="str">
            <v>Thanh Hoá</v>
          </cell>
          <cell r="BX1445" t="str">
            <v>AON</v>
          </cell>
        </row>
        <row r="1446">
          <cell r="A1446" t="str">
            <v>ON</v>
          </cell>
          <cell r="B1446" t="str">
            <v>Trong 24h</v>
          </cell>
          <cell r="D1446" t="str">
            <v>Khiếu nại về dịch vụ FTTH</v>
          </cell>
          <cell r="W1446" t="str">
            <v>Đã đóng</v>
          </cell>
          <cell r="AJ1446" t="str">
            <v>Hậu Giang</v>
          </cell>
          <cell r="BX1446" t="str">
            <v>AON</v>
          </cell>
        </row>
        <row r="1447">
          <cell r="A1447" t="str">
            <v>ON</v>
          </cell>
          <cell r="B1447" t="str">
            <v>Trong 24h</v>
          </cell>
          <cell r="D1447" t="str">
            <v>Khiếu nại về dịch vụ FTTH</v>
          </cell>
          <cell r="W1447" t="str">
            <v>Đang xử lý</v>
          </cell>
          <cell r="AJ1447" t="str">
            <v>TP HCM</v>
          </cell>
          <cell r="BX1447" t="str">
            <v>AON</v>
          </cell>
        </row>
        <row r="1448">
          <cell r="A1448" t="str">
            <v>ON</v>
          </cell>
          <cell r="B1448" t="str">
            <v>Trong 24h</v>
          </cell>
          <cell r="D1448" t="str">
            <v>Khiếu nại về dịch vụ FTTH</v>
          </cell>
          <cell r="W1448" t="str">
            <v>Đã đóng</v>
          </cell>
          <cell r="AJ1448" t="str">
            <v>Bình Dương</v>
          </cell>
          <cell r="BX1448" t="str">
            <v>AON</v>
          </cell>
        </row>
        <row r="1449">
          <cell r="A1449" t="str">
            <v>ON</v>
          </cell>
          <cell r="B1449" t="str">
            <v>Trong 24h</v>
          </cell>
          <cell r="D1449" t="str">
            <v>Khiếu nại về dịch vụ FTTH</v>
          </cell>
          <cell r="W1449" t="str">
            <v>Đã đóng</v>
          </cell>
          <cell r="AJ1449" t="str">
            <v>Quảng Trị</v>
          </cell>
          <cell r="BX1449" t="str">
            <v>AON</v>
          </cell>
        </row>
        <row r="1450">
          <cell r="A1450" t="str">
            <v>ON</v>
          </cell>
          <cell r="B1450" t="str">
            <v>Trong 24h</v>
          </cell>
          <cell r="D1450" t="str">
            <v>Khiếu nại về dịch vụ FTTH</v>
          </cell>
          <cell r="W1450" t="str">
            <v>Đã đóng</v>
          </cell>
          <cell r="AJ1450" t="str">
            <v>TP HCM</v>
          </cell>
          <cell r="BX1450" t="str">
            <v>AON</v>
          </cell>
        </row>
        <row r="1451">
          <cell r="A1451" t="str">
            <v>ON</v>
          </cell>
          <cell r="B1451" t="str">
            <v>Trong 24h</v>
          </cell>
          <cell r="D1451" t="str">
            <v>Khiếu nại về dịch vụ FTTH</v>
          </cell>
          <cell r="W1451" t="str">
            <v>Đang xử lý</v>
          </cell>
          <cell r="AJ1451" t="str">
            <v>Bắc Giang</v>
          </cell>
          <cell r="BX1451" t="str">
            <v>AON</v>
          </cell>
        </row>
        <row r="1452">
          <cell r="A1452" t="str">
            <v>ON</v>
          </cell>
          <cell r="B1452" t="str">
            <v>Trong 24h</v>
          </cell>
          <cell r="D1452" t="str">
            <v>Khiếu nại về dịch vụ FTTH</v>
          </cell>
          <cell r="W1452" t="str">
            <v>Đã đóng</v>
          </cell>
          <cell r="AJ1452" t="str">
            <v>Bình Thuận</v>
          </cell>
          <cell r="BX1452" t="str">
            <v>AON</v>
          </cell>
        </row>
        <row r="1453">
          <cell r="A1453" t="str">
            <v>ON</v>
          </cell>
          <cell r="B1453" t="str">
            <v>Trong 24h</v>
          </cell>
          <cell r="D1453" t="str">
            <v>Khiếu nại về dịch vụ FTTH</v>
          </cell>
          <cell r="W1453" t="str">
            <v>Đã đóng</v>
          </cell>
          <cell r="AJ1453" t="str">
            <v>Tây Ninh</v>
          </cell>
          <cell r="BX1453" t="str">
            <v>AON</v>
          </cell>
        </row>
        <row r="1454">
          <cell r="A1454" t="str">
            <v>ON</v>
          </cell>
          <cell r="B1454" t="str">
            <v>Trong 24h</v>
          </cell>
          <cell r="D1454" t="str">
            <v>Khiếu nại về dịch vụ FTTH</v>
          </cell>
          <cell r="W1454" t="str">
            <v>Đang xử lý</v>
          </cell>
          <cell r="AJ1454" t="str">
            <v>Bắc Giang</v>
          </cell>
          <cell r="BX1454" t="str">
            <v>AON</v>
          </cell>
        </row>
        <row r="1455">
          <cell r="A1455" t="str">
            <v>ON</v>
          </cell>
          <cell r="B1455" t="str">
            <v>Trong 24h</v>
          </cell>
          <cell r="D1455" t="str">
            <v>Khiếu nại về dịch vụ NextTV</v>
          </cell>
          <cell r="W1455" t="str">
            <v>Đã đóng</v>
          </cell>
          <cell r="AJ1455" t="str">
            <v>TP HCM</v>
          </cell>
          <cell r="BX1455" t="str">
            <v>AON</v>
          </cell>
        </row>
        <row r="1456">
          <cell r="A1456" t="str">
            <v>ON</v>
          </cell>
          <cell r="B1456" t="str">
            <v>Trong 24h</v>
          </cell>
          <cell r="D1456" t="str">
            <v>Khiếu nại về dịch vụ FTTH</v>
          </cell>
          <cell r="W1456" t="str">
            <v>Đang xử lý</v>
          </cell>
          <cell r="AJ1456" t="str">
            <v>Lâm Đồng</v>
          </cell>
          <cell r="BX1456" t="str">
            <v>AON</v>
          </cell>
        </row>
        <row r="1457">
          <cell r="A1457" t="str">
            <v>ON</v>
          </cell>
          <cell r="B1457" t="str">
            <v>Trong 24h</v>
          </cell>
          <cell r="D1457" t="str">
            <v>Khiếu nại về dịch vụ FTTH</v>
          </cell>
          <cell r="W1457" t="str">
            <v>Đã đóng</v>
          </cell>
          <cell r="AJ1457" t="str">
            <v>Phú Thọ</v>
          </cell>
          <cell r="BX1457" t="str">
            <v>AON</v>
          </cell>
        </row>
        <row r="1458">
          <cell r="A1458" t="str">
            <v>ON</v>
          </cell>
          <cell r="B1458" t="str">
            <v>Trong 24h</v>
          </cell>
          <cell r="D1458" t="str">
            <v>Khiếu nại về dịch vụ NextTV</v>
          </cell>
          <cell r="W1458" t="str">
            <v>Đang xử lý</v>
          </cell>
          <cell r="AJ1458" t="str">
            <v>TP HCM</v>
          </cell>
          <cell r="BX1458" t="str">
            <v>GPON</v>
          </cell>
        </row>
        <row r="1459">
          <cell r="A1459" t="str">
            <v>ON</v>
          </cell>
          <cell r="B1459" t="str">
            <v>Trong 24h</v>
          </cell>
          <cell r="D1459" t="str">
            <v>Khiếu nại về dịch vụ FTTH</v>
          </cell>
          <cell r="W1459" t="str">
            <v>Đã đóng</v>
          </cell>
          <cell r="AJ1459" t="str">
            <v>Hà Nội 1</v>
          </cell>
          <cell r="BX1459" t="str">
            <v>AON</v>
          </cell>
        </row>
        <row r="1460">
          <cell r="A1460" t="str">
            <v>ON</v>
          </cell>
          <cell r="B1460" t="str">
            <v>Trong 24h</v>
          </cell>
          <cell r="D1460" t="str">
            <v>Khiếu nại về dịch vụ FTTH</v>
          </cell>
          <cell r="W1460" t="str">
            <v>Đang xử lý</v>
          </cell>
          <cell r="AJ1460" t="str">
            <v>Hà Nội 2</v>
          </cell>
          <cell r="BX1460" t="str">
            <v>AON</v>
          </cell>
        </row>
        <row r="1461">
          <cell r="A1461" t="str">
            <v>ON</v>
          </cell>
          <cell r="B1461" t="str">
            <v>Trong 24h</v>
          </cell>
          <cell r="D1461" t="str">
            <v>Khiếu nại về dịch vụ FTTH</v>
          </cell>
          <cell r="W1461" t="str">
            <v>Đã đóng</v>
          </cell>
          <cell r="AJ1461" t="str">
            <v>Hậu Giang</v>
          </cell>
          <cell r="BX1461" t="str">
            <v>AON</v>
          </cell>
        </row>
        <row r="1462">
          <cell r="A1462" t="str">
            <v>ON</v>
          </cell>
          <cell r="B1462" t="str">
            <v>Trong 24h</v>
          </cell>
          <cell r="D1462" t="str">
            <v>Khiếu nại về dịch vụ FTTH</v>
          </cell>
          <cell r="W1462" t="str">
            <v>Đang xử lý</v>
          </cell>
          <cell r="AJ1462" t="str">
            <v xml:space="preserve">Đắc Lắk </v>
          </cell>
          <cell r="BX1462" t="str">
            <v>AON</v>
          </cell>
        </row>
        <row r="1463">
          <cell r="A1463" t="str">
            <v>ON</v>
          </cell>
          <cell r="B1463" t="str">
            <v>Trong 24h</v>
          </cell>
          <cell r="D1463" t="str">
            <v>Khiếu nại về dịch vụ FTTH</v>
          </cell>
          <cell r="W1463" t="str">
            <v>Đã đóng</v>
          </cell>
          <cell r="AJ1463" t="str">
            <v>TP HCM</v>
          </cell>
          <cell r="BX1463" t="str">
            <v>AON</v>
          </cell>
        </row>
        <row r="1464">
          <cell r="A1464" t="str">
            <v>ON</v>
          </cell>
          <cell r="B1464" t="str">
            <v>Trong 24h</v>
          </cell>
          <cell r="D1464" t="str">
            <v>Khiếu nại về dịch vụ FTTH</v>
          </cell>
          <cell r="W1464" t="str">
            <v>Đã đóng</v>
          </cell>
          <cell r="AJ1464" t="str">
            <v>Hà Nội 1</v>
          </cell>
          <cell r="BX1464" t="str">
            <v>AON</v>
          </cell>
        </row>
        <row r="1465">
          <cell r="A1465" t="str">
            <v>ON</v>
          </cell>
          <cell r="B1465" t="str">
            <v>Trong 24h</v>
          </cell>
          <cell r="D1465" t="str">
            <v>Khiếu nại về dịch vụ FTTH</v>
          </cell>
          <cell r="W1465" t="str">
            <v>Đang xử lý</v>
          </cell>
          <cell r="AJ1465" t="str">
            <v xml:space="preserve">Đồng Nai </v>
          </cell>
          <cell r="BX1465" t="str">
            <v>AON</v>
          </cell>
        </row>
        <row r="1466">
          <cell r="A1466" t="str">
            <v>ON</v>
          </cell>
          <cell r="B1466" t="str">
            <v>Trong 24h</v>
          </cell>
          <cell r="D1466" t="str">
            <v>Khiếu nại về dịch vụ FTTH</v>
          </cell>
          <cell r="W1466" t="str">
            <v>Đã đóng</v>
          </cell>
          <cell r="AJ1466" t="str">
            <v>Thái Bình</v>
          </cell>
          <cell r="BX1466" t="str">
            <v>AON</v>
          </cell>
        </row>
        <row r="1467">
          <cell r="A1467" t="str">
            <v>ON</v>
          </cell>
          <cell r="B1467" t="str">
            <v>Trong 24h</v>
          </cell>
          <cell r="D1467" t="str">
            <v>Khiếu nại về dịch vụ FTTH</v>
          </cell>
          <cell r="W1467" t="str">
            <v>Đã đóng</v>
          </cell>
          <cell r="AJ1467" t="str">
            <v>TP HCM</v>
          </cell>
          <cell r="BX1467" t="str">
            <v>AON</v>
          </cell>
        </row>
        <row r="1468">
          <cell r="A1468" t="str">
            <v>ON</v>
          </cell>
          <cell r="B1468" t="str">
            <v>Trong 24h</v>
          </cell>
          <cell r="D1468" t="str">
            <v>Khiếu nại về dịch vụ FTTH</v>
          </cell>
          <cell r="W1468" t="str">
            <v>Đã đóng</v>
          </cell>
          <cell r="AJ1468" t="str">
            <v xml:space="preserve">Hà Tĩnh </v>
          </cell>
          <cell r="BX1468" t="str">
            <v>AON</v>
          </cell>
        </row>
        <row r="1469">
          <cell r="A1469" t="str">
            <v>ON</v>
          </cell>
          <cell r="B1469" t="str">
            <v>Trong 24h</v>
          </cell>
          <cell r="D1469" t="str">
            <v>Khiếu nại về dịch vụ FTTH</v>
          </cell>
          <cell r="W1469" t="str">
            <v>Đang xử lý</v>
          </cell>
          <cell r="AJ1469" t="str">
            <v>Hải Phòng</v>
          </cell>
          <cell r="BX1469" t="str">
            <v>AON</v>
          </cell>
        </row>
        <row r="1470">
          <cell r="A1470" t="str">
            <v>ON</v>
          </cell>
          <cell r="B1470" t="str">
            <v>Trong 24h</v>
          </cell>
          <cell r="D1470" t="str">
            <v>Khiếu nại về dịch vụ FTTH</v>
          </cell>
          <cell r="W1470" t="str">
            <v>Đang xử lý</v>
          </cell>
          <cell r="AJ1470" t="str">
            <v>Thừa Thiên Huế</v>
          </cell>
          <cell r="BX1470" t="str">
            <v>AON</v>
          </cell>
        </row>
        <row r="1471">
          <cell r="A1471" t="str">
            <v>ON</v>
          </cell>
          <cell r="B1471" t="str">
            <v>Trong 24h</v>
          </cell>
          <cell r="D1471" t="str">
            <v>Khiếu nại về dịch vụ FTTH</v>
          </cell>
          <cell r="W1471" t="str">
            <v>Đang xử lý</v>
          </cell>
          <cell r="AJ1471" t="str">
            <v xml:space="preserve">Đắc Lắk </v>
          </cell>
          <cell r="BX1471" t="str">
            <v>AON</v>
          </cell>
        </row>
        <row r="1472">
          <cell r="A1472" t="str">
            <v>ON</v>
          </cell>
          <cell r="B1472" t="str">
            <v>Trong 24h</v>
          </cell>
          <cell r="D1472" t="str">
            <v>Khiếu nại về dịch vụ FTTH</v>
          </cell>
          <cell r="W1472" t="str">
            <v>Đang xử lý</v>
          </cell>
          <cell r="AJ1472" t="str">
            <v>Hải Phòng</v>
          </cell>
          <cell r="BX1472" t="str">
            <v>AON</v>
          </cell>
        </row>
        <row r="1473">
          <cell r="A1473" t="str">
            <v>ON</v>
          </cell>
          <cell r="B1473" t="str">
            <v>Trong 24h</v>
          </cell>
          <cell r="D1473" t="str">
            <v>Khiếu nại về dịch vụ FTTH</v>
          </cell>
          <cell r="W1473" t="str">
            <v>Đã đóng</v>
          </cell>
          <cell r="AJ1473" t="str">
            <v>Cần Thơ</v>
          </cell>
          <cell r="BX1473" t="str">
            <v>AON</v>
          </cell>
        </row>
        <row r="1474">
          <cell r="A1474" t="str">
            <v>ON</v>
          </cell>
          <cell r="B1474" t="str">
            <v>Trong 24h</v>
          </cell>
          <cell r="D1474" t="str">
            <v>Khiếu nại về dịch vụ FTTH</v>
          </cell>
          <cell r="W1474" t="str">
            <v>Đã đóng</v>
          </cell>
          <cell r="AJ1474" t="str">
            <v>Gia Lai</v>
          </cell>
          <cell r="BX1474" t="str">
            <v>AON</v>
          </cell>
        </row>
        <row r="1475">
          <cell r="A1475" t="str">
            <v>ON</v>
          </cell>
          <cell r="B1475" t="str">
            <v>Trong 24h</v>
          </cell>
          <cell r="D1475" t="str">
            <v>Khiếu nại về dịch vụ FTTH</v>
          </cell>
          <cell r="W1475" t="str">
            <v>Đang xử lý</v>
          </cell>
          <cell r="AJ1475" t="str">
            <v>Hà Nội 1</v>
          </cell>
          <cell r="BX1475" t="str">
            <v>AON</v>
          </cell>
        </row>
        <row r="1476">
          <cell r="A1476" t="str">
            <v>ON</v>
          </cell>
          <cell r="B1476" t="str">
            <v>Trong 24h</v>
          </cell>
          <cell r="D1476" t="str">
            <v>Khiếu nại về dịch vụ FTTH</v>
          </cell>
          <cell r="W1476" t="str">
            <v>Đã đóng</v>
          </cell>
          <cell r="AJ1476" t="str">
            <v>Lâm Đồng</v>
          </cell>
          <cell r="BX1476" t="str">
            <v>AON</v>
          </cell>
        </row>
        <row r="1477">
          <cell r="A1477" t="str">
            <v>ON</v>
          </cell>
          <cell r="B1477" t="str">
            <v>Trong 24h</v>
          </cell>
          <cell r="D1477" t="str">
            <v>Khiếu nại về dịch vụ FTTH</v>
          </cell>
          <cell r="W1477" t="str">
            <v>Đã đóng</v>
          </cell>
          <cell r="AJ1477" t="str">
            <v>TP HCM</v>
          </cell>
          <cell r="BX1477" t="str">
            <v>AON</v>
          </cell>
        </row>
        <row r="1478">
          <cell r="A1478" t="str">
            <v>ON</v>
          </cell>
          <cell r="B1478" t="str">
            <v>Trong 24h</v>
          </cell>
          <cell r="D1478" t="str">
            <v>Khiếu nại về dịch vụ FTTH</v>
          </cell>
          <cell r="W1478" t="str">
            <v>Đã đóng</v>
          </cell>
          <cell r="AJ1478" t="str">
            <v>TP HCM</v>
          </cell>
          <cell r="BX1478" t="str">
            <v>AON</v>
          </cell>
        </row>
        <row r="1479">
          <cell r="A1479" t="str">
            <v>ON</v>
          </cell>
          <cell r="B1479" t="str">
            <v>Trong 24h</v>
          </cell>
          <cell r="D1479" t="str">
            <v>Khiếu nại về dịch vụ FTTH</v>
          </cell>
          <cell r="W1479" t="str">
            <v>Đã đóng</v>
          </cell>
          <cell r="AJ1479" t="str">
            <v>Hà Nội 1</v>
          </cell>
          <cell r="BX1479" t="str">
            <v>AON</v>
          </cell>
        </row>
        <row r="1480">
          <cell r="A1480" t="str">
            <v>ON</v>
          </cell>
          <cell r="B1480" t="str">
            <v>Trong 24h</v>
          </cell>
          <cell r="D1480" t="str">
            <v>Khiếu nại về dịch vụ NextTV</v>
          </cell>
          <cell r="W1480" t="str">
            <v>Đã đóng</v>
          </cell>
          <cell r="AJ1480" t="str">
            <v>TP HCM</v>
          </cell>
          <cell r="BX1480" t="str">
            <v>GPON</v>
          </cell>
        </row>
        <row r="1481">
          <cell r="A1481" t="str">
            <v>ON</v>
          </cell>
          <cell r="B1481" t="str">
            <v>Trong 24h</v>
          </cell>
          <cell r="D1481" t="str">
            <v>Khiếu nại về dịch vụ FTTH</v>
          </cell>
          <cell r="W1481" t="str">
            <v>Đang xử lý</v>
          </cell>
          <cell r="AJ1481" t="str">
            <v>TP HCM</v>
          </cell>
          <cell r="BX1481" t="str">
            <v>AON</v>
          </cell>
        </row>
        <row r="1482">
          <cell r="A1482" t="str">
            <v>ON</v>
          </cell>
          <cell r="B1482" t="str">
            <v>Trong 24h</v>
          </cell>
          <cell r="D1482" t="str">
            <v>Khiếu nại về dịch vụ FTTH</v>
          </cell>
          <cell r="W1482" t="str">
            <v>Đã đóng</v>
          </cell>
          <cell r="AJ1482" t="str">
            <v>Quảng Ninh</v>
          </cell>
          <cell r="BX1482" t="str">
            <v>AON</v>
          </cell>
        </row>
        <row r="1483">
          <cell r="A1483" t="str">
            <v>ON</v>
          </cell>
          <cell r="B1483" t="str">
            <v>Trong 24h</v>
          </cell>
          <cell r="D1483" t="str">
            <v>Khiếu nại về dịch vụ FTTH</v>
          </cell>
          <cell r="W1483" t="str">
            <v>Đang xử lý</v>
          </cell>
          <cell r="AJ1483" t="str">
            <v>Bình Định</v>
          </cell>
          <cell r="BX1483" t="str">
            <v>AON</v>
          </cell>
        </row>
        <row r="1484">
          <cell r="A1484" t="str">
            <v>ON</v>
          </cell>
          <cell r="B1484" t="str">
            <v>Trong 24h</v>
          </cell>
          <cell r="D1484" t="str">
            <v>Khiếu nại về dịch vụ FTTH</v>
          </cell>
          <cell r="W1484" t="str">
            <v>Đang xử lý</v>
          </cell>
          <cell r="AJ1484" t="str">
            <v>Cần Thơ</v>
          </cell>
          <cell r="BX1484" t="str">
            <v>AON</v>
          </cell>
        </row>
        <row r="1485">
          <cell r="A1485" t="str">
            <v>ON</v>
          </cell>
          <cell r="B1485" t="str">
            <v>Trong 24h</v>
          </cell>
          <cell r="D1485" t="str">
            <v>Khiếu nại về dịch vụ FTTH</v>
          </cell>
          <cell r="W1485" t="str">
            <v>Đã đóng</v>
          </cell>
          <cell r="AJ1485" t="str">
            <v>TP HCM</v>
          </cell>
          <cell r="BX1485" t="str">
            <v>AON</v>
          </cell>
        </row>
        <row r="1486">
          <cell r="A1486" t="str">
            <v>ON</v>
          </cell>
          <cell r="B1486" t="str">
            <v>Trong 24h</v>
          </cell>
          <cell r="D1486" t="str">
            <v>Khiếu nại về dịch vụ FTTH</v>
          </cell>
          <cell r="W1486" t="str">
            <v>Đang xử lý</v>
          </cell>
          <cell r="AJ1486" t="str">
            <v>Thừa Thiên Huế</v>
          </cell>
          <cell r="BX1486" t="str">
            <v>AON</v>
          </cell>
        </row>
        <row r="1487">
          <cell r="A1487" t="str">
            <v>ON</v>
          </cell>
          <cell r="B1487" t="str">
            <v>Trong 24h</v>
          </cell>
          <cell r="D1487" t="str">
            <v>Khiếu nại về dịch vụ FTTH</v>
          </cell>
          <cell r="W1487" t="str">
            <v>Đã đóng</v>
          </cell>
          <cell r="AJ1487" t="str">
            <v>TP HCM</v>
          </cell>
          <cell r="BX1487" t="str">
            <v>AON</v>
          </cell>
        </row>
        <row r="1488">
          <cell r="A1488" t="str">
            <v>ON</v>
          </cell>
          <cell r="B1488" t="str">
            <v>Trong 24h</v>
          </cell>
          <cell r="D1488" t="str">
            <v>Khiếu nại về dịch vụ FTTH</v>
          </cell>
          <cell r="W1488" t="str">
            <v>Đã đóng</v>
          </cell>
          <cell r="AJ1488" t="str">
            <v>Cần Thơ</v>
          </cell>
          <cell r="BX1488" t="str">
            <v>AON</v>
          </cell>
        </row>
        <row r="1489">
          <cell r="A1489" t="str">
            <v>ON</v>
          </cell>
          <cell r="B1489" t="str">
            <v>Trong 24h</v>
          </cell>
          <cell r="D1489" t="str">
            <v>Khiếu nại về dịch vụ FTTH</v>
          </cell>
          <cell r="W1489" t="str">
            <v>Đang xử lý</v>
          </cell>
          <cell r="AJ1489" t="str">
            <v>TP HCM</v>
          </cell>
          <cell r="BX1489" t="str">
            <v>AON</v>
          </cell>
        </row>
        <row r="1490">
          <cell r="A1490" t="str">
            <v>ON</v>
          </cell>
          <cell r="B1490" t="str">
            <v>Trong 24h</v>
          </cell>
          <cell r="D1490" t="str">
            <v>Khiếu nại về dịch vụ FTTH</v>
          </cell>
          <cell r="W1490" t="str">
            <v>Đã đóng</v>
          </cell>
          <cell r="AJ1490" t="str">
            <v>Quảng Ninh</v>
          </cell>
          <cell r="BX1490" t="str">
            <v>AON</v>
          </cell>
        </row>
        <row r="1491">
          <cell r="A1491" t="str">
            <v>ON</v>
          </cell>
          <cell r="B1491" t="str">
            <v>Trong 24h</v>
          </cell>
          <cell r="D1491" t="str">
            <v>Khiếu nại về dịch vụ FTTH</v>
          </cell>
          <cell r="W1491" t="str">
            <v>Đã đóng</v>
          </cell>
          <cell r="AJ1491" t="str">
            <v>TP HCM</v>
          </cell>
          <cell r="BX1491" t="str">
            <v>GPON</v>
          </cell>
        </row>
        <row r="1492">
          <cell r="A1492" t="str">
            <v>ON</v>
          </cell>
          <cell r="B1492" t="str">
            <v>Trong 24h</v>
          </cell>
          <cell r="D1492" t="str">
            <v>Khiếu nại về dịch vụ FTTH</v>
          </cell>
          <cell r="W1492" t="str">
            <v>Đã đóng</v>
          </cell>
          <cell r="AJ1492" t="str">
            <v>Hoà Bình</v>
          </cell>
          <cell r="BX1492" t="str">
            <v>AON</v>
          </cell>
        </row>
        <row r="1493">
          <cell r="A1493" t="str">
            <v>ON</v>
          </cell>
          <cell r="B1493" t="str">
            <v>Trong 24h</v>
          </cell>
          <cell r="D1493" t="str">
            <v>Khiếu nại về dịch vụ FTTH</v>
          </cell>
          <cell r="W1493" t="str">
            <v>Đang xử lý</v>
          </cell>
          <cell r="AJ1493" t="str">
            <v xml:space="preserve">Quảng Nam </v>
          </cell>
          <cell r="BX1493" t="str">
            <v>AON</v>
          </cell>
        </row>
        <row r="1494">
          <cell r="A1494" t="str">
            <v>ON</v>
          </cell>
          <cell r="B1494" t="str">
            <v>Trong 24h</v>
          </cell>
          <cell r="D1494" t="str">
            <v>Khiếu nại về dịch vụ FTTH</v>
          </cell>
          <cell r="W1494" t="str">
            <v>Đang xử lý</v>
          </cell>
          <cell r="AJ1494" t="str">
            <v>Quảng Bình</v>
          </cell>
          <cell r="BX1494" t="str">
            <v>AON</v>
          </cell>
        </row>
        <row r="1495">
          <cell r="A1495" t="str">
            <v>ON</v>
          </cell>
          <cell r="B1495" t="str">
            <v>Trong 24h</v>
          </cell>
          <cell r="D1495" t="str">
            <v>Khiếu nại về dịch vụ FTTH</v>
          </cell>
          <cell r="W1495" t="str">
            <v>Đã đóng</v>
          </cell>
          <cell r="AJ1495" t="str">
            <v>TP HCM</v>
          </cell>
          <cell r="BX1495" t="str">
            <v>AON</v>
          </cell>
        </row>
        <row r="1496">
          <cell r="A1496" t="str">
            <v>ON</v>
          </cell>
          <cell r="B1496" t="str">
            <v>Trong 24h</v>
          </cell>
          <cell r="D1496" t="str">
            <v>Khiếu nại về dịch vụ FTTH</v>
          </cell>
          <cell r="W1496" t="str">
            <v>Đã đóng</v>
          </cell>
          <cell r="AJ1496" t="str">
            <v>Hải Dương</v>
          </cell>
          <cell r="BX1496" t="str">
            <v>AON</v>
          </cell>
        </row>
        <row r="1497">
          <cell r="A1497" t="str">
            <v>ON</v>
          </cell>
          <cell r="B1497" t="str">
            <v>Trong 24h</v>
          </cell>
          <cell r="D1497" t="str">
            <v>Khiếu nại về dịch vụ FTTH</v>
          </cell>
          <cell r="W1497" t="str">
            <v>Đang xử lý</v>
          </cell>
          <cell r="AJ1497" t="str">
            <v>Bắc Ninh</v>
          </cell>
          <cell r="BX1497" t="str">
            <v>AON</v>
          </cell>
        </row>
        <row r="1498">
          <cell r="A1498" t="str">
            <v>ON</v>
          </cell>
          <cell r="B1498" t="str">
            <v>Trong 24h</v>
          </cell>
          <cell r="D1498" t="str">
            <v>Khiếu nại về dịch vụ FTTH</v>
          </cell>
          <cell r="W1498" t="str">
            <v>Đã đóng</v>
          </cell>
          <cell r="AJ1498" t="str">
            <v>TP HCM</v>
          </cell>
          <cell r="BX1498" t="str">
            <v>AON</v>
          </cell>
        </row>
        <row r="1499">
          <cell r="A1499" t="str">
            <v>ON</v>
          </cell>
          <cell r="B1499" t="str">
            <v>Trong 24h</v>
          </cell>
          <cell r="D1499" t="str">
            <v>Khiếu nại về dịch vụ FTTH</v>
          </cell>
          <cell r="W1499" t="str">
            <v>Đã đóng</v>
          </cell>
          <cell r="AJ1499" t="str">
            <v>Kiên Giang</v>
          </cell>
          <cell r="BX1499" t="str">
            <v>AON</v>
          </cell>
        </row>
        <row r="1500">
          <cell r="A1500" t="str">
            <v>ON</v>
          </cell>
          <cell r="B1500" t="str">
            <v>Trong 24h</v>
          </cell>
          <cell r="D1500" t="str">
            <v>Khiếu nại về dịch vụ FTTH</v>
          </cell>
          <cell r="W1500" t="str">
            <v>Đang xử lý</v>
          </cell>
          <cell r="AJ1500" t="str">
            <v>Bến Tre</v>
          </cell>
          <cell r="BX1500" t="str">
            <v>AON</v>
          </cell>
        </row>
        <row r="1501">
          <cell r="A1501" t="str">
            <v>ON</v>
          </cell>
          <cell r="B1501" t="str">
            <v>Trong 24h</v>
          </cell>
          <cell r="D1501" t="str">
            <v>Khiếu nại về dịch vụ FTTH</v>
          </cell>
          <cell r="W1501" t="str">
            <v>Đã đóng</v>
          </cell>
          <cell r="AJ1501" t="str">
            <v>TP HCM</v>
          </cell>
          <cell r="BX1501" t="str">
            <v>GPON</v>
          </cell>
        </row>
        <row r="1502">
          <cell r="A1502" t="str">
            <v>ON</v>
          </cell>
          <cell r="B1502" t="str">
            <v>Trong 24h</v>
          </cell>
          <cell r="D1502" t="str">
            <v>Khiếu nại về dịch vụ FTTH</v>
          </cell>
          <cell r="W1502" t="str">
            <v>Đang xử lý</v>
          </cell>
          <cell r="AJ1502" t="str">
            <v>Cà Mau</v>
          </cell>
          <cell r="BX1502" t="str">
            <v>AON</v>
          </cell>
        </row>
        <row r="1503">
          <cell r="A1503" t="str">
            <v>ON</v>
          </cell>
          <cell r="B1503" t="str">
            <v>Trong 24h</v>
          </cell>
          <cell r="D1503" t="str">
            <v>Khiếu nại về dịch vụ FTTH</v>
          </cell>
          <cell r="W1503" t="str">
            <v>Đang xử lý</v>
          </cell>
          <cell r="AJ1503" t="str">
            <v>TP HCM</v>
          </cell>
          <cell r="BX1503" t="str">
            <v>AON</v>
          </cell>
        </row>
        <row r="1504">
          <cell r="A1504" t="str">
            <v>ON</v>
          </cell>
          <cell r="B1504" t="str">
            <v>Trong 24h</v>
          </cell>
          <cell r="D1504" t="str">
            <v>Khiếu nại về dịch vụ FTTH</v>
          </cell>
          <cell r="W1504" t="str">
            <v>Đã đóng</v>
          </cell>
          <cell r="AJ1504" t="str">
            <v>TP HCM</v>
          </cell>
          <cell r="BX1504" t="str">
            <v>AON</v>
          </cell>
        </row>
        <row r="1505">
          <cell r="A1505" t="str">
            <v>ON</v>
          </cell>
          <cell r="B1505" t="str">
            <v>Trong 24h</v>
          </cell>
          <cell r="D1505" t="str">
            <v>Khiếu nại về dịch vụ FTTH</v>
          </cell>
          <cell r="W1505" t="str">
            <v>Đã đóng</v>
          </cell>
          <cell r="AJ1505" t="str">
            <v>Lâm Đồng</v>
          </cell>
          <cell r="BX1505" t="str">
            <v>AON</v>
          </cell>
        </row>
        <row r="1506">
          <cell r="A1506" t="str">
            <v>ON</v>
          </cell>
          <cell r="B1506" t="str">
            <v>Trong 24h</v>
          </cell>
          <cell r="D1506" t="str">
            <v>Khiếu nại về dịch vụ FTTH</v>
          </cell>
          <cell r="W1506" t="str">
            <v>Đã đóng</v>
          </cell>
          <cell r="AJ1506" t="str">
            <v>Vĩnh Phúc</v>
          </cell>
          <cell r="BX1506" t="str">
            <v>AON</v>
          </cell>
        </row>
        <row r="1507">
          <cell r="A1507" t="str">
            <v>ON</v>
          </cell>
          <cell r="B1507" t="str">
            <v>Trong 24h</v>
          </cell>
          <cell r="D1507" t="str">
            <v>Khiếu nại về dịch vụ FTTH</v>
          </cell>
          <cell r="W1507" t="str">
            <v>Đang xử lý</v>
          </cell>
          <cell r="AJ1507" t="str">
            <v xml:space="preserve">Đồng Nai </v>
          </cell>
          <cell r="BX1507" t="str">
            <v>AON</v>
          </cell>
        </row>
        <row r="1508">
          <cell r="A1508" t="str">
            <v>ON</v>
          </cell>
          <cell r="B1508" t="str">
            <v>Trong 24h</v>
          </cell>
          <cell r="D1508" t="str">
            <v>Khiếu nại về dịch vụ FTTH</v>
          </cell>
          <cell r="W1508" t="str">
            <v>Đã đóng</v>
          </cell>
          <cell r="AJ1508" t="str">
            <v>Cao Bằng</v>
          </cell>
          <cell r="BX1508" t="str">
            <v>AON</v>
          </cell>
        </row>
        <row r="1509">
          <cell r="A1509" t="str">
            <v>ON</v>
          </cell>
          <cell r="B1509" t="str">
            <v>Trong 24h</v>
          </cell>
          <cell r="D1509" t="str">
            <v>Khiếu nại về dịch vụ FTTH</v>
          </cell>
          <cell r="W1509" t="str">
            <v>Đã đóng</v>
          </cell>
          <cell r="AJ1509" t="str">
            <v>Hà Nội 1</v>
          </cell>
          <cell r="BX1509" t="str">
            <v>AON</v>
          </cell>
        </row>
        <row r="1510">
          <cell r="A1510" t="str">
            <v>ON</v>
          </cell>
          <cell r="B1510" t="str">
            <v>Trong 24h</v>
          </cell>
          <cell r="D1510" t="str">
            <v>Khiếu nại về dịch vụ NextTV</v>
          </cell>
          <cell r="W1510" t="str">
            <v>Đang xử lý</v>
          </cell>
          <cell r="AJ1510" t="str">
            <v xml:space="preserve">Đồng Nai </v>
          </cell>
          <cell r="BX1510" t="str">
            <v>AON</v>
          </cell>
        </row>
        <row r="1511">
          <cell r="A1511" t="str">
            <v>ON</v>
          </cell>
          <cell r="B1511" t="str">
            <v>Trong 24h</v>
          </cell>
          <cell r="D1511" t="str">
            <v>Khiếu nại về dịch vụ FTTH</v>
          </cell>
          <cell r="W1511" t="str">
            <v>Đang xử lý</v>
          </cell>
          <cell r="AJ1511" t="str">
            <v>Vĩnh Long</v>
          </cell>
          <cell r="BX1511" t="str">
            <v>AON</v>
          </cell>
        </row>
        <row r="1512">
          <cell r="A1512" t="str">
            <v>ON</v>
          </cell>
          <cell r="B1512" t="str">
            <v>Trong 24h</v>
          </cell>
          <cell r="D1512" t="str">
            <v>Khiếu nại về dịch vụ FTTH</v>
          </cell>
          <cell r="W1512" t="str">
            <v>Đang xử lý</v>
          </cell>
          <cell r="AJ1512" t="str">
            <v xml:space="preserve">Đà Nẵng </v>
          </cell>
          <cell r="BX1512" t="str">
            <v>AON</v>
          </cell>
        </row>
        <row r="1513">
          <cell r="A1513" t="str">
            <v>ON</v>
          </cell>
          <cell r="B1513" t="str">
            <v>Trong 24h</v>
          </cell>
          <cell r="D1513" t="str">
            <v>Khiếu nại về dịch vụ FTTH</v>
          </cell>
          <cell r="W1513" t="str">
            <v>Đã đóng</v>
          </cell>
          <cell r="AJ1513" t="str">
            <v>Quảng Ninh</v>
          </cell>
          <cell r="BX1513" t="str">
            <v>AON</v>
          </cell>
        </row>
        <row r="1514">
          <cell r="A1514" t="str">
            <v>ON</v>
          </cell>
          <cell r="B1514" t="str">
            <v>Trong 24h</v>
          </cell>
          <cell r="D1514" t="str">
            <v>Khiếu nại về dịch vụ FTTH</v>
          </cell>
          <cell r="W1514" t="str">
            <v>Đã đóng</v>
          </cell>
          <cell r="AJ1514" t="str">
            <v>TP HCM</v>
          </cell>
          <cell r="BX1514" t="str">
            <v>AON</v>
          </cell>
        </row>
        <row r="1515">
          <cell r="A1515" t="str">
            <v>ON</v>
          </cell>
          <cell r="B1515" t="str">
            <v>Trong 24h</v>
          </cell>
          <cell r="D1515" t="str">
            <v>Khiếu nại về dịch vụ FTTH</v>
          </cell>
          <cell r="W1515" t="str">
            <v>Đã đóng</v>
          </cell>
          <cell r="AJ1515" t="str">
            <v>Bắc Kạn</v>
          </cell>
          <cell r="BX1515" t="str">
            <v>AON</v>
          </cell>
        </row>
        <row r="1516">
          <cell r="A1516" t="str">
            <v>ON</v>
          </cell>
          <cell r="B1516" t="str">
            <v>Trong 24h</v>
          </cell>
          <cell r="D1516" t="str">
            <v>Khiếu nại về dịch vụ FTTH</v>
          </cell>
          <cell r="W1516" t="str">
            <v>Đang xử lý</v>
          </cell>
          <cell r="AJ1516" t="str">
            <v>Bình Định</v>
          </cell>
          <cell r="BX1516" t="str">
            <v>AON</v>
          </cell>
        </row>
        <row r="1517">
          <cell r="A1517" t="str">
            <v>ON</v>
          </cell>
          <cell r="B1517" t="str">
            <v>Trong 24h</v>
          </cell>
          <cell r="D1517" t="str">
            <v>Khiếu nại về dịch vụ FTTH</v>
          </cell>
          <cell r="W1517" t="str">
            <v>Đã đóng</v>
          </cell>
          <cell r="AJ1517" t="str">
            <v>TP HCM</v>
          </cell>
          <cell r="BX1517" t="str">
            <v>AON</v>
          </cell>
        </row>
        <row r="1518">
          <cell r="A1518" t="str">
            <v>ON</v>
          </cell>
          <cell r="B1518" t="str">
            <v>Trong 24h</v>
          </cell>
          <cell r="D1518" t="str">
            <v>Khiếu nại về dịch vụ FTTH</v>
          </cell>
          <cell r="W1518" t="str">
            <v>Đã đóng</v>
          </cell>
          <cell r="AJ1518" t="str">
            <v>TP HCM</v>
          </cell>
          <cell r="BX1518" t="str">
            <v>AON</v>
          </cell>
        </row>
        <row r="1519">
          <cell r="A1519" t="str">
            <v>ON</v>
          </cell>
          <cell r="B1519" t="str">
            <v>Trong 24h</v>
          </cell>
          <cell r="D1519" t="str">
            <v>Khiếu nại về dịch vụ FTTH</v>
          </cell>
          <cell r="W1519" t="str">
            <v>Đã đóng</v>
          </cell>
          <cell r="AJ1519" t="str">
            <v>Bình Phước</v>
          </cell>
          <cell r="BX1519" t="str">
            <v>AON</v>
          </cell>
        </row>
        <row r="1520">
          <cell r="A1520" t="str">
            <v>ON</v>
          </cell>
          <cell r="B1520" t="str">
            <v>Trong 24h</v>
          </cell>
          <cell r="D1520" t="str">
            <v>Khiếu nại về dịch vụ FTTH</v>
          </cell>
          <cell r="W1520" t="str">
            <v>Đã đóng</v>
          </cell>
          <cell r="AJ1520" t="str">
            <v>TP HCM</v>
          </cell>
          <cell r="BX1520" t="str">
            <v>AON</v>
          </cell>
        </row>
        <row r="1521">
          <cell r="A1521" t="str">
            <v>ON</v>
          </cell>
          <cell r="B1521" t="str">
            <v>Trong 24h</v>
          </cell>
          <cell r="D1521" t="str">
            <v>Khiếu nại về dịch vụ FTTH</v>
          </cell>
          <cell r="W1521" t="str">
            <v>Đang xử lý</v>
          </cell>
          <cell r="AJ1521" t="str">
            <v>Lào Cai</v>
          </cell>
          <cell r="BX1521" t="str">
            <v>AON</v>
          </cell>
        </row>
        <row r="1522">
          <cell r="A1522" t="str">
            <v>ON</v>
          </cell>
          <cell r="B1522" t="str">
            <v>Trong 24h</v>
          </cell>
          <cell r="D1522" t="str">
            <v>Khiếu nại về dịch vụ FTTH</v>
          </cell>
          <cell r="W1522" t="str">
            <v>Đang xử lý</v>
          </cell>
          <cell r="AJ1522" t="str">
            <v>Thừa Thiên Huế</v>
          </cell>
          <cell r="BX1522" t="str">
            <v>AON</v>
          </cell>
        </row>
        <row r="1523">
          <cell r="A1523" t="str">
            <v>ON</v>
          </cell>
          <cell r="B1523" t="str">
            <v>Trong 24h</v>
          </cell>
          <cell r="D1523" t="str">
            <v>Khiếu nại về dịch vụ FTTH</v>
          </cell>
          <cell r="W1523" t="str">
            <v>Đang xử lý</v>
          </cell>
          <cell r="AJ1523" t="str">
            <v>TP HCM</v>
          </cell>
          <cell r="BX1523" t="str">
            <v>AON</v>
          </cell>
        </row>
        <row r="1524">
          <cell r="A1524" t="str">
            <v>ON</v>
          </cell>
          <cell r="B1524" t="str">
            <v>Trong 24h</v>
          </cell>
          <cell r="D1524" t="str">
            <v>Khiếu nại về dịch vụ FTTH</v>
          </cell>
          <cell r="W1524" t="str">
            <v>Đã đóng</v>
          </cell>
          <cell r="AJ1524" t="str">
            <v>TP HCM</v>
          </cell>
          <cell r="BX1524" t="str">
            <v>AON</v>
          </cell>
        </row>
        <row r="1525">
          <cell r="A1525" t="str">
            <v>ON</v>
          </cell>
          <cell r="B1525" t="str">
            <v>Trong 24h</v>
          </cell>
          <cell r="D1525" t="str">
            <v>Khiếu nại về dịch vụ FTTH</v>
          </cell>
          <cell r="W1525" t="str">
            <v>Đã đóng</v>
          </cell>
          <cell r="AJ1525" t="str">
            <v>TP HCM</v>
          </cell>
          <cell r="BX1525" t="str">
            <v>AON</v>
          </cell>
        </row>
        <row r="1526">
          <cell r="A1526" t="str">
            <v>ON</v>
          </cell>
          <cell r="B1526" t="str">
            <v>Trong 24h</v>
          </cell>
          <cell r="D1526" t="str">
            <v>Khiếu nại về dịch vụ FTTH</v>
          </cell>
          <cell r="W1526" t="str">
            <v>Đã đóng</v>
          </cell>
          <cell r="AJ1526" t="str">
            <v>TP HCM</v>
          </cell>
          <cell r="BX1526" t="str">
            <v>AON</v>
          </cell>
        </row>
        <row r="1527">
          <cell r="A1527" t="str">
            <v>ON</v>
          </cell>
          <cell r="B1527" t="str">
            <v>Trong 24h</v>
          </cell>
          <cell r="D1527" t="str">
            <v>Khiếu nại về dịch vụ FTTH</v>
          </cell>
          <cell r="W1527" t="str">
            <v>Đã đóng</v>
          </cell>
          <cell r="AJ1527" t="str">
            <v>TP HCM</v>
          </cell>
          <cell r="BX1527" t="str">
            <v>AON</v>
          </cell>
        </row>
        <row r="1528">
          <cell r="A1528" t="str">
            <v>ON</v>
          </cell>
          <cell r="B1528" t="str">
            <v>Trong 24h</v>
          </cell>
          <cell r="D1528" t="str">
            <v>Khiếu nại về dịch vụ FTTH</v>
          </cell>
          <cell r="W1528" t="str">
            <v>Đã đóng</v>
          </cell>
          <cell r="AJ1528" t="str">
            <v>Bến Tre</v>
          </cell>
          <cell r="BX1528" t="str">
            <v>AON</v>
          </cell>
        </row>
        <row r="1529">
          <cell r="A1529" t="str">
            <v>ON</v>
          </cell>
          <cell r="B1529" t="str">
            <v>Trong 24h</v>
          </cell>
          <cell r="D1529" t="str">
            <v>Khiếu nại về dịch vụ NextTV</v>
          </cell>
          <cell r="W1529" t="str">
            <v>Đã đóng</v>
          </cell>
          <cell r="AJ1529" t="str">
            <v>Hậu Giang</v>
          </cell>
          <cell r="BX1529" t="str">
            <v>AON</v>
          </cell>
        </row>
        <row r="1530">
          <cell r="A1530" t="str">
            <v>ON</v>
          </cell>
          <cell r="B1530" t="str">
            <v>Trong 24h</v>
          </cell>
          <cell r="D1530" t="str">
            <v>Khiếu nại về dịch vụ FTTH</v>
          </cell>
          <cell r="W1530" t="str">
            <v>Đang xử lý</v>
          </cell>
          <cell r="AJ1530" t="str">
            <v>Hà Giang</v>
          </cell>
          <cell r="BX1530" t="str">
            <v>AON</v>
          </cell>
        </row>
        <row r="1531">
          <cell r="A1531" t="str">
            <v>ON</v>
          </cell>
          <cell r="B1531" t="str">
            <v>Trong 24h</v>
          </cell>
          <cell r="D1531" t="str">
            <v>Khiếu nại về dịch vụ FTTH</v>
          </cell>
          <cell r="W1531" t="str">
            <v>Đã đóng</v>
          </cell>
          <cell r="AJ1531" t="str">
            <v xml:space="preserve">Đồng Nai </v>
          </cell>
          <cell r="BX1531" t="str">
            <v>AON</v>
          </cell>
        </row>
        <row r="1532">
          <cell r="A1532" t="str">
            <v>ON</v>
          </cell>
          <cell r="B1532" t="str">
            <v>Trong 24h</v>
          </cell>
          <cell r="D1532" t="str">
            <v>Khiếu nại về dịch vụ FTTH</v>
          </cell>
          <cell r="W1532" t="str">
            <v>Đang xử lý</v>
          </cell>
          <cell r="AJ1532" t="str">
            <v>Lâm Đồng</v>
          </cell>
          <cell r="BX1532" t="str">
            <v>AON</v>
          </cell>
        </row>
        <row r="1533">
          <cell r="A1533" t="str">
            <v>ON</v>
          </cell>
          <cell r="B1533" t="str">
            <v>Trong 24h</v>
          </cell>
          <cell r="D1533" t="str">
            <v>Khiếu nại về dịch vụ FTTH</v>
          </cell>
          <cell r="W1533" t="str">
            <v>Đã đóng</v>
          </cell>
          <cell r="AJ1533" t="str">
            <v>TP HCM</v>
          </cell>
          <cell r="BX1533" t="str">
            <v>AON</v>
          </cell>
        </row>
        <row r="1534">
          <cell r="A1534" t="str">
            <v>ON</v>
          </cell>
          <cell r="B1534" t="str">
            <v>Trong 24h</v>
          </cell>
          <cell r="D1534" t="str">
            <v>Khiếu nại về dịch vụ FTTH</v>
          </cell>
          <cell r="W1534" t="str">
            <v>Đang xử lý</v>
          </cell>
          <cell r="AJ1534" t="str">
            <v xml:space="preserve">Hà Tĩnh </v>
          </cell>
          <cell r="BX1534" t="str">
            <v>AON</v>
          </cell>
        </row>
        <row r="1535">
          <cell r="A1535" t="str">
            <v>ON</v>
          </cell>
          <cell r="B1535" t="str">
            <v>Trong 24h</v>
          </cell>
          <cell r="D1535" t="str">
            <v>Khiếu nại về dịch vụ FTTH</v>
          </cell>
          <cell r="W1535" t="str">
            <v>Đã đóng</v>
          </cell>
          <cell r="AJ1535" t="str">
            <v>Lâm Đồng</v>
          </cell>
          <cell r="BX1535" t="str">
            <v>AON</v>
          </cell>
        </row>
        <row r="1536">
          <cell r="A1536" t="str">
            <v>ON</v>
          </cell>
          <cell r="B1536" t="str">
            <v>Trong 24h</v>
          </cell>
          <cell r="D1536" t="str">
            <v>Khiếu nại về dịch vụ NextTV</v>
          </cell>
          <cell r="W1536" t="str">
            <v>Đã đóng</v>
          </cell>
          <cell r="AJ1536" t="str">
            <v>Hà Nội 1</v>
          </cell>
          <cell r="BX1536" t="str">
            <v>AON</v>
          </cell>
        </row>
        <row r="1537">
          <cell r="A1537" t="str">
            <v>ON</v>
          </cell>
          <cell r="B1537" t="str">
            <v>Trong 24h</v>
          </cell>
          <cell r="D1537" t="str">
            <v>Khiếu nại về dịch vụ FTTH</v>
          </cell>
          <cell r="W1537" t="str">
            <v>Đang xử lý</v>
          </cell>
          <cell r="AJ1537" t="str">
            <v>Bắc Giang</v>
          </cell>
          <cell r="BX1537" t="str">
            <v>AON</v>
          </cell>
        </row>
        <row r="1538">
          <cell r="A1538" t="str">
            <v>ON</v>
          </cell>
          <cell r="B1538" t="str">
            <v>Trong 24h</v>
          </cell>
          <cell r="D1538" t="str">
            <v>Khiếu nại về dịch vụ FTTH</v>
          </cell>
          <cell r="W1538" t="str">
            <v>Đã đóng</v>
          </cell>
          <cell r="AJ1538" t="str">
            <v>Hậu Giang</v>
          </cell>
          <cell r="BX1538" t="str">
            <v>AON</v>
          </cell>
        </row>
        <row r="1539">
          <cell r="A1539" t="str">
            <v>ON</v>
          </cell>
          <cell r="B1539" t="str">
            <v>Trong 24h</v>
          </cell>
          <cell r="D1539" t="str">
            <v>Khiếu nại về dịch vụ FTTH</v>
          </cell>
          <cell r="W1539" t="str">
            <v>Đã đóng</v>
          </cell>
          <cell r="AJ1539" t="str">
            <v>TP HCM</v>
          </cell>
          <cell r="BX1539" t="str">
            <v>AON</v>
          </cell>
        </row>
        <row r="1540">
          <cell r="A1540" t="str">
            <v>ON</v>
          </cell>
          <cell r="B1540" t="str">
            <v>Trong 24h</v>
          </cell>
          <cell r="D1540" t="str">
            <v>Khiếu nại về dịch vụ FTTH</v>
          </cell>
          <cell r="W1540" t="str">
            <v>Đang xử lý</v>
          </cell>
          <cell r="AJ1540" t="str">
            <v>Bình Dương</v>
          </cell>
          <cell r="BX1540" t="str">
            <v>AON</v>
          </cell>
        </row>
        <row r="1541">
          <cell r="A1541" t="str">
            <v>ON</v>
          </cell>
          <cell r="B1541" t="str">
            <v>Trong 24h</v>
          </cell>
          <cell r="D1541" t="str">
            <v>Khiếu nại về dịch vụ FTTH</v>
          </cell>
          <cell r="W1541" t="str">
            <v>Đang xử lý</v>
          </cell>
          <cell r="AJ1541" t="str">
            <v>Long An</v>
          </cell>
          <cell r="BX1541" t="str">
            <v>AON</v>
          </cell>
        </row>
        <row r="1542">
          <cell r="A1542" t="str">
            <v>ON</v>
          </cell>
          <cell r="B1542" t="str">
            <v>Trong 24h</v>
          </cell>
          <cell r="D1542" t="str">
            <v>Khiếu nại về dịch vụ FTTH</v>
          </cell>
          <cell r="W1542" t="str">
            <v>Đang xử lý</v>
          </cell>
          <cell r="AJ1542" t="str">
            <v>Ninh Thuận</v>
          </cell>
          <cell r="BX1542" t="str">
            <v>AON</v>
          </cell>
        </row>
        <row r="1543">
          <cell r="A1543" t="str">
            <v>ON</v>
          </cell>
          <cell r="B1543" t="str">
            <v>Trong 24h</v>
          </cell>
          <cell r="D1543" t="str">
            <v>Khiếu nại về dịch vụ FTTH</v>
          </cell>
          <cell r="W1543" t="str">
            <v>Đang xử lý</v>
          </cell>
          <cell r="AJ1543" t="str">
            <v>Quảng Ninh</v>
          </cell>
          <cell r="BX1543" t="str">
            <v>AON</v>
          </cell>
        </row>
        <row r="1544">
          <cell r="A1544" t="str">
            <v>ON</v>
          </cell>
          <cell r="B1544" t="str">
            <v>Trong 24h</v>
          </cell>
          <cell r="D1544" t="str">
            <v>Khiếu nại về dịch vụ FTTH</v>
          </cell>
          <cell r="W1544" t="str">
            <v>Đang xử lý</v>
          </cell>
          <cell r="AJ1544" t="str">
            <v>Quảng Ninh</v>
          </cell>
          <cell r="BX1544" t="str">
            <v>AON</v>
          </cell>
        </row>
        <row r="1545">
          <cell r="A1545" t="str">
            <v>ON</v>
          </cell>
          <cell r="B1545" t="str">
            <v>Trong 24h</v>
          </cell>
          <cell r="D1545" t="str">
            <v>Khiếu nại về dịch vụ FTTH</v>
          </cell>
          <cell r="W1545" t="str">
            <v>Đã đóng</v>
          </cell>
          <cell r="AJ1545" t="str">
            <v>TP HCM</v>
          </cell>
          <cell r="BX1545" t="str">
            <v>AON</v>
          </cell>
        </row>
        <row r="1546">
          <cell r="A1546" t="str">
            <v>ON</v>
          </cell>
          <cell r="B1546" t="str">
            <v>Trong 24h</v>
          </cell>
          <cell r="D1546" t="str">
            <v>Khiếu nại về dịch vụ FTTH</v>
          </cell>
          <cell r="W1546" t="str">
            <v>Đã đóng</v>
          </cell>
          <cell r="AJ1546" t="str">
            <v>Nam Định</v>
          </cell>
          <cell r="BX1546" t="str">
            <v>AON</v>
          </cell>
        </row>
        <row r="1547">
          <cell r="A1547" t="str">
            <v>ON</v>
          </cell>
          <cell r="B1547" t="str">
            <v>Trong 24h</v>
          </cell>
          <cell r="D1547" t="str">
            <v>Khiếu nại về dịch vụ FTTH</v>
          </cell>
          <cell r="W1547" t="str">
            <v>Đã đóng</v>
          </cell>
          <cell r="AJ1547" t="str">
            <v>Gia Lai</v>
          </cell>
          <cell r="BX1547" t="str">
            <v>AON</v>
          </cell>
        </row>
        <row r="1548">
          <cell r="A1548" t="str">
            <v>ON</v>
          </cell>
          <cell r="B1548" t="str">
            <v>Trong 24h</v>
          </cell>
          <cell r="D1548" t="str">
            <v>Khiếu nại về dịch vụ FTTH</v>
          </cell>
          <cell r="W1548" t="str">
            <v>Đang xử lý</v>
          </cell>
          <cell r="AJ1548" t="str">
            <v>Bến Tre</v>
          </cell>
          <cell r="BX1548" t="str">
            <v>AON</v>
          </cell>
        </row>
        <row r="1549">
          <cell r="A1549" t="str">
            <v>ON</v>
          </cell>
          <cell r="B1549" t="str">
            <v>Trong 24h</v>
          </cell>
          <cell r="D1549" t="str">
            <v>Khiếu nại về dịch vụ FTTH</v>
          </cell>
          <cell r="W1549" t="str">
            <v>Đã đóng</v>
          </cell>
          <cell r="AJ1549" t="str">
            <v>TP HCM</v>
          </cell>
          <cell r="BX1549" t="str">
            <v>GPON</v>
          </cell>
        </row>
        <row r="1550">
          <cell r="A1550" t="str">
            <v>ON</v>
          </cell>
          <cell r="B1550" t="str">
            <v>Trong 24h</v>
          </cell>
          <cell r="D1550" t="str">
            <v>Khiếu nại về dịch vụ FTTH</v>
          </cell>
          <cell r="W1550" t="str">
            <v>Đang xử lý</v>
          </cell>
          <cell r="AJ1550" t="str">
            <v>Quảng Ninh</v>
          </cell>
          <cell r="BX1550" t="str">
            <v>AON</v>
          </cell>
        </row>
        <row r="1551">
          <cell r="A1551" t="str">
            <v>ON</v>
          </cell>
          <cell r="B1551" t="str">
            <v>Trong 24h</v>
          </cell>
          <cell r="D1551" t="str">
            <v>Khiếu nại về dịch vụ FTTH</v>
          </cell>
          <cell r="W1551" t="str">
            <v>Đã đóng</v>
          </cell>
          <cell r="AJ1551" t="str">
            <v>Đồng Tháp</v>
          </cell>
          <cell r="BX1551" t="str">
            <v>AON</v>
          </cell>
        </row>
        <row r="1552">
          <cell r="A1552" t="str">
            <v>ON</v>
          </cell>
          <cell r="B1552" t="str">
            <v>Trong 24h</v>
          </cell>
          <cell r="D1552" t="str">
            <v>Khiếu nại về dịch vụ FTTH</v>
          </cell>
          <cell r="W1552" t="str">
            <v>Đã đóng</v>
          </cell>
          <cell r="AJ1552" t="str">
            <v>Quảng Trị</v>
          </cell>
          <cell r="BX1552" t="str">
            <v>AON</v>
          </cell>
        </row>
        <row r="1553">
          <cell r="A1553" t="str">
            <v>ON</v>
          </cell>
          <cell r="B1553" t="str">
            <v>Trong 24h</v>
          </cell>
          <cell r="D1553" t="str">
            <v>Khiếu nại về dịch vụ FTTH</v>
          </cell>
          <cell r="W1553" t="str">
            <v>Đã đóng</v>
          </cell>
          <cell r="AJ1553" t="str">
            <v>Bạc Liêu</v>
          </cell>
          <cell r="BX1553" t="str">
            <v>AON</v>
          </cell>
        </row>
        <row r="1554">
          <cell r="A1554" t="str">
            <v>ON</v>
          </cell>
          <cell r="B1554" t="str">
            <v>Trong 24h</v>
          </cell>
          <cell r="D1554" t="str">
            <v>Khiếu nại về dịch vụ FTTH</v>
          </cell>
          <cell r="W1554" t="str">
            <v>Đang xử lý</v>
          </cell>
          <cell r="AJ1554" t="str">
            <v>TP HCM</v>
          </cell>
          <cell r="BX1554" t="str">
            <v>AON</v>
          </cell>
        </row>
        <row r="1555">
          <cell r="A1555" t="str">
            <v>ON</v>
          </cell>
          <cell r="B1555" t="str">
            <v>Trong 24h</v>
          </cell>
          <cell r="D1555" t="str">
            <v>Khiếu nại về dịch vụ FTTH</v>
          </cell>
          <cell r="W1555" t="str">
            <v>Đã đóng</v>
          </cell>
          <cell r="AJ1555" t="str">
            <v>Nghệ An</v>
          </cell>
          <cell r="BX1555" t="str">
            <v>AON</v>
          </cell>
        </row>
        <row r="1556">
          <cell r="A1556" t="str">
            <v>ON</v>
          </cell>
          <cell r="B1556" t="str">
            <v>Trong 24h</v>
          </cell>
          <cell r="D1556" t="str">
            <v>Khiếu nại về dịch vụ FTTH</v>
          </cell>
          <cell r="W1556" t="str">
            <v>Đã đóng</v>
          </cell>
          <cell r="AJ1556" t="str">
            <v>Hà Nội 2</v>
          </cell>
          <cell r="BX1556" t="str">
            <v>AON</v>
          </cell>
        </row>
        <row r="1557">
          <cell r="A1557" t="str">
            <v>ON</v>
          </cell>
          <cell r="B1557" t="str">
            <v>Trong 24h</v>
          </cell>
          <cell r="D1557" t="str">
            <v>Khiếu nại về dịch vụ FTTH</v>
          </cell>
          <cell r="W1557" t="str">
            <v>Đã đóng</v>
          </cell>
          <cell r="AJ1557" t="str">
            <v>TP HCM</v>
          </cell>
          <cell r="BX1557" t="str">
            <v>AON</v>
          </cell>
        </row>
        <row r="1558">
          <cell r="A1558" t="str">
            <v>ON</v>
          </cell>
          <cell r="B1558" t="str">
            <v>Trong 24h</v>
          </cell>
          <cell r="D1558" t="str">
            <v>Khiếu nại về dịch vụ FTTH</v>
          </cell>
          <cell r="W1558" t="str">
            <v>Đang xử lý</v>
          </cell>
          <cell r="AJ1558" t="str">
            <v>Bắc Ninh</v>
          </cell>
          <cell r="BX1558" t="str">
            <v>AON</v>
          </cell>
        </row>
        <row r="1559">
          <cell r="A1559" t="str">
            <v>ON</v>
          </cell>
          <cell r="B1559" t="str">
            <v>Trong 24h</v>
          </cell>
          <cell r="D1559" t="str">
            <v>Khiếu nại về dịch vụ FTTH</v>
          </cell>
          <cell r="W1559" t="str">
            <v>Đã đóng</v>
          </cell>
          <cell r="AJ1559" t="str">
            <v>Tây Ninh</v>
          </cell>
          <cell r="BX1559" t="str">
            <v>AON</v>
          </cell>
        </row>
        <row r="1560">
          <cell r="A1560" t="str">
            <v>ON</v>
          </cell>
          <cell r="B1560" t="str">
            <v>Trong 24h</v>
          </cell>
          <cell r="D1560" t="str">
            <v>Khiếu nại về dịch vụ FTTH</v>
          </cell>
          <cell r="W1560" t="str">
            <v>Đã đóng</v>
          </cell>
          <cell r="AJ1560" t="str">
            <v>TP HCM</v>
          </cell>
          <cell r="BX1560" t="str">
            <v>AON</v>
          </cell>
        </row>
        <row r="1561">
          <cell r="A1561" t="str">
            <v>ON</v>
          </cell>
          <cell r="B1561" t="str">
            <v>Trong 24h</v>
          </cell>
          <cell r="D1561" t="str">
            <v>Khiếu nại về dịch vụ FTTH</v>
          </cell>
          <cell r="W1561" t="str">
            <v>Đang xử lý</v>
          </cell>
          <cell r="AJ1561" t="str">
            <v>TP HCM</v>
          </cell>
          <cell r="BX1561" t="str">
            <v>AON</v>
          </cell>
        </row>
        <row r="1562">
          <cell r="A1562" t="str">
            <v>ON</v>
          </cell>
          <cell r="B1562" t="str">
            <v>Trong 24h</v>
          </cell>
          <cell r="D1562" t="str">
            <v>Khiếu nại về dịch vụ FTTH</v>
          </cell>
          <cell r="W1562" t="str">
            <v>Đã đóng</v>
          </cell>
          <cell r="AJ1562" t="str">
            <v xml:space="preserve">Đắc Lắk </v>
          </cell>
          <cell r="BX1562" t="str">
            <v>AON</v>
          </cell>
        </row>
        <row r="1563">
          <cell r="A1563" t="str">
            <v>ON</v>
          </cell>
          <cell r="B1563" t="str">
            <v>Trong 24h</v>
          </cell>
          <cell r="D1563" t="str">
            <v>Khiếu nại về dịch vụ FTTH</v>
          </cell>
          <cell r="W1563" t="str">
            <v>Đã đóng</v>
          </cell>
          <cell r="AJ1563" t="str">
            <v>TP HCM</v>
          </cell>
          <cell r="BX1563" t="str">
            <v>AON</v>
          </cell>
        </row>
        <row r="1564">
          <cell r="A1564" t="str">
            <v>ON</v>
          </cell>
          <cell r="B1564" t="str">
            <v>Trong 24h</v>
          </cell>
          <cell r="D1564" t="str">
            <v>Khiếu nại về dịch vụ FTTH</v>
          </cell>
          <cell r="W1564" t="str">
            <v>Đã đóng</v>
          </cell>
          <cell r="AJ1564" t="str">
            <v>Hậu Giang</v>
          </cell>
          <cell r="BX1564" t="str">
            <v>GPON</v>
          </cell>
        </row>
        <row r="1565">
          <cell r="A1565" t="str">
            <v>ON</v>
          </cell>
          <cell r="B1565" t="str">
            <v>Trong 24h</v>
          </cell>
          <cell r="D1565" t="str">
            <v>Khiếu nại về dịch vụ FTTH</v>
          </cell>
          <cell r="W1565" t="str">
            <v>Đã đóng</v>
          </cell>
          <cell r="AJ1565" t="str">
            <v>TP HCM</v>
          </cell>
          <cell r="BX1565" t="str">
            <v>AON</v>
          </cell>
        </row>
        <row r="1566">
          <cell r="A1566" t="str">
            <v>ON</v>
          </cell>
          <cell r="B1566" t="str">
            <v>Trong 24h</v>
          </cell>
          <cell r="D1566" t="str">
            <v>Khiếu nại về dịch vụ FTTH</v>
          </cell>
          <cell r="W1566" t="str">
            <v>Đang xử lý</v>
          </cell>
          <cell r="AJ1566" t="str">
            <v>Quảng Ngãi</v>
          </cell>
          <cell r="BX1566" t="str">
            <v>AON</v>
          </cell>
        </row>
        <row r="1567">
          <cell r="A1567" t="str">
            <v>ON</v>
          </cell>
          <cell r="B1567" t="str">
            <v>Trong 24h</v>
          </cell>
          <cell r="D1567" t="str">
            <v>Khiếu nại về dịch vụ FTTH</v>
          </cell>
          <cell r="W1567" t="str">
            <v>Đã đóng</v>
          </cell>
          <cell r="AJ1567" t="str">
            <v>TP HCM</v>
          </cell>
          <cell r="BX1567" t="str">
            <v>AON</v>
          </cell>
        </row>
        <row r="1568">
          <cell r="A1568" t="str">
            <v>ON</v>
          </cell>
          <cell r="B1568" t="str">
            <v>Trong 24h</v>
          </cell>
          <cell r="D1568" t="str">
            <v>Khiếu nại về dịch vụ FTTH</v>
          </cell>
          <cell r="W1568" t="str">
            <v>Đã đóng</v>
          </cell>
          <cell r="AJ1568" t="str">
            <v>TP HCM</v>
          </cell>
          <cell r="BX1568" t="str">
            <v>AON</v>
          </cell>
        </row>
        <row r="1569">
          <cell r="A1569" t="str">
            <v>ON</v>
          </cell>
          <cell r="B1569" t="str">
            <v>Trong 24h</v>
          </cell>
          <cell r="D1569" t="str">
            <v>Khiếu nại về dịch vụ FTTH</v>
          </cell>
          <cell r="W1569" t="str">
            <v>Đã đóng</v>
          </cell>
          <cell r="AJ1569" t="str">
            <v>TP HCM</v>
          </cell>
          <cell r="BX1569" t="str">
            <v>AON</v>
          </cell>
        </row>
        <row r="1570">
          <cell r="A1570" t="str">
            <v>ON</v>
          </cell>
          <cell r="B1570" t="str">
            <v>Trong 24h</v>
          </cell>
          <cell r="D1570" t="str">
            <v>Khiếu nại về dịch vụ FTTH</v>
          </cell>
          <cell r="W1570" t="str">
            <v>Đã đóng</v>
          </cell>
          <cell r="AJ1570" t="str">
            <v>Quảng Bình</v>
          </cell>
          <cell r="BX1570" t="str">
            <v>AON</v>
          </cell>
        </row>
        <row r="1571">
          <cell r="A1571" t="str">
            <v>ON</v>
          </cell>
          <cell r="B1571" t="str">
            <v>Trong 24h</v>
          </cell>
          <cell r="D1571" t="str">
            <v>Khiếu nại về dịch vụ FTTH</v>
          </cell>
          <cell r="W1571" t="str">
            <v>Đã đóng</v>
          </cell>
          <cell r="AJ1571" t="str">
            <v>TP HCM</v>
          </cell>
          <cell r="BX1571" t="str">
            <v>AON</v>
          </cell>
        </row>
        <row r="1572">
          <cell r="A1572" t="str">
            <v>ON</v>
          </cell>
          <cell r="B1572" t="str">
            <v>Trong 24h</v>
          </cell>
          <cell r="D1572" t="str">
            <v>Khiếu nại về dịch vụ FTTH</v>
          </cell>
          <cell r="W1572" t="str">
            <v>Đã đóng</v>
          </cell>
          <cell r="AJ1572" t="str">
            <v>Thanh Hoá</v>
          </cell>
          <cell r="BX1572" t="str">
            <v>AON</v>
          </cell>
        </row>
        <row r="1573">
          <cell r="A1573" t="str">
            <v>ON</v>
          </cell>
          <cell r="B1573" t="str">
            <v>Trong 24h</v>
          </cell>
          <cell r="D1573" t="str">
            <v>Khiếu nại về dịch vụ NextTV</v>
          </cell>
          <cell r="W1573" t="str">
            <v>Đã đóng</v>
          </cell>
          <cell r="AJ1573" t="str">
            <v>TP HCM</v>
          </cell>
          <cell r="BX1573" t="str">
            <v>AON</v>
          </cell>
        </row>
        <row r="1574">
          <cell r="A1574" t="str">
            <v>ON</v>
          </cell>
          <cell r="B1574" t="str">
            <v>Trong 24h</v>
          </cell>
          <cell r="D1574" t="str">
            <v>Khiếu nại về dịch vụ FTTH</v>
          </cell>
          <cell r="W1574" t="str">
            <v>Đang xử lý</v>
          </cell>
          <cell r="AJ1574" t="str">
            <v>Bắc Ninh</v>
          </cell>
          <cell r="BX1574" t="str">
            <v>AON</v>
          </cell>
        </row>
        <row r="1575">
          <cell r="A1575" t="str">
            <v>ON</v>
          </cell>
          <cell r="B1575" t="str">
            <v>Trong 24h</v>
          </cell>
          <cell r="D1575" t="str">
            <v>Khiếu nại về dịch vụ FTTH</v>
          </cell>
          <cell r="W1575" t="str">
            <v>Đã đóng</v>
          </cell>
          <cell r="AJ1575" t="str">
            <v>TP HCM</v>
          </cell>
          <cell r="BX1575" t="str">
            <v>AON</v>
          </cell>
        </row>
        <row r="1576">
          <cell r="A1576" t="str">
            <v>ON</v>
          </cell>
          <cell r="B1576" t="str">
            <v>Trong 24h</v>
          </cell>
          <cell r="D1576" t="str">
            <v>Khiếu nại về dịch vụ FTTH</v>
          </cell>
          <cell r="W1576" t="str">
            <v>Đã đóng</v>
          </cell>
          <cell r="AJ1576" t="str">
            <v>Hà Nội 1</v>
          </cell>
          <cell r="BX1576" t="str">
            <v>AON</v>
          </cell>
        </row>
        <row r="1577">
          <cell r="A1577" t="str">
            <v>ON</v>
          </cell>
          <cell r="B1577" t="str">
            <v>Trong 24h</v>
          </cell>
          <cell r="D1577" t="str">
            <v>Khiếu nại về dịch vụ FTTH</v>
          </cell>
          <cell r="W1577" t="str">
            <v>Đã đóng</v>
          </cell>
          <cell r="AJ1577" t="str">
            <v>Hậu Giang</v>
          </cell>
          <cell r="BX1577" t="str">
            <v>AON</v>
          </cell>
        </row>
        <row r="1578">
          <cell r="A1578" t="str">
            <v>ON</v>
          </cell>
          <cell r="B1578" t="str">
            <v>Trong 24h</v>
          </cell>
          <cell r="D1578" t="str">
            <v>Khiếu nại về dịch vụ FTTH</v>
          </cell>
          <cell r="W1578" t="str">
            <v>Đang xử lý</v>
          </cell>
          <cell r="AJ1578" t="str">
            <v>Thanh Hoá</v>
          </cell>
          <cell r="BX1578" t="str">
            <v>AON</v>
          </cell>
        </row>
        <row r="1579">
          <cell r="A1579" t="str">
            <v>ON</v>
          </cell>
          <cell r="B1579" t="str">
            <v>Trong 24h</v>
          </cell>
          <cell r="D1579" t="str">
            <v>Khiếu nại về dịch vụ FTTH</v>
          </cell>
          <cell r="W1579" t="str">
            <v>Đã đóng</v>
          </cell>
          <cell r="AJ1579" t="str">
            <v>TP HCM</v>
          </cell>
          <cell r="BX1579" t="str">
            <v>AON</v>
          </cell>
        </row>
        <row r="1580">
          <cell r="A1580" t="str">
            <v>ON</v>
          </cell>
          <cell r="B1580" t="str">
            <v>Trong 24h</v>
          </cell>
          <cell r="D1580" t="str">
            <v>Khiếu nại về dịch vụ FTTH</v>
          </cell>
          <cell r="W1580" t="str">
            <v>Đã đóng</v>
          </cell>
          <cell r="AJ1580" t="str">
            <v xml:space="preserve">Đà Nẵng </v>
          </cell>
          <cell r="BX1580" t="str">
            <v>AON</v>
          </cell>
        </row>
        <row r="1581">
          <cell r="A1581" t="str">
            <v>ON</v>
          </cell>
          <cell r="B1581" t="str">
            <v>Trong 24h</v>
          </cell>
          <cell r="D1581" t="str">
            <v>Khiếu nại về dịch vụ FTTH</v>
          </cell>
          <cell r="W1581" t="str">
            <v>Đã đóng</v>
          </cell>
          <cell r="AJ1581" t="str">
            <v>TP HCM</v>
          </cell>
          <cell r="BX1581" t="str">
            <v>AON</v>
          </cell>
        </row>
        <row r="1582">
          <cell r="A1582" t="str">
            <v>ON</v>
          </cell>
          <cell r="B1582" t="str">
            <v>Trong 24h</v>
          </cell>
          <cell r="D1582" t="str">
            <v>Khiếu nại về dịch vụ FTTH</v>
          </cell>
          <cell r="W1582" t="str">
            <v>Đang xử lý</v>
          </cell>
          <cell r="AJ1582" t="str">
            <v>TP HCM</v>
          </cell>
          <cell r="BX1582" t="str">
            <v>AON</v>
          </cell>
        </row>
        <row r="1583">
          <cell r="A1583" t="str">
            <v>ON</v>
          </cell>
          <cell r="B1583" t="str">
            <v>Trong 24h</v>
          </cell>
          <cell r="D1583" t="str">
            <v>Khiếu nại về dịch vụ FTTH</v>
          </cell>
          <cell r="W1583" t="str">
            <v>Đang xử lý</v>
          </cell>
          <cell r="AJ1583" t="str">
            <v>TP HCM</v>
          </cell>
          <cell r="BX1583" t="str">
            <v>AON</v>
          </cell>
        </row>
        <row r="1584">
          <cell r="A1584" t="str">
            <v>ON</v>
          </cell>
          <cell r="B1584" t="str">
            <v>Trong 24h</v>
          </cell>
          <cell r="D1584" t="str">
            <v>Khiếu nại về dịch vụ FTTH</v>
          </cell>
          <cell r="W1584" t="str">
            <v>Đã đóng</v>
          </cell>
          <cell r="AJ1584" t="str">
            <v>Cần Thơ</v>
          </cell>
          <cell r="BX1584" t="str">
            <v>AON</v>
          </cell>
        </row>
        <row r="1585">
          <cell r="A1585" t="str">
            <v>ON</v>
          </cell>
          <cell r="B1585" t="str">
            <v>Trong 24h</v>
          </cell>
          <cell r="D1585" t="str">
            <v>Khiếu nại về dịch vụ FTTH</v>
          </cell>
          <cell r="W1585" t="str">
            <v>Đã đóng</v>
          </cell>
          <cell r="AJ1585" t="str">
            <v xml:space="preserve">Đồng Nai </v>
          </cell>
          <cell r="BX1585" t="str">
            <v>AON</v>
          </cell>
        </row>
        <row r="1586">
          <cell r="A1586" t="str">
            <v>ON</v>
          </cell>
          <cell r="B1586" t="str">
            <v>Trong 24h</v>
          </cell>
          <cell r="D1586" t="str">
            <v>Khiếu nại về dịch vụ FTTH</v>
          </cell>
          <cell r="W1586" t="str">
            <v>Đã đóng</v>
          </cell>
          <cell r="AJ1586" t="str">
            <v>Quảng Ngãi</v>
          </cell>
          <cell r="BX1586" t="str">
            <v>AON</v>
          </cell>
        </row>
        <row r="1587">
          <cell r="A1587" t="str">
            <v>ON</v>
          </cell>
          <cell r="B1587" t="str">
            <v>Trong 24h</v>
          </cell>
          <cell r="D1587" t="str">
            <v>Khiếu nại về dịch vụ FTTH</v>
          </cell>
          <cell r="W1587" t="str">
            <v>Đã đóng</v>
          </cell>
          <cell r="AJ1587" t="str">
            <v>Phú Thọ</v>
          </cell>
          <cell r="BX1587" t="str">
            <v>AON</v>
          </cell>
        </row>
        <row r="1588">
          <cell r="A1588" t="str">
            <v>ON</v>
          </cell>
          <cell r="B1588" t="str">
            <v>Trong 24h</v>
          </cell>
          <cell r="D1588" t="str">
            <v>Khiếu nại về dịch vụ FTTH</v>
          </cell>
          <cell r="W1588" t="str">
            <v>Đã đóng</v>
          </cell>
          <cell r="AJ1588" t="str">
            <v>Hà Nội 1</v>
          </cell>
          <cell r="BX1588" t="str">
            <v>AON</v>
          </cell>
        </row>
        <row r="1589">
          <cell r="A1589" t="str">
            <v>ON</v>
          </cell>
          <cell r="B1589" t="str">
            <v>Trong 24h</v>
          </cell>
          <cell r="D1589" t="str">
            <v>Khiếu nại về dịch vụ FTTH</v>
          </cell>
          <cell r="W1589" t="str">
            <v>Đã đóng</v>
          </cell>
          <cell r="AJ1589" t="str">
            <v>Hải Phòng</v>
          </cell>
          <cell r="BX1589" t="str">
            <v>AON</v>
          </cell>
        </row>
        <row r="1590">
          <cell r="A1590" t="str">
            <v>ON</v>
          </cell>
          <cell r="B1590" t="str">
            <v>Trong 24h</v>
          </cell>
          <cell r="D1590" t="str">
            <v>Khiếu nại về dịch vụ FTTH</v>
          </cell>
          <cell r="W1590" t="str">
            <v>Đã đóng</v>
          </cell>
          <cell r="AJ1590" t="str">
            <v>Hậu Giang</v>
          </cell>
          <cell r="BX1590" t="str">
            <v>AON</v>
          </cell>
        </row>
        <row r="1591">
          <cell r="A1591" t="str">
            <v>ON</v>
          </cell>
          <cell r="B1591" t="str">
            <v>Trong 24h</v>
          </cell>
          <cell r="D1591" t="str">
            <v>Khiếu nại về dịch vụ FTTH</v>
          </cell>
          <cell r="W1591" t="str">
            <v>Đang xử lý</v>
          </cell>
          <cell r="AJ1591" t="str">
            <v>Đồng Tháp</v>
          </cell>
          <cell r="BX1591" t="str">
            <v>AON</v>
          </cell>
        </row>
        <row r="1592">
          <cell r="A1592" t="str">
            <v>ON</v>
          </cell>
          <cell r="B1592" t="str">
            <v>Trong 24h</v>
          </cell>
          <cell r="D1592" t="str">
            <v>Khiếu nại về dịch vụ FTTH</v>
          </cell>
          <cell r="W1592" t="str">
            <v>Đang xử lý</v>
          </cell>
          <cell r="AJ1592" t="str">
            <v>TP HCM</v>
          </cell>
          <cell r="BX1592" t="str">
            <v>AON</v>
          </cell>
        </row>
        <row r="1593">
          <cell r="A1593" t="str">
            <v>ON</v>
          </cell>
          <cell r="B1593" t="str">
            <v>Trong 24h</v>
          </cell>
          <cell r="D1593" t="str">
            <v>Khiếu nại về dịch vụ FTTH</v>
          </cell>
          <cell r="W1593" t="str">
            <v>Đã đóng</v>
          </cell>
          <cell r="AJ1593" t="str">
            <v>Phú Thọ</v>
          </cell>
          <cell r="BX1593" t="str">
            <v>AON</v>
          </cell>
        </row>
        <row r="1594">
          <cell r="A1594" t="str">
            <v>ON</v>
          </cell>
          <cell r="B1594" t="str">
            <v>Trong 24h</v>
          </cell>
          <cell r="D1594" t="str">
            <v>Khiếu nại về dịch vụ FTTH</v>
          </cell>
          <cell r="W1594" t="str">
            <v>Đã đóng</v>
          </cell>
          <cell r="AJ1594" t="str">
            <v>Bình Thuận</v>
          </cell>
          <cell r="BX1594" t="str">
            <v>AON</v>
          </cell>
        </row>
        <row r="1595">
          <cell r="A1595" t="str">
            <v>ON</v>
          </cell>
          <cell r="B1595" t="str">
            <v>Trong 24h</v>
          </cell>
          <cell r="D1595" t="str">
            <v>Khiếu nại về dịch vụ FTTH</v>
          </cell>
          <cell r="W1595" t="str">
            <v>Đã đóng</v>
          </cell>
          <cell r="AJ1595" t="str">
            <v>Hà Nội 1</v>
          </cell>
          <cell r="BX1595" t="str">
            <v>AON</v>
          </cell>
        </row>
        <row r="1596">
          <cell r="A1596" t="str">
            <v>ON</v>
          </cell>
          <cell r="B1596" t="str">
            <v>Trong 24h</v>
          </cell>
          <cell r="D1596" t="str">
            <v>Khiếu nại về dịch vụ FTTH</v>
          </cell>
          <cell r="W1596" t="str">
            <v>Đã đóng</v>
          </cell>
          <cell r="AJ1596" t="str">
            <v>Lào Cai</v>
          </cell>
          <cell r="BX1596" t="str">
            <v>AON</v>
          </cell>
        </row>
        <row r="1597">
          <cell r="A1597" t="str">
            <v>ON</v>
          </cell>
          <cell r="B1597" t="str">
            <v>Trong 24h</v>
          </cell>
          <cell r="D1597" t="str">
            <v>Khiếu nại về dịch vụ FTTH</v>
          </cell>
          <cell r="W1597" t="str">
            <v>Đang xử lý</v>
          </cell>
          <cell r="AJ1597" t="str">
            <v xml:space="preserve">Hà Tĩnh </v>
          </cell>
          <cell r="BX1597" t="str">
            <v>AON</v>
          </cell>
        </row>
        <row r="1598">
          <cell r="A1598" t="str">
            <v>ON</v>
          </cell>
          <cell r="B1598" t="str">
            <v>Trong 24h</v>
          </cell>
          <cell r="D1598" t="str">
            <v>Khiếu nại về dịch vụ FTTH</v>
          </cell>
          <cell r="W1598" t="str">
            <v>Đã đóng</v>
          </cell>
          <cell r="AJ1598" t="str">
            <v>TP HCM</v>
          </cell>
          <cell r="BX1598" t="str">
            <v>AON</v>
          </cell>
        </row>
        <row r="1599">
          <cell r="A1599" t="str">
            <v>ON</v>
          </cell>
          <cell r="B1599" t="str">
            <v>Trong 24h</v>
          </cell>
          <cell r="D1599" t="str">
            <v>Khiếu nại về dịch vụ FTTH</v>
          </cell>
          <cell r="W1599" t="str">
            <v>Đã đóng</v>
          </cell>
          <cell r="AJ1599" t="str">
            <v>Khánh Hoà</v>
          </cell>
          <cell r="BX1599" t="str">
            <v>AON</v>
          </cell>
        </row>
        <row r="1600">
          <cell r="A1600" t="str">
            <v>ON</v>
          </cell>
          <cell r="B1600" t="str">
            <v>Trong 24h</v>
          </cell>
          <cell r="D1600" t="str">
            <v>Khiếu nại về dịch vụ FTTH</v>
          </cell>
          <cell r="W1600" t="str">
            <v>Đã đóng</v>
          </cell>
          <cell r="AJ1600" t="str">
            <v>Hà Nội 2</v>
          </cell>
          <cell r="BX1600" t="str">
            <v>AON</v>
          </cell>
        </row>
        <row r="1601">
          <cell r="A1601" t="str">
            <v>ON</v>
          </cell>
          <cell r="B1601" t="str">
            <v>Trong 24h</v>
          </cell>
          <cell r="D1601" t="str">
            <v>Khiếu nại về dịch vụ NextTV</v>
          </cell>
          <cell r="W1601" t="str">
            <v>Đã đóng</v>
          </cell>
          <cell r="AJ1601" t="str">
            <v>Bắc Ninh</v>
          </cell>
          <cell r="BX1601" t="str">
            <v>AON</v>
          </cell>
        </row>
        <row r="1602">
          <cell r="A1602" t="str">
            <v>ON</v>
          </cell>
          <cell r="B1602" t="str">
            <v>Trong 24h</v>
          </cell>
          <cell r="D1602" t="str">
            <v>Khiếu nại về dịch vụ FTTH</v>
          </cell>
          <cell r="W1602" t="str">
            <v>Đã đóng</v>
          </cell>
          <cell r="AJ1602" t="str">
            <v>Hà Nội 2</v>
          </cell>
          <cell r="BX1602" t="str">
            <v>AON</v>
          </cell>
        </row>
        <row r="1603">
          <cell r="A1603" t="str">
            <v>ON</v>
          </cell>
          <cell r="B1603" t="str">
            <v>Trong 24h</v>
          </cell>
          <cell r="D1603" t="str">
            <v>Khiếu nại về dịch vụ FTTH</v>
          </cell>
          <cell r="W1603" t="str">
            <v>Đang xử lý</v>
          </cell>
          <cell r="AJ1603" t="str">
            <v>Bến Tre</v>
          </cell>
          <cell r="BX1603" t="str">
            <v>AON</v>
          </cell>
        </row>
        <row r="1604">
          <cell r="A1604" t="str">
            <v>ON</v>
          </cell>
          <cell r="B1604" t="str">
            <v>Trong 24h</v>
          </cell>
          <cell r="D1604" t="str">
            <v>Khiếu nại về dịch vụ FTTH</v>
          </cell>
          <cell r="W1604" t="str">
            <v>Đã đóng</v>
          </cell>
          <cell r="AJ1604" t="str">
            <v>Hà Nội 1</v>
          </cell>
          <cell r="BX1604" t="str">
            <v>AON</v>
          </cell>
        </row>
        <row r="1605">
          <cell r="A1605" t="str">
            <v>ON</v>
          </cell>
          <cell r="B1605" t="str">
            <v>Trong 24h</v>
          </cell>
          <cell r="D1605" t="str">
            <v>Khiếu nại về dịch vụ FTTH</v>
          </cell>
          <cell r="W1605" t="str">
            <v>Đã đóng</v>
          </cell>
          <cell r="AJ1605" t="str">
            <v>Tiền Giang</v>
          </cell>
          <cell r="BX1605" t="str">
            <v>AON</v>
          </cell>
        </row>
        <row r="1606">
          <cell r="A1606" t="str">
            <v>ON</v>
          </cell>
          <cell r="B1606" t="str">
            <v>Trong 24h</v>
          </cell>
          <cell r="D1606" t="str">
            <v>Khiếu nại về dịch vụ FTTH</v>
          </cell>
          <cell r="W1606" t="str">
            <v>Đang xử lý</v>
          </cell>
          <cell r="AJ1606" t="str">
            <v>Quảng Ninh</v>
          </cell>
          <cell r="BX1606" t="str">
            <v>AON</v>
          </cell>
        </row>
        <row r="1607">
          <cell r="A1607" t="str">
            <v>ON</v>
          </cell>
          <cell r="B1607" t="str">
            <v>Trong 24h</v>
          </cell>
          <cell r="D1607" t="str">
            <v>Khiếu nại về dịch vụ NextTV</v>
          </cell>
          <cell r="W1607" t="str">
            <v>Đang xử lý</v>
          </cell>
          <cell r="AJ1607" t="str">
            <v>Bến Tre</v>
          </cell>
          <cell r="BX1607" t="str">
            <v>AON</v>
          </cell>
        </row>
        <row r="1608">
          <cell r="A1608" t="str">
            <v>ON</v>
          </cell>
          <cell r="B1608" t="str">
            <v>Trong 24h</v>
          </cell>
          <cell r="D1608" t="str">
            <v>Khiếu nại về dịch vụ FTTH</v>
          </cell>
          <cell r="W1608" t="str">
            <v>Đang xử lý</v>
          </cell>
          <cell r="AJ1608" t="str">
            <v>TP HCM</v>
          </cell>
          <cell r="BX1608" t="str">
            <v>AON</v>
          </cell>
        </row>
        <row r="1609">
          <cell r="A1609" t="str">
            <v>ON</v>
          </cell>
          <cell r="B1609" t="str">
            <v>Trong 24h</v>
          </cell>
          <cell r="D1609" t="str">
            <v>Khiếu nại về dịch vụ FTTH</v>
          </cell>
          <cell r="W1609" t="str">
            <v>Đang xử lý</v>
          </cell>
          <cell r="AJ1609" t="str">
            <v>Bình Dương</v>
          </cell>
          <cell r="BX1609" t="str">
            <v>AON</v>
          </cell>
        </row>
        <row r="1610">
          <cell r="A1610" t="str">
            <v>ON</v>
          </cell>
          <cell r="B1610" t="str">
            <v>Trong 24h</v>
          </cell>
          <cell r="D1610" t="str">
            <v>Khiếu nại về dịch vụ FTTH</v>
          </cell>
          <cell r="W1610" t="str">
            <v>Đã đóng</v>
          </cell>
          <cell r="AJ1610" t="str">
            <v>Hậu Giang</v>
          </cell>
          <cell r="BX1610" t="str">
            <v>AON</v>
          </cell>
        </row>
        <row r="1611">
          <cell r="A1611" t="str">
            <v>ON</v>
          </cell>
          <cell r="B1611" t="str">
            <v>Trong 24h</v>
          </cell>
          <cell r="D1611" t="str">
            <v>Khiếu nại về dịch vụ FTTH</v>
          </cell>
          <cell r="W1611" t="str">
            <v>Đã đóng</v>
          </cell>
          <cell r="AJ1611" t="str">
            <v>Hà Nội 1</v>
          </cell>
          <cell r="BX1611" t="str">
            <v>AON</v>
          </cell>
        </row>
        <row r="1612">
          <cell r="A1612" t="str">
            <v>ON</v>
          </cell>
          <cell r="B1612" t="str">
            <v>Trong 24h</v>
          </cell>
          <cell r="D1612" t="str">
            <v>Khiếu nại về dịch vụ FTTH</v>
          </cell>
          <cell r="W1612" t="str">
            <v>Đang xử lý</v>
          </cell>
          <cell r="AJ1612" t="str">
            <v xml:space="preserve">Đồng Nai </v>
          </cell>
          <cell r="BX1612" t="str">
            <v>AON</v>
          </cell>
        </row>
        <row r="1613">
          <cell r="A1613" t="str">
            <v>ON</v>
          </cell>
          <cell r="B1613" t="str">
            <v>Trong 24h</v>
          </cell>
          <cell r="D1613" t="str">
            <v>Khiếu nại về dịch vụ NextTV</v>
          </cell>
          <cell r="W1613" t="str">
            <v>Đã đóng</v>
          </cell>
          <cell r="AJ1613" t="str">
            <v>Bà Rịa - Vũng Tàu</v>
          </cell>
          <cell r="BX1613" t="str">
            <v>AON</v>
          </cell>
        </row>
        <row r="1614">
          <cell r="A1614" t="str">
            <v>ON</v>
          </cell>
          <cell r="B1614" t="str">
            <v>Trong 24h</v>
          </cell>
          <cell r="D1614" t="str">
            <v>Khiếu nại về dịch vụ NextTV</v>
          </cell>
          <cell r="W1614" t="str">
            <v>Đã đóng</v>
          </cell>
          <cell r="AJ1614" t="str">
            <v>Sóc Trăng</v>
          </cell>
          <cell r="BX1614" t="str">
            <v>AON</v>
          </cell>
        </row>
        <row r="1615">
          <cell r="A1615" t="str">
            <v>ON</v>
          </cell>
          <cell r="B1615" t="str">
            <v>Trong 24h</v>
          </cell>
          <cell r="D1615" t="str">
            <v>Khiếu nại về dịch vụ FTTH</v>
          </cell>
          <cell r="W1615" t="str">
            <v>Đã đóng</v>
          </cell>
          <cell r="AJ1615" t="str">
            <v>Bình Dương</v>
          </cell>
          <cell r="BX1615" t="str">
            <v>AON</v>
          </cell>
        </row>
        <row r="1616">
          <cell r="A1616" t="str">
            <v>ON</v>
          </cell>
          <cell r="B1616" t="str">
            <v>Trong 24h</v>
          </cell>
          <cell r="D1616" t="str">
            <v>Khiếu nại về dịch vụ FTTH</v>
          </cell>
          <cell r="W1616" t="str">
            <v>Đang xử lý</v>
          </cell>
          <cell r="AJ1616" t="str">
            <v>An Giang</v>
          </cell>
          <cell r="BX1616" t="str">
            <v>AON</v>
          </cell>
        </row>
        <row r="1617">
          <cell r="A1617" t="str">
            <v>ON</v>
          </cell>
          <cell r="B1617" t="str">
            <v>Trong 24h</v>
          </cell>
          <cell r="D1617" t="str">
            <v>Khiếu nại về dịch vụ FTTH</v>
          </cell>
          <cell r="W1617" t="str">
            <v>Đang xử lý</v>
          </cell>
          <cell r="AJ1617" t="str">
            <v>Gia Lai</v>
          </cell>
          <cell r="BX1617" t="str">
            <v>AON</v>
          </cell>
        </row>
        <row r="1618">
          <cell r="A1618" t="str">
            <v>ON</v>
          </cell>
          <cell r="B1618" t="str">
            <v>Trong 24h</v>
          </cell>
          <cell r="D1618" t="str">
            <v>Khiếu nại về dịch vụ FTTH</v>
          </cell>
          <cell r="W1618" t="str">
            <v>Đã đóng</v>
          </cell>
          <cell r="AJ1618" t="str">
            <v>Quảng Bình</v>
          </cell>
          <cell r="BX1618" t="str">
            <v>AON</v>
          </cell>
        </row>
        <row r="1619">
          <cell r="A1619" t="str">
            <v>ON</v>
          </cell>
          <cell r="B1619" t="str">
            <v>Trong 24h</v>
          </cell>
          <cell r="D1619" t="str">
            <v>Khiếu nại về dịch vụ FTTH</v>
          </cell>
          <cell r="W1619" t="str">
            <v>Đã đóng</v>
          </cell>
          <cell r="AJ1619" t="str">
            <v>Sơn La</v>
          </cell>
          <cell r="BX1619" t="str">
            <v>AON</v>
          </cell>
        </row>
        <row r="1620">
          <cell r="A1620" t="str">
            <v>ON</v>
          </cell>
          <cell r="B1620" t="str">
            <v>Trong 24h</v>
          </cell>
          <cell r="D1620" t="str">
            <v>Khiếu nại về dịch vụ FTTH</v>
          </cell>
          <cell r="W1620" t="str">
            <v>Đã đóng</v>
          </cell>
          <cell r="AJ1620" t="str">
            <v>Nam Định</v>
          </cell>
          <cell r="BX1620" t="str">
            <v>AON</v>
          </cell>
        </row>
        <row r="1621">
          <cell r="A1621" t="str">
            <v>ON</v>
          </cell>
          <cell r="B1621" t="str">
            <v>Trong 24h</v>
          </cell>
          <cell r="D1621" t="str">
            <v>Khiếu nại về dịch vụ NextTV</v>
          </cell>
          <cell r="W1621" t="str">
            <v>Đã đóng</v>
          </cell>
          <cell r="AJ1621" t="str">
            <v>Bà Rịa - Vũng Tàu</v>
          </cell>
          <cell r="BX1621" t="str">
            <v>AON</v>
          </cell>
        </row>
        <row r="1622">
          <cell r="A1622" t="str">
            <v>ON</v>
          </cell>
          <cell r="B1622" t="str">
            <v>Trong 24h</v>
          </cell>
          <cell r="D1622" t="str">
            <v>Khiếu nại về dịch vụ FTTH</v>
          </cell>
          <cell r="W1622" t="str">
            <v>Đã đóng</v>
          </cell>
          <cell r="AJ1622" t="str">
            <v>Hà Nội 2</v>
          </cell>
          <cell r="BX1622" t="str">
            <v>AON</v>
          </cell>
        </row>
        <row r="1623">
          <cell r="A1623" t="str">
            <v>ON</v>
          </cell>
          <cell r="B1623" t="str">
            <v>Trong 24h</v>
          </cell>
          <cell r="D1623" t="str">
            <v>Khiếu nại về dịch vụ NextTV</v>
          </cell>
          <cell r="W1623" t="str">
            <v>Đã đóng</v>
          </cell>
          <cell r="AJ1623" t="str">
            <v>Bà Rịa - Vũng Tàu</v>
          </cell>
          <cell r="BX1623" t="str">
            <v>AON</v>
          </cell>
        </row>
        <row r="1624">
          <cell r="A1624" t="str">
            <v>ON</v>
          </cell>
          <cell r="B1624" t="str">
            <v>Trong 24h</v>
          </cell>
          <cell r="D1624" t="str">
            <v>Khiếu nại về dịch vụ FTTH</v>
          </cell>
          <cell r="W1624" t="str">
            <v>Đã đóng</v>
          </cell>
          <cell r="AJ1624" t="str">
            <v>TP HCM</v>
          </cell>
          <cell r="BX1624" t="str">
            <v>AON</v>
          </cell>
        </row>
        <row r="1625">
          <cell r="A1625" t="str">
            <v>ON</v>
          </cell>
          <cell r="B1625" t="str">
            <v>Trong 24h</v>
          </cell>
          <cell r="D1625" t="str">
            <v>Khiếu nại về dịch vụ FTTH</v>
          </cell>
          <cell r="W1625" t="str">
            <v>Đang xử lý</v>
          </cell>
          <cell r="AJ1625" t="str">
            <v>Cần Thơ</v>
          </cell>
          <cell r="BX1625" t="str">
            <v>AON</v>
          </cell>
        </row>
        <row r="1626">
          <cell r="A1626" t="str">
            <v>ON</v>
          </cell>
          <cell r="B1626" t="str">
            <v>Trong 24h</v>
          </cell>
          <cell r="D1626" t="str">
            <v>Khiếu nại về dịch vụ FTTH</v>
          </cell>
          <cell r="W1626" t="str">
            <v>Đang xử lý</v>
          </cell>
          <cell r="AJ1626" t="str">
            <v>TP HCM</v>
          </cell>
          <cell r="BX1626" t="str">
            <v>GPON</v>
          </cell>
        </row>
        <row r="1627">
          <cell r="A1627" t="str">
            <v>ON</v>
          </cell>
          <cell r="B1627" t="str">
            <v>Trong 24h</v>
          </cell>
          <cell r="D1627" t="str">
            <v>Khiếu nại về dịch vụ FTTH</v>
          </cell>
          <cell r="W1627" t="str">
            <v>Đang xử lý</v>
          </cell>
          <cell r="AJ1627" t="str">
            <v xml:space="preserve">Đà Nẵng </v>
          </cell>
          <cell r="BX1627" t="str">
            <v>AON</v>
          </cell>
        </row>
        <row r="1628">
          <cell r="A1628" t="str">
            <v>ON</v>
          </cell>
          <cell r="B1628" t="str">
            <v>Trong 24h</v>
          </cell>
          <cell r="D1628" t="str">
            <v>Khiếu nại về dịch vụ FTTH</v>
          </cell>
          <cell r="W1628" t="str">
            <v>Đang xử lý</v>
          </cell>
          <cell r="AJ1628" t="str">
            <v>Quảng Ninh</v>
          </cell>
          <cell r="BX1628" t="str">
            <v>AON</v>
          </cell>
        </row>
        <row r="1629">
          <cell r="A1629" t="str">
            <v>ON</v>
          </cell>
          <cell r="B1629" t="str">
            <v>Trong 24h</v>
          </cell>
          <cell r="D1629" t="str">
            <v>Khiếu nại về dịch vụ FTTH</v>
          </cell>
          <cell r="W1629" t="str">
            <v>Đang xử lý</v>
          </cell>
          <cell r="AJ1629" t="str">
            <v>Bình Dương</v>
          </cell>
          <cell r="BX1629" t="str">
            <v>AON</v>
          </cell>
        </row>
        <row r="1630">
          <cell r="A1630" t="str">
            <v>ON</v>
          </cell>
          <cell r="B1630" t="str">
            <v>Trong 24h</v>
          </cell>
          <cell r="D1630" t="str">
            <v>Khiếu nại về dịch vụ NextTV</v>
          </cell>
          <cell r="W1630" t="str">
            <v>Đã đóng</v>
          </cell>
          <cell r="AJ1630" t="str">
            <v>Bà Rịa - Vũng Tàu</v>
          </cell>
          <cell r="BX1630" t="str">
            <v>AON</v>
          </cell>
        </row>
        <row r="1631">
          <cell r="A1631" t="str">
            <v>ON</v>
          </cell>
          <cell r="B1631" t="str">
            <v>Trong 24h</v>
          </cell>
          <cell r="D1631" t="str">
            <v>Khiếu nại về dịch vụ FTTH</v>
          </cell>
          <cell r="W1631" t="str">
            <v>Đã đóng</v>
          </cell>
          <cell r="AJ1631" t="str">
            <v xml:space="preserve">Đắc Lắk </v>
          </cell>
          <cell r="BX1631" t="str">
            <v>AON</v>
          </cell>
        </row>
        <row r="1632">
          <cell r="A1632" t="str">
            <v>ON</v>
          </cell>
          <cell r="B1632" t="str">
            <v>Trong 24h</v>
          </cell>
          <cell r="D1632" t="str">
            <v>Khiếu nại về dịch vụ FTTH</v>
          </cell>
          <cell r="W1632" t="str">
            <v>Đã đóng</v>
          </cell>
          <cell r="AJ1632" t="str">
            <v>Hà Giang</v>
          </cell>
          <cell r="BX1632" t="str">
            <v>AON</v>
          </cell>
        </row>
        <row r="1633">
          <cell r="A1633" t="str">
            <v>ON</v>
          </cell>
          <cell r="B1633" t="str">
            <v>Trong 24h</v>
          </cell>
          <cell r="D1633" t="str">
            <v>Khiếu nại về dịch vụ FTTH</v>
          </cell>
          <cell r="W1633" t="str">
            <v>Đang xử lý</v>
          </cell>
          <cell r="AJ1633" t="str">
            <v>Bình Thuận</v>
          </cell>
          <cell r="BX1633" t="str">
            <v>AON</v>
          </cell>
        </row>
        <row r="1634">
          <cell r="A1634" t="str">
            <v>ON</v>
          </cell>
          <cell r="B1634" t="str">
            <v>Trong 24h</v>
          </cell>
          <cell r="D1634" t="str">
            <v>Khiếu nại về dịch vụ FTTH</v>
          </cell>
          <cell r="W1634" t="str">
            <v>Đã đóng</v>
          </cell>
          <cell r="AJ1634" t="str">
            <v>Hà Nội 2</v>
          </cell>
          <cell r="BX1634" t="str">
            <v>AON</v>
          </cell>
        </row>
        <row r="1635">
          <cell r="A1635" t="str">
            <v>ON</v>
          </cell>
          <cell r="B1635" t="str">
            <v>Trong 24h</v>
          </cell>
          <cell r="D1635" t="str">
            <v>Khiếu nại về dịch vụ FTTH</v>
          </cell>
          <cell r="W1635" t="str">
            <v>Đang xử lý</v>
          </cell>
          <cell r="AJ1635" t="str">
            <v>Bến Tre</v>
          </cell>
          <cell r="BX1635" t="str">
            <v>AON</v>
          </cell>
        </row>
        <row r="1636">
          <cell r="A1636" t="str">
            <v>ON</v>
          </cell>
          <cell r="B1636" t="str">
            <v>Trong 24h</v>
          </cell>
          <cell r="D1636" t="str">
            <v>Khiếu nại về dịch vụ FTTH</v>
          </cell>
          <cell r="W1636" t="str">
            <v>Đang xử lý</v>
          </cell>
          <cell r="AJ1636" t="str">
            <v>Bắc Kạn</v>
          </cell>
          <cell r="BX1636" t="str">
            <v>AON</v>
          </cell>
        </row>
        <row r="1637">
          <cell r="A1637" t="str">
            <v>ON</v>
          </cell>
          <cell r="B1637" t="str">
            <v>Trong 24h</v>
          </cell>
          <cell r="D1637" t="str">
            <v>Khiếu nại về dịch vụ FTTH</v>
          </cell>
          <cell r="W1637" t="str">
            <v>Đã đóng</v>
          </cell>
          <cell r="AJ1637" t="str">
            <v>Hà Nội 1</v>
          </cell>
          <cell r="BX1637" t="str">
            <v>AON</v>
          </cell>
        </row>
        <row r="1638">
          <cell r="A1638" t="str">
            <v>ON</v>
          </cell>
          <cell r="B1638" t="str">
            <v>Trong 24h</v>
          </cell>
          <cell r="D1638" t="str">
            <v>Khiếu nại về dịch vụ FTTH</v>
          </cell>
          <cell r="W1638" t="str">
            <v>Đã đóng</v>
          </cell>
          <cell r="AJ1638" t="str">
            <v>TP HCM</v>
          </cell>
          <cell r="BX1638" t="str">
            <v>AON</v>
          </cell>
        </row>
        <row r="1639">
          <cell r="A1639" t="str">
            <v>ON</v>
          </cell>
          <cell r="B1639" t="str">
            <v>Trong 24h</v>
          </cell>
          <cell r="D1639" t="str">
            <v>Khiếu nại về dịch vụ FTTH</v>
          </cell>
          <cell r="W1639" t="str">
            <v>Đã đóng</v>
          </cell>
          <cell r="AJ1639" t="str">
            <v>TP HCM</v>
          </cell>
          <cell r="BX1639" t="str">
            <v>AON</v>
          </cell>
        </row>
        <row r="1640">
          <cell r="A1640" t="str">
            <v>ON</v>
          </cell>
          <cell r="B1640" t="str">
            <v>Trong 24h</v>
          </cell>
          <cell r="D1640" t="str">
            <v>Khiếu nại về dịch vụ FTTH</v>
          </cell>
          <cell r="W1640" t="str">
            <v>Đang xử lý</v>
          </cell>
          <cell r="AJ1640" t="str">
            <v>TP HCM</v>
          </cell>
          <cell r="BX1640" t="str">
            <v>AON</v>
          </cell>
        </row>
        <row r="1641">
          <cell r="A1641" t="str">
            <v>ON</v>
          </cell>
          <cell r="B1641" t="str">
            <v>Trong 24h</v>
          </cell>
          <cell r="D1641" t="str">
            <v>Khiếu nại về dịch vụ FTTH</v>
          </cell>
          <cell r="W1641" t="str">
            <v>Đã đóng</v>
          </cell>
          <cell r="AJ1641" t="str">
            <v>Phú Thọ</v>
          </cell>
          <cell r="BX1641" t="str">
            <v>AON</v>
          </cell>
        </row>
        <row r="1642">
          <cell r="A1642" t="str">
            <v>ON</v>
          </cell>
          <cell r="B1642" t="str">
            <v>Trong 24h</v>
          </cell>
          <cell r="D1642" t="str">
            <v>Khiếu nại về dịch vụ FTTH</v>
          </cell>
          <cell r="W1642" t="str">
            <v>Đã đóng</v>
          </cell>
          <cell r="AJ1642" t="str">
            <v>TP HCM</v>
          </cell>
          <cell r="BX1642" t="str">
            <v>AON</v>
          </cell>
        </row>
        <row r="1643">
          <cell r="A1643" t="str">
            <v>ON</v>
          </cell>
          <cell r="B1643" t="str">
            <v>Trong 24h</v>
          </cell>
          <cell r="D1643" t="str">
            <v>Khiếu nại về dịch vụ FTTH</v>
          </cell>
          <cell r="W1643" t="str">
            <v>Đã đóng</v>
          </cell>
          <cell r="AJ1643" t="str">
            <v>TP HCM</v>
          </cell>
          <cell r="BX1643" t="str">
            <v>AON</v>
          </cell>
        </row>
        <row r="1644">
          <cell r="A1644" t="str">
            <v>ON</v>
          </cell>
          <cell r="B1644" t="str">
            <v>Trong 24h</v>
          </cell>
          <cell r="D1644" t="str">
            <v>Khiếu nại về dịch vụ FTTH</v>
          </cell>
          <cell r="W1644" t="str">
            <v>Đang xử lý</v>
          </cell>
          <cell r="AJ1644" t="str">
            <v>TP HCM</v>
          </cell>
          <cell r="BX1644" t="str">
            <v>AON</v>
          </cell>
        </row>
        <row r="1645">
          <cell r="A1645" t="str">
            <v>ON</v>
          </cell>
          <cell r="B1645" t="str">
            <v>Trong 24h</v>
          </cell>
          <cell r="D1645" t="str">
            <v>Khiếu nại về dịch vụ FTTH</v>
          </cell>
          <cell r="W1645" t="str">
            <v>Đã đóng</v>
          </cell>
          <cell r="AJ1645" t="str">
            <v>Hậu Giang</v>
          </cell>
          <cell r="BX1645" t="str">
            <v>AON</v>
          </cell>
        </row>
        <row r="1646">
          <cell r="A1646" t="str">
            <v>ON</v>
          </cell>
          <cell r="B1646" t="str">
            <v>Trong 24h</v>
          </cell>
          <cell r="D1646" t="str">
            <v>Khiếu nại về dịch vụ FTTH</v>
          </cell>
          <cell r="W1646" t="str">
            <v>Đang xử lý</v>
          </cell>
          <cell r="AJ1646" t="str">
            <v>Thái Nguyên</v>
          </cell>
          <cell r="BX1646" t="str">
            <v>AON</v>
          </cell>
        </row>
        <row r="1647">
          <cell r="A1647" t="str">
            <v>ON</v>
          </cell>
          <cell r="B1647" t="str">
            <v>Trong 24h</v>
          </cell>
          <cell r="D1647" t="str">
            <v>Khiếu nại về dịch vụ FTTH</v>
          </cell>
          <cell r="W1647" t="str">
            <v>Đã đóng</v>
          </cell>
          <cell r="AJ1647" t="str">
            <v>Khánh Hoà</v>
          </cell>
          <cell r="BX1647" t="str">
            <v>AON</v>
          </cell>
        </row>
        <row r="1648">
          <cell r="A1648" t="str">
            <v>ON</v>
          </cell>
          <cell r="B1648" t="str">
            <v>Trong 24h</v>
          </cell>
          <cell r="D1648" t="str">
            <v>Khiếu nại về dịch vụ FTTH</v>
          </cell>
          <cell r="W1648" t="str">
            <v>Đang xử lý</v>
          </cell>
          <cell r="AJ1648" t="str">
            <v>Đồng Tháp</v>
          </cell>
          <cell r="BX1648" t="str">
            <v>AON</v>
          </cell>
        </row>
        <row r="1649">
          <cell r="A1649" t="str">
            <v>ON</v>
          </cell>
          <cell r="B1649" t="str">
            <v>Trong 24h</v>
          </cell>
          <cell r="D1649" t="str">
            <v>Khiếu nại về dịch vụ FTTH</v>
          </cell>
          <cell r="W1649" t="str">
            <v>Đã đóng</v>
          </cell>
          <cell r="AJ1649" t="str">
            <v>TP HCM</v>
          </cell>
          <cell r="BX1649" t="str">
            <v>AON</v>
          </cell>
        </row>
        <row r="1650">
          <cell r="A1650" t="str">
            <v>ON</v>
          </cell>
          <cell r="B1650" t="str">
            <v>Trong 24h</v>
          </cell>
          <cell r="D1650" t="str">
            <v>Khiếu nại về dịch vụ FTTH</v>
          </cell>
          <cell r="W1650" t="str">
            <v>Đã đóng</v>
          </cell>
          <cell r="AJ1650" t="str">
            <v>Đồng Tháp</v>
          </cell>
          <cell r="BX1650" t="str">
            <v>AON</v>
          </cell>
        </row>
        <row r="1651">
          <cell r="A1651" t="str">
            <v>ON</v>
          </cell>
          <cell r="B1651" t="str">
            <v>Trong 24h</v>
          </cell>
          <cell r="D1651" t="str">
            <v>Khiếu nại về dịch vụ NextTV</v>
          </cell>
          <cell r="W1651" t="str">
            <v>Đã đóng</v>
          </cell>
          <cell r="AJ1651" t="str">
            <v>Ninh Thuận</v>
          </cell>
          <cell r="BX1651" t="str">
            <v>AON</v>
          </cell>
        </row>
        <row r="1652">
          <cell r="A1652" t="str">
            <v>ON</v>
          </cell>
          <cell r="B1652" t="str">
            <v>Trong 24h</v>
          </cell>
          <cell r="D1652" t="str">
            <v>Khiếu nại về dịch vụ FTTH</v>
          </cell>
          <cell r="W1652" t="str">
            <v>Đã đóng</v>
          </cell>
          <cell r="AJ1652" t="str">
            <v>TP HCM</v>
          </cell>
          <cell r="BX1652" t="str">
            <v>AON</v>
          </cell>
        </row>
        <row r="1653">
          <cell r="A1653" t="str">
            <v>ON</v>
          </cell>
          <cell r="B1653" t="str">
            <v>Trong 24h</v>
          </cell>
          <cell r="D1653" t="str">
            <v>Khiếu nại về dịch vụ FTTH</v>
          </cell>
          <cell r="W1653" t="str">
            <v>Đã đóng</v>
          </cell>
          <cell r="AJ1653" t="str">
            <v>Hà Nội 2</v>
          </cell>
          <cell r="BX1653" t="str">
            <v>AON</v>
          </cell>
        </row>
        <row r="1654">
          <cell r="A1654" t="str">
            <v>ON</v>
          </cell>
          <cell r="B1654" t="str">
            <v>Trong 24h</v>
          </cell>
          <cell r="D1654" t="str">
            <v>Khiếu nại về dịch vụ FTTH</v>
          </cell>
          <cell r="W1654" t="str">
            <v>Đã đóng</v>
          </cell>
          <cell r="AJ1654" t="str">
            <v>Hậu Giang</v>
          </cell>
          <cell r="BX1654" t="str">
            <v>AON</v>
          </cell>
        </row>
        <row r="1655">
          <cell r="A1655" t="str">
            <v>ON</v>
          </cell>
          <cell r="B1655" t="str">
            <v>Trong 24h</v>
          </cell>
          <cell r="D1655" t="str">
            <v>Khiếu nại về dịch vụ FTTH</v>
          </cell>
          <cell r="W1655" t="str">
            <v>Đang xử lý</v>
          </cell>
          <cell r="AJ1655" t="str">
            <v>Thái Nguyên</v>
          </cell>
          <cell r="BX1655" t="str">
            <v>AON</v>
          </cell>
        </row>
        <row r="1656">
          <cell r="A1656" t="str">
            <v>ON</v>
          </cell>
          <cell r="B1656" t="str">
            <v>Trong 24h</v>
          </cell>
          <cell r="D1656" t="str">
            <v>Khiếu nại về dịch vụ FTTH</v>
          </cell>
          <cell r="W1656" t="str">
            <v>Đã đóng</v>
          </cell>
          <cell r="AJ1656" t="str">
            <v>Long An</v>
          </cell>
          <cell r="BX1656" t="str">
            <v>AON</v>
          </cell>
        </row>
        <row r="1657">
          <cell r="A1657" t="str">
            <v>ON</v>
          </cell>
          <cell r="B1657" t="str">
            <v>Trong 24h</v>
          </cell>
          <cell r="D1657" t="str">
            <v>Khiếu nại về dịch vụ FTTH</v>
          </cell>
          <cell r="W1657" t="str">
            <v>Đang xử lý</v>
          </cell>
          <cell r="AJ1657" t="str">
            <v>Bình Thuận</v>
          </cell>
          <cell r="BX1657" t="str">
            <v>AON</v>
          </cell>
        </row>
        <row r="1658">
          <cell r="A1658" t="str">
            <v>ON</v>
          </cell>
          <cell r="B1658" t="str">
            <v>Trong 24h</v>
          </cell>
          <cell r="D1658" t="str">
            <v>Khiếu nại về dịch vụ FTTH</v>
          </cell>
          <cell r="W1658" t="str">
            <v>Đang xử lý</v>
          </cell>
          <cell r="AJ1658" t="str">
            <v>Thái Nguyên</v>
          </cell>
          <cell r="BX1658" t="str">
            <v>AON</v>
          </cell>
        </row>
        <row r="1659">
          <cell r="A1659" t="str">
            <v>ON</v>
          </cell>
          <cell r="B1659" t="str">
            <v>Trong 24h</v>
          </cell>
          <cell r="D1659" t="str">
            <v>Khiếu nại về dịch vụ FTTH</v>
          </cell>
          <cell r="W1659" t="str">
            <v>Đã đóng</v>
          </cell>
          <cell r="AJ1659" t="str">
            <v>TP HCM</v>
          </cell>
          <cell r="BX1659" t="str">
            <v>AON</v>
          </cell>
        </row>
        <row r="1660">
          <cell r="A1660" t="str">
            <v>ON</v>
          </cell>
          <cell r="B1660" t="str">
            <v>Trong 24h</v>
          </cell>
          <cell r="D1660" t="str">
            <v>Khiếu nại về dịch vụ FTTH</v>
          </cell>
          <cell r="W1660" t="str">
            <v>Đã đóng</v>
          </cell>
          <cell r="AJ1660" t="str">
            <v>Hà Nội 1</v>
          </cell>
          <cell r="BX1660" t="str">
            <v>AON</v>
          </cell>
        </row>
        <row r="1661">
          <cell r="A1661" t="str">
            <v>ON</v>
          </cell>
          <cell r="B1661" t="str">
            <v>Trong 24h</v>
          </cell>
          <cell r="D1661" t="str">
            <v>Khiếu nại về dịch vụ FTTH</v>
          </cell>
          <cell r="W1661" t="str">
            <v>Đã đóng</v>
          </cell>
          <cell r="AJ1661" t="str">
            <v>TP HCM</v>
          </cell>
          <cell r="BX1661" t="str">
            <v>AON</v>
          </cell>
        </row>
        <row r="1662">
          <cell r="A1662" t="str">
            <v>ON</v>
          </cell>
          <cell r="B1662" t="str">
            <v>Trong 24h</v>
          </cell>
          <cell r="D1662" t="str">
            <v>Khiếu nại về dịch vụ FTTH</v>
          </cell>
          <cell r="W1662" t="str">
            <v>Đã đóng</v>
          </cell>
          <cell r="AJ1662" t="str">
            <v>TP HCM</v>
          </cell>
          <cell r="BX1662" t="str">
            <v>AON</v>
          </cell>
        </row>
        <row r="1663">
          <cell r="A1663" t="str">
            <v>ON</v>
          </cell>
          <cell r="B1663" t="str">
            <v>Trong 24h</v>
          </cell>
          <cell r="D1663" t="str">
            <v>Khiếu nại về dịch vụ FTTH</v>
          </cell>
          <cell r="W1663" t="str">
            <v>Đã đóng</v>
          </cell>
          <cell r="AJ1663" t="str">
            <v>Hậu Giang</v>
          </cell>
          <cell r="BX1663" t="str">
            <v>AON</v>
          </cell>
        </row>
        <row r="1664">
          <cell r="A1664" t="str">
            <v>ON</v>
          </cell>
          <cell r="B1664" t="str">
            <v>Trong 24h</v>
          </cell>
          <cell r="D1664" t="str">
            <v>Khiếu nại về dịch vụ FTTH</v>
          </cell>
          <cell r="W1664" t="str">
            <v>Đã đóng</v>
          </cell>
          <cell r="AJ1664" t="str">
            <v>Bắc Giang</v>
          </cell>
          <cell r="BX1664" t="str">
            <v>AON</v>
          </cell>
        </row>
        <row r="1665">
          <cell r="A1665" t="str">
            <v>ON</v>
          </cell>
          <cell r="B1665" t="str">
            <v>Trong 24h</v>
          </cell>
          <cell r="D1665" t="str">
            <v>Khiếu nại về dịch vụ FTTH</v>
          </cell>
          <cell r="W1665" t="str">
            <v>Đã đóng</v>
          </cell>
          <cell r="AJ1665" t="str">
            <v>Bắc Ninh</v>
          </cell>
          <cell r="BX1665" t="str">
            <v>AON</v>
          </cell>
        </row>
        <row r="1666">
          <cell r="A1666" t="str">
            <v>ON</v>
          </cell>
          <cell r="B1666" t="str">
            <v>Trong 24h</v>
          </cell>
          <cell r="D1666" t="str">
            <v>Khiếu nại về dịch vụ FTTH</v>
          </cell>
          <cell r="W1666" t="str">
            <v>Đã đóng</v>
          </cell>
          <cell r="AJ1666" t="str">
            <v>Tiền Giang</v>
          </cell>
          <cell r="BX1666" t="str">
            <v>AON</v>
          </cell>
        </row>
        <row r="1667">
          <cell r="A1667" t="str">
            <v>ON</v>
          </cell>
          <cell r="B1667" t="str">
            <v>Trong 24h</v>
          </cell>
          <cell r="D1667" t="str">
            <v>Khiếu nại về dịch vụ FTTH</v>
          </cell>
          <cell r="W1667" t="str">
            <v>Đang xử lý</v>
          </cell>
          <cell r="AJ1667" t="str">
            <v>Quảng Ninh</v>
          </cell>
          <cell r="BX1667" t="str">
            <v>AON</v>
          </cell>
        </row>
        <row r="1668">
          <cell r="A1668" t="str">
            <v>ON</v>
          </cell>
          <cell r="B1668" t="str">
            <v>Trong 24h</v>
          </cell>
          <cell r="D1668" t="str">
            <v>Khiếu nại về dịch vụ FTTH</v>
          </cell>
          <cell r="W1668" t="str">
            <v>Đã đóng</v>
          </cell>
          <cell r="AJ1668" t="str">
            <v>Hậu Giang</v>
          </cell>
          <cell r="BX1668" t="str">
            <v>AON</v>
          </cell>
        </row>
        <row r="1669">
          <cell r="A1669" t="str">
            <v>ON</v>
          </cell>
          <cell r="B1669" t="str">
            <v>Trong 24h</v>
          </cell>
          <cell r="D1669" t="str">
            <v>Khiếu nại về dịch vụ FTTH</v>
          </cell>
          <cell r="W1669" t="str">
            <v>Đang xử lý</v>
          </cell>
          <cell r="AJ1669" t="str">
            <v>Nghệ An</v>
          </cell>
          <cell r="BX1669" t="str">
            <v>AON</v>
          </cell>
        </row>
        <row r="1670">
          <cell r="A1670" t="str">
            <v>ON</v>
          </cell>
          <cell r="B1670" t="str">
            <v>Trong 24h</v>
          </cell>
          <cell r="D1670" t="str">
            <v>Khiếu nại về dịch vụ FTTH</v>
          </cell>
          <cell r="W1670" t="str">
            <v>Đã đóng</v>
          </cell>
          <cell r="AJ1670" t="str">
            <v>Thừa Thiên Huế</v>
          </cell>
          <cell r="BX1670" t="str">
            <v>AON</v>
          </cell>
        </row>
        <row r="1671">
          <cell r="A1671" t="str">
            <v>ON</v>
          </cell>
          <cell r="B1671" t="str">
            <v>Trong 24h</v>
          </cell>
          <cell r="D1671" t="str">
            <v>Khiếu nại về dịch vụ FTTH</v>
          </cell>
          <cell r="W1671" t="str">
            <v>Đã đóng</v>
          </cell>
          <cell r="AJ1671" t="str">
            <v>Ninh Thuận</v>
          </cell>
          <cell r="BX1671" t="str">
            <v>AON</v>
          </cell>
        </row>
        <row r="1672">
          <cell r="A1672" t="str">
            <v>ON</v>
          </cell>
          <cell r="B1672" t="str">
            <v>Trong 24h</v>
          </cell>
          <cell r="D1672" t="str">
            <v>Khiếu nại về dịch vụ NextTV</v>
          </cell>
          <cell r="W1672" t="str">
            <v>Đang xử lý</v>
          </cell>
          <cell r="AJ1672" t="str">
            <v>Nghệ An</v>
          </cell>
          <cell r="BX1672" t="str">
            <v>AON</v>
          </cell>
        </row>
        <row r="1673">
          <cell r="A1673" t="str">
            <v>ON</v>
          </cell>
          <cell r="B1673" t="str">
            <v>Trong 24h</v>
          </cell>
          <cell r="D1673" t="str">
            <v>Khiếu nại về dịch vụ FTTH</v>
          </cell>
          <cell r="W1673" t="str">
            <v>Đã đóng</v>
          </cell>
          <cell r="AJ1673" t="str">
            <v xml:space="preserve">Đà Nẵng </v>
          </cell>
          <cell r="BX1673" t="str">
            <v>AON</v>
          </cell>
        </row>
        <row r="1674">
          <cell r="A1674" t="str">
            <v>ON</v>
          </cell>
          <cell r="B1674" t="str">
            <v>Trong 24h</v>
          </cell>
          <cell r="D1674" t="str">
            <v>Khiếu nại về dịch vụ FTTH</v>
          </cell>
          <cell r="W1674" t="str">
            <v>Đang xử lý</v>
          </cell>
          <cell r="AJ1674" t="str">
            <v>Thừa Thiên Huế</v>
          </cell>
          <cell r="BX1674" t="str">
            <v>AON</v>
          </cell>
        </row>
        <row r="1675">
          <cell r="A1675" t="str">
            <v>ON</v>
          </cell>
          <cell r="B1675" t="str">
            <v>Trong 24h</v>
          </cell>
          <cell r="D1675" t="str">
            <v>Khiếu nại về dịch vụ FTTH</v>
          </cell>
          <cell r="W1675" t="str">
            <v>Đang xử lý</v>
          </cell>
          <cell r="AJ1675" t="str">
            <v>Hải Phòng</v>
          </cell>
          <cell r="BX1675" t="str">
            <v>AON</v>
          </cell>
        </row>
        <row r="1676">
          <cell r="A1676" t="str">
            <v>ON</v>
          </cell>
          <cell r="B1676" t="str">
            <v>Trong 24h</v>
          </cell>
          <cell r="D1676" t="str">
            <v>Khiếu nại về dịch vụ NextTV</v>
          </cell>
          <cell r="W1676" t="str">
            <v>Đang xử lý</v>
          </cell>
          <cell r="AJ1676" t="str">
            <v>Bắc Ninh</v>
          </cell>
          <cell r="BX1676" t="str">
            <v>AON</v>
          </cell>
        </row>
        <row r="1677">
          <cell r="A1677" t="str">
            <v>ON</v>
          </cell>
          <cell r="B1677" t="str">
            <v>Trong 24h</v>
          </cell>
          <cell r="D1677" t="str">
            <v>Khiếu nại về dịch vụ FTTH</v>
          </cell>
          <cell r="W1677" t="str">
            <v>Đã đóng</v>
          </cell>
          <cell r="AJ1677" t="str">
            <v>Quảng Ninh</v>
          </cell>
          <cell r="BX1677" t="str">
            <v>AON</v>
          </cell>
        </row>
        <row r="1678">
          <cell r="A1678" t="str">
            <v>ON</v>
          </cell>
          <cell r="B1678" t="str">
            <v>Trong 24h</v>
          </cell>
          <cell r="D1678" t="str">
            <v>Khiếu nại về dịch vụ FTTH</v>
          </cell>
          <cell r="W1678" t="str">
            <v>Đã đóng</v>
          </cell>
          <cell r="AJ1678" t="str">
            <v>Hà Nội 1</v>
          </cell>
          <cell r="BX1678" t="str">
            <v>AON</v>
          </cell>
        </row>
        <row r="1679">
          <cell r="A1679" t="str">
            <v>ON</v>
          </cell>
          <cell r="B1679" t="str">
            <v>Trong 24h</v>
          </cell>
          <cell r="D1679" t="str">
            <v>Khiếu nại về dịch vụ FTTH</v>
          </cell>
          <cell r="W1679" t="str">
            <v>Đang xử lý</v>
          </cell>
          <cell r="AJ1679" t="str">
            <v>Hà Nội 1</v>
          </cell>
          <cell r="BX1679" t="str">
            <v>AON</v>
          </cell>
        </row>
        <row r="1680">
          <cell r="A1680" t="str">
            <v>ON</v>
          </cell>
          <cell r="B1680" t="str">
            <v>Trong 24h</v>
          </cell>
          <cell r="D1680" t="str">
            <v>Khiếu nại về dịch vụ FTTH</v>
          </cell>
          <cell r="W1680" t="str">
            <v>Đã đóng</v>
          </cell>
          <cell r="AJ1680" t="str">
            <v xml:space="preserve">Đà Nẵng </v>
          </cell>
          <cell r="BX1680" t="str">
            <v>AON</v>
          </cell>
        </row>
        <row r="1681">
          <cell r="A1681" t="str">
            <v>ON</v>
          </cell>
          <cell r="B1681" t="str">
            <v>Trong 24h</v>
          </cell>
          <cell r="D1681" t="str">
            <v>Khiếu nại về dịch vụ FTTH</v>
          </cell>
          <cell r="W1681" t="str">
            <v>Đang xử lý</v>
          </cell>
          <cell r="AJ1681" t="str">
            <v>TP HCM</v>
          </cell>
          <cell r="BX1681" t="str">
            <v>AON</v>
          </cell>
        </row>
        <row r="1682">
          <cell r="A1682" t="str">
            <v>ON</v>
          </cell>
          <cell r="B1682" t="str">
            <v>Trong 24h</v>
          </cell>
          <cell r="D1682" t="str">
            <v>Khiếu nại về dịch vụ NextTV</v>
          </cell>
          <cell r="W1682" t="str">
            <v>Đã đóng</v>
          </cell>
          <cell r="AJ1682" t="str">
            <v>Thái Nguyên</v>
          </cell>
          <cell r="BX1682" t="str">
            <v>AON</v>
          </cell>
        </row>
        <row r="1683">
          <cell r="A1683" t="str">
            <v>ON</v>
          </cell>
          <cell r="B1683" t="str">
            <v>Trong 24h</v>
          </cell>
          <cell r="D1683" t="str">
            <v>Khiếu nại về dịch vụ FTTH</v>
          </cell>
          <cell r="W1683" t="str">
            <v>Đã đóng</v>
          </cell>
          <cell r="AJ1683" t="str">
            <v>TP HCM</v>
          </cell>
          <cell r="BX1683" t="str">
            <v>AON</v>
          </cell>
        </row>
        <row r="1684">
          <cell r="A1684" t="str">
            <v>ON</v>
          </cell>
          <cell r="B1684" t="str">
            <v>Trong 24h</v>
          </cell>
          <cell r="D1684" t="str">
            <v>Khiếu nại về dịch vụ NextTV</v>
          </cell>
          <cell r="W1684" t="str">
            <v>Đang xử lý</v>
          </cell>
          <cell r="AJ1684" t="str">
            <v>Quảng Ninh</v>
          </cell>
          <cell r="BX1684" t="str">
            <v>AON</v>
          </cell>
        </row>
        <row r="1685">
          <cell r="A1685" t="str">
            <v>ON</v>
          </cell>
          <cell r="B1685" t="str">
            <v>Trong 24h</v>
          </cell>
          <cell r="D1685" t="str">
            <v>Khiếu nại về dịch vụ FTTH</v>
          </cell>
          <cell r="W1685" t="str">
            <v>Đã đóng</v>
          </cell>
          <cell r="AJ1685" t="str">
            <v>TP HCM</v>
          </cell>
          <cell r="BX1685" t="str">
            <v>AON</v>
          </cell>
        </row>
        <row r="1686">
          <cell r="A1686" t="str">
            <v>ON</v>
          </cell>
          <cell r="B1686" t="str">
            <v>Trong 24h</v>
          </cell>
          <cell r="D1686" t="str">
            <v>Khiếu nại về dịch vụ FTTH</v>
          </cell>
          <cell r="W1686" t="str">
            <v>Đã đóng</v>
          </cell>
          <cell r="AJ1686" t="str">
            <v>TP HCM</v>
          </cell>
          <cell r="BX1686" t="str">
            <v>AON</v>
          </cell>
        </row>
        <row r="1687">
          <cell r="A1687" t="str">
            <v>ON</v>
          </cell>
          <cell r="B1687" t="str">
            <v>Trong 24h</v>
          </cell>
          <cell r="D1687" t="str">
            <v>Khiếu nại về dịch vụ NextTV</v>
          </cell>
          <cell r="W1687" t="str">
            <v>Đang xử lý</v>
          </cell>
          <cell r="AJ1687" t="str">
            <v>Bình Phước</v>
          </cell>
          <cell r="BX1687" t="str">
            <v>AON</v>
          </cell>
        </row>
        <row r="1688">
          <cell r="A1688" t="str">
            <v>ON</v>
          </cell>
          <cell r="B1688" t="str">
            <v>Trong 24h</v>
          </cell>
          <cell r="D1688" t="str">
            <v>Khiếu nại về dịch vụ FTTH</v>
          </cell>
          <cell r="W1688" t="str">
            <v>Đang xử lý</v>
          </cell>
          <cell r="AJ1688" t="str">
            <v>Bến Tre</v>
          </cell>
          <cell r="BX1688" t="str">
            <v>AON</v>
          </cell>
        </row>
        <row r="1689">
          <cell r="A1689" t="str">
            <v>ON</v>
          </cell>
          <cell r="B1689" t="str">
            <v>Trong 24h</v>
          </cell>
          <cell r="D1689" t="str">
            <v>Khiếu nại về dịch vụ FTTH</v>
          </cell>
          <cell r="W1689" t="str">
            <v>Đã đóng</v>
          </cell>
          <cell r="AJ1689" t="str">
            <v>TP HCM</v>
          </cell>
          <cell r="BX1689" t="str">
            <v>AON</v>
          </cell>
        </row>
        <row r="1690">
          <cell r="A1690" t="str">
            <v>ON</v>
          </cell>
          <cell r="B1690" t="str">
            <v>Trong 24h</v>
          </cell>
          <cell r="D1690" t="str">
            <v>Khiếu nại về dịch vụ FTTH</v>
          </cell>
          <cell r="W1690" t="str">
            <v>Đã đóng</v>
          </cell>
          <cell r="AJ1690" t="str">
            <v>Thừa Thiên Huế</v>
          </cell>
          <cell r="BX1690" t="str">
            <v>AON</v>
          </cell>
        </row>
        <row r="1691">
          <cell r="A1691" t="str">
            <v>ON</v>
          </cell>
          <cell r="B1691" t="str">
            <v>Trong 24h</v>
          </cell>
          <cell r="D1691" t="str">
            <v>Khiếu nại về dịch vụ FTTH</v>
          </cell>
          <cell r="W1691" t="str">
            <v>Đang xử lý</v>
          </cell>
          <cell r="AJ1691" t="str">
            <v>An Giang</v>
          </cell>
          <cell r="BX1691" t="str">
            <v>AON</v>
          </cell>
        </row>
        <row r="1692">
          <cell r="A1692" t="str">
            <v>ON</v>
          </cell>
          <cell r="B1692" t="str">
            <v>Trong 24h</v>
          </cell>
          <cell r="D1692" t="str">
            <v>Khiếu nại về dịch vụ FTTH</v>
          </cell>
          <cell r="W1692" t="str">
            <v>Đã đóng</v>
          </cell>
          <cell r="AJ1692" t="str">
            <v>Vĩnh Long</v>
          </cell>
          <cell r="BX1692" t="str">
            <v>AON</v>
          </cell>
        </row>
        <row r="1693">
          <cell r="A1693" t="str">
            <v>ON</v>
          </cell>
          <cell r="B1693" t="str">
            <v>Trong 24h</v>
          </cell>
          <cell r="D1693" t="str">
            <v>Khiếu nại về dịch vụ FTTH</v>
          </cell>
          <cell r="W1693" t="str">
            <v>Đã đóng</v>
          </cell>
          <cell r="AJ1693" t="str">
            <v>TP HCM</v>
          </cell>
          <cell r="BX1693" t="str">
            <v>GPON</v>
          </cell>
        </row>
        <row r="1694">
          <cell r="A1694" t="str">
            <v>ON</v>
          </cell>
          <cell r="B1694" t="str">
            <v>Trong 24h</v>
          </cell>
          <cell r="D1694" t="str">
            <v>Khiếu nại về dịch vụ FTTH</v>
          </cell>
          <cell r="W1694" t="str">
            <v>Đang xử lý</v>
          </cell>
          <cell r="AJ1694" t="str">
            <v>Bắc Ninh</v>
          </cell>
          <cell r="BX1694" t="str">
            <v>AON</v>
          </cell>
        </row>
        <row r="1695">
          <cell r="A1695" t="str">
            <v>ON</v>
          </cell>
          <cell r="B1695" t="str">
            <v>Trong 24h</v>
          </cell>
          <cell r="D1695" t="str">
            <v>Khiếu nại về dịch vụ FTTH</v>
          </cell>
          <cell r="W1695" t="str">
            <v>Đã đóng</v>
          </cell>
          <cell r="AJ1695" t="str">
            <v>Hà Nội 2</v>
          </cell>
          <cell r="BX1695" t="str">
            <v>AON</v>
          </cell>
        </row>
        <row r="1696">
          <cell r="A1696" t="str">
            <v>ON</v>
          </cell>
          <cell r="B1696" t="str">
            <v>Trong 24h</v>
          </cell>
          <cell r="D1696" t="str">
            <v>Khiếu nại về dịch vụ FTTH</v>
          </cell>
          <cell r="W1696" t="str">
            <v>Đang xử lý</v>
          </cell>
          <cell r="AJ1696" t="str">
            <v>Thái Nguyên</v>
          </cell>
          <cell r="BX1696" t="str">
            <v>AON</v>
          </cell>
        </row>
        <row r="1697">
          <cell r="A1697" t="str">
            <v>ON</v>
          </cell>
          <cell r="B1697" t="str">
            <v>Trong 24h</v>
          </cell>
          <cell r="D1697" t="str">
            <v>Khiếu nại về dịch vụ FTTH</v>
          </cell>
          <cell r="W1697" t="str">
            <v>Đã đóng</v>
          </cell>
          <cell r="AJ1697" t="str">
            <v>Hà Nội 1</v>
          </cell>
          <cell r="BX1697" t="str">
            <v>AON</v>
          </cell>
        </row>
        <row r="1698">
          <cell r="A1698" t="str">
            <v>ON</v>
          </cell>
          <cell r="B1698" t="str">
            <v>Trong 24h</v>
          </cell>
          <cell r="D1698" t="str">
            <v>Khiếu nại về dịch vụ FTTH</v>
          </cell>
          <cell r="W1698" t="str">
            <v>Đã đóng</v>
          </cell>
          <cell r="AJ1698" t="str">
            <v>Bắc Giang</v>
          </cell>
          <cell r="BX1698" t="str">
            <v>AON</v>
          </cell>
        </row>
        <row r="1699">
          <cell r="A1699" t="str">
            <v>ON</v>
          </cell>
          <cell r="B1699" t="str">
            <v>Trong 24h</v>
          </cell>
          <cell r="D1699" t="str">
            <v>Khiếu nại về dịch vụ FTTH</v>
          </cell>
          <cell r="W1699" t="str">
            <v>Đang xử lý</v>
          </cell>
          <cell r="AJ1699" t="str">
            <v xml:space="preserve">Hà Tĩnh </v>
          </cell>
          <cell r="BX1699" t="str">
            <v>AON</v>
          </cell>
        </row>
        <row r="1700">
          <cell r="A1700" t="str">
            <v>ON</v>
          </cell>
          <cell r="B1700" t="str">
            <v>Trong 24h</v>
          </cell>
          <cell r="D1700" t="str">
            <v>Khiếu nại về dịch vụ FTTH</v>
          </cell>
          <cell r="W1700" t="str">
            <v>Đã đóng</v>
          </cell>
          <cell r="AJ1700" t="str">
            <v>An Giang</v>
          </cell>
          <cell r="BX1700" t="str">
            <v>AON</v>
          </cell>
        </row>
        <row r="1701">
          <cell r="A1701" t="str">
            <v>ON</v>
          </cell>
          <cell r="B1701" t="str">
            <v>Trong 24h</v>
          </cell>
          <cell r="D1701" t="str">
            <v>Khiếu nại về dịch vụ FTTH</v>
          </cell>
          <cell r="W1701" t="str">
            <v>Đã đóng</v>
          </cell>
          <cell r="AJ1701" t="str">
            <v xml:space="preserve">Đồng Nai </v>
          </cell>
          <cell r="BX1701" t="str">
            <v>AON</v>
          </cell>
        </row>
        <row r="1702">
          <cell r="A1702" t="str">
            <v>ON</v>
          </cell>
          <cell r="B1702" t="str">
            <v>Trong 24h</v>
          </cell>
          <cell r="D1702" t="str">
            <v>Khiếu nại về dịch vụ FTTH</v>
          </cell>
          <cell r="W1702" t="str">
            <v>Đã đóng</v>
          </cell>
          <cell r="AJ1702" t="str">
            <v>Thái Nguyên</v>
          </cell>
          <cell r="BX1702" t="str">
            <v>AON</v>
          </cell>
        </row>
        <row r="1703">
          <cell r="A1703" t="str">
            <v>ON</v>
          </cell>
          <cell r="B1703" t="str">
            <v>Trong 24h</v>
          </cell>
          <cell r="D1703" t="str">
            <v>Khiếu nại về dịch vụ FTTH</v>
          </cell>
          <cell r="W1703" t="str">
            <v>Đã đóng</v>
          </cell>
          <cell r="AJ1703" t="str">
            <v>Cần Thơ</v>
          </cell>
          <cell r="BX1703" t="str">
            <v>AON</v>
          </cell>
        </row>
        <row r="1704">
          <cell r="A1704" t="str">
            <v>ON</v>
          </cell>
          <cell r="B1704" t="str">
            <v>Trong 24h</v>
          </cell>
          <cell r="D1704" t="str">
            <v>Khiếu nại về dịch vụ FTTH</v>
          </cell>
          <cell r="W1704" t="str">
            <v>Đang xử lý</v>
          </cell>
          <cell r="AJ1704" t="str">
            <v>TP HCM</v>
          </cell>
          <cell r="BX1704" t="str">
            <v>AON</v>
          </cell>
        </row>
        <row r="1705">
          <cell r="A1705" t="str">
            <v>ON</v>
          </cell>
          <cell r="B1705" t="str">
            <v>Trong 24h</v>
          </cell>
          <cell r="D1705" t="str">
            <v>Khiếu nại về dịch vụ FTTH</v>
          </cell>
          <cell r="W1705" t="str">
            <v>Đã đóng</v>
          </cell>
          <cell r="AJ1705" t="str">
            <v>Tuyên Quang</v>
          </cell>
          <cell r="BX1705" t="str">
            <v>AON</v>
          </cell>
        </row>
        <row r="1706">
          <cell r="A1706" t="str">
            <v>ON</v>
          </cell>
          <cell r="B1706" t="str">
            <v>Trong 24h</v>
          </cell>
          <cell r="D1706" t="str">
            <v>Khiếu nại về dịch vụ FTTH</v>
          </cell>
          <cell r="W1706" t="str">
            <v>Đã đóng</v>
          </cell>
          <cell r="AJ1706" t="str">
            <v>Hải Phòng</v>
          </cell>
          <cell r="BX1706" t="str">
            <v>AON</v>
          </cell>
        </row>
        <row r="1707">
          <cell r="A1707" t="str">
            <v>ON</v>
          </cell>
          <cell r="B1707" t="str">
            <v>Trong 24h</v>
          </cell>
          <cell r="D1707" t="str">
            <v>Khiếu nại về dịch vụ FTTH</v>
          </cell>
          <cell r="W1707" t="str">
            <v>Đã đóng</v>
          </cell>
          <cell r="AJ1707" t="str">
            <v>Ninh Bình</v>
          </cell>
          <cell r="BX1707" t="str">
            <v>AON</v>
          </cell>
        </row>
        <row r="1708">
          <cell r="A1708" t="str">
            <v>ON</v>
          </cell>
          <cell r="B1708" t="str">
            <v>Trong 24h</v>
          </cell>
          <cell r="D1708" t="str">
            <v>Khiếu nại về dịch vụ FTTH</v>
          </cell>
          <cell r="W1708" t="str">
            <v>Đang xử lý</v>
          </cell>
          <cell r="AJ1708" t="str">
            <v>Hà Nam</v>
          </cell>
          <cell r="BX1708" t="str">
            <v>AON</v>
          </cell>
        </row>
        <row r="1709">
          <cell r="A1709" t="str">
            <v>ON</v>
          </cell>
          <cell r="B1709" t="str">
            <v>Trong 24h</v>
          </cell>
          <cell r="D1709" t="str">
            <v>Khiếu nại về dịch vụ FTTH</v>
          </cell>
          <cell r="W1709" t="str">
            <v>Đã đóng</v>
          </cell>
          <cell r="AJ1709" t="str">
            <v>Ninh Thuận</v>
          </cell>
          <cell r="BX1709" t="str">
            <v>AON</v>
          </cell>
        </row>
        <row r="1710">
          <cell r="A1710" t="str">
            <v>ON</v>
          </cell>
          <cell r="B1710" t="str">
            <v>Trong 24h</v>
          </cell>
          <cell r="D1710" t="str">
            <v>Khiếu nại về dịch vụ FTTH</v>
          </cell>
          <cell r="W1710" t="str">
            <v>Đã đóng</v>
          </cell>
          <cell r="AJ1710" t="str">
            <v>TP HCM</v>
          </cell>
          <cell r="BX1710" t="str">
            <v>AON</v>
          </cell>
        </row>
        <row r="1711">
          <cell r="A1711" t="str">
            <v>ON</v>
          </cell>
          <cell r="B1711" t="str">
            <v>Trong 24h</v>
          </cell>
          <cell r="D1711" t="str">
            <v>Khiếu nại về dịch vụ FTTH</v>
          </cell>
          <cell r="W1711" t="str">
            <v>Đã đóng</v>
          </cell>
          <cell r="AJ1711" t="str">
            <v>Long An</v>
          </cell>
          <cell r="BX1711" t="str">
            <v>AON</v>
          </cell>
        </row>
        <row r="1712">
          <cell r="A1712" t="str">
            <v>ON</v>
          </cell>
          <cell r="B1712" t="str">
            <v>Trong 24h</v>
          </cell>
          <cell r="D1712" t="str">
            <v>Khiếu nại về dịch vụ FTTH</v>
          </cell>
          <cell r="W1712" t="str">
            <v>Đang xử lý</v>
          </cell>
          <cell r="AJ1712" t="str">
            <v>Quảng Ninh</v>
          </cell>
          <cell r="BX1712" t="str">
            <v>AON</v>
          </cell>
        </row>
        <row r="1713">
          <cell r="A1713" t="str">
            <v>ON</v>
          </cell>
          <cell r="B1713" t="str">
            <v>Trong 24h</v>
          </cell>
          <cell r="D1713" t="str">
            <v>Khiếu nại về dịch vụ FTTH</v>
          </cell>
          <cell r="W1713" t="str">
            <v>Đã đóng</v>
          </cell>
          <cell r="AJ1713" t="str">
            <v xml:space="preserve">Hà Tĩnh </v>
          </cell>
          <cell r="BX1713" t="str">
            <v>AON</v>
          </cell>
        </row>
        <row r="1714">
          <cell r="A1714" t="str">
            <v>ON</v>
          </cell>
          <cell r="B1714" t="str">
            <v>Trong 24h</v>
          </cell>
          <cell r="D1714" t="str">
            <v>Khiếu nại về dịch vụ FTTH</v>
          </cell>
          <cell r="W1714" t="str">
            <v>Đã đóng</v>
          </cell>
          <cell r="AJ1714" t="str">
            <v>TP HCM</v>
          </cell>
          <cell r="BX1714" t="str">
            <v>AON</v>
          </cell>
        </row>
        <row r="1715">
          <cell r="A1715" t="str">
            <v>ON</v>
          </cell>
          <cell r="B1715" t="str">
            <v>Trong 24h</v>
          </cell>
          <cell r="D1715" t="str">
            <v>Khiếu nại về dịch vụ FTTH</v>
          </cell>
          <cell r="W1715" t="str">
            <v>Đã đóng</v>
          </cell>
          <cell r="AJ1715" t="str">
            <v>Quảng Ninh</v>
          </cell>
          <cell r="BX1715" t="str">
            <v>AON</v>
          </cell>
        </row>
        <row r="1716">
          <cell r="A1716" t="str">
            <v>ON</v>
          </cell>
          <cell r="B1716" t="str">
            <v>Trong 24h</v>
          </cell>
          <cell r="D1716" t="str">
            <v>Khiếu nại về dịch vụ FTTH</v>
          </cell>
          <cell r="W1716" t="str">
            <v>Đã đóng</v>
          </cell>
          <cell r="AJ1716" t="str">
            <v>TP HCM</v>
          </cell>
          <cell r="BX1716" t="str">
            <v>AON</v>
          </cell>
        </row>
        <row r="1717">
          <cell r="A1717" t="str">
            <v>ON</v>
          </cell>
          <cell r="B1717" t="str">
            <v>Trong 24h</v>
          </cell>
          <cell r="D1717" t="str">
            <v>Khiếu nại về dịch vụ FTTH</v>
          </cell>
          <cell r="W1717" t="str">
            <v>Đang xử lý</v>
          </cell>
          <cell r="AJ1717" t="str">
            <v>Nghệ An</v>
          </cell>
          <cell r="BX1717" t="str">
            <v>AON</v>
          </cell>
        </row>
        <row r="1718">
          <cell r="A1718" t="str">
            <v>ON</v>
          </cell>
          <cell r="B1718" t="str">
            <v>Trong 24h</v>
          </cell>
          <cell r="D1718" t="str">
            <v>Khiếu nại về dịch vụ FTTH</v>
          </cell>
          <cell r="W1718" t="str">
            <v>Đã đóng</v>
          </cell>
          <cell r="AJ1718" t="str">
            <v>TP HCM</v>
          </cell>
          <cell r="BX1718" t="str">
            <v>AON</v>
          </cell>
        </row>
        <row r="1719">
          <cell r="A1719" t="str">
            <v>ON</v>
          </cell>
          <cell r="B1719" t="str">
            <v>Trong 24h</v>
          </cell>
          <cell r="D1719" t="str">
            <v>Khiếu nại về dịch vụ FTTH</v>
          </cell>
          <cell r="W1719" t="str">
            <v>Đã đóng</v>
          </cell>
          <cell r="AJ1719" t="str">
            <v>Thái Bình</v>
          </cell>
          <cell r="BX1719" t="str">
            <v>AON</v>
          </cell>
        </row>
        <row r="1720">
          <cell r="A1720" t="str">
            <v>ON</v>
          </cell>
          <cell r="B1720" t="str">
            <v>Trong 24h</v>
          </cell>
          <cell r="D1720" t="str">
            <v>Khiếu nại về dịch vụ FTTH</v>
          </cell>
          <cell r="W1720" t="str">
            <v>Đang xử lý</v>
          </cell>
          <cell r="AJ1720" t="str">
            <v>TP HCM</v>
          </cell>
          <cell r="BX1720" t="str">
            <v>AON</v>
          </cell>
        </row>
        <row r="1721">
          <cell r="A1721" t="str">
            <v>ON</v>
          </cell>
          <cell r="B1721" t="str">
            <v>Trong 24h</v>
          </cell>
          <cell r="D1721" t="str">
            <v>Khiếu nại về dịch vụ FTTH</v>
          </cell>
          <cell r="W1721" t="str">
            <v>Đã đóng</v>
          </cell>
          <cell r="AJ1721" t="str">
            <v>Hoà Bình</v>
          </cell>
          <cell r="BX1721" t="str">
            <v>AON</v>
          </cell>
        </row>
        <row r="1722">
          <cell r="A1722" t="str">
            <v>ON</v>
          </cell>
          <cell r="B1722" t="str">
            <v>Trong 24h</v>
          </cell>
          <cell r="D1722" t="str">
            <v>Khiếu nại về dịch vụ FTTH</v>
          </cell>
          <cell r="W1722" t="str">
            <v>Đã đóng</v>
          </cell>
          <cell r="AJ1722" t="str">
            <v xml:space="preserve">Đà Nẵng </v>
          </cell>
          <cell r="BX1722" t="str">
            <v>AON</v>
          </cell>
        </row>
        <row r="1723">
          <cell r="A1723" t="str">
            <v>ON</v>
          </cell>
          <cell r="B1723" t="str">
            <v>Trong 24h</v>
          </cell>
          <cell r="D1723" t="str">
            <v>Khiếu nại về dịch vụ FTTH</v>
          </cell>
          <cell r="W1723" t="str">
            <v>Đã đóng</v>
          </cell>
          <cell r="AJ1723" t="str">
            <v>Hà Nội 1</v>
          </cell>
          <cell r="BX1723" t="str">
            <v>AON</v>
          </cell>
        </row>
        <row r="1724">
          <cell r="A1724" t="str">
            <v>ON</v>
          </cell>
          <cell r="B1724" t="str">
            <v>Trong 24h</v>
          </cell>
          <cell r="D1724" t="str">
            <v>Khiếu nại về dịch vụ FTTH</v>
          </cell>
          <cell r="W1724" t="str">
            <v>Đang xử lý</v>
          </cell>
          <cell r="AJ1724" t="str">
            <v>Thái Nguyên</v>
          </cell>
          <cell r="BX1724" t="str">
            <v>AON</v>
          </cell>
        </row>
        <row r="1725">
          <cell r="A1725" t="str">
            <v>ON</v>
          </cell>
          <cell r="B1725" t="str">
            <v>Trong 24h</v>
          </cell>
          <cell r="D1725" t="str">
            <v>Khiếu nại về dịch vụ FTTH</v>
          </cell>
          <cell r="W1725" t="str">
            <v>Đã đóng</v>
          </cell>
          <cell r="AJ1725" t="str">
            <v>Vĩnh Phúc</v>
          </cell>
          <cell r="BX1725" t="str">
            <v>AON</v>
          </cell>
        </row>
        <row r="1726">
          <cell r="A1726" t="str">
            <v>ON</v>
          </cell>
          <cell r="B1726" t="str">
            <v>Trong 24h</v>
          </cell>
          <cell r="D1726" t="str">
            <v>Khiếu nại về dịch vụ FTTH</v>
          </cell>
          <cell r="W1726" t="str">
            <v>Đã đóng</v>
          </cell>
          <cell r="AJ1726" t="str">
            <v>Hà Nội 1</v>
          </cell>
          <cell r="BX1726" t="str">
            <v>AON</v>
          </cell>
        </row>
        <row r="1727">
          <cell r="A1727" t="str">
            <v>ON</v>
          </cell>
          <cell r="B1727" t="str">
            <v>Trong 24h</v>
          </cell>
          <cell r="D1727" t="str">
            <v>Khiếu nại về dịch vụ FTTH</v>
          </cell>
          <cell r="W1727" t="str">
            <v>Đang xử lý</v>
          </cell>
          <cell r="AJ1727" t="str">
            <v>TP HCM</v>
          </cell>
          <cell r="BX1727" t="str">
            <v>GPON</v>
          </cell>
        </row>
        <row r="1728">
          <cell r="A1728" t="str">
            <v>ON</v>
          </cell>
          <cell r="B1728" t="str">
            <v>Trong 24h</v>
          </cell>
          <cell r="D1728" t="str">
            <v>Khiếu nại về dịch vụ FTTH</v>
          </cell>
          <cell r="W1728" t="str">
            <v>Đã đóng</v>
          </cell>
          <cell r="AJ1728" t="str">
            <v>TP HCM</v>
          </cell>
          <cell r="BX1728" t="str">
            <v>AON</v>
          </cell>
        </row>
        <row r="1729">
          <cell r="A1729" t="str">
            <v>ON</v>
          </cell>
          <cell r="B1729" t="str">
            <v>Trong 24h</v>
          </cell>
          <cell r="D1729" t="str">
            <v>Khiếu nại về dịch vụ FTTH</v>
          </cell>
          <cell r="W1729" t="str">
            <v>Đang xử lý</v>
          </cell>
          <cell r="AJ1729" t="str">
            <v>TP HCM</v>
          </cell>
          <cell r="BX1729" t="str">
            <v>GPON</v>
          </cell>
        </row>
        <row r="1730">
          <cell r="A1730" t="str">
            <v>ON</v>
          </cell>
          <cell r="B1730" t="str">
            <v>Trong 24h</v>
          </cell>
          <cell r="D1730" t="str">
            <v>Khiếu nại về dịch vụ FTTH</v>
          </cell>
          <cell r="W1730" t="str">
            <v>Đang xử lý</v>
          </cell>
          <cell r="AJ1730" t="str">
            <v>Thanh Hoá</v>
          </cell>
          <cell r="BX1730" t="str">
            <v>AON</v>
          </cell>
        </row>
        <row r="1731">
          <cell r="A1731" t="str">
            <v>ON</v>
          </cell>
          <cell r="B1731" t="str">
            <v>Trong 24h</v>
          </cell>
          <cell r="D1731" t="str">
            <v>Khiếu nại về dịch vụ NextTV</v>
          </cell>
          <cell r="W1731" t="str">
            <v>Đã đóng</v>
          </cell>
          <cell r="AJ1731" t="str">
            <v>TP HCM</v>
          </cell>
          <cell r="BX1731" t="str">
            <v>AON</v>
          </cell>
        </row>
        <row r="1732">
          <cell r="A1732" t="str">
            <v>ON</v>
          </cell>
          <cell r="B1732" t="str">
            <v>Trong 24h</v>
          </cell>
          <cell r="D1732" t="str">
            <v>Khiếu nại về dịch vụ FTTH</v>
          </cell>
          <cell r="W1732" t="str">
            <v>Đã đóng</v>
          </cell>
          <cell r="AJ1732" t="str">
            <v xml:space="preserve">Đồng Nai </v>
          </cell>
          <cell r="BX1732" t="str">
            <v>AON</v>
          </cell>
        </row>
        <row r="1733">
          <cell r="A1733" t="str">
            <v>ON</v>
          </cell>
          <cell r="B1733" t="str">
            <v>Trong 24h</v>
          </cell>
          <cell r="D1733" t="str">
            <v>Khiếu nại về dịch vụ FTTH</v>
          </cell>
          <cell r="W1733" t="str">
            <v>Đã đóng</v>
          </cell>
          <cell r="AJ1733" t="str">
            <v>TP HCM</v>
          </cell>
          <cell r="BX1733" t="str">
            <v>AON</v>
          </cell>
        </row>
        <row r="1734">
          <cell r="A1734" t="str">
            <v>ON</v>
          </cell>
          <cell r="B1734" t="str">
            <v>Trong 24h</v>
          </cell>
          <cell r="D1734" t="str">
            <v>Khiếu nại về dịch vụ FTTH</v>
          </cell>
          <cell r="W1734" t="str">
            <v>Đã đóng</v>
          </cell>
          <cell r="AJ1734" t="str">
            <v>Quảng Bình</v>
          </cell>
          <cell r="BX1734" t="str">
            <v>AON</v>
          </cell>
        </row>
        <row r="1735">
          <cell r="A1735" t="str">
            <v>ON</v>
          </cell>
          <cell r="B1735" t="str">
            <v>Trong 24h</v>
          </cell>
          <cell r="D1735" t="str">
            <v>Khiếu nại về dịch vụ FTTH</v>
          </cell>
          <cell r="W1735" t="str">
            <v>Đã đóng</v>
          </cell>
          <cell r="AJ1735" t="str">
            <v>Hà Nội 1</v>
          </cell>
          <cell r="BX1735" t="str">
            <v>AON</v>
          </cell>
        </row>
        <row r="1736">
          <cell r="A1736" t="str">
            <v>ON</v>
          </cell>
          <cell r="B1736" t="str">
            <v>Trong 24h</v>
          </cell>
          <cell r="D1736" t="str">
            <v>Khiếu nại về dịch vụ FTTH</v>
          </cell>
          <cell r="W1736" t="str">
            <v>Đã đóng</v>
          </cell>
          <cell r="AJ1736" t="str">
            <v>TP HCM</v>
          </cell>
          <cell r="BX1736" t="str">
            <v>AON</v>
          </cell>
        </row>
        <row r="1737">
          <cell r="A1737" t="str">
            <v>ON</v>
          </cell>
          <cell r="B1737" t="str">
            <v>Trong 24h</v>
          </cell>
          <cell r="D1737" t="str">
            <v>Khiếu nại về dịch vụ FTTH</v>
          </cell>
          <cell r="W1737" t="str">
            <v>Đã đóng</v>
          </cell>
          <cell r="AJ1737" t="str">
            <v>Sóc Trăng</v>
          </cell>
          <cell r="BX1737" t="str">
            <v>GPON</v>
          </cell>
        </row>
        <row r="1738">
          <cell r="A1738" t="str">
            <v>ON</v>
          </cell>
          <cell r="B1738" t="str">
            <v>Trong 24h</v>
          </cell>
          <cell r="D1738" t="str">
            <v>Khiếu nại về dịch vụ FTTH</v>
          </cell>
          <cell r="W1738" t="str">
            <v>Đang xử lý</v>
          </cell>
          <cell r="AJ1738" t="str">
            <v>Hậu Giang</v>
          </cell>
          <cell r="BX1738" t="str">
            <v>AON</v>
          </cell>
        </row>
        <row r="1739">
          <cell r="A1739" t="str">
            <v>ON</v>
          </cell>
          <cell r="B1739" t="str">
            <v>Trong 24h</v>
          </cell>
          <cell r="D1739" t="str">
            <v>Khiếu nại về dịch vụ FTTH</v>
          </cell>
          <cell r="W1739" t="str">
            <v>Đã đóng</v>
          </cell>
          <cell r="AJ1739" t="str">
            <v>Hà Nội 2</v>
          </cell>
          <cell r="BX1739" t="str">
            <v>AON</v>
          </cell>
        </row>
        <row r="1740">
          <cell r="A1740" t="str">
            <v>ON</v>
          </cell>
          <cell r="B1740" t="str">
            <v>Trong 24h</v>
          </cell>
          <cell r="D1740" t="str">
            <v>Khiếu nại về dịch vụ FTTH</v>
          </cell>
          <cell r="W1740" t="str">
            <v>Đang xử lý</v>
          </cell>
          <cell r="AJ1740" t="str">
            <v>Thừa Thiên Huế</v>
          </cell>
          <cell r="BX1740" t="str">
            <v>AON</v>
          </cell>
        </row>
        <row r="1741">
          <cell r="A1741" t="str">
            <v>ON</v>
          </cell>
          <cell r="B1741" t="str">
            <v>Trong 24h</v>
          </cell>
          <cell r="D1741" t="str">
            <v>Khiếu nại về dịch vụ FTTH</v>
          </cell>
          <cell r="W1741" t="str">
            <v>Đang xử lý</v>
          </cell>
          <cell r="AJ1741" t="str">
            <v>Thanh Hoá</v>
          </cell>
          <cell r="BX1741" t="str">
            <v>AON</v>
          </cell>
        </row>
        <row r="1742">
          <cell r="A1742" t="str">
            <v>ON</v>
          </cell>
          <cell r="B1742" t="str">
            <v>Trong 24h</v>
          </cell>
          <cell r="D1742" t="str">
            <v>Khiếu nại về dịch vụ FTTH</v>
          </cell>
          <cell r="W1742" t="str">
            <v>Đang xử lý</v>
          </cell>
          <cell r="AJ1742" t="str">
            <v>Quảng Trị</v>
          </cell>
          <cell r="BX1742" t="str">
            <v>AON</v>
          </cell>
        </row>
        <row r="1743">
          <cell r="A1743" t="str">
            <v>ON</v>
          </cell>
          <cell r="B1743" t="str">
            <v>Trong 24h</v>
          </cell>
          <cell r="D1743" t="str">
            <v>Khiếu nại về dịch vụ FTTH</v>
          </cell>
          <cell r="W1743" t="str">
            <v>Đã đóng</v>
          </cell>
          <cell r="AJ1743" t="str">
            <v>Thanh Hoá</v>
          </cell>
          <cell r="BX1743" t="str">
            <v>AON</v>
          </cell>
        </row>
        <row r="1744">
          <cell r="A1744" t="str">
            <v>ON</v>
          </cell>
          <cell r="B1744" t="str">
            <v>Trong 24h</v>
          </cell>
          <cell r="D1744" t="str">
            <v>Khiếu nại về dịch vụ FTTH</v>
          </cell>
          <cell r="W1744" t="str">
            <v>Đã đóng</v>
          </cell>
          <cell r="AJ1744" t="str">
            <v>TP HCM</v>
          </cell>
          <cell r="BX1744" t="str">
            <v>AON</v>
          </cell>
        </row>
        <row r="1745">
          <cell r="A1745" t="str">
            <v>ON</v>
          </cell>
          <cell r="B1745" t="str">
            <v>Trong 24h</v>
          </cell>
          <cell r="D1745" t="str">
            <v>Khiếu nại về dịch vụ NextTV</v>
          </cell>
          <cell r="W1745" t="str">
            <v>Đã đóng</v>
          </cell>
          <cell r="AJ1745" t="str">
            <v>TP HCM</v>
          </cell>
          <cell r="BX1745" t="str">
            <v>GPON</v>
          </cell>
        </row>
        <row r="1746">
          <cell r="A1746" t="str">
            <v>ON</v>
          </cell>
          <cell r="B1746" t="str">
            <v>Trong 24h</v>
          </cell>
          <cell r="D1746" t="str">
            <v>Khiếu nại về dịch vụ FTTH</v>
          </cell>
          <cell r="W1746" t="str">
            <v>Đã đóng</v>
          </cell>
          <cell r="AJ1746" t="str">
            <v>Hậu Giang</v>
          </cell>
          <cell r="BX1746" t="str">
            <v>AON</v>
          </cell>
        </row>
        <row r="1747">
          <cell r="A1747" t="str">
            <v>ON</v>
          </cell>
          <cell r="B1747" t="str">
            <v>Trong 24h</v>
          </cell>
          <cell r="D1747" t="str">
            <v>Khiếu nại về dịch vụ FTTH</v>
          </cell>
          <cell r="W1747" t="str">
            <v>Đã đóng</v>
          </cell>
          <cell r="AJ1747" t="str">
            <v>Nghệ An</v>
          </cell>
          <cell r="BX1747" t="str">
            <v>AON</v>
          </cell>
        </row>
        <row r="1748">
          <cell r="A1748" t="str">
            <v>ON</v>
          </cell>
          <cell r="B1748" t="str">
            <v>Trong 24h</v>
          </cell>
          <cell r="D1748" t="str">
            <v>Khiếu nại về dịch vụ NextTV</v>
          </cell>
          <cell r="W1748" t="str">
            <v>Đã đóng</v>
          </cell>
          <cell r="AJ1748" t="str">
            <v>Hậu Giang</v>
          </cell>
          <cell r="BX1748" t="str">
            <v>AON</v>
          </cell>
        </row>
        <row r="1749">
          <cell r="A1749" t="str">
            <v>ON</v>
          </cell>
          <cell r="B1749" t="str">
            <v>Trong 24h</v>
          </cell>
          <cell r="D1749" t="str">
            <v>Khiếu nại về dịch vụ FTTH</v>
          </cell>
          <cell r="W1749" t="str">
            <v>Đang xử lý</v>
          </cell>
          <cell r="AJ1749" t="str">
            <v>Bắc Ninh</v>
          </cell>
          <cell r="BX1749" t="str">
            <v>AON</v>
          </cell>
        </row>
        <row r="1750">
          <cell r="A1750" t="str">
            <v>ON</v>
          </cell>
          <cell r="B1750" t="str">
            <v>Trong 24h</v>
          </cell>
          <cell r="D1750" t="str">
            <v>Khiếu nại về dịch vụ FTTH</v>
          </cell>
          <cell r="W1750" t="str">
            <v>Đã đóng</v>
          </cell>
          <cell r="AJ1750" t="str">
            <v>Hải Phòng</v>
          </cell>
          <cell r="BX1750" t="str">
            <v>AON</v>
          </cell>
        </row>
        <row r="1751">
          <cell r="A1751" t="str">
            <v>ON</v>
          </cell>
          <cell r="B1751" t="str">
            <v>Trong 24h</v>
          </cell>
          <cell r="D1751" t="str">
            <v>Khiếu nại về dịch vụ FTTH</v>
          </cell>
          <cell r="W1751" t="str">
            <v>Đang xử lý</v>
          </cell>
          <cell r="AJ1751" t="str">
            <v>Lâm Đồng</v>
          </cell>
          <cell r="BX1751" t="str">
            <v>AON</v>
          </cell>
        </row>
        <row r="1752">
          <cell r="A1752" t="str">
            <v>ON</v>
          </cell>
          <cell r="B1752" t="str">
            <v>Trong 24h</v>
          </cell>
          <cell r="D1752" t="str">
            <v>Khiếu nại về dịch vụ FTTH</v>
          </cell>
          <cell r="W1752" t="str">
            <v>Đang xử lý</v>
          </cell>
          <cell r="AJ1752" t="str">
            <v>Nghệ An</v>
          </cell>
          <cell r="BX1752" t="str">
            <v>AON</v>
          </cell>
        </row>
        <row r="1753">
          <cell r="A1753" t="str">
            <v>ON</v>
          </cell>
          <cell r="B1753" t="str">
            <v>Trong 24h</v>
          </cell>
          <cell r="D1753" t="str">
            <v>Khiếu nại về dịch vụ FTTH</v>
          </cell>
          <cell r="W1753" t="str">
            <v>Đã đóng</v>
          </cell>
          <cell r="AJ1753" t="str">
            <v>Hải Phòng</v>
          </cell>
          <cell r="BX1753" t="str">
            <v>AON</v>
          </cell>
        </row>
        <row r="1754">
          <cell r="A1754" t="str">
            <v>ON</v>
          </cell>
          <cell r="B1754" t="str">
            <v>Trong 24h</v>
          </cell>
          <cell r="D1754" t="str">
            <v>Khiếu nại về dịch vụ FTTH</v>
          </cell>
          <cell r="W1754" t="str">
            <v>Đã đóng</v>
          </cell>
          <cell r="AJ1754" t="str">
            <v>Hải Phòng</v>
          </cell>
          <cell r="BX1754" t="str">
            <v>AON</v>
          </cell>
        </row>
        <row r="1755">
          <cell r="A1755" t="str">
            <v>ON</v>
          </cell>
          <cell r="B1755" t="str">
            <v>Trong 24h</v>
          </cell>
          <cell r="D1755" t="str">
            <v>Khiếu nại về dịch vụ FTTH</v>
          </cell>
          <cell r="W1755" t="str">
            <v>Đang xử lý</v>
          </cell>
          <cell r="AJ1755" t="str">
            <v>Bình Định</v>
          </cell>
          <cell r="BX1755" t="str">
            <v>AON</v>
          </cell>
        </row>
        <row r="1756">
          <cell r="A1756" t="str">
            <v>ON</v>
          </cell>
          <cell r="B1756" t="str">
            <v>Trong 24h</v>
          </cell>
          <cell r="D1756" t="str">
            <v>Khiếu nại về dịch vụ FTTH</v>
          </cell>
          <cell r="W1756" t="str">
            <v>Đang xử lý</v>
          </cell>
          <cell r="AJ1756" t="str">
            <v xml:space="preserve">Quảng Nam </v>
          </cell>
          <cell r="BX1756" t="str">
            <v>AON</v>
          </cell>
        </row>
        <row r="1757">
          <cell r="A1757" t="str">
            <v>ON</v>
          </cell>
          <cell r="B1757" t="str">
            <v>Trong 24h</v>
          </cell>
          <cell r="D1757" t="str">
            <v>Khiếu nại về dịch vụ FTTH</v>
          </cell>
          <cell r="W1757" t="str">
            <v>Đã đóng</v>
          </cell>
          <cell r="AJ1757" t="str">
            <v>Thanh Hoá</v>
          </cell>
          <cell r="BX1757" t="str">
            <v>AON</v>
          </cell>
        </row>
        <row r="1758">
          <cell r="A1758" t="str">
            <v>ON</v>
          </cell>
          <cell r="B1758" t="str">
            <v>Trong 24h</v>
          </cell>
          <cell r="D1758" t="str">
            <v>Khiếu nại về dịch vụ FTTH</v>
          </cell>
          <cell r="W1758" t="str">
            <v>Đã đóng</v>
          </cell>
          <cell r="AJ1758" t="str">
            <v>Hải Phòng</v>
          </cell>
          <cell r="BX1758" t="str">
            <v>AON</v>
          </cell>
        </row>
        <row r="1759">
          <cell r="A1759" t="str">
            <v>ON</v>
          </cell>
          <cell r="B1759" t="str">
            <v>Trong 24h</v>
          </cell>
          <cell r="D1759" t="str">
            <v>Khiếu nại về dịch vụ FTTH</v>
          </cell>
          <cell r="W1759" t="str">
            <v>Đã đóng</v>
          </cell>
          <cell r="AJ1759" t="str">
            <v>Thanh Hoá</v>
          </cell>
          <cell r="BX1759" t="str">
            <v>AON</v>
          </cell>
        </row>
        <row r="1760">
          <cell r="A1760" t="str">
            <v>ON</v>
          </cell>
          <cell r="B1760" t="str">
            <v>Trong 24h</v>
          </cell>
          <cell r="D1760" t="str">
            <v>Khiếu nại về dịch vụ FTTH</v>
          </cell>
          <cell r="W1760" t="str">
            <v>Đã đóng</v>
          </cell>
          <cell r="AJ1760" t="str">
            <v>Hải Phòng</v>
          </cell>
          <cell r="BX1760" t="str">
            <v>AON</v>
          </cell>
        </row>
        <row r="1761">
          <cell r="A1761" t="str">
            <v>ON</v>
          </cell>
          <cell r="B1761" t="str">
            <v>Trong 24h</v>
          </cell>
          <cell r="D1761" t="str">
            <v>Khiếu nại về dịch vụ FTTH</v>
          </cell>
          <cell r="W1761" t="str">
            <v>Đã đóng</v>
          </cell>
          <cell r="AJ1761" t="str">
            <v>Phú Thọ</v>
          </cell>
          <cell r="BX1761" t="str">
            <v>AON</v>
          </cell>
        </row>
        <row r="1762">
          <cell r="A1762" t="str">
            <v>ON</v>
          </cell>
          <cell r="B1762" t="str">
            <v>Trong 24h</v>
          </cell>
          <cell r="D1762" t="str">
            <v>Khiếu nại về dịch vụ FTTH</v>
          </cell>
          <cell r="W1762" t="str">
            <v>Đã đóng</v>
          </cell>
          <cell r="AJ1762" t="str">
            <v>Hải Phòng</v>
          </cell>
          <cell r="BX1762" t="str">
            <v>AON</v>
          </cell>
        </row>
        <row r="1763">
          <cell r="A1763" t="str">
            <v>ON</v>
          </cell>
          <cell r="B1763" t="str">
            <v>Trong 24h</v>
          </cell>
          <cell r="D1763" t="str">
            <v>Khiếu nại về dịch vụ FTTH</v>
          </cell>
          <cell r="W1763" t="str">
            <v>Đang xử lý</v>
          </cell>
          <cell r="AJ1763" t="str">
            <v>Thái Nguyên</v>
          </cell>
          <cell r="BX1763" t="str">
            <v>AON</v>
          </cell>
        </row>
        <row r="1764">
          <cell r="A1764" t="str">
            <v>ON</v>
          </cell>
          <cell r="B1764" t="str">
            <v>Trong 24h</v>
          </cell>
          <cell r="D1764" t="str">
            <v>Khiếu nại về dịch vụ FTTH</v>
          </cell>
          <cell r="W1764" t="str">
            <v>Đã đóng</v>
          </cell>
          <cell r="AJ1764" t="str">
            <v>TP HCM</v>
          </cell>
          <cell r="BX1764" t="str">
            <v>AON</v>
          </cell>
        </row>
        <row r="1765">
          <cell r="A1765" t="str">
            <v>ON</v>
          </cell>
          <cell r="B1765" t="str">
            <v>Trong 24h</v>
          </cell>
          <cell r="D1765" t="str">
            <v>Khiếu nại về dịch vụ FTTH</v>
          </cell>
          <cell r="W1765" t="str">
            <v>Đã đóng</v>
          </cell>
          <cell r="AJ1765" t="str">
            <v>Điện Biên</v>
          </cell>
          <cell r="BX1765" t="str">
            <v>AON</v>
          </cell>
        </row>
        <row r="1766">
          <cell r="A1766" t="str">
            <v>ON</v>
          </cell>
          <cell r="B1766" t="str">
            <v>Trong 24h</v>
          </cell>
          <cell r="D1766" t="str">
            <v>Khiếu nại về dịch vụ FTTH</v>
          </cell>
          <cell r="W1766" t="str">
            <v>Đã đóng</v>
          </cell>
          <cell r="AJ1766" t="str">
            <v>Ninh Thuận</v>
          </cell>
          <cell r="BX1766" t="str">
            <v>AON</v>
          </cell>
        </row>
        <row r="1767">
          <cell r="A1767" t="str">
            <v>ON</v>
          </cell>
          <cell r="B1767" t="str">
            <v>Trong 24h</v>
          </cell>
          <cell r="D1767" t="str">
            <v>Khiếu nại về dịch vụ FTTH</v>
          </cell>
          <cell r="W1767" t="str">
            <v>Đã đóng</v>
          </cell>
          <cell r="AJ1767" t="str">
            <v>TP HCM</v>
          </cell>
          <cell r="BX1767" t="str">
            <v>AON</v>
          </cell>
        </row>
        <row r="1768">
          <cell r="A1768" t="str">
            <v>ON</v>
          </cell>
          <cell r="B1768" t="str">
            <v>Trong 24h</v>
          </cell>
          <cell r="D1768" t="str">
            <v>Khiếu nại về dịch vụ FTTH</v>
          </cell>
          <cell r="W1768" t="str">
            <v>Đã đóng</v>
          </cell>
          <cell r="AJ1768" t="str">
            <v>TP HCM</v>
          </cell>
          <cell r="BX1768" t="str">
            <v>AON</v>
          </cell>
        </row>
        <row r="1769">
          <cell r="A1769" t="str">
            <v>ON</v>
          </cell>
          <cell r="B1769" t="str">
            <v>Trong 24h</v>
          </cell>
          <cell r="D1769" t="str">
            <v>Khiếu nại về dịch vụ FTTH</v>
          </cell>
          <cell r="W1769" t="str">
            <v>Đang xử lý</v>
          </cell>
          <cell r="AJ1769" t="str">
            <v>TP HCM</v>
          </cell>
          <cell r="BX1769" t="str">
            <v>AON</v>
          </cell>
        </row>
        <row r="1770">
          <cell r="A1770" t="str">
            <v>ON</v>
          </cell>
          <cell r="B1770" t="str">
            <v>Trong 24h</v>
          </cell>
          <cell r="D1770" t="str">
            <v>Khiếu nại về dịch vụ NextTV</v>
          </cell>
          <cell r="W1770" t="str">
            <v>Đã đóng</v>
          </cell>
          <cell r="AJ1770" t="str">
            <v>Hà Nội 2</v>
          </cell>
          <cell r="BX1770" t="str">
            <v>AON</v>
          </cell>
        </row>
        <row r="1771">
          <cell r="A1771" t="str">
            <v>ON</v>
          </cell>
          <cell r="B1771" t="str">
            <v>Trong 24h</v>
          </cell>
          <cell r="D1771" t="str">
            <v>Khiếu nại về dịch vụ FTTH</v>
          </cell>
          <cell r="W1771" t="str">
            <v>Đang xử lý</v>
          </cell>
          <cell r="AJ1771" t="str">
            <v>Quảng Ninh</v>
          </cell>
          <cell r="BX1771" t="str">
            <v>AON</v>
          </cell>
        </row>
        <row r="1772">
          <cell r="A1772" t="str">
            <v>ON</v>
          </cell>
          <cell r="B1772" t="str">
            <v>Trong 24h</v>
          </cell>
          <cell r="D1772" t="str">
            <v>Khiếu nại về dịch vụ FTTH</v>
          </cell>
          <cell r="W1772" t="str">
            <v>Đang xử lý</v>
          </cell>
          <cell r="AJ1772" t="str">
            <v>TP HCM</v>
          </cell>
          <cell r="BX1772" t="str">
            <v>GPON</v>
          </cell>
        </row>
        <row r="1773">
          <cell r="A1773" t="str">
            <v>ON</v>
          </cell>
          <cell r="B1773" t="str">
            <v>Trong 24h</v>
          </cell>
          <cell r="D1773" t="str">
            <v>Khiếu nại về dịch vụ FTTH</v>
          </cell>
          <cell r="W1773" t="str">
            <v>Đã đóng</v>
          </cell>
          <cell r="AJ1773" t="str">
            <v>Hà Nội 2</v>
          </cell>
          <cell r="BX1773" t="str">
            <v>AON</v>
          </cell>
        </row>
        <row r="1774">
          <cell r="A1774" t="str">
            <v>ON</v>
          </cell>
          <cell r="B1774" t="str">
            <v>Trong 24h</v>
          </cell>
          <cell r="D1774" t="str">
            <v>Khiếu nại về dịch vụ FTTH</v>
          </cell>
          <cell r="W1774" t="str">
            <v>Đã đóng</v>
          </cell>
          <cell r="AJ1774" t="str">
            <v>Kon Tum</v>
          </cell>
          <cell r="BX1774" t="str">
            <v>AON</v>
          </cell>
        </row>
        <row r="1775">
          <cell r="A1775" t="str">
            <v>ON</v>
          </cell>
          <cell r="B1775" t="str">
            <v>Trong 24h</v>
          </cell>
          <cell r="D1775" t="str">
            <v>Khiếu nại về dịch vụ FTTH</v>
          </cell>
          <cell r="W1775" t="str">
            <v>Đã đóng</v>
          </cell>
          <cell r="AJ1775" t="str">
            <v xml:space="preserve">Đồng Nai </v>
          </cell>
          <cell r="BX1775" t="str">
            <v>AON</v>
          </cell>
        </row>
        <row r="1776">
          <cell r="A1776" t="str">
            <v>ON</v>
          </cell>
          <cell r="B1776" t="str">
            <v>Trong 24h</v>
          </cell>
          <cell r="D1776" t="str">
            <v>Khiếu nại về dịch vụ FTTH</v>
          </cell>
          <cell r="W1776" t="str">
            <v>Đã đóng</v>
          </cell>
          <cell r="AJ1776" t="str">
            <v>TP HCM</v>
          </cell>
          <cell r="BX1776" t="str">
            <v>AON</v>
          </cell>
        </row>
        <row r="1777">
          <cell r="A1777" t="str">
            <v>ON</v>
          </cell>
          <cell r="B1777" t="str">
            <v>Trong 24h</v>
          </cell>
          <cell r="D1777" t="str">
            <v>Khiếu nại về dịch vụ FTTH</v>
          </cell>
          <cell r="W1777" t="str">
            <v>Đang xử lý</v>
          </cell>
          <cell r="AJ1777" t="str">
            <v>TP HCM</v>
          </cell>
          <cell r="BX1777" t="str">
            <v>AON</v>
          </cell>
        </row>
        <row r="1778">
          <cell r="A1778" t="str">
            <v>ON</v>
          </cell>
          <cell r="B1778" t="str">
            <v>Trong 24h</v>
          </cell>
          <cell r="D1778" t="str">
            <v>Khiếu nại về dịch vụ FTTH</v>
          </cell>
          <cell r="W1778" t="str">
            <v>Đã đóng</v>
          </cell>
          <cell r="AJ1778" t="str">
            <v>Hải Phòng</v>
          </cell>
          <cell r="BX1778" t="str">
            <v>AON</v>
          </cell>
        </row>
        <row r="1779">
          <cell r="A1779" t="str">
            <v>ON</v>
          </cell>
          <cell r="B1779" t="str">
            <v>Trong 24h</v>
          </cell>
          <cell r="D1779" t="str">
            <v>Khiếu nại về dịch vụ FTTH</v>
          </cell>
          <cell r="W1779" t="str">
            <v>Đang xử lý</v>
          </cell>
          <cell r="AJ1779" t="str">
            <v>Ninh Thuận</v>
          </cell>
          <cell r="BX1779" t="str">
            <v>AON</v>
          </cell>
        </row>
        <row r="1780">
          <cell r="A1780" t="str">
            <v>ON</v>
          </cell>
          <cell r="B1780" t="str">
            <v>Trong 24h</v>
          </cell>
          <cell r="D1780" t="str">
            <v>Khiếu nại về dịch vụ NextTV</v>
          </cell>
          <cell r="W1780" t="str">
            <v>Đang xử lý</v>
          </cell>
          <cell r="AJ1780" t="str">
            <v>Thái Bình</v>
          </cell>
          <cell r="BX1780" t="str">
            <v>AON</v>
          </cell>
        </row>
        <row r="1781">
          <cell r="A1781" t="str">
            <v>ON</v>
          </cell>
          <cell r="B1781" t="str">
            <v>Trong 24h</v>
          </cell>
          <cell r="D1781" t="str">
            <v>Khiếu nại về dịch vụ NextTV</v>
          </cell>
          <cell r="W1781" t="str">
            <v>Đã đóng</v>
          </cell>
          <cell r="AJ1781" t="str">
            <v>Nam Định</v>
          </cell>
          <cell r="BX1781" t="str">
            <v>AON</v>
          </cell>
        </row>
        <row r="1782">
          <cell r="A1782" t="str">
            <v>ON</v>
          </cell>
          <cell r="B1782" t="str">
            <v>Trong 24h</v>
          </cell>
          <cell r="D1782" t="str">
            <v>Khiếu nại về dịch vụ FTTH</v>
          </cell>
          <cell r="W1782" t="str">
            <v>Đang xử lý</v>
          </cell>
          <cell r="AJ1782" t="str">
            <v>Thái Nguyên</v>
          </cell>
          <cell r="BX1782" t="str">
            <v>AON</v>
          </cell>
        </row>
        <row r="1783">
          <cell r="A1783" t="str">
            <v>ON</v>
          </cell>
          <cell r="B1783" t="str">
            <v>Trong 24h</v>
          </cell>
          <cell r="D1783" t="str">
            <v>Khiếu nại về dịch vụ FTTH</v>
          </cell>
          <cell r="W1783" t="str">
            <v>Đã đóng</v>
          </cell>
          <cell r="AJ1783" t="str">
            <v>Hà Nội 1</v>
          </cell>
          <cell r="BX1783" t="str">
            <v>AON</v>
          </cell>
        </row>
        <row r="1784">
          <cell r="A1784" t="str">
            <v>ON</v>
          </cell>
          <cell r="B1784" t="str">
            <v>Trong 24h</v>
          </cell>
          <cell r="D1784" t="str">
            <v>Khiếu nại về dịch vụ FTTH</v>
          </cell>
          <cell r="W1784" t="str">
            <v>Đã đóng</v>
          </cell>
          <cell r="AJ1784" t="str">
            <v>Hải Phòng</v>
          </cell>
          <cell r="BX1784" t="str">
            <v>AON</v>
          </cell>
        </row>
        <row r="1785">
          <cell r="A1785" t="str">
            <v>ON</v>
          </cell>
          <cell r="B1785" t="str">
            <v>Trong 24h</v>
          </cell>
          <cell r="D1785" t="str">
            <v>Khiếu nại về dịch vụ FTTH</v>
          </cell>
          <cell r="W1785" t="str">
            <v>Đã đóng</v>
          </cell>
          <cell r="AJ1785" t="str">
            <v>Bắc Ninh</v>
          </cell>
          <cell r="BX1785" t="str">
            <v>AON</v>
          </cell>
        </row>
        <row r="1786">
          <cell r="A1786" t="str">
            <v>ON</v>
          </cell>
          <cell r="B1786" t="str">
            <v>Trong 24h</v>
          </cell>
          <cell r="D1786" t="str">
            <v>Khiếu nại về dịch vụ FTTH</v>
          </cell>
          <cell r="W1786" t="str">
            <v>Đang xử lý</v>
          </cell>
          <cell r="AJ1786" t="str">
            <v>Yên Bái</v>
          </cell>
          <cell r="BX1786" t="str">
            <v>AON</v>
          </cell>
        </row>
        <row r="1787">
          <cell r="A1787" t="str">
            <v>ON</v>
          </cell>
          <cell r="B1787" t="str">
            <v>Trong 24h</v>
          </cell>
          <cell r="D1787" t="str">
            <v>Khiếu nại về dịch vụ FTTH</v>
          </cell>
          <cell r="W1787" t="str">
            <v>Đang xử lý</v>
          </cell>
          <cell r="AJ1787" t="str">
            <v>Hà Nội 2</v>
          </cell>
          <cell r="BX1787" t="str">
            <v>AON</v>
          </cell>
        </row>
        <row r="1788">
          <cell r="A1788" t="str">
            <v>ON</v>
          </cell>
          <cell r="B1788" t="str">
            <v>Trong 24h</v>
          </cell>
          <cell r="D1788" t="str">
            <v>Khiếu nại về dịch vụ FTTH</v>
          </cell>
          <cell r="W1788" t="str">
            <v>Đang xử lý</v>
          </cell>
          <cell r="AJ1788" t="str">
            <v xml:space="preserve">Hà Tĩnh </v>
          </cell>
          <cell r="BX1788" t="str">
            <v>AON</v>
          </cell>
        </row>
        <row r="1789">
          <cell r="A1789" t="str">
            <v>ON</v>
          </cell>
          <cell r="B1789" t="str">
            <v>Trong 24h</v>
          </cell>
          <cell r="D1789" t="str">
            <v>Khiếu nại về dịch vụ FTTH</v>
          </cell>
          <cell r="W1789" t="str">
            <v>Đã đóng</v>
          </cell>
          <cell r="AJ1789" t="str">
            <v>Hải Phòng</v>
          </cell>
          <cell r="BX1789" t="str">
            <v>AON</v>
          </cell>
        </row>
        <row r="1790">
          <cell r="A1790" t="str">
            <v>ON</v>
          </cell>
          <cell r="B1790" t="str">
            <v>Trong 24h</v>
          </cell>
          <cell r="D1790" t="str">
            <v>Khiếu nại về dịch vụ FTTH</v>
          </cell>
          <cell r="W1790" t="str">
            <v>Đang xử lý</v>
          </cell>
          <cell r="AJ1790" t="str">
            <v xml:space="preserve">Đắc Lắk </v>
          </cell>
          <cell r="BX1790" t="str">
            <v>AON</v>
          </cell>
        </row>
        <row r="1791">
          <cell r="A1791" t="str">
            <v>ON</v>
          </cell>
          <cell r="B1791" t="str">
            <v>Trong 24h</v>
          </cell>
          <cell r="D1791" t="str">
            <v>Khiếu nại về dịch vụ FTTH</v>
          </cell>
          <cell r="W1791" t="str">
            <v>Đang xử lý</v>
          </cell>
          <cell r="AJ1791" t="str">
            <v>Nghệ An</v>
          </cell>
          <cell r="BX1791" t="str">
            <v>AON</v>
          </cell>
        </row>
        <row r="1792">
          <cell r="A1792" t="str">
            <v>ON</v>
          </cell>
          <cell r="B1792" t="str">
            <v>Trong 24h</v>
          </cell>
          <cell r="D1792" t="str">
            <v>Khiếu nại về dịch vụ FTTH</v>
          </cell>
          <cell r="W1792" t="str">
            <v>Đang xử lý</v>
          </cell>
          <cell r="AJ1792" t="str">
            <v>An Giang</v>
          </cell>
          <cell r="BX1792" t="str">
            <v>AON</v>
          </cell>
        </row>
        <row r="1793">
          <cell r="A1793" t="str">
            <v>ON</v>
          </cell>
          <cell r="B1793" t="str">
            <v>Trong 24h</v>
          </cell>
          <cell r="D1793" t="str">
            <v>Khiếu nại về dịch vụ FTTH</v>
          </cell>
          <cell r="W1793" t="str">
            <v>Đã đóng</v>
          </cell>
          <cell r="AJ1793" t="str">
            <v>Vĩnh Phúc</v>
          </cell>
          <cell r="BX1793" t="str">
            <v>AON</v>
          </cell>
        </row>
        <row r="1794">
          <cell r="A1794" t="str">
            <v>ON</v>
          </cell>
          <cell r="B1794" t="str">
            <v>Trong 24h</v>
          </cell>
          <cell r="D1794" t="str">
            <v>Khiếu nại về dịch vụ FTTH</v>
          </cell>
          <cell r="W1794" t="str">
            <v>Đã đóng</v>
          </cell>
          <cell r="AJ1794" t="str">
            <v>Hà Nội 1</v>
          </cell>
          <cell r="BX1794" t="str">
            <v>AON</v>
          </cell>
        </row>
        <row r="1795">
          <cell r="A1795" t="str">
            <v>ON</v>
          </cell>
          <cell r="B1795" t="str">
            <v>Trong 24h</v>
          </cell>
          <cell r="D1795" t="str">
            <v>Khiếu nại về dịch vụ FTTH</v>
          </cell>
          <cell r="W1795" t="str">
            <v>Đã đóng</v>
          </cell>
          <cell r="AJ1795" t="str">
            <v>Hải Phòng</v>
          </cell>
          <cell r="BX1795" t="str">
            <v>AON</v>
          </cell>
        </row>
        <row r="1796">
          <cell r="A1796" t="str">
            <v>ON</v>
          </cell>
          <cell r="B1796" t="str">
            <v>Trong 24h</v>
          </cell>
          <cell r="D1796" t="str">
            <v>Khiếu nại về dịch vụ FTTH</v>
          </cell>
          <cell r="W1796" t="str">
            <v>Đang xử lý</v>
          </cell>
          <cell r="AJ1796" t="str">
            <v>TP HCM</v>
          </cell>
          <cell r="BX1796" t="str">
            <v>AON</v>
          </cell>
        </row>
        <row r="1797">
          <cell r="A1797" t="str">
            <v>ON</v>
          </cell>
          <cell r="B1797" t="str">
            <v>Trong 24h</v>
          </cell>
          <cell r="D1797" t="str">
            <v>Khiếu nại về dịch vụ FTTH</v>
          </cell>
          <cell r="W1797" t="str">
            <v>Đã đóng</v>
          </cell>
          <cell r="AJ1797" t="str">
            <v>Cần Thơ</v>
          </cell>
          <cell r="BX1797" t="str">
            <v>AON</v>
          </cell>
        </row>
        <row r="1798">
          <cell r="A1798" t="str">
            <v>ON</v>
          </cell>
          <cell r="B1798" t="str">
            <v>Trong 24h</v>
          </cell>
          <cell r="D1798" t="str">
            <v>Khiếu nại về dịch vụ FTTH</v>
          </cell>
          <cell r="W1798" t="str">
            <v>Đang xử lý</v>
          </cell>
          <cell r="AJ1798" t="str">
            <v>Phú Yên</v>
          </cell>
          <cell r="BX1798" t="str">
            <v>AON</v>
          </cell>
        </row>
        <row r="1799">
          <cell r="A1799" t="str">
            <v>ON</v>
          </cell>
          <cell r="B1799" t="str">
            <v>Trong 24h</v>
          </cell>
          <cell r="D1799" t="str">
            <v>Khiếu nại về dịch vụ FTTH</v>
          </cell>
          <cell r="W1799" t="str">
            <v>Đã đóng</v>
          </cell>
          <cell r="AJ1799" t="str">
            <v xml:space="preserve">Đắc Lắk </v>
          </cell>
          <cell r="BX1799" t="str">
            <v>AON</v>
          </cell>
        </row>
        <row r="1800">
          <cell r="A1800" t="str">
            <v>ON</v>
          </cell>
          <cell r="B1800" t="str">
            <v>Trong 24h</v>
          </cell>
          <cell r="D1800" t="str">
            <v>Khiếu nại về dịch vụ FTTH</v>
          </cell>
          <cell r="W1800" t="str">
            <v>Đã đóng</v>
          </cell>
          <cell r="AJ1800" t="str">
            <v>Vĩnh Phúc</v>
          </cell>
          <cell r="BX1800" t="str">
            <v>AON</v>
          </cell>
        </row>
        <row r="1801">
          <cell r="A1801" t="str">
            <v>ON</v>
          </cell>
          <cell r="B1801" t="str">
            <v>Trong 24h</v>
          </cell>
          <cell r="D1801" t="str">
            <v>Khiếu nại về dịch vụ FTTH</v>
          </cell>
          <cell r="W1801" t="str">
            <v>Đã đóng</v>
          </cell>
          <cell r="AJ1801" t="str">
            <v>Hậu Giang</v>
          </cell>
          <cell r="BX1801" t="str">
            <v>AON</v>
          </cell>
        </row>
        <row r="1802">
          <cell r="A1802" t="str">
            <v>ON</v>
          </cell>
          <cell r="B1802" t="str">
            <v>Trong 24h</v>
          </cell>
          <cell r="D1802" t="str">
            <v>Khiếu nại về dịch vụ FTTH</v>
          </cell>
          <cell r="W1802" t="str">
            <v>Đang xử lý</v>
          </cell>
          <cell r="AJ1802" t="str">
            <v>Kiên Giang</v>
          </cell>
          <cell r="BX1802" t="str">
            <v>GPON</v>
          </cell>
        </row>
        <row r="1803">
          <cell r="A1803" t="str">
            <v>ON</v>
          </cell>
          <cell r="B1803" t="str">
            <v>Trong 24h</v>
          </cell>
          <cell r="D1803" t="str">
            <v>Khiếu nại về dịch vụ FTTH</v>
          </cell>
          <cell r="W1803" t="str">
            <v>Đã đóng</v>
          </cell>
          <cell r="AJ1803" t="str">
            <v>Quảng Ngãi</v>
          </cell>
          <cell r="BX1803" t="str">
            <v>AON</v>
          </cell>
        </row>
        <row r="1804">
          <cell r="A1804" t="str">
            <v>ON</v>
          </cell>
          <cell r="B1804" t="str">
            <v>Trong 24h</v>
          </cell>
          <cell r="D1804" t="str">
            <v>Khiếu nại về dịch vụ NextTV</v>
          </cell>
          <cell r="W1804" t="str">
            <v>Đã đóng</v>
          </cell>
          <cell r="AJ1804" t="str">
            <v>TP HCM</v>
          </cell>
          <cell r="BX1804" t="str">
            <v>AON</v>
          </cell>
        </row>
        <row r="1805">
          <cell r="A1805" t="str">
            <v>ON</v>
          </cell>
          <cell r="B1805" t="str">
            <v>Trong 24h</v>
          </cell>
          <cell r="D1805" t="str">
            <v>Khiếu nại về dịch vụ FTTH</v>
          </cell>
          <cell r="W1805" t="str">
            <v>Đã đóng</v>
          </cell>
          <cell r="AJ1805" t="str">
            <v>Hải Phòng</v>
          </cell>
          <cell r="BX1805" t="str">
            <v>AON</v>
          </cell>
        </row>
        <row r="1806">
          <cell r="A1806" t="str">
            <v>ON</v>
          </cell>
          <cell r="B1806" t="str">
            <v>Trong 24h</v>
          </cell>
          <cell r="D1806" t="str">
            <v>Khiếu nại về dịch vụ FTTH</v>
          </cell>
          <cell r="W1806" t="str">
            <v>Đã đóng</v>
          </cell>
          <cell r="AJ1806" t="str">
            <v>Hải Phòng</v>
          </cell>
          <cell r="BX1806" t="str">
            <v>AON</v>
          </cell>
        </row>
        <row r="1807">
          <cell r="A1807" t="str">
            <v>ON</v>
          </cell>
          <cell r="B1807" t="str">
            <v>Trong 24h</v>
          </cell>
          <cell r="D1807" t="str">
            <v>Khiếu nại về dịch vụ FTTH</v>
          </cell>
          <cell r="W1807" t="str">
            <v>Đã đóng</v>
          </cell>
          <cell r="AJ1807" t="str">
            <v>Đồng Tháp</v>
          </cell>
          <cell r="BX1807" t="str">
            <v>AON</v>
          </cell>
        </row>
        <row r="1808">
          <cell r="A1808" t="str">
            <v>ON</v>
          </cell>
          <cell r="B1808" t="str">
            <v>Trong 24h</v>
          </cell>
          <cell r="D1808" t="str">
            <v>Khiếu nại về dịch vụ FTTH</v>
          </cell>
          <cell r="W1808" t="str">
            <v>Đang xử lý</v>
          </cell>
          <cell r="AJ1808" t="str">
            <v>TP HCM</v>
          </cell>
          <cell r="BX1808" t="str">
            <v>AON</v>
          </cell>
        </row>
        <row r="1809">
          <cell r="A1809" t="str">
            <v>ON</v>
          </cell>
          <cell r="B1809" t="str">
            <v>Trong 24h</v>
          </cell>
          <cell r="D1809" t="str">
            <v>Khiếu nại về dịch vụ FTTH</v>
          </cell>
          <cell r="W1809" t="str">
            <v>Đã đóng</v>
          </cell>
          <cell r="AJ1809" t="str">
            <v>TP HCM</v>
          </cell>
          <cell r="BX1809" t="str">
            <v>AON</v>
          </cell>
        </row>
        <row r="1810">
          <cell r="A1810" t="str">
            <v>ON</v>
          </cell>
          <cell r="B1810" t="str">
            <v>Trong 24h</v>
          </cell>
          <cell r="D1810" t="str">
            <v>Khiếu nại về dịch vụ FTTH</v>
          </cell>
          <cell r="W1810" t="str">
            <v>Đã đóng</v>
          </cell>
          <cell r="AJ1810" t="str">
            <v>TP HCM</v>
          </cell>
          <cell r="BX1810" t="str">
            <v>AON</v>
          </cell>
        </row>
        <row r="1811">
          <cell r="A1811" t="str">
            <v>ON</v>
          </cell>
          <cell r="B1811" t="str">
            <v>Trong 24h</v>
          </cell>
          <cell r="D1811" t="str">
            <v>Khiếu nại về dịch vụ FTTH</v>
          </cell>
          <cell r="W1811" t="str">
            <v>Đã đóng</v>
          </cell>
          <cell r="AJ1811" t="str">
            <v>TP HCM</v>
          </cell>
          <cell r="BX1811" t="str">
            <v>AON</v>
          </cell>
        </row>
        <row r="1812">
          <cell r="A1812" t="str">
            <v>ON</v>
          </cell>
          <cell r="B1812" t="str">
            <v>Trong 24h</v>
          </cell>
          <cell r="D1812" t="str">
            <v>Khiếu nại về dịch vụ FTTH</v>
          </cell>
          <cell r="W1812" t="str">
            <v>Đang xử lý</v>
          </cell>
          <cell r="AJ1812" t="str">
            <v>Hà Nội 1</v>
          </cell>
          <cell r="BX1812" t="str">
            <v>AON</v>
          </cell>
        </row>
        <row r="1813">
          <cell r="A1813" t="str">
            <v>ON</v>
          </cell>
          <cell r="B1813" t="str">
            <v>Trong 24h</v>
          </cell>
          <cell r="D1813" t="str">
            <v>Khiếu nại về dịch vụ FTTH</v>
          </cell>
          <cell r="W1813" t="str">
            <v>Đang xử lý</v>
          </cell>
          <cell r="AJ1813" t="str">
            <v>TP HCM</v>
          </cell>
          <cell r="BX1813" t="str">
            <v>AON</v>
          </cell>
        </row>
        <row r="1814">
          <cell r="A1814" t="str">
            <v>ON</v>
          </cell>
          <cell r="B1814" t="str">
            <v>Trong 24h</v>
          </cell>
          <cell r="D1814" t="str">
            <v>Khiếu nại về dịch vụ FTTH</v>
          </cell>
          <cell r="W1814" t="str">
            <v>Đang xử lý</v>
          </cell>
          <cell r="AJ1814" t="str">
            <v>Ninh Thuận</v>
          </cell>
          <cell r="BX1814" t="str">
            <v>AON</v>
          </cell>
        </row>
        <row r="1815">
          <cell r="A1815" t="str">
            <v>ON</v>
          </cell>
          <cell r="B1815" t="str">
            <v>Trong 24h</v>
          </cell>
          <cell r="D1815" t="str">
            <v>Khiếu nại về dịch vụ FTTH</v>
          </cell>
          <cell r="W1815" t="str">
            <v>Đã đóng</v>
          </cell>
          <cell r="AJ1815" t="str">
            <v>Hà Nội 2</v>
          </cell>
          <cell r="BX1815" t="str">
            <v>AON</v>
          </cell>
        </row>
        <row r="1816">
          <cell r="A1816" t="str">
            <v>ON</v>
          </cell>
          <cell r="B1816" t="str">
            <v>Trong 24h</v>
          </cell>
          <cell r="D1816" t="str">
            <v>Khiếu nại về dịch vụ FTTH</v>
          </cell>
          <cell r="W1816" t="str">
            <v>Đang xử lý</v>
          </cell>
          <cell r="AJ1816" t="str">
            <v>TP HCM</v>
          </cell>
          <cell r="BX1816" t="str">
            <v>AON</v>
          </cell>
        </row>
        <row r="1817">
          <cell r="A1817" t="str">
            <v>ON</v>
          </cell>
          <cell r="B1817" t="str">
            <v>Trong 24h</v>
          </cell>
          <cell r="D1817" t="str">
            <v>Khiếu nại về dịch vụ FTTH</v>
          </cell>
          <cell r="W1817" t="str">
            <v>Đã đóng</v>
          </cell>
          <cell r="AJ1817" t="str">
            <v>Hà Nội 1</v>
          </cell>
          <cell r="BX1817" t="str">
            <v>AON</v>
          </cell>
        </row>
        <row r="1818">
          <cell r="A1818" t="str">
            <v>ON</v>
          </cell>
          <cell r="B1818" t="str">
            <v>Trong 24h</v>
          </cell>
          <cell r="D1818" t="str">
            <v>Khiếu nại về dịch vụ FTTH</v>
          </cell>
          <cell r="W1818" t="str">
            <v>Đang xử lý</v>
          </cell>
          <cell r="AJ1818" t="str">
            <v>Long An</v>
          </cell>
          <cell r="BX1818" t="str">
            <v>AON</v>
          </cell>
        </row>
        <row r="1819">
          <cell r="A1819" t="str">
            <v>ON</v>
          </cell>
          <cell r="B1819" t="str">
            <v>Trong 24h</v>
          </cell>
          <cell r="D1819" t="str">
            <v>Khiếu nại về dịch vụ FTTH</v>
          </cell>
          <cell r="W1819" t="str">
            <v>Đã đóng</v>
          </cell>
          <cell r="AJ1819" t="str">
            <v>Hải Dương</v>
          </cell>
          <cell r="BX1819" t="str">
            <v>AON</v>
          </cell>
        </row>
        <row r="1820">
          <cell r="A1820" t="str">
            <v>ON</v>
          </cell>
          <cell r="B1820" t="str">
            <v>Trong 24h</v>
          </cell>
          <cell r="D1820" t="str">
            <v>Khiếu nại về dịch vụ FTTH</v>
          </cell>
          <cell r="W1820" t="str">
            <v>Đã đóng</v>
          </cell>
          <cell r="AJ1820" t="str">
            <v>Bình Dương</v>
          </cell>
          <cell r="BX1820" t="str">
            <v>AON</v>
          </cell>
        </row>
        <row r="1821">
          <cell r="A1821" t="str">
            <v>ON</v>
          </cell>
          <cell r="B1821" t="str">
            <v>Trong 24h</v>
          </cell>
          <cell r="D1821" t="str">
            <v>Khiếu nại về dịch vụ FTTH</v>
          </cell>
          <cell r="W1821" t="str">
            <v>Đang xử lý</v>
          </cell>
          <cell r="AJ1821" t="str">
            <v>Thanh Hoá</v>
          </cell>
          <cell r="BX1821" t="str">
            <v>AON</v>
          </cell>
        </row>
        <row r="1822">
          <cell r="A1822" t="str">
            <v>ON</v>
          </cell>
          <cell r="B1822" t="str">
            <v>Trong 24h</v>
          </cell>
          <cell r="D1822" t="str">
            <v>Khiếu nại về dịch vụ FTTH</v>
          </cell>
          <cell r="W1822" t="str">
            <v>Đã đóng</v>
          </cell>
          <cell r="AJ1822" t="str">
            <v>Hải Phòng</v>
          </cell>
          <cell r="BX1822" t="str">
            <v>AON</v>
          </cell>
        </row>
        <row r="1823">
          <cell r="A1823" t="str">
            <v>ON</v>
          </cell>
          <cell r="B1823" t="str">
            <v>Trong 24h</v>
          </cell>
          <cell r="D1823" t="str">
            <v>Khiếu nại về dịch vụ FTTH</v>
          </cell>
          <cell r="W1823" t="str">
            <v>Đang xử lý</v>
          </cell>
          <cell r="AJ1823" t="str">
            <v>Hải Phòng</v>
          </cell>
          <cell r="BX1823" t="str">
            <v>AON</v>
          </cell>
        </row>
        <row r="1824">
          <cell r="A1824" t="str">
            <v>ON</v>
          </cell>
          <cell r="B1824" t="str">
            <v>Trong 24h</v>
          </cell>
          <cell r="D1824" t="str">
            <v>Khiếu nại về dịch vụ FTTH</v>
          </cell>
          <cell r="W1824" t="str">
            <v>Đã đóng</v>
          </cell>
          <cell r="AJ1824" t="str">
            <v>TP HCM</v>
          </cell>
          <cell r="BX1824" t="str">
            <v>GPON</v>
          </cell>
        </row>
        <row r="1825">
          <cell r="A1825" t="str">
            <v>ON</v>
          </cell>
          <cell r="B1825" t="str">
            <v>Trong 24h</v>
          </cell>
          <cell r="D1825" t="str">
            <v>Khiếu nại về dịch vụ FTTH</v>
          </cell>
          <cell r="W1825" t="str">
            <v>Đang xử lý</v>
          </cell>
          <cell r="AJ1825" t="str">
            <v>An Giang</v>
          </cell>
          <cell r="BX1825" t="str">
            <v>AON</v>
          </cell>
        </row>
        <row r="1826">
          <cell r="A1826" t="str">
            <v>ON</v>
          </cell>
          <cell r="B1826" t="str">
            <v>Trong 24h</v>
          </cell>
          <cell r="D1826" t="str">
            <v>Khiếu nại về dịch vụ FTTH</v>
          </cell>
          <cell r="W1826" t="str">
            <v>Đã đóng</v>
          </cell>
          <cell r="AJ1826" t="str">
            <v>Quảng Trị</v>
          </cell>
          <cell r="BX1826" t="str">
            <v>AON</v>
          </cell>
        </row>
        <row r="1827">
          <cell r="A1827" t="str">
            <v>ON</v>
          </cell>
          <cell r="B1827" t="str">
            <v>Trong 24h</v>
          </cell>
          <cell r="D1827" t="str">
            <v>Khiếu nại về dịch vụ FTTH</v>
          </cell>
          <cell r="W1827" t="str">
            <v>Đang xử lý</v>
          </cell>
          <cell r="AJ1827" t="str">
            <v>Thái Nguyên</v>
          </cell>
          <cell r="BX1827" t="str">
            <v>AON</v>
          </cell>
        </row>
        <row r="1828">
          <cell r="A1828" t="str">
            <v>ON</v>
          </cell>
          <cell r="B1828" t="str">
            <v>Trong 24h</v>
          </cell>
          <cell r="D1828" t="str">
            <v>Khiếu nại về dịch vụ FTTH</v>
          </cell>
          <cell r="W1828" t="str">
            <v>Đã đóng</v>
          </cell>
          <cell r="AJ1828" t="str">
            <v>Nghệ An</v>
          </cell>
          <cell r="BX1828" t="str">
            <v>AON</v>
          </cell>
        </row>
        <row r="1829">
          <cell r="A1829" t="str">
            <v>ON</v>
          </cell>
          <cell r="B1829" t="str">
            <v>Trong 24h</v>
          </cell>
          <cell r="D1829" t="str">
            <v>Khiếu nại về dịch vụ FTTH</v>
          </cell>
          <cell r="W1829" t="str">
            <v>Đang xử lý</v>
          </cell>
          <cell r="AJ1829" t="str">
            <v>Lâm Đồng</v>
          </cell>
          <cell r="BX1829" t="str">
            <v>AON</v>
          </cell>
        </row>
        <row r="1830">
          <cell r="A1830" t="str">
            <v>ON</v>
          </cell>
          <cell r="B1830" t="str">
            <v>Trong 24h</v>
          </cell>
          <cell r="D1830" t="str">
            <v>Khiếu nại về dịch vụ FTTH</v>
          </cell>
          <cell r="W1830" t="str">
            <v>Đang xử lý</v>
          </cell>
          <cell r="AJ1830" t="str">
            <v>TP HCM</v>
          </cell>
          <cell r="BX1830" t="str">
            <v>AON</v>
          </cell>
        </row>
        <row r="1831">
          <cell r="A1831" t="str">
            <v>ON</v>
          </cell>
          <cell r="B1831" t="str">
            <v>Trong 24h</v>
          </cell>
          <cell r="D1831" t="str">
            <v>Khiếu nại về dịch vụ FTTH</v>
          </cell>
          <cell r="W1831" t="str">
            <v>Đang xử lý</v>
          </cell>
          <cell r="AJ1831" t="str">
            <v>Phú Thọ</v>
          </cell>
          <cell r="BX1831" t="str">
            <v>AON</v>
          </cell>
        </row>
        <row r="1832">
          <cell r="A1832" t="str">
            <v>ON</v>
          </cell>
          <cell r="B1832" t="str">
            <v>Trong 24h</v>
          </cell>
          <cell r="D1832" t="str">
            <v>Khiếu nại về dịch vụ FTTH</v>
          </cell>
          <cell r="W1832" t="str">
            <v>Đã đóng</v>
          </cell>
          <cell r="AJ1832" t="str">
            <v>Hà Nội 1</v>
          </cell>
          <cell r="BX1832" t="str">
            <v>AON</v>
          </cell>
        </row>
        <row r="1833">
          <cell r="A1833" t="str">
            <v>ON</v>
          </cell>
          <cell r="B1833" t="str">
            <v>Trong 24h</v>
          </cell>
          <cell r="D1833" t="str">
            <v>Khiếu nại về dịch vụ FTTH</v>
          </cell>
          <cell r="W1833" t="str">
            <v>Đang xử lý</v>
          </cell>
          <cell r="AJ1833" t="str">
            <v>TP HCM</v>
          </cell>
          <cell r="BX1833" t="str">
            <v>AON</v>
          </cell>
        </row>
        <row r="1834">
          <cell r="A1834" t="str">
            <v>ON</v>
          </cell>
          <cell r="B1834" t="str">
            <v>Trong 24h</v>
          </cell>
          <cell r="D1834" t="str">
            <v>Khiếu nại về dịch vụ FTTH</v>
          </cell>
          <cell r="W1834" t="str">
            <v>Đã đóng</v>
          </cell>
          <cell r="AJ1834" t="str">
            <v>Lạng Sơn</v>
          </cell>
          <cell r="BX1834" t="str">
            <v>AON</v>
          </cell>
        </row>
        <row r="1835">
          <cell r="A1835" t="str">
            <v>ON</v>
          </cell>
          <cell r="B1835" t="str">
            <v>Trong 24h</v>
          </cell>
          <cell r="D1835" t="str">
            <v>Khiếu nại về dịch vụ FTTH</v>
          </cell>
          <cell r="W1835" t="str">
            <v>Đang xử lý</v>
          </cell>
          <cell r="AJ1835" t="str">
            <v>Bắc Giang</v>
          </cell>
          <cell r="BX1835" t="str">
            <v>AON</v>
          </cell>
        </row>
        <row r="1836">
          <cell r="A1836" t="str">
            <v>ON</v>
          </cell>
          <cell r="B1836" t="str">
            <v>Trong 24h</v>
          </cell>
          <cell r="D1836" t="str">
            <v>Khiếu nại về dịch vụ FTTH</v>
          </cell>
          <cell r="W1836" t="str">
            <v>Đang xử lý</v>
          </cell>
          <cell r="AJ1836" t="str">
            <v>Nghệ An</v>
          </cell>
          <cell r="BX1836" t="str">
            <v>AON</v>
          </cell>
        </row>
        <row r="1837">
          <cell r="A1837" t="str">
            <v>ON</v>
          </cell>
          <cell r="B1837" t="str">
            <v>Trong 24h</v>
          </cell>
          <cell r="D1837" t="str">
            <v>Khiếu nại về dịch vụ FTTH</v>
          </cell>
          <cell r="W1837" t="str">
            <v>Đã đóng</v>
          </cell>
          <cell r="AJ1837" t="str">
            <v>Bình Dương</v>
          </cell>
          <cell r="BX1837" t="str">
            <v>AON</v>
          </cell>
        </row>
        <row r="1838">
          <cell r="A1838" t="str">
            <v>ON</v>
          </cell>
          <cell r="B1838" t="str">
            <v>Trong 24h</v>
          </cell>
          <cell r="D1838" t="str">
            <v>Khiếu nại về dịch vụ FTTH</v>
          </cell>
          <cell r="W1838" t="str">
            <v>Đang xử lý</v>
          </cell>
          <cell r="AJ1838" t="str">
            <v>Hậu Giang</v>
          </cell>
          <cell r="BX1838" t="str">
            <v>AON</v>
          </cell>
        </row>
        <row r="1839">
          <cell r="A1839" t="str">
            <v>ON</v>
          </cell>
          <cell r="B1839" t="str">
            <v>Trong 24h</v>
          </cell>
          <cell r="D1839" t="str">
            <v>Khiếu nại về dịch vụ FTTH</v>
          </cell>
          <cell r="W1839" t="str">
            <v>Đang xử lý</v>
          </cell>
          <cell r="AJ1839" t="str">
            <v>Hà Nội 1</v>
          </cell>
          <cell r="BX1839" t="str">
            <v>AON</v>
          </cell>
        </row>
        <row r="1840">
          <cell r="A1840" t="str">
            <v>ON</v>
          </cell>
          <cell r="B1840" t="str">
            <v>Trong 24h</v>
          </cell>
          <cell r="D1840" t="str">
            <v>Khiếu nại về dịch vụ FTTH</v>
          </cell>
          <cell r="W1840" t="str">
            <v>Đã đóng</v>
          </cell>
          <cell r="AJ1840" t="str">
            <v>Nghệ An</v>
          </cell>
          <cell r="BX1840" t="str">
            <v>AON</v>
          </cell>
        </row>
        <row r="1841">
          <cell r="A1841" t="str">
            <v>ON</v>
          </cell>
          <cell r="B1841" t="str">
            <v>Trong 24h</v>
          </cell>
          <cell r="D1841" t="str">
            <v>Khiếu nại về dịch vụ FTTH</v>
          </cell>
          <cell r="W1841" t="str">
            <v>Đang xử lý</v>
          </cell>
          <cell r="AJ1841" t="str">
            <v>Kon Tum</v>
          </cell>
          <cell r="BX1841" t="str">
            <v>AON</v>
          </cell>
        </row>
        <row r="1842">
          <cell r="A1842" t="str">
            <v>ON</v>
          </cell>
          <cell r="B1842" t="str">
            <v>Trong 24h</v>
          </cell>
          <cell r="D1842" t="str">
            <v>Khiếu nại về dịch vụ FTTH</v>
          </cell>
          <cell r="W1842" t="str">
            <v>Đã đóng</v>
          </cell>
          <cell r="AJ1842" t="str">
            <v>Hà Nội 1</v>
          </cell>
          <cell r="BX1842" t="str">
            <v>AON</v>
          </cell>
        </row>
        <row r="1843">
          <cell r="A1843" t="str">
            <v>ON</v>
          </cell>
          <cell r="B1843" t="str">
            <v>Trong 24h</v>
          </cell>
          <cell r="D1843" t="str">
            <v>Khiếu nại về dịch vụ FTTH</v>
          </cell>
          <cell r="W1843" t="str">
            <v>Đã đóng</v>
          </cell>
          <cell r="AJ1843" t="str">
            <v>Trà Vinh</v>
          </cell>
          <cell r="BX1843" t="str">
            <v>AON</v>
          </cell>
        </row>
        <row r="1844">
          <cell r="A1844" t="str">
            <v>ON</v>
          </cell>
          <cell r="B1844" t="str">
            <v>Trong 24h</v>
          </cell>
          <cell r="D1844" t="str">
            <v>Khiếu nại về dịch vụ FTTH</v>
          </cell>
          <cell r="W1844" t="str">
            <v>Đang xử lý</v>
          </cell>
          <cell r="AJ1844" t="str">
            <v xml:space="preserve">Đà Nẵng </v>
          </cell>
          <cell r="BX1844" t="str">
            <v>AON</v>
          </cell>
        </row>
        <row r="1845">
          <cell r="A1845" t="str">
            <v>ON</v>
          </cell>
          <cell r="B1845" t="str">
            <v>Trong 24h</v>
          </cell>
          <cell r="D1845" t="str">
            <v>Khiếu nại về dịch vụ FTTH</v>
          </cell>
          <cell r="W1845" t="str">
            <v>Đã đóng</v>
          </cell>
          <cell r="AJ1845" t="str">
            <v>Nghệ An</v>
          </cell>
          <cell r="BX1845" t="str">
            <v>AON</v>
          </cell>
        </row>
        <row r="1846">
          <cell r="A1846" t="str">
            <v>ON</v>
          </cell>
          <cell r="B1846" t="str">
            <v>Trong 24h</v>
          </cell>
          <cell r="D1846" t="str">
            <v>Khiếu nại về dịch vụ FTTH</v>
          </cell>
          <cell r="W1846" t="str">
            <v>Đã đóng</v>
          </cell>
          <cell r="AJ1846" t="str">
            <v>Tây Ninh</v>
          </cell>
          <cell r="BX1846" t="str">
            <v>AON</v>
          </cell>
        </row>
        <row r="1847">
          <cell r="A1847" t="str">
            <v>ON</v>
          </cell>
          <cell r="B1847" t="str">
            <v>Trong 24h</v>
          </cell>
          <cell r="D1847" t="str">
            <v>Khiếu nại về dịch vụ FTTH</v>
          </cell>
          <cell r="W1847" t="str">
            <v>Đã đóng</v>
          </cell>
          <cell r="AJ1847" t="str">
            <v>TP HCM</v>
          </cell>
          <cell r="BX1847" t="str">
            <v>AON</v>
          </cell>
        </row>
        <row r="1848">
          <cell r="A1848" t="str">
            <v>ON</v>
          </cell>
          <cell r="B1848" t="str">
            <v>Trong 24h</v>
          </cell>
          <cell r="D1848" t="str">
            <v>Khiếu nại về dịch vụ FTTH</v>
          </cell>
          <cell r="W1848" t="str">
            <v>Đã đóng</v>
          </cell>
          <cell r="AJ1848" t="str">
            <v>TP HCM</v>
          </cell>
          <cell r="BX1848" t="str">
            <v>AON</v>
          </cell>
        </row>
        <row r="1849">
          <cell r="A1849" t="str">
            <v>ON</v>
          </cell>
          <cell r="B1849" t="str">
            <v>Trong 24h</v>
          </cell>
          <cell r="D1849" t="str">
            <v>Khiếu nại về dịch vụ FTTH</v>
          </cell>
          <cell r="W1849" t="str">
            <v>Đã đóng</v>
          </cell>
          <cell r="AJ1849" t="str">
            <v>Hà Nội 1</v>
          </cell>
          <cell r="BX1849" t="str">
            <v>AON</v>
          </cell>
        </row>
        <row r="1850">
          <cell r="A1850" t="str">
            <v>ON</v>
          </cell>
          <cell r="B1850" t="str">
            <v>Trong 24h</v>
          </cell>
          <cell r="D1850" t="str">
            <v>Khiếu nại về dịch vụ FTTH</v>
          </cell>
          <cell r="W1850" t="str">
            <v>Đã đóng</v>
          </cell>
          <cell r="AJ1850" t="str">
            <v>TP HCM</v>
          </cell>
          <cell r="BX1850" t="str">
            <v>GPON</v>
          </cell>
        </row>
        <row r="1851">
          <cell r="A1851" t="str">
            <v>ON</v>
          </cell>
          <cell r="B1851" t="str">
            <v>Trong 24h</v>
          </cell>
          <cell r="D1851" t="str">
            <v>Khiếu nại về dịch vụ FTTH</v>
          </cell>
          <cell r="W1851" t="str">
            <v>Đã đóng</v>
          </cell>
          <cell r="AJ1851" t="str">
            <v>TP HCM</v>
          </cell>
          <cell r="BX1851" t="str">
            <v>AON</v>
          </cell>
        </row>
        <row r="1852">
          <cell r="A1852" t="str">
            <v>ON</v>
          </cell>
          <cell r="B1852" t="str">
            <v>Trong 24h</v>
          </cell>
          <cell r="D1852" t="str">
            <v>Khiếu nại về dịch vụ FTTH</v>
          </cell>
          <cell r="W1852" t="str">
            <v>Đang xử lý</v>
          </cell>
          <cell r="AJ1852" t="str">
            <v xml:space="preserve">Đồng Nai </v>
          </cell>
          <cell r="BX1852" t="str">
            <v>AON</v>
          </cell>
        </row>
        <row r="1853">
          <cell r="A1853" t="str">
            <v>ON</v>
          </cell>
          <cell r="B1853" t="str">
            <v>Trong 24h</v>
          </cell>
          <cell r="D1853" t="str">
            <v>Khiếu nại về dịch vụ FTTH</v>
          </cell>
          <cell r="W1853" t="str">
            <v>Đang xử lý</v>
          </cell>
          <cell r="AJ1853" t="str">
            <v>TP HCM</v>
          </cell>
          <cell r="BX1853" t="str">
            <v>GPON</v>
          </cell>
        </row>
        <row r="1854">
          <cell r="A1854" t="str">
            <v>ON</v>
          </cell>
          <cell r="B1854" t="str">
            <v>Trong 24h</v>
          </cell>
          <cell r="D1854" t="str">
            <v>Khiếu nại về dịch vụ FTTH</v>
          </cell>
          <cell r="W1854" t="str">
            <v>Đã đóng</v>
          </cell>
          <cell r="AJ1854" t="str">
            <v>Bà Rịa - Vũng Tàu</v>
          </cell>
          <cell r="BX1854" t="str">
            <v>AON</v>
          </cell>
        </row>
        <row r="1855">
          <cell r="A1855" t="str">
            <v>ON</v>
          </cell>
          <cell r="B1855" t="str">
            <v>Trong 24h</v>
          </cell>
          <cell r="D1855" t="str">
            <v>Khiếu nại về dịch vụ FTTH</v>
          </cell>
          <cell r="W1855" t="str">
            <v>Đang xử lý</v>
          </cell>
          <cell r="AJ1855" t="str">
            <v>Bình Định</v>
          </cell>
          <cell r="BX1855" t="str">
            <v>AON</v>
          </cell>
        </row>
        <row r="1856">
          <cell r="A1856" t="str">
            <v>ON</v>
          </cell>
          <cell r="B1856" t="str">
            <v>Trong 24h</v>
          </cell>
          <cell r="D1856" t="str">
            <v>Khiếu nại về dịch vụ FTTH</v>
          </cell>
          <cell r="W1856" t="str">
            <v>Đang xử lý</v>
          </cell>
          <cell r="AJ1856" t="str">
            <v>Bình Định</v>
          </cell>
          <cell r="BX1856" t="str">
            <v>AON</v>
          </cell>
        </row>
        <row r="1857">
          <cell r="A1857" t="str">
            <v>ON</v>
          </cell>
          <cell r="B1857" t="str">
            <v>Trong 24h</v>
          </cell>
          <cell r="D1857" t="str">
            <v>Khiếu nại về dịch vụ FTTH</v>
          </cell>
          <cell r="W1857" t="str">
            <v>Đã đóng</v>
          </cell>
          <cell r="AJ1857" t="str">
            <v>Hải Phòng</v>
          </cell>
          <cell r="BX1857" t="str">
            <v>AON</v>
          </cell>
        </row>
        <row r="1858">
          <cell r="A1858" t="str">
            <v>ON</v>
          </cell>
          <cell r="B1858" t="str">
            <v>Trong 24h</v>
          </cell>
          <cell r="D1858" t="str">
            <v>Khiếu nại về dịch vụ FTTH</v>
          </cell>
          <cell r="W1858" t="str">
            <v>Đã đóng</v>
          </cell>
          <cell r="AJ1858" t="str">
            <v>TP HCM</v>
          </cell>
          <cell r="BX1858" t="str">
            <v>GPON</v>
          </cell>
        </row>
        <row r="1859">
          <cell r="A1859" t="str">
            <v>ON</v>
          </cell>
          <cell r="B1859" t="str">
            <v>Trong 24h</v>
          </cell>
          <cell r="D1859" t="str">
            <v>Khiếu nại về dịch vụ FTTH</v>
          </cell>
          <cell r="W1859" t="str">
            <v>Đang xử lý</v>
          </cell>
          <cell r="AJ1859" t="str">
            <v>Bình Dương</v>
          </cell>
          <cell r="BX1859" t="str">
            <v>AON</v>
          </cell>
        </row>
        <row r="1860">
          <cell r="A1860" t="str">
            <v>ON</v>
          </cell>
          <cell r="B1860" t="str">
            <v>Trong 24h</v>
          </cell>
          <cell r="D1860" t="str">
            <v>Khiếu nại về dịch vụ FTTH</v>
          </cell>
          <cell r="W1860" t="str">
            <v>Đang xử lý</v>
          </cell>
          <cell r="AJ1860" t="str">
            <v>Quảng Ninh</v>
          </cell>
          <cell r="BX1860" t="str">
            <v>AON</v>
          </cell>
        </row>
        <row r="1861">
          <cell r="A1861" t="str">
            <v>ON</v>
          </cell>
          <cell r="B1861" t="str">
            <v>Trong 24h</v>
          </cell>
          <cell r="D1861" t="str">
            <v>Khiếu nại về dịch vụ FTTH</v>
          </cell>
          <cell r="W1861" t="str">
            <v>Đang xử lý</v>
          </cell>
          <cell r="AJ1861" t="str">
            <v>An Giang</v>
          </cell>
          <cell r="BX1861" t="str">
            <v>AON</v>
          </cell>
        </row>
        <row r="1862">
          <cell r="A1862" t="str">
            <v>ON</v>
          </cell>
          <cell r="B1862" t="str">
            <v>Trong 24h</v>
          </cell>
          <cell r="D1862" t="str">
            <v>Khiếu nại về dịch vụ FTTH</v>
          </cell>
          <cell r="W1862" t="str">
            <v>Đã đóng</v>
          </cell>
          <cell r="AJ1862" t="str">
            <v>Trà Vinh</v>
          </cell>
          <cell r="BX1862" t="str">
            <v>AON</v>
          </cell>
        </row>
        <row r="1863">
          <cell r="A1863" t="str">
            <v>ON</v>
          </cell>
          <cell r="B1863" t="str">
            <v>Trong 24h</v>
          </cell>
          <cell r="D1863" t="str">
            <v>Khiếu nại về dịch vụ FTTH</v>
          </cell>
          <cell r="W1863" t="str">
            <v>Đã đóng</v>
          </cell>
          <cell r="AJ1863" t="str">
            <v>TP HCM</v>
          </cell>
          <cell r="BX1863" t="str">
            <v>AON</v>
          </cell>
        </row>
        <row r="1864">
          <cell r="A1864" t="str">
            <v>ON</v>
          </cell>
          <cell r="B1864" t="str">
            <v>Trong 24h</v>
          </cell>
          <cell r="D1864" t="str">
            <v>Khiếu nại về dịch vụ FTTH</v>
          </cell>
          <cell r="W1864" t="str">
            <v>Đang xử lý</v>
          </cell>
          <cell r="AJ1864" t="str">
            <v>An Giang</v>
          </cell>
          <cell r="BX1864" t="str">
            <v>AON</v>
          </cell>
        </row>
        <row r="1865">
          <cell r="A1865" t="str">
            <v>ON</v>
          </cell>
          <cell r="B1865" t="str">
            <v>Trong 24h</v>
          </cell>
          <cell r="D1865" t="str">
            <v>Khiếu nại về dịch vụ FTTH</v>
          </cell>
          <cell r="W1865" t="str">
            <v>Đang xử lý</v>
          </cell>
          <cell r="AJ1865" t="str">
            <v>Bình Định</v>
          </cell>
          <cell r="BX1865" t="str">
            <v>AON</v>
          </cell>
        </row>
        <row r="1866">
          <cell r="A1866" t="str">
            <v>ON</v>
          </cell>
          <cell r="B1866" t="str">
            <v>Trong 24h</v>
          </cell>
          <cell r="D1866" t="str">
            <v>Khiếu nại về dịch vụ FTTH</v>
          </cell>
          <cell r="W1866" t="str">
            <v>Đã đóng</v>
          </cell>
          <cell r="AJ1866" t="str">
            <v>Hải Phòng</v>
          </cell>
          <cell r="BX1866" t="str">
            <v>AON</v>
          </cell>
        </row>
        <row r="1867">
          <cell r="A1867" t="str">
            <v>ON</v>
          </cell>
          <cell r="B1867" t="str">
            <v>Trong 24h</v>
          </cell>
          <cell r="D1867" t="str">
            <v>Khiếu nại về dịch vụ FTTH</v>
          </cell>
          <cell r="W1867" t="str">
            <v>Đã đóng</v>
          </cell>
          <cell r="AJ1867" t="str">
            <v>TP HCM</v>
          </cell>
          <cell r="BX1867" t="str">
            <v>AON</v>
          </cell>
        </row>
        <row r="1868">
          <cell r="A1868" t="str">
            <v>ON</v>
          </cell>
          <cell r="B1868" t="str">
            <v>Trong 24h</v>
          </cell>
          <cell r="D1868" t="str">
            <v>Khiếu nại về dịch vụ FTTH</v>
          </cell>
          <cell r="W1868" t="str">
            <v>Đang xử lý</v>
          </cell>
          <cell r="AJ1868" t="str">
            <v>Nghệ An</v>
          </cell>
          <cell r="BX1868" t="str">
            <v>AON</v>
          </cell>
        </row>
        <row r="1869">
          <cell r="A1869" t="str">
            <v>ON</v>
          </cell>
          <cell r="B1869" t="str">
            <v>Trong 24h</v>
          </cell>
          <cell r="D1869" t="str">
            <v>Khiếu nại về dịch vụ FTTH</v>
          </cell>
          <cell r="W1869" t="str">
            <v>Đang xử lý</v>
          </cell>
          <cell r="AJ1869" t="str">
            <v>TP HCM</v>
          </cell>
          <cell r="BX1869" t="str">
            <v>AON</v>
          </cell>
        </row>
        <row r="1870">
          <cell r="A1870" t="str">
            <v>ON</v>
          </cell>
          <cell r="B1870" t="str">
            <v>Trong 24h</v>
          </cell>
          <cell r="D1870" t="str">
            <v>Khiếu nại về dịch vụ FTTH</v>
          </cell>
          <cell r="W1870" t="str">
            <v>Đã đóng</v>
          </cell>
          <cell r="AJ1870" t="str">
            <v>Hậu Giang</v>
          </cell>
          <cell r="BX1870" t="str">
            <v>AON</v>
          </cell>
        </row>
        <row r="1871">
          <cell r="A1871" t="str">
            <v>ON</v>
          </cell>
          <cell r="B1871" t="str">
            <v>Trong 24h</v>
          </cell>
          <cell r="D1871" t="str">
            <v>Khiếu nại về dịch vụ FTTH</v>
          </cell>
          <cell r="W1871" t="str">
            <v>Đang xử lý</v>
          </cell>
          <cell r="AJ1871" t="str">
            <v xml:space="preserve">Đồng Nai </v>
          </cell>
          <cell r="BX1871" t="str">
            <v>AON</v>
          </cell>
        </row>
        <row r="1872">
          <cell r="A1872" t="str">
            <v>ON</v>
          </cell>
          <cell r="B1872" t="str">
            <v>Trong 24h</v>
          </cell>
          <cell r="D1872" t="str">
            <v>Khiếu nại về dịch vụ FTTH</v>
          </cell>
          <cell r="W1872" t="str">
            <v>Đang xử lý</v>
          </cell>
          <cell r="AJ1872" t="str">
            <v>Ninh Bình</v>
          </cell>
          <cell r="BX1872" t="str">
            <v>AON</v>
          </cell>
        </row>
        <row r="1873">
          <cell r="A1873" t="str">
            <v>ON</v>
          </cell>
          <cell r="B1873" t="str">
            <v>Trong 24h</v>
          </cell>
          <cell r="D1873" t="str">
            <v>Khiếu nại về dịch vụ FTTH</v>
          </cell>
          <cell r="W1873" t="str">
            <v>Đã đóng</v>
          </cell>
          <cell r="AJ1873" t="str">
            <v>Hà Nội 1</v>
          </cell>
          <cell r="BX1873" t="str">
            <v>AON</v>
          </cell>
        </row>
        <row r="1874">
          <cell r="A1874" t="str">
            <v>ON</v>
          </cell>
          <cell r="B1874" t="str">
            <v>Trong 24h</v>
          </cell>
          <cell r="D1874" t="str">
            <v>Khiếu nại về dịch vụ FTTH</v>
          </cell>
          <cell r="W1874" t="str">
            <v>Đang xử lý</v>
          </cell>
          <cell r="AJ1874" t="str">
            <v>TP HCM</v>
          </cell>
          <cell r="BX1874" t="str">
            <v>AON</v>
          </cell>
        </row>
        <row r="1875">
          <cell r="A1875" t="str">
            <v>ON</v>
          </cell>
          <cell r="B1875" t="str">
            <v>Trong 24h</v>
          </cell>
          <cell r="D1875" t="str">
            <v>Khiếu nại về dịch vụ FTTH</v>
          </cell>
          <cell r="W1875" t="str">
            <v>Đã đóng</v>
          </cell>
          <cell r="AJ1875" t="str">
            <v>Đồng Tháp</v>
          </cell>
          <cell r="BX1875" t="str">
            <v>AON</v>
          </cell>
        </row>
        <row r="1876">
          <cell r="A1876" t="str">
            <v>ON</v>
          </cell>
          <cell r="B1876" t="str">
            <v>Trong 24h</v>
          </cell>
          <cell r="D1876" t="str">
            <v>Khiếu nại về dịch vụ FTTH</v>
          </cell>
          <cell r="W1876" t="str">
            <v>Đang xử lý</v>
          </cell>
          <cell r="AJ1876" t="str">
            <v>TP HCM</v>
          </cell>
          <cell r="BX1876" t="str">
            <v>AON</v>
          </cell>
        </row>
        <row r="1877">
          <cell r="A1877" t="str">
            <v>ON</v>
          </cell>
          <cell r="B1877" t="str">
            <v>Trong 24h</v>
          </cell>
          <cell r="D1877" t="str">
            <v>Khiếu nại về dịch vụ FTTH</v>
          </cell>
          <cell r="W1877" t="str">
            <v>Đã đóng</v>
          </cell>
          <cell r="AJ1877" t="str">
            <v>TP HCM</v>
          </cell>
          <cell r="BX1877" t="str">
            <v>AON</v>
          </cell>
        </row>
        <row r="1878">
          <cell r="A1878" t="str">
            <v>ON</v>
          </cell>
          <cell r="B1878" t="str">
            <v>Trong 24h</v>
          </cell>
          <cell r="D1878" t="str">
            <v>Khiếu nại về dịch vụ FTTH</v>
          </cell>
          <cell r="W1878" t="str">
            <v>Đang xử lý</v>
          </cell>
          <cell r="AJ1878" t="str">
            <v>Cần Thơ</v>
          </cell>
          <cell r="BX1878" t="str">
            <v>AON</v>
          </cell>
        </row>
        <row r="1879">
          <cell r="A1879" t="str">
            <v>ON</v>
          </cell>
          <cell r="B1879" t="str">
            <v>Trong 24h</v>
          </cell>
          <cell r="D1879" t="str">
            <v>Khiếu nại về dịch vụ FTTH</v>
          </cell>
          <cell r="W1879" t="str">
            <v>Đã đóng</v>
          </cell>
          <cell r="AJ1879" t="str">
            <v>Hà Nội 1</v>
          </cell>
          <cell r="BX1879" t="str">
            <v>AON</v>
          </cell>
        </row>
        <row r="1880">
          <cell r="A1880" t="str">
            <v>ON</v>
          </cell>
          <cell r="B1880" t="str">
            <v>Trong 24h</v>
          </cell>
          <cell r="D1880" t="str">
            <v>Khiếu nại về dịch vụ FTTH</v>
          </cell>
          <cell r="W1880" t="str">
            <v>Đã đóng</v>
          </cell>
          <cell r="AJ1880" t="str">
            <v>Ninh Bình</v>
          </cell>
          <cell r="BX1880" t="str">
            <v>AON</v>
          </cell>
        </row>
        <row r="1881">
          <cell r="A1881" t="str">
            <v>ON</v>
          </cell>
          <cell r="B1881" t="str">
            <v>Trong 24h</v>
          </cell>
          <cell r="D1881" t="str">
            <v>Khiếu nại về dịch vụ FTTH</v>
          </cell>
          <cell r="W1881" t="str">
            <v>Đã đóng</v>
          </cell>
          <cell r="AJ1881" t="str">
            <v>TP HCM</v>
          </cell>
          <cell r="BX1881" t="str">
            <v>AON</v>
          </cell>
        </row>
        <row r="1882">
          <cell r="A1882" t="str">
            <v>ON</v>
          </cell>
          <cell r="B1882" t="str">
            <v>Trong 24h</v>
          </cell>
          <cell r="D1882" t="str">
            <v>Khiếu nại về dịch vụ FTTH</v>
          </cell>
          <cell r="W1882" t="str">
            <v>Đã đóng</v>
          </cell>
          <cell r="AJ1882" t="str">
            <v>TP HCM</v>
          </cell>
          <cell r="BX1882" t="str">
            <v>AON</v>
          </cell>
        </row>
        <row r="1883">
          <cell r="A1883" t="str">
            <v>ON</v>
          </cell>
          <cell r="B1883" t="str">
            <v>Trong 24h</v>
          </cell>
          <cell r="D1883" t="str">
            <v>Khiếu nại về dịch vụ FTTH</v>
          </cell>
          <cell r="W1883" t="str">
            <v>Đã đóng</v>
          </cell>
          <cell r="AJ1883" t="str">
            <v>TP HCM</v>
          </cell>
          <cell r="BX1883" t="str">
            <v>AON</v>
          </cell>
        </row>
        <row r="1884">
          <cell r="A1884" t="str">
            <v>ON</v>
          </cell>
          <cell r="B1884" t="str">
            <v>Trong 24h</v>
          </cell>
          <cell r="D1884" t="str">
            <v>Khiếu nại về dịch vụ FTTH</v>
          </cell>
          <cell r="W1884" t="str">
            <v>Đang xử lý</v>
          </cell>
          <cell r="AJ1884" t="str">
            <v>Bình Dương</v>
          </cell>
          <cell r="BX1884" t="str">
            <v>AON</v>
          </cell>
        </row>
        <row r="1885">
          <cell r="A1885" t="str">
            <v>ON</v>
          </cell>
          <cell r="B1885" t="str">
            <v>Trong 24h</v>
          </cell>
          <cell r="D1885" t="str">
            <v>Khiếu nại về dịch vụ FTTH</v>
          </cell>
          <cell r="W1885" t="str">
            <v>Đang xử lý</v>
          </cell>
          <cell r="AJ1885" t="str">
            <v>Lâm Đồng</v>
          </cell>
          <cell r="BX1885" t="str">
            <v>AON</v>
          </cell>
        </row>
        <row r="1886">
          <cell r="A1886" t="str">
            <v>ON</v>
          </cell>
          <cell r="B1886" t="str">
            <v>Trong 24h</v>
          </cell>
          <cell r="D1886" t="str">
            <v>Khiếu nại về dịch vụ FTTH</v>
          </cell>
          <cell r="W1886" t="str">
            <v>Đang xử lý</v>
          </cell>
          <cell r="AJ1886" t="str">
            <v>Thanh Hoá</v>
          </cell>
          <cell r="BX1886" t="str">
            <v>AON</v>
          </cell>
        </row>
        <row r="1887">
          <cell r="A1887" t="str">
            <v>ON</v>
          </cell>
          <cell r="B1887" t="str">
            <v>Trong 24h</v>
          </cell>
          <cell r="D1887" t="str">
            <v>Khiếu nại về dịch vụ FTTH</v>
          </cell>
          <cell r="W1887" t="str">
            <v>Đã đóng</v>
          </cell>
          <cell r="AJ1887" t="str">
            <v>TP HCM</v>
          </cell>
          <cell r="BX1887" t="str">
            <v>AON</v>
          </cell>
        </row>
        <row r="1888">
          <cell r="A1888" t="str">
            <v>ON</v>
          </cell>
          <cell r="B1888" t="str">
            <v>Trong 24h</v>
          </cell>
          <cell r="D1888" t="str">
            <v>Khiếu nại về dịch vụ FTTH</v>
          </cell>
          <cell r="W1888" t="str">
            <v>Đã đóng</v>
          </cell>
          <cell r="AJ1888" t="str">
            <v xml:space="preserve">Đồng Nai </v>
          </cell>
          <cell r="BX1888" t="str">
            <v>AON</v>
          </cell>
        </row>
        <row r="1889">
          <cell r="A1889" t="str">
            <v>ON</v>
          </cell>
          <cell r="B1889" t="str">
            <v>Trong 24h</v>
          </cell>
          <cell r="D1889" t="str">
            <v>Khiếu nại về dịch vụ FTTH</v>
          </cell>
          <cell r="W1889" t="str">
            <v>Đã đóng</v>
          </cell>
          <cell r="AJ1889" t="str">
            <v>TP HCM</v>
          </cell>
          <cell r="BX1889" t="str">
            <v>AON</v>
          </cell>
        </row>
        <row r="1890">
          <cell r="A1890" t="str">
            <v>ON</v>
          </cell>
          <cell r="B1890" t="str">
            <v>Trong 24h</v>
          </cell>
          <cell r="D1890" t="str">
            <v>Khiếu nại về dịch vụ FTTH</v>
          </cell>
          <cell r="W1890" t="str">
            <v>Đã đóng</v>
          </cell>
          <cell r="AJ1890" t="str">
            <v>Hà Nội 1</v>
          </cell>
          <cell r="BX1890" t="str">
            <v>AON</v>
          </cell>
        </row>
        <row r="1891">
          <cell r="A1891" t="str">
            <v>ON</v>
          </cell>
          <cell r="B1891" t="str">
            <v>Trong 24h</v>
          </cell>
          <cell r="D1891" t="str">
            <v>Khiếu nại về dịch vụ FTTH</v>
          </cell>
          <cell r="W1891" t="str">
            <v>Đã đóng</v>
          </cell>
          <cell r="AJ1891" t="str">
            <v>Hà Nội 2</v>
          </cell>
          <cell r="BX1891" t="str">
            <v>AON</v>
          </cell>
        </row>
        <row r="1892">
          <cell r="A1892" t="str">
            <v>ON</v>
          </cell>
          <cell r="B1892" t="str">
            <v>Trong 24h</v>
          </cell>
          <cell r="D1892" t="str">
            <v>Khiếu nại về dịch vụ FTTH</v>
          </cell>
          <cell r="W1892" t="str">
            <v>Đang xử lý</v>
          </cell>
          <cell r="AJ1892" t="str">
            <v>Thái Bình</v>
          </cell>
          <cell r="BX1892" t="str">
            <v>AON</v>
          </cell>
        </row>
        <row r="1893">
          <cell r="A1893" t="str">
            <v>ON</v>
          </cell>
          <cell r="B1893" t="str">
            <v>Trong 24h</v>
          </cell>
          <cell r="D1893" t="str">
            <v>Khiếu nại về dịch vụ FTTH</v>
          </cell>
          <cell r="W1893" t="str">
            <v>Đã đóng</v>
          </cell>
          <cell r="AJ1893" t="str">
            <v>Cần Thơ</v>
          </cell>
          <cell r="BX1893" t="str">
            <v>AON</v>
          </cell>
        </row>
        <row r="1894">
          <cell r="A1894" t="str">
            <v>ON</v>
          </cell>
          <cell r="B1894" t="str">
            <v>Trong 24h</v>
          </cell>
          <cell r="D1894" t="str">
            <v>Khiếu nại về dịch vụ FTTH</v>
          </cell>
          <cell r="W1894" t="str">
            <v>Đang xử lý</v>
          </cell>
          <cell r="AJ1894" t="str">
            <v>Tiền Giang</v>
          </cell>
          <cell r="BX1894" t="str">
            <v>AON</v>
          </cell>
        </row>
        <row r="1895">
          <cell r="A1895" t="str">
            <v>ON</v>
          </cell>
          <cell r="B1895" t="str">
            <v>Trong 24h</v>
          </cell>
          <cell r="D1895" t="str">
            <v>Khiếu nại về dịch vụ FTTH</v>
          </cell>
          <cell r="W1895" t="str">
            <v>Đã đóng</v>
          </cell>
          <cell r="AJ1895" t="str">
            <v>Hà Nội 2</v>
          </cell>
          <cell r="BX1895" t="str">
            <v>AON</v>
          </cell>
        </row>
        <row r="1896">
          <cell r="A1896" t="str">
            <v>ON</v>
          </cell>
          <cell r="B1896" t="str">
            <v>Trong 24h</v>
          </cell>
          <cell r="D1896" t="str">
            <v>Khiếu nại về dịch vụ FTTH</v>
          </cell>
          <cell r="W1896" t="str">
            <v>Đang xử lý</v>
          </cell>
          <cell r="AJ1896" t="str">
            <v>Thái Nguyên</v>
          </cell>
          <cell r="BX1896" t="str">
            <v>AON</v>
          </cell>
        </row>
        <row r="1897">
          <cell r="A1897" t="str">
            <v>ON</v>
          </cell>
          <cell r="B1897" t="str">
            <v>Trong 24h</v>
          </cell>
          <cell r="D1897" t="str">
            <v>Khiếu nại về dịch vụ FTTH</v>
          </cell>
          <cell r="W1897" t="str">
            <v>Đã đóng</v>
          </cell>
          <cell r="AJ1897" t="str">
            <v>Hà Nội 2</v>
          </cell>
          <cell r="BX1897" t="str">
            <v>AON</v>
          </cell>
        </row>
        <row r="1898">
          <cell r="A1898" t="str">
            <v>ON</v>
          </cell>
          <cell r="B1898" t="str">
            <v>Trong 24h</v>
          </cell>
          <cell r="D1898" t="str">
            <v>Khiếu nại về dịch vụ FTTH</v>
          </cell>
          <cell r="W1898" t="str">
            <v>Đã đóng</v>
          </cell>
          <cell r="AJ1898" t="str">
            <v>Quảng Ninh</v>
          </cell>
          <cell r="BX1898" t="str">
            <v>AON</v>
          </cell>
        </row>
        <row r="1899">
          <cell r="A1899" t="str">
            <v>ON</v>
          </cell>
          <cell r="B1899" t="str">
            <v>Trong 24h</v>
          </cell>
          <cell r="D1899" t="str">
            <v>Khiếu nại về dịch vụ FTTH</v>
          </cell>
          <cell r="W1899" t="str">
            <v>Đã đóng</v>
          </cell>
          <cell r="AJ1899" t="str">
            <v>TP HCM</v>
          </cell>
          <cell r="BX1899" t="str">
            <v>AON</v>
          </cell>
        </row>
        <row r="1900">
          <cell r="A1900" t="str">
            <v>ON</v>
          </cell>
          <cell r="B1900" t="str">
            <v>Trong 24h</v>
          </cell>
          <cell r="D1900" t="str">
            <v>Khiếu nại về dịch vụ FTTH</v>
          </cell>
          <cell r="W1900" t="str">
            <v>Đang xử lý</v>
          </cell>
          <cell r="AJ1900" t="str">
            <v>Bình Dương</v>
          </cell>
          <cell r="BX1900" t="str">
            <v>AON</v>
          </cell>
        </row>
        <row r="1901">
          <cell r="A1901" t="str">
            <v>ON</v>
          </cell>
          <cell r="B1901" t="str">
            <v>Trong 24h</v>
          </cell>
          <cell r="D1901" t="str">
            <v>Khiếu nại về dịch vụ FTTH</v>
          </cell>
          <cell r="W1901" t="str">
            <v>Đã đóng</v>
          </cell>
          <cell r="AJ1901" t="str">
            <v>Khánh Hoà</v>
          </cell>
          <cell r="BX1901" t="str">
            <v>AON</v>
          </cell>
        </row>
        <row r="1902">
          <cell r="A1902" t="str">
            <v>ON</v>
          </cell>
          <cell r="B1902" t="str">
            <v>Trong 24h</v>
          </cell>
          <cell r="D1902" t="str">
            <v>Khiếu nại về dịch vụ FTTH</v>
          </cell>
          <cell r="W1902" t="str">
            <v>Đang xử lý</v>
          </cell>
          <cell r="AJ1902" t="str">
            <v>Bình Dương</v>
          </cell>
          <cell r="BX1902" t="str">
            <v>AON</v>
          </cell>
        </row>
        <row r="1903">
          <cell r="A1903" t="str">
            <v>ON</v>
          </cell>
          <cell r="B1903" t="str">
            <v>Trong 24h</v>
          </cell>
          <cell r="D1903" t="str">
            <v>Khiếu nại về dịch vụ FTTH</v>
          </cell>
          <cell r="W1903" t="str">
            <v>Đã đóng</v>
          </cell>
          <cell r="AJ1903" t="str">
            <v>Phú Yên</v>
          </cell>
          <cell r="BX1903" t="str">
            <v>AON</v>
          </cell>
        </row>
        <row r="1904">
          <cell r="A1904" t="str">
            <v>ON</v>
          </cell>
          <cell r="B1904" t="str">
            <v>Trong 24h</v>
          </cell>
          <cell r="D1904" t="str">
            <v>Khiếu nại về dịch vụ NextTV</v>
          </cell>
          <cell r="W1904" t="str">
            <v>Đang xử lý</v>
          </cell>
          <cell r="AJ1904" t="str">
            <v>Hậu Giang</v>
          </cell>
          <cell r="BX1904" t="str">
            <v>AON</v>
          </cell>
        </row>
        <row r="1905">
          <cell r="A1905" t="str">
            <v>ON</v>
          </cell>
          <cell r="B1905" t="str">
            <v>Trong 24h</v>
          </cell>
          <cell r="D1905" t="str">
            <v>Khiếu nại về dịch vụ FTTH</v>
          </cell>
          <cell r="W1905" t="str">
            <v>Đã đóng</v>
          </cell>
          <cell r="AJ1905" t="str">
            <v>Đồng Tháp</v>
          </cell>
          <cell r="BX1905" t="str">
            <v>AON</v>
          </cell>
        </row>
        <row r="1906">
          <cell r="A1906" t="str">
            <v>ON</v>
          </cell>
          <cell r="B1906" t="str">
            <v>Trong 24h</v>
          </cell>
          <cell r="D1906" t="str">
            <v>Khiếu nại về dịch vụ FTTH</v>
          </cell>
          <cell r="W1906" t="str">
            <v>Đang xử lý</v>
          </cell>
          <cell r="AJ1906" t="str">
            <v>Quảng Ninh</v>
          </cell>
          <cell r="BX1906" t="str">
            <v>AON</v>
          </cell>
        </row>
        <row r="1907">
          <cell r="A1907" t="str">
            <v>ON</v>
          </cell>
          <cell r="B1907" t="str">
            <v>Trong 24h</v>
          </cell>
          <cell r="D1907" t="str">
            <v>Khiếu nại về dịch vụ FTTH</v>
          </cell>
          <cell r="W1907" t="str">
            <v>Đã đóng</v>
          </cell>
          <cell r="AJ1907" t="str">
            <v>Lạng Sơn</v>
          </cell>
          <cell r="BX1907" t="str">
            <v>AON</v>
          </cell>
        </row>
        <row r="1908">
          <cell r="A1908" t="str">
            <v>ON</v>
          </cell>
          <cell r="B1908" t="str">
            <v>Trong 24h</v>
          </cell>
          <cell r="D1908" t="str">
            <v>Khiếu nại về dịch vụ FTTH</v>
          </cell>
          <cell r="W1908" t="str">
            <v>Đã đóng</v>
          </cell>
          <cell r="AJ1908" t="str">
            <v>TP HCM</v>
          </cell>
          <cell r="BX1908" t="str">
            <v>AON</v>
          </cell>
        </row>
        <row r="1909">
          <cell r="A1909" t="str">
            <v>ON</v>
          </cell>
          <cell r="B1909" t="str">
            <v>Trong 24h</v>
          </cell>
          <cell r="D1909" t="str">
            <v>Khiếu nại về dịch vụ FTTH</v>
          </cell>
          <cell r="W1909" t="str">
            <v>Đang xử lý</v>
          </cell>
          <cell r="AJ1909" t="str">
            <v>Hà Nội 2</v>
          </cell>
          <cell r="BX1909" t="str">
            <v>AON</v>
          </cell>
        </row>
        <row r="1910">
          <cell r="A1910" t="str">
            <v>ON</v>
          </cell>
          <cell r="B1910" t="str">
            <v>Trong 24h</v>
          </cell>
          <cell r="D1910" t="str">
            <v>Khiếu nại về dịch vụ FTTH</v>
          </cell>
          <cell r="W1910" t="str">
            <v>Đã đóng</v>
          </cell>
          <cell r="AJ1910" t="str">
            <v>Hà Nội 1</v>
          </cell>
          <cell r="BX1910" t="str">
            <v>AON</v>
          </cell>
        </row>
        <row r="1911">
          <cell r="A1911" t="str">
            <v>ON</v>
          </cell>
          <cell r="B1911" t="str">
            <v>Trong 24h</v>
          </cell>
          <cell r="D1911" t="str">
            <v>Khiếu nại về dịch vụ FTTH</v>
          </cell>
          <cell r="W1911" t="str">
            <v>Đã đóng</v>
          </cell>
          <cell r="AJ1911" t="str">
            <v>Tây Ninh</v>
          </cell>
          <cell r="BX1911" t="str">
            <v>AON</v>
          </cell>
        </row>
        <row r="1912">
          <cell r="A1912" t="str">
            <v>ON</v>
          </cell>
          <cell r="B1912" t="str">
            <v>Trong 24h</v>
          </cell>
          <cell r="D1912" t="str">
            <v>Khiếu nại về dịch vụ FTTH</v>
          </cell>
          <cell r="W1912" t="str">
            <v>Đang xử lý</v>
          </cell>
          <cell r="AJ1912" t="str">
            <v>Kon Tum</v>
          </cell>
          <cell r="BX1912" t="str">
            <v>AON</v>
          </cell>
        </row>
        <row r="1913">
          <cell r="A1913" t="str">
            <v>ON</v>
          </cell>
          <cell r="B1913" t="str">
            <v>Trong 24h</v>
          </cell>
          <cell r="D1913" t="str">
            <v>Khiếu nại về dịch vụ FTTH</v>
          </cell>
          <cell r="W1913" t="str">
            <v>Đang xử lý</v>
          </cell>
          <cell r="AJ1913" t="str">
            <v>Hà Nội 2</v>
          </cell>
          <cell r="BX1913" t="str">
            <v>AON</v>
          </cell>
        </row>
        <row r="1914">
          <cell r="A1914" t="str">
            <v>ON</v>
          </cell>
          <cell r="B1914" t="str">
            <v>Trong 24h</v>
          </cell>
          <cell r="D1914" t="str">
            <v>Khiếu nại về dịch vụ FTTH</v>
          </cell>
          <cell r="W1914" t="str">
            <v>Đã đóng</v>
          </cell>
          <cell r="AJ1914" t="str">
            <v>TP HCM</v>
          </cell>
          <cell r="BX1914" t="str">
            <v>AON</v>
          </cell>
        </row>
        <row r="1915">
          <cell r="A1915" t="str">
            <v>ON</v>
          </cell>
          <cell r="B1915" t="str">
            <v>Trong 24h</v>
          </cell>
          <cell r="D1915" t="str">
            <v>Khiếu nại về dịch vụ FTTH</v>
          </cell>
          <cell r="W1915" t="str">
            <v>Đang xử lý</v>
          </cell>
          <cell r="AJ1915" t="str">
            <v>Quảng Ninh</v>
          </cell>
          <cell r="BX1915" t="str">
            <v>AON</v>
          </cell>
        </row>
        <row r="1916">
          <cell r="A1916" t="str">
            <v>ON</v>
          </cell>
          <cell r="B1916" t="str">
            <v>Trong 24h</v>
          </cell>
          <cell r="D1916" t="str">
            <v>Khiếu nại về dịch vụ FTTH</v>
          </cell>
          <cell r="W1916" t="str">
            <v>Đang xử lý</v>
          </cell>
          <cell r="AJ1916" t="str">
            <v>Thái Nguyên</v>
          </cell>
          <cell r="BX1916" t="str">
            <v>AON</v>
          </cell>
        </row>
        <row r="1917">
          <cell r="A1917" t="str">
            <v>ON</v>
          </cell>
          <cell r="B1917" t="str">
            <v>Trong 24h</v>
          </cell>
          <cell r="D1917" t="str">
            <v>Khiếu nại về dịch vụ FTTH</v>
          </cell>
          <cell r="W1917" t="str">
            <v>Đang xử lý</v>
          </cell>
          <cell r="AJ1917" t="str">
            <v>Hải Phòng</v>
          </cell>
          <cell r="BX1917" t="str">
            <v>AON</v>
          </cell>
        </row>
        <row r="1918">
          <cell r="A1918" t="str">
            <v>ON</v>
          </cell>
          <cell r="B1918" t="str">
            <v>Trong 24h</v>
          </cell>
          <cell r="D1918" t="str">
            <v>Khiếu nại về dịch vụ FTTH</v>
          </cell>
          <cell r="W1918" t="str">
            <v>Đã đóng</v>
          </cell>
          <cell r="AJ1918" t="str">
            <v>TP HCM</v>
          </cell>
          <cell r="BX1918" t="str">
            <v>AON</v>
          </cell>
        </row>
        <row r="1919">
          <cell r="A1919" t="str">
            <v>ON</v>
          </cell>
          <cell r="B1919" t="str">
            <v>Trong 24h</v>
          </cell>
          <cell r="D1919" t="str">
            <v>Khiếu nại về dịch vụ FTTH</v>
          </cell>
          <cell r="W1919" t="str">
            <v>Đã đóng</v>
          </cell>
          <cell r="AJ1919" t="str">
            <v>Sơn La</v>
          </cell>
          <cell r="BX1919" t="str">
            <v>AON</v>
          </cell>
        </row>
        <row r="1920">
          <cell r="A1920" t="str">
            <v>ON</v>
          </cell>
          <cell r="B1920" t="str">
            <v>Trong 24h</v>
          </cell>
          <cell r="D1920" t="str">
            <v>Khiếu nại về dịch vụ FTTH</v>
          </cell>
          <cell r="W1920" t="str">
            <v>Đang xử lý</v>
          </cell>
          <cell r="AJ1920" t="str">
            <v>Bà Rịa - Vũng Tàu</v>
          </cell>
          <cell r="BX1920" t="str">
            <v>AON</v>
          </cell>
        </row>
        <row r="1921">
          <cell r="A1921" t="str">
            <v>ON</v>
          </cell>
          <cell r="B1921" t="str">
            <v>Trong 24h</v>
          </cell>
          <cell r="D1921" t="str">
            <v>Khiếu nại về dịch vụ FTTH</v>
          </cell>
          <cell r="W1921" t="str">
            <v>Đã đóng</v>
          </cell>
          <cell r="AJ1921" t="str">
            <v>Phú Thọ</v>
          </cell>
          <cell r="BX1921" t="str">
            <v>AON</v>
          </cell>
        </row>
        <row r="1922">
          <cell r="A1922" t="str">
            <v>ON</v>
          </cell>
          <cell r="B1922" t="str">
            <v>Trong 24h</v>
          </cell>
          <cell r="D1922" t="str">
            <v>Khiếu nại về dịch vụ FTTH</v>
          </cell>
          <cell r="W1922" t="str">
            <v>Đã đóng</v>
          </cell>
          <cell r="AJ1922" t="str">
            <v xml:space="preserve">Hà Tĩnh </v>
          </cell>
          <cell r="BX1922" t="str">
            <v>AON</v>
          </cell>
        </row>
        <row r="1923">
          <cell r="A1923" t="str">
            <v>ON</v>
          </cell>
          <cell r="B1923" t="str">
            <v>Trong 24h</v>
          </cell>
          <cell r="D1923" t="str">
            <v>Khiếu nại về dịch vụ FTTH</v>
          </cell>
          <cell r="W1923" t="str">
            <v>Đang xử lý</v>
          </cell>
          <cell r="AJ1923" t="str">
            <v>Bình Dương</v>
          </cell>
          <cell r="BX1923" t="str">
            <v>AON</v>
          </cell>
        </row>
        <row r="1924">
          <cell r="A1924" t="str">
            <v>ON</v>
          </cell>
          <cell r="B1924" t="str">
            <v>Trong 24h</v>
          </cell>
          <cell r="D1924" t="str">
            <v>Khiếu nại về dịch vụ FTTH</v>
          </cell>
          <cell r="W1924" t="str">
            <v>Đang xử lý</v>
          </cell>
          <cell r="AJ1924" t="str">
            <v>TP HCM</v>
          </cell>
          <cell r="BX1924" t="str">
            <v>AON</v>
          </cell>
        </row>
        <row r="1925">
          <cell r="A1925" t="str">
            <v>ON</v>
          </cell>
          <cell r="B1925" t="str">
            <v>Trong 24h</v>
          </cell>
          <cell r="D1925" t="str">
            <v>Khiếu nại về dịch vụ FTTH</v>
          </cell>
          <cell r="W1925" t="str">
            <v>Đang xử lý</v>
          </cell>
          <cell r="AJ1925" t="str">
            <v>Hà Nội 1</v>
          </cell>
          <cell r="BX1925" t="str">
            <v>AON</v>
          </cell>
        </row>
        <row r="1926">
          <cell r="A1926" t="str">
            <v>ON</v>
          </cell>
          <cell r="B1926" t="str">
            <v>Trong 24h</v>
          </cell>
          <cell r="D1926" t="str">
            <v>Khiếu nại về dịch vụ FTTH</v>
          </cell>
          <cell r="W1926" t="str">
            <v>Đang xử lý</v>
          </cell>
          <cell r="AJ1926" t="str">
            <v xml:space="preserve">Hà Tĩnh </v>
          </cell>
          <cell r="BX1926" t="str">
            <v>AON</v>
          </cell>
        </row>
        <row r="1927">
          <cell r="A1927" t="str">
            <v>ON</v>
          </cell>
          <cell r="B1927" t="str">
            <v>Trong 24h</v>
          </cell>
          <cell r="D1927" t="str">
            <v>Khiếu nại về dịch vụ FTTH</v>
          </cell>
          <cell r="W1927" t="str">
            <v>Đã đóng</v>
          </cell>
          <cell r="AJ1927" t="str">
            <v>Thanh Hoá</v>
          </cell>
          <cell r="BX1927" t="str">
            <v>AON</v>
          </cell>
        </row>
        <row r="1928">
          <cell r="A1928" t="str">
            <v>ON</v>
          </cell>
          <cell r="B1928" t="str">
            <v>Trong 24h</v>
          </cell>
          <cell r="D1928" t="str">
            <v>Khiếu nại về dịch vụ FTTH</v>
          </cell>
          <cell r="W1928" t="str">
            <v>Đang xử lý</v>
          </cell>
          <cell r="AJ1928" t="str">
            <v>Bình Dương</v>
          </cell>
          <cell r="BX1928" t="str">
            <v>AON</v>
          </cell>
        </row>
        <row r="1929">
          <cell r="A1929" t="str">
            <v>ON</v>
          </cell>
          <cell r="B1929" t="str">
            <v>Trong 24h</v>
          </cell>
          <cell r="D1929" t="str">
            <v>Khiếu nại về dịch vụ FTTH</v>
          </cell>
          <cell r="W1929" t="str">
            <v>Đã đóng</v>
          </cell>
          <cell r="AJ1929" t="str">
            <v>Bình Dương</v>
          </cell>
          <cell r="BX1929" t="str">
            <v>AON</v>
          </cell>
        </row>
        <row r="1930">
          <cell r="A1930" t="str">
            <v>ON</v>
          </cell>
          <cell r="B1930" t="str">
            <v>Trong 24h</v>
          </cell>
          <cell r="D1930" t="str">
            <v>Khiếu nại về dịch vụ FTTH</v>
          </cell>
          <cell r="W1930" t="str">
            <v>Đã đóng</v>
          </cell>
          <cell r="AJ1930" t="str">
            <v>TP HCM</v>
          </cell>
          <cell r="BX1930" t="str">
            <v>AON</v>
          </cell>
        </row>
        <row r="1931">
          <cell r="A1931" t="str">
            <v>ON</v>
          </cell>
          <cell r="B1931" t="str">
            <v>Trong 24h</v>
          </cell>
          <cell r="D1931" t="str">
            <v>Khiếu nại về dịch vụ FTTH</v>
          </cell>
          <cell r="W1931" t="str">
            <v>Đang xử lý</v>
          </cell>
          <cell r="AJ1931" t="str">
            <v>Long An</v>
          </cell>
          <cell r="BX1931" t="str">
            <v>AON</v>
          </cell>
        </row>
        <row r="1932">
          <cell r="A1932" t="str">
            <v>ON</v>
          </cell>
          <cell r="B1932" t="str">
            <v>Trong 24h</v>
          </cell>
          <cell r="D1932" t="str">
            <v>Khiếu nại về dịch vụ FTTH</v>
          </cell>
          <cell r="W1932" t="str">
            <v>Đã đóng</v>
          </cell>
          <cell r="AJ1932" t="str">
            <v>Bình Thuận</v>
          </cell>
          <cell r="BX1932" t="str">
            <v>AON</v>
          </cell>
        </row>
        <row r="1933">
          <cell r="A1933" t="str">
            <v>ON</v>
          </cell>
          <cell r="B1933" t="str">
            <v>Trong 24h</v>
          </cell>
          <cell r="D1933" t="str">
            <v>Khiếu nại về dịch vụ FTTH</v>
          </cell>
          <cell r="W1933" t="str">
            <v>Đang xử lý</v>
          </cell>
          <cell r="AJ1933" t="str">
            <v>Quảng Ninh</v>
          </cell>
          <cell r="BX1933" t="str">
            <v>AON</v>
          </cell>
        </row>
        <row r="1934">
          <cell r="A1934" t="str">
            <v>ON</v>
          </cell>
          <cell r="B1934" t="str">
            <v>Trong 24h</v>
          </cell>
          <cell r="D1934" t="str">
            <v>Khiếu nại về dịch vụ FTTH</v>
          </cell>
          <cell r="W1934" t="str">
            <v>Đang xử lý</v>
          </cell>
          <cell r="AJ1934" t="str">
            <v>An Giang</v>
          </cell>
          <cell r="BX1934" t="str">
            <v>AON</v>
          </cell>
        </row>
        <row r="1935">
          <cell r="A1935" t="str">
            <v>ON</v>
          </cell>
          <cell r="B1935" t="str">
            <v>Trong 24h</v>
          </cell>
          <cell r="D1935" t="str">
            <v>Khiếu nại về dịch vụ FTTH</v>
          </cell>
          <cell r="W1935" t="str">
            <v>Đã đóng</v>
          </cell>
          <cell r="AJ1935" t="str">
            <v>Tiền Giang</v>
          </cell>
          <cell r="BX1935" t="str">
            <v>AON</v>
          </cell>
        </row>
        <row r="1936">
          <cell r="A1936" t="str">
            <v>ON</v>
          </cell>
          <cell r="B1936" t="str">
            <v>Trong 24h</v>
          </cell>
          <cell r="D1936" t="str">
            <v>Khiếu nại về dịch vụ FTTH</v>
          </cell>
          <cell r="W1936" t="str">
            <v>Đang xử lý</v>
          </cell>
          <cell r="AJ1936" t="str">
            <v>Cà Mau</v>
          </cell>
          <cell r="BX1936" t="str">
            <v>GPON</v>
          </cell>
        </row>
        <row r="1937">
          <cell r="A1937" t="str">
            <v>ON</v>
          </cell>
          <cell r="B1937" t="str">
            <v>Trong 24h</v>
          </cell>
          <cell r="D1937" t="str">
            <v>Khiếu nại về dịch vụ FTTH</v>
          </cell>
          <cell r="W1937" t="str">
            <v>Đã đóng</v>
          </cell>
          <cell r="AJ1937" t="str">
            <v>Kiên Giang</v>
          </cell>
          <cell r="BX1937" t="str">
            <v>AON</v>
          </cell>
        </row>
        <row r="1938">
          <cell r="A1938" t="str">
            <v>ON</v>
          </cell>
          <cell r="B1938" t="str">
            <v>Trong 24h</v>
          </cell>
          <cell r="D1938" t="str">
            <v>Khiếu nại về dịch vụ FTTH</v>
          </cell>
          <cell r="W1938" t="str">
            <v>Đã đóng</v>
          </cell>
          <cell r="AJ1938" t="str">
            <v>Bà Rịa - Vũng Tàu</v>
          </cell>
          <cell r="BX1938" t="str">
            <v>AON</v>
          </cell>
        </row>
        <row r="1939">
          <cell r="A1939" t="str">
            <v>ON</v>
          </cell>
          <cell r="B1939" t="str">
            <v>Trong 24h</v>
          </cell>
          <cell r="D1939" t="str">
            <v>Khiếu nại về dịch vụ NextTV</v>
          </cell>
          <cell r="W1939" t="str">
            <v>Đã đóng</v>
          </cell>
          <cell r="AJ1939" t="str">
            <v>Nam Định</v>
          </cell>
          <cell r="BX1939" t="str">
            <v>AON</v>
          </cell>
        </row>
        <row r="1940">
          <cell r="A1940" t="str">
            <v>ON</v>
          </cell>
          <cell r="B1940" t="str">
            <v>Trong 24h</v>
          </cell>
          <cell r="D1940" t="str">
            <v>Khiếu nại về dịch vụ FTTH</v>
          </cell>
          <cell r="W1940" t="str">
            <v>Đang xử lý</v>
          </cell>
          <cell r="AJ1940" t="str">
            <v>Bắc Ninh</v>
          </cell>
          <cell r="BX1940" t="str">
            <v>AON</v>
          </cell>
        </row>
        <row r="1941">
          <cell r="A1941" t="str">
            <v>ON</v>
          </cell>
          <cell r="B1941" t="str">
            <v>Trong 24h</v>
          </cell>
          <cell r="D1941" t="str">
            <v>Khiếu nại về dịch vụ FTTH</v>
          </cell>
          <cell r="W1941" t="str">
            <v>Đã đóng</v>
          </cell>
          <cell r="AJ1941" t="str">
            <v xml:space="preserve">Đồng Nai </v>
          </cell>
          <cell r="BX1941" t="str">
            <v>AON</v>
          </cell>
        </row>
        <row r="1942">
          <cell r="A1942" t="str">
            <v>ON</v>
          </cell>
          <cell r="B1942" t="str">
            <v>Trong 24h</v>
          </cell>
          <cell r="D1942" t="str">
            <v>Khiếu nại về dịch vụ FTTH</v>
          </cell>
          <cell r="W1942" t="str">
            <v>Đã đóng</v>
          </cell>
          <cell r="AJ1942" t="str">
            <v>TP HCM</v>
          </cell>
          <cell r="BX1942" t="str">
            <v>AON</v>
          </cell>
        </row>
        <row r="1943">
          <cell r="A1943" t="str">
            <v>ON</v>
          </cell>
          <cell r="B1943" t="str">
            <v>Trong 24h</v>
          </cell>
          <cell r="D1943" t="str">
            <v>Khiếu nại về dịch vụ FTTH</v>
          </cell>
          <cell r="W1943" t="str">
            <v>Đang xử lý</v>
          </cell>
          <cell r="AJ1943" t="str">
            <v>TP HCM</v>
          </cell>
          <cell r="BX1943" t="str">
            <v>AON</v>
          </cell>
        </row>
        <row r="1944">
          <cell r="A1944" t="str">
            <v>ON</v>
          </cell>
          <cell r="B1944" t="str">
            <v>Trong 24h</v>
          </cell>
          <cell r="D1944" t="str">
            <v>Khiếu nại về dịch vụ FTTH</v>
          </cell>
          <cell r="W1944" t="str">
            <v>Đã đóng</v>
          </cell>
          <cell r="AJ1944" t="str">
            <v>Hải Phòng</v>
          </cell>
          <cell r="BX1944" t="str">
            <v>AON</v>
          </cell>
        </row>
        <row r="1945">
          <cell r="A1945" t="str">
            <v>ON</v>
          </cell>
          <cell r="B1945" t="str">
            <v>Trong 24h</v>
          </cell>
          <cell r="D1945" t="str">
            <v>Khiếu nại về dịch vụ FTTH</v>
          </cell>
          <cell r="W1945" t="str">
            <v>Đã đóng</v>
          </cell>
          <cell r="AJ1945" t="str">
            <v>Hà Nội 1</v>
          </cell>
          <cell r="BX1945" t="str">
            <v>AON</v>
          </cell>
        </row>
        <row r="1946">
          <cell r="A1946" t="str">
            <v>ON</v>
          </cell>
          <cell r="B1946" t="str">
            <v>Trong 24h</v>
          </cell>
          <cell r="D1946" t="str">
            <v>Khiếu nại về dịch vụ FTTH</v>
          </cell>
          <cell r="W1946" t="str">
            <v>Đang xử lý</v>
          </cell>
          <cell r="AJ1946" t="str">
            <v xml:space="preserve">Đắc Lắk </v>
          </cell>
          <cell r="BX1946" t="str">
            <v>AON</v>
          </cell>
        </row>
        <row r="1947">
          <cell r="A1947" t="str">
            <v>ON</v>
          </cell>
          <cell r="B1947" t="str">
            <v>Trong 24h</v>
          </cell>
          <cell r="D1947" t="str">
            <v>Khiếu nại về dịch vụ FTTH</v>
          </cell>
          <cell r="W1947" t="str">
            <v>Đang xử lý</v>
          </cell>
          <cell r="AJ1947" t="str">
            <v>Long An</v>
          </cell>
          <cell r="BX1947" t="str">
            <v>AON</v>
          </cell>
        </row>
        <row r="1948">
          <cell r="A1948" t="str">
            <v>ON</v>
          </cell>
          <cell r="B1948" t="str">
            <v>Trong 24h</v>
          </cell>
          <cell r="D1948" t="str">
            <v>Khiếu nại về dịch vụ FTTH</v>
          </cell>
          <cell r="W1948" t="str">
            <v>Đã đóng</v>
          </cell>
          <cell r="AJ1948" t="str">
            <v>Hà Nội 1</v>
          </cell>
          <cell r="BX1948" t="str">
            <v>AON</v>
          </cell>
        </row>
        <row r="1949">
          <cell r="A1949" t="str">
            <v>ON</v>
          </cell>
          <cell r="B1949" t="str">
            <v>Trong 24h</v>
          </cell>
          <cell r="D1949" t="str">
            <v>Khiếu nại về dịch vụ FTTH</v>
          </cell>
          <cell r="W1949" t="str">
            <v>Đang xử lý</v>
          </cell>
          <cell r="AJ1949" t="str">
            <v>Lạng Sơn</v>
          </cell>
          <cell r="BX1949" t="str">
            <v>AON</v>
          </cell>
        </row>
        <row r="1950">
          <cell r="A1950" t="str">
            <v>ON</v>
          </cell>
          <cell r="B1950" t="str">
            <v>Trong 24h</v>
          </cell>
          <cell r="D1950" t="str">
            <v>Khiếu nại về dịch vụ FTTH</v>
          </cell>
          <cell r="W1950" t="str">
            <v>Đã đóng</v>
          </cell>
          <cell r="AJ1950" t="str">
            <v>Bình Dương</v>
          </cell>
          <cell r="BX1950" t="str">
            <v>AON</v>
          </cell>
        </row>
        <row r="1951">
          <cell r="A1951" t="str">
            <v>ON</v>
          </cell>
          <cell r="B1951" t="str">
            <v>Trong 24h</v>
          </cell>
          <cell r="D1951" t="str">
            <v>Khiếu nại về dịch vụ FTTH</v>
          </cell>
          <cell r="W1951" t="str">
            <v>Đang xử lý</v>
          </cell>
          <cell r="AJ1951" t="str">
            <v>Quảng Ninh</v>
          </cell>
          <cell r="BX1951" t="str">
            <v>AON</v>
          </cell>
        </row>
        <row r="1952">
          <cell r="A1952" t="str">
            <v>ON</v>
          </cell>
          <cell r="B1952" t="str">
            <v>Trong 24h</v>
          </cell>
          <cell r="D1952" t="str">
            <v>Khiếu nại về dịch vụ FTTH</v>
          </cell>
          <cell r="W1952" t="str">
            <v>Đã đóng</v>
          </cell>
          <cell r="AJ1952" t="str">
            <v>TP HCM</v>
          </cell>
          <cell r="BX1952" t="str">
            <v>AON</v>
          </cell>
        </row>
        <row r="1953">
          <cell r="A1953" t="str">
            <v>ON</v>
          </cell>
          <cell r="B1953" t="str">
            <v>Trong 24h</v>
          </cell>
          <cell r="D1953" t="str">
            <v>Khiếu nại về dịch vụ FTTH</v>
          </cell>
          <cell r="W1953" t="str">
            <v>Đang xử lý</v>
          </cell>
          <cell r="AJ1953" t="str">
            <v>Nghệ An</v>
          </cell>
          <cell r="BX1953" t="str">
            <v>AON</v>
          </cell>
        </row>
        <row r="1954">
          <cell r="A1954" t="str">
            <v>ON</v>
          </cell>
          <cell r="B1954" t="str">
            <v>Trong 24h</v>
          </cell>
          <cell r="D1954" t="str">
            <v>Khiếu nại về dịch vụ FTTH</v>
          </cell>
          <cell r="W1954" t="str">
            <v>Đang xử lý</v>
          </cell>
          <cell r="AJ1954" t="str">
            <v>Bình Định</v>
          </cell>
          <cell r="BX1954" t="str">
            <v>AON</v>
          </cell>
        </row>
        <row r="1955">
          <cell r="A1955" t="str">
            <v>ON</v>
          </cell>
          <cell r="B1955" t="str">
            <v>Trong 24h</v>
          </cell>
          <cell r="D1955" t="str">
            <v>Khiếu nại về dịch vụ FTTH</v>
          </cell>
          <cell r="W1955" t="str">
            <v>Đã đóng</v>
          </cell>
          <cell r="AJ1955" t="str">
            <v>Phú Thọ</v>
          </cell>
          <cell r="BX1955" t="str">
            <v>AON</v>
          </cell>
        </row>
        <row r="1956">
          <cell r="A1956" t="str">
            <v>ON</v>
          </cell>
          <cell r="B1956" t="str">
            <v>Trong 24h</v>
          </cell>
          <cell r="D1956" t="str">
            <v>Khiếu nại về dịch vụ FTTH</v>
          </cell>
          <cell r="W1956" t="str">
            <v>Đã đóng</v>
          </cell>
          <cell r="AJ1956" t="str">
            <v>Vĩnh Phúc</v>
          </cell>
          <cell r="BX1956" t="str">
            <v>AON</v>
          </cell>
        </row>
        <row r="1957">
          <cell r="A1957" t="str">
            <v>ON</v>
          </cell>
          <cell r="B1957" t="str">
            <v>Trong 24h</v>
          </cell>
          <cell r="D1957" t="str">
            <v>Khiếu nại về dịch vụ FTTH</v>
          </cell>
          <cell r="W1957" t="str">
            <v>Đã đóng</v>
          </cell>
          <cell r="AJ1957" t="str">
            <v xml:space="preserve">Quảng Nam </v>
          </cell>
          <cell r="BX1957" t="str">
            <v>AON</v>
          </cell>
        </row>
        <row r="1958">
          <cell r="A1958" t="str">
            <v>ON</v>
          </cell>
          <cell r="B1958" t="str">
            <v>Trong 24h</v>
          </cell>
          <cell r="D1958" t="str">
            <v>Khiếu nại về dịch vụ FTTH</v>
          </cell>
          <cell r="W1958" t="str">
            <v>Đang xử lý</v>
          </cell>
          <cell r="AJ1958" t="str">
            <v>Thái Nguyên</v>
          </cell>
          <cell r="BX1958" t="str">
            <v>AON</v>
          </cell>
        </row>
        <row r="1959">
          <cell r="A1959" t="str">
            <v>ON</v>
          </cell>
          <cell r="B1959" t="str">
            <v>Trong 24h</v>
          </cell>
          <cell r="D1959" t="str">
            <v>Khiếu nại về dịch vụ FTTH</v>
          </cell>
          <cell r="W1959" t="str">
            <v>Đang xử lý</v>
          </cell>
          <cell r="AJ1959" t="str">
            <v xml:space="preserve">Đồng Nai </v>
          </cell>
          <cell r="BX1959" t="str">
            <v>AON</v>
          </cell>
        </row>
        <row r="1960">
          <cell r="A1960" t="str">
            <v>ON</v>
          </cell>
          <cell r="B1960" t="str">
            <v>Trong 24h</v>
          </cell>
          <cell r="D1960" t="str">
            <v>Khiếu nại về dịch vụ FTTH</v>
          </cell>
          <cell r="W1960" t="str">
            <v>Đang xử lý</v>
          </cell>
          <cell r="AJ1960" t="str">
            <v>An Giang</v>
          </cell>
          <cell r="BX1960" t="str">
            <v>AON</v>
          </cell>
        </row>
        <row r="1961">
          <cell r="A1961" t="str">
            <v>ON</v>
          </cell>
          <cell r="B1961" t="str">
            <v>Trong 24h</v>
          </cell>
          <cell r="D1961" t="str">
            <v>Khiếu nại về dịch vụ FTTH</v>
          </cell>
          <cell r="W1961" t="str">
            <v>Đã đóng</v>
          </cell>
          <cell r="AJ1961" t="str">
            <v>Hà Nội 2</v>
          </cell>
          <cell r="BX1961" t="str">
            <v>AON</v>
          </cell>
        </row>
        <row r="1962">
          <cell r="A1962" t="str">
            <v>ON</v>
          </cell>
          <cell r="B1962" t="str">
            <v>Trong 24h</v>
          </cell>
          <cell r="D1962" t="str">
            <v>Khiếu nại về dịch vụ FTTH</v>
          </cell>
          <cell r="W1962" t="str">
            <v>Đang xử lý</v>
          </cell>
          <cell r="AJ1962" t="str">
            <v>TP HCM</v>
          </cell>
          <cell r="BX1962" t="str">
            <v>AON</v>
          </cell>
        </row>
        <row r="1963">
          <cell r="A1963" t="str">
            <v>ON</v>
          </cell>
          <cell r="B1963" t="str">
            <v>Trong 24h</v>
          </cell>
          <cell r="D1963" t="str">
            <v>Khiếu nại về dịch vụ FTTH</v>
          </cell>
          <cell r="W1963" t="str">
            <v>Đang xử lý</v>
          </cell>
          <cell r="AJ1963" t="str">
            <v>Nghệ An</v>
          </cell>
          <cell r="BX1963" t="str">
            <v>AON</v>
          </cell>
        </row>
        <row r="1964">
          <cell r="A1964" t="str">
            <v>ON</v>
          </cell>
          <cell r="B1964" t="str">
            <v>Trong 24h</v>
          </cell>
          <cell r="D1964" t="str">
            <v>Khiếu nại về dịch vụ FTTH</v>
          </cell>
          <cell r="W1964" t="str">
            <v>Đang xử lý</v>
          </cell>
          <cell r="AJ1964" t="str">
            <v>Quảng Ngãi</v>
          </cell>
          <cell r="BX1964" t="str">
            <v>AON</v>
          </cell>
        </row>
        <row r="1965">
          <cell r="A1965" t="str">
            <v>ON</v>
          </cell>
          <cell r="B1965" t="str">
            <v>Trong 24h</v>
          </cell>
          <cell r="D1965" t="str">
            <v>Khiếu nại về dịch vụ FTTH</v>
          </cell>
          <cell r="W1965" t="str">
            <v>Đã đóng</v>
          </cell>
          <cell r="AJ1965" t="str">
            <v>Hà Giang</v>
          </cell>
          <cell r="BX1965" t="str">
            <v>AON</v>
          </cell>
        </row>
        <row r="1966">
          <cell r="A1966" t="str">
            <v>ON</v>
          </cell>
          <cell r="B1966" t="str">
            <v>Trong 24h</v>
          </cell>
          <cell r="D1966" t="str">
            <v>Khiếu nại về dịch vụ FTTH</v>
          </cell>
          <cell r="W1966" t="str">
            <v>Đã đóng</v>
          </cell>
          <cell r="AJ1966" t="str">
            <v>Hà Nội 1</v>
          </cell>
          <cell r="BX1966" t="str">
            <v>AON</v>
          </cell>
        </row>
        <row r="1967">
          <cell r="A1967" t="str">
            <v>ON</v>
          </cell>
          <cell r="B1967" t="str">
            <v>Trong 24h</v>
          </cell>
          <cell r="D1967" t="str">
            <v>Khiếu nại về dịch vụ FTTH</v>
          </cell>
          <cell r="W1967" t="str">
            <v>Đang xử lý</v>
          </cell>
          <cell r="AJ1967" t="str">
            <v>Hà Nam</v>
          </cell>
          <cell r="BX1967" t="str">
            <v>AON</v>
          </cell>
        </row>
        <row r="1968">
          <cell r="A1968" t="str">
            <v>ON</v>
          </cell>
          <cell r="B1968" t="str">
            <v>Trong 24h</v>
          </cell>
          <cell r="D1968" t="str">
            <v>Khiếu nại về dịch vụ FTTH</v>
          </cell>
          <cell r="W1968" t="str">
            <v>Đang xử lý</v>
          </cell>
          <cell r="AJ1968" t="str">
            <v>Quảng Ninh</v>
          </cell>
          <cell r="BX1968" t="str">
            <v>AON</v>
          </cell>
        </row>
        <row r="1969">
          <cell r="A1969" t="str">
            <v>ON</v>
          </cell>
          <cell r="B1969" t="str">
            <v>Trong 24h</v>
          </cell>
          <cell r="D1969" t="str">
            <v>Khiếu nại về dịch vụ FTTH</v>
          </cell>
          <cell r="W1969" t="str">
            <v>Đang xử lý</v>
          </cell>
          <cell r="AJ1969" t="str">
            <v>Bắc Ninh</v>
          </cell>
          <cell r="BX1969" t="str">
            <v>AON</v>
          </cell>
        </row>
        <row r="1970">
          <cell r="A1970" t="str">
            <v>ON</v>
          </cell>
          <cell r="B1970" t="str">
            <v>Trong 24h</v>
          </cell>
          <cell r="D1970" t="str">
            <v>Khiếu nại về dịch vụ FTTH</v>
          </cell>
          <cell r="W1970" t="str">
            <v>Đang xử lý</v>
          </cell>
          <cell r="AJ1970" t="str">
            <v>Quảng Ninh</v>
          </cell>
          <cell r="BX1970" t="str">
            <v>AON</v>
          </cell>
        </row>
        <row r="1971">
          <cell r="A1971" t="str">
            <v>ON</v>
          </cell>
          <cell r="B1971" t="str">
            <v>Trong 24h</v>
          </cell>
          <cell r="D1971" t="str">
            <v>Khiếu nại về dịch vụ FTTH</v>
          </cell>
          <cell r="W1971" t="str">
            <v>Đang xử lý</v>
          </cell>
          <cell r="AJ1971" t="str">
            <v>Đắc Nông</v>
          </cell>
          <cell r="BX1971" t="str">
            <v>AON</v>
          </cell>
        </row>
        <row r="1972">
          <cell r="A1972" t="str">
            <v>ON</v>
          </cell>
          <cell r="B1972" t="str">
            <v>Trong 24h</v>
          </cell>
          <cell r="D1972" t="str">
            <v>Khiếu nại về dịch vụ FTTH</v>
          </cell>
          <cell r="W1972" t="str">
            <v>Đang xử lý</v>
          </cell>
          <cell r="AJ1972" t="str">
            <v>Bà Rịa - Vũng Tàu</v>
          </cell>
          <cell r="BX1972" t="str">
            <v>AON</v>
          </cell>
        </row>
        <row r="1973">
          <cell r="A1973" t="str">
            <v>ON</v>
          </cell>
          <cell r="B1973" t="str">
            <v>Trong 24h</v>
          </cell>
          <cell r="D1973" t="str">
            <v>Khiếu nại về dịch vụ FTTH</v>
          </cell>
          <cell r="W1973" t="str">
            <v>Đang xử lý</v>
          </cell>
          <cell r="AJ1973" t="str">
            <v>Bình Dương</v>
          </cell>
          <cell r="BX1973" t="str">
            <v>AON</v>
          </cell>
        </row>
        <row r="1974">
          <cell r="A1974" t="str">
            <v>ON</v>
          </cell>
          <cell r="B1974" t="str">
            <v>Trong 24h</v>
          </cell>
          <cell r="D1974" t="str">
            <v>Khiếu nại về dịch vụ FTTH</v>
          </cell>
          <cell r="W1974" t="str">
            <v>Đang xử lý</v>
          </cell>
          <cell r="AJ1974" t="str">
            <v>Quảng Ninh</v>
          </cell>
          <cell r="BX1974" t="str">
            <v>AON</v>
          </cell>
        </row>
        <row r="1975">
          <cell r="A1975" t="str">
            <v>ON</v>
          </cell>
          <cell r="B1975" t="str">
            <v>Trong 24h</v>
          </cell>
          <cell r="D1975" t="str">
            <v>Khiếu nại về dịch vụ FTTH</v>
          </cell>
          <cell r="W1975" t="str">
            <v>Đang xử lý</v>
          </cell>
          <cell r="AJ1975" t="str">
            <v>Quảng Ninh</v>
          </cell>
          <cell r="BX1975" t="str">
            <v>AON</v>
          </cell>
        </row>
        <row r="1976">
          <cell r="A1976" t="str">
            <v>ON</v>
          </cell>
          <cell r="B1976" t="str">
            <v>Trong 24h</v>
          </cell>
          <cell r="D1976" t="str">
            <v>Khiếu nại về dịch vụ NextTV</v>
          </cell>
          <cell r="W1976" t="str">
            <v>Đang xử lý</v>
          </cell>
          <cell r="AJ1976" t="str">
            <v xml:space="preserve">Đồng Nai </v>
          </cell>
          <cell r="BX1976" t="str">
            <v>AON</v>
          </cell>
        </row>
        <row r="1977">
          <cell r="A1977" t="str">
            <v>ON</v>
          </cell>
          <cell r="B1977" t="str">
            <v>Trong 24h</v>
          </cell>
          <cell r="D1977" t="str">
            <v>Khiếu nại về dịch vụ FTTH</v>
          </cell>
          <cell r="W1977" t="str">
            <v>Đã đóng</v>
          </cell>
          <cell r="AJ1977" t="str">
            <v>Cần Thơ</v>
          </cell>
          <cell r="BX1977" t="str">
            <v>AON</v>
          </cell>
        </row>
        <row r="1978">
          <cell r="A1978" t="str">
            <v>ON</v>
          </cell>
          <cell r="B1978" t="str">
            <v>Trong 24h</v>
          </cell>
          <cell r="D1978" t="str">
            <v>Khiếu nại về dịch vụ FTTH</v>
          </cell>
          <cell r="W1978" t="str">
            <v>Đang xử lý</v>
          </cell>
          <cell r="AJ1978" t="str">
            <v>TP HCM</v>
          </cell>
          <cell r="BX1978" t="str">
            <v>AON</v>
          </cell>
        </row>
        <row r="1979">
          <cell r="A1979" t="str">
            <v>ON</v>
          </cell>
          <cell r="B1979" t="str">
            <v>Trong 24h</v>
          </cell>
          <cell r="D1979" t="str">
            <v>Khiếu nại về dịch vụ FTTH</v>
          </cell>
          <cell r="W1979" t="str">
            <v>Đang xử lý</v>
          </cell>
          <cell r="AJ1979" t="str">
            <v>Long An</v>
          </cell>
          <cell r="BX1979" t="str">
            <v>AON</v>
          </cell>
        </row>
        <row r="1980">
          <cell r="A1980" t="str">
            <v>ON</v>
          </cell>
          <cell r="B1980" t="str">
            <v>Trong 24h</v>
          </cell>
          <cell r="D1980" t="str">
            <v>Khiếu nại về dịch vụ FTTH</v>
          </cell>
          <cell r="W1980" t="str">
            <v>Đã đóng</v>
          </cell>
          <cell r="AJ1980" t="str">
            <v>Hà Nội 1</v>
          </cell>
          <cell r="BX1980" t="str">
            <v>AON</v>
          </cell>
        </row>
        <row r="1981">
          <cell r="A1981" t="str">
            <v>ON</v>
          </cell>
          <cell r="B1981" t="str">
            <v>Trong 24h</v>
          </cell>
          <cell r="D1981" t="str">
            <v>Khiếu nại về dịch vụ NextTV</v>
          </cell>
          <cell r="W1981" t="str">
            <v>Đã đóng</v>
          </cell>
          <cell r="AJ1981" t="str">
            <v>TP HCM</v>
          </cell>
          <cell r="BX1981" t="str">
            <v>AON</v>
          </cell>
        </row>
        <row r="1982">
          <cell r="A1982" t="str">
            <v>ON</v>
          </cell>
          <cell r="B1982" t="str">
            <v>Trong 24h</v>
          </cell>
          <cell r="D1982" t="str">
            <v>Khiếu nại về dịch vụ FTTH</v>
          </cell>
          <cell r="W1982" t="str">
            <v>Đã đóng</v>
          </cell>
          <cell r="AJ1982" t="str">
            <v>Nghệ An</v>
          </cell>
          <cell r="BX1982" t="str">
            <v>AON</v>
          </cell>
        </row>
        <row r="1983">
          <cell r="A1983" t="str">
            <v>ON</v>
          </cell>
          <cell r="B1983" t="str">
            <v>Trong 24h</v>
          </cell>
          <cell r="D1983" t="str">
            <v>Khiếu nại về dịch vụ FTTH</v>
          </cell>
          <cell r="W1983" t="str">
            <v>Đã đóng</v>
          </cell>
          <cell r="AJ1983" t="str">
            <v>Lạng Sơn</v>
          </cell>
          <cell r="BX1983" t="str">
            <v>AON</v>
          </cell>
        </row>
        <row r="1984">
          <cell r="A1984" t="str">
            <v>ON</v>
          </cell>
          <cell r="B1984" t="str">
            <v>Trong 24h</v>
          </cell>
          <cell r="D1984" t="str">
            <v>Khiếu nại về dịch vụ FTTH</v>
          </cell>
          <cell r="W1984" t="str">
            <v>Đã đóng</v>
          </cell>
          <cell r="AJ1984" t="str">
            <v>TP HCM</v>
          </cell>
          <cell r="BX1984" t="str">
            <v>AON</v>
          </cell>
        </row>
        <row r="1985">
          <cell r="A1985" t="str">
            <v>ON</v>
          </cell>
          <cell r="B1985" t="str">
            <v>Trong 24h</v>
          </cell>
          <cell r="D1985" t="str">
            <v>Khiếu nại về dịch vụ FTTH</v>
          </cell>
          <cell r="W1985" t="str">
            <v>Đang xử lý</v>
          </cell>
          <cell r="AJ1985" t="str">
            <v>Hà Nam</v>
          </cell>
          <cell r="BX1985" t="str">
            <v>AON</v>
          </cell>
        </row>
        <row r="1986">
          <cell r="A1986" t="str">
            <v>ON</v>
          </cell>
          <cell r="B1986" t="str">
            <v>Trong 24h</v>
          </cell>
          <cell r="D1986" t="str">
            <v>Khiếu nại về dịch vụ FTTH</v>
          </cell>
          <cell r="W1986" t="str">
            <v>Đã đóng</v>
          </cell>
          <cell r="AJ1986" t="str">
            <v>Hậu Giang</v>
          </cell>
          <cell r="BX1986" t="str">
            <v>AON</v>
          </cell>
        </row>
        <row r="1987">
          <cell r="A1987" t="str">
            <v>ON</v>
          </cell>
          <cell r="B1987" t="str">
            <v>Trong 24h</v>
          </cell>
          <cell r="D1987" t="str">
            <v>Khiếu nại về dịch vụ FTTH</v>
          </cell>
          <cell r="W1987" t="str">
            <v>Đã đóng</v>
          </cell>
          <cell r="AJ1987" t="str">
            <v>Bà Rịa - Vũng Tàu</v>
          </cell>
          <cell r="BX1987" t="str">
            <v>AON</v>
          </cell>
        </row>
        <row r="1988">
          <cell r="A1988" t="str">
            <v>ON</v>
          </cell>
          <cell r="B1988" t="str">
            <v>Trong 24h</v>
          </cell>
          <cell r="D1988" t="str">
            <v>Khiếu nại về dịch vụ NextTV</v>
          </cell>
          <cell r="W1988" t="str">
            <v>Đang xử lý</v>
          </cell>
          <cell r="AJ1988" t="str">
            <v>Hậu Giang</v>
          </cell>
          <cell r="BX1988" t="str">
            <v>AON</v>
          </cell>
        </row>
        <row r="1989">
          <cell r="A1989" t="str">
            <v>ON</v>
          </cell>
          <cell r="B1989" t="str">
            <v>Trong 24h</v>
          </cell>
          <cell r="D1989" t="str">
            <v>Khiếu nại về dịch vụ FTTH</v>
          </cell>
          <cell r="W1989" t="str">
            <v>Đã đóng</v>
          </cell>
          <cell r="AJ1989" t="str">
            <v>TP HCM</v>
          </cell>
          <cell r="BX1989" t="str">
            <v>AON</v>
          </cell>
        </row>
        <row r="1990">
          <cell r="A1990" t="str">
            <v>ON</v>
          </cell>
          <cell r="B1990" t="str">
            <v>Trong 24h</v>
          </cell>
          <cell r="D1990" t="str">
            <v>Khiếu nại về dịch vụ FTTH</v>
          </cell>
          <cell r="W1990" t="str">
            <v>Đang xử lý</v>
          </cell>
          <cell r="AJ1990" t="str">
            <v xml:space="preserve">Đồng Nai </v>
          </cell>
          <cell r="BX1990" t="str">
            <v>AON</v>
          </cell>
        </row>
        <row r="1991">
          <cell r="A1991" t="str">
            <v>ON</v>
          </cell>
          <cell r="B1991" t="str">
            <v>Trong 24h</v>
          </cell>
          <cell r="D1991" t="str">
            <v>Khiếu nại về dịch vụ FTTH</v>
          </cell>
          <cell r="W1991" t="str">
            <v>Đã đóng</v>
          </cell>
          <cell r="AJ1991" t="str">
            <v xml:space="preserve">Đồng Nai </v>
          </cell>
          <cell r="BX1991" t="str">
            <v>AON</v>
          </cell>
        </row>
        <row r="1992">
          <cell r="A1992" t="str">
            <v>ON</v>
          </cell>
          <cell r="B1992" t="str">
            <v>Trong 24h</v>
          </cell>
          <cell r="D1992" t="str">
            <v>Khiếu nại về dịch vụ FTTH</v>
          </cell>
          <cell r="W1992" t="str">
            <v>Đã đóng</v>
          </cell>
          <cell r="AJ1992" t="str">
            <v>Thanh Hoá</v>
          </cell>
          <cell r="BX1992" t="str">
            <v>AON</v>
          </cell>
        </row>
        <row r="1993">
          <cell r="A1993" t="str">
            <v>ON</v>
          </cell>
          <cell r="B1993" t="str">
            <v>Trong 24h</v>
          </cell>
          <cell r="D1993" t="str">
            <v>Khiếu nại về dịch vụ FTTH</v>
          </cell>
          <cell r="W1993" t="str">
            <v>Đang xử lý</v>
          </cell>
          <cell r="AJ1993" t="str">
            <v>Bắc Ninh</v>
          </cell>
          <cell r="BX1993" t="str">
            <v>AON</v>
          </cell>
        </row>
        <row r="1994">
          <cell r="A1994" t="str">
            <v>ON</v>
          </cell>
          <cell r="B1994" t="str">
            <v>Trong 24h</v>
          </cell>
          <cell r="D1994" t="str">
            <v>Khiếu nại về dịch vụ FTTH</v>
          </cell>
          <cell r="W1994" t="str">
            <v>Đang xử lý</v>
          </cell>
          <cell r="AJ1994" t="str">
            <v>TP HCM</v>
          </cell>
          <cell r="BX1994" t="str">
            <v>AON</v>
          </cell>
        </row>
        <row r="1995">
          <cell r="A1995" t="str">
            <v>ON</v>
          </cell>
          <cell r="B1995" t="str">
            <v>Trong 24h</v>
          </cell>
          <cell r="D1995" t="str">
            <v>Khiếu nại về dịch vụ FTTH</v>
          </cell>
          <cell r="W1995" t="str">
            <v>Đang xử lý</v>
          </cell>
          <cell r="AJ1995" t="str">
            <v>Hà Nam</v>
          </cell>
          <cell r="BX1995" t="str">
            <v>AON</v>
          </cell>
        </row>
        <row r="1996">
          <cell r="A1996" t="str">
            <v>ON</v>
          </cell>
          <cell r="B1996" t="str">
            <v>Trong 24h</v>
          </cell>
          <cell r="D1996" t="str">
            <v>Khiếu nại về dịch vụ NextTV</v>
          </cell>
          <cell r="W1996" t="str">
            <v>Đã đóng</v>
          </cell>
          <cell r="AJ1996" t="str">
            <v>Hà Giang</v>
          </cell>
          <cell r="BX1996" t="str">
            <v>AON</v>
          </cell>
        </row>
        <row r="1997">
          <cell r="A1997" t="str">
            <v>ON</v>
          </cell>
          <cell r="B1997" t="str">
            <v>Trong 24h</v>
          </cell>
          <cell r="D1997" t="str">
            <v>Khiếu nại về dịch vụ FTTH</v>
          </cell>
          <cell r="W1997" t="str">
            <v>Đã đóng</v>
          </cell>
          <cell r="AJ1997" t="str">
            <v>Tây Ninh</v>
          </cell>
          <cell r="BX1997" t="str">
            <v>AON</v>
          </cell>
        </row>
        <row r="1998">
          <cell r="A1998" t="str">
            <v>ON</v>
          </cell>
          <cell r="B1998" t="str">
            <v>Trong 24h</v>
          </cell>
          <cell r="D1998" t="str">
            <v>Khiếu nại về dịch vụ FTTH</v>
          </cell>
          <cell r="W1998" t="str">
            <v>Đang xử lý</v>
          </cell>
          <cell r="AJ1998" t="str">
            <v xml:space="preserve">Quảng Nam </v>
          </cell>
          <cell r="BX1998" t="str">
            <v>AON</v>
          </cell>
        </row>
        <row r="1999">
          <cell r="A1999" t="str">
            <v>ON</v>
          </cell>
          <cell r="B1999" t="str">
            <v>Trong 24h</v>
          </cell>
          <cell r="D1999" t="str">
            <v>Khiếu nại về dịch vụ FTTH</v>
          </cell>
          <cell r="W1999" t="str">
            <v>Đang xử lý</v>
          </cell>
          <cell r="AJ1999" t="str">
            <v>Bình Thuận</v>
          </cell>
          <cell r="BX1999" t="str">
            <v>AON</v>
          </cell>
        </row>
        <row r="2000">
          <cell r="A2000" t="str">
            <v>ON</v>
          </cell>
          <cell r="B2000" t="str">
            <v>Trong 24h</v>
          </cell>
          <cell r="D2000" t="str">
            <v>Khiếu nại về dịch vụ NextTV</v>
          </cell>
          <cell r="W2000" t="str">
            <v>Đang xử lý</v>
          </cell>
          <cell r="AJ2000" t="str">
            <v>Thanh Hoá</v>
          </cell>
          <cell r="BX2000" t="str">
            <v>AON</v>
          </cell>
        </row>
        <row r="2001">
          <cell r="A2001" t="str">
            <v>ON</v>
          </cell>
          <cell r="B2001" t="str">
            <v>Trong 24h</v>
          </cell>
          <cell r="D2001" t="str">
            <v>Khiếu nại về dịch vụ FTTH</v>
          </cell>
          <cell r="W2001" t="str">
            <v>Đang xử lý</v>
          </cell>
          <cell r="AJ2001" t="str">
            <v xml:space="preserve">Hà Tĩnh </v>
          </cell>
          <cell r="BX2001" t="str">
            <v>AON</v>
          </cell>
        </row>
        <row r="2002">
          <cell r="A2002" t="str">
            <v>ON</v>
          </cell>
          <cell r="B2002" t="str">
            <v>Trong 24h</v>
          </cell>
          <cell r="D2002" t="str">
            <v>Khiếu nại về dịch vụ FTTH</v>
          </cell>
          <cell r="W2002" t="str">
            <v>Đã đóng</v>
          </cell>
          <cell r="AJ2002" t="str">
            <v>Quảng Ninh</v>
          </cell>
          <cell r="BX2002" t="str">
            <v>AON</v>
          </cell>
        </row>
        <row r="2003">
          <cell r="A2003" t="str">
            <v>ON</v>
          </cell>
          <cell r="B2003" t="str">
            <v>Trong 24h</v>
          </cell>
          <cell r="D2003" t="str">
            <v>Khiếu nại về dịch vụ FTTH</v>
          </cell>
          <cell r="W2003" t="str">
            <v>Đã đóng</v>
          </cell>
          <cell r="AJ2003" t="str">
            <v>Hà Nội 1</v>
          </cell>
          <cell r="BX2003" t="str">
            <v>AON</v>
          </cell>
        </row>
        <row r="2004">
          <cell r="A2004" t="str">
            <v>ON</v>
          </cell>
          <cell r="B2004" t="str">
            <v>Trong 24h</v>
          </cell>
          <cell r="D2004" t="str">
            <v>Khiếu nại về dịch vụ FTTH</v>
          </cell>
          <cell r="W2004" t="str">
            <v>Đang xử lý</v>
          </cell>
          <cell r="AJ2004" t="str">
            <v>TP HCM</v>
          </cell>
          <cell r="BX2004" t="str">
            <v>AON</v>
          </cell>
        </row>
        <row r="2005">
          <cell r="A2005" t="str">
            <v>ON</v>
          </cell>
          <cell r="B2005" t="str">
            <v>Trong 24h</v>
          </cell>
          <cell r="D2005" t="str">
            <v>Khiếu nại về dịch vụ FTTH</v>
          </cell>
          <cell r="W2005" t="str">
            <v>Đã đóng</v>
          </cell>
          <cell r="AJ2005" t="str">
            <v>TP HCM</v>
          </cell>
          <cell r="BX2005" t="str">
            <v>AON</v>
          </cell>
        </row>
        <row r="2006">
          <cell r="A2006" t="str">
            <v>ON</v>
          </cell>
          <cell r="B2006" t="str">
            <v>Trong 24h</v>
          </cell>
          <cell r="D2006" t="str">
            <v>Khiếu nại về dịch vụ FTTH</v>
          </cell>
          <cell r="W2006" t="str">
            <v>Đang xử lý</v>
          </cell>
          <cell r="AJ2006" t="str">
            <v>TP HCM</v>
          </cell>
          <cell r="BX2006" t="str">
            <v>GPON</v>
          </cell>
        </row>
        <row r="2007">
          <cell r="A2007" t="str">
            <v>ON</v>
          </cell>
          <cell r="B2007" t="str">
            <v>Trong 24h</v>
          </cell>
          <cell r="D2007" t="str">
            <v>Khiếu nại về dịch vụ FTTH</v>
          </cell>
          <cell r="W2007" t="str">
            <v>Đang xử lý</v>
          </cell>
          <cell r="AJ2007" t="str">
            <v>Long An</v>
          </cell>
          <cell r="BX2007" t="str">
            <v>AON</v>
          </cell>
        </row>
        <row r="2008">
          <cell r="A2008" t="str">
            <v>ON</v>
          </cell>
          <cell r="B2008" t="str">
            <v>Trong 24h</v>
          </cell>
          <cell r="D2008" t="str">
            <v>Khiếu nại về dịch vụ FTTH</v>
          </cell>
          <cell r="W2008" t="str">
            <v>Đang xử lý</v>
          </cell>
          <cell r="AJ2008" t="str">
            <v>TP HCM</v>
          </cell>
          <cell r="BX2008" t="str">
            <v>AON</v>
          </cell>
        </row>
        <row r="2009">
          <cell r="A2009" t="str">
            <v>ON</v>
          </cell>
          <cell r="B2009" t="str">
            <v>Trong 24h</v>
          </cell>
          <cell r="D2009" t="str">
            <v>Khiếu nại về dịch vụ FTTH</v>
          </cell>
          <cell r="W2009" t="str">
            <v>Đã đóng</v>
          </cell>
          <cell r="AJ2009" t="str">
            <v>TP HCM</v>
          </cell>
          <cell r="BX2009" t="str">
            <v>GPON</v>
          </cell>
        </row>
        <row r="2010">
          <cell r="A2010" t="str">
            <v>ON</v>
          </cell>
          <cell r="B2010" t="str">
            <v>Trong 24h</v>
          </cell>
          <cell r="D2010" t="str">
            <v>Khiếu nại về dịch vụ FTTH</v>
          </cell>
          <cell r="W2010" t="str">
            <v>Đang xử lý</v>
          </cell>
          <cell r="AJ2010" t="str">
            <v>Nam Định</v>
          </cell>
          <cell r="BX2010" t="str">
            <v>AON</v>
          </cell>
        </row>
        <row r="2011">
          <cell r="A2011" t="str">
            <v>ON</v>
          </cell>
          <cell r="B2011" t="str">
            <v>Trong 24h</v>
          </cell>
          <cell r="D2011" t="str">
            <v>Khiếu nại về dịch vụ FTTH</v>
          </cell>
          <cell r="W2011" t="str">
            <v>Đã đóng</v>
          </cell>
          <cell r="AJ2011" t="str">
            <v>Thái Bình</v>
          </cell>
          <cell r="BX2011" t="str">
            <v>AON</v>
          </cell>
        </row>
        <row r="2012">
          <cell r="A2012" t="str">
            <v>ON</v>
          </cell>
          <cell r="B2012" t="str">
            <v>Trong 24h</v>
          </cell>
          <cell r="D2012" t="str">
            <v>Khiếu nại về dịch vụ FTTH</v>
          </cell>
          <cell r="W2012" t="str">
            <v>Đã đóng</v>
          </cell>
          <cell r="AJ2012" t="str">
            <v>TP HCM</v>
          </cell>
          <cell r="BX2012" t="str">
            <v>AON</v>
          </cell>
        </row>
        <row r="2013">
          <cell r="A2013" t="str">
            <v>ON</v>
          </cell>
          <cell r="B2013" t="str">
            <v>Trong 24h</v>
          </cell>
          <cell r="D2013" t="str">
            <v>Khiếu nại về dịch vụ FTTH</v>
          </cell>
          <cell r="W2013" t="str">
            <v>Đang xử lý</v>
          </cell>
          <cell r="AJ2013" t="str">
            <v>Quảng Bình</v>
          </cell>
          <cell r="BX2013" t="str">
            <v>AON</v>
          </cell>
        </row>
        <row r="2014">
          <cell r="A2014" t="str">
            <v>ON</v>
          </cell>
          <cell r="B2014" t="str">
            <v>Trong 24h</v>
          </cell>
          <cell r="D2014" t="str">
            <v>Khiếu nại về dịch vụ FTTH</v>
          </cell>
          <cell r="W2014" t="str">
            <v>Đang xử lý</v>
          </cell>
          <cell r="AJ2014" t="str">
            <v>Thanh Hoá</v>
          </cell>
          <cell r="BX2014" t="str">
            <v>AON</v>
          </cell>
        </row>
        <row r="2015">
          <cell r="A2015" t="str">
            <v>ON</v>
          </cell>
          <cell r="B2015" t="str">
            <v>Trong 24h</v>
          </cell>
          <cell r="D2015" t="str">
            <v>Khiếu nại về dịch vụ FTTH</v>
          </cell>
          <cell r="W2015" t="str">
            <v>Đang xử lý</v>
          </cell>
          <cell r="AJ2015" t="str">
            <v>Sóc Trăng</v>
          </cell>
          <cell r="BX2015" t="str">
            <v>AON</v>
          </cell>
        </row>
        <row r="2016">
          <cell r="A2016" t="str">
            <v>ON</v>
          </cell>
          <cell r="B2016" t="str">
            <v>Trong 24h</v>
          </cell>
          <cell r="D2016" t="str">
            <v>Khiếu nại về dịch vụ FTTH</v>
          </cell>
          <cell r="W2016" t="str">
            <v>Đang xử lý</v>
          </cell>
          <cell r="AJ2016" t="str">
            <v xml:space="preserve">Đà Nẵng </v>
          </cell>
          <cell r="BX2016" t="str">
            <v>AON</v>
          </cell>
        </row>
        <row r="2017">
          <cell r="A2017" t="str">
            <v>ON</v>
          </cell>
          <cell r="B2017" t="str">
            <v>Trong 24h</v>
          </cell>
          <cell r="D2017" t="str">
            <v>Khiếu nại về dịch vụ FTTH</v>
          </cell>
          <cell r="W2017" t="str">
            <v>Đã đóng</v>
          </cell>
          <cell r="AJ2017" t="str">
            <v>An Giang</v>
          </cell>
          <cell r="BX2017" t="str">
            <v>AON</v>
          </cell>
        </row>
        <row r="2018">
          <cell r="A2018" t="str">
            <v>ON</v>
          </cell>
          <cell r="B2018" t="str">
            <v>Trong 24h</v>
          </cell>
          <cell r="D2018" t="str">
            <v>Khiếu nại về dịch vụ FTTH</v>
          </cell>
          <cell r="W2018" t="str">
            <v>Đang xử lý</v>
          </cell>
          <cell r="AJ2018" t="str">
            <v>TP HCM</v>
          </cell>
          <cell r="BX2018" t="str">
            <v>AON</v>
          </cell>
        </row>
        <row r="2019">
          <cell r="A2019" t="str">
            <v>ON</v>
          </cell>
          <cell r="B2019" t="str">
            <v>Trong 24h</v>
          </cell>
          <cell r="D2019" t="str">
            <v>Khiếu nại về dịch vụ FTTH</v>
          </cell>
          <cell r="W2019" t="str">
            <v>Đã đóng</v>
          </cell>
          <cell r="AJ2019" t="str">
            <v>Thái Bình</v>
          </cell>
          <cell r="BX2019" t="str">
            <v>AON</v>
          </cell>
        </row>
        <row r="2020">
          <cell r="A2020" t="str">
            <v>ON</v>
          </cell>
          <cell r="B2020" t="str">
            <v>Trong 24h</v>
          </cell>
          <cell r="D2020" t="str">
            <v>Khiếu nại về dịch vụ FTTH</v>
          </cell>
          <cell r="W2020" t="str">
            <v>Đang xử lý</v>
          </cell>
          <cell r="AJ2020" t="str">
            <v>Nam Định</v>
          </cell>
          <cell r="BX2020" t="str">
            <v>AON</v>
          </cell>
        </row>
        <row r="2021">
          <cell r="A2021" t="str">
            <v>ON</v>
          </cell>
          <cell r="B2021" t="str">
            <v>Trong 24h</v>
          </cell>
          <cell r="D2021" t="str">
            <v>Khiếu nại về dịch vụ FTTH</v>
          </cell>
          <cell r="W2021" t="str">
            <v>Đang xử lý</v>
          </cell>
          <cell r="AJ2021" t="str">
            <v>TP HCM</v>
          </cell>
          <cell r="BX2021" t="str">
            <v>AON</v>
          </cell>
        </row>
        <row r="2022">
          <cell r="A2022" t="str">
            <v>ON</v>
          </cell>
          <cell r="B2022" t="str">
            <v>Trong 24h</v>
          </cell>
          <cell r="D2022" t="str">
            <v>Khiếu nại về dịch vụ FTTH</v>
          </cell>
          <cell r="W2022" t="str">
            <v>Đang xử lý</v>
          </cell>
          <cell r="AJ2022" t="str">
            <v>Thừa Thiên Huế</v>
          </cell>
          <cell r="BX2022" t="str">
            <v>AON</v>
          </cell>
        </row>
        <row r="2023">
          <cell r="A2023" t="str">
            <v>ON</v>
          </cell>
          <cell r="B2023" t="str">
            <v>Trong 24h</v>
          </cell>
          <cell r="D2023" t="str">
            <v>Khiếu nại về dịch vụ FTTH</v>
          </cell>
          <cell r="W2023" t="str">
            <v>Đang xử lý</v>
          </cell>
          <cell r="AJ2023" t="str">
            <v>TP HCM</v>
          </cell>
          <cell r="BX2023" t="str">
            <v>AON</v>
          </cell>
        </row>
        <row r="2024">
          <cell r="A2024" t="str">
            <v>ON</v>
          </cell>
          <cell r="B2024" t="str">
            <v>Trong 24h</v>
          </cell>
          <cell r="D2024" t="str">
            <v>Khiếu nại về dịch vụ FTTH</v>
          </cell>
          <cell r="W2024" t="str">
            <v>Đã đóng</v>
          </cell>
          <cell r="AJ2024" t="str">
            <v>Hà Nội 2</v>
          </cell>
          <cell r="BX2024" t="str">
            <v>AON</v>
          </cell>
        </row>
        <row r="2025">
          <cell r="A2025" t="str">
            <v>ON</v>
          </cell>
          <cell r="B2025" t="str">
            <v>Trong 24h</v>
          </cell>
          <cell r="D2025" t="str">
            <v>Khiếu nại về dịch vụ FTTH</v>
          </cell>
          <cell r="W2025" t="str">
            <v>Đang xử lý</v>
          </cell>
          <cell r="AJ2025" t="str">
            <v>Kon Tum</v>
          </cell>
          <cell r="BX2025" t="str">
            <v>AON</v>
          </cell>
        </row>
        <row r="2026">
          <cell r="A2026" t="str">
            <v>ON</v>
          </cell>
          <cell r="B2026" t="str">
            <v>Trong 24h</v>
          </cell>
          <cell r="D2026" t="str">
            <v>Khiếu nại về dịch vụ FTTH</v>
          </cell>
          <cell r="W2026" t="str">
            <v>Đang xử lý</v>
          </cell>
          <cell r="AJ2026" t="str">
            <v>Quảng Ngãi</v>
          </cell>
          <cell r="BX2026" t="str">
            <v>AON</v>
          </cell>
        </row>
        <row r="2027">
          <cell r="A2027" t="str">
            <v>ON</v>
          </cell>
          <cell r="B2027" t="str">
            <v>Trong 24h</v>
          </cell>
          <cell r="D2027" t="str">
            <v>Khiếu nại về dịch vụ FTTH</v>
          </cell>
          <cell r="W2027" t="str">
            <v>Đã đóng</v>
          </cell>
          <cell r="AJ2027" t="str">
            <v>Hà Nội 1</v>
          </cell>
          <cell r="BX2027" t="str">
            <v>AON</v>
          </cell>
        </row>
        <row r="2028">
          <cell r="A2028" t="str">
            <v>ON</v>
          </cell>
          <cell r="B2028" t="str">
            <v>Trong 24h</v>
          </cell>
          <cell r="D2028" t="str">
            <v>Khiếu nại về dịch vụ FTTH</v>
          </cell>
          <cell r="W2028" t="str">
            <v>Đã đóng</v>
          </cell>
          <cell r="AJ2028" t="str">
            <v>TP HCM</v>
          </cell>
          <cell r="BX2028" t="str">
            <v>AON</v>
          </cell>
        </row>
        <row r="2029">
          <cell r="A2029" t="str">
            <v>ON</v>
          </cell>
          <cell r="B2029" t="str">
            <v>Trong 24h</v>
          </cell>
          <cell r="D2029" t="str">
            <v>Khiếu nại về dịch vụ FTTH</v>
          </cell>
          <cell r="W2029" t="str">
            <v>Đang xử lý</v>
          </cell>
          <cell r="AJ2029" t="str">
            <v>Thái Nguyên</v>
          </cell>
          <cell r="BX2029" t="str">
            <v>AON</v>
          </cell>
        </row>
        <row r="2030">
          <cell r="A2030" t="str">
            <v>ON</v>
          </cell>
          <cell r="B2030" t="str">
            <v>Trong 24h</v>
          </cell>
          <cell r="D2030" t="str">
            <v>Khiếu nại về dịch vụ FTTH</v>
          </cell>
          <cell r="W2030" t="str">
            <v>Đang xử lý</v>
          </cell>
          <cell r="AJ2030" t="str">
            <v>Điện Biên</v>
          </cell>
          <cell r="BX2030" t="str">
            <v>AON</v>
          </cell>
        </row>
        <row r="2031">
          <cell r="A2031" t="str">
            <v>ON</v>
          </cell>
          <cell r="B2031" t="str">
            <v>Trong 24h</v>
          </cell>
          <cell r="D2031" t="str">
            <v>Khiếu nại về dịch vụ FTTH</v>
          </cell>
          <cell r="W2031" t="str">
            <v>Đang xử lý</v>
          </cell>
          <cell r="AJ2031" t="str">
            <v>Hà Nội 1</v>
          </cell>
          <cell r="BX2031" t="str">
            <v>AON</v>
          </cell>
        </row>
        <row r="2032">
          <cell r="A2032" t="str">
            <v>ON</v>
          </cell>
          <cell r="B2032" t="str">
            <v>Trong 24h</v>
          </cell>
          <cell r="D2032" t="str">
            <v>Khiếu nại về dịch vụ FTTH</v>
          </cell>
          <cell r="W2032" t="str">
            <v>Đang xử lý</v>
          </cell>
          <cell r="AJ2032" t="str">
            <v>Nghệ An</v>
          </cell>
          <cell r="BX2032" t="str">
            <v>AON</v>
          </cell>
        </row>
        <row r="2033">
          <cell r="A2033" t="str">
            <v>ON</v>
          </cell>
          <cell r="B2033" t="str">
            <v>Trong 24h</v>
          </cell>
          <cell r="D2033" t="str">
            <v>Khiếu nại về dịch vụ FTTH</v>
          </cell>
          <cell r="W2033" t="str">
            <v>Đã đóng</v>
          </cell>
          <cell r="AJ2033" t="str">
            <v>Thái Bình</v>
          </cell>
          <cell r="BX2033" t="str">
            <v>AON</v>
          </cell>
        </row>
        <row r="2034">
          <cell r="A2034" t="str">
            <v>ON</v>
          </cell>
          <cell r="B2034" t="str">
            <v>Trong 24h</v>
          </cell>
          <cell r="D2034" t="str">
            <v>Khiếu nại về dịch vụ NextTV</v>
          </cell>
          <cell r="W2034" t="str">
            <v>Đang xử lý</v>
          </cell>
          <cell r="AJ2034" t="str">
            <v xml:space="preserve">Đà Nẵng </v>
          </cell>
          <cell r="BX2034" t="str">
            <v>AON</v>
          </cell>
        </row>
        <row r="2035">
          <cell r="A2035" t="str">
            <v>ON</v>
          </cell>
          <cell r="B2035" t="str">
            <v>Trong 24h</v>
          </cell>
          <cell r="D2035" t="str">
            <v>Khiếu nại về dịch vụ FTTH</v>
          </cell>
          <cell r="W2035" t="str">
            <v>Đã đóng</v>
          </cell>
          <cell r="AJ2035" t="str">
            <v>Hà Nội 1</v>
          </cell>
          <cell r="BX2035" t="str">
            <v>AON</v>
          </cell>
        </row>
        <row r="2036">
          <cell r="A2036" t="str">
            <v>ON</v>
          </cell>
          <cell r="B2036" t="str">
            <v>Trong 24h</v>
          </cell>
          <cell r="D2036" t="str">
            <v>Khiếu nại về dịch vụ FTTH</v>
          </cell>
          <cell r="W2036" t="str">
            <v>Đã đóng</v>
          </cell>
          <cell r="AJ2036" t="str">
            <v xml:space="preserve">Quảng Nam </v>
          </cell>
          <cell r="BX2036" t="str">
            <v>AON</v>
          </cell>
        </row>
        <row r="2037">
          <cell r="A2037" t="str">
            <v>ON</v>
          </cell>
          <cell r="B2037" t="str">
            <v>Trong 24h</v>
          </cell>
          <cell r="D2037" t="str">
            <v>Khiếu nại về dịch vụ FTTH</v>
          </cell>
          <cell r="W2037" t="str">
            <v>Đang xử lý</v>
          </cell>
          <cell r="AJ2037" t="str">
            <v>Sóc Trăng</v>
          </cell>
          <cell r="BX2037" t="str">
            <v>AON</v>
          </cell>
        </row>
        <row r="2038">
          <cell r="A2038" t="str">
            <v>ON</v>
          </cell>
          <cell r="B2038" t="str">
            <v>Trong 24h</v>
          </cell>
          <cell r="D2038" t="str">
            <v>Khiếu nại về dịch vụ FTTH</v>
          </cell>
          <cell r="W2038" t="str">
            <v>Đang xử lý</v>
          </cell>
          <cell r="AJ2038" t="str">
            <v xml:space="preserve">Quảng Nam </v>
          </cell>
          <cell r="BX2038" t="str">
            <v>AON</v>
          </cell>
        </row>
        <row r="2039">
          <cell r="A2039" t="str">
            <v>ON</v>
          </cell>
          <cell r="B2039" t="str">
            <v>Trong 24h</v>
          </cell>
          <cell r="D2039" t="str">
            <v>Khiếu nại về dịch vụ FTTH</v>
          </cell>
          <cell r="W2039" t="str">
            <v>Đã đóng</v>
          </cell>
          <cell r="AJ2039" t="str">
            <v>Bình Dương</v>
          </cell>
          <cell r="BX2039" t="str">
            <v>AON</v>
          </cell>
        </row>
        <row r="2040">
          <cell r="A2040" t="str">
            <v>ON</v>
          </cell>
          <cell r="B2040" t="str">
            <v>Trong 24h</v>
          </cell>
          <cell r="D2040" t="str">
            <v>Khiếu nại về dịch vụ FTTH</v>
          </cell>
          <cell r="W2040" t="str">
            <v>Đã đóng</v>
          </cell>
          <cell r="AJ2040" t="str">
            <v>Bà Rịa - Vũng Tàu</v>
          </cell>
          <cell r="BX2040" t="str">
            <v>AON</v>
          </cell>
        </row>
        <row r="2041">
          <cell r="A2041" t="str">
            <v>ON</v>
          </cell>
          <cell r="B2041" t="str">
            <v>Trong 24h</v>
          </cell>
          <cell r="D2041" t="str">
            <v>Khiếu nại về dịch vụ FTTH</v>
          </cell>
          <cell r="W2041" t="str">
            <v>Đang xử lý</v>
          </cell>
          <cell r="AJ2041" t="str">
            <v>Cà Mau</v>
          </cell>
          <cell r="BX2041" t="str">
            <v>AON</v>
          </cell>
        </row>
        <row r="2042">
          <cell r="A2042" t="str">
            <v>ON</v>
          </cell>
          <cell r="B2042" t="str">
            <v>Trong 24h</v>
          </cell>
          <cell r="D2042" t="str">
            <v>Khiếu nại về dịch vụ FTTH</v>
          </cell>
          <cell r="W2042" t="str">
            <v>Đã đóng</v>
          </cell>
          <cell r="AJ2042" t="str">
            <v>Ninh Bình</v>
          </cell>
          <cell r="BX2042" t="str">
            <v>AON</v>
          </cell>
        </row>
        <row r="2043">
          <cell r="A2043" t="str">
            <v>ON</v>
          </cell>
          <cell r="B2043" t="str">
            <v>Trong 24h</v>
          </cell>
          <cell r="D2043" t="str">
            <v>Khiếu nại về dịch vụ FTTH</v>
          </cell>
          <cell r="W2043" t="str">
            <v>Đang xử lý</v>
          </cell>
          <cell r="AJ2043" t="str">
            <v>TP HCM</v>
          </cell>
          <cell r="BX2043" t="str">
            <v>GPON</v>
          </cell>
        </row>
        <row r="2044">
          <cell r="A2044" t="str">
            <v>ON</v>
          </cell>
          <cell r="B2044" t="str">
            <v>Trong 24h</v>
          </cell>
          <cell r="D2044" t="str">
            <v>Khiếu nại về dịch vụ FTTH</v>
          </cell>
          <cell r="W2044" t="str">
            <v>Đã đóng</v>
          </cell>
          <cell r="AJ2044" t="str">
            <v>TP HCM</v>
          </cell>
          <cell r="BX2044" t="str">
            <v>AON</v>
          </cell>
        </row>
        <row r="2045">
          <cell r="A2045" t="str">
            <v>ON</v>
          </cell>
          <cell r="B2045" t="str">
            <v>Trong 24h</v>
          </cell>
          <cell r="D2045" t="str">
            <v>Khiếu nại về dịch vụ FTTH</v>
          </cell>
          <cell r="W2045" t="str">
            <v>Đang xử lý</v>
          </cell>
          <cell r="AJ2045" t="str">
            <v>An Giang</v>
          </cell>
          <cell r="BX2045" t="str">
            <v>AON</v>
          </cell>
        </row>
        <row r="2046">
          <cell r="A2046" t="str">
            <v>ON</v>
          </cell>
          <cell r="B2046" t="str">
            <v>Trong 24h</v>
          </cell>
          <cell r="D2046" t="str">
            <v>Khiếu nại về dịch vụ FTTH</v>
          </cell>
          <cell r="W2046" t="str">
            <v>Đang xử lý</v>
          </cell>
          <cell r="AJ2046" t="str">
            <v>TP HCM</v>
          </cell>
          <cell r="BX2046" t="str">
            <v>GPON</v>
          </cell>
        </row>
        <row r="2047">
          <cell r="A2047" t="str">
            <v>ON</v>
          </cell>
          <cell r="B2047" t="str">
            <v>Trong 24h</v>
          </cell>
          <cell r="D2047" t="str">
            <v>Khiếu nại về dịch vụ FTTH</v>
          </cell>
          <cell r="W2047" t="str">
            <v>Đang xử lý</v>
          </cell>
          <cell r="AJ2047" t="str">
            <v>TP HCM</v>
          </cell>
          <cell r="BX2047" t="str">
            <v>AON</v>
          </cell>
        </row>
        <row r="2048">
          <cell r="A2048" t="str">
            <v>ON</v>
          </cell>
          <cell r="B2048" t="str">
            <v>Trong 24h</v>
          </cell>
          <cell r="D2048" t="str">
            <v>Khiếu nại về dịch vụ FTTH</v>
          </cell>
          <cell r="W2048" t="str">
            <v>Đã đóng</v>
          </cell>
          <cell r="AJ2048" t="str">
            <v>Hà Nội 1</v>
          </cell>
          <cell r="BX2048" t="str">
            <v>AON</v>
          </cell>
        </row>
        <row r="2049">
          <cell r="A2049" t="str">
            <v>ON</v>
          </cell>
          <cell r="B2049" t="str">
            <v>Trong 24h</v>
          </cell>
          <cell r="D2049" t="str">
            <v>Khiếu nại về dịch vụ NextTV</v>
          </cell>
          <cell r="W2049" t="str">
            <v>Đang xử lý</v>
          </cell>
          <cell r="AJ2049" t="str">
            <v>Trà Vinh</v>
          </cell>
          <cell r="BX2049" t="str">
            <v>AON</v>
          </cell>
        </row>
        <row r="2050">
          <cell r="A2050" t="str">
            <v>ON</v>
          </cell>
          <cell r="B2050" t="str">
            <v>Trong 24h</v>
          </cell>
          <cell r="D2050" t="str">
            <v>Khiếu nại về dịch vụ FTTH</v>
          </cell>
          <cell r="W2050" t="str">
            <v>Đang xử lý</v>
          </cell>
          <cell r="AJ2050" t="str">
            <v>Điện Biên</v>
          </cell>
          <cell r="BX2050" t="str">
            <v>AON</v>
          </cell>
        </row>
        <row r="2051">
          <cell r="A2051" t="str">
            <v>ON</v>
          </cell>
          <cell r="B2051" t="str">
            <v>Trong 24h</v>
          </cell>
          <cell r="D2051" t="str">
            <v>Khiếu nại về dịch vụ FTTH</v>
          </cell>
          <cell r="W2051" t="str">
            <v>Đang xử lý</v>
          </cell>
          <cell r="AJ2051" t="str">
            <v>Kon Tum</v>
          </cell>
          <cell r="BX2051" t="str">
            <v>AON</v>
          </cell>
        </row>
        <row r="2052">
          <cell r="A2052" t="str">
            <v>ON</v>
          </cell>
          <cell r="B2052" t="str">
            <v>Trong 24h</v>
          </cell>
          <cell r="D2052" t="str">
            <v>Khiếu nại về dịch vụ FTTH</v>
          </cell>
          <cell r="W2052" t="str">
            <v>Đã đóng</v>
          </cell>
          <cell r="AJ2052" t="str">
            <v>Ninh Bình</v>
          </cell>
          <cell r="BX2052" t="str">
            <v>AON</v>
          </cell>
        </row>
        <row r="2053">
          <cell r="A2053" t="str">
            <v>ON</v>
          </cell>
          <cell r="B2053" t="str">
            <v>Trong 24h</v>
          </cell>
          <cell r="D2053" t="str">
            <v>Khiếu nại về dịch vụ FTTH</v>
          </cell>
          <cell r="W2053" t="str">
            <v>Đã đóng</v>
          </cell>
          <cell r="AJ2053" t="str">
            <v xml:space="preserve">Hà Tĩnh </v>
          </cell>
          <cell r="BX2053" t="str">
            <v>AON</v>
          </cell>
        </row>
        <row r="2054">
          <cell r="A2054" t="str">
            <v>ON</v>
          </cell>
          <cell r="B2054" t="str">
            <v>Trong 24h</v>
          </cell>
          <cell r="D2054" t="str">
            <v>Khiếu nại về dịch vụ FTTH</v>
          </cell>
          <cell r="W2054" t="str">
            <v>Đang xử lý</v>
          </cell>
          <cell r="AJ2054" t="str">
            <v>TP HCM</v>
          </cell>
          <cell r="BX2054" t="str">
            <v>AON</v>
          </cell>
        </row>
        <row r="2055">
          <cell r="A2055" t="str">
            <v>ON</v>
          </cell>
          <cell r="B2055" t="str">
            <v>Trong 24h</v>
          </cell>
          <cell r="D2055" t="str">
            <v>Khiếu nại về dịch vụ FTTH</v>
          </cell>
          <cell r="W2055" t="str">
            <v>Đang xử lý</v>
          </cell>
          <cell r="AJ2055" t="str">
            <v xml:space="preserve">Hà Tĩnh </v>
          </cell>
          <cell r="BX2055" t="str">
            <v>AON</v>
          </cell>
        </row>
        <row r="2056">
          <cell r="A2056" t="str">
            <v>ON</v>
          </cell>
          <cell r="B2056" t="str">
            <v>Trong 24h</v>
          </cell>
          <cell r="D2056" t="str">
            <v>Khiếu nại về dịch vụ NextTV</v>
          </cell>
          <cell r="W2056" t="str">
            <v>Đang xử lý</v>
          </cell>
          <cell r="AJ2056" t="str">
            <v>TP HCM</v>
          </cell>
          <cell r="BX2056" t="str">
            <v>AON</v>
          </cell>
        </row>
        <row r="2057">
          <cell r="A2057" t="str">
            <v>ON</v>
          </cell>
          <cell r="B2057" t="str">
            <v>Trong 24h</v>
          </cell>
          <cell r="D2057" t="str">
            <v>Khiếu nại về dịch vụ FTTH</v>
          </cell>
          <cell r="W2057" t="str">
            <v>Đang xử lý</v>
          </cell>
          <cell r="AJ2057" t="str">
            <v>Gia Lai</v>
          </cell>
          <cell r="BX2057" t="str">
            <v>AON</v>
          </cell>
        </row>
        <row r="2058">
          <cell r="A2058" t="str">
            <v>ON</v>
          </cell>
          <cell r="B2058" t="str">
            <v>Trong 24h</v>
          </cell>
          <cell r="D2058" t="str">
            <v>Khiếu nại về dịch vụ FTTH</v>
          </cell>
          <cell r="W2058" t="str">
            <v>Đã đóng</v>
          </cell>
          <cell r="AJ2058" t="str">
            <v>Hậu Giang</v>
          </cell>
          <cell r="BX2058" t="str">
            <v>AON</v>
          </cell>
        </row>
        <row r="2059">
          <cell r="A2059" t="str">
            <v>ON</v>
          </cell>
          <cell r="B2059" t="str">
            <v>Trong 24h</v>
          </cell>
          <cell r="D2059" t="str">
            <v>Khiếu nại về dịch vụ NextTV</v>
          </cell>
          <cell r="W2059" t="str">
            <v>Đang xử lý</v>
          </cell>
          <cell r="AJ2059" t="str">
            <v>Hải Phòng</v>
          </cell>
          <cell r="BX2059" t="str">
            <v>AON</v>
          </cell>
        </row>
        <row r="2060">
          <cell r="A2060" t="str">
            <v>ON</v>
          </cell>
          <cell r="B2060" t="str">
            <v>Trong 24h</v>
          </cell>
          <cell r="D2060" t="str">
            <v>Khiếu nại về dịch vụ FTTH</v>
          </cell>
          <cell r="W2060" t="str">
            <v>Đang xử lý</v>
          </cell>
          <cell r="AJ2060" t="str">
            <v>Thanh Hoá</v>
          </cell>
          <cell r="BX2060" t="str">
            <v>AON</v>
          </cell>
        </row>
        <row r="2061">
          <cell r="A2061" t="str">
            <v>ON</v>
          </cell>
          <cell r="B2061" t="str">
            <v>Trong 24h</v>
          </cell>
          <cell r="D2061" t="str">
            <v>Khiếu nại về dịch vụ FTTH</v>
          </cell>
          <cell r="W2061" t="str">
            <v>Đang xử lý</v>
          </cell>
          <cell r="AJ2061" t="str">
            <v>TP HCM</v>
          </cell>
          <cell r="BX2061" t="str">
            <v>AON</v>
          </cell>
        </row>
        <row r="2062">
          <cell r="A2062" t="str">
            <v>ON</v>
          </cell>
          <cell r="B2062" t="str">
            <v>Trong 24h</v>
          </cell>
          <cell r="D2062" t="str">
            <v>Khiếu nại về dịch vụ NextTV</v>
          </cell>
          <cell r="W2062" t="str">
            <v>Đang xử lý</v>
          </cell>
          <cell r="AJ2062" t="str">
            <v>Hải Phòng</v>
          </cell>
          <cell r="BX2062" t="str">
            <v>AON</v>
          </cell>
        </row>
        <row r="2063">
          <cell r="A2063" t="str">
            <v>ON</v>
          </cell>
          <cell r="B2063" t="str">
            <v>Trong 24h</v>
          </cell>
          <cell r="D2063" t="str">
            <v>Khiếu nại về dịch vụ FTTH</v>
          </cell>
          <cell r="W2063" t="str">
            <v>Đang xử lý</v>
          </cell>
          <cell r="AJ2063" t="str">
            <v>Thái Nguyên</v>
          </cell>
          <cell r="BX2063" t="str">
            <v>AON</v>
          </cell>
        </row>
        <row r="2064">
          <cell r="A2064" t="str">
            <v>ON</v>
          </cell>
          <cell r="B2064" t="str">
            <v>Trong 24h</v>
          </cell>
          <cell r="D2064" t="str">
            <v>Khiếu nại về dịch vụ FTTH</v>
          </cell>
          <cell r="W2064" t="str">
            <v>Đang xử lý</v>
          </cell>
          <cell r="AJ2064" t="str">
            <v>Bình Dương</v>
          </cell>
          <cell r="BX2064" t="str">
            <v>AON</v>
          </cell>
        </row>
        <row r="2065">
          <cell r="A2065" t="str">
            <v>ON</v>
          </cell>
          <cell r="B2065" t="str">
            <v>Trong 24h</v>
          </cell>
          <cell r="D2065" t="str">
            <v>Khiếu nại về dịch vụ FTTH</v>
          </cell>
          <cell r="W2065" t="str">
            <v>Đang xử lý</v>
          </cell>
          <cell r="AJ2065" t="str">
            <v xml:space="preserve">Đà Nẵng </v>
          </cell>
          <cell r="BX2065" t="str">
            <v>AON</v>
          </cell>
        </row>
        <row r="2066">
          <cell r="A2066" t="str">
            <v>ON</v>
          </cell>
          <cell r="B2066" t="str">
            <v>Trong 24h</v>
          </cell>
          <cell r="D2066" t="str">
            <v>Khiếu nại về dịch vụ FTTH</v>
          </cell>
          <cell r="W2066" t="str">
            <v>Đang xử lý</v>
          </cell>
          <cell r="AJ2066" t="str">
            <v>Hà Nội 2</v>
          </cell>
          <cell r="BX2066" t="str">
            <v>AON</v>
          </cell>
        </row>
        <row r="2067">
          <cell r="A2067" t="str">
            <v>ON</v>
          </cell>
          <cell r="B2067" t="str">
            <v>Trong 24h</v>
          </cell>
          <cell r="D2067" t="str">
            <v>Khiếu nại về dịch vụ FTTH</v>
          </cell>
          <cell r="W2067" t="str">
            <v>Đang xử lý</v>
          </cell>
          <cell r="AJ2067" t="str">
            <v>Quảng Ninh</v>
          </cell>
          <cell r="BX2067" t="str">
            <v>AON</v>
          </cell>
        </row>
        <row r="2068">
          <cell r="A2068" t="str">
            <v>ON</v>
          </cell>
          <cell r="B2068" t="str">
            <v>Trong 24h</v>
          </cell>
          <cell r="D2068" t="str">
            <v>Khiếu nại về dịch vụ FTTH</v>
          </cell>
          <cell r="W2068" t="str">
            <v>Đã đóng</v>
          </cell>
          <cell r="AJ2068" t="str">
            <v>Hậu Giang</v>
          </cell>
          <cell r="BX2068" t="str">
            <v>AON</v>
          </cell>
        </row>
        <row r="2069">
          <cell r="A2069" t="str">
            <v>ON</v>
          </cell>
          <cell r="B2069" t="str">
            <v>Trong 24h</v>
          </cell>
          <cell r="D2069" t="str">
            <v>Khiếu nại về dịch vụ FTTH</v>
          </cell>
          <cell r="W2069" t="str">
            <v>Đang xử lý</v>
          </cell>
          <cell r="AJ2069" t="str">
            <v>Hà Nội 1</v>
          </cell>
          <cell r="BX2069" t="str">
            <v>AON</v>
          </cell>
        </row>
        <row r="2070">
          <cell r="A2070" t="str">
            <v>ON</v>
          </cell>
          <cell r="B2070" t="str">
            <v>Trong 24h</v>
          </cell>
          <cell r="D2070" t="str">
            <v>Khiếu nại về dịch vụ FTTH</v>
          </cell>
          <cell r="W2070" t="str">
            <v>Đã đóng</v>
          </cell>
          <cell r="AJ2070" t="str">
            <v>Quảng Ninh</v>
          </cell>
          <cell r="BX2070" t="str">
            <v>AON</v>
          </cell>
        </row>
        <row r="2071">
          <cell r="A2071" t="str">
            <v>ON</v>
          </cell>
          <cell r="B2071" t="str">
            <v>Trong 24h</v>
          </cell>
          <cell r="D2071" t="str">
            <v>Khiếu nại về dịch vụ FTTH</v>
          </cell>
          <cell r="W2071" t="str">
            <v>Đã đóng</v>
          </cell>
          <cell r="AJ2071" t="str">
            <v>Tây Ninh</v>
          </cell>
          <cell r="BX2071" t="str">
            <v>AON</v>
          </cell>
        </row>
        <row r="2072">
          <cell r="A2072" t="str">
            <v>ON</v>
          </cell>
          <cell r="B2072" t="str">
            <v>Trong 24h</v>
          </cell>
          <cell r="D2072" t="str">
            <v>Khiếu nại về dịch vụ FTTH</v>
          </cell>
          <cell r="W2072" t="str">
            <v>Đang xử lý</v>
          </cell>
          <cell r="AJ2072" t="str">
            <v>Thái Bình</v>
          </cell>
          <cell r="BX2072" t="str">
            <v>AON</v>
          </cell>
        </row>
        <row r="2073">
          <cell r="A2073" t="str">
            <v>ON</v>
          </cell>
          <cell r="B2073" t="str">
            <v>Trong 24h</v>
          </cell>
          <cell r="D2073" t="str">
            <v>Khiếu nại về dịch vụ FTTH</v>
          </cell>
          <cell r="W2073" t="str">
            <v>Đang xử lý</v>
          </cell>
          <cell r="AJ2073" t="str">
            <v>Thừa Thiên Huế</v>
          </cell>
          <cell r="BX2073" t="str">
            <v>AON</v>
          </cell>
        </row>
        <row r="2074">
          <cell r="A2074" t="str">
            <v>ON</v>
          </cell>
          <cell r="B2074" t="str">
            <v>Trong 24h</v>
          </cell>
          <cell r="D2074" t="str">
            <v>Khiếu nại về dịch vụ FTTH</v>
          </cell>
          <cell r="W2074" t="str">
            <v>Đang xử lý</v>
          </cell>
          <cell r="AJ2074" t="str">
            <v xml:space="preserve">Đắc Lắk </v>
          </cell>
          <cell r="BX2074" t="str">
            <v>AON</v>
          </cell>
        </row>
        <row r="2075">
          <cell r="A2075" t="str">
            <v>ON</v>
          </cell>
          <cell r="B2075" t="str">
            <v>Trong 24h</v>
          </cell>
          <cell r="D2075" t="str">
            <v>Khiếu nại về dịch vụ FTTH</v>
          </cell>
          <cell r="W2075" t="str">
            <v>Đang xử lý</v>
          </cell>
          <cell r="AJ2075" t="str">
            <v>TP HCM</v>
          </cell>
          <cell r="BX2075" t="str">
            <v>AON</v>
          </cell>
        </row>
        <row r="2076">
          <cell r="A2076" t="str">
            <v>ON</v>
          </cell>
          <cell r="B2076" t="str">
            <v>Trong 24h</v>
          </cell>
          <cell r="D2076" t="str">
            <v>Khiếu nại về dịch vụ FTTH</v>
          </cell>
          <cell r="W2076" t="str">
            <v>Đã đóng</v>
          </cell>
          <cell r="AJ2076" t="str">
            <v>Hà Giang</v>
          </cell>
          <cell r="BX2076" t="str">
            <v>AON</v>
          </cell>
        </row>
        <row r="2077">
          <cell r="A2077" t="str">
            <v>ON</v>
          </cell>
          <cell r="B2077" t="str">
            <v>Trong 24h</v>
          </cell>
          <cell r="D2077" t="str">
            <v>Khiếu nại về dịch vụ FTTH</v>
          </cell>
          <cell r="W2077" t="str">
            <v>Đang xử lý</v>
          </cell>
          <cell r="AJ2077" t="str">
            <v>Quảng Ninh</v>
          </cell>
          <cell r="BX2077" t="str">
            <v>AON</v>
          </cell>
        </row>
        <row r="2078">
          <cell r="A2078" t="str">
            <v>ON</v>
          </cell>
          <cell r="B2078" t="str">
            <v>Trong 24h</v>
          </cell>
          <cell r="D2078" t="str">
            <v>Khiếu nại về dịch vụ NextTV</v>
          </cell>
          <cell r="W2078" t="str">
            <v>Đang xử lý</v>
          </cell>
          <cell r="AJ2078" t="str">
            <v>TP HCM</v>
          </cell>
          <cell r="BX2078" t="str">
            <v>AON</v>
          </cell>
        </row>
        <row r="2079">
          <cell r="A2079" t="str">
            <v>ON</v>
          </cell>
          <cell r="B2079" t="str">
            <v>Trong 24h</v>
          </cell>
          <cell r="D2079" t="str">
            <v>Khiếu nại về dịch vụ NextTV</v>
          </cell>
          <cell r="W2079" t="str">
            <v>Đang xử lý</v>
          </cell>
          <cell r="AJ2079" t="str">
            <v>Nghệ An</v>
          </cell>
          <cell r="BX2079" t="str">
            <v>AON</v>
          </cell>
        </row>
        <row r="2080">
          <cell r="A2080" t="str">
            <v>ON</v>
          </cell>
          <cell r="B2080" t="str">
            <v>Trong 24h</v>
          </cell>
          <cell r="D2080" t="str">
            <v>Khiếu nại về dịch vụ FTTH</v>
          </cell>
          <cell r="W2080" t="str">
            <v>Đang xử lý</v>
          </cell>
          <cell r="AJ2080" t="str">
            <v>Hà Nội 2</v>
          </cell>
          <cell r="BX2080" t="str">
            <v>AON</v>
          </cell>
        </row>
        <row r="2081">
          <cell r="A2081" t="str">
            <v>ON</v>
          </cell>
          <cell r="B2081" t="str">
            <v>Trong 24h</v>
          </cell>
          <cell r="D2081" t="str">
            <v>Khiếu nại về dịch vụ FTTH</v>
          </cell>
          <cell r="W2081" t="str">
            <v>Đang xử lý</v>
          </cell>
          <cell r="AJ2081" t="str">
            <v>Bạc Liêu</v>
          </cell>
          <cell r="BX2081" t="str">
            <v>AON</v>
          </cell>
        </row>
        <row r="2082">
          <cell r="A2082" t="str">
            <v>ON</v>
          </cell>
          <cell r="B2082" t="str">
            <v>Trong 24h</v>
          </cell>
          <cell r="D2082" t="str">
            <v>Khiếu nại về dịch vụ FTTH</v>
          </cell>
          <cell r="W2082" t="str">
            <v>Đã đóng</v>
          </cell>
          <cell r="AJ2082" t="str">
            <v>Hậu Giang</v>
          </cell>
          <cell r="BX2082" t="str">
            <v>AON</v>
          </cell>
        </row>
        <row r="2083">
          <cell r="A2083" t="str">
            <v>ON</v>
          </cell>
          <cell r="B2083" t="str">
            <v>Trong 24h</v>
          </cell>
          <cell r="D2083" t="str">
            <v>Khiếu nại về dịch vụ FTTH</v>
          </cell>
          <cell r="W2083" t="str">
            <v>Đã đóng</v>
          </cell>
          <cell r="AJ2083" t="str">
            <v>Bắc Ninh</v>
          </cell>
          <cell r="BX2083" t="str">
            <v>AON</v>
          </cell>
        </row>
        <row r="2084">
          <cell r="A2084" t="str">
            <v>ON</v>
          </cell>
          <cell r="B2084" t="str">
            <v>Trong 24h</v>
          </cell>
          <cell r="D2084" t="str">
            <v>Khiếu nại về dịch vụ FTTH</v>
          </cell>
          <cell r="W2084" t="str">
            <v>Đã đóng</v>
          </cell>
          <cell r="AJ2084" t="str">
            <v>Hậu Giang</v>
          </cell>
          <cell r="BX2084" t="str">
            <v>AON</v>
          </cell>
        </row>
        <row r="2085">
          <cell r="A2085" t="str">
            <v>ON</v>
          </cell>
          <cell r="B2085" t="str">
            <v>Trong 24h</v>
          </cell>
          <cell r="D2085" t="str">
            <v>Khiếu nại về dịch vụ NextTV</v>
          </cell>
          <cell r="W2085" t="str">
            <v>Đang xử lý</v>
          </cell>
          <cell r="AJ2085" t="str">
            <v>TP HCM</v>
          </cell>
          <cell r="BX2085" t="str">
            <v>AON</v>
          </cell>
        </row>
        <row r="2086">
          <cell r="A2086" t="str">
            <v>ON</v>
          </cell>
          <cell r="B2086" t="str">
            <v>Trong 24h</v>
          </cell>
          <cell r="D2086" t="str">
            <v>Khiếu nại về dịch vụ FTTH</v>
          </cell>
          <cell r="W2086" t="str">
            <v>Đã đóng</v>
          </cell>
          <cell r="AJ2086" t="str">
            <v>Hà Nội 1</v>
          </cell>
          <cell r="BX2086" t="str">
            <v>AON</v>
          </cell>
        </row>
        <row r="2087">
          <cell r="A2087" t="str">
            <v>ON</v>
          </cell>
          <cell r="B2087" t="str">
            <v>Trong 24h</v>
          </cell>
          <cell r="D2087" t="str">
            <v>Khiếu nại về dịch vụ FTTH</v>
          </cell>
          <cell r="W2087" t="str">
            <v>Đang xử lý</v>
          </cell>
          <cell r="AJ2087" t="str">
            <v>TP HCM</v>
          </cell>
          <cell r="BX2087" t="str">
            <v>AON</v>
          </cell>
        </row>
        <row r="2088">
          <cell r="A2088" t="str">
            <v>ON</v>
          </cell>
          <cell r="B2088" t="str">
            <v>Trong 24h</v>
          </cell>
          <cell r="D2088" t="str">
            <v>Khiếu nại về dịch vụ FTTH</v>
          </cell>
          <cell r="W2088" t="str">
            <v>Đang xử lý</v>
          </cell>
          <cell r="AJ2088" t="str">
            <v>Ninh Thuận</v>
          </cell>
          <cell r="BX2088" t="str">
            <v>AON</v>
          </cell>
        </row>
        <row r="2089">
          <cell r="A2089" t="str">
            <v>ON</v>
          </cell>
          <cell r="B2089" t="str">
            <v>Trong 24h</v>
          </cell>
          <cell r="D2089" t="str">
            <v>Khiếu nại về dịch vụ FTTH</v>
          </cell>
          <cell r="W2089" t="str">
            <v>Đang xử lý</v>
          </cell>
          <cell r="AJ2089" t="str">
            <v>Thái Nguyên</v>
          </cell>
          <cell r="BX2089" t="str">
            <v>AON</v>
          </cell>
        </row>
        <row r="2090">
          <cell r="A2090" t="str">
            <v>ON</v>
          </cell>
          <cell r="B2090" t="str">
            <v>Trong 24h</v>
          </cell>
          <cell r="D2090" t="str">
            <v>Khiếu nại về dịch vụ NextTV</v>
          </cell>
          <cell r="W2090" t="str">
            <v>Đang xử lý</v>
          </cell>
          <cell r="AJ2090" t="str">
            <v>TP HCM</v>
          </cell>
          <cell r="BX2090" t="str">
            <v>AON</v>
          </cell>
        </row>
        <row r="2091">
          <cell r="A2091" t="str">
            <v>ON</v>
          </cell>
          <cell r="B2091" t="str">
            <v>Trong 24h</v>
          </cell>
          <cell r="D2091" t="str">
            <v>Khiếu nại về dịch vụ FTTH</v>
          </cell>
          <cell r="W2091" t="str">
            <v>Đã đóng</v>
          </cell>
          <cell r="AJ2091" t="str">
            <v>Bắc Ninh</v>
          </cell>
          <cell r="BX2091" t="str">
            <v>AON</v>
          </cell>
        </row>
        <row r="2092">
          <cell r="A2092" t="str">
            <v>ON</v>
          </cell>
          <cell r="B2092" t="str">
            <v>Trong 24h</v>
          </cell>
          <cell r="D2092" t="str">
            <v>Khiếu nại về dịch vụ FTTH</v>
          </cell>
          <cell r="W2092" t="str">
            <v>Đang xử lý</v>
          </cell>
          <cell r="AJ2092" t="str">
            <v>Bến Tre</v>
          </cell>
          <cell r="BX2092" t="str">
            <v>AON</v>
          </cell>
        </row>
        <row r="2093">
          <cell r="A2093" t="str">
            <v>ON</v>
          </cell>
          <cell r="B2093" t="str">
            <v>Trong 24h</v>
          </cell>
          <cell r="D2093" t="str">
            <v>Khiếu nại về dịch vụ FTTH</v>
          </cell>
          <cell r="W2093" t="str">
            <v>Đang xử lý</v>
          </cell>
          <cell r="AJ2093" t="str">
            <v>TP HCM</v>
          </cell>
          <cell r="BX2093" t="str">
            <v>AON</v>
          </cell>
        </row>
        <row r="2094">
          <cell r="A2094" t="str">
            <v>ON</v>
          </cell>
          <cell r="B2094" t="str">
            <v>Trong 24h</v>
          </cell>
          <cell r="D2094" t="str">
            <v>Khiếu nại về dịch vụ FTTH</v>
          </cell>
          <cell r="W2094" t="str">
            <v>Đang xử lý</v>
          </cell>
          <cell r="AJ2094" t="str">
            <v>Thừa Thiên Huế</v>
          </cell>
          <cell r="BX2094" t="str">
            <v>AON</v>
          </cell>
        </row>
        <row r="2095">
          <cell r="A2095" t="str">
            <v>ON</v>
          </cell>
          <cell r="B2095" t="str">
            <v>Trong 24h</v>
          </cell>
          <cell r="D2095" t="str">
            <v>Khiếu nại về dịch vụ FTTH</v>
          </cell>
          <cell r="W2095" t="str">
            <v>Đã đóng</v>
          </cell>
          <cell r="AJ2095" t="str">
            <v>Yên Bái</v>
          </cell>
          <cell r="BX2095" t="str">
            <v>AON</v>
          </cell>
        </row>
        <row r="2096">
          <cell r="A2096" t="str">
            <v>ON</v>
          </cell>
          <cell r="B2096" t="str">
            <v>Trong 24h</v>
          </cell>
          <cell r="D2096" t="str">
            <v>Khiếu nại về dịch vụ NextTV</v>
          </cell>
          <cell r="W2096" t="str">
            <v>Đang xử lý</v>
          </cell>
          <cell r="AJ2096" t="str">
            <v>Hà Nội 2</v>
          </cell>
          <cell r="BX2096" t="str">
            <v>AON</v>
          </cell>
        </row>
        <row r="2097">
          <cell r="A2097" t="str">
            <v>ON</v>
          </cell>
          <cell r="B2097" t="str">
            <v>Trong 24h</v>
          </cell>
          <cell r="D2097" t="str">
            <v>Khiếu nại về dịch vụ FTTH</v>
          </cell>
          <cell r="W2097" t="str">
            <v>Đã đóng</v>
          </cell>
          <cell r="AJ2097" t="str">
            <v>Yên Bái</v>
          </cell>
          <cell r="BX2097" t="str">
            <v>AON</v>
          </cell>
        </row>
        <row r="2098">
          <cell r="A2098" t="str">
            <v>ON</v>
          </cell>
          <cell r="B2098" t="str">
            <v>Trong 24h</v>
          </cell>
          <cell r="D2098" t="str">
            <v>Khiếu nại về dịch vụ FTTH</v>
          </cell>
          <cell r="W2098" t="str">
            <v>Đang xử lý</v>
          </cell>
          <cell r="AJ2098" t="str">
            <v>Quảng Ninh</v>
          </cell>
          <cell r="BX2098" t="str">
            <v>AON</v>
          </cell>
        </row>
        <row r="2099">
          <cell r="A2099" t="str">
            <v>ON</v>
          </cell>
          <cell r="B2099" t="str">
            <v>Trong 24h</v>
          </cell>
          <cell r="D2099" t="str">
            <v>Khiếu nại về dịch vụ FTTH</v>
          </cell>
          <cell r="W2099" t="str">
            <v>Đã đóng</v>
          </cell>
          <cell r="AJ2099" t="str">
            <v>Bình Phước</v>
          </cell>
          <cell r="BX2099" t="str">
            <v>AON</v>
          </cell>
        </row>
        <row r="2100">
          <cell r="A2100" t="str">
            <v>ON</v>
          </cell>
          <cell r="B2100" t="str">
            <v>Trong 24h</v>
          </cell>
          <cell r="D2100" t="str">
            <v>Khiếu nại về dịch vụ FTTH</v>
          </cell>
          <cell r="W2100" t="str">
            <v>Đã đóng</v>
          </cell>
          <cell r="AJ2100" t="str">
            <v>TP HCM</v>
          </cell>
          <cell r="BX2100" t="str">
            <v>AON</v>
          </cell>
        </row>
        <row r="2101">
          <cell r="A2101" t="str">
            <v>ON</v>
          </cell>
          <cell r="B2101" t="str">
            <v>Trong 24h</v>
          </cell>
          <cell r="D2101" t="str">
            <v>Khiếu nại về dịch vụ FTTH</v>
          </cell>
          <cell r="W2101" t="str">
            <v>Đang xử lý</v>
          </cell>
          <cell r="AJ2101" t="str">
            <v>Long An</v>
          </cell>
          <cell r="BX2101" t="str">
            <v>AON</v>
          </cell>
        </row>
        <row r="2102">
          <cell r="A2102" t="str">
            <v>ON</v>
          </cell>
          <cell r="B2102" t="str">
            <v>Trong 24h</v>
          </cell>
          <cell r="D2102" t="str">
            <v>Khiếu nại về dịch vụ NextTV</v>
          </cell>
          <cell r="W2102" t="str">
            <v>Đang xử lý</v>
          </cell>
          <cell r="AJ2102" t="str">
            <v>Bình Thuận</v>
          </cell>
          <cell r="BX2102" t="str">
            <v>AON</v>
          </cell>
        </row>
        <row r="2103">
          <cell r="A2103" t="str">
            <v>ON</v>
          </cell>
          <cell r="B2103" t="str">
            <v>Trong 24h</v>
          </cell>
          <cell r="D2103" t="str">
            <v>Khiếu nại về dịch vụ FTTH</v>
          </cell>
          <cell r="W2103" t="str">
            <v>Đang xử lý</v>
          </cell>
          <cell r="AJ2103" t="str">
            <v>Kiên Giang</v>
          </cell>
          <cell r="BX2103" t="str">
            <v>AON</v>
          </cell>
        </row>
        <row r="2104">
          <cell r="A2104" t="str">
            <v>ON</v>
          </cell>
          <cell r="B2104" t="str">
            <v>Trong 24h</v>
          </cell>
          <cell r="D2104" t="str">
            <v>Khiếu nại về dịch vụ FTTH</v>
          </cell>
          <cell r="W2104" t="str">
            <v>Đã đóng</v>
          </cell>
          <cell r="AJ2104" t="str">
            <v>Hà Nội 2</v>
          </cell>
          <cell r="BX2104" t="str">
            <v>AON</v>
          </cell>
        </row>
        <row r="2105">
          <cell r="A2105" t="str">
            <v>ON</v>
          </cell>
          <cell r="B2105" t="str">
            <v>Trong 24h</v>
          </cell>
          <cell r="D2105" t="str">
            <v>Khiếu nại về dịch vụ FTTH</v>
          </cell>
          <cell r="W2105" t="str">
            <v>Đã đóng</v>
          </cell>
          <cell r="AJ2105" t="str">
            <v>Bắc Giang</v>
          </cell>
          <cell r="BX2105" t="str">
            <v>AON</v>
          </cell>
        </row>
        <row r="2106">
          <cell r="A2106" t="str">
            <v>ON</v>
          </cell>
          <cell r="B2106" t="str">
            <v>Trong 24h</v>
          </cell>
          <cell r="D2106" t="str">
            <v>Khiếu nại về dịch vụ FTTH</v>
          </cell>
          <cell r="W2106" t="str">
            <v>Đã đóng</v>
          </cell>
          <cell r="AJ2106" t="str">
            <v>Khánh Hoà</v>
          </cell>
          <cell r="BX2106" t="str">
            <v>AON</v>
          </cell>
        </row>
        <row r="2107">
          <cell r="A2107" t="str">
            <v>ON</v>
          </cell>
          <cell r="B2107" t="str">
            <v>Trong 24h</v>
          </cell>
          <cell r="D2107" t="str">
            <v>Khiếu nại về dịch vụ FTTH</v>
          </cell>
          <cell r="W2107" t="str">
            <v>Đã đóng</v>
          </cell>
          <cell r="AJ2107" t="str">
            <v>Nghệ An</v>
          </cell>
          <cell r="BX2107" t="str">
            <v>AON</v>
          </cell>
        </row>
        <row r="2108">
          <cell r="A2108" t="str">
            <v>ON</v>
          </cell>
          <cell r="B2108" t="str">
            <v>Trong 24h</v>
          </cell>
          <cell r="D2108" t="str">
            <v>Khiếu nại về dịch vụ FTTH</v>
          </cell>
          <cell r="W2108" t="str">
            <v>Đang xử lý</v>
          </cell>
          <cell r="AJ2108" t="str">
            <v>Nam Định</v>
          </cell>
          <cell r="BX2108" t="str">
            <v>AON</v>
          </cell>
        </row>
        <row r="2109">
          <cell r="A2109" t="str">
            <v>ON</v>
          </cell>
          <cell r="B2109" t="str">
            <v>Trong 24h</v>
          </cell>
          <cell r="D2109" t="str">
            <v>Khiếu nại về dịch vụ FTTH</v>
          </cell>
          <cell r="W2109" t="str">
            <v>Đã đóng</v>
          </cell>
          <cell r="AJ2109" t="str">
            <v>Hưng Yên</v>
          </cell>
          <cell r="BX2109" t="str">
            <v>AON</v>
          </cell>
        </row>
        <row r="2110">
          <cell r="A2110" t="str">
            <v>ON</v>
          </cell>
          <cell r="B2110" t="str">
            <v>Trong 24h</v>
          </cell>
          <cell r="D2110" t="str">
            <v>Khiếu nại về dịch vụ FTTH</v>
          </cell>
          <cell r="W2110" t="str">
            <v>Đang xử lý</v>
          </cell>
          <cell r="AJ2110" t="str">
            <v>TP HCM</v>
          </cell>
          <cell r="BX2110" t="str">
            <v>AON</v>
          </cell>
        </row>
        <row r="2111">
          <cell r="A2111" t="str">
            <v>ON</v>
          </cell>
          <cell r="B2111" t="str">
            <v>Trong 24h</v>
          </cell>
          <cell r="D2111" t="str">
            <v>Khiếu nại về dịch vụ FTTH</v>
          </cell>
          <cell r="W2111" t="str">
            <v>Đang xử lý</v>
          </cell>
          <cell r="AJ2111" t="str">
            <v>Nghệ An</v>
          </cell>
          <cell r="BX2111" t="str">
            <v>AON</v>
          </cell>
        </row>
        <row r="2112">
          <cell r="A2112" t="str">
            <v>ON</v>
          </cell>
          <cell r="B2112" t="str">
            <v>Trong 24h</v>
          </cell>
          <cell r="D2112" t="str">
            <v>Khiếu nại về dịch vụ NextTV</v>
          </cell>
          <cell r="W2112" t="str">
            <v>Đã đóng</v>
          </cell>
          <cell r="AJ2112" t="str">
            <v>Hậu Giang</v>
          </cell>
          <cell r="BX2112" t="str">
            <v>AON</v>
          </cell>
        </row>
        <row r="2113">
          <cell r="A2113" t="str">
            <v>ON</v>
          </cell>
          <cell r="B2113" t="str">
            <v>Trong 24h</v>
          </cell>
          <cell r="D2113" t="str">
            <v>Khiếu nại về dịch vụ FTTH</v>
          </cell>
          <cell r="W2113" t="str">
            <v>Đã đóng</v>
          </cell>
          <cell r="AJ2113" t="str">
            <v>TP HCM</v>
          </cell>
          <cell r="BX2113" t="str">
            <v>GPON</v>
          </cell>
        </row>
        <row r="2114">
          <cell r="A2114" t="str">
            <v>ON</v>
          </cell>
          <cell r="B2114" t="str">
            <v>Trong 24h</v>
          </cell>
          <cell r="D2114" t="str">
            <v>Khiếu nại về dịch vụ FTTH</v>
          </cell>
          <cell r="W2114" t="str">
            <v>Đang xử lý</v>
          </cell>
          <cell r="AJ2114" t="str">
            <v>Lào Cai</v>
          </cell>
          <cell r="BX2114" t="str">
            <v>AON</v>
          </cell>
        </row>
        <row r="2115">
          <cell r="A2115" t="str">
            <v>ON</v>
          </cell>
          <cell r="B2115" t="str">
            <v>Trong 24h</v>
          </cell>
          <cell r="D2115" t="str">
            <v>Khiếu nại về dịch vụ FTTH</v>
          </cell>
          <cell r="W2115" t="str">
            <v>Đã đóng</v>
          </cell>
          <cell r="AJ2115" t="str">
            <v>Điện Biên</v>
          </cell>
          <cell r="BX2115" t="str">
            <v>AON</v>
          </cell>
        </row>
        <row r="2116">
          <cell r="A2116" t="str">
            <v>ON</v>
          </cell>
          <cell r="B2116" t="str">
            <v>Trong 24h</v>
          </cell>
          <cell r="D2116" t="str">
            <v>Khiếu nại về dịch vụ FTTH</v>
          </cell>
          <cell r="W2116" t="str">
            <v>Đang xử lý</v>
          </cell>
          <cell r="AJ2116" t="str">
            <v>Thanh Hoá</v>
          </cell>
          <cell r="BX2116" t="str">
            <v>AON</v>
          </cell>
        </row>
        <row r="2117">
          <cell r="A2117" t="str">
            <v>ON</v>
          </cell>
          <cell r="B2117" t="str">
            <v>Trong 24h</v>
          </cell>
          <cell r="D2117" t="str">
            <v>Khiếu nại về dịch vụ FTTH</v>
          </cell>
          <cell r="W2117" t="str">
            <v>Đã đóng</v>
          </cell>
          <cell r="AJ2117" t="str">
            <v>TP HCM</v>
          </cell>
          <cell r="BX2117" t="str">
            <v>AON</v>
          </cell>
        </row>
        <row r="2118">
          <cell r="A2118" t="str">
            <v>ON</v>
          </cell>
          <cell r="B2118" t="str">
            <v>Trong 24h</v>
          </cell>
          <cell r="D2118" t="str">
            <v>Khiếu nại về dịch vụ FTTH</v>
          </cell>
          <cell r="W2118" t="str">
            <v>Đã đóng</v>
          </cell>
          <cell r="AJ2118" t="str">
            <v>Nghệ An</v>
          </cell>
          <cell r="BX2118" t="str">
            <v>AON</v>
          </cell>
        </row>
        <row r="2119">
          <cell r="A2119" t="str">
            <v>ON</v>
          </cell>
          <cell r="B2119" t="str">
            <v>Trong 24h</v>
          </cell>
          <cell r="D2119" t="str">
            <v>Khiếu nại về dịch vụ FTTH</v>
          </cell>
          <cell r="W2119" t="str">
            <v>Đã đóng</v>
          </cell>
          <cell r="AJ2119" t="str">
            <v>TP HCM</v>
          </cell>
          <cell r="BX2119" t="str">
            <v>GPON</v>
          </cell>
        </row>
        <row r="2120">
          <cell r="A2120" t="str">
            <v>ON</v>
          </cell>
          <cell r="B2120" t="str">
            <v>Trong 24h</v>
          </cell>
          <cell r="D2120" t="str">
            <v>Khiếu nại về dịch vụ FTTH</v>
          </cell>
          <cell r="W2120" t="str">
            <v>Đang xử lý</v>
          </cell>
          <cell r="AJ2120" t="str">
            <v>Hà Nam</v>
          </cell>
          <cell r="BX2120" t="str">
            <v>AON</v>
          </cell>
        </row>
        <row r="2121">
          <cell r="A2121" t="str">
            <v>ON</v>
          </cell>
          <cell r="B2121" t="str">
            <v>Trong 24h</v>
          </cell>
          <cell r="D2121" t="str">
            <v>Khiếu nại về dịch vụ FTTH</v>
          </cell>
          <cell r="W2121" t="str">
            <v>Đang xử lý</v>
          </cell>
          <cell r="AJ2121" t="str">
            <v>TP HCM</v>
          </cell>
          <cell r="BX2121" t="str">
            <v>AON</v>
          </cell>
        </row>
        <row r="2122">
          <cell r="A2122" t="str">
            <v>ON</v>
          </cell>
          <cell r="B2122" t="str">
            <v>Trong 24h</v>
          </cell>
          <cell r="D2122" t="str">
            <v>Khiếu nại về dịch vụ FTTH</v>
          </cell>
          <cell r="W2122" t="str">
            <v>Đang xử lý</v>
          </cell>
          <cell r="AJ2122" t="str">
            <v>TP HCM</v>
          </cell>
          <cell r="BX2122" t="str">
            <v>AON</v>
          </cell>
        </row>
        <row r="2123">
          <cell r="A2123" t="str">
            <v>ON</v>
          </cell>
          <cell r="B2123" t="str">
            <v>Trong 24h</v>
          </cell>
          <cell r="D2123" t="str">
            <v>Khiếu nại về dịch vụ FTTH</v>
          </cell>
          <cell r="W2123" t="str">
            <v>Đang xử lý</v>
          </cell>
          <cell r="AJ2123" t="str">
            <v>Nam Định</v>
          </cell>
          <cell r="BX2123" t="str">
            <v>AON</v>
          </cell>
        </row>
        <row r="2124">
          <cell r="A2124" t="str">
            <v>ON</v>
          </cell>
          <cell r="B2124" t="str">
            <v>Trong 24h</v>
          </cell>
          <cell r="D2124" t="str">
            <v>Khiếu nại về dịch vụ FTTH</v>
          </cell>
          <cell r="W2124" t="str">
            <v>Đang xử lý</v>
          </cell>
          <cell r="AJ2124" t="str">
            <v>Hậu Giang</v>
          </cell>
          <cell r="BX2124" t="str">
            <v>AON</v>
          </cell>
        </row>
        <row r="2125">
          <cell r="A2125" t="str">
            <v>ON</v>
          </cell>
          <cell r="B2125" t="str">
            <v>Trong 24h</v>
          </cell>
          <cell r="D2125" t="str">
            <v>Khiếu nại về dịch vụ FTTH</v>
          </cell>
          <cell r="W2125" t="str">
            <v>Đang xử lý</v>
          </cell>
          <cell r="AJ2125" t="str">
            <v>Long An</v>
          </cell>
          <cell r="BX2125" t="str">
            <v>AON</v>
          </cell>
        </row>
        <row r="2126">
          <cell r="A2126" t="str">
            <v>ON</v>
          </cell>
          <cell r="B2126" t="str">
            <v>Trong 24h</v>
          </cell>
          <cell r="D2126" t="str">
            <v>Khiếu nại về dịch vụ FTTH</v>
          </cell>
          <cell r="W2126" t="str">
            <v>Đang xử lý</v>
          </cell>
          <cell r="AJ2126" t="str">
            <v>Cà Mau</v>
          </cell>
          <cell r="BX2126" t="str">
            <v>AON</v>
          </cell>
        </row>
        <row r="2127">
          <cell r="A2127" t="str">
            <v>ON</v>
          </cell>
          <cell r="B2127" t="str">
            <v>Trong 24h</v>
          </cell>
          <cell r="D2127" t="str">
            <v>Khiếu nại về dịch vụ FTTH</v>
          </cell>
          <cell r="W2127" t="str">
            <v>Đã đóng</v>
          </cell>
          <cell r="AJ2127" t="str">
            <v>Thanh Hoá</v>
          </cell>
          <cell r="BX2127" t="str">
            <v>AON</v>
          </cell>
        </row>
        <row r="2128">
          <cell r="A2128" t="str">
            <v>ON</v>
          </cell>
          <cell r="B2128" t="str">
            <v>Trong 24h</v>
          </cell>
          <cell r="D2128" t="str">
            <v>Khiếu nại về dịch vụ FTTH</v>
          </cell>
          <cell r="W2128" t="str">
            <v>Đã đóng</v>
          </cell>
          <cell r="AJ2128" t="str">
            <v>Bình Phước</v>
          </cell>
          <cell r="BX2128" t="str">
            <v>AON</v>
          </cell>
        </row>
        <row r="2129">
          <cell r="A2129" t="str">
            <v>ON</v>
          </cell>
          <cell r="B2129" t="str">
            <v>Trong 24h</v>
          </cell>
          <cell r="D2129" t="str">
            <v>Khiếu nại về dịch vụ FTTH</v>
          </cell>
          <cell r="W2129" t="str">
            <v>Đã đóng</v>
          </cell>
          <cell r="AJ2129" t="str">
            <v>Thanh Hoá</v>
          </cell>
          <cell r="BX2129" t="str">
            <v>AON</v>
          </cell>
        </row>
        <row r="2130">
          <cell r="A2130" t="str">
            <v>ON</v>
          </cell>
          <cell r="B2130" t="str">
            <v>Trong 24h</v>
          </cell>
          <cell r="D2130" t="str">
            <v>Khiếu nại về dịch vụ FTTH</v>
          </cell>
          <cell r="W2130" t="str">
            <v>Đang xử lý</v>
          </cell>
          <cell r="AJ2130" t="str">
            <v>Hải Phòng</v>
          </cell>
          <cell r="BX2130" t="str">
            <v>AON</v>
          </cell>
        </row>
        <row r="2131">
          <cell r="A2131" t="str">
            <v>ON</v>
          </cell>
          <cell r="B2131" t="str">
            <v>Trong 24h</v>
          </cell>
          <cell r="D2131" t="str">
            <v>Khiếu nại về dịch vụ FTTH</v>
          </cell>
          <cell r="W2131" t="str">
            <v>Đang xử lý</v>
          </cell>
          <cell r="AJ2131" t="str">
            <v>Hậu Giang</v>
          </cell>
          <cell r="BX2131" t="str">
            <v>AON</v>
          </cell>
        </row>
        <row r="2132">
          <cell r="A2132" t="str">
            <v>ON</v>
          </cell>
          <cell r="B2132" t="str">
            <v>Trong 24h</v>
          </cell>
          <cell r="D2132" t="str">
            <v>Khiếu nại về dịch vụ FTTH</v>
          </cell>
          <cell r="W2132" t="str">
            <v>Đã đóng</v>
          </cell>
          <cell r="AJ2132" t="str">
            <v>Thanh Hoá</v>
          </cell>
          <cell r="BX2132" t="str">
            <v>AON</v>
          </cell>
        </row>
        <row r="2133">
          <cell r="A2133" t="str">
            <v>ON</v>
          </cell>
          <cell r="B2133" t="str">
            <v>Trong 24h</v>
          </cell>
          <cell r="D2133" t="str">
            <v>Khiếu nại về dịch vụ FTTH</v>
          </cell>
          <cell r="W2133" t="str">
            <v>Đang xử lý</v>
          </cell>
          <cell r="AJ2133" t="str">
            <v>Quảng Ninh</v>
          </cell>
          <cell r="BX2133" t="str">
            <v>AON</v>
          </cell>
        </row>
        <row r="2134">
          <cell r="A2134" t="str">
            <v>ON</v>
          </cell>
          <cell r="B2134" t="str">
            <v>Trong 24h</v>
          </cell>
          <cell r="D2134" t="str">
            <v>Khiếu nại về dịch vụ FTTH</v>
          </cell>
          <cell r="W2134" t="str">
            <v>Đang xử lý</v>
          </cell>
          <cell r="AJ2134" t="str">
            <v>Bến Tre</v>
          </cell>
          <cell r="BX2134" t="str">
            <v>AON</v>
          </cell>
        </row>
        <row r="2135">
          <cell r="A2135" t="str">
            <v>ON</v>
          </cell>
          <cell r="B2135" t="str">
            <v>Trong 24h</v>
          </cell>
          <cell r="D2135" t="str">
            <v>Khiếu nại về dịch vụ FTTH</v>
          </cell>
          <cell r="W2135" t="str">
            <v>Đang xử lý</v>
          </cell>
          <cell r="AJ2135" t="str">
            <v>TP HCM</v>
          </cell>
          <cell r="BX2135" t="str">
            <v>GPON</v>
          </cell>
        </row>
        <row r="2136">
          <cell r="A2136" t="str">
            <v>ON</v>
          </cell>
          <cell r="B2136" t="str">
            <v>Trong 24h</v>
          </cell>
          <cell r="D2136" t="str">
            <v>Khiếu nại về dịch vụ FTTH</v>
          </cell>
          <cell r="W2136" t="str">
            <v>Đang xử lý</v>
          </cell>
          <cell r="AJ2136" t="str">
            <v xml:space="preserve">Đồng Nai </v>
          </cell>
          <cell r="BX2136" t="str">
            <v>AON</v>
          </cell>
        </row>
        <row r="2137">
          <cell r="A2137" t="str">
            <v>ON</v>
          </cell>
          <cell r="B2137" t="str">
            <v>Trong 24h</v>
          </cell>
          <cell r="D2137" t="str">
            <v>Khiếu nại về dịch vụ FTTH</v>
          </cell>
          <cell r="W2137" t="str">
            <v>Đang xử lý</v>
          </cell>
          <cell r="AJ2137" t="str">
            <v>Hậu Giang</v>
          </cell>
          <cell r="BX2137" t="str">
            <v>AON</v>
          </cell>
        </row>
        <row r="2138">
          <cell r="A2138" t="str">
            <v>ON</v>
          </cell>
          <cell r="B2138" t="str">
            <v>Trong 24h</v>
          </cell>
          <cell r="D2138" t="str">
            <v>Khiếu nại về dịch vụ FTTH</v>
          </cell>
          <cell r="W2138" t="str">
            <v>Đang xử lý</v>
          </cell>
          <cell r="AJ2138" t="str">
            <v>Lâm Đồng</v>
          </cell>
          <cell r="BX2138" t="str">
            <v>AON</v>
          </cell>
        </row>
        <row r="2139">
          <cell r="A2139" t="str">
            <v>ON</v>
          </cell>
          <cell r="B2139" t="str">
            <v>Trong 24h</v>
          </cell>
          <cell r="D2139" t="str">
            <v>Khiếu nại về dịch vụ FTTH</v>
          </cell>
          <cell r="W2139" t="str">
            <v>Đang xử lý</v>
          </cell>
          <cell r="AJ2139" t="str">
            <v>TP HCM</v>
          </cell>
          <cell r="BX2139" t="str">
            <v>AON</v>
          </cell>
        </row>
        <row r="2140">
          <cell r="A2140" t="str">
            <v>ON</v>
          </cell>
          <cell r="B2140" t="str">
            <v>Trong 24h</v>
          </cell>
          <cell r="D2140" t="str">
            <v>Khiếu nại về dịch vụ FTTH</v>
          </cell>
          <cell r="W2140" t="str">
            <v>Đang xử lý</v>
          </cell>
          <cell r="AJ2140" t="str">
            <v xml:space="preserve">Hà Tĩnh </v>
          </cell>
          <cell r="BX2140" t="str">
            <v>AON</v>
          </cell>
        </row>
        <row r="2141">
          <cell r="A2141" t="str">
            <v>ON</v>
          </cell>
          <cell r="B2141" t="str">
            <v>Trong 24h</v>
          </cell>
          <cell r="D2141" t="str">
            <v>Khiếu nại về dịch vụ FTTH</v>
          </cell>
          <cell r="W2141" t="str">
            <v>Đang xử lý</v>
          </cell>
          <cell r="AJ2141" t="str">
            <v>Bắc Giang</v>
          </cell>
          <cell r="BX2141" t="str">
            <v>AON</v>
          </cell>
        </row>
        <row r="2142">
          <cell r="A2142" t="str">
            <v>ON</v>
          </cell>
          <cell r="B2142" t="str">
            <v>Trong 24h</v>
          </cell>
          <cell r="D2142" t="str">
            <v>Khiếu nại về dịch vụ FTTH</v>
          </cell>
          <cell r="W2142" t="str">
            <v>Đang xử lý</v>
          </cell>
          <cell r="AJ2142" t="str">
            <v xml:space="preserve">Đà Nẵng </v>
          </cell>
          <cell r="BX2142" t="str">
            <v>AON</v>
          </cell>
        </row>
        <row r="2143">
          <cell r="A2143" t="str">
            <v>ON</v>
          </cell>
          <cell r="B2143" t="str">
            <v>Trong 24h</v>
          </cell>
          <cell r="D2143" t="str">
            <v>Khiếu nại về dịch vụ FTTH</v>
          </cell>
          <cell r="W2143" t="str">
            <v>Đang xử lý</v>
          </cell>
          <cell r="AJ2143" t="str">
            <v>Hậu Giang</v>
          </cell>
          <cell r="BX2143" t="str">
            <v>AON</v>
          </cell>
        </row>
        <row r="2144">
          <cell r="A2144" t="str">
            <v>ON</v>
          </cell>
          <cell r="B2144" t="str">
            <v>Trong 24h</v>
          </cell>
          <cell r="D2144" t="str">
            <v>Khiếu nại về dịch vụ FTTH</v>
          </cell>
          <cell r="W2144" t="str">
            <v>Đang xử lý</v>
          </cell>
          <cell r="AJ2144" t="str">
            <v>Quảng Ninh</v>
          </cell>
          <cell r="BX2144" t="str">
            <v>AON</v>
          </cell>
        </row>
        <row r="2145">
          <cell r="A2145" t="str">
            <v>ON</v>
          </cell>
          <cell r="B2145" t="str">
            <v>Trong 24h</v>
          </cell>
          <cell r="D2145" t="str">
            <v>Khiếu nại về dịch vụ FTTH</v>
          </cell>
          <cell r="W2145" t="str">
            <v>Đã đóng</v>
          </cell>
          <cell r="AJ2145" t="str">
            <v>TP HCM</v>
          </cell>
          <cell r="BX2145" t="str">
            <v>AON</v>
          </cell>
        </row>
        <row r="2146">
          <cell r="A2146" t="str">
            <v>ON</v>
          </cell>
          <cell r="B2146" t="str">
            <v>Trong 24h</v>
          </cell>
          <cell r="D2146" t="str">
            <v>Khiếu nại về dịch vụ FTTH</v>
          </cell>
          <cell r="W2146" t="str">
            <v>Đang xử lý</v>
          </cell>
          <cell r="AJ2146" t="str">
            <v xml:space="preserve">Đà Nẵng </v>
          </cell>
          <cell r="BX2146" t="str">
            <v>AON</v>
          </cell>
        </row>
        <row r="2147">
          <cell r="A2147" t="str">
            <v>ON</v>
          </cell>
          <cell r="B2147" t="str">
            <v>Trong 24h</v>
          </cell>
          <cell r="D2147" t="str">
            <v>Khiếu nại về dịch vụ FTTH</v>
          </cell>
          <cell r="W2147" t="str">
            <v>Đang xử lý</v>
          </cell>
          <cell r="AJ2147" t="str">
            <v>Hà Nam</v>
          </cell>
          <cell r="BX2147" t="str">
            <v>AON</v>
          </cell>
        </row>
        <row r="2148">
          <cell r="A2148" t="str">
            <v>ON</v>
          </cell>
          <cell r="B2148" t="str">
            <v>Trong 24h</v>
          </cell>
          <cell r="D2148" t="str">
            <v>Khiếu nại về dịch vụ FTTH</v>
          </cell>
          <cell r="W2148" t="str">
            <v>Đang xử lý</v>
          </cell>
          <cell r="AJ2148" t="str">
            <v>TP HCM</v>
          </cell>
          <cell r="BX2148" t="str">
            <v>AON</v>
          </cell>
        </row>
        <row r="2149">
          <cell r="A2149" t="str">
            <v>ON</v>
          </cell>
          <cell r="B2149" t="str">
            <v>Trong 24h</v>
          </cell>
          <cell r="D2149" t="str">
            <v>Khiếu nại về dịch vụ FTTH</v>
          </cell>
          <cell r="W2149" t="str">
            <v>Đang xử lý</v>
          </cell>
          <cell r="AJ2149" t="str">
            <v>Hà Nội 1</v>
          </cell>
          <cell r="BX2149" t="str">
            <v>AON</v>
          </cell>
        </row>
        <row r="2150">
          <cell r="A2150" t="str">
            <v>ON</v>
          </cell>
          <cell r="B2150" t="str">
            <v>Trong 24h</v>
          </cell>
          <cell r="D2150" t="str">
            <v>Khiếu nại về dịch vụ FTTH</v>
          </cell>
          <cell r="W2150" t="str">
            <v>Đang xử lý</v>
          </cell>
          <cell r="AJ2150" t="str">
            <v xml:space="preserve">Đồng Nai </v>
          </cell>
          <cell r="BX2150" t="str">
            <v>AON</v>
          </cell>
        </row>
        <row r="2151">
          <cell r="A2151" t="str">
            <v>ON</v>
          </cell>
          <cell r="B2151" t="str">
            <v>Trong 24h</v>
          </cell>
          <cell r="D2151" t="str">
            <v>Khiếu nại về dịch vụ FTTH</v>
          </cell>
          <cell r="W2151" t="str">
            <v>Đang xử lý</v>
          </cell>
          <cell r="AJ2151" t="str">
            <v>Quảng Bình</v>
          </cell>
          <cell r="BX2151" t="str">
            <v>AON</v>
          </cell>
        </row>
        <row r="2152">
          <cell r="A2152" t="str">
            <v>ON</v>
          </cell>
          <cell r="B2152" t="str">
            <v>Trong 24h</v>
          </cell>
          <cell r="D2152" t="str">
            <v>Khiếu nại về dịch vụ FTTH</v>
          </cell>
          <cell r="W2152" t="str">
            <v>Đang xử lý</v>
          </cell>
          <cell r="AJ2152" t="str">
            <v>Hà Nội 1</v>
          </cell>
          <cell r="BX2152" t="str">
            <v>AON</v>
          </cell>
        </row>
        <row r="2153">
          <cell r="A2153" t="str">
            <v>ON</v>
          </cell>
          <cell r="B2153" t="str">
            <v>Trong 24h</v>
          </cell>
          <cell r="D2153" t="str">
            <v>Khiếu nại về dịch vụ FTTH</v>
          </cell>
          <cell r="W2153" t="str">
            <v>Đang xử lý</v>
          </cell>
          <cell r="AJ2153" t="str">
            <v>TP HCM</v>
          </cell>
          <cell r="BX2153" t="str">
            <v>AON</v>
          </cell>
        </row>
        <row r="2154">
          <cell r="A2154" t="str">
            <v>ON</v>
          </cell>
          <cell r="B2154" t="str">
            <v>Trong 24h</v>
          </cell>
          <cell r="D2154" t="str">
            <v>Khiếu nại về dịch vụ FTTH</v>
          </cell>
          <cell r="W2154" t="str">
            <v>Đang xử lý</v>
          </cell>
          <cell r="AJ2154" t="str">
            <v xml:space="preserve">Đắc Lắk </v>
          </cell>
          <cell r="BX2154" t="str">
            <v>AON</v>
          </cell>
        </row>
        <row r="2155">
          <cell r="A2155" t="str">
            <v>ON</v>
          </cell>
          <cell r="B2155" t="str">
            <v>Trong 24h</v>
          </cell>
          <cell r="D2155" t="str">
            <v>Khiếu nại về dịch vụ FTTH</v>
          </cell>
          <cell r="W2155" t="str">
            <v>Đã đóng</v>
          </cell>
          <cell r="AJ2155" t="str">
            <v>TP HCM</v>
          </cell>
          <cell r="BX2155" t="str">
            <v>AON</v>
          </cell>
        </row>
        <row r="2156">
          <cell r="A2156" t="str">
            <v>ON</v>
          </cell>
          <cell r="B2156" t="str">
            <v>Trong 24h</v>
          </cell>
          <cell r="D2156" t="str">
            <v>Khiếu nại về dịch vụ FTTH</v>
          </cell>
          <cell r="W2156" t="str">
            <v>Đang xử lý</v>
          </cell>
          <cell r="AJ2156" t="str">
            <v>Lâm Đồng</v>
          </cell>
          <cell r="BX2156" t="str">
            <v>AON</v>
          </cell>
        </row>
        <row r="2157">
          <cell r="A2157" t="str">
            <v>ON</v>
          </cell>
          <cell r="B2157" t="str">
            <v>Trong 24h</v>
          </cell>
          <cell r="D2157" t="str">
            <v>Khiếu nại về dịch vụ FTTH</v>
          </cell>
          <cell r="W2157" t="str">
            <v>Đang xử lý</v>
          </cell>
          <cell r="AJ2157" t="str">
            <v>Hà Nội 1</v>
          </cell>
          <cell r="BX2157" t="str">
            <v>AON</v>
          </cell>
        </row>
        <row r="2158">
          <cell r="A2158" t="str">
            <v>ON</v>
          </cell>
          <cell r="B2158" t="str">
            <v>Trong 24h</v>
          </cell>
          <cell r="D2158" t="str">
            <v>Khiếu nại về dịch vụ FTTH</v>
          </cell>
          <cell r="W2158" t="str">
            <v>Đang xử lý</v>
          </cell>
          <cell r="AJ2158" t="str">
            <v>Bình Dương</v>
          </cell>
          <cell r="BX2158" t="str">
            <v>AON</v>
          </cell>
        </row>
        <row r="2159">
          <cell r="A2159" t="str">
            <v>ON</v>
          </cell>
          <cell r="B2159" t="str">
            <v>Trong 24h</v>
          </cell>
          <cell r="D2159" t="str">
            <v>Khiếu nại về dịch vụ FTTH</v>
          </cell>
          <cell r="W2159" t="str">
            <v>Đang xử lý</v>
          </cell>
          <cell r="AJ2159" t="str">
            <v>Hậu Giang</v>
          </cell>
          <cell r="BX2159" t="str">
            <v>AON</v>
          </cell>
        </row>
        <row r="2160">
          <cell r="A2160" t="str">
            <v>ON</v>
          </cell>
          <cell r="B2160" t="str">
            <v>Trong 24h</v>
          </cell>
          <cell r="D2160" t="str">
            <v>Khiếu nại về dịch vụ FTTH</v>
          </cell>
          <cell r="W2160" t="str">
            <v>Đang xử lý</v>
          </cell>
          <cell r="AJ2160" t="str">
            <v>Bình Dương</v>
          </cell>
          <cell r="BX2160" t="str">
            <v>AON</v>
          </cell>
        </row>
        <row r="2161">
          <cell r="A2161" t="str">
            <v>ON</v>
          </cell>
          <cell r="B2161" t="str">
            <v>Trong 24h</v>
          </cell>
          <cell r="D2161" t="str">
            <v>Khiếu nại về dịch vụ FTTH</v>
          </cell>
          <cell r="W2161" t="str">
            <v>Đang xử lý</v>
          </cell>
          <cell r="AJ2161" t="str">
            <v xml:space="preserve">Đồng Nai </v>
          </cell>
          <cell r="BX2161" t="str">
            <v>AON</v>
          </cell>
        </row>
        <row r="2162">
          <cell r="A2162" t="str">
            <v>ON</v>
          </cell>
          <cell r="B2162" t="str">
            <v>Trong 24h</v>
          </cell>
          <cell r="D2162" t="str">
            <v>Khiếu nại về dịch vụ NextTV</v>
          </cell>
          <cell r="W2162" t="str">
            <v>Đang xử lý</v>
          </cell>
          <cell r="AJ2162" t="str">
            <v>Hậu Giang</v>
          </cell>
          <cell r="BX2162" t="str">
            <v>AON</v>
          </cell>
        </row>
        <row r="2163">
          <cell r="A2163" t="str">
            <v>ON</v>
          </cell>
          <cell r="B2163" t="str">
            <v>Trong 24h</v>
          </cell>
          <cell r="D2163" t="str">
            <v>Khiếu nại về dịch vụ FTTH</v>
          </cell>
          <cell r="W2163" t="str">
            <v>Đang xử lý</v>
          </cell>
          <cell r="AJ2163" t="str">
            <v>TP HCM</v>
          </cell>
          <cell r="BX2163" t="str">
            <v>AON</v>
          </cell>
        </row>
        <row r="2164">
          <cell r="A2164" t="str">
            <v>ON</v>
          </cell>
          <cell r="B2164" t="str">
            <v>Trong 24h</v>
          </cell>
          <cell r="D2164" t="str">
            <v>Khiếu nại về dịch vụ FTTH</v>
          </cell>
          <cell r="W2164" t="str">
            <v>Đang xử lý</v>
          </cell>
          <cell r="AJ2164" t="str">
            <v>Bình Dương</v>
          </cell>
          <cell r="BX2164" t="str">
            <v>AON</v>
          </cell>
        </row>
        <row r="2165">
          <cell r="A2165" t="str">
            <v>ON</v>
          </cell>
          <cell r="B2165" t="str">
            <v>Trong 24h</v>
          </cell>
          <cell r="D2165" t="str">
            <v>Khiếu nại về dịch vụ FTTH</v>
          </cell>
          <cell r="W2165" t="str">
            <v>Đang xử lý</v>
          </cell>
          <cell r="AJ2165" t="str">
            <v xml:space="preserve">Đắc Lắk </v>
          </cell>
          <cell r="BX2165" t="str">
            <v>AON</v>
          </cell>
        </row>
        <row r="2166">
          <cell r="A2166" t="str">
            <v>ON</v>
          </cell>
          <cell r="B2166" t="str">
            <v>Trong 24h</v>
          </cell>
          <cell r="D2166" t="str">
            <v>Khiếu nại về dịch vụ FTTH</v>
          </cell>
          <cell r="W2166" t="str">
            <v>Đang xử lý</v>
          </cell>
          <cell r="AJ2166" t="str">
            <v>Cần Thơ</v>
          </cell>
          <cell r="BX2166" t="str">
            <v>AON</v>
          </cell>
        </row>
        <row r="2167">
          <cell r="A2167" t="str">
            <v>ON</v>
          </cell>
          <cell r="B2167" t="str">
            <v>Trong 24h</v>
          </cell>
          <cell r="D2167" t="str">
            <v>Khiếu nại về dịch vụ FTTH</v>
          </cell>
          <cell r="W2167" t="str">
            <v>Đang xử lý</v>
          </cell>
          <cell r="AJ2167" t="str">
            <v>TP HCM</v>
          </cell>
          <cell r="BX2167" t="str">
            <v>AON</v>
          </cell>
        </row>
        <row r="2168">
          <cell r="A2168" t="str">
            <v>ON</v>
          </cell>
          <cell r="B2168" t="str">
            <v>Trong 24h</v>
          </cell>
          <cell r="D2168" t="str">
            <v>Khiếu nại về dịch vụ FTTH</v>
          </cell>
          <cell r="W2168" t="str">
            <v>Đang xử lý</v>
          </cell>
          <cell r="AJ2168" t="str">
            <v>Quảng Ninh</v>
          </cell>
          <cell r="BX2168" t="str">
            <v>AON</v>
          </cell>
        </row>
        <row r="2169">
          <cell r="A2169" t="str">
            <v>ON</v>
          </cell>
          <cell r="B2169" t="str">
            <v>Trong 24h</v>
          </cell>
          <cell r="D2169" t="str">
            <v>Khiếu nại về dịch vụ FTTH</v>
          </cell>
          <cell r="W2169" t="str">
            <v>Đang xử lý</v>
          </cell>
          <cell r="AJ2169" t="str">
            <v>Long An</v>
          </cell>
          <cell r="BX2169" t="str">
            <v>AON</v>
          </cell>
        </row>
        <row r="2170">
          <cell r="A2170" t="str">
            <v>ON</v>
          </cell>
          <cell r="B2170" t="str">
            <v>Trong 24h</v>
          </cell>
          <cell r="D2170" t="str">
            <v>Khiếu nại về dịch vụ FTTH</v>
          </cell>
          <cell r="W2170" t="str">
            <v>Đang xử lý</v>
          </cell>
          <cell r="AJ2170" t="str">
            <v>Hậu Giang</v>
          </cell>
          <cell r="BX2170" t="str">
            <v>AON</v>
          </cell>
        </row>
        <row r="2171">
          <cell r="A2171" t="str">
            <v>ON</v>
          </cell>
          <cell r="B2171" t="str">
            <v>Trong 24h</v>
          </cell>
          <cell r="D2171" t="str">
            <v>Khiếu nại về dịch vụ FTTH</v>
          </cell>
          <cell r="W2171" t="str">
            <v>Đang xử lý</v>
          </cell>
          <cell r="AJ2171" t="str">
            <v>Nam Định</v>
          </cell>
          <cell r="BX2171" t="str">
            <v>AON</v>
          </cell>
        </row>
        <row r="2172">
          <cell r="A2172" t="str">
            <v>ON</v>
          </cell>
          <cell r="B2172" t="str">
            <v>Trong 24h</v>
          </cell>
          <cell r="D2172" t="str">
            <v>Khiếu nại về dịch vụ FTTH</v>
          </cell>
          <cell r="W2172" t="str">
            <v>Đang xử lý</v>
          </cell>
          <cell r="AJ2172" t="str">
            <v>Hà Nam</v>
          </cell>
          <cell r="BX2172" t="str">
            <v>AON</v>
          </cell>
        </row>
        <row r="2173">
          <cell r="A2173" t="str">
            <v>ON</v>
          </cell>
          <cell r="B2173" t="str">
            <v>Trong 24h</v>
          </cell>
          <cell r="D2173" t="str">
            <v>Khiếu nại về dịch vụ FTTH</v>
          </cell>
          <cell r="W2173" t="str">
            <v>Đang xử lý</v>
          </cell>
          <cell r="AJ2173" t="str">
            <v>TP HCM</v>
          </cell>
          <cell r="BX2173" t="str">
            <v>AON</v>
          </cell>
        </row>
        <row r="2174">
          <cell r="A2174" t="str">
            <v>ON</v>
          </cell>
          <cell r="B2174" t="str">
            <v>Trong 24h</v>
          </cell>
          <cell r="D2174" t="str">
            <v>Khiếu nại về dịch vụ FTTH</v>
          </cell>
          <cell r="W2174" t="str">
            <v>Đang xử lý</v>
          </cell>
          <cell r="AJ2174" t="str">
            <v>Hà Nội 2</v>
          </cell>
          <cell r="BX2174" t="str">
            <v>AON</v>
          </cell>
        </row>
        <row r="2175">
          <cell r="A2175" t="str">
            <v>ON</v>
          </cell>
          <cell r="B2175" t="str">
            <v>Trong 24h</v>
          </cell>
          <cell r="D2175" t="str">
            <v>Khiếu nại về dịch vụ FTTH</v>
          </cell>
          <cell r="W2175" t="str">
            <v>Đang xử lý</v>
          </cell>
          <cell r="AJ2175" t="str">
            <v>Bắc Giang</v>
          </cell>
          <cell r="BX2175" t="str">
            <v>AON</v>
          </cell>
        </row>
        <row r="2176">
          <cell r="A2176" t="str">
            <v>ON</v>
          </cell>
          <cell r="B2176" t="str">
            <v>Trong 24h</v>
          </cell>
          <cell r="D2176" t="str">
            <v>Khiếu nại về dịch vụ FTTH</v>
          </cell>
          <cell r="W2176" t="str">
            <v>Đang xử lý</v>
          </cell>
          <cell r="AJ2176" t="str">
            <v>Quảng Ninh</v>
          </cell>
          <cell r="BX2176" t="str">
            <v>AON</v>
          </cell>
        </row>
        <row r="2177">
          <cell r="A2177" t="str">
            <v>ON</v>
          </cell>
          <cell r="B2177" t="str">
            <v>Trong 24h</v>
          </cell>
          <cell r="D2177" t="str">
            <v>Khiếu nại về dịch vụ FTTH</v>
          </cell>
          <cell r="W2177" t="str">
            <v>Đã đóng</v>
          </cell>
          <cell r="AJ2177" t="str">
            <v>Kon Tum</v>
          </cell>
          <cell r="BX2177" t="str">
            <v>AON</v>
          </cell>
        </row>
        <row r="2178">
          <cell r="A2178" t="str">
            <v>ON</v>
          </cell>
          <cell r="B2178" t="str">
            <v>Trong 24h</v>
          </cell>
          <cell r="D2178" t="str">
            <v>Khiếu nại về dịch vụ FTTH</v>
          </cell>
          <cell r="W2178" t="str">
            <v>Đang xử lý</v>
          </cell>
          <cell r="AJ2178" t="str">
            <v>Hà Nội 1</v>
          </cell>
          <cell r="BX2178" t="str">
            <v>AON</v>
          </cell>
        </row>
        <row r="2179">
          <cell r="A2179" t="str">
            <v>ON</v>
          </cell>
          <cell r="B2179" t="str">
            <v>Trong 24h</v>
          </cell>
          <cell r="D2179" t="str">
            <v>Khiếu nại về dịch vụ FTTH</v>
          </cell>
          <cell r="W2179" t="str">
            <v>Đang xử lý</v>
          </cell>
          <cell r="AJ2179" t="str">
            <v>Trà Vinh</v>
          </cell>
          <cell r="BX2179" t="str">
            <v>AON</v>
          </cell>
        </row>
        <row r="2180">
          <cell r="A2180" t="str">
            <v>ON</v>
          </cell>
          <cell r="B2180" t="str">
            <v>Trong 24h</v>
          </cell>
          <cell r="D2180" t="str">
            <v>Khiếu nại về dịch vụ NextTV</v>
          </cell>
          <cell r="W2180" t="str">
            <v>Đang xử lý</v>
          </cell>
          <cell r="AJ2180" t="str">
            <v>Nam Định</v>
          </cell>
          <cell r="BX2180" t="str">
            <v>AON</v>
          </cell>
        </row>
        <row r="2181">
          <cell r="A2181" t="str">
            <v>ON</v>
          </cell>
          <cell r="B2181" t="str">
            <v>Trong 24h</v>
          </cell>
          <cell r="D2181" t="str">
            <v>Khiếu nại về dịch vụ FTTH</v>
          </cell>
          <cell r="W2181" t="str">
            <v>Đang xử lý</v>
          </cell>
          <cell r="AJ2181" t="str">
            <v>Hải Phòng</v>
          </cell>
          <cell r="BX2181" t="str">
            <v>AON</v>
          </cell>
        </row>
        <row r="2182">
          <cell r="A2182" t="str">
            <v>ON</v>
          </cell>
          <cell r="B2182" t="str">
            <v>Trong 24h</v>
          </cell>
          <cell r="D2182" t="str">
            <v>Khiếu nại về dịch vụ FTTH</v>
          </cell>
          <cell r="W2182" t="str">
            <v>Đang xử lý</v>
          </cell>
          <cell r="AJ2182" t="str">
            <v>Hà Nội 2</v>
          </cell>
          <cell r="BX2182" t="str">
            <v>AON</v>
          </cell>
        </row>
        <row r="2183">
          <cell r="A2183" t="str">
            <v>ON</v>
          </cell>
          <cell r="B2183" t="str">
            <v>Trong 24h</v>
          </cell>
          <cell r="D2183" t="str">
            <v>Khiếu nại về dịch vụ FTTH</v>
          </cell>
          <cell r="W2183" t="str">
            <v>Đang xử lý</v>
          </cell>
          <cell r="AJ2183" t="str">
            <v>Ninh Bình</v>
          </cell>
          <cell r="BX2183" t="str">
            <v>AON</v>
          </cell>
        </row>
        <row r="2184">
          <cell r="A2184" t="str">
            <v>ON</v>
          </cell>
          <cell r="B2184" t="str">
            <v>Trong 24h</v>
          </cell>
          <cell r="D2184" t="str">
            <v>Khiếu nại về dịch vụ FTTH</v>
          </cell>
          <cell r="W2184" t="str">
            <v>Đang xử lý</v>
          </cell>
          <cell r="AJ2184" t="str">
            <v>Bình Định</v>
          </cell>
          <cell r="BX2184" t="str">
            <v>AON</v>
          </cell>
        </row>
        <row r="2185">
          <cell r="A2185" t="str">
            <v>ON</v>
          </cell>
          <cell r="B2185" t="str">
            <v>Trong 24h</v>
          </cell>
          <cell r="D2185" t="str">
            <v>Khiếu nại về dịch vụ FTTH</v>
          </cell>
          <cell r="W2185" t="str">
            <v>Đang xử lý</v>
          </cell>
          <cell r="AJ2185" t="str">
            <v>Quảng Ninh</v>
          </cell>
          <cell r="BX2185" t="str">
            <v>AON</v>
          </cell>
        </row>
        <row r="2186">
          <cell r="A2186" t="str">
            <v>ON</v>
          </cell>
          <cell r="B2186" t="str">
            <v>Trong 24h</v>
          </cell>
          <cell r="D2186" t="str">
            <v>Khiếu nại về dịch vụ FTTH</v>
          </cell>
          <cell r="W2186" t="str">
            <v>Đang xử lý</v>
          </cell>
          <cell r="AJ2186" t="str">
            <v>TP HCM</v>
          </cell>
          <cell r="BX2186" t="str">
            <v>AON</v>
          </cell>
        </row>
        <row r="2187">
          <cell r="A2187" t="str">
            <v>ON</v>
          </cell>
          <cell r="B2187" t="str">
            <v>Trong 24h</v>
          </cell>
          <cell r="D2187" t="str">
            <v>Khiếu nại về dịch vụ FTTH</v>
          </cell>
          <cell r="W2187" t="str">
            <v>Đã đóng</v>
          </cell>
          <cell r="AJ2187" t="str">
            <v>TP HCM</v>
          </cell>
          <cell r="BX2187" t="str">
            <v>AON</v>
          </cell>
        </row>
        <row r="2188">
          <cell r="A2188" t="str">
            <v>ON</v>
          </cell>
          <cell r="B2188" t="str">
            <v>Trong 24h</v>
          </cell>
          <cell r="D2188" t="str">
            <v>Khiếu nại về dịch vụ FTTH</v>
          </cell>
          <cell r="W2188" t="str">
            <v>Đã đóng</v>
          </cell>
          <cell r="AJ2188" t="str">
            <v>Quảng Ninh</v>
          </cell>
          <cell r="BX2188" t="str">
            <v>AON</v>
          </cell>
        </row>
        <row r="2189">
          <cell r="A2189" t="str">
            <v>ON</v>
          </cell>
          <cell r="B2189" t="str">
            <v>Trong 24h</v>
          </cell>
          <cell r="D2189" t="str">
            <v>Khiếu nại về dịch vụ FTTH</v>
          </cell>
          <cell r="W2189" t="str">
            <v>Đã đóng</v>
          </cell>
          <cell r="AJ2189" t="str">
            <v>TP HCM</v>
          </cell>
          <cell r="BX2189" t="str">
            <v>AON</v>
          </cell>
        </row>
        <row r="2190">
          <cell r="A2190" t="str">
            <v>ON</v>
          </cell>
          <cell r="B2190" t="str">
            <v>Trong 24h</v>
          </cell>
          <cell r="D2190" t="str">
            <v>Khiếu nại về dịch vụ FTTH</v>
          </cell>
          <cell r="W2190" t="str">
            <v>Đang xử lý</v>
          </cell>
          <cell r="AJ2190" t="str">
            <v>TP HCM</v>
          </cell>
          <cell r="BX2190" t="str">
            <v>AON</v>
          </cell>
        </row>
        <row r="2191">
          <cell r="A2191" t="str">
            <v>ON</v>
          </cell>
          <cell r="B2191" t="str">
            <v>Trong 24h</v>
          </cell>
          <cell r="D2191" t="str">
            <v>Khiếu nại về dịch vụ NextTV</v>
          </cell>
          <cell r="W2191" t="str">
            <v>Đã đóng</v>
          </cell>
          <cell r="AJ2191" t="str">
            <v>Hà Nội 2</v>
          </cell>
          <cell r="BX2191" t="str">
            <v>AON</v>
          </cell>
        </row>
        <row r="2192">
          <cell r="A2192" t="str">
            <v>ON</v>
          </cell>
          <cell r="B2192" t="str">
            <v>Trong 24h</v>
          </cell>
          <cell r="D2192" t="str">
            <v>Khiếu nại về dịch vụ FTTH</v>
          </cell>
          <cell r="W2192" t="str">
            <v>Đang xử lý</v>
          </cell>
          <cell r="AJ2192" t="str">
            <v>TP HCM</v>
          </cell>
          <cell r="BX2192" t="str">
            <v>AON</v>
          </cell>
        </row>
        <row r="2193">
          <cell r="A2193" t="str">
            <v>ON</v>
          </cell>
          <cell r="B2193" t="str">
            <v>Trong 24h</v>
          </cell>
          <cell r="D2193" t="str">
            <v>Khiếu nại về dịch vụ FTTH</v>
          </cell>
          <cell r="W2193" t="str">
            <v>Đang xử lý</v>
          </cell>
          <cell r="AJ2193" t="str">
            <v>Lâm Đồng</v>
          </cell>
          <cell r="BX2193" t="str">
            <v>AON</v>
          </cell>
        </row>
        <row r="2194">
          <cell r="A2194" t="str">
            <v>ON</v>
          </cell>
          <cell r="B2194" t="str">
            <v>Trong 24h</v>
          </cell>
          <cell r="D2194" t="str">
            <v>Khiếu nại về dịch vụ FTTH</v>
          </cell>
          <cell r="W2194" t="str">
            <v>Đang xử lý</v>
          </cell>
          <cell r="AJ2194" t="str">
            <v>Thái Bình</v>
          </cell>
          <cell r="BX2194" t="str">
            <v>AON</v>
          </cell>
        </row>
        <row r="2195">
          <cell r="A2195" t="str">
            <v>ON</v>
          </cell>
          <cell r="B2195" t="str">
            <v>Trong 24h</v>
          </cell>
          <cell r="D2195" t="str">
            <v>Khiếu nại về dịch vụ FTTH</v>
          </cell>
          <cell r="W2195" t="str">
            <v>Đang xử lý</v>
          </cell>
          <cell r="AJ2195" t="str">
            <v>Thái Bình</v>
          </cell>
          <cell r="BX2195" t="str">
            <v>AON</v>
          </cell>
        </row>
        <row r="2196">
          <cell r="A2196" t="str">
            <v>ON</v>
          </cell>
          <cell r="B2196" t="str">
            <v>Trong 24h</v>
          </cell>
          <cell r="D2196" t="str">
            <v>Khiếu nại về dịch vụ FTTH</v>
          </cell>
          <cell r="W2196" t="str">
            <v>Đang xử lý</v>
          </cell>
          <cell r="AJ2196" t="str">
            <v>Thái Nguyên</v>
          </cell>
          <cell r="BX2196" t="str">
            <v>AON</v>
          </cell>
        </row>
        <row r="2197">
          <cell r="A2197" t="str">
            <v>ON</v>
          </cell>
          <cell r="B2197" t="str">
            <v>Trong 24h</v>
          </cell>
          <cell r="D2197" t="str">
            <v>Khiếu nại về dịch vụ FTTH</v>
          </cell>
          <cell r="W2197" t="str">
            <v>Đang xử lý</v>
          </cell>
          <cell r="AJ2197" t="str">
            <v>Bình Dương</v>
          </cell>
          <cell r="BX2197" t="str">
            <v>AON</v>
          </cell>
        </row>
        <row r="2198">
          <cell r="A2198" t="str">
            <v>ON</v>
          </cell>
          <cell r="B2198" t="str">
            <v>Trong 24h</v>
          </cell>
          <cell r="D2198" t="str">
            <v>Khiếu nại về dịch vụ FTTH</v>
          </cell>
          <cell r="W2198" t="str">
            <v>Đã đóng</v>
          </cell>
          <cell r="AJ2198" t="str">
            <v>Nghệ An</v>
          </cell>
          <cell r="BX2198" t="str">
            <v>AON</v>
          </cell>
        </row>
        <row r="2199">
          <cell r="A2199" t="str">
            <v>ON</v>
          </cell>
          <cell r="B2199" t="str">
            <v>Trong 24h</v>
          </cell>
          <cell r="D2199" t="str">
            <v>Khiếu nại về dịch vụ FTTH</v>
          </cell>
          <cell r="W2199" t="str">
            <v>Đang xử lý</v>
          </cell>
          <cell r="AJ2199" t="str">
            <v>TP HCM</v>
          </cell>
          <cell r="BX2199" t="str">
            <v>AON</v>
          </cell>
        </row>
        <row r="2200">
          <cell r="A2200" t="str">
            <v>ON</v>
          </cell>
          <cell r="B2200" t="str">
            <v>Trong 24h</v>
          </cell>
          <cell r="D2200" t="str">
            <v>Khiếu nại về dịch vụ FTTH</v>
          </cell>
          <cell r="W2200" t="str">
            <v>Đã đóng</v>
          </cell>
          <cell r="AJ2200" t="str">
            <v>TP HCM</v>
          </cell>
          <cell r="BX2200" t="str">
            <v>AON</v>
          </cell>
        </row>
        <row r="2201">
          <cell r="A2201" t="str">
            <v>ON</v>
          </cell>
          <cell r="B2201" t="str">
            <v>Trong 24h</v>
          </cell>
          <cell r="D2201" t="str">
            <v>Khiếu nại về dịch vụ FTTH</v>
          </cell>
          <cell r="W2201" t="str">
            <v>Đang xử lý</v>
          </cell>
          <cell r="AJ2201" t="str">
            <v>Quảng Ninh</v>
          </cell>
          <cell r="BX2201" t="str">
            <v>AON</v>
          </cell>
        </row>
        <row r="2202">
          <cell r="A2202" t="str">
            <v>ON</v>
          </cell>
          <cell r="B2202" t="str">
            <v>Trong 24h</v>
          </cell>
          <cell r="D2202" t="str">
            <v>Khiếu nại về dịch vụ FTTH</v>
          </cell>
          <cell r="W2202" t="str">
            <v>Đang xử lý</v>
          </cell>
          <cell r="AJ2202" t="str">
            <v>TP HCM</v>
          </cell>
          <cell r="BX2202" t="str">
            <v>AON</v>
          </cell>
        </row>
        <row r="2203">
          <cell r="A2203" t="str">
            <v>ON</v>
          </cell>
          <cell r="B2203" t="str">
            <v>Trong 24h</v>
          </cell>
          <cell r="D2203" t="str">
            <v>Khiếu nại về dịch vụ FTTH</v>
          </cell>
          <cell r="W2203" t="str">
            <v>Đang xử lý</v>
          </cell>
          <cell r="AJ2203" t="str">
            <v>Quảng Trị</v>
          </cell>
          <cell r="BX2203" t="str">
            <v>AON</v>
          </cell>
        </row>
        <row r="2204">
          <cell r="A2204" t="str">
            <v>ON</v>
          </cell>
          <cell r="B2204" t="str">
            <v>Trong 24h</v>
          </cell>
          <cell r="D2204" t="str">
            <v>Khiếu nại về dịch vụ FTTH</v>
          </cell>
          <cell r="W2204" t="str">
            <v>Đang xử lý</v>
          </cell>
          <cell r="AJ2204" t="str">
            <v xml:space="preserve">Đà Nẵng </v>
          </cell>
          <cell r="BX2204" t="str">
            <v>AON</v>
          </cell>
        </row>
        <row r="2205">
          <cell r="A2205" t="str">
            <v>ON</v>
          </cell>
          <cell r="B2205" t="str">
            <v>Trong 24h</v>
          </cell>
          <cell r="D2205" t="str">
            <v>Khiếu nại về dịch vụ FTTH</v>
          </cell>
          <cell r="W2205" t="str">
            <v>Đang xử lý</v>
          </cell>
          <cell r="AJ2205" t="str">
            <v>Bắc Giang</v>
          </cell>
          <cell r="BX2205" t="str">
            <v>AON</v>
          </cell>
        </row>
        <row r="2206">
          <cell r="A2206" t="str">
            <v>ON</v>
          </cell>
          <cell r="B2206" t="str">
            <v>Trong 24h</v>
          </cell>
          <cell r="D2206" t="str">
            <v>Khiếu nại về dịch vụ FTTH</v>
          </cell>
          <cell r="W2206" t="str">
            <v>Đang xử lý</v>
          </cell>
          <cell r="AJ2206" t="str">
            <v>Hà Nội 1</v>
          </cell>
          <cell r="BX2206" t="str">
            <v>AON</v>
          </cell>
        </row>
        <row r="2207">
          <cell r="A2207" t="str">
            <v>ON</v>
          </cell>
          <cell r="B2207" t="str">
            <v>Trong 24h</v>
          </cell>
          <cell r="D2207" t="str">
            <v>Khiếu nại về dịch vụ FTTH</v>
          </cell>
          <cell r="W2207" t="str">
            <v>Đang xử lý</v>
          </cell>
          <cell r="AJ2207" t="str">
            <v>Hải Phòng</v>
          </cell>
          <cell r="BX2207" t="str">
            <v>AON</v>
          </cell>
        </row>
        <row r="2208">
          <cell r="A2208" t="str">
            <v>ON</v>
          </cell>
          <cell r="B2208" t="str">
            <v>Trong 24h</v>
          </cell>
          <cell r="D2208" t="str">
            <v>Khiếu nại về dịch vụ FTTH</v>
          </cell>
          <cell r="W2208" t="str">
            <v>Đang xử lý</v>
          </cell>
          <cell r="AJ2208" t="str">
            <v>TP HCM</v>
          </cell>
          <cell r="BX2208" t="str">
            <v>AON</v>
          </cell>
        </row>
        <row r="2209">
          <cell r="A2209" t="str">
            <v>ON</v>
          </cell>
          <cell r="B2209" t="str">
            <v>Trong 24h</v>
          </cell>
          <cell r="D2209" t="str">
            <v>Khiếu nại về dịch vụ FTTH</v>
          </cell>
          <cell r="W2209" t="str">
            <v>Đang xử lý</v>
          </cell>
          <cell r="AJ2209" t="str">
            <v>Bến Tre</v>
          </cell>
          <cell r="BX2209" t="str">
            <v>AON</v>
          </cell>
        </row>
        <row r="2210">
          <cell r="A2210" t="str">
            <v>ON</v>
          </cell>
          <cell r="B2210" t="str">
            <v>Trong 24h</v>
          </cell>
          <cell r="D2210" t="str">
            <v>Khiếu nại về dịch vụ FTTH</v>
          </cell>
          <cell r="W2210" t="str">
            <v>Đã đóng</v>
          </cell>
          <cell r="AJ2210" t="str">
            <v>Vĩnh Phúc</v>
          </cell>
          <cell r="BX2210" t="str">
            <v>AON</v>
          </cell>
        </row>
        <row r="2211">
          <cell r="A2211" t="str">
            <v>ON</v>
          </cell>
          <cell r="B2211" t="str">
            <v>Trong 24h</v>
          </cell>
          <cell r="D2211" t="str">
            <v>Khiếu nại về dịch vụ FTTH</v>
          </cell>
          <cell r="W2211" t="str">
            <v>Đang xử lý</v>
          </cell>
          <cell r="AJ2211" t="str">
            <v>Quảng Ninh</v>
          </cell>
          <cell r="BX2211" t="str">
            <v>AON</v>
          </cell>
        </row>
        <row r="2212">
          <cell r="A2212" t="str">
            <v>ON</v>
          </cell>
          <cell r="B2212" t="str">
            <v>Trong 24h</v>
          </cell>
          <cell r="D2212" t="str">
            <v>Khiếu nại về dịch vụ FTTH</v>
          </cell>
          <cell r="W2212" t="str">
            <v>Đang xử lý</v>
          </cell>
          <cell r="AJ2212" t="str">
            <v>Tây Ninh</v>
          </cell>
          <cell r="BX2212" t="str">
            <v>AON</v>
          </cell>
        </row>
        <row r="2213">
          <cell r="A2213" t="str">
            <v>ON</v>
          </cell>
          <cell r="B2213" t="str">
            <v>Trong 24h</v>
          </cell>
          <cell r="D2213" t="str">
            <v>Khiếu nại về dịch vụ FTTH</v>
          </cell>
          <cell r="W2213" t="str">
            <v>Đã đóng</v>
          </cell>
          <cell r="AJ2213" t="str">
            <v>Cà Mau</v>
          </cell>
          <cell r="BX2213" t="str">
            <v>AON</v>
          </cell>
        </row>
        <row r="2214">
          <cell r="A2214" t="str">
            <v>ON</v>
          </cell>
          <cell r="B2214" t="str">
            <v>Trong 24h</v>
          </cell>
          <cell r="D2214" t="str">
            <v>Khiếu nại về dịch vụ FTTH</v>
          </cell>
          <cell r="W2214" t="str">
            <v>Đang xử lý</v>
          </cell>
          <cell r="AJ2214" t="str">
            <v>Quảng Trị</v>
          </cell>
          <cell r="BX2214" t="str">
            <v>AON</v>
          </cell>
        </row>
        <row r="2215">
          <cell r="A2215" t="str">
            <v>ON</v>
          </cell>
          <cell r="B2215" t="str">
            <v>Trong 24h</v>
          </cell>
          <cell r="D2215" t="str">
            <v>Khiếu nại về dịch vụ FTTH</v>
          </cell>
          <cell r="W2215" t="str">
            <v>Đang xử lý</v>
          </cell>
          <cell r="AJ2215" t="str">
            <v>Nghệ An</v>
          </cell>
          <cell r="BX2215" t="str">
            <v>AON</v>
          </cell>
        </row>
        <row r="2216">
          <cell r="A2216" t="str">
            <v>ON</v>
          </cell>
          <cell r="B2216" t="str">
            <v>Trong 24h</v>
          </cell>
          <cell r="D2216" t="str">
            <v>Khiếu nại về dịch vụ FTTH</v>
          </cell>
          <cell r="W2216" t="str">
            <v>Đang xử lý</v>
          </cell>
          <cell r="AJ2216" t="str">
            <v>TP HCM</v>
          </cell>
          <cell r="BX2216" t="str">
            <v>AON</v>
          </cell>
        </row>
        <row r="2217">
          <cell r="A2217" t="str">
            <v>ON</v>
          </cell>
          <cell r="B2217" t="str">
            <v>Trong 24h</v>
          </cell>
          <cell r="D2217" t="str">
            <v>Khiếu nại về dịch vụ NextTV</v>
          </cell>
          <cell r="W2217" t="str">
            <v>Đang xử lý</v>
          </cell>
          <cell r="AJ2217" t="str">
            <v xml:space="preserve">Hà Tĩnh </v>
          </cell>
          <cell r="BX2217" t="str">
            <v>AON</v>
          </cell>
        </row>
        <row r="2218">
          <cell r="A2218" t="str">
            <v>ON</v>
          </cell>
          <cell r="B2218" t="str">
            <v>Trong 24h</v>
          </cell>
          <cell r="D2218" t="str">
            <v>Khiếu nại về dịch vụ FTTH</v>
          </cell>
          <cell r="W2218" t="str">
            <v>Đang xử lý</v>
          </cell>
          <cell r="AJ2218" t="str">
            <v>Thanh Hoá</v>
          </cell>
          <cell r="BX2218" t="str">
            <v>AON</v>
          </cell>
        </row>
        <row r="2219">
          <cell r="A2219" t="str">
            <v>ON</v>
          </cell>
          <cell r="B2219" t="str">
            <v>Trong 24h</v>
          </cell>
          <cell r="D2219" t="str">
            <v>Khiếu nại về dịch vụ FTTH</v>
          </cell>
          <cell r="W2219" t="str">
            <v>Đang xử lý</v>
          </cell>
          <cell r="AJ2219" t="str">
            <v>Bình Phước</v>
          </cell>
          <cell r="BX2219" t="str">
            <v>AON</v>
          </cell>
        </row>
        <row r="2220">
          <cell r="A2220" t="str">
            <v>ON</v>
          </cell>
          <cell r="B2220" t="str">
            <v>Trong 24h</v>
          </cell>
          <cell r="D2220" t="str">
            <v>Khiếu nại về dịch vụ FTTH</v>
          </cell>
          <cell r="W2220" t="str">
            <v>Đang xử lý</v>
          </cell>
          <cell r="AJ2220" t="str">
            <v>Hà Nội 1</v>
          </cell>
          <cell r="BX2220" t="str">
            <v>AON</v>
          </cell>
        </row>
        <row r="2221">
          <cell r="A2221" t="str">
            <v>ON</v>
          </cell>
          <cell r="B2221" t="str">
            <v>Trong 24h</v>
          </cell>
          <cell r="D2221" t="str">
            <v>Khiếu nại về dịch vụ FTTH</v>
          </cell>
          <cell r="W2221" t="str">
            <v>Đang xử lý</v>
          </cell>
          <cell r="AJ2221" t="str">
            <v>Hưng Yên</v>
          </cell>
          <cell r="BX2221" t="str">
            <v>AON</v>
          </cell>
        </row>
        <row r="2222">
          <cell r="A2222" t="str">
            <v>ON</v>
          </cell>
          <cell r="B2222" t="str">
            <v>Trong 24h</v>
          </cell>
          <cell r="D2222" t="str">
            <v>Khiếu nại về dịch vụ FTTH</v>
          </cell>
          <cell r="W2222" t="str">
            <v>Đang xử lý</v>
          </cell>
          <cell r="AJ2222" t="str">
            <v>Quảng Ninh</v>
          </cell>
          <cell r="BX2222" t="str">
            <v>AON</v>
          </cell>
        </row>
        <row r="2223">
          <cell r="A2223" t="str">
            <v>ON</v>
          </cell>
          <cell r="B2223" t="str">
            <v>Trong 24h</v>
          </cell>
          <cell r="D2223" t="str">
            <v>Khiếu nại về dịch vụ FTTH</v>
          </cell>
          <cell r="W2223" t="str">
            <v>Đang xử lý</v>
          </cell>
          <cell r="AJ2223" t="str">
            <v>Hậu Giang</v>
          </cell>
          <cell r="BX2223" t="str">
            <v>AON</v>
          </cell>
        </row>
        <row r="2224">
          <cell r="A2224" t="str">
            <v>ON</v>
          </cell>
          <cell r="B2224" t="str">
            <v>Trong 24h</v>
          </cell>
          <cell r="D2224" t="str">
            <v>Khiếu nại về dịch vụ FTTH</v>
          </cell>
          <cell r="W2224" t="str">
            <v>Đang xử lý</v>
          </cell>
          <cell r="AJ2224" t="str">
            <v>Hà Nội 2</v>
          </cell>
          <cell r="BX2224" t="str">
            <v>AON</v>
          </cell>
        </row>
        <row r="2225">
          <cell r="A2225" t="str">
            <v>ON</v>
          </cell>
          <cell r="B2225" t="str">
            <v>Trong 24h</v>
          </cell>
          <cell r="D2225" t="str">
            <v>Khiếu nại về dịch vụ FTTH</v>
          </cell>
          <cell r="W2225" t="str">
            <v>Đã đóng</v>
          </cell>
          <cell r="AJ2225" t="str">
            <v>Hải Phòng</v>
          </cell>
          <cell r="BX2225" t="str">
            <v>AON</v>
          </cell>
        </row>
        <row r="2226">
          <cell r="A2226" t="str">
            <v>ON</v>
          </cell>
          <cell r="B2226" t="str">
            <v>Trong 24h</v>
          </cell>
          <cell r="D2226" t="str">
            <v>Khiếu nại về dịch vụ FTTH</v>
          </cell>
          <cell r="W2226" t="str">
            <v>Đang xử lý</v>
          </cell>
          <cell r="AJ2226" t="str">
            <v>TP HCM</v>
          </cell>
          <cell r="BX2226" t="str">
            <v>AON</v>
          </cell>
        </row>
        <row r="2227">
          <cell r="A2227" t="str">
            <v>ON</v>
          </cell>
          <cell r="B2227" t="str">
            <v>Trong 24h</v>
          </cell>
          <cell r="D2227" t="str">
            <v>Khiếu nại về dịch vụ FTTH</v>
          </cell>
          <cell r="W2227" t="str">
            <v>Đang xử lý</v>
          </cell>
          <cell r="AJ2227" t="str">
            <v>Hoà Bình</v>
          </cell>
          <cell r="BX2227" t="str">
            <v>AON</v>
          </cell>
        </row>
        <row r="2228">
          <cell r="A2228" t="str">
            <v>ON</v>
          </cell>
          <cell r="B2228" t="str">
            <v>Trong 24h</v>
          </cell>
          <cell r="D2228" t="str">
            <v>Khiếu nại về dịch vụ FTTH</v>
          </cell>
          <cell r="W2228" t="str">
            <v>Đang xử lý</v>
          </cell>
          <cell r="AJ2228" t="str">
            <v>Hậu Giang</v>
          </cell>
          <cell r="BX2228" t="str">
            <v>AON</v>
          </cell>
        </row>
        <row r="2229">
          <cell r="A2229" t="str">
            <v>ON</v>
          </cell>
          <cell r="B2229" t="str">
            <v>Trong 24h</v>
          </cell>
          <cell r="D2229" t="str">
            <v>Khiếu nại về dịch vụ FTTH</v>
          </cell>
          <cell r="W2229" t="str">
            <v>Đang xử lý</v>
          </cell>
          <cell r="AJ2229" t="str">
            <v>Tây Ninh</v>
          </cell>
          <cell r="BX2229" t="str">
            <v>AON</v>
          </cell>
        </row>
        <row r="2230">
          <cell r="A2230" t="str">
            <v>ON</v>
          </cell>
          <cell r="B2230" t="str">
            <v>Trong 24h</v>
          </cell>
          <cell r="D2230" t="str">
            <v>Khiếu nại về dịch vụ FTTH</v>
          </cell>
          <cell r="W2230" t="str">
            <v>Đang xử lý</v>
          </cell>
          <cell r="AJ2230" t="str">
            <v>TP HCM</v>
          </cell>
          <cell r="BX2230" t="str">
            <v>AON</v>
          </cell>
        </row>
        <row r="2231">
          <cell r="A2231" t="str">
            <v>ON</v>
          </cell>
          <cell r="B2231" t="str">
            <v>Trong 24h</v>
          </cell>
          <cell r="D2231" t="str">
            <v>Khiếu nại về dịch vụ FTTH</v>
          </cell>
          <cell r="W2231" t="str">
            <v>Đang xử lý</v>
          </cell>
          <cell r="AJ2231" t="str">
            <v>TP HCM</v>
          </cell>
          <cell r="BX2231" t="str">
            <v>AON</v>
          </cell>
        </row>
        <row r="2232">
          <cell r="A2232" t="str">
            <v>ON</v>
          </cell>
          <cell r="B2232" t="str">
            <v>Trong 24h</v>
          </cell>
          <cell r="D2232" t="str">
            <v>Khiếu nại về dịch vụ FTTH</v>
          </cell>
          <cell r="W2232" t="str">
            <v>Đã đóng</v>
          </cell>
          <cell r="AJ2232" t="str">
            <v xml:space="preserve">Đồng Nai </v>
          </cell>
          <cell r="BX2232" t="str">
            <v>AON</v>
          </cell>
        </row>
        <row r="2233">
          <cell r="A2233" t="str">
            <v>ON</v>
          </cell>
          <cell r="B2233" t="str">
            <v>Trong 24h</v>
          </cell>
          <cell r="D2233" t="str">
            <v>Khiếu nại về dịch vụ FTTH</v>
          </cell>
          <cell r="W2233" t="str">
            <v>Đang xử lý</v>
          </cell>
          <cell r="AJ2233" t="str">
            <v>Hà Nội 2</v>
          </cell>
          <cell r="BX2233" t="str">
            <v>AON</v>
          </cell>
        </row>
        <row r="2234">
          <cell r="A2234" t="str">
            <v>ON</v>
          </cell>
          <cell r="B2234" t="str">
            <v>Trong 24h</v>
          </cell>
          <cell r="D2234" t="str">
            <v>Khiếu nại về dịch vụ FTTH</v>
          </cell>
          <cell r="W2234" t="str">
            <v>Đang xử lý</v>
          </cell>
          <cell r="AJ2234" t="str">
            <v>Thanh Hoá</v>
          </cell>
          <cell r="BX2234" t="str">
            <v>AON</v>
          </cell>
        </row>
        <row r="2235">
          <cell r="A2235" t="str">
            <v>ON</v>
          </cell>
          <cell r="B2235" t="str">
            <v>Trong 24h</v>
          </cell>
          <cell r="D2235" t="str">
            <v>Khiếu nại về dịch vụ FTTH</v>
          </cell>
          <cell r="W2235" t="str">
            <v>Đang xử lý</v>
          </cell>
          <cell r="AJ2235" t="str">
            <v>Bình Dương</v>
          </cell>
          <cell r="BX2235" t="str">
            <v>AON</v>
          </cell>
        </row>
        <row r="2236">
          <cell r="A2236" t="str">
            <v>ON</v>
          </cell>
          <cell r="B2236" t="str">
            <v>Trong 24h</v>
          </cell>
          <cell r="D2236" t="str">
            <v>Khiếu nại về dịch vụ FTTH</v>
          </cell>
          <cell r="W2236" t="str">
            <v>Đang xử lý</v>
          </cell>
          <cell r="AJ2236" t="str">
            <v>Trà Vinh</v>
          </cell>
          <cell r="BX2236" t="str">
            <v>AON</v>
          </cell>
        </row>
        <row r="2237">
          <cell r="A2237" t="str">
            <v>ON</v>
          </cell>
          <cell r="B2237" t="str">
            <v>Trong 24h</v>
          </cell>
          <cell r="D2237" t="str">
            <v>Khiếu nại về dịch vụ FTTH</v>
          </cell>
          <cell r="W2237" t="str">
            <v>Đang xử lý</v>
          </cell>
          <cell r="AJ2237" t="str">
            <v xml:space="preserve">Quảng Nam </v>
          </cell>
          <cell r="BX2237" t="str">
            <v>AON</v>
          </cell>
        </row>
        <row r="2238">
          <cell r="A2238" t="str">
            <v>ON</v>
          </cell>
          <cell r="B2238" t="str">
            <v>Trong 24h</v>
          </cell>
          <cell r="D2238" t="str">
            <v>Khiếu nại về dịch vụ NextTV</v>
          </cell>
          <cell r="W2238" t="str">
            <v>Đang xử lý</v>
          </cell>
          <cell r="AJ2238" t="str">
            <v>Quảng Bình</v>
          </cell>
          <cell r="BX2238" t="str">
            <v>AON</v>
          </cell>
        </row>
        <row r="2239">
          <cell r="A2239" t="str">
            <v>ON</v>
          </cell>
          <cell r="B2239" t="str">
            <v>Trong 24h</v>
          </cell>
          <cell r="D2239" t="str">
            <v>Khiếu nại về dịch vụ FTTH</v>
          </cell>
          <cell r="W2239" t="str">
            <v>Đang xử lý</v>
          </cell>
          <cell r="AJ2239" t="str">
            <v>Bình Dương</v>
          </cell>
          <cell r="BX2239" t="str">
            <v>AON</v>
          </cell>
        </row>
        <row r="2240">
          <cell r="A2240" t="str">
            <v>ON</v>
          </cell>
          <cell r="B2240" t="str">
            <v>Trong 24h</v>
          </cell>
          <cell r="D2240" t="str">
            <v>Khiếu nại về dịch vụ FTTH</v>
          </cell>
          <cell r="W2240" t="str">
            <v>Đang xử lý</v>
          </cell>
          <cell r="AJ2240" t="str">
            <v xml:space="preserve">Đồng Nai </v>
          </cell>
          <cell r="BX2240" t="str">
            <v>AON</v>
          </cell>
        </row>
        <row r="2241">
          <cell r="A2241" t="str">
            <v>ON</v>
          </cell>
          <cell r="B2241" t="str">
            <v>Trong 24h</v>
          </cell>
          <cell r="D2241" t="str">
            <v>Khiếu nại về dịch vụ FTTH</v>
          </cell>
          <cell r="W2241" t="str">
            <v>Đang xử lý</v>
          </cell>
          <cell r="AJ2241" t="str">
            <v>TP HCM</v>
          </cell>
          <cell r="BX2241" t="str">
            <v>AON</v>
          </cell>
        </row>
        <row r="2242">
          <cell r="A2242" t="str">
            <v>ON</v>
          </cell>
          <cell r="B2242" t="str">
            <v>Trong 24h</v>
          </cell>
          <cell r="D2242" t="str">
            <v>Khiếu nại về dịch vụ NextTV</v>
          </cell>
          <cell r="W2242" t="str">
            <v>Đang xử lý</v>
          </cell>
          <cell r="AJ2242" t="str">
            <v xml:space="preserve">Đắc Lắk </v>
          </cell>
          <cell r="BX2242" t="str">
            <v>AON</v>
          </cell>
        </row>
        <row r="2243">
          <cell r="A2243" t="str">
            <v>ON</v>
          </cell>
          <cell r="B2243" t="str">
            <v>Trong 24h</v>
          </cell>
          <cell r="D2243" t="str">
            <v>Khiếu nại về dịch vụ FTTH</v>
          </cell>
          <cell r="W2243" t="str">
            <v>Đang xử lý</v>
          </cell>
          <cell r="AJ2243" t="str">
            <v>Quảng Ninh</v>
          </cell>
          <cell r="BX2243" t="str">
            <v>AON</v>
          </cell>
        </row>
        <row r="2244">
          <cell r="A2244" t="str">
            <v>ON</v>
          </cell>
          <cell r="B2244" t="str">
            <v>Trong 24h</v>
          </cell>
          <cell r="D2244" t="str">
            <v>Khiếu nại về dịch vụ FTTH</v>
          </cell>
          <cell r="W2244" t="str">
            <v>Đang xử lý</v>
          </cell>
          <cell r="AJ2244" t="str">
            <v>Hà Nội 1</v>
          </cell>
          <cell r="BX2244" t="str">
            <v>AON</v>
          </cell>
        </row>
        <row r="2245">
          <cell r="A2245" t="str">
            <v>ON</v>
          </cell>
          <cell r="B2245" t="str">
            <v>Trong 24h</v>
          </cell>
          <cell r="D2245" t="str">
            <v>Khiếu nại về dịch vụ FTTH</v>
          </cell>
          <cell r="W2245" t="str">
            <v>Đang xử lý</v>
          </cell>
          <cell r="AJ2245" t="str">
            <v>Bình Định</v>
          </cell>
          <cell r="BX2245" t="str">
            <v>AON</v>
          </cell>
        </row>
        <row r="2246">
          <cell r="A2246" t="str">
            <v>ON</v>
          </cell>
          <cell r="B2246" t="str">
            <v>Trong 24h</v>
          </cell>
          <cell r="D2246" t="str">
            <v>Khiếu nại về dịch vụ FTTH</v>
          </cell>
          <cell r="W2246" t="str">
            <v>Đang xử lý</v>
          </cell>
          <cell r="AJ2246" t="str">
            <v>Tây Ninh</v>
          </cell>
          <cell r="BX2246" t="str">
            <v>AON</v>
          </cell>
        </row>
        <row r="2247">
          <cell r="A2247" t="str">
            <v>ON</v>
          </cell>
          <cell r="B2247" t="str">
            <v>Trong 24h</v>
          </cell>
          <cell r="D2247" t="str">
            <v>Khiếu nại về dịch vụ FTTH</v>
          </cell>
          <cell r="W2247" t="str">
            <v>Đang xử lý</v>
          </cell>
          <cell r="AJ2247" t="str">
            <v>Hậu Giang</v>
          </cell>
          <cell r="BX2247" t="str">
            <v>AON</v>
          </cell>
        </row>
        <row r="2248">
          <cell r="A2248" t="str">
            <v>ON</v>
          </cell>
          <cell r="B2248" t="str">
            <v>Trong 24h</v>
          </cell>
          <cell r="D2248" t="str">
            <v>Khiếu nại về dịch vụ NextTV</v>
          </cell>
          <cell r="W2248" t="str">
            <v>Đang xử lý</v>
          </cell>
          <cell r="AJ2248" t="str">
            <v>Tây Ninh</v>
          </cell>
          <cell r="BX2248" t="str">
            <v>AON</v>
          </cell>
        </row>
        <row r="2249">
          <cell r="A2249" t="str">
            <v>ON</v>
          </cell>
          <cell r="B2249" t="str">
            <v>Trong 24h</v>
          </cell>
          <cell r="D2249" t="str">
            <v>Khiếu nại về dịch vụ FTTH</v>
          </cell>
          <cell r="W2249" t="str">
            <v>Đang xử lý</v>
          </cell>
          <cell r="AJ2249" t="str">
            <v>Vĩnh Long</v>
          </cell>
          <cell r="BX2249" t="str">
            <v>AON</v>
          </cell>
        </row>
        <row r="2250">
          <cell r="A2250" t="str">
            <v>ON</v>
          </cell>
          <cell r="B2250" t="str">
            <v>Trong 24h</v>
          </cell>
          <cell r="D2250" t="str">
            <v>Khiếu nại về dịch vụ FTTH</v>
          </cell>
          <cell r="W2250" t="str">
            <v>Đang xử lý</v>
          </cell>
          <cell r="AJ2250" t="str">
            <v>Quảng Ngãi</v>
          </cell>
          <cell r="BX2250" t="str">
            <v>AON</v>
          </cell>
        </row>
        <row r="2251">
          <cell r="A2251" t="str">
            <v>ON</v>
          </cell>
          <cell r="B2251" t="str">
            <v>Trong 24h</v>
          </cell>
          <cell r="D2251" t="str">
            <v>Khiếu nại về dịch vụ FTTH</v>
          </cell>
          <cell r="W2251" t="str">
            <v>Đang xử lý</v>
          </cell>
          <cell r="AJ2251" t="str">
            <v>Bến Tre</v>
          </cell>
          <cell r="BX2251" t="str">
            <v>AON</v>
          </cell>
        </row>
        <row r="2252">
          <cell r="A2252" t="str">
            <v>ON</v>
          </cell>
          <cell r="B2252" t="str">
            <v>Trong 24h</v>
          </cell>
          <cell r="D2252" t="str">
            <v>Khiếu nại về dịch vụ FTTH</v>
          </cell>
          <cell r="W2252" t="str">
            <v>Đang xử lý</v>
          </cell>
          <cell r="AJ2252" t="str">
            <v>Bình Dương</v>
          </cell>
          <cell r="BX2252" t="str">
            <v>AON</v>
          </cell>
        </row>
        <row r="2253">
          <cell r="A2253" t="str">
            <v>ON</v>
          </cell>
          <cell r="B2253" t="str">
            <v>Trong 24h</v>
          </cell>
          <cell r="D2253" t="str">
            <v>Khiếu nại về dịch vụ FTTH</v>
          </cell>
          <cell r="W2253" t="str">
            <v>Đang xử lý</v>
          </cell>
          <cell r="AJ2253" t="str">
            <v>TP HCM</v>
          </cell>
          <cell r="BX2253" t="str">
            <v>AON</v>
          </cell>
        </row>
        <row r="2254">
          <cell r="A2254" t="str">
            <v>ON</v>
          </cell>
          <cell r="B2254" t="str">
            <v>Trong 24h</v>
          </cell>
          <cell r="D2254" t="str">
            <v>Khiếu nại về dịch vụ FTTH</v>
          </cell>
          <cell r="W2254" t="str">
            <v>Đang xử lý</v>
          </cell>
          <cell r="AJ2254" t="str">
            <v>TP HCM</v>
          </cell>
          <cell r="BX2254" t="str">
            <v>AON</v>
          </cell>
        </row>
        <row r="2255">
          <cell r="A2255" t="str">
            <v>ON</v>
          </cell>
          <cell r="B2255" t="str">
            <v>Trong 24h</v>
          </cell>
          <cell r="D2255" t="str">
            <v>Khiếu nại về dịch vụ FTTH</v>
          </cell>
          <cell r="W2255" t="str">
            <v>Đang xử lý</v>
          </cell>
          <cell r="AJ2255" t="str">
            <v>Gia Lai</v>
          </cell>
          <cell r="BX2255" t="str">
            <v>AON</v>
          </cell>
        </row>
        <row r="2256">
          <cell r="A2256" t="str">
            <v>ON</v>
          </cell>
          <cell r="B2256" t="str">
            <v>Trong 24h</v>
          </cell>
          <cell r="D2256" t="str">
            <v>Khiếu nại về dịch vụ FTTH</v>
          </cell>
          <cell r="W2256" t="str">
            <v>Đang xử lý</v>
          </cell>
          <cell r="AJ2256" t="str">
            <v xml:space="preserve">Đồng Nai </v>
          </cell>
          <cell r="BX2256" t="str">
            <v>AON</v>
          </cell>
        </row>
        <row r="2257">
          <cell r="A2257" t="str">
            <v>ON</v>
          </cell>
          <cell r="B2257" t="str">
            <v>Trong 24h</v>
          </cell>
          <cell r="D2257" t="str">
            <v>Khiếu nại về dịch vụ FTTH</v>
          </cell>
          <cell r="W2257" t="str">
            <v>Đang xử lý</v>
          </cell>
          <cell r="AJ2257" t="str">
            <v>Thái Nguyên</v>
          </cell>
          <cell r="BX2257" t="str">
            <v>AON</v>
          </cell>
        </row>
        <row r="2258">
          <cell r="A2258" t="str">
            <v>ON</v>
          </cell>
          <cell r="B2258" t="str">
            <v>Trong 24h</v>
          </cell>
          <cell r="D2258" t="str">
            <v>Khiếu nại về dịch vụ FTTH</v>
          </cell>
          <cell r="W2258" t="str">
            <v>Đang xử lý</v>
          </cell>
          <cell r="AJ2258" t="str">
            <v xml:space="preserve">Quảng Nam </v>
          </cell>
          <cell r="BX2258" t="str">
            <v>AON</v>
          </cell>
        </row>
        <row r="2259">
          <cell r="A2259" t="str">
            <v>ON</v>
          </cell>
          <cell r="B2259" t="str">
            <v>Trong 24h</v>
          </cell>
          <cell r="D2259" t="str">
            <v>Khiếu nại về dịch vụ FTTH</v>
          </cell>
          <cell r="W2259" t="str">
            <v>Đang xử lý</v>
          </cell>
          <cell r="AJ2259" t="str">
            <v>Quảng Ninh</v>
          </cell>
          <cell r="BX2259" t="str">
            <v>AON</v>
          </cell>
        </row>
        <row r="2260">
          <cell r="A2260" t="str">
            <v>ON</v>
          </cell>
          <cell r="B2260" t="str">
            <v>Trong 24h</v>
          </cell>
          <cell r="D2260" t="str">
            <v>Khiếu nại về dịch vụ FTTH</v>
          </cell>
          <cell r="W2260" t="str">
            <v>Đang xử lý</v>
          </cell>
          <cell r="AJ2260" t="str">
            <v>Quảng Ninh</v>
          </cell>
          <cell r="BX2260" t="str">
            <v>AON</v>
          </cell>
        </row>
        <row r="2261">
          <cell r="A2261" t="str">
            <v>ON</v>
          </cell>
          <cell r="B2261" t="str">
            <v>Trong 24h</v>
          </cell>
          <cell r="D2261" t="str">
            <v>Khiếu nại về dịch vụ FTTH</v>
          </cell>
          <cell r="W2261" t="str">
            <v>Đang xử lý</v>
          </cell>
          <cell r="AJ2261" t="str">
            <v>Sơn La</v>
          </cell>
          <cell r="BX2261" t="str">
            <v>AON</v>
          </cell>
        </row>
        <row r="2262">
          <cell r="A2262" t="str">
            <v>ON</v>
          </cell>
          <cell r="B2262" t="str">
            <v>Trong 24h</v>
          </cell>
          <cell r="D2262" t="str">
            <v>Khiếu nại về dịch vụ FTTH</v>
          </cell>
          <cell r="W2262" t="str">
            <v>Đang xử lý</v>
          </cell>
          <cell r="AJ2262" t="str">
            <v>Sóc Trăng</v>
          </cell>
          <cell r="BX2262" t="str">
            <v>AON</v>
          </cell>
        </row>
        <row r="2263">
          <cell r="A2263" t="str">
            <v>ON</v>
          </cell>
          <cell r="B2263" t="str">
            <v>Trong 24h</v>
          </cell>
          <cell r="D2263" t="str">
            <v>Khiếu nại về dịch vụ NextTV</v>
          </cell>
          <cell r="W2263" t="str">
            <v>Đang xử lý</v>
          </cell>
          <cell r="AJ2263" t="str">
            <v>Kiên Giang</v>
          </cell>
          <cell r="BX2263" t="str">
            <v>AON</v>
          </cell>
        </row>
        <row r="2264">
          <cell r="A2264" t="str">
            <v>ON</v>
          </cell>
          <cell r="B2264" t="str">
            <v>Trong 24h</v>
          </cell>
          <cell r="D2264" t="str">
            <v>Khiếu nại về dịch vụ FTTH</v>
          </cell>
          <cell r="W2264" t="str">
            <v>Đang xử lý</v>
          </cell>
          <cell r="AJ2264" t="str">
            <v>TP HCM</v>
          </cell>
          <cell r="BX2264" t="str">
            <v>AON</v>
          </cell>
        </row>
        <row r="2265">
          <cell r="A2265" t="str">
            <v>ON</v>
          </cell>
          <cell r="B2265" t="str">
            <v>Trong 24h</v>
          </cell>
          <cell r="D2265" t="str">
            <v>Khiếu nại về dịch vụ FTTH</v>
          </cell>
          <cell r="W2265" t="str">
            <v>Đang xử lý</v>
          </cell>
          <cell r="AJ2265" t="str">
            <v xml:space="preserve">Hà Tĩnh </v>
          </cell>
          <cell r="BX2265" t="str">
            <v>AON</v>
          </cell>
        </row>
        <row r="2266">
          <cell r="A2266" t="str">
            <v>ON</v>
          </cell>
          <cell r="B2266" t="str">
            <v>Trong 24h</v>
          </cell>
          <cell r="D2266" t="str">
            <v>Khiếu nại về dịch vụ FTTH</v>
          </cell>
          <cell r="W2266" t="str">
            <v>Đang xử lý</v>
          </cell>
          <cell r="AJ2266" t="str">
            <v>Kiên Giang</v>
          </cell>
          <cell r="BX2266" t="str">
            <v>AON</v>
          </cell>
        </row>
        <row r="2267">
          <cell r="A2267" t="str">
            <v>ON</v>
          </cell>
          <cell r="B2267" t="str">
            <v>Trong 24h</v>
          </cell>
          <cell r="D2267" t="str">
            <v>Khiếu nại về dịch vụ FTTH</v>
          </cell>
          <cell r="W2267" t="str">
            <v>Đang xử lý</v>
          </cell>
          <cell r="AJ2267" t="str">
            <v xml:space="preserve">Đồng Nai </v>
          </cell>
          <cell r="BX2267" t="str">
            <v>AON</v>
          </cell>
        </row>
        <row r="2268">
          <cell r="A2268" t="str">
            <v>ON</v>
          </cell>
          <cell r="B2268" t="str">
            <v>Trong 24h</v>
          </cell>
          <cell r="D2268" t="str">
            <v>Khiếu nại về dịch vụ FTTH</v>
          </cell>
          <cell r="W2268" t="str">
            <v>Đang xử lý</v>
          </cell>
          <cell r="AJ2268" t="str">
            <v>Tây Ninh</v>
          </cell>
          <cell r="BX2268" t="str">
            <v>AON</v>
          </cell>
        </row>
        <row r="2269">
          <cell r="A2269" t="str">
            <v>ON</v>
          </cell>
          <cell r="B2269" t="str">
            <v>Trong 24h</v>
          </cell>
          <cell r="D2269" t="str">
            <v>Khiếu nại về dịch vụ FTTH</v>
          </cell>
          <cell r="W2269" t="str">
            <v>Đang xử lý</v>
          </cell>
          <cell r="AJ2269" t="str">
            <v>Nghệ An</v>
          </cell>
          <cell r="BX2269" t="str">
            <v>AON</v>
          </cell>
        </row>
        <row r="2270">
          <cell r="A2270" t="str">
            <v>ON</v>
          </cell>
          <cell r="B2270" t="str">
            <v>Trong 24h</v>
          </cell>
          <cell r="D2270" t="str">
            <v>Khiếu nại về dịch vụ FTTH</v>
          </cell>
          <cell r="W2270" t="str">
            <v>Đang xử lý</v>
          </cell>
          <cell r="AJ2270" t="str">
            <v>TP HCM</v>
          </cell>
          <cell r="BX2270" t="str">
            <v>AON</v>
          </cell>
        </row>
        <row r="2271">
          <cell r="A2271" t="str">
            <v>ON</v>
          </cell>
          <cell r="B2271" t="str">
            <v>Trong 24h</v>
          </cell>
          <cell r="D2271" t="str">
            <v>Khiếu nại về dịch vụ NextTV</v>
          </cell>
          <cell r="W2271" t="str">
            <v>Đang xử lý</v>
          </cell>
          <cell r="AJ2271" t="str">
            <v>Quảng Ngãi</v>
          </cell>
          <cell r="BX2271" t="str">
            <v>AON</v>
          </cell>
        </row>
        <row r="2272">
          <cell r="A2272" t="str">
            <v>ON</v>
          </cell>
          <cell r="B2272" t="str">
            <v>Trong 24h</v>
          </cell>
          <cell r="D2272" t="str">
            <v>Khiếu nại về dịch vụ FTTH</v>
          </cell>
          <cell r="W2272" t="str">
            <v>Đang xử lý</v>
          </cell>
          <cell r="AJ2272" t="str">
            <v>Quảng Ngãi</v>
          </cell>
          <cell r="BX2272" t="str">
            <v>AON</v>
          </cell>
        </row>
        <row r="2273">
          <cell r="A2273" t="str">
            <v>ON</v>
          </cell>
          <cell r="B2273" t="str">
            <v>Trong 24h</v>
          </cell>
          <cell r="D2273" t="str">
            <v>Khiếu nại về dịch vụ FTTH</v>
          </cell>
          <cell r="W2273" t="str">
            <v>Đang xử lý</v>
          </cell>
          <cell r="AJ2273" t="str">
            <v>Hậu Giang</v>
          </cell>
          <cell r="BX2273" t="str">
            <v>AON</v>
          </cell>
        </row>
        <row r="2274">
          <cell r="A2274" t="str">
            <v>ON</v>
          </cell>
          <cell r="B2274" t="str">
            <v>Trong 24h</v>
          </cell>
          <cell r="D2274" t="str">
            <v>Khiếu nại về dịch vụ FTTH</v>
          </cell>
          <cell r="W2274" t="str">
            <v>Đang xử lý</v>
          </cell>
          <cell r="AJ2274" t="str">
            <v>Quảng Ninh</v>
          </cell>
          <cell r="BX2274" t="str">
            <v>AON</v>
          </cell>
        </row>
        <row r="2275">
          <cell r="A2275" t="str">
            <v>ON</v>
          </cell>
          <cell r="B2275" t="str">
            <v>Trong 24h</v>
          </cell>
          <cell r="D2275" t="str">
            <v>Khiếu nại về dịch vụ FTTH</v>
          </cell>
          <cell r="W2275" t="str">
            <v>Đang xử lý</v>
          </cell>
          <cell r="AJ2275" t="str">
            <v>Quảng Ninh</v>
          </cell>
          <cell r="BX2275" t="str">
            <v>AON</v>
          </cell>
        </row>
        <row r="2276">
          <cell r="A2276" t="str">
            <v>ON</v>
          </cell>
          <cell r="B2276" t="str">
            <v>Trong 24h</v>
          </cell>
          <cell r="D2276" t="str">
            <v>Khiếu nại về dịch vụ FTTH</v>
          </cell>
          <cell r="W2276" t="str">
            <v>Đang xử lý</v>
          </cell>
          <cell r="AJ2276" t="str">
            <v>Bình Phước</v>
          </cell>
          <cell r="BX2276" t="str">
            <v>AON</v>
          </cell>
        </row>
        <row r="2277">
          <cell r="A2277" t="str">
            <v>ON</v>
          </cell>
          <cell r="B2277" t="str">
            <v>Trong 24h</v>
          </cell>
          <cell r="D2277" t="str">
            <v>Khiếu nại về dịch vụ FTTH</v>
          </cell>
          <cell r="W2277" t="str">
            <v>Đang xử lý</v>
          </cell>
          <cell r="AJ2277" t="str">
            <v xml:space="preserve">Hà Tĩnh </v>
          </cell>
          <cell r="BX2277" t="str">
            <v>AON</v>
          </cell>
        </row>
        <row r="2278">
          <cell r="A2278" t="str">
            <v>ON</v>
          </cell>
          <cell r="B2278" t="str">
            <v>Trong 24h</v>
          </cell>
          <cell r="D2278" t="str">
            <v>Khiếu nại về dịch vụ NextTV</v>
          </cell>
          <cell r="W2278" t="str">
            <v>Đang xử lý</v>
          </cell>
          <cell r="AJ2278" t="str">
            <v>Hưng Yên</v>
          </cell>
          <cell r="BX2278" t="str">
            <v>AON</v>
          </cell>
        </row>
        <row r="2279">
          <cell r="A2279" t="str">
            <v>ON</v>
          </cell>
          <cell r="B2279" t="str">
            <v>Trong 24h</v>
          </cell>
          <cell r="D2279" t="str">
            <v>Khiếu nại về dịch vụ FTTH</v>
          </cell>
          <cell r="W2279" t="str">
            <v>Đang xử lý</v>
          </cell>
          <cell r="AJ2279" t="str">
            <v>TP HCM</v>
          </cell>
          <cell r="BX2279" t="str">
            <v>AON</v>
          </cell>
        </row>
        <row r="2280">
          <cell r="A2280" t="str">
            <v>ON</v>
          </cell>
          <cell r="B2280" t="str">
            <v>Trong 24h</v>
          </cell>
          <cell r="D2280" t="str">
            <v>Khiếu nại về dịch vụ FTTH</v>
          </cell>
          <cell r="W2280" t="str">
            <v>Đang xử lý</v>
          </cell>
          <cell r="AJ2280" t="str">
            <v>Nam Định</v>
          </cell>
          <cell r="BX2280" t="str">
            <v>AON</v>
          </cell>
        </row>
        <row r="2281">
          <cell r="A2281" t="str">
            <v>ON</v>
          </cell>
          <cell r="B2281" t="str">
            <v>Trong 24h</v>
          </cell>
          <cell r="D2281" t="str">
            <v>Khiếu nại về dịch vụ FTTH</v>
          </cell>
          <cell r="W2281" t="str">
            <v>Đang xử lý</v>
          </cell>
          <cell r="AJ2281" t="str">
            <v>TP HCM</v>
          </cell>
          <cell r="BX2281" t="str">
            <v>AON</v>
          </cell>
        </row>
        <row r="2282">
          <cell r="A2282" t="str">
            <v>ON</v>
          </cell>
          <cell r="B2282" t="str">
            <v>Trong 24h</v>
          </cell>
          <cell r="D2282" t="str">
            <v>Khiếu nại về dịch vụ NextTV</v>
          </cell>
          <cell r="W2282" t="str">
            <v>Đang xử lý</v>
          </cell>
          <cell r="AJ2282" t="str">
            <v>TP HCM</v>
          </cell>
          <cell r="BX2282" t="str">
            <v>AON</v>
          </cell>
        </row>
        <row r="2283">
          <cell r="A2283" t="str">
            <v>ON</v>
          </cell>
          <cell r="B2283" t="str">
            <v>Trong 24h</v>
          </cell>
          <cell r="D2283" t="str">
            <v>Khiếu nại về dịch vụ FTTH</v>
          </cell>
          <cell r="W2283" t="str">
            <v>Đang xử lý</v>
          </cell>
          <cell r="AJ2283" t="str">
            <v>TP HCM</v>
          </cell>
          <cell r="BX2283" t="str">
            <v>AON</v>
          </cell>
        </row>
        <row r="2284">
          <cell r="A2284" t="str">
            <v>ON</v>
          </cell>
          <cell r="B2284" t="str">
            <v>Trong 24h</v>
          </cell>
          <cell r="D2284" t="str">
            <v>Khiếu nại về dịch vụ FTTH</v>
          </cell>
          <cell r="W2284" t="str">
            <v>Đang xử lý</v>
          </cell>
          <cell r="AJ2284" t="str">
            <v>Hà Nội 1</v>
          </cell>
          <cell r="BX2284" t="str">
            <v>AON</v>
          </cell>
        </row>
        <row r="2285">
          <cell r="A2285" t="str">
            <v>ON</v>
          </cell>
          <cell r="B2285" t="str">
            <v>Trong 24h</v>
          </cell>
          <cell r="D2285" t="str">
            <v>Khiếu nại về dịch vụ FTTH</v>
          </cell>
          <cell r="W2285" t="str">
            <v>Đang xử lý</v>
          </cell>
          <cell r="AJ2285" t="str">
            <v>TP HCM</v>
          </cell>
          <cell r="BX2285" t="str">
            <v>AON</v>
          </cell>
        </row>
        <row r="2286">
          <cell r="A2286" t="str">
            <v>ON</v>
          </cell>
          <cell r="B2286" t="str">
            <v>Trong 24h</v>
          </cell>
          <cell r="D2286" t="str">
            <v>Khiếu nại về dịch vụ FTTH</v>
          </cell>
          <cell r="W2286" t="str">
            <v>Đang xử lý</v>
          </cell>
          <cell r="AJ2286" t="str">
            <v xml:space="preserve">Đồng Nai </v>
          </cell>
          <cell r="BX2286" t="str">
            <v>AON</v>
          </cell>
        </row>
        <row r="2287">
          <cell r="A2287" t="str">
            <v>ON</v>
          </cell>
          <cell r="B2287" t="str">
            <v>Trong 24h</v>
          </cell>
          <cell r="D2287" t="str">
            <v>Khiếu nại về dịch vụ FTTH</v>
          </cell>
          <cell r="W2287" t="str">
            <v>Đang xử lý</v>
          </cell>
          <cell r="AJ2287" t="str">
            <v>Hà Nội 1</v>
          </cell>
          <cell r="BX2287" t="str">
            <v>AON</v>
          </cell>
        </row>
        <row r="2288">
          <cell r="A2288" t="str">
            <v>ON</v>
          </cell>
          <cell r="B2288" t="str">
            <v>Trong 24h</v>
          </cell>
          <cell r="D2288" t="str">
            <v>Khiếu nại về dịch vụ FTTH</v>
          </cell>
          <cell r="W2288" t="str">
            <v>Đã đóng</v>
          </cell>
          <cell r="AJ2288" t="str">
            <v>TP HCM</v>
          </cell>
          <cell r="BX2288" t="str">
            <v>AON</v>
          </cell>
        </row>
        <row r="2289">
          <cell r="A2289" t="str">
            <v>ON</v>
          </cell>
          <cell r="B2289" t="str">
            <v>Trong 24h</v>
          </cell>
          <cell r="D2289" t="str">
            <v>Khiếu nại về dịch vụ FTTH</v>
          </cell>
          <cell r="W2289" t="str">
            <v>Đang xử lý</v>
          </cell>
          <cell r="AJ2289" t="str">
            <v xml:space="preserve">Đồng Nai </v>
          </cell>
          <cell r="BX2289" t="str">
            <v>AON</v>
          </cell>
        </row>
        <row r="2290">
          <cell r="A2290" t="str">
            <v>ON</v>
          </cell>
          <cell r="B2290" t="str">
            <v>Trong 24h</v>
          </cell>
          <cell r="D2290" t="str">
            <v>Khiếu nại về dịch vụ FTTH</v>
          </cell>
          <cell r="W2290" t="str">
            <v>Đang xử lý</v>
          </cell>
          <cell r="AJ2290" t="str">
            <v>Hà Nội 1</v>
          </cell>
          <cell r="BX2290" t="str">
            <v>AON</v>
          </cell>
        </row>
        <row r="2291">
          <cell r="A2291" t="str">
            <v>ON</v>
          </cell>
          <cell r="B2291" t="str">
            <v>Trong 24h</v>
          </cell>
          <cell r="D2291" t="str">
            <v>Khiếu nại về dịch vụ FTTH</v>
          </cell>
          <cell r="W2291" t="str">
            <v>Đang xử lý</v>
          </cell>
          <cell r="AJ2291" t="str">
            <v>TP HCM</v>
          </cell>
          <cell r="BX2291" t="str">
            <v>AON</v>
          </cell>
        </row>
        <row r="2292">
          <cell r="A2292" t="str">
            <v>ON</v>
          </cell>
          <cell r="B2292" t="str">
            <v>Trong 24h</v>
          </cell>
          <cell r="D2292" t="str">
            <v>Khiếu nại về dịch vụ FTTH</v>
          </cell>
          <cell r="W2292" t="str">
            <v>Đang xử lý</v>
          </cell>
          <cell r="AJ2292" t="str">
            <v>TP HCM</v>
          </cell>
          <cell r="BX2292" t="str">
            <v>AON</v>
          </cell>
        </row>
        <row r="2293">
          <cell r="A2293" t="str">
            <v>ON</v>
          </cell>
          <cell r="B2293" t="str">
            <v>Trong 24h</v>
          </cell>
          <cell r="D2293" t="str">
            <v>Khiếu nại về dịch vụ FTTH</v>
          </cell>
          <cell r="W2293" t="str">
            <v>Đang xử lý</v>
          </cell>
          <cell r="AJ2293" t="str">
            <v>Bà Rịa - Vũng Tàu</v>
          </cell>
          <cell r="BX2293" t="str">
            <v>AON</v>
          </cell>
        </row>
        <row r="2294">
          <cell r="A2294" t="str">
            <v>ON</v>
          </cell>
          <cell r="B2294" t="str">
            <v>Trong 24h</v>
          </cell>
          <cell r="D2294" t="str">
            <v>Khiếu nại về dịch vụ FTTH</v>
          </cell>
          <cell r="W2294" t="str">
            <v>Đang xử lý</v>
          </cell>
          <cell r="AJ2294" t="str">
            <v>Quảng Trị</v>
          </cell>
          <cell r="BX2294" t="str">
            <v>AON</v>
          </cell>
        </row>
        <row r="2295">
          <cell r="A2295" t="str">
            <v>ON</v>
          </cell>
          <cell r="B2295" t="str">
            <v>Trong 24h</v>
          </cell>
          <cell r="D2295" t="str">
            <v>Khiếu nại về dịch vụ FTTH</v>
          </cell>
          <cell r="W2295" t="str">
            <v>Đang xử lý</v>
          </cell>
          <cell r="AJ2295" t="str">
            <v>Long An</v>
          </cell>
          <cell r="BX2295" t="str">
            <v>GPON</v>
          </cell>
        </row>
        <row r="2296">
          <cell r="A2296" t="str">
            <v>ON</v>
          </cell>
          <cell r="B2296" t="str">
            <v>Trong 24h</v>
          </cell>
          <cell r="D2296" t="str">
            <v>Khiếu nại về dịch vụ FTTH</v>
          </cell>
          <cell r="W2296" t="str">
            <v>Đang xử lý</v>
          </cell>
          <cell r="AJ2296" t="str">
            <v>TP HCM</v>
          </cell>
          <cell r="BX2296" t="str">
            <v>AON</v>
          </cell>
        </row>
        <row r="2297">
          <cell r="A2297" t="str">
            <v>ON</v>
          </cell>
          <cell r="B2297" t="str">
            <v>Trong 24h</v>
          </cell>
          <cell r="D2297" t="str">
            <v>Khiếu nại về dịch vụ FTTH</v>
          </cell>
          <cell r="W2297" t="str">
            <v>Đang xử lý</v>
          </cell>
          <cell r="AJ2297" t="str">
            <v>TP HCM</v>
          </cell>
          <cell r="BX2297" t="str">
            <v>AON</v>
          </cell>
        </row>
        <row r="2298">
          <cell r="A2298" t="str">
            <v>ON</v>
          </cell>
          <cell r="B2298" t="str">
            <v>Trong 24h</v>
          </cell>
          <cell r="D2298" t="str">
            <v>Khiếu nại về dịch vụ FTTH</v>
          </cell>
          <cell r="W2298" t="str">
            <v>Đang xử lý</v>
          </cell>
          <cell r="AJ2298" t="str">
            <v>Thái Nguyên</v>
          </cell>
          <cell r="BX2298" t="str">
            <v>AON</v>
          </cell>
        </row>
        <row r="2299">
          <cell r="A2299" t="str">
            <v>ON</v>
          </cell>
          <cell r="B2299" t="str">
            <v>Trong 24h</v>
          </cell>
          <cell r="D2299" t="str">
            <v>Khiếu nại về dịch vụ FTTH</v>
          </cell>
          <cell r="W2299" t="str">
            <v>Đang xử lý</v>
          </cell>
          <cell r="AJ2299" t="str">
            <v xml:space="preserve">Đắc Lắk </v>
          </cell>
          <cell r="BX2299" t="str">
            <v>AON</v>
          </cell>
        </row>
        <row r="2300">
          <cell r="A2300" t="str">
            <v>ON</v>
          </cell>
          <cell r="B2300" t="str">
            <v>Trong 24h</v>
          </cell>
          <cell r="D2300" t="str">
            <v>Khiếu nại về dịch vụ FTTH</v>
          </cell>
          <cell r="W2300" t="str">
            <v>Đang xử lý</v>
          </cell>
          <cell r="AJ2300" t="str">
            <v>Hưng Yên</v>
          </cell>
          <cell r="BX2300" t="str">
            <v>AON</v>
          </cell>
        </row>
        <row r="2301">
          <cell r="A2301" t="str">
            <v>ON</v>
          </cell>
          <cell r="B2301" t="str">
            <v>Trong 24h</v>
          </cell>
          <cell r="D2301" t="str">
            <v>Khiếu nại về dịch vụ FTTH</v>
          </cell>
          <cell r="W2301" t="str">
            <v>Đang xử lý</v>
          </cell>
          <cell r="AJ2301" t="str">
            <v>Bình Dương</v>
          </cell>
          <cell r="BX2301" t="str">
            <v>AON</v>
          </cell>
        </row>
        <row r="2302">
          <cell r="A2302" t="str">
            <v>ON</v>
          </cell>
          <cell r="B2302" t="str">
            <v>Trong 24h</v>
          </cell>
          <cell r="D2302" t="str">
            <v>Khiếu nại về dịch vụ FTTH</v>
          </cell>
          <cell r="W2302" t="str">
            <v>Đang xử lý</v>
          </cell>
          <cell r="AJ2302" t="str">
            <v>Hậu Giang</v>
          </cell>
          <cell r="BX2302" t="str">
            <v>AON</v>
          </cell>
        </row>
        <row r="2303">
          <cell r="A2303" t="str">
            <v>ON</v>
          </cell>
          <cell r="B2303" t="str">
            <v>Trong 24h</v>
          </cell>
          <cell r="D2303" t="str">
            <v>Khiếu nại về dịch vụ FTTH</v>
          </cell>
          <cell r="W2303" t="str">
            <v>Đang xử lý</v>
          </cell>
          <cell r="AJ2303" t="str">
            <v>TP HCM</v>
          </cell>
          <cell r="BX2303" t="str">
            <v>AON</v>
          </cell>
        </row>
        <row r="2304">
          <cell r="A2304" t="str">
            <v>ON</v>
          </cell>
          <cell r="B2304" t="str">
            <v>Trong 24h</v>
          </cell>
          <cell r="D2304" t="str">
            <v>Khiếu nại về dịch vụ FTTH</v>
          </cell>
          <cell r="W2304" t="str">
            <v>Đang xử lý</v>
          </cell>
          <cell r="AJ2304" t="str">
            <v>TP HCM</v>
          </cell>
          <cell r="BX2304" t="str">
            <v>AON</v>
          </cell>
        </row>
        <row r="2305">
          <cell r="A2305" t="str">
            <v>ON</v>
          </cell>
          <cell r="B2305" t="str">
            <v>Trong 24h</v>
          </cell>
          <cell r="D2305" t="str">
            <v>Khiếu nại về dịch vụ FTTH</v>
          </cell>
          <cell r="W2305" t="str">
            <v>Đang xử lý</v>
          </cell>
          <cell r="AJ2305" t="str">
            <v>Hưng Yên</v>
          </cell>
          <cell r="BX2305" t="str">
            <v>AON</v>
          </cell>
        </row>
        <row r="2306">
          <cell r="A2306" t="str">
            <v>ON</v>
          </cell>
          <cell r="B2306" t="str">
            <v>Trong 24h</v>
          </cell>
          <cell r="D2306" t="str">
            <v>Khiếu nại về dịch vụ FTTH</v>
          </cell>
          <cell r="W2306" t="str">
            <v>Đang xử lý</v>
          </cell>
          <cell r="AJ2306" t="str">
            <v>Quảng Ninh</v>
          </cell>
          <cell r="BX2306" t="str">
            <v>AON</v>
          </cell>
        </row>
        <row r="2307">
          <cell r="A2307" t="str">
            <v>ON</v>
          </cell>
          <cell r="B2307" t="str">
            <v>Trong 24h</v>
          </cell>
          <cell r="D2307" t="str">
            <v>Khiếu nại về dịch vụ FTTH</v>
          </cell>
          <cell r="W2307" t="str">
            <v>Đang xử lý</v>
          </cell>
          <cell r="AJ2307" t="str">
            <v>TP HCM</v>
          </cell>
          <cell r="BX2307" t="str">
            <v>AON</v>
          </cell>
        </row>
        <row r="2308">
          <cell r="A2308" t="str">
            <v>ON</v>
          </cell>
          <cell r="B2308" t="str">
            <v>Trong 24h</v>
          </cell>
          <cell r="D2308" t="str">
            <v>Khiếu nại về dịch vụ FTTH</v>
          </cell>
          <cell r="W2308" t="str">
            <v>Đang xử lý</v>
          </cell>
          <cell r="AJ2308" t="str">
            <v>TP HCM</v>
          </cell>
          <cell r="BX2308" t="str">
            <v>AON</v>
          </cell>
        </row>
        <row r="2309">
          <cell r="A2309" t="str">
            <v>ON</v>
          </cell>
          <cell r="B2309" t="str">
            <v>Trong 24h</v>
          </cell>
          <cell r="D2309" t="str">
            <v>Khiếu nại về dịch vụ FTTH</v>
          </cell>
          <cell r="W2309" t="str">
            <v>Đang xử lý</v>
          </cell>
          <cell r="AJ2309" t="str">
            <v>TP HCM</v>
          </cell>
          <cell r="BX2309" t="str">
            <v>AON</v>
          </cell>
        </row>
        <row r="2310">
          <cell r="A2310" t="str">
            <v>ON</v>
          </cell>
          <cell r="B2310" t="str">
            <v>Trong 24h</v>
          </cell>
          <cell r="D2310" t="str">
            <v>Khiếu nại về dịch vụ FTTH</v>
          </cell>
          <cell r="W2310" t="str">
            <v>Đang xử lý</v>
          </cell>
          <cell r="AJ2310" t="str">
            <v>TP HCM</v>
          </cell>
          <cell r="BX2310" t="str">
            <v>AON</v>
          </cell>
        </row>
        <row r="2311">
          <cell r="A2311" t="str">
            <v>ON</v>
          </cell>
          <cell r="B2311" t="str">
            <v>Trong 24h</v>
          </cell>
          <cell r="D2311" t="str">
            <v>Khiếu nại về dịch vụ FTTH</v>
          </cell>
          <cell r="W2311" t="str">
            <v>Đang xử lý</v>
          </cell>
          <cell r="AJ2311" t="str">
            <v>Hà Nội 2</v>
          </cell>
          <cell r="BX2311" t="str">
            <v>AON</v>
          </cell>
        </row>
        <row r="2312">
          <cell r="A2312" t="str">
            <v>ON</v>
          </cell>
          <cell r="B2312" t="str">
            <v>Trong 24h</v>
          </cell>
          <cell r="D2312" t="str">
            <v>Khiếu nại về dịch vụ FTTH</v>
          </cell>
          <cell r="W2312" t="str">
            <v>Đang xử lý</v>
          </cell>
          <cell r="AJ2312" t="str">
            <v>An Giang</v>
          </cell>
          <cell r="BX2312" t="str">
            <v>AON</v>
          </cell>
        </row>
        <row r="2313">
          <cell r="A2313" t="str">
            <v>ON</v>
          </cell>
          <cell r="B2313" t="str">
            <v>Trong 24h</v>
          </cell>
          <cell r="D2313" t="str">
            <v>Khiếu nại về dịch vụ FTTH</v>
          </cell>
          <cell r="W2313" t="str">
            <v>Đang xử lý</v>
          </cell>
          <cell r="AJ2313" t="str">
            <v xml:space="preserve">Đà Nẵng </v>
          </cell>
          <cell r="BX2313" t="str">
            <v>AON</v>
          </cell>
        </row>
        <row r="2314">
          <cell r="A2314" t="str">
            <v>ON</v>
          </cell>
          <cell r="B2314" t="str">
            <v>Trong 24h</v>
          </cell>
          <cell r="D2314" t="str">
            <v>Khiếu nại về dịch vụ NextTV</v>
          </cell>
          <cell r="W2314" t="str">
            <v>Đang xử lý</v>
          </cell>
          <cell r="AJ2314" t="str">
            <v>TP HCM</v>
          </cell>
          <cell r="BX2314" t="str">
            <v>AON</v>
          </cell>
        </row>
        <row r="2315">
          <cell r="A2315" t="str">
            <v>ON</v>
          </cell>
          <cell r="B2315" t="str">
            <v>Trong 24h</v>
          </cell>
          <cell r="D2315" t="str">
            <v>Khiếu nại về dịch vụ FTTH</v>
          </cell>
          <cell r="W2315" t="str">
            <v>Đang xử lý</v>
          </cell>
          <cell r="AJ2315" t="str">
            <v>Hà Nội 2</v>
          </cell>
          <cell r="BX2315" t="str">
            <v>AON</v>
          </cell>
        </row>
        <row r="2316">
          <cell r="A2316" t="str">
            <v>ON</v>
          </cell>
          <cell r="B2316" t="str">
            <v>Trong 24h</v>
          </cell>
          <cell r="D2316" t="str">
            <v>Khiếu nại về dịch vụ FTTH</v>
          </cell>
          <cell r="W2316" t="str">
            <v>Đang xử lý</v>
          </cell>
          <cell r="AJ2316" t="str">
            <v>Hải Dương</v>
          </cell>
          <cell r="BX2316" t="str">
            <v>AON</v>
          </cell>
        </row>
        <row r="2317">
          <cell r="A2317" t="str">
            <v>ON</v>
          </cell>
          <cell r="B2317" t="str">
            <v>Trong 24h</v>
          </cell>
          <cell r="D2317" t="str">
            <v>Khiếu nại về dịch vụ FTTH</v>
          </cell>
          <cell r="W2317" t="str">
            <v>Đang xử lý</v>
          </cell>
          <cell r="AJ2317" t="str">
            <v>Hà Nội 2</v>
          </cell>
          <cell r="BX2317" t="str">
            <v>AON</v>
          </cell>
        </row>
        <row r="2318">
          <cell r="A2318" t="str">
            <v>ON</v>
          </cell>
          <cell r="B2318" t="str">
            <v>Trong 24h</v>
          </cell>
          <cell r="D2318" t="str">
            <v>Khiếu nại về dịch vụ FTTH</v>
          </cell>
          <cell r="W2318" t="str">
            <v>Đang xử lý</v>
          </cell>
          <cell r="AJ2318" t="str">
            <v>Bắc Giang</v>
          </cell>
          <cell r="BX2318" t="str">
            <v>AON</v>
          </cell>
        </row>
        <row r="2319">
          <cell r="A2319" t="str">
            <v>ON</v>
          </cell>
          <cell r="B2319" t="str">
            <v>Trong 24h</v>
          </cell>
          <cell r="D2319" t="str">
            <v>Khiếu nại về dịch vụ FTTH</v>
          </cell>
          <cell r="W2319" t="str">
            <v>Đang xử lý</v>
          </cell>
          <cell r="AJ2319" t="str">
            <v>Thanh Hoá</v>
          </cell>
          <cell r="BX2319" t="str">
            <v>AON</v>
          </cell>
        </row>
        <row r="2320">
          <cell r="A2320" t="str">
            <v>ON</v>
          </cell>
          <cell r="B2320" t="str">
            <v>Trong 24h</v>
          </cell>
          <cell r="D2320" t="str">
            <v>Khiếu nại về dịch vụ FTTH</v>
          </cell>
          <cell r="W2320" t="str">
            <v>Đang xử lý</v>
          </cell>
          <cell r="AJ2320" t="str">
            <v>Hải Phòng</v>
          </cell>
          <cell r="BX2320" t="str">
            <v>AON</v>
          </cell>
        </row>
        <row r="2321">
          <cell r="A2321" t="str">
            <v>ON</v>
          </cell>
          <cell r="B2321" t="str">
            <v>Trong 24h</v>
          </cell>
          <cell r="D2321" t="str">
            <v>Khiếu nại về dịch vụ FTTH</v>
          </cell>
          <cell r="W2321" t="str">
            <v>Đang xử lý</v>
          </cell>
          <cell r="AJ2321" t="str">
            <v>Long An</v>
          </cell>
          <cell r="BX2321" t="str">
            <v>AON</v>
          </cell>
        </row>
        <row r="2322">
          <cell r="A2322" t="str">
            <v>ON</v>
          </cell>
          <cell r="B2322" t="str">
            <v>Trong 24h</v>
          </cell>
          <cell r="D2322" t="str">
            <v>Khiếu nại về dịch vụ FTTH</v>
          </cell>
          <cell r="W2322" t="str">
            <v>Đã đóng</v>
          </cell>
          <cell r="AJ2322" t="str">
            <v>TP HCM</v>
          </cell>
          <cell r="BX2322" t="str">
            <v>AON</v>
          </cell>
        </row>
        <row r="2323">
          <cell r="A2323" t="str">
            <v>ON</v>
          </cell>
          <cell r="B2323" t="str">
            <v>Trong 24h</v>
          </cell>
          <cell r="D2323" t="str">
            <v>Khiếu nại về dịch vụ FTTH</v>
          </cell>
          <cell r="W2323" t="str">
            <v>Đang xử lý</v>
          </cell>
          <cell r="AJ2323" t="str">
            <v>Phú Yên</v>
          </cell>
          <cell r="BX2323" t="str">
            <v>AON</v>
          </cell>
        </row>
        <row r="2324">
          <cell r="A2324" t="str">
            <v>ON</v>
          </cell>
          <cell r="B2324" t="str">
            <v>Trong 24h</v>
          </cell>
          <cell r="D2324" t="str">
            <v>Khiếu nại về dịch vụ FTTH</v>
          </cell>
          <cell r="W2324" t="str">
            <v>Đang xử lý</v>
          </cell>
          <cell r="AJ2324" t="str">
            <v>Hà Nam</v>
          </cell>
          <cell r="BX2324" t="str">
            <v>AON</v>
          </cell>
        </row>
        <row r="2325">
          <cell r="A2325" t="str">
            <v>ON</v>
          </cell>
          <cell r="B2325" t="str">
            <v>Trong 24h</v>
          </cell>
          <cell r="D2325" t="str">
            <v>Khiếu nại về dịch vụ FTTH</v>
          </cell>
          <cell r="W2325" t="str">
            <v>Đang xử lý</v>
          </cell>
          <cell r="AJ2325" t="str">
            <v>Bến Tre</v>
          </cell>
          <cell r="BX2325" t="str">
            <v>AON</v>
          </cell>
        </row>
        <row r="2326">
          <cell r="A2326" t="str">
            <v>ON</v>
          </cell>
          <cell r="B2326" t="str">
            <v>Trong 24h</v>
          </cell>
          <cell r="D2326" t="str">
            <v>Khiếu nại về dịch vụ FTTH</v>
          </cell>
          <cell r="W2326" t="str">
            <v>Đang xử lý</v>
          </cell>
          <cell r="AJ2326" t="str">
            <v xml:space="preserve">Quảng Nam </v>
          </cell>
          <cell r="BX2326" t="str">
            <v>AON</v>
          </cell>
        </row>
        <row r="2327">
          <cell r="A2327" t="str">
            <v>ON</v>
          </cell>
          <cell r="B2327" t="str">
            <v>Trong 24h</v>
          </cell>
          <cell r="D2327" t="str">
            <v>Khiếu nại về dịch vụ FTTH</v>
          </cell>
          <cell r="W2327" t="str">
            <v>Đang xử lý</v>
          </cell>
          <cell r="AJ2327" t="str">
            <v>Bắc Giang</v>
          </cell>
          <cell r="BX2327" t="str">
            <v>AON</v>
          </cell>
        </row>
        <row r="2328">
          <cell r="A2328" t="str">
            <v>ON</v>
          </cell>
          <cell r="B2328" t="str">
            <v>Trong 24h</v>
          </cell>
          <cell r="D2328" t="str">
            <v>Khiếu nại về dịch vụ FTTH</v>
          </cell>
          <cell r="W2328" t="str">
            <v>Đang xử lý</v>
          </cell>
          <cell r="AJ2328" t="str">
            <v>Quảng Ninh</v>
          </cell>
          <cell r="BX2328" t="str">
            <v>AON</v>
          </cell>
        </row>
        <row r="2329">
          <cell r="A2329" t="str">
            <v>ON</v>
          </cell>
          <cell r="B2329" t="str">
            <v>Trong 24h</v>
          </cell>
          <cell r="D2329" t="str">
            <v>Khiếu nại về dịch vụ NextTV</v>
          </cell>
          <cell r="W2329" t="str">
            <v>Đang xử lý</v>
          </cell>
          <cell r="AJ2329" t="str">
            <v>TP HCM</v>
          </cell>
          <cell r="BX2329" t="str">
            <v>AON</v>
          </cell>
        </row>
        <row r="2330">
          <cell r="A2330" t="str">
            <v>ON</v>
          </cell>
          <cell r="B2330" t="str">
            <v>Trong 24h</v>
          </cell>
          <cell r="D2330" t="str">
            <v>Khiếu nại về dịch vụ FTTH</v>
          </cell>
          <cell r="W2330" t="str">
            <v>Đang xử lý</v>
          </cell>
          <cell r="AJ2330" t="str">
            <v>Hưng Yên</v>
          </cell>
          <cell r="BX2330" t="str">
            <v>AON</v>
          </cell>
        </row>
        <row r="2331">
          <cell r="A2331" t="str">
            <v>ON</v>
          </cell>
          <cell r="B2331" t="str">
            <v>Trong 24h</v>
          </cell>
          <cell r="D2331" t="str">
            <v>Khiếu nại về dịch vụ FTTH</v>
          </cell>
          <cell r="W2331" t="str">
            <v>Đang xử lý</v>
          </cell>
          <cell r="AJ2331" t="str">
            <v>Hà Nội 1</v>
          </cell>
          <cell r="BX2331" t="str">
            <v>AON</v>
          </cell>
        </row>
        <row r="2332">
          <cell r="A2332" t="str">
            <v>ON</v>
          </cell>
          <cell r="B2332" t="str">
            <v>Trong 24h</v>
          </cell>
          <cell r="D2332" t="str">
            <v>Khiếu nại về dịch vụ FTTH</v>
          </cell>
          <cell r="W2332" t="str">
            <v>Đang xử lý</v>
          </cell>
          <cell r="AJ2332" t="str">
            <v>Hà Nội 2</v>
          </cell>
          <cell r="BX2332" t="str">
            <v>AON</v>
          </cell>
        </row>
        <row r="2333">
          <cell r="A2333" t="str">
            <v>ON</v>
          </cell>
          <cell r="B2333" t="str">
            <v>Trong 24h</v>
          </cell>
          <cell r="D2333" t="str">
            <v>Khiếu nại về dịch vụ FTTH</v>
          </cell>
          <cell r="W2333" t="str">
            <v>Đang xử lý</v>
          </cell>
          <cell r="AJ2333" t="str">
            <v>Bình Thuận</v>
          </cell>
          <cell r="BX2333" t="str">
            <v>AON</v>
          </cell>
        </row>
        <row r="2334">
          <cell r="A2334" t="str">
            <v>ON</v>
          </cell>
          <cell r="B2334" t="str">
            <v>Trong 24h</v>
          </cell>
          <cell r="D2334" t="str">
            <v>Khiếu nại về dịch vụ FTTH</v>
          </cell>
          <cell r="W2334" t="str">
            <v>Đang xử lý</v>
          </cell>
          <cell r="AJ2334" t="str">
            <v>Hậu Giang</v>
          </cell>
          <cell r="BX2334" t="str">
            <v>AON</v>
          </cell>
        </row>
        <row r="2335">
          <cell r="A2335" t="str">
            <v>ON</v>
          </cell>
          <cell r="B2335" t="str">
            <v>Trong 24h</v>
          </cell>
          <cell r="D2335" t="str">
            <v>Khiếu nại về dịch vụ FTTH</v>
          </cell>
          <cell r="W2335" t="str">
            <v>Đang xử lý</v>
          </cell>
          <cell r="AJ2335" t="str">
            <v>Hà Nội 1</v>
          </cell>
          <cell r="BX2335" t="str">
            <v>AON</v>
          </cell>
        </row>
        <row r="2336">
          <cell r="A2336" t="str">
            <v>ON</v>
          </cell>
          <cell r="B2336" t="str">
            <v>Trong 24h</v>
          </cell>
          <cell r="D2336" t="str">
            <v>Khiếu nại về dịch vụ FTTH</v>
          </cell>
          <cell r="W2336" t="str">
            <v>Đang xử lý</v>
          </cell>
          <cell r="AJ2336" t="str">
            <v>Nghệ An</v>
          </cell>
          <cell r="BX2336" t="str">
            <v>AON</v>
          </cell>
        </row>
        <row r="2337">
          <cell r="A2337" t="str">
            <v>ON</v>
          </cell>
          <cell r="B2337" t="str">
            <v>Trong 24h</v>
          </cell>
          <cell r="D2337" t="str">
            <v>Khiếu nại về dịch vụ FTTH</v>
          </cell>
          <cell r="W2337" t="str">
            <v>Đang xử lý</v>
          </cell>
          <cell r="AJ2337" t="str">
            <v>TP HCM</v>
          </cell>
          <cell r="BX2337" t="str">
            <v>AON</v>
          </cell>
        </row>
        <row r="2338">
          <cell r="A2338" t="str">
            <v>ON</v>
          </cell>
          <cell r="B2338" t="str">
            <v>Trong 24h</v>
          </cell>
          <cell r="D2338" t="str">
            <v>Khiếu nại về dịch vụ FTTH</v>
          </cell>
          <cell r="W2338" t="str">
            <v>Đang xử lý</v>
          </cell>
          <cell r="AJ2338" t="str">
            <v>Bến Tre</v>
          </cell>
          <cell r="BX2338" t="str">
            <v>AON</v>
          </cell>
        </row>
        <row r="2339">
          <cell r="A2339" t="str">
            <v>ON</v>
          </cell>
          <cell r="B2339" t="str">
            <v>Trong 24h</v>
          </cell>
          <cell r="D2339" t="str">
            <v>Khiếu nại về dịch vụ FTTH</v>
          </cell>
          <cell r="W2339" t="str">
            <v>Đang xử lý</v>
          </cell>
          <cell r="AJ2339" t="str">
            <v>TP HCM</v>
          </cell>
          <cell r="BX2339" t="str">
            <v>AON</v>
          </cell>
        </row>
        <row r="2340">
          <cell r="A2340" t="str">
            <v>ON</v>
          </cell>
          <cell r="B2340" t="str">
            <v>Trong 24h</v>
          </cell>
          <cell r="D2340" t="str">
            <v>Khiếu nại về dịch vụ FTTH</v>
          </cell>
          <cell r="W2340" t="str">
            <v>Đang xử lý</v>
          </cell>
          <cell r="AJ2340" t="str">
            <v>TP HCM</v>
          </cell>
          <cell r="BX2340" t="str">
            <v>AON</v>
          </cell>
        </row>
        <row r="2341">
          <cell r="A2341" t="str">
            <v>ON</v>
          </cell>
          <cell r="B2341" t="str">
            <v>Trong 24h</v>
          </cell>
          <cell r="D2341" t="str">
            <v>Khiếu nại về dịch vụ FTTH</v>
          </cell>
          <cell r="W2341" t="str">
            <v>Đang xử lý</v>
          </cell>
          <cell r="AJ2341" t="str">
            <v>Bình Dương</v>
          </cell>
          <cell r="BX2341" t="str">
            <v>AON</v>
          </cell>
        </row>
        <row r="2342">
          <cell r="A2342" t="str">
            <v>ON</v>
          </cell>
          <cell r="B2342" t="str">
            <v>Trong 24h</v>
          </cell>
          <cell r="D2342" t="str">
            <v>Khiếu nại về dịch vụ FTTH</v>
          </cell>
          <cell r="W2342" t="str">
            <v>Đang xử lý</v>
          </cell>
          <cell r="AJ2342" t="str">
            <v>Cần Thơ</v>
          </cell>
          <cell r="BX2342" t="str">
            <v>AON</v>
          </cell>
        </row>
        <row r="2343">
          <cell r="A2343" t="str">
            <v>ON</v>
          </cell>
          <cell r="B2343" t="str">
            <v>Trong 24h</v>
          </cell>
          <cell r="D2343" t="str">
            <v>Khiếu nại về dịch vụ NextTV</v>
          </cell>
          <cell r="W2343" t="str">
            <v>Đang xử lý</v>
          </cell>
          <cell r="AJ2343" t="str">
            <v xml:space="preserve">Đồng Nai </v>
          </cell>
          <cell r="BX2343" t="str">
            <v>AON</v>
          </cell>
        </row>
        <row r="2344">
          <cell r="A2344" t="str">
            <v>ON</v>
          </cell>
          <cell r="B2344" t="str">
            <v>Trong 24h</v>
          </cell>
          <cell r="D2344" t="str">
            <v>Khiếu nại về dịch vụ FTTH</v>
          </cell>
          <cell r="W2344" t="str">
            <v>Đang xử lý</v>
          </cell>
          <cell r="AJ2344" t="str">
            <v>Hà Nội 1</v>
          </cell>
          <cell r="BX2344" t="str">
            <v>AON</v>
          </cell>
        </row>
        <row r="2345">
          <cell r="A2345" t="str">
            <v>ON</v>
          </cell>
          <cell r="B2345" t="str">
            <v>Trong 24h</v>
          </cell>
          <cell r="D2345" t="str">
            <v>Khiếu nại về dịch vụ FTTH</v>
          </cell>
          <cell r="W2345" t="str">
            <v>Đang xử lý</v>
          </cell>
          <cell r="AJ2345" t="str">
            <v>An Giang</v>
          </cell>
          <cell r="BX2345" t="str">
            <v>AON</v>
          </cell>
        </row>
        <row r="2346">
          <cell r="A2346" t="str">
            <v>ON</v>
          </cell>
          <cell r="B2346" t="str">
            <v>Trong 24h</v>
          </cell>
          <cell r="D2346" t="str">
            <v>Khiếu nại về dịch vụ FTTH</v>
          </cell>
          <cell r="W2346" t="str">
            <v>Đang xử lý</v>
          </cell>
          <cell r="AJ2346" t="str">
            <v>Bắc Giang</v>
          </cell>
          <cell r="BX2346" t="str">
            <v>AON</v>
          </cell>
        </row>
        <row r="2347">
          <cell r="A2347" t="str">
            <v>ON</v>
          </cell>
          <cell r="B2347" t="str">
            <v>Trong 24h</v>
          </cell>
          <cell r="D2347" t="str">
            <v>Khiếu nại về dịch vụ FTTH</v>
          </cell>
          <cell r="W2347" t="str">
            <v>Đang xử lý</v>
          </cell>
          <cell r="AJ2347" t="str">
            <v>TP HCM</v>
          </cell>
          <cell r="BX2347" t="str">
            <v>AON</v>
          </cell>
        </row>
        <row r="2348">
          <cell r="A2348" t="str">
            <v>ON</v>
          </cell>
          <cell r="B2348" t="str">
            <v>Trong 24h</v>
          </cell>
          <cell r="D2348" t="str">
            <v>Khiếu nại về dịch vụ FTTH</v>
          </cell>
          <cell r="W2348" t="str">
            <v>Đang xử lý</v>
          </cell>
          <cell r="AJ2348" t="str">
            <v>TP HCM</v>
          </cell>
          <cell r="BX2348" t="str">
            <v>AON</v>
          </cell>
        </row>
        <row r="2349">
          <cell r="A2349" t="str">
            <v>ON</v>
          </cell>
          <cell r="B2349" t="str">
            <v>Trong 24h</v>
          </cell>
          <cell r="D2349" t="str">
            <v>Khiếu nại về dịch vụ FTTH</v>
          </cell>
          <cell r="W2349" t="str">
            <v>Đang xử lý</v>
          </cell>
          <cell r="AJ2349" t="str">
            <v>TP HCM</v>
          </cell>
          <cell r="BX2349" t="str">
            <v>AON</v>
          </cell>
        </row>
        <row r="2350">
          <cell r="A2350" t="str">
            <v>ON</v>
          </cell>
          <cell r="B2350" t="str">
            <v>Trong 24h</v>
          </cell>
          <cell r="D2350" t="str">
            <v>Khiếu nại về dịch vụ FTTH</v>
          </cell>
          <cell r="W2350" t="str">
            <v>Đã đóng</v>
          </cell>
          <cell r="AJ2350" t="str">
            <v xml:space="preserve">Đắc Lắk </v>
          </cell>
          <cell r="BX2350" t="str">
            <v>AON</v>
          </cell>
        </row>
        <row r="2351">
          <cell r="A2351" t="str">
            <v>ON</v>
          </cell>
          <cell r="B2351" t="str">
            <v>Trong 24h</v>
          </cell>
          <cell r="D2351" t="str">
            <v>Khiếu nại về dịch vụ FTTH</v>
          </cell>
          <cell r="W2351" t="str">
            <v>Đã đóng</v>
          </cell>
          <cell r="AJ2351" t="str">
            <v>Thái Nguyên</v>
          </cell>
          <cell r="BX2351" t="str">
            <v>AON</v>
          </cell>
        </row>
        <row r="2352">
          <cell r="A2352" t="str">
            <v>ON</v>
          </cell>
          <cell r="B2352" t="str">
            <v>Trong 24h</v>
          </cell>
          <cell r="D2352" t="str">
            <v>Khiếu nại về dịch vụ FTTH</v>
          </cell>
          <cell r="W2352" t="str">
            <v>Đang xử lý</v>
          </cell>
          <cell r="AJ2352" t="str">
            <v>Nam Định</v>
          </cell>
          <cell r="BX2352" t="str">
            <v>AON</v>
          </cell>
        </row>
        <row r="2353">
          <cell r="A2353" t="str">
            <v>ON</v>
          </cell>
          <cell r="B2353" t="str">
            <v>Trong 24h</v>
          </cell>
          <cell r="D2353" t="str">
            <v>Khiếu nại về dịch vụ FTTH</v>
          </cell>
          <cell r="W2353" t="str">
            <v>Đang xử lý</v>
          </cell>
          <cell r="AJ2353" t="str">
            <v>Nam Định</v>
          </cell>
          <cell r="BX2353" t="str">
            <v>AON</v>
          </cell>
        </row>
        <row r="2354">
          <cell r="A2354" t="str">
            <v>ON</v>
          </cell>
          <cell r="B2354" t="str">
            <v>Trong 24h</v>
          </cell>
          <cell r="D2354" t="str">
            <v>Khiếu nại về dịch vụ FTTH</v>
          </cell>
          <cell r="W2354" t="str">
            <v>Đang xử lý</v>
          </cell>
          <cell r="AJ2354" t="str">
            <v>Bình Dương</v>
          </cell>
          <cell r="BX2354" t="str">
            <v>AON</v>
          </cell>
        </row>
        <row r="2355">
          <cell r="A2355" t="str">
            <v>ON</v>
          </cell>
          <cell r="B2355" t="str">
            <v>Trong 24h</v>
          </cell>
          <cell r="D2355" t="str">
            <v>Khiếu nại về dịch vụ FTTH</v>
          </cell>
          <cell r="W2355" t="str">
            <v>Đang xử lý</v>
          </cell>
          <cell r="AJ2355" t="str">
            <v>Bình Dương</v>
          </cell>
          <cell r="BX2355" t="str">
            <v>AON</v>
          </cell>
        </row>
        <row r="2356">
          <cell r="A2356" t="str">
            <v>ON</v>
          </cell>
          <cell r="B2356" t="str">
            <v>Trong 24h</v>
          </cell>
          <cell r="D2356" t="str">
            <v>Khiếu nại về dịch vụ FTTH</v>
          </cell>
          <cell r="W2356" t="str">
            <v>Đang xử lý</v>
          </cell>
          <cell r="AJ2356" t="str">
            <v>TP HCM</v>
          </cell>
          <cell r="BX2356" t="str">
            <v>AON</v>
          </cell>
        </row>
        <row r="2357">
          <cell r="A2357" t="str">
            <v>ON</v>
          </cell>
          <cell r="B2357" t="str">
            <v>Trong 24h</v>
          </cell>
          <cell r="D2357" t="str">
            <v>Khiếu nại về dịch vụ FTTH</v>
          </cell>
          <cell r="W2357" t="str">
            <v>Đã đóng</v>
          </cell>
          <cell r="AJ2357" t="str">
            <v>TP HCM</v>
          </cell>
          <cell r="BX2357" t="str">
            <v>AON</v>
          </cell>
        </row>
        <row r="2358">
          <cell r="A2358" t="str">
            <v>ON</v>
          </cell>
          <cell r="B2358" t="str">
            <v>Trong 24h</v>
          </cell>
          <cell r="D2358" t="str">
            <v>Khiếu nại về dịch vụ FTTH</v>
          </cell>
          <cell r="W2358" t="str">
            <v>Đang xử lý</v>
          </cell>
          <cell r="AJ2358" t="str">
            <v>Hoà Bình</v>
          </cell>
          <cell r="BX2358" t="str">
            <v>AON</v>
          </cell>
        </row>
        <row r="2359">
          <cell r="A2359" t="str">
            <v>ON</v>
          </cell>
          <cell r="B2359" t="str">
            <v>Trong 24h</v>
          </cell>
          <cell r="D2359" t="str">
            <v>Khiếu nại về dịch vụ FTTH</v>
          </cell>
          <cell r="W2359" t="str">
            <v>Đã đóng</v>
          </cell>
          <cell r="AJ2359" t="str">
            <v>TP HCM</v>
          </cell>
          <cell r="BX2359" t="str">
            <v>AON</v>
          </cell>
        </row>
        <row r="2360">
          <cell r="A2360" t="str">
            <v>ON</v>
          </cell>
          <cell r="B2360" t="str">
            <v>Trong 24h</v>
          </cell>
          <cell r="D2360" t="str">
            <v>Khiếu nại về dịch vụ FTTH</v>
          </cell>
          <cell r="W2360" t="str">
            <v>Đang xử lý</v>
          </cell>
          <cell r="AJ2360" t="str">
            <v>Hậu Giang</v>
          </cell>
          <cell r="BX2360" t="str">
            <v>AON</v>
          </cell>
        </row>
        <row r="2361">
          <cell r="A2361" t="str">
            <v>ON</v>
          </cell>
          <cell r="B2361" t="str">
            <v>Trong 24h</v>
          </cell>
          <cell r="D2361" t="str">
            <v>Khiếu nại về dịch vụ FTTH</v>
          </cell>
          <cell r="W2361" t="str">
            <v>Đang xử lý</v>
          </cell>
          <cell r="AJ2361" t="str">
            <v>TP HCM</v>
          </cell>
          <cell r="BX2361" t="str">
            <v>AON</v>
          </cell>
        </row>
        <row r="2362">
          <cell r="A2362" t="str">
            <v>ON</v>
          </cell>
          <cell r="B2362" t="str">
            <v>Trong 24h</v>
          </cell>
          <cell r="D2362" t="str">
            <v>Khiếu nại về dịch vụ NextTV</v>
          </cell>
          <cell r="W2362" t="str">
            <v>Đang xử lý</v>
          </cell>
          <cell r="AJ2362" t="str">
            <v>Bình Thuận</v>
          </cell>
          <cell r="BX2362" t="str">
            <v>AON</v>
          </cell>
        </row>
        <row r="2363">
          <cell r="A2363" t="str">
            <v>ON</v>
          </cell>
          <cell r="B2363" t="str">
            <v>Trong 24h</v>
          </cell>
          <cell r="D2363" t="str">
            <v>Khiếu nại về dịch vụ FTTH</v>
          </cell>
          <cell r="W2363" t="str">
            <v>Đang xử lý</v>
          </cell>
          <cell r="AJ2363" t="str">
            <v>Nam Định</v>
          </cell>
          <cell r="BX2363" t="str">
            <v>AON</v>
          </cell>
        </row>
        <row r="2364">
          <cell r="A2364" t="str">
            <v>ON</v>
          </cell>
          <cell r="B2364" t="str">
            <v>Trong 24h</v>
          </cell>
          <cell r="D2364" t="str">
            <v>Khiếu nại về dịch vụ FTTH</v>
          </cell>
          <cell r="W2364" t="str">
            <v>Đang xử lý</v>
          </cell>
          <cell r="AJ2364" t="str">
            <v>TP HCM</v>
          </cell>
          <cell r="BX2364" t="str">
            <v>AON</v>
          </cell>
        </row>
        <row r="2365">
          <cell r="A2365" t="str">
            <v>ON</v>
          </cell>
          <cell r="B2365" t="str">
            <v>Trong 24h</v>
          </cell>
          <cell r="D2365" t="str">
            <v>Khiếu nại về dịch vụ FTTH</v>
          </cell>
          <cell r="W2365" t="str">
            <v>Đang xử lý</v>
          </cell>
          <cell r="AJ2365" t="str">
            <v>Hà Nội 2</v>
          </cell>
          <cell r="BX2365" t="str">
            <v>AON</v>
          </cell>
        </row>
        <row r="2366">
          <cell r="A2366" t="str">
            <v>ON</v>
          </cell>
          <cell r="B2366" t="str">
            <v>Trong 24h</v>
          </cell>
          <cell r="D2366" t="str">
            <v>Khiếu nại về dịch vụ FTTH</v>
          </cell>
          <cell r="W2366" t="str">
            <v>Đã đóng</v>
          </cell>
          <cell r="AJ2366" t="str">
            <v>An Giang</v>
          </cell>
          <cell r="BX2366" t="str">
            <v>AON</v>
          </cell>
        </row>
        <row r="2367">
          <cell r="A2367" t="str">
            <v>ON</v>
          </cell>
          <cell r="B2367" t="str">
            <v>Trong 24h</v>
          </cell>
          <cell r="D2367" t="str">
            <v>Khiếu nại về dịch vụ FTTH</v>
          </cell>
          <cell r="W2367" t="str">
            <v>Đang xử lý</v>
          </cell>
          <cell r="AJ2367" t="str">
            <v>TP HCM</v>
          </cell>
          <cell r="BX2367" t="str">
            <v>AON</v>
          </cell>
        </row>
        <row r="2368">
          <cell r="A2368" t="str">
            <v>ON</v>
          </cell>
          <cell r="B2368" t="str">
            <v>Trong 24h</v>
          </cell>
          <cell r="D2368" t="str">
            <v>Khiếu nại về dịch vụ FTTH</v>
          </cell>
          <cell r="W2368" t="str">
            <v>Đang xử lý</v>
          </cell>
          <cell r="AJ2368" t="str">
            <v>Hậu Giang</v>
          </cell>
          <cell r="BX2368" t="str">
            <v>AON</v>
          </cell>
        </row>
        <row r="2369">
          <cell r="A2369" t="str">
            <v>ON</v>
          </cell>
          <cell r="B2369" t="str">
            <v>Trong 24h</v>
          </cell>
          <cell r="D2369" t="str">
            <v>Khiếu nại về dịch vụ FTTH</v>
          </cell>
          <cell r="W2369" t="str">
            <v>Đang xử lý</v>
          </cell>
          <cell r="AJ2369" t="str">
            <v>TP HCM</v>
          </cell>
          <cell r="BX2369" t="str">
            <v>AON</v>
          </cell>
        </row>
        <row r="2370">
          <cell r="A2370" t="str">
            <v>ON</v>
          </cell>
          <cell r="B2370" t="str">
            <v>Trong 24h</v>
          </cell>
          <cell r="D2370" t="str">
            <v>Khiếu nại về dịch vụ FTTH</v>
          </cell>
          <cell r="W2370" t="str">
            <v>Đang xử lý</v>
          </cell>
          <cell r="AJ2370" t="str">
            <v>Hà Nội 1</v>
          </cell>
          <cell r="BX2370" t="str">
            <v>AON</v>
          </cell>
        </row>
        <row r="2371">
          <cell r="A2371" t="str">
            <v>ON</v>
          </cell>
          <cell r="B2371" t="str">
            <v>Trong 24h</v>
          </cell>
          <cell r="D2371" t="str">
            <v>Khiếu nại về dịch vụ FTTH</v>
          </cell>
          <cell r="W2371" t="str">
            <v>Đang xử lý</v>
          </cell>
          <cell r="AJ2371" t="str">
            <v>Vĩnh Long</v>
          </cell>
          <cell r="BX2371" t="str">
            <v>AON</v>
          </cell>
        </row>
        <row r="2372">
          <cell r="A2372" t="str">
            <v>ON</v>
          </cell>
          <cell r="B2372" t="str">
            <v>Trong 24h</v>
          </cell>
          <cell r="D2372" t="str">
            <v>Khiếu nại về dịch vụ FTTH</v>
          </cell>
          <cell r="W2372" t="str">
            <v>Đang xử lý</v>
          </cell>
          <cell r="AJ2372" t="str">
            <v>TP HCM</v>
          </cell>
          <cell r="BX2372" t="str">
            <v>AON</v>
          </cell>
        </row>
        <row r="2373">
          <cell r="A2373" t="str">
            <v>ON</v>
          </cell>
          <cell r="B2373" t="str">
            <v>Trong 24h</v>
          </cell>
          <cell r="D2373" t="str">
            <v>Khiếu nại về dịch vụ FTTH</v>
          </cell>
          <cell r="W2373" t="str">
            <v>Đang xử lý</v>
          </cell>
          <cell r="AJ2373" t="str">
            <v>TP HCM</v>
          </cell>
          <cell r="BX2373" t="str">
            <v>AON</v>
          </cell>
        </row>
        <row r="2374">
          <cell r="A2374" t="str">
            <v>ON</v>
          </cell>
          <cell r="B2374" t="str">
            <v>Trong 24h</v>
          </cell>
          <cell r="D2374" t="str">
            <v>Khiếu nại về dịch vụ FTTH</v>
          </cell>
          <cell r="W2374" t="str">
            <v>Đang xử lý</v>
          </cell>
          <cell r="AJ2374" t="str">
            <v>Vĩnh Long</v>
          </cell>
          <cell r="BX2374" t="str">
            <v>AON</v>
          </cell>
        </row>
        <row r="2375">
          <cell r="A2375" t="str">
            <v>ON</v>
          </cell>
          <cell r="B2375" t="str">
            <v>Trong 24h</v>
          </cell>
          <cell r="D2375" t="str">
            <v>Khiếu nại về dịch vụ FTTH</v>
          </cell>
          <cell r="W2375" t="str">
            <v>Đang xử lý</v>
          </cell>
          <cell r="AJ2375" t="str">
            <v>TP HCM</v>
          </cell>
          <cell r="BX2375" t="str">
            <v>AON</v>
          </cell>
        </row>
        <row r="2376">
          <cell r="A2376" t="str">
            <v>ON</v>
          </cell>
          <cell r="B2376" t="str">
            <v>Trong 24h</v>
          </cell>
          <cell r="D2376" t="str">
            <v>Khiếu nại về dịch vụ FTTH</v>
          </cell>
          <cell r="W2376" t="str">
            <v>Đang xử lý</v>
          </cell>
          <cell r="AJ2376" t="str">
            <v>TP HCM</v>
          </cell>
          <cell r="BX2376" t="str">
            <v>GPON</v>
          </cell>
        </row>
        <row r="2377">
          <cell r="A2377" t="str">
            <v>ON</v>
          </cell>
          <cell r="B2377" t="str">
            <v>Trong 24h</v>
          </cell>
          <cell r="D2377" t="str">
            <v>Khiếu nại về dịch vụ FTTH</v>
          </cell>
          <cell r="W2377" t="str">
            <v>Đang xử lý</v>
          </cell>
          <cell r="AJ2377" t="str">
            <v>TP HCM</v>
          </cell>
          <cell r="BX2377" t="str">
            <v>AON</v>
          </cell>
        </row>
        <row r="2378">
          <cell r="A2378" t="str">
            <v>ON</v>
          </cell>
          <cell r="B2378" t="str">
            <v>Trong 24h</v>
          </cell>
          <cell r="D2378" t="str">
            <v>Khiếu nại về dịch vụ FTTH</v>
          </cell>
          <cell r="W2378" t="str">
            <v>Đang xử lý</v>
          </cell>
          <cell r="AJ2378" t="str">
            <v xml:space="preserve">Đắc Lắk </v>
          </cell>
          <cell r="BX2378" t="str">
            <v>AON</v>
          </cell>
        </row>
        <row r="2379">
          <cell r="A2379" t="str">
            <v>ON</v>
          </cell>
          <cell r="B2379" t="str">
            <v>Trong 24h</v>
          </cell>
          <cell r="D2379" t="str">
            <v>Khiếu nại về dịch vụ FTTH</v>
          </cell>
          <cell r="W2379" t="str">
            <v>Đang xử lý</v>
          </cell>
          <cell r="AJ2379" t="str">
            <v>Gia Lai</v>
          </cell>
          <cell r="BX2379" t="str">
            <v>AON</v>
          </cell>
        </row>
        <row r="2380">
          <cell r="A2380" t="str">
            <v>ON</v>
          </cell>
          <cell r="B2380" t="str">
            <v>Trong 24h</v>
          </cell>
          <cell r="D2380" t="str">
            <v>Khiếu nại về dịch vụ FTTH</v>
          </cell>
          <cell r="W2380" t="str">
            <v>Đang xử lý</v>
          </cell>
          <cell r="AJ2380" t="str">
            <v>Long An</v>
          </cell>
          <cell r="BX2380" t="str">
            <v>AON</v>
          </cell>
        </row>
        <row r="2381">
          <cell r="A2381" t="str">
            <v>ON</v>
          </cell>
          <cell r="B2381" t="str">
            <v>Trong 24h</v>
          </cell>
          <cell r="D2381" t="str">
            <v>Khiếu nại về dịch vụ FTTH</v>
          </cell>
          <cell r="W2381" t="str">
            <v>Đang xử lý</v>
          </cell>
          <cell r="AJ2381" t="str">
            <v>TP HCM</v>
          </cell>
          <cell r="BX2381" t="str">
            <v>AON</v>
          </cell>
        </row>
        <row r="2382">
          <cell r="A2382" t="str">
            <v>ON</v>
          </cell>
          <cell r="B2382" t="str">
            <v>Trong 24h</v>
          </cell>
          <cell r="D2382" t="str">
            <v>Khiếu nại về dịch vụ FTTH</v>
          </cell>
          <cell r="W2382" t="str">
            <v>Đang xử lý</v>
          </cell>
          <cell r="AJ2382" t="str">
            <v>Thái Nguyên</v>
          </cell>
          <cell r="BX2382" t="str">
            <v>AON</v>
          </cell>
        </row>
        <row r="2383">
          <cell r="A2383" t="str">
            <v>ON</v>
          </cell>
          <cell r="B2383" t="str">
            <v>Trong 24h</v>
          </cell>
          <cell r="D2383" t="str">
            <v>Khiếu nại về dịch vụ FTTH</v>
          </cell>
          <cell r="W2383" t="str">
            <v>Đang xử lý</v>
          </cell>
          <cell r="AJ2383" t="str">
            <v xml:space="preserve">Quảng Nam </v>
          </cell>
          <cell r="BX2383" t="str">
            <v>AON</v>
          </cell>
        </row>
        <row r="2384">
          <cell r="A2384" t="str">
            <v>ON</v>
          </cell>
          <cell r="B2384" t="str">
            <v>Trong 24h</v>
          </cell>
          <cell r="D2384" t="str">
            <v>Khiếu nại về dịch vụ FTTH</v>
          </cell>
          <cell r="W2384" t="str">
            <v>Đang xử lý</v>
          </cell>
          <cell r="AJ2384" t="str">
            <v>TP HCM</v>
          </cell>
          <cell r="BX2384" t="str">
            <v>AON</v>
          </cell>
        </row>
        <row r="2385">
          <cell r="A2385" t="str">
            <v>ON</v>
          </cell>
          <cell r="B2385" t="str">
            <v>Trong 24h</v>
          </cell>
          <cell r="D2385" t="str">
            <v>Khiếu nại về dịch vụ FTTH</v>
          </cell>
          <cell r="W2385" t="str">
            <v>Đang xử lý</v>
          </cell>
          <cell r="AJ2385" t="str">
            <v>Thái Nguyên</v>
          </cell>
          <cell r="BX2385" t="str">
            <v>AON</v>
          </cell>
        </row>
        <row r="2386">
          <cell r="A2386" t="str">
            <v>ON</v>
          </cell>
          <cell r="B2386" t="str">
            <v>Trong 24h</v>
          </cell>
          <cell r="D2386" t="str">
            <v>Khiếu nại về dịch vụ FTTH</v>
          </cell>
          <cell r="W2386" t="str">
            <v>Đang xử lý</v>
          </cell>
          <cell r="AJ2386" t="str">
            <v>TP HCM</v>
          </cell>
          <cell r="BX2386" t="str">
            <v>AON</v>
          </cell>
        </row>
        <row r="2387">
          <cell r="A2387" t="str">
            <v>ON</v>
          </cell>
          <cell r="B2387" t="str">
            <v>Trong 24h</v>
          </cell>
          <cell r="D2387" t="str">
            <v>Khiếu nại về dịch vụ FTTH</v>
          </cell>
          <cell r="W2387" t="str">
            <v>Đang xử lý</v>
          </cell>
          <cell r="AJ2387" t="str">
            <v>Bình Dương</v>
          </cell>
          <cell r="BX2387" t="str">
            <v>AON</v>
          </cell>
        </row>
        <row r="2388">
          <cell r="A2388" t="str">
            <v>ON</v>
          </cell>
          <cell r="B2388" t="str">
            <v>Trong 24h</v>
          </cell>
          <cell r="D2388" t="str">
            <v>Khiếu nại về dịch vụ FTTH</v>
          </cell>
          <cell r="W2388" t="str">
            <v>Đang xử lý</v>
          </cell>
          <cell r="AJ2388" t="str">
            <v>Thanh Hoá</v>
          </cell>
          <cell r="BX2388" t="str">
            <v>AON</v>
          </cell>
        </row>
        <row r="2389">
          <cell r="A2389" t="str">
            <v>ON</v>
          </cell>
          <cell r="B2389" t="str">
            <v>Trong 24h</v>
          </cell>
          <cell r="D2389" t="str">
            <v>Khiếu nại về dịch vụ FTTH</v>
          </cell>
          <cell r="W2389" t="str">
            <v>Đang xử lý</v>
          </cell>
          <cell r="AJ2389" t="str">
            <v>Tuyên Quang</v>
          </cell>
          <cell r="BX2389" t="str">
            <v>AON</v>
          </cell>
        </row>
        <row r="2390">
          <cell r="A2390" t="str">
            <v>ON</v>
          </cell>
          <cell r="B2390" t="str">
            <v>Trong 24h</v>
          </cell>
          <cell r="D2390" t="str">
            <v>Khiếu nại về dịch vụ FTTH</v>
          </cell>
          <cell r="W2390" t="str">
            <v>Đang xử lý</v>
          </cell>
          <cell r="AJ2390" t="str">
            <v>Hà Nội 1</v>
          </cell>
          <cell r="BX2390" t="str">
            <v>AON</v>
          </cell>
        </row>
        <row r="2391">
          <cell r="A2391" t="str">
            <v>ON</v>
          </cell>
          <cell r="B2391" t="str">
            <v>Trong 24h</v>
          </cell>
          <cell r="D2391" t="str">
            <v>Khiếu nại về dịch vụ FTTH</v>
          </cell>
          <cell r="W2391" t="str">
            <v>Đang xử lý</v>
          </cell>
          <cell r="AJ2391" t="str">
            <v>Quảng Trị</v>
          </cell>
          <cell r="BX2391" t="str">
            <v>AON</v>
          </cell>
        </row>
        <row r="2392">
          <cell r="A2392" t="str">
            <v>ON</v>
          </cell>
          <cell r="B2392" t="str">
            <v>Trong 24h</v>
          </cell>
          <cell r="D2392" t="str">
            <v>Khiếu nại về dịch vụ FTTH</v>
          </cell>
          <cell r="W2392" t="str">
            <v>Đang xử lý</v>
          </cell>
          <cell r="AJ2392" t="str">
            <v>Quảng Ninh</v>
          </cell>
          <cell r="BX2392" t="str">
            <v>AON</v>
          </cell>
        </row>
        <row r="2393">
          <cell r="A2393" t="str">
            <v>ON</v>
          </cell>
          <cell r="B2393" t="str">
            <v>Trong 24h</v>
          </cell>
          <cell r="D2393" t="str">
            <v>Khiếu nại về dịch vụ FTTH</v>
          </cell>
          <cell r="W2393" t="str">
            <v>Đang xử lý</v>
          </cell>
          <cell r="AJ2393" t="str">
            <v>TP HCM</v>
          </cell>
          <cell r="BX2393" t="str">
            <v>AON</v>
          </cell>
        </row>
        <row r="2394">
          <cell r="A2394" t="str">
            <v>ON</v>
          </cell>
          <cell r="B2394" t="str">
            <v>Trong 24h</v>
          </cell>
          <cell r="D2394" t="str">
            <v>Khiếu nại về dịch vụ FTTH</v>
          </cell>
          <cell r="W2394" t="str">
            <v>Đang xử lý</v>
          </cell>
          <cell r="AJ2394" t="str">
            <v>TP HCM</v>
          </cell>
          <cell r="BX2394" t="str">
            <v>AON</v>
          </cell>
        </row>
        <row r="2395">
          <cell r="A2395" t="str">
            <v>ON</v>
          </cell>
          <cell r="B2395" t="str">
            <v>Trong 24h</v>
          </cell>
          <cell r="D2395" t="str">
            <v>Khiếu nại về dịch vụ FTTH</v>
          </cell>
          <cell r="W2395" t="str">
            <v>Đang xử lý</v>
          </cell>
          <cell r="AJ2395" t="str">
            <v>Long An</v>
          </cell>
          <cell r="BX2395" t="str">
            <v>AON</v>
          </cell>
        </row>
        <row r="2396">
          <cell r="A2396" t="str">
            <v>ON</v>
          </cell>
          <cell r="B2396" t="str">
            <v>Trong 24h</v>
          </cell>
          <cell r="D2396" t="str">
            <v>Khiếu nại về dịch vụ FTTH</v>
          </cell>
          <cell r="W2396" t="str">
            <v>Đang xử lý</v>
          </cell>
          <cell r="AJ2396" t="str">
            <v>Quảng Ninh</v>
          </cell>
          <cell r="BX2396" t="str">
            <v>AON</v>
          </cell>
        </row>
        <row r="2397">
          <cell r="A2397" t="str">
            <v>ON</v>
          </cell>
          <cell r="B2397" t="str">
            <v>Trong 24h</v>
          </cell>
          <cell r="D2397" t="str">
            <v>Khiếu nại về dịch vụ FTTH</v>
          </cell>
          <cell r="W2397" t="str">
            <v>Đang xử lý</v>
          </cell>
          <cell r="AJ2397" t="str">
            <v>TP HCM</v>
          </cell>
          <cell r="BX2397" t="str">
            <v>AON</v>
          </cell>
        </row>
        <row r="2398">
          <cell r="A2398" t="str">
            <v>ON</v>
          </cell>
          <cell r="B2398" t="str">
            <v>Trong 24h</v>
          </cell>
          <cell r="D2398" t="str">
            <v>Khiếu nại về dịch vụ FTTH</v>
          </cell>
          <cell r="W2398" t="str">
            <v>Đang xử lý</v>
          </cell>
          <cell r="AJ2398" t="str">
            <v>Nghệ An</v>
          </cell>
          <cell r="BX2398" t="str">
            <v>AON</v>
          </cell>
        </row>
        <row r="2399">
          <cell r="A2399" t="str">
            <v>ON</v>
          </cell>
          <cell r="B2399" t="str">
            <v>Trong 24h</v>
          </cell>
          <cell r="D2399" t="str">
            <v>Khiếu nại về dịch vụ NextTV</v>
          </cell>
          <cell r="W2399" t="str">
            <v>Đang xử lý</v>
          </cell>
          <cell r="AJ2399" t="str">
            <v>An Giang</v>
          </cell>
          <cell r="BX2399" t="str">
            <v>AON</v>
          </cell>
        </row>
        <row r="2400">
          <cell r="A2400" t="str">
            <v>ON</v>
          </cell>
          <cell r="B2400" t="str">
            <v>Trong 24h</v>
          </cell>
          <cell r="D2400" t="str">
            <v>Khiếu nại về dịch vụ FTTH</v>
          </cell>
          <cell r="W2400" t="str">
            <v>Đang xử lý</v>
          </cell>
          <cell r="AJ2400" t="str">
            <v>Quảng Ninh</v>
          </cell>
          <cell r="BX2400" t="str">
            <v>AON</v>
          </cell>
        </row>
        <row r="2401">
          <cell r="A2401" t="str">
            <v>ON</v>
          </cell>
          <cell r="B2401" t="str">
            <v>Trong 24h</v>
          </cell>
          <cell r="D2401" t="str">
            <v>Khiếu nại về dịch vụ FTTH</v>
          </cell>
          <cell r="W2401" t="str">
            <v>Đang xử lý</v>
          </cell>
          <cell r="AJ2401" t="str">
            <v>Bạc Liêu</v>
          </cell>
          <cell r="BX2401" t="str">
            <v>AON</v>
          </cell>
        </row>
        <row r="2402">
          <cell r="A2402" t="str">
            <v>ON</v>
          </cell>
          <cell r="B2402" t="str">
            <v>Trong 24h</v>
          </cell>
          <cell r="D2402" t="str">
            <v>Khiếu nại về dịch vụ FTTH</v>
          </cell>
          <cell r="W2402" t="str">
            <v>Đang xử lý</v>
          </cell>
          <cell r="AJ2402" t="str">
            <v>Hà Nội 1</v>
          </cell>
          <cell r="BX2402" t="str">
            <v>AON</v>
          </cell>
        </row>
        <row r="2403">
          <cell r="A2403" t="str">
            <v>ON</v>
          </cell>
          <cell r="B2403" t="str">
            <v>Trong 24h</v>
          </cell>
          <cell r="D2403" t="str">
            <v>Khiếu nại về dịch vụ FTTH</v>
          </cell>
          <cell r="W2403" t="str">
            <v>Đang xử lý</v>
          </cell>
          <cell r="AJ2403" t="str">
            <v xml:space="preserve">Đắc Lắk </v>
          </cell>
          <cell r="BX2403" t="str">
            <v>AON</v>
          </cell>
        </row>
        <row r="2404">
          <cell r="A2404" t="str">
            <v>ON</v>
          </cell>
          <cell r="B2404" t="str">
            <v>Trong 24h</v>
          </cell>
          <cell r="D2404" t="str">
            <v>Khiếu nại về dịch vụ FTTH</v>
          </cell>
          <cell r="W2404" t="str">
            <v>Đang xử lý</v>
          </cell>
          <cell r="AJ2404" t="str">
            <v>TP HCM</v>
          </cell>
          <cell r="BX2404" t="str">
            <v>AON</v>
          </cell>
        </row>
        <row r="2405">
          <cell r="A2405" t="str">
            <v>ON</v>
          </cell>
          <cell r="B2405" t="str">
            <v>Trong 24h</v>
          </cell>
          <cell r="D2405" t="str">
            <v>Khiếu nại về dịch vụ FTTH</v>
          </cell>
          <cell r="W2405" t="str">
            <v>Đang xử lý</v>
          </cell>
          <cell r="AJ2405" t="str">
            <v>Hà Nội 1</v>
          </cell>
          <cell r="BX2405" t="str">
            <v>AON</v>
          </cell>
        </row>
        <row r="2406">
          <cell r="A2406" t="str">
            <v>ON</v>
          </cell>
          <cell r="B2406" t="str">
            <v>Trong 24h</v>
          </cell>
          <cell r="D2406" t="str">
            <v>Khiếu nại về dịch vụ FTTH</v>
          </cell>
          <cell r="W2406" t="str">
            <v>Đang xử lý</v>
          </cell>
          <cell r="AJ2406" t="str">
            <v>Hậu Giang</v>
          </cell>
          <cell r="BX2406" t="str">
            <v>AON</v>
          </cell>
        </row>
        <row r="2407">
          <cell r="A2407" t="str">
            <v>ON</v>
          </cell>
          <cell r="B2407" t="str">
            <v>Trong 24h</v>
          </cell>
          <cell r="D2407" t="str">
            <v>Khiếu nại về dịch vụ FTTH</v>
          </cell>
          <cell r="W2407" t="str">
            <v>Đang xử lý</v>
          </cell>
          <cell r="AJ2407" t="str">
            <v>Bến Tre</v>
          </cell>
          <cell r="BX2407" t="str">
            <v>AON</v>
          </cell>
        </row>
        <row r="2408">
          <cell r="A2408" t="str">
            <v>ON</v>
          </cell>
          <cell r="B2408" t="str">
            <v>Trong 24h</v>
          </cell>
          <cell r="D2408" t="str">
            <v>Khiếu nại về dịch vụ FTTH</v>
          </cell>
          <cell r="W2408" t="str">
            <v>Đang xử lý</v>
          </cell>
          <cell r="AJ2408" t="str">
            <v>Thanh Hoá</v>
          </cell>
          <cell r="BX2408" t="str">
            <v>AON</v>
          </cell>
        </row>
        <row r="2409">
          <cell r="A2409" t="str">
            <v>ON</v>
          </cell>
          <cell r="B2409" t="str">
            <v>Trong 24h</v>
          </cell>
          <cell r="D2409" t="str">
            <v>Khiếu nại về dịch vụ FTTH</v>
          </cell>
          <cell r="W2409" t="str">
            <v>Đang xử lý</v>
          </cell>
          <cell r="AJ2409" t="str">
            <v>Vĩnh Phúc</v>
          </cell>
          <cell r="BX2409" t="str">
            <v>AON</v>
          </cell>
        </row>
        <row r="2410">
          <cell r="A2410" t="str">
            <v>ON</v>
          </cell>
          <cell r="B2410" t="str">
            <v>Trong 24h</v>
          </cell>
          <cell r="D2410" t="str">
            <v>Khiếu nại về dịch vụ FTTH</v>
          </cell>
          <cell r="W2410" t="str">
            <v>Đang xử lý</v>
          </cell>
          <cell r="AJ2410" t="str">
            <v>TP HCM</v>
          </cell>
          <cell r="BX2410" t="str">
            <v>AON</v>
          </cell>
        </row>
        <row r="2411">
          <cell r="A2411" t="str">
            <v>ON</v>
          </cell>
          <cell r="B2411" t="str">
            <v>Trong 24h</v>
          </cell>
          <cell r="D2411" t="str">
            <v>Khiếu nại về dịch vụ FTTH</v>
          </cell>
          <cell r="W2411" t="str">
            <v>Đang xử lý</v>
          </cell>
          <cell r="AJ2411" t="str">
            <v xml:space="preserve">Đắc Lắk </v>
          </cell>
          <cell r="BX2411" t="str">
            <v>AON</v>
          </cell>
        </row>
        <row r="2412">
          <cell r="A2412" t="str">
            <v>ON</v>
          </cell>
          <cell r="B2412" t="str">
            <v>Trong 24h</v>
          </cell>
          <cell r="D2412" t="str">
            <v>Khiếu nại về dịch vụ NextTV</v>
          </cell>
          <cell r="W2412" t="str">
            <v>Đang xử lý</v>
          </cell>
          <cell r="AJ2412" t="str">
            <v>Quảng Ninh</v>
          </cell>
          <cell r="BX2412" t="str">
            <v>AON</v>
          </cell>
        </row>
        <row r="2413">
          <cell r="A2413" t="str">
            <v>ON</v>
          </cell>
          <cell r="B2413" t="str">
            <v>Trong 24h</v>
          </cell>
          <cell r="D2413" t="str">
            <v>Khiếu nại về dịch vụ FTTH</v>
          </cell>
          <cell r="W2413" t="str">
            <v>Đang xử lý</v>
          </cell>
          <cell r="AJ2413" t="str">
            <v>TP HCM</v>
          </cell>
          <cell r="BX2413" t="str">
            <v>GPON</v>
          </cell>
        </row>
        <row r="2414">
          <cell r="A2414" t="str">
            <v>ON</v>
          </cell>
          <cell r="B2414" t="str">
            <v>Trong 24h</v>
          </cell>
          <cell r="D2414" t="str">
            <v>Khiếu nại về dịch vụ NextTV</v>
          </cell>
          <cell r="W2414" t="str">
            <v>Đang xử lý</v>
          </cell>
          <cell r="AJ2414" t="str">
            <v>Bình Phước</v>
          </cell>
          <cell r="BX2414" t="str">
            <v>AON</v>
          </cell>
        </row>
        <row r="2415">
          <cell r="A2415" t="str">
            <v>ON</v>
          </cell>
          <cell r="B2415" t="str">
            <v>Trong 24h</v>
          </cell>
          <cell r="D2415" t="str">
            <v>Khiếu nại về dịch vụ FTTH</v>
          </cell>
          <cell r="W2415" t="str">
            <v>Đang xử lý</v>
          </cell>
          <cell r="AJ2415" t="str">
            <v>Phú Thọ</v>
          </cell>
          <cell r="BX2415" t="str">
            <v>AON</v>
          </cell>
        </row>
        <row r="2416">
          <cell r="A2416" t="str">
            <v>ON</v>
          </cell>
          <cell r="B2416" t="str">
            <v>Trong 24h</v>
          </cell>
          <cell r="D2416" t="str">
            <v>Khiếu nại về dịch vụ FTTH</v>
          </cell>
          <cell r="W2416" t="str">
            <v>Đang xử lý</v>
          </cell>
          <cell r="AJ2416" t="str">
            <v>TP HCM</v>
          </cell>
          <cell r="BX2416" t="str">
            <v>AON</v>
          </cell>
        </row>
        <row r="2417">
          <cell r="A2417" t="str">
            <v>ON</v>
          </cell>
          <cell r="B2417" t="str">
            <v>Trong 24h</v>
          </cell>
          <cell r="D2417" t="str">
            <v>Khiếu nại về dịch vụ FTTH</v>
          </cell>
          <cell r="W2417" t="str">
            <v>Đang xử lý</v>
          </cell>
          <cell r="AJ2417" t="str">
            <v>Cà Mau</v>
          </cell>
          <cell r="BX2417" t="str">
            <v>AON</v>
          </cell>
        </row>
        <row r="2418">
          <cell r="A2418" t="str">
            <v>ON</v>
          </cell>
          <cell r="B2418" t="str">
            <v>Trong 24h</v>
          </cell>
          <cell r="D2418" t="str">
            <v>Khiếu nại về dịch vụ FTTH</v>
          </cell>
          <cell r="W2418" t="str">
            <v>Đang xử lý</v>
          </cell>
          <cell r="AJ2418" t="str">
            <v>TP HCM</v>
          </cell>
          <cell r="BX2418" t="str">
            <v>AON</v>
          </cell>
        </row>
        <row r="2419">
          <cell r="A2419" t="str">
            <v>ON</v>
          </cell>
          <cell r="B2419" t="str">
            <v>Trong 24h</v>
          </cell>
          <cell r="D2419" t="str">
            <v>Khiếu nại về dịch vụ FTTH</v>
          </cell>
          <cell r="W2419" t="str">
            <v>Đang xử lý</v>
          </cell>
          <cell r="AJ2419" t="str">
            <v>TP HCM</v>
          </cell>
          <cell r="BX2419" t="str">
            <v>AON</v>
          </cell>
        </row>
        <row r="2420">
          <cell r="A2420" t="str">
            <v>ON</v>
          </cell>
          <cell r="B2420" t="str">
            <v>Trong 24h</v>
          </cell>
          <cell r="D2420" t="str">
            <v>Khiếu nại về dịch vụ NextTV</v>
          </cell>
          <cell r="W2420" t="str">
            <v>Đang xử lý</v>
          </cell>
          <cell r="AJ2420" t="str">
            <v>TP HCM</v>
          </cell>
          <cell r="BX2420" t="str">
            <v>AON</v>
          </cell>
        </row>
        <row r="2421">
          <cell r="A2421" t="str">
            <v>ON</v>
          </cell>
          <cell r="B2421" t="str">
            <v>Trong 24h</v>
          </cell>
          <cell r="D2421" t="str">
            <v>Khiếu nại về dịch vụ FTTH</v>
          </cell>
          <cell r="W2421" t="str">
            <v>Đang xử lý</v>
          </cell>
          <cell r="AJ2421" t="str">
            <v>Gia Lai</v>
          </cell>
          <cell r="BX2421" t="str">
            <v>AON</v>
          </cell>
        </row>
        <row r="2422">
          <cell r="A2422" t="str">
            <v>ON</v>
          </cell>
          <cell r="B2422" t="str">
            <v>Trong 24h</v>
          </cell>
          <cell r="D2422" t="str">
            <v>Khiếu nại về dịch vụ NextTV</v>
          </cell>
          <cell r="W2422" t="str">
            <v>Đang xử lý</v>
          </cell>
          <cell r="AJ2422" t="str">
            <v>Gia Lai</v>
          </cell>
          <cell r="BX2422" t="str">
            <v>AON</v>
          </cell>
        </row>
        <row r="2423">
          <cell r="A2423" t="str">
            <v>ON</v>
          </cell>
          <cell r="B2423" t="str">
            <v>Trong 24h</v>
          </cell>
          <cell r="D2423" t="str">
            <v>Khiếu nại về dịch vụ FTTH</v>
          </cell>
          <cell r="W2423" t="str">
            <v>Đang xử lý</v>
          </cell>
          <cell r="AJ2423" t="str">
            <v>Thái Bình</v>
          </cell>
          <cell r="BX2423" t="str">
            <v>AON</v>
          </cell>
        </row>
        <row r="2424">
          <cell r="A2424" t="str">
            <v>ON</v>
          </cell>
          <cell r="B2424" t="str">
            <v>Trong 24h</v>
          </cell>
          <cell r="D2424" t="str">
            <v>Khiếu nại về dịch vụ FTTH</v>
          </cell>
          <cell r="W2424" t="str">
            <v>Đang xử lý</v>
          </cell>
          <cell r="AJ2424" t="str">
            <v>Bắc Ninh</v>
          </cell>
          <cell r="BX2424" t="str">
            <v>AON</v>
          </cell>
        </row>
        <row r="2425">
          <cell r="A2425" t="str">
            <v>ON</v>
          </cell>
          <cell r="B2425" t="str">
            <v>Trong 24h</v>
          </cell>
          <cell r="D2425" t="str">
            <v>Khiếu nại về dịch vụ NextTV</v>
          </cell>
          <cell r="W2425" t="str">
            <v>Đã đóng</v>
          </cell>
          <cell r="AJ2425" t="str">
            <v>TP HCM</v>
          </cell>
          <cell r="BX2425" t="str">
            <v>AON</v>
          </cell>
        </row>
        <row r="2426">
          <cell r="A2426" t="str">
            <v>ON</v>
          </cell>
          <cell r="B2426" t="str">
            <v>Trong 24h</v>
          </cell>
          <cell r="D2426" t="str">
            <v>Khiếu nại về dịch vụ FTTH</v>
          </cell>
          <cell r="W2426" t="str">
            <v>Đang xử lý</v>
          </cell>
          <cell r="AJ2426" t="str">
            <v>TP HCM</v>
          </cell>
          <cell r="BX2426" t="str">
            <v>AON</v>
          </cell>
        </row>
        <row r="2427">
          <cell r="A2427" t="str">
            <v>ON</v>
          </cell>
          <cell r="B2427" t="str">
            <v>Trong 24h</v>
          </cell>
          <cell r="D2427" t="str">
            <v>Khiếu nại về dịch vụ FTTH</v>
          </cell>
          <cell r="W2427" t="str">
            <v>Đang xử lý</v>
          </cell>
          <cell r="AJ2427" t="str">
            <v>Hà Nội 2</v>
          </cell>
          <cell r="BX2427" t="str">
            <v>AON</v>
          </cell>
        </row>
        <row r="2428">
          <cell r="A2428" t="str">
            <v>ON</v>
          </cell>
          <cell r="B2428" t="str">
            <v>Trong 24h</v>
          </cell>
          <cell r="D2428" t="str">
            <v>Khiếu nại về dịch vụ FTTH</v>
          </cell>
          <cell r="W2428" t="str">
            <v>Đang xử lý</v>
          </cell>
          <cell r="AJ2428" t="str">
            <v>Yên Bái</v>
          </cell>
          <cell r="BX2428" t="str">
            <v>AON</v>
          </cell>
        </row>
        <row r="2429">
          <cell r="A2429" t="str">
            <v>ON</v>
          </cell>
          <cell r="B2429" t="str">
            <v>Trong 24h</v>
          </cell>
          <cell r="D2429" t="str">
            <v>Khiếu nại về dịch vụ FTTH</v>
          </cell>
          <cell r="W2429" t="str">
            <v>Đang xử lý</v>
          </cell>
          <cell r="AJ2429" t="str">
            <v xml:space="preserve">Hà Tĩnh </v>
          </cell>
          <cell r="BX2429" t="str">
            <v>AON</v>
          </cell>
        </row>
        <row r="2430">
          <cell r="A2430" t="str">
            <v>ON</v>
          </cell>
          <cell r="B2430" t="str">
            <v>Trong 24h</v>
          </cell>
          <cell r="D2430" t="str">
            <v>Khiếu nại về dịch vụ FTTH</v>
          </cell>
          <cell r="W2430" t="str">
            <v>Đang xử lý</v>
          </cell>
          <cell r="AJ2430" t="str">
            <v>An Giang</v>
          </cell>
          <cell r="BX2430" t="str">
            <v>AON</v>
          </cell>
        </row>
        <row r="2431">
          <cell r="A2431" t="str">
            <v>ON</v>
          </cell>
          <cell r="B2431" t="str">
            <v>Trong 24h</v>
          </cell>
          <cell r="D2431" t="str">
            <v>Khiếu nại về dịch vụ FTTH</v>
          </cell>
          <cell r="W2431" t="str">
            <v>Đang xử lý</v>
          </cell>
          <cell r="AJ2431" t="str">
            <v>Quảng Ninh</v>
          </cell>
          <cell r="BX2431" t="str">
            <v>AON</v>
          </cell>
        </row>
        <row r="2432">
          <cell r="A2432" t="str">
            <v>ON</v>
          </cell>
          <cell r="B2432" t="str">
            <v>Trong 24h</v>
          </cell>
          <cell r="D2432" t="str">
            <v>Khiếu nại về dịch vụ FTTH</v>
          </cell>
          <cell r="W2432" t="str">
            <v>Đang xử lý</v>
          </cell>
          <cell r="AJ2432" t="str">
            <v>Hải Phòng</v>
          </cell>
          <cell r="BX2432" t="str">
            <v>AON</v>
          </cell>
        </row>
        <row r="2433">
          <cell r="A2433" t="str">
            <v>ON</v>
          </cell>
          <cell r="B2433" t="str">
            <v>Trong 24h</v>
          </cell>
          <cell r="D2433" t="str">
            <v>Khiếu nại về dịch vụ FTTH</v>
          </cell>
          <cell r="W2433" t="str">
            <v>Đang xử lý</v>
          </cell>
          <cell r="AJ2433" t="str">
            <v>Lào Cai</v>
          </cell>
          <cell r="BX2433" t="str">
            <v>AON</v>
          </cell>
        </row>
        <row r="2434">
          <cell r="A2434" t="str">
            <v>ON</v>
          </cell>
          <cell r="B2434" t="str">
            <v>Trong 24h</v>
          </cell>
          <cell r="D2434" t="str">
            <v>Khiếu nại về dịch vụ FTTH</v>
          </cell>
          <cell r="W2434" t="str">
            <v>Đang xử lý</v>
          </cell>
          <cell r="AJ2434" t="str">
            <v>Long An</v>
          </cell>
          <cell r="BX2434" t="str">
            <v>AON</v>
          </cell>
        </row>
        <row r="2435">
          <cell r="A2435" t="str">
            <v>ON</v>
          </cell>
          <cell r="B2435" t="str">
            <v>Trong 24h</v>
          </cell>
          <cell r="D2435" t="str">
            <v>Khiếu nại về dịch vụ FTTH</v>
          </cell>
          <cell r="W2435" t="str">
            <v>Đang xử lý</v>
          </cell>
          <cell r="AJ2435" t="str">
            <v>Gia Lai</v>
          </cell>
          <cell r="BX2435" t="str">
            <v>AON</v>
          </cell>
        </row>
        <row r="2436">
          <cell r="A2436" t="str">
            <v>ON</v>
          </cell>
          <cell r="B2436" t="str">
            <v>Trong 24h</v>
          </cell>
          <cell r="D2436" t="str">
            <v>Khiếu nại về dịch vụ FTTH</v>
          </cell>
          <cell r="W2436" t="str">
            <v>Đang xử lý</v>
          </cell>
          <cell r="AJ2436" t="str">
            <v>Quảng Ninh</v>
          </cell>
          <cell r="BX2436" t="str">
            <v>AON</v>
          </cell>
        </row>
        <row r="2437">
          <cell r="A2437" t="str">
            <v>ON</v>
          </cell>
          <cell r="B2437" t="str">
            <v>Trong 24h</v>
          </cell>
          <cell r="D2437" t="str">
            <v>Khiếu nại về dịch vụ NextTV</v>
          </cell>
          <cell r="W2437" t="str">
            <v>Đang xử lý</v>
          </cell>
          <cell r="AJ2437" t="str">
            <v>TP HCM</v>
          </cell>
          <cell r="BX2437" t="str">
            <v>AON</v>
          </cell>
        </row>
        <row r="2438">
          <cell r="A2438" t="str">
            <v>ON</v>
          </cell>
          <cell r="B2438" t="str">
            <v>Trong 24h</v>
          </cell>
          <cell r="D2438" t="str">
            <v>Khiếu nại về dịch vụ FTTH</v>
          </cell>
          <cell r="W2438" t="str">
            <v>Đang xử lý</v>
          </cell>
          <cell r="AJ2438" t="str">
            <v>Kon Tum</v>
          </cell>
          <cell r="BX2438" t="str">
            <v>AON</v>
          </cell>
        </row>
        <row r="2439">
          <cell r="A2439" t="str">
            <v>ON</v>
          </cell>
          <cell r="B2439" t="str">
            <v>Trong 24h</v>
          </cell>
          <cell r="D2439" t="str">
            <v>Khiếu nại về dịch vụ FTTH</v>
          </cell>
          <cell r="W2439" t="str">
            <v>Đang xử lý</v>
          </cell>
          <cell r="AJ2439" t="str">
            <v xml:space="preserve">Hà Tĩnh </v>
          </cell>
          <cell r="BX2439" t="str">
            <v>AON</v>
          </cell>
        </row>
        <row r="2440">
          <cell r="A2440" t="str">
            <v>ON</v>
          </cell>
          <cell r="B2440" t="str">
            <v>Trong 24h</v>
          </cell>
          <cell r="D2440" t="str">
            <v>Khiếu nại về dịch vụ FTTH</v>
          </cell>
          <cell r="W2440" t="str">
            <v>Đang xử lý</v>
          </cell>
          <cell r="AJ2440" t="str">
            <v>An Giang</v>
          </cell>
          <cell r="BX2440" t="str">
            <v>AON</v>
          </cell>
        </row>
        <row r="2441">
          <cell r="A2441" t="str">
            <v>ON</v>
          </cell>
          <cell r="B2441" t="str">
            <v>Trong 24h</v>
          </cell>
          <cell r="D2441" t="str">
            <v>Khiếu nại về dịch vụ FTTH</v>
          </cell>
          <cell r="W2441" t="str">
            <v>Đang xử lý</v>
          </cell>
          <cell r="AJ2441" t="str">
            <v>TP HCM</v>
          </cell>
          <cell r="BX2441" t="str">
            <v>AON</v>
          </cell>
        </row>
        <row r="2442">
          <cell r="A2442" t="str">
            <v>ON</v>
          </cell>
          <cell r="B2442" t="str">
            <v>Trong 24h</v>
          </cell>
          <cell r="D2442" t="str">
            <v>Khiếu nại về dịch vụ FTTH</v>
          </cell>
          <cell r="W2442" t="str">
            <v>Đang xử lý</v>
          </cell>
          <cell r="AJ2442" t="str">
            <v>An Giang</v>
          </cell>
          <cell r="BX2442" t="str">
            <v>AON</v>
          </cell>
        </row>
        <row r="2443">
          <cell r="A2443" t="str">
            <v>ON</v>
          </cell>
          <cell r="B2443" t="str">
            <v>Trong 24h</v>
          </cell>
          <cell r="D2443" t="str">
            <v>Khiếu nại về dịch vụ FTTH</v>
          </cell>
          <cell r="W2443" t="str">
            <v>Đang xử lý</v>
          </cell>
          <cell r="AJ2443" t="str">
            <v>Hà Nội 2</v>
          </cell>
          <cell r="BX2443" t="str">
            <v>AON</v>
          </cell>
        </row>
        <row r="2444">
          <cell r="A2444" t="str">
            <v>ON</v>
          </cell>
          <cell r="B2444" t="str">
            <v>Trong 24h</v>
          </cell>
          <cell r="D2444" t="str">
            <v>Khiếu nại về dịch vụ FTTH</v>
          </cell>
          <cell r="W2444" t="str">
            <v>Đang xử lý</v>
          </cell>
          <cell r="AJ2444" t="str">
            <v>TP HCM</v>
          </cell>
          <cell r="BX2444" t="str">
            <v>AON</v>
          </cell>
        </row>
        <row r="2445">
          <cell r="A2445" t="str">
            <v>ON</v>
          </cell>
          <cell r="B2445" t="str">
            <v>Trong 24h</v>
          </cell>
          <cell r="D2445" t="str">
            <v>Khiếu nại về dịch vụ FTTH</v>
          </cell>
          <cell r="W2445" t="str">
            <v>Đang xử lý</v>
          </cell>
          <cell r="AJ2445" t="str">
            <v>Hậu Giang</v>
          </cell>
          <cell r="BX2445" t="str">
            <v>AON</v>
          </cell>
        </row>
        <row r="2446">
          <cell r="A2446" t="str">
            <v>ON</v>
          </cell>
          <cell r="B2446" t="str">
            <v>Trong 24h</v>
          </cell>
          <cell r="D2446" t="str">
            <v>Khiếu nại về dịch vụ FTTH</v>
          </cell>
          <cell r="W2446" t="str">
            <v>Đang xử lý</v>
          </cell>
          <cell r="AJ2446" t="str">
            <v>Nghệ An</v>
          </cell>
          <cell r="BX2446" t="str">
            <v>AON</v>
          </cell>
        </row>
        <row r="2447">
          <cell r="A2447" t="str">
            <v>ON</v>
          </cell>
          <cell r="B2447" t="str">
            <v>Trong 24h</v>
          </cell>
          <cell r="D2447" t="str">
            <v>Khiếu nại về dịch vụ FTTH</v>
          </cell>
          <cell r="W2447" t="str">
            <v>Đang xử lý</v>
          </cell>
          <cell r="AJ2447" t="str">
            <v>TP HCM</v>
          </cell>
          <cell r="BX2447" t="str">
            <v>AON</v>
          </cell>
        </row>
        <row r="2448">
          <cell r="A2448" t="str">
            <v>ON</v>
          </cell>
          <cell r="B2448" t="str">
            <v>Trong 24h</v>
          </cell>
          <cell r="D2448" t="str">
            <v>Khiếu nại về dịch vụ FTTH</v>
          </cell>
          <cell r="W2448" t="str">
            <v>Đang xử lý</v>
          </cell>
          <cell r="AJ2448" t="str">
            <v>TP HCM</v>
          </cell>
          <cell r="BX2448" t="str">
            <v>AON</v>
          </cell>
        </row>
        <row r="2449">
          <cell r="A2449" t="str">
            <v>ON</v>
          </cell>
          <cell r="B2449" t="str">
            <v>Trong 24h</v>
          </cell>
          <cell r="D2449" t="str">
            <v>Khiếu nại về dịch vụ FTTH</v>
          </cell>
          <cell r="W2449" t="str">
            <v>Đang xử lý</v>
          </cell>
          <cell r="AJ2449" t="str">
            <v>TP HCM</v>
          </cell>
          <cell r="BX2449" t="str">
            <v>AON</v>
          </cell>
        </row>
        <row r="2450">
          <cell r="A2450" t="str">
            <v>ON</v>
          </cell>
          <cell r="B2450" t="str">
            <v>Trong 24h</v>
          </cell>
          <cell r="D2450" t="str">
            <v>Khiếu nại về dịch vụ FTTH</v>
          </cell>
          <cell r="W2450" t="str">
            <v>Đang xử lý</v>
          </cell>
          <cell r="AJ2450" t="str">
            <v>Hưng Yên</v>
          </cell>
          <cell r="BX2450" t="str">
            <v>AON</v>
          </cell>
        </row>
        <row r="2451">
          <cell r="A2451" t="str">
            <v>ON</v>
          </cell>
          <cell r="B2451" t="str">
            <v>Trong 24h</v>
          </cell>
          <cell r="D2451" t="str">
            <v>Khiếu nại về dịch vụ FTTH</v>
          </cell>
          <cell r="W2451" t="str">
            <v>Đang xử lý</v>
          </cell>
          <cell r="AJ2451" t="str">
            <v>TP HCM</v>
          </cell>
          <cell r="BX2451" t="str">
            <v>AON</v>
          </cell>
        </row>
        <row r="2452">
          <cell r="A2452" t="str">
            <v>ON</v>
          </cell>
          <cell r="B2452" t="str">
            <v>Trong 24h</v>
          </cell>
          <cell r="D2452" t="str">
            <v>Khiếu nại về dịch vụ FTTH</v>
          </cell>
          <cell r="W2452" t="str">
            <v>Đang xử lý</v>
          </cell>
          <cell r="AJ2452" t="str">
            <v>Bình Dương</v>
          </cell>
          <cell r="BX2452" t="str">
            <v>AON</v>
          </cell>
        </row>
        <row r="2453">
          <cell r="A2453" t="str">
            <v>ON</v>
          </cell>
          <cell r="B2453" t="str">
            <v>Trong 24h</v>
          </cell>
          <cell r="D2453" t="str">
            <v>Khiếu nại về dịch vụ FTTH</v>
          </cell>
          <cell r="W2453" t="str">
            <v>Đang xử lý</v>
          </cell>
          <cell r="AJ2453" t="str">
            <v>Bà Rịa - Vũng Tàu</v>
          </cell>
          <cell r="BX2453" t="str">
            <v>AON</v>
          </cell>
        </row>
        <row r="2454">
          <cell r="A2454" t="str">
            <v>ON</v>
          </cell>
          <cell r="B2454" t="str">
            <v>Trong 24h</v>
          </cell>
          <cell r="D2454" t="str">
            <v>Khiếu nại về dịch vụ FTTH</v>
          </cell>
          <cell r="W2454" t="str">
            <v>Đang xử lý</v>
          </cell>
          <cell r="AJ2454" t="str">
            <v>Lào Cai</v>
          </cell>
          <cell r="BX2454" t="str">
            <v>AON</v>
          </cell>
        </row>
        <row r="2455">
          <cell r="A2455" t="str">
            <v>ON</v>
          </cell>
          <cell r="B2455" t="str">
            <v>Trong 24h</v>
          </cell>
          <cell r="D2455" t="str">
            <v>Khiếu nại về dịch vụ FTTH</v>
          </cell>
          <cell r="W2455" t="str">
            <v>Đang xử lý</v>
          </cell>
          <cell r="AJ2455" t="str">
            <v>TP HCM</v>
          </cell>
          <cell r="BX2455" t="str">
            <v>AON</v>
          </cell>
        </row>
        <row r="2456">
          <cell r="A2456" t="str">
            <v>ON</v>
          </cell>
          <cell r="B2456" t="str">
            <v>Trong 24h</v>
          </cell>
          <cell r="D2456" t="str">
            <v>Khiếu nại về dịch vụ FTTH</v>
          </cell>
          <cell r="W2456" t="str">
            <v>Đang xử lý</v>
          </cell>
          <cell r="AJ2456" t="str">
            <v>Bình Dương</v>
          </cell>
          <cell r="BX2456" t="str">
            <v>AON</v>
          </cell>
        </row>
        <row r="2457">
          <cell r="A2457" t="str">
            <v>ON</v>
          </cell>
          <cell r="B2457" t="str">
            <v>Trong 24h</v>
          </cell>
          <cell r="D2457" t="str">
            <v>Khiếu nại về dịch vụ FTTH</v>
          </cell>
          <cell r="W2457" t="str">
            <v>Đang xử lý</v>
          </cell>
          <cell r="AJ2457" t="str">
            <v>Quảng Ninh</v>
          </cell>
          <cell r="BX2457" t="str">
            <v>AON</v>
          </cell>
        </row>
        <row r="2458">
          <cell r="A2458" t="str">
            <v>ON</v>
          </cell>
          <cell r="B2458" t="str">
            <v>Trong 24h</v>
          </cell>
          <cell r="D2458" t="str">
            <v>Khiếu nại về dịch vụ FTTH</v>
          </cell>
          <cell r="W2458" t="str">
            <v>Đang xử lý</v>
          </cell>
          <cell r="AJ2458" t="str">
            <v>Hải Phòng</v>
          </cell>
          <cell r="BX2458" t="str">
            <v>AON</v>
          </cell>
        </row>
        <row r="2459">
          <cell r="A2459" t="str">
            <v>ON</v>
          </cell>
          <cell r="B2459" t="str">
            <v>Trong 24h</v>
          </cell>
          <cell r="D2459" t="str">
            <v>Khiếu nại về dịch vụ FTTH</v>
          </cell>
          <cell r="W2459" t="str">
            <v>Đang xử lý</v>
          </cell>
          <cell r="AJ2459" t="str">
            <v>TP HCM</v>
          </cell>
          <cell r="BX2459" t="str">
            <v>AON</v>
          </cell>
        </row>
        <row r="2460">
          <cell r="A2460" t="str">
            <v>ON</v>
          </cell>
          <cell r="B2460" t="str">
            <v>Trong 24h</v>
          </cell>
          <cell r="D2460" t="str">
            <v>Khiếu nại về dịch vụ NextTV</v>
          </cell>
          <cell r="W2460" t="str">
            <v>Đang xử lý</v>
          </cell>
          <cell r="AJ2460" t="str">
            <v>TP HCM</v>
          </cell>
          <cell r="BX2460" t="str">
            <v>AON</v>
          </cell>
        </row>
        <row r="2461">
          <cell r="A2461" t="str">
            <v>ON</v>
          </cell>
          <cell r="B2461" t="str">
            <v>Trong 24h</v>
          </cell>
          <cell r="D2461" t="str">
            <v>Khiếu nại về dịch vụ FTTH</v>
          </cell>
          <cell r="W2461" t="str">
            <v>Đang xử lý</v>
          </cell>
          <cell r="AJ2461" t="str">
            <v>TP HCM</v>
          </cell>
          <cell r="BX2461" t="str">
            <v>GPON</v>
          </cell>
        </row>
        <row r="2462">
          <cell r="A2462" t="str">
            <v>ON</v>
          </cell>
          <cell r="B2462" t="str">
            <v>Trong 24h</v>
          </cell>
          <cell r="D2462" t="str">
            <v>Khiếu nại về dịch vụ FTTH</v>
          </cell>
          <cell r="W2462" t="str">
            <v>Đang xử lý</v>
          </cell>
          <cell r="AJ2462" t="str">
            <v xml:space="preserve">Đà Nẵng </v>
          </cell>
          <cell r="BX2462" t="str">
            <v>AON</v>
          </cell>
        </row>
        <row r="2463">
          <cell r="A2463" t="str">
            <v>ON</v>
          </cell>
          <cell r="B2463" t="str">
            <v>Trong 24h</v>
          </cell>
          <cell r="D2463" t="str">
            <v>Khiếu nại về dịch vụ FTTH</v>
          </cell>
          <cell r="W2463" t="str">
            <v>Đang xử lý</v>
          </cell>
          <cell r="AJ2463" t="str">
            <v>Hải Phòng</v>
          </cell>
          <cell r="BX2463" t="str">
            <v>AON</v>
          </cell>
        </row>
        <row r="2464">
          <cell r="A2464" t="str">
            <v>ON</v>
          </cell>
          <cell r="B2464" t="str">
            <v>Trong 24h</v>
          </cell>
          <cell r="D2464" t="str">
            <v>Khiếu nại về dịch vụ FTTH</v>
          </cell>
          <cell r="W2464" t="str">
            <v>Đang xử lý</v>
          </cell>
          <cell r="AJ2464" t="str">
            <v>Hà Nội 2</v>
          </cell>
          <cell r="BX2464" t="str">
            <v>AON</v>
          </cell>
        </row>
        <row r="2465">
          <cell r="A2465" t="str">
            <v>ON</v>
          </cell>
          <cell r="B2465" t="str">
            <v>Trong 24h</v>
          </cell>
          <cell r="D2465" t="str">
            <v>Khiếu nại về dịch vụ FTTH</v>
          </cell>
          <cell r="W2465" t="str">
            <v>Đang xử lý</v>
          </cell>
          <cell r="AJ2465" t="str">
            <v>TP HCM</v>
          </cell>
          <cell r="BX2465" t="str">
            <v>AON</v>
          </cell>
        </row>
        <row r="2466">
          <cell r="A2466" t="str">
            <v>ON</v>
          </cell>
          <cell r="B2466" t="str">
            <v>Trong 24h</v>
          </cell>
          <cell r="D2466" t="str">
            <v>Khiếu nại về dịch vụ FTTH</v>
          </cell>
          <cell r="W2466" t="str">
            <v>Đang xử lý</v>
          </cell>
          <cell r="AJ2466" t="str">
            <v>Bình Dương</v>
          </cell>
          <cell r="BX2466" t="str">
            <v>AON</v>
          </cell>
        </row>
        <row r="2467">
          <cell r="A2467" t="str">
            <v>ON</v>
          </cell>
          <cell r="B2467" t="str">
            <v>Trong 24h</v>
          </cell>
          <cell r="D2467" t="str">
            <v>Khiếu nại về dịch vụ NextTV</v>
          </cell>
          <cell r="W2467" t="str">
            <v>Đang xử lý</v>
          </cell>
          <cell r="AJ2467" t="str">
            <v>Hà Nội 2</v>
          </cell>
          <cell r="BX2467" t="str">
            <v>AON</v>
          </cell>
        </row>
        <row r="2468">
          <cell r="A2468" t="str">
            <v>ON</v>
          </cell>
          <cell r="B2468" t="str">
            <v>Trong 24h</v>
          </cell>
          <cell r="D2468" t="str">
            <v>Khiếu nại về dịch vụ FTTH</v>
          </cell>
          <cell r="W2468" t="str">
            <v>Đang xử lý</v>
          </cell>
          <cell r="AJ2468" t="str">
            <v>An Giang</v>
          </cell>
          <cell r="BX2468" t="str">
            <v>AON</v>
          </cell>
        </row>
        <row r="2469">
          <cell r="A2469" t="str">
            <v>ON</v>
          </cell>
          <cell r="B2469" t="str">
            <v>Trong 24h</v>
          </cell>
          <cell r="D2469" t="str">
            <v>Khiếu nại về dịch vụ FTTH</v>
          </cell>
          <cell r="W2469" t="str">
            <v>Đã đóng</v>
          </cell>
          <cell r="AJ2469" t="str">
            <v>Hà Nội 1</v>
          </cell>
          <cell r="BX2469" t="str">
            <v>AON</v>
          </cell>
        </row>
        <row r="2470">
          <cell r="A2470" t="str">
            <v>ON</v>
          </cell>
          <cell r="B2470" t="str">
            <v>Trong 24h</v>
          </cell>
          <cell r="D2470" t="str">
            <v>Khiếu nại về dịch vụ FTTH</v>
          </cell>
          <cell r="W2470" t="str">
            <v>Đang xử lý</v>
          </cell>
          <cell r="AJ2470" t="str">
            <v>TP HCM</v>
          </cell>
          <cell r="BX2470" t="str">
            <v>AON</v>
          </cell>
        </row>
        <row r="2471">
          <cell r="A2471" t="str">
            <v>ON</v>
          </cell>
          <cell r="B2471" t="str">
            <v>Trong 24h</v>
          </cell>
          <cell r="D2471" t="str">
            <v>Khiếu nại về dịch vụ FTTH</v>
          </cell>
          <cell r="W2471" t="str">
            <v>Đang xử lý</v>
          </cell>
          <cell r="AJ2471" t="str">
            <v>Bình Dương</v>
          </cell>
          <cell r="BX2471" t="str">
            <v>AON</v>
          </cell>
        </row>
        <row r="2472">
          <cell r="A2472" t="str">
            <v>ON</v>
          </cell>
          <cell r="B2472" t="str">
            <v>Trong 24h</v>
          </cell>
          <cell r="D2472" t="str">
            <v>Khiếu nại về dịch vụ FTTH</v>
          </cell>
          <cell r="W2472" t="str">
            <v>Đang xử lý</v>
          </cell>
          <cell r="AJ2472" t="str">
            <v>Hải Phòng</v>
          </cell>
          <cell r="BX2472" t="str">
            <v>AON</v>
          </cell>
        </row>
        <row r="2473">
          <cell r="A2473" t="str">
            <v>ON</v>
          </cell>
          <cell r="B2473" t="str">
            <v>Trong 24h</v>
          </cell>
          <cell r="D2473" t="str">
            <v>Khiếu nại về dịch vụ NextTV</v>
          </cell>
          <cell r="W2473" t="str">
            <v>Đang xử lý</v>
          </cell>
          <cell r="AJ2473" t="str">
            <v>TP HCM</v>
          </cell>
          <cell r="BX2473" t="str">
            <v>AON</v>
          </cell>
        </row>
        <row r="2474">
          <cell r="A2474" t="str">
            <v>ON</v>
          </cell>
          <cell r="B2474" t="str">
            <v>Trong 24h</v>
          </cell>
          <cell r="D2474" t="str">
            <v>Khiếu nại về dịch vụ FTTH</v>
          </cell>
          <cell r="W2474" t="str">
            <v>Đang xử lý</v>
          </cell>
          <cell r="AJ2474" t="str">
            <v>TP HCM</v>
          </cell>
          <cell r="BX2474" t="str">
            <v>AON</v>
          </cell>
        </row>
        <row r="2475">
          <cell r="A2475" t="str">
            <v>ON</v>
          </cell>
          <cell r="B2475" t="str">
            <v>Trong 24h</v>
          </cell>
          <cell r="D2475" t="str">
            <v>Khiếu nại về dịch vụ FTTH</v>
          </cell>
          <cell r="W2475" t="str">
            <v>Đang xử lý</v>
          </cell>
          <cell r="AJ2475" t="str">
            <v xml:space="preserve">Đà Nẵng </v>
          </cell>
          <cell r="BX2475" t="str">
            <v>AON</v>
          </cell>
        </row>
        <row r="2476">
          <cell r="A2476" t="str">
            <v>ON</v>
          </cell>
          <cell r="B2476" t="str">
            <v>Trong 24h</v>
          </cell>
          <cell r="D2476" t="str">
            <v>Khiếu nại về dịch vụ FTTH</v>
          </cell>
          <cell r="W2476" t="str">
            <v>Đang xử lý</v>
          </cell>
          <cell r="AJ2476" t="str">
            <v>Thái Nguyên</v>
          </cell>
          <cell r="BX2476" t="str">
            <v>AON</v>
          </cell>
        </row>
        <row r="2477">
          <cell r="A2477" t="str">
            <v>ON</v>
          </cell>
          <cell r="B2477" t="str">
            <v>Trong 24h</v>
          </cell>
          <cell r="D2477" t="str">
            <v>Khiếu nại về dịch vụ FTTH</v>
          </cell>
          <cell r="W2477" t="str">
            <v>Đang xử lý</v>
          </cell>
          <cell r="AJ2477" t="str">
            <v>Thái Nguyên</v>
          </cell>
          <cell r="BX2477" t="str">
            <v>AON</v>
          </cell>
        </row>
        <row r="2478">
          <cell r="A2478" t="str">
            <v>ON</v>
          </cell>
          <cell r="B2478" t="str">
            <v>Trong 24h</v>
          </cell>
          <cell r="D2478" t="str">
            <v>Khiếu nại về dịch vụ FTTH</v>
          </cell>
          <cell r="W2478" t="str">
            <v>Đang xử lý</v>
          </cell>
          <cell r="AJ2478" t="str">
            <v>Bến Tre</v>
          </cell>
          <cell r="BX2478" t="str">
            <v>AON</v>
          </cell>
        </row>
        <row r="2479">
          <cell r="A2479" t="str">
            <v>ON</v>
          </cell>
          <cell r="B2479" t="str">
            <v>Trong 24h</v>
          </cell>
          <cell r="D2479" t="str">
            <v>Khiếu nại về dịch vụ FTTH</v>
          </cell>
          <cell r="W2479" t="str">
            <v>Đang xử lý</v>
          </cell>
          <cell r="AJ2479" t="str">
            <v>TP HCM</v>
          </cell>
          <cell r="BX2479" t="str">
            <v>AON</v>
          </cell>
        </row>
        <row r="2480">
          <cell r="A2480" t="str">
            <v>ON</v>
          </cell>
          <cell r="B2480" t="str">
            <v>Trong 24h</v>
          </cell>
          <cell r="D2480" t="str">
            <v>Khiếu nại về dịch vụ FTTH</v>
          </cell>
          <cell r="W2480" t="str">
            <v>Đang xử lý</v>
          </cell>
          <cell r="AJ2480" t="str">
            <v>Hà Nội 1</v>
          </cell>
          <cell r="BX2480" t="str">
            <v>AON</v>
          </cell>
        </row>
        <row r="2481">
          <cell r="A2481" t="str">
            <v>ON</v>
          </cell>
          <cell r="B2481" t="str">
            <v>Trong 24h</v>
          </cell>
          <cell r="D2481" t="str">
            <v>Khiếu nại về dịch vụ FTTH</v>
          </cell>
          <cell r="W2481" t="str">
            <v>Đang xử lý</v>
          </cell>
          <cell r="AJ2481" t="str">
            <v>Hà Nội 1</v>
          </cell>
          <cell r="BX2481" t="str">
            <v>AON</v>
          </cell>
        </row>
        <row r="2482">
          <cell r="A2482" t="str">
            <v>ON</v>
          </cell>
          <cell r="B2482" t="str">
            <v>Trong 24h</v>
          </cell>
          <cell r="D2482" t="str">
            <v>Khiếu nại về dịch vụ FTTH</v>
          </cell>
          <cell r="W2482" t="str">
            <v>Đang xử lý</v>
          </cell>
          <cell r="AJ2482" t="str">
            <v>TP HCM</v>
          </cell>
          <cell r="BX2482" t="str">
            <v>AON</v>
          </cell>
        </row>
        <row r="2483">
          <cell r="A2483" t="str">
            <v>ON</v>
          </cell>
          <cell r="B2483" t="str">
            <v>Trong 24h</v>
          </cell>
          <cell r="D2483" t="str">
            <v>Khiếu nại về dịch vụ FTTH</v>
          </cell>
          <cell r="W2483" t="str">
            <v>Đang xử lý</v>
          </cell>
          <cell r="AJ2483" t="str">
            <v>Hải Dương</v>
          </cell>
          <cell r="BX2483" t="str">
            <v>AON</v>
          </cell>
        </row>
        <row r="2484">
          <cell r="A2484" t="str">
            <v>ON</v>
          </cell>
          <cell r="B2484" t="str">
            <v>Trong 24h</v>
          </cell>
          <cell r="D2484" t="str">
            <v>Khiếu nại về dịch vụ FTTH</v>
          </cell>
          <cell r="W2484" t="str">
            <v>Đang xử lý</v>
          </cell>
          <cell r="AJ2484" t="str">
            <v>TP HCM</v>
          </cell>
          <cell r="BX2484" t="str">
            <v>AON</v>
          </cell>
        </row>
        <row r="2485">
          <cell r="A2485" t="str">
            <v>ON</v>
          </cell>
          <cell r="B2485" t="str">
            <v>Trong 24h</v>
          </cell>
          <cell r="D2485" t="str">
            <v>Khiếu nại về dịch vụ FTTH</v>
          </cell>
          <cell r="W2485" t="str">
            <v>Đã đóng</v>
          </cell>
          <cell r="AJ2485" t="str">
            <v>An Giang</v>
          </cell>
          <cell r="BX2485" t="str">
            <v>AON</v>
          </cell>
        </row>
        <row r="2486">
          <cell r="A2486" t="str">
            <v>ON</v>
          </cell>
          <cell r="B2486" t="str">
            <v>Trong 24h</v>
          </cell>
          <cell r="D2486" t="str">
            <v>Khiếu nại về dịch vụ FTTH</v>
          </cell>
          <cell r="W2486" t="str">
            <v>Đang xử lý</v>
          </cell>
          <cell r="AJ2486" t="str">
            <v>Hà Nội 2</v>
          </cell>
          <cell r="BX2486" t="str">
            <v>AON</v>
          </cell>
        </row>
        <row r="2487">
          <cell r="A2487" t="str">
            <v>ON</v>
          </cell>
          <cell r="B2487" t="str">
            <v>Trong 24h</v>
          </cell>
          <cell r="D2487" t="str">
            <v>Khiếu nại về dịch vụ FTTH</v>
          </cell>
          <cell r="W2487" t="str">
            <v>Đang xử lý</v>
          </cell>
          <cell r="AJ2487" t="str">
            <v>TP HCM</v>
          </cell>
          <cell r="BX2487" t="str">
            <v>AON</v>
          </cell>
        </row>
        <row r="2488">
          <cell r="A2488" t="str">
            <v>ON</v>
          </cell>
          <cell r="B2488" t="str">
            <v>Trong 24h</v>
          </cell>
          <cell r="D2488" t="str">
            <v>Khiếu nại về dịch vụ FTTH</v>
          </cell>
          <cell r="W2488" t="str">
            <v>Đã đóng</v>
          </cell>
          <cell r="AJ2488" t="str">
            <v>Bắc Giang</v>
          </cell>
          <cell r="BX2488" t="str">
            <v>AON</v>
          </cell>
        </row>
        <row r="2489">
          <cell r="A2489" t="str">
            <v>ON</v>
          </cell>
          <cell r="B2489" t="str">
            <v>Trong 24h</v>
          </cell>
          <cell r="D2489" t="str">
            <v>Khiếu nại về dịch vụ FTTH</v>
          </cell>
          <cell r="W2489" t="str">
            <v>Đang xử lý</v>
          </cell>
          <cell r="AJ2489" t="str">
            <v>Hưng Yên</v>
          </cell>
          <cell r="BX2489" t="str">
            <v>AON</v>
          </cell>
        </row>
        <row r="2490">
          <cell r="A2490" t="str">
            <v>ON</v>
          </cell>
          <cell r="B2490" t="str">
            <v>Trong 24h</v>
          </cell>
          <cell r="D2490" t="str">
            <v>Khiếu nại về dịch vụ NextTV</v>
          </cell>
          <cell r="W2490" t="str">
            <v>Đang xử lý</v>
          </cell>
          <cell r="AJ2490" t="str">
            <v>Hà Nội 1</v>
          </cell>
          <cell r="BX2490" t="str">
            <v>AON</v>
          </cell>
        </row>
        <row r="2491">
          <cell r="A2491" t="str">
            <v>ON</v>
          </cell>
          <cell r="B2491" t="str">
            <v>Trong 24h</v>
          </cell>
          <cell r="D2491" t="str">
            <v>Khiếu nại về dịch vụ NextTV</v>
          </cell>
          <cell r="W2491" t="str">
            <v>Đang xử lý</v>
          </cell>
          <cell r="AJ2491" t="str">
            <v>TP HCM</v>
          </cell>
          <cell r="BX2491" t="str">
            <v>AON</v>
          </cell>
        </row>
        <row r="2492">
          <cell r="A2492" t="str">
            <v>ON</v>
          </cell>
          <cell r="B2492" t="str">
            <v>Trong 24h</v>
          </cell>
          <cell r="D2492" t="str">
            <v>Khiếu nại về dịch vụ FTTH</v>
          </cell>
          <cell r="W2492" t="str">
            <v>Đang xử lý</v>
          </cell>
          <cell r="AJ2492" t="str">
            <v>Lâm Đồng</v>
          </cell>
          <cell r="BX2492" t="str">
            <v>AON</v>
          </cell>
        </row>
        <row r="2493">
          <cell r="A2493" t="str">
            <v>ON</v>
          </cell>
          <cell r="B2493" t="str">
            <v>Trong 24h</v>
          </cell>
          <cell r="D2493" t="str">
            <v>Khiếu nại về dịch vụ FTTH</v>
          </cell>
          <cell r="W2493" t="str">
            <v>Đang xử lý</v>
          </cell>
          <cell r="AJ2493" t="str">
            <v>TP HCM</v>
          </cell>
          <cell r="BX2493" t="str">
            <v>AON</v>
          </cell>
        </row>
        <row r="2494">
          <cell r="A2494" t="str">
            <v>ON</v>
          </cell>
          <cell r="B2494" t="str">
            <v>Trong 24h</v>
          </cell>
          <cell r="D2494" t="str">
            <v>Khiếu nại về dịch vụ FTTH</v>
          </cell>
          <cell r="W2494" t="str">
            <v>Đang xử lý</v>
          </cell>
          <cell r="AJ2494" t="str">
            <v>Bắc Giang</v>
          </cell>
          <cell r="BX2494" t="str">
            <v>AON</v>
          </cell>
        </row>
        <row r="2495">
          <cell r="A2495" t="str">
            <v>ON</v>
          </cell>
          <cell r="B2495" t="str">
            <v>Trong 24h</v>
          </cell>
          <cell r="D2495" t="str">
            <v>Khiếu nại về dịch vụ FTTH</v>
          </cell>
          <cell r="W2495" t="str">
            <v>Đang xử lý</v>
          </cell>
          <cell r="AJ2495" t="str">
            <v>Hải Dương</v>
          </cell>
          <cell r="BX2495" t="str">
            <v>AON</v>
          </cell>
        </row>
        <row r="2496">
          <cell r="A2496" t="str">
            <v>ON</v>
          </cell>
          <cell r="B2496" t="str">
            <v>Trong 24h</v>
          </cell>
          <cell r="D2496" t="str">
            <v>Khiếu nại về dịch vụ FTTH</v>
          </cell>
          <cell r="W2496" t="str">
            <v>Đang xử lý</v>
          </cell>
          <cell r="AJ2496" t="str">
            <v>TP HCM</v>
          </cell>
          <cell r="BX2496" t="str">
            <v>GPON</v>
          </cell>
        </row>
        <row r="2497">
          <cell r="A2497" t="str">
            <v>ON</v>
          </cell>
          <cell r="B2497" t="str">
            <v>Trong 24h</v>
          </cell>
          <cell r="D2497" t="str">
            <v>Khiếu nại về dịch vụ FTTH</v>
          </cell>
          <cell r="W2497" t="str">
            <v>Đang xử lý</v>
          </cell>
          <cell r="AJ2497" t="str">
            <v>Đắc Nông</v>
          </cell>
          <cell r="BX2497" t="str">
            <v>AON</v>
          </cell>
        </row>
        <row r="2498">
          <cell r="A2498" t="str">
            <v>ON</v>
          </cell>
          <cell r="B2498" t="str">
            <v>Trong 24h</v>
          </cell>
          <cell r="D2498" t="str">
            <v>Khiếu nại về dịch vụ FTTH</v>
          </cell>
          <cell r="W2498" t="str">
            <v>Đang xử lý</v>
          </cell>
          <cell r="AJ2498" t="str">
            <v>TP HCM</v>
          </cell>
          <cell r="BX2498" t="str">
            <v>AON</v>
          </cell>
        </row>
        <row r="2499">
          <cell r="A2499" t="str">
            <v>ON</v>
          </cell>
          <cell r="B2499" t="str">
            <v>Trong 24h</v>
          </cell>
          <cell r="D2499" t="str">
            <v>Khiếu nại về dịch vụ FTTH</v>
          </cell>
          <cell r="W2499" t="str">
            <v>Đang xử lý</v>
          </cell>
          <cell r="AJ2499" t="str">
            <v>Thanh Hoá</v>
          </cell>
          <cell r="BX2499" t="str">
            <v>AON</v>
          </cell>
        </row>
        <row r="2500">
          <cell r="A2500" t="str">
            <v>ON</v>
          </cell>
          <cell r="B2500" t="str">
            <v>Trong 24h</v>
          </cell>
          <cell r="D2500" t="str">
            <v>Khiếu nại về dịch vụ FTTH</v>
          </cell>
          <cell r="W2500" t="str">
            <v>Đang xử lý</v>
          </cell>
          <cell r="AJ2500" t="str">
            <v>Hà Nội 1</v>
          </cell>
          <cell r="BX2500" t="str">
            <v>AON</v>
          </cell>
        </row>
        <row r="2501">
          <cell r="A2501" t="str">
            <v>ON</v>
          </cell>
          <cell r="B2501" t="str">
            <v>Trong 24h</v>
          </cell>
          <cell r="D2501" t="str">
            <v>Khiếu nại về dịch vụ FTTH</v>
          </cell>
          <cell r="W2501" t="str">
            <v>Đang xử lý</v>
          </cell>
          <cell r="AJ2501" t="str">
            <v>Hà Nam</v>
          </cell>
          <cell r="BX2501" t="str">
            <v>AON</v>
          </cell>
        </row>
        <row r="2502">
          <cell r="A2502" t="str">
            <v>ON</v>
          </cell>
          <cell r="B2502" t="str">
            <v>Trong 24h</v>
          </cell>
          <cell r="D2502" t="str">
            <v>Khiếu nại về dịch vụ FTTH</v>
          </cell>
          <cell r="W2502" t="str">
            <v>Đã đóng</v>
          </cell>
          <cell r="AJ2502" t="str">
            <v>TP HCM</v>
          </cell>
          <cell r="BX2502" t="str">
            <v>AON</v>
          </cell>
        </row>
        <row r="2503">
          <cell r="A2503" t="str">
            <v>ON</v>
          </cell>
          <cell r="B2503" t="str">
            <v>Trong 24h</v>
          </cell>
          <cell r="D2503" t="str">
            <v>Khiếu nại về dịch vụ FTTH</v>
          </cell>
          <cell r="W2503" t="str">
            <v>Đang xử lý</v>
          </cell>
          <cell r="AJ2503" t="str">
            <v>TP HCM</v>
          </cell>
          <cell r="BX2503" t="str">
            <v>AON</v>
          </cell>
        </row>
        <row r="2504">
          <cell r="A2504" t="str">
            <v>ON</v>
          </cell>
          <cell r="B2504" t="str">
            <v>Trong 24h</v>
          </cell>
          <cell r="D2504" t="str">
            <v>Khiếu nại về dịch vụ FTTH</v>
          </cell>
          <cell r="W2504" t="str">
            <v>Đang xử lý</v>
          </cell>
          <cell r="AJ2504" t="str">
            <v>Thái Nguyên</v>
          </cell>
          <cell r="BX2504" t="str">
            <v>AON</v>
          </cell>
        </row>
        <row r="2505">
          <cell r="A2505" t="str">
            <v>ON</v>
          </cell>
          <cell r="B2505" t="str">
            <v>Trong 24h</v>
          </cell>
          <cell r="D2505" t="str">
            <v>Khiếu nại về dịch vụ FTTH</v>
          </cell>
          <cell r="W2505" t="str">
            <v>Đang xử lý</v>
          </cell>
          <cell r="AJ2505" t="str">
            <v>Tuyên Quang</v>
          </cell>
          <cell r="BX2505" t="str">
            <v>AON</v>
          </cell>
        </row>
        <row r="2506">
          <cell r="A2506" t="str">
            <v>ON</v>
          </cell>
          <cell r="B2506" t="str">
            <v>Trong 24h</v>
          </cell>
          <cell r="D2506" t="str">
            <v>Khiếu nại về dịch vụ NextTV</v>
          </cell>
          <cell r="W2506" t="str">
            <v>Đã đóng</v>
          </cell>
          <cell r="AJ2506" t="str">
            <v xml:space="preserve">Đà Nẵng </v>
          </cell>
          <cell r="BX2506" t="str">
            <v>AON</v>
          </cell>
        </row>
        <row r="2507">
          <cell r="A2507" t="str">
            <v>ON</v>
          </cell>
          <cell r="B2507" t="str">
            <v>Trong 24h</v>
          </cell>
          <cell r="D2507" t="str">
            <v>Khiếu nại về dịch vụ FTTH</v>
          </cell>
          <cell r="W2507" t="str">
            <v>Đang xử lý</v>
          </cell>
          <cell r="AJ2507" t="str">
            <v>Bình Dương</v>
          </cell>
          <cell r="BX2507" t="str">
            <v>AON</v>
          </cell>
        </row>
        <row r="2508">
          <cell r="A2508" t="str">
            <v>ON</v>
          </cell>
          <cell r="B2508" t="str">
            <v>Trong 24h</v>
          </cell>
          <cell r="D2508" t="str">
            <v>Khiếu nại về dịch vụ FTTH</v>
          </cell>
          <cell r="W2508" t="str">
            <v>Đang xử lý</v>
          </cell>
          <cell r="AJ2508" t="str">
            <v>TP HCM</v>
          </cell>
          <cell r="BX2508" t="str">
            <v>AON</v>
          </cell>
        </row>
        <row r="2509">
          <cell r="A2509" t="str">
            <v>ON</v>
          </cell>
          <cell r="B2509" t="str">
            <v>Trong 24h</v>
          </cell>
          <cell r="D2509" t="str">
            <v>Khiếu nại về dịch vụ FTTH</v>
          </cell>
          <cell r="W2509" t="str">
            <v>Đang xử lý</v>
          </cell>
          <cell r="AJ2509" t="str">
            <v>Thái Nguyên</v>
          </cell>
          <cell r="BX2509" t="str">
            <v>AON</v>
          </cell>
        </row>
        <row r="2510">
          <cell r="A2510" t="str">
            <v>ON</v>
          </cell>
          <cell r="B2510" t="str">
            <v>Trong 24h</v>
          </cell>
          <cell r="D2510" t="str">
            <v>Khiếu nại về dịch vụ FTTH</v>
          </cell>
          <cell r="W2510" t="str">
            <v>Đang xử lý</v>
          </cell>
          <cell r="AJ2510" t="str">
            <v>Kiên Giang</v>
          </cell>
          <cell r="BX2510" t="str">
            <v>AON</v>
          </cell>
        </row>
        <row r="2511">
          <cell r="A2511" t="str">
            <v>ON</v>
          </cell>
          <cell r="B2511" t="str">
            <v>Trong 24h</v>
          </cell>
          <cell r="D2511" t="str">
            <v>Khiếu nại về dịch vụ FTTH</v>
          </cell>
          <cell r="W2511" t="str">
            <v>Đang xử lý</v>
          </cell>
          <cell r="AJ2511" t="str">
            <v>TP HCM</v>
          </cell>
          <cell r="BX2511" t="str">
            <v>AON</v>
          </cell>
        </row>
        <row r="2512">
          <cell r="A2512" t="str">
            <v>ON</v>
          </cell>
          <cell r="B2512" t="str">
            <v>Trong 24h</v>
          </cell>
          <cell r="D2512" t="str">
            <v>Khiếu nại về dịch vụ FTTH</v>
          </cell>
          <cell r="W2512" t="str">
            <v>Đang xử lý</v>
          </cell>
          <cell r="AJ2512" t="str">
            <v>TP HCM</v>
          </cell>
          <cell r="BX2512" t="str">
            <v>AON</v>
          </cell>
        </row>
        <row r="2513">
          <cell r="A2513" t="str">
            <v>ON</v>
          </cell>
          <cell r="B2513" t="str">
            <v>Trong 24h</v>
          </cell>
          <cell r="D2513" t="str">
            <v>Khiếu nại về dịch vụ FTTH</v>
          </cell>
          <cell r="W2513" t="str">
            <v>Đang xử lý</v>
          </cell>
          <cell r="AJ2513" t="str">
            <v>Khánh Hoà</v>
          </cell>
          <cell r="BX2513" t="str">
            <v>AON</v>
          </cell>
        </row>
        <row r="2514">
          <cell r="A2514" t="str">
            <v>ON</v>
          </cell>
          <cell r="B2514" t="str">
            <v>Trong 24h</v>
          </cell>
          <cell r="D2514" t="str">
            <v>Khiếu nại về dịch vụ FTTH</v>
          </cell>
          <cell r="W2514" t="str">
            <v>Đang xử lý</v>
          </cell>
          <cell r="AJ2514" t="str">
            <v>TP HCM</v>
          </cell>
          <cell r="BX2514" t="str">
            <v>AON</v>
          </cell>
        </row>
        <row r="2515">
          <cell r="A2515" t="str">
            <v>ON</v>
          </cell>
          <cell r="B2515" t="str">
            <v>Trong 24h</v>
          </cell>
          <cell r="D2515" t="str">
            <v>Khiếu nại về dịch vụ FTTH</v>
          </cell>
          <cell r="W2515" t="str">
            <v>Đang xử lý</v>
          </cell>
          <cell r="AJ2515" t="str">
            <v>Nam Định</v>
          </cell>
          <cell r="BX2515" t="str">
            <v>AON</v>
          </cell>
        </row>
        <row r="2516">
          <cell r="A2516" t="str">
            <v>ON</v>
          </cell>
          <cell r="B2516" t="str">
            <v>Trong 24h</v>
          </cell>
          <cell r="D2516" t="str">
            <v>Khiếu nại về dịch vụ FTTH</v>
          </cell>
          <cell r="W2516" t="str">
            <v>Đang xử lý</v>
          </cell>
          <cell r="AJ2516" t="str">
            <v>Quảng Trị</v>
          </cell>
          <cell r="BX2516" t="str">
            <v>AON</v>
          </cell>
        </row>
        <row r="2517">
          <cell r="A2517" t="str">
            <v>ON</v>
          </cell>
          <cell r="B2517" t="str">
            <v>Trong 24h</v>
          </cell>
          <cell r="D2517" t="str">
            <v>Khiếu nại về dịch vụ FTTH</v>
          </cell>
          <cell r="W2517" t="str">
            <v>Đang xử lý</v>
          </cell>
          <cell r="AJ2517" t="str">
            <v>Hà Nội 1</v>
          </cell>
          <cell r="BX2517" t="str">
            <v>AON</v>
          </cell>
        </row>
        <row r="2518">
          <cell r="A2518" t="str">
            <v>ON</v>
          </cell>
          <cell r="B2518" t="str">
            <v>Trong 24h</v>
          </cell>
          <cell r="D2518" t="str">
            <v>Khiếu nại về dịch vụ FTTH</v>
          </cell>
          <cell r="W2518" t="str">
            <v>Đã đóng</v>
          </cell>
          <cell r="AJ2518" t="str">
            <v>Hà Nội 2</v>
          </cell>
          <cell r="BX2518" t="str">
            <v>AON</v>
          </cell>
        </row>
        <row r="2519">
          <cell r="A2519" t="str">
            <v>ON</v>
          </cell>
          <cell r="B2519" t="str">
            <v>Trong 24h</v>
          </cell>
          <cell r="D2519" t="str">
            <v>Khiếu nại về dịch vụ FTTH</v>
          </cell>
          <cell r="W2519" t="str">
            <v>Đang xử lý</v>
          </cell>
          <cell r="AJ2519" t="str">
            <v xml:space="preserve">Đà Nẵng </v>
          </cell>
          <cell r="BX2519" t="str">
            <v>AON</v>
          </cell>
        </row>
        <row r="2520">
          <cell r="A2520" t="str">
            <v>ON</v>
          </cell>
          <cell r="B2520" t="str">
            <v>Trong 24h</v>
          </cell>
          <cell r="D2520" t="str">
            <v>Khiếu nại về dịch vụ FTTH</v>
          </cell>
          <cell r="W2520" t="str">
            <v>Đang xử lý</v>
          </cell>
          <cell r="AJ2520" t="str">
            <v>Tây Ninh</v>
          </cell>
          <cell r="BX2520" t="str">
            <v>AON</v>
          </cell>
        </row>
        <row r="2521">
          <cell r="A2521" t="str">
            <v>ON</v>
          </cell>
          <cell r="B2521" t="str">
            <v>Trong 24h</v>
          </cell>
          <cell r="D2521" t="str">
            <v>Khiếu nại về dịch vụ FTTH</v>
          </cell>
          <cell r="W2521" t="str">
            <v>Đang xử lý</v>
          </cell>
          <cell r="AJ2521" t="str">
            <v>Bà Rịa - Vũng Tàu</v>
          </cell>
          <cell r="BX2521" t="str">
            <v>AON</v>
          </cell>
        </row>
        <row r="2522">
          <cell r="A2522" t="str">
            <v>ON</v>
          </cell>
          <cell r="B2522" t="str">
            <v>Trong 24h</v>
          </cell>
          <cell r="D2522" t="str">
            <v>Khiếu nại về dịch vụ FTTH</v>
          </cell>
          <cell r="W2522" t="str">
            <v>Đang xử lý</v>
          </cell>
          <cell r="AJ2522" t="str">
            <v>Vĩnh Phúc</v>
          </cell>
          <cell r="BX2522" t="str">
            <v>AON</v>
          </cell>
        </row>
        <row r="2523">
          <cell r="A2523" t="str">
            <v>ON</v>
          </cell>
          <cell r="B2523" t="str">
            <v>Trong 24h</v>
          </cell>
          <cell r="D2523" t="str">
            <v>Khiếu nại về dịch vụ FTTH</v>
          </cell>
          <cell r="W2523" t="str">
            <v>Đang xử lý</v>
          </cell>
          <cell r="AJ2523" t="str">
            <v>Hà Nam</v>
          </cell>
          <cell r="BX2523" t="str">
            <v>AON</v>
          </cell>
        </row>
        <row r="2524">
          <cell r="A2524" t="str">
            <v>ON</v>
          </cell>
          <cell r="B2524" t="str">
            <v>Trong 24h</v>
          </cell>
          <cell r="D2524" t="str">
            <v>Khiếu nại về dịch vụ FTTH</v>
          </cell>
          <cell r="W2524" t="str">
            <v>Đang xử lý</v>
          </cell>
          <cell r="AJ2524" t="str">
            <v xml:space="preserve">Đắc Lắk </v>
          </cell>
          <cell r="BX2524" t="str">
            <v>AON</v>
          </cell>
        </row>
        <row r="2525">
          <cell r="A2525" t="str">
            <v>ON</v>
          </cell>
          <cell r="B2525" t="str">
            <v>Trong 24h</v>
          </cell>
          <cell r="D2525" t="str">
            <v>Khiếu nại về dịch vụ FTTH</v>
          </cell>
          <cell r="W2525" t="str">
            <v>Đang xử lý</v>
          </cell>
          <cell r="AJ2525" t="str">
            <v>Phú Thọ</v>
          </cell>
          <cell r="BX2525" t="str">
            <v>AON</v>
          </cell>
        </row>
        <row r="2526">
          <cell r="A2526" t="str">
            <v>ON</v>
          </cell>
          <cell r="B2526" t="str">
            <v>Trong 24h</v>
          </cell>
          <cell r="D2526" t="str">
            <v>Khiếu nại về dịch vụ FTTH</v>
          </cell>
          <cell r="W2526" t="str">
            <v>Đang xử lý</v>
          </cell>
          <cell r="AJ2526" t="str">
            <v>TP HCM</v>
          </cell>
          <cell r="BX2526" t="str">
            <v>AON</v>
          </cell>
        </row>
        <row r="2527">
          <cell r="A2527" t="str">
            <v>ON</v>
          </cell>
          <cell r="B2527" t="str">
            <v>Trong 24h</v>
          </cell>
          <cell r="D2527" t="str">
            <v>Khiếu nại về dịch vụ FTTH</v>
          </cell>
          <cell r="W2527" t="str">
            <v>Đang xử lý</v>
          </cell>
          <cell r="AJ2527" t="str">
            <v>Tây Ninh</v>
          </cell>
          <cell r="BX2527" t="str">
            <v>AON</v>
          </cell>
        </row>
        <row r="2528">
          <cell r="A2528" t="str">
            <v>ON</v>
          </cell>
          <cell r="B2528" t="str">
            <v>Trong 24h</v>
          </cell>
          <cell r="D2528" t="str">
            <v>Khiếu nại về dịch vụ FTTH</v>
          </cell>
          <cell r="W2528" t="str">
            <v>Đang xử lý</v>
          </cell>
          <cell r="AJ2528" t="str">
            <v>Hà Nội 2</v>
          </cell>
          <cell r="BX2528" t="str">
            <v>AON</v>
          </cell>
        </row>
        <row r="2529">
          <cell r="A2529" t="str">
            <v>ON</v>
          </cell>
          <cell r="B2529" t="str">
            <v>Trong 24h</v>
          </cell>
          <cell r="D2529" t="str">
            <v>Khiếu nại về dịch vụ FTTH</v>
          </cell>
          <cell r="W2529" t="str">
            <v>Đang xử lý</v>
          </cell>
          <cell r="AJ2529" t="str">
            <v>Bắc Ninh</v>
          </cell>
          <cell r="BX2529" t="str">
            <v>AON</v>
          </cell>
        </row>
        <row r="2530">
          <cell r="A2530" t="str">
            <v>ON</v>
          </cell>
          <cell r="B2530" t="str">
            <v>Trong 24h</v>
          </cell>
          <cell r="D2530" t="str">
            <v>Khiếu nại về dịch vụ FTTH</v>
          </cell>
          <cell r="W2530" t="str">
            <v>Đang xử lý</v>
          </cell>
          <cell r="AJ2530" t="str">
            <v>Thái Nguyên</v>
          </cell>
          <cell r="BX2530" t="str">
            <v>AON</v>
          </cell>
        </row>
        <row r="2531">
          <cell r="A2531" t="str">
            <v>ON</v>
          </cell>
          <cell r="B2531" t="str">
            <v>Trong 24h</v>
          </cell>
          <cell r="D2531" t="str">
            <v>Khiếu nại về dịch vụ FTTH</v>
          </cell>
          <cell r="W2531" t="str">
            <v>Đang xử lý</v>
          </cell>
          <cell r="AJ2531" t="str">
            <v>TP HCM</v>
          </cell>
          <cell r="BX2531" t="str">
            <v>GPON</v>
          </cell>
        </row>
        <row r="2532">
          <cell r="A2532" t="str">
            <v>ON</v>
          </cell>
          <cell r="B2532" t="str">
            <v>Trong 24h</v>
          </cell>
          <cell r="D2532" t="str">
            <v>Khiếu nại về dịch vụ FTTH</v>
          </cell>
          <cell r="W2532" t="str">
            <v>Đang xử lý</v>
          </cell>
          <cell r="AJ2532" t="str">
            <v>Hà Nam</v>
          </cell>
          <cell r="BX2532" t="str">
            <v>AON</v>
          </cell>
        </row>
        <row r="2533">
          <cell r="A2533" t="str">
            <v>ON</v>
          </cell>
          <cell r="B2533" t="str">
            <v>Trong 24h</v>
          </cell>
          <cell r="D2533" t="str">
            <v>Khiếu nại về dịch vụ FTTH</v>
          </cell>
          <cell r="W2533" t="str">
            <v>Đang xử lý</v>
          </cell>
          <cell r="AJ2533" t="str">
            <v>An Giang</v>
          </cell>
          <cell r="BX2533" t="str">
            <v>AON</v>
          </cell>
        </row>
        <row r="2534">
          <cell r="A2534" t="str">
            <v>ON</v>
          </cell>
          <cell r="B2534" t="str">
            <v>Trong 24h</v>
          </cell>
          <cell r="D2534" t="str">
            <v>Khiếu nại về dịch vụ FTTH</v>
          </cell>
          <cell r="W2534" t="str">
            <v>Đang xử lý</v>
          </cell>
          <cell r="AJ2534" t="str">
            <v>Tuyên Quang</v>
          </cell>
          <cell r="BX2534" t="str">
            <v>AON</v>
          </cell>
        </row>
        <row r="2535">
          <cell r="A2535" t="str">
            <v>ON</v>
          </cell>
          <cell r="B2535" t="str">
            <v>Trong 24h</v>
          </cell>
          <cell r="D2535" t="str">
            <v>Khiếu nại về dịch vụ NextTV</v>
          </cell>
          <cell r="W2535" t="str">
            <v>Đang xử lý</v>
          </cell>
          <cell r="AJ2535" t="str">
            <v>Thái Nguyên</v>
          </cell>
          <cell r="BX2535" t="str">
            <v>AON</v>
          </cell>
        </row>
        <row r="2536">
          <cell r="A2536" t="str">
            <v>ON</v>
          </cell>
          <cell r="B2536" t="str">
            <v>Trong 24h</v>
          </cell>
          <cell r="D2536" t="str">
            <v>Khiếu nại về dịch vụ FTTH</v>
          </cell>
          <cell r="W2536" t="str">
            <v>Đang xử lý</v>
          </cell>
          <cell r="AJ2536" t="str">
            <v>Hà Nam</v>
          </cell>
          <cell r="BX2536" t="str">
            <v>AON</v>
          </cell>
        </row>
        <row r="2537">
          <cell r="A2537" t="str">
            <v>ON</v>
          </cell>
          <cell r="B2537" t="str">
            <v>Trong 24h</v>
          </cell>
          <cell r="D2537" t="str">
            <v>Khiếu nại về dịch vụ FTTH</v>
          </cell>
          <cell r="W2537" t="str">
            <v>Đang xử lý</v>
          </cell>
          <cell r="AJ2537" t="str">
            <v>Hải Phòng</v>
          </cell>
          <cell r="BX2537" t="str">
            <v>AON</v>
          </cell>
        </row>
        <row r="2538">
          <cell r="A2538" t="str">
            <v>ON</v>
          </cell>
          <cell r="B2538" t="str">
            <v>Trong 24h</v>
          </cell>
          <cell r="D2538" t="str">
            <v>Khiếu nại về dịch vụ FTTH</v>
          </cell>
          <cell r="W2538" t="str">
            <v>Đang xử lý</v>
          </cell>
          <cell r="AJ2538" t="str">
            <v>Quảng Ninh</v>
          </cell>
          <cell r="BX2538" t="str">
            <v>AON</v>
          </cell>
        </row>
        <row r="2539">
          <cell r="A2539" t="str">
            <v>ON</v>
          </cell>
          <cell r="B2539" t="str">
            <v>Trong 24h</v>
          </cell>
          <cell r="D2539" t="str">
            <v>Khiếu nại về dịch vụ FTTH</v>
          </cell>
          <cell r="W2539" t="str">
            <v>Đang xử lý</v>
          </cell>
          <cell r="AJ2539" t="str">
            <v>TP HCM</v>
          </cell>
          <cell r="BX2539" t="str">
            <v>AON</v>
          </cell>
        </row>
        <row r="2540">
          <cell r="A2540" t="str">
            <v>ON</v>
          </cell>
          <cell r="B2540" t="str">
            <v>Trong 24h</v>
          </cell>
          <cell r="D2540" t="str">
            <v>Khiếu nại về dịch vụ FTTH</v>
          </cell>
          <cell r="W2540" t="str">
            <v>Đã đóng</v>
          </cell>
          <cell r="AJ2540" t="str">
            <v>TP HCM</v>
          </cell>
          <cell r="BX2540" t="str">
            <v>AON</v>
          </cell>
        </row>
        <row r="2541">
          <cell r="A2541" t="str">
            <v>ON</v>
          </cell>
          <cell r="B2541" t="str">
            <v>Trong 24h</v>
          </cell>
          <cell r="D2541" t="str">
            <v>Khiếu nại về dịch vụ FTTH</v>
          </cell>
          <cell r="W2541" t="str">
            <v>Đang xử lý</v>
          </cell>
          <cell r="AJ2541" t="str">
            <v>Điện Biên</v>
          </cell>
          <cell r="BX2541" t="str">
            <v>AON</v>
          </cell>
        </row>
        <row r="2542">
          <cell r="A2542" t="str">
            <v>ON</v>
          </cell>
          <cell r="B2542" t="str">
            <v>Trong 24h</v>
          </cell>
          <cell r="D2542" t="str">
            <v>Khiếu nại về dịch vụ FTTH</v>
          </cell>
          <cell r="W2542" t="str">
            <v>Đang xử lý</v>
          </cell>
          <cell r="AJ2542" t="str">
            <v>Gia Lai</v>
          </cell>
          <cell r="BX2542" t="str">
            <v>AON</v>
          </cell>
        </row>
        <row r="2543">
          <cell r="A2543" t="str">
            <v>ON</v>
          </cell>
          <cell r="B2543" t="str">
            <v>Trong 24h</v>
          </cell>
          <cell r="D2543" t="str">
            <v>Khiếu nại về dịch vụ FTTH</v>
          </cell>
          <cell r="W2543" t="str">
            <v>Đang xử lý</v>
          </cell>
          <cell r="AJ2543" t="str">
            <v>Quảng Ninh</v>
          </cell>
          <cell r="BX2543" t="str">
            <v>AON</v>
          </cell>
        </row>
        <row r="2544">
          <cell r="A2544" t="str">
            <v>ON</v>
          </cell>
          <cell r="B2544" t="str">
            <v>Trong 24h</v>
          </cell>
          <cell r="D2544" t="str">
            <v>Khiếu nại về dịch vụ FTTH</v>
          </cell>
          <cell r="W2544" t="str">
            <v>Đang xử lý</v>
          </cell>
          <cell r="AJ2544" t="str">
            <v>TP HCM</v>
          </cell>
          <cell r="BX2544" t="str">
            <v>AON</v>
          </cell>
        </row>
        <row r="2545">
          <cell r="A2545" t="str">
            <v>ON</v>
          </cell>
          <cell r="B2545" t="str">
            <v>Trong 24h</v>
          </cell>
          <cell r="D2545" t="str">
            <v>Khiếu nại về dịch vụ FTTH</v>
          </cell>
          <cell r="W2545" t="str">
            <v>Đang xử lý</v>
          </cell>
          <cell r="AJ2545" t="str">
            <v>TP HCM</v>
          </cell>
          <cell r="BX2545" t="str">
            <v>AON</v>
          </cell>
        </row>
        <row r="2546">
          <cell r="A2546" t="str">
            <v>ON</v>
          </cell>
          <cell r="B2546" t="str">
            <v>Trong 24h</v>
          </cell>
          <cell r="D2546" t="str">
            <v>Khiếu nại về dịch vụ FTTH</v>
          </cell>
          <cell r="W2546" t="str">
            <v>Đang xử lý</v>
          </cell>
          <cell r="AJ2546" t="str">
            <v>Hà Nội 2</v>
          </cell>
          <cell r="BX2546" t="str">
            <v>AON</v>
          </cell>
        </row>
        <row r="2547">
          <cell r="A2547" t="str">
            <v>ON</v>
          </cell>
          <cell r="B2547" t="str">
            <v>Trong 24h</v>
          </cell>
          <cell r="D2547" t="str">
            <v>Khiếu nại về dịch vụ FTTH</v>
          </cell>
          <cell r="W2547" t="str">
            <v>Đang xử lý</v>
          </cell>
          <cell r="AJ2547" t="str">
            <v>Thanh Hoá</v>
          </cell>
          <cell r="BX2547" t="str">
            <v>AON</v>
          </cell>
        </row>
        <row r="2548">
          <cell r="A2548" t="str">
            <v>ON</v>
          </cell>
          <cell r="B2548" t="str">
            <v>Trong 24h</v>
          </cell>
          <cell r="D2548" t="str">
            <v>Khiếu nại về dịch vụ FTTH</v>
          </cell>
          <cell r="W2548" t="str">
            <v>Đang xử lý</v>
          </cell>
          <cell r="AJ2548" t="str">
            <v>Bình Phước</v>
          </cell>
          <cell r="BX2548" t="str">
            <v>AON</v>
          </cell>
        </row>
        <row r="2549">
          <cell r="A2549" t="str">
            <v>ON</v>
          </cell>
          <cell r="B2549" t="str">
            <v>Trong 24h</v>
          </cell>
          <cell r="D2549" t="str">
            <v>Khiếu nại về dịch vụ FTTH</v>
          </cell>
          <cell r="W2549" t="str">
            <v>Đang xử lý</v>
          </cell>
          <cell r="AJ2549" t="str">
            <v>TP HCM</v>
          </cell>
          <cell r="BX2549" t="str">
            <v>AON</v>
          </cell>
        </row>
        <row r="2550">
          <cell r="A2550" t="str">
            <v>ON</v>
          </cell>
          <cell r="B2550" t="str">
            <v>Trong 24h</v>
          </cell>
          <cell r="D2550" t="str">
            <v>Khiếu nại về dịch vụ FTTH</v>
          </cell>
          <cell r="W2550" t="str">
            <v>Đang xử lý</v>
          </cell>
          <cell r="AJ2550" t="str">
            <v>Thái Bình</v>
          </cell>
          <cell r="BX2550" t="str">
            <v>AON</v>
          </cell>
        </row>
        <row r="2551">
          <cell r="A2551" t="str">
            <v>ON</v>
          </cell>
          <cell r="B2551" t="str">
            <v>Trong 24h</v>
          </cell>
          <cell r="D2551" t="str">
            <v>Khiếu nại về dịch vụ FTTH</v>
          </cell>
          <cell r="W2551" t="str">
            <v>Đang xử lý</v>
          </cell>
          <cell r="AJ2551" t="str">
            <v>TP HCM</v>
          </cell>
          <cell r="BX2551" t="str">
            <v>AON</v>
          </cell>
        </row>
        <row r="2552">
          <cell r="A2552" t="str">
            <v>ON</v>
          </cell>
          <cell r="B2552" t="str">
            <v>Trong 24h</v>
          </cell>
          <cell r="D2552" t="str">
            <v>Khiếu nại về dịch vụ FTTH</v>
          </cell>
          <cell r="W2552" t="str">
            <v>Đang xử lý</v>
          </cell>
          <cell r="AJ2552" t="str">
            <v>Hậu Giang</v>
          </cell>
          <cell r="BX2552" t="str">
            <v>AON</v>
          </cell>
        </row>
        <row r="2553">
          <cell r="A2553" t="str">
            <v>ON</v>
          </cell>
          <cell r="B2553" t="str">
            <v>Trong 24h</v>
          </cell>
          <cell r="D2553" t="str">
            <v>Khiếu nại về dịch vụ FTTH</v>
          </cell>
          <cell r="W2553" t="str">
            <v>Đang xử lý</v>
          </cell>
          <cell r="AJ2553" t="str">
            <v>TP HCM</v>
          </cell>
          <cell r="BX2553" t="str">
            <v>GPON</v>
          </cell>
        </row>
        <row r="2554">
          <cell r="A2554" t="str">
            <v>ON</v>
          </cell>
          <cell r="B2554" t="str">
            <v>Trong 24h</v>
          </cell>
          <cell r="D2554" t="str">
            <v>Khiếu nại về dịch vụ FTTH</v>
          </cell>
          <cell r="W2554" t="str">
            <v>Đang xử lý</v>
          </cell>
          <cell r="AJ2554" t="str">
            <v>TP HCM</v>
          </cell>
          <cell r="BX2554" t="str">
            <v>GPON</v>
          </cell>
        </row>
        <row r="2555">
          <cell r="A2555" t="str">
            <v>ON</v>
          </cell>
          <cell r="B2555" t="str">
            <v>Trong 24h</v>
          </cell>
          <cell r="D2555" t="str">
            <v>Khiếu nại về dịch vụ FTTH</v>
          </cell>
          <cell r="W2555" t="str">
            <v>Đang xử lý</v>
          </cell>
          <cell r="AJ2555" t="str">
            <v>TP HCM</v>
          </cell>
          <cell r="BX2555" t="str">
            <v>AON</v>
          </cell>
        </row>
        <row r="2556">
          <cell r="A2556" t="str">
            <v>ON</v>
          </cell>
          <cell r="B2556" t="str">
            <v>Trong 24h</v>
          </cell>
          <cell r="D2556" t="str">
            <v>Khiếu nại về dịch vụ NextTV</v>
          </cell>
          <cell r="W2556" t="str">
            <v>Đang xử lý</v>
          </cell>
          <cell r="AJ2556" t="str">
            <v>Phú Thọ</v>
          </cell>
          <cell r="BX2556" t="str">
            <v>AON</v>
          </cell>
        </row>
        <row r="2557">
          <cell r="A2557" t="str">
            <v>ON</v>
          </cell>
          <cell r="B2557" t="str">
            <v>Trong 24h</v>
          </cell>
          <cell r="D2557" t="str">
            <v>Khiếu nại về dịch vụ FTTH</v>
          </cell>
          <cell r="W2557" t="str">
            <v>Đang xử lý</v>
          </cell>
          <cell r="AJ2557" t="str">
            <v>Quảng Ninh</v>
          </cell>
          <cell r="BX2557" t="str">
            <v>AON</v>
          </cell>
        </row>
        <row r="2558">
          <cell r="A2558" t="str">
            <v>ON</v>
          </cell>
          <cell r="B2558" t="str">
            <v>Trong 24h</v>
          </cell>
          <cell r="D2558" t="str">
            <v>Khiếu nại về dịch vụ FTTH</v>
          </cell>
          <cell r="W2558" t="str">
            <v>Đang xử lý</v>
          </cell>
          <cell r="AJ2558" t="str">
            <v>Quảng Ninh</v>
          </cell>
          <cell r="BX2558" t="str">
            <v>AON</v>
          </cell>
        </row>
        <row r="2559">
          <cell r="A2559" t="str">
            <v>ON</v>
          </cell>
          <cell r="B2559" t="str">
            <v>Trong 24h</v>
          </cell>
          <cell r="D2559" t="str">
            <v>Khiếu nại về dịch vụ FTTH</v>
          </cell>
          <cell r="W2559" t="str">
            <v>Đang xử lý</v>
          </cell>
          <cell r="AJ2559" t="str">
            <v>Hà Nam</v>
          </cell>
          <cell r="BX2559" t="str">
            <v>AON</v>
          </cell>
        </row>
        <row r="2560">
          <cell r="A2560" t="str">
            <v>ON</v>
          </cell>
          <cell r="B2560" t="str">
            <v>Trong 24h</v>
          </cell>
          <cell r="D2560" t="str">
            <v>Khiếu nại về dịch vụ NextTV</v>
          </cell>
          <cell r="W2560" t="str">
            <v>Đang xử lý</v>
          </cell>
          <cell r="AJ2560" t="str">
            <v>Long An</v>
          </cell>
          <cell r="BX2560" t="str">
            <v>AON</v>
          </cell>
        </row>
        <row r="2561">
          <cell r="A2561" t="str">
            <v>ON</v>
          </cell>
          <cell r="B2561" t="str">
            <v>Trong 24h</v>
          </cell>
          <cell r="D2561" t="str">
            <v>Khiếu nại về dịch vụ NextTV</v>
          </cell>
          <cell r="W2561" t="str">
            <v>Đang xử lý</v>
          </cell>
          <cell r="AJ2561" t="str">
            <v>TP HCM</v>
          </cell>
          <cell r="BX2561" t="str">
            <v>AON</v>
          </cell>
        </row>
        <row r="2562">
          <cell r="A2562" t="str">
            <v>ON</v>
          </cell>
          <cell r="B2562" t="str">
            <v>Trong 24h</v>
          </cell>
          <cell r="D2562" t="str">
            <v>Khiếu nại về dịch vụ FTTH</v>
          </cell>
          <cell r="W2562" t="str">
            <v>Đang xử lý</v>
          </cell>
          <cell r="AJ2562" t="str">
            <v>Vĩnh Long</v>
          </cell>
          <cell r="BX2562" t="str">
            <v>AON</v>
          </cell>
        </row>
        <row r="2563">
          <cell r="A2563" t="str">
            <v>ON</v>
          </cell>
          <cell r="B2563" t="str">
            <v>Trong 24h</v>
          </cell>
          <cell r="D2563" t="str">
            <v>Khiếu nại về dịch vụ FTTH</v>
          </cell>
          <cell r="W2563" t="str">
            <v>Đang xử lý</v>
          </cell>
          <cell r="AJ2563" t="str">
            <v>Gia Lai</v>
          </cell>
          <cell r="BX2563" t="str">
            <v>AON</v>
          </cell>
        </row>
        <row r="2564">
          <cell r="A2564" t="str">
            <v>ON</v>
          </cell>
          <cell r="B2564" t="str">
            <v>Trong 24h</v>
          </cell>
          <cell r="D2564" t="str">
            <v>Khiếu nại về dịch vụ FTTH</v>
          </cell>
          <cell r="W2564" t="str">
            <v>Đang xử lý</v>
          </cell>
          <cell r="AJ2564" t="str">
            <v>Gia Lai</v>
          </cell>
          <cell r="BX2564" t="str">
            <v>AON</v>
          </cell>
        </row>
        <row r="2565">
          <cell r="A2565" t="str">
            <v>ON</v>
          </cell>
          <cell r="B2565" t="str">
            <v>Trong 24h</v>
          </cell>
          <cell r="D2565" t="str">
            <v>Khiếu nại về dịch vụ FTTH</v>
          </cell>
          <cell r="W2565" t="str">
            <v>Đang xử lý</v>
          </cell>
          <cell r="AJ2565" t="str">
            <v>Lào Cai</v>
          </cell>
          <cell r="BX2565" t="str">
            <v>AON</v>
          </cell>
        </row>
        <row r="2566">
          <cell r="A2566" t="str">
            <v>ON</v>
          </cell>
          <cell r="B2566" t="str">
            <v>Trong 24h</v>
          </cell>
          <cell r="D2566" t="str">
            <v>Khiếu nại về dịch vụ FTTH</v>
          </cell>
          <cell r="W2566" t="str">
            <v>Đang xử lý</v>
          </cell>
          <cell r="AJ2566" t="str">
            <v>Hải Phòng</v>
          </cell>
          <cell r="BX2566" t="str">
            <v>AON</v>
          </cell>
        </row>
        <row r="2567">
          <cell r="A2567" t="str">
            <v>ON</v>
          </cell>
          <cell r="B2567" t="str">
            <v>Trong 24h</v>
          </cell>
          <cell r="D2567" t="str">
            <v>Khiếu nại về dịch vụ FTTH</v>
          </cell>
          <cell r="W2567" t="str">
            <v>Đang xử lý</v>
          </cell>
          <cell r="AJ2567" t="str">
            <v>Cần Thơ</v>
          </cell>
          <cell r="BX2567" t="str">
            <v>AON</v>
          </cell>
        </row>
        <row r="2568">
          <cell r="A2568" t="str">
            <v>ON</v>
          </cell>
          <cell r="B2568" t="str">
            <v>Trong 24h</v>
          </cell>
          <cell r="D2568" t="str">
            <v>Khiếu nại về dịch vụ FTTH</v>
          </cell>
          <cell r="W2568" t="str">
            <v>Đang xử lý</v>
          </cell>
          <cell r="AJ2568" t="str">
            <v>TP HCM</v>
          </cell>
          <cell r="BX2568" t="str">
            <v>AON</v>
          </cell>
        </row>
        <row r="2569">
          <cell r="A2569" t="str">
            <v>ON</v>
          </cell>
          <cell r="B2569" t="str">
            <v>Trong 24h</v>
          </cell>
          <cell r="D2569" t="str">
            <v>Khiếu nại về dịch vụ FTTH</v>
          </cell>
          <cell r="W2569" t="str">
            <v>Đang xử lý</v>
          </cell>
          <cell r="AJ2569" t="str">
            <v>Quảng Ninh</v>
          </cell>
          <cell r="BX2569" t="str">
            <v>AON</v>
          </cell>
        </row>
        <row r="2570">
          <cell r="A2570" t="str">
            <v>ON</v>
          </cell>
          <cell r="B2570" t="str">
            <v>Trong 24h</v>
          </cell>
          <cell r="D2570" t="str">
            <v>Khiếu nại về dịch vụ FTTH</v>
          </cell>
          <cell r="W2570" t="str">
            <v>Đang xử lý</v>
          </cell>
          <cell r="AJ2570" t="str">
            <v>Bắc Ninh</v>
          </cell>
          <cell r="BX2570" t="str">
            <v>AON</v>
          </cell>
        </row>
        <row r="2571">
          <cell r="A2571" t="str">
            <v>ON</v>
          </cell>
          <cell r="B2571" t="str">
            <v>Trong 24h</v>
          </cell>
          <cell r="D2571" t="str">
            <v>Khiếu nại về dịch vụ FTTH</v>
          </cell>
          <cell r="W2571" t="str">
            <v>Đang xử lý</v>
          </cell>
          <cell r="AJ2571" t="str">
            <v>Hà Giang</v>
          </cell>
          <cell r="BX2571" t="str">
            <v>AON</v>
          </cell>
        </row>
        <row r="2572">
          <cell r="A2572" t="str">
            <v>ON</v>
          </cell>
          <cell r="B2572" t="str">
            <v>Trong 24h</v>
          </cell>
          <cell r="D2572" t="str">
            <v>Khiếu nại về dịch vụ FTTH</v>
          </cell>
          <cell r="W2572" t="str">
            <v>Đang xử lý</v>
          </cell>
          <cell r="AJ2572" t="str">
            <v>Lào Cai</v>
          </cell>
          <cell r="BX2572" t="str">
            <v>AON</v>
          </cell>
        </row>
        <row r="2573">
          <cell r="A2573" t="str">
            <v>ON</v>
          </cell>
          <cell r="B2573" t="str">
            <v>Trong 24h</v>
          </cell>
          <cell r="D2573" t="str">
            <v>Khiếu nại về dịch vụ FTTH</v>
          </cell>
          <cell r="W2573" t="str">
            <v>Đang xử lý</v>
          </cell>
          <cell r="AJ2573" t="str">
            <v>TP HCM</v>
          </cell>
          <cell r="BX2573" t="str">
            <v>AON</v>
          </cell>
        </row>
        <row r="2574">
          <cell r="A2574" t="str">
            <v>ON</v>
          </cell>
          <cell r="B2574" t="str">
            <v>Trong 24h</v>
          </cell>
          <cell r="D2574" t="str">
            <v>Khiếu nại về dịch vụ FTTH</v>
          </cell>
          <cell r="W2574" t="str">
            <v>Đang xử lý</v>
          </cell>
          <cell r="AJ2574" t="str">
            <v>Hà Nội 1</v>
          </cell>
          <cell r="BX2574" t="str">
            <v>AON</v>
          </cell>
        </row>
        <row r="2575">
          <cell r="A2575" t="str">
            <v>ON</v>
          </cell>
          <cell r="B2575" t="str">
            <v>Trong 24h</v>
          </cell>
          <cell r="D2575" t="str">
            <v>Khiếu nại về dịch vụ FTTH</v>
          </cell>
          <cell r="W2575" t="str">
            <v>Đang xử lý</v>
          </cell>
          <cell r="AJ2575" t="str">
            <v>Hà Nội 1</v>
          </cell>
          <cell r="BX2575" t="str">
            <v>AON</v>
          </cell>
        </row>
        <row r="2576">
          <cell r="A2576" t="str">
            <v>ON</v>
          </cell>
          <cell r="B2576" t="str">
            <v>Trong 24h</v>
          </cell>
          <cell r="D2576" t="str">
            <v>Khiếu nại về dịch vụ FTTH</v>
          </cell>
          <cell r="W2576" t="str">
            <v>Đang xử lý</v>
          </cell>
          <cell r="AJ2576" t="str">
            <v>Hà Nội 2</v>
          </cell>
          <cell r="BX2576" t="str">
            <v>AON</v>
          </cell>
        </row>
        <row r="2577">
          <cell r="A2577" t="str">
            <v>ON</v>
          </cell>
          <cell r="B2577" t="str">
            <v>Trong 24h</v>
          </cell>
          <cell r="D2577" t="str">
            <v>Khiếu nại về dịch vụ FTTH</v>
          </cell>
          <cell r="W2577" t="str">
            <v>Đang xử lý</v>
          </cell>
          <cell r="AJ2577" t="str">
            <v>Quảng Trị</v>
          </cell>
          <cell r="BX2577" t="str">
            <v>AON</v>
          </cell>
        </row>
        <row r="2578">
          <cell r="A2578" t="str">
            <v>ON</v>
          </cell>
          <cell r="B2578" t="str">
            <v>Trong 24h</v>
          </cell>
          <cell r="D2578" t="str">
            <v>Khiếu nại về dịch vụ FTTH</v>
          </cell>
          <cell r="W2578" t="str">
            <v>Đang xử lý</v>
          </cell>
          <cell r="AJ2578" t="str">
            <v>TP HCM</v>
          </cell>
          <cell r="BX2578" t="str">
            <v>AON</v>
          </cell>
        </row>
        <row r="2579">
          <cell r="A2579" t="str">
            <v>ON</v>
          </cell>
          <cell r="B2579" t="str">
            <v>Trong 24h</v>
          </cell>
          <cell r="D2579" t="str">
            <v>Khiếu nại về dịch vụ FTTH</v>
          </cell>
          <cell r="W2579" t="str">
            <v>Đang xử lý</v>
          </cell>
          <cell r="AJ2579" t="str">
            <v>Nam Định</v>
          </cell>
          <cell r="BX2579" t="str">
            <v>AON</v>
          </cell>
        </row>
        <row r="2580">
          <cell r="A2580" t="str">
            <v>ON</v>
          </cell>
          <cell r="B2580" t="str">
            <v>Trong 24h</v>
          </cell>
          <cell r="D2580" t="str">
            <v>Khiếu nại về dịch vụ FTTH</v>
          </cell>
          <cell r="W2580" t="str">
            <v>Đang xử lý</v>
          </cell>
          <cell r="AJ2580" t="str">
            <v>Thừa Thiên Huế</v>
          </cell>
          <cell r="BX2580" t="str">
            <v>AON</v>
          </cell>
        </row>
        <row r="2581">
          <cell r="A2581" t="str">
            <v>ON</v>
          </cell>
          <cell r="B2581" t="str">
            <v>Trong 24h</v>
          </cell>
          <cell r="D2581" t="str">
            <v>Khiếu nại về dịch vụ FTTH</v>
          </cell>
          <cell r="W2581" t="str">
            <v>Đang xử lý</v>
          </cell>
          <cell r="AJ2581" t="str">
            <v>Bình Dương</v>
          </cell>
          <cell r="BX2581" t="str">
            <v>AON</v>
          </cell>
        </row>
        <row r="2582">
          <cell r="A2582" t="str">
            <v>ON</v>
          </cell>
          <cell r="B2582" t="str">
            <v>Trong 24h</v>
          </cell>
          <cell r="D2582" t="str">
            <v>Khiếu nại về dịch vụ FTTH</v>
          </cell>
          <cell r="W2582" t="str">
            <v>Đang xử lý</v>
          </cell>
          <cell r="AJ2582" t="str">
            <v>Bình Dương</v>
          </cell>
          <cell r="BX2582" t="str">
            <v>AON</v>
          </cell>
        </row>
        <row r="2583">
          <cell r="A2583" t="str">
            <v>ON</v>
          </cell>
          <cell r="B2583" t="str">
            <v>Trong 24h</v>
          </cell>
          <cell r="D2583" t="str">
            <v>Khiếu nại về dịch vụ FTTH</v>
          </cell>
          <cell r="W2583" t="str">
            <v>Đang xử lý</v>
          </cell>
          <cell r="AJ2583" t="str">
            <v>Hà Nam</v>
          </cell>
          <cell r="BX2583" t="str">
            <v>AON</v>
          </cell>
        </row>
        <row r="2584">
          <cell r="A2584" t="str">
            <v>ON</v>
          </cell>
          <cell r="B2584" t="str">
            <v>Trong 24h</v>
          </cell>
          <cell r="D2584" t="str">
            <v>Khiếu nại về dịch vụ FTTH</v>
          </cell>
          <cell r="W2584" t="str">
            <v>Đang xử lý</v>
          </cell>
          <cell r="AJ2584" t="str">
            <v>Bắc Ninh</v>
          </cell>
          <cell r="BX2584" t="str">
            <v>AON</v>
          </cell>
        </row>
        <row r="2585">
          <cell r="A2585" t="str">
            <v>ON</v>
          </cell>
          <cell r="B2585" t="str">
            <v>Trong 24h</v>
          </cell>
          <cell r="D2585" t="str">
            <v>Khiếu nại về dịch vụ FTTH</v>
          </cell>
          <cell r="W2585" t="str">
            <v>Đang xử lý</v>
          </cell>
          <cell r="AJ2585" t="str">
            <v>Sóc Trăng</v>
          </cell>
          <cell r="BX2585" t="str">
            <v>AON</v>
          </cell>
        </row>
        <row r="2586">
          <cell r="A2586" t="str">
            <v>ON</v>
          </cell>
          <cell r="B2586" t="str">
            <v>Trong 24h</v>
          </cell>
          <cell r="D2586" t="str">
            <v>Khiếu nại về dịch vụ FTTH</v>
          </cell>
          <cell r="W2586" t="str">
            <v>Đang xử lý</v>
          </cell>
          <cell r="AJ2586" t="str">
            <v>TP HCM</v>
          </cell>
          <cell r="BX2586" t="str">
            <v>AON</v>
          </cell>
        </row>
        <row r="2587">
          <cell r="A2587" t="str">
            <v>ON</v>
          </cell>
          <cell r="B2587" t="str">
            <v>Trong 24h</v>
          </cell>
          <cell r="D2587" t="str">
            <v>Khiếu nại về dịch vụ FTTH</v>
          </cell>
          <cell r="W2587" t="str">
            <v>Đang xử lý</v>
          </cell>
          <cell r="AJ2587" t="str">
            <v>Tiền Giang</v>
          </cell>
          <cell r="BX2587" t="str">
            <v>AON</v>
          </cell>
        </row>
        <row r="2588">
          <cell r="A2588" t="str">
            <v>ON</v>
          </cell>
          <cell r="B2588" t="str">
            <v>Trong 24h</v>
          </cell>
          <cell r="D2588" t="str">
            <v>Khiếu nại về dịch vụ FTTH</v>
          </cell>
          <cell r="W2588" t="str">
            <v>Đang xử lý</v>
          </cell>
          <cell r="AJ2588" t="str">
            <v>An Giang</v>
          </cell>
          <cell r="BX2588" t="str">
            <v>AON</v>
          </cell>
        </row>
        <row r="2589">
          <cell r="A2589" t="str">
            <v>ON</v>
          </cell>
          <cell r="B2589" t="str">
            <v>Trong 24h</v>
          </cell>
          <cell r="D2589" t="str">
            <v>Khiếu nại về dịch vụ FTTH</v>
          </cell>
          <cell r="W2589" t="str">
            <v>Đang xử lý</v>
          </cell>
          <cell r="AJ2589" t="str">
            <v>Quảng Ninh</v>
          </cell>
          <cell r="BX2589" t="str">
            <v>AON</v>
          </cell>
        </row>
        <row r="2590">
          <cell r="A2590" t="str">
            <v>ON</v>
          </cell>
          <cell r="B2590" t="str">
            <v>Trong 24h</v>
          </cell>
          <cell r="D2590" t="str">
            <v>Khiếu nại về dịch vụ FTTH</v>
          </cell>
          <cell r="W2590" t="str">
            <v>Đang xử lý</v>
          </cell>
          <cell r="AJ2590" t="str">
            <v>Thái Bình</v>
          </cell>
          <cell r="BX2590" t="str">
            <v>AON</v>
          </cell>
        </row>
        <row r="2591">
          <cell r="A2591" t="str">
            <v>ON</v>
          </cell>
          <cell r="B2591" t="str">
            <v>Trong 24h</v>
          </cell>
          <cell r="D2591" t="str">
            <v>Khiếu nại về dịch vụ FTTH</v>
          </cell>
          <cell r="W2591" t="str">
            <v>Đang xử lý</v>
          </cell>
          <cell r="AJ2591" t="str">
            <v>TP HCM</v>
          </cell>
          <cell r="BX2591" t="str">
            <v>AON</v>
          </cell>
        </row>
        <row r="2592">
          <cell r="A2592" t="str">
            <v>ON</v>
          </cell>
          <cell r="B2592" t="str">
            <v>Trong 24h</v>
          </cell>
          <cell r="D2592" t="str">
            <v>Khiếu nại về dịch vụ FTTH</v>
          </cell>
          <cell r="W2592" t="str">
            <v>Đang xử lý</v>
          </cell>
          <cell r="AJ2592" t="str">
            <v>Cao Bằng</v>
          </cell>
          <cell r="BX2592" t="str">
            <v>AON</v>
          </cell>
        </row>
        <row r="2593">
          <cell r="A2593" t="str">
            <v>ON</v>
          </cell>
          <cell r="B2593" t="str">
            <v>Trong 24h</v>
          </cell>
          <cell r="D2593" t="str">
            <v>Khiếu nại về dịch vụ FTTH</v>
          </cell>
          <cell r="W2593" t="str">
            <v>Đang xử lý</v>
          </cell>
          <cell r="AJ2593" t="str">
            <v>Trà Vinh</v>
          </cell>
          <cell r="BX2593" t="str">
            <v>AON</v>
          </cell>
        </row>
        <row r="2594">
          <cell r="A2594" t="str">
            <v>ON</v>
          </cell>
          <cell r="B2594" t="str">
            <v>Trong 24h</v>
          </cell>
          <cell r="D2594" t="str">
            <v>Khiếu nại về dịch vụ FTTH</v>
          </cell>
          <cell r="W2594" t="str">
            <v>Đang xử lý</v>
          </cell>
          <cell r="AJ2594" t="str">
            <v>TP HCM</v>
          </cell>
          <cell r="BX2594" t="str">
            <v>AON</v>
          </cell>
        </row>
        <row r="2595">
          <cell r="A2595" t="str">
            <v>ON</v>
          </cell>
          <cell r="B2595" t="str">
            <v>Trong 24h</v>
          </cell>
          <cell r="D2595" t="str">
            <v>Khiếu nại về dịch vụ FTTH</v>
          </cell>
          <cell r="W2595" t="str">
            <v>Đang xử lý</v>
          </cell>
          <cell r="AJ2595" t="str">
            <v>TP HCM</v>
          </cell>
          <cell r="BX2595" t="str">
            <v>AON</v>
          </cell>
        </row>
        <row r="2596">
          <cell r="A2596" t="str">
            <v>ON</v>
          </cell>
          <cell r="B2596" t="str">
            <v>Trong 24h</v>
          </cell>
          <cell r="D2596" t="str">
            <v>Khiếu nại về dịch vụ NextTV</v>
          </cell>
          <cell r="W2596" t="str">
            <v>Đã đóng</v>
          </cell>
          <cell r="AJ2596" t="str">
            <v xml:space="preserve">Đắc Lắk </v>
          </cell>
          <cell r="BX2596" t="str">
            <v>AON</v>
          </cell>
        </row>
        <row r="2597">
          <cell r="A2597" t="str">
            <v>ON</v>
          </cell>
          <cell r="B2597" t="str">
            <v>Trong 24h</v>
          </cell>
          <cell r="D2597" t="str">
            <v>Khiếu nại về dịch vụ FTTH</v>
          </cell>
          <cell r="W2597" t="str">
            <v>Đang xử lý</v>
          </cell>
          <cell r="AJ2597" t="str">
            <v>Quảng Ninh</v>
          </cell>
          <cell r="BX2597" t="str">
            <v>AON</v>
          </cell>
        </row>
        <row r="2598">
          <cell r="A2598" t="str">
            <v>ON</v>
          </cell>
          <cell r="B2598" t="str">
            <v>Trong 24h</v>
          </cell>
          <cell r="D2598" t="str">
            <v>Khiếu nại về dịch vụ FTTH</v>
          </cell>
          <cell r="W2598" t="str">
            <v>Đang xử lý</v>
          </cell>
          <cell r="AJ2598" t="str">
            <v>Nghệ An</v>
          </cell>
          <cell r="BX2598" t="str">
            <v>AON</v>
          </cell>
        </row>
        <row r="2599">
          <cell r="A2599" t="str">
            <v>ON</v>
          </cell>
          <cell r="B2599" t="str">
            <v>Trong 24h</v>
          </cell>
          <cell r="D2599" t="str">
            <v>Khiếu nại về dịch vụ FTTH</v>
          </cell>
          <cell r="W2599" t="str">
            <v>Đang xử lý</v>
          </cell>
          <cell r="AJ2599" t="str">
            <v>Hà Nội 2</v>
          </cell>
          <cell r="BX2599" t="str">
            <v>AON</v>
          </cell>
        </row>
        <row r="2600">
          <cell r="A2600" t="str">
            <v>ON</v>
          </cell>
          <cell r="B2600" t="str">
            <v>Trong 24h</v>
          </cell>
          <cell r="D2600" t="str">
            <v>Khiếu nại về dịch vụ FTTH</v>
          </cell>
          <cell r="W2600" t="str">
            <v>Đang xử lý</v>
          </cell>
          <cell r="AJ2600" t="str">
            <v>Vĩnh Phúc</v>
          </cell>
          <cell r="BX2600" t="str">
            <v>AON</v>
          </cell>
        </row>
        <row r="2601">
          <cell r="A2601" t="str">
            <v>ON</v>
          </cell>
          <cell r="B2601" t="str">
            <v>Trong 24h</v>
          </cell>
          <cell r="D2601" t="str">
            <v>Khiếu nại về dịch vụ FTTH</v>
          </cell>
          <cell r="W2601" t="str">
            <v>Đang xử lý</v>
          </cell>
          <cell r="AJ2601" t="str">
            <v>TP HCM</v>
          </cell>
          <cell r="BX2601" t="str">
            <v>AON</v>
          </cell>
        </row>
        <row r="2602">
          <cell r="A2602" t="str">
            <v>ON</v>
          </cell>
          <cell r="B2602" t="str">
            <v>Trong 24h</v>
          </cell>
          <cell r="D2602" t="str">
            <v>Khiếu nại về dịch vụ FTTH</v>
          </cell>
          <cell r="W2602" t="str">
            <v>Đang xử lý</v>
          </cell>
          <cell r="AJ2602" t="str">
            <v>Hà Nội 1</v>
          </cell>
          <cell r="BX2602" t="str">
            <v>AON</v>
          </cell>
        </row>
        <row r="2603">
          <cell r="A2603" t="str">
            <v>ON</v>
          </cell>
          <cell r="B2603" t="str">
            <v>Trong 24h</v>
          </cell>
          <cell r="D2603" t="str">
            <v>Khiếu nại về dịch vụ FTTH</v>
          </cell>
          <cell r="W2603" t="str">
            <v>Đang xử lý</v>
          </cell>
          <cell r="AJ2603" t="str">
            <v>Cao Bằng</v>
          </cell>
          <cell r="BX2603" t="str">
            <v>AON</v>
          </cell>
        </row>
        <row r="2604">
          <cell r="A2604" t="str">
            <v>ON</v>
          </cell>
          <cell r="B2604" t="str">
            <v>Trong 24h</v>
          </cell>
          <cell r="D2604" t="str">
            <v>Khiếu nại về dịch vụ FTTH</v>
          </cell>
          <cell r="W2604" t="str">
            <v>Đang xử lý</v>
          </cell>
          <cell r="AJ2604" t="str">
            <v>TP HCM</v>
          </cell>
          <cell r="BX2604" t="str">
            <v>AON</v>
          </cell>
        </row>
        <row r="2605">
          <cell r="A2605" t="str">
            <v>ON</v>
          </cell>
          <cell r="B2605" t="str">
            <v>Trong 24h</v>
          </cell>
          <cell r="D2605" t="str">
            <v>Khiếu nại về dịch vụ NextTV</v>
          </cell>
          <cell r="W2605" t="str">
            <v>Đang xử lý</v>
          </cell>
          <cell r="AJ2605" t="str">
            <v>TP HCM</v>
          </cell>
          <cell r="BX2605" t="str">
            <v>GPON</v>
          </cell>
        </row>
        <row r="2606">
          <cell r="A2606" t="str">
            <v>ON</v>
          </cell>
          <cell r="B2606" t="str">
            <v>Trong 24h</v>
          </cell>
          <cell r="D2606" t="str">
            <v>Khiếu nại về dịch vụ FTTH</v>
          </cell>
          <cell r="W2606" t="str">
            <v>Đang xử lý</v>
          </cell>
          <cell r="AJ2606" t="str">
            <v>Bình Dương</v>
          </cell>
          <cell r="BX2606" t="str">
            <v>AON</v>
          </cell>
        </row>
        <row r="2607">
          <cell r="A2607" t="str">
            <v>ON</v>
          </cell>
          <cell r="B2607" t="str">
            <v>Trong 24h</v>
          </cell>
          <cell r="D2607" t="str">
            <v>Khiếu nại về dịch vụ FTTH</v>
          </cell>
          <cell r="W2607" t="str">
            <v>Đang xử lý</v>
          </cell>
          <cell r="AJ2607" t="str">
            <v xml:space="preserve">Quảng Nam </v>
          </cell>
          <cell r="BX2607" t="str">
            <v>AON</v>
          </cell>
        </row>
        <row r="2608">
          <cell r="A2608" t="str">
            <v>ON</v>
          </cell>
          <cell r="B2608" t="str">
            <v>Trong 24h</v>
          </cell>
          <cell r="D2608" t="str">
            <v>Khiếu nại về dịch vụ FTTH</v>
          </cell>
          <cell r="W2608" t="str">
            <v>Đã đóng</v>
          </cell>
          <cell r="AJ2608" t="str">
            <v>TP HCM</v>
          </cell>
          <cell r="BX2608" t="str">
            <v>GPON</v>
          </cell>
        </row>
        <row r="2609">
          <cell r="A2609" t="str">
            <v>ON</v>
          </cell>
          <cell r="B2609" t="str">
            <v>Trong 24h</v>
          </cell>
          <cell r="D2609" t="str">
            <v>Khiếu nại về dịch vụ FTTH</v>
          </cell>
          <cell r="W2609" t="str">
            <v>Đang xử lý</v>
          </cell>
          <cell r="AJ2609" t="str">
            <v>TP HCM</v>
          </cell>
          <cell r="BX2609" t="str">
            <v>AON</v>
          </cell>
        </row>
        <row r="2610">
          <cell r="A2610" t="str">
            <v>ON</v>
          </cell>
          <cell r="B2610" t="str">
            <v>Trong 24h</v>
          </cell>
          <cell r="D2610" t="str">
            <v>Khiếu nại về dịch vụ FTTH</v>
          </cell>
          <cell r="W2610" t="str">
            <v>Đang xử lý</v>
          </cell>
          <cell r="AJ2610" t="str">
            <v>Quảng Ngãi</v>
          </cell>
          <cell r="BX2610" t="str">
            <v>AON</v>
          </cell>
        </row>
        <row r="2611">
          <cell r="A2611" t="str">
            <v>ON</v>
          </cell>
          <cell r="B2611" t="str">
            <v>Trong 24h</v>
          </cell>
          <cell r="D2611" t="str">
            <v>Khiếu nại về dịch vụ FTTH</v>
          </cell>
          <cell r="W2611" t="str">
            <v>Đang xử lý</v>
          </cell>
          <cell r="AJ2611" t="str">
            <v>Quảng Ninh</v>
          </cell>
          <cell r="BX2611" t="str">
            <v>AON</v>
          </cell>
        </row>
        <row r="2612">
          <cell r="A2612" t="str">
            <v>ON</v>
          </cell>
          <cell r="B2612" t="str">
            <v>Trong 24h</v>
          </cell>
          <cell r="D2612" t="str">
            <v>Khiếu nại về dịch vụ FTTH</v>
          </cell>
          <cell r="W2612" t="str">
            <v>Đang xử lý</v>
          </cell>
          <cell r="AJ2612" t="str">
            <v>Thái Nguyên</v>
          </cell>
          <cell r="BX2612" t="str">
            <v>AON</v>
          </cell>
        </row>
        <row r="2613">
          <cell r="A2613" t="str">
            <v>ON</v>
          </cell>
          <cell r="B2613" t="str">
            <v>Trong 24h</v>
          </cell>
          <cell r="D2613" t="str">
            <v>Khiếu nại về dịch vụ FTTH</v>
          </cell>
          <cell r="W2613" t="str">
            <v>Đang xử lý</v>
          </cell>
          <cell r="AJ2613" t="str">
            <v>Hậu Giang</v>
          </cell>
          <cell r="BX2613" t="str">
            <v>AON</v>
          </cell>
        </row>
        <row r="2614">
          <cell r="A2614" t="str">
            <v>ON</v>
          </cell>
          <cell r="B2614" t="str">
            <v>Trong 24h</v>
          </cell>
          <cell r="D2614" t="str">
            <v>Khiếu nại về dịch vụ FTTH</v>
          </cell>
          <cell r="W2614" t="str">
            <v>Đang xử lý</v>
          </cell>
          <cell r="AJ2614" t="str">
            <v>Tuyên Quang</v>
          </cell>
          <cell r="BX2614" t="str">
            <v>AON</v>
          </cell>
        </row>
        <row r="2615">
          <cell r="A2615" t="str">
            <v>ON</v>
          </cell>
          <cell r="B2615" t="str">
            <v>Trong 24h</v>
          </cell>
          <cell r="D2615" t="str">
            <v>Khiếu nại về dịch vụ FTTH</v>
          </cell>
          <cell r="W2615" t="str">
            <v>Đang xử lý</v>
          </cell>
          <cell r="AJ2615" t="str">
            <v xml:space="preserve">Quảng Nam </v>
          </cell>
          <cell r="BX2615" t="str">
            <v>AON</v>
          </cell>
        </row>
        <row r="2616">
          <cell r="A2616" t="str">
            <v>ON</v>
          </cell>
          <cell r="B2616" t="str">
            <v>Trong 24h</v>
          </cell>
          <cell r="D2616" t="str">
            <v>Khiếu nại về dịch vụ FTTH</v>
          </cell>
          <cell r="W2616" t="str">
            <v>Đang xử lý</v>
          </cell>
          <cell r="AJ2616" t="str">
            <v>Lâm Đồng</v>
          </cell>
          <cell r="BX2616" t="str">
            <v>AON</v>
          </cell>
        </row>
        <row r="2617">
          <cell r="A2617" t="str">
            <v>ON</v>
          </cell>
          <cell r="B2617" t="str">
            <v>Trong 24h</v>
          </cell>
          <cell r="D2617" t="str">
            <v>Khiếu nại về dịch vụ FTTH</v>
          </cell>
          <cell r="W2617" t="str">
            <v>Đang xử lý</v>
          </cell>
          <cell r="AJ2617" t="str">
            <v>Lào Cai</v>
          </cell>
          <cell r="BX2617" t="str">
            <v>AON</v>
          </cell>
        </row>
        <row r="2618">
          <cell r="A2618" t="str">
            <v>ON</v>
          </cell>
          <cell r="B2618" t="str">
            <v>Trong 24h</v>
          </cell>
          <cell r="D2618" t="str">
            <v>Khiếu nại về dịch vụ FTTH</v>
          </cell>
          <cell r="W2618" t="str">
            <v>Đang xử lý</v>
          </cell>
          <cell r="AJ2618" t="str">
            <v>Quảng Ninh</v>
          </cell>
          <cell r="BX2618" t="str">
            <v>AON</v>
          </cell>
        </row>
        <row r="2619">
          <cell r="A2619" t="str">
            <v>ON</v>
          </cell>
          <cell r="B2619" t="str">
            <v>Trong 24h</v>
          </cell>
          <cell r="D2619" t="str">
            <v>Khiếu nại về dịch vụ FTTH</v>
          </cell>
          <cell r="W2619" t="str">
            <v>Đang xử lý</v>
          </cell>
          <cell r="AJ2619" t="str">
            <v>Quảng Trị</v>
          </cell>
          <cell r="BX2619" t="str">
            <v>AON</v>
          </cell>
        </row>
        <row r="2620">
          <cell r="A2620" t="str">
            <v>ON</v>
          </cell>
          <cell r="B2620" t="str">
            <v>Trong 24h</v>
          </cell>
          <cell r="D2620" t="str">
            <v>Khiếu nại về dịch vụ FTTH</v>
          </cell>
          <cell r="W2620" t="str">
            <v>Đang xử lý</v>
          </cell>
          <cell r="AJ2620" t="str">
            <v>Hà Nội 2</v>
          </cell>
          <cell r="BX2620" t="str">
            <v>AON</v>
          </cell>
        </row>
        <row r="2621">
          <cell r="A2621" t="str">
            <v>ON</v>
          </cell>
          <cell r="B2621" t="str">
            <v>Trong 24h</v>
          </cell>
          <cell r="D2621" t="str">
            <v>Khiếu nại về dịch vụ FTTH</v>
          </cell>
          <cell r="W2621" t="str">
            <v>Đang xử lý</v>
          </cell>
          <cell r="AJ2621" t="str">
            <v>Bắc Giang</v>
          </cell>
          <cell r="BX2621" t="str">
            <v>AON</v>
          </cell>
        </row>
        <row r="2622">
          <cell r="A2622" t="str">
            <v>ON</v>
          </cell>
          <cell r="B2622" t="str">
            <v>Trong 24h</v>
          </cell>
          <cell r="D2622" t="str">
            <v>Khiếu nại về dịch vụ FTTH</v>
          </cell>
          <cell r="W2622" t="str">
            <v>Đang xử lý</v>
          </cell>
          <cell r="AJ2622" t="str">
            <v>Bình Định</v>
          </cell>
          <cell r="BX2622" t="str">
            <v>AON</v>
          </cell>
        </row>
        <row r="2623">
          <cell r="A2623" t="str">
            <v>ON</v>
          </cell>
          <cell r="B2623" t="str">
            <v>Trong 24h</v>
          </cell>
          <cell r="D2623" t="str">
            <v>Khiếu nại về dịch vụ FTTH</v>
          </cell>
          <cell r="W2623" t="str">
            <v>Đang xử lý</v>
          </cell>
          <cell r="AJ2623" t="str">
            <v>TP HCM</v>
          </cell>
          <cell r="BX2623" t="str">
            <v>GPON</v>
          </cell>
        </row>
        <row r="2624">
          <cell r="A2624" t="str">
            <v>ON</v>
          </cell>
          <cell r="B2624" t="str">
            <v>Trong 24h</v>
          </cell>
          <cell r="D2624" t="str">
            <v>Khiếu nại về dịch vụ FTTH</v>
          </cell>
          <cell r="W2624" t="str">
            <v>Đang xử lý</v>
          </cell>
          <cell r="AJ2624" t="str">
            <v>Hà Nội 1</v>
          </cell>
          <cell r="BX2624" t="str">
            <v>AON</v>
          </cell>
        </row>
        <row r="2625">
          <cell r="A2625" t="str">
            <v>ON</v>
          </cell>
          <cell r="B2625" t="str">
            <v>Trong 24h</v>
          </cell>
          <cell r="D2625" t="str">
            <v>Khiếu nại về dịch vụ FTTH</v>
          </cell>
          <cell r="W2625" t="str">
            <v>Đang xử lý</v>
          </cell>
          <cell r="AJ2625" t="str">
            <v>TP HCM</v>
          </cell>
          <cell r="BX2625" t="str">
            <v>GPON</v>
          </cell>
        </row>
        <row r="2626">
          <cell r="A2626" t="str">
            <v>ON</v>
          </cell>
          <cell r="B2626" t="str">
            <v>Trong 24h</v>
          </cell>
          <cell r="D2626" t="str">
            <v>Khiếu nại về dịch vụ FTTH</v>
          </cell>
          <cell r="W2626" t="str">
            <v>Đang xử lý</v>
          </cell>
          <cell r="AJ2626" t="str">
            <v>TP HCM</v>
          </cell>
          <cell r="BX2626" t="str">
            <v>AON</v>
          </cell>
        </row>
        <row r="2627">
          <cell r="A2627" t="str">
            <v>ON</v>
          </cell>
          <cell r="B2627" t="str">
            <v>Trong 24h</v>
          </cell>
          <cell r="D2627" t="str">
            <v>Khiếu nại về dịch vụ FTTH</v>
          </cell>
          <cell r="W2627" t="str">
            <v>Đang xử lý</v>
          </cell>
          <cell r="AJ2627" t="str">
            <v>TP HCM</v>
          </cell>
          <cell r="BX2627" t="str">
            <v>AON</v>
          </cell>
        </row>
        <row r="2628">
          <cell r="A2628" t="str">
            <v>ON</v>
          </cell>
          <cell r="B2628" t="str">
            <v>Trong 24h</v>
          </cell>
          <cell r="D2628" t="str">
            <v>Khiếu nại về dịch vụ FTTH</v>
          </cell>
          <cell r="W2628" t="str">
            <v>Đang xử lý</v>
          </cell>
          <cell r="AJ2628" t="str">
            <v>TP HCM</v>
          </cell>
          <cell r="BX2628" t="str">
            <v>GPON</v>
          </cell>
        </row>
        <row r="2629">
          <cell r="A2629" t="str">
            <v>ON</v>
          </cell>
          <cell r="B2629" t="str">
            <v>Trong 24h</v>
          </cell>
          <cell r="D2629" t="str">
            <v>Khiếu nại về dịch vụ FTTH</v>
          </cell>
          <cell r="W2629" t="str">
            <v>Đang xử lý</v>
          </cell>
          <cell r="AJ2629" t="str">
            <v>Hà Nội 2</v>
          </cell>
          <cell r="BX2629" t="str">
            <v>AON</v>
          </cell>
        </row>
        <row r="2630">
          <cell r="A2630" t="str">
            <v>ON</v>
          </cell>
          <cell r="B2630" t="str">
            <v>Trong 24h</v>
          </cell>
          <cell r="D2630" t="str">
            <v>Khiếu nại về dịch vụ FTTH</v>
          </cell>
          <cell r="W2630" t="str">
            <v>Đang xử lý</v>
          </cell>
          <cell r="AJ2630" t="str">
            <v>Hà Nội 1</v>
          </cell>
          <cell r="BX2630" t="str">
            <v>AON</v>
          </cell>
        </row>
        <row r="2631">
          <cell r="A2631" t="str">
            <v>ON</v>
          </cell>
          <cell r="B2631" t="str">
            <v>Trong 24h</v>
          </cell>
          <cell r="D2631" t="str">
            <v>Khiếu nại về dịch vụ FTTH</v>
          </cell>
          <cell r="W2631" t="str">
            <v>Đang xử lý</v>
          </cell>
          <cell r="AJ2631" t="str">
            <v>Long An</v>
          </cell>
          <cell r="BX2631" t="str">
            <v>AON</v>
          </cell>
        </row>
        <row r="2632">
          <cell r="A2632" t="str">
            <v>ON</v>
          </cell>
          <cell r="B2632" t="str">
            <v>Trong 24h</v>
          </cell>
          <cell r="D2632" t="str">
            <v>Khiếu nại về dịch vụ FTTH</v>
          </cell>
          <cell r="W2632" t="str">
            <v>Đang xử lý</v>
          </cell>
          <cell r="AJ2632" t="str">
            <v>Hà Giang</v>
          </cell>
          <cell r="BX2632" t="str">
            <v>AON</v>
          </cell>
        </row>
        <row r="2633">
          <cell r="A2633" t="str">
            <v>ON</v>
          </cell>
          <cell r="B2633" t="str">
            <v>Trong 24h</v>
          </cell>
          <cell r="D2633" t="str">
            <v>Khiếu nại về dịch vụ FTTH</v>
          </cell>
          <cell r="W2633" t="str">
            <v>Đang xử lý</v>
          </cell>
          <cell r="AJ2633" t="str">
            <v>Thanh Hoá</v>
          </cell>
          <cell r="BX2633" t="str">
            <v>AON</v>
          </cell>
        </row>
        <row r="2634">
          <cell r="A2634" t="str">
            <v>ON</v>
          </cell>
          <cell r="B2634" t="str">
            <v>Trong 24h</v>
          </cell>
          <cell r="D2634" t="str">
            <v>Khiếu nại về dịch vụ FTTH</v>
          </cell>
          <cell r="W2634" t="str">
            <v>Đang xử lý</v>
          </cell>
          <cell r="AJ2634" t="str">
            <v xml:space="preserve">Đà Nẵng </v>
          </cell>
          <cell r="BX2634" t="str">
            <v>AON</v>
          </cell>
        </row>
        <row r="2635">
          <cell r="A2635" t="str">
            <v>ON</v>
          </cell>
          <cell r="B2635" t="str">
            <v>Trong 24h</v>
          </cell>
          <cell r="D2635" t="str">
            <v>Khiếu nại về dịch vụ FTTH</v>
          </cell>
          <cell r="W2635" t="str">
            <v>Đã đóng</v>
          </cell>
          <cell r="AJ2635" t="str">
            <v>TP HCM</v>
          </cell>
          <cell r="BX2635" t="str">
            <v>AON</v>
          </cell>
        </row>
        <row r="2636">
          <cell r="A2636" t="str">
            <v>ON</v>
          </cell>
          <cell r="B2636" t="str">
            <v>Trong 24h</v>
          </cell>
          <cell r="D2636" t="str">
            <v>Khiếu nại về dịch vụ FTTH</v>
          </cell>
          <cell r="W2636" t="str">
            <v>Đang xử lý</v>
          </cell>
          <cell r="AJ2636" t="str">
            <v>Khánh Hoà</v>
          </cell>
          <cell r="BX2636" t="str">
            <v>AON</v>
          </cell>
        </row>
        <row r="2637">
          <cell r="A2637" t="str">
            <v>ON</v>
          </cell>
          <cell r="B2637" t="str">
            <v>Trong 24h</v>
          </cell>
          <cell r="D2637" t="str">
            <v>Khiếu nại về dịch vụ FTTH</v>
          </cell>
          <cell r="W2637" t="str">
            <v>Đang xử lý</v>
          </cell>
          <cell r="AJ2637" t="str">
            <v>TP HCM</v>
          </cell>
          <cell r="BX2637" t="str">
            <v>GPON</v>
          </cell>
        </row>
        <row r="2638">
          <cell r="A2638" t="str">
            <v>ON</v>
          </cell>
          <cell r="B2638" t="str">
            <v>Trong 24h</v>
          </cell>
          <cell r="D2638" t="str">
            <v>Khiếu nại về dịch vụ FTTH</v>
          </cell>
          <cell r="W2638" t="str">
            <v>Đang xử lý</v>
          </cell>
          <cell r="AJ2638" t="str">
            <v>Đồng Tháp</v>
          </cell>
          <cell r="BX2638" t="str">
            <v>AON</v>
          </cell>
        </row>
        <row r="2639">
          <cell r="A2639" t="str">
            <v>ON</v>
          </cell>
          <cell r="B2639" t="str">
            <v>Trong 24h</v>
          </cell>
          <cell r="D2639" t="str">
            <v>Khiếu nại về dịch vụ FTTH</v>
          </cell>
          <cell r="W2639" t="str">
            <v>Đang xử lý</v>
          </cell>
          <cell r="AJ2639" t="str">
            <v>Quảng Ninh</v>
          </cell>
          <cell r="BX2639" t="str">
            <v>AON</v>
          </cell>
        </row>
        <row r="2640">
          <cell r="A2640" t="str">
            <v>ON</v>
          </cell>
          <cell r="B2640" t="str">
            <v>Trong 24h</v>
          </cell>
          <cell r="D2640" t="str">
            <v>Khiếu nại về dịch vụ FTTH</v>
          </cell>
          <cell r="W2640" t="str">
            <v>Đang xử lý</v>
          </cell>
          <cell r="AJ2640" t="str">
            <v>TP HCM</v>
          </cell>
          <cell r="BX2640" t="str">
            <v>AON</v>
          </cell>
        </row>
        <row r="2641">
          <cell r="A2641" t="str">
            <v>ON</v>
          </cell>
          <cell r="B2641" t="str">
            <v>Trong 24h</v>
          </cell>
          <cell r="D2641" t="str">
            <v>Khiếu nại về dịch vụ FTTH</v>
          </cell>
          <cell r="W2641" t="str">
            <v>Đang xử lý</v>
          </cell>
          <cell r="AJ2641" t="str">
            <v>Hà Nội 1</v>
          </cell>
          <cell r="BX2641" t="str">
            <v>AON</v>
          </cell>
        </row>
        <row r="2642">
          <cell r="A2642" t="str">
            <v>ON</v>
          </cell>
          <cell r="B2642" t="str">
            <v>Trong 24h</v>
          </cell>
          <cell r="D2642" t="str">
            <v>Khiếu nại về dịch vụ FTTH</v>
          </cell>
          <cell r="W2642" t="str">
            <v>Đang xử lý</v>
          </cell>
          <cell r="AJ2642" t="str">
            <v>Quảng Ninh</v>
          </cell>
          <cell r="BX2642" t="str">
            <v>AON</v>
          </cell>
        </row>
        <row r="2643">
          <cell r="A2643" t="str">
            <v>ON</v>
          </cell>
          <cell r="B2643" t="str">
            <v>Trong 24h</v>
          </cell>
          <cell r="D2643" t="str">
            <v>Khiếu nại về dịch vụ FTTH</v>
          </cell>
          <cell r="W2643" t="str">
            <v>Đang xử lý</v>
          </cell>
          <cell r="AJ2643" t="str">
            <v>Bình Dương</v>
          </cell>
          <cell r="BX2643" t="str">
            <v>AON</v>
          </cell>
        </row>
        <row r="2644">
          <cell r="A2644" t="str">
            <v>ON</v>
          </cell>
          <cell r="B2644" t="str">
            <v>Trong 24h</v>
          </cell>
          <cell r="D2644" t="str">
            <v>Khiếu nại về dịch vụ NextTV</v>
          </cell>
          <cell r="W2644" t="str">
            <v>Đang xử lý</v>
          </cell>
          <cell r="AJ2644" t="str">
            <v>TP HCM</v>
          </cell>
          <cell r="BX2644" t="str">
            <v>GPON</v>
          </cell>
        </row>
        <row r="2645">
          <cell r="A2645" t="str">
            <v>ON</v>
          </cell>
          <cell r="B2645" t="str">
            <v>Trong 24h</v>
          </cell>
          <cell r="D2645" t="str">
            <v>Khiếu nại về dịch vụ FTTH</v>
          </cell>
          <cell r="W2645" t="str">
            <v>Đang xử lý</v>
          </cell>
          <cell r="AJ2645" t="str">
            <v>TP HCM</v>
          </cell>
          <cell r="BX2645" t="str">
            <v>GPON</v>
          </cell>
        </row>
        <row r="2646">
          <cell r="A2646" t="str">
            <v>ON</v>
          </cell>
          <cell r="B2646" t="str">
            <v>Trong 24h</v>
          </cell>
          <cell r="D2646" t="str">
            <v>Khiếu nại về dịch vụ FTTH</v>
          </cell>
          <cell r="W2646" t="str">
            <v>Đang xử lý</v>
          </cell>
          <cell r="AJ2646" t="str">
            <v>Bà Rịa - Vũng Tàu</v>
          </cell>
          <cell r="BX2646" t="str">
            <v>AON</v>
          </cell>
        </row>
        <row r="2647">
          <cell r="A2647" t="str">
            <v>ON</v>
          </cell>
          <cell r="B2647" t="str">
            <v>Trong 24h</v>
          </cell>
          <cell r="D2647" t="str">
            <v>Khiếu nại về dịch vụ FTTH</v>
          </cell>
          <cell r="W2647" t="str">
            <v>Đang xử lý</v>
          </cell>
          <cell r="AJ2647" t="str">
            <v>Hải Dương</v>
          </cell>
          <cell r="BX2647" t="str">
            <v>AON</v>
          </cell>
        </row>
        <row r="2648">
          <cell r="A2648" t="str">
            <v>ON</v>
          </cell>
          <cell r="B2648" t="str">
            <v>Trong 24h</v>
          </cell>
          <cell r="D2648" t="str">
            <v>Khiếu nại về dịch vụ FTTH</v>
          </cell>
          <cell r="W2648" t="str">
            <v>Đang xử lý</v>
          </cell>
          <cell r="AJ2648" t="str">
            <v>Cà Mau</v>
          </cell>
          <cell r="BX2648" t="str">
            <v>AON</v>
          </cell>
        </row>
        <row r="2649">
          <cell r="A2649" t="str">
            <v>ON</v>
          </cell>
          <cell r="B2649" t="str">
            <v>Trong 24h</v>
          </cell>
          <cell r="D2649" t="str">
            <v>Khiếu nại về dịch vụ FTTH</v>
          </cell>
          <cell r="W2649" t="str">
            <v>Đang xử lý</v>
          </cell>
          <cell r="AJ2649" t="str">
            <v>Hải Phòng</v>
          </cell>
          <cell r="BX2649" t="str">
            <v>AON</v>
          </cell>
        </row>
        <row r="2650">
          <cell r="A2650" t="str">
            <v>ON</v>
          </cell>
          <cell r="B2650" t="str">
            <v>Trong 24h</v>
          </cell>
          <cell r="D2650" t="str">
            <v>Khiếu nại về dịch vụ FTTH</v>
          </cell>
          <cell r="W2650" t="str">
            <v>Đang xử lý</v>
          </cell>
          <cell r="AJ2650" t="str">
            <v>Hà Nội 1</v>
          </cell>
          <cell r="BX2650" t="str">
            <v>AON</v>
          </cell>
        </row>
        <row r="2651">
          <cell r="A2651" t="str">
            <v>ON</v>
          </cell>
          <cell r="B2651" t="str">
            <v>Trong 24h</v>
          </cell>
          <cell r="D2651" t="str">
            <v>Khiếu nại về dịch vụ FTTH</v>
          </cell>
          <cell r="W2651" t="str">
            <v>Đang xử lý</v>
          </cell>
          <cell r="AJ2651" t="str">
            <v>Hà Nội 1</v>
          </cell>
          <cell r="BX2651" t="str">
            <v>AON</v>
          </cell>
        </row>
        <row r="2652">
          <cell r="A2652" t="str">
            <v>ON</v>
          </cell>
          <cell r="B2652" t="str">
            <v>Trong 24h</v>
          </cell>
          <cell r="D2652" t="str">
            <v>Khiếu nại về dịch vụ FTTH</v>
          </cell>
          <cell r="W2652" t="str">
            <v>Đang xử lý</v>
          </cell>
          <cell r="AJ2652" t="str">
            <v>TP HCM</v>
          </cell>
          <cell r="BX2652" t="str">
            <v>AON</v>
          </cell>
        </row>
        <row r="2653">
          <cell r="A2653" t="str">
            <v>ON</v>
          </cell>
          <cell r="B2653" t="str">
            <v>Trong 24h</v>
          </cell>
          <cell r="D2653" t="str">
            <v>Khiếu nại về dịch vụ FTTH</v>
          </cell>
          <cell r="W2653" t="str">
            <v>Đang xử lý</v>
          </cell>
          <cell r="AJ2653" t="str">
            <v xml:space="preserve">Đắc Lắk </v>
          </cell>
          <cell r="BX2653" t="str">
            <v>AON</v>
          </cell>
        </row>
        <row r="2654">
          <cell r="A2654" t="str">
            <v>ON</v>
          </cell>
          <cell r="B2654" t="str">
            <v>Trong 24h</v>
          </cell>
          <cell r="D2654" t="str">
            <v>Khiếu nại về dịch vụ FTTH</v>
          </cell>
          <cell r="W2654" t="str">
            <v>Đang xử lý</v>
          </cell>
          <cell r="AJ2654" t="str">
            <v>TP HCM</v>
          </cell>
          <cell r="BX2654" t="str">
            <v>AON</v>
          </cell>
        </row>
        <row r="2655">
          <cell r="A2655" t="str">
            <v>ON</v>
          </cell>
          <cell r="B2655" t="str">
            <v>Trong 24h</v>
          </cell>
          <cell r="D2655" t="str">
            <v>Khiếu nại về dịch vụ FTTH</v>
          </cell>
          <cell r="W2655" t="str">
            <v>Đang xử lý</v>
          </cell>
          <cell r="AJ2655" t="str">
            <v>Hà Nội 1</v>
          </cell>
          <cell r="BX2655" t="str">
            <v>AON</v>
          </cell>
        </row>
        <row r="2656">
          <cell r="A2656" t="str">
            <v>ON</v>
          </cell>
          <cell r="B2656" t="str">
            <v>Trong 24h</v>
          </cell>
          <cell r="D2656" t="str">
            <v>Khiếu nại về dịch vụ NextTV</v>
          </cell>
          <cell r="W2656" t="str">
            <v>Đang xử lý</v>
          </cell>
          <cell r="AJ2656" t="str">
            <v>TP HCM</v>
          </cell>
          <cell r="BX2656" t="str">
            <v>AON</v>
          </cell>
        </row>
        <row r="2657">
          <cell r="A2657" t="str">
            <v>ON</v>
          </cell>
          <cell r="B2657" t="str">
            <v>Trong 24h</v>
          </cell>
          <cell r="D2657" t="str">
            <v>Khiếu nại về dịch vụ FTTH</v>
          </cell>
          <cell r="W2657" t="str">
            <v>Đang xử lý</v>
          </cell>
          <cell r="AJ2657" t="str">
            <v>TP HCM</v>
          </cell>
          <cell r="BX2657" t="str">
            <v>GPON</v>
          </cell>
        </row>
        <row r="2658">
          <cell r="A2658" t="str">
            <v>ON</v>
          </cell>
          <cell r="B2658" t="str">
            <v>Trong 24h</v>
          </cell>
          <cell r="D2658" t="str">
            <v>Khiếu nại về dịch vụ FTTH</v>
          </cell>
          <cell r="W2658" t="str">
            <v>Đang xử lý</v>
          </cell>
          <cell r="AJ2658" t="str">
            <v>Thanh Hoá</v>
          </cell>
          <cell r="BX2658" t="str">
            <v>AON</v>
          </cell>
        </row>
        <row r="2659">
          <cell r="A2659" t="str">
            <v>ON</v>
          </cell>
          <cell r="B2659" t="str">
            <v>Trong 24h</v>
          </cell>
          <cell r="D2659" t="str">
            <v>Khiếu nại về dịch vụ FTTH</v>
          </cell>
          <cell r="W2659" t="str">
            <v>Đang xử lý</v>
          </cell>
          <cell r="AJ2659" t="str">
            <v>Bình Thuận</v>
          </cell>
          <cell r="BX2659" t="str">
            <v>AON</v>
          </cell>
        </row>
        <row r="2660">
          <cell r="A2660" t="str">
            <v>ON</v>
          </cell>
          <cell r="B2660" t="str">
            <v>Trong 24h</v>
          </cell>
          <cell r="D2660" t="str">
            <v>Khiếu nại về dịch vụ FTTH</v>
          </cell>
          <cell r="W2660" t="str">
            <v>Đang xử lý</v>
          </cell>
          <cell r="AJ2660" t="str">
            <v>TP HCM</v>
          </cell>
          <cell r="BX2660" t="str">
            <v>AON</v>
          </cell>
        </row>
        <row r="2661">
          <cell r="A2661" t="str">
            <v>ON</v>
          </cell>
          <cell r="B2661" t="str">
            <v>Trong 24h</v>
          </cell>
          <cell r="D2661" t="str">
            <v>Khiếu nại về dịch vụ FTTH</v>
          </cell>
          <cell r="W2661" t="str">
            <v>Đang xử lý</v>
          </cell>
          <cell r="AJ2661" t="str">
            <v>Hà Nội 2</v>
          </cell>
          <cell r="BX2661" t="str">
            <v>AON</v>
          </cell>
        </row>
        <row r="2662">
          <cell r="A2662" t="str">
            <v>ON</v>
          </cell>
          <cell r="B2662" t="str">
            <v>Trong 24h</v>
          </cell>
          <cell r="D2662" t="str">
            <v>Khiếu nại về dịch vụ FTTH</v>
          </cell>
          <cell r="W2662" t="str">
            <v>Đang xử lý</v>
          </cell>
          <cell r="AJ2662" t="str">
            <v>Hải Phòng</v>
          </cell>
          <cell r="BX2662" t="str">
            <v>AON</v>
          </cell>
        </row>
        <row r="2663">
          <cell r="A2663" t="str">
            <v>ON</v>
          </cell>
          <cell r="B2663" t="str">
            <v>Trong 24h</v>
          </cell>
          <cell r="D2663" t="str">
            <v>Khiếu nại về dịch vụ FTTH</v>
          </cell>
          <cell r="W2663" t="str">
            <v>Đang xử lý</v>
          </cell>
          <cell r="AJ2663" t="str">
            <v>TP HCM</v>
          </cell>
          <cell r="BX2663" t="str">
            <v>AON</v>
          </cell>
        </row>
        <row r="2664">
          <cell r="A2664" t="str">
            <v>ON</v>
          </cell>
          <cell r="B2664" t="str">
            <v>Trong 24h</v>
          </cell>
          <cell r="D2664" t="str">
            <v>Khiếu nại về dịch vụ FTTH</v>
          </cell>
          <cell r="W2664" t="str">
            <v>Đang xử lý</v>
          </cell>
          <cell r="AJ2664" t="str">
            <v>TP HCM</v>
          </cell>
          <cell r="BX2664" t="str">
            <v>AON</v>
          </cell>
        </row>
        <row r="2665">
          <cell r="A2665" t="str">
            <v>ON</v>
          </cell>
          <cell r="B2665" t="str">
            <v>Trong 24h</v>
          </cell>
          <cell r="D2665" t="str">
            <v>Khiếu nại về dịch vụ FTTH</v>
          </cell>
          <cell r="W2665" t="str">
            <v>Đang xử lý</v>
          </cell>
          <cell r="AJ2665" t="str">
            <v>Bắc Ninh</v>
          </cell>
          <cell r="BX2665" t="str">
            <v>AON</v>
          </cell>
        </row>
        <row r="2666">
          <cell r="A2666" t="str">
            <v>ON</v>
          </cell>
          <cell r="B2666" t="str">
            <v>Trong 24h</v>
          </cell>
          <cell r="D2666" t="str">
            <v>Khiếu nại về dịch vụ FTTH</v>
          </cell>
          <cell r="W2666" t="str">
            <v>Đang xử lý</v>
          </cell>
          <cell r="AJ2666" t="str">
            <v>Hà Nội 2</v>
          </cell>
          <cell r="BX2666" t="str">
            <v>AON</v>
          </cell>
        </row>
        <row r="2667">
          <cell r="A2667" t="str">
            <v>ON</v>
          </cell>
          <cell r="B2667" t="str">
            <v>Trong 24h</v>
          </cell>
          <cell r="D2667" t="str">
            <v>Khiếu nại về dịch vụ FTTH</v>
          </cell>
          <cell r="W2667" t="str">
            <v>Đang xử lý</v>
          </cell>
          <cell r="AJ2667" t="str">
            <v>Bình Dương</v>
          </cell>
          <cell r="BX2667" t="str">
            <v>AON</v>
          </cell>
        </row>
        <row r="2668">
          <cell r="A2668" t="str">
            <v>ON</v>
          </cell>
          <cell r="B2668" t="str">
            <v>Trong 24h</v>
          </cell>
          <cell r="D2668" t="str">
            <v>Khiếu nại về dịch vụ NextTV</v>
          </cell>
          <cell r="W2668" t="str">
            <v>Đang xử lý</v>
          </cell>
          <cell r="AJ2668" t="str">
            <v xml:space="preserve">Đắc Lắk </v>
          </cell>
          <cell r="BX2668" t="str">
            <v>AON</v>
          </cell>
        </row>
        <row r="2669">
          <cell r="A2669" t="str">
            <v>ON</v>
          </cell>
          <cell r="B2669" t="str">
            <v>Trong 24h</v>
          </cell>
          <cell r="D2669" t="str">
            <v>Khiếu nại về dịch vụ FTTH</v>
          </cell>
          <cell r="W2669" t="str">
            <v>Đang xử lý</v>
          </cell>
          <cell r="AJ2669" t="str">
            <v>Hà Nội 1</v>
          </cell>
          <cell r="BX2669" t="str">
            <v>AON</v>
          </cell>
        </row>
        <row r="2670">
          <cell r="A2670" t="str">
            <v>ON</v>
          </cell>
          <cell r="B2670" t="str">
            <v>Trong 24h</v>
          </cell>
          <cell r="D2670" t="str">
            <v>Khiếu nại về dịch vụ FTTH</v>
          </cell>
          <cell r="W2670" t="str">
            <v>Đã đóng</v>
          </cell>
          <cell r="AJ2670" t="str">
            <v>TP HCM</v>
          </cell>
          <cell r="BX2670" t="str">
            <v>AON</v>
          </cell>
        </row>
        <row r="2671">
          <cell r="A2671" t="str">
            <v>ON</v>
          </cell>
          <cell r="B2671" t="str">
            <v>Trong 24h</v>
          </cell>
          <cell r="D2671" t="str">
            <v>Khiếu nại về dịch vụ FTTH</v>
          </cell>
          <cell r="W2671" t="str">
            <v>Đang xử lý</v>
          </cell>
          <cell r="AJ2671" t="str">
            <v>Hà Nội 1</v>
          </cell>
          <cell r="BX2671" t="str">
            <v>AON</v>
          </cell>
        </row>
        <row r="2672">
          <cell r="A2672" t="str">
            <v>ON</v>
          </cell>
          <cell r="B2672" t="str">
            <v>Trong 24h</v>
          </cell>
          <cell r="D2672" t="str">
            <v>Khiếu nại về dịch vụ FTTH</v>
          </cell>
          <cell r="W2672" t="str">
            <v>Đang xử lý</v>
          </cell>
          <cell r="AJ2672" t="str">
            <v>TP HCM</v>
          </cell>
          <cell r="BX2672" t="str">
            <v>AON</v>
          </cell>
        </row>
        <row r="2673">
          <cell r="A2673" t="str">
            <v>ON</v>
          </cell>
          <cell r="B2673" t="str">
            <v>Trong 24h</v>
          </cell>
          <cell r="D2673" t="str">
            <v>Khiếu nại về dịch vụ FTTH</v>
          </cell>
          <cell r="W2673" t="str">
            <v>Đang xử lý</v>
          </cell>
          <cell r="AJ2673" t="str">
            <v>Hà Nội 1</v>
          </cell>
          <cell r="BX2673" t="str">
            <v>AON</v>
          </cell>
        </row>
        <row r="2674">
          <cell r="A2674" t="str">
            <v>ON</v>
          </cell>
          <cell r="B2674" t="str">
            <v>Trong 24h</v>
          </cell>
          <cell r="D2674" t="str">
            <v>Khiếu nại về dịch vụ FTTH</v>
          </cell>
          <cell r="W2674" t="str">
            <v>Đang xử lý</v>
          </cell>
          <cell r="AJ2674" t="str">
            <v>Vĩnh Phúc</v>
          </cell>
          <cell r="BX2674" t="str">
            <v>AON</v>
          </cell>
        </row>
        <row r="2675">
          <cell r="A2675" t="str">
            <v>ON</v>
          </cell>
          <cell r="B2675" t="str">
            <v>Trong 24h</v>
          </cell>
          <cell r="D2675" t="str">
            <v>Khiếu nại về dịch vụ FTTH</v>
          </cell>
          <cell r="W2675" t="str">
            <v>Đang xử lý</v>
          </cell>
          <cell r="AJ2675" t="str">
            <v>Hà Nội 1</v>
          </cell>
          <cell r="BX2675" t="str">
            <v>AON</v>
          </cell>
        </row>
        <row r="2676">
          <cell r="A2676" t="str">
            <v>ON</v>
          </cell>
          <cell r="B2676" t="str">
            <v>Trong 24h</v>
          </cell>
          <cell r="D2676" t="str">
            <v>Khiếu nại về dịch vụ FTTH</v>
          </cell>
          <cell r="W2676" t="str">
            <v>Đang xử lý</v>
          </cell>
          <cell r="AJ2676" t="str">
            <v>TP HCM</v>
          </cell>
          <cell r="BX2676" t="str">
            <v>AON</v>
          </cell>
        </row>
        <row r="2677">
          <cell r="A2677" t="str">
            <v>ON</v>
          </cell>
          <cell r="B2677" t="str">
            <v>Trong 24h</v>
          </cell>
          <cell r="D2677" t="str">
            <v>Khiếu nại về dịch vụ FTTH</v>
          </cell>
          <cell r="W2677" t="str">
            <v>Đang xử lý</v>
          </cell>
          <cell r="AJ2677" t="str">
            <v>Hà Nội 2</v>
          </cell>
          <cell r="BX2677" t="str">
            <v>AON</v>
          </cell>
        </row>
        <row r="2678">
          <cell r="A2678" t="str">
            <v>ON</v>
          </cell>
          <cell r="B2678" t="str">
            <v>Trong 24h</v>
          </cell>
          <cell r="D2678" t="str">
            <v>Khiếu nại về dịch vụ NextTV</v>
          </cell>
          <cell r="W2678" t="str">
            <v>Đang xử lý</v>
          </cell>
          <cell r="AJ2678" t="str">
            <v>TP HCM</v>
          </cell>
          <cell r="BX2678" t="str">
            <v>AON</v>
          </cell>
        </row>
        <row r="2679">
          <cell r="A2679" t="str">
            <v>ON</v>
          </cell>
          <cell r="B2679" t="str">
            <v>Trong 24h</v>
          </cell>
          <cell r="D2679" t="str">
            <v>Khiếu nại về dịch vụ FTTH</v>
          </cell>
          <cell r="W2679" t="str">
            <v>Đang xử lý</v>
          </cell>
          <cell r="AJ2679" t="str">
            <v>TP HCM</v>
          </cell>
          <cell r="BX2679" t="str">
            <v>AON</v>
          </cell>
        </row>
        <row r="2680">
          <cell r="A2680" t="str">
            <v>ON</v>
          </cell>
          <cell r="B2680" t="str">
            <v>Trong 24h</v>
          </cell>
          <cell r="D2680" t="str">
            <v>Khiếu nại về dịch vụ FTTH</v>
          </cell>
          <cell r="W2680" t="str">
            <v>Đang xử lý</v>
          </cell>
          <cell r="AJ2680" t="str">
            <v>Hà Nội 1</v>
          </cell>
          <cell r="BX2680" t="str">
            <v>AON</v>
          </cell>
        </row>
        <row r="2681">
          <cell r="A2681" t="str">
            <v>ON</v>
          </cell>
          <cell r="B2681" t="str">
            <v>Trong 24h</v>
          </cell>
          <cell r="D2681" t="str">
            <v>Khiếu nại về dịch vụ FTTH</v>
          </cell>
          <cell r="W2681" t="str">
            <v>Đang xử lý</v>
          </cell>
          <cell r="AJ2681" t="str">
            <v>TP HCM</v>
          </cell>
          <cell r="BX2681" t="str">
            <v>GPON</v>
          </cell>
        </row>
        <row r="2682">
          <cell r="A2682" t="str">
            <v>ON</v>
          </cell>
          <cell r="B2682" t="str">
            <v>Trong 24h</v>
          </cell>
          <cell r="D2682" t="str">
            <v>Khiếu nại về dịch vụ FTTH</v>
          </cell>
          <cell r="W2682" t="str">
            <v>Đang xử lý</v>
          </cell>
          <cell r="AJ2682" t="str">
            <v>Hà Nội 1</v>
          </cell>
          <cell r="BX2682" t="str">
            <v>AON</v>
          </cell>
        </row>
        <row r="2683">
          <cell r="A2683" t="str">
            <v>ON</v>
          </cell>
          <cell r="B2683" t="str">
            <v>Trong 24h</v>
          </cell>
          <cell r="D2683" t="str">
            <v>Khiếu nại về dịch vụ FTTH</v>
          </cell>
          <cell r="W2683" t="str">
            <v>Đang xử lý</v>
          </cell>
          <cell r="AJ2683" t="str">
            <v>Hà Nội 1</v>
          </cell>
          <cell r="BX2683" t="str">
            <v>AON</v>
          </cell>
        </row>
        <row r="2684">
          <cell r="A2684" t="str">
            <v>ON</v>
          </cell>
          <cell r="B2684" t="str">
            <v>Trong 24h</v>
          </cell>
          <cell r="D2684" t="str">
            <v>Khiếu nại về dịch vụ FTTH</v>
          </cell>
          <cell r="W2684" t="str">
            <v>Đang xử lý</v>
          </cell>
          <cell r="AJ2684" t="str">
            <v>Hà Nội 1</v>
          </cell>
          <cell r="BX2684" t="str">
            <v>AON</v>
          </cell>
        </row>
        <row r="2685">
          <cell r="A2685" t="str">
            <v>ON</v>
          </cell>
          <cell r="B2685" t="str">
            <v>Trong 24h</v>
          </cell>
          <cell r="D2685" t="str">
            <v>Khiếu nại về dịch vụ FTTH</v>
          </cell>
          <cell r="W2685" t="str">
            <v>Đang xử lý</v>
          </cell>
          <cell r="AJ2685" t="str">
            <v>TP HCM</v>
          </cell>
          <cell r="BX2685" t="str">
            <v>AON</v>
          </cell>
        </row>
        <row r="2686">
          <cell r="A2686" t="str">
            <v>ON</v>
          </cell>
          <cell r="B2686" t="str">
            <v>Trong 24h</v>
          </cell>
          <cell r="D2686" t="str">
            <v>Khiếu nại về dịch vụ FTTH</v>
          </cell>
          <cell r="W2686" t="str">
            <v>Đang xử lý</v>
          </cell>
          <cell r="AJ2686" t="str">
            <v>Thái Nguyên</v>
          </cell>
          <cell r="BX2686" t="str">
            <v>AON</v>
          </cell>
        </row>
        <row r="2687">
          <cell r="A2687" t="str">
            <v>ON</v>
          </cell>
          <cell r="B2687" t="str">
            <v>Trong 24h</v>
          </cell>
          <cell r="D2687" t="str">
            <v>Khiếu nại về dịch vụ FTTH</v>
          </cell>
          <cell r="W2687" t="str">
            <v>Đang xử lý</v>
          </cell>
          <cell r="AJ2687" t="str">
            <v>Hà Nội 1</v>
          </cell>
          <cell r="BX2687" t="str">
            <v>AON</v>
          </cell>
        </row>
        <row r="2688">
          <cell r="A2688" t="str">
            <v>ON</v>
          </cell>
          <cell r="B2688" t="str">
            <v>Trong 24h</v>
          </cell>
          <cell r="D2688" t="str">
            <v>Khiếu nại về dịch vụ FTTH</v>
          </cell>
          <cell r="W2688" t="str">
            <v>Đang xử lý</v>
          </cell>
          <cell r="AJ2688" t="str">
            <v>Khánh Hoà</v>
          </cell>
          <cell r="BX2688" t="str">
            <v>AON</v>
          </cell>
        </row>
        <row r="2689">
          <cell r="A2689" t="str">
            <v>ON</v>
          </cell>
          <cell r="B2689" t="str">
            <v>Trong 24h</v>
          </cell>
          <cell r="D2689" t="str">
            <v>Khiếu nại về dịch vụ FTTH</v>
          </cell>
          <cell r="W2689" t="str">
            <v>Đang xử lý</v>
          </cell>
          <cell r="AJ2689" t="str">
            <v>Hà Nội 1</v>
          </cell>
          <cell r="BX2689" t="str">
            <v>AON</v>
          </cell>
        </row>
        <row r="2690">
          <cell r="A2690" t="str">
            <v>ON</v>
          </cell>
          <cell r="B2690" t="str">
            <v>Trong 24h</v>
          </cell>
          <cell r="D2690" t="str">
            <v>Khiếu nại về dịch vụ FTTH</v>
          </cell>
          <cell r="W2690" t="str">
            <v>Đang xử lý</v>
          </cell>
          <cell r="AJ2690" t="str">
            <v>TP HCM</v>
          </cell>
          <cell r="BX2690" t="str">
            <v>AON</v>
          </cell>
        </row>
        <row r="2691">
          <cell r="A2691" t="str">
            <v>ON</v>
          </cell>
          <cell r="B2691" t="str">
            <v>Trong 24h</v>
          </cell>
          <cell r="D2691" t="str">
            <v>Khiếu nại về dịch vụ FTTH</v>
          </cell>
          <cell r="W2691" t="str">
            <v>Đang xử lý</v>
          </cell>
          <cell r="AJ2691" t="str">
            <v>Thừa Thiên Huế</v>
          </cell>
          <cell r="BX2691" t="str">
            <v>AON</v>
          </cell>
        </row>
        <row r="2692">
          <cell r="A2692" t="str">
            <v>ON</v>
          </cell>
          <cell r="B2692" t="str">
            <v>Trong 24h</v>
          </cell>
          <cell r="D2692" t="str">
            <v>Khiếu nại về dịch vụ FTTH</v>
          </cell>
          <cell r="W2692" t="str">
            <v>Đang xử lý</v>
          </cell>
          <cell r="AJ2692" t="str">
            <v>Cà Mau</v>
          </cell>
          <cell r="BX2692" t="str">
            <v>AON</v>
          </cell>
        </row>
        <row r="2693">
          <cell r="A2693" t="str">
            <v>ON</v>
          </cell>
          <cell r="B2693" t="str">
            <v>Trong 24h</v>
          </cell>
          <cell r="D2693" t="str">
            <v>Khiếu nại về dịch vụ FTTH</v>
          </cell>
          <cell r="W2693" t="str">
            <v>Đang xử lý</v>
          </cell>
          <cell r="AJ2693" t="str">
            <v>Quảng Ninh</v>
          </cell>
          <cell r="BX2693" t="str">
            <v>AON</v>
          </cell>
        </row>
        <row r="2694">
          <cell r="A2694" t="str">
            <v>ON</v>
          </cell>
          <cell r="B2694" t="str">
            <v>Trong 24h</v>
          </cell>
          <cell r="D2694" t="str">
            <v>Khiếu nại về dịch vụ FTTH</v>
          </cell>
          <cell r="W2694" t="str">
            <v>Đang xử lý</v>
          </cell>
          <cell r="AJ2694" t="str">
            <v>TP HCM</v>
          </cell>
          <cell r="BX2694" t="str">
            <v>AON</v>
          </cell>
        </row>
        <row r="2695">
          <cell r="A2695" t="str">
            <v>ON</v>
          </cell>
          <cell r="B2695" t="str">
            <v>Trong 24h</v>
          </cell>
          <cell r="D2695" t="str">
            <v>Khiếu nại về dịch vụ FTTH</v>
          </cell>
          <cell r="W2695" t="str">
            <v>Đang xử lý</v>
          </cell>
          <cell r="AJ2695" t="str">
            <v>TP HCM</v>
          </cell>
          <cell r="BX2695" t="str">
            <v>GPON</v>
          </cell>
        </row>
        <row r="2696">
          <cell r="A2696" t="str">
            <v>ON</v>
          </cell>
          <cell r="B2696" t="str">
            <v>Trong 24h</v>
          </cell>
          <cell r="D2696" t="str">
            <v>Khiếu nại về dịch vụ FTTH</v>
          </cell>
          <cell r="W2696" t="str">
            <v>Đang xử lý</v>
          </cell>
          <cell r="AJ2696" t="str">
            <v>TP HCM</v>
          </cell>
          <cell r="BX2696" t="str">
            <v>AON</v>
          </cell>
        </row>
        <row r="2697">
          <cell r="A2697" t="str">
            <v>ON</v>
          </cell>
          <cell r="B2697" t="str">
            <v>Trong 24h</v>
          </cell>
          <cell r="D2697" t="str">
            <v>Khiếu nại về dịch vụ FTTH</v>
          </cell>
          <cell r="W2697" t="str">
            <v>Đang xử lý</v>
          </cell>
          <cell r="AJ2697" t="str">
            <v>Bạc Liêu</v>
          </cell>
          <cell r="BX2697" t="str">
            <v>AON</v>
          </cell>
        </row>
        <row r="2698">
          <cell r="A2698" t="str">
            <v>ON</v>
          </cell>
          <cell r="B2698" t="str">
            <v>Trong 24h</v>
          </cell>
          <cell r="D2698" t="str">
            <v>Khiếu nại về dịch vụ FTTH</v>
          </cell>
          <cell r="W2698" t="str">
            <v>Đang xử lý</v>
          </cell>
          <cell r="AJ2698" t="str">
            <v>TP HCM</v>
          </cell>
          <cell r="BX2698" t="str">
            <v>GPON</v>
          </cell>
        </row>
        <row r="2699">
          <cell r="A2699" t="str">
            <v>ON</v>
          </cell>
          <cell r="B2699" t="str">
            <v>Trong 24h</v>
          </cell>
          <cell r="D2699" t="str">
            <v>Khiếu nại về dịch vụ FTTH</v>
          </cell>
          <cell r="W2699" t="str">
            <v>Đang xử lý</v>
          </cell>
          <cell r="AJ2699" t="str">
            <v>Hà Nội 2</v>
          </cell>
          <cell r="BX2699" t="str">
            <v>AON</v>
          </cell>
        </row>
        <row r="2700">
          <cell r="A2700" t="str">
            <v>OP</v>
          </cell>
          <cell r="B2700" t="str">
            <v>Quá 24h</v>
          </cell>
          <cell r="D2700" t="str">
            <v>Khiếu nại về dịch vụ FTTH</v>
          </cell>
          <cell r="W2700" t="str">
            <v>Đã đóng</v>
          </cell>
          <cell r="AJ2700" t="str">
            <v>Nghệ An</v>
          </cell>
          <cell r="BX2700" t="str">
            <v>AON</v>
          </cell>
        </row>
        <row r="2701">
          <cell r="A2701" t="str">
            <v>OP</v>
          </cell>
          <cell r="B2701" t="str">
            <v>Quá 24h</v>
          </cell>
          <cell r="D2701" t="str">
            <v>Khiếu nại về dịch vụ FTTH</v>
          </cell>
          <cell r="W2701" t="str">
            <v>Đã đóng</v>
          </cell>
          <cell r="AJ2701" t="str">
            <v>Cao Bằng</v>
          </cell>
          <cell r="BX2701" t="str">
            <v>AON</v>
          </cell>
        </row>
        <row r="2702">
          <cell r="A2702" t="str">
            <v>OP</v>
          </cell>
          <cell r="B2702" t="str">
            <v>Quá 24h</v>
          </cell>
          <cell r="D2702" t="str">
            <v>Khiếu nại về dịch vụ FTTH</v>
          </cell>
          <cell r="W2702" t="str">
            <v>Đã đóng</v>
          </cell>
          <cell r="AJ2702" t="str">
            <v>Hà Nội 2</v>
          </cell>
          <cell r="BX2702" t="str">
            <v>AON</v>
          </cell>
        </row>
        <row r="2703">
          <cell r="A2703" t="str">
            <v>OP</v>
          </cell>
          <cell r="B2703" t="str">
            <v>Quá 24h</v>
          </cell>
          <cell r="D2703" t="str">
            <v>Khiếu nại về dịch vụ FTTH</v>
          </cell>
          <cell r="W2703" t="str">
            <v>Đã đóng</v>
          </cell>
          <cell r="AJ2703" t="str">
            <v>Thái Bình</v>
          </cell>
          <cell r="BX2703" t="str">
            <v>AON</v>
          </cell>
        </row>
        <row r="2704">
          <cell r="A2704" t="str">
            <v>OP</v>
          </cell>
          <cell r="B2704" t="str">
            <v>Quá 24h</v>
          </cell>
          <cell r="D2704" t="str">
            <v>Khiếu nại về dịch vụ FTTH</v>
          </cell>
          <cell r="W2704" t="str">
            <v>Đã đóng</v>
          </cell>
          <cell r="AJ2704" t="str">
            <v xml:space="preserve">Đồng Nai </v>
          </cell>
          <cell r="BX2704" t="str">
            <v>AON</v>
          </cell>
        </row>
        <row r="2705">
          <cell r="A2705" t="str">
            <v>OP</v>
          </cell>
          <cell r="B2705" t="str">
            <v>Quá 24h</v>
          </cell>
          <cell r="D2705" t="str">
            <v>Khiếu nại về dịch vụ FTTH</v>
          </cell>
          <cell r="W2705" t="str">
            <v>Đang xử lý</v>
          </cell>
          <cell r="AJ2705" t="str">
            <v>Thanh Hoá</v>
          </cell>
          <cell r="BX2705" t="str">
            <v>AON</v>
          </cell>
        </row>
        <row r="2706">
          <cell r="A2706" t="str">
            <v>OP</v>
          </cell>
          <cell r="B2706" t="str">
            <v>Quá 24h</v>
          </cell>
          <cell r="D2706" t="str">
            <v>Khiếu nại về dịch vụ FTTH</v>
          </cell>
          <cell r="W2706" t="str">
            <v>Đã đóng</v>
          </cell>
          <cell r="AJ2706" t="str">
            <v xml:space="preserve">Đồng Nai </v>
          </cell>
          <cell r="BX2706" t="str">
            <v>AON</v>
          </cell>
        </row>
        <row r="2707">
          <cell r="A2707" t="str">
            <v>OP</v>
          </cell>
          <cell r="B2707" t="str">
            <v>Quá 24h</v>
          </cell>
          <cell r="D2707" t="str">
            <v>Khiếu nại về dịch vụ FTTH</v>
          </cell>
          <cell r="W2707" t="str">
            <v>Đã đóng</v>
          </cell>
          <cell r="AJ2707" t="str">
            <v>Hải Phòng</v>
          </cell>
          <cell r="BX2707" t="str">
            <v>AON</v>
          </cell>
        </row>
        <row r="2708">
          <cell r="A2708" t="str">
            <v>OP</v>
          </cell>
          <cell r="B2708" t="str">
            <v>Quá 24h</v>
          </cell>
          <cell r="D2708" t="str">
            <v>Khiếu nại về dịch vụ FTTH</v>
          </cell>
          <cell r="W2708" t="str">
            <v>Đã đóng</v>
          </cell>
          <cell r="AJ2708" t="str">
            <v>Nghệ An</v>
          </cell>
          <cell r="BX2708" t="str">
            <v>AON</v>
          </cell>
        </row>
        <row r="2709">
          <cell r="A2709" t="str">
            <v>OP</v>
          </cell>
          <cell r="B2709" t="str">
            <v>Quá 24h</v>
          </cell>
          <cell r="D2709" t="str">
            <v>Khiếu nại về dịch vụ FTTH</v>
          </cell>
          <cell r="W2709" t="str">
            <v>Đã đóng</v>
          </cell>
          <cell r="AJ2709" t="str">
            <v>Phú Thọ</v>
          </cell>
          <cell r="BX2709" t="str">
            <v>AON</v>
          </cell>
        </row>
        <row r="2710">
          <cell r="A2710" t="str">
            <v>OP</v>
          </cell>
          <cell r="B2710" t="str">
            <v>Quá 24h</v>
          </cell>
          <cell r="D2710" t="str">
            <v>Khiếu nại về dịch vụ FTTH</v>
          </cell>
          <cell r="W2710" t="str">
            <v>Đang xử lý</v>
          </cell>
          <cell r="AJ2710" t="str">
            <v>TP HCM</v>
          </cell>
          <cell r="BX2710" t="str">
            <v>AON</v>
          </cell>
        </row>
        <row r="2711">
          <cell r="A2711" t="str">
            <v>OP</v>
          </cell>
          <cell r="B2711" t="str">
            <v>Quá 24h</v>
          </cell>
          <cell r="D2711" t="str">
            <v>Khiếu nại về dịch vụ FTTH</v>
          </cell>
          <cell r="W2711" t="str">
            <v>Đã đóng</v>
          </cell>
          <cell r="AJ2711" t="str">
            <v>Long An</v>
          </cell>
          <cell r="BX2711" t="str">
            <v>AON</v>
          </cell>
        </row>
        <row r="2712">
          <cell r="A2712" t="str">
            <v>OP</v>
          </cell>
          <cell r="B2712" t="str">
            <v>Quá 24h</v>
          </cell>
          <cell r="D2712" t="str">
            <v>Khiếu nại về dịch vụ FTTH</v>
          </cell>
          <cell r="W2712" t="str">
            <v>Đã đóng</v>
          </cell>
          <cell r="AJ2712" t="str">
            <v>Bà Rịa - Vũng Tàu</v>
          </cell>
          <cell r="BX2712" t="str">
            <v>AON</v>
          </cell>
        </row>
        <row r="2713">
          <cell r="A2713" t="str">
            <v>OP</v>
          </cell>
          <cell r="B2713" t="str">
            <v>Quá 24h</v>
          </cell>
          <cell r="D2713" t="str">
            <v>Khiếu nại về dịch vụ FTTH</v>
          </cell>
          <cell r="W2713" t="str">
            <v>Đã đóng</v>
          </cell>
          <cell r="AJ2713" t="str">
            <v>Ninh Bình</v>
          </cell>
          <cell r="BX2713" t="str">
            <v>AON</v>
          </cell>
        </row>
        <row r="2714">
          <cell r="A2714" t="str">
            <v>OP</v>
          </cell>
          <cell r="B2714" t="str">
            <v>Quá 24h</v>
          </cell>
          <cell r="D2714" t="str">
            <v>Khiếu nại về dịch vụ FTTH</v>
          </cell>
          <cell r="W2714" t="str">
            <v>Đã đóng</v>
          </cell>
          <cell r="AJ2714" t="str">
            <v>Nam Định</v>
          </cell>
          <cell r="BX2714" t="str">
            <v>AON</v>
          </cell>
        </row>
        <row r="2715">
          <cell r="A2715" t="str">
            <v>OP</v>
          </cell>
          <cell r="B2715" t="str">
            <v>Quá 24h</v>
          </cell>
          <cell r="D2715" t="str">
            <v>Khiếu nại về dịch vụ FTTH</v>
          </cell>
          <cell r="W2715" t="str">
            <v>Đang xử lý</v>
          </cell>
          <cell r="AJ2715" t="str">
            <v>TP HCM</v>
          </cell>
          <cell r="BX2715" t="str">
            <v>AON</v>
          </cell>
        </row>
        <row r="2716">
          <cell r="A2716" t="str">
            <v>OP</v>
          </cell>
          <cell r="B2716" t="str">
            <v>Quá 24h</v>
          </cell>
          <cell r="D2716" t="str">
            <v>Khiếu nại về dịch vụ FTTH</v>
          </cell>
          <cell r="W2716" t="str">
            <v>Đã đóng</v>
          </cell>
          <cell r="AJ2716" t="str">
            <v>Thanh Hoá</v>
          </cell>
          <cell r="BX2716" t="str">
            <v>AON</v>
          </cell>
        </row>
        <row r="2717">
          <cell r="A2717" t="str">
            <v>OP</v>
          </cell>
          <cell r="B2717" t="str">
            <v>Quá 24h</v>
          </cell>
          <cell r="D2717" t="str">
            <v>Khiếu nại về dịch vụ FTTH</v>
          </cell>
          <cell r="W2717" t="str">
            <v>Đã đóng</v>
          </cell>
          <cell r="AJ2717" t="str">
            <v>Hải Phòng</v>
          </cell>
          <cell r="BX2717" t="str">
            <v>AON</v>
          </cell>
        </row>
        <row r="2718">
          <cell r="A2718" t="str">
            <v>OP</v>
          </cell>
          <cell r="B2718" t="str">
            <v>Quá 24h</v>
          </cell>
          <cell r="D2718" t="str">
            <v>Khiếu nại về dịch vụ NextTV</v>
          </cell>
          <cell r="W2718" t="str">
            <v>Đã đóng</v>
          </cell>
          <cell r="AJ2718" t="str">
            <v>Hà Nội 2</v>
          </cell>
          <cell r="BX2718" t="str">
            <v>AON</v>
          </cell>
        </row>
        <row r="2719">
          <cell r="A2719" t="str">
            <v>OP</v>
          </cell>
          <cell r="B2719" t="str">
            <v>Quá 24h</v>
          </cell>
          <cell r="D2719" t="str">
            <v>Khiếu nại về dịch vụ FTTH</v>
          </cell>
          <cell r="W2719" t="str">
            <v>Đã đóng</v>
          </cell>
          <cell r="AJ2719" t="str">
            <v>Tuyên Quang</v>
          </cell>
          <cell r="BX2719" t="str">
            <v>AON</v>
          </cell>
        </row>
        <row r="2720">
          <cell r="A2720" t="str">
            <v>OP</v>
          </cell>
          <cell r="B2720" t="str">
            <v>Quá 24h</v>
          </cell>
          <cell r="D2720" t="str">
            <v>Khiếu nại về dịch vụ FTTH</v>
          </cell>
          <cell r="W2720" t="str">
            <v>Đã đóng</v>
          </cell>
          <cell r="AJ2720" t="str">
            <v>TP HCM</v>
          </cell>
          <cell r="BX2720" t="str">
            <v>AON</v>
          </cell>
        </row>
        <row r="2721">
          <cell r="A2721" t="str">
            <v>OP</v>
          </cell>
          <cell r="B2721" t="str">
            <v>Quá 24h</v>
          </cell>
          <cell r="D2721" t="str">
            <v>Khiếu nại về dịch vụ FTTH</v>
          </cell>
          <cell r="W2721" t="str">
            <v>Đã đóng</v>
          </cell>
          <cell r="AJ2721" t="str">
            <v>TP HCM</v>
          </cell>
          <cell r="BX2721" t="str">
            <v>AON</v>
          </cell>
        </row>
        <row r="2722">
          <cell r="A2722" t="str">
            <v>OP</v>
          </cell>
          <cell r="B2722" t="str">
            <v>Quá 24h</v>
          </cell>
          <cell r="D2722" t="str">
            <v>Khiếu nại về dịch vụ NextTV</v>
          </cell>
          <cell r="W2722" t="str">
            <v>Đã đóng</v>
          </cell>
          <cell r="AJ2722" t="str">
            <v xml:space="preserve">Đồng Nai </v>
          </cell>
          <cell r="BX2722" t="str">
            <v>AON</v>
          </cell>
        </row>
        <row r="2723">
          <cell r="A2723" t="str">
            <v>OP</v>
          </cell>
          <cell r="B2723" t="str">
            <v>Quá 24h</v>
          </cell>
          <cell r="D2723" t="str">
            <v>Khiếu nại về dịch vụ FTTH</v>
          </cell>
          <cell r="W2723" t="str">
            <v>Đã đóng</v>
          </cell>
          <cell r="AJ2723" t="str">
            <v>Gia Lai</v>
          </cell>
          <cell r="BX2723" t="str">
            <v>AON</v>
          </cell>
        </row>
        <row r="2724">
          <cell r="A2724" t="str">
            <v>OP</v>
          </cell>
          <cell r="B2724" t="str">
            <v>Quá 24h</v>
          </cell>
          <cell r="D2724" t="str">
            <v>Khiếu nại về dịch vụ FTTH</v>
          </cell>
          <cell r="W2724" t="str">
            <v>Đang xử lý</v>
          </cell>
          <cell r="AJ2724" t="str">
            <v>Lào Cai</v>
          </cell>
          <cell r="BX2724" t="str">
            <v>AON</v>
          </cell>
        </row>
        <row r="2725">
          <cell r="A2725" t="str">
            <v>OP</v>
          </cell>
          <cell r="B2725" t="str">
            <v>Quá 24h</v>
          </cell>
          <cell r="D2725" t="str">
            <v>Khiếu nại về dịch vụ FTTH</v>
          </cell>
          <cell r="W2725" t="str">
            <v>Đã đóng</v>
          </cell>
          <cell r="AJ2725" t="str">
            <v>Tuyên Quang</v>
          </cell>
          <cell r="BX2725" t="str">
            <v>AON</v>
          </cell>
        </row>
        <row r="2726">
          <cell r="A2726" t="str">
            <v>OP</v>
          </cell>
          <cell r="B2726" t="str">
            <v>Quá 24h</v>
          </cell>
          <cell r="D2726" t="str">
            <v>Khiếu nại về dịch vụ FTTH</v>
          </cell>
          <cell r="W2726" t="str">
            <v>Đã đóng</v>
          </cell>
          <cell r="AJ2726" t="str">
            <v>Phú Thọ</v>
          </cell>
          <cell r="BX2726" t="str">
            <v>AON</v>
          </cell>
        </row>
        <row r="2727">
          <cell r="A2727" t="str">
            <v>OP</v>
          </cell>
          <cell r="B2727" t="str">
            <v>Quá 24h</v>
          </cell>
          <cell r="D2727" t="str">
            <v>Khiếu nại về dịch vụ FTTH</v>
          </cell>
          <cell r="W2727" t="str">
            <v>Đã đóng</v>
          </cell>
          <cell r="AJ2727" t="str">
            <v>TP HCM</v>
          </cell>
          <cell r="BX2727" t="str">
            <v>AON</v>
          </cell>
        </row>
        <row r="2728">
          <cell r="A2728" t="str">
            <v>OP</v>
          </cell>
          <cell r="B2728" t="str">
            <v>Quá 24h</v>
          </cell>
          <cell r="D2728" t="str">
            <v>Khiếu nại về dịch vụ FTTH</v>
          </cell>
          <cell r="W2728" t="str">
            <v>Đã đóng</v>
          </cell>
          <cell r="AJ2728" t="str">
            <v>TP HCM</v>
          </cell>
          <cell r="BX2728" t="str">
            <v>AON</v>
          </cell>
        </row>
        <row r="2729">
          <cell r="A2729" t="str">
            <v>OP</v>
          </cell>
          <cell r="B2729" t="str">
            <v>Quá 24h</v>
          </cell>
          <cell r="D2729" t="str">
            <v>Khiếu nại về dịch vụ FTTH</v>
          </cell>
          <cell r="W2729" t="str">
            <v>Đã đóng</v>
          </cell>
          <cell r="AJ2729" t="str">
            <v>Hà Nội 2</v>
          </cell>
          <cell r="BX2729" t="str">
            <v>AON</v>
          </cell>
        </row>
        <row r="2730">
          <cell r="A2730" t="str">
            <v>OP</v>
          </cell>
          <cell r="B2730" t="str">
            <v>Quá 24h</v>
          </cell>
          <cell r="D2730" t="str">
            <v>Khiếu nại về dịch vụ FTTH</v>
          </cell>
          <cell r="W2730" t="str">
            <v>Đã đóng</v>
          </cell>
          <cell r="AJ2730" t="str">
            <v>Thái Bình</v>
          </cell>
          <cell r="BX2730" t="str">
            <v>AON</v>
          </cell>
        </row>
        <row r="2731">
          <cell r="A2731" t="str">
            <v>OP</v>
          </cell>
          <cell r="B2731" t="str">
            <v>Quá 24h</v>
          </cell>
          <cell r="D2731" t="str">
            <v>Khiếu nại về dịch vụ FTTH</v>
          </cell>
          <cell r="W2731" t="str">
            <v>Đã đóng</v>
          </cell>
          <cell r="AJ2731" t="str">
            <v>Hà Nội 1</v>
          </cell>
          <cell r="BX2731" t="str">
            <v>AON</v>
          </cell>
        </row>
        <row r="2732">
          <cell r="A2732" t="str">
            <v>OP</v>
          </cell>
          <cell r="B2732" t="str">
            <v>Quá 24h</v>
          </cell>
          <cell r="D2732" t="str">
            <v>Khiếu nại về dịch vụ FTTH</v>
          </cell>
          <cell r="W2732" t="str">
            <v>Đã đóng</v>
          </cell>
          <cell r="AJ2732" t="str">
            <v>Bến Tre</v>
          </cell>
          <cell r="BX2732" t="str">
            <v>AON</v>
          </cell>
        </row>
        <row r="2733">
          <cell r="A2733" t="str">
            <v>OP</v>
          </cell>
          <cell r="B2733" t="str">
            <v>Quá 24h</v>
          </cell>
          <cell r="D2733" t="str">
            <v>Khiếu nại về dịch vụ FTTH</v>
          </cell>
          <cell r="W2733" t="str">
            <v>Đã đóng</v>
          </cell>
          <cell r="AJ2733" t="str">
            <v>Bắc Giang</v>
          </cell>
          <cell r="BX2733" t="str">
            <v>AON</v>
          </cell>
        </row>
        <row r="2734">
          <cell r="A2734" t="str">
            <v>OP</v>
          </cell>
          <cell r="B2734" t="str">
            <v>Quá 24h</v>
          </cell>
          <cell r="D2734" t="str">
            <v>Khiếu nại về dịch vụ FTTH</v>
          </cell>
          <cell r="W2734" t="str">
            <v>Đã đóng</v>
          </cell>
          <cell r="AJ2734" t="str">
            <v>Ninh Bình</v>
          </cell>
          <cell r="BX2734" t="str">
            <v>AON</v>
          </cell>
        </row>
        <row r="2735">
          <cell r="A2735" t="str">
            <v>OP</v>
          </cell>
          <cell r="B2735" t="str">
            <v>Quá 24h</v>
          </cell>
          <cell r="D2735" t="str">
            <v>Khiếu nại về dịch vụ FTTH</v>
          </cell>
          <cell r="W2735" t="str">
            <v>Đang xử lý</v>
          </cell>
          <cell r="AJ2735" t="str">
            <v>TP HCM</v>
          </cell>
          <cell r="BX2735" t="str">
            <v>AON</v>
          </cell>
        </row>
        <row r="2736">
          <cell r="A2736" t="str">
            <v>OP</v>
          </cell>
          <cell r="B2736" t="str">
            <v>Quá 24h</v>
          </cell>
          <cell r="D2736" t="str">
            <v>Khiếu nại về dịch vụ FTTH</v>
          </cell>
          <cell r="W2736" t="str">
            <v>Đã đóng</v>
          </cell>
          <cell r="AJ2736" t="str">
            <v>TP HCM</v>
          </cell>
          <cell r="BX2736" t="str">
            <v>AON</v>
          </cell>
        </row>
        <row r="2737">
          <cell r="A2737" t="str">
            <v>OP</v>
          </cell>
          <cell r="B2737" t="str">
            <v>Quá 24h</v>
          </cell>
          <cell r="D2737" t="str">
            <v>Khiếu nại về dịch vụ FTTH</v>
          </cell>
          <cell r="W2737" t="str">
            <v>Đã đóng</v>
          </cell>
          <cell r="AJ2737" t="str">
            <v>Tuyên Quang</v>
          </cell>
          <cell r="BX2737" t="str">
            <v>AON</v>
          </cell>
        </row>
        <row r="2738">
          <cell r="A2738" t="str">
            <v>OP</v>
          </cell>
          <cell r="B2738" t="str">
            <v>Quá 24h</v>
          </cell>
          <cell r="D2738" t="str">
            <v>Khiếu nại về dịch vụ FTTH</v>
          </cell>
          <cell r="W2738" t="str">
            <v>Đã đóng</v>
          </cell>
          <cell r="AJ2738" t="str">
            <v>Bến Tre</v>
          </cell>
          <cell r="BX2738" t="str">
            <v>AON</v>
          </cell>
        </row>
        <row r="2739">
          <cell r="A2739" t="str">
            <v>OP</v>
          </cell>
          <cell r="B2739" t="str">
            <v>Quá 24h</v>
          </cell>
          <cell r="D2739" t="str">
            <v>Khiếu nại về dịch vụ FTTH</v>
          </cell>
          <cell r="W2739" t="str">
            <v>Đã đóng</v>
          </cell>
          <cell r="AJ2739" t="str">
            <v>Nghệ An</v>
          </cell>
          <cell r="BX2739" t="str">
            <v>AON</v>
          </cell>
        </row>
        <row r="2740">
          <cell r="A2740" t="str">
            <v>OP</v>
          </cell>
          <cell r="B2740" t="str">
            <v>Quá 24h</v>
          </cell>
          <cell r="D2740" t="str">
            <v>Khiếu nại về dịch vụ FTTH</v>
          </cell>
          <cell r="W2740" t="str">
            <v>Đã đóng</v>
          </cell>
          <cell r="AJ2740" t="str">
            <v>Bến Tre</v>
          </cell>
          <cell r="BX2740" t="str">
            <v>AON</v>
          </cell>
        </row>
        <row r="2741">
          <cell r="A2741" t="str">
            <v>OP</v>
          </cell>
          <cell r="B2741" t="str">
            <v>Quá 24h</v>
          </cell>
          <cell r="D2741" t="str">
            <v>Khiếu nại về dịch vụ FTTH</v>
          </cell>
          <cell r="W2741" t="str">
            <v>Đã đóng</v>
          </cell>
          <cell r="AJ2741" t="str">
            <v>TP HCM</v>
          </cell>
          <cell r="BX2741" t="str">
            <v>AON</v>
          </cell>
        </row>
        <row r="2742">
          <cell r="A2742" t="str">
            <v>OP</v>
          </cell>
          <cell r="B2742" t="str">
            <v>Quá 24h</v>
          </cell>
          <cell r="D2742" t="str">
            <v>Khiếu nại về dịch vụ NextTV</v>
          </cell>
          <cell r="W2742" t="str">
            <v>Đang xử lý</v>
          </cell>
          <cell r="AJ2742" t="str">
            <v>Phú Thọ</v>
          </cell>
          <cell r="BX2742" t="str">
            <v>AON</v>
          </cell>
        </row>
        <row r="2743">
          <cell r="A2743" t="str">
            <v>OP</v>
          </cell>
          <cell r="B2743" t="str">
            <v>Quá 24h</v>
          </cell>
          <cell r="D2743" t="str">
            <v>Khiếu nại về dịch vụ FTTH</v>
          </cell>
          <cell r="W2743" t="str">
            <v>Đang xử lý</v>
          </cell>
          <cell r="AJ2743" t="str">
            <v>Tây Ninh</v>
          </cell>
          <cell r="BX2743" t="str">
            <v>AON</v>
          </cell>
        </row>
        <row r="2744">
          <cell r="A2744" t="str">
            <v>OP</v>
          </cell>
          <cell r="B2744" t="str">
            <v>Quá 24h</v>
          </cell>
          <cell r="D2744" t="str">
            <v>Khiếu nại về dịch vụ FTTH</v>
          </cell>
          <cell r="W2744" t="str">
            <v>Đã đóng</v>
          </cell>
          <cell r="AJ2744" t="str">
            <v>Hải Phòng</v>
          </cell>
          <cell r="BX2744" t="str">
            <v>AON</v>
          </cell>
        </row>
        <row r="2745">
          <cell r="A2745" t="str">
            <v>OP</v>
          </cell>
          <cell r="B2745" t="str">
            <v>Quá 24h</v>
          </cell>
          <cell r="D2745" t="str">
            <v>Khiếu nại về dịch vụ FTTH</v>
          </cell>
          <cell r="W2745" t="str">
            <v>Đã đóng</v>
          </cell>
          <cell r="AJ2745" t="str">
            <v>TP HCM</v>
          </cell>
          <cell r="BX2745" t="str">
            <v>AON</v>
          </cell>
        </row>
        <row r="2746">
          <cell r="A2746" t="str">
            <v>OP</v>
          </cell>
          <cell r="B2746" t="str">
            <v>Quá 24h</v>
          </cell>
          <cell r="D2746" t="str">
            <v>Khiếu nại về dịch vụ FTTH</v>
          </cell>
          <cell r="W2746" t="str">
            <v>Đã đóng</v>
          </cell>
          <cell r="AJ2746" t="str">
            <v>Hưng Yên</v>
          </cell>
          <cell r="BX2746" t="str">
            <v>AON</v>
          </cell>
        </row>
        <row r="2747">
          <cell r="A2747" t="str">
            <v>OP</v>
          </cell>
          <cell r="B2747" t="str">
            <v>Quá 24h</v>
          </cell>
          <cell r="D2747" t="str">
            <v>Khiếu nại về dịch vụ FTTH</v>
          </cell>
          <cell r="W2747" t="str">
            <v>Đã đóng</v>
          </cell>
          <cell r="AJ2747" t="str">
            <v>Hà Nội 1</v>
          </cell>
          <cell r="BX2747" t="str">
            <v>AON</v>
          </cell>
        </row>
        <row r="2748">
          <cell r="A2748" t="str">
            <v>OP</v>
          </cell>
          <cell r="B2748" t="str">
            <v>Quá 24h</v>
          </cell>
          <cell r="D2748" t="str">
            <v>Khiếu nại về dịch vụ FTTH</v>
          </cell>
          <cell r="W2748" t="str">
            <v>Đã đóng</v>
          </cell>
          <cell r="AJ2748" t="str">
            <v>TP HCM</v>
          </cell>
          <cell r="BX2748" t="str">
            <v>AON</v>
          </cell>
        </row>
        <row r="2749">
          <cell r="A2749" t="str">
            <v>OP</v>
          </cell>
          <cell r="B2749" t="str">
            <v>Quá 24h</v>
          </cell>
          <cell r="D2749" t="str">
            <v>Khiếu nại về dịch vụ FTTH</v>
          </cell>
          <cell r="W2749" t="str">
            <v>Đã đóng</v>
          </cell>
          <cell r="AJ2749" t="str">
            <v>Hà Nội 2</v>
          </cell>
          <cell r="BX2749" t="str">
            <v>AON</v>
          </cell>
        </row>
        <row r="2750">
          <cell r="A2750" t="str">
            <v>OP</v>
          </cell>
          <cell r="B2750" t="str">
            <v>Quá 24h</v>
          </cell>
          <cell r="D2750" t="str">
            <v>Khiếu nại về dịch vụ FTTH</v>
          </cell>
          <cell r="W2750" t="str">
            <v>Đã đóng</v>
          </cell>
          <cell r="AJ2750" t="str">
            <v>Ninh Bình</v>
          </cell>
          <cell r="BX2750" t="str">
            <v>AON</v>
          </cell>
        </row>
        <row r="2751">
          <cell r="A2751" t="str">
            <v>OP</v>
          </cell>
          <cell r="B2751" t="str">
            <v>Quá 24h</v>
          </cell>
          <cell r="D2751" t="str">
            <v>Khiếu nại về dịch vụ FTTH</v>
          </cell>
          <cell r="W2751" t="str">
            <v>Đã đóng</v>
          </cell>
          <cell r="AJ2751" t="str">
            <v>Bình Thuận</v>
          </cell>
          <cell r="BX2751" t="str">
            <v>AON</v>
          </cell>
        </row>
        <row r="2752">
          <cell r="A2752" t="str">
            <v>OP</v>
          </cell>
          <cell r="B2752" t="str">
            <v>Quá 24h</v>
          </cell>
          <cell r="D2752" t="str">
            <v>Khiếu nại về dịch vụ FTTH</v>
          </cell>
          <cell r="W2752" t="str">
            <v>Đã đóng</v>
          </cell>
          <cell r="AJ2752" t="str">
            <v>Hải Phòng</v>
          </cell>
          <cell r="BX2752" t="str">
            <v>AON</v>
          </cell>
        </row>
        <row r="2753">
          <cell r="A2753" t="str">
            <v>OP</v>
          </cell>
          <cell r="B2753" t="str">
            <v>Quá 24h</v>
          </cell>
          <cell r="D2753" t="str">
            <v>Khiếu nại về dịch vụ FTTH</v>
          </cell>
          <cell r="W2753" t="str">
            <v>Đã đóng</v>
          </cell>
          <cell r="AJ2753" t="str">
            <v>Hưng Yên</v>
          </cell>
          <cell r="BX2753" t="str">
            <v>AON</v>
          </cell>
        </row>
        <row r="2754">
          <cell r="A2754" t="str">
            <v>OP</v>
          </cell>
          <cell r="B2754" t="str">
            <v>Quá 24h</v>
          </cell>
          <cell r="D2754" t="str">
            <v>Khiếu nại về dịch vụ FTTH</v>
          </cell>
          <cell r="W2754" t="str">
            <v>Đã đóng</v>
          </cell>
          <cell r="AJ2754" t="str">
            <v>Bình Dương</v>
          </cell>
          <cell r="BX2754" t="str">
            <v>AON</v>
          </cell>
        </row>
        <row r="2755">
          <cell r="A2755" t="str">
            <v>OP</v>
          </cell>
          <cell r="B2755" t="str">
            <v>Quá 24h</v>
          </cell>
          <cell r="D2755" t="str">
            <v>Khiếu nại về dịch vụ FTTH</v>
          </cell>
          <cell r="W2755" t="str">
            <v>Đã đóng</v>
          </cell>
          <cell r="AJ2755" t="str">
            <v>Thái Bình</v>
          </cell>
          <cell r="BX2755" t="str">
            <v>AON</v>
          </cell>
        </row>
        <row r="2756">
          <cell r="A2756" t="str">
            <v>OP</v>
          </cell>
          <cell r="B2756" t="str">
            <v>Quá 24h</v>
          </cell>
          <cell r="D2756" t="str">
            <v>Khiếu nại về dịch vụ FTTH</v>
          </cell>
          <cell r="W2756" t="str">
            <v>Đã đóng</v>
          </cell>
          <cell r="AJ2756" t="str">
            <v>Long An</v>
          </cell>
          <cell r="BX2756" t="str">
            <v>AON</v>
          </cell>
        </row>
        <row r="2757">
          <cell r="A2757" t="str">
            <v>OP</v>
          </cell>
          <cell r="B2757" t="str">
            <v>Quá 24h</v>
          </cell>
          <cell r="D2757" t="str">
            <v>Khiếu nại về dịch vụ FTTH</v>
          </cell>
          <cell r="W2757" t="str">
            <v>Đã đóng</v>
          </cell>
          <cell r="AJ2757" t="str">
            <v>Bình Dương</v>
          </cell>
          <cell r="BX2757" t="str">
            <v>AON</v>
          </cell>
        </row>
        <row r="2758">
          <cell r="A2758" t="str">
            <v>OP</v>
          </cell>
          <cell r="B2758" t="str">
            <v>Quá 24h</v>
          </cell>
          <cell r="D2758" t="str">
            <v>Khiếu nại về dịch vụ FTTH</v>
          </cell>
          <cell r="W2758" t="str">
            <v>Đã đóng</v>
          </cell>
          <cell r="AJ2758" t="str">
            <v>Thái Bình</v>
          </cell>
          <cell r="BX2758" t="str">
            <v>AON</v>
          </cell>
        </row>
        <row r="2759">
          <cell r="A2759" t="str">
            <v>OP</v>
          </cell>
          <cell r="B2759" t="str">
            <v>Quá 24h</v>
          </cell>
          <cell r="D2759" t="str">
            <v>Khiếu nại về dịch vụ FTTH</v>
          </cell>
          <cell r="W2759" t="str">
            <v>Đã đóng</v>
          </cell>
          <cell r="AJ2759" t="str">
            <v>Tuyên Quang</v>
          </cell>
          <cell r="BX2759" t="str">
            <v>AON</v>
          </cell>
        </row>
        <row r="2760">
          <cell r="A2760" t="str">
            <v>OP</v>
          </cell>
          <cell r="B2760" t="str">
            <v>Quá 24h</v>
          </cell>
          <cell r="D2760" t="str">
            <v>Khiếu nại về dịch vụ FTTH</v>
          </cell>
          <cell r="W2760" t="str">
            <v>Đã đóng</v>
          </cell>
          <cell r="AJ2760" t="str">
            <v>TP HCM</v>
          </cell>
          <cell r="BX2760" t="str">
            <v>AON</v>
          </cell>
        </row>
        <row r="2761">
          <cell r="A2761" t="str">
            <v>OP</v>
          </cell>
          <cell r="B2761" t="str">
            <v>Quá 24h</v>
          </cell>
          <cell r="D2761" t="str">
            <v>Khiếu nại về dịch vụ FTTH</v>
          </cell>
          <cell r="W2761" t="str">
            <v>Đã đóng</v>
          </cell>
          <cell r="AJ2761" t="str">
            <v>Hà Nội 2</v>
          </cell>
          <cell r="BX2761" t="str">
            <v>AON</v>
          </cell>
        </row>
        <row r="2762">
          <cell r="A2762" t="str">
            <v>OP</v>
          </cell>
          <cell r="B2762" t="str">
            <v>Quá 24h</v>
          </cell>
          <cell r="D2762" t="str">
            <v>Khiếu nại về dịch vụ FTTH</v>
          </cell>
          <cell r="W2762" t="str">
            <v>Đã đóng</v>
          </cell>
          <cell r="AJ2762" t="str">
            <v>Hà Nội 1</v>
          </cell>
          <cell r="BX2762" t="str">
            <v>AON</v>
          </cell>
        </row>
        <row r="2763">
          <cell r="A2763" t="str">
            <v>OP</v>
          </cell>
          <cell r="B2763" t="str">
            <v>Quá 24h</v>
          </cell>
          <cell r="D2763" t="str">
            <v>Khiếu nại về dịch vụ FTTH</v>
          </cell>
          <cell r="W2763" t="str">
            <v>Đã đóng</v>
          </cell>
          <cell r="AJ2763" t="str">
            <v>Hải Phòng</v>
          </cell>
          <cell r="BX2763" t="str">
            <v>AON</v>
          </cell>
        </row>
        <row r="2764">
          <cell r="A2764" t="str">
            <v>OP</v>
          </cell>
          <cell r="B2764" t="str">
            <v>Quá 24h</v>
          </cell>
          <cell r="D2764" t="str">
            <v>Khiếu nại về dịch vụ FTTH</v>
          </cell>
          <cell r="W2764" t="str">
            <v>Đã đóng</v>
          </cell>
          <cell r="AJ2764" t="str">
            <v>Bắc Ninh</v>
          </cell>
          <cell r="BX2764" t="str">
            <v>AON</v>
          </cell>
        </row>
        <row r="2765">
          <cell r="A2765" t="str">
            <v>OP</v>
          </cell>
          <cell r="B2765" t="str">
            <v>Quá 24h</v>
          </cell>
          <cell r="D2765" t="str">
            <v>Khiếu nại về dịch vụ NextTV</v>
          </cell>
          <cell r="W2765" t="str">
            <v>Đang xử lý</v>
          </cell>
          <cell r="AJ2765" t="str">
            <v>Nghệ An</v>
          </cell>
          <cell r="BX2765" t="str">
            <v>AON</v>
          </cell>
        </row>
        <row r="2766">
          <cell r="A2766" t="str">
            <v>OP</v>
          </cell>
          <cell r="B2766" t="str">
            <v>Quá 24h</v>
          </cell>
          <cell r="D2766" t="str">
            <v>Khiếu nại về dịch vụ FTTH</v>
          </cell>
          <cell r="W2766" t="str">
            <v>Đã đóng</v>
          </cell>
          <cell r="AJ2766" t="str">
            <v>Đắc Nông</v>
          </cell>
          <cell r="BX2766" t="str">
            <v>AON</v>
          </cell>
        </row>
        <row r="2767">
          <cell r="A2767" t="str">
            <v>OP</v>
          </cell>
          <cell r="B2767" t="str">
            <v>Quá 24h</v>
          </cell>
          <cell r="D2767" t="str">
            <v>Khiếu nại về dịch vụ FTTH</v>
          </cell>
          <cell r="W2767" t="str">
            <v>Đã đóng</v>
          </cell>
          <cell r="AJ2767" t="str">
            <v>Phú Thọ</v>
          </cell>
          <cell r="BX2767" t="str">
            <v>AON</v>
          </cell>
        </row>
        <row r="2768">
          <cell r="A2768" t="str">
            <v>OP</v>
          </cell>
          <cell r="B2768" t="str">
            <v>Quá 24h</v>
          </cell>
          <cell r="D2768" t="str">
            <v>Khiếu nại về dịch vụ FTTH</v>
          </cell>
          <cell r="W2768" t="str">
            <v>Đã đóng</v>
          </cell>
          <cell r="AJ2768" t="str">
            <v xml:space="preserve">Đồng Nai </v>
          </cell>
          <cell r="BX2768" t="str">
            <v>AON</v>
          </cell>
        </row>
        <row r="2769">
          <cell r="A2769" t="str">
            <v>OP</v>
          </cell>
          <cell r="B2769" t="str">
            <v>Quá 24h</v>
          </cell>
          <cell r="D2769" t="str">
            <v>Khiếu nại về dịch vụ FTTH</v>
          </cell>
          <cell r="W2769" t="str">
            <v>Đã đóng</v>
          </cell>
          <cell r="AJ2769" t="str">
            <v>TP HCM</v>
          </cell>
          <cell r="BX2769" t="str">
            <v>AON</v>
          </cell>
        </row>
        <row r="2770">
          <cell r="A2770" t="str">
            <v>OP</v>
          </cell>
          <cell r="B2770" t="str">
            <v>Quá 24h</v>
          </cell>
          <cell r="D2770" t="str">
            <v>Khiếu nại về dịch vụ FTTH</v>
          </cell>
          <cell r="W2770" t="str">
            <v>Đang xử lý</v>
          </cell>
          <cell r="AJ2770" t="str">
            <v xml:space="preserve">Đà Nẵng </v>
          </cell>
          <cell r="BX2770" t="str">
            <v>GPON</v>
          </cell>
        </row>
        <row r="2771">
          <cell r="A2771" t="str">
            <v>OP</v>
          </cell>
          <cell r="B2771" t="str">
            <v>Quá 24h</v>
          </cell>
          <cell r="D2771" t="str">
            <v>Khiếu nại về dịch vụ FTTH</v>
          </cell>
          <cell r="W2771" t="str">
            <v>Đã đóng</v>
          </cell>
          <cell r="AJ2771" t="str">
            <v>Thanh Hoá</v>
          </cell>
          <cell r="BX2771" t="str">
            <v>AON</v>
          </cell>
        </row>
        <row r="2772">
          <cell r="A2772" t="str">
            <v>OP</v>
          </cell>
          <cell r="B2772" t="str">
            <v>Quá 24h</v>
          </cell>
          <cell r="D2772" t="str">
            <v>Khiếu nại về dịch vụ FTTH</v>
          </cell>
          <cell r="W2772" t="str">
            <v>Đã đóng</v>
          </cell>
          <cell r="AJ2772" t="str">
            <v>Hà Nội 2</v>
          </cell>
          <cell r="BX2772" t="str">
            <v>AON</v>
          </cell>
        </row>
        <row r="2773">
          <cell r="A2773" t="str">
            <v>OP</v>
          </cell>
          <cell r="B2773" t="str">
            <v>Quá 24h</v>
          </cell>
          <cell r="D2773" t="str">
            <v>Khiếu nại về dịch vụ FTTH</v>
          </cell>
          <cell r="W2773" t="str">
            <v>Đang xử lý</v>
          </cell>
          <cell r="AJ2773" t="str">
            <v>Bắc Ninh</v>
          </cell>
          <cell r="BX2773" t="str">
            <v>AON</v>
          </cell>
        </row>
        <row r="2774">
          <cell r="A2774" t="str">
            <v>OP</v>
          </cell>
          <cell r="B2774" t="str">
            <v>Quá 24h</v>
          </cell>
          <cell r="D2774" t="str">
            <v>Khiếu nại về dịch vụ FTTH</v>
          </cell>
          <cell r="W2774" t="str">
            <v>Đã đóng</v>
          </cell>
          <cell r="AJ2774" t="str">
            <v>Kon Tum</v>
          </cell>
          <cell r="BX2774" t="str">
            <v>AON</v>
          </cell>
        </row>
        <row r="2775">
          <cell r="A2775" t="str">
            <v>OP</v>
          </cell>
          <cell r="B2775" t="str">
            <v>Quá 24h</v>
          </cell>
          <cell r="D2775" t="str">
            <v>Khiếu nại về dịch vụ FTTH</v>
          </cell>
          <cell r="W2775" t="str">
            <v>Đã đóng</v>
          </cell>
          <cell r="AJ2775" t="str">
            <v>Long An</v>
          </cell>
          <cell r="BX2775" t="str">
            <v>AON</v>
          </cell>
        </row>
        <row r="2776">
          <cell r="A2776" t="str">
            <v>OP</v>
          </cell>
          <cell r="B2776" t="str">
            <v>Quá 24h</v>
          </cell>
          <cell r="D2776" t="str">
            <v>Khiếu nại về dịch vụ FTTH</v>
          </cell>
          <cell r="W2776" t="str">
            <v>Đã đóng</v>
          </cell>
          <cell r="AJ2776" t="str">
            <v>Thanh Hoá</v>
          </cell>
          <cell r="BX2776" t="str">
            <v>AON</v>
          </cell>
        </row>
        <row r="2777">
          <cell r="A2777" t="str">
            <v>OP</v>
          </cell>
          <cell r="B2777" t="str">
            <v>Quá 24h</v>
          </cell>
          <cell r="D2777" t="str">
            <v>Khiếu nại về dịch vụ FTTH</v>
          </cell>
          <cell r="W2777" t="str">
            <v>Đã đóng</v>
          </cell>
          <cell r="AJ2777" t="str">
            <v>Thanh Hoá</v>
          </cell>
          <cell r="BX2777" t="str">
            <v>AON</v>
          </cell>
        </row>
        <row r="2778">
          <cell r="A2778" t="str">
            <v>OP</v>
          </cell>
          <cell r="B2778" t="str">
            <v>Quá 24h</v>
          </cell>
          <cell r="D2778" t="str">
            <v>Khiếu nại về dịch vụ FTTH</v>
          </cell>
          <cell r="W2778" t="str">
            <v>Đang xử lý</v>
          </cell>
          <cell r="AJ2778" t="str">
            <v>Hà Nội 1</v>
          </cell>
          <cell r="BX2778" t="str">
            <v>AON</v>
          </cell>
        </row>
        <row r="2779">
          <cell r="A2779" t="str">
            <v>OP</v>
          </cell>
          <cell r="B2779" t="str">
            <v>Quá 24h</v>
          </cell>
          <cell r="D2779" t="str">
            <v>Khiếu nại về dịch vụ FTTH</v>
          </cell>
          <cell r="W2779" t="str">
            <v>Đã đóng</v>
          </cell>
          <cell r="AJ2779" t="str">
            <v>Sóc Trăng</v>
          </cell>
          <cell r="BX2779" t="str">
            <v>AON</v>
          </cell>
        </row>
        <row r="2780">
          <cell r="A2780" t="str">
            <v>OP</v>
          </cell>
          <cell r="B2780" t="str">
            <v>Quá 24h</v>
          </cell>
          <cell r="D2780" t="str">
            <v>Khiếu nại về dịch vụ FTTH</v>
          </cell>
          <cell r="W2780" t="str">
            <v>Đã đóng</v>
          </cell>
          <cell r="AJ2780" t="str">
            <v>Long An</v>
          </cell>
          <cell r="BX2780" t="str">
            <v>AON</v>
          </cell>
        </row>
        <row r="2781">
          <cell r="A2781" t="str">
            <v>OP</v>
          </cell>
          <cell r="B2781" t="str">
            <v>Quá 24h</v>
          </cell>
          <cell r="D2781" t="str">
            <v>Khiếu nại về dịch vụ FTTH</v>
          </cell>
          <cell r="W2781" t="str">
            <v>Đã đóng</v>
          </cell>
          <cell r="AJ2781" t="str">
            <v>Gia Lai</v>
          </cell>
          <cell r="BX2781" t="str">
            <v>AON</v>
          </cell>
        </row>
        <row r="2782">
          <cell r="A2782" t="str">
            <v>OP</v>
          </cell>
          <cell r="B2782" t="str">
            <v>Quá 24h</v>
          </cell>
          <cell r="D2782" t="str">
            <v>Khiếu nại về dịch vụ NextTV</v>
          </cell>
          <cell r="W2782" t="str">
            <v>Đang xử lý</v>
          </cell>
          <cell r="AJ2782" t="str">
            <v>Thanh Hoá</v>
          </cell>
          <cell r="BX2782" t="str">
            <v>AON</v>
          </cell>
        </row>
        <row r="2783">
          <cell r="A2783" t="str">
            <v>OP</v>
          </cell>
          <cell r="B2783" t="str">
            <v>Quá 24h</v>
          </cell>
          <cell r="D2783" t="str">
            <v>Khiếu nại về dịch vụ FTTH</v>
          </cell>
          <cell r="W2783" t="str">
            <v>Đã đóng</v>
          </cell>
          <cell r="AJ2783" t="str">
            <v>Thanh Hoá</v>
          </cell>
          <cell r="BX2783" t="str">
            <v>AON</v>
          </cell>
        </row>
        <row r="2784">
          <cell r="A2784" t="str">
            <v>OP</v>
          </cell>
          <cell r="B2784" t="str">
            <v>Quá 24h</v>
          </cell>
          <cell r="D2784" t="str">
            <v>Khiếu nại về dịch vụ FTTH</v>
          </cell>
          <cell r="W2784" t="str">
            <v>Đã đóng</v>
          </cell>
          <cell r="AJ2784" t="str">
            <v>Bến Tre</v>
          </cell>
          <cell r="BX2784" t="str">
            <v>AON</v>
          </cell>
        </row>
        <row r="2785">
          <cell r="A2785" t="str">
            <v>OP</v>
          </cell>
          <cell r="B2785" t="str">
            <v>Quá 24h</v>
          </cell>
          <cell r="D2785" t="str">
            <v>Khiếu nại về dịch vụ FTTH</v>
          </cell>
          <cell r="W2785" t="str">
            <v>Đã đóng</v>
          </cell>
          <cell r="AJ2785" t="str">
            <v>Thái Bình</v>
          </cell>
          <cell r="BX2785" t="str">
            <v>AON</v>
          </cell>
        </row>
        <row r="2786">
          <cell r="A2786" t="str">
            <v>OP</v>
          </cell>
          <cell r="B2786" t="str">
            <v>Quá 24h</v>
          </cell>
          <cell r="D2786" t="str">
            <v>Khiếu nại về dịch vụ FTTH</v>
          </cell>
          <cell r="W2786" t="str">
            <v>Đã đóng</v>
          </cell>
          <cell r="AJ2786" t="str">
            <v>TP HCM</v>
          </cell>
          <cell r="BX2786" t="str">
            <v>AON</v>
          </cell>
        </row>
        <row r="2787">
          <cell r="A2787" t="str">
            <v>OP</v>
          </cell>
          <cell r="B2787" t="str">
            <v>Quá 24h</v>
          </cell>
          <cell r="D2787" t="str">
            <v>Khiếu nại về dịch vụ FTTH</v>
          </cell>
          <cell r="W2787" t="str">
            <v>Đã đóng</v>
          </cell>
          <cell r="AJ2787" t="str">
            <v>Cần Thơ</v>
          </cell>
          <cell r="BX2787" t="str">
            <v>AON</v>
          </cell>
        </row>
        <row r="2788">
          <cell r="A2788" t="str">
            <v>OP</v>
          </cell>
          <cell r="B2788" t="str">
            <v>Quá 24h</v>
          </cell>
          <cell r="D2788" t="str">
            <v>Khiếu nại về dịch vụ FTTH</v>
          </cell>
          <cell r="W2788" t="str">
            <v>Đã đóng</v>
          </cell>
          <cell r="AJ2788" t="str">
            <v>TP HCM</v>
          </cell>
          <cell r="BX2788" t="str">
            <v>AON</v>
          </cell>
        </row>
        <row r="2789">
          <cell r="A2789" t="str">
            <v>OP</v>
          </cell>
          <cell r="B2789" t="str">
            <v>Quá 24h</v>
          </cell>
          <cell r="D2789" t="str">
            <v>Khiếu nại về dịch vụ FTTH</v>
          </cell>
          <cell r="W2789" t="str">
            <v>Đã đóng</v>
          </cell>
          <cell r="AJ2789" t="str">
            <v>Ninh Bình</v>
          </cell>
          <cell r="BX2789" t="str">
            <v>AON</v>
          </cell>
        </row>
        <row r="2790">
          <cell r="A2790" t="str">
            <v>OP</v>
          </cell>
          <cell r="B2790" t="str">
            <v>Quá 24h</v>
          </cell>
          <cell r="D2790" t="str">
            <v>Khiếu nại về dịch vụ NextTV</v>
          </cell>
          <cell r="W2790" t="str">
            <v>Đã đóng</v>
          </cell>
          <cell r="AJ2790" t="str">
            <v>Thái Bình</v>
          </cell>
          <cell r="BX2790" t="str">
            <v>AON</v>
          </cell>
        </row>
        <row r="2791">
          <cell r="A2791" t="str">
            <v>OP</v>
          </cell>
          <cell r="B2791" t="str">
            <v>Quá 24h</v>
          </cell>
          <cell r="D2791" t="str">
            <v>Khiếu nại về dịch vụ FTTH</v>
          </cell>
          <cell r="W2791" t="str">
            <v>Đang xử lý</v>
          </cell>
          <cell r="AJ2791" t="str">
            <v>Bến Tre</v>
          </cell>
          <cell r="BX2791" t="str">
            <v>AON</v>
          </cell>
        </row>
        <row r="2792">
          <cell r="A2792" t="str">
            <v>OP</v>
          </cell>
          <cell r="B2792" t="str">
            <v>Quá 24h</v>
          </cell>
          <cell r="D2792" t="str">
            <v>Khiếu nại về dịch vụ FTTH</v>
          </cell>
          <cell r="W2792" t="str">
            <v>Đã đóng</v>
          </cell>
          <cell r="AJ2792" t="str">
            <v xml:space="preserve">Đà Nẵng </v>
          </cell>
          <cell r="BX2792" t="str">
            <v>AON</v>
          </cell>
        </row>
        <row r="2793">
          <cell r="A2793" t="str">
            <v>OP</v>
          </cell>
          <cell r="B2793" t="str">
            <v>Quá 24h</v>
          </cell>
          <cell r="D2793" t="str">
            <v>Khiếu nại về dịch vụ FTTH</v>
          </cell>
          <cell r="W2793" t="str">
            <v>Đã đóng</v>
          </cell>
          <cell r="AJ2793" t="str">
            <v>Ninh Thuận</v>
          </cell>
          <cell r="BX2793" t="str">
            <v>AON</v>
          </cell>
        </row>
        <row r="2794">
          <cell r="A2794" t="str">
            <v>OP</v>
          </cell>
          <cell r="B2794" t="str">
            <v>Quá 24h</v>
          </cell>
          <cell r="D2794" t="str">
            <v>Khiếu nại về dịch vụ FTTH</v>
          </cell>
          <cell r="W2794" t="str">
            <v>Đã đóng</v>
          </cell>
          <cell r="AJ2794" t="str">
            <v>Long An</v>
          </cell>
          <cell r="BX2794" t="str">
            <v>AON</v>
          </cell>
        </row>
        <row r="2795">
          <cell r="A2795" t="str">
            <v>OP</v>
          </cell>
          <cell r="B2795" t="str">
            <v>Quá 24h</v>
          </cell>
          <cell r="D2795" t="str">
            <v>Khiếu nại về dịch vụ FTTH</v>
          </cell>
          <cell r="W2795" t="str">
            <v>Đã đóng</v>
          </cell>
          <cell r="AJ2795" t="str">
            <v>Bến Tre</v>
          </cell>
          <cell r="BX2795" t="str">
            <v>AON</v>
          </cell>
        </row>
        <row r="2796">
          <cell r="A2796" t="str">
            <v>OP</v>
          </cell>
          <cell r="B2796" t="str">
            <v>Quá 24h</v>
          </cell>
          <cell r="D2796" t="str">
            <v>Khiếu nại về dịch vụ FTTH</v>
          </cell>
          <cell r="W2796" t="str">
            <v>Đã đóng</v>
          </cell>
          <cell r="AJ2796" t="str">
            <v xml:space="preserve">Đà Nẵng </v>
          </cell>
          <cell r="BX2796" t="str">
            <v>AON</v>
          </cell>
        </row>
        <row r="2797">
          <cell r="A2797" t="str">
            <v>OP</v>
          </cell>
          <cell r="B2797" t="str">
            <v>Quá 24h</v>
          </cell>
          <cell r="D2797" t="str">
            <v>Khiếu nại về dịch vụ FTTH</v>
          </cell>
          <cell r="W2797" t="str">
            <v>Đang xử lý</v>
          </cell>
          <cell r="AJ2797" t="str">
            <v>Long An</v>
          </cell>
          <cell r="BX2797" t="str">
            <v>AON</v>
          </cell>
        </row>
        <row r="2798">
          <cell r="A2798" t="str">
            <v>OP</v>
          </cell>
          <cell r="B2798" t="str">
            <v>Quá 24h</v>
          </cell>
          <cell r="D2798" t="str">
            <v>Khiếu nại về dịch vụ FTTH</v>
          </cell>
          <cell r="W2798" t="str">
            <v>Đang xử lý</v>
          </cell>
          <cell r="AJ2798" t="str">
            <v>Nghệ An</v>
          </cell>
          <cell r="BX2798" t="str">
            <v>AON</v>
          </cell>
        </row>
        <row r="2799">
          <cell r="A2799" t="str">
            <v>OP</v>
          </cell>
          <cell r="B2799" t="str">
            <v>Quá 24h</v>
          </cell>
          <cell r="D2799" t="str">
            <v>Khiếu nại về dịch vụ FTTH</v>
          </cell>
          <cell r="W2799" t="str">
            <v>Đang xử lý</v>
          </cell>
          <cell r="AJ2799" t="str">
            <v>Vĩnh Long</v>
          </cell>
          <cell r="BX2799" t="str">
            <v>AON</v>
          </cell>
        </row>
        <row r="2800">
          <cell r="A2800" t="str">
            <v>OP</v>
          </cell>
          <cell r="B2800" t="str">
            <v>Quá 24h</v>
          </cell>
          <cell r="D2800" t="str">
            <v>Khiếu nại về dịch vụ FTTH</v>
          </cell>
          <cell r="W2800" t="str">
            <v>Đang xử lý</v>
          </cell>
          <cell r="AJ2800" t="str">
            <v>An Giang</v>
          </cell>
          <cell r="BX2800" t="str">
            <v>AON</v>
          </cell>
        </row>
        <row r="2801">
          <cell r="A2801" t="str">
            <v>OP</v>
          </cell>
          <cell r="B2801" t="str">
            <v>Quá 24h</v>
          </cell>
          <cell r="D2801" t="str">
            <v>Khiếu nại về dịch vụ FTTH</v>
          </cell>
          <cell r="W2801" t="str">
            <v>Đã đóng</v>
          </cell>
          <cell r="AJ2801" t="str">
            <v>TP HCM</v>
          </cell>
          <cell r="BX2801" t="str">
            <v>AON</v>
          </cell>
        </row>
        <row r="2802">
          <cell r="A2802" t="str">
            <v>OP</v>
          </cell>
          <cell r="B2802" t="str">
            <v>Quá 24h</v>
          </cell>
          <cell r="D2802" t="str">
            <v>Khiếu nại về dịch vụ FTTH</v>
          </cell>
          <cell r="W2802" t="str">
            <v>Đã đóng</v>
          </cell>
          <cell r="AJ2802" t="str">
            <v>Hà Nội 1</v>
          </cell>
          <cell r="BX2802" t="str">
            <v>AON</v>
          </cell>
        </row>
        <row r="2803">
          <cell r="A2803" t="str">
            <v>OP</v>
          </cell>
          <cell r="B2803" t="str">
            <v>Quá 24h</v>
          </cell>
          <cell r="D2803" t="str">
            <v>Khiếu nại về dịch vụ FTTH</v>
          </cell>
          <cell r="W2803" t="str">
            <v>Đã đóng</v>
          </cell>
          <cell r="AJ2803" t="str">
            <v>Bình Định</v>
          </cell>
          <cell r="BX2803" t="str">
            <v>AON</v>
          </cell>
        </row>
        <row r="2804">
          <cell r="A2804" t="str">
            <v>OP</v>
          </cell>
          <cell r="B2804" t="str">
            <v>Quá 24h</v>
          </cell>
          <cell r="D2804" t="str">
            <v>Khiếu nại về dịch vụ FTTH</v>
          </cell>
          <cell r="W2804" t="str">
            <v>Đã đóng</v>
          </cell>
          <cell r="AJ2804" t="str">
            <v>Kiên Giang</v>
          </cell>
          <cell r="BX2804" t="str">
            <v>AON</v>
          </cell>
        </row>
        <row r="2805">
          <cell r="A2805" t="str">
            <v>OP</v>
          </cell>
          <cell r="B2805" t="str">
            <v>Quá 24h</v>
          </cell>
          <cell r="D2805" t="str">
            <v>Khiếu nại về dịch vụ NextTV</v>
          </cell>
          <cell r="W2805" t="str">
            <v>Đang xử lý</v>
          </cell>
          <cell r="AJ2805" t="str">
            <v>TP HCM</v>
          </cell>
          <cell r="BX2805" t="str">
            <v>AON</v>
          </cell>
        </row>
        <row r="2806">
          <cell r="A2806" t="str">
            <v>OP</v>
          </cell>
          <cell r="B2806" t="str">
            <v>Quá 24h</v>
          </cell>
          <cell r="D2806" t="str">
            <v>Khiếu nại về dịch vụ FTTH</v>
          </cell>
          <cell r="W2806" t="str">
            <v>Đã đóng</v>
          </cell>
          <cell r="AJ2806" t="str">
            <v>Điện Biên</v>
          </cell>
          <cell r="BX2806" t="str">
            <v>AON</v>
          </cell>
        </row>
        <row r="2807">
          <cell r="A2807" t="str">
            <v>OP</v>
          </cell>
          <cell r="B2807" t="str">
            <v>Quá 24h</v>
          </cell>
          <cell r="D2807" t="str">
            <v>Khiếu nại về dịch vụ FTTH</v>
          </cell>
          <cell r="W2807" t="str">
            <v>Đã đóng</v>
          </cell>
          <cell r="AJ2807" t="str">
            <v xml:space="preserve">Đồng Nai </v>
          </cell>
          <cell r="BX2807" t="str">
            <v>AON</v>
          </cell>
        </row>
        <row r="2808">
          <cell r="A2808" t="str">
            <v>OP</v>
          </cell>
          <cell r="B2808" t="str">
            <v>Quá 24h</v>
          </cell>
          <cell r="D2808" t="str">
            <v>Khiếu nại về dịch vụ FTTH</v>
          </cell>
          <cell r="W2808" t="str">
            <v>Đang xử lý</v>
          </cell>
          <cell r="AJ2808" t="str">
            <v>TP HCM</v>
          </cell>
          <cell r="BX2808" t="str">
            <v>GPON</v>
          </cell>
        </row>
        <row r="2809">
          <cell r="A2809" t="str">
            <v>OP</v>
          </cell>
          <cell r="B2809" t="str">
            <v>Quá 24h</v>
          </cell>
          <cell r="D2809" t="str">
            <v>Khiếu nại về dịch vụ FTTH</v>
          </cell>
          <cell r="W2809" t="str">
            <v>Đã đóng</v>
          </cell>
          <cell r="AJ2809" t="str">
            <v>Tiền Giang</v>
          </cell>
          <cell r="BX2809" t="str">
            <v>AON</v>
          </cell>
        </row>
        <row r="2810">
          <cell r="A2810" t="str">
            <v>OP</v>
          </cell>
          <cell r="B2810" t="str">
            <v>Quá 24h</v>
          </cell>
          <cell r="D2810" t="str">
            <v>Khiếu nại về dịch vụ FTTH</v>
          </cell>
          <cell r="W2810" t="str">
            <v>Đã đóng</v>
          </cell>
          <cell r="AJ2810" t="str">
            <v>Bình Dương</v>
          </cell>
          <cell r="BX2810" t="str">
            <v>AON</v>
          </cell>
        </row>
        <row r="2811">
          <cell r="A2811" t="str">
            <v>OP</v>
          </cell>
          <cell r="B2811" t="str">
            <v>Quá 24h</v>
          </cell>
          <cell r="D2811" t="str">
            <v>Khiếu nại về dịch vụ FTTH</v>
          </cell>
          <cell r="W2811" t="str">
            <v>Đã đóng</v>
          </cell>
          <cell r="AJ2811" t="str">
            <v>Thanh Hoá</v>
          </cell>
          <cell r="BX2811" t="str">
            <v>AON</v>
          </cell>
        </row>
        <row r="2812">
          <cell r="A2812" t="str">
            <v>OP</v>
          </cell>
          <cell r="B2812" t="str">
            <v>Quá 24h</v>
          </cell>
          <cell r="D2812" t="str">
            <v>Khiếu nại về dịch vụ FTTH</v>
          </cell>
          <cell r="W2812" t="str">
            <v>Đã đóng</v>
          </cell>
          <cell r="AJ2812" t="str">
            <v>Thanh Hoá</v>
          </cell>
          <cell r="BX2812" t="str">
            <v>AON</v>
          </cell>
        </row>
        <row r="2813">
          <cell r="A2813" t="str">
            <v>OP</v>
          </cell>
          <cell r="B2813" t="str">
            <v>Quá 24h</v>
          </cell>
          <cell r="D2813" t="str">
            <v>Khiếu nại về dịch vụ FTTH</v>
          </cell>
          <cell r="W2813" t="str">
            <v>Đã đóng</v>
          </cell>
          <cell r="AJ2813" t="str">
            <v>Hải Phòng</v>
          </cell>
          <cell r="BX2813" t="str">
            <v>AON</v>
          </cell>
        </row>
        <row r="2814">
          <cell r="A2814" t="str">
            <v>OP</v>
          </cell>
          <cell r="B2814" t="str">
            <v>Quá 24h</v>
          </cell>
          <cell r="D2814" t="str">
            <v>Khiếu nại về dịch vụ FTTH</v>
          </cell>
          <cell r="W2814" t="str">
            <v>Đã đóng</v>
          </cell>
          <cell r="AJ2814" t="str">
            <v>TP HCM</v>
          </cell>
          <cell r="BX2814" t="str">
            <v>AON</v>
          </cell>
        </row>
        <row r="2815">
          <cell r="A2815" t="str">
            <v>OP</v>
          </cell>
          <cell r="B2815" t="str">
            <v>Quá 24h</v>
          </cell>
          <cell r="D2815" t="str">
            <v>Khiếu nại về dịch vụ FTTH</v>
          </cell>
          <cell r="W2815" t="str">
            <v>Đã đóng</v>
          </cell>
          <cell r="AJ2815" t="str">
            <v>Lào Cai</v>
          </cell>
          <cell r="BX2815" t="str">
            <v>AON</v>
          </cell>
        </row>
        <row r="2816">
          <cell r="A2816" t="str">
            <v>OP</v>
          </cell>
          <cell r="B2816" t="str">
            <v>Quá 24h</v>
          </cell>
          <cell r="D2816" t="str">
            <v>Khiếu nại về dịch vụ FTTH</v>
          </cell>
          <cell r="W2816" t="str">
            <v>Đã đóng</v>
          </cell>
          <cell r="AJ2816" t="str">
            <v>Lào Cai</v>
          </cell>
          <cell r="BX2816" t="str">
            <v>AON</v>
          </cell>
        </row>
        <row r="2817">
          <cell r="A2817" t="str">
            <v>OP</v>
          </cell>
          <cell r="B2817" t="str">
            <v>Quá 24h</v>
          </cell>
          <cell r="D2817" t="str">
            <v>Khiếu nại về dịch vụ FTTH</v>
          </cell>
          <cell r="W2817" t="str">
            <v>Đã đóng</v>
          </cell>
          <cell r="AJ2817" t="str">
            <v>Hưng Yên</v>
          </cell>
          <cell r="BX2817" t="str">
            <v>AON</v>
          </cell>
        </row>
        <row r="2818">
          <cell r="A2818" t="str">
            <v>OP</v>
          </cell>
          <cell r="B2818" t="str">
            <v>Quá 24h</v>
          </cell>
          <cell r="D2818" t="str">
            <v>Khiếu nại về dịch vụ FTTH</v>
          </cell>
          <cell r="W2818" t="str">
            <v>Đang xử lý</v>
          </cell>
          <cell r="AJ2818" t="str">
            <v>Vĩnh Long</v>
          </cell>
          <cell r="BX2818" t="str">
            <v>AON</v>
          </cell>
        </row>
        <row r="2819">
          <cell r="A2819" t="str">
            <v>OP</v>
          </cell>
          <cell r="B2819" t="str">
            <v>Quá 24h</v>
          </cell>
          <cell r="D2819" t="str">
            <v>Khiếu nại về dịch vụ FTTH</v>
          </cell>
          <cell r="W2819" t="str">
            <v>Đã đóng</v>
          </cell>
          <cell r="AJ2819" t="str">
            <v>An Giang</v>
          </cell>
          <cell r="BX2819" t="str">
            <v>AON</v>
          </cell>
        </row>
        <row r="2820">
          <cell r="A2820" t="str">
            <v>OP</v>
          </cell>
          <cell r="B2820" t="str">
            <v>Quá 24h</v>
          </cell>
          <cell r="D2820" t="str">
            <v>Khiếu nại về dịch vụ FTTH</v>
          </cell>
          <cell r="W2820" t="str">
            <v>Đã đóng</v>
          </cell>
          <cell r="AJ2820" t="str">
            <v>Hà Nội 2</v>
          </cell>
          <cell r="BX2820" t="str">
            <v>AON</v>
          </cell>
        </row>
        <row r="2821">
          <cell r="A2821" t="str">
            <v>OP</v>
          </cell>
          <cell r="B2821" t="str">
            <v>Quá 24h</v>
          </cell>
          <cell r="D2821" t="str">
            <v>Khiếu nại về dịch vụ FTTH</v>
          </cell>
          <cell r="W2821" t="str">
            <v>Đã đóng</v>
          </cell>
          <cell r="AJ2821" t="str">
            <v>Hưng Yên</v>
          </cell>
          <cell r="BX2821" t="str">
            <v>AON</v>
          </cell>
        </row>
        <row r="2822">
          <cell r="A2822" t="str">
            <v>OP</v>
          </cell>
          <cell r="B2822" t="str">
            <v>Quá 24h</v>
          </cell>
          <cell r="D2822" t="str">
            <v>Khiếu nại về dịch vụ FTTH</v>
          </cell>
          <cell r="W2822" t="str">
            <v>Đã đóng</v>
          </cell>
          <cell r="AJ2822" t="str">
            <v>Ninh Bình</v>
          </cell>
          <cell r="BX2822" t="str">
            <v>AON</v>
          </cell>
        </row>
        <row r="2823">
          <cell r="A2823" t="str">
            <v>OP</v>
          </cell>
          <cell r="B2823" t="str">
            <v>Quá 24h</v>
          </cell>
          <cell r="D2823" t="str">
            <v>Khiếu nại về dịch vụ FTTH</v>
          </cell>
          <cell r="W2823" t="str">
            <v>Đã đóng</v>
          </cell>
          <cell r="AJ2823" t="str">
            <v xml:space="preserve">Đồng Nai </v>
          </cell>
          <cell r="BX2823" t="str">
            <v>AON</v>
          </cell>
        </row>
        <row r="2824">
          <cell r="A2824" t="str">
            <v>OP</v>
          </cell>
          <cell r="B2824" t="str">
            <v>Quá 24h</v>
          </cell>
          <cell r="D2824" t="str">
            <v>Khiếu nại về dịch vụ FTTH</v>
          </cell>
          <cell r="W2824" t="str">
            <v>Đã đóng</v>
          </cell>
          <cell r="AJ2824" t="str">
            <v>Ninh Bình</v>
          </cell>
          <cell r="BX2824" t="str">
            <v>AON</v>
          </cell>
        </row>
        <row r="2825">
          <cell r="A2825" t="str">
            <v>OP</v>
          </cell>
          <cell r="B2825" t="str">
            <v>Quá 24h</v>
          </cell>
          <cell r="D2825" t="str">
            <v>Khiếu nại về dịch vụ FTTH</v>
          </cell>
          <cell r="W2825" t="str">
            <v>Đã đóng</v>
          </cell>
          <cell r="AJ2825" t="str">
            <v>Cần Thơ</v>
          </cell>
          <cell r="BX2825" t="str">
            <v>AON</v>
          </cell>
        </row>
        <row r="2826">
          <cell r="A2826" t="str">
            <v>OP</v>
          </cell>
          <cell r="B2826" t="str">
            <v>Quá 24h</v>
          </cell>
          <cell r="D2826" t="str">
            <v>Khiếu nại về dịch vụ NextTV</v>
          </cell>
          <cell r="W2826" t="str">
            <v>Đã đóng</v>
          </cell>
          <cell r="AJ2826" t="str">
            <v>TP HCM</v>
          </cell>
          <cell r="BX2826" t="str">
            <v>AON</v>
          </cell>
        </row>
        <row r="2827">
          <cell r="A2827" t="str">
            <v>OP</v>
          </cell>
          <cell r="B2827" t="str">
            <v>Quá 24h</v>
          </cell>
          <cell r="D2827" t="str">
            <v>Khiếu nại về dịch vụ FTTH</v>
          </cell>
          <cell r="W2827" t="str">
            <v>Đã đóng</v>
          </cell>
          <cell r="AJ2827" t="str">
            <v>Hà Nội 2</v>
          </cell>
          <cell r="BX2827" t="str">
            <v>AON</v>
          </cell>
        </row>
        <row r="2828">
          <cell r="A2828" t="str">
            <v>OP</v>
          </cell>
          <cell r="B2828" t="str">
            <v>Quá 24h</v>
          </cell>
          <cell r="D2828" t="str">
            <v>Khiếu nại về dịch vụ FTTH</v>
          </cell>
          <cell r="W2828" t="str">
            <v>Đã đóng</v>
          </cell>
          <cell r="AJ2828" t="str">
            <v>TP HCM</v>
          </cell>
          <cell r="BX2828" t="str">
            <v>AON</v>
          </cell>
        </row>
        <row r="2829">
          <cell r="A2829" t="str">
            <v>OP</v>
          </cell>
          <cell r="B2829" t="str">
            <v>Quá 24h</v>
          </cell>
          <cell r="D2829" t="str">
            <v>Khiếu nại về dịch vụ FTTH</v>
          </cell>
          <cell r="W2829" t="str">
            <v>Đã đóng</v>
          </cell>
          <cell r="AJ2829" t="str">
            <v>Hà Nội 1</v>
          </cell>
          <cell r="BX2829" t="str">
            <v>AON</v>
          </cell>
        </row>
        <row r="2830">
          <cell r="A2830" t="str">
            <v>OP</v>
          </cell>
          <cell r="B2830" t="str">
            <v>Quá 24h</v>
          </cell>
          <cell r="D2830" t="str">
            <v>Khiếu nại về dịch vụ FTTH</v>
          </cell>
          <cell r="W2830" t="str">
            <v>Đang xử lý</v>
          </cell>
          <cell r="AJ2830" t="str">
            <v>Hải Phòng</v>
          </cell>
          <cell r="BX2830" t="str">
            <v>AON</v>
          </cell>
        </row>
        <row r="2831">
          <cell r="A2831" t="str">
            <v>OP</v>
          </cell>
          <cell r="B2831" t="str">
            <v>Quá 24h</v>
          </cell>
          <cell r="D2831" t="str">
            <v>Khiếu nại về dịch vụ FTTH</v>
          </cell>
          <cell r="W2831" t="str">
            <v>Đã đóng</v>
          </cell>
          <cell r="AJ2831" t="str">
            <v>Hải Dương</v>
          </cell>
          <cell r="BX2831" t="str">
            <v>AON</v>
          </cell>
        </row>
        <row r="2832">
          <cell r="A2832" t="str">
            <v>OP</v>
          </cell>
          <cell r="B2832" t="str">
            <v>Quá 24h</v>
          </cell>
          <cell r="D2832" t="str">
            <v>Khiếu nại về dịch vụ FTTH</v>
          </cell>
          <cell r="W2832" t="str">
            <v>Đã đóng</v>
          </cell>
          <cell r="AJ2832" t="str">
            <v>TP HCM</v>
          </cell>
          <cell r="BX2832" t="str">
            <v>GPON</v>
          </cell>
        </row>
        <row r="2833">
          <cell r="A2833" t="str">
            <v>OP</v>
          </cell>
          <cell r="B2833" t="str">
            <v>Quá 24h</v>
          </cell>
          <cell r="D2833" t="str">
            <v>Khiếu nại về dịch vụ FTTH</v>
          </cell>
          <cell r="W2833" t="str">
            <v>Đã đóng</v>
          </cell>
          <cell r="AJ2833" t="str">
            <v>Sóc Trăng</v>
          </cell>
          <cell r="BX2833" t="str">
            <v>AON</v>
          </cell>
        </row>
        <row r="2834">
          <cell r="A2834" t="str">
            <v>OP</v>
          </cell>
          <cell r="B2834" t="str">
            <v>Quá 24h</v>
          </cell>
          <cell r="D2834" t="str">
            <v>Khiếu nại về dịch vụ FTTH</v>
          </cell>
          <cell r="W2834" t="str">
            <v>Đã đóng</v>
          </cell>
          <cell r="AJ2834" t="str">
            <v>Sơn La</v>
          </cell>
          <cell r="BX2834" t="str">
            <v>AON</v>
          </cell>
        </row>
        <row r="2835">
          <cell r="A2835" t="str">
            <v>OP</v>
          </cell>
          <cell r="B2835" t="str">
            <v>Quá 24h</v>
          </cell>
          <cell r="D2835" t="str">
            <v>Khiếu nại về dịch vụ NextTV</v>
          </cell>
          <cell r="W2835" t="str">
            <v>Đã đóng</v>
          </cell>
          <cell r="AJ2835" t="str">
            <v>Nghệ An</v>
          </cell>
          <cell r="BX2835" t="str">
            <v>AON</v>
          </cell>
        </row>
        <row r="2836">
          <cell r="A2836" t="str">
            <v>OP</v>
          </cell>
          <cell r="B2836" t="str">
            <v>Quá 24h</v>
          </cell>
          <cell r="D2836" t="str">
            <v>Khiếu nại về dịch vụ FTTH</v>
          </cell>
          <cell r="W2836" t="str">
            <v>Đã đóng</v>
          </cell>
          <cell r="AJ2836" t="str">
            <v xml:space="preserve">Đắc Lắk </v>
          </cell>
          <cell r="BX2836" t="str">
            <v>AON</v>
          </cell>
        </row>
        <row r="2837">
          <cell r="A2837" t="str">
            <v>OP</v>
          </cell>
          <cell r="B2837" t="str">
            <v>Quá 24h</v>
          </cell>
          <cell r="D2837" t="str">
            <v>Khiếu nại về dịch vụ FTTH</v>
          </cell>
          <cell r="W2837" t="str">
            <v>Đã đóng</v>
          </cell>
          <cell r="AJ2837" t="str">
            <v>Quảng Ngãi</v>
          </cell>
          <cell r="BX2837" t="str">
            <v>AON</v>
          </cell>
        </row>
        <row r="2838">
          <cell r="A2838" t="str">
            <v>OP</v>
          </cell>
          <cell r="B2838" t="str">
            <v>Quá 24h</v>
          </cell>
          <cell r="D2838" t="str">
            <v>Khiếu nại về dịch vụ FTTH</v>
          </cell>
          <cell r="W2838" t="str">
            <v>Đã đóng</v>
          </cell>
          <cell r="AJ2838" t="str">
            <v>Tiền Giang</v>
          </cell>
          <cell r="BX2838" t="str">
            <v>AON</v>
          </cell>
        </row>
        <row r="2839">
          <cell r="A2839" t="str">
            <v>OP</v>
          </cell>
          <cell r="B2839" t="str">
            <v>Quá 24h</v>
          </cell>
          <cell r="D2839" t="str">
            <v>Khiếu nại về dịch vụ FTTH</v>
          </cell>
          <cell r="W2839" t="str">
            <v>Đã đóng</v>
          </cell>
          <cell r="AJ2839" t="str">
            <v>Hải Phòng</v>
          </cell>
          <cell r="BX2839" t="str">
            <v>AON</v>
          </cell>
        </row>
        <row r="2840">
          <cell r="A2840" t="str">
            <v>OP</v>
          </cell>
          <cell r="B2840" t="str">
            <v>Quá 24h</v>
          </cell>
          <cell r="D2840" t="str">
            <v>Khiếu nại về dịch vụ FTTH</v>
          </cell>
          <cell r="W2840" t="str">
            <v>Đã đóng</v>
          </cell>
          <cell r="AJ2840" t="str">
            <v>Hà Giang</v>
          </cell>
          <cell r="BX2840" t="str">
            <v>AON</v>
          </cell>
        </row>
        <row r="2841">
          <cell r="A2841" t="str">
            <v>OP</v>
          </cell>
          <cell r="B2841" t="str">
            <v>Quá 24h</v>
          </cell>
          <cell r="D2841" t="str">
            <v>Khiếu nại về dịch vụ FTTH</v>
          </cell>
          <cell r="W2841" t="str">
            <v>Đã đóng</v>
          </cell>
          <cell r="AJ2841" t="str">
            <v>Hà Nội 1</v>
          </cell>
          <cell r="BX2841" t="str">
            <v>AON</v>
          </cell>
        </row>
        <row r="2842">
          <cell r="A2842" t="str">
            <v>OP</v>
          </cell>
          <cell r="B2842" t="str">
            <v>Quá 24h</v>
          </cell>
          <cell r="D2842" t="str">
            <v>Khiếu nại về dịch vụ FTTH</v>
          </cell>
          <cell r="W2842" t="str">
            <v>Đã đóng</v>
          </cell>
          <cell r="AJ2842" t="str">
            <v xml:space="preserve">Đồng Nai </v>
          </cell>
          <cell r="BX2842" t="str">
            <v>AON</v>
          </cell>
        </row>
        <row r="2843">
          <cell r="A2843" t="str">
            <v>OP</v>
          </cell>
          <cell r="B2843" t="str">
            <v>Quá 24h</v>
          </cell>
          <cell r="D2843" t="str">
            <v>Khiếu nại về dịch vụ FTTH</v>
          </cell>
          <cell r="W2843" t="str">
            <v>Đã đóng</v>
          </cell>
          <cell r="AJ2843" t="str">
            <v>Bắc Giang</v>
          </cell>
          <cell r="BX2843" t="str">
            <v>AON</v>
          </cell>
        </row>
        <row r="2844">
          <cell r="A2844" t="str">
            <v>OP</v>
          </cell>
          <cell r="B2844" t="str">
            <v>Quá 24h</v>
          </cell>
          <cell r="D2844" t="str">
            <v>Khiếu nại về dịch vụ FTTH</v>
          </cell>
          <cell r="W2844" t="str">
            <v>Đã đóng</v>
          </cell>
          <cell r="AJ2844" t="str">
            <v>Nam Định</v>
          </cell>
          <cell r="BX2844" t="str">
            <v>AON</v>
          </cell>
        </row>
        <row r="2845">
          <cell r="A2845" t="str">
            <v>OP</v>
          </cell>
          <cell r="B2845" t="str">
            <v>Quá 24h</v>
          </cell>
          <cell r="D2845" t="str">
            <v>Khiếu nại về dịch vụ FTTH</v>
          </cell>
          <cell r="W2845" t="str">
            <v>Đã đóng</v>
          </cell>
          <cell r="AJ2845" t="str">
            <v xml:space="preserve">Đắc Lắk </v>
          </cell>
          <cell r="BX2845" t="str">
            <v>AON</v>
          </cell>
        </row>
        <row r="2846">
          <cell r="A2846" t="str">
            <v>OP</v>
          </cell>
          <cell r="B2846" t="str">
            <v>Quá 24h</v>
          </cell>
          <cell r="D2846" t="str">
            <v>Khiếu nại về dịch vụ FTTH</v>
          </cell>
          <cell r="W2846" t="str">
            <v>Đã đóng</v>
          </cell>
          <cell r="AJ2846" t="str">
            <v>TP HCM</v>
          </cell>
          <cell r="BX2846" t="str">
            <v>AON</v>
          </cell>
        </row>
        <row r="2847">
          <cell r="A2847" t="str">
            <v>OP</v>
          </cell>
          <cell r="B2847" t="str">
            <v>Quá 24h</v>
          </cell>
          <cell r="D2847" t="str">
            <v>Khiếu nại về dịch vụ FTTH</v>
          </cell>
          <cell r="W2847" t="str">
            <v>Đã đóng</v>
          </cell>
          <cell r="AJ2847" t="str">
            <v>Thái Bình</v>
          </cell>
          <cell r="BX2847" t="str">
            <v>AON</v>
          </cell>
        </row>
        <row r="2848">
          <cell r="A2848" t="str">
            <v>OP</v>
          </cell>
          <cell r="B2848" t="str">
            <v>Quá 24h</v>
          </cell>
          <cell r="D2848" t="str">
            <v>Khiếu nại về dịch vụ FTTH</v>
          </cell>
          <cell r="W2848" t="str">
            <v>Đã đóng</v>
          </cell>
          <cell r="AJ2848" t="str">
            <v>Hà Nội 1</v>
          </cell>
          <cell r="BX2848" t="str">
            <v>AON</v>
          </cell>
        </row>
        <row r="2849">
          <cell r="A2849" t="str">
            <v>OP</v>
          </cell>
          <cell r="B2849" t="str">
            <v>Quá 24h</v>
          </cell>
          <cell r="D2849" t="str">
            <v>Khiếu nại về dịch vụ FTTH</v>
          </cell>
          <cell r="W2849" t="str">
            <v>Đã đóng</v>
          </cell>
          <cell r="AJ2849" t="str">
            <v>Thanh Hoá</v>
          </cell>
          <cell r="BX2849" t="str">
            <v>AON</v>
          </cell>
        </row>
        <row r="2850">
          <cell r="A2850" t="str">
            <v>OP</v>
          </cell>
          <cell r="B2850" t="str">
            <v>Quá 24h</v>
          </cell>
          <cell r="D2850" t="str">
            <v>Khiếu nại về dịch vụ FTTH</v>
          </cell>
          <cell r="W2850" t="str">
            <v>Đã đóng</v>
          </cell>
          <cell r="AJ2850" t="str">
            <v>Lào Cai</v>
          </cell>
          <cell r="BX2850" t="str">
            <v>AON</v>
          </cell>
        </row>
        <row r="2851">
          <cell r="A2851" t="str">
            <v>OP</v>
          </cell>
          <cell r="B2851" t="str">
            <v>Quá 24h</v>
          </cell>
          <cell r="D2851" t="str">
            <v>Khiếu nại về dịch vụ FTTH</v>
          </cell>
          <cell r="W2851" t="str">
            <v>Đã đóng</v>
          </cell>
          <cell r="AJ2851" t="str">
            <v>Hưng Yên</v>
          </cell>
          <cell r="BX2851" t="str">
            <v>AON</v>
          </cell>
        </row>
        <row r="2852">
          <cell r="A2852" t="str">
            <v>OP</v>
          </cell>
          <cell r="B2852" t="str">
            <v>Quá 24h</v>
          </cell>
          <cell r="D2852" t="str">
            <v>Khiếu nại về dịch vụ NextTV</v>
          </cell>
          <cell r="W2852" t="str">
            <v>Đã đóng</v>
          </cell>
          <cell r="AJ2852" t="str">
            <v>Quảng Ninh</v>
          </cell>
          <cell r="BX2852" t="str">
            <v>AON</v>
          </cell>
        </row>
        <row r="2853">
          <cell r="A2853" t="str">
            <v>OP</v>
          </cell>
          <cell r="B2853" t="str">
            <v>Quá 24h</v>
          </cell>
          <cell r="D2853" t="str">
            <v>Khiếu nại về dịch vụ FTTH</v>
          </cell>
          <cell r="W2853" t="str">
            <v>Đã đóng</v>
          </cell>
          <cell r="AJ2853" t="str">
            <v>TP HCM</v>
          </cell>
          <cell r="BX2853" t="str">
            <v>AON</v>
          </cell>
        </row>
        <row r="2854">
          <cell r="A2854" t="str">
            <v>OP</v>
          </cell>
          <cell r="B2854" t="str">
            <v>Quá 24h</v>
          </cell>
          <cell r="D2854" t="str">
            <v>Khiếu nại về dịch vụ FTTH</v>
          </cell>
          <cell r="W2854" t="str">
            <v>Đã đóng</v>
          </cell>
          <cell r="AJ2854" t="str">
            <v>Bình Phước</v>
          </cell>
          <cell r="BX2854" t="str">
            <v>AON</v>
          </cell>
        </row>
        <row r="2855">
          <cell r="A2855" t="str">
            <v>OP</v>
          </cell>
          <cell r="B2855" t="str">
            <v>Quá 24h</v>
          </cell>
          <cell r="D2855" t="str">
            <v>Khiếu nại về dịch vụ FTTH</v>
          </cell>
          <cell r="W2855" t="str">
            <v>Đã đóng</v>
          </cell>
          <cell r="AJ2855" t="str">
            <v>Lâm Đồng</v>
          </cell>
          <cell r="BX2855" t="str">
            <v>AON</v>
          </cell>
        </row>
        <row r="2856">
          <cell r="A2856" t="str">
            <v>OP</v>
          </cell>
          <cell r="B2856" t="str">
            <v>Quá 24h</v>
          </cell>
          <cell r="D2856" t="str">
            <v>Khiếu nại về dịch vụ FTTH</v>
          </cell>
          <cell r="W2856" t="str">
            <v>Đã đóng</v>
          </cell>
          <cell r="AJ2856" t="str">
            <v>Hà Nội 1</v>
          </cell>
          <cell r="BX2856" t="str">
            <v>AON</v>
          </cell>
        </row>
        <row r="2857">
          <cell r="A2857" t="str">
            <v>OP</v>
          </cell>
          <cell r="B2857" t="str">
            <v>Quá 24h</v>
          </cell>
          <cell r="D2857" t="str">
            <v>Khiếu nại về dịch vụ FTTH</v>
          </cell>
          <cell r="W2857" t="str">
            <v>Đã đóng</v>
          </cell>
          <cell r="AJ2857" t="str">
            <v xml:space="preserve">Hà Tĩnh </v>
          </cell>
          <cell r="BX2857" t="str">
            <v>AON</v>
          </cell>
        </row>
        <row r="2858">
          <cell r="A2858" t="str">
            <v>OP</v>
          </cell>
          <cell r="B2858" t="str">
            <v>Quá 24h</v>
          </cell>
          <cell r="D2858" t="str">
            <v>Khiếu nại về dịch vụ FTTH</v>
          </cell>
          <cell r="W2858" t="str">
            <v>Đã đóng</v>
          </cell>
          <cell r="AJ2858" t="str">
            <v>Bà Rịa - Vũng Tàu</v>
          </cell>
          <cell r="BX2858" t="str">
            <v>AON</v>
          </cell>
        </row>
        <row r="2859">
          <cell r="A2859" t="str">
            <v>OP</v>
          </cell>
          <cell r="B2859" t="str">
            <v>Quá 24h</v>
          </cell>
          <cell r="D2859" t="str">
            <v>Khiếu nại về dịch vụ FTTH</v>
          </cell>
          <cell r="W2859" t="str">
            <v>Đã đóng</v>
          </cell>
          <cell r="AJ2859" t="str">
            <v>Bình Dương</v>
          </cell>
          <cell r="BX2859" t="str">
            <v>AON</v>
          </cell>
        </row>
        <row r="2860">
          <cell r="A2860" t="str">
            <v>OP</v>
          </cell>
          <cell r="B2860" t="str">
            <v>Quá 24h</v>
          </cell>
          <cell r="D2860" t="str">
            <v>Khiếu nại về dịch vụ FTTH</v>
          </cell>
          <cell r="W2860" t="str">
            <v>Đã đóng</v>
          </cell>
          <cell r="AJ2860" t="str">
            <v>Hải Phòng</v>
          </cell>
          <cell r="BX2860" t="str">
            <v>AON</v>
          </cell>
        </row>
        <row r="2861">
          <cell r="A2861" t="str">
            <v>OP</v>
          </cell>
          <cell r="B2861" t="str">
            <v>Quá 24h</v>
          </cell>
          <cell r="D2861" t="str">
            <v>Khiếu nại về dịch vụ FTTH</v>
          </cell>
          <cell r="W2861" t="str">
            <v>Đã đóng</v>
          </cell>
          <cell r="AJ2861" t="str">
            <v>Hoà Bình</v>
          </cell>
          <cell r="BX2861" t="str">
            <v>AON</v>
          </cell>
        </row>
        <row r="2862">
          <cell r="A2862" t="str">
            <v>OP</v>
          </cell>
          <cell r="B2862" t="str">
            <v>Quá 24h</v>
          </cell>
          <cell r="D2862" t="str">
            <v>Khiếu nại về dịch vụ FTTH</v>
          </cell>
          <cell r="W2862" t="str">
            <v>Đang xử lý</v>
          </cell>
          <cell r="AJ2862" t="str">
            <v>TP HCM</v>
          </cell>
          <cell r="BX2862" t="str">
            <v>GPON</v>
          </cell>
        </row>
        <row r="2863">
          <cell r="A2863" t="str">
            <v>OP</v>
          </cell>
          <cell r="B2863" t="str">
            <v>Quá 24h</v>
          </cell>
          <cell r="D2863" t="str">
            <v>Khiếu nại về dịch vụ FTTH</v>
          </cell>
          <cell r="W2863" t="str">
            <v>Đã đóng</v>
          </cell>
          <cell r="AJ2863" t="str">
            <v>Đồng Tháp</v>
          </cell>
          <cell r="BX2863" t="str">
            <v>AON</v>
          </cell>
        </row>
        <row r="2864">
          <cell r="A2864" t="str">
            <v>OP</v>
          </cell>
          <cell r="B2864" t="str">
            <v>Quá 24h</v>
          </cell>
          <cell r="D2864" t="str">
            <v>Khiếu nại về dịch vụ FTTH</v>
          </cell>
          <cell r="W2864" t="str">
            <v>Đã đóng</v>
          </cell>
          <cell r="AJ2864" t="str">
            <v>Thái Bình</v>
          </cell>
          <cell r="BX2864" t="str">
            <v>AON</v>
          </cell>
        </row>
        <row r="2865">
          <cell r="A2865" t="str">
            <v>OP</v>
          </cell>
          <cell r="B2865" t="str">
            <v>Quá 24h</v>
          </cell>
          <cell r="D2865" t="str">
            <v>Khiếu nại về dịch vụ FTTH</v>
          </cell>
          <cell r="W2865" t="str">
            <v>Đã đóng</v>
          </cell>
          <cell r="AJ2865" t="str">
            <v>TP HCM</v>
          </cell>
          <cell r="BX2865" t="str">
            <v>AON</v>
          </cell>
        </row>
        <row r="2866">
          <cell r="A2866" t="str">
            <v>OP</v>
          </cell>
          <cell r="B2866" t="str">
            <v>Quá 24h</v>
          </cell>
          <cell r="D2866" t="str">
            <v>Khiếu nại về dịch vụ FTTH</v>
          </cell>
          <cell r="W2866" t="str">
            <v>Đã đóng</v>
          </cell>
          <cell r="AJ2866" t="str">
            <v xml:space="preserve">Đồng Nai </v>
          </cell>
          <cell r="BX2866" t="str">
            <v>AON</v>
          </cell>
        </row>
        <row r="2867">
          <cell r="A2867" t="str">
            <v>OP</v>
          </cell>
          <cell r="B2867" t="str">
            <v>Quá 24h</v>
          </cell>
          <cell r="D2867" t="str">
            <v>Khiếu nại về dịch vụ FTTH</v>
          </cell>
          <cell r="W2867" t="str">
            <v>Đã đóng</v>
          </cell>
          <cell r="AJ2867" t="str">
            <v>Bắc Ninh</v>
          </cell>
          <cell r="BX2867" t="str">
            <v>AON</v>
          </cell>
        </row>
        <row r="2868">
          <cell r="A2868" t="str">
            <v>OP</v>
          </cell>
          <cell r="B2868" t="str">
            <v>Quá 24h</v>
          </cell>
          <cell r="D2868" t="str">
            <v>Khiếu nại về dịch vụ FTTH</v>
          </cell>
          <cell r="W2868" t="str">
            <v>Đã đóng</v>
          </cell>
          <cell r="AJ2868" t="str">
            <v>Quảng Ngãi</v>
          </cell>
          <cell r="BX2868" t="str">
            <v>AON</v>
          </cell>
        </row>
        <row r="2869">
          <cell r="A2869" t="str">
            <v>OP</v>
          </cell>
          <cell r="B2869" t="str">
            <v>Quá 24h</v>
          </cell>
          <cell r="D2869" t="str">
            <v>Khiếu nại về dịch vụ FTTH</v>
          </cell>
          <cell r="W2869" t="str">
            <v>Đã đóng</v>
          </cell>
          <cell r="AJ2869" t="str">
            <v>Cần Thơ</v>
          </cell>
          <cell r="BX2869" t="str">
            <v>AON</v>
          </cell>
        </row>
        <row r="2870">
          <cell r="A2870" t="str">
            <v>OP</v>
          </cell>
          <cell r="B2870" t="str">
            <v>Quá 24h</v>
          </cell>
          <cell r="D2870" t="str">
            <v>Khiếu nại về dịch vụ FTTH</v>
          </cell>
          <cell r="W2870" t="str">
            <v>Đã đóng</v>
          </cell>
          <cell r="AJ2870" t="str">
            <v>Hà Nội 1</v>
          </cell>
          <cell r="BX2870" t="str">
            <v>AON</v>
          </cell>
        </row>
        <row r="2871">
          <cell r="A2871" t="str">
            <v>OP</v>
          </cell>
          <cell r="B2871" t="str">
            <v>Quá 24h</v>
          </cell>
          <cell r="D2871" t="str">
            <v>Khiếu nại về dịch vụ FTTH</v>
          </cell>
          <cell r="W2871" t="str">
            <v>Đã đóng</v>
          </cell>
          <cell r="AJ2871" t="str">
            <v>Hà Nội 1</v>
          </cell>
          <cell r="BX2871" t="str">
            <v>AON</v>
          </cell>
        </row>
        <row r="2872">
          <cell r="A2872" t="str">
            <v>OP</v>
          </cell>
          <cell r="B2872" t="str">
            <v>Quá 24h</v>
          </cell>
          <cell r="D2872" t="str">
            <v>Khiếu nại về dịch vụ FTTH</v>
          </cell>
          <cell r="W2872" t="str">
            <v>Đang xử lý</v>
          </cell>
          <cell r="AJ2872" t="str">
            <v>Quảng Trị</v>
          </cell>
          <cell r="BX2872" t="str">
            <v>AON</v>
          </cell>
        </row>
        <row r="2873">
          <cell r="A2873" t="str">
            <v>OP</v>
          </cell>
          <cell r="B2873" t="str">
            <v>Quá 24h</v>
          </cell>
          <cell r="D2873" t="str">
            <v>Khiếu nại về dịch vụ FTTH</v>
          </cell>
          <cell r="W2873" t="str">
            <v>Đã đóng</v>
          </cell>
          <cell r="AJ2873" t="str">
            <v>Khánh Hoà</v>
          </cell>
          <cell r="BX2873" t="str">
            <v>AON</v>
          </cell>
        </row>
        <row r="2874">
          <cell r="A2874" t="str">
            <v>OP</v>
          </cell>
          <cell r="B2874" t="str">
            <v>Quá 24h</v>
          </cell>
          <cell r="D2874" t="str">
            <v>Khiếu nại về dịch vụ FTTH</v>
          </cell>
          <cell r="W2874" t="str">
            <v>Đã đóng</v>
          </cell>
          <cell r="AJ2874" t="str">
            <v>TP HCM</v>
          </cell>
          <cell r="BX2874" t="str">
            <v>AON</v>
          </cell>
        </row>
        <row r="2875">
          <cell r="A2875" t="str">
            <v>OP</v>
          </cell>
          <cell r="B2875" t="str">
            <v>Quá 24h</v>
          </cell>
          <cell r="D2875" t="str">
            <v>Khiếu nại về dịch vụ FTTH</v>
          </cell>
          <cell r="W2875" t="str">
            <v>Đã đóng</v>
          </cell>
          <cell r="AJ2875" t="str">
            <v>Bình Dương</v>
          </cell>
          <cell r="BX2875" t="str">
            <v>AON</v>
          </cell>
        </row>
        <row r="2876">
          <cell r="A2876" t="str">
            <v>OP</v>
          </cell>
          <cell r="B2876" t="str">
            <v>Quá 24h</v>
          </cell>
          <cell r="D2876" t="str">
            <v>Khiếu nại về dịch vụ FTTH</v>
          </cell>
          <cell r="W2876" t="str">
            <v>Đã đóng</v>
          </cell>
          <cell r="AJ2876" t="str">
            <v>TP HCM</v>
          </cell>
          <cell r="BX2876" t="str">
            <v>GPON</v>
          </cell>
        </row>
        <row r="2877">
          <cell r="A2877" t="str">
            <v>OP</v>
          </cell>
          <cell r="B2877" t="str">
            <v>Quá 24h</v>
          </cell>
          <cell r="D2877" t="str">
            <v>Khiếu nại về dịch vụ FTTH</v>
          </cell>
          <cell r="W2877" t="str">
            <v>Đã đóng</v>
          </cell>
          <cell r="AJ2877" t="str">
            <v>TP HCM</v>
          </cell>
          <cell r="BX2877" t="str">
            <v>GPON</v>
          </cell>
        </row>
        <row r="2878">
          <cell r="A2878" t="str">
            <v>OP</v>
          </cell>
          <cell r="B2878" t="str">
            <v>Quá 24h</v>
          </cell>
          <cell r="D2878" t="str">
            <v>Khiếu nại về dịch vụ FTTH</v>
          </cell>
          <cell r="W2878" t="str">
            <v>Đã đóng</v>
          </cell>
          <cell r="AJ2878" t="str">
            <v>Thái Nguyên</v>
          </cell>
          <cell r="BX2878" t="str">
            <v>AON</v>
          </cell>
        </row>
        <row r="2879">
          <cell r="A2879" t="str">
            <v>OP</v>
          </cell>
          <cell r="B2879" t="str">
            <v>Quá 24h</v>
          </cell>
          <cell r="D2879" t="str">
            <v>Khiếu nại về dịch vụ FTTH</v>
          </cell>
          <cell r="W2879" t="str">
            <v>Đã đóng</v>
          </cell>
          <cell r="AJ2879" t="str">
            <v>An Giang</v>
          </cell>
          <cell r="BX2879" t="str">
            <v>AON</v>
          </cell>
        </row>
        <row r="2880">
          <cell r="A2880" t="str">
            <v>OP</v>
          </cell>
          <cell r="B2880" t="str">
            <v>Quá 24h</v>
          </cell>
          <cell r="D2880" t="str">
            <v>Khiếu nại về dịch vụ FTTH</v>
          </cell>
          <cell r="W2880" t="str">
            <v>Đã đóng</v>
          </cell>
          <cell r="AJ2880" t="str">
            <v>TP HCM</v>
          </cell>
          <cell r="BX2880" t="str">
            <v>AON</v>
          </cell>
        </row>
        <row r="2881">
          <cell r="A2881" t="str">
            <v>OP</v>
          </cell>
          <cell r="B2881" t="str">
            <v>Quá 24h</v>
          </cell>
          <cell r="D2881" t="str">
            <v>Khiếu nại về dịch vụ FTTH</v>
          </cell>
          <cell r="W2881" t="str">
            <v>Đã đóng</v>
          </cell>
          <cell r="AJ2881" t="str">
            <v xml:space="preserve">Đồng Nai </v>
          </cell>
          <cell r="BX2881" t="str">
            <v>AON</v>
          </cell>
        </row>
        <row r="2882">
          <cell r="A2882" t="str">
            <v>OP</v>
          </cell>
          <cell r="B2882" t="str">
            <v>Quá 24h</v>
          </cell>
          <cell r="D2882" t="str">
            <v>Khiếu nại về dịch vụ FTTH</v>
          </cell>
          <cell r="W2882" t="str">
            <v>Đã đóng</v>
          </cell>
          <cell r="AJ2882" t="str">
            <v>Hậu Giang</v>
          </cell>
          <cell r="BX2882" t="str">
            <v>AON</v>
          </cell>
        </row>
        <row r="2883">
          <cell r="A2883" t="str">
            <v>OP</v>
          </cell>
          <cell r="B2883" t="str">
            <v>Quá 24h</v>
          </cell>
          <cell r="D2883" t="str">
            <v>Khiếu nại về dịch vụ FTTH</v>
          </cell>
          <cell r="W2883" t="str">
            <v>Đã đóng</v>
          </cell>
          <cell r="AJ2883" t="str">
            <v>Tuyên Quang</v>
          </cell>
          <cell r="BX2883" t="str">
            <v>AON</v>
          </cell>
        </row>
        <row r="2884">
          <cell r="A2884" t="str">
            <v>OP</v>
          </cell>
          <cell r="B2884" t="str">
            <v>Quá 24h</v>
          </cell>
          <cell r="D2884" t="str">
            <v>Khiếu nại về dịch vụ FTTH</v>
          </cell>
          <cell r="W2884" t="str">
            <v>Đã đóng</v>
          </cell>
          <cell r="AJ2884" t="str">
            <v>Lâm Đồng</v>
          </cell>
          <cell r="BX2884" t="str">
            <v>AON</v>
          </cell>
        </row>
        <row r="2885">
          <cell r="A2885" t="str">
            <v>OP</v>
          </cell>
          <cell r="B2885" t="str">
            <v>Quá 24h</v>
          </cell>
          <cell r="D2885" t="str">
            <v>Khiếu nại về dịch vụ FTTH</v>
          </cell>
          <cell r="W2885" t="str">
            <v>Đã đóng</v>
          </cell>
          <cell r="AJ2885" t="str">
            <v>Đồng Tháp</v>
          </cell>
          <cell r="BX2885" t="str">
            <v>AON</v>
          </cell>
        </row>
        <row r="2886">
          <cell r="A2886" t="str">
            <v>OP</v>
          </cell>
          <cell r="B2886" t="str">
            <v>Quá 24h</v>
          </cell>
          <cell r="D2886" t="str">
            <v>Khiếu nại về dịch vụ FTTH</v>
          </cell>
          <cell r="W2886" t="str">
            <v>Đang xử lý</v>
          </cell>
          <cell r="AJ2886" t="str">
            <v>Thái Nguyên</v>
          </cell>
          <cell r="BX2886" t="str">
            <v>AON</v>
          </cell>
        </row>
        <row r="2887">
          <cell r="A2887" t="str">
            <v>OP</v>
          </cell>
          <cell r="B2887" t="str">
            <v>Quá 24h</v>
          </cell>
          <cell r="D2887" t="str">
            <v>Khiếu nại về dịch vụ FTTH</v>
          </cell>
          <cell r="W2887" t="str">
            <v>Đã đóng</v>
          </cell>
          <cell r="AJ2887" t="str">
            <v>Hà Nội 1</v>
          </cell>
          <cell r="BX2887" t="str">
            <v>AON</v>
          </cell>
        </row>
        <row r="2888">
          <cell r="A2888" t="str">
            <v>OP</v>
          </cell>
          <cell r="B2888" t="str">
            <v>Quá 24h</v>
          </cell>
          <cell r="D2888" t="str">
            <v>Khiếu nại về dịch vụ FTTH</v>
          </cell>
          <cell r="W2888" t="str">
            <v>Đã đóng</v>
          </cell>
          <cell r="AJ2888" t="str">
            <v>Hải Phòng</v>
          </cell>
          <cell r="BX2888" t="str">
            <v>AON</v>
          </cell>
        </row>
        <row r="2889">
          <cell r="A2889" t="str">
            <v>OP</v>
          </cell>
          <cell r="B2889" t="str">
            <v>Quá 24h</v>
          </cell>
          <cell r="D2889" t="str">
            <v>Khiếu nại về dịch vụ FTTH</v>
          </cell>
          <cell r="W2889" t="str">
            <v>Đã đóng</v>
          </cell>
          <cell r="AJ2889" t="str">
            <v>TP HCM</v>
          </cell>
          <cell r="BX2889" t="str">
            <v>GPON</v>
          </cell>
        </row>
        <row r="2890">
          <cell r="A2890" t="str">
            <v>OP</v>
          </cell>
          <cell r="B2890" t="str">
            <v>Quá 24h</v>
          </cell>
          <cell r="D2890" t="str">
            <v>Khiếu nại về dịch vụ FTTH</v>
          </cell>
          <cell r="W2890" t="str">
            <v>Đã đóng</v>
          </cell>
          <cell r="AJ2890" t="str">
            <v>TP HCM</v>
          </cell>
          <cell r="BX2890" t="str">
            <v>AON</v>
          </cell>
        </row>
        <row r="2891">
          <cell r="A2891" t="str">
            <v>OP</v>
          </cell>
          <cell r="B2891" t="str">
            <v>Quá 24h</v>
          </cell>
          <cell r="D2891" t="str">
            <v>Khiếu nại về dịch vụ FTTH</v>
          </cell>
          <cell r="W2891" t="str">
            <v>Đã đóng</v>
          </cell>
          <cell r="AJ2891" t="str">
            <v>TP HCM</v>
          </cell>
          <cell r="BX2891" t="str">
            <v>AON</v>
          </cell>
        </row>
        <row r="2892">
          <cell r="A2892" t="str">
            <v>OP</v>
          </cell>
          <cell r="B2892" t="str">
            <v>Quá 24h</v>
          </cell>
          <cell r="D2892" t="str">
            <v>Khiếu nại về dịch vụ FTTH</v>
          </cell>
          <cell r="W2892" t="str">
            <v>Đã đóng</v>
          </cell>
          <cell r="AJ2892" t="str">
            <v>Nghệ An</v>
          </cell>
          <cell r="BX2892" t="str">
            <v>AON</v>
          </cell>
        </row>
        <row r="2893">
          <cell r="A2893" t="str">
            <v>OP</v>
          </cell>
          <cell r="B2893" t="str">
            <v>Quá 24h</v>
          </cell>
          <cell r="D2893" t="str">
            <v>Khiếu nại về dịch vụ FTTH</v>
          </cell>
          <cell r="W2893" t="str">
            <v>Đang xử lý</v>
          </cell>
          <cell r="AJ2893" t="str">
            <v>Quảng Ninh</v>
          </cell>
          <cell r="BX2893" t="str">
            <v>AON</v>
          </cell>
        </row>
        <row r="2894">
          <cell r="A2894" t="str">
            <v>OP</v>
          </cell>
          <cell r="B2894" t="str">
            <v>Quá 24h</v>
          </cell>
          <cell r="D2894" t="str">
            <v>Khiếu nại về dịch vụ FTTH</v>
          </cell>
          <cell r="W2894" t="str">
            <v>Đã đóng</v>
          </cell>
          <cell r="AJ2894" t="str">
            <v>Đồng Tháp</v>
          </cell>
          <cell r="BX2894" t="str">
            <v>AON</v>
          </cell>
        </row>
        <row r="2895">
          <cell r="A2895" t="str">
            <v>OP</v>
          </cell>
          <cell r="B2895" t="str">
            <v>Quá 24h</v>
          </cell>
          <cell r="D2895" t="str">
            <v>Khiếu nại về dịch vụ FTTH</v>
          </cell>
          <cell r="W2895" t="str">
            <v>Đã đóng</v>
          </cell>
          <cell r="AJ2895" t="str">
            <v>Hà Nội 1</v>
          </cell>
          <cell r="BX2895" t="str">
            <v>AON</v>
          </cell>
        </row>
        <row r="2896">
          <cell r="A2896" t="str">
            <v>OP</v>
          </cell>
          <cell r="B2896" t="str">
            <v>Quá 24h</v>
          </cell>
          <cell r="D2896" t="str">
            <v>Khiếu nại về dịch vụ FTTH</v>
          </cell>
          <cell r="W2896" t="str">
            <v>Đã đóng</v>
          </cell>
          <cell r="AJ2896" t="str">
            <v>Gia Lai</v>
          </cell>
          <cell r="BX2896" t="str">
            <v>AON</v>
          </cell>
        </row>
        <row r="2897">
          <cell r="A2897" t="str">
            <v>OP</v>
          </cell>
          <cell r="B2897" t="str">
            <v>Quá 24h</v>
          </cell>
          <cell r="D2897" t="str">
            <v>Khiếu nại về dịch vụ FTTH</v>
          </cell>
          <cell r="W2897" t="str">
            <v>Đang xử lý</v>
          </cell>
          <cell r="AJ2897" t="str">
            <v>TP HCM</v>
          </cell>
          <cell r="BX2897" t="str">
            <v>AON</v>
          </cell>
        </row>
        <row r="2898">
          <cell r="A2898" t="str">
            <v>OP</v>
          </cell>
          <cell r="B2898" t="str">
            <v>Quá 24h</v>
          </cell>
          <cell r="D2898" t="str">
            <v>Khiếu nại về dịch vụ FTTH</v>
          </cell>
          <cell r="W2898" t="str">
            <v>Đã đóng</v>
          </cell>
          <cell r="AJ2898" t="str">
            <v>Hà Nội 2</v>
          </cell>
          <cell r="BX2898" t="str">
            <v>AON</v>
          </cell>
        </row>
        <row r="2899">
          <cell r="A2899" t="str">
            <v>OP</v>
          </cell>
          <cell r="B2899" t="str">
            <v>Quá 24h</v>
          </cell>
          <cell r="D2899" t="str">
            <v>Khiếu nại về dịch vụ FTTH</v>
          </cell>
          <cell r="W2899" t="str">
            <v>Đã đóng</v>
          </cell>
          <cell r="AJ2899" t="str">
            <v>Đắc Nông</v>
          </cell>
          <cell r="BX2899" t="str">
            <v>AON</v>
          </cell>
        </row>
        <row r="2900">
          <cell r="A2900" t="str">
            <v>OP</v>
          </cell>
          <cell r="B2900" t="str">
            <v>Quá 24h</v>
          </cell>
          <cell r="D2900" t="str">
            <v>Khiếu nại về dịch vụ FTTH</v>
          </cell>
          <cell r="W2900" t="str">
            <v>Đã đóng</v>
          </cell>
          <cell r="AJ2900" t="str">
            <v>Kiên Giang</v>
          </cell>
          <cell r="BX2900" t="str">
            <v>AON</v>
          </cell>
        </row>
        <row r="2901">
          <cell r="A2901" t="str">
            <v>OP</v>
          </cell>
          <cell r="B2901" t="str">
            <v>Quá 24h</v>
          </cell>
          <cell r="D2901" t="str">
            <v>Khiếu nại về dịch vụ FTTH</v>
          </cell>
          <cell r="W2901" t="str">
            <v>Đã đóng</v>
          </cell>
          <cell r="AJ2901" t="str">
            <v>Thanh Hoá</v>
          </cell>
          <cell r="BX2901" t="str">
            <v>AON</v>
          </cell>
        </row>
        <row r="2902">
          <cell r="A2902" t="str">
            <v>OP</v>
          </cell>
          <cell r="B2902" t="str">
            <v>Quá 24h</v>
          </cell>
          <cell r="D2902" t="str">
            <v>Khiếu nại về dịch vụ FTTH</v>
          </cell>
          <cell r="W2902" t="str">
            <v>Đang xử lý</v>
          </cell>
          <cell r="AJ2902" t="str">
            <v>Hà Nội 2</v>
          </cell>
          <cell r="BX2902" t="str">
            <v>AON</v>
          </cell>
        </row>
        <row r="2903">
          <cell r="A2903" t="str">
            <v>OP</v>
          </cell>
          <cell r="B2903" t="str">
            <v>Quá 24h</v>
          </cell>
          <cell r="D2903" t="str">
            <v>Khiếu nại về dịch vụ FTTH</v>
          </cell>
          <cell r="W2903" t="str">
            <v>Đã đóng</v>
          </cell>
          <cell r="AJ2903" t="str">
            <v>TP HCM</v>
          </cell>
          <cell r="BX2903" t="str">
            <v>GPON</v>
          </cell>
        </row>
        <row r="2904">
          <cell r="A2904" t="str">
            <v>OP</v>
          </cell>
          <cell r="B2904" t="str">
            <v>Quá 24h</v>
          </cell>
          <cell r="D2904" t="str">
            <v>Khiếu nại về dịch vụ FTTH</v>
          </cell>
          <cell r="W2904" t="str">
            <v>Đã đóng</v>
          </cell>
          <cell r="AJ2904" t="str">
            <v>TP HCM</v>
          </cell>
          <cell r="BX2904" t="str">
            <v>AON</v>
          </cell>
        </row>
        <row r="2905">
          <cell r="A2905" t="str">
            <v>OP</v>
          </cell>
          <cell r="B2905" t="str">
            <v>Quá 24h</v>
          </cell>
          <cell r="D2905" t="str">
            <v>Khiếu nại về dịch vụ FTTH</v>
          </cell>
          <cell r="W2905" t="str">
            <v>Đã đóng</v>
          </cell>
          <cell r="AJ2905" t="str">
            <v>Kiên Giang</v>
          </cell>
          <cell r="BX2905" t="str">
            <v>AON</v>
          </cell>
        </row>
        <row r="2906">
          <cell r="A2906" t="str">
            <v>OP</v>
          </cell>
          <cell r="B2906" t="str">
            <v>Quá 24h</v>
          </cell>
          <cell r="D2906" t="str">
            <v>Khiếu nại về dịch vụ FTTH</v>
          </cell>
          <cell r="W2906" t="str">
            <v>Đã đóng</v>
          </cell>
          <cell r="AJ2906" t="str">
            <v>Hà Nội 1</v>
          </cell>
          <cell r="BX2906" t="str">
            <v>AON</v>
          </cell>
        </row>
        <row r="2907">
          <cell r="A2907" t="str">
            <v>OP</v>
          </cell>
          <cell r="B2907" t="str">
            <v>Quá 24h</v>
          </cell>
          <cell r="D2907" t="str">
            <v>Khiếu nại về dịch vụ FTTH</v>
          </cell>
          <cell r="W2907" t="str">
            <v>Đang xử lý</v>
          </cell>
          <cell r="AJ2907" t="str">
            <v>Bắc Ninh</v>
          </cell>
          <cell r="BX2907" t="str">
            <v>AON</v>
          </cell>
        </row>
        <row r="2908">
          <cell r="A2908" t="str">
            <v>OP</v>
          </cell>
          <cell r="B2908" t="str">
            <v>Quá 24h</v>
          </cell>
          <cell r="D2908" t="str">
            <v>Khiếu nại về dịch vụ FTTH</v>
          </cell>
          <cell r="W2908" t="str">
            <v>Đã đóng</v>
          </cell>
          <cell r="AJ2908" t="str">
            <v>TP HCM</v>
          </cell>
          <cell r="BX2908" t="str">
            <v>AON</v>
          </cell>
        </row>
        <row r="2909">
          <cell r="A2909" t="str">
            <v>OP</v>
          </cell>
          <cell r="B2909" t="str">
            <v>Quá 24h</v>
          </cell>
          <cell r="D2909" t="str">
            <v>Khiếu nại về dịch vụ FTTH</v>
          </cell>
          <cell r="W2909" t="str">
            <v>Đã đóng</v>
          </cell>
          <cell r="AJ2909" t="str">
            <v>Bắc Ninh</v>
          </cell>
          <cell r="BX2909" t="str">
            <v>AON</v>
          </cell>
        </row>
        <row r="2910">
          <cell r="A2910" t="str">
            <v>OP</v>
          </cell>
          <cell r="B2910" t="str">
            <v>Quá 24h</v>
          </cell>
          <cell r="D2910" t="str">
            <v>Khiếu nại về dịch vụ FTTH</v>
          </cell>
          <cell r="W2910" t="str">
            <v>Đã đóng</v>
          </cell>
          <cell r="AJ2910" t="str">
            <v>Quảng Trị</v>
          </cell>
          <cell r="BX2910" t="str">
            <v>AON</v>
          </cell>
        </row>
        <row r="2911">
          <cell r="A2911" t="str">
            <v>OP</v>
          </cell>
          <cell r="B2911" t="str">
            <v>Quá 24h</v>
          </cell>
          <cell r="D2911" t="str">
            <v>Khiếu nại về dịch vụ FTTH</v>
          </cell>
          <cell r="W2911" t="str">
            <v>Đã đóng</v>
          </cell>
          <cell r="AJ2911" t="str">
            <v>Hà Nội 1</v>
          </cell>
          <cell r="BX2911" t="str">
            <v>AON</v>
          </cell>
        </row>
        <row r="2912">
          <cell r="A2912" t="str">
            <v>OP</v>
          </cell>
          <cell r="B2912" t="str">
            <v>Quá 24h</v>
          </cell>
          <cell r="D2912" t="str">
            <v>Khiếu nại về dịch vụ FTTH</v>
          </cell>
          <cell r="W2912" t="str">
            <v>Đang xử lý</v>
          </cell>
          <cell r="AJ2912" t="str">
            <v>Bắc Ninh</v>
          </cell>
          <cell r="BX2912" t="str">
            <v>AON</v>
          </cell>
        </row>
        <row r="2913">
          <cell r="A2913" t="str">
            <v>OP</v>
          </cell>
          <cell r="B2913" t="str">
            <v>Quá 24h</v>
          </cell>
          <cell r="D2913" t="str">
            <v>Khiếu nại về dịch vụ FTTH</v>
          </cell>
          <cell r="W2913" t="str">
            <v>Đã đóng</v>
          </cell>
          <cell r="AJ2913" t="str">
            <v>TP HCM</v>
          </cell>
          <cell r="BX2913" t="str">
            <v>AON</v>
          </cell>
        </row>
        <row r="2914">
          <cell r="A2914" t="str">
            <v>OP</v>
          </cell>
          <cell r="B2914" t="str">
            <v>Quá 24h</v>
          </cell>
          <cell r="D2914" t="str">
            <v>Khiếu nại về dịch vụ FTTH</v>
          </cell>
          <cell r="W2914" t="str">
            <v>Đã đóng</v>
          </cell>
          <cell r="AJ2914" t="str">
            <v>Lào Cai</v>
          </cell>
          <cell r="BX2914" t="str">
            <v>AON</v>
          </cell>
        </row>
        <row r="2915">
          <cell r="A2915" t="str">
            <v>OP</v>
          </cell>
          <cell r="B2915" t="str">
            <v>Quá 24h</v>
          </cell>
          <cell r="D2915" t="str">
            <v>Khiếu nại về dịch vụ FTTH</v>
          </cell>
          <cell r="W2915" t="str">
            <v>Đã đóng</v>
          </cell>
          <cell r="AJ2915" t="str">
            <v>Lạng Sơn</v>
          </cell>
          <cell r="BX2915" t="str">
            <v>AON</v>
          </cell>
        </row>
        <row r="2916">
          <cell r="A2916" t="str">
            <v>OP</v>
          </cell>
          <cell r="B2916" t="str">
            <v>Quá 24h</v>
          </cell>
          <cell r="D2916" t="str">
            <v>Khiếu nại về dịch vụ FTTH</v>
          </cell>
          <cell r="W2916" t="str">
            <v>Đã đóng</v>
          </cell>
          <cell r="AJ2916" t="str">
            <v>Bà Rịa - Vũng Tàu</v>
          </cell>
          <cell r="BX2916" t="str">
            <v>AON</v>
          </cell>
        </row>
        <row r="2917">
          <cell r="A2917" t="str">
            <v>OP</v>
          </cell>
          <cell r="B2917" t="str">
            <v>Quá 24h</v>
          </cell>
          <cell r="D2917" t="str">
            <v>Khiếu nại về dịch vụ FTTH</v>
          </cell>
          <cell r="W2917" t="str">
            <v>Đã đóng</v>
          </cell>
          <cell r="AJ2917" t="str">
            <v>Hà Nội 2</v>
          </cell>
          <cell r="BX2917" t="str">
            <v>AON</v>
          </cell>
        </row>
        <row r="2918">
          <cell r="A2918" t="str">
            <v>OP</v>
          </cell>
          <cell r="B2918" t="str">
            <v>Quá 24h</v>
          </cell>
          <cell r="D2918" t="str">
            <v>Khiếu nại về dịch vụ FTTH</v>
          </cell>
          <cell r="W2918" t="str">
            <v>Đang xử lý</v>
          </cell>
          <cell r="AJ2918" t="str">
            <v>TP HCM</v>
          </cell>
          <cell r="BX2918" t="str">
            <v>AON</v>
          </cell>
        </row>
        <row r="2919">
          <cell r="A2919" t="str">
            <v>OP</v>
          </cell>
          <cell r="B2919" t="str">
            <v>Quá 24h</v>
          </cell>
          <cell r="D2919" t="str">
            <v>Khiếu nại về dịch vụ FTTH</v>
          </cell>
          <cell r="W2919" t="str">
            <v>Đang xử lý</v>
          </cell>
          <cell r="AJ2919" t="str">
            <v xml:space="preserve">Đà Nẵng </v>
          </cell>
          <cell r="BX2919" t="str">
            <v>AON</v>
          </cell>
        </row>
        <row r="2920">
          <cell r="A2920" t="str">
            <v>OP</v>
          </cell>
          <cell r="B2920" t="str">
            <v>Quá 24h</v>
          </cell>
          <cell r="D2920" t="str">
            <v>Khiếu nại về dịch vụ FTTH</v>
          </cell>
          <cell r="W2920" t="str">
            <v>Đã đóng</v>
          </cell>
          <cell r="AJ2920" t="str">
            <v>Hải Phòng</v>
          </cell>
          <cell r="BX2920" t="str">
            <v>AON</v>
          </cell>
        </row>
        <row r="2921">
          <cell r="A2921" t="str">
            <v>OP</v>
          </cell>
          <cell r="B2921" t="str">
            <v>Quá 24h</v>
          </cell>
          <cell r="D2921" t="str">
            <v>Khiếu nại về dịch vụ FTTH</v>
          </cell>
          <cell r="W2921" t="str">
            <v>Đã đóng</v>
          </cell>
          <cell r="AJ2921" t="str">
            <v>Gia Lai</v>
          </cell>
          <cell r="BX2921" t="str">
            <v>AON</v>
          </cell>
        </row>
        <row r="2922">
          <cell r="A2922" t="str">
            <v>OP</v>
          </cell>
          <cell r="B2922" t="str">
            <v>Quá 24h</v>
          </cell>
          <cell r="D2922" t="str">
            <v>Khiếu nại về dịch vụ FTTH</v>
          </cell>
          <cell r="W2922" t="str">
            <v>Đã đóng</v>
          </cell>
          <cell r="AJ2922" t="str">
            <v>Hà Nội 1</v>
          </cell>
          <cell r="BX2922" t="str">
            <v>AON</v>
          </cell>
        </row>
        <row r="2923">
          <cell r="A2923" t="str">
            <v>OP</v>
          </cell>
          <cell r="B2923" t="str">
            <v>Quá 24h</v>
          </cell>
          <cell r="D2923" t="str">
            <v>Khiếu nại về dịch vụ FTTH</v>
          </cell>
          <cell r="W2923" t="str">
            <v>Đang xử lý</v>
          </cell>
          <cell r="AJ2923" t="str">
            <v>TP HCM</v>
          </cell>
          <cell r="BX2923" t="str">
            <v>AON</v>
          </cell>
        </row>
        <row r="2924">
          <cell r="A2924" t="str">
            <v>OP</v>
          </cell>
          <cell r="B2924" t="str">
            <v>Quá 24h</v>
          </cell>
          <cell r="D2924" t="str">
            <v>Khiếu nại về dịch vụ FTTH</v>
          </cell>
          <cell r="W2924" t="str">
            <v>Đã đóng</v>
          </cell>
          <cell r="AJ2924" t="str">
            <v>TP HCM</v>
          </cell>
          <cell r="BX2924" t="str">
            <v>AON</v>
          </cell>
        </row>
        <row r="2925">
          <cell r="A2925" t="str">
            <v>OP</v>
          </cell>
          <cell r="B2925" t="str">
            <v>Quá 24h</v>
          </cell>
          <cell r="D2925" t="str">
            <v>Khiếu nại về dịch vụ FTTH</v>
          </cell>
          <cell r="W2925" t="str">
            <v>Đã đóng</v>
          </cell>
          <cell r="AJ2925" t="str">
            <v>Bắc Giang</v>
          </cell>
          <cell r="BX2925" t="str">
            <v>AON</v>
          </cell>
        </row>
        <row r="2926">
          <cell r="A2926" t="str">
            <v>OP</v>
          </cell>
          <cell r="B2926" t="str">
            <v>Quá 24h</v>
          </cell>
          <cell r="D2926" t="str">
            <v>Khiếu nại về dịch vụ FTTH</v>
          </cell>
          <cell r="W2926" t="str">
            <v>Đã đóng</v>
          </cell>
          <cell r="AJ2926" t="str">
            <v>Quảng Bình</v>
          </cell>
          <cell r="BX2926" t="str">
            <v>AON</v>
          </cell>
        </row>
        <row r="2927">
          <cell r="A2927" t="str">
            <v>OP</v>
          </cell>
          <cell r="B2927" t="str">
            <v>Quá 24h</v>
          </cell>
          <cell r="D2927" t="str">
            <v>Khiếu nại về dịch vụ FTTH</v>
          </cell>
          <cell r="W2927" t="str">
            <v>Đã đóng</v>
          </cell>
          <cell r="AJ2927" t="str">
            <v xml:space="preserve">Đà Nẵng </v>
          </cell>
          <cell r="BX2927" t="str">
            <v>AON</v>
          </cell>
        </row>
        <row r="2928">
          <cell r="A2928" t="str">
            <v>OP</v>
          </cell>
          <cell r="B2928" t="str">
            <v>Quá 24h</v>
          </cell>
          <cell r="D2928" t="str">
            <v>Khiếu nại về dịch vụ FTTH</v>
          </cell>
          <cell r="W2928" t="str">
            <v>Đã đóng</v>
          </cell>
          <cell r="AJ2928" t="str">
            <v>Hà Nội 1</v>
          </cell>
          <cell r="BX2928" t="str">
            <v>AON</v>
          </cell>
        </row>
        <row r="2929">
          <cell r="A2929" t="str">
            <v>OP</v>
          </cell>
          <cell r="B2929" t="str">
            <v>Quá 24h</v>
          </cell>
          <cell r="D2929" t="str">
            <v>Khiếu nại về dịch vụ FTTH</v>
          </cell>
          <cell r="W2929" t="str">
            <v>Đã đóng</v>
          </cell>
          <cell r="AJ2929" t="str">
            <v>TP HCM</v>
          </cell>
          <cell r="BX2929" t="str">
            <v>AON</v>
          </cell>
        </row>
        <row r="2930">
          <cell r="A2930" t="str">
            <v>OP</v>
          </cell>
          <cell r="B2930" t="str">
            <v>Quá 24h</v>
          </cell>
          <cell r="D2930" t="str">
            <v>Khiếu nại về dịch vụ FTTH</v>
          </cell>
          <cell r="W2930" t="str">
            <v>Đã đóng</v>
          </cell>
          <cell r="AJ2930" t="str">
            <v>Thái Nguyên</v>
          </cell>
          <cell r="BX2930" t="str">
            <v>AON</v>
          </cell>
        </row>
        <row r="2931">
          <cell r="A2931" t="str">
            <v>OP</v>
          </cell>
          <cell r="B2931" t="str">
            <v>Quá 24h</v>
          </cell>
          <cell r="D2931" t="str">
            <v>Khiếu nại về dịch vụ FTTH</v>
          </cell>
          <cell r="W2931" t="str">
            <v>Đã đóng</v>
          </cell>
          <cell r="AJ2931" t="str">
            <v>Bắc Giang</v>
          </cell>
          <cell r="BX2931" t="str">
            <v>AON</v>
          </cell>
        </row>
        <row r="2932">
          <cell r="A2932" t="str">
            <v>OP</v>
          </cell>
          <cell r="B2932" t="str">
            <v>Quá 24h</v>
          </cell>
          <cell r="D2932" t="str">
            <v>Khiếu nại về dịch vụ FTTH</v>
          </cell>
          <cell r="W2932" t="str">
            <v>Đã đóng</v>
          </cell>
          <cell r="AJ2932" t="str">
            <v>Bình Thuận</v>
          </cell>
          <cell r="BX2932" t="str">
            <v>AON</v>
          </cell>
        </row>
        <row r="2933">
          <cell r="A2933" t="str">
            <v>OP</v>
          </cell>
          <cell r="B2933" t="str">
            <v>Quá 24h</v>
          </cell>
          <cell r="D2933" t="str">
            <v>Khiếu nại về dịch vụ FTTH</v>
          </cell>
          <cell r="W2933" t="str">
            <v>Đã đóng</v>
          </cell>
          <cell r="AJ2933" t="str">
            <v>Bình Phước</v>
          </cell>
          <cell r="BX2933" t="str">
            <v>AON</v>
          </cell>
        </row>
        <row r="2934">
          <cell r="A2934" t="str">
            <v>OP</v>
          </cell>
          <cell r="B2934" t="str">
            <v>Quá 24h</v>
          </cell>
          <cell r="D2934" t="str">
            <v>Khiếu nại về dịch vụ FTTH</v>
          </cell>
          <cell r="W2934" t="str">
            <v>Đã đóng</v>
          </cell>
          <cell r="AJ2934" t="str">
            <v>Thái Bình</v>
          </cell>
          <cell r="BX2934" t="str">
            <v>AON</v>
          </cell>
        </row>
        <row r="2935">
          <cell r="A2935" t="str">
            <v>OP</v>
          </cell>
          <cell r="B2935" t="str">
            <v>Quá 24h</v>
          </cell>
          <cell r="D2935" t="str">
            <v>Khiếu nại về dịch vụ FTTH</v>
          </cell>
          <cell r="W2935" t="str">
            <v>Đã đóng</v>
          </cell>
          <cell r="AJ2935" t="str">
            <v>TP HCM</v>
          </cell>
          <cell r="BX2935" t="str">
            <v>AON</v>
          </cell>
        </row>
        <row r="2936">
          <cell r="A2936" t="str">
            <v>OP</v>
          </cell>
          <cell r="B2936" t="str">
            <v>Quá 24h</v>
          </cell>
          <cell r="D2936" t="str">
            <v>Khiếu nại về dịch vụ FTTH</v>
          </cell>
          <cell r="W2936" t="str">
            <v>Đã đóng</v>
          </cell>
          <cell r="AJ2936" t="str">
            <v>Nghệ An</v>
          </cell>
          <cell r="BX2936" t="str">
            <v>AON</v>
          </cell>
        </row>
        <row r="2937">
          <cell r="A2937" t="str">
            <v>OP</v>
          </cell>
          <cell r="B2937" t="str">
            <v>Quá 24h</v>
          </cell>
          <cell r="D2937" t="str">
            <v>Khiếu nại về dịch vụ FTTH</v>
          </cell>
          <cell r="W2937" t="str">
            <v>Đã đóng</v>
          </cell>
          <cell r="AJ2937" t="str">
            <v>Bắc Ninh</v>
          </cell>
          <cell r="BX2937" t="str">
            <v>AON</v>
          </cell>
        </row>
        <row r="2938">
          <cell r="A2938" t="str">
            <v>OP</v>
          </cell>
          <cell r="B2938" t="str">
            <v>Quá 24h</v>
          </cell>
          <cell r="D2938" t="str">
            <v>Khiếu nại về dịch vụ FTTH</v>
          </cell>
          <cell r="W2938" t="str">
            <v>Đã đóng</v>
          </cell>
          <cell r="AJ2938" t="str">
            <v>Khánh Hoà</v>
          </cell>
          <cell r="BX2938" t="str">
            <v>AON</v>
          </cell>
        </row>
        <row r="2939">
          <cell r="A2939" t="str">
            <v>OP</v>
          </cell>
          <cell r="B2939" t="str">
            <v>Quá 24h</v>
          </cell>
          <cell r="D2939" t="str">
            <v>Khiếu nại về dịch vụ FTTH</v>
          </cell>
          <cell r="W2939" t="str">
            <v>Đã đóng</v>
          </cell>
          <cell r="AJ2939" t="str">
            <v>Long An</v>
          </cell>
          <cell r="BX2939" t="str">
            <v>AON</v>
          </cell>
        </row>
        <row r="2940">
          <cell r="A2940" t="str">
            <v>OP</v>
          </cell>
          <cell r="B2940" t="str">
            <v>Quá 24h</v>
          </cell>
          <cell r="D2940" t="str">
            <v>Khiếu nại về dịch vụ FTTH</v>
          </cell>
          <cell r="W2940" t="str">
            <v>Đã đóng</v>
          </cell>
          <cell r="AJ2940" t="str">
            <v>Hà Nội 1</v>
          </cell>
          <cell r="BX2940" t="str">
            <v>AON</v>
          </cell>
        </row>
        <row r="2941">
          <cell r="A2941" t="str">
            <v>OP</v>
          </cell>
          <cell r="B2941" t="str">
            <v>Quá 24h</v>
          </cell>
          <cell r="D2941" t="str">
            <v>Khiếu nại về dịch vụ FTTH</v>
          </cell>
          <cell r="W2941" t="str">
            <v>Đã đóng</v>
          </cell>
          <cell r="AJ2941" t="str">
            <v>Thái Nguyên</v>
          </cell>
          <cell r="BX2941" t="str">
            <v>AON</v>
          </cell>
        </row>
        <row r="2942">
          <cell r="A2942" t="str">
            <v>OP</v>
          </cell>
          <cell r="B2942" t="str">
            <v>Quá 24h</v>
          </cell>
          <cell r="D2942" t="str">
            <v>Khiếu nại về dịch vụ FTTH</v>
          </cell>
          <cell r="W2942" t="str">
            <v>Đang xử lý</v>
          </cell>
          <cell r="AJ2942" t="str">
            <v>Bắc Ninh</v>
          </cell>
          <cell r="BX2942" t="str">
            <v>AON</v>
          </cell>
        </row>
        <row r="2943">
          <cell r="A2943" t="str">
            <v>OP</v>
          </cell>
          <cell r="B2943" t="str">
            <v>Quá 24h</v>
          </cell>
          <cell r="D2943" t="str">
            <v>Khiếu nại về dịch vụ FTTH</v>
          </cell>
          <cell r="W2943" t="str">
            <v>Đã đóng</v>
          </cell>
          <cell r="AJ2943" t="str">
            <v>Vĩnh Long</v>
          </cell>
          <cell r="BX2943" t="str">
            <v>AON</v>
          </cell>
        </row>
        <row r="2944">
          <cell r="A2944" t="str">
            <v>OP</v>
          </cell>
          <cell r="B2944" t="str">
            <v>Quá 24h</v>
          </cell>
          <cell r="D2944" t="str">
            <v>Khiếu nại về dịch vụ FTTH</v>
          </cell>
          <cell r="W2944" t="str">
            <v>Đã đóng</v>
          </cell>
          <cell r="AJ2944" t="str">
            <v>TP HCM</v>
          </cell>
          <cell r="BX2944" t="str">
            <v>AON</v>
          </cell>
        </row>
        <row r="2945">
          <cell r="A2945" t="str">
            <v>OP</v>
          </cell>
          <cell r="B2945" t="str">
            <v>Quá 24h</v>
          </cell>
          <cell r="D2945" t="str">
            <v>Khiếu nại về dịch vụ FTTH</v>
          </cell>
          <cell r="W2945" t="str">
            <v>Đã đóng</v>
          </cell>
          <cell r="AJ2945" t="str">
            <v>Đồng Tháp</v>
          </cell>
          <cell r="BX2945" t="str">
            <v>AON</v>
          </cell>
        </row>
        <row r="2946">
          <cell r="A2946" t="str">
            <v>OP</v>
          </cell>
          <cell r="B2946" t="str">
            <v>Quá 24h</v>
          </cell>
          <cell r="D2946" t="str">
            <v>Khiếu nại về dịch vụ FTTH</v>
          </cell>
          <cell r="W2946" t="str">
            <v>Đã đóng</v>
          </cell>
          <cell r="AJ2946" t="str">
            <v>Hậu Giang</v>
          </cell>
          <cell r="BX2946" t="str">
            <v>AON</v>
          </cell>
        </row>
        <row r="2947">
          <cell r="A2947" t="str">
            <v>OP</v>
          </cell>
          <cell r="B2947" t="str">
            <v>Quá 24h</v>
          </cell>
          <cell r="D2947" t="str">
            <v>Khiếu nại về dịch vụ NextTV</v>
          </cell>
          <cell r="W2947" t="str">
            <v>Đã đóng</v>
          </cell>
          <cell r="AJ2947" t="str">
            <v xml:space="preserve">Đắc Lắk </v>
          </cell>
          <cell r="BX2947" t="str">
            <v>AON</v>
          </cell>
        </row>
        <row r="2948">
          <cell r="A2948" t="str">
            <v>OP</v>
          </cell>
          <cell r="B2948" t="str">
            <v>Quá 24h</v>
          </cell>
          <cell r="D2948" t="str">
            <v>Khiếu nại về dịch vụ FTTH</v>
          </cell>
          <cell r="W2948" t="str">
            <v>Đã đóng</v>
          </cell>
          <cell r="AJ2948" t="str">
            <v>Cà Mau</v>
          </cell>
          <cell r="BX2948" t="str">
            <v>AON</v>
          </cell>
        </row>
        <row r="2949">
          <cell r="A2949" t="str">
            <v>OP</v>
          </cell>
          <cell r="B2949" t="str">
            <v>Quá 24h</v>
          </cell>
          <cell r="D2949" t="str">
            <v>Khiếu nại về dịch vụ FTTH</v>
          </cell>
          <cell r="W2949" t="str">
            <v>Đã đóng</v>
          </cell>
          <cell r="AJ2949" t="str">
            <v>Thừa Thiên Huế</v>
          </cell>
          <cell r="BX2949" t="str">
            <v>AON</v>
          </cell>
        </row>
        <row r="2950">
          <cell r="A2950" t="str">
            <v>OP</v>
          </cell>
          <cell r="B2950" t="str">
            <v>Quá 24h</v>
          </cell>
          <cell r="D2950" t="str">
            <v>Khiếu nại về dịch vụ FTTH</v>
          </cell>
          <cell r="W2950" t="str">
            <v>Đã đóng</v>
          </cell>
          <cell r="AJ2950" t="str">
            <v>Thanh Hoá</v>
          </cell>
          <cell r="BX2950" t="str">
            <v>AON</v>
          </cell>
        </row>
        <row r="2951">
          <cell r="A2951" t="str">
            <v>OP</v>
          </cell>
          <cell r="B2951" t="str">
            <v>Quá 24h</v>
          </cell>
          <cell r="D2951" t="str">
            <v>Khiếu nại về dịch vụ FTTH</v>
          </cell>
          <cell r="W2951" t="str">
            <v>Đã đóng</v>
          </cell>
          <cell r="AJ2951" t="str">
            <v>TP HCM</v>
          </cell>
          <cell r="BX2951" t="str">
            <v>AON</v>
          </cell>
        </row>
        <row r="2952">
          <cell r="A2952" t="str">
            <v>OP</v>
          </cell>
          <cell r="B2952" t="str">
            <v>Quá 24h</v>
          </cell>
          <cell r="D2952" t="str">
            <v>Khiếu nại về dịch vụ FTTH</v>
          </cell>
          <cell r="W2952" t="str">
            <v>Đang xử lý</v>
          </cell>
          <cell r="AJ2952" t="str">
            <v>Quảng Ninh</v>
          </cell>
          <cell r="BX2952" t="str">
            <v>AON</v>
          </cell>
        </row>
        <row r="2953">
          <cell r="A2953" t="str">
            <v>OP</v>
          </cell>
          <cell r="B2953" t="str">
            <v>Quá 24h</v>
          </cell>
          <cell r="D2953" t="str">
            <v>Khiếu nại về dịch vụ FTTH</v>
          </cell>
          <cell r="W2953" t="str">
            <v>Đã đóng</v>
          </cell>
          <cell r="AJ2953" t="str">
            <v>Hà Giang</v>
          </cell>
          <cell r="BX2953" t="str">
            <v>AON</v>
          </cell>
        </row>
        <row r="2954">
          <cell r="A2954" t="str">
            <v>OP</v>
          </cell>
          <cell r="B2954" t="str">
            <v>Quá 24h</v>
          </cell>
          <cell r="D2954" t="str">
            <v>Khiếu nại về dịch vụ FTTH</v>
          </cell>
          <cell r="W2954" t="str">
            <v>Đang xử lý</v>
          </cell>
          <cell r="AJ2954" t="str">
            <v>Bình Dương</v>
          </cell>
          <cell r="BX2954" t="str">
            <v>AON</v>
          </cell>
        </row>
        <row r="2955">
          <cell r="A2955" t="str">
            <v>OP</v>
          </cell>
          <cell r="B2955" t="str">
            <v>Quá 24h</v>
          </cell>
          <cell r="D2955" t="str">
            <v>Khiếu nại về dịch vụ FTTH</v>
          </cell>
          <cell r="W2955" t="str">
            <v>Đã đóng</v>
          </cell>
          <cell r="AJ2955" t="str">
            <v>Nam Định</v>
          </cell>
          <cell r="BX2955" t="str">
            <v>AON</v>
          </cell>
        </row>
        <row r="2956">
          <cell r="A2956" t="str">
            <v>OP</v>
          </cell>
          <cell r="B2956" t="str">
            <v>Quá 24h</v>
          </cell>
          <cell r="D2956" t="str">
            <v>Khiếu nại về dịch vụ FTTH</v>
          </cell>
          <cell r="W2956" t="str">
            <v>Đã đóng</v>
          </cell>
          <cell r="AJ2956" t="str">
            <v>TP HCM</v>
          </cell>
          <cell r="BX2956" t="str">
            <v>AON</v>
          </cell>
        </row>
        <row r="2957">
          <cell r="A2957" t="str">
            <v>OP</v>
          </cell>
          <cell r="B2957" t="str">
            <v>Quá 24h</v>
          </cell>
          <cell r="D2957" t="str">
            <v>Khiếu nại về dịch vụ FTTH</v>
          </cell>
          <cell r="W2957" t="str">
            <v>Đã đóng</v>
          </cell>
          <cell r="AJ2957" t="str">
            <v xml:space="preserve">Đắc Lắk </v>
          </cell>
          <cell r="BX2957" t="str">
            <v>AON</v>
          </cell>
        </row>
        <row r="2958">
          <cell r="A2958" t="str">
            <v>OP</v>
          </cell>
          <cell r="B2958" t="str">
            <v>Quá 24h</v>
          </cell>
          <cell r="D2958" t="str">
            <v>Khiếu nại về dịch vụ FTTH</v>
          </cell>
          <cell r="W2958" t="str">
            <v>Đã đóng</v>
          </cell>
          <cell r="AJ2958" t="str">
            <v>Bắc Ninh</v>
          </cell>
          <cell r="BX2958" t="str">
            <v>AON</v>
          </cell>
        </row>
        <row r="2959">
          <cell r="A2959" t="str">
            <v>OP</v>
          </cell>
          <cell r="B2959" t="str">
            <v>Quá 24h</v>
          </cell>
          <cell r="D2959" t="str">
            <v>Khiếu nại về dịch vụ FTTH</v>
          </cell>
          <cell r="W2959" t="str">
            <v>Đang xử lý</v>
          </cell>
          <cell r="AJ2959" t="str">
            <v>Thái Nguyên</v>
          </cell>
          <cell r="BX2959" t="str">
            <v>AON</v>
          </cell>
        </row>
        <row r="2960">
          <cell r="A2960" t="str">
            <v>OP</v>
          </cell>
          <cell r="B2960" t="str">
            <v>Quá 24h</v>
          </cell>
          <cell r="D2960" t="str">
            <v>Khiếu nại về dịch vụ FTTH</v>
          </cell>
          <cell r="W2960" t="str">
            <v>Đã đóng</v>
          </cell>
          <cell r="AJ2960" t="str">
            <v>Thái Bình</v>
          </cell>
          <cell r="BX2960" t="str">
            <v>AON</v>
          </cell>
        </row>
        <row r="2961">
          <cell r="A2961" t="str">
            <v>OP</v>
          </cell>
          <cell r="B2961" t="str">
            <v>Quá 24h</v>
          </cell>
          <cell r="D2961" t="str">
            <v>Khiếu nại về dịch vụ FTTH</v>
          </cell>
          <cell r="W2961" t="str">
            <v>Đã đóng</v>
          </cell>
          <cell r="AJ2961" t="str">
            <v>TP HCM</v>
          </cell>
          <cell r="BX2961" t="str">
            <v>AON</v>
          </cell>
        </row>
        <row r="2962">
          <cell r="A2962" t="str">
            <v>OP</v>
          </cell>
          <cell r="B2962" t="str">
            <v>Quá 24h</v>
          </cell>
          <cell r="D2962" t="str">
            <v>Khiếu nại về dịch vụ FTTH</v>
          </cell>
          <cell r="W2962" t="str">
            <v>Đã đóng</v>
          </cell>
          <cell r="AJ2962" t="str">
            <v>Thái Bình</v>
          </cell>
          <cell r="BX2962" t="str">
            <v>AON</v>
          </cell>
        </row>
        <row r="2963">
          <cell r="A2963" t="str">
            <v>OP</v>
          </cell>
          <cell r="B2963" t="str">
            <v>Quá 24h</v>
          </cell>
          <cell r="D2963" t="str">
            <v>Khiếu nại về dịch vụ FTTH</v>
          </cell>
          <cell r="W2963" t="str">
            <v>Đã đóng</v>
          </cell>
          <cell r="AJ2963" t="str">
            <v>Bắc Ninh</v>
          </cell>
          <cell r="BX2963" t="str">
            <v>AON</v>
          </cell>
        </row>
        <row r="2964">
          <cell r="A2964" t="str">
            <v>OP</v>
          </cell>
          <cell r="B2964" t="str">
            <v>Quá 24h</v>
          </cell>
          <cell r="D2964" t="str">
            <v>Khiếu nại về dịch vụ FTTH</v>
          </cell>
          <cell r="W2964" t="str">
            <v>Đã đóng</v>
          </cell>
          <cell r="AJ2964" t="str">
            <v xml:space="preserve">Hà Tĩnh </v>
          </cell>
          <cell r="BX2964" t="str">
            <v>AON</v>
          </cell>
        </row>
        <row r="2965">
          <cell r="A2965" t="str">
            <v>OP</v>
          </cell>
          <cell r="B2965" t="str">
            <v>Quá 24h</v>
          </cell>
          <cell r="D2965" t="str">
            <v>Khiếu nại về dịch vụ FTTH</v>
          </cell>
          <cell r="W2965" t="str">
            <v>Đã đóng</v>
          </cell>
          <cell r="AJ2965" t="str">
            <v>Thái Bình</v>
          </cell>
          <cell r="BX2965" t="str">
            <v>AON</v>
          </cell>
        </row>
        <row r="2966">
          <cell r="A2966" t="str">
            <v>OP</v>
          </cell>
          <cell r="B2966" t="str">
            <v>Quá 24h</v>
          </cell>
          <cell r="D2966" t="str">
            <v>Khiếu nại về dịch vụ FTTH</v>
          </cell>
          <cell r="W2966" t="str">
            <v>Đã đóng</v>
          </cell>
          <cell r="AJ2966" t="str">
            <v>Thanh Hoá</v>
          </cell>
          <cell r="BX2966" t="str">
            <v>AON</v>
          </cell>
        </row>
        <row r="2967">
          <cell r="A2967" t="str">
            <v>OP</v>
          </cell>
          <cell r="B2967" t="str">
            <v>Quá 24h</v>
          </cell>
          <cell r="D2967" t="str">
            <v>Khiếu nại về dịch vụ FTTH</v>
          </cell>
          <cell r="W2967" t="str">
            <v>Đã đóng</v>
          </cell>
          <cell r="AJ2967" t="str">
            <v>TP HCM</v>
          </cell>
          <cell r="BX2967" t="str">
            <v>AON</v>
          </cell>
        </row>
        <row r="2968">
          <cell r="A2968" t="str">
            <v>OP</v>
          </cell>
          <cell r="B2968" t="str">
            <v>Quá 24h</v>
          </cell>
          <cell r="D2968" t="str">
            <v>Khiếu nại về dịch vụ NextTV</v>
          </cell>
          <cell r="W2968" t="str">
            <v>Đã đóng</v>
          </cell>
          <cell r="AJ2968" t="str">
            <v>Vĩnh Phúc</v>
          </cell>
          <cell r="BX2968" t="str">
            <v>AON</v>
          </cell>
        </row>
        <row r="2969">
          <cell r="A2969" t="str">
            <v>OP</v>
          </cell>
          <cell r="B2969" t="str">
            <v>Quá 24h</v>
          </cell>
          <cell r="D2969" t="str">
            <v>Khiếu nại về dịch vụ FTTH</v>
          </cell>
          <cell r="W2969" t="str">
            <v>Đã đóng</v>
          </cell>
          <cell r="AJ2969" t="str">
            <v>Hà Nội 1</v>
          </cell>
          <cell r="BX2969" t="str">
            <v>AON</v>
          </cell>
        </row>
        <row r="2970">
          <cell r="A2970" t="str">
            <v>OP</v>
          </cell>
          <cell r="B2970" t="str">
            <v>Quá 24h</v>
          </cell>
          <cell r="D2970" t="str">
            <v>Khiếu nại về dịch vụ FTTH</v>
          </cell>
          <cell r="W2970" t="str">
            <v>Đã đóng</v>
          </cell>
          <cell r="AJ2970" t="str">
            <v>TP HCM</v>
          </cell>
          <cell r="BX2970" t="str">
            <v>AON</v>
          </cell>
        </row>
        <row r="2971">
          <cell r="A2971" t="str">
            <v>OP</v>
          </cell>
          <cell r="B2971" t="str">
            <v>Quá 24h</v>
          </cell>
          <cell r="D2971" t="str">
            <v>Khiếu nại về dịch vụ FTTH</v>
          </cell>
          <cell r="W2971" t="str">
            <v>Đã đóng</v>
          </cell>
          <cell r="AJ2971" t="str">
            <v>Nghệ An</v>
          </cell>
          <cell r="BX2971" t="str">
            <v>AON</v>
          </cell>
        </row>
        <row r="2972">
          <cell r="A2972" t="str">
            <v>OP</v>
          </cell>
          <cell r="B2972" t="str">
            <v>Quá 24h</v>
          </cell>
          <cell r="D2972" t="str">
            <v>Khiếu nại về dịch vụ FTTH</v>
          </cell>
          <cell r="W2972" t="str">
            <v>Đã đóng</v>
          </cell>
          <cell r="AJ2972" t="str">
            <v>TP HCM</v>
          </cell>
          <cell r="BX2972" t="str">
            <v>AON</v>
          </cell>
        </row>
        <row r="2973">
          <cell r="A2973" t="str">
            <v>OP</v>
          </cell>
          <cell r="B2973" t="str">
            <v>Quá 24h</v>
          </cell>
          <cell r="D2973" t="str">
            <v>Khiếu nại về dịch vụ FTTH</v>
          </cell>
          <cell r="W2973" t="str">
            <v>Đã đóng</v>
          </cell>
          <cell r="AJ2973" t="str">
            <v>TP HCM</v>
          </cell>
          <cell r="BX2973" t="str">
            <v>AON</v>
          </cell>
        </row>
        <row r="2974">
          <cell r="A2974" t="str">
            <v>OP</v>
          </cell>
          <cell r="B2974" t="str">
            <v>Quá 24h</v>
          </cell>
          <cell r="D2974" t="str">
            <v>Khiếu nại về dịch vụ FTTH</v>
          </cell>
          <cell r="W2974" t="str">
            <v>Đã đóng</v>
          </cell>
          <cell r="AJ2974" t="str">
            <v>Nghệ An</v>
          </cell>
          <cell r="BX2974" t="str">
            <v>AON</v>
          </cell>
        </row>
        <row r="2975">
          <cell r="A2975" t="str">
            <v>OP</v>
          </cell>
          <cell r="B2975" t="str">
            <v>Quá 24h</v>
          </cell>
          <cell r="D2975" t="str">
            <v>Khiếu nại về dịch vụ FTTH</v>
          </cell>
          <cell r="W2975" t="str">
            <v>Đã đóng</v>
          </cell>
          <cell r="AJ2975" t="str">
            <v>Hà Nội 2</v>
          </cell>
          <cell r="BX2975" t="str">
            <v>AON</v>
          </cell>
        </row>
        <row r="2976">
          <cell r="A2976" t="str">
            <v>OP</v>
          </cell>
          <cell r="B2976" t="str">
            <v>Quá 24h</v>
          </cell>
          <cell r="D2976" t="str">
            <v>Khiếu nại về dịch vụ FTTH</v>
          </cell>
          <cell r="W2976" t="str">
            <v>Đang xử lý</v>
          </cell>
          <cell r="AJ2976" t="str">
            <v>Bình Dương</v>
          </cell>
          <cell r="BX2976" t="str">
            <v>AON</v>
          </cell>
        </row>
        <row r="2977">
          <cell r="A2977" t="str">
            <v>OP</v>
          </cell>
          <cell r="B2977" t="str">
            <v>Quá 24h</v>
          </cell>
          <cell r="D2977" t="str">
            <v>Khiếu nại về dịch vụ FTTH</v>
          </cell>
          <cell r="W2977" t="str">
            <v>Đang xử lý</v>
          </cell>
          <cell r="AJ2977" t="str">
            <v>Bình Thuận</v>
          </cell>
          <cell r="BX2977" t="str">
            <v>AON</v>
          </cell>
        </row>
        <row r="2978">
          <cell r="A2978" t="str">
            <v>OP</v>
          </cell>
          <cell r="B2978" t="str">
            <v>Quá 24h</v>
          </cell>
          <cell r="D2978" t="str">
            <v>Khiếu nại về dịch vụ FTTH</v>
          </cell>
          <cell r="W2978" t="str">
            <v>Đã đóng</v>
          </cell>
          <cell r="AJ2978" t="str">
            <v>Hà Nội 1</v>
          </cell>
          <cell r="BX2978" t="str">
            <v>AON</v>
          </cell>
        </row>
        <row r="2979">
          <cell r="A2979" t="str">
            <v>OP</v>
          </cell>
          <cell r="B2979" t="str">
            <v>Quá 24h</v>
          </cell>
          <cell r="D2979" t="str">
            <v>Khiếu nại về dịch vụ NextTV</v>
          </cell>
          <cell r="W2979" t="str">
            <v>Đã đóng</v>
          </cell>
          <cell r="AJ2979" t="str">
            <v>Phú Thọ</v>
          </cell>
          <cell r="BX2979" t="str">
            <v>AON</v>
          </cell>
        </row>
        <row r="2980">
          <cell r="A2980" t="str">
            <v>OP</v>
          </cell>
          <cell r="B2980" t="str">
            <v>Quá 24h</v>
          </cell>
          <cell r="D2980" t="str">
            <v>Khiếu nại về dịch vụ FTTH</v>
          </cell>
          <cell r="W2980" t="str">
            <v>Đã đóng</v>
          </cell>
          <cell r="AJ2980" t="str">
            <v>Hà Nam</v>
          </cell>
          <cell r="BX2980" t="str">
            <v>AON</v>
          </cell>
        </row>
        <row r="2981">
          <cell r="A2981" t="str">
            <v>OP</v>
          </cell>
          <cell r="B2981" t="str">
            <v>Quá 24h</v>
          </cell>
          <cell r="D2981" t="str">
            <v>Khiếu nại về dịch vụ FTTH</v>
          </cell>
          <cell r="W2981" t="str">
            <v>Đã đóng</v>
          </cell>
          <cell r="AJ2981" t="str">
            <v>TP HCM</v>
          </cell>
          <cell r="BX2981" t="str">
            <v>AON</v>
          </cell>
        </row>
        <row r="2982">
          <cell r="A2982" t="str">
            <v>OP</v>
          </cell>
          <cell r="B2982" t="str">
            <v>Quá 24h</v>
          </cell>
          <cell r="D2982" t="str">
            <v>Khiếu nại về dịch vụ FTTH</v>
          </cell>
          <cell r="W2982" t="str">
            <v>Đã đóng</v>
          </cell>
          <cell r="AJ2982" t="str">
            <v xml:space="preserve">Đồng Nai </v>
          </cell>
          <cell r="BX2982" t="str">
            <v>AON</v>
          </cell>
        </row>
        <row r="2983">
          <cell r="A2983" t="str">
            <v>OP</v>
          </cell>
          <cell r="B2983" t="str">
            <v>Quá 24h</v>
          </cell>
          <cell r="D2983" t="str">
            <v>Khiếu nại về dịch vụ FTTH</v>
          </cell>
          <cell r="W2983" t="str">
            <v>Đã đóng</v>
          </cell>
          <cell r="AJ2983" t="str">
            <v>Tây Ninh</v>
          </cell>
          <cell r="BX2983" t="str">
            <v>AON</v>
          </cell>
        </row>
        <row r="2984">
          <cell r="A2984" t="str">
            <v>OP</v>
          </cell>
          <cell r="B2984" t="str">
            <v>Quá 24h</v>
          </cell>
          <cell r="D2984" t="str">
            <v>Khiếu nại về dịch vụ NextTV</v>
          </cell>
          <cell r="W2984" t="str">
            <v>Đã đóng</v>
          </cell>
          <cell r="AJ2984" t="str">
            <v>TP HCM</v>
          </cell>
          <cell r="BX2984" t="str">
            <v>AON</v>
          </cell>
        </row>
        <row r="2985">
          <cell r="A2985" t="str">
            <v>OP</v>
          </cell>
          <cell r="B2985" t="str">
            <v>Quá 24h</v>
          </cell>
          <cell r="D2985" t="str">
            <v>Khiếu nại về dịch vụ FTTH</v>
          </cell>
          <cell r="W2985" t="str">
            <v>Đã đóng</v>
          </cell>
          <cell r="AJ2985" t="str">
            <v>TP HCM</v>
          </cell>
          <cell r="BX2985" t="str">
            <v>AON</v>
          </cell>
        </row>
        <row r="2986">
          <cell r="A2986" t="str">
            <v>OP</v>
          </cell>
          <cell r="B2986" t="str">
            <v>Quá 24h</v>
          </cell>
          <cell r="D2986" t="str">
            <v>Khiếu nại về dịch vụ FTTH</v>
          </cell>
          <cell r="W2986" t="str">
            <v>Đã đóng</v>
          </cell>
          <cell r="AJ2986" t="str">
            <v>Ninh Bình</v>
          </cell>
          <cell r="BX2986" t="str">
            <v>AON</v>
          </cell>
        </row>
        <row r="2987">
          <cell r="A2987" t="str">
            <v>OP</v>
          </cell>
          <cell r="B2987" t="str">
            <v>Quá 24h</v>
          </cell>
          <cell r="D2987" t="str">
            <v>Khiếu nại về dịch vụ FTTH</v>
          </cell>
          <cell r="W2987" t="str">
            <v>Đã đóng</v>
          </cell>
          <cell r="AJ2987" t="str">
            <v>Thái Nguyên</v>
          </cell>
          <cell r="BX2987" t="str">
            <v>AON</v>
          </cell>
        </row>
        <row r="2988">
          <cell r="A2988" t="str">
            <v>OP</v>
          </cell>
          <cell r="B2988" t="str">
            <v>Quá 24h</v>
          </cell>
          <cell r="D2988" t="str">
            <v>Khiếu nại về dịch vụ FTTH</v>
          </cell>
          <cell r="W2988" t="str">
            <v>Đã đóng</v>
          </cell>
          <cell r="AJ2988" t="str">
            <v>Vĩnh Long</v>
          </cell>
          <cell r="BX2988" t="str">
            <v>AON</v>
          </cell>
        </row>
        <row r="2989">
          <cell r="A2989" t="str">
            <v>OP</v>
          </cell>
          <cell r="B2989" t="str">
            <v>Quá 24h</v>
          </cell>
          <cell r="D2989" t="str">
            <v>Khiếu nại về dịch vụ FTTH</v>
          </cell>
          <cell r="W2989" t="str">
            <v>Đã đóng</v>
          </cell>
          <cell r="AJ2989" t="str">
            <v>TP HCM</v>
          </cell>
          <cell r="BX2989" t="str">
            <v>GPON</v>
          </cell>
        </row>
        <row r="2990">
          <cell r="A2990" t="str">
            <v>OP</v>
          </cell>
          <cell r="B2990" t="str">
            <v>Quá 24h</v>
          </cell>
          <cell r="D2990" t="str">
            <v>Khiếu nại về dịch vụ FTTH</v>
          </cell>
          <cell r="W2990" t="str">
            <v>Đã đóng</v>
          </cell>
          <cell r="AJ2990" t="str">
            <v>TP HCM</v>
          </cell>
          <cell r="BX2990" t="str">
            <v>AON</v>
          </cell>
        </row>
        <row r="2991">
          <cell r="A2991" t="str">
            <v>OP</v>
          </cell>
          <cell r="B2991" t="str">
            <v>Quá 24h</v>
          </cell>
          <cell r="D2991" t="str">
            <v>Khiếu nại về dịch vụ FTTH</v>
          </cell>
          <cell r="W2991" t="str">
            <v>Đã đóng</v>
          </cell>
          <cell r="AJ2991" t="str">
            <v>Thái Bình</v>
          </cell>
          <cell r="BX2991" t="str">
            <v>AON</v>
          </cell>
        </row>
        <row r="2992">
          <cell r="A2992" t="str">
            <v>OP</v>
          </cell>
          <cell r="B2992" t="str">
            <v>Quá 24h</v>
          </cell>
          <cell r="D2992" t="str">
            <v>Khiếu nại về dịch vụ FTTH</v>
          </cell>
          <cell r="W2992" t="str">
            <v>Đang xử lý</v>
          </cell>
          <cell r="AJ2992" t="str">
            <v>Thừa Thiên Huế</v>
          </cell>
          <cell r="BX2992" t="str">
            <v>AON</v>
          </cell>
        </row>
        <row r="2993">
          <cell r="A2993" t="str">
            <v>OP</v>
          </cell>
          <cell r="B2993" t="str">
            <v>Quá 24h</v>
          </cell>
          <cell r="D2993" t="str">
            <v>Khiếu nại về dịch vụ FTTH</v>
          </cell>
          <cell r="W2993" t="str">
            <v>Đã đóng</v>
          </cell>
          <cell r="AJ2993" t="str">
            <v xml:space="preserve">Đồng Nai </v>
          </cell>
          <cell r="BX2993" t="str">
            <v>AON</v>
          </cell>
        </row>
        <row r="2994">
          <cell r="A2994" t="str">
            <v>OP</v>
          </cell>
          <cell r="B2994" t="str">
            <v>Quá 24h</v>
          </cell>
          <cell r="D2994" t="str">
            <v>Khiếu nại về dịch vụ FTTH</v>
          </cell>
          <cell r="W2994" t="str">
            <v>Đã đóng</v>
          </cell>
          <cell r="AJ2994" t="str">
            <v>TP HCM</v>
          </cell>
          <cell r="BX2994" t="str">
            <v>AON</v>
          </cell>
        </row>
        <row r="2995">
          <cell r="A2995" t="str">
            <v>OP</v>
          </cell>
          <cell r="B2995" t="str">
            <v>Quá 24h</v>
          </cell>
          <cell r="D2995" t="str">
            <v>Khiếu nại về dịch vụ FTTH</v>
          </cell>
          <cell r="W2995" t="str">
            <v>Đã đóng</v>
          </cell>
          <cell r="AJ2995" t="str">
            <v>Hà Nội 2</v>
          </cell>
          <cell r="BX2995" t="str">
            <v>AON</v>
          </cell>
        </row>
        <row r="2996">
          <cell r="A2996" t="str">
            <v>OP</v>
          </cell>
          <cell r="B2996" t="str">
            <v>Quá 24h</v>
          </cell>
          <cell r="D2996" t="str">
            <v>Khiếu nại về dịch vụ FTTH</v>
          </cell>
          <cell r="W2996" t="str">
            <v>Đã đóng</v>
          </cell>
          <cell r="AJ2996" t="str">
            <v>Hà Nội 2</v>
          </cell>
          <cell r="BX2996" t="str">
            <v>AON</v>
          </cell>
        </row>
        <row r="2997">
          <cell r="A2997" t="str">
            <v>OP</v>
          </cell>
          <cell r="B2997" t="str">
            <v>Quá 24h</v>
          </cell>
          <cell r="D2997" t="str">
            <v>Khiếu nại về dịch vụ FTTH</v>
          </cell>
          <cell r="W2997" t="str">
            <v>Đã đóng</v>
          </cell>
          <cell r="AJ2997" t="str">
            <v>TP HCM</v>
          </cell>
          <cell r="BX2997" t="str">
            <v>AON</v>
          </cell>
        </row>
        <row r="2998">
          <cell r="A2998" t="str">
            <v>OP</v>
          </cell>
          <cell r="B2998" t="str">
            <v>Quá 24h</v>
          </cell>
          <cell r="D2998" t="str">
            <v>Khiếu nại về dịch vụ FTTH</v>
          </cell>
          <cell r="W2998" t="str">
            <v>Đã đóng</v>
          </cell>
          <cell r="AJ2998" t="str">
            <v>Hải Phòng</v>
          </cell>
          <cell r="BX2998" t="str">
            <v>AON</v>
          </cell>
        </row>
        <row r="2999">
          <cell r="A2999" t="str">
            <v>OP</v>
          </cell>
          <cell r="B2999" t="str">
            <v>Quá 24h</v>
          </cell>
          <cell r="D2999" t="str">
            <v>Khiếu nại về dịch vụ FTTH</v>
          </cell>
          <cell r="W2999" t="str">
            <v>Đã đóng</v>
          </cell>
          <cell r="AJ2999" t="str">
            <v>Hà Nội 1</v>
          </cell>
          <cell r="BX2999" t="str">
            <v>AON</v>
          </cell>
        </row>
        <row r="3000">
          <cell r="A3000" t="str">
            <v>OP</v>
          </cell>
          <cell r="B3000" t="str">
            <v>Quá 24h</v>
          </cell>
          <cell r="D3000" t="str">
            <v>Khiếu nại về dịch vụ FTTH</v>
          </cell>
          <cell r="W3000" t="str">
            <v>Đã đóng</v>
          </cell>
          <cell r="AJ3000" t="str">
            <v>Hậu Giang</v>
          </cell>
          <cell r="BX3000" t="str">
            <v>AON</v>
          </cell>
        </row>
        <row r="3001">
          <cell r="A3001" t="str">
            <v>OP</v>
          </cell>
          <cell r="B3001" t="str">
            <v>Quá 24h</v>
          </cell>
          <cell r="D3001" t="str">
            <v>Khiếu nại về dịch vụ FTTH</v>
          </cell>
          <cell r="W3001" t="str">
            <v>Đã đóng</v>
          </cell>
          <cell r="AJ3001" t="str">
            <v>Hà Nội 1</v>
          </cell>
          <cell r="BX3001" t="str">
            <v>AON</v>
          </cell>
        </row>
        <row r="3002">
          <cell r="A3002" t="str">
            <v>OP</v>
          </cell>
          <cell r="B3002" t="str">
            <v>Quá 24h</v>
          </cell>
          <cell r="D3002" t="str">
            <v>Khiếu nại về dịch vụ FTTH</v>
          </cell>
          <cell r="W3002" t="str">
            <v>Đã đóng</v>
          </cell>
          <cell r="AJ3002" t="str">
            <v>Bình Thuận</v>
          </cell>
          <cell r="BX3002" t="str">
            <v>AON</v>
          </cell>
        </row>
        <row r="3003">
          <cell r="A3003" t="str">
            <v>OP</v>
          </cell>
          <cell r="B3003" t="str">
            <v>Quá 24h</v>
          </cell>
          <cell r="D3003" t="str">
            <v>Khiếu nại về dịch vụ FTTH</v>
          </cell>
          <cell r="W3003" t="str">
            <v>Đã đóng</v>
          </cell>
          <cell r="AJ3003" t="str">
            <v>TP HCM</v>
          </cell>
          <cell r="BX3003" t="str">
            <v>AON</v>
          </cell>
        </row>
        <row r="3004">
          <cell r="A3004" t="str">
            <v>OP</v>
          </cell>
          <cell r="B3004" t="str">
            <v>Quá 24h</v>
          </cell>
          <cell r="D3004" t="str">
            <v>Khiếu nại về dịch vụ FTTH</v>
          </cell>
          <cell r="W3004" t="str">
            <v>Đã đóng</v>
          </cell>
          <cell r="AJ3004" t="str">
            <v>TP HCM</v>
          </cell>
          <cell r="BX3004" t="str">
            <v>AON</v>
          </cell>
        </row>
        <row r="3005">
          <cell r="A3005" t="str">
            <v>OP</v>
          </cell>
          <cell r="B3005" t="str">
            <v>Quá 24h</v>
          </cell>
          <cell r="D3005" t="str">
            <v>Khiếu nại về dịch vụ FTTH</v>
          </cell>
          <cell r="W3005" t="str">
            <v>Đã đóng</v>
          </cell>
          <cell r="AJ3005" t="str">
            <v>Bình Thuận</v>
          </cell>
          <cell r="BX3005" t="str">
            <v>AON</v>
          </cell>
        </row>
        <row r="3006">
          <cell r="A3006" t="str">
            <v>OP</v>
          </cell>
          <cell r="B3006" t="str">
            <v>Quá 24h</v>
          </cell>
          <cell r="D3006" t="str">
            <v>Khiếu nại về dịch vụ FTTH</v>
          </cell>
          <cell r="W3006" t="str">
            <v>Đã đóng</v>
          </cell>
          <cell r="AJ3006" t="str">
            <v>Lào Cai</v>
          </cell>
          <cell r="BX3006" t="str">
            <v>AON</v>
          </cell>
        </row>
        <row r="3007">
          <cell r="A3007" t="str">
            <v>OP</v>
          </cell>
          <cell r="B3007" t="str">
            <v>Quá 24h</v>
          </cell>
          <cell r="D3007" t="str">
            <v>Khiếu nại về dịch vụ FTTH</v>
          </cell>
          <cell r="W3007" t="str">
            <v>Đã đóng</v>
          </cell>
          <cell r="AJ3007" t="str">
            <v>Ninh Bình</v>
          </cell>
          <cell r="BX3007" t="str">
            <v>AON</v>
          </cell>
        </row>
        <row r="3008">
          <cell r="A3008" t="str">
            <v>OP</v>
          </cell>
          <cell r="B3008" t="str">
            <v>Quá 24h</v>
          </cell>
          <cell r="D3008" t="str">
            <v>Khiếu nại về dịch vụ FTTH</v>
          </cell>
          <cell r="W3008" t="str">
            <v>Đã đóng</v>
          </cell>
          <cell r="AJ3008" t="str">
            <v>Cần Thơ</v>
          </cell>
          <cell r="BX3008" t="str">
            <v>AON</v>
          </cell>
        </row>
        <row r="3009">
          <cell r="A3009" t="str">
            <v>OP</v>
          </cell>
          <cell r="B3009" t="str">
            <v>Quá 24h</v>
          </cell>
          <cell r="D3009" t="str">
            <v>Khiếu nại về dịch vụ FTTH</v>
          </cell>
          <cell r="W3009" t="str">
            <v>Đã đóng</v>
          </cell>
          <cell r="AJ3009" t="str">
            <v>Tuyên Quang</v>
          </cell>
          <cell r="BX3009" t="str">
            <v>AON</v>
          </cell>
        </row>
        <row r="3010">
          <cell r="A3010" t="str">
            <v>OP</v>
          </cell>
          <cell r="B3010" t="str">
            <v>Quá 24h</v>
          </cell>
          <cell r="D3010" t="str">
            <v>Khiếu nại về dịch vụ FTTH</v>
          </cell>
          <cell r="W3010" t="str">
            <v>Đã đóng</v>
          </cell>
          <cell r="AJ3010" t="str">
            <v>Hà Nội 1</v>
          </cell>
          <cell r="BX3010" t="str">
            <v>AON</v>
          </cell>
        </row>
        <row r="3011">
          <cell r="A3011" t="str">
            <v>OP</v>
          </cell>
          <cell r="B3011" t="str">
            <v>Quá 24h</v>
          </cell>
          <cell r="D3011" t="str">
            <v>Khiếu nại về dịch vụ FTTH</v>
          </cell>
          <cell r="W3011" t="str">
            <v>Đã đóng</v>
          </cell>
          <cell r="AJ3011" t="str">
            <v>Bà Rịa - Vũng Tàu</v>
          </cell>
          <cell r="BX3011" t="str">
            <v>AON</v>
          </cell>
        </row>
        <row r="3012">
          <cell r="A3012" t="str">
            <v>OP</v>
          </cell>
          <cell r="B3012" t="str">
            <v>Quá 24h</v>
          </cell>
          <cell r="D3012" t="str">
            <v>Khiếu nại về dịch vụ FTTH</v>
          </cell>
          <cell r="W3012" t="str">
            <v>Đã đóng</v>
          </cell>
          <cell r="AJ3012" t="str">
            <v>Thái Nguyên</v>
          </cell>
          <cell r="BX3012" t="str">
            <v>AON</v>
          </cell>
        </row>
        <row r="3013">
          <cell r="A3013" t="str">
            <v>OP</v>
          </cell>
          <cell r="B3013" t="str">
            <v>Quá 24h</v>
          </cell>
          <cell r="D3013" t="str">
            <v>Khiếu nại về dịch vụ FTTH</v>
          </cell>
          <cell r="W3013" t="str">
            <v>Đã đóng</v>
          </cell>
          <cell r="AJ3013" t="str">
            <v>Hậu Giang</v>
          </cell>
          <cell r="BX3013" t="str">
            <v>AON</v>
          </cell>
        </row>
        <row r="3014">
          <cell r="A3014" t="str">
            <v>OP</v>
          </cell>
          <cell r="B3014" t="str">
            <v>Quá 24h</v>
          </cell>
          <cell r="D3014" t="str">
            <v>Khiếu nại về dịch vụ FTTH</v>
          </cell>
          <cell r="W3014" t="str">
            <v>Đã đóng</v>
          </cell>
          <cell r="AJ3014" t="str">
            <v>TP HCM</v>
          </cell>
          <cell r="BX3014" t="str">
            <v>AON</v>
          </cell>
        </row>
        <row r="3015">
          <cell r="A3015" t="str">
            <v>OP</v>
          </cell>
          <cell r="B3015" t="str">
            <v>Quá 24h</v>
          </cell>
          <cell r="D3015" t="str">
            <v>Khiếu nại về dịch vụ FTTH</v>
          </cell>
          <cell r="W3015" t="str">
            <v>Đang xử lý</v>
          </cell>
          <cell r="AJ3015" t="str">
            <v>Thái Nguyên</v>
          </cell>
          <cell r="BX3015" t="str">
            <v>AON</v>
          </cell>
        </row>
        <row r="3016">
          <cell r="A3016" t="str">
            <v>OP</v>
          </cell>
          <cell r="B3016" t="str">
            <v>Quá 24h</v>
          </cell>
          <cell r="D3016" t="str">
            <v>Khiếu nại về dịch vụ NextTV</v>
          </cell>
          <cell r="W3016" t="str">
            <v>Đã đóng</v>
          </cell>
          <cell r="AJ3016" t="str">
            <v>Khánh Hoà</v>
          </cell>
          <cell r="BX3016" t="str">
            <v>AON</v>
          </cell>
        </row>
        <row r="3017">
          <cell r="A3017" t="str">
            <v>OP</v>
          </cell>
          <cell r="B3017" t="str">
            <v>Quá 24h</v>
          </cell>
          <cell r="D3017" t="str">
            <v>Khiếu nại về dịch vụ FTTH</v>
          </cell>
          <cell r="W3017" t="str">
            <v>Đã đóng</v>
          </cell>
          <cell r="AJ3017" t="str">
            <v>Hải Phòng</v>
          </cell>
          <cell r="BX3017" t="str">
            <v>AON</v>
          </cell>
        </row>
        <row r="3018">
          <cell r="A3018" t="str">
            <v>OP</v>
          </cell>
          <cell r="B3018" t="str">
            <v>Quá 24h</v>
          </cell>
          <cell r="D3018" t="str">
            <v>Khiếu nại về dịch vụ FTTH</v>
          </cell>
          <cell r="W3018" t="str">
            <v>Đã đóng</v>
          </cell>
          <cell r="AJ3018" t="str">
            <v>TP HCM</v>
          </cell>
          <cell r="BX3018" t="str">
            <v>GPON</v>
          </cell>
        </row>
        <row r="3019">
          <cell r="A3019" t="str">
            <v>OP</v>
          </cell>
          <cell r="B3019" t="str">
            <v>Quá 24h</v>
          </cell>
          <cell r="D3019" t="str">
            <v>Khiếu nại về dịch vụ FTTH</v>
          </cell>
          <cell r="W3019" t="str">
            <v>Đã đóng</v>
          </cell>
          <cell r="AJ3019" t="str">
            <v>Hà Nội 1</v>
          </cell>
          <cell r="BX3019" t="str">
            <v>AON</v>
          </cell>
        </row>
        <row r="3020">
          <cell r="A3020" t="str">
            <v>OP</v>
          </cell>
          <cell r="B3020" t="str">
            <v>Quá 24h</v>
          </cell>
          <cell r="D3020" t="str">
            <v>Khiếu nại về dịch vụ FTTH</v>
          </cell>
          <cell r="W3020" t="str">
            <v>Đã đóng</v>
          </cell>
          <cell r="AJ3020" t="str">
            <v>Đồng Tháp</v>
          </cell>
          <cell r="BX3020" t="str">
            <v>AON</v>
          </cell>
        </row>
        <row r="3021">
          <cell r="A3021" t="str">
            <v>OP</v>
          </cell>
          <cell r="B3021" t="str">
            <v>Quá 24h</v>
          </cell>
          <cell r="D3021" t="str">
            <v>Khiếu nại về dịch vụ FTTH</v>
          </cell>
          <cell r="W3021" t="str">
            <v>Đang xử lý</v>
          </cell>
          <cell r="AJ3021" t="str">
            <v>Thanh Hoá</v>
          </cell>
          <cell r="BX3021" t="str">
            <v>AON</v>
          </cell>
        </row>
        <row r="3022">
          <cell r="A3022" t="str">
            <v>OP</v>
          </cell>
          <cell r="B3022" t="str">
            <v>Quá 24h</v>
          </cell>
          <cell r="D3022" t="str">
            <v>Khiếu nại về dịch vụ FTTH</v>
          </cell>
          <cell r="W3022" t="str">
            <v>Đã đóng</v>
          </cell>
          <cell r="AJ3022" t="str">
            <v>Thái Bình</v>
          </cell>
          <cell r="BX3022" t="str">
            <v>AON</v>
          </cell>
        </row>
        <row r="3023">
          <cell r="A3023" t="str">
            <v>OP</v>
          </cell>
          <cell r="B3023" t="str">
            <v>Quá 24h</v>
          </cell>
          <cell r="D3023" t="str">
            <v>Khiếu nại về dịch vụ FTTH</v>
          </cell>
          <cell r="W3023" t="str">
            <v>Đã đóng</v>
          </cell>
          <cell r="AJ3023" t="str">
            <v>Vĩnh Long</v>
          </cell>
          <cell r="BX3023" t="str">
            <v>AON</v>
          </cell>
        </row>
        <row r="3024">
          <cell r="A3024" t="str">
            <v>OP</v>
          </cell>
          <cell r="B3024" t="str">
            <v>Quá 24h</v>
          </cell>
          <cell r="D3024" t="str">
            <v>Khiếu nại về dịch vụ FTTH</v>
          </cell>
          <cell r="W3024" t="str">
            <v>Đã đóng</v>
          </cell>
          <cell r="AJ3024" t="str">
            <v>Thái Nguyên</v>
          </cell>
          <cell r="BX3024" t="str">
            <v>AON</v>
          </cell>
        </row>
        <row r="3025">
          <cell r="A3025" t="str">
            <v>OP</v>
          </cell>
          <cell r="B3025" t="str">
            <v>Quá 24h</v>
          </cell>
          <cell r="D3025" t="str">
            <v>Khiếu nại về dịch vụ FTTH</v>
          </cell>
          <cell r="W3025" t="str">
            <v>Đã đóng</v>
          </cell>
          <cell r="AJ3025" t="str">
            <v>Cần Thơ</v>
          </cell>
          <cell r="BX3025" t="str">
            <v>AON</v>
          </cell>
        </row>
        <row r="3026">
          <cell r="A3026" t="str">
            <v>OP</v>
          </cell>
          <cell r="B3026" t="str">
            <v>Quá 24h</v>
          </cell>
          <cell r="D3026" t="str">
            <v>Khiếu nại về dịch vụ FTTH</v>
          </cell>
          <cell r="W3026" t="str">
            <v>Đã đóng</v>
          </cell>
          <cell r="AJ3026" t="str">
            <v>Bình Dương</v>
          </cell>
          <cell r="BX3026" t="str">
            <v>AON</v>
          </cell>
        </row>
        <row r="3027">
          <cell r="A3027" t="str">
            <v>OP</v>
          </cell>
          <cell r="B3027" t="str">
            <v>Quá 24h</v>
          </cell>
          <cell r="D3027" t="str">
            <v>Khiếu nại về dịch vụ FTTH</v>
          </cell>
          <cell r="W3027" t="str">
            <v>Đã đóng</v>
          </cell>
          <cell r="AJ3027" t="str">
            <v>Hà Giang</v>
          </cell>
          <cell r="BX3027" t="str">
            <v>AON</v>
          </cell>
        </row>
        <row r="3028">
          <cell r="A3028" t="str">
            <v>OP</v>
          </cell>
          <cell r="B3028" t="str">
            <v>Quá 24h</v>
          </cell>
          <cell r="D3028" t="str">
            <v>Khiếu nại về dịch vụ FTTH</v>
          </cell>
          <cell r="W3028" t="str">
            <v>Đang xử lý</v>
          </cell>
          <cell r="AJ3028" t="str">
            <v>TP HCM</v>
          </cell>
          <cell r="BX3028" t="str">
            <v>AON</v>
          </cell>
        </row>
        <row r="3029">
          <cell r="A3029" t="str">
            <v>OP</v>
          </cell>
          <cell r="B3029" t="str">
            <v>Quá 24h</v>
          </cell>
          <cell r="D3029" t="str">
            <v>Khiếu nại về dịch vụ FTTH</v>
          </cell>
          <cell r="W3029" t="str">
            <v>Đang xử lý</v>
          </cell>
          <cell r="AJ3029" t="str">
            <v>TP HCM</v>
          </cell>
          <cell r="BX3029" t="str">
            <v>AON</v>
          </cell>
        </row>
        <row r="3030">
          <cell r="A3030" t="str">
            <v>OP</v>
          </cell>
          <cell r="B3030" t="str">
            <v>Quá 24h</v>
          </cell>
          <cell r="D3030" t="str">
            <v>Khiếu nại về dịch vụ FTTH</v>
          </cell>
          <cell r="W3030" t="str">
            <v>Đã đóng</v>
          </cell>
          <cell r="AJ3030" t="str">
            <v>Bắc Ninh</v>
          </cell>
          <cell r="BX3030" t="str">
            <v>AON</v>
          </cell>
        </row>
        <row r="3031">
          <cell r="A3031" t="str">
            <v>OP</v>
          </cell>
          <cell r="B3031" t="str">
            <v>Quá 24h</v>
          </cell>
          <cell r="D3031" t="str">
            <v>Khiếu nại về dịch vụ FTTH</v>
          </cell>
          <cell r="W3031" t="str">
            <v>Đã đóng</v>
          </cell>
          <cell r="AJ3031" t="str">
            <v>TP HCM</v>
          </cell>
          <cell r="BX3031" t="str">
            <v>AON</v>
          </cell>
        </row>
        <row r="3032">
          <cell r="A3032" t="str">
            <v>OP</v>
          </cell>
          <cell r="B3032" t="str">
            <v>Quá 24h</v>
          </cell>
          <cell r="D3032" t="str">
            <v>Khiếu nại về dịch vụ FTTH</v>
          </cell>
          <cell r="W3032" t="str">
            <v>Đang xử lý</v>
          </cell>
          <cell r="AJ3032" t="str">
            <v>Hà Nam</v>
          </cell>
          <cell r="BX3032" t="str">
            <v>AON</v>
          </cell>
        </row>
        <row r="3033">
          <cell r="A3033" t="str">
            <v>OP</v>
          </cell>
          <cell r="B3033" t="str">
            <v>Quá 24h</v>
          </cell>
          <cell r="D3033" t="str">
            <v>Khiếu nại về dịch vụ FTTH</v>
          </cell>
          <cell r="W3033" t="str">
            <v>Đang xử lý</v>
          </cell>
          <cell r="AJ3033" t="str">
            <v>Thái Nguyên</v>
          </cell>
          <cell r="BX3033" t="str">
            <v>AON</v>
          </cell>
        </row>
        <row r="3034">
          <cell r="A3034" t="str">
            <v>OP</v>
          </cell>
          <cell r="B3034" t="str">
            <v>Quá 24h</v>
          </cell>
          <cell r="D3034" t="str">
            <v>Khiếu nại về dịch vụ FTTH</v>
          </cell>
          <cell r="W3034" t="str">
            <v>Đã đóng</v>
          </cell>
          <cell r="AJ3034" t="str">
            <v>TP HCM</v>
          </cell>
          <cell r="BX3034" t="str">
            <v>AON</v>
          </cell>
        </row>
        <row r="3035">
          <cell r="A3035" t="str">
            <v>OP</v>
          </cell>
          <cell r="B3035" t="str">
            <v>Quá 24h</v>
          </cell>
          <cell r="D3035" t="str">
            <v>Khiếu nại về dịch vụ FTTH</v>
          </cell>
          <cell r="W3035" t="str">
            <v>Đang xử lý</v>
          </cell>
          <cell r="AJ3035" t="str">
            <v>Quảng Ngãi</v>
          </cell>
          <cell r="BX3035" t="str">
            <v>AON</v>
          </cell>
        </row>
        <row r="3036">
          <cell r="A3036" t="str">
            <v>OP</v>
          </cell>
          <cell r="B3036" t="str">
            <v>Quá 24h</v>
          </cell>
          <cell r="D3036" t="str">
            <v>Khiếu nại về dịch vụ FTTH</v>
          </cell>
          <cell r="W3036" t="str">
            <v>Đã đóng</v>
          </cell>
          <cell r="AJ3036" t="str">
            <v>Gia Lai</v>
          </cell>
          <cell r="BX3036" t="str">
            <v>AON</v>
          </cell>
        </row>
        <row r="3037">
          <cell r="A3037" t="str">
            <v>OP</v>
          </cell>
          <cell r="B3037" t="str">
            <v>Quá 24h</v>
          </cell>
          <cell r="D3037" t="str">
            <v>Khiếu nại về dịch vụ FTTH</v>
          </cell>
          <cell r="W3037" t="str">
            <v>Đã đóng</v>
          </cell>
          <cell r="AJ3037" t="str">
            <v>Quảng Ninh</v>
          </cell>
          <cell r="BX3037" t="str">
            <v>AON</v>
          </cell>
        </row>
        <row r="3038">
          <cell r="A3038" t="str">
            <v>OP</v>
          </cell>
          <cell r="B3038" t="str">
            <v>Quá 24h</v>
          </cell>
          <cell r="D3038" t="str">
            <v>Khiếu nại về dịch vụ FTTH</v>
          </cell>
          <cell r="W3038" t="str">
            <v>Đã đóng</v>
          </cell>
          <cell r="AJ3038" t="str">
            <v>TP HCM</v>
          </cell>
          <cell r="BX3038" t="str">
            <v>AON</v>
          </cell>
        </row>
        <row r="3039">
          <cell r="A3039" t="str">
            <v>OP</v>
          </cell>
          <cell r="B3039" t="str">
            <v>Quá 24h</v>
          </cell>
          <cell r="D3039" t="str">
            <v>Khiếu nại về dịch vụ FTTH</v>
          </cell>
          <cell r="W3039" t="str">
            <v>Đã đóng</v>
          </cell>
          <cell r="AJ3039" t="str">
            <v>TP HCM</v>
          </cell>
          <cell r="BX3039" t="str">
            <v>AON</v>
          </cell>
        </row>
        <row r="3040">
          <cell r="A3040" t="str">
            <v>OP</v>
          </cell>
          <cell r="B3040" t="str">
            <v>Quá 24h</v>
          </cell>
          <cell r="D3040" t="str">
            <v>Khiếu nại về dịch vụ FTTH</v>
          </cell>
          <cell r="W3040" t="str">
            <v>Đang xử lý</v>
          </cell>
          <cell r="AJ3040" t="str">
            <v>Cà Mau</v>
          </cell>
          <cell r="BX3040" t="str">
            <v>AON</v>
          </cell>
        </row>
        <row r="3041">
          <cell r="A3041" t="str">
            <v>OP</v>
          </cell>
          <cell r="B3041" t="str">
            <v>Quá 24h</v>
          </cell>
          <cell r="D3041" t="str">
            <v>Khiếu nại về dịch vụ FTTH</v>
          </cell>
          <cell r="W3041" t="str">
            <v>Đã đóng</v>
          </cell>
          <cell r="AJ3041" t="str">
            <v>Tây Ninh</v>
          </cell>
          <cell r="BX3041" t="str">
            <v>AON</v>
          </cell>
        </row>
        <row r="3042">
          <cell r="A3042" t="str">
            <v>OP</v>
          </cell>
          <cell r="B3042" t="str">
            <v>Quá 24h</v>
          </cell>
          <cell r="D3042" t="str">
            <v>Khiếu nại về dịch vụ FTTH</v>
          </cell>
          <cell r="W3042" t="str">
            <v>Đã đóng</v>
          </cell>
          <cell r="AJ3042" t="str">
            <v>Hưng Yên</v>
          </cell>
          <cell r="BX3042" t="str">
            <v>AON</v>
          </cell>
        </row>
        <row r="3043">
          <cell r="A3043" t="str">
            <v>OP</v>
          </cell>
          <cell r="B3043" t="str">
            <v>Quá 24h</v>
          </cell>
          <cell r="D3043" t="str">
            <v>Khiếu nại về dịch vụ FTTH</v>
          </cell>
          <cell r="W3043" t="str">
            <v>Đã đóng</v>
          </cell>
          <cell r="AJ3043" t="str">
            <v>TP HCM</v>
          </cell>
          <cell r="BX3043" t="str">
            <v>GPON</v>
          </cell>
        </row>
        <row r="3044">
          <cell r="A3044" t="str">
            <v>OP</v>
          </cell>
          <cell r="B3044" t="str">
            <v>Quá 24h</v>
          </cell>
          <cell r="D3044" t="str">
            <v>Khiếu nại về dịch vụ FTTH</v>
          </cell>
          <cell r="W3044" t="str">
            <v>Đã đóng</v>
          </cell>
          <cell r="AJ3044" t="str">
            <v>Quảng Ninh</v>
          </cell>
          <cell r="BX3044" t="str">
            <v>AON</v>
          </cell>
        </row>
        <row r="3045">
          <cell r="A3045" t="str">
            <v>OP</v>
          </cell>
          <cell r="B3045" t="str">
            <v>Quá 24h</v>
          </cell>
          <cell r="D3045" t="str">
            <v>Khiếu nại về dịch vụ FTTH</v>
          </cell>
          <cell r="W3045" t="str">
            <v>Đã đóng</v>
          </cell>
          <cell r="AJ3045" t="str">
            <v xml:space="preserve">Quảng Nam </v>
          </cell>
          <cell r="BX3045" t="str">
            <v>AON</v>
          </cell>
        </row>
        <row r="3046">
          <cell r="A3046" t="str">
            <v>OP</v>
          </cell>
          <cell r="B3046" t="str">
            <v>Quá 24h</v>
          </cell>
          <cell r="D3046" t="str">
            <v>Khiếu nại về dịch vụ FTTH</v>
          </cell>
          <cell r="W3046" t="str">
            <v>Đã đóng</v>
          </cell>
          <cell r="AJ3046" t="str">
            <v>Hà Nội 2</v>
          </cell>
          <cell r="BX3046" t="str">
            <v>AON</v>
          </cell>
        </row>
        <row r="3047">
          <cell r="A3047" t="str">
            <v>OP</v>
          </cell>
          <cell r="B3047" t="str">
            <v>Quá 24h</v>
          </cell>
          <cell r="D3047" t="str">
            <v>Khiếu nại về dịch vụ FTTH</v>
          </cell>
          <cell r="W3047" t="str">
            <v>Đã đóng</v>
          </cell>
          <cell r="AJ3047" t="str">
            <v>TP HCM</v>
          </cell>
          <cell r="BX3047" t="str">
            <v>AON</v>
          </cell>
        </row>
        <row r="3048">
          <cell r="A3048" t="str">
            <v>OP</v>
          </cell>
          <cell r="B3048" t="str">
            <v>Quá 24h</v>
          </cell>
          <cell r="D3048" t="str">
            <v>Khiếu nại về dịch vụ FTTH</v>
          </cell>
          <cell r="W3048" t="str">
            <v>Đã đóng</v>
          </cell>
          <cell r="AJ3048" t="str">
            <v>Lâm Đồng</v>
          </cell>
          <cell r="BX3048" t="str">
            <v>AON</v>
          </cell>
        </row>
        <row r="3049">
          <cell r="A3049" t="str">
            <v>OP</v>
          </cell>
          <cell r="B3049" t="str">
            <v>Quá 24h</v>
          </cell>
          <cell r="D3049" t="str">
            <v>Khiếu nại về dịch vụ FTTH</v>
          </cell>
          <cell r="W3049" t="str">
            <v>Đã đóng</v>
          </cell>
          <cell r="AJ3049" t="str">
            <v>Kiên Giang</v>
          </cell>
          <cell r="BX3049" t="str">
            <v>AON</v>
          </cell>
        </row>
        <row r="3050">
          <cell r="A3050" t="str">
            <v>OP</v>
          </cell>
          <cell r="B3050" t="str">
            <v>Quá 24h</v>
          </cell>
          <cell r="D3050" t="str">
            <v>Khiếu nại về dịch vụ FTTH</v>
          </cell>
          <cell r="W3050" t="str">
            <v>Đã đóng</v>
          </cell>
          <cell r="AJ3050" t="str">
            <v>Thái Bình</v>
          </cell>
          <cell r="BX3050" t="str">
            <v>AON</v>
          </cell>
        </row>
        <row r="3051">
          <cell r="A3051" t="str">
            <v>OP</v>
          </cell>
          <cell r="B3051" t="str">
            <v>Quá 24h</v>
          </cell>
          <cell r="D3051" t="str">
            <v>Khiếu nại về dịch vụ FTTH</v>
          </cell>
          <cell r="W3051" t="str">
            <v>Đã đóng</v>
          </cell>
          <cell r="AJ3051" t="str">
            <v>Cần Thơ</v>
          </cell>
          <cell r="BX3051" t="str">
            <v>AON</v>
          </cell>
        </row>
        <row r="3052">
          <cell r="A3052" t="str">
            <v>OP</v>
          </cell>
          <cell r="B3052" t="str">
            <v>Quá 24h</v>
          </cell>
          <cell r="D3052" t="str">
            <v>Khiếu nại về dịch vụ FTTH</v>
          </cell>
          <cell r="W3052" t="str">
            <v>Đã đóng</v>
          </cell>
          <cell r="AJ3052" t="str">
            <v>Quảng Ninh</v>
          </cell>
          <cell r="BX3052" t="str">
            <v>AON</v>
          </cell>
        </row>
        <row r="3053">
          <cell r="A3053" t="str">
            <v>OP</v>
          </cell>
          <cell r="B3053" t="str">
            <v>Quá 24h</v>
          </cell>
          <cell r="D3053" t="str">
            <v>Khiếu nại về dịch vụ FTTH</v>
          </cell>
          <cell r="W3053" t="str">
            <v>Đã đóng</v>
          </cell>
          <cell r="AJ3053" t="str">
            <v>Bình Phước</v>
          </cell>
          <cell r="BX3053" t="str">
            <v>AON</v>
          </cell>
        </row>
        <row r="3054">
          <cell r="A3054" t="str">
            <v>OP</v>
          </cell>
          <cell r="B3054" t="str">
            <v>Quá 24h</v>
          </cell>
          <cell r="D3054" t="str">
            <v>Khiếu nại về dịch vụ FTTH</v>
          </cell>
          <cell r="W3054" t="str">
            <v>Đang xử lý</v>
          </cell>
          <cell r="AJ3054" t="str">
            <v>TP HCM</v>
          </cell>
          <cell r="BX3054" t="str">
            <v>AON</v>
          </cell>
        </row>
        <row r="3055">
          <cell r="A3055" t="str">
            <v>OP</v>
          </cell>
          <cell r="B3055" t="str">
            <v>Quá 24h</v>
          </cell>
          <cell r="D3055" t="str">
            <v>Khiếu nại về dịch vụ FTTH</v>
          </cell>
          <cell r="W3055" t="str">
            <v>Đã đóng</v>
          </cell>
          <cell r="AJ3055" t="str">
            <v>Hà Nội 2</v>
          </cell>
          <cell r="BX3055" t="str">
            <v>AON</v>
          </cell>
        </row>
        <row r="3056">
          <cell r="A3056" t="str">
            <v>OP</v>
          </cell>
          <cell r="B3056" t="str">
            <v>Quá 24h</v>
          </cell>
          <cell r="D3056" t="str">
            <v>Khiếu nại về dịch vụ FTTH</v>
          </cell>
          <cell r="W3056" t="str">
            <v>Đã đóng</v>
          </cell>
          <cell r="AJ3056" t="str">
            <v>Lâm Đồng</v>
          </cell>
          <cell r="BX3056" t="str">
            <v>AON</v>
          </cell>
        </row>
        <row r="3057">
          <cell r="A3057" t="str">
            <v>OP</v>
          </cell>
          <cell r="B3057" t="str">
            <v>Quá 24h</v>
          </cell>
          <cell r="D3057" t="str">
            <v>Khiếu nại về dịch vụ FTTH</v>
          </cell>
          <cell r="W3057" t="str">
            <v>Đã đóng</v>
          </cell>
          <cell r="AJ3057" t="str">
            <v>TP HCM</v>
          </cell>
          <cell r="BX3057" t="str">
            <v>AON</v>
          </cell>
        </row>
        <row r="3058">
          <cell r="A3058" t="str">
            <v>OP</v>
          </cell>
          <cell r="B3058" t="str">
            <v>Quá 24h</v>
          </cell>
          <cell r="D3058" t="str">
            <v>Khiếu nại về dịch vụ FTTH</v>
          </cell>
          <cell r="W3058" t="str">
            <v>Đã đóng</v>
          </cell>
          <cell r="AJ3058" t="str">
            <v>TP HCM</v>
          </cell>
          <cell r="BX3058" t="str">
            <v>AON</v>
          </cell>
        </row>
        <row r="3059">
          <cell r="A3059" t="str">
            <v>OP</v>
          </cell>
          <cell r="B3059" t="str">
            <v>Quá 24h</v>
          </cell>
          <cell r="D3059" t="str">
            <v>Khiếu nại về dịch vụ FTTH</v>
          </cell>
          <cell r="W3059" t="str">
            <v>Đã đóng</v>
          </cell>
          <cell r="AJ3059" t="str">
            <v>TP HCM</v>
          </cell>
          <cell r="BX3059" t="str">
            <v>AON</v>
          </cell>
        </row>
        <row r="3060">
          <cell r="A3060" t="str">
            <v>OP</v>
          </cell>
          <cell r="B3060" t="str">
            <v>Quá 24h</v>
          </cell>
          <cell r="D3060" t="str">
            <v>Khiếu nại về dịch vụ FTTH</v>
          </cell>
          <cell r="W3060" t="str">
            <v>Đã đóng</v>
          </cell>
          <cell r="AJ3060" t="str">
            <v>Hà Nội 2</v>
          </cell>
          <cell r="BX3060" t="str">
            <v>AON</v>
          </cell>
        </row>
        <row r="3061">
          <cell r="A3061" t="str">
            <v>OP</v>
          </cell>
          <cell r="B3061" t="str">
            <v>Quá 24h</v>
          </cell>
          <cell r="D3061" t="str">
            <v>Khiếu nại về dịch vụ FTTH</v>
          </cell>
          <cell r="W3061" t="str">
            <v>Đang xử lý</v>
          </cell>
          <cell r="AJ3061" t="str">
            <v>Gia Lai</v>
          </cell>
          <cell r="BX3061" t="str">
            <v>AON</v>
          </cell>
        </row>
        <row r="3062">
          <cell r="A3062" t="str">
            <v>OP</v>
          </cell>
          <cell r="B3062" t="str">
            <v>Quá 24h</v>
          </cell>
          <cell r="D3062" t="str">
            <v>Khiếu nại về dịch vụ FTTH</v>
          </cell>
          <cell r="W3062" t="str">
            <v>Đang xử lý</v>
          </cell>
          <cell r="AJ3062" t="str">
            <v>Thanh Hoá</v>
          </cell>
          <cell r="BX3062" t="str">
            <v>AON</v>
          </cell>
        </row>
        <row r="3063">
          <cell r="A3063" t="str">
            <v>OP</v>
          </cell>
          <cell r="B3063" t="str">
            <v>Quá 24h</v>
          </cell>
          <cell r="D3063" t="str">
            <v>Khiếu nại về dịch vụ FTTH</v>
          </cell>
          <cell r="W3063" t="str">
            <v>Đã đóng</v>
          </cell>
          <cell r="AJ3063" t="str">
            <v>Gia Lai</v>
          </cell>
          <cell r="BX3063" t="str">
            <v>AON</v>
          </cell>
        </row>
        <row r="3064">
          <cell r="A3064" t="str">
            <v>OP</v>
          </cell>
          <cell r="B3064" t="str">
            <v>Quá 24h</v>
          </cell>
          <cell r="D3064" t="str">
            <v>Khiếu nại về dịch vụ FTTH</v>
          </cell>
          <cell r="W3064" t="str">
            <v>Đã đóng</v>
          </cell>
          <cell r="AJ3064" t="str">
            <v>Cà Mau</v>
          </cell>
          <cell r="BX3064" t="str">
            <v>AON</v>
          </cell>
        </row>
        <row r="3065">
          <cell r="A3065" t="str">
            <v>OP</v>
          </cell>
          <cell r="B3065" t="str">
            <v>Quá 24h</v>
          </cell>
          <cell r="D3065" t="str">
            <v>Khiếu nại về dịch vụ FTTH</v>
          </cell>
          <cell r="W3065" t="str">
            <v>Đã đóng</v>
          </cell>
          <cell r="AJ3065" t="str">
            <v>Hậu Giang</v>
          </cell>
          <cell r="BX3065" t="str">
            <v>AON</v>
          </cell>
        </row>
        <row r="3066">
          <cell r="A3066" t="str">
            <v>OP</v>
          </cell>
          <cell r="B3066" t="str">
            <v>Quá 24h</v>
          </cell>
          <cell r="D3066" t="str">
            <v>Khiếu nại về dịch vụ FTTH</v>
          </cell>
          <cell r="W3066" t="str">
            <v>Đã đóng</v>
          </cell>
          <cell r="AJ3066" t="str">
            <v>Hưng Yên</v>
          </cell>
          <cell r="BX3066" t="str">
            <v>AON</v>
          </cell>
        </row>
        <row r="3067">
          <cell r="A3067" t="str">
            <v>OP</v>
          </cell>
          <cell r="B3067" t="str">
            <v>Quá 24h</v>
          </cell>
          <cell r="D3067" t="str">
            <v>Khiếu nại về dịch vụ FTTH</v>
          </cell>
          <cell r="W3067" t="str">
            <v>Đã đóng</v>
          </cell>
          <cell r="AJ3067" t="str">
            <v>Hưng Yên</v>
          </cell>
          <cell r="BX3067" t="str">
            <v>AON</v>
          </cell>
        </row>
        <row r="3068">
          <cell r="A3068" t="str">
            <v>OP</v>
          </cell>
          <cell r="B3068" t="str">
            <v>Quá 24h</v>
          </cell>
          <cell r="D3068" t="str">
            <v>Khiếu nại về dịch vụ FTTH</v>
          </cell>
          <cell r="W3068" t="str">
            <v>Đã đóng</v>
          </cell>
          <cell r="AJ3068" t="str">
            <v>TP HCM</v>
          </cell>
          <cell r="BX3068" t="str">
            <v>AON</v>
          </cell>
        </row>
        <row r="3069">
          <cell r="A3069" t="str">
            <v>OP</v>
          </cell>
          <cell r="B3069" t="str">
            <v>Quá 24h</v>
          </cell>
          <cell r="D3069" t="str">
            <v>Khiếu nại về dịch vụ FTTH</v>
          </cell>
          <cell r="W3069" t="str">
            <v>Đã đóng</v>
          </cell>
          <cell r="AJ3069" t="str">
            <v xml:space="preserve">Đà Nẵng </v>
          </cell>
          <cell r="BX3069" t="str">
            <v>AON</v>
          </cell>
        </row>
        <row r="3070">
          <cell r="A3070" t="str">
            <v>OP</v>
          </cell>
          <cell r="B3070" t="str">
            <v>Quá 24h</v>
          </cell>
          <cell r="D3070" t="str">
            <v>Khiếu nại về dịch vụ FTTH</v>
          </cell>
          <cell r="W3070" t="str">
            <v>Đã đóng</v>
          </cell>
          <cell r="AJ3070" t="str">
            <v xml:space="preserve">Đắc Lắk </v>
          </cell>
          <cell r="BX3070" t="str">
            <v>AON</v>
          </cell>
        </row>
        <row r="3071">
          <cell r="A3071" t="str">
            <v>OP</v>
          </cell>
          <cell r="B3071" t="str">
            <v>Quá 24h</v>
          </cell>
          <cell r="D3071" t="str">
            <v>Khiếu nại về dịch vụ FTTH</v>
          </cell>
          <cell r="W3071" t="str">
            <v>Đã đóng</v>
          </cell>
          <cell r="AJ3071" t="str">
            <v>Bình Dương</v>
          </cell>
          <cell r="BX3071" t="str">
            <v>AON</v>
          </cell>
        </row>
        <row r="3072">
          <cell r="A3072" t="str">
            <v>OP</v>
          </cell>
          <cell r="B3072" t="str">
            <v>Quá 24h</v>
          </cell>
          <cell r="D3072" t="str">
            <v>Khiếu nại về dịch vụ NextTV</v>
          </cell>
          <cell r="W3072" t="str">
            <v>Đã đóng</v>
          </cell>
          <cell r="AJ3072" t="str">
            <v>Hà Nội 1</v>
          </cell>
          <cell r="BX3072" t="str">
            <v>AON</v>
          </cell>
        </row>
        <row r="3073">
          <cell r="A3073" t="str">
            <v>OP</v>
          </cell>
          <cell r="B3073" t="str">
            <v>Quá 24h</v>
          </cell>
          <cell r="D3073" t="str">
            <v>Khiếu nại về dịch vụ FTTH</v>
          </cell>
          <cell r="W3073" t="str">
            <v>Đã đóng</v>
          </cell>
          <cell r="AJ3073" t="str">
            <v xml:space="preserve">Đà Nẵng </v>
          </cell>
          <cell r="BX3073" t="str">
            <v>AON</v>
          </cell>
        </row>
        <row r="3074">
          <cell r="A3074" t="str">
            <v>OP</v>
          </cell>
          <cell r="B3074" t="str">
            <v>Quá 24h</v>
          </cell>
          <cell r="D3074" t="str">
            <v>Khiếu nại về dịch vụ FTTH</v>
          </cell>
          <cell r="W3074" t="str">
            <v>Đã đóng</v>
          </cell>
          <cell r="AJ3074" t="str">
            <v>Hưng Yên</v>
          </cell>
          <cell r="BX3074" t="str">
            <v>AON</v>
          </cell>
        </row>
        <row r="3075">
          <cell r="A3075" t="str">
            <v>OP</v>
          </cell>
          <cell r="B3075" t="str">
            <v>Quá 24h</v>
          </cell>
          <cell r="D3075" t="str">
            <v>Khiếu nại về dịch vụ FTTH</v>
          </cell>
          <cell r="W3075" t="str">
            <v>Đã đóng</v>
          </cell>
          <cell r="AJ3075" t="str">
            <v>Bình Dương</v>
          </cell>
          <cell r="BX3075" t="str">
            <v>AON</v>
          </cell>
        </row>
        <row r="3076">
          <cell r="A3076" t="str">
            <v>OP</v>
          </cell>
          <cell r="B3076" t="str">
            <v>Quá 24h</v>
          </cell>
          <cell r="D3076" t="str">
            <v>Khiếu nại về dịch vụ FTTH</v>
          </cell>
          <cell r="W3076" t="str">
            <v>Đã đóng</v>
          </cell>
          <cell r="AJ3076" t="str">
            <v>Thái Nguyên</v>
          </cell>
          <cell r="BX3076" t="str">
            <v>AON</v>
          </cell>
        </row>
        <row r="3077">
          <cell r="A3077" t="str">
            <v>OP</v>
          </cell>
          <cell r="B3077" t="str">
            <v>Quá 24h</v>
          </cell>
          <cell r="D3077" t="str">
            <v>Khiếu nại về dịch vụ FTTH</v>
          </cell>
          <cell r="W3077" t="str">
            <v>Đã đóng</v>
          </cell>
          <cell r="AJ3077" t="str">
            <v>TP HCM</v>
          </cell>
          <cell r="BX3077" t="str">
            <v>AON</v>
          </cell>
        </row>
        <row r="3078">
          <cell r="A3078" t="str">
            <v>OP</v>
          </cell>
          <cell r="B3078" t="str">
            <v>Quá 24h</v>
          </cell>
          <cell r="D3078" t="str">
            <v>Khiếu nại về dịch vụ FTTH</v>
          </cell>
          <cell r="W3078" t="str">
            <v>Đã đóng</v>
          </cell>
          <cell r="AJ3078" t="str">
            <v>Cà Mau</v>
          </cell>
          <cell r="BX3078" t="str">
            <v>AON</v>
          </cell>
        </row>
        <row r="3079">
          <cell r="A3079" t="str">
            <v>OP</v>
          </cell>
          <cell r="B3079" t="str">
            <v>Quá 24h</v>
          </cell>
          <cell r="D3079" t="str">
            <v>Khiếu nại về dịch vụ FTTH</v>
          </cell>
          <cell r="W3079" t="str">
            <v>Đang xử lý</v>
          </cell>
          <cell r="AJ3079" t="str">
            <v>Bình Dương</v>
          </cell>
          <cell r="BX3079" t="str">
            <v>AON</v>
          </cell>
        </row>
        <row r="3080">
          <cell r="A3080" t="str">
            <v>OP</v>
          </cell>
          <cell r="B3080" t="str">
            <v>Quá 24h</v>
          </cell>
          <cell r="D3080" t="str">
            <v>Khiếu nại về dịch vụ FTTH</v>
          </cell>
          <cell r="W3080" t="str">
            <v>Đã đóng</v>
          </cell>
          <cell r="AJ3080" t="str">
            <v>TP HCM</v>
          </cell>
          <cell r="BX3080" t="str">
            <v>AON</v>
          </cell>
        </row>
        <row r="3081">
          <cell r="A3081" t="str">
            <v>OP</v>
          </cell>
          <cell r="B3081" t="str">
            <v>Quá 24h</v>
          </cell>
          <cell r="D3081" t="str">
            <v>Khiếu nại về dịch vụ FTTH</v>
          </cell>
          <cell r="W3081" t="str">
            <v>Đã đóng</v>
          </cell>
          <cell r="AJ3081" t="str">
            <v>Hà Nội 2</v>
          </cell>
          <cell r="BX3081" t="str">
            <v>AON</v>
          </cell>
        </row>
        <row r="3082">
          <cell r="A3082" t="str">
            <v>OP</v>
          </cell>
          <cell r="B3082" t="str">
            <v>Quá 24h</v>
          </cell>
          <cell r="D3082" t="str">
            <v>Khiếu nại về dịch vụ FTTH</v>
          </cell>
          <cell r="W3082" t="str">
            <v>Đang xử lý</v>
          </cell>
          <cell r="AJ3082" t="str">
            <v>Thanh Hoá</v>
          </cell>
          <cell r="BX3082" t="str">
            <v>AON</v>
          </cell>
        </row>
        <row r="3083">
          <cell r="A3083" t="str">
            <v>OP</v>
          </cell>
          <cell r="B3083" t="str">
            <v>Quá 24h</v>
          </cell>
          <cell r="D3083" t="str">
            <v>Khiếu nại về dịch vụ FTTH</v>
          </cell>
          <cell r="W3083" t="str">
            <v>Đã đóng</v>
          </cell>
          <cell r="AJ3083" t="str">
            <v>Hoà Bình</v>
          </cell>
          <cell r="BX3083" t="str">
            <v>AON</v>
          </cell>
        </row>
        <row r="3084">
          <cell r="A3084" t="str">
            <v>OP</v>
          </cell>
          <cell r="B3084" t="str">
            <v>Quá 24h</v>
          </cell>
          <cell r="D3084" t="str">
            <v>Khiếu nại về dịch vụ FTTH</v>
          </cell>
          <cell r="W3084" t="str">
            <v>Đã đóng</v>
          </cell>
          <cell r="AJ3084" t="str">
            <v>TP HCM</v>
          </cell>
          <cell r="BX3084" t="str">
            <v>AON</v>
          </cell>
        </row>
        <row r="3085">
          <cell r="A3085" t="str">
            <v>OP</v>
          </cell>
          <cell r="B3085" t="str">
            <v>Quá 24h</v>
          </cell>
          <cell r="D3085" t="str">
            <v>Khiếu nại về dịch vụ FTTH</v>
          </cell>
          <cell r="W3085" t="str">
            <v>Đang xử lý</v>
          </cell>
          <cell r="AJ3085" t="str">
            <v>Bắc Ninh</v>
          </cell>
          <cell r="BX3085" t="str">
            <v>AON</v>
          </cell>
        </row>
        <row r="3086">
          <cell r="A3086" t="str">
            <v>OP</v>
          </cell>
          <cell r="B3086" t="str">
            <v>Quá 24h</v>
          </cell>
          <cell r="D3086" t="str">
            <v>Khiếu nại về dịch vụ FTTH</v>
          </cell>
          <cell r="W3086" t="str">
            <v>Đã đóng</v>
          </cell>
          <cell r="AJ3086" t="str">
            <v>Bình Định</v>
          </cell>
          <cell r="BX3086" t="str">
            <v>AON</v>
          </cell>
        </row>
        <row r="3087">
          <cell r="A3087" t="str">
            <v>OP</v>
          </cell>
          <cell r="B3087" t="str">
            <v>Quá 24h</v>
          </cell>
          <cell r="D3087" t="str">
            <v>Khiếu nại về dịch vụ FTTH</v>
          </cell>
          <cell r="W3087" t="str">
            <v>Đang xử lý</v>
          </cell>
          <cell r="AJ3087" t="str">
            <v>TP HCM</v>
          </cell>
          <cell r="BX3087" t="str">
            <v>AON</v>
          </cell>
        </row>
        <row r="3088">
          <cell r="A3088" t="str">
            <v>OP</v>
          </cell>
          <cell r="B3088" t="str">
            <v>Quá 24h</v>
          </cell>
          <cell r="D3088" t="str">
            <v>Khiếu nại về dịch vụ FTTH</v>
          </cell>
          <cell r="W3088" t="str">
            <v>Đã đóng</v>
          </cell>
          <cell r="AJ3088" t="str">
            <v>Bình Dương</v>
          </cell>
          <cell r="BX3088" t="str">
            <v>AON</v>
          </cell>
        </row>
        <row r="3089">
          <cell r="A3089" t="str">
            <v>OP</v>
          </cell>
          <cell r="B3089" t="str">
            <v>Quá 24h</v>
          </cell>
          <cell r="D3089" t="str">
            <v>Khiếu nại về dịch vụ FTTH</v>
          </cell>
          <cell r="W3089" t="str">
            <v>Đã đóng</v>
          </cell>
          <cell r="AJ3089" t="str">
            <v>TP HCM</v>
          </cell>
          <cell r="BX3089" t="str">
            <v>AON</v>
          </cell>
        </row>
        <row r="3090">
          <cell r="A3090" t="str">
            <v>OP</v>
          </cell>
          <cell r="B3090" t="str">
            <v>Quá 24h</v>
          </cell>
          <cell r="D3090" t="str">
            <v>Khiếu nại về dịch vụ FTTH</v>
          </cell>
          <cell r="W3090" t="str">
            <v>Đã đóng</v>
          </cell>
          <cell r="AJ3090" t="str">
            <v>TP HCM</v>
          </cell>
          <cell r="BX3090" t="str">
            <v>AON</v>
          </cell>
        </row>
        <row r="3091">
          <cell r="A3091" t="str">
            <v>OP</v>
          </cell>
          <cell r="B3091" t="str">
            <v>Quá 24h</v>
          </cell>
          <cell r="D3091" t="str">
            <v>Khiếu nại về dịch vụ FTTH</v>
          </cell>
          <cell r="W3091" t="str">
            <v>Đang xử lý</v>
          </cell>
          <cell r="AJ3091" t="str">
            <v>Bình Định</v>
          </cell>
          <cell r="BX3091" t="str">
            <v>AON</v>
          </cell>
        </row>
        <row r="3092">
          <cell r="A3092" t="str">
            <v>OP</v>
          </cell>
          <cell r="B3092" t="str">
            <v>Quá 24h</v>
          </cell>
          <cell r="D3092" t="str">
            <v>Khiếu nại về dịch vụ FTTH</v>
          </cell>
          <cell r="W3092" t="str">
            <v>Đã đóng</v>
          </cell>
          <cell r="AJ3092" t="str">
            <v>Nam Định</v>
          </cell>
          <cell r="BX3092" t="str">
            <v>AON</v>
          </cell>
        </row>
        <row r="3093">
          <cell r="A3093" t="str">
            <v>OP</v>
          </cell>
          <cell r="B3093" t="str">
            <v>Quá 24h</v>
          </cell>
          <cell r="D3093" t="str">
            <v>Khiếu nại về dịch vụ FTTH</v>
          </cell>
          <cell r="W3093" t="str">
            <v>Đang xử lý</v>
          </cell>
          <cell r="AJ3093" t="str">
            <v>Thái Bình</v>
          </cell>
          <cell r="BX3093" t="str">
            <v>AON</v>
          </cell>
        </row>
        <row r="3094">
          <cell r="A3094" t="str">
            <v>OP</v>
          </cell>
          <cell r="B3094" t="str">
            <v>Quá 24h</v>
          </cell>
          <cell r="D3094" t="str">
            <v>Khiếu nại về dịch vụ NextTV</v>
          </cell>
          <cell r="W3094" t="str">
            <v>Đã đóng</v>
          </cell>
          <cell r="AJ3094" t="str">
            <v>TP HCM</v>
          </cell>
          <cell r="BX3094" t="str">
            <v>AON</v>
          </cell>
        </row>
        <row r="3095">
          <cell r="A3095" t="str">
            <v>OP</v>
          </cell>
          <cell r="B3095" t="str">
            <v>Quá 24h</v>
          </cell>
          <cell r="D3095" t="str">
            <v>Khiếu nại về dịch vụ FTTH</v>
          </cell>
          <cell r="W3095" t="str">
            <v>Đang xử lý</v>
          </cell>
          <cell r="AJ3095" t="str">
            <v xml:space="preserve">Quảng Nam </v>
          </cell>
          <cell r="BX3095" t="str">
            <v>AON</v>
          </cell>
        </row>
        <row r="3096">
          <cell r="A3096" t="str">
            <v>OP</v>
          </cell>
          <cell r="B3096" t="str">
            <v>Quá 24h</v>
          </cell>
          <cell r="D3096" t="str">
            <v>Khiếu nại về dịch vụ FTTH</v>
          </cell>
          <cell r="W3096" t="str">
            <v>Đang xử lý</v>
          </cell>
          <cell r="AJ3096" t="str">
            <v>Hà Nội 1</v>
          </cell>
          <cell r="BX3096" t="str">
            <v>AON</v>
          </cell>
        </row>
        <row r="3097">
          <cell r="A3097" t="str">
            <v>OP</v>
          </cell>
          <cell r="B3097" t="str">
            <v>Quá 24h</v>
          </cell>
          <cell r="D3097" t="str">
            <v>Khiếu nại về dịch vụ FTTH</v>
          </cell>
          <cell r="W3097" t="str">
            <v>Đã đóng</v>
          </cell>
          <cell r="AJ3097" t="str">
            <v>Hà Nội 1</v>
          </cell>
          <cell r="BX3097" t="str">
            <v>AON</v>
          </cell>
        </row>
        <row r="3098">
          <cell r="A3098" t="str">
            <v>OP</v>
          </cell>
          <cell r="B3098" t="str">
            <v>Quá 24h</v>
          </cell>
          <cell r="D3098" t="str">
            <v>Khiếu nại về dịch vụ FTTH</v>
          </cell>
          <cell r="W3098" t="str">
            <v>Đã đóng</v>
          </cell>
          <cell r="AJ3098" t="str">
            <v>Bà Rịa - Vũng Tàu</v>
          </cell>
          <cell r="BX3098" t="str">
            <v>AON</v>
          </cell>
        </row>
        <row r="3099">
          <cell r="A3099" t="str">
            <v>OP</v>
          </cell>
          <cell r="B3099" t="str">
            <v>Quá 24h</v>
          </cell>
          <cell r="D3099" t="str">
            <v>Khiếu nại về dịch vụ FTTH</v>
          </cell>
          <cell r="W3099" t="str">
            <v>Đang xử lý</v>
          </cell>
          <cell r="AJ3099" t="str">
            <v>Thái Nguyên</v>
          </cell>
          <cell r="BX3099" t="str">
            <v>AON</v>
          </cell>
        </row>
        <row r="3100">
          <cell r="A3100" t="str">
            <v>OP</v>
          </cell>
          <cell r="B3100" t="str">
            <v>Quá 24h</v>
          </cell>
          <cell r="D3100" t="str">
            <v>Khiếu nại về dịch vụ FTTH</v>
          </cell>
          <cell r="W3100" t="str">
            <v>Đã đóng</v>
          </cell>
          <cell r="AJ3100" t="str">
            <v>TP HCM</v>
          </cell>
          <cell r="BX3100" t="str">
            <v>AON</v>
          </cell>
        </row>
        <row r="3101">
          <cell r="A3101" t="str">
            <v>OP</v>
          </cell>
          <cell r="B3101" t="str">
            <v>Quá 24h</v>
          </cell>
          <cell r="D3101" t="str">
            <v>Khiếu nại về dịch vụ FTTH</v>
          </cell>
          <cell r="W3101" t="str">
            <v>Đã đóng</v>
          </cell>
          <cell r="AJ3101" t="str">
            <v>Hà Nội 2</v>
          </cell>
          <cell r="BX3101" t="str">
            <v>AON</v>
          </cell>
        </row>
        <row r="3102">
          <cell r="A3102" t="str">
            <v>OP</v>
          </cell>
          <cell r="B3102" t="str">
            <v>Quá 24h</v>
          </cell>
          <cell r="D3102" t="str">
            <v>Khiếu nại về dịch vụ FTTH</v>
          </cell>
          <cell r="W3102" t="str">
            <v>Đã đóng</v>
          </cell>
          <cell r="AJ3102" t="str">
            <v>TP HCM</v>
          </cell>
          <cell r="BX3102" t="str">
            <v>AON</v>
          </cell>
        </row>
        <row r="3103">
          <cell r="A3103" t="str">
            <v>OP</v>
          </cell>
          <cell r="B3103" t="str">
            <v>Quá 24h</v>
          </cell>
          <cell r="D3103" t="str">
            <v>Khiếu nại về dịch vụ FTTH</v>
          </cell>
          <cell r="W3103" t="str">
            <v>Đang xử lý</v>
          </cell>
          <cell r="AJ3103" t="str">
            <v>TP HCM</v>
          </cell>
          <cell r="BX3103" t="str">
            <v>AON</v>
          </cell>
        </row>
        <row r="3104">
          <cell r="A3104" t="str">
            <v>OP</v>
          </cell>
          <cell r="B3104" t="str">
            <v>Quá 24h</v>
          </cell>
          <cell r="D3104" t="str">
            <v>Khiếu nại về dịch vụ NextTV</v>
          </cell>
          <cell r="W3104" t="str">
            <v>Đã đóng</v>
          </cell>
          <cell r="AJ3104" t="str">
            <v>TP HCM</v>
          </cell>
          <cell r="BX3104" t="str">
            <v>AON</v>
          </cell>
        </row>
        <row r="3105">
          <cell r="A3105" t="str">
            <v>OP</v>
          </cell>
          <cell r="B3105" t="str">
            <v>Quá 24h</v>
          </cell>
          <cell r="D3105" t="str">
            <v>Khiếu nại về dịch vụ FTTH</v>
          </cell>
          <cell r="W3105" t="str">
            <v>Đang xử lý</v>
          </cell>
          <cell r="AJ3105" t="str">
            <v xml:space="preserve">Quảng Nam </v>
          </cell>
          <cell r="BX3105" t="str">
            <v>AON</v>
          </cell>
        </row>
        <row r="3106">
          <cell r="A3106" t="str">
            <v>OP</v>
          </cell>
          <cell r="B3106" t="str">
            <v>Quá 24h</v>
          </cell>
          <cell r="D3106" t="str">
            <v>Khiếu nại về dịch vụ FTTH</v>
          </cell>
          <cell r="W3106" t="str">
            <v>Đã đóng</v>
          </cell>
          <cell r="AJ3106" t="str">
            <v>Hà Giang</v>
          </cell>
          <cell r="BX3106" t="str">
            <v>AON</v>
          </cell>
        </row>
        <row r="3107">
          <cell r="A3107" t="str">
            <v>OP</v>
          </cell>
          <cell r="B3107" t="str">
            <v>Quá 24h</v>
          </cell>
          <cell r="D3107" t="str">
            <v>Khiếu nại về dịch vụ FTTH</v>
          </cell>
          <cell r="W3107" t="str">
            <v>Đã đóng</v>
          </cell>
          <cell r="AJ3107" t="str">
            <v xml:space="preserve">Đồng Nai </v>
          </cell>
          <cell r="BX3107" t="str">
            <v>AON</v>
          </cell>
        </row>
        <row r="3108">
          <cell r="A3108" t="str">
            <v>OP</v>
          </cell>
          <cell r="B3108" t="str">
            <v>Quá 24h</v>
          </cell>
          <cell r="D3108" t="str">
            <v>Khiếu nại về dịch vụ FTTH</v>
          </cell>
          <cell r="W3108" t="str">
            <v>Đang xử lý</v>
          </cell>
          <cell r="AJ3108" t="str">
            <v>Bình Thuận</v>
          </cell>
          <cell r="BX3108" t="str">
            <v>AON</v>
          </cell>
        </row>
        <row r="3109">
          <cell r="A3109" t="str">
            <v>OP</v>
          </cell>
          <cell r="B3109" t="str">
            <v>Quá 24h</v>
          </cell>
          <cell r="D3109" t="str">
            <v>Khiếu nại về dịch vụ FTTH</v>
          </cell>
          <cell r="W3109" t="str">
            <v>Đang xử lý</v>
          </cell>
          <cell r="AJ3109" t="str">
            <v>TP HCM</v>
          </cell>
          <cell r="BX3109" t="str">
            <v>AON</v>
          </cell>
        </row>
        <row r="3110">
          <cell r="A3110" t="str">
            <v>OP</v>
          </cell>
          <cell r="B3110" t="str">
            <v>Quá 24h</v>
          </cell>
          <cell r="D3110" t="str">
            <v>Khiếu nại về dịch vụ FTTH</v>
          </cell>
          <cell r="W3110" t="str">
            <v>Đã đóng</v>
          </cell>
          <cell r="AJ3110" t="str">
            <v>Cà Mau</v>
          </cell>
          <cell r="BX3110" t="str">
            <v>AON</v>
          </cell>
        </row>
        <row r="3111">
          <cell r="A3111" t="str">
            <v>OP</v>
          </cell>
          <cell r="B3111" t="str">
            <v>Quá 24h</v>
          </cell>
          <cell r="D3111" t="str">
            <v>Khiếu nại về dịch vụ FTTH</v>
          </cell>
          <cell r="W3111" t="str">
            <v>Đã đóng</v>
          </cell>
          <cell r="AJ3111" t="str">
            <v>Ninh Bình</v>
          </cell>
          <cell r="BX3111" t="str">
            <v>AON</v>
          </cell>
        </row>
        <row r="3112">
          <cell r="A3112" t="str">
            <v>OP</v>
          </cell>
          <cell r="B3112" t="str">
            <v>Quá 24h</v>
          </cell>
          <cell r="D3112" t="str">
            <v>Khiếu nại về dịch vụ FTTH</v>
          </cell>
          <cell r="W3112" t="str">
            <v>Đang xử lý</v>
          </cell>
          <cell r="AJ3112" t="str">
            <v>Gia Lai</v>
          </cell>
          <cell r="BX3112" t="str">
            <v>AON</v>
          </cell>
        </row>
        <row r="3113">
          <cell r="A3113" t="str">
            <v>OP</v>
          </cell>
          <cell r="B3113" t="str">
            <v>Quá 24h</v>
          </cell>
          <cell r="D3113" t="str">
            <v>Khiếu nại về dịch vụ FTTH</v>
          </cell>
          <cell r="W3113" t="str">
            <v>Đã đóng</v>
          </cell>
          <cell r="AJ3113" t="str">
            <v>Yên Bái</v>
          </cell>
          <cell r="BX3113" t="str">
            <v>AON</v>
          </cell>
        </row>
        <row r="3114">
          <cell r="A3114" t="str">
            <v>OP</v>
          </cell>
          <cell r="B3114" t="str">
            <v>Quá 24h</v>
          </cell>
          <cell r="D3114" t="str">
            <v>Khiếu nại về dịch vụ NextTV</v>
          </cell>
          <cell r="W3114" t="str">
            <v>Đã đóng</v>
          </cell>
          <cell r="AJ3114" t="str">
            <v>Hà Nội 1</v>
          </cell>
          <cell r="BX3114" t="str">
            <v>AON</v>
          </cell>
        </row>
        <row r="3115">
          <cell r="A3115" t="str">
            <v>OP</v>
          </cell>
          <cell r="B3115" t="str">
            <v>Quá 24h</v>
          </cell>
          <cell r="D3115" t="str">
            <v>Khiếu nại về dịch vụ FTTH</v>
          </cell>
          <cell r="W3115" t="str">
            <v>Đang xử lý</v>
          </cell>
          <cell r="AJ3115" t="str">
            <v>Phú Yên</v>
          </cell>
          <cell r="BX3115" t="str">
            <v>AON</v>
          </cell>
        </row>
        <row r="3116">
          <cell r="A3116" t="str">
            <v>OP</v>
          </cell>
          <cell r="B3116" t="str">
            <v>Quá 24h</v>
          </cell>
          <cell r="D3116" t="str">
            <v>Khiếu nại về dịch vụ FTTH</v>
          </cell>
          <cell r="W3116" t="str">
            <v>Đã đóng</v>
          </cell>
          <cell r="AJ3116" t="str">
            <v>Hà Nội 1</v>
          </cell>
          <cell r="BX3116" t="str">
            <v>AON</v>
          </cell>
        </row>
        <row r="3117">
          <cell r="A3117" t="str">
            <v>OP</v>
          </cell>
          <cell r="B3117" t="str">
            <v>Quá 24h</v>
          </cell>
          <cell r="D3117" t="str">
            <v>Khiếu nại về dịch vụ FTTH</v>
          </cell>
          <cell r="W3117" t="str">
            <v>Đã đóng</v>
          </cell>
          <cell r="AJ3117" t="str">
            <v>TP HCM</v>
          </cell>
          <cell r="BX3117" t="str">
            <v>AON</v>
          </cell>
        </row>
        <row r="3118">
          <cell r="A3118" t="str">
            <v>OP</v>
          </cell>
          <cell r="B3118" t="str">
            <v>Quá 24h</v>
          </cell>
          <cell r="D3118" t="str">
            <v>Khiếu nại về dịch vụ FTTH</v>
          </cell>
          <cell r="W3118" t="str">
            <v>Đang xử lý</v>
          </cell>
          <cell r="AJ3118" t="str">
            <v>TP HCM</v>
          </cell>
          <cell r="BX3118" t="str">
            <v>AON</v>
          </cell>
        </row>
        <row r="3119">
          <cell r="A3119" t="str">
            <v>OP</v>
          </cell>
          <cell r="B3119" t="str">
            <v>Quá 24h</v>
          </cell>
          <cell r="D3119" t="str">
            <v>Khiếu nại về dịch vụ FTTH</v>
          </cell>
          <cell r="W3119" t="str">
            <v>Đã đóng</v>
          </cell>
          <cell r="AJ3119" t="str">
            <v>Bình Thuận</v>
          </cell>
          <cell r="BX3119" t="str">
            <v>AON</v>
          </cell>
        </row>
        <row r="3120">
          <cell r="A3120" t="str">
            <v>OP</v>
          </cell>
          <cell r="B3120" t="str">
            <v>Quá 24h</v>
          </cell>
          <cell r="D3120" t="str">
            <v>Khiếu nại về dịch vụ FTTH</v>
          </cell>
          <cell r="W3120" t="str">
            <v>Đang xử lý</v>
          </cell>
          <cell r="AJ3120" t="str">
            <v>Long An</v>
          </cell>
          <cell r="BX3120" t="str">
            <v>AON</v>
          </cell>
        </row>
        <row r="3121">
          <cell r="A3121" t="str">
            <v>OP</v>
          </cell>
          <cell r="B3121" t="str">
            <v>Quá 24h</v>
          </cell>
          <cell r="D3121" t="str">
            <v>Khiếu nại về dịch vụ FTTH</v>
          </cell>
          <cell r="W3121" t="str">
            <v>Đã đóng</v>
          </cell>
          <cell r="AJ3121" t="str">
            <v>Tuyên Quang</v>
          </cell>
          <cell r="BX3121" t="str">
            <v>AON</v>
          </cell>
        </row>
        <row r="3122">
          <cell r="A3122" t="str">
            <v>OP</v>
          </cell>
          <cell r="B3122" t="str">
            <v>Quá 24h</v>
          </cell>
          <cell r="D3122" t="str">
            <v>Khiếu nại về dịch vụ FTTH</v>
          </cell>
          <cell r="W3122" t="str">
            <v>Đã đóng</v>
          </cell>
          <cell r="AJ3122" t="str">
            <v>Bình Phước</v>
          </cell>
          <cell r="BX3122" t="str">
            <v>AON</v>
          </cell>
        </row>
        <row r="3123">
          <cell r="A3123" t="str">
            <v>OP</v>
          </cell>
          <cell r="B3123" t="str">
            <v>Quá 24h</v>
          </cell>
          <cell r="D3123" t="str">
            <v>Khiếu nại về dịch vụ FTTH</v>
          </cell>
          <cell r="W3123" t="str">
            <v>Đã đóng</v>
          </cell>
          <cell r="AJ3123" t="str">
            <v>TP HCM</v>
          </cell>
          <cell r="BX3123" t="str">
            <v>AON</v>
          </cell>
        </row>
        <row r="3124">
          <cell r="A3124" t="str">
            <v>OP</v>
          </cell>
          <cell r="B3124" t="str">
            <v>Quá 24h</v>
          </cell>
          <cell r="D3124" t="str">
            <v>Khiếu nại về dịch vụ FTTH</v>
          </cell>
          <cell r="W3124" t="str">
            <v>Đang xử lý</v>
          </cell>
          <cell r="AJ3124" t="str">
            <v>TP HCM</v>
          </cell>
          <cell r="BX3124" t="str">
            <v>AON</v>
          </cell>
        </row>
        <row r="3125">
          <cell r="A3125" t="str">
            <v>OP</v>
          </cell>
          <cell r="B3125" t="str">
            <v>Quá 24h</v>
          </cell>
          <cell r="D3125" t="str">
            <v>Khiếu nại về dịch vụ FTTH</v>
          </cell>
          <cell r="W3125" t="str">
            <v>Đã đóng</v>
          </cell>
          <cell r="AJ3125" t="str">
            <v>TP HCM</v>
          </cell>
          <cell r="BX3125" t="str">
            <v>AON</v>
          </cell>
        </row>
        <row r="3126">
          <cell r="A3126" t="str">
            <v>OP</v>
          </cell>
          <cell r="B3126" t="str">
            <v>Quá 24h</v>
          </cell>
          <cell r="D3126" t="str">
            <v>Khiếu nại về dịch vụ FTTH</v>
          </cell>
          <cell r="W3126" t="str">
            <v>Đã đóng</v>
          </cell>
          <cell r="AJ3126" t="str">
            <v>TP HCM</v>
          </cell>
          <cell r="BX3126" t="str">
            <v>AON</v>
          </cell>
        </row>
        <row r="3127">
          <cell r="A3127" t="str">
            <v>OP</v>
          </cell>
          <cell r="B3127" t="str">
            <v>Quá 24h</v>
          </cell>
          <cell r="D3127" t="str">
            <v>Khiếu nại về dịch vụ FTTH</v>
          </cell>
          <cell r="W3127" t="str">
            <v>Đã đóng</v>
          </cell>
          <cell r="AJ3127" t="str">
            <v>Hà Nội 1</v>
          </cell>
          <cell r="BX3127" t="str">
            <v>AON</v>
          </cell>
        </row>
        <row r="3128">
          <cell r="A3128" t="str">
            <v>OP</v>
          </cell>
          <cell r="B3128" t="str">
            <v>Quá 24h</v>
          </cell>
          <cell r="D3128" t="str">
            <v>Khiếu nại về dịch vụ NextTV</v>
          </cell>
          <cell r="W3128" t="str">
            <v>Đã đóng</v>
          </cell>
          <cell r="AJ3128" t="str">
            <v>TP HCM</v>
          </cell>
          <cell r="BX3128" t="str">
            <v>AON</v>
          </cell>
        </row>
        <row r="3129">
          <cell r="A3129" t="str">
            <v>OP</v>
          </cell>
          <cell r="B3129" t="str">
            <v>Quá 24h</v>
          </cell>
          <cell r="D3129" t="str">
            <v>Khiếu nại về dịch vụ FTTH</v>
          </cell>
          <cell r="W3129" t="str">
            <v>Đã đóng</v>
          </cell>
          <cell r="AJ3129" t="str">
            <v>Hà Nội 2</v>
          </cell>
          <cell r="BX3129" t="str">
            <v>AON</v>
          </cell>
        </row>
        <row r="3130">
          <cell r="A3130" t="str">
            <v>OP</v>
          </cell>
          <cell r="B3130" t="str">
            <v>Quá 24h</v>
          </cell>
          <cell r="D3130" t="str">
            <v>Khiếu nại về dịch vụ FTTH</v>
          </cell>
          <cell r="W3130" t="str">
            <v>Đã đóng</v>
          </cell>
          <cell r="AJ3130" t="str">
            <v>An Giang</v>
          </cell>
          <cell r="BX3130" t="str">
            <v>AON</v>
          </cell>
        </row>
        <row r="3131">
          <cell r="A3131" t="str">
            <v>OP</v>
          </cell>
          <cell r="B3131" t="str">
            <v>Quá 24h</v>
          </cell>
          <cell r="D3131" t="str">
            <v>Khiếu nại về dịch vụ FTTH</v>
          </cell>
          <cell r="W3131" t="str">
            <v>Đã đóng</v>
          </cell>
          <cell r="AJ3131" t="str">
            <v>TP HCM</v>
          </cell>
          <cell r="BX3131" t="str">
            <v>AON</v>
          </cell>
        </row>
        <row r="3132">
          <cell r="A3132" t="str">
            <v>OP</v>
          </cell>
          <cell r="B3132" t="str">
            <v>Quá 24h</v>
          </cell>
          <cell r="D3132" t="str">
            <v>Khiếu nại về dịch vụ FTTH</v>
          </cell>
          <cell r="W3132" t="str">
            <v>Đã đóng</v>
          </cell>
          <cell r="AJ3132" t="str">
            <v>Hậu Giang</v>
          </cell>
          <cell r="BX3132" t="str">
            <v>AON</v>
          </cell>
        </row>
        <row r="3133">
          <cell r="A3133" t="str">
            <v>OP</v>
          </cell>
          <cell r="B3133" t="str">
            <v>Quá 24h</v>
          </cell>
          <cell r="D3133" t="str">
            <v>Khiếu nại về dịch vụ FTTH</v>
          </cell>
          <cell r="W3133" t="str">
            <v>Đang xử lý</v>
          </cell>
          <cell r="AJ3133" t="str">
            <v xml:space="preserve">Đà Nẵng </v>
          </cell>
          <cell r="BX3133" t="str">
            <v>AON</v>
          </cell>
        </row>
        <row r="3134">
          <cell r="A3134" t="str">
            <v>OP</v>
          </cell>
          <cell r="B3134" t="str">
            <v>Quá 24h</v>
          </cell>
          <cell r="D3134" t="str">
            <v>Khiếu nại về dịch vụ FTTH</v>
          </cell>
          <cell r="W3134" t="str">
            <v>Đã đóng</v>
          </cell>
          <cell r="AJ3134" t="str">
            <v>Tây Ninh</v>
          </cell>
          <cell r="BX3134" t="str">
            <v>AON</v>
          </cell>
        </row>
        <row r="3135">
          <cell r="A3135" t="str">
            <v>OP</v>
          </cell>
          <cell r="B3135" t="str">
            <v>Quá 24h</v>
          </cell>
          <cell r="D3135" t="str">
            <v>Khiếu nại về dịch vụ FTTH</v>
          </cell>
          <cell r="W3135" t="str">
            <v>Đang xử lý</v>
          </cell>
          <cell r="AJ3135" t="str">
            <v>Thanh Hoá</v>
          </cell>
          <cell r="BX3135" t="str">
            <v>AON</v>
          </cell>
        </row>
        <row r="3136">
          <cell r="A3136" t="str">
            <v>OP</v>
          </cell>
          <cell r="B3136" t="str">
            <v>Quá 24h</v>
          </cell>
          <cell r="D3136" t="str">
            <v>Khiếu nại về dịch vụ FTTH</v>
          </cell>
          <cell r="W3136" t="str">
            <v>Đã đóng</v>
          </cell>
          <cell r="AJ3136" t="str">
            <v>Hải Phòng</v>
          </cell>
          <cell r="BX3136" t="str">
            <v>AON</v>
          </cell>
        </row>
        <row r="3137">
          <cell r="A3137" t="str">
            <v>OP</v>
          </cell>
          <cell r="B3137" t="str">
            <v>Quá 24h</v>
          </cell>
          <cell r="D3137" t="str">
            <v>Khiếu nại về dịch vụ FTTH</v>
          </cell>
          <cell r="W3137" t="str">
            <v>Đã đóng</v>
          </cell>
          <cell r="AJ3137" t="str">
            <v xml:space="preserve">Đà Nẵng </v>
          </cell>
          <cell r="BX3137" t="str">
            <v>AON</v>
          </cell>
        </row>
        <row r="3138">
          <cell r="A3138" t="str">
            <v>OP</v>
          </cell>
          <cell r="B3138" t="str">
            <v>Quá 24h</v>
          </cell>
          <cell r="D3138" t="str">
            <v>Khiếu nại về dịch vụ FTTH</v>
          </cell>
          <cell r="W3138" t="str">
            <v>Đang xử lý</v>
          </cell>
          <cell r="AJ3138" t="str">
            <v>Bắc Ninh</v>
          </cell>
          <cell r="BX3138" t="str">
            <v>AON</v>
          </cell>
        </row>
        <row r="3139">
          <cell r="A3139" t="str">
            <v>OP</v>
          </cell>
          <cell r="B3139" t="str">
            <v>Quá 24h</v>
          </cell>
          <cell r="D3139" t="str">
            <v>Khiếu nại về dịch vụ NextTV</v>
          </cell>
          <cell r="W3139" t="str">
            <v>Đã đóng</v>
          </cell>
          <cell r="AJ3139" t="str">
            <v>Quảng Ngãi</v>
          </cell>
          <cell r="BX3139" t="str">
            <v>AON</v>
          </cell>
        </row>
        <row r="3140">
          <cell r="A3140" t="str">
            <v>OP</v>
          </cell>
          <cell r="B3140" t="str">
            <v>Quá 24h</v>
          </cell>
          <cell r="D3140" t="str">
            <v>Khiếu nại về dịch vụ FTTH</v>
          </cell>
          <cell r="W3140" t="str">
            <v>Đã đóng</v>
          </cell>
          <cell r="AJ3140" t="str">
            <v>Hà Nội 2</v>
          </cell>
          <cell r="BX3140" t="str">
            <v>AON</v>
          </cell>
        </row>
        <row r="3141">
          <cell r="A3141" t="str">
            <v>OP</v>
          </cell>
          <cell r="B3141" t="str">
            <v>Quá 24h</v>
          </cell>
          <cell r="D3141" t="str">
            <v>Khiếu nại về dịch vụ FTTH</v>
          </cell>
          <cell r="W3141" t="str">
            <v>Đã đóng</v>
          </cell>
          <cell r="AJ3141" t="str">
            <v>Hải Dương</v>
          </cell>
          <cell r="BX3141" t="str">
            <v>AON</v>
          </cell>
        </row>
        <row r="3142">
          <cell r="A3142" t="str">
            <v>OP</v>
          </cell>
          <cell r="B3142" t="str">
            <v>Quá 24h</v>
          </cell>
          <cell r="D3142" t="str">
            <v>Khiếu nại về dịch vụ FTTH</v>
          </cell>
          <cell r="W3142" t="str">
            <v>Đã đóng</v>
          </cell>
          <cell r="AJ3142" t="str">
            <v>Hà Nội 2</v>
          </cell>
          <cell r="BX3142" t="str">
            <v>AON</v>
          </cell>
        </row>
        <row r="3143">
          <cell r="A3143" t="str">
            <v>OP</v>
          </cell>
          <cell r="B3143" t="str">
            <v>Quá 24h</v>
          </cell>
          <cell r="D3143" t="str">
            <v>Khiếu nại về dịch vụ FTTH</v>
          </cell>
          <cell r="W3143" t="str">
            <v>Đã đóng</v>
          </cell>
          <cell r="AJ3143" t="str">
            <v>Đắc Nông</v>
          </cell>
          <cell r="BX3143" t="str">
            <v>AON</v>
          </cell>
        </row>
        <row r="3144">
          <cell r="A3144" t="str">
            <v>OP</v>
          </cell>
          <cell r="B3144" t="str">
            <v>Quá 24h</v>
          </cell>
          <cell r="D3144" t="str">
            <v>Khiếu nại về dịch vụ FTTH</v>
          </cell>
          <cell r="W3144" t="str">
            <v>Đã đóng</v>
          </cell>
          <cell r="AJ3144" t="str">
            <v>TP HCM</v>
          </cell>
          <cell r="BX3144" t="str">
            <v>AON</v>
          </cell>
        </row>
        <row r="3145">
          <cell r="A3145" t="str">
            <v>OP</v>
          </cell>
          <cell r="B3145" t="str">
            <v>Quá 24h</v>
          </cell>
          <cell r="D3145" t="str">
            <v>Khiếu nại về dịch vụ FTTH</v>
          </cell>
          <cell r="W3145" t="str">
            <v>Đã đóng</v>
          </cell>
          <cell r="AJ3145" t="str">
            <v>Tây Ninh</v>
          </cell>
          <cell r="BX3145" t="str">
            <v>AON</v>
          </cell>
        </row>
        <row r="3146">
          <cell r="A3146" t="str">
            <v>OP</v>
          </cell>
          <cell r="B3146" t="str">
            <v>Quá 24h</v>
          </cell>
          <cell r="D3146" t="str">
            <v>Khiếu nại về dịch vụ NextTV</v>
          </cell>
          <cell r="W3146" t="str">
            <v>Đã đóng</v>
          </cell>
          <cell r="AJ3146" t="str">
            <v>Lâm Đồng</v>
          </cell>
          <cell r="BX3146" t="str">
            <v>AON</v>
          </cell>
        </row>
        <row r="3147">
          <cell r="A3147" t="str">
            <v>OP</v>
          </cell>
          <cell r="B3147" t="str">
            <v>Quá 24h</v>
          </cell>
          <cell r="D3147" t="str">
            <v>Khiếu nại về dịch vụ FTTH</v>
          </cell>
          <cell r="W3147" t="str">
            <v>Đang xử lý</v>
          </cell>
          <cell r="AJ3147" t="str">
            <v>Bình Định</v>
          </cell>
          <cell r="BX3147" t="str">
            <v>AON</v>
          </cell>
        </row>
        <row r="3148">
          <cell r="A3148" t="str">
            <v>OP</v>
          </cell>
          <cell r="B3148" t="str">
            <v>Quá 24h</v>
          </cell>
          <cell r="D3148" t="str">
            <v>Khiếu nại về dịch vụ FTTH</v>
          </cell>
          <cell r="W3148" t="str">
            <v>Đã đóng</v>
          </cell>
          <cell r="AJ3148" t="str">
            <v>Vĩnh Phúc</v>
          </cell>
          <cell r="BX3148" t="str">
            <v>AON</v>
          </cell>
        </row>
        <row r="3149">
          <cell r="A3149" t="str">
            <v>OP</v>
          </cell>
          <cell r="B3149" t="str">
            <v>Quá 24h</v>
          </cell>
          <cell r="D3149" t="str">
            <v>Khiếu nại về dịch vụ NextTV</v>
          </cell>
          <cell r="W3149" t="str">
            <v>Đã đóng</v>
          </cell>
          <cell r="AJ3149" t="str">
            <v>Cần Thơ</v>
          </cell>
          <cell r="BX3149" t="str">
            <v>AON</v>
          </cell>
        </row>
        <row r="3150">
          <cell r="A3150" t="str">
            <v>OP</v>
          </cell>
          <cell r="B3150" t="str">
            <v>Quá 24h</v>
          </cell>
          <cell r="D3150" t="str">
            <v>Khiếu nại về dịch vụ FTTH</v>
          </cell>
          <cell r="W3150" t="str">
            <v>Đã đóng</v>
          </cell>
          <cell r="AJ3150" t="str">
            <v>Yên Bái</v>
          </cell>
          <cell r="BX3150" t="str">
            <v>AON</v>
          </cell>
        </row>
        <row r="3151">
          <cell r="A3151" t="str">
            <v>OP</v>
          </cell>
          <cell r="B3151" t="str">
            <v>Quá 24h</v>
          </cell>
          <cell r="D3151" t="str">
            <v>Khiếu nại về dịch vụ FTTH</v>
          </cell>
          <cell r="W3151" t="str">
            <v>Đang xử lý</v>
          </cell>
          <cell r="AJ3151" t="str">
            <v>Hà Nội 1</v>
          </cell>
          <cell r="BX3151" t="str">
            <v>AON</v>
          </cell>
        </row>
        <row r="3152">
          <cell r="A3152" t="str">
            <v>OP</v>
          </cell>
          <cell r="B3152" t="str">
            <v>Quá 24h</v>
          </cell>
          <cell r="D3152" t="str">
            <v>Khiếu nại về dịch vụ FTTH</v>
          </cell>
          <cell r="W3152" t="str">
            <v>Đã đóng</v>
          </cell>
          <cell r="AJ3152" t="str">
            <v>Hà Nội 2</v>
          </cell>
          <cell r="BX3152" t="str">
            <v>AON</v>
          </cell>
        </row>
        <row r="3153">
          <cell r="A3153" t="str">
            <v>OP</v>
          </cell>
          <cell r="B3153" t="str">
            <v>Quá 24h</v>
          </cell>
          <cell r="D3153" t="str">
            <v>Khiếu nại về dịch vụ FTTH</v>
          </cell>
          <cell r="W3153" t="str">
            <v>Đã đóng</v>
          </cell>
          <cell r="AJ3153" t="str">
            <v>Hà Nội 2</v>
          </cell>
          <cell r="BX3153" t="str">
            <v>AON</v>
          </cell>
        </row>
        <row r="3154">
          <cell r="A3154" t="str">
            <v>OP</v>
          </cell>
          <cell r="B3154" t="str">
            <v>Quá 24h</v>
          </cell>
          <cell r="D3154" t="str">
            <v>Khiếu nại về dịch vụ FTTH</v>
          </cell>
          <cell r="W3154" t="str">
            <v>Đã đóng</v>
          </cell>
          <cell r="AJ3154" t="str">
            <v>Hà Nội 1</v>
          </cell>
          <cell r="BX3154" t="str">
            <v>AON</v>
          </cell>
        </row>
        <row r="3155">
          <cell r="A3155" t="str">
            <v>OP</v>
          </cell>
          <cell r="B3155" t="str">
            <v>Quá 24h</v>
          </cell>
          <cell r="D3155" t="str">
            <v>Khiếu nại về dịch vụ FTTH</v>
          </cell>
          <cell r="W3155" t="str">
            <v>Đã đóng</v>
          </cell>
          <cell r="AJ3155" t="str">
            <v>Nam Định</v>
          </cell>
          <cell r="BX3155" t="str">
            <v>AON</v>
          </cell>
        </row>
        <row r="3156">
          <cell r="A3156" t="str">
            <v>OP</v>
          </cell>
          <cell r="B3156" t="str">
            <v>Quá 24h</v>
          </cell>
          <cell r="D3156" t="str">
            <v>Khiếu nại về dịch vụ FTTH</v>
          </cell>
          <cell r="W3156" t="str">
            <v>Đã đóng</v>
          </cell>
          <cell r="AJ3156" t="str">
            <v>Bắc Giang</v>
          </cell>
          <cell r="BX3156" t="str">
            <v>AON</v>
          </cell>
        </row>
        <row r="3157">
          <cell r="A3157" t="str">
            <v>OP</v>
          </cell>
          <cell r="B3157" t="str">
            <v>Quá 24h</v>
          </cell>
          <cell r="D3157" t="str">
            <v>Khiếu nại về dịch vụ FTTH</v>
          </cell>
          <cell r="W3157" t="str">
            <v>Đã đóng</v>
          </cell>
          <cell r="AJ3157" t="str">
            <v>Hà Nội 2</v>
          </cell>
          <cell r="BX3157" t="str">
            <v>AON</v>
          </cell>
        </row>
        <row r="3158">
          <cell r="A3158" t="str">
            <v>OP</v>
          </cell>
          <cell r="B3158" t="str">
            <v>Quá 24h</v>
          </cell>
          <cell r="D3158" t="str">
            <v>Khiếu nại về dịch vụ FTTH</v>
          </cell>
          <cell r="W3158" t="str">
            <v>Đã đóng</v>
          </cell>
          <cell r="AJ3158" t="str">
            <v>Bình Thuận</v>
          </cell>
          <cell r="BX3158" t="str">
            <v>AON</v>
          </cell>
        </row>
        <row r="3159">
          <cell r="A3159" t="str">
            <v>OP</v>
          </cell>
          <cell r="B3159" t="str">
            <v>Quá 24h</v>
          </cell>
          <cell r="D3159" t="str">
            <v>Khiếu nại về dịch vụ FTTH</v>
          </cell>
          <cell r="W3159" t="str">
            <v>Đang xử lý</v>
          </cell>
          <cell r="AJ3159" t="str">
            <v>Nam Định</v>
          </cell>
          <cell r="BX3159" t="str">
            <v>AON</v>
          </cell>
        </row>
        <row r="3160">
          <cell r="A3160" t="str">
            <v>OP</v>
          </cell>
          <cell r="B3160" t="str">
            <v>Quá 24h</v>
          </cell>
          <cell r="D3160" t="str">
            <v>Khiếu nại về dịch vụ FTTH</v>
          </cell>
          <cell r="W3160" t="str">
            <v>Đã đóng</v>
          </cell>
          <cell r="AJ3160" t="str">
            <v>Bình Dương</v>
          </cell>
          <cell r="BX3160" t="str">
            <v>AON</v>
          </cell>
        </row>
        <row r="3161">
          <cell r="A3161" t="str">
            <v>OP</v>
          </cell>
          <cell r="B3161" t="str">
            <v>Quá 24h</v>
          </cell>
          <cell r="D3161" t="str">
            <v>Khiếu nại về dịch vụ FTTH</v>
          </cell>
          <cell r="W3161" t="str">
            <v>Đã đóng</v>
          </cell>
          <cell r="AJ3161" t="str">
            <v>Quảng Ninh</v>
          </cell>
          <cell r="BX3161" t="str">
            <v>AON</v>
          </cell>
        </row>
        <row r="3162">
          <cell r="A3162" t="str">
            <v>OP</v>
          </cell>
          <cell r="B3162" t="str">
            <v>Quá 24h</v>
          </cell>
          <cell r="D3162" t="str">
            <v>Khiếu nại về dịch vụ FTTH</v>
          </cell>
          <cell r="W3162" t="str">
            <v>Đã đóng</v>
          </cell>
          <cell r="AJ3162" t="str">
            <v>Hà Nội 1</v>
          </cell>
          <cell r="BX3162" t="str">
            <v>AON</v>
          </cell>
        </row>
        <row r="3163">
          <cell r="A3163" t="str">
            <v>OP</v>
          </cell>
          <cell r="B3163" t="str">
            <v>Quá 24h</v>
          </cell>
          <cell r="D3163" t="str">
            <v>Khiếu nại về dịch vụ FTTH</v>
          </cell>
          <cell r="W3163" t="str">
            <v>Đã đóng</v>
          </cell>
          <cell r="AJ3163" t="str">
            <v>Quảng Ninh</v>
          </cell>
          <cell r="BX3163" t="str">
            <v>AON</v>
          </cell>
        </row>
        <row r="3164">
          <cell r="A3164" t="str">
            <v>OP</v>
          </cell>
          <cell r="B3164" t="str">
            <v>Quá 24h</v>
          </cell>
          <cell r="D3164" t="str">
            <v>Khiếu nại về dịch vụ NextTV</v>
          </cell>
          <cell r="W3164" t="str">
            <v>Đã đóng</v>
          </cell>
          <cell r="AJ3164" t="str">
            <v>Thái Nguyên</v>
          </cell>
          <cell r="BX3164" t="str">
            <v>AON</v>
          </cell>
        </row>
        <row r="3165">
          <cell r="A3165" t="str">
            <v>OP</v>
          </cell>
          <cell r="B3165" t="str">
            <v>Quá 24h</v>
          </cell>
          <cell r="D3165" t="str">
            <v>Khiếu nại về dịch vụ FTTH</v>
          </cell>
          <cell r="W3165" t="str">
            <v>Đã đóng</v>
          </cell>
          <cell r="AJ3165" t="str">
            <v>TP HCM</v>
          </cell>
          <cell r="BX3165" t="str">
            <v>AON</v>
          </cell>
        </row>
        <row r="3166">
          <cell r="A3166" t="str">
            <v>OP</v>
          </cell>
          <cell r="B3166" t="str">
            <v>Quá 24h</v>
          </cell>
          <cell r="D3166" t="str">
            <v>Khiếu nại về dịch vụ FTTH</v>
          </cell>
          <cell r="W3166" t="str">
            <v>Đã đóng</v>
          </cell>
          <cell r="AJ3166" t="str">
            <v>Hà Nội 1</v>
          </cell>
          <cell r="BX3166" t="str">
            <v>AON</v>
          </cell>
        </row>
        <row r="3167">
          <cell r="A3167" t="str">
            <v>OP</v>
          </cell>
          <cell r="B3167" t="str">
            <v>Quá 24h</v>
          </cell>
          <cell r="D3167" t="str">
            <v>Khiếu nại về dịch vụ NextTV</v>
          </cell>
          <cell r="W3167" t="str">
            <v>Đã đóng</v>
          </cell>
          <cell r="AJ3167" t="str">
            <v>Hà Nam</v>
          </cell>
          <cell r="BX3167" t="str">
            <v>AON</v>
          </cell>
        </row>
        <row r="3168">
          <cell r="A3168" t="str">
            <v>OP</v>
          </cell>
          <cell r="B3168" t="str">
            <v>Quá 24h</v>
          </cell>
          <cell r="D3168" t="str">
            <v>Khiếu nại về dịch vụ FTTH</v>
          </cell>
          <cell r="W3168" t="str">
            <v>Đang xử lý</v>
          </cell>
          <cell r="AJ3168" t="str">
            <v>Phú Yên</v>
          </cell>
          <cell r="BX3168" t="str">
            <v>AON</v>
          </cell>
        </row>
        <row r="3169">
          <cell r="A3169" t="str">
            <v>OP</v>
          </cell>
          <cell r="B3169" t="str">
            <v>Quá 24h</v>
          </cell>
          <cell r="D3169" t="str">
            <v>Khiếu nại về dịch vụ FTTH</v>
          </cell>
          <cell r="W3169" t="str">
            <v>Đã đóng</v>
          </cell>
          <cell r="AJ3169" t="str">
            <v>Quảng Ninh</v>
          </cell>
          <cell r="BX3169" t="str">
            <v>AON</v>
          </cell>
        </row>
        <row r="3170">
          <cell r="A3170" t="str">
            <v>OP</v>
          </cell>
          <cell r="B3170" t="str">
            <v>Quá 24h</v>
          </cell>
          <cell r="D3170" t="str">
            <v>Khiếu nại về dịch vụ FTTH</v>
          </cell>
          <cell r="W3170" t="str">
            <v>Đã đóng</v>
          </cell>
          <cell r="AJ3170" t="str">
            <v>Thái Nguyên</v>
          </cell>
          <cell r="BX3170" t="str">
            <v>AON</v>
          </cell>
        </row>
        <row r="3171">
          <cell r="A3171" t="str">
            <v>OP</v>
          </cell>
          <cell r="B3171" t="str">
            <v>Quá 24h</v>
          </cell>
          <cell r="D3171" t="str">
            <v>Khiếu nại về dịch vụ FTTH</v>
          </cell>
          <cell r="W3171" t="str">
            <v>Đang xử lý</v>
          </cell>
          <cell r="AJ3171" t="str">
            <v>Hà Nội 1</v>
          </cell>
          <cell r="BX3171" t="str">
            <v>AON</v>
          </cell>
        </row>
        <row r="3172">
          <cell r="A3172" t="str">
            <v>OP</v>
          </cell>
          <cell r="B3172" t="str">
            <v>Quá 24h</v>
          </cell>
          <cell r="D3172" t="str">
            <v>Khiếu nại về dịch vụ FTTH</v>
          </cell>
          <cell r="W3172" t="str">
            <v>Đã đóng</v>
          </cell>
          <cell r="AJ3172" t="str">
            <v>Sơn La</v>
          </cell>
          <cell r="BX3172" t="str">
            <v>AON</v>
          </cell>
        </row>
        <row r="3173">
          <cell r="A3173" t="str">
            <v>OP</v>
          </cell>
          <cell r="B3173" t="str">
            <v>Quá 24h</v>
          </cell>
          <cell r="D3173" t="str">
            <v>Khiếu nại về dịch vụ FTTH</v>
          </cell>
          <cell r="W3173" t="str">
            <v>Đã đóng</v>
          </cell>
          <cell r="AJ3173" t="str">
            <v>TP HCM</v>
          </cell>
          <cell r="BX3173" t="str">
            <v>AON</v>
          </cell>
        </row>
        <row r="3174">
          <cell r="A3174" t="str">
            <v>OP</v>
          </cell>
          <cell r="B3174" t="str">
            <v>Quá 24h</v>
          </cell>
          <cell r="D3174" t="str">
            <v>Khiếu nại về dịch vụ FTTH</v>
          </cell>
          <cell r="W3174" t="str">
            <v>Đã đóng</v>
          </cell>
          <cell r="AJ3174" t="str">
            <v xml:space="preserve">Đồng Nai </v>
          </cell>
          <cell r="BX3174" t="str">
            <v>AON</v>
          </cell>
        </row>
        <row r="3175">
          <cell r="A3175" t="str">
            <v>OP</v>
          </cell>
          <cell r="B3175" t="str">
            <v>Quá 24h</v>
          </cell>
          <cell r="D3175" t="str">
            <v>Khiếu nại về dịch vụ FTTH</v>
          </cell>
          <cell r="W3175" t="str">
            <v>Đã đóng</v>
          </cell>
          <cell r="AJ3175" t="str">
            <v>Hà Nội 2</v>
          </cell>
          <cell r="BX3175" t="str">
            <v>AON</v>
          </cell>
        </row>
        <row r="3176">
          <cell r="A3176" t="str">
            <v>OP</v>
          </cell>
          <cell r="B3176" t="str">
            <v>Quá 24h</v>
          </cell>
          <cell r="D3176" t="str">
            <v>Khiếu nại về dịch vụ NextTV</v>
          </cell>
          <cell r="W3176" t="str">
            <v>Đã đóng</v>
          </cell>
          <cell r="AJ3176" t="str">
            <v>TP HCM</v>
          </cell>
          <cell r="BX3176" t="str">
            <v>AON</v>
          </cell>
        </row>
        <row r="3177">
          <cell r="A3177" t="str">
            <v>OP</v>
          </cell>
          <cell r="B3177" t="str">
            <v>Quá 24h</v>
          </cell>
          <cell r="D3177" t="str">
            <v>Khiếu nại về dịch vụ FTTH</v>
          </cell>
          <cell r="W3177" t="str">
            <v>Đã đóng</v>
          </cell>
          <cell r="AJ3177" t="str">
            <v>TP HCM</v>
          </cell>
          <cell r="BX3177" t="str">
            <v>AON</v>
          </cell>
        </row>
        <row r="3178">
          <cell r="A3178" t="str">
            <v>OP</v>
          </cell>
          <cell r="B3178" t="str">
            <v>Quá 24h</v>
          </cell>
          <cell r="D3178" t="str">
            <v>Khiếu nại về dịch vụ FTTH</v>
          </cell>
          <cell r="W3178" t="str">
            <v>Đang xử lý</v>
          </cell>
          <cell r="AJ3178" t="str">
            <v>TP HCM</v>
          </cell>
          <cell r="BX3178" t="str">
            <v>AON</v>
          </cell>
        </row>
        <row r="3179">
          <cell r="A3179" t="str">
            <v>OP</v>
          </cell>
          <cell r="B3179" t="str">
            <v>Quá 24h</v>
          </cell>
          <cell r="D3179" t="str">
            <v>Khiếu nại về dịch vụ FTTH</v>
          </cell>
          <cell r="W3179" t="str">
            <v>Đã đóng</v>
          </cell>
          <cell r="AJ3179" t="str">
            <v>TP HCM</v>
          </cell>
          <cell r="BX3179" t="str">
            <v>AON</v>
          </cell>
        </row>
        <row r="3180">
          <cell r="A3180" t="str">
            <v>OP</v>
          </cell>
          <cell r="B3180" t="str">
            <v>Quá 24h</v>
          </cell>
          <cell r="D3180" t="str">
            <v>Khiếu nại về dịch vụ FTTH</v>
          </cell>
          <cell r="W3180" t="str">
            <v>Đã đóng</v>
          </cell>
          <cell r="AJ3180" t="str">
            <v>Lâm Đồng</v>
          </cell>
          <cell r="BX3180" t="str">
            <v>AON</v>
          </cell>
        </row>
        <row r="3181">
          <cell r="A3181" t="str">
            <v>OP</v>
          </cell>
          <cell r="B3181" t="str">
            <v>Quá 24h</v>
          </cell>
          <cell r="D3181" t="str">
            <v>Khiếu nại về dịch vụ FTTH</v>
          </cell>
          <cell r="W3181" t="str">
            <v>Đã đóng</v>
          </cell>
          <cell r="AJ3181" t="str">
            <v>TP HCM</v>
          </cell>
          <cell r="BX3181" t="str">
            <v>GPON</v>
          </cell>
        </row>
        <row r="3182">
          <cell r="A3182" t="str">
            <v>OP</v>
          </cell>
          <cell r="B3182" t="str">
            <v>Quá 24h</v>
          </cell>
          <cell r="D3182" t="str">
            <v>Khiếu nại về dịch vụ FTTH</v>
          </cell>
          <cell r="W3182" t="str">
            <v>Đã đóng</v>
          </cell>
          <cell r="AJ3182" t="str">
            <v>Hà Nội 1</v>
          </cell>
          <cell r="BX3182" t="str">
            <v>AON</v>
          </cell>
        </row>
        <row r="3183">
          <cell r="A3183" t="str">
            <v>OP</v>
          </cell>
          <cell r="B3183" t="str">
            <v>Quá 24h</v>
          </cell>
          <cell r="D3183" t="str">
            <v>Khiếu nại về dịch vụ FTTH</v>
          </cell>
          <cell r="W3183" t="str">
            <v>Đã đóng</v>
          </cell>
          <cell r="AJ3183" t="str">
            <v>TP HCM</v>
          </cell>
          <cell r="BX3183" t="str">
            <v>AON</v>
          </cell>
        </row>
        <row r="3184">
          <cell r="A3184" t="str">
            <v>OP</v>
          </cell>
          <cell r="B3184" t="str">
            <v>Quá 24h</v>
          </cell>
          <cell r="D3184" t="str">
            <v>Khiếu nại về dịch vụ FTTH</v>
          </cell>
          <cell r="W3184" t="str">
            <v>Đã đóng</v>
          </cell>
          <cell r="AJ3184" t="str">
            <v>Cà Mau</v>
          </cell>
          <cell r="BX3184" t="str">
            <v>AON</v>
          </cell>
        </row>
        <row r="3185">
          <cell r="A3185" t="str">
            <v>OP</v>
          </cell>
          <cell r="B3185" t="str">
            <v>Quá 24h</v>
          </cell>
          <cell r="D3185" t="str">
            <v>Khiếu nại về dịch vụ FTTH</v>
          </cell>
          <cell r="W3185" t="str">
            <v>Đã đóng</v>
          </cell>
          <cell r="AJ3185" t="str">
            <v>TP HCM</v>
          </cell>
          <cell r="BX3185" t="str">
            <v>AON</v>
          </cell>
        </row>
        <row r="3186">
          <cell r="A3186" t="str">
            <v>OP</v>
          </cell>
          <cell r="B3186" t="str">
            <v>Quá 24h</v>
          </cell>
          <cell r="D3186" t="str">
            <v>Khiếu nại về dịch vụ FTTH</v>
          </cell>
          <cell r="W3186" t="str">
            <v>Đã đóng</v>
          </cell>
          <cell r="AJ3186" t="str">
            <v>TP HCM</v>
          </cell>
          <cell r="BX3186" t="str">
            <v>AON</v>
          </cell>
        </row>
        <row r="3187">
          <cell r="A3187" t="str">
            <v>OP</v>
          </cell>
          <cell r="B3187" t="str">
            <v>Quá 24h</v>
          </cell>
          <cell r="D3187" t="str">
            <v>Khiếu nại về dịch vụ FTTH</v>
          </cell>
          <cell r="W3187" t="str">
            <v>Đã đóng</v>
          </cell>
          <cell r="AJ3187" t="str">
            <v>Quảng Ngãi</v>
          </cell>
          <cell r="BX3187" t="str">
            <v>AON</v>
          </cell>
        </row>
        <row r="3188">
          <cell r="A3188" t="str">
            <v>OP</v>
          </cell>
          <cell r="B3188" t="str">
            <v>Quá 24h</v>
          </cell>
          <cell r="D3188" t="str">
            <v>Khiếu nại về dịch vụ FTTH</v>
          </cell>
          <cell r="W3188" t="str">
            <v>Đã đóng</v>
          </cell>
          <cell r="AJ3188" t="str">
            <v>TP HCM</v>
          </cell>
          <cell r="BX3188" t="str">
            <v>AON</v>
          </cell>
        </row>
        <row r="3189">
          <cell r="A3189" t="str">
            <v>OP</v>
          </cell>
          <cell r="B3189" t="str">
            <v>Quá 24h</v>
          </cell>
          <cell r="D3189" t="str">
            <v>Khiếu nại về dịch vụ FTTH</v>
          </cell>
          <cell r="W3189" t="str">
            <v>Đã đóng</v>
          </cell>
          <cell r="AJ3189" t="str">
            <v>TP HCM</v>
          </cell>
          <cell r="BX3189" t="str">
            <v>AON</v>
          </cell>
        </row>
        <row r="3190">
          <cell r="A3190" t="str">
            <v>OP</v>
          </cell>
          <cell r="B3190" t="str">
            <v>Quá 24h</v>
          </cell>
          <cell r="D3190" t="str">
            <v>Khiếu nại về dịch vụ FTTH</v>
          </cell>
          <cell r="W3190" t="str">
            <v>Đã đóng</v>
          </cell>
          <cell r="AJ3190" t="str">
            <v>TP HCM</v>
          </cell>
          <cell r="BX3190" t="str">
            <v>AON</v>
          </cell>
        </row>
        <row r="3191">
          <cell r="A3191" t="str">
            <v>OP</v>
          </cell>
          <cell r="B3191" t="str">
            <v>Quá 24h</v>
          </cell>
          <cell r="D3191" t="str">
            <v>Khiếu nại về dịch vụ FTTH</v>
          </cell>
          <cell r="W3191" t="str">
            <v>Đã đóng</v>
          </cell>
          <cell r="AJ3191" t="str">
            <v>Quảng Ninh</v>
          </cell>
          <cell r="BX3191" t="str">
            <v>AON</v>
          </cell>
        </row>
        <row r="3192">
          <cell r="A3192" t="str">
            <v>OP</v>
          </cell>
          <cell r="B3192" t="str">
            <v>Quá 24h</v>
          </cell>
          <cell r="D3192" t="str">
            <v>Khiếu nại về dịch vụ FTTH</v>
          </cell>
          <cell r="W3192" t="str">
            <v>Đã đóng</v>
          </cell>
          <cell r="AJ3192" t="str">
            <v>Thái Nguyên</v>
          </cell>
          <cell r="BX3192" t="str">
            <v>AON</v>
          </cell>
        </row>
        <row r="3193">
          <cell r="A3193" t="str">
            <v>OP</v>
          </cell>
          <cell r="B3193" t="str">
            <v>Quá 24h</v>
          </cell>
          <cell r="D3193" t="str">
            <v>Khiếu nại về dịch vụ FTTH</v>
          </cell>
          <cell r="W3193" t="str">
            <v>Đã đóng</v>
          </cell>
          <cell r="AJ3193" t="str">
            <v>TP HCM</v>
          </cell>
          <cell r="BX3193" t="str">
            <v>AON</v>
          </cell>
        </row>
        <row r="3194">
          <cell r="A3194" t="str">
            <v>OP</v>
          </cell>
          <cell r="B3194" t="str">
            <v>Quá 24h</v>
          </cell>
          <cell r="D3194" t="str">
            <v>Khiếu nại về dịch vụ FTTH</v>
          </cell>
          <cell r="W3194" t="str">
            <v>Đã đóng</v>
          </cell>
          <cell r="AJ3194" t="str">
            <v>Bình Định</v>
          </cell>
          <cell r="BX3194" t="str">
            <v>AON</v>
          </cell>
        </row>
        <row r="3195">
          <cell r="A3195" t="str">
            <v>OP</v>
          </cell>
          <cell r="B3195" t="str">
            <v>Quá 24h</v>
          </cell>
          <cell r="D3195" t="str">
            <v>Khiếu nại về dịch vụ FTTH</v>
          </cell>
          <cell r="W3195" t="str">
            <v>Đang xử lý</v>
          </cell>
          <cell r="AJ3195" t="str">
            <v>TP HCM</v>
          </cell>
          <cell r="BX3195" t="str">
            <v>GPON</v>
          </cell>
        </row>
        <row r="3196">
          <cell r="A3196" t="str">
            <v>OP</v>
          </cell>
          <cell r="B3196" t="str">
            <v>Quá 24h</v>
          </cell>
          <cell r="D3196" t="str">
            <v>Khiếu nại về dịch vụ FTTH</v>
          </cell>
          <cell r="W3196" t="str">
            <v>Đã đóng</v>
          </cell>
          <cell r="AJ3196" t="str">
            <v>Bình Dương</v>
          </cell>
          <cell r="BX3196" t="str">
            <v>AON</v>
          </cell>
        </row>
        <row r="3197">
          <cell r="A3197" t="str">
            <v>OP</v>
          </cell>
          <cell r="B3197" t="str">
            <v>Quá 24h</v>
          </cell>
          <cell r="D3197" t="str">
            <v>Khiếu nại về dịch vụ FTTH</v>
          </cell>
          <cell r="W3197" t="str">
            <v>Đang xử lý</v>
          </cell>
          <cell r="AJ3197" t="str">
            <v>TP HCM</v>
          </cell>
          <cell r="BX3197" t="str">
            <v>AON</v>
          </cell>
        </row>
        <row r="3198">
          <cell r="A3198" t="str">
            <v>OP</v>
          </cell>
          <cell r="B3198" t="str">
            <v>Quá 24h</v>
          </cell>
          <cell r="D3198" t="str">
            <v>Khiếu nại về dịch vụ FTTH</v>
          </cell>
          <cell r="W3198" t="str">
            <v>Đang xử lý</v>
          </cell>
          <cell r="AJ3198" t="str">
            <v xml:space="preserve">Đà Nẵng </v>
          </cell>
          <cell r="BX3198" t="str">
            <v>AON</v>
          </cell>
        </row>
        <row r="3199">
          <cell r="A3199" t="str">
            <v>OP</v>
          </cell>
          <cell r="B3199" t="str">
            <v>Quá 24h</v>
          </cell>
          <cell r="D3199" t="str">
            <v>Khiếu nại về dịch vụ FTTH</v>
          </cell>
          <cell r="W3199" t="str">
            <v>Đang xử lý</v>
          </cell>
          <cell r="AJ3199" t="str">
            <v>TP HCM</v>
          </cell>
          <cell r="BX3199" t="str">
            <v>AON</v>
          </cell>
        </row>
        <row r="3200">
          <cell r="A3200" t="str">
            <v>OP</v>
          </cell>
          <cell r="B3200" t="str">
            <v>Quá 24h</v>
          </cell>
          <cell r="D3200" t="str">
            <v>Khiếu nại về dịch vụ FTTH</v>
          </cell>
          <cell r="W3200" t="str">
            <v>Đang xử lý</v>
          </cell>
          <cell r="AJ3200" t="str">
            <v>Thừa Thiên Huế</v>
          </cell>
          <cell r="BX3200" t="str">
            <v>AON</v>
          </cell>
        </row>
        <row r="3201">
          <cell r="A3201" t="str">
            <v>OP</v>
          </cell>
          <cell r="B3201" t="str">
            <v>Quá 24h</v>
          </cell>
          <cell r="D3201" t="str">
            <v>Khiếu nại về dịch vụ FTTH</v>
          </cell>
          <cell r="W3201" t="str">
            <v>Đang xử lý</v>
          </cell>
          <cell r="AJ3201" t="str">
            <v xml:space="preserve">Đắc Lắk </v>
          </cell>
          <cell r="BX3201" t="str">
            <v>AON</v>
          </cell>
        </row>
        <row r="3202">
          <cell r="A3202" t="str">
            <v>OP</v>
          </cell>
          <cell r="B3202" t="str">
            <v>Quá 24h</v>
          </cell>
          <cell r="D3202" t="str">
            <v>Khiếu nại về dịch vụ FTTH</v>
          </cell>
          <cell r="W3202" t="str">
            <v>Đang xử lý</v>
          </cell>
          <cell r="AJ3202" t="str">
            <v>Thừa Thiên Huế</v>
          </cell>
          <cell r="BX3202" t="str">
            <v>AON</v>
          </cell>
        </row>
        <row r="3203">
          <cell r="A3203" t="str">
            <v>OP</v>
          </cell>
          <cell r="B3203" t="str">
            <v>Quá 24h</v>
          </cell>
          <cell r="D3203" t="str">
            <v>Khiếu nại về dịch vụ FTTH</v>
          </cell>
          <cell r="W3203" t="str">
            <v>Đang xử lý</v>
          </cell>
          <cell r="AJ3203" t="str">
            <v>Lâm Đồng</v>
          </cell>
          <cell r="BX3203" t="str">
            <v>AON</v>
          </cell>
        </row>
        <row r="3204">
          <cell r="A3204" t="str">
            <v>OP</v>
          </cell>
          <cell r="B3204" t="str">
            <v>Quá 24h</v>
          </cell>
          <cell r="D3204" t="str">
            <v>Khiếu nại về dịch vụ FTTH</v>
          </cell>
          <cell r="W3204" t="str">
            <v>Đang xử lý</v>
          </cell>
          <cell r="AJ3204" t="str">
            <v>Bình Thuận</v>
          </cell>
          <cell r="BX3204" t="str">
            <v>AON</v>
          </cell>
        </row>
        <row r="3205">
          <cell r="A3205" t="str">
            <v>OP</v>
          </cell>
          <cell r="B3205" t="str">
            <v>Quá 24h</v>
          </cell>
          <cell r="D3205" t="str">
            <v>Khiếu nại về dịch vụ FTTH</v>
          </cell>
          <cell r="W3205" t="str">
            <v>Đang xử lý</v>
          </cell>
          <cell r="AJ3205" t="str">
            <v>Phú Yên</v>
          </cell>
          <cell r="BX3205" t="str">
            <v>AON</v>
          </cell>
        </row>
        <row r="3206">
          <cell r="A3206" t="str">
            <v>OP</v>
          </cell>
          <cell r="B3206" t="str">
            <v>Quá 24h</v>
          </cell>
          <cell r="D3206" t="str">
            <v>Khiếu nại về dịch vụ FTTH</v>
          </cell>
          <cell r="W3206" t="str">
            <v>Đang xử lý</v>
          </cell>
          <cell r="AJ3206" t="str">
            <v>TP HCM</v>
          </cell>
          <cell r="BX3206" t="str">
            <v>AON</v>
          </cell>
        </row>
        <row r="3207">
          <cell r="A3207" t="str">
            <v>OP</v>
          </cell>
          <cell r="B3207" t="str">
            <v>Quá 24h</v>
          </cell>
          <cell r="D3207" t="str">
            <v>Khiếu nại về dịch vụ FTTH</v>
          </cell>
          <cell r="W3207" t="str">
            <v>Đang xử lý</v>
          </cell>
          <cell r="AJ3207" t="str">
            <v xml:space="preserve">Đắc Lắk </v>
          </cell>
          <cell r="BX3207" t="str">
            <v>AON</v>
          </cell>
        </row>
        <row r="3208">
          <cell r="A3208" t="str">
            <v>OP</v>
          </cell>
          <cell r="B3208" t="str">
            <v>Quá 24h</v>
          </cell>
          <cell r="D3208" t="str">
            <v>Khiếu nại về dịch vụ FTTH</v>
          </cell>
          <cell r="W3208" t="str">
            <v>Đang xử lý</v>
          </cell>
          <cell r="AJ3208" t="str">
            <v xml:space="preserve">Đắc Lắk </v>
          </cell>
          <cell r="BX3208" t="str">
            <v>AON</v>
          </cell>
        </row>
        <row r="3209">
          <cell r="A3209" t="str">
            <v>OP</v>
          </cell>
          <cell r="B3209" t="str">
            <v>Quá 24h</v>
          </cell>
          <cell r="D3209" t="str">
            <v>Khiếu nại về dịch vụ FTTH</v>
          </cell>
          <cell r="W3209" t="str">
            <v>Đang xử lý</v>
          </cell>
          <cell r="AJ3209" t="str">
            <v>TP HCM</v>
          </cell>
          <cell r="BX3209" t="str">
            <v>AON</v>
          </cell>
        </row>
        <row r="3210">
          <cell r="A3210" t="str">
            <v>OP</v>
          </cell>
          <cell r="B3210" t="str">
            <v>Quá 24h</v>
          </cell>
          <cell r="D3210" t="str">
            <v>Khiếu nại về dịch vụ FTTH</v>
          </cell>
          <cell r="W3210" t="str">
            <v>Đang xử lý</v>
          </cell>
          <cell r="AJ3210" t="str">
            <v>TP HCM</v>
          </cell>
          <cell r="BX3210" t="str">
            <v>AON</v>
          </cell>
        </row>
        <row r="3211">
          <cell r="A3211" t="str">
            <v>OP</v>
          </cell>
          <cell r="B3211" t="str">
            <v>Quá 24h</v>
          </cell>
          <cell r="D3211" t="str">
            <v>Khiếu nại về dịch vụ FTTH</v>
          </cell>
          <cell r="W3211" t="str">
            <v>Đang xử lý</v>
          </cell>
          <cell r="AJ3211" t="str">
            <v>Gia Lai</v>
          </cell>
          <cell r="BX3211" t="str">
            <v>AON</v>
          </cell>
        </row>
        <row r="3212">
          <cell r="A3212" t="str">
            <v>OP</v>
          </cell>
          <cell r="B3212" t="str">
            <v>Quá 24h</v>
          </cell>
          <cell r="D3212" t="str">
            <v>Khiếu nại về dịch vụ FTTH</v>
          </cell>
          <cell r="W3212" t="str">
            <v>Đang xử lý</v>
          </cell>
          <cell r="AJ3212" t="str">
            <v xml:space="preserve">Đắc Lắk </v>
          </cell>
          <cell r="BX3212" t="str">
            <v>AON</v>
          </cell>
        </row>
        <row r="3213">
          <cell r="A3213" t="str">
            <v>OP</v>
          </cell>
          <cell r="B3213" t="str">
            <v>Quá 24h</v>
          </cell>
          <cell r="D3213" t="str">
            <v>Khiếu nại về dịch vụ FTTH</v>
          </cell>
          <cell r="W3213" t="str">
            <v>Đã đóng</v>
          </cell>
          <cell r="AJ3213" t="str">
            <v>Bình Định</v>
          </cell>
          <cell r="BX3213" t="str">
            <v>AON</v>
          </cell>
        </row>
        <row r="3214">
          <cell r="A3214" t="str">
            <v>OP</v>
          </cell>
          <cell r="B3214" t="str">
            <v>Quá 24h</v>
          </cell>
          <cell r="D3214" t="str">
            <v>Khiếu nại về dịch vụ FTTH</v>
          </cell>
          <cell r="W3214" t="str">
            <v>Đang xử lý</v>
          </cell>
          <cell r="AJ3214" t="str">
            <v xml:space="preserve">Đà Nẵng </v>
          </cell>
          <cell r="BX3214" t="str">
            <v>AON</v>
          </cell>
        </row>
        <row r="3215">
          <cell r="A3215" t="str">
            <v>OP</v>
          </cell>
          <cell r="B3215" t="str">
            <v>Quá 24h</v>
          </cell>
          <cell r="D3215" t="str">
            <v>Khiếu nại về dịch vụ FTTH</v>
          </cell>
          <cell r="W3215" t="str">
            <v>Đang xử lý</v>
          </cell>
          <cell r="AJ3215" t="str">
            <v>Gia Lai</v>
          </cell>
          <cell r="BX3215" t="str">
            <v>AON</v>
          </cell>
        </row>
        <row r="3216">
          <cell r="A3216" t="str">
            <v>OP</v>
          </cell>
          <cell r="B3216" t="str">
            <v>Quá 24h</v>
          </cell>
          <cell r="D3216" t="str">
            <v>Khiếu nại về dịch vụ FTTH</v>
          </cell>
          <cell r="W3216" t="str">
            <v>Đang xử lý</v>
          </cell>
          <cell r="AJ3216" t="str">
            <v>TP HCM</v>
          </cell>
          <cell r="BX3216" t="str">
            <v>AON</v>
          </cell>
        </row>
        <row r="3217">
          <cell r="A3217" t="str">
            <v>OP</v>
          </cell>
          <cell r="B3217" t="str">
            <v>Quá 24h</v>
          </cell>
          <cell r="D3217" t="str">
            <v>Khiếu nại về dịch vụ FTTH</v>
          </cell>
          <cell r="W3217" t="str">
            <v>Đang xử lý</v>
          </cell>
          <cell r="AJ3217" t="str">
            <v xml:space="preserve">Đắc Lắk </v>
          </cell>
          <cell r="BX3217" t="str">
            <v>AON</v>
          </cell>
        </row>
        <row r="3218">
          <cell r="A3218" t="str">
            <v>OP</v>
          </cell>
          <cell r="B3218" t="str">
            <v>Quá 24h</v>
          </cell>
          <cell r="D3218" t="str">
            <v>Khiếu nại về dịch vụ FTTH</v>
          </cell>
          <cell r="W3218" t="str">
            <v>Đang xử lý</v>
          </cell>
          <cell r="AJ3218" t="str">
            <v>TP HCM</v>
          </cell>
          <cell r="BX3218" t="str">
            <v>GPON</v>
          </cell>
        </row>
        <row r="3219">
          <cell r="A3219" t="str">
            <v>OP</v>
          </cell>
          <cell r="B3219" t="str">
            <v>Quá 24h</v>
          </cell>
          <cell r="D3219" t="str">
            <v>Khiếu nại về dịch vụ FTTH</v>
          </cell>
          <cell r="W3219" t="str">
            <v>Đang xử lý</v>
          </cell>
          <cell r="AJ3219" t="str">
            <v>Bình Thuận</v>
          </cell>
          <cell r="BX3219" t="str">
            <v>AON</v>
          </cell>
        </row>
        <row r="3220">
          <cell r="A3220" t="str">
            <v>OP</v>
          </cell>
          <cell r="B3220" t="str">
            <v>Quá 24h</v>
          </cell>
          <cell r="D3220" t="str">
            <v>Khiếu nại về dịch vụ FTTH</v>
          </cell>
          <cell r="W3220" t="str">
            <v>Đang xử lý</v>
          </cell>
          <cell r="AJ3220" t="str">
            <v>Gia Lai</v>
          </cell>
          <cell r="BX3220" t="str">
            <v>AON</v>
          </cell>
        </row>
        <row r="3221">
          <cell r="A3221" t="str">
            <v>OP</v>
          </cell>
          <cell r="B3221" t="str">
            <v>Quá 24h</v>
          </cell>
          <cell r="D3221" t="str">
            <v>Khiếu nại về dịch vụ FTTH</v>
          </cell>
          <cell r="W3221" t="str">
            <v>Đang xử lý</v>
          </cell>
          <cell r="AJ3221" t="str">
            <v>TP HCM</v>
          </cell>
          <cell r="BX3221" t="str">
            <v>AON</v>
          </cell>
        </row>
        <row r="3222">
          <cell r="A3222" t="str">
            <v>OP</v>
          </cell>
          <cell r="B3222" t="str">
            <v>Quá 24h</v>
          </cell>
          <cell r="D3222" t="str">
            <v>Khiếu nại về dịch vụ FTTH</v>
          </cell>
          <cell r="W3222" t="str">
            <v>Đã đóng</v>
          </cell>
          <cell r="AJ3222" t="str">
            <v>Thừa Thiên Huế</v>
          </cell>
          <cell r="BX3222" t="str">
            <v>AON</v>
          </cell>
        </row>
        <row r="3223">
          <cell r="A3223" t="str">
            <v>OP</v>
          </cell>
          <cell r="B3223" t="str">
            <v>Quá 24h</v>
          </cell>
          <cell r="D3223" t="str">
            <v>Khiếu nại về dịch vụ FTTH</v>
          </cell>
          <cell r="W3223" t="str">
            <v>Đang xử lý</v>
          </cell>
          <cell r="AJ3223" t="str">
            <v xml:space="preserve">Đắc Lắk </v>
          </cell>
          <cell r="BX3223" t="str">
            <v>AON</v>
          </cell>
        </row>
        <row r="3224">
          <cell r="A3224" t="str">
            <v>OP</v>
          </cell>
          <cell r="B3224" t="str">
            <v>Quá 24h</v>
          </cell>
          <cell r="D3224" t="str">
            <v>Khiếu nại về dịch vụ FTTH</v>
          </cell>
          <cell r="W3224" t="str">
            <v>Đang xử lý</v>
          </cell>
          <cell r="AJ3224" t="str">
            <v>TP HCM</v>
          </cell>
          <cell r="BX3224" t="str">
            <v>AON</v>
          </cell>
        </row>
        <row r="3225">
          <cell r="A3225" t="str">
            <v>OP</v>
          </cell>
          <cell r="B3225" t="str">
            <v>Quá 24h</v>
          </cell>
          <cell r="D3225" t="str">
            <v>Khiếu nại về dịch vụ FTTH</v>
          </cell>
          <cell r="W3225" t="str">
            <v>Đang xử lý</v>
          </cell>
          <cell r="AJ3225" t="str">
            <v>Thừa Thiên Huế</v>
          </cell>
          <cell r="BX3225" t="str">
            <v>AON</v>
          </cell>
        </row>
        <row r="3226">
          <cell r="A3226" t="str">
            <v>OP</v>
          </cell>
          <cell r="B3226" t="str">
            <v>Quá 24h</v>
          </cell>
          <cell r="D3226" t="str">
            <v>Khiếu nại về dịch vụ FTTH</v>
          </cell>
          <cell r="W3226" t="str">
            <v>Đang xử lý</v>
          </cell>
          <cell r="AJ3226" t="str">
            <v xml:space="preserve">Đắc Lắk </v>
          </cell>
          <cell r="BX3226" t="str">
            <v>AON</v>
          </cell>
        </row>
        <row r="3227">
          <cell r="A3227" t="str">
            <v>OP</v>
          </cell>
          <cell r="B3227" t="str">
            <v>Quá 24h</v>
          </cell>
          <cell r="D3227" t="str">
            <v>Khiếu nại về dịch vụ FTTH</v>
          </cell>
          <cell r="W3227" t="str">
            <v>Đang xử lý</v>
          </cell>
          <cell r="AJ3227" t="str">
            <v xml:space="preserve">Đắc Lắk </v>
          </cell>
          <cell r="BX3227" t="str">
            <v>AON</v>
          </cell>
        </row>
        <row r="3228">
          <cell r="A3228" t="str">
            <v>OP</v>
          </cell>
          <cell r="B3228" t="str">
            <v>Quá 24h</v>
          </cell>
          <cell r="D3228" t="str">
            <v>Khiếu nại về dịch vụ FTTH</v>
          </cell>
          <cell r="W3228" t="str">
            <v>Đang xử lý</v>
          </cell>
          <cell r="AJ3228" t="str">
            <v>Bà Rịa - Vũng Tàu</v>
          </cell>
          <cell r="BX3228" t="str">
            <v>AON</v>
          </cell>
        </row>
        <row r="3229">
          <cell r="A3229" t="str">
            <v>OP</v>
          </cell>
          <cell r="B3229" t="str">
            <v>Quá 24h</v>
          </cell>
          <cell r="D3229" t="str">
            <v>Khiếu nại về dịch vụ FTTH</v>
          </cell>
          <cell r="W3229" t="str">
            <v>Đang xử lý</v>
          </cell>
          <cell r="AJ3229" t="str">
            <v>Tây Ninh</v>
          </cell>
          <cell r="BX3229" t="str">
            <v>AON</v>
          </cell>
        </row>
        <row r="3230">
          <cell r="A3230" t="str">
            <v>OP</v>
          </cell>
          <cell r="B3230" t="str">
            <v>Quá 24h</v>
          </cell>
          <cell r="D3230" t="str">
            <v>Khiếu nại về dịch vụ FTTH</v>
          </cell>
          <cell r="W3230" t="str">
            <v>Đang xử lý</v>
          </cell>
          <cell r="AJ3230" t="str">
            <v>TP HCM</v>
          </cell>
          <cell r="BX3230" t="str">
            <v>AON</v>
          </cell>
        </row>
        <row r="3231">
          <cell r="A3231" t="str">
            <v>OP</v>
          </cell>
          <cell r="B3231" t="str">
            <v>Quá 24h</v>
          </cell>
          <cell r="D3231" t="str">
            <v>Khiếu nại về dịch vụ FTTH</v>
          </cell>
          <cell r="W3231" t="str">
            <v>Đang xử lý</v>
          </cell>
          <cell r="AJ3231" t="str">
            <v xml:space="preserve">Đắc Lắk </v>
          </cell>
          <cell r="BX3231" t="str">
            <v>AON</v>
          </cell>
        </row>
        <row r="3232">
          <cell r="A3232" t="str">
            <v>OP</v>
          </cell>
          <cell r="B3232" t="str">
            <v>Quá 24h</v>
          </cell>
          <cell r="D3232" t="str">
            <v>Khiếu nại về dịch vụ FTTH</v>
          </cell>
          <cell r="W3232" t="str">
            <v>Đang xử lý</v>
          </cell>
          <cell r="AJ3232" t="str">
            <v>TP HCM</v>
          </cell>
          <cell r="BX3232" t="str">
            <v>AON</v>
          </cell>
        </row>
        <row r="3233">
          <cell r="A3233" t="str">
            <v>OP</v>
          </cell>
          <cell r="B3233" t="str">
            <v>Quá 24h</v>
          </cell>
          <cell r="D3233" t="str">
            <v>Khiếu nại về dịch vụ FTTH</v>
          </cell>
          <cell r="W3233" t="str">
            <v>Đang xử lý</v>
          </cell>
          <cell r="AJ3233" t="str">
            <v xml:space="preserve">Quảng Nam </v>
          </cell>
          <cell r="BX3233" t="str">
            <v>AON</v>
          </cell>
        </row>
        <row r="3234">
          <cell r="A3234" t="str">
            <v>OP</v>
          </cell>
          <cell r="B3234" t="str">
            <v>Quá 24h</v>
          </cell>
          <cell r="D3234" t="str">
            <v>Khiếu nại về dịch vụ FTTH</v>
          </cell>
          <cell r="W3234" t="str">
            <v>Đang xử lý</v>
          </cell>
          <cell r="AJ3234" t="str">
            <v>Lâm Đồng</v>
          </cell>
          <cell r="BX3234" t="str">
            <v>AON</v>
          </cell>
        </row>
        <row r="3235">
          <cell r="A3235" t="str">
            <v>OP</v>
          </cell>
          <cell r="B3235" t="str">
            <v>Quá 24h</v>
          </cell>
          <cell r="D3235" t="str">
            <v>Khiếu nại về dịch vụ FTTH</v>
          </cell>
          <cell r="W3235" t="str">
            <v>Đang xử lý</v>
          </cell>
          <cell r="AJ3235" t="str">
            <v xml:space="preserve">Đắc Lắk </v>
          </cell>
          <cell r="BX3235" t="str">
            <v>AON</v>
          </cell>
        </row>
        <row r="3236">
          <cell r="A3236" t="str">
            <v>OP</v>
          </cell>
          <cell r="B3236" t="str">
            <v>Quá 24h</v>
          </cell>
          <cell r="D3236" t="str">
            <v>Khiếu nại về dịch vụ FTTH</v>
          </cell>
          <cell r="W3236" t="str">
            <v>Đang xử lý</v>
          </cell>
          <cell r="AJ3236" t="str">
            <v>Lâm Đồng</v>
          </cell>
          <cell r="BX3236" t="str">
            <v>AON</v>
          </cell>
        </row>
        <row r="3237">
          <cell r="A3237" t="str">
            <v>OP</v>
          </cell>
          <cell r="B3237" t="str">
            <v>Quá 24h</v>
          </cell>
          <cell r="D3237" t="str">
            <v>Khiếu nại về dịch vụ FTTH</v>
          </cell>
          <cell r="W3237" t="str">
            <v>Đang xử lý</v>
          </cell>
          <cell r="AJ3237" t="str">
            <v>TP HCM</v>
          </cell>
          <cell r="BX3237" t="str">
            <v>AON</v>
          </cell>
        </row>
        <row r="3238">
          <cell r="A3238" t="str">
            <v>OP</v>
          </cell>
          <cell r="B3238" t="str">
            <v>Quá 24h</v>
          </cell>
          <cell r="D3238" t="str">
            <v>Khiếu nại về dịch vụ FTTH</v>
          </cell>
          <cell r="W3238" t="str">
            <v>Đang xử lý</v>
          </cell>
          <cell r="AJ3238" t="str">
            <v>Tiền Giang</v>
          </cell>
          <cell r="BX3238" t="str">
            <v>AON</v>
          </cell>
        </row>
        <row r="3239">
          <cell r="A3239" t="str">
            <v>OP</v>
          </cell>
          <cell r="B3239" t="str">
            <v>Quá 24h</v>
          </cell>
          <cell r="D3239" t="str">
            <v>Khiếu nại về dịch vụ FTTH</v>
          </cell>
          <cell r="W3239" t="str">
            <v>Đang xử lý</v>
          </cell>
          <cell r="AJ3239" t="str">
            <v>Thừa Thiên Huế</v>
          </cell>
          <cell r="BX3239" t="str">
            <v>AON</v>
          </cell>
        </row>
        <row r="3240">
          <cell r="A3240" t="str">
            <v>OP</v>
          </cell>
          <cell r="B3240" t="str">
            <v>Quá 24h</v>
          </cell>
          <cell r="D3240" t="str">
            <v>Khiếu nại về dịch vụ FTTH</v>
          </cell>
          <cell r="W3240" t="str">
            <v>Đang xử lý</v>
          </cell>
          <cell r="AJ3240" t="str">
            <v>Quảng Trị</v>
          </cell>
          <cell r="BX3240" t="str">
            <v>AON</v>
          </cell>
        </row>
        <row r="3241">
          <cell r="A3241" t="str">
            <v>OP</v>
          </cell>
          <cell r="B3241" t="str">
            <v>Quá 24h</v>
          </cell>
          <cell r="D3241" t="str">
            <v>Khiếu nại về dịch vụ FTTH</v>
          </cell>
          <cell r="W3241" t="str">
            <v>Đang xử lý</v>
          </cell>
          <cell r="AJ3241" t="str">
            <v>Lâm Đồng</v>
          </cell>
          <cell r="BX3241" t="str">
            <v>AON</v>
          </cell>
        </row>
        <row r="3242">
          <cell r="A3242" t="str">
            <v>OP</v>
          </cell>
          <cell r="B3242" t="str">
            <v>Quá 24h</v>
          </cell>
          <cell r="D3242" t="str">
            <v>Khiếu nại về dịch vụ FTTH</v>
          </cell>
          <cell r="W3242" t="str">
            <v>Đang xử lý</v>
          </cell>
          <cell r="AJ3242" t="str">
            <v>Bình Thuận</v>
          </cell>
          <cell r="BX3242" t="str">
            <v>AON</v>
          </cell>
        </row>
        <row r="3243">
          <cell r="A3243" t="str">
            <v>OP</v>
          </cell>
          <cell r="B3243" t="str">
            <v>Quá 24h</v>
          </cell>
          <cell r="D3243" t="str">
            <v>Khiếu nại về dịch vụ FTTH</v>
          </cell>
          <cell r="W3243" t="str">
            <v>Đang xử lý</v>
          </cell>
          <cell r="AJ3243" t="str">
            <v>Ninh Thuận</v>
          </cell>
          <cell r="BX3243" t="str">
            <v>AON</v>
          </cell>
        </row>
        <row r="3244">
          <cell r="A3244" t="str">
            <v>OP</v>
          </cell>
          <cell r="B3244" t="str">
            <v>Quá 24h</v>
          </cell>
          <cell r="D3244" t="str">
            <v>Khiếu nại về dịch vụ FTTH</v>
          </cell>
          <cell r="W3244" t="str">
            <v>Đang xử lý</v>
          </cell>
          <cell r="AJ3244" t="str">
            <v xml:space="preserve">Đắc Lắk </v>
          </cell>
          <cell r="BX3244" t="str">
            <v>AON</v>
          </cell>
        </row>
        <row r="3245">
          <cell r="A3245" t="str">
            <v>OP</v>
          </cell>
          <cell r="B3245" t="str">
            <v>Quá 24h</v>
          </cell>
          <cell r="D3245" t="str">
            <v>Khiếu nại về dịch vụ FTTH</v>
          </cell>
          <cell r="W3245" t="str">
            <v>Đang xử lý</v>
          </cell>
          <cell r="AJ3245" t="str">
            <v>Phú Yên</v>
          </cell>
          <cell r="BX3245" t="str">
            <v>AON</v>
          </cell>
        </row>
        <row r="3246">
          <cell r="A3246" t="str">
            <v>OP</v>
          </cell>
          <cell r="B3246" t="str">
            <v>Quá 24h</v>
          </cell>
          <cell r="D3246" t="str">
            <v>Khiếu nại về dịch vụ FTTH</v>
          </cell>
          <cell r="W3246" t="str">
            <v>Đang xử lý</v>
          </cell>
          <cell r="AJ3246" t="str">
            <v>TP HCM</v>
          </cell>
          <cell r="BX3246" t="str">
            <v>AON</v>
          </cell>
        </row>
        <row r="3247">
          <cell r="A3247" t="str">
            <v>OP</v>
          </cell>
          <cell r="B3247" t="str">
            <v>Quá 24h</v>
          </cell>
          <cell r="D3247" t="str">
            <v>Khiếu nại về dịch vụ FTTH</v>
          </cell>
          <cell r="W3247" t="str">
            <v>Đang xử lý</v>
          </cell>
          <cell r="AJ3247" t="str">
            <v>Quảng Trị</v>
          </cell>
          <cell r="BX3247" t="str">
            <v>AON</v>
          </cell>
        </row>
        <row r="3248">
          <cell r="A3248" t="str">
            <v>OP</v>
          </cell>
          <cell r="B3248" t="str">
            <v>Quá 24h</v>
          </cell>
          <cell r="D3248" t="str">
            <v>Khiếu nại về dịch vụ FTTH</v>
          </cell>
          <cell r="W3248" t="str">
            <v>Đã đóng</v>
          </cell>
          <cell r="AJ3248" t="str">
            <v>Bình Thuận</v>
          </cell>
          <cell r="BX3248" t="str">
            <v>AON</v>
          </cell>
        </row>
        <row r="3249">
          <cell r="A3249" t="str">
            <v>OP</v>
          </cell>
          <cell r="B3249" t="str">
            <v>Quá 24h</v>
          </cell>
          <cell r="D3249" t="str">
            <v>Khiếu nại về dịch vụ FTTH</v>
          </cell>
          <cell r="W3249" t="str">
            <v>Đang xử lý</v>
          </cell>
          <cell r="AJ3249" t="str">
            <v>Gia Lai</v>
          </cell>
          <cell r="BX3249" t="str">
            <v>AON</v>
          </cell>
        </row>
        <row r="3250">
          <cell r="A3250" t="str">
            <v>OP</v>
          </cell>
          <cell r="B3250" t="str">
            <v>Quá 24h</v>
          </cell>
          <cell r="D3250" t="str">
            <v>Khiếu nại về dịch vụ FTTH</v>
          </cell>
          <cell r="W3250" t="str">
            <v>Đang xử lý</v>
          </cell>
          <cell r="AJ3250" t="str">
            <v>Quảng Trị</v>
          </cell>
          <cell r="BX3250" t="str">
            <v>AON</v>
          </cell>
        </row>
        <row r="3251">
          <cell r="A3251" t="str">
            <v>OP</v>
          </cell>
          <cell r="B3251" t="str">
            <v>Quá 24h</v>
          </cell>
          <cell r="D3251" t="str">
            <v>Khiếu nại về dịch vụ FTTH</v>
          </cell>
          <cell r="W3251" t="str">
            <v>Đang xử lý</v>
          </cell>
          <cell r="AJ3251" t="str">
            <v>Bình Thuận</v>
          </cell>
          <cell r="BX3251" t="str">
            <v>AON</v>
          </cell>
        </row>
        <row r="3252">
          <cell r="A3252" t="str">
            <v>OP</v>
          </cell>
          <cell r="B3252" t="str">
            <v>Quá 24h</v>
          </cell>
          <cell r="D3252" t="str">
            <v>Khiếu nại về dịch vụ FTTH</v>
          </cell>
          <cell r="W3252" t="str">
            <v>Đang xử lý</v>
          </cell>
          <cell r="AJ3252" t="str">
            <v>Thừa Thiên Huế</v>
          </cell>
          <cell r="BX3252" t="str">
            <v>AON</v>
          </cell>
        </row>
        <row r="3253">
          <cell r="A3253" t="str">
            <v>OP</v>
          </cell>
          <cell r="B3253" t="str">
            <v>Quá 24h</v>
          </cell>
          <cell r="D3253" t="str">
            <v>Khiếu nại về dịch vụ FTTH</v>
          </cell>
          <cell r="W3253" t="str">
            <v>Đang xử lý</v>
          </cell>
          <cell r="AJ3253" t="str">
            <v xml:space="preserve">Đà Nẵng </v>
          </cell>
          <cell r="BX3253" t="str">
            <v>AON</v>
          </cell>
        </row>
        <row r="3254">
          <cell r="A3254" t="str">
            <v>OP</v>
          </cell>
          <cell r="B3254" t="str">
            <v>Quá 24h</v>
          </cell>
          <cell r="D3254" t="str">
            <v>Khiếu nại về dịch vụ FTTH</v>
          </cell>
          <cell r="W3254" t="str">
            <v>Đang xử lý</v>
          </cell>
          <cell r="AJ3254" t="str">
            <v>Phú Yên</v>
          </cell>
          <cell r="BX3254" t="str">
            <v>AON</v>
          </cell>
        </row>
        <row r="3255">
          <cell r="A3255" t="str">
            <v>OP</v>
          </cell>
          <cell r="B3255" t="str">
            <v>Quá 24h</v>
          </cell>
          <cell r="D3255" t="str">
            <v>Khiếu nại về dịch vụ FTTH</v>
          </cell>
          <cell r="W3255" t="str">
            <v>Đang xử lý</v>
          </cell>
          <cell r="AJ3255" t="str">
            <v>Gia Lai</v>
          </cell>
          <cell r="BX3255" t="str">
            <v>AON</v>
          </cell>
        </row>
        <row r="3256">
          <cell r="A3256" t="str">
            <v>OP</v>
          </cell>
          <cell r="B3256" t="str">
            <v>Quá 24h</v>
          </cell>
          <cell r="D3256" t="str">
            <v>Khiếu nại về dịch vụ FTTH</v>
          </cell>
          <cell r="W3256" t="str">
            <v>Đang xử lý</v>
          </cell>
          <cell r="AJ3256" t="str">
            <v>Bình Thuận</v>
          </cell>
          <cell r="BX3256" t="str">
            <v>AON</v>
          </cell>
        </row>
        <row r="3257">
          <cell r="A3257" t="str">
            <v>OP</v>
          </cell>
          <cell r="B3257" t="str">
            <v>Quá 24h</v>
          </cell>
          <cell r="D3257" t="str">
            <v>Khiếu nại về dịch vụ FTTH</v>
          </cell>
          <cell r="W3257" t="str">
            <v>Đang xử lý</v>
          </cell>
          <cell r="AJ3257" t="str">
            <v xml:space="preserve">Đắc Lắk </v>
          </cell>
          <cell r="BX3257" t="str">
            <v>AON</v>
          </cell>
        </row>
        <row r="3258">
          <cell r="A3258" t="str">
            <v>OP</v>
          </cell>
          <cell r="B3258" t="str">
            <v>Quá 24h</v>
          </cell>
          <cell r="D3258" t="str">
            <v>Khiếu nại về dịch vụ FTTH</v>
          </cell>
          <cell r="W3258" t="str">
            <v>Đang xử lý</v>
          </cell>
          <cell r="AJ3258" t="str">
            <v>Quảng Ngãi</v>
          </cell>
          <cell r="BX3258" t="str">
            <v>AON</v>
          </cell>
        </row>
        <row r="3259">
          <cell r="A3259" t="str">
            <v>OP</v>
          </cell>
          <cell r="B3259" t="str">
            <v>Quá 24h</v>
          </cell>
          <cell r="D3259" t="str">
            <v>Khiếu nại về dịch vụ FTTH</v>
          </cell>
          <cell r="W3259" t="str">
            <v>Đang xử lý</v>
          </cell>
          <cell r="AJ3259" t="str">
            <v>Kon Tum</v>
          </cell>
          <cell r="BX3259" t="str">
            <v>AON</v>
          </cell>
        </row>
        <row r="3260">
          <cell r="A3260" t="str">
            <v>OP</v>
          </cell>
          <cell r="B3260" t="str">
            <v>Quá 24h</v>
          </cell>
          <cell r="D3260" t="str">
            <v>Khiếu nại về dịch vụ FTTH</v>
          </cell>
          <cell r="W3260" t="str">
            <v>Đang xử lý</v>
          </cell>
          <cell r="AJ3260" t="str">
            <v>Quảng Ngãi</v>
          </cell>
          <cell r="BX3260" t="str">
            <v>AON</v>
          </cell>
        </row>
        <row r="3261">
          <cell r="A3261" t="str">
            <v>OP</v>
          </cell>
          <cell r="B3261" t="str">
            <v>Quá 24h</v>
          </cell>
          <cell r="D3261" t="str">
            <v>Khiếu nại về dịch vụ FTTH</v>
          </cell>
          <cell r="W3261" t="str">
            <v>Đang xử lý</v>
          </cell>
          <cell r="AJ3261" t="str">
            <v>Phú Yên</v>
          </cell>
          <cell r="BX3261" t="str">
            <v>AON</v>
          </cell>
        </row>
        <row r="3262">
          <cell r="A3262" t="str">
            <v>OP</v>
          </cell>
          <cell r="B3262" t="str">
            <v>Quá 24h</v>
          </cell>
          <cell r="D3262" t="str">
            <v>Khiếu nại về dịch vụ FTTH</v>
          </cell>
          <cell r="W3262" t="str">
            <v>Đang xử lý</v>
          </cell>
          <cell r="AJ3262" t="str">
            <v>Phú Yên</v>
          </cell>
          <cell r="BX3262" t="str">
            <v>AON</v>
          </cell>
        </row>
        <row r="3263">
          <cell r="A3263" t="str">
            <v>OP</v>
          </cell>
          <cell r="B3263" t="str">
            <v>Quá 24h</v>
          </cell>
          <cell r="D3263" t="str">
            <v>Khiếu nại về dịch vụ FTTH</v>
          </cell>
          <cell r="W3263" t="str">
            <v>Đang xử lý</v>
          </cell>
          <cell r="AJ3263" t="str">
            <v xml:space="preserve">Quảng Nam </v>
          </cell>
          <cell r="BX3263" t="str">
            <v>AON</v>
          </cell>
        </row>
        <row r="3264">
          <cell r="A3264" t="str">
            <v>OP</v>
          </cell>
          <cell r="B3264" t="str">
            <v>Quá 24h</v>
          </cell>
          <cell r="D3264" t="str">
            <v>Khiếu nại về dịch vụ FTTH</v>
          </cell>
          <cell r="W3264" t="str">
            <v>Đang xử lý</v>
          </cell>
          <cell r="AJ3264" t="str">
            <v>Kon Tum</v>
          </cell>
          <cell r="BX3264" t="str">
            <v>AON</v>
          </cell>
        </row>
        <row r="3265">
          <cell r="A3265" t="str">
            <v>OP</v>
          </cell>
          <cell r="B3265" t="str">
            <v>Quá 24h</v>
          </cell>
          <cell r="D3265" t="str">
            <v>Khiếu nại về dịch vụ FTTH</v>
          </cell>
          <cell r="W3265" t="str">
            <v>Đang xử lý</v>
          </cell>
          <cell r="AJ3265" t="str">
            <v xml:space="preserve">Đắc Lắk </v>
          </cell>
          <cell r="BX3265" t="str">
            <v>AON</v>
          </cell>
        </row>
        <row r="3266">
          <cell r="A3266" t="str">
            <v>OP</v>
          </cell>
          <cell r="B3266" t="str">
            <v>Quá 24h</v>
          </cell>
          <cell r="D3266" t="str">
            <v>Khiếu nại về dịch vụ FTTH</v>
          </cell>
          <cell r="W3266" t="str">
            <v>Đang xử lý</v>
          </cell>
          <cell r="AJ3266" t="str">
            <v>Thừa Thiên Huế</v>
          </cell>
          <cell r="BX3266" t="str">
            <v>AON</v>
          </cell>
        </row>
        <row r="3267">
          <cell r="A3267" t="str">
            <v>OP</v>
          </cell>
          <cell r="B3267" t="str">
            <v>Quá 24h</v>
          </cell>
          <cell r="D3267" t="str">
            <v>Khiếu nại về dịch vụ FTTH</v>
          </cell>
          <cell r="W3267" t="str">
            <v>Đang xử lý</v>
          </cell>
          <cell r="AJ3267" t="str">
            <v xml:space="preserve">Đắc Lắk </v>
          </cell>
          <cell r="BX3267" t="str">
            <v>AON</v>
          </cell>
        </row>
        <row r="3268">
          <cell r="A3268" t="str">
            <v>OP</v>
          </cell>
          <cell r="B3268" t="str">
            <v>Quá 24h</v>
          </cell>
          <cell r="D3268" t="str">
            <v>Khiếu nại về dịch vụ FTTH</v>
          </cell>
          <cell r="W3268" t="str">
            <v>Đang xử lý</v>
          </cell>
          <cell r="AJ3268" t="str">
            <v>TP HCM</v>
          </cell>
          <cell r="BX3268" t="str">
            <v>AON</v>
          </cell>
        </row>
        <row r="3269">
          <cell r="A3269" t="str">
            <v>OP</v>
          </cell>
          <cell r="B3269" t="str">
            <v>Quá 24h</v>
          </cell>
          <cell r="D3269" t="str">
            <v>Khiếu nại về dịch vụ FTTH</v>
          </cell>
          <cell r="W3269" t="str">
            <v>Đang xử lý</v>
          </cell>
          <cell r="AJ3269" t="str">
            <v>TP HCM</v>
          </cell>
          <cell r="BX3269" t="str">
            <v>AON</v>
          </cell>
        </row>
        <row r="3270">
          <cell r="A3270" t="str">
            <v>OP</v>
          </cell>
          <cell r="B3270" t="str">
            <v>Quá 24h</v>
          </cell>
          <cell r="D3270" t="str">
            <v>Khiếu nại về dịch vụ FTTH</v>
          </cell>
          <cell r="W3270" t="str">
            <v>Đang xử lý</v>
          </cell>
          <cell r="AJ3270" t="str">
            <v>Lâm Đồng</v>
          </cell>
          <cell r="BX3270" t="str">
            <v>AON</v>
          </cell>
        </row>
        <row r="3271">
          <cell r="A3271" t="str">
            <v>OP</v>
          </cell>
          <cell r="B3271" t="str">
            <v>Quá 24h</v>
          </cell>
          <cell r="D3271" t="str">
            <v>Khiếu nại về dịch vụ FTTH</v>
          </cell>
          <cell r="W3271" t="str">
            <v>Đang xử lý</v>
          </cell>
          <cell r="AJ3271" t="str">
            <v>Phú Yên</v>
          </cell>
          <cell r="BX3271" t="str">
            <v>AON</v>
          </cell>
        </row>
        <row r="3272">
          <cell r="A3272" t="str">
            <v>OP</v>
          </cell>
          <cell r="B3272" t="str">
            <v>Quá 24h</v>
          </cell>
          <cell r="D3272" t="str">
            <v>Khiếu nại về dịch vụ FTTH</v>
          </cell>
          <cell r="W3272" t="str">
            <v>Đã đóng</v>
          </cell>
          <cell r="AJ3272" t="str">
            <v>Bình Thuận</v>
          </cell>
          <cell r="BX3272" t="str">
            <v>AON</v>
          </cell>
        </row>
        <row r="3273">
          <cell r="A3273" t="str">
            <v>OP</v>
          </cell>
          <cell r="B3273" t="str">
            <v>Quá 24h</v>
          </cell>
          <cell r="D3273" t="str">
            <v>Khiếu nại về dịch vụ FTTH</v>
          </cell>
          <cell r="W3273" t="str">
            <v>Đang xử lý</v>
          </cell>
          <cell r="AJ3273" t="str">
            <v xml:space="preserve">Đà Nẵng </v>
          </cell>
          <cell r="BX3273" t="str">
            <v>AON</v>
          </cell>
        </row>
        <row r="3274">
          <cell r="A3274" t="str">
            <v>OP</v>
          </cell>
          <cell r="B3274" t="str">
            <v>Quá 24h</v>
          </cell>
          <cell r="D3274" t="str">
            <v>Khiếu nại về dịch vụ FTTH</v>
          </cell>
          <cell r="W3274" t="str">
            <v>Đang xử lý</v>
          </cell>
          <cell r="AJ3274" t="str">
            <v>Quảng Ngãi</v>
          </cell>
          <cell r="BX3274" t="str">
            <v>AON</v>
          </cell>
        </row>
        <row r="3275">
          <cell r="A3275" t="str">
            <v>OP</v>
          </cell>
          <cell r="B3275" t="str">
            <v>Quá 24h</v>
          </cell>
          <cell r="D3275" t="str">
            <v>Khiếu nại về dịch vụ FTTH</v>
          </cell>
          <cell r="W3275" t="str">
            <v>Đang xử lý</v>
          </cell>
          <cell r="AJ3275" t="str">
            <v>Quảng Trị</v>
          </cell>
          <cell r="BX3275" t="str">
            <v>AON</v>
          </cell>
        </row>
        <row r="3276">
          <cell r="A3276" t="str">
            <v>OP</v>
          </cell>
          <cell r="B3276" t="str">
            <v>Quá 24h</v>
          </cell>
          <cell r="D3276" t="str">
            <v>Khiếu nại về dịch vụ FTTH</v>
          </cell>
          <cell r="W3276" t="str">
            <v>Đang xử lý</v>
          </cell>
          <cell r="AJ3276" t="str">
            <v>Lâm Đồng</v>
          </cell>
          <cell r="BX3276" t="str">
            <v>AON</v>
          </cell>
        </row>
        <row r="3277">
          <cell r="A3277" t="str">
            <v>OP</v>
          </cell>
          <cell r="B3277" t="str">
            <v>Quá 24h</v>
          </cell>
          <cell r="D3277" t="str">
            <v>Khiếu nại về dịch vụ FTTH</v>
          </cell>
          <cell r="W3277" t="str">
            <v>Đang xử lý</v>
          </cell>
          <cell r="AJ3277" t="str">
            <v>TP HCM</v>
          </cell>
          <cell r="BX3277" t="str">
            <v>AON</v>
          </cell>
        </row>
        <row r="3278">
          <cell r="A3278" t="str">
            <v>OP</v>
          </cell>
          <cell r="B3278" t="str">
            <v>Quá 24h</v>
          </cell>
          <cell r="D3278" t="str">
            <v>Khiếu nại về dịch vụ FTTH</v>
          </cell>
          <cell r="W3278" t="str">
            <v>Đang xử lý</v>
          </cell>
          <cell r="AJ3278" t="str">
            <v>Gia Lai</v>
          </cell>
          <cell r="BX3278" t="str">
            <v>AON</v>
          </cell>
        </row>
        <row r="3279">
          <cell r="A3279" t="str">
            <v>OP</v>
          </cell>
          <cell r="B3279" t="str">
            <v>Quá 24h</v>
          </cell>
          <cell r="D3279" t="str">
            <v>Khiếu nại về dịch vụ FTTH</v>
          </cell>
          <cell r="W3279" t="str">
            <v>Đang xử lý</v>
          </cell>
          <cell r="AJ3279" t="str">
            <v>Phú Yên</v>
          </cell>
          <cell r="BX3279" t="str">
            <v>AON</v>
          </cell>
        </row>
        <row r="3280">
          <cell r="A3280" t="str">
            <v>OP</v>
          </cell>
          <cell r="B3280" t="str">
            <v>Quá 24h</v>
          </cell>
          <cell r="D3280" t="str">
            <v>Khiếu nại về dịch vụ FTTH</v>
          </cell>
          <cell r="W3280" t="str">
            <v>Đang xử lý</v>
          </cell>
          <cell r="AJ3280" t="str">
            <v xml:space="preserve">Đà Nẵng </v>
          </cell>
          <cell r="BX3280" t="str">
            <v>AON</v>
          </cell>
        </row>
        <row r="3281">
          <cell r="A3281" t="str">
            <v>OP</v>
          </cell>
          <cell r="B3281" t="str">
            <v>Quá 24h</v>
          </cell>
          <cell r="D3281" t="str">
            <v>Khiếu nại về dịch vụ FTTH</v>
          </cell>
          <cell r="W3281" t="str">
            <v>Đang xử lý</v>
          </cell>
          <cell r="AJ3281" t="str">
            <v xml:space="preserve">Đắc Lắk </v>
          </cell>
          <cell r="BX3281" t="str">
            <v>AON</v>
          </cell>
        </row>
        <row r="3282">
          <cell r="A3282" t="str">
            <v>OP</v>
          </cell>
          <cell r="B3282" t="str">
            <v>Quá 24h</v>
          </cell>
          <cell r="D3282" t="str">
            <v>Khiếu nại về dịch vụ FTTH</v>
          </cell>
          <cell r="W3282" t="str">
            <v>Đang xử lý</v>
          </cell>
          <cell r="AJ3282" t="str">
            <v xml:space="preserve">Quảng Nam </v>
          </cell>
          <cell r="BX3282" t="str">
            <v>AON</v>
          </cell>
        </row>
        <row r="3283">
          <cell r="A3283" t="str">
            <v>OP</v>
          </cell>
          <cell r="B3283" t="str">
            <v>Quá 24h</v>
          </cell>
          <cell r="D3283" t="str">
            <v>Khiếu nại về dịch vụ FTTH</v>
          </cell>
          <cell r="W3283" t="str">
            <v>Đang xử lý</v>
          </cell>
          <cell r="AJ3283" t="str">
            <v>TP HCM</v>
          </cell>
          <cell r="BX3283" t="str">
            <v>AON</v>
          </cell>
        </row>
        <row r="3284">
          <cell r="A3284" t="str">
            <v>OP</v>
          </cell>
          <cell r="B3284" t="str">
            <v>Quá 24h</v>
          </cell>
          <cell r="D3284" t="str">
            <v>Khiếu nại về dịch vụ FTTH</v>
          </cell>
          <cell r="W3284" t="str">
            <v>Đang xử lý</v>
          </cell>
          <cell r="AJ3284" t="str">
            <v xml:space="preserve">Đắc Lắk </v>
          </cell>
          <cell r="BX3284" t="str">
            <v>AON</v>
          </cell>
        </row>
        <row r="3285">
          <cell r="A3285" t="str">
            <v>OP</v>
          </cell>
          <cell r="B3285" t="str">
            <v>Quá 24h</v>
          </cell>
          <cell r="D3285" t="str">
            <v>Khiếu nại về dịch vụ FTTH</v>
          </cell>
          <cell r="W3285" t="str">
            <v>Đang xử lý</v>
          </cell>
          <cell r="AJ3285" t="str">
            <v>Thừa Thiên Huế</v>
          </cell>
          <cell r="BX3285" t="str">
            <v>AON</v>
          </cell>
        </row>
        <row r="3286">
          <cell r="A3286" t="str">
            <v>OP</v>
          </cell>
          <cell r="B3286" t="str">
            <v>Quá 24h</v>
          </cell>
          <cell r="D3286" t="str">
            <v>Khiếu nại về dịch vụ FTTH</v>
          </cell>
          <cell r="W3286" t="str">
            <v>Đang xử lý</v>
          </cell>
          <cell r="AJ3286" t="str">
            <v>Thừa Thiên Huế</v>
          </cell>
          <cell r="BX3286" t="str">
            <v>AON</v>
          </cell>
        </row>
        <row r="3287">
          <cell r="A3287" t="str">
            <v>OP</v>
          </cell>
          <cell r="B3287" t="str">
            <v>Quá 24h</v>
          </cell>
          <cell r="D3287" t="str">
            <v>Khiếu nại về dịch vụ FTTH</v>
          </cell>
          <cell r="W3287" t="str">
            <v>Đang xử lý</v>
          </cell>
          <cell r="AJ3287" t="str">
            <v>TP HCM</v>
          </cell>
          <cell r="BX3287" t="str">
            <v>AON</v>
          </cell>
        </row>
        <row r="3288">
          <cell r="A3288" t="str">
            <v>OP</v>
          </cell>
          <cell r="B3288" t="str">
            <v>Quá 24h</v>
          </cell>
          <cell r="D3288" t="str">
            <v>Khiếu nại về dịch vụ FTTH</v>
          </cell>
          <cell r="W3288" t="str">
            <v>Đang xử lý</v>
          </cell>
          <cell r="AJ3288" t="str">
            <v>Quảng Ngãi</v>
          </cell>
          <cell r="BX3288" t="str">
            <v>AON</v>
          </cell>
        </row>
        <row r="3289">
          <cell r="A3289" t="str">
            <v>OP</v>
          </cell>
          <cell r="B3289" t="str">
            <v>Quá 24h</v>
          </cell>
          <cell r="D3289" t="str">
            <v>Khiếu nại về dịch vụ FTTH</v>
          </cell>
          <cell r="W3289" t="str">
            <v>Đang xử lý</v>
          </cell>
          <cell r="AJ3289" t="str">
            <v>Bình Thuận</v>
          </cell>
          <cell r="BX3289" t="str">
            <v>AON</v>
          </cell>
        </row>
        <row r="3290">
          <cell r="A3290" t="str">
            <v>OP</v>
          </cell>
          <cell r="B3290" t="str">
            <v>Quá 24h</v>
          </cell>
          <cell r="D3290" t="str">
            <v>Khiếu nại về dịch vụ FTTH</v>
          </cell>
          <cell r="W3290" t="str">
            <v>Đang xử lý</v>
          </cell>
          <cell r="AJ3290" t="str">
            <v xml:space="preserve">Đắc Lắk </v>
          </cell>
          <cell r="BX3290" t="str">
            <v>AON</v>
          </cell>
        </row>
        <row r="3291">
          <cell r="A3291" t="str">
            <v>OP</v>
          </cell>
          <cell r="B3291" t="str">
            <v>Quá 24h</v>
          </cell>
          <cell r="D3291" t="str">
            <v>Khiếu nại về dịch vụ FTTH</v>
          </cell>
          <cell r="W3291" t="str">
            <v>Đang xử lý</v>
          </cell>
          <cell r="AJ3291" t="str">
            <v>Quảng Ngãi</v>
          </cell>
          <cell r="BX3291" t="str">
            <v>AON</v>
          </cell>
        </row>
        <row r="3292">
          <cell r="A3292" t="str">
            <v>OP</v>
          </cell>
          <cell r="B3292" t="str">
            <v>Quá 24h</v>
          </cell>
          <cell r="D3292" t="str">
            <v>Khiếu nại về dịch vụ FTTH</v>
          </cell>
          <cell r="W3292" t="str">
            <v>Đã đóng</v>
          </cell>
          <cell r="AJ3292" t="str">
            <v>TP HCM</v>
          </cell>
          <cell r="BX3292" t="str">
            <v>AON</v>
          </cell>
        </row>
        <row r="3293">
          <cell r="A3293" t="str">
            <v>OP</v>
          </cell>
          <cell r="B3293" t="str">
            <v>Quá 24h</v>
          </cell>
          <cell r="D3293" t="str">
            <v>Khiếu nại về dịch vụ FTTH</v>
          </cell>
          <cell r="W3293" t="str">
            <v>Đang xử lý</v>
          </cell>
          <cell r="AJ3293" t="str">
            <v xml:space="preserve">Đắc Lắk </v>
          </cell>
          <cell r="BX3293" t="str">
            <v>AON</v>
          </cell>
        </row>
        <row r="3294">
          <cell r="A3294" t="str">
            <v>OP</v>
          </cell>
          <cell r="B3294" t="str">
            <v>Quá 24h</v>
          </cell>
          <cell r="D3294" t="str">
            <v>Khiếu nại về dịch vụ FTTH</v>
          </cell>
          <cell r="W3294" t="str">
            <v>Đang xử lý</v>
          </cell>
          <cell r="AJ3294" t="str">
            <v>Lâm Đồng</v>
          </cell>
          <cell r="BX3294" t="str">
            <v>AON</v>
          </cell>
        </row>
        <row r="3295">
          <cell r="A3295" t="str">
            <v>OP</v>
          </cell>
          <cell r="B3295" t="str">
            <v>Quá 24h</v>
          </cell>
          <cell r="D3295" t="str">
            <v>Khiếu nại về dịch vụ FTTH</v>
          </cell>
          <cell r="W3295" t="str">
            <v>Đang xử lý</v>
          </cell>
          <cell r="AJ3295" t="str">
            <v>Gia Lai</v>
          </cell>
          <cell r="BX3295" t="str">
            <v>AON</v>
          </cell>
        </row>
        <row r="3296">
          <cell r="A3296" t="str">
            <v>OP</v>
          </cell>
          <cell r="B3296" t="str">
            <v>Quá 24h</v>
          </cell>
          <cell r="D3296" t="str">
            <v>Khiếu nại về dịch vụ FTTH</v>
          </cell>
          <cell r="W3296" t="str">
            <v>Đang xử lý</v>
          </cell>
          <cell r="AJ3296" t="str">
            <v>Phú Yên</v>
          </cell>
          <cell r="BX3296" t="str">
            <v>AON</v>
          </cell>
        </row>
        <row r="3297">
          <cell r="A3297" t="str">
            <v>OP</v>
          </cell>
          <cell r="B3297" t="str">
            <v>Quá 24h</v>
          </cell>
          <cell r="D3297" t="str">
            <v>Khiếu nại về dịch vụ FTTH</v>
          </cell>
          <cell r="W3297" t="str">
            <v>Đã đóng</v>
          </cell>
          <cell r="AJ3297" t="str">
            <v xml:space="preserve">Đà Nẵng </v>
          </cell>
          <cell r="BX3297" t="str">
            <v>AON</v>
          </cell>
        </row>
        <row r="3298">
          <cell r="A3298" t="str">
            <v>OP</v>
          </cell>
          <cell r="B3298" t="str">
            <v>Quá 24h</v>
          </cell>
          <cell r="D3298" t="str">
            <v>Khiếu nại về dịch vụ FTTH</v>
          </cell>
          <cell r="W3298" t="str">
            <v>Đã đóng</v>
          </cell>
          <cell r="AJ3298" t="str">
            <v>Bình Định</v>
          </cell>
          <cell r="BX3298" t="str">
            <v>AON</v>
          </cell>
        </row>
        <row r="3299">
          <cell r="A3299" t="str">
            <v>OP</v>
          </cell>
          <cell r="B3299" t="str">
            <v>Quá 24h</v>
          </cell>
          <cell r="D3299" t="str">
            <v>Khiếu nại về dịch vụ NextTV</v>
          </cell>
          <cell r="W3299" t="str">
            <v>Đang xử lý</v>
          </cell>
          <cell r="AJ3299" t="str">
            <v xml:space="preserve">Đà Nẵng </v>
          </cell>
          <cell r="BX3299" t="str">
            <v>AON</v>
          </cell>
        </row>
        <row r="3300">
          <cell r="A3300" t="str">
            <v>OP</v>
          </cell>
          <cell r="B3300" t="str">
            <v>Quá 24h</v>
          </cell>
          <cell r="D3300" t="str">
            <v>Khiếu nại về dịch vụ FTTH</v>
          </cell>
          <cell r="W3300" t="str">
            <v>Đang xử lý</v>
          </cell>
          <cell r="AJ3300" t="str">
            <v xml:space="preserve">Đắc Lắk </v>
          </cell>
          <cell r="BX3300" t="str">
            <v>AON</v>
          </cell>
        </row>
        <row r="3301">
          <cell r="A3301" t="str">
            <v>OP</v>
          </cell>
          <cell r="B3301" t="str">
            <v>Quá 24h</v>
          </cell>
          <cell r="D3301" t="str">
            <v>Khiếu nại về dịch vụ FTTH</v>
          </cell>
          <cell r="W3301" t="str">
            <v>Đang xử lý</v>
          </cell>
          <cell r="AJ3301" t="str">
            <v>Lâm Đồng</v>
          </cell>
          <cell r="BX3301" t="str">
            <v>AON</v>
          </cell>
        </row>
        <row r="3302">
          <cell r="A3302" t="str">
            <v>OP</v>
          </cell>
          <cell r="B3302" t="str">
            <v>Quá 24h</v>
          </cell>
          <cell r="D3302" t="str">
            <v>Khiếu nại về dịch vụ FTTH</v>
          </cell>
          <cell r="W3302" t="str">
            <v>Đang xử lý</v>
          </cell>
          <cell r="AJ3302" t="str">
            <v xml:space="preserve">Đà Nẵng </v>
          </cell>
          <cell r="BX3302" t="str">
            <v>AON</v>
          </cell>
        </row>
        <row r="3303">
          <cell r="A3303" t="str">
            <v>OP</v>
          </cell>
          <cell r="B3303" t="str">
            <v>Quá 24h</v>
          </cell>
          <cell r="D3303" t="str">
            <v>Khiếu nại về dịch vụ FTTH</v>
          </cell>
          <cell r="W3303" t="str">
            <v>Đang xử lý</v>
          </cell>
          <cell r="AJ3303" t="str">
            <v xml:space="preserve">Đà Nẵng </v>
          </cell>
          <cell r="BX3303" t="str">
            <v>AON</v>
          </cell>
        </row>
        <row r="3304">
          <cell r="A3304" t="str">
            <v>OP</v>
          </cell>
          <cell r="B3304" t="str">
            <v>Quá 24h</v>
          </cell>
          <cell r="D3304" t="str">
            <v>Khiếu nại về dịch vụ FTTH</v>
          </cell>
          <cell r="W3304" t="str">
            <v>Đang xử lý</v>
          </cell>
          <cell r="AJ3304" t="str">
            <v>Long An</v>
          </cell>
          <cell r="BX3304" t="str">
            <v>AON</v>
          </cell>
        </row>
        <row r="3305">
          <cell r="A3305" t="str">
            <v>OP</v>
          </cell>
          <cell r="B3305" t="str">
            <v>Quá 24h</v>
          </cell>
          <cell r="D3305" t="str">
            <v>Khiếu nại về dịch vụ FTTH</v>
          </cell>
          <cell r="W3305" t="str">
            <v>Đang xử lý</v>
          </cell>
          <cell r="AJ3305" t="str">
            <v>Ninh Thuận</v>
          </cell>
          <cell r="BX3305" t="str">
            <v>AON</v>
          </cell>
        </row>
        <row r="3306">
          <cell r="A3306" t="str">
            <v>OP</v>
          </cell>
          <cell r="B3306" t="str">
            <v>Quá 24h</v>
          </cell>
          <cell r="D3306" t="str">
            <v>Khiếu nại về dịch vụ FTTH</v>
          </cell>
          <cell r="W3306" t="str">
            <v>Đang xử lý</v>
          </cell>
          <cell r="AJ3306" t="str">
            <v>Gia Lai</v>
          </cell>
          <cell r="BX3306" t="str">
            <v>AON</v>
          </cell>
        </row>
        <row r="3307">
          <cell r="A3307" t="str">
            <v>OP</v>
          </cell>
          <cell r="B3307" t="str">
            <v>Quá 24h</v>
          </cell>
          <cell r="D3307" t="str">
            <v>Khiếu nại về dịch vụ FTTH</v>
          </cell>
          <cell r="W3307" t="str">
            <v>Đang xử lý</v>
          </cell>
          <cell r="AJ3307" t="str">
            <v>Quảng Ngãi</v>
          </cell>
          <cell r="BX3307" t="str">
            <v>AON</v>
          </cell>
        </row>
        <row r="3308">
          <cell r="A3308" t="str">
            <v>OP</v>
          </cell>
          <cell r="B3308" t="str">
            <v>Quá 24h</v>
          </cell>
          <cell r="D3308" t="str">
            <v>Khiếu nại về dịch vụ FTTH</v>
          </cell>
          <cell r="W3308" t="str">
            <v>Đã đóng</v>
          </cell>
          <cell r="AJ3308" t="str">
            <v>Bình Định</v>
          </cell>
          <cell r="BX3308" t="str">
            <v>AON</v>
          </cell>
        </row>
        <row r="3309">
          <cell r="A3309" t="str">
            <v>OP</v>
          </cell>
          <cell r="B3309" t="str">
            <v>Quá 24h</v>
          </cell>
          <cell r="D3309" t="str">
            <v>Khiếu nại về dịch vụ FTTH</v>
          </cell>
          <cell r="W3309" t="str">
            <v>Đang xử lý</v>
          </cell>
          <cell r="AJ3309" t="str">
            <v xml:space="preserve">Đắc Lắk </v>
          </cell>
          <cell r="BX3309" t="str">
            <v>AON</v>
          </cell>
        </row>
        <row r="3310">
          <cell r="A3310" t="str">
            <v>OP</v>
          </cell>
          <cell r="B3310" t="str">
            <v>Quá 24h</v>
          </cell>
          <cell r="D3310" t="str">
            <v>Khiếu nại về dịch vụ FTTH</v>
          </cell>
          <cell r="W3310" t="str">
            <v>Đang xử lý</v>
          </cell>
          <cell r="AJ3310" t="str">
            <v>Thừa Thiên Huế</v>
          </cell>
          <cell r="BX3310" t="str">
            <v>AON</v>
          </cell>
        </row>
        <row r="3311">
          <cell r="A3311" t="str">
            <v>OP</v>
          </cell>
          <cell r="B3311" t="str">
            <v>Quá 24h</v>
          </cell>
          <cell r="D3311" t="str">
            <v>Khiếu nại về dịch vụ FTTH</v>
          </cell>
          <cell r="W3311" t="str">
            <v>Đang xử lý</v>
          </cell>
          <cell r="AJ3311" t="str">
            <v>Quảng Trị</v>
          </cell>
          <cell r="BX3311" t="str">
            <v>AON</v>
          </cell>
        </row>
        <row r="3312">
          <cell r="A3312" t="str">
            <v>OP</v>
          </cell>
          <cell r="B3312" t="str">
            <v>Quá 24h</v>
          </cell>
          <cell r="D3312" t="str">
            <v>Khiếu nại về dịch vụ FTTH</v>
          </cell>
          <cell r="W3312" t="str">
            <v>Đang xử lý</v>
          </cell>
          <cell r="AJ3312" t="str">
            <v>Kon Tum</v>
          </cell>
          <cell r="BX3312" t="str">
            <v>AON</v>
          </cell>
        </row>
        <row r="3313">
          <cell r="A3313" t="str">
            <v>OP</v>
          </cell>
          <cell r="B3313" t="str">
            <v>Quá 24h</v>
          </cell>
          <cell r="D3313" t="str">
            <v>Khiếu nại về dịch vụ FTTH</v>
          </cell>
          <cell r="W3313" t="str">
            <v>Đang xử lý</v>
          </cell>
          <cell r="AJ3313" t="str">
            <v>Quảng Ngãi</v>
          </cell>
          <cell r="BX3313" t="str">
            <v>AON</v>
          </cell>
        </row>
        <row r="3314">
          <cell r="A3314" t="str">
            <v>OP</v>
          </cell>
          <cell r="B3314" t="str">
            <v>Quá 24h</v>
          </cell>
          <cell r="D3314" t="str">
            <v>Khiếu nại về dịch vụ FTTH</v>
          </cell>
          <cell r="W3314" t="str">
            <v>Đang xử lý</v>
          </cell>
          <cell r="AJ3314" t="str">
            <v>TP HCM</v>
          </cell>
          <cell r="BX3314" t="str">
            <v>GPON</v>
          </cell>
        </row>
        <row r="3315">
          <cell r="A3315" t="str">
            <v>OP</v>
          </cell>
          <cell r="B3315" t="str">
            <v>Quá 24h</v>
          </cell>
          <cell r="D3315" t="str">
            <v>Khiếu nại về dịch vụ FTTH</v>
          </cell>
          <cell r="W3315" t="str">
            <v>Đang xử lý</v>
          </cell>
          <cell r="AJ3315" t="str">
            <v xml:space="preserve">Quảng Nam </v>
          </cell>
          <cell r="BX3315" t="str">
            <v>AON</v>
          </cell>
        </row>
        <row r="3316">
          <cell r="A3316" t="str">
            <v>OP</v>
          </cell>
          <cell r="B3316" t="str">
            <v>Quá 24h</v>
          </cell>
          <cell r="D3316" t="str">
            <v>Khiếu nại về dịch vụ FTTH</v>
          </cell>
          <cell r="W3316" t="str">
            <v>Đang xử lý</v>
          </cell>
          <cell r="AJ3316" t="str">
            <v>TP HCM</v>
          </cell>
          <cell r="BX3316" t="str">
            <v>AON</v>
          </cell>
        </row>
        <row r="3317">
          <cell r="A3317" t="str">
            <v>OP</v>
          </cell>
          <cell r="B3317" t="str">
            <v>Quá 24h</v>
          </cell>
          <cell r="D3317" t="str">
            <v>Khiếu nại về dịch vụ FTTH</v>
          </cell>
          <cell r="W3317" t="str">
            <v>Đang xử lý</v>
          </cell>
          <cell r="AJ3317" t="str">
            <v>TP HCM</v>
          </cell>
          <cell r="BX3317" t="str">
            <v>AON</v>
          </cell>
        </row>
        <row r="3318">
          <cell r="A3318" t="str">
            <v>OP</v>
          </cell>
          <cell r="B3318" t="str">
            <v>Quá 24h</v>
          </cell>
          <cell r="D3318" t="str">
            <v>Khiếu nại về dịch vụ FTTH</v>
          </cell>
          <cell r="W3318" t="str">
            <v>Đang xử lý</v>
          </cell>
          <cell r="AJ3318" t="str">
            <v xml:space="preserve">Đà Nẵng </v>
          </cell>
          <cell r="BX3318" t="str">
            <v>AON</v>
          </cell>
        </row>
        <row r="3319">
          <cell r="A3319" t="str">
            <v>OP</v>
          </cell>
          <cell r="B3319" t="str">
            <v>Quá 24h</v>
          </cell>
          <cell r="D3319" t="str">
            <v>Khiếu nại về dịch vụ FTTH</v>
          </cell>
          <cell r="W3319" t="str">
            <v>Đang xử lý</v>
          </cell>
          <cell r="AJ3319" t="str">
            <v>An Giang</v>
          </cell>
          <cell r="BX3319" t="str">
            <v>AON</v>
          </cell>
        </row>
        <row r="3320">
          <cell r="A3320" t="str">
            <v>OP</v>
          </cell>
          <cell r="B3320" t="str">
            <v>Quá 24h</v>
          </cell>
          <cell r="D3320" t="str">
            <v>Khiếu nại về dịch vụ FTTH</v>
          </cell>
          <cell r="W3320" t="str">
            <v>Đang xử lý</v>
          </cell>
          <cell r="AJ3320" t="str">
            <v>Bình Định</v>
          </cell>
          <cell r="BX3320" t="str">
            <v>AON</v>
          </cell>
        </row>
        <row r="3321">
          <cell r="A3321" t="str">
            <v>OP</v>
          </cell>
          <cell r="B3321" t="str">
            <v>Quá 24h</v>
          </cell>
          <cell r="D3321" t="str">
            <v>Khiếu nại về dịch vụ FTTH</v>
          </cell>
          <cell r="W3321" t="str">
            <v>Đang xử lý</v>
          </cell>
          <cell r="AJ3321" t="str">
            <v xml:space="preserve">Đắc Lắk </v>
          </cell>
          <cell r="BX3321" t="str">
            <v>AON</v>
          </cell>
        </row>
        <row r="3322">
          <cell r="A3322" t="str">
            <v>OP</v>
          </cell>
          <cell r="B3322" t="str">
            <v>Quá 24h</v>
          </cell>
          <cell r="D3322" t="str">
            <v>Khiếu nại về dịch vụ FTTH</v>
          </cell>
          <cell r="W3322" t="str">
            <v>Đang xử lý</v>
          </cell>
          <cell r="AJ3322" t="str">
            <v xml:space="preserve">Quảng Nam </v>
          </cell>
          <cell r="BX3322" t="str">
            <v>AON</v>
          </cell>
        </row>
        <row r="3323">
          <cell r="A3323" t="str">
            <v>OP</v>
          </cell>
          <cell r="B3323" t="str">
            <v>Quá 24h</v>
          </cell>
          <cell r="D3323" t="str">
            <v>Khiếu nại về dịch vụ FTTH</v>
          </cell>
          <cell r="W3323" t="str">
            <v>Đã đóng</v>
          </cell>
          <cell r="AJ3323" t="str">
            <v>Thừa Thiên Huế</v>
          </cell>
          <cell r="BX3323" t="str">
            <v>AON</v>
          </cell>
        </row>
        <row r="3324">
          <cell r="A3324" t="str">
            <v>OP</v>
          </cell>
          <cell r="B3324" t="str">
            <v>Quá 24h</v>
          </cell>
          <cell r="D3324" t="str">
            <v>Khiếu nại về dịch vụ FTTH</v>
          </cell>
          <cell r="W3324" t="str">
            <v>Đang xử lý</v>
          </cell>
          <cell r="AJ3324" t="str">
            <v>Thừa Thiên Huế</v>
          </cell>
          <cell r="BX3324" t="str">
            <v>AON</v>
          </cell>
        </row>
        <row r="3325">
          <cell r="A3325" t="str">
            <v>OP</v>
          </cell>
          <cell r="B3325" t="str">
            <v>Quá 24h</v>
          </cell>
          <cell r="D3325" t="str">
            <v>Khiếu nại về dịch vụ FTTH</v>
          </cell>
          <cell r="W3325" t="str">
            <v>Đang xử lý</v>
          </cell>
          <cell r="AJ3325" t="str">
            <v xml:space="preserve">Đắc Lắk </v>
          </cell>
          <cell r="BX3325" t="str">
            <v>AON</v>
          </cell>
        </row>
        <row r="3326">
          <cell r="A3326" t="str">
            <v>OP</v>
          </cell>
          <cell r="B3326" t="str">
            <v>Quá 24h</v>
          </cell>
          <cell r="D3326" t="str">
            <v>Khiếu nại về dịch vụ FTTH</v>
          </cell>
          <cell r="W3326" t="str">
            <v>Đang xử lý</v>
          </cell>
          <cell r="AJ3326" t="str">
            <v xml:space="preserve">Đắc Lắk </v>
          </cell>
          <cell r="BX3326" t="str">
            <v>AON</v>
          </cell>
        </row>
        <row r="3327">
          <cell r="A3327" t="str">
            <v>OP</v>
          </cell>
          <cell r="B3327" t="str">
            <v>Quá 24h</v>
          </cell>
          <cell r="D3327" t="str">
            <v>Khiếu nại về dịch vụ FTTH</v>
          </cell>
          <cell r="W3327" t="str">
            <v>Đang xử lý</v>
          </cell>
          <cell r="AJ3327" t="str">
            <v>Bình Thuận</v>
          </cell>
          <cell r="BX3327" t="str">
            <v>AON</v>
          </cell>
        </row>
        <row r="3328">
          <cell r="A3328" t="str">
            <v>OP</v>
          </cell>
          <cell r="B3328" t="str">
            <v>Quá 24h</v>
          </cell>
          <cell r="D3328" t="str">
            <v>Khiếu nại về dịch vụ FTTH</v>
          </cell>
          <cell r="W3328" t="str">
            <v>Đang xử lý</v>
          </cell>
          <cell r="AJ3328" t="str">
            <v xml:space="preserve">Đắc Lắk </v>
          </cell>
          <cell r="BX3328" t="str">
            <v>AON</v>
          </cell>
        </row>
        <row r="3329">
          <cell r="A3329" t="str">
            <v>OP</v>
          </cell>
          <cell r="B3329" t="str">
            <v>Quá 24h</v>
          </cell>
          <cell r="D3329" t="str">
            <v>Khiếu nại về dịch vụ FTTH</v>
          </cell>
          <cell r="W3329" t="str">
            <v>Đang xử lý</v>
          </cell>
          <cell r="AJ3329" t="str">
            <v>Quảng Ngãi</v>
          </cell>
          <cell r="BX3329" t="str">
            <v>AON</v>
          </cell>
        </row>
        <row r="3330">
          <cell r="A3330" t="str">
            <v>OP</v>
          </cell>
          <cell r="B3330" t="str">
            <v>Quá 24h</v>
          </cell>
          <cell r="D3330" t="str">
            <v>Khiếu nại về dịch vụ FTTH</v>
          </cell>
          <cell r="W3330" t="str">
            <v>Đang xử lý</v>
          </cell>
          <cell r="AJ3330" t="str">
            <v xml:space="preserve">Đắc Lắk </v>
          </cell>
          <cell r="BX3330" t="str">
            <v>AON</v>
          </cell>
        </row>
        <row r="3331">
          <cell r="A3331" t="str">
            <v>OP</v>
          </cell>
          <cell r="B3331" t="str">
            <v>Quá 24h</v>
          </cell>
          <cell r="D3331" t="str">
            <v>Khiếu nại về dịch vụ FTTH</v>
          </cell>
          <cell r="W3331" t="str">
            <v>Đang xử lý</v>
          </cell>
          <cell r="AJ3331" t="str">
            <v xml:space="preserve">Quảng Nam </v>
          </cell>
          <cell r="BX3331" t="str">
            <v>AON</v>
          </cell>
        </row>
        <row r="3332">
          <cell r="A3332" t="str">
            <v>OP</v>
          </cell>
          <cell r="B3332" t="str">
            <v>Quá 24h</v>
          </cell>
          <cell r="D3332" t="str">
            <v>Khiếu nại về dịch vụ FTTH</v>
          </cell>
          <cell r="W3332" t="str">
            <v>Đang xử lý</v>
          </cell>
          <cell r="AJ3332" t="str">
            <v xml:space="preserve">Đắc Lắk </v>
          </cell>
          <cell r="BX3332" t="str">
            <v>AON</v>
          </cell>
        </row>
        <row r="3333">
          <cell r="A3333" t="str">
            <v>OP</v>
          </cell>
          <cell r="B3333" t="str">
            <v>Quá 24h</v>
          </cell>
          <cell r="D3333" t="str">
            <v>Khiếu nại về dịch vụ FTTH</v>
          </cell>
          <cell r="W3333" t="str">
            <v>Đang xử lý</v>
          </cell>
          <cell r="AJ3333" t="str">
            <v>Gia Lai</v>
          </cell>
          <cell r="BX3333" t="str">
            <v>AON</v>
          </cell>
        </row>
        <row r="3334">
          <cell r="A3334" t="str">
            <v>OP</v>
          </cell>
          <cell r="B3334" t="str">
            <v>Quá 24h</v>
          </cell>
          <cell r="D3334" t="str">
            <v>Khiếu nại về dịch vụ FTTH</v>
          </cell>
          <cell r="W3334" t="str">
            <v>Đang xử lý</v>
          </cell>
          <cell r="AJ3334" t="str">
            <v>Bình Thuận</v>
          </cell>
          <cell r="BX3334" t="str">
            <v>AON</v>
          </cell>
        </row>
        <row r="3335">
          <cell r="A3335" t="str">
            <v>OP</v>
          </cell>
          <cell r="B3335" t="str">
            <v>Quá 24h</v>
          </cell>
          <cell r="D3335" t="str">
            <v>Khiếu nại về dịch vụ FTTH</v>
          </cell>
          <cell r="W3335" t="str">
            <v>Đang xử lý</v>
          </cell>
          <cell r="AJ3335" t="str">
            <v xml:space="preserve">Đắc Lắk </v>
          </cell>
          <cell r="BX3335" t="str">
            <v>AON</v>
          </cell>
        </row>
        <row r="3336">
          <cell r="A3336" t="str">
            <v>OP</v>
          </cell>
          <cell r="B3336" t="str">
            <v>Quá 24h</v>
          </cell>
          <cell r="D3336" t="str">
            <v>Khiếu nại về dịch vụ FTTH</v>
          </cell>
          <cell r="W3336" t="str">
            <v>Đang xử lý</v>
          </cell>
          <cell r="AJ3336" t="str">
            <v>Bình Thuận</v>
          </cell>
          <cell r="BX3336" t="str">
            <v>AON</v>
          </cell>
        </row>
        <row r="3337">
          <cell r="A3337" t="str">
            <v>OP</v>
          </cell>
          <cell r="B3337" t="str">
            <v>Quá 24h</v>
          </cell>
          <cell r="D3337" t="str">
            <v>Khiếu nại về dịch vụ FTTH</v>
          </cell>
          <cell r="W3337" t="str">
            <v>Đang xử lý</v>
          </cell>
          <cell r="AJ3337" t="str">
            <v>Gia Lai</v>
          </cell>
          <cell r="BX3337" t="str">
            <v>AON</v>
          </cell>
        </row>
        <row r="3338">
          <cell r="A3338" t="str">
            <v>OP</v>
          </cell>
          <cell r="B3338" t="str">
            <v>Quá 24h</v>
          </cell>
          <cell r="D3338" t="str">
            <v>Khiếu nại về dịch vụ FTTH</v>
          </cell>
          <cell r="W3338" t="str">
            <v>Đang xử lý</v>
          </cell>
          <cell r="AJ3338" t="str">
            <v>Quảng Trị</v>
          </cell>
          <cell r="BX3338" t="str">
            <v>AON</v>
          </cell>
        </row>
        <row r="3339">
          <cell r="A3339" t="str">
            <v>OP</v>
          </cell>
          <cell r="B3339" t="str">
            <v>Quá 24h</v>
          </cell>
          <cell r="D3339" t="str">
            <v>Khiếu nại về dịch vụ FTTH</v>
          </cell>
          <cell r="W3339" t="str">
            <v>Đang xử lý</v>
          </cell>
          <cell r="AJ3339" t="str">
            <v>Gia Lai</v>
          </cell>
          <cell r="BX3339" t="str">
            <v>AON</v>
          </cell>
        </row>
        <row r="3340">
          <cell r="A3340" t="str">
            <v>OP</v>
          </cell>
          <cell r="B3340" t="str">
            <v>Quá 24h</v>
          </cell>
          <cell r="D3340" t="str">
            <v>Khiếu nại về dịch vụ FTTH</v>
          </cell>
          <cell r="W3340" t="str">
            <v>Đang xử lý</v>
          </cell>
          <cell r="AJ3340" t="str">
            <v>Thừa Thiên Huế</v>
          </cell>
          <cell r="BX3340" t="str">
            <v>AON</v>
          </cell>
        </row>
        <row r="3341">
          <cell r="A3341" t="str">
            <v>OP</v>
          </cell>
          <cell r="B3341" t="str">
            <v>Quá 24h</v>
          </cell>
          <cell r="D3341" t="str">
            <v>Khiếu nại về dịch vụ FTTH</v>
          </cell>
          <cell r="W3341" t="str">
            <v>Đang xử lý</v>
          </cell>
          <cell r="AJ3341" t="str">
            <v>Tây Ninh</v>
          </cell>
          <cell r="BX3341" t="str">
            <v>AON</v>
          </cell>
        </row>
        <row r="3342">
          <cell r="A3342" t="str">
            <v>OP</v>
          </cell>
          <cell r="B3342" t="str">
            <v>Quá 24h</v>
          </cell>
          <cell r="D3342" t="str">
            <v>Khiếu nại về dịch vụ FTTH</v>
          </cell>
          <cell r="W3342" t="str">
            <v>Đang xử lý</v>
          </cell>
          <cell r="AJ3342" t="str">
            <v xml:space="preserve">Đà Nẵng </v>
          </cell>
          <cell r="BX3342" t="str">
            <v>AON</v>
          </cell>
        </row>
        <row r="3343">
          <cell r="A3343" t="str">
            <v>OP</v>
          </cell>
          <cell r="B3343" t="str">
            <v>Quá 24h</v>
          </cell>
          <cell r="D3343" t="str">
            <v>Khiếu nại về dịch vụ FTTH</v>
          </cell>
          <cell r="W3343" t="str">
            <v>Đang xử lý</v>
          </cell>
          <cell r="AJ3343" t="str">
            <v xml:space="preserve">Đắc Lắk </v>
          </cell>
          <cell r="BX3343" t="str">
            <v>AON</v>
          </cell>
        </row>
        <row r="3344">
          <cell r="A3344" t="str">
            <v>OP</v>
          </cell>
          <cell r="B3344" t="str">
            <v>Quá 24h</v>
          </cell>
          <cell r="D3344" t="str">
            <v>Khiếu nại về dịch vụ FTTH</v>
          </cell>
          <cell r="W3344" t="str">
            <v>Đang xử lý</v>
          </cell>
          <cell r="AJ3344" t="str">
            <v>Bình Định</v>
          </cell>
          <cell r="BX3344" t="str">
            <v>AON</v>
          </cell>
        </row>
        <row r="3345">
          <cell r="A3345" t="str">
            <v>OP</v>
          </cell>
          <cell r="B3345" t="str">
            <v>Quá 24h</v>
          </cell>
          <cell r="D3345" t="str">
            <v>Khiếu nại về dịch vụ FTTH</v>
          </cell>
          <cell r="W3345" t="str">
            <v>Đã đóng</v>
          </cell>
          <cell r="AJ3345" t="str">
            <v>Thừa Thiên Huế</v>
          </cell>
          <cell r="BX3345" t="str">
            <v>AON</v>
          </cell>
        </row>
        <row r="3346">
          <cell r="A3346" t="str">
            <v>OP</v>
          </cell>
          <cell r="B3346" t="str">
            <v>Quá 24h</v>
          </cell>
          <cell r="D3346" t="str">
            <v>Khiếu nại về dịch vụ FTTH</v>
          </cell>
          <cell r="W3346" t="str">
            <v>Đang xử lý</v>
          </cell>
          <cell r="AJ3346" t="str">
            <v>TP HCM</v>
          </cell>
          <cell r="BX3346" t="str">
            <v>GPON</v>
          </cell>
        </row>
        <row r="3347">
          <cell r="A3347" t="str">
            <v>OP</v>
          </cell>
          <cell r="B3347" t="str">
            <v>Quá 24h</v>
          </cell>
          <cell r="D3347" t="str">
            <v>Khiếu nại về dịch vụ FTTH</v>
          </cell>
          <cell r="W3347" t="str">
            <v>Đã đóng</v>
          </cell>
          <cell r="AJ3347" t="str">
            <v xml:space="preserve">Đà Nẵng </v>
          </cell>
          <cell r="BX3347" t="str">
            <v>AON</v>
          </cell>
        </row>
        <row r="3348">
          <cell r="A3348" t="str">
            <v>OP</v>
          </cell>
          <cell r="B3348" t="str">
            <v>Quá 24h</v>
          </cell>
          <cell r="D3348" t="str">
            <v>Khiếu nại về dịch vụ FTTH</v>
          </cell>
          <cell r="W3348" t="str">
            <v>Đang xử lý</v>
          </cell>
          <cell r="AJ3348" t="str">
            <v>An Giang</v>
          </cell>
          <cell r="BX3348" t="str">
            <v>AON</v>
          </cell>
        </row>
        <row r="3349">
          <cell r="A3349" t="str">
            <v>OP</v>
          </cell>
          <cell r="B3349" t="str">
            <v>Quá 24h</v>
          </cell>
          <cell r="D3349" t="str">
            <v>Khiếu nại về dịch vụ FTTH</v>
          </cell>
          <cell r="W3349" t="str">
            <v>Đã đóng</v>
          </cell>
          <cell r="AJ3349" t="str">
            <v>Bình Dương</v>
          </cell>
          <cell r="BX3349" t="str">
            <v>AON</v>
          </cell>
        </row>
        <row r="3350">
          <cell r="A3350" t="str">
            <v>OP</v>
          </cell>
          <cell r="B3350" t="str">
            <v>Quá 24h</v>
          </cell>
          <cell r="D3350" t="str">
            <v>Khiếu nại về dịch vụ FTTH</v>
          </cell>
          <cell r="W3350" t="str">
            <v>Đang xử lý</v>
          </cell>
          <cell r="AJ3350" t="str">
            <v xml:space="preserve">Đà Nẵng </v>
          </cell>
          <cell r="BX3350" t="str">
            <v>AON</v>
          </cell>
        </row>
        <row r="3351">
          <cell r="A3351" t="str">
            <v>OP</v>
          </cell>
          <cell r="B3351" t="str">
            <v>Quá 24h</v>
          </cell>
          <cell r="D3351" t="str">
            <v>Khiếu nại về dịch vụ FTTH</v>
          </cell>
          <cell r="W3351" t="str">
            <v>Đang xử lý</v>
          </cell>
          <cell r="AJ3351" t="str">
            <v xml:space="preserve">Đắc Lắk </v>
          </cell>
          <cell r="BX3351" t="str">
            <v>AON</v>
          </cell>
        </row>
        <row r="3352">
          <cell r="A3352" t="str">
            <v>OP</v>
          </cell>
          <cell r="B3352" t="str">
            <v>Quá 24h</v>
          </cell>
          <cell r="D3352" t="str">
            <v>Khiếu nại về dịch vụ FTTH</v>
          </cell>
          <cell r="W3352" t="str">
            <v>Đã đóng</v>
          </cell>
          <cell r="AJ3352" t="str">
            <v>Cần Thơ</v>
          </cell>
          <cell r="BX3352" t="str">
            <v>AON</v>
          </cell>
        </row>
        <row r="3353">
          <cell r="A3353" t="str">
            <v>OP</v>
          </cell>
          <cell r="B3353" t="str">
            <v>Quá 24h</v>
          </cell>
          <cell r="D3353" t="str">
            <v>Khiếu nại về dịch vụ FTTH</v>
          </cell>
          <cell r="W3353" t="str">
            <v>Đã đóng</v>
          </cell>
          <cell r="AJ3353" t="str">
            <v xml:space="preserve">Đà Nẵng </v>
          </cell>
          <cell r="BX3353" t="str">
            <v>AON</v>
          </cell>
        </row>
        <row r="3354">
          <cell r="A3354" t="str">
            <v>OP</v>
          </cell>
          <cell r="B3354" t="str">
            <v>Quá 24h</v>
          </cell>
          <cell r="D3354" t="str">
            <v>Khiếu nại về dịch vụ FTTH</v>
          </cell>
          <cell r="W3354" t="str">
            <v>Đang xử lý</v>
          </cell>
          <cell r="AJ3354" t="str">
            <v xml:space="preserve">Đắc Lắk </v>
          </cell>
          <cell r="BX3354" t="str">
            <v>AON</v>
          </cell>
        </row>
        <row r="3355">
          <cell r="A3355" t="str">
            <v>OP</v>
          </cell>
          <cell r="B3355" t="str">
            <v>Quá 24h</v>
          </cell>
          <cell r="D3355" t="str">
            <v>Khiếu nại về dịch vụ FTTH</v>
          </cell>
          <cell r="W3355" t="str">
            <v>Đã đóng</v>
          </cell>
          <cell r="AJ3355" t="str">
            <v xml:space="preserve">Đà Nẵng </v>
          </cell>
          <cell r="BX3355" t="str">
            <v>AON</v>
          </cell>
        </row>
        <row r="3356">
          <cell r="A3356" t="str">
            <v>OP</v>
          </cell>
          <cell r="B3356" t="str">
            <v>Quá 24h</v>
          </cell>
          <cell r="D3356" t="str">
            <v>Khiếu nại về dịch vụ FTTH</v>
          </cell>
          <cell r="W3356" t="str">
            <v>Đang xử lý</v>
          </cell>
          <cell r="AJ3356" t="str">
            <v xml:space="preserve">Đắc Lắk </v>
          </cell>
          <cell r="BX3356" t="str">
            <v>AON</v>
          </cell>
        </row>
        <row r="3357">
          <cell r="A3357" t="str">
            <v>OP</v>
          </cell>
          <cell r="B3357" t="str">
            <v>Quá 24h</v>
          </cell>
          <cell r="D3357" t="str">
            <v>Khiếu nại về dịch vụ FTTH</v>
          </cell>
          <cell r="W3357" t="str">
            <v>Đang xử lý</v>
          </cell>
          <cell r="AJ3357" t="str">
            <v>Thừa Thiên Huế</v>
          </cell>
          <cell r="BX3357" t="str">
            <v>AON</v>
          </cell>
        </row>
        <row r="3358">
          <cell r="A3358" t="str">
            <v>OP</v>
          </cell>
          <cell r="B3358" t="str">
            <v>Quá 24h</v>
          </cell>
          <cell r="D3358" t="str">
            <v>Khiếu nại về dịch vụ FTTH</v>
          </cell>
          <cell r="W3358" t="str">
            <v>Đã đóng</v>
          </cell>
          <cell r="AJ3358" t="str">
            <v>Gia Lai</v>
          </cell>
          <cell r="BX3358" t="str">
            <v>AON</v>
          </cell>
        </row>
        <row r="3359">
          <cell r="A3359" t="str">
            <v>OP</v>
          </cell>
          <cell r="B3359" t="str">
            <v>Quá 24h</v>
          </cell>
          <cell r="D3359" t="str">
            <v>Khiếu nại về dịch vụ FTTH</v>
          </cell>
          <cell r="W3359" t="str">
            <v>Đang xử lý</v>
          </cell>
          <cell r="AJ3359" t="str">
            <v>TP HCM</v>
          </cell>
          <cell r="BX3359" t="str">
            <v>AON</v>
          </cell>
        </row>
        <row r="3360">
          <cell r="A3360" t="str">
            <v>OP</v>
          </cell>
          <cell r="B3360" t="str">
            <v>Quá 24h</v>
          </cell>
          <cell r="D3360" t="str">
            <v>Khiếu nại về dịch vụ FTTH</v>
          </cell>
          <cell r="W3360" t="str">
            <v>Đang xử lý</v>
          </cell>
          <cell r="AJ3360" t="str">
            <v>TP HCM</v>
          </cell>
          <cell r="BX3360" t="str">
            <v>AON</v>
          </cell>
        </row>
        <row r="3361">
          <cell r="A3361" t="str">
            <v>OP</v>
          </cell>
          <cell r="B3361" t="str">
            <v>Quá 24h</v>
          </cell>
          <cell r="D3361" t="str">
            <v>Khiếu nại về dịch vụ FTTH</v>
          </cell>
          <cell r="W3361" t="str">
            <v>Đã đóng</v>
          </cell>
          <cell r="AJ3361" t="str">
            <v>TP HCM</v>
          </cell>
          <cell r="BX3361" t="str">
            <v>AON</v>
          </cell>
        </row>
        <row r="3362">
          <cell r="A3362" t="str">
            <v>OP</v>
          </cell>
          <cell r="B3362" t="str">
            <v>Quá 24h</v>
          </cell>
          <cell r="D3362" t="str">
            <v>Khiếu nại về dịch vụ FTTH</v>
          </cell>
          <cell r="W3362" t="str">
            <v>Đã đóng</v>
          </cell>
          <cell r="AJ3362" t="str">
            <v>TP HCM</v>
          </cell>
          <cell r="BX3362" t="str">
            <v>AON</v>
          </cell>
        </row>
        <row r="3363">
          <cell r="A3363" t="str">
            <v>OP</v>
          </cell>
          <cell r="B3363" t="str">
            <v>Quá 24h</v>
          </cell>
          <cell r="D3363" t="str">
            <v>Khiếu nại về dịch vụ FTTH</v>
          </cell>
          <cell r="W3363" t="str">
            <v>Đã đóng</v>
          </cell>
          <cell r="AJ3363" t="str">
            <v>Thừa Thiên Huế</v>
          </cell>
          <cell r="BX3363" t="str">
            <v>AON</v>
          </cell>
        </row>
        <row r="3364">
          <cell r="A3364" t="str">
            <v>OP</v>
          </cell>
          <cell r="B3364" t="str">
            <v>Quá 24h</v>
          </cell>
          <cell r="D3364" t="str">
            <v>Khiếu nại về dịch vụ FTTH</v>
          </cell>
          <cell r="W3364" t="str">
            <v>Đã đóng</v>
          </cell>
          <cell r="AJ3364" t="str">
            <v>Cà Mau</v>
          </cell>
          <cell r="BX3364" t="str">
            <v>AON</v>
          </cell>
        </row>
        <row r="3365">
          <cell r="A3365" t="str">
            <v>OP</v>
          </cell>
          <cell r="B3365" t="str">
            <v>Quá 24h</v>
          </cell>
          <cell r="D3365" t="str">
            <v>Khiếu nại về dịch vụ FTTH</v>
          </cell>
          <cell r="W3365" t="str">
            <v>Đã đóng</v>
          </cell>
          <cell r="AJ3365" t="str">
            <v>TP HCM</v>
          </cell>
          <cell r="BX3365" t="str">
            <v>AON</v>
          </cell>
        </row>
        <row r="3366">
          <cell r="A3366" t="str">
            <v>OP</v>
          </cell>
          <cell r="B3366" t="str">
            <v>Quá 24h</v>
          </cell>
          <cell r="D3366" t="str">
            <v>Khiếu nại về dịch vụ FTTH</v>
          </cell>
          <cell r="W3366" t="str">
            <v>Đã đóng</v>
          </cell>
          <cell r="AJ3366" t="str">
            <v>Bình Dương</v>
          </cell>
          <cell r="BX3366" t="str">
            <v>AON</v>
          </cell>
        </row>
        <row r="3367">
          <cell r="A3367" t="str">
            <v>OP</v>
          </cell>
          <cell r="B3367" t="str">
            <v>Quá 24h</v>
          </cell>
          <cell r="D3367" t="str">
            <v>Khiếu nại về dịch vụ FTTH</v>
          </cell>
          <cell r="W3367" t="str">
            <v>Đã đóng</v>
          </cell>
          <cell r="AJ3367" t="str">
            <v>TP HCM</v>
          </cell>
          <cell r="BX3367" t="str">
            <v>GPON</v>
          </cell>
        </row>
        <row r="3368">
          <cell r="A3368" t="str">
            <v>OP</v>
          </cell>
          <cell r="B3368" t="str">
            <v>Quá 24h</v>
          </cell>
          <cell r="D3368" t="str">
            <v>Khiếu nại về dịch vụ NextTV</v>
          </cell>
          <cell r="W3368" t="str">
            <v>Đã đóng</v>
          </cell>
          <cell r="AJ3368" t="str">
            <v>Vĩnh Phúc</v>
          </cell>
          <cell r="BX3368" t="str">
            <v>AON</v>
          </cell>
        </row>
        <row r="3369">
          <cell r="A3369" t="str">
            <v>OP</v>
          </cell>
          <cell r="B3369" t="str">
            <v>Quá 24h</v>
          </cell>
          <cell r="D3369" t="str">
            <v>Khiếu nại về dịch vụ FTTH</v>
          </cell>
          <cell r="W3369" t="str">
            <v>Đã đóng</v>
          </cell>
          <cell r="AJ3369" t="str">
            <v>TP HCM</v>
          </cell>
          <cell r="BX3369" t="str">
            <v>GPON</v>
          </cell>
        </row>
        <row r="3370">
          <cell r="A3370" t="str">
            <v>OP</v>
          </cell>
          <cell r="B3370" t="str">
            <v>Quá 24h</v>
          </cell>
          <cell r="D3370" t="str">
            <v>Khiếu nại về dịch vụ FTTH</v>
          </cell>
          <cell r="W3370" t="str">
            <v>Đang xử lý</v>
          </cell>
          <cell r="AJ3370" t="str">
            <v>TP HCM</v>
          </cell>
          <cell r="BX3370" t="str">
            <v>AON</v>
          </cell>
        </row>
        <row r="3371">
          <cell r="A3371" t="str">
            <v>OP</v>
          </cell>
          <cell r="B3371" t="str">
            <v>Quá 24h</v>
          </cell>
          <cell r="D3371" t="str">
            <v>Khiếu nại về dịch vụ FTTH</v>
          </cell>
          <cell r="W3371" t="str">
            <v>Đang xử lý</v>
          </cell>
          <cell r="AJ3371" t="str">
            <v>Lâm Đồng</v>
          </cell>
          <cell r="BX3371" t="str">
            <v>AON</v>
          </cell>
        </row>
        <row r="3372">
          <cell r="A3372" t="str">
            <v>OP</v>
          </cell>
          <cell r="B3372" t="str">
            <v>Quá 24h</v>
          </cell>
          <cell r="D3372" t="str">
            <v>Khiếu nại về dịch vụ FTTH</v>
          </cell>
          <cell r="W3372" t="str">
            <v>Đang xử lý</v>
          </cell>
          <cell r="AJ3372" t="str">
            <v>Phú Yên</v>
          </cell>
          <cell r="BX3372" t="str">
            <v>AON</v>
          </cell>
        </row>
        <row r="3373">
          <cell r="A3373" t="str">
            <v>OP</v>
          </cell>
          <cell r="B3373" t="str">
            <v>Quá 24h</v>
          </cell>
          <cell r="D3373" t="str">
            <v>Khiếu nại về dịch vụ FTTH</v>
          </cell>
          <cell r="W3373" t="str">
            <v>Đang xử lý</v>
          </cell>
          <cell r="AJ3373" t="str">
            <v xml:space="preserve">Đắc Lắk </v>
          </cell>
          <cell r="BX3373" t="str">
            <v>AON</v>
          </cell>
        </row>
        <row r="3374">
          <cell r="A3374" t="str">
            <v>OP</v>
          </cell>
          <cell r="B3374" t="str">
            <v>Quá 24h</v>
          </cell>
          <cell r="D3374" t="str">
            <v>Khiếu nại về dịch vụ FTTH</v>
          </cell>
          <cell r="W3374" t="str">
            <v>Đang xử lý</v>
          </cell>
          <cell r="AJ3374" t="str">
            <v>Bình Thuận</v>
          </cell>
          <cell r="BX3374" t="str">
            <v>AON</v>
          </cell>
        </row>
        <row r="3375">
          <cell r="A3375" t="str">
            <v>OP</v>
          </cell>
          <cell r="B3375" t="str">
            <v>Quá 24h</v>
          </cell>
          <cell r="D3375" t="str">
            <v>Khiếu nại về dịch vụ FTTH</v>
          </cell>
          <cell r="W3375" t="str">
            <v>Đang xử lý</v>
          </cell>
          <cell r="AJ3375" t="str">
            <v xml:space="preserve">Đà Nẵng </v>
          </cell>
          <cell r="BX3375" t="str">
            <v>AON</v>
          </cell>
        </row>
        <row r="3376">
          <cell r="A3376" t="str">
            <v>OP</v>
          </cell>
          <cell r="B3376" t="str">
            <v>Quá 24h</v>
          </cell>
          <cell r="D3376" t="str">
            <v>Khiếu nại về dịch vụ FTTH</v>
          </cell>
          <cell r="W3376" t="str">
            <v>Đang xử lý</v>
          </cell>
          <cell r="AJ3376" t="str">
            <v>TP HCM</v>
          </cell>
          <cell r="BX3376" t="str">
            <v>AON</v>
          </cell>
        </row>
        <row r="3377">
          <cell r="A3377" t="str">
            <v>OP</v>
          </cell>
          <cell r="B3377" t="str">
            <v>Quá 24h</v>
          </cell>
          <cell r="D3377" t="str">
            <v>Khiếu nại về dịch vụ FTTH</v>
          </cell>
          <cell r="W3377" t="str">
            <v>Đang xử lý</v>
          </cell>
          <cell r="AJ3377" t="str">
            <v>Thừa Thiên Huế</v>
          </cell>
          <cell r="BX3377" t="str">
            <v>AON</v>
          </cell>
        </row>
        <row r="3378">
          <cell r="A3378" t="str">
            <v>OP</v>
          </cell>
          <cell r="B3378" t="str">
            <v>Quá 24h</v>
          </cell>
          <cell r="D3378" t="str">
            <v>Khiếu nại về dịch vụ FTTH</v>
          </cell>
          <cell r="W3378" t="str">
            <v>Đang xử lý</v>
          </cell>
          <cell r="AJ3378" t="str">
            <v>TP HCM</v>
          </cell>
          <cell r="BX3378" t="str">
            <v>AON</v>
          </cell>
        </row>
        <row r="3379">
          <cell r="A3379" t="str">
            <v>OP</v>
          </cell>
          <cell r="B3379" t="str">
            <v>Quá 24h</v>
          </cell>
          <cell r="D3379" t="str">
            <v>Khiếu nại về dịch vụ FTTH</v>
          </cell>
          <cell r="W3379" t="str">
            <v>Đang xử lý</v>
          </cell>
          <cell r="AJ3379" t="str">
            <v xml:space="preserve">Đắc Lắk </v>
          </cell>
          <cell r="BX3379" t="str">
            <v>AON</v>
          </cell>
        </row>
        <row r="3380">
          <cell r="A3380" t="str">
            <v>OP</v>
          </cell>
          <cell r="B3380" t="str">
            <v>Quá 24h</v>
          </cell>
          <cell r="D3380" t="str">
            <v>Khiếu nại về dịch vụ FTTH</v>
          </cell>
          <cell r="W3380" t="str">
            <v>Đang xử lý</v>
          </cell>
          <cell r="AJ3380" t="str">
            <v>Bình Định</v>
          </cell>
          <cell r="BX3380" t="str">
            <v>AON</v>
          </cell>
        </row>
        <row r="3381">
          <cell r="A3381" t="str">
            <v>OP</v>
          </cell>
          <cell r="B3381" t="str">
            <v>Quá 24h</v>
          </cell>
          <cell r="D3381" t="str">
            <v>Khiếu nại về dịch vụ NextTV</v>
          </cell>
          <cell r="W3381" t="str">
            <v>Đã đóng</v>
          </cell>
          <cell r="AJ3381" t="str">
            <v>Gia Lai</v>
          </cell>
          <cell r="BX3381" t="str">
            <v>AON</v>
          </cell>
        </row>
        <row r="3382">
          <cell r="A3382" t="str">
            <v>OP</v>
          </cell>
          <cell r="B3382" t="str">
            <v>Quá 24h</v>
          </cell>
          <cell r="D3382" t="str">
            <v>Khiếu nại về dịch vụ FTTH</v>
          </cell>
          <cell r="W3382" t="str">
            <v>Đã đóng</v>
          </cell>
          <cell r="AJ3382" t="str">
            <v>Hậu Giang</v>
          </cell>
          <cell r="BX3382" t="str">
            <v>AON</v>
          </cell>
        </row>
        <row r="3383">
          <cell r="A3383" t="str">
            <v>OP</v>
          </cell>
          <cell r="B3383" t="str">
            <v>Quá 24h</v>
          </cell>
          <cell r="D3383" t="str">
            <v>Khiếu nại về dịch vụ FTTH</v>
          </cell>
          <cell r="W3383" t="str">
            <v>Đã đóng</v>
          </cell>
          <cell r="AJ3383" t="str">
            <v>Bình Thuận</v>
          </cell>
          <cell r="BX3383" t="str">
            <v>AON</v>
          </cell>
        </row>
        <row r="3384">
          <cell r="A3384" t="str">
            <v>OP</v>
          </cell>
          <cell r="B3384" t="str">
            <v>Quá 24h</v>
          </cell>
          <cell r="D3384" t="str">
            <v>Khiếu nại về dịch vụ FTTH</v>
          </cell>
          <cell r="W3384" t="str">
            <v>Đã đóng</v>
          </cell>
          <cell r="AJ3384" t="str">
            <v>TP HCM</v>
          </cell>
          <cell r="BX3384" t="str">
            <v>AON</v>
          </cell>
        </row>
        <row r="3385">
          <cell r="A3385" t="str">
            <v>OP</v>
          </cell>
          <cell r="B3385" t="str">
            <v>Quá 24h</v>
          </cell>
          <cell r="D3385" t="str">
            <v>Khiếu nại về dịch vụ FTTH</v>
          </cell>
          <cell r="W3385" t="str">
            <v>Đã đóng</v>
          </cell>
          <cell r="AJ3385" t="str">
            <v xml:space="preserve">Đà Nẵng </v>
          </cell>
          <cell r="BX3385" t="str">
            <v>AON</v>
          </cell>
        </row>
        <row r="3386">
          <cell r="A3386" t="str">
            <v>OP</v>
          </cell>
          <cell r="B3386" t="str">
            <v>Quá 24h</v>
          </cell>
          <cell r="D3386" t="str">
            <v>Khiếu nại về dịch vụ FTTH</v>
          </cell>
          <cell r="W3386" t="str">
            <v>Đang xử lý</v>
          </cell>
          <cell r="AJ3386" t="str">
            <v>Hà Giang</v>
          </cell>
          <cell r="BX3386" t="str">
            <v>AON</v>
          </cell>
        </row>
        <row r="3387">
          <cell r="A3387" t="str">
            <v>OP</v>
          </cell>
          <cell r="B3387" t="str">
            <v>Quá 24h</v>
          </cell>
          <cell r="D3387" t="str">
            <v>Khiếu nại về dịch vụ FTTH</v>
          </cell>
          <cell r="W3387" t="str">
            <v>Đã đóng</v>
          </cell>
          <cell r="AJ3387" t="str">
            <v xml:space="preserve">Đắc Lắk </v>
          </cell>
          <cell r="BX3387" t="str">
            <v>AON</v>
          </cell>
        </row>
        <row r="3388">
          <cell r="A3388" t="str">
            <v>OP</v>
          </cell>
          <cell r="B3388" t="str">
            <v>Quá 24h</v>
          </cell>
          <cell r="D3388" t="str">
            <v>Khiếu nại về dịch vụ FTTH</v>
          </cell>
          <cell r="W3388" t="str">
            <v>Đang xử lý</v>
          </cell>
          <cell r="AJ3388" t="str">
            <v>Lâm Đồng</v>
          </cell>
          <cell r="BX3388" t="str">
            <v>AON</v>
          </cell>
        </row>
        <row r="3389">
          <cell r="A3389" t="str">
            <v>OP</v>
          </cell>
          <cell r="B3389" t="str">
            <v>Quá 24h</v>
          </cell>
          <cell r="D3389" t="str">
            <v>Khiếu nại về dịch vụ FTTH</v>
          </cell>
          <cell r="W3389" t="str">
            <v>Đã đóng</v>
          </cell>
          <cell r="AJ3389" t="str">
            <v xml:space="preserve">Đắc Lắk </v>
          </cell>
          <cell r="BX3389" t="str">
            <v>AON</v>
          </cell>
        </row>
        <row r="3390">
          <cell r="A3390" t="str">
            <v>OP</v>
          </cell>
          <cell r="B3390" t="str">
            <v>Quá 24h</v>
          </cell>
          <cell r="D3390" t="str">
            <v>Khiếu nại về dịch vụ FTTH</v>
          </cell>
          <cell r="W3390" t="str">
            <v>Đã đóng</v>
          </cell>
          <cell r="AJ3390" t="str">
            <v>Lâm Đồng</v>
          </cell>
          <cell r="BX3390" t="str">
            <v>AON</v>
          </cell>
        </row>
        <row r="3391">
          <cell r="A3391" t="str">
            <v>OP</v>
          </cell>
          <cell r="B3391" t="str">
            <v>Quá 24h</v>
          </cell>
          <cell r="D3391" t="str">
            <v>Khiếu nại về dịch vụ FTTH</v>
          </cell>
          <cell r="W3391" t="str">
            <v>Đã đóng</v>
          </cell>
          <cell r="AJ3391" t="str">
            <v xml:space="preserve">Đà Nẵng </v>
          </cell>
          <cell r="BX3391" t="str">
            <v>AON</v>
          </cell>
        </row>
        <row r="3392">
          <cell r="A3392" t="str">
            <v>OP</v>
          </cell>
          <cell r="B3392" t="str">
            <v>Quá 24h</v>
          </cell>
          <cell r="D3392" t="str">
            <v>Khiếu nại về dịch vụ FTTH</v>
          </cell>
          <cell r="W3392" t="str">
            <v>Đã đóng</v>
          </cell>
          <cell r="AJ3392" t="str">
            <v>Cao Bằng</v>
          </cell>
          <cell r="BX3392" t="str">
            <v>AON</v>
          </cell>
        </row>
        <row r="3393">
          <cell r="A3393" t="str">
            <v>OP</v>
          </cell>
          <cell r="B3393" t="str">
            <v>Quá 24h</v>
          </cell>
          <cell r="D3393" t="str">
            <v>Khiếu nại về dịch vụ FTTH</v>
          </cell>
          <cell r="W3393" t="str">
            <v>Đang xử lý</v>
          </cell>
          <cell r="AJ3393" t="str">
            <v>Đắc Nông</v>
          </cell>
          <cell r="BX3393" t="str">
            <v>AON</v>
          </cell>
        </row>
        <row r="3394">
          <cell r="A3394" t="str">
            <v>OP</v>
          </cell>
          <cell r="B3394" t="str">
            <v>Quá 24h</v>
          </cell>
          <cell r="D3394" t="str">
            <v>Khiếu nại về dịch vụ FTTH</v>
          </cell>
          <cell r="W3394" t="str">
            <v>Đã đóng</v>
          </cell>
          <cell r="AJ3394" t="str">
            <v>Lâm Đồng</v>
          </cell>
          <cell r="BX3394" t="str">
            <v>AON</v>
          </cell>
        </row>
        <row r="3395">
          <cell r="A3395" t="str">
            <v>OP</v>
          </cell>
          <cell r="B3395" t="str">
            <v>Quá 24h</v>
          </cell>
          <cell r="D3395" t="str">
            <v>Khiếu nại về dịch vụ FTTH</v>
          </cell>
          <cell r="W3395" t="str">
            <v>Đã đóng</v>
          </cell>
          <cell r="AJ3395" t="str">
            <v>Lâm Đồng</v>
          </cell>
          <cell r="BX3395" t="str">
            <v>AON</v>
          </cell>
        </row>
        <row r="3396">
          <cell r="A3396" t="str">
            <v>OP</v>
          </cell>
          <cell r="B3396" t="str">
            <v>Quá 24h</v>
          </cell>
          <cell r="D3396" t="str">
            <v>Khiếu nại về dịch vụ FTTH</v>
          </cell>
          <cell r="W3396" t="str">
            <v>Đang xử lý</v>
          </cell>
          <cell r="AJ3396" t="str">
            <v xml:space="preserve">Đắc Lắk </v>
          </cell>
          <cell r="BX3396" t="str">
            <v>AON</v>
          </cell>
        </row>
        <row r="3397">
          <cell r="A3397" t="str">
            <v>OP</v>
          </cell>
          <cell r="B3397" t="str">
            <v>Quá 24h</v>
          </cell>
          <cell r="D3397" t="str">
            <v>Khiếu nại về dịch vụ FTTH</v>
          </cell>
          <cell r="W3397" t="str">
            <v>Đã đóng</v>
          </cell>
          <cell r="AJ3397" t="str">
            <v>Bình Thuận</v>
          </cell>
          <cell r="BX3397" t="str">
            <v>AON</v>
          </cell>
        </row>
        <row r="3398">
          <cell r="A3398" t="str">
            <v>OP</v>
          </cell>
          <cell r="B3398" t="str">
            <v>Quá 24h</v>
          </cell>
          <cell r="D3398" t="str">
            <v>Khiếu nại về dịch vụ FTTH</v>
          </cell>
          <cell r="W3398" t="str">
            <v>Đã đóng</v>
          </cell>
          <cell r="AJ3398" t="str">
            <v>TP HCM</v>
          </cell>
          <cell r="BX3398" t="str">
            <v>AON</v>
          </cell>
        </row>
        <row r="3399">
          <cell r="A3399" t="str">
            <v>OP</v>
          </cell>
          <cell r="B3399" t="str">
            <v>Quá 24h</v>
          </cell>
          <cell r="D3399" t="str">
            <v>Khiếu nại về dịch vụ FTTH</v>
          </cell>
          <cell r="W3399" t="str">
            <v>Đã đóng</v>
          </cell>
          <cell r="AJ3399" t="str">
            <v xml:space="preserve">Đà Nẵng </v>
          </cell>
          <cell r="BX3399" t="str">
            <v>AON</v>
          </cell>
        </row>
        <row r="3400">
          <cell r="A3400" t="str">
            <v>OP</v>
          </cell>
          <cell r="B3400" t="str">
            <v>Quá 24h</v>
          </cell>
          <cell r="D3400" t="str">
            <v>Khiếu nại về dịch vụ FTTH</v>
          </cell>
          <cell r="W3400" t="str">
            <v>Đã đóng</v>
          </cell>
          <cell r="AJ3400" t="str">
            <v>Thừa Thiên Huế</v>
          </cell>
          <cell r="BX3400" t="str">
            <v>AON</v>
          </cell>
        </row>
        <row r="3401">
          <cell r="A3401" t="str">
            <v>OP</v>
          </cell>
          <cell r="B3401" t="str">
            <v>Quá 24h</v>
          </cell>
          <cell r="D3401" t="str">
            <v>Khiếu nại về dịch vụ FTTH</v>
          </cell>
          <cell r="W3401" t="str">
            <v>Đã đóng</v>
          </cell>
          <cell r="AJ3401" t="str">
            <v>Thừa Thiên Huế</v>
          </cell>
          <cell r="BX3401" t="str">
            <v>AON</v>
          </cell>
        </row>
        <row r="3402">
          <cell r="A3402" t="str">
            <v>OP</v>
          </cell>
          <cell r="B3402" t="str">
            <v>Quá 24h</v>
          </cell>
          <cell r="D3402" t="str">
            <v>Khiếu nại về dịch vụ FTTH</v>
          </cell>
          <cell r="W3402" t="str">
            <v>Đang xử lý</v>
          </cell>
          <cell r="AJ3402" t="str">
            <v>Bình Định</v>
          </cell>
          <cell r="BX3402" t="str">
            <v>AON</v>
          </cell>
        </row>
        <row r="3403">
          <cell r="A3403" t="str">
            <v>OP</v>
          </cell>
          <cell r="B3403" t="str">
            <v>Quá 24h</v>
          </cell>
          <cell r="D3403" t="str">
            <v>Khiếu nại về dịch vụ FTTH</v>
          </cell>
          <cell r="W3403" t="str">
            <v>Đã đóng</v>
          </cell>
          <cell r="AJ3403" t="str">
            <v>TP HCM</v>
          </cell>
          <cell r="BX3403" t="str">
            <v>AON</v>
          </cell>
        </row>
        <row r="3404">
          <cell r="A3404" t="str">
            <v>OP</v>
          </cell>
          <cell r="B3404" t="str">
            <v>Quá 24h</v>
          </cell>
          <cell r="D3404" t="str">
            <v>Khiếu nại về dịch vụ FTTH</v>
          </cell>
          <cell r="W3404" t="str">
            <v>Đang xử lý</v>
          </cell>
          <cell r="AJ3404" t="str">
            <v>Quảng Ngãi</v>
          </cell>
          <cell r="BX3404" t="str">
            <v>AON</v>
          </cell>
        </row>
        <row r="3405">
          <cell r="A3405" t="str">
            <v>OP</v>
          </cell>
          <cell r="B3405" t="str">
            <v>Quá 24h</v>
          </cell>
          <cell r="D3405" t="str">
            <v>Khiếu nại về dịch vụ FTTH</v>
          </cell>
          <cell r="W3405" t="str">
            <v>Đã đóng</v>
          </cell>
          <cell r="AJ3405" t="str">
            <v>Phú Thọ</v>
          </cell>
          <cell r="BX3405" t="str">
            <v>AON</v>
          </cell>
        </row>
        <row r="3406">
          <cell r="A3406" t="str">
            <v>OP</v>
          </cell>
          <cell r="B3406" t="str">
            <v>Quá 24h</v>
          </cell>
          <cell r="D3406" t="str">
            <v>Khiếu nại về dịch vụ FTTH</v>
          </cell>
          <cell r="W3406" t="str">
            <v>Đã đóng</v>
          </cell>
          <cell r="AJ3406" t="str">
            <v>TP HCM</v>
          </cell>
          <cell r="BX3406" t="str">
            <v>AON</v>
          </cell>
        </row>
        <row r="3407">
          <cell r="A3407" t="str">
            <v>OP</v>
          </cell>
          <cell r="B3407" t="str">
            <v>Quá 24h</v>
          </cell>
          <cell r="D3407" t="str">
            <v>Khiếu nại về dịch vụ FTTH</v>
          </cell>
          <cell r="W3407" t="str">
            <v>Đã đóng</v>
          </cell>
          <cell r="AJ3407" t="str">
            <v>Bến Tre</v>
          </cell>
          <cell r="BX3407" t="str">
            <v>AON</v>
          </cell>
        </row>
        <row r="3408">
          <cell r="A3408" t="str">
            <v>OP</v>
          </cell>
          <cell r="B3408" t="str">
            <v>Quá 24h</v>
          </cell>
          <cell r="D3408" t="str">
            <v>Khiếu nại về dịch vụ FTTH</v>
          </cell>
          <cell r="W3408" t="str">
            <v>Đã đóng</v>
          </cell>
          <cell r="AJ3408" t="str">
            <v>Bến Tre</v>
          </cell>
          <cell r="BX3408" t="str">
            <v>AON</v>
          </cell>
        </row>
        <row r="3409">
          <cell r="A3409" t="str">
            <v>OP</v>
          </cell>
          <cell r="B3409" t="str">
            <v>Quá 24h</v>
          </cell>
          <cell r="D3409" t="str">
            <v>Khiếu nại về dịch vụ FTTH</v>
          </cell>
          <cell r="W3409" t="str">
            <v>Đã đóng</v>
          </cell>
          <cell r="AJ3409" t="str">
            <v>Hậu Giang</v>
          </cell>
          <cell r="BX3409" t="str">
            <v>AON</v>
          </cell>
        </row>
        <row r="3410">
          <cell r="A3410" t="str">
            <v>OP</v>
          </cell>
          <cell r="B3410" t="str">
            <v>Quá 24h</v>
          </cell>
          <cell r="D3410" t="str">
            <v>Khiếu nại về dịch vụ FTTH</v>
          </cell>
          <cell r="W3410" t="str">
            <v>Đã đóng</v>
          </cell>
          <cell r="AJ3410" t="str">
            <v xml:space="preserve">Đà Nẵng </v>
          </cell>
          <cell r="BX3410" t="str">
            <v>AON</v>
          </cell>
        </row>
        <row r="3411">
          <cell r="A3411" t="str">
            <v>OP</v>
          </cell>
          <cell r="B3411" t="str">
            <v>Quá 24h</v>
          </cell>
          <cell r="D3411" t="str">
            <v>Khiếu nại về dịch vụ FTTH</v>
          </cell>
          <cell r="W3411" t="str">
            <v>Đang xử lý</v>
          </cell>
          <cell r="AJ3411" t="str">
            <v xml:space="preserve">Đắc Lắk </v>
          </cell>
          <cell r="BX3411" t="str">
            <v>AON</v>
          </cell>
        </row>
        <row r="3412">
          <cell r="A3412" t="str">
            <v>OP</v>
          </cell>
          <cell r="B3412" t="str">
            <v>Quá 24h</v>
          </cell>
          <cell r="D3412" t="str">
            <v>Khiếu nại về dịch vụ FTTH</v>
          </cell>
          <cell r="W3412" t="str">
            <v>Đang xử lý</v>
          </cell>
          <cell r="AJ3412" t="str">
            <v xml:space="preserve">Đà Nẵng </v>
          </cell>
          <cell r="BX3412" t="str">
            <v>AON</v>
          </cell>
        </row>
        <row r="3413">
          <cell r="A3413" t="str">
            <v>OP</v>
          </cell>
          <cell r="B3413" t="str">
            <v>Quá 24h</v>
          </cell>
          <cell r="D3413" t="str">
            <v>Khiếu nại về dịch vụ FTTH</v>
          </cell>
          <cell r="W3413" t="str">
            <v>Đã đóng</v>
          </cell>
          <cell r="AJ3413" t="str">
            <v>Ninh Bình</v>
          </cell>
          <cell r="BX3413" t="str">
            <v>AON</v>
          </cell>
        </row>
        <row r="3414">
          <cell r="A3414" t="str">
            <v>OP</v>
          </cell>
          <cell r="B3414" t="str">
            <v>Quá 24h</v>
          </cell>
          <cell r="D3414" t="str">
            <v>Khiếu nại về dịch vụ FTTH</v>
          </cell>
          <cell r="W3414" t="str">
            <v>Đang xử lý</v>
          </cell>
          <cell r="AJ3414" t="str">
            <v>Đắc Nông</v>
          </cell>
          <cell r="BX3414" t="str">
            <v>AON</v>
          </cell>
        </row>
        <row r="3415">
          <cell r="A3415" t="str">
            <v>OP</v>
          </cell>
          <cell r="B3415" t="str">
            <v>Quá 24h</v>
          </cell>
          <cell r="D3415" t="str">
            <v>Khiếu nại về dịch vụ FTTH</v>
          </cell>
          <cell r="W3415" t="str">
            <v>Đã đóng</v>
          </cell>
          <cell r="AJ3415" t="str">
            <v>Bình Thuận</v>
          </cell>
          <cell r="BX3415" t="str">
            <v>AON</v>
          </cell>
        </row>
        <row r="3416">
          <cell r="A3416" t="str">
            <v>OP</v>
          </cell>
          <cell r="B3416" t="str">
            <v>Quá 24h</v>
          </cell>
          <cell r="D3416" t="str">
            <v>Khiếu nại về dịch vụ FTTH</v>
          </cell>
          <cell r="W3416" t="str">
            <v>Đã đóng</v>
          </cell>
          <cell r="AJ3416" t="str">
            <v>Đồng Tháp</v>
          </cell>
          <cell r="BX3416" t="str">
            <v>AON</v>
          </cell>
        </row>
        <row r="3417">
          <cell r="A3417" t="str">
            <v>OP</v>
          </cell>
          <cell r="B3417" t="str">
            <v>Quá 24h</v>
          </cell>
          <cell r="D3417" t="str">
            <v>Khiếu nại về dịch vụ FTTH</v>
          </cell>
          <cell r="W3417" t="str">
            <v>Đã đóng</v>
          </cell>
          <cell r="AJ3417" t="str">
            <v>Tây Ninh</v>
          </cell>
          <cell r="BX3417" t="str">
            <v>AON</v>
          </cell>
        </row>
        <row r="3418">
          <cell r="A3418" t="str">
            <v>OP</v>
          </cell>
          <cell r="B3418" t="str">
            <v>Quá 24h</v>
          </cell>
          <cell r="D3418" t="str">
            <v>Khiếu nại về dịch vụ FTTH</v>
          </cell>
          <cell r="W3418" t="str">
            <v>Đang xử lý</v>
          </cell>
          <cell r="AJ3418" t="str">
            <v xml:space="preserve">Đắc Lắk </v>
          </cell>
          <cell r="BX3418" t="str">
            <v>AON</v>
          </cell>
        </row>
        <row r="3419">
          <cell r="A3419" t="str">
            <v>OP</v>
          </cell>
          <cell r="B3419" t="str">
            <v>Quá 24h</v>
          </cell>
          <cell r="D3419" t="str">
            <v>Khiếu nại về dịch vụ FTTH</v>
          </cell>
          <cell r="W3419" t="str">
            <v>Đã đóng</v>
          </cell>
          <cell r="AJ3419" t="str">
            <v xml:space="preserve">Đồng Nai </v>
          </cell>
          <cell r="BX3419" t="str">
            <v>AON</v>
          </cell>
        </row>
        <row r="3420">
          <cell r="A3420" t="str">
            <v>OP</v>
          </cell>
          <cell r="B3420" t="str">
            <v>Quá 24h</v>
          </cell>
          <cell r="D3420" t="str">
            <v>Khiếu nại về dịch vụ FTTH</v>
          </cell>
          <cell r="W3420" t="str">
            <v>Đã đóng</v>
          </cell>
          <cell r="AJ3420" t="str">
            <v>Bình Định</v>
          </cell>
          <cell r="BX3420" t="str">
            <v>AON</v>
          </cell>
        </row>
        <row r="3421">
          <cell r="A3421" t="str">
            <v>OP</v>
          </cell>
          <cell r="B3421" t="str">
            <v>Quá 24h</v>
          </cell>
          <cell r="D3421" t="str">
            <v>Khiếu nại về dịch vụ FTTH</v>
          </cell>
          <cell r="W3421" t="str">
            <v>Đã đóng</v>
          </cell>
          <cell r="AJ3421" t="str">
            <v>TP HCM</v>
          </cell>
          <cell r="BX3421" t="str">
            <v>AON</v>
          </cell>
        </row>
        <row r="3422">
          <cell r="A3422" t="str">
            <v>OP</v>
          </cell>
          <cell r="B3422" t="str">
            <v>Quá 24h</v>
          </cell>
          <cell r="D3422" t="str">
            <v>Khiếu nại về dịch vụ FTTH</v>
          </cell>
          <cell r="W3422" t="str">
            <v>Đã đóng</v>
          </cell>
          <cell r="AJ3422" t="str">
            <v xml:space="preserve">Đà Nẵng </v>
          </cell>
          <cell r="BX3422" t="str">
            <v>AON</v>
          </cell>
        </row>
        <row r="3423">
          <cell r="A3423" t="str">
            <v>OP</v>
          </cell>
          <cell r="B3423" t="str">
            <v>Quá 24h</v>
          </cell>
          <cell r="D3423" t="str">
            <v>Khiếu nại về dịch vụ FTTH</v>
          </cell>
          <cell r="W3423" t="str">
            <v>Đã đóng</v>
          </cell>
          <cell r="AJ3423" t="str">
            <v>Bạc Liêu</v>
          </cell>
          <cell r="BX3423" t="str">
            <v>AON</v>
          </cell>
        </row>
        <row r="3424">
          <cell r="A3424" t="str">
            <v>OP</v>
          </cell>
          <cell r="B3424" t="str">
            <v>Quá 24h</v>
          </cell>
          <cell r="D3424" t="str">
            <v>Khiếu nại về dịch vụ FTTH</v>
          </cell>
          <cell r="W3424" t="str">
            <v>Đang xử lý</v>
          </cell>
          <cell r="AJ3424" t="str">
            <v xml:space="preserve">Đà Nẵng </v>
          </cell>
          <cell r="BX3424" t="str">
            <v>AON</v>
          </cell>
        </row>
        <row r="3425">
          <cell r="A3425" t="str">
            <v>OP</v>
          </cell>
          <cell r="B3425" t="str">
            <v>Quá 24h</v>
          </cell>
          <cell r="D3425" t="str">
            <v>Khiếu nại về dịch vụ FTTH</v>
          </cell>
          <cell r="W3425" t="str">
            <v>Đã đóng</v>
          </cell>
          <cell r="AJ3425" t="str">
            <v>TP HCM</v>
          </cell>
          <cell r="BX3425" t="str">
            <v>AON</v>
          </cell>
        </row>
        <row r="3426">
          <cell r="A3426" t="str">
            <v>OP</v>
          </cell>
          <cell r="B3426" t="str">
            <v>Quá 24h</v>
          </cell>
          <cell r="D3426" t="str">
            <v>Khiếu nại về dịch vụ FTTH</v>
          </cell>
          <cell r="W3426" t="str">
            <v>Đang xử lý</v>
          </cell>
          <cell r="AJ3426" t="str">
            <v xml:space="preserve">Đồng Nai </v>
          </cell>
          <cell r="BX3426" t="str">
            <v>AON</v>
          </cell>
        </row>
        <row r="3427">
          <cell r="A3427" t="str">
            <v>OP</v>
          </cell>
          <cell r="B3427" t="str">
            <v>Quá 24h</v>
          </cell>
          <cell r="D3427" t="str">
            <v>Khiếu nại về dịch vụ FTTH</v>
          </cell>
          <cell r="W3427" t="str">
            <v>Đã đóng</v>
          </cell>
          <cell r="AJ3427" t="str">
            <v>TP HCM</v>
          </cell>
          <cell r="BX3427" t="str">
            <v>AON</v>
          </cell>
        </row>
        <row r="3428">
          <cell r="A3428" t="str">
            <v>OP</v>
          </cell>
          <cell r="B3428" t="str">
            <v>Quá 24h</v>
          </cell>
          <cell r="D3428" t="str">
            <v>Khiếu nại về dịch vụ FTTH</v>
          </cell>
          <cell r="W3428" t="str">
            <v>Đã đóng</v>
          </cell>
          <cell r="AJ3428" t="str">
            <v>Hải Phòng</v>
          </cell>
          <cell r="BX3428" t="str">
            <v>AON</v>
          </cell>
        </row>
        <row r="3429">
          <cell r="A3429" t="str">
            <v>OP</v>
          </cell>
          <cell r="B3429" t="str">
            <v>Quá 24h</v>
          </cell>
          <cell r="D3429" t="str">
            <v>Khiếu nại về dịch vụ FTTH</v>
          </cell>
          <cell r="W3429" t="str">
            <v>Đã đóng</v>
          </cell>
          <cell r="AJ3429" t="str">
            <v xml:space="preserve">Đồng Nai </v>
          </cell>
          <cell r="BX3429" t="str">
            <v>AON</v>
          </cell>
        </row>
        <row r="3430">
          <cell r="A3430" t="str">
            <v>OP</v>
          </cell>
          <cell r="B3430" t="str">
            <v>Quá 24h</v>
          </cell>
          <cell r="D3430" t="str">
            <v>Khiếu nại về dịch vụ FTTH</v>
          </cell>
          <cell r="W3430" t="str">
            <v>Đã đóng</v>
          </cell>
          <cell r="AJ3430" t="str">
            <v>TP HCM</v>
          </cell>
          <cell r="BX3430" t="str">
            <v>AON</v>
          </cell>
        </row>
        <row r="3431">
          <cell r="A3431" t="str">
            <v>OP</v>
          </cell>
          <cell r="B3431" t="str">
            <v>Quá 24h</v>
          </cell>
          <cell r="D3431" t="str">
            <v>Khiếu nại về dịch vụ FTTH</v>
          </cell>
          <cell r="W3431" t="str">
            <v>Đã đóng</v>
          </cell>
          <cell r="AJ3431" t="str">
            <v>Bình Định</v>
          </cell>
          <cell r="BX3431" t="str">
            <v>AON</v>
          </cell>
        </row>
        <row r="3432">
          <cell r="A3432" t="str">
            <v>OP</v>
          </cell>
          <cell r="B3432" t="str">
            <v>Quá 24h</v>
          </cell>
          <cell r="D3432" t="str">
            <v>Khiếu nại về dịch vụ FTTH</v>
          </cell>
          <cell r="W3432" t="str">
            <v>Đang xử lý</v>
          </cell>
          <cell r="AJ3432" t="str">
            <v>Lâm Đồng</v>
          </cell>
          <cell r="BX3432" t="str">
            <v>AON</v>
          </cell>
        </row>
        <row r="3433">
          <cell r="A3433" t="str">
            <v>OP</v>
          </cell>
          <cell r="B3433" t="str">
            <v>Quá 24h</v>
          </cell>
          <cell r="D3433" t="str">
            <v>Khiếu nại về dịch vụ FTTH</v>
          </cell>
          <cell r="W3433" t="str">
            <v>Đã đóng</v>
          </cell>
          <cell r="AJ3433" t="str">
            <v>Đắc Nông</v>
          </cell>
          <cell r="BX3433" t="str">
            <v>AON</v>
          </cell>
        </row>
        <row r="3434">
          <cell r="A3434" t="str">
            <v>OP</v>
          </cell>
          <cell r="B3434" t="str">
            <v>Quá 24h</v>
          </cell>
          <cell r="D3434" t="str">
            <v>Khiếu nại về dịch vụ FTTH</v>
          </cell>
          <cell r="W3434" t="str">
            <v>Đã đóng</v>
          </cell>
          <cell r="AJ3434" t="str">
            <v xml:space="preserve">Đồng Nai </v>
          </cell>
          <cell r="BX3434" t="str">
            <v>AON</v>
          </cell>
        </row>
        <row r="3435">
          <cell r="A3435" t="str">
            <v>OP</v>
          </cell>
          <cell r="B3435" t="str">
            <v>Quá 24h</v>
          </cell>
          <cell r="D3435" t="str">
            <v>Khiếu nại về dịch vụ FTTH</v>
          </cell>
          <cell r="W3435" t="str">
            <v>Đang xử lý</v>
          </cell>
          <cell r="AJ3435" t="str">
            <v>TP HCM</v>
          </cell>
          <cell r="BX3435" t="str">
            <v>AON</v>
          </cell>
        </row>
        <row r="3436">
          <cell r="A3436" t="str">
            <v>OP</v>
          </cell>
          <cell r="B3436" t="str">
            <v>Quá 24h</v>
          </cell>
          <cell r="D3436" t="str">
            <v>Khiếu nại về dịch vụ FTTH</v>
          </cell>
          <cell r="W3436" t="str">
            <v>Đã đóng</v>
          </cell>
          <cell r="AJ3436" t="str">
            <v>TP HCM</v>
          </cell>
          <cell r="BX3436" t="str">
            <v>AON</v>
          </cell>
        </row>
        <row r="3437">
          <cell r="A3437" t="str">
            <v>OP</v>
          </cell>
          <cell r="B3437" t="str">
            <v>Quá 24h</v>
          </cell>
          <cell r="D3437" t="str">
            <v>Khiếu nại về dịch vụ FTTH</v>
          </cell>
          <cell r="W3437" t="str">
            <v>Đã đóng</v>
          </cell>
          <cell r="AJ3437" t="str">
            <v>TP HCM</v>
          </cell>
          <cell r="BX3437" t="str">
            <v>AON</v>
          </cell>
        </row>
        <row r="3438">
          <cell r="A3438" t="str">
            <v>OP</v>
          </cell>
          <cell r="B3438" t="str">
            <v>Quá 24h</v>
          </cell>
          <cell r="D3438" t="str">
            <v>Khiếu nại về dịch vụ FTTH</v>
          </cell>
          <cell r="W3438" t="str">
            <v>Đã đóng</v>
          </cell>
          <cell r="AJ3438" t="str">
            <v>Phú Thọ</v>
          </cell>
          <cell r="BX3438" t="str">
            <v>AON</v>
          </cell>
        </row>
        <row r="3439">
          <cell r="A3439" t="str">
            <v>OP</v>
          </cell>
          <cell r="B3439" t="str">
            <v>Quá 24h</v>
          </cell>
          <cell r="D3439" t="str">
            <v>Khiếu nại về dịch vụ FTTH</v>
          </cell>
          <cell r="W3439" t="str">
            <v>Đang xử lý</v>
          </cell>
          <cell r="AJ3439" t="str">
            <v>TP HCM</v>
          </cell>
          <cell r="BX3439" t="str">
            <v>AON</v>
          </cell>
        </row>
        <row r="3440">
          <cell r="A3440" t="str">
            <v>OP</v>
          </cell>
          <cell r="B3440" t="str">
            <v>Quá 24h</v>
          </cell>
          <cell r="D3440" t="str">
            <v>Khiếu nại về dịch vụ FTTH</v>
          </cell>
          <cell r="W3440" t="str">
            <v>Đang xử lý</v>
          </cell>
          <cell r="AJ3440" t="str">
            <v>TP HCM</v>
          </cell>
          <cell r="BX3440" t="str">
            <v>AON</v>
          </cell>
        </row>
        <row r="3441">
          <cell r="A3441" t="str">
            <v>OP</v>
          </cell>
          <cell r="B3441" t="str">
            <v>Quá 24h</v>
          </cell>
          <cell r="D3441" t="str">
            <v>Khiếu nại về dịch vụ FTTH</v>
          </cell>
          <cell r="W3441" t="str">
            <v>Đang xử lý</v>
          </cell>
          <cell r="AJ3441" t="str">
            <v xml:space="preserve">Đà Nẵng </v>
          </cell>
          <cell r="BX3441" t="str">
            <v>AON</v>
          </cell>
        </row>
        <row r="3442">
          <cell r="A3442" t="str">
            <v>OP</v>
          </cell>
          <cell r="B3442" t="str">
            <v>Quá 24h</v>
          </cell>
          <cell r="D3442" t="str">
            <v>Khiếu nại về dịch vụ NextTV</v>
          </cell>
          <cell r="W3442" t="str">
            <v>Đã đóng</v>
          </cell>
          <cell r="AJ3442" t="str">
            <v>Hà Nội 1</v>
          </cell>
          <cell r="BX3442" t="str">
            <v>AON</v>
          </cell>
        </row>
        <row r="3443">
          <cell r="A3443" t="str">
            <v>OP</v>
          </cell>
          <cell r="B3443" t="str">
            <v>Quá 24h</v>
          </cell>
          <cell r="D3443" t="str">
            <v>Khiếu nại về dịch vụ FTTH</v>
          </cell>
          <cell r="W3443" t="str">
            <v>Đang xử lý</v>
          </cell>
          <cell r="AJ3443" t="str">
            <v>TP HCM</v>
          </cell>
          <cell r="BX3443" t="str">
            <v>AON</v>
          </cell>
        </row>
        <row r="3444">
          <cell r="A3444" t="str">
            <v>OP</v>
          </cell>
          <cell r="B3444" t="str">
            <v>Quá 24h</v>
          </cell>
          <cell r="D3444" t="str">
            <v>Khiếu nại về dịch vụ FTTH</v>
          </cell>
          <cell r="W3444" t="str">
            <v>Đã đóng</v>
          </cell>
          <cell r="AJ3444" t="str">
            <v>TP HCM</v>
          </cell>
          <cell r="BX3444" t="str">
            <v>AON</v>
          </cell>
        </row>
        <row r="3445">
          <cell r="A3445" t="str">
            <v>OP</v>
          </cell>
          <cell r="B3445" t="str">
            <v>Quá 24h</v>
          </cell>
          <cell r="D3445" t="str">
            <v>Khiếu nại về dịch vụ FTTH</v>
          </cell>
          <cell r="W3445" t="str">
            <v>Đã đóng</v>
          </cell>
          <cell r="AJ3445" t="str">
            <v>TP HCM</v>
          </cell>
          <cell r="BX3445" t="str">
            <v>AON</v>
          </cell>
        </row>
        <row r="3446">
          <cell r="A3446" t="str">
            <v>OP</v>
          </cell>
          <cell r="B3446" t="str">
            <v>Quá 24h</v>
          </cell>
          <cell r="D3446" t="str">
            <v>Khiếu nại về dịch vụ FTTH</v>
          </cell>
          <cell r="W3446" t="str">
            <v>Đang xử lý</v>
          </cell>
          <cell r="AJ3446" t="str">
            <v>Bình Thuận</v>
          </cell>
          <cell r="BX3446" t="str">
            <v>AON</v>
          </cell>
        </row>
        <row r="3447">
          <cell r="A3447" t="str">
            <v>OP</v>
          </cell>
          <cell r="B3447" t="str">
            <v>Quá 24h</v>
          </cell>
          <cell r="D3447" t="str">
            <v>Khiếu nại về dịch vụ FTTH</v>
          </cell>
          <cell r="W3447" t="str">
            <v>Đã đóng</v>
          </cell>
          <cell r="AJ3447" t="str">
            <v>Bình Thuận</v>
          </cell>
          <cell r="BX3447" t="str">
            <v>AON</v>
          </cell>
        </row>
        <row r="3448">
          <cell r="A3448" t="str">
            <v>OP</v>
          </cell>
          <cell r="B3448" t="str">
            <v>Quá 24h</v>
          </cell>
          <cell r="D3448" t="str">
            <v>Khiếu nại về dịch vụ FTTH</v>
          </cell>
          <cell r="W3448" t="str">
            <v>Đã đóng</v>
          </cell>
          <cell r="AJ3448" t="str">
            <v>Lâm Đồng</v>
          </cell>
          <cell r="BX3448" t="str">
            <v>AON</v>
          </cell>
        </row>
        <row r="3449">
          <cell r="A3449" t="str">
            <v>OP</v>
          </cell>
          <cell r="B3449" t="str">
            <v>Quá 24h</v>
          </cell>
          <cell r="D3449" t="str">
            <v>Khiếu nại về dịch vụ FTTH</v>
          </cell>
          <cell r="W3449" t="str">
            <v>Đang xử lý</v>
          </cell>
          <cell r="AJ3449" t="str">
            <v xml:space="preserve">Đắc Lắk </v>
          </cell>
          <cell r="BX3449" t="str">
            <v>AON</v>
          </cell>
        </row>
        <row r="3450">
          <cell r="A3450" t="str">
            <v>OP</v>
          </cell>
          <cell r="B3450" t="str">
            <v>Quá 24h</v>
          </cell>
          <cell r="D3450" t="str">
            <v>Khiếu nại về dịch vụ FTTH</v>
          </cell>
          <cell r="W3450" t="str">
            <v>Đã đóng</v>
          </cell>
          <cell r="AJ3450" t="str">
            <v>Bình Dương</v>
          </cell>
          <cell r="BX3450" t="str">
            <v>AON</v>
          </cell>
        </row>
        <row r="3451">
          <cell r="A3451" t="str">
            <v>OP</v>
          </cell>
          <cell r="B3451" t="str">
            <v>Quá 24h</v>
          </cell>
          <cell r="D3451" t="str">
            <v>Khiếu nại về dịch vụ FTTH</v>
          </cell>
          <cell r="W3451" t="str">
            <v>Đã đóng</v>
          </cell>
          <cell r="AJ3451" t="str">
            <v>Cần Thơ</v>
          </cell>
          <cell r="BX3451" t="str">
            <v>AON</v>
          </cell>
        </row>
        <row r="3452">
          <cell r="A3452" t="str">
            <v>OP</v>
          </cell>
          <cell r="B3452" t="str">
            <v>Quá 24h</v>
          </cell>
          <cell r="D3452" t="str">
            <v>Khiếu nại về dịch vụ FTTH</v>
          </cell>
          <cell r="W3452" t="str">
            <v>Đang xử lý</v>
          </cell>
          <cell r="AJ3452" t="str">
            <v>Phú Yên</v>
          </cell>
          <cell r="BX3452" t="str">
            <v>AON</v>
          </cell>
        </row>
        <row r="3453">
          <cell r="A3453" t="str">
            <v>OP</v>
          </cell>
          <cell r="B3453" t="str">
            <v>Quá 24h</v>
          </cell>
          <cell r="D3453" t="str">
            <v>Khiếu nại về dịch vụ FTTH</v>
          </cell>
          <cell r="W3453" t="str">
            <v>Đã đóng</v>
          </cell>
          <cell r="AJ3453" t="str">
            <v>Bình Thuận</v>
          </cell>
          <cell r="BX3453" t="str">
            <v>AON</v>
          </cell>
        </row>
        <row r="3454">
          <cell r="A3454" t="str">
            <v>OP</v>
          </cell>
          <cell r="B3454" t="str">
            <v>Quá 24h</v>
          </cell>
          <cell r="D3454" t="str">
            <v>Khiếu nại về dịch vụ FTTH</v>
          </cell>
          <cell r="W3454" t="str">
            <v>Đã đóng</v>
          </cell>
          <cell r="AJ3454" t="str">
            <v>An Giang</v>
          </cell>
          <cell r="BX3454" t="str">
            <v>AON</v>
          </cell>
        </row>
        <row r="3455">
          <cell r="A3455" t="str">
            <v>OP</v>
          </cell>
          <cell r="B3455" t="str">
            <v>Quá 24h</v>
          </cell>
          <cell r="D3455" t="str">
            <v>Khiếu nại về dịch vụ FTTH</v>
          </cell>
          <cell r="W3455" t="str">
            <v>Đang xử lý</v>
          </cell>
          <cell r="AJ3455" t="str">
            <v>Cần Thơ</v>
          </cell>
          <cell r="BX3455" t="str">
            <v>AON</v>
          </cell>
        </row>
        <row r="3456">
          <cell r="A3456" t="str">
            <v>OP</v>
          </cell>
          <cell r="B3456" t="str">
            <v>Quá 24h</v>
          </cell>
          <cell r="D3456" t="str">
            <v>Khiếu nại về dịch vụ FTTH</v>
          </cell>
          <cell r="W3456" t="str">
            <v>Đang xử lý</v>
          </cell>
          <cell r="AJ3456" t="str">
            <v>Bình Thuận</v>
          </cell>
          <cell r="BX3456" t="str">
            <v>AON</v>
          </cell>
        </row>
        <row r="3457">
          <cell r="A3457" t="str">
            <v>OP</v>
          </cell>
          <cell r="B3457" t="str">
            <v>Quá 24h</v>
          </cell>
          <cell r="D3457" t="str">
            <v>Khiếu nại về dịch vụ FTTH</v>
          </cell>
          <cell r="W3457" t="str">
            <v>Đang xử lý</v>
          </cell>
          <cell r="AJ3457" t="str">
            <v>Bình Định</v>
          </cell>
          <cell r="BX3457" t="str">
            <v>AON</v>
          </cell>
        </row>
        <row r="3458">
          <cell r="A3458" t="str">
            <v>OP</v>
          </cell>
          <cell r="B3458" t="str">
            <v>Quá 24h</v>
          </cell>
          <cell r="D3458" t="str">
            <v>Khiếu nại về dịch vụ FTTH</v>
          </cell>
          <cell r="W3458" t="str">
            <v>Đã đóng</v>
          </cell>
          <cell r="AJ3458" t="str">
            <v>Bình Thuận</v>
          </cell>
          <cell r="BX3458" t="str">
            <v>AON</v>
          </cell>
        </row>
        <row r="3459">
          <cell r="A3459" t="str">
            <v>OP</v>
          </cell>
          <cell r="B3459" t="str">
            <v>Quá 24h</v>
          </cell>
          <cell r="D3459" t="str">
            <v>Khiếu nại về dịch vụ FTTH</v>
          </cell>
          <cell r="W3459" t="str">
            <v>Đã đóng</v>
          </cell>
          <cell r="AJ3459" t="str">
            <v>An Giang</v>
          </cell>
          <cell r="BX3459" t="str">
            <v>AON</v>
          </cell>
        </row>
        <row r="3460">
          <cell r="A3460" t="str">
            <v>OP</v>
          </cell>
          <cell r="B3460" t="str">
            <v>Quá 24h</v>
          </cell>
          <cell r="D3460" t="str">
            <v>Khiếu nại về dịch vụ FTTH</v>
          </cell>
          <cell r="W3460" t="str">
            <v>Đang xử lý</v>
          </cell>
          <cell r="AJ3460" t="str">
            <v>TP HCM</v>
          </cell>
          <cell r="BX3460" t="str">
            <v>AON</v>
          </cell>
        </row>
        <row r="3461">
          <cell r="A3461" t="str">
            <v>OP</v>
          </cell>
          <cell r="B3461" t="str">
            <v>Quá 24h</v>
          </cell>
          <cell r="D3461" t="str">
            <v>Khiếu nại về dịch vụ FTTH</v>
          </cell>
          <cell r="W3461" t="str">
            <v>Đã đóng</v>
          </cell>
          <cell r="AJ3461" t="str">
            <v>Cần Thơ</v>
          </cell>
          <cell r="BX3461" t="str">
            <v>AON</v>
          </cell>
        </row>
        <row r="3462">
          <cell r="A3462" t="str">
            <v>OP</v>
          </cell>
          <cell r="B3462" t="str">
            <v>Quá 24h</v>
          </cell>
          <cell r="D3462" t="str">
            <v>Khiếu nại về dịch vụ FTTH</v>
          </cell>
          <cell r="W3462" t="str">
            <v>Đã đóng</v>
          </cell>
          <cell r="AJ3462" t="str">
            <v>Thừa Thiên Huế</v>
          </cell>
          <cell r="BX3462" t="str">
            <v>AON</v>
          </cell>
        </row>
        <row r="3463">
          <cell r="A3463" t="str">
            <v>OP</v>
          </cell>
          <cell r="B3463" t="str">
            <v>Quá 24h</v>
          </cell>
          <cell r="D3463" t="str">
            <v>Khiếu nại về dịch vụ FTTH</v>
          </cell>
          <cell r="W3463" t="str">
            <v>Đang xử lý</v>
          </cell>
          <cell r="AJ3463" t="str">
            <v xml:space="preserve">Đà Nẵng </v>
          </cell>
          <cell r="BX3463" t="str">
            <v>AON</v>
          </cell>
        </row>
        <row r="3464">
          <cell r="A3464" t="str">
            <v>OP</v>
          </cell>
          <cell r="B3464" t="str">
            <v>Quá 24h</v>
          </cell>
          <cell r="D3464" t="str">
            <v>Khiếu nại về dịch vụ FTTH</v>
          </cell>
          <cell r="W3464" t="str">
            <v>Đã đóng</v>
          </cell>
          <cell r="AJ3464" t="str">
            <v>TP HCM</v>
          </cell>
          <cell r="BX3464" t="str">
            <v>AON</v>
          </cell>
        </row>
        <row r="3465">
          <cell r="A3465" t="str">
            <v>OP</v>
          </cell>
          <cell r="B3465" t="str">
            <v>Quá 24h</v>
          </cell>
          <cell r="D3465" t="str">
            <v>Khiếu nại về dịch vụ FTTH</v>
          </cell>
          <cell r="W3465" t="str">
            <v>Đã đóng</v>
          </cell>
          <cell r="AJ3465" t="str">
            <v>Đắc Nông</v>
          </cell>
          <cell r="BX3465" t="str">
            <v>AON</v>
          </cell>
        </row>
        <row r="3466">
          <cell r="A3466" t="str">
            <v>OP</v>
          </cell>
          <cell r="B3466" t="str">
            <v>Quá 24h</v>
          </cell>
          <cell r="D3466" t="str">
            <v>Khiếu nại về dịch vụ FTTH</v>
          </cell>
          <cell r="W3466" t="str">
            <v>Đang xử lý</v>
          </cell>
          <cell r="AJ3466" t="str">
            <v>Bình Thuận</v>
          </cell>
          <cell r="BX3466" t="str">
            <v>AON</v>
          </cell>
        </row>
        <row r="3467">
          <cell r="A3467" t="str">
            <v>OP</v>
          </cell>
          <cell r="B3467" t="str">
            <v>Quá 24h</v>
          </cell>
          <cell r="D3467" t="str">
            <v>Khiếu nại về dịch vụ FTTH</v>
          </cell>
          <cell r="W3467" t="str">
            <v>Đã đóng</v>
          </cell>
          <cell r="AJ3467" t="str">
            <v>Long An</v>
          </cell>
          <cell r="BX3467" t="str">
            <v>AON</v>
          </cell>
        </row>
        <row r="3468">
          <cell r="A3468" t="str">
            <v>OP</v>
          </cell>
          <cell r="B3468" t="str">
            <v>Quá 24h</v>
          </cell>
          <cell r="D3468" t="str">
            <v>Khiếu nại về dịch vụ FTTH</v>
          </cell>
          <cell r="W3468" t="str">
            <v>Đã đóng</v>
          </cell>
          <cell r="AJ3468" t="str">
            <v>Thừa Thiên Huế</v>
          </cell>
          <cell r="BX3468" t="str">
            <v>AON</v>
          </cell>
        </row>
        <row r="3469">
          <cell r="A3469" t="str">
            <v>OP</v>
          </cell>
          <cell r="B3469" t="str">
            <v>Quá 24h</v>
          </cell>
          <cell r="D3469" t="str">
            <v>Khiếu nại về dịch vụ FTTH</v>
          </cell>
          <cell r="W3469" t="str">
            <v>Đã đóng</v>
          </cell>
          <cell r="AJ3469" t="str">
            <v>TP HCM</v>
          </cell>
          <cell r="BX3469" t="str">
            <v>AON</v>
          </cell>
        </row>
        <row r="3470">
          <cell r="A3470" t="str">
            <v>OP</v>
          </cell>
          <cell r="B3470" t="str">
            <v>Quá 24h</v>
          </cell>
          <cell r="D3470" t="str">
            <v>Khiếu nại về dịch vụ FTTH</v>
          </cell>
          <cell r="W3470" t="str">
            <v>Đang xử lý</v>
          </cell>
          <cell r="AJ3470" t="str">
            <v>Quảng Trị</v>
          </cell>
          <cell r="BX3470" t="str">
            <v>AON</v>
          </cell>
        </row>
        <row r="3471">
          <cell r="A3471" t="str">
            <v>OP</v>
          </cell>
          <cell r="B3471" t="str">
            <v>Quá 24h</v>
          </cell>
          <cell r="D3471" t="str">
            <v>Khiếu nại về dịch vụ NextTV</v>
          </cell>
          <cell r="W3471" t="str">
            <v>Đang xử lý</v>
          </cell>
          <cell r="AJ3471" t="str">
            <v>TP HCM</v>
          </cell>
          <cell r="BX3471" t="str">
            <v>AON</v>
          </cell>
        </row>
        <row r="3472">
          <cell r="A3472" t="str">
            <v>OP</v>
          </cell>
          <cell r="B3472" t="str">
            <v>Quá 24h</v>
          </cell>
          <cell r="D3472" t="str">
            <v>Khiếu nại về dịch vụ FTTH</v>
          </cell>
          <cell r="W3472" t="str">
            <v>Đang xử lý</v>
          </cell>
          <cell r="AJ3472" t="str">
            <v>Bình Định</v>
          </cell>
          <cell r="BX3472" t="str">
            <v>AON</v>
          </cell>
        </row>
        <row r="3473">
          <cell r="A3473" t="str">
            <v>OP</v>
          </cell>
          <cell r="B3473" t="str">
            <v>Quá 24h</v>
          </cell>
          <cell r="D3473" t="str">
            <v>Khiếu nại về dịch vụ NextTV</v>
          </cell>
          <cell r="W3473" t="str">
            <v>Đã đóng</v>
          </cell>
          <cell r="AJ3473" t="str">
            <v xml:space="preserve">Đắc Lắk </v>
          </cell>
          <cell r="BX3473" t="str">
            <v>AON</v>
          </cell>
        </row>
        <row r="3474">
          <cell r="A3474" t="str">
            <v>OP</v>
          </cell>
          <cell r="B3474" t="str">
            <v>Quá 24h</v>
          </cell>
          <cell r="D3474" t="str">
            <v>Khiếu nại về dịch vụ FTTH</v>
          </cell>
          <cell r="W3474" t="str">
            <v>Đã đóng</v>
          </cell>
          <cell r="AJ3474" t="str">
            <v>TP HCM</v>
          </cell>
          <cell r="BX3474" t="str">
            <v>AON</v>
          </cell>
        </row>
        <row r="3475">
          <cell r="A3475" t="str">
            <v>OP</v>
          </cell>
          <cell r="B3475" t="str">
            <v>Quá 24h</v>
          </cell>
          <cell r="D3475" t="str">
            <v>Khiếu nại về dịch vụ FTTH</v>
          </cell>
          <cell r="W3475" t="str">
            <v>Đã đóng</v>
          </cell>
          <cell r="AJ3475" t="str">
            <v>TP HCM</v>
          </cell>
          <cell r="BX3475" t="str">
            <v>GPON</v>
          </cell>
        </row>
        <row r="3476">
          <cell r="A3476" t="str">
            <v>OP</v>
          </cell>
          <cell r="B3476" t="str">
            <v>Quá 24h</v>
          </cell>
          <cell r="D3476" t="str">
            <v>Khiếu nại về dịch vụ FTTH</v>
          </cell>
          <cell r="W3476" t="str">
            <v>Đang xử lý</v>
          </cell>
          <cell r="AJ3476" t="str">
            <v>Quảng Ngãi</v>
          </cell>
          <cell r="BX3476" t="str">
            <v>AON</v>
          </cell>
        </row>
        <row r="3477">
          <cell r="A3477" t="str">
            <v>OP</v>
          </cell>
          <cell r="B3477" t="str">
            <v>Quá 24h</v>
          </cell>
          <cell r="D3477" t="str">
            <v>Khiếu nại về dịch vụ FTTH</v>
          </cell>
          <cell r="W3477" t="str">
            <v>Đang xử lý</v>
          </cell>
          <cell r="AJ3477" t="str">
            <v>Bình Định</v>
          </cell>
          <cell r="BX3477" t="str">
            <v>AON</v>
          </cell>
        </row>
        <row r="3478">
          <cell r="A3478" t="str">
            <v>OP</v>
          </cell>
          <cell r="B3478" t="str">
            <v>Quá 24h</v>
          </cell>
          <cell r="D3478" t="str">
            <v>Khiếu nại về dịch vụ FTTH</v>
          </cell>
          <cell r="W3478" t="str">
            <v>Đang xử lý</v>
          </cell>
          <cell r="AJ3478" t="str">
            <v>TP HCM</v>
          </cell>
          <cell r="BX3478" t="str">
            <v>AON</v>
          </cell>
        </row>
        <row r="3479">
          <cell r="A3479" t="str">
            <v>OP</v>
          </cell>
          <cell r="B3479" t="str">
            <v>Quá 24h</v>
          </cell>
          <cell r="D3479" t="str">
            <v>Khiếu nại về dịch vụ FTTH</v>
          </cell>
          <cell r="W3479" t="str">
            <v>Đã đóng</v>
          </cell>
          <cell r="AJ3479" t="str">
            <v>Bình Dương</v>
          </cell>
          <cell r="BX3479" t="str">
            <v>AON</v>
          </cell>
        </row>
        <row r="3480">
          <cell r="A3480" t="str">
            <v>OP</v>
          </cell>
          <cell r="B3480" t="str">
            <v>Quá 24h</v>
          </cell>
          <cell r="D3480" t="str">
            <v>Khiếu nại về dịch vụ FTTH</v>
          </cell>
          <cell r="W3480" t="str">
            <v>Đã đóng</v>
          </cell>
          <cell r="AJ3480" t="str">
            <v xml:space="preserve">Đắc Lắk </v>
          </cell>
          <cell r="BX3480" t="str">
            <v>AON</v>
          </cell>
        </row>
        <row r="3481">
          <cell r="A3481" t="str">
            <v>OP</v>
          </cell>
          <cell r="B3481" t="str">
            <v>Quá 24h</v>
          </cell>
          <cell r="D3481" t="str">
            <v>Khiếu nại về dịch vụ FTTH</v>
          </cell>
          <cell r="W3481" t="str">
            <v>Đã đóng</v>
          </cell>
          <cell r="AJ3481" t="str">
            <v xml:space="preserve">Đà Nẵng </v>
          </cell>
          <cell r="BX3481" t="str">
            <v>AON</v>
          </cell>
        </row>
        <row r="3482">
          <cell r="A3482" t="str">
            <v>OP</v>
          </cell>
          <cell r="B3482" t="str">
            <v>Quá 24h</v>
          </cell>
          <cell r="D3482" t="str">
            <v>Khiếu nại về dịch vụ FTTH</v>
          </cell>
          <cell r="W3482" t="str">
            <v>Đã đóng</v>
          </cell>
          <cell r="AJ3482" t="str">
            <v>Bình Dương</v>
          </cell>
          <cell r="BX3482" t="str">
            <v>AON</v>
          </cell>
        </row>
        <row r="3483">
          <cell r="A3483" t="str">
            <v>OP</v>
          </cell>
          <cell r="B3483" t="str">
            <v>Quá 24h</v>
          </cell>
          <cell r="D3483" t="str">
            <v>Khiếu nại về dịch vụ NextTV</v>
          </cell>
          <cell r="W3483" t="str">
            <v>Đang xử lý</v>
          </cell>
          <cell r="AJ3483" t="str">
            <v>Cà Mau</v>
          </cell>
          <cell r="BX3483" t="str">
            <v>AON</v>
          </cell>
        </row>
        <row r="3484">
          <cell r="A3484" t="str">
            <v>OP</v>
          </cell>
          <cell r="B3484" t="str">
            <v>Quá 24h</v>
          </cell>
          <cell r="D3484" t="str">
            <v>Khiếu nại về dịch vụ NextTV</v>
          </cell>
          <cell r="W3484" t="str">
            <v>Đã đóng</v>
          </cell>
          <cell r="AJ3484" t="str">
            <v>Bình Dương</v>
          </cell>
          <cell r="BX3484" t="str">
            <v>AON</v>
          </cell>
        </row>
        <row r="3485">
          <cell r="A3485" t="str">
            <v>OP</v>
          </cell>
          <cell r="B3485" t="str">
            <v>Quá 24h</v>
          </cell>
          <cell r="D3485" t="str">
            <v>Khiếu nại về dịch vụ FTTH</v>
          </cell>
          <cell r="W3485" t="str">
            <v>Đang xử lý</v>
          </cell>
          <cell r="AJ3485" t="str">
            <v>TP HCM</v>
          </cell>
          <cell r="BX3485" t="str">
            <v>AON</v>
          </cell>
        </row>
        <row r="3486">
          <cell r="A3486" t="str">
            <v>OP</v>
          </cell>
          <cell r="B3486" t="str">
            <v>Quá 24h</v>
          </cell>
          <cell r="D3486" t="str">
            <v>Khiếu nại về dịch vụ FTTH</v>
          </cell>
          <cell r="W3486" t="str">
            <v>Đã đóng</v>
          </cell>
          <cell r="AJ3486" t="str">
            <v>TP HCM</v>
          </cell>
          <cell r="BX3486" t="str">
            <v>GPON</v>
          </cell>
        </row>
        <row r="3487">
          <cell r="A3487" t="str">
            <v>OP</v>
          </cell>
          <cell r="B3487" t="str">
            <v>Quá 24h</v>
          </cell>
          <cell r="D3487" t="str">
            <v>Khiếu nại về dịch vụ FTTH</v>
          </cell>
          <cell r="W3487" t="str">
            <v>Đang xử lý</v>
          </cell>
          <cell r="AJ3487" t="str">
            <v>TP HCM</v>
          </cell>
          <cell r="BX3487" t="str">
            <v>GPON</v>
          </cell>
        </row>
        <row r="3488">
          <cell r="A3488" t="str">
            <v>OP</v>
          </cell>
          <cell r="B3488" t="str">
            <v>Quá 24h</v>
          </cell>
          <cell r="D3488" t="str">
            <v>Khiếu nại về dịch vụ FTTH</v>
          </cell>
          <cell r="W3488" t="str">
            <v>Đã đóng</v>
          </cell>
          <cell r="AJ3488" t="str">
            <v>Bình Dương</v>
          </cell>
          <cell r="BX3488" t="str">
            <v>AON</v>
          </cell>
        </row>
        <row r="3489">
          <cell r="A3489" t="str">
            <v>OP</v>
          </cell>
          <cell r="B3489" t="str">
            <v>Quá 24h</v>
          </cell>
          <cell r="D3489" t="str">
            <v>Khiếu nại về dịch vụ FTTH</v>
          </cell>
          <cell r="W3489" t="str">
            <v>Đã đóng</v>
          </cell>
          <cell r="AJ3489" t="str">
            <v>TP HCM</v>
          </cell>
          <cell r="BX3489" t="str">
            <v>AON</v>
          </cell>
        </row>
        <row r="3490">
          <cell r="A3490" t="str">
            <v>OP</v>
          </cell>
          <cell r="B3490" t="str">
            <v>Quá 24h</v>
          </cell>
          <cell r="D3490" t="str">
            <v>Khiếu nại về dịch vụ FTTH</v>
          </cell>
          <cell r="W3490" t="str">
            <v>Đã đóng</v>
          </cell>
          <cell r="AJ3490" t="str">
            <v>TP HCM</v>
          </cell>
          <cell r="BX3490" t="str">
            <v>AON</v>
          </cell>
        </row>
        <row r="3491">
          <cell r="A3491" t="str">
            <v>OP</v>
          </cell>
          <cell r="B3491" t="str">
            <v>Quá 24h</v>
          </cell>
          <cell r="D3491" t="str">
            <v>Khiếu nại về dịch vụ FTTH</v>
          </cell>
          <cell r="W3491" t="str">
            <v>Đã đóng</v>
          </cell>
          <cell r="AJ3491" t="str">
            <v>Thừa Thiên Huế</v>
          </cell>
          <cell r="BX3491" t="str">
            <v>AON</v>
          </cell>
        </row>
        <row r="3492">
          <cell r="A3492" t="str">
            <v>OP</v>
          </cell>
          <cell r="B3492" t="str">
            <v>Quá 24h</v>
          </cell>
          <cell r="D3492" t="str">
            <v>Khiếu nại về dịch vụ NextTV</v>
          </cell>
          <cell r="W3492" t="str">
            <v>Đang xử lý</v>
          </cell>
          <cell r="AJ3492" t="str">
            <v>TP HCM</v>
          </cell>
          <cell r="BX3492" t="str">
            <v>AON</v>
          </cell>
        </row>
        <row r="3493">
          <cell r="A3493" t="str">
            <v>OP</v>
          </cell>
          <cell r="B3493" t="str">
            <v>Quá 24h</v>
          </cell>
          <cell r="D3493" t="str">
            <v>Khiếu nại về dịch vụ FTTH</v>
          </cell>
          <cell r="W3493" t="str">
            <v>Đã đóng</v>
          </cell>
          <cell r="AJ3493" t="str">
            <v>An Giang</v>
          </cell>
          <cell r="BX3493" t="str">
            <v>AON</v>
          </cell>
        </row>
        <row r="3494">
          <cell r="A3494" t="str">
            <v>OP</v>
          </cell>
          <cell r="B3494" t="str">
            <v>Quá 24h</v>
          </cell>
          <cell r="D3494" t="str">
            <v>Khiếu nại về dịch vụ FTTH</v>
          </cell>
          <cell r="W3494" t="str">
            <v>Đã đóng</v>
          </cell>
          <cell r="AJ3494" t="str">
            <v>Lâm Đồng</v>
          </cell>
          <cell r="BX3494" t="str">
            <v>AON</v>
          </cell>
        </row>
        <row r="3495">
          <cell r="A3495" t="str">
            <v>OP</v>
          </cell>
          <cell r="B3495" t="str">
            <v>Quá 24h</v>
          </cell>
          <cell r="D3495" t="str">
            <v>Khiếu nại về dịch vụ FTTH</v>
          </cell>
          <cell r="W3495" t="str">
            <v>Đã đóng</v>
          </cell>
          <cell r="AJ3495" t="str">
            <v>An Giang</v>
          </cell>
          <cell r="BX3495" t="str">
            <v>AON</v>
          </cell>
        </row>
        <row r="3496">
          <cell r="A3496" t="str">
            <v>OP</v>
          </cell>
          <cell r="B3496" t="str">
            <v>Quá 24h</v>
          </cell>
          <cell r="D3496" t="str">
            <v>Khiếu nại về dịch vụ FTTH</v>
          </cell>
          <cell r="W3496" t="str">
            <v>Đã đóng</v>
          </cell>
          <cell r="AJ3496" t="str">
            <v>TP HCM</v>
          </cell>
          <cell r="BX3496" t="str">
            <v>AON</v>
          </cell>
        </row>
        <row r="3497">
          <cell r="A3497" t="str">
            <v>OP</v>
          </cell>
          <cell r="B3497" t="str">
            <v>Quá 24h</v>
          </cell>
          <cell r="D3497" t="str">
            <v>Khiếu nại về dịch vụ FTTH</v>
          </cell>
          <cell r="W3497" t="str">
            <v>Đang xử lý</v>
          </cell>
          <cell r="AJ3497" t="str">
            <v xml:space="preserve">Đà Nẵng </v>
          </cell>
          <cell r="BX3497" t="str">
            <v>AON</v>
          </cell>
        </row>
        <row r="3498">
          <cell r="A3498" t="str">
            <v>OP</v>
          </cell>
          <cell r="B3498" t="str">
            <v>Quá 24h</v>
          </cell>
          <cell r="D3498" t="str">
            <v>Khiếu nại về dịch vụ FTTH</v>
          </cell>
          <cell r="W3498" t="str">
            <v>Đang xử lý</v>
          </cell>
          <cell r="AJ3498" t="str">
            <v>Bình Thuận</v>
          </cell>
          <cell r="BX3498" t="str">
            <v>AON</v>
          </cell>
        </row>
        <row r="3499">
          <cell r="A3499" t="str">
            <v>OP</v>
          </cell>
          <cell r="B3499" t="str">
            <v>Quá 24h</v>
          </cell>
          <cell r="D3499" t="str">
            <v>Khiếu nại về dịch vụ NextTV</v>
          </cell>
          <cell r="W3499" t="str">
            <v>Đã đóng</v>
          </cell>
          <cell r="AJ3499" t="str">
            <v>TP HCM</v>
          </cell>
          <cell r="BX3499" t="str">
            <v>AON</v>
          </cell>
        </row>
        <row r="3500">
          <cell r="A3500" t="str">
            <v>OP</v>
          </cell>
          <cell r="B3500" t="str">
            <v>Quá 24h</v>
          </cell>
          <cell r="D3500" t="str">
            <v>Khiếu nại về dịch vụ FTTH</v>
          </cell>
          <cell r="W3500" t="str">
            <v>Đã đóng</v>
          </cell>
          <cell r="AJ3500" t="str">
            <v xml:space="preserve">Đắc Lắk </v>
          </cell>
          <cell r="BX3500" t="str">
            <v>AON</v>
          </cell>
        </row>
        <row r="3501">
          <cell r="A3501" t="str">
            <v>OP</v>
          </cell>
          <cell r="B3501" t="str">
            <v>Quá 24h</v>
          </cell>
          <cell r="D3501" t="str">
            <v>Khiếu nại về dịch vụ FTTH</v>
          </cell>
          <cell r="W3501" t="str">
            <v>Đã đóng</v>
          </cell>
          <cell r="AJ3501" t="str">
            <v>TP HCM</v>
          </cell>
          <cell r="BX3501" t="str">
            <v>AON</v>
          </cell>
        </row>
        <row r="3502">
          <cell r="A3502" t="str">
            <v>OP</v>
          </cell>
          <cell r="B3502" t="str">
            <v>Quá 24h</v>
          </cell>
          <cell r="D3502" t="str">
            <v>Khiếu nại về dịch vụ FTTH</v>
          </cell>
          <cell r="W3502" t="str">
            <v>Đang xử lý</v>
          </cell>
          <cell r="AJ3502" t="str">
            <v>Bình Dương</v>
          </cell>
          <cell r="BX3502" t="str">
            <v>AON</v>
          </cell>
        </row>
        <row r="3503">
          <cell r="A3503" t="str">
            <v>OP</v>
          </cell>
          <cell r="B3503" t="str">
            <v>Quá 24h</v>
          </cell>
          <cell r="D3503" t="str">
            <v>Khiếu nại về dịch vụ FTTH</v>
          </cell>
          <cell r="W3503" t="str">
            <v>Đã đóng</v>
          </cell>
          <cell r="AJ3503" t="str">
            <v>Kiên Giang</v>
          </cell>
          <cell r="BX3503" t="str">
            <v>AON</v>
          </cell>
        </row>
        <row r="3504">
          <cell r="A3504" t="str">
            <v>OP</v>
          </cell>
          <cell r="B3504" t="str">
            <v>Quá 24h</v>
          </cell>
          <cell r="D3504" t="str">
            <v>Khiếu nại về dịch vụ FTTH</v>
          </cell>
          <cell r="W3504" t="str">
            <v>Đã đóng</v>
          </cell>
          <cell r="AJ3504" t="str">
            <v>An Giang</v>
          </cell>
          <cell r="BX3504" t="str">
            <v>AON</v>
          </cell>
        </row>
        <row r="3505">
          <cell r="A3505" t="str">
            <v>OP</v>
          </cell>
          <cell r="B3505" t="str">
            <v>Quá 24h</v>
          </cell>
          <cell r="D3505" t="str">
            <v>Khiếu nại về dịch vụ FTTH</v>
          </cell>
          <cell r="W3505" t="str">
            <v>Đã đóng</v>
          </cell>
          <cell r="AJ3505" t="str">
            <v>Thừa Thiên Huế</v>
          </cell>
          <cell r="BX3505" t="str">
            <v>AON</v>
          </cell>
        </row>
        <row r="3506">
          <cell r="A3506" t="str">
            <v>OP</v>
          </cell>
          <cell r="B3506" t="str">
            <v>Quá 24h</v>
          </cell>
          <cell r="D3506" t="str">
            <v>Khiếu nại về dịch vụ FTTH</v>
          </cell>
          <cell r="W3506" t="str">
            <v>Đang xử lý</v>
          </cell>
          <cell r="AJ3506" t="str">
            <v>Bình Dương</v>
          </cell>
          <cell r="BX3506" t="str">
            <v>AON</v>
          </cell>
        </row>
        <row r="3507">
          <cell r="A3507" t="str">
            <v>OP</v>
          </cell>
          <cell r="B3507" t="str">
            <v>Quá 24h</v>
          </cell>
          <cell r="D3507" t="str">
            <v>Khiếu nại về dịch vụ FTTH</v>
          </cell>
          <cell r="W3507" t="str">
            <v>Đã đóng</v>
          </cell>
          <cell r="AJ3507" t="str">
            <v>TP HCM</v>
          </cell>
          <cell r="BX3507" t="str">
            <v>AON</v>
          </cell>
        </row>
        <row r="3508">
          <cell r="A3508" t="str">
            <v>OP</v>
          </cell>
          <cell r="B3508" t="str">
            <v>Quá 24h</v>
          </cell>
          <cell r="D3508" t="str">
            <v>Khiếu nại về dịch vụ FTTH</v>
          </cell>
          <cell r="W3508" t="str">
            <v>Đang xử lý</v>
          </cell>
          <cell r="AJ3508" t="str">
            <v>Gia Lai</v>
          </cell>
          <cell r="BX3508" t="str">
            <v>AON</v>
          </cell>
        </row>
        <row r="3509">
          <cell r="A3509" t="str">
            <v>OP</v>
          </cell>
          <cell r="B3509" t="str">
            <v>Quá 24h</v>
          </cell>
          <cell r="D3509" t="str">
            <v>Khiếu nại về dịch vụ FTTH</v>
          </cell>
          <cell r="W3509" t="str">
            <v>Đã đóng</v>
          </cell>
          <cell r="AJ3509" t="str">
            <v>TP HCM</v>
          </cell>
          <cell r="BX3509" t="str">
            <v>AON</v>
          </cell>
        </row>
        <row r="3510">
          <cell r="A3510" t="str">
            <v>OP</v>
          </cell>
          <cell r="B3510" t="str">
            <v>Quá 24h</v>
          </cell>
          <cell r="D3510" t="str">
            <v>Khiếu nại về dịch vụ FTTH</v>
          </cell>
          <cell r="W3510" t="str">
            <v>Đã đóng</v>
          </cell>
          <cell r="AJ3510" t="str">
            <v>TP HCM</v>
          </cell>
          <cell r="BX3510" t="str">
            <v>AON</v>
          </cell>
        </row>
        <row r="3511">
          <cell r="A3511" t="str">
            <v>OP</v>
          </cell>
          <cell r="B3511" t="str">
            <v>Quá 24h</v>
          </cell>
          <cell r="D3511" t="str">
            <v>Khiếu nại về dịch vụ FTTH</v>
          </cell>
          <cell r="W3511" t="str">
            <v>Đã đóng</v>
          </cell>
          <cell r="AJ3511" t="str">
            <v>TP HCM</v>
          </cell>
          <cell r="BX3511" t="str">
            <v>AON</v>
          </cell>
        </row>
        <row r="3512">
          <cell r="A3512" t="str">
            <v>OP</v>
          </cell>
          <cell r="B3512" t="str">
            <v>Quá 24h</v>
          </cell>
          <cell r="D3512" t="str">
            <v>Khiếu nại về dịch vụ FTTH</v>
          </cell>
          <cell r="W3512" t="str">
            <v>Đã đóng</v>
          </cell>
          <cell r="AJ3512" t="str">
            <v>Sóc Trăng</v>
          </cell>
          <cell r="BX3512" t="str">
            <v>AON</v>
          </cell>
        </row>
        <row r="3513">
          <cell r="A3513" t="str">
            <v>OP</v>
          </cell>
          <cell r="B3513" t="str">
            <v>Quá 24h</v>
          </cell>
          <cell r="D3513" t="str">
            <v>Khiếu nại về dịch vụ FTTH</v>
          </cell>
          <cell r="W3513" t="str">
            <v>Đã đóng</v>
          </cell>
          <cell r="AJ3513" t="str">
            <v>Bình Dương</v>
          </cell>
          <cell r="BX3513" t="str">
            <v>AON</v>
          </cell>
        </row>
        <row r="3514">
          <cell r="A3514" t="str">
            <v>OP</v>
          </cell>
          <cell r="B3514" t="str">
            <v>Quá 24h</v>
          </cell>
          <cell r="D3514" t="str">
            <v>Khiếu nại về dịch vụ FTTH</v>
          </cell>
          <cell r="W3514" t="str">
            <v>Đã đóng</v>
          </cell>
          <cell r="AJ3514" t="str">
            <v>Bình Thuận</v>
          </cell>
          <cell r="BX3514" t="str">
            <v>AON</v>
          </cell>
        </row>
        <row r="3515">
          <cell r="A3515" t="str">
            <v>OP</v>
          </cell>
          <cell r="B3515" t="str">
            <v>Quá 24h</v>
          </cell>
          <cell r="D3515" t="str">
            <v>Khiếu nại về dịch vụ FTTH</v>
          </cell>
          <cell r="W3515" t="str">
            <v>Đã đóng</v>
          </cell>
          <cell r="AJ3515" t="str">
            <v>Bến Tre</v>
          </cell>
          <cell r="BX3515" t="str">
            <v>AON</v>
          </cell>
        </row>
        <row r="3516">
          <cell r="A3516" t="str">
            <v>OP</v>
          </cell>
          <cell r="B3516" t="str">
            <v>Quá 24h</v>
          </cell>
          <cell r="D3516" t="str">
            <v>Khiếu nại về dịch vụ FTTH</v>
          </cell>
          <cell r="W3516" t="str">
            <v>Đã đóng</v>
          </cell>
          <cell r="AJ3516" t="str">
            <v>TP HCM</v>
          </cell>
          <cell r="BX3516" t="str">
            <v>AON</v>
          </cell>
        </row>
        <row r="3517">
          <cell r="A3517" t="str">
            <v>OP</v>
          </cell>
          <cell r="B3517" t="str">
            <v>Quá 24h</v>
          </cell>
          <cell r="D3517" t="str">
            <v>Khiếu nại về dịch vụ FTTH</v>
          </cell>
          <cell r="W3517" t="str">
            <v>Đang xử lý</v>
          </cell>
          <cell r="AJ3517" t="str">
            <v>Bình Dương</v>
          </cell>
          <cell r="BX3517" t="str">
            <v>AON</v>
          </cell>
        </row>
        <row r="3518">
          <cell r="A3518" t="str">
            <v>OP</v>
          </cell>
          <cell r="B3518" t="str">
            <v>Quá 24h</v>
          </cell>
          <cell r="D3518" t="str">
            <v>Khiếu nại về dịch vụ FTTH</v>
          </cell>
          <cell r="W3518" t="str">
            <v>Đã đóng</v>
          </cell>
          <cell r="AJ3518" t="str">
            <v>TP HCM</v>
          </cell>
          <cell r="BX3518" t="str">
            <v>GPON</v>
          </cell>
        </row>
        <row r="3519">
          <cell r="A3519" t="str">
            <v>OP</v>
          </cell>
          <cell r="B3519" t="str">
            <v>Quá 24h</v>
          </cell>
          <cell r="D3519" t="str">
            <v>Khiếu nại về dịch vụ FTTH</v>
          </cell>
          <cell r="W3519" t="str">
            <v>Đang xử lý</v>
          </cell>
          <cell r="AJ3519" t="str">
            <v>Cần Thơ</v>
          </cell>
          <cell r="BX3519" t="str">
            <v>AON</v>
          </cell>
        </row>
        <row r="3520">
          <cell r="A3520" t="str">
            <v>OP</v>
          </cell>
          <cell r="B3520" t="str">
            <v>Quá 24h</v>
          </cell>
          <cell r="D3520" t="str">
            <v>Khiếu nại về dịch vụ FTTH</v>
          </cell>
          <cell r="W3520" t="str">
            <v>Đã đóng</v>
          </cell>
          <cell r="AJ3520" t="str">
            <v>Lâm Đồng</v>
          </cell>
          <cell r="BX3520" t="str">
            <v>AON</v>
          </cell>
        </row>
        <row r="3521">
          <cell r="A3521" t="str">
            <v>OP</v>
          </cell>
          <cell r="B3521" t="str">
            <v>Quá 24h</v>
          </cell>
          <cell r="D3521" t="str">
            <v>Khiếu nại về dịch vụ FTTH</v>
          </cell>
          <cell r="W3521" t="str">
            <v>Đã đóng</v>
          </cell>
          <cell r="AJ3521" t="str">
            <v>Ninh Thuận</v>
          </cell>
          <cell r="BX3521" t="str">
            <v>AON</v>
          </cell>
        </row>
        <row r="3522">
          <cell r="A3522" t="str">
            <v>OP</v>
          </cell>
          <cell r="B3522" t="str">
            <v>Quá 24h</v>
          </cell>
          <cell r="D3522" t="str">
            <v>Khiếu nại về dịch vụ FTTH</v>
          </cell>
          <cell r="W3522" t="str">
            <v>Đã đóng</v>
          </cell>
          <cell r="AJ3522" t="str">
            <v>Bình Thuận</v>
          </cell>
          <cell r="BX3522" t="str">
            <v>AON</v>
          </cell>
        </row>
        <row r="3523">
          <cell r="A3523" t="str">
            <v>OP</v>
          </cell>
          <cell r="B3523" t="str">
            <v>Quá 24h</v>
          </cell>
          <cell r="D3523" t="str">
            <v>Khiếu nại về dịch vụ FTTH</v>
          </cell>
          <cell r="W3523" t="str">
            <v>Đang xử lý</v>
          </cell>
          <cell r="AJ3523" t="str">
            <v>Bình Định</v>
          </cell>
          <cell r="BX3523" t="str">
            <v>AON</v>
          </cell>
        </row>
        <row r="3524">
          <cell r="A3524" t="str">
            <v>OP</v>
          </cell>
          <cell r="B3524" t="str">
            <v>Quá 24h</v>
          </cell>
          <cell r="D3524" t="str">
            <v>Khiếu nại về dịch vụ FTTH</v>
          </cell>
          <cell r="W3524" t="str">
            <v>Đang xử lý</v>
          </cell>
          <cell r="AJ3524" t="str">
            <v>Bình Định</v>
          </cell>
          <cell r="BX3524" t="str">
            <v>AON</v>
          </cell>
        </row>
        <row r="3525">
          <cell r="A3525" t="str">
            <v>OP</v>
          </cell>
          <cell r="B3525" t="str">
            <v>Quá 24h</v>
          </cell>
          <cell r="D3525" t="str">
            <v>Khiếu nại về dịch vụ FTTH</v>
          </cell>
          <cell r="W3525" t="str">
            <v>Đã đóng</v>
          </cell>
          <cell r="AJ3525" t="str">
            <v>Đắc Nông</v>
          </cell>
          <cell r="BX3525" t="str">
            <v>AON</v>
          </cell>
        </row>
        <row r="3526">
          <cell r="A3526" t="str">
            <v>OP</v>
          </cell>
          <cell r="B3526" t="str">
            <v>Quá 24h</v>
          </cell>
          <cell r="D3526" t="str">
            <v>Khiếu nại về dịch vụ FTTH</v>
          </cell>
          <cell r="W3526" t="str">
            <v>Đã đóng</v>
          </cell>
          <cell r="AJ3526" t="str">
            <v>Lâm Đồng</v>
          </cell>
          <cell r="BX3526" t="str">
            <v>AON</v>
          </cell>
        </row>
        <row r="3527">
          <cell r="A3527" t="str">
            <v>OP</v>
          </cell>
          <cell r="B3527" t="str">
            <v>Quá 24h</v>
          </cell>
          <cell r="D3527" t="str">
            <v>Khiếu nại về dịch vụ FTTH</v>
          </cell>
          <cell r="W3527" t="str">
            <v>Đã đóng</v>
          </cell>
          <cell r="AJ3527" t="str">
            <v>An Giang</v>
          </cell>
          <cell r="BX3527" t="str">
            <v>AON</v>
          </cell>
        </row>
        <row r="3528">
          <cell r="A3528" t="str">
            <v>OP</v>
          </cell>
          <cell r="B3528" t="str">
            <v>Quá 24h</v>
          </cell>
          <cell r="D3528" t="str">
            <v>Khiếu nại về dịch vụ FTTH</v>
          </cell>
          <cell r="W3528" t="str">
            <v>Đã đóng</v>
          </cell>
          <cell r="AJ3528" t="str">
            <v>Gia Lai</v>
          </cell>
          <cell r="BX3528" t="str">
            <v>AON</v>
          </cell>
        </row>
        <row r="3529">
          <cell r="A3529" t="str">
            <v>OP</v>
          </cell>
          <cell r="B3529" t="str">
            <v>Quá 24h</v>
          </cell>
          <cell r="D3529" t="str">
            <v>Khiếu nại về dịch vụ FTTH</v>
          </cell>
          <cell r="W3529" t="str">
            <v>Đã đóng</v>
          </cell>
          <cell r="AJ3529" t="str">
            <v xml:space="preserve">Đà Nẵng </v>
          </cell>
          <cell r="BX3529" t="str">
            <v>AON</v>
          </cell>
        </row>
        <row r="3530">
          <cell r="A3530" t="str">
            <v>OP</v>
          </cell>
          <cell r="B3530" t="str">
            <v>Quá 24h</v>
          </cell>
          <cell r="D3530" t="str">
            <v>Khiếu nại về dịch vụ FTTH</v>
          </cell>
          <cell r="W3530" t="str">
            <v>Đang xử lý</v>
          </cell>
          <cell r="AJ3530" t="str">
            <v>TP HCM</v>
          </cell>
          <cell r="BX3530" t="str">
            <v>AON</v>
          </cell>
        </row>
        <row r="3531">
          <cell r="A3531" t="str">
            <v>OP</v>
          </cell>
          <cell r="B3531" t="str">
            <v>Quá 24h</v>
          </cell>
          <cell r="D3531" t="str">
            <v>Khiếu nại về dịch vụ FTTH</v>
          </cell>
          <cell r="W3531" t="str">
            <v>Đang xử lý</v>
          </cell>
          <cell r="AJ3531" t="str">
            <v>Bình Thuận</v>
          </cell>
          <cell r="BX3531" t="str">
            <v>AON</v>
          </cell>
        </row>
        <row r="3532">
          <cell r="A3532" t="str">
            <v>OP</v>
          </cell>
          <cell r="B3532" t="str">
            <v>Quá 24h</v>
          </cell>
          <cell r="D3532" t="str">
            <v>Khiếu nại về dịch vụ NextTV</v>
          </cell>
          <cell r="W3532" t="str">
            <v>Đang xử lý</v>
          </cell>
          <cell r="AJ3532" t="str">
            <v>Bình Thuận</v>
          </cell>
          <cell r="BX3532" t="str">
            <v>AON</v>
          </cell>
        </row>
        <row r="3533">
          <cell r="A3533" t="str">
            <v>OP</v>
          </cell>
          <cell r="B3533" t="str">
            <v>Quá 24h</v>
          </cell>
          <cell r="D3533" t="str">
            <v>Khiếu nại về dịch vụ FTTH</v>
          </cell>
          <cell r="W3533" t="str">
            <v>Đang xử lý</v>
          </cell>
          <cell r="AJ3533" t="str">
            <v>Thừa Thiên Huế</v>
          </cell>
          <cell r="BX3533" t="str">
            <v>AON</v>
          </cell>
        </row>
        <row r="3534">
          <cell r="A3534" t="str">
            <v>OP</v>
          </cell>
          <cell r="B3534" t="str">
            <v>Quá 24h</v>
          </cell>
          <cell r="D3534" t="str">
            <v>Khiếu nại về dịch vụ FTTH</v>
          </cell>
          <cell r="W3534" t="str">
            <v>Đang xử lý</v>
          </cell>
          <cell r="AJ3534" t="str">
            <v>Bình Thuận</v>
          </cell>
          <cell r="BX3534" t="str">
            <v>AON</v>
          </cell>
        </row>
        <row r="3535">
          <cell r="A3535" t="str">
            <v>OP</v>
          </cell>
          <cell r="B3535" t="str">
            <v>Quá 24h</v>
          </cell>
          <cell r="D3535" t="str">
            <v>Khiếu nại về dịch vụ FTTH</v>
          </cell>
          <cell r="W3535" t="str">
            <v>Đã đóng</v>
          </cell>
          <cell r="AJ3535" t="str">
            <v>Thừa Thiên Huế</v>
          </cell>
          <cell r="BX3535" t="str">
            <v>AON</v>
          </cell>
        </row>
        <row r="3536">
          <cell r="A3536" t="str">
            <v>OP</v>
          </cell>
          <cell r="B3536" t="str">
            <v>Quá 24h</v>
          </cell>
          <cell r="D3536" t="str">
            <v>Khiếu nại về dịch vụ FTTH</v>
          </cell>
          <cell r="W3536" t="str">
            <v>Đang xử lý</v>
          </cell>
          <cell r="AJ3536" t="str">
            <v>Thừa Thiên Huế</v>
          </cell>
          <cell r="BX3536" t="str">
            <v>AON</v>
          </cell>
        </row>
        <row r="3537">
          <cell r="A3537" t="str">
            <v>OP</v>
          </cell>
          <cell r="B3537" t="str">
            <v>Quá 24h</v>
          </cell>
          <cell r="D3537" t="str">
            <v>Khiếu nại về dịch vụ FTTH</v>
          </cell>
          <cell r="W3537" t="str">
            <v>Đang xử lý</v>
          </cell>
          <cell r="AJ3537" t="str">
            <v>Bình Định</v>
          </cell>
          <cell r="BX3537" t="str">
            <v>AON</v>
          </cell>
        </row>
        <row r="3538">
          <cell r="A3538" t="str">
            <v>OP</v>
          </cell>
          <cell r="B3538" t="str">
            <v>Quá 24h</v>
          </cell>
          <cell r="D3538" t="str">
            <v>Khiếu nại về dịch vụ FTTH</v>
          </cell>
          <cell r="W3538" t="str">
            <v>Đã đóng</v>
          </cell>
          <cell r="AJ3538" t="str">
            <v>Hậu Giang</v>
          </cell>
          <cell r="BX3538" t="str">
            <v>AON</v>
          </cell>
        </row>
        <row r="3539">
          <cell r="A3539" t="str">
            <v>OP</v>
          </cell>
          <cell r="B3539" t="str">
            <v>Quá 24h</v>
          </cell>
          <cell r="D3539" t="str">
            <v>Khiếu nại về dịch vụ FTTH</v>
          </cell>
          <cell r="W3539" t="str">
            <v>Đang xử lý</v>
          </cell>
          <cell r="AJ3539" t="str">
            <v>Bình Thuận</v>
          </cell>
          <cell r="BX3539" t="str">
            <v>AON</v>
          </cell>
        </row>
        <row r="3540">
          <cell r="A3540" t="str">
            <v>OP</v>
          </cell>
          <cell r="B3540" t="str">
            <v>Quá 24h</v>
          </cell>
          <cell r="D3540" t="str">
            <v>Khiếu nại về dịch vụ FTTH</v>
          </cell>
          <cell r="W3540" t="str">
            <v>Đã đóng</v>
          </cell>
          <cell r="AJ3540" t="str">
            <v>Bình Dương</v>
          </cell>
          <cell r="BX3540" t="str">
            <v>AON</v>
          </cell>
        </row>
        <row r="3541">
          <cell r="A3541" t="str">
            <v>OP</v>
          </cell>
          <cell r="B3541" t="str">
            <v>Quá 24h</v>
          </cell>
          <cell r="D3541" t="str">
            <v>Khiếu nại về dịch vụ FTTH</v>
          </cell>
          <cell r="W3541" t="str">
            <v>Đã đóng</v>
          </cell>
          <cell r="AJ3541" t="str">
            <v xml:space="preserve">Đà Nẵng </v>
          </cell>
          <cell r="BX3541" t="str">
            <v>AON</v>
          </cell>
        </row>
        <row r="3542">
          <cell r="A3542" t="str">
            <v>OP</v>
          </cell>
          <cell r="B3542" t="str">
            <v>Quá 24h</v>
          </cell>
          <cell r="D3542" t="str">
            <v>Khiếu nại về dịch vụ FTTH</v>
          </cell>
          <cell r="W3542" t="str">
            <v>Đang xử lý</v>
          </cell>
          <cell r="AJ3542" t="str">
            <v>Bình Thuận</v>
          </cell>
          <cell r="BX3542" t="str">
            <v>AON</v>
          </cell>
        </row>
        <row r="3543">
          <cell r="A3543" t="str">
            <v>OP</v>
          </cell>
          <cell r="B3543" t="str">
            <v>Quá 24h</v>
          </cell>
          <cell r="D3543" t="str">
            <v>Khiếu nại về dịch vụ FTTH</v>
          </cell>
          <cell r="W3543" t="str">
            <v>Đã đóng</v>
          </cell>
          <cell r="AJ3543" t="str">
            <v>Thừa Thiên Huế</v>
          </cell>
          <cell r="BX3543" t="str">
            <v>AON</v>
          </cell>
        </row>
        <row r="3544">
          <cell r="A3544" t="str">
            <v>OP</v>
          </cell>
          <cell r="B3544" t="str">
            <v>Quá 24h</v>
          </cell>
          <cell r="D3544" t="str">
            <v>Khiếu nại về dịch vụ FTTH</v>
          </cell>
          <cell r="W3544" t="str">
            <v>Đang xử lý</v>
          </cell>
          <cell r="AJ3544" t="str">
            <v xml:space="preserve">Đà Nẵng </v>
          </cell>
          <cell r="BX3544" t="str">
            <v>AON</v>
          </cell>
        </row>
        <row r="3545">
          <cell r="A3545" t="str">
            <v>OP</v>
          </cell>
          <cell r="B3545" t="str">
            <v>Quá 24h</v>
          </cell>
          <cell r="D3545" t="str">
            <v>Khiếu nại về dịch vụ FTTH</v>
          </cell>
          <cell r="W3545" t="str">
            <v>Đã đóng</v>
          </cell>
          <cell r="AJ3545" t="str">
            <v>TP HCM</v>
          </cell>
          <cell r="BX3545" t="str">
            <v>AON</v>
          </cell>
        </row>
        <row r="3546">
          <cell r="A3546" t="str">
            <v>OP</v>
          </cell>
          <cell r="B3546" t="str">
            <v>Quá 24h</v>
          </cell>
          <cell r="D3546" t="str">
            <v>Khiếu nại về dịch vụ FTTH</v>
          </cell>
          <cell r="W3546" t="str">
            <v>Đã đóng</v>
          </cell>
          <cell r="AJ3546" t="str">
            <v>TP HCM</v>
          </cell>
          <cell r="BX3546" t="str">
            <v>AON</v>
          </cell>
        </row>
        <row r="3547">
          <cell r="A3547" t="str">
            <v>OP</v>
          </cell>
          <cell r="B3547" t="str">
            <v>Quá 24h</v>
          </cell>
          <cell r="D3547" t="str">
            <v>Khiếu nại về dịch vụ FTTH</v>
          </cell>
          <cell r="W3547" t="str">
            <v>Đã đóng</v>
          </cell>
          <cell r="AJ3547" t="str">
            <v>Thừa Thiên Huế</v>
          </cell>
          <cell r="BX3547" t="str">
            <v>AON</v>
          </cell>
        </row>
        <row r="3548">
          <cell r="A3548" t="str">
            <v>OP</v>
          </cell>
          <cell r="B3548" t="str">
            <v>Quá 24h</v>
          </cell>
          <cell r="D3548" t="str">
            <v>Khiếu nại về dịch vụ FTTH</v>
          </cell>
          <cell r="W3548" t="str">
            <v>Đã đóng</v>
          </cell>
          <cell r="AJ3548" t="str">
            <v>Bà Rịa - Vũng Tàu</v>
          </cell>
          <cell r="BX3548" t="str">
            <v>AON</v>
          </cell>
        </row>
        <row r="3549">
          <cell r="A3549" t="str">
            <v>OP</v>
          </cell>
          <cell r="B3549" t="str">
            <v>Quá 24h</v>
          </cell>
          <cell r="D3549" t="str">
            <v>Khiếu nại về dịch vụ FTTH</v>
          </cell>
          <cell r="W3549" t="str">
            <v>Đã đóng</v>
          </cell>
          <cell r="AJ3549" t="str">
            <v>Long An</v>
          </cell>
          <cell r="BX3549" t="str">
            <v>AON</v>
          </cell>
        </row>
        <row r="3550">
          <cell r="A3550" t="str">
            <v>OP</v>
          </cell>
          <cell r="B3550" t="str">
            <v>Quá 24h</v>
          </cell>
          <cell r="D3550" t="str">
            <v>Khiếu nại về dịch vụ FTTH</v>
          </cell>
          <cell r="W3550" t="str">
            <v>Đang xử lý</v>
          </cell>
          <cell r="AJ3550" t="str">
            <v>Bình Thuận</v>
          </cell>
          <cell r="BX3550" t="str">
            <v>AON</v>
          </cell>
        </row>
        <row r="3551">
          <cell r="A3551" t="str">
            <v>OP</v>
          </cell>
          <cell r="B3551" t="str">
            <v>Quá 24h</v>
          </cell>
          <cell r="D3551" t="str">
            <v>Khiếu nại về dịch vụ FTTH</v>
          </cell>
          <cell r="W3551" t="str">
            <v>Đang xử lý</v>
          </cell>
          <cell r="AJ3551" t="str">
            <v>Long An</v>
          </cell>
          <cell r="BX3551" t="str">
            <v>AON</v>
          </cell>
        </row>
        <row r="3552">
          <cell r="A3552" t="str">
            <v>OP</v>
          </cell>
          <cell r="B3552" t="str">
            <v>Quá 24h</v>
          </cell>
          <cell r="D3552" t="str">
            <v>Khiếu nại về dịch vụ FTTH</v>
          </cell>
          <cell r="W3552" t="str">
            <v>Đã đóng</v>
          </cell>
          <cell r="AJ3552" t="str">
            <v>An Giang</v>
          </cell>
          <cell r="BX3552" t="str">
            <v>AON</v>
          </cell>
        </row>
        <row r="3553">
          <cell r="A3553" t="str">
            <v>OP</v>
          </cell>
          <cell r="B3553" t="str">
            <v>Quá 24h</v>
          </cell>
          <cell r="D3553" t="str">
            <v>Khiếu nại về dịch vụ FTTH</v>
          </cell>
          <cell r="W3553" t="str">
            <v>Đã đóng</v>
          </cell>
          <cell r="AJ3553" t="str">
            <v>Thừa Thiên Huế</v>
          </cell>
          <cell r="BX3553" t="str">
            <v>AON</v>
          </cell>
        </row>
        <row r="3554">
          <cell r="A3554" t="str">
            <v>OP</v>
          </cell>
          <cell r="B3554" t="str">
            <v>Quá 24h</v>
          </cell>
          <cell r="D3554" t="str">
            <v>Khiếu nại về dịch vụ FTTH</v>
          </cell>
          <cell r="W3554" t="str">
            <v>Đang xử lý</v>
          </cell>
          <cell r="AJ3554" t="str">
            <v>Cần Thơ</v>
          </cell>
          <cell r="BX3554" t="str">
            <v>AON</v>
          </cell>
        </row>
        <row r="3555">
          <cell r="A3555" t="str">
            <v>OP</v>
          </cell>
          <cell r="B3555" t="str">
            <v>Quá 24h</v>
          </cell>
          <cell r="D3555" t="str">
            <v>Khiếu nại về dịch vụ FTTH</v>
          </cell>
          <cell r="W3555" t="str">
            <v>Đã đóng</v>
          </cell>
          <cell r="AJ3555" t="str">
            <v xml:space="preserve">Đắc Lắk </v>
          </cell>
          <cell r="BX3555" t="str">
            <v>AON</v>
          </cell>
        </row>
        <row r="3556">
          <cell r="A3556" t="str">
            <v>OP</v>
          </cell>
          <cell r="B3556" t="str">
            <v>Quá 24h</v>
          </cell>
          <cell r="D3556" t="str">
            <v>Khiếu nại về dịch vụ FTTH</v>
          </cell>
          <cell r="W3556" t="str">
            <v>Đã đóng</v>
          </cell>
          <cell r="AJ3556" t="str">
            <v>Lâm Đồng</v>
          </cell>
          <cell r="BX3556" t="str">
            <v>AON</v>
          </cell>
        </row>
        <row r="3557">
          <cell r="A3557" t="str">
            <v>OP</v>
          </cell>
          <cell r="B3557" t="str">
            <v>Quá 24h</v>
          </cell>
          <cell r="D3557" t="str">
            <v>Khiếu nại về dịch vụ FTTH</v>
          </cell>
          <cell r="W3557" t="str">
            <v>Đang xử lý</v>
          </cell>
          <cell r="AJ3557" t="str">
            <v xml:space="preserve">Đà Nẵng </v>
          </cell>
          <cell r="BX3557" t="str">
            <v>AON</v>
          </cell>
        </row>
        <row r="3558">
          <cell r="A3558" t="str">
            <v>OP</v>
          </cell>
          <cell r="B3558" t="str">
            <v>Quá 24h</v>
          </cell>
          <cell r="D3558" t="str">
            <v>Khiếu nại về dịch vụ FTTH</v>
          </cell>
          <cell r="W3558" t="str">
            <v>Đã đóng</v>
          </cell>
          <cell r="AJ3558" t="str">
            <v>Bình Dương</v>
          </cell>
          <cell r="BX3558" t="str">
            <v>AON</v>
          </cell>
        </row>
        <row r="3559">
          <cell r="A3559" t="str">
            <v>OP</v>
          </cell>
          <cell r="B3559" t="str">
            <v>Quá 24h</v>
          </cell>
          <cell r="D3559" t="str">
            <v>Khiếu nại về dịch vụ FTTH</v>
          </cell>
          <cell r="W3559" t="str">
            <v>Đang xử lý</v>
          </cell>
          <cell r="AJ3559" t="str">
            <v xml:space="preserve">Đà Nẵng </v>
          </cell>
          <cell r="BX3559" t="str">
            <v>AON</v>
          </cell>
        </row>
        <row r="3560">
          <cell r="A3560" t="str">
            <v>OP</v>
          </cell>
          <cell r="B3560" t="str">
            <v>Quá 24h</v>
          </cell>
          <cell r="D3560" t="str">
            <v>Khiếu nại về dịch vụ FTTH</v>
          </cell>
          <cell r="W3560" t="str">
            <v>Đang xử lý</v>
          </cell>
          <cell r="AJ3560" t="str">
            <v>Thừa Thiên Huế</v>
          </cell>
          <cell r="BX3560" t="str">
            <v>AON</v>
          </cell>
        </row>
        <row r="3561">
          <cell r="A3561" t="str">
            <v>OP</v>
          </cell>
          <cell r="B3561" t="str">
            <v>Quá 24h</v>
          </cell>
          <cell r="D3561" t="str">
            <v>Khiếu nại về dịch vụ FTTH</v>
          </cell>
          <cell r="W3561" t="str">
            <v>Đã đóng</v>
          </cell>
          <cell r="AJ3561" t="str">
            <v>Kiên Giang</v>
          </cell>
          <cell r="BX3561" t="str">
            <v>AON</v>
          </cell>
        </row>
        <row r="3562">
          <cell r="A3562" t="str">
            <v>OP</v>
          </cell>
          <cell r="B3562" t="str">
            <v>Quá 24h</v>
          </cell>
          <cell r="D3562" t="str">
            <v>Khiếu nại về dịch vụ FTTH</v>
          </cell>
          <cell r="W3562" t="str">
            <v>Đã đóng</v>
          </cell>
          <cell r="AJ3562" t="str">
            <v>Tây Ninh</v>
          </cell>
          <cell r="BX3562" t="str">
            <v>AON</v>
          </cell>
        </row>
        <row r="3563">
          <cell r="A3563" t="str">
            <v>OP</v>
          </cell>
          <cell r="B3563" t="str">
            <v>Quá 24h</v>
          </cell>
          <cell r="D3563" t="str">
            <v>Khiếu nại về dịch vụ FTTH</v>
          </cell>
          <cell r="W3563" t="str">
            <v>Đã đóng</v>
          </cell>
          <cell r="AJ3563" t="str">
            <v xml:space="preserve">Đà Nẵng </v>
          </cell>
          <cell r="BX3563" t="str">
            <v>AON</v>
          </cell>
        </row>
        <row r="3564">
          <cell r="A3564" t="str">
            <v>OP</v>
          </cell>
          <cell r="B3564" t="str">
            <v>Quá 24h</v>
          </cell>
          <cell r="D3564" t="str">
            <v>Khiếu nại về dịch vụ FTTH</v>
          </cell>
          <cell r="W3564" t="str">
            <v>Đã đóng</v>
          </cell>
          <cell r="AJ3564" t="str">
            <v>TP HCM</v>
          </cell>
          <cell r="BX3564" t="str">
            <v>AON</v>
          </cell>
        </row>
        <row r="3565">
          <cell r="A3565" t="str">
            <v>OP</v>
          </cell>
          <cell r="B3565" t="str">
            <v>Quá 24h</v>
          </cell>
          <cell r="D3565" t="str">
            <v>Khiếu nại về dịch vụ FTTH</v>
          </cell>
          <cell r="W3565" t="str">
            <v>Đã đóng</v>
          </cell>
          <cell r="AJ3565" t="str">
            <v>TP HCM</v>
          </cell>
          <cell r="BX3565" t="str">
            <v>AON</v>
          </cell>
        </row>
        <row r="3566">
          <cell r="A3566" t="str">
            <v>OP</v>
          </cell>
          <cell r="B3566" t="str">
            <v>Quá 24h</v>
          </cell>
          <cell r="D3566" t="str">
            <v>Khiếu nại về dịch vụ FTTH</v>
          </cell>
          <cell r="W3566" t="str">
            <v>Đã đóng</v>
          </cell>
          <cell r="AJ3566" t="str">
            <v xml:space="preserve">Quảng Nam </v>
          </cell>
          <cell r="BX3566" t="str">
            <v>AON</v>
          </cell>
        </row>
        <row r="3567">
          <cell r="A3567" t="str">
            <v>OP</v>
          </cell>
          <cell r="B3567" t="str">
            <v>Quá 24h</v>
          </cell>
          <cell r="D3567" t="str">
            <v>Khiếu nại về dịch vụ FTTH</v>
          </cell>
          <cell r="W3567" t="str">
            <v>Đang xử lý</v>
          </cell>
          <cell r="AJ3567" t="str">
            <v>Vĩnh Long</v>
          </cell>
          <cell r="BX3567" t="str">
            <v>AON</v>
          </cell>
        </row>
        <row r="3568">
          <cell r="A3568" t="str">
            <v>OP</v>
          </cell>
          <cell r="B3568" t="str">
            <v>Quá 24h</v>
          </cell>
          <cell r="D3568" t="str">
            <v>Khiếu nại về dịch vụ FTTH</v>
          </cell>
          <cell r="W3568" t="str">
            <v>Đang xử lý</v>
          </cell>
          <cell r="AJ3568" t="str">
            <v>Bình Dương</v>
          </cell>
          <cell r="BX3568" t="str">
            <v>AON</v>
          </cell>
        </row>
        <row r="3569">
          <cell r="A3569" t="str">
            <v>OP</v>
          </cell>
          <cell r="B3569" t="str">
            <v>Quá 24h</v>
          </cell>
          <cell r="D3569" t="str">
            <v>Khiếu nại về dịch vụ FTTH</v>
          </cell>
          <cell r="W3569" t="str">
            <v>Đã đóng</v>
          </cell>
          <cell r="AJ3569" t="str">
            <v>TP HCM</v>
          </cell>
          <cell r="BX3569" t="str">
            <v>AON</v>
          </cell>
        </row>
        <row r="3570">
          <cell r="A3570" t="str">
            <v>OP</v>
          </cell>
          <cell r="B3570" t="str">
            <v>Quá 24h</v>
          </cell>
          <cell r="D3570" t="str">
            <v>Khiếu nại về dịch vụ FTTH</v>
          </cell>
          <cell r="W3570" t="str">
            <v>Đã đóng</v>
          </cell>
          <cell r="AJ3570" t="str">
            <v>TP HCM</v>
          </cell>
          <cell r="BX3570" t="str">
            <v>AON</v>
          </cell>
        </row>
        <row r="3571">
          <cell r="A3571" t="str">
            <v>OP</v>
          </cell>
          <cell r="B3571" t="str">
            <v>Quá 24h</v>
          </cell>
          <cell r="D3571" t="str">
            <v>Khiếu nại về dịch vụ FTTH</v>
          </cell>
          <cell r="W3571" t="str">
            <v>Đang xử lý</v>
          </cell>
          <cell r="AJ3571" t="str">
            <v xml:space="preserve">Đắc Lắk </v>
          </cell>
          <cell r="BX3571" t="str">
            <v>AON</v>
          </cell>
        </row>
        <row r="3572">
          <cell r="A3572" t="str">
            <v>OP</v>
          </cell>
          <cell r="B3572" t="str">
            <v>Quá 24h</v>
          </cell>
          <cell r="D3572" t="str">
            <v>Khiếu nại về dịch vụ FTTH</v>
          </cell>
          <cell r="W3572" t="str">
            <v>Đã đóng</v>
          </cell>
          <cell r="AJ3572" t="str">
            <v>TP HCM</v>
          </cell>
          <cell r="BX3572" t="str">
            <v>AON</v>
          </cell>
        </row>
        <row r="3573">
          <cell r="A3573" t="str">
            <v>OP</v>
          </cell>
          <cell r="B3573" t="str">
            <v>Quá 24h</v>
          </cell>
          <cell r="D3573" t="str">
            <v>Khiếu nại về dịch vụ FTTH</v>
          </cell>
          <cell r="W3573" t="str">
            <v>Đã đóng</v>
          </cell>
          <cell r="AJ3573" t="str">
            <v>Bình Dương</v>
          </cell>
          <cell r="BX3573" t="str">
            <v>AON</v>
          </cell>
        </row>
        <row r="3574">
          <cell r="A3574" t="str">
            <v>OP</v>
          </cell>
          <cell r="B3574" t="str">
            <v>Quá 24h</v>
          </cell>
          <cell r="D3574" t="str">
            <v>Khiếu nại về dịch vụ FTTH</v>
          </cell>
          <cell r="W3574" t="str">
            <v>Đã đóng</v>
          </cell>
          <cell r="AJ3574" t="str">
            <v xml:space="preserve">Đà Nẵng </v>
          </cell>
          <cell r="BX3574" t="str">
            <v>AON</v>
          </cell>
        </row>
        <row r="3575">
          <cell r="A3575" t="str">
            <v>OP</v>
          </cell>
          <cell r="B3575" t="str">
            <v>Quá 24h</v>
          </cell>
          <cell r="D3575" t="str">
            <v>Khiếu nại về dịch vụ NextTV</v>
          </cell>
          <cell r="W3575" t="str">
            <v>Đã đóng</v>
          </cell>
          <cell r="AJ3575" t="str">
            <v>TP HCM</v>
          </cell>
          <cell r="BX3575" t="str">
            <v>AON</v>
          </cell>
        </row>
        <row r="3576">
          <cell r="A3576" t="str">
            <v>OP</v>
          </cell>
          <cell r="B3576" t="str">
            <v>Quá 24h</v>
          </cell>
          <cell r="D3576" t="str">
            <v>Khiếu nại về dịch vụ FTTH</v>
          </cell>
          <cell r="W3576" t="str">
            <v>Đã đóng</v>
          </cell>
          <cell r="AJ3576" t="str">
            <v>TP HCM</v>
          </cell>
          <cell r="BX3576" t="str">
            <v>AON</v>
          </cell>
        </row>
        <row r="3577">
          <cell r="A3577" t="str">
            <v>OP</v>
          </cell>
          <cell r="B3577" t="str">
            <v>Quá 24h</v>
          </cell>
          <cell r="D3577" t="str">
            <v>Khiếu nại về dịch vụ FTTH</v>
          </cell>
          <cell r="W3577" t="str">
            <v>Đã đóng</v>
          </cell>
          <cell r="AJ3577" t="str">
            <v xml:space="preserve">Đà Nẵng </v>
          </cell>
          <cell r="BX3577" t="str">
            <v>AON</v>
          </cell>
        </row>
        <row r="3578">
          <cell r="A3578" t="str">
            <v>OP</v>
          </cell>
          <cell r="B3578" t="str">
            <v>Quá 24h</v>
          </cell>
          <cell r="D3578" t="str">
            <v>Khiếu nại về dịch vụ FTTH</v>
          </cell>
          <cell r="W3578" t="str">
            <v>Đang xử lý</v>
          </cell>
          <cell r="AJ3578" t="str">
            <v>Kon Tum</v>
          </cell>
          <cell r="BX3578" t="str">
            <v>AON</v>
          </cell>
        </row>
        <row r="3579">
          <cell r="A3579" t="str">
            <v>OP</v>
          </cell>
          <cell r="B3579" t="str">
            <v>Quá 24h</v>
          </cell>
          <cell r="D3579" t="str">
            <v>Khiếu nại về dịch vụ FTTH</v>
          </cell>
          <cell r="W3579" t="str">
            <v>Đã đóng</v>
          </cell>
          <cell r="AJ3579" t="str">
            <v>Thừa Thiên Huế</v>
          </cell>
          <cell r="BX3579" t="str">
            <v>AON</v>
          </cell>
        </row>
        <row r="3580">
          <cell r="A3580" t="str">
            <v>OP</v>
          </cell>
          <cell r="B3580" t="str">
            <v>Quá 24h</v>
          </cell>
          <cell r="D3580" t="str">
            <v>Khiếu nại về dịch vụ FTTH</v>
          </cell>
          <cell r="W3580" t="str">
            <v>Đang xử lý</v>
          </cell>
          <cell r="AJ3580" t="str">
            <v>Bình Thuận</v>
          </cell>
          <cell r="BX3580" t="str">
            <v>AON</v>
          </cell>
        </row>
        <row r="3581">
          <cell r="A3581" t="str">
            <v>OP</v>
          </cell>
          <cell r="B3581" t="str">
            <v>Quá 24h</v>
          </cell>
          <cell r="D3581" t="str">
            <v>Khiếu nại về dịch vụ FTTH</v>
          </cell>
          <cell r="W3581" t="str">
            <v>Đã đóng</v>
          </cell>
          <cell r="AJ3581" t="str">
            <v>TP HCM</v>
          </cell>
          <cell r="BX3581" t="str">
            <v>AON</v>
          </cell>
        </row>
        <row r="3582">
          <cell r="A3582" t="str">
            <v>OP</v>
          </cell>
          <cell r="B3582" t="str">
            <v>Quá 24h</v>
          </cell>
          <cell r="D3582" t="str">
            <v>Khiếu nại về dịch vụ FTTH</v>
          </cell>
          <cell r="W3582" t="str">
            <v>Đã đóng</v>
          </cell>
          <cell r="AJ3582" t="str">
            <v>Lâm Đồng</v>
          </cell>
          <cell r="BX3582" t="str">
            <v>AON</v>
          </cell>
        </row>
        <row r="3583">
          <cell r="A3583" t="str">
            <v>OP</v>
          </cell>
          <cell r="B3583" t="str">
            <v>Quá 24h</v>
          </cell>
          <cell r="D3583" t="str">
            <v>Khiếu nại về dịch vụ FTTH</v>
          </cell>
          <cell r="W3583" t="str">
            <v>Đang xử lý</v>
          </cell>
          <cell r="AJ3583" t="str">
            <v>Lâm Đồng</v>
          </cell>
          <cell r="BX3583" t="str">
            <v>AON</v>
          </cell>
        </row>
        <row r="3584">
          <cell r="A3584" t="str">
            <v>OP</v>
          </cell>
          <cell r="B3584" t="str">
            <v>Quá 24h</v>
          </cell>
          <cell r="D3584" t="str">
            <v>Khiếu nại về dịch vụ FTTH</v>
          </cell>
          <cell r="W3584" t="str">
            <v>Đã đóng</v>
          </cell>
          <cell r="AJ3584" t="str">
            <v>Hải Phòng</v>
          </cell>
          <cell r="BX3584" t="str">
            <v>AON</v>
          </cell>
        </row>
        <row r="3585">
          <cell r="A3585" t="str">
            <v>OP</v>
          </cell>
          <cell r="B3585" t="str">
            <v>Quá 24h</v>
          </cell>
          <cell r="D3585" t="str">
            <v>Khiếu nại về dịch vụ FTTH</v>
          </cell>
          <cell r="W3585" t="str">
            <v>Đã đóng</v>
          </cell>
          <cell r="AJ3585" t="str">
            <v>Hà Nội 1</v>
          </cell>
          <cell r="BX3585" t="str">
            <v>AON</v>
          </cell>
        </row>
        <row r="3586">
          <cell r="A3586" t="str">
            <v>OP</v>
          </cell>
          <cell r="B3586" t="str">
            <v>Quá 24h</v>
          </cell>
          <cell r="D3586" t="str">
            <v>Khiếu nại về dịch vụ FTTH</v>
          </cell>
          <cell r="W3586" t="str">
            <v>Đã đóng</v>
          </cell>
          <cell r="AJ3586" t="str">
            <v>Đắc Nông</v>
          </cell>
          <cell r="BX3586" t="str">
            <v>AON</v>
          </cell>
        </row>
        <row r="3587">
          <cell r="A3587" t="str">
            <v>OP</v>
          </cell>
          <cell r="B3587" t="str">
            <v>Quá 24h</v>
          </cell>
          <cell r="D3587" t="str">
            <v>Khiếu nại về dịch vụ FTTH</v>
          </cell>
          <cell r="W3587" t="str">
            <v>Đã đóng</v>
          </cell>
          <cell r="AJ3587" t="str">
            <v>TP HCM</v>
          </cell>
          <cell r="BX3587" t="str">
            <v>AON</v>
          </cell>
        </row>
        <row r="3588">
          <cell r="A3588" t="str">
            <v>OP</v>
          </cell>
          <cell r="B3588" t="str">
            <v>Quá 24h</v>
          </cell>
          <cell r="D3588" t="str">
            <v>Khiếu nại về dịch vụ FTTH</v>
          </cell>
          <cell r="W3588" t="str">
            <v>Đang xử lý</v>
          </cell>
          <cell r="AJ3588" t="str">
            <v>Bình Thuận</v>
          </cell>
          <cell r="BX3588" t="str">
            <v>AON</v>
          </cell>
        </row>
        <row r="3589">
          <cell r="A3589" t="str">
            <v>OP</v>
          </cell>
          <cell r="B3589" t="str">
            <v>Quá 24h</v>
          </cell>
          <cell r="D3589" t="str">
            <v>Khiếu nại về dịch vụ FTTH</v>
          </cell>
          <cell r="W3589" t="str">
            <v>Đã đóng</v>
          </cell>
          <cell r="AJ3589" t="str">
            <v>TP HCM</v>
          </cell>
          <cell r="BX3589" t="str">
            <v>AON</v>
          </cell>
        </row>
        <row r="3590">
          <cell r="A3590" t="str">
            <v>OP</v>
          </cell>
          <cell r="B3590" t="str">
            <v>Quá 24h</v>
          </cell>
          <cell r="D3590" t="str">
            <v>Khiếu nại về dịch vụ FTTH</v>
          </cell>
          <cell r="W3590" t="str">
            <v>Đã đóng</v>
          </cell>
          <cell r="AJ3590" t="str">
            <v>TP HCM</v>
          </cell>
          <cell r="BX3590" t="str">
            <v>AON</v>
          </cell>
        </row>
        <row r="3591">
          <cell r="A3591" t="str">
            <v>OP</v>
          </cell>
          <cell r="B3591" t="str">
            <v>Quá 24h</v>
          </cell>
          <cell r="D3591" t="str">
            <v>Khiếu nại về dịch vụ FTTH</v>
          </cell>
          <cell r="W3591" t="str">
            <v>Đã đóng</v>
          </cell>
          <cell r="AJ3591" t="str">
            <v>An Giang</v>
          </cell>
          <cell r="BX3591" t="str">
            <v>AON</v>
          </cell>
        </row>
        <row r="3592">
          <cell r="A3592" t="str">
            <v>OP</v>
          </cell>
          <cell r="B3592" t="str">
            <v>Quá 24h</v>
          </cell>
          <cell r="D3592" t="str">
            <v>Khiếu nại về dịch vụ FTTH</v>
          </cell>
          <cell r="W3592" t="str">
            <v>Đã đóng</v>
          </cell>
          <cell r="AJ3592" t="str">
            <v>Đắc Nông</v>
          </cell>
          <cell r="BX3592" t="str">
            <v>AON</v>
          </cell>
        </row>
        <row r="3593">
          <cell r="A3593" t="str">
            <v>OP</v>
          </cell>
          <cell r="B3593" t="str">
            <v>Quá 24h</v>
          </cell>
          <cell r="D3593" t="str">
            <v>Khiếu nại về dịch vụ FTTH</v>
          </cell>
          <cell r="W3593" t="str">
            <v>Đang xử lý</v>
          </cell>
          <cell r="AJ3593" t="str">
            <v>TP HCM</v>
          </cell>
          <cell r="BX3593" t="str">
            <v>AON</v>
          </cell>
        </row>
        <row r="3594">
          <cell r="A3594" t="str">
            <v>OP</v>
          </cell>
          <cell r="B3594" t="str">
            <v>Quá 24h</v>
          </cell>
          <cell r="D3594" t="str">
            <v>Khiếu nại về dịch vụ FTTH</v>
          </cell>
          <cell r="W3594" t="str">
            <v>Đã đóng</v>
          </cell>
          <cell r="AJ3594" t="str">
            <v>An Giang</v>
          </cell>
          <cell r="BX3594" t="str">
            <v>AON</v>
          </cell>
        </row>
        <row r="3595">
          <cell r="A3595" t="str">
            <v>OP</v>
          </cell>
          <cell r="B3595" t="str">
            <v>Quá 24h</v>
          </cell>
          <cell r="D3595" t="str">
            <v>Khiếu nại về dịch vụ FTTH</v>
          </cell>
          <cell r="W3595" t="str">
            <v>Đã đóng</v>
          </cell>
          <cell r="AJ3595" t="str">
            <v>An Giang</v>
          </cell>
          <cell r="BX3595" t="str">
            <v>AON</v>
          </cell>
        </row>
        <row r="3596">
          <cell r="A3596" t="str">
            <v>OP</v>
          </cell>
          <cell r="B3596" t="str">
            <v>Quá 24h</v>
          </cell>
          <cell r="D3596" t="str">
            <v>Khiếu nại về dịch vụ FTTH</v>
          </cell>
          <cell r="W3596" t="str">
            <v>Đã đóng</v>
          </cell>
          <cell r="AJ3596" t="str">
            <v>TP HCM</v>
          </cell>
          <cell r="BX3596" t="str">
            <v>AON</v>
          </cell>
        </row>
        <row r="3597">
          <cell r="A3597" t="str">
            <v>OP</v>
          </cell>
          <cell r="B3597" t="str">
            <v>Quá 24h</v>
          </cell>
          <cell r="D3597" t="str">
            <v>Khiếu nại về dịch vụ FTTH</v>
          </cell>
          <cell r="W3597" t="str">
            <v>Đã đóng</v>
          </cell>
          <cell r="AJ3597" t="str">
            <v>TP HCM</v>
          </cell>
          <cell r="BX3597" t="str">
            <v>AON</v>
          </cell>
        </row>
        <row r="3598">
          <cell r="A3598" t="str">
            <v>OP</v>
          </cell>
          <cell r="B3598" t="str">
            <v>Quá 24h</v>
          </cell>
          <cell r="D3598" t="str">
            <v>Khiếu nại về dịch vụ FTTH</v>
          </cell>
          <cell r="W3598" t="str">
            <v>Đã đóng</v>
          </cell>
          <cell r="AJ3598" t="str">
            <v xml:space="preserve">Đà Nẵng </v>
          </cell>
          <cell r="BX3598" t="str">
            <v>AON</v>
          </cell>
        </row>
        <row r="3599">
          <cell r="A3599" t="str">
            <v>OP</v>
          </cell>
          <cell r="B3599" t="str">
            <v>Quá 24h</v>
          </cell>
          <cell r="D3599" t="str">
            <v>Khiếu nại về dịch vụ FTTH</v>
          </cell>
          <cell r="W3599" t="str">
            <v>Đã đóng</v>
          </cell>
          <cell r="AJ3599" t="str">
            <v>Bình Thuận</v>
          </cell>
          <cell r="BX3599" t="str">
            <v>AON</v>
          </cell>
        </row>
        <row r="3600">
          <cell r="A3600" t="str">
            <v>OP</v>
          </cell>
          <cell r="B3600" t="str">
            <v>Quá 24h</v>
          </cell>
          <cell r="D3600" t="str">
            <v>Khiếu nại về dịch vụ FTTH</v>
          </cell>
          <cell r="W3600" t="str">
            <v>Đã đóng</v>
          </cell>
          <cell r="AJ3600" t="str">
            <v>Bình Thuận</v>
          </cell>
          <cell r="BX3600" t="str">
            <v>AON</v>
          </cell>
        </row>
        <row r="3601">
          <cell r="A3601" t="str">
            <v>OP</v>
          </cell>
          <cell r="B3601" t="str">
            <v>Quá 24h</v>
          </cell>
          <cell r="D3601" t="str">
            <v>Khiếu nại về dịch vụ FTTH</v>
          </cell>
          <cell r="W3601" t="str">
            <v>Đã đóng</v>
          </cell>
          <cell r="AJ3601" t="str">
            <v>TP HCM</v>
          </cell>
          <cell r="BX3601" t="str">
            <v>AON</v>
          </cell>
        </row>
        <row r="3602">
          <cell r="A3602" t="str">
            <v>OP</v>
          </cell>
          <cell r="B3602" t="str">
            <v>Quá 24h</v>
          </cell>
          <cell r="D3602" t="str">
            <v>Khiếu nại về dịch vụ FTTH</v>
          </cell>
          <cell r="W3602" t="str">
            <v>Đã đóng</v>
          </cell>
          <cell r="AJ3602" t="str">
            <v>TP HCM</v>
          </cell>
          <cell r="BX3602" t="str">
            <v>AON</v>
          </cell>
        </row>
        <row r="3603">
          <cell r="A3603" t="str">
            <v>OP</v>
          </cell>
          <cell r="B3603" t="str">
            <v>Quá 24h</v>
          </cell>
          <cell r="D3603" t="str">
            <v>Khiếu nại về dịch vụ FTTH</v>
          </cell>
          <cell r="W3603" t="str">
            <v>Đang xử lý</v>
          </cell>
          <cell r="AJ3603" t="str">
            <v>TP HCM</v>
          </cell>
          <cell r="BX3603" t="str">
            <v>AON</v>
          </cell>
        </row>
        <row r="3604">
          <cell r="A3604" t="str">
            <v>OP</v>
          </cell>
          <cell r="B3604" t="str">
            <v>Quá 24h</v>
          </cell>
          <cell r="D3604" t="str">
            <v>Khiếu nại về dịch vụ FTTH</v>
          </cell>
          <cell r="W3604" t="str">
            <v>Đã đóng</v>
          </cell>
          <cell r="AJ3604" t="str">
            <v>TP HCM</v>
          </cell>
          <cell r="BX3604" t="str">
            <v>AON</v>
          </cell>
        </row>
        <row r="3605">
          <cell r="A3605" t="str">
            <v>OP</v>
          </cell>
          <cell r="B3605" t="str">
            <v>Quá 24h</v>
          </cell>
          <cell r="D3605" t="str">
            <v>Khiếu nại về dịch vụ FTTH</v>
          </cell>
          <cell r="W3605" t="str">
            <v>Đã đóng</v>
          </cell>
          <cell r="AJ3605" t="str">
            <v>Bình Dương</v>
          </cell>
          <cell r="BX3605" t="str">
            <v>AON</v>
          </cell>
        </row>
        <row r="3606">
          <cell r="A3606" t="str">
            <v>OP</v>
          </cell>
          <cell r="B3606" t="str">
            <v>Quá 24h</v>
          </cell>
          <cell r="D3606" t="str">
            <v>Khiếu nại về dịch vụ FTTH</v>
          </cell>
          <cell r="W3606" t="str">
            <v>Đã đóng</v>
          </cell>
          <cell r="AJ3606" t="str">
            <v xml:space="preserve">Đà Nẵng </v>
          </cell>
          <cell r="BX3606" t="str">
            <v>AON</v>
          </cell>
        </row>
        <row r="3607">
          <cell r="A3607" t="str">
            <v>OP</v>
          </cell>
          <cell r="B3607" t="str">
            <v>Quá 24h</v>
          </cell>
          <cell r="D3607" t="str">
            <v>Khiếu nại về dịch vụ FTTH</v>
          </cell>
          <cell r="W3607" t="str">
            <v>Đã đóng</v>
          </cell>
          <cell r="AJ3607" t="str">
            <v>An Giang</v>
          </cell>
          <cell r="BX3607" t="str">
            <v>AON</v>
          </cell>
        </row>
        <row r="3608">
          <cell r="A3608" t="str">
            <v>OP</v>
          </cell>
          <cell r="B3608" t="str">
            <v>Quá 24h</v>
          </cell>
          <cell r="D3608" t="str">
            <v>Khiếu nại về dịch vụ FTTH</v>
          </cell>
          <cell r="W3608" t="str">
            <v>Đã đóng</v>
          </cell>
          <cell r="AJ3608" t="str">
            <v>Thừa Thiên Huế</v>
          </cell>
          <cell r="BX3608" t="str">
            <v>AON</v>
          </cell>
        </row>
        <row r="3609">
          <cell r="A3609" t="str">
            <v>OP</v>
          </cell>
          <cell r="B3609" t="str">
            <v>Quá 24h</v>
          </cell>
          <cell r="D3609" t="str">
            <v>Khiếu nại về dịch vụ FTTH</v>
          </cell>
          <cell r="W3609" t="str">
            <v>Đã đóng</v>
          </cell>
          <cell r="AJ3609" t="str">
            <v>Thừa Thiên Huế</v>
          </cell>
          <cell r="BX3609" t="str">
            <v>AON</v>
          </cell>
        </row>
        <row r="3610">
          <cell r="A3610" t="str">
            <v>OP</v>
          </cell>
          <cell r="B3610" t="str">
            <v>Quá 24h</v>
          </cell>
          <cell r="D3610" t="str">
            <v>Khiếu nại về dịch vụ FTTH</v>
          </cell>
          <cell r="W3610" t="str">
            <v>Đã đóng</v>
          </cell>
          <cell r="AJ3610" t="str">
            <v>TP HCM</v>
          </cell>
          <cell r="BX3610" t="str">
            <v>AON</v>
          </cell>
        </row>
        <row r="3611">
          <cell r="A3611" t="str">
            <v>OP</v>
          </cell>
          <cell r="B3611" t="str">
            <v>Quá 24h</v>
          </cell>
          <cell r="D3611" t="str">
            <v>Khiếu nại về dịch vụ FTTH</v>
          </cell>
          <cell r="W3611" t="str">
            <v>Đã đóng</v>
          </cell>
          <cell r="AJ3611" t="str">
            <v>Bình Định</v>
          </cell>
          <cell r="BX3611" t="str">
            <v>AON</v>
          </cell>
        </row>
        <row r="3612">
          <cell r="A3612" t="str">
            <v>OP</v>
          </cell>
          <cell r="B3612" t="str">
            <v>Quá 24h</v>
          </cell>
          <cell r="D3612" t="str">
            <v>Khiếu nại về dịch vụ FTTH</v>
          </cell>
          <cell r="W3612" t="str">
            <v>Đã đóng</v>
          </cell>
          <cell r="AJ3612" t="str">
            <v xml:space="preserve">Đà Nẵng </v>
          </cell>
          <cell r="BX3612" t="str">
            <v>AON</v>
          </cell>
        </row>
        <row r="3613">
          <cell r="A3613" t="str">
            <v>OP</v>
          </cell>
          <cell r="B3613" t="str">
            <v>Quá 24h</v>
          </cell>
          <cell r="D3613" t="str">
            <v>Khiếu nại về dịch vụ FTTH</v>
          </cell>
          <cell r="W3613" t="str">
            <v>Đã đóng</v>
          </cell>
          <cell r="AJ3613" t="str">
            <v xml:space="preserve">Đà Nẵng </v>
          </cell>
          <cell r="BX3613" t="str">
            <v>AON</v>
          </cell>
        </row>
        <row r="3614">
          <cell r="A3614" t="str">
            <v>OP</v>
          </cell>
          <cell r="B3614" t="str">
            <v>Quá 24h</v>
          </cell>
          <cell r="D3614" t="str">
            <v>Khiếu nại về dịch vụ FTTH</v>
          </cell>
          <cell r="W3614" t="str">
            <v>Đã đóng</v>
          </cell>
          <cell r="AJ3614" t="str">
            <v>Hậu Giang</v>
          </cell>
          <cell r="BX3614" t="str">
            <v>AON</v>
          </cell>
        </row>
        <row r="3615">
          <cell r="A3615" t="str">
            <v>OP</v>
          </cell>
          <cell r="B3615" t="str">
            <v>Quá 24h</v>
          </cell>
          <cell r="D3615" t="str">
            <v>Khiếu nại về dịch vụ FTTH</v>
          </cell>
          <cell r="W3615" t="str">
            <v>Đã đóng</v>
          </cell>
          <cell r="AJ3615" t="str">
            <v>TP HCM</v>
          </cell>
          <cell r="BX3615" t="str">
            <v>AON</v>
          </cell>
        </row>
        <row r="3616">
          <cell r="A3616" t="str">
            <v>OP</v>
          </cell>
          <cell r="B3616" t="str">
            <v>Quá 24h</v>
          </cell>
          <cell r="D3616" t="str">
            <v>Khiếu nại về dịch vụ FTTH</v>
          </cell>
          <cell r="W3616" t="str">
            <v>Đang xử lý</v>
          </cell>
          <cell r="AJ3616" t="str">
            <v>Cần Thơ</v>
          </cell>
          <cell r="BX3616" t="str">
            <v>AON</v>
          </cell>
        </row>
        <row r="3617">
          <cell r="A3617" t="str">
            <v>OP</v>
          </cell>
          <cell r="B3617" t="str">
            <v>Quá 24h</v>
          </cell>
          <cell r="D3617" t="str">
            <v>Khiếu nại về dịch vụ FTTH</v>
          </cell>
          <cell r="W3617" t="str">
            <v>Đã đóng</v>
          </cell>
          <cell r="AJ3617" t="str">
            <v>Bến Tre</v>
          </cell>
          <cell r="BX3617" t="str">
            <v>AON</v>
          </cell>
        </row>
        <row r="3618">
          <cell r="A3618" t="str">
            <v>OP</v>
          </cell>
          <cell r="B3618" t="str">
            <v>Quá 24h</v>
          </cell>
          <cell r="D3618" t="str">
            <v>Khiếu nại về dịch vụ FTTH</v>
          </cell>
          <cell r="W3618" t="str">
            <v>Đang xử lý</v>
          </cell>
          <cell r="AJ3618" t="str">
            <v>Bình Định</v>
          </cell>
          <cell r="BX3618" t="str">
            <v>AON</v>
          </cell>
        </row>
        <row r="3619">
          <cell r="A3619" t="str">
            <v>OP</v>
          </cell>
          <cell r="B3619" t="str">
            <v>Quá 24h</v>
          </cell>
          <cell r="D3619" t="str">
            <v>Khiếu nại về dịch vụ FTTH</v>
          </cell>
          <cell r="W3619" t="str">
            <v>Đã đóng</v>
          </cell>
          <cell r="AJ3619" t="str">
            <v>Bình Dương</v>
          </cell>
          <cell r="BX3619" t="str">
            <v>AON</v>
          </cell>
        </row>
        <row r="3620">
          <cell r="A3620" t="str">
            <v>OP</v>
          </cell>
          <cell r="B3620" t="str">
            <v>Quá 24h</v>
          </cell>
          <cell r="D3620" t="str">
            <v>Khiếu nại về dịch vụ FTTH</v>
          </cell>
          <cell r="W3620" t="str">
            <v>Đang xử lý</v>
          </cell>
          <cell r="AJ3620" t="str">
            <v>TP HCM</v>
          </cell>
          <cell r="BX3620" t="str">
            <v>AON</v>
          </cell>
        </row>
        <row r="3621">
          <cell r="A3621" t="str">
            <v>OP</v>
          </cell>
          <cell r="B3621" t="str">
            <v>Quá 24h</v>
          </cell>
          <cell r="D3621" t="str">
            <v>Khiếu nại về dịch vụ FTTH</v>
          </cell>
          <cell r="W3621" t="str">
            <v>Đang xử lý</v>
          </cell>
          <cell r="AJ3621" t="str">
            <v>Bình Dương</v>
          </cell>
          <cell r="BX3621" t="str">
            <v>AON</v>
          </cell>
        </row>
        <row r="3622">
          <cell r="A3622" t="str">
            <v>OP</v>
          </cell>
          <cell r="B3622" t="str">
            <v>Quá 24h</v>
          </cell>
          <cell r="D3622" t="str">
            <v>Khiếu nại về dịch vụ FTTH</v>
          </cell>
          <cell r="W3622" t="str">
            <v>Đang xử lý</v>
          </cell>
          <cell r="AJ3622" t="str">
            <v>Cần Thơ</v>
          </cell>
          <cell r="BX3622" t="str">
            <v>AON</v>
          </cell>
        </row>
        <row r="3623">
          <cell r="A3623" t="str">
            <v>OP</v>
          </cell>
          <cell r="B3623" t="str">
            <v>Quá 24h</v>
          </cell>
          <cell r="D3623" t="str">
            <v>Khiếu nại về dịch vụ FTTH</v>
          </cell>
          <cell r="W3623" t="str">
            <v>Đã đóng</v>
          </cell>
          <cell r="AJ3623" t="str">
            <v>TP HCM</v>
          </cell>
          <cell r="BX3623" t="str">
            <v>AON</v>
          </cell>
        </row>
        <row r="3624">
          <cell r="A3624" t="str">
            <v>OP</v>
          </cell>
          <cell r="B3624" t="str">
            <v>Quá 24h</v>
          </cell>
          <cell r="D3624" t="str">
            <v>Khiếu nại về dịch vụ FTTH</v>
          </cell>
          <cell r="W3624" t="str">
            <v>Đang xử lý</v>
          </cell>
          <cell r="AJ3624" t="str">
            <v>Bạc Liêu</v>
          </cell>
          <cell r="BX3624" t="str">
            <v>AON</v>
          </cell>
        </row>
        <row r="3625">
          <cell r="A3625" t="str">
            <v>OP</v>
          </cell>
          <cell r="B3625" t="str">
            <v>Quá 24h</v>
          </cell>
          <cell r="D3625" t="str">
            <v>Khiếu nại về dịch vụ FTTH</v>
          </cell>
          <cell r="W3625" t="str">
            <v>Đang xử lý</v>
          </cell>
          <cell r="AJ3625" t="str">
            <v>Tây Ninh</v>
          </cell>
          <cell r="BX3625" t="str">
            <v>AON</v>
          </cell>
        </row>
        <row r="3626">
          <cell r="A3626" t="str">
            <v>OP</v>
          </cell>
          <cell r="B3626" t="str">
            <v>Quá 24h</v>
          </cell>
          <cell r="D3626" t="str">
            <v>Khiếu nại về dịch vụ NextTV</v>
          </cell>
          <cell r="W3626" t="str">
            <v>Đã đóng</v>
          </cell>
          <cell r="AJ3626" t="str">
            <v>Thừa Thiên Huế</v>
          </cell>
          <cell r="BX3626" t="str">
            <v>AON</v>
          </cell>
        </row>
        <row r="3627">
          <cell r="A3627" t="str">
            <v>OP</v>
          </cell>
          <cell r="B3627" t="str">
            <v>Quá 24h</v>
          </cell>
          <cell r="D3627" t="str">
            <v>Khiếu nại về dịch vụ FTTH</v>
          </cell>
          <cell r="W3627" t="str">
            <v>Đã đóng</v>
          </cell>
          <cell r="AJ3627" t="str">
            <v>Bình Dương</v>
          </cell>
          <cell r="BX3627" t="str">
            <v>GPON</v>
          </cell>
        </row>
        <row r="3628">
          <cell r="A3628" t="str">
            <v>OP</v>
          </cell>
          <cell r="B3628" t="str">
            <v>Quá 24h</v>
          </cell>
          <cell r="D3628" t="str">
            <v>Khiếu nại về dịch vụ FTTH</v>
          </cell>
          <cell r="W3628" t="str">
            <v>Đã đóng</v>
          </cell>
          <cell r="AJ3628" t="str">
            <v>Bình Dương</v>
          </cell>
          <cell r="BX3628" t="str">
            <v>AON</v>
          </cell>
        </row>
        <row r="3629">
          <cell r="A3629" t="str">
            <v>OP</v>
          </cell>
          <cell r="B3629" t="str">
            <v>Quá 24h</v>
          </cell>
          <cell r="D3629" t="str">
            <v>Khiếu nại về dịch vụ FTTH</v>
          </cell>
          <cell r="W3629" t="str">
            <v>Đang xử lý</v>
          </cell>
          <cell r="AJ3629" t="str">
            <v>Thừa Thiên Huế</v>
          </cell>
          <cell r="BX3629" t="str">
            <v>AON</v>
          </cell>
        </row>
        <row r="3630">
          <cell r="A3630" t="str">
            <v>OP</v>
          </cell>
          <cell r="B3630" t="str">
            <v>Quá 24h</v>
          </cell>
          <cell r="D3630" t="str">
            <v>Khiếu nại về dịch vụ FTTH</v>
          </cell>
          <cell r="W3630" t="str">
            <v>Đã đóng</v>
          </cell>
          <cell r="AJ3630" t="str">
            <v>Bình Dương</v>
          </cell>
          <cell r="BX3630" t="str">
            <v>AON</v>
          </cell>
        </row>
        <row r="3631">
          <cell r="A3631" t="str">
            <v>OP</v>
          </cell>
          <cell r="B3631" t="str">
            <v>Quá 24h</v>
          </cell>
          <cell r="D3631" t="str">
            <v>Khiếu nại về dịch vụ FTTH</v>
          </cell>
          <cell r="W3631" t="str">
            <v>Đã đóng</v>
          </cell>
          <cell r="AJ3631" t="str">
            <v xml:space="preserve">Đắc Lắk </v>
          </cell>
          <cell r="BX3631" t="str">
            <v>AON</v>
          </cell>
        </row>
        <row r="3632">
          <cell r="A3632" t="str">
            <v>OP</v>
          </cell>
          <cell r="B3632" t="str">
            <v>Quá 24h</v>
          </cell>
          <cell r="D3632" t="str">
            <v>Khiếu nại về dịch vụ FTTH</v>
          </cell>
          <cell r="W3632" t="str">
            <v>Đã đóng</v>
          </cell>
          <cell r="AJ3632" t="str">
            <v xml:space="preserve">Đắc Lắk </v>
          </cell>
          <cell r="BX3632" t="str">
            <v>AON</v>
          </cell>
        </row>
        <row r="3633">
          <cell r="A3633" t="str">
            <v>OP</v>
          </cell>
          <cell r="B3633" t="str">
            <v>Quá 24h</v>
          </cell>
          <cell r="D3633" t="str">
            <v>Khiếu nại về dịch vụ FTTH</v>
          </cell>
          <cell r="W3633" t="str">
            <v>Đã đóng</v>
          </cell>
          <cell r="AJ3633" t="str">
            <v>Hậu Giang</v>
          </cell>
          <cell r="BX3633" t="str">
            <v>AON</v>
          </cell>
        </row>
        <row r="3634">
          <cell r="A3634" t="str">
            <v>OP</v>
          </cell>
          <cell r="B3634" t="str">
            <v>Quá 24h</v>
          </cell>
          <cell r="D3634" t="str">
            <v>Khiếu nại về dịch vụ FTTH</v>
          </cell>
          <cell r="W3634" t="str">
            <v>Đã đóng</v>
          </cell>
          <cell r="AJ3634" t="str">
            <v>TP HCM</v>
          </cell>
          <cell r="BX3634" t="str">
            <v>AON</v>
          </cell>
        </row>
        <row r="3635">
          <cell r="A3635" t="str">
            <v>OP</v>
          </cell>
          <cell r="B3635" t="str">
            <v>Quá 24h</v>
          </cell>
          <cell r="D3635" t="str">
            <v>Khiếu nại về dịch vụ FTTH</v>
          </cell>
          <cell r="W3635" t="str">
            <v>Đang xử lý</v>
          </cell>
          <cell r="AJ3635" t="str">
            <v>Thừa Thiên Huế</v>
          </cell>
          <cell r="BX3635" t="str">
            <v>AON</v>
          </cell>
        </row>
        <row r="3636">
          <cell r="A3636" t="str">
            <v>OP</v>
          </cell>
          <cell r="B3636" t="str">
            <v>Quá 24h</v>
          </cell>
          <cell r="D3636" t="str">
            <v>Khiếu nại về dịch vụ FTTH</v>
          </cell>
          <cell r="W3636" t="str">
            <v>Đã đóng</v>
          </cell>
          <cell r="AJ3636" t="str">
            <v>Thừa Thiên Huế</v>
          </cell>
          <cell r="BX3636" t="str">
            <v>AON</v>
          </cell>
        </row>
        <row r="3637">
          <cell r="A3637" t="str">
            <v>OP</v>
          </cell>
          <cell r="B3637" t="str">
            <v>Quá 24h</v>
          </cell>
          <cell r="D3637" t="str">
            <v>Khiếu nại về dịch vụ FTTH</v>
          </cell>
          <cell r="W3637" t="str">
            <v>Đã đóng</v>
          </cell>
          <cell r="AJ3637" t="str">
            <v>Tây Ninh</v>
          </cell>
          <cell r="BX3637" t="str">
            <v>AON</v>
          </cell>
        </row>
        <row r="3638">
          <cell r="A3638" t="str">
            <v>OP</v>
          </cell>
          <cell r="B3638" t="str">
            <v>Quá 24h</v>
          </cell>
          <cell r="D3638" t="str">
            <v>Khiếu nại về dịch vụ FTTH</v>
          </cell>
          <cell r="W3638" t="str">
            <v>Đã đóng</v>
          </cell>
          <cell r="AJ3638" t="str">
            <v>TP HCM</v>
          </cell>
          <cell r="BX3638" t="str">
            <v>AON</v>
          </cell>
        </row>
        <row r="3639">
          <cell r="A3639" t="str">
            <v>OP</v>
          </cell>
          <cell r="B3639" t="str">
            <v>Quá 24h</v>
          </cell>
          <cell r="D3639" t="str">
            <v>Khiếu nại về dịch vụ FTTH</v>
          </cell>
          <cell r="W3639" t="str">
            <v>Đã đóng</v>
          </cell>
          <cell r="AJ3639" t="str">
            <v>Cà Mau</v>
          </cell>
          <cell r="BX3639" t="str">
            <v>AON</v>
          </cell>
        </row>
        <row r="3640">
          <cell r="A3640" t="str">
            <v>OP</v>
          </cell>
          <cell r="B3640" t="str">
            <v>Quá 24h</v>
          </cell>
          <cell r="D3640" t="str">
            <v>Khiếu nại về dịch vụ FTTH</v>
          </cell>
          <cell r="W3640" t="str">
            <v>Đã đóng</v>
          </cell>
          <cell r="AJ3640" t="str">
            <v>Bình Dương</v>
          </cell>
          <cell r="BX3640" t="str">
            <v>AON</v>
          </cell>
        </row>
        <row r="3641">
          <cell r="A3641" t="str">
            <v>OP</v>
          </cell>
          <cell r="B3641" t="str">
            <v>Quá 24h</v>
          </cell>
          <cell r="D3641" t="str">
            <v>Khiếu nại về dịch vụ FTTH</v>
          </cell>
          <cell r="W3641" t="str">
            <v>Đang xử lý</v>
          </cell>
          <cell r="AJ3641" t="str">
            <v>Bình Dương</v>
          </cell>
          <cell r="BX3641" t="str">
            <v>AON</v>
          </cell>
        </row>
        <row r="3642">
          <cell r="A3642" t="str">
            <v>OP</v>
          </cell>
          <cell r="B3642" t="str">
            <v>Quá 24h</v>
          </cell>
          <cell r="D3642" t="str">
            <v>Khiếu nại về dịch vụ FTTH</v>
          </cell>
          <cell r="W3642" t="str">
            <v>Đã đóng</v>
          </cell>
          <cell r="AJ3642" t="str">
            <v>TP HCM</v>
          </cell>
          <cell r="BX3642" t="str">
            <v>AON</v>
          </cell>
        </row>
        <row r="3643">
          <cell r="A3643" t="str">
            <v>OP</v>
          </cell>
          <cell r="B3643" t="str">
            <v>Quá 24h</v>
          </cell>
          <cell r="D3643" t="str">
            <v>Khiếu nại về dịch vụ FTTH</v>
          </cell>
          <cell r="W3643" t="str">
            <v>Đang xử lý</v>
          </cell>
          <cell r="AJ3643" t="str">
            <v>Bình Dương</v>
          </cell>
          <cell r="BX3643" t="str">
            <v>AON</v>
          </cell>
        </row>
        <row r="3644">
          <cell r="A3644" t="str">
            <v>OP</v>
          </cell>
          <cell r="B3644" t="str">
            <v>Quá 24h</v>
          </cell>
          <cell r="D3644" t="str">
            <v>Khiếu nại về dịch vụ FTTH</v>
          </cell>
          <cell r="W3644" t="str">
            <v>Đang xử lý</v>
          </cell>
          <cell r="AJ3644" t="str">
            <v>Thừa Thiên Huế</v>
          </cell>
          <cell r="BX3644" t="str">
            <v>AON</v>
          </cell>
        </row>
        <row r="3645">
          <cell r="A3645" t="str">
            <v>OP</v>
          </cell>
          <cell r="B3645" t="str">
            <v>Quá 24h</v>
          </cell>
          <cell r="D3645" t="str">
            <v>Khiếu nại về dịch vụ FTTH</v>
          </cell>
          <cell r="W3645" t="str">
            <v>Đang xử lý</v>
          </cell>
          <cell r="AJ3645" t="str">
            <v>TP HCM</v>
          </cell>
          <cell r="BX3645" t="str">
            <v>AON</v>
          </cell>
        </row>
        <row r="3646">
          <cell r="A3646" t="str">
            <v>OP</v>
          </cell>
          <cell r="B3646" t="str">
            <v>Quá 24h</v>
          </cell>
          <cell r="D3646" t="str">
            <v>Khiếu nại về dịch vụ FTTH</v>
          </cell>
          <cell r="W3646" t="str">
            <v>Đang xử lý</v>
          </cell>
          <cell r="AJ3646" t="str">
            <v>Bình Dương</v>
          </cell>
          <cell r="BX3646" t="str">
            <v>AON</v>
          </cell>
        </row>
        <row r="3647">
          <cell r="A3647" t="str">
            <v>OP</v>
          </cell>
          <cell r="B3647" t="str">
            <v>Quá 24h</v>
          </cell>
          <cell r="D3647" t="str">
            <v>Khiếu nại về dịch vụ FTTH</v>
          </cell>
          <cell r="W3647" t="str">
            <v>Đã đóng</v>
          </cell>
          <cell r="AJ3647" t="str">
            <v>An Giang</v>
          </cell>
          <cell r="BX3647" t="str">
            <v>AON</v>
          </cell>
        </row>
        <row r="3648">
          <cell r="A3648" t="str">
            <v>OP</v>
          </cell>
          <cell r="B3648" t="str">
            <v>Quá 24h</v>
          </cell>
          <cell r="D3648" t="str">
            <v>Khiếu nại về dịch vụ FTTH</v>
          </cell>
          <cell r="W3648" t="str">
            <v>Đã đóng</v>
          </cell>
          <cell r="AJ3648" t="str">
            <v>TP HCM</v>
          </cell>
          <cell r="BX3648" t="str">
            <v>AON</v>
          </cell>
        </row>
        <row r="3649">
          <cell r="A3649" t="str">
            <v>OP</v>
          </cell>
          <cell r="B3649" t="str">
            <v>Quá 24h</v>
          </cell>
          <cell r="D3649" t="str">
            <v>Khiếu nại về dịch vụ FTTH</v>
          </cell>
          <cell r="W3649" t="str">
            <v>Đang xử lý</v>
          </cell>
          <cell r="AJ3649" t="str">
            <v>TP HCM</v>
          </cell>
          <cell r="BX3649" t="str">
            <v>AON</v>
          </cell>
        </row>
        <row r="3650">
          <cell r="A3650" t="str">
            <v>OP</v>
          </cell>
          <cell r="B3650" t="str">
            <v>Quá 24h</v>
          </cell>
          <cell r="D3650" t="str">
            <v>Khiếu nại về dịch vụ FTTH</v>
          </cell>
          <cell r="W3650" t="str">
            <v>Đã đóng</v>
          </cell>
          <cell r="AJ3650" t="str">
            <v>TP HCM</v>
          </cell>
          <cell r="BX3650" t="str">
            <v>AON</v>
          </cell>
        </row>
        <row r="3651">
          <cell r="A3651" t="str">
            <v>OP</v>
          </cell>
          <cell r="B3651" t="str">
            <v>Quá 24h</v>
          </cell>
          <cell r="D3651" t="str">
            <v>Khiếu nại về dịch vụ FTTH</v>
          </cell>
          <cell r="W3651" t="str">
            <v>Đang xử lý</v>
          </cell>
          <cell r="AJ3651" t="str">
            <v>Cần Thơ</v>
          </cell>
          <cell r="BX3651" t="str">
            <v>AON</v>
          </cell>
        </row>
        <row r="3652">
          <cell r="A3652" t="str">
            <v>OP</v>
          </cell>
          <cell r="B3652" t="str">
            <v>Quá 24h</v>
          </cell>
          <cell r="D3652" t="str">
            <v>Khiếu nại về dịch vụ FTTH</v>
          </cell>
          <cell r="W3652" t="str">
            <v>Đang xử lý</v>
          </cell>
          <cell r="AJ3652" t="str">
            <v xml:space="preserve">Đắc Lắk </v>
          </cell>
          <cell r="BX3652" t="str">
            <v>AON</v>
          </cell>
        </row>
        <row r="3653">
          <cell r="A3653" t="str">
            <v>OP</v>
          </cell>
          <cell r="B3653" t="str">
            <v>Quá 24h</v>
          </cell>
          <cell r="D3653" t="str">
            <v>Khiếu nại về dịch vụ FTTH</v>
          </cell>
          <cell r="W3653" t="str">
            <v>Đã đóng</v>
          </cell>
          <cell r="AJ3653" t="str">
            <v>TP HCM</v>
          </cell>
          <cell r="BX3653" t="str">
            <v>AON</v>
          </cell>
        </row>
        <row r="3654">
          <cell r="A3654" t="str">
            <v>OP</v>
          </cell>
          <cell r="B3654" t="str">
            <v>Quá 24h</v>
          </cell>
          <cell r="D3654" t="str">
            <v>Khiếu nại về dịch vụ FTTH</v>
          </cell>
          <cell r="W3654" t="str">
            <v>Đã đóng</v>
          </cell>
          <cell r="AJ3654" t="str">
            <v xml:space="preserve">Đắc Lắk </v>
          </cell>
          <cell r="BX3654" t="str">
            <v>AON</v>
          </cell>
        </row>
        <row r="3655">
          <cell r="A3655" t="str">
            <v>OP</v>
          </cell>
          <cell r="B3655" t="str">
            <v>Quá 24h</v>
          </cell>
          <cell r="D3655" t="str">
            <v>Khiếu nại về dịch vụ FTTH</v>
          </cell>
          <cell r="W3655" t="str">
            <v>Đã đóng</v>
          </cell>
          <cell r="AJ3655" t="str">
            <v>Phú Yên</v>
          </cell>
          <cell r="BX3655" t="str">
            <v>AON</v>
          </cell>
        </row>
        <row r="3656">
          <cell r="A3656" t="str">
            <v>OP</v>
          </cell>
          <cell r="B3656" t="str">
            <v>Quá 24h</v>
          </cell>
          <cell r="D3656" t="str">
            <v>Khiếu nại về dịch vụ NextTV</v>
          </cell>
          <cell r="W3656" t="str">
            <v>Đã đóng</v>
          </cell>
          <cell r="AJ3656" t="str">
            <v>TP HCM</v>
          </cell>
          <cell r="BX3656" t="str">
            <v>AON</v>
          </cell>
        </row>
        <row r="3657">
          <cell r="A3657" t="str">
            <v>OP</v>
          </cell>
          <cell r="B3657" t="str">
            <v>Quá 24h</v>
          </cell>
          <cell r="D3657" t="str">
            <v>Khiếu nại về dịch vụ FTTH</v>
          </cell>
          <cell r="W3657" t="str">
            <v>Đã đóng</v>
          </cell>
          <cell r="AJ3657" t="str">
            <v>Thừa Thiên Huế</v>
          </cell>
          <cell r="BX3657" t="str">
            <v>AON</v>
          </cell>
        </row>
        <row r="3658">
          <cell r="A3658" t="str">
            <v>OP</v>
          </cell>
          <cell r="B3658" t="str">
            <v>Quá 24h</v>
          </cell>
          <cell r="D3658" t="str">
            <v>Khiếu nại về dịch vụ FTTH</v>
          </cell>
          <cell r="W3658" t="str">
            <v>Đã đóng</v>
          </cell>
          <cell r="AJ3658" t="str">
            <v>Bình Dương</v>
          </cell>
          <cell r="BX3658" t="str">
            <v>AON</v>
          </cell>
        </row>
        <row r="3659">
          <cell r="A3659" t="str">
            <v>OP</v>
          </cell>
          <cell r="B3659" t="str">
            <v>Quá 24h</v>
          </cell>
          <cell r="D3659" t="str">
            <v>Khiếu nại về dịch vụ FTTH</v>
          </cell>
          <cell r="W3659" t="str">
            <v>Đã đóng</v>
          </cell>
          <cell r="AJ3659" t="str">
            <v>Thừa Thiên Huế</v>
          </cell>
          <cell r="BX3659" t="str">
            <v>AON</v>
          </cell>
        </row>
        <row r="3660">
          <cell r="A3660" t="str">
            <v>OP</v>
          </cell>
          <cell r="B3660" t="str">
            <v>Quá 24h</v>
          </cell>
          <cell r="D3660" t="str">
            <v>Khiếu nại về dịch vụ NextTV</v>
          </cell>
          <cell r="W3660" t="str">
            <v>Đã đóng</v>
          </cell>
          <cell r="AJ3660" t="str">
            <v>TP HCM</v>
          </cell>
          <cell r="BX3660" t="str">
            <v>AON</v>
          </cell>
        </row>
        <row r="3661">
          <cell r="A3661" t="str">
            <v>OP</v>
          </cell>
          <cell r="B3661" t="str">
            <v>Quá 24h</v>
          </cell>
          <cell r="D3661" t="str">
            <v>Khiếu nại về dịch vụ FTTH</v>
          </cell>
          <cell r="W3661" t="str">
            <v>Đã đóng</v>
          </cell>
          <cell r="AJ3661" t="str">
            <v>TP HCM</v>
          </cell>
          <cell r="BX3661" t="str">
            <v>AON</v>
          </cell>
        </row>
        <row r="3662">
          <cell r="A3662" t="str">
            <v>OP</v>
          </cell>
          <cell r="B3662" t="str">
            <v>Quá 24h</v>
          </cell>
          <cell r="D3662" t="str">
            <v>Khiếu nại về dịch vụ NextTV</v>
          </cell>
          <cell r="W3662" t="str">
            <v>Đã đóng</v>
          </cell>
          <cell r="AJ3662" t="str">
            <v>TP HCM</v>
          </cell>
          <cell r="BX3662" t="str">
            <v>AON</v>
          </cell>
        </row>
        <row r="3663">
          <cell r="A3663" t="str">
            <v>OP</v>
          </cell>
          <cell r="B3663" t="str">
            <v>Quá 24h</v>
          </cell>
          <cell r="D3663" t="str">
            <v>Khiếu nại về dịch vụ FTTH</v>
          </cell>
          <cell r="W3663" t="str">
            <v>Đã đóng</v>
          </cell>
          <cell r="AJ3663" t="str">
            <v>TP HCM</v>
          </cell>
          <cell r="BX3663" t="str">
            <v>AON</v>
          </cell>
        </row>
        <row r="3664">
          <cell r="A3664" t="str">
            <v>OP</v>
          </cell>
          <cell r="B3664" t="str">
            <v>Quá 24h</v>
          </cell>
          <cell r="D3664" t="str">
            <v>Khiếu nại về dịch vụ FTTH</v>
          </cell>
          <cell r="W3664" t="str">
            <v>Đã đóng</v>
          </cell>
          <cell r="AJ3664" t="str">
            <v>TP HCM</v>
          </cell>
          <cell r="BX3664" t="str">
            <v>GPON</v>
          </cell>
        </row>
        <row r="3665">
          <cell r="A3665" t="str">
            <v>OP</v>
          </cell>
          <cell r="B3665" t="str">
            <v>Quá 24h</v>
          </cell>
          <cell r="D3665" t="str">
            <v>Khiếu nại về dịch vụ FTTH</v>
          </cell>
          <cell r="W3665" t="str">
            <v>Đã đóng</v>
          </cell>
          <cell r="AJ3665" t="str">
            <v>TP HCM</v>
          </cell>
          <cell r="BX3665" t="str">
            <v>AON</v>
          </cell>
        </row>
        <row r="3666">
          <cell r="A3666" t="str">
            <v>OP</v>
          </cell>
          <cell r="B3666" t="str">
            <v>Quá 24h</v>
          </cell>
          <cell r="D3666" t="str">
            <v>Khiếu nại về dịch vụ FTTH</v>
          </cell>
          <cell r="W3666" t="str">
            <v>Đã đóng</v>
          </cell>
          <cell r="AJ3666" t="str">
            <v>An Giang</v>
          </cell>
          <cell r="BX3666" t="str">
            <v>AON</v>
          </cell>
        </row>
        <row r="3667">
          <cell r="A3667" t="str">
            <v>OP</v>
          </cell>
          <cell r="B3667" t="str">
            <v>Quá 24h</v>
          </cell>
          <cell r="D3667" t="str">
            <v>Khiếu nại về dịch vụ FTTH</v>
          </cell>
          <cell r="W3667" t="str">
            <v>Đã đóng</v>
          </cell>
          <cell r="AJ3667" t="str">
            <v>Bình Dương</v>
          </cell>
          <cell r="BX3667" t="str">
            <v>AON</v>
          </cell>
        </row>
        <row r="3668">
          <cell r="A3668" t="str">
            <v>OP</v>
          </cell>
          <cell r="B3668" t="str">
            <v>Quá 24h</v>
          </cell>
          <cell r="D3668" t="str">
            <v>Khiếu nại về dịch vụ FTTH</v>
          </cell>
          <cell r="W3668" t="str">
            <v>Đã đóng</v>
          </cell>
          <cell r="AJ3668" t="str">
            <v>Kon Tum</v>
          </cell>
          <cell r="BX3668" t="str">
            <v>AON</v>
          </cell>
        </row>
        <row r="3669">
          <cell r="A3669" t="str">
            <v>OP</v>
          </cell>
          <cell r="B3669" t="str">
            <v>Quá 24h</v>
          </cell>
          <cell r="D3669" t="str">
            <v>Khiếu nại về dịch vụ NextTV</v>
          </cell>
          <cell r="W3669" t="str">
            <v>Đã đóng</v>
          </cell>
          <cell r="AJ3669" t="str">
            <v>TP HCM</v>
          </cell>
          <cell r="BX3669" t="str">
            <v>AON</v>
          </cell>
        </row>
        <row r="3670">
          <cell r="A3670" t="str">
            <v>OP</v>
          </cell>
          <cell r="B3670" t="str">
            <v>Quá 24h</v>
          </cell>
          <cell r="D3670" t="str">
            <v>Khiếu nại về dịch vụ FTTH</v>
          </cell>
          <cell r="W3670" t="str">
            <v>Đã đóng</v>
          </cell>
          <cell r="AJ3670" t="str">
            <v>TP HCM</v>
          </cell>
          <cell r="BX3670" t="str">
            <v>AON</v>
          </cell>
        </row>
        <row r="3671">
          <cell r="A3671" t="str">
            <v>OP</v>
          </cell>
          <cell r="B3671" t="str">
            <v>Quá 24h</v>
          </cell>
          <cell r="D3671" t="str">
            <v>Khiếu nại về dịch vụ FTTH</v>
          </cell>
          <cell r="W3671" t="str">
            <v>Đã đóng</v>
          </cell>
          <cell r="AJ3671" t="str">
            <v>Kon Tum</v>
          </cell>
          <cell r="BX3671" t="str">
            <v>AON</v>
          </cell>
        </row>
        <row r="3672">
          <cell r="A3672" t="str">
            <v>OP</v>
          </cell>
          <cell r="B3672" t="str">
            <v>Quá 24h</v>
          </cell>
          <cell r="D3672" t="str">
            <v>Khiếu nại về dịch vụ FTTH</v>
          </cell>
          <cell r="W3672" t="str">
            <v>Đã đóng</v>
          </cell>
          <cell r="AJ3672" t="str">
            <v>Cần Thơ</v>
          </cell>
          <cell r="BX3672" t="str">
            <v>AON</v>
          </cell>
        </row>
        <row r="3673">
          <cell r="A3673" t="str">
            <v>OP</v>
          </cell>
          <cell r="B3673" t="str">
            <v>Quá 24h</v>
          </cell>
          <cell r="D3673" t="str">
            <v>Khiếu nại về dịch vụ NextTV</v>
          </cell>
          <cell r="W3673" t="str">
            <v>Đã đóng</v>
          </cell>
          <cell r="AJ3673" t="str">
            <v>Cần Thơ</v>
          </cell>
          <cell r="BX3673" t="str">
            <v>AON</v>
          </cell>
        </row>
        <row r="3674">
          <cell r="A3674" t="str">
            <v>OP</v>
          </cell>
          <cell r="B3674" t="str">
            <v>Quá 24h</v>
          </cell>
          <cell r="D3674" t="str">
            <v>Khiếu nại về dịch vụ FTTH</v>
          </cell>
          <cell r="W3674" t="str">
            <v>Đã đóng</v>
          </cell>
          <cell r="AJ3674" t="str">
            <v>TP HCM</v>
          </cell>
          <cell r="BX3674" t="str">
            <v>AON</v>
          </cell>
        </row>
        <row r="3675">
          <cell r="A3675" t="str">
            <v>OP</v>
          </cell>
          <cell r="B3675" t="str">
            <v>Quá 24h</v>
          </cell>
          <cell r="D3675" t="str">
            <v>Khiếu nại về dịch vụ FTTH</v>
          </cell>
          <cell r="W3675" t="str">
            <v>Đã đóng</v>
          </cell>
          <cell r="AJ3675" t="str">
            <v>Cà Mau</v>
          </cell>
          <cell r="BX3675" t="str">
            <v>AON</v>
          </cell>
        </row>
        <row r="3676">
          <cell r="A3676" t="str">
            <v>OP</v>
          </cell>
          <cell r="B3676" t="str">
            <v>Quá 24h</v>
          </cell>
          <cell r="D3676" t="str">
            <v>Khiếu nại về dịch vụ FTTH</v>
          </cell>
          <cell r="W3676" t="str">
            <v>Đã đóng</v>
          </cell>
          <cell r="AJ3676" t="str">
            <v>TP HCM</v>
          </cell>
          <cell r="BX3676" t="str">
            <v>AON</v>
          </cell>
        </row>
        <row r="3677">
          <cell r="A3677" t="str">
            <v>OP</v>
          </cell>
          <cell r="B3677" t="str">
            <v>Quá 24h</v>
          </cell>
          <cell r="D3677" t="str">
            <v>Khiếu nại về dịch vụ FTTH</v>
          </cell>
          <cell r="W3677" t="str">
            <v>Đã đóng</v>
          </cell>
          <cell r="AJ3677" t="str">
            <v>TP HCM</v>
          </cell>
          <cell r="BX3677" t="str">
            <v>AON</v>
          </cell>
        </row>
        <row r="3678">
          <cell r="A3678" t="str">
            <v>OP</v>
          </cell>
          <cell r="B3678" t="str">
            <v>Quá 24h</v>
          </cell>
          <cell r="D3678" t="str">
            <v>Khiếu nại về dịch vụ FTTH</v>
          </cell>
          <cell r="W3678" t="str">
            <v>Đang xử lý</v>
          </cell>
          <cell r="AJ3678" t="str">
            <v>Thừa Thiên Huế</v>
          </cell>
          <cell r="BX3678" t="str">
            <v>AON</v>
          </cell>
        </row>
        <row r="3679">
          <cell r="A3679" t="str">
            <v>OP</v>
          </cell>
          <cell r="B3679" t="str">
            <v>Quá 24h</v>
          </cell>
          <cell r="D3679" t="str">
            <v>Khiếu nại về dịch vụ FTTH</v>
          </cell>
          <cell r="W3679" t="str">
            <v>Đã đóng</v>
          </cell>
          <cell r="AJ3679" t="str">
            <v>TP HCM</v>
          </cell>
          <cell r="BX3679" t="str">
            <v>AON</v>
          </cell>
        </row>
        <row r="3680">
          <cell r="A3680" t="str">
            <v>OP</v>
          </cell>
          <cell r="B3680" t="str">
            <v>Quá 24h</v>
          </cell>
          <cell r="D3680" t="str">
            <v>Khiếu nại về dịch vụ FTTH</v>
          </cell>
          <cell r="W3680" t="str">
            <v>Đã đóng</v>
          </cell>
          <cell r="AJ3680" t="str">
            <v xml:space="preserve">Đà Nẵng </v>
          </cell>
          <cell r="BX3680" t="str">
            <v>AON</v>
          </cell>
        </row>
        <row r="3681">
          <cell r="A3681" t="str">
            <v>OP</v>
          </cell>
          <cell r="B3681" t="str">
            <v>Quá 24h</v>
          </cell>
          <cell r="D3681" t="str">
            <v>Khiếu nại về dịch vụ FTTH</v>
          </cell>
          <cell r="W3681" t="str">
            <v>Đã đóng</v>
          </cell>
          <cell r="AJ3681" t="str">
            <v>TP HCM</v>
          </cell>
          <cell r="BX3681" t="str">
            <v>AON</v>
          </cell>
        </row>
        <row r="3682">
          <cell r="A3682" t="str">
            <v>OP</v>
          </cell>
          <cell r="B3682" t="str">
            <v>Quá 24h</v>
          </cell>
          <cell r="D3682" t="str">
            <v>Khiếu nại về dịch vụ NextTV</v>
          </cell>
          <cell r="W3682" t="str">
            <v>Đang xử lý</v>
          </cell>
          <cell r="AJ3682" t="str">
            <v>An Giang</v>
          </cell>
          <cell r="BX3682" t="str">
            <v>AON</v>
          </cell>
        </row>
        <row r="3683">
          <cell r="A3683" t="str">
            <v>OP</v>
          </cell>
          <cell r="B3683" t="str">
            <v>Quá 24h</v>
          </cell>
          <cell r="D3683" t="str">
            <v>Khiếu nại về dịch vụ FTTH</v>
          </cell>
          <cell r="W3683" t="str">
            <v>Đã đóng</v>
          </cell>
          <cell r="AJ3683" t="str">
            <v>TP HCM</v>
          </cell>
          <cell r="BX3683" t="str">
            <v>AON</v>
          </cell>
        </row>
        <row r="3684">
          <cell r="A3684" t="str">
            <v>OP</v>
          </cell>
          <cell r="B3684" t="str">
            <v>Quá 24h</v>
          </cell>
          <cell r="D3684" t="str">
            <v>Khiếu nại về dịch vụ FTTH</v>
          </cell>
          <cell r="W3684" t="str">
            <v>Đã đóng</v>
          </cell>
          <cell r="AJ3684" t="str">
            <v>Hậu Giang</v>
          </cell>
          <cell r="BX3684" t="str">
            <v>AON</v>
          </cell>
        </row>
        <row r="3685">
          <cell r="A3685" t="str">
            <v>OP</v>
          </cell>
          <cell r="B3685" t="str">
            <v>Quá 24h</v>
          </cell>
          <cell r="D3685" t="str">
            <v>Khiếu nại về dịch vụ FTTH</v>
          </cell>
          <cell r="W3685" t="str">
            <v>Đã đóng</v>
          </cell>
          <cell r="AJ3685" t="str">
            <v>Phú Yên</v>
          </cell>
          <cell r="BX3685" t="str">
            <v>AON</v>
          </cell>
        </row>
        <row r="3686">
          <cell r="A3686" t="str">
            <v>OP</v>
          </cell>
          <cell r="B3686" t="str">
            <v>Quá 24h</v>
          </cell>
          <cell r="D3686" t="str">
            <v>Khiếu nại về dịch vụ FTTH</v>
          </cell>
          <cell r="W3686" t="str">
            <v>Đã đóng</v>
          </cell>
          <cell r="AJ3686" t="str">
            <v>Cà Mau</v>
          </cell>
          <cell r="BX3686" t="str">
            <v>AON</v>
          </cell>
        </row>
        <row r="3687">
          <cell r="A3687" t="str">
            <v>OP</v>
          </cell>
          <cell r="B3687" t="str">
            <v>Quá 24h</v>
          </cell>
          <cell r="D3687" t="str">
            <v>Khiếu nại về dịch vụ FTTH</v>
          </cell>
          <cell r="W3687" t="str">
            <v>Đã đóng</v>
          </cell>
          <cell r="AJ3687" t="str">
            <v>TP HCM</v>
          </cell>
          <cell r="BX3687" t="str">
            <v>AON</v>
          </cell>
        </row>
        <row r="3688">
          <cell r="A3688" t="str">
            <v>OP</v>
          </cell>
          <cell r="B3688" t="str">
            <v>Quá 24h</v>
          </cell>
          <cell r="D3688" t="str">
            <v>Khiếu nại về dịch vụ FTTH</v>
          </cell>
          <cell r="W3688" t="str">
            <v>Đang xử lý</v>
          </cell>
          <cell r="AJ3688" t="str">
            <v>Thừa Thiên Huế</v>
          </cell>
          <cell r="BX3688" t="str">
            <v>AON</v>
          </cell>
        </row>
        <row r="3689">
          <cell r="A3689" t="str">
            <v>OP</v>
          </cell>
          <cell r="B3689" t="str">
            <v>Quá 24h</v>
          </cell>
          <cell r="D3689" t="str">
            <v>Khiếu nại về dịch vụ FTTH</v>
          </cell>
          <cell r="W3689" t="str">
            <v>Đã đóng</v>
          </cell>
          <cell r="AJ3689" t="str">
            <v>Cần Thơ</v>
          </cell>
          <cell r="BX3689" t="str">
            <v>AON</v>
          </cell>
        </row>
        <row r="3690">
          <cell r="A3690" t="str">
            <v>OP</v>
          </cell>
          <cell r="B3690" t="str">
            <v>Quá 24h</v>
          </cell>
          <cell r="D3690" t="str">
            <v>Khiếu nại về dịch vụ FTTH</v>
          </cell>
          <cell r="W3690" t="str">
            <v>Đang xử lý</v>
          </cell>
          <cell r="AJ3690" t="str">
            <v>TP HCM</v>
          </cell>
          <cell r="BX3690" t="str">
            <v>AON</v>
          </cell>
        </row>
        <row r="3691">
          <cell r="A3691" t="str">
            <v>OP</v>
          </cell>
          <cell r="B3691" t="str">
            <v>Quá 24h</v>
          </cell>
          <cell r="D3691" t="str">
            <v>Khiếu nại về dịch vụ FTTH</v>
          </cell>
          <cell r="W3691" t="str">
            <v>Đã đóng</v>
          </cell>
          <cell r="AJ3691" t="str">
            <v>TP HCM</v>
          </cell>
          <cell r="BX3691" t="str">
            <v>AON</v>
          </cell>
        </row>
        <row r="3692">
          <cell r="A3692" t="str">
            <v>OP</v>
          </cell>
          <cell r="B3692" t="str">
            <v>Quá 24h</v>
          </cell>
          <cell r="D3692" t="str">
            <v>Khiếu nại về dịch vụ FTTH</v>
          </cell>
          <cell r="W3692" t="str">
            <v>Đang xử lý</v>
          </cell>
          <cell r="AJ3692" t="str">
            <v>TP HCM</v>
          </cell>
          <cell r="BX3692" t="str">
            <v>AON</v>
          </cell>
        </row>
        <row r="3693">
          <cell r="A3693" t="str">
            <v>OP</v>
          </cell>
          <cell r="B3693" t="str">
            <v>Quá 24h</v>
          </cell>
          <cell r="D3693" t="str">
            <v>Khiếu nại về dịch vụ FTTH</v>
          </cell>
          <cell r="W3693" t="str">
            <v>Đang xử lý</v>
          </cell>
          <cell r="AJ3693" t="str">
            <v xml:space="preserve">Đắc Lắk </v>
          </cell>
          <cell r="BX3693" t="str">
            <v>AON</v>
          </cell>
        </row>
        <row r="3694">
          <cell r="A3694" t="str">
            <v>OP</v>
          </cell>
          <cell r="B3694" t="str">
            <v>Quá 24h</v>
          </cell>
          <cell r="D3694" t="str">
            <v>Khiếu nại về dịch vụ FTTH</v>
          </cell>
          <cell r="W3694" t="str">
            <v>Đã đóng</v>
          </cell>
          <cell r="AJ3694" t="str">
            <v>Gia Lai</v>
          </cell>
          <cell r="BX3694" t="str">
            <v>AON</v>
          </cell>
        </row>
        <row r="3695">
          <cell r="A3695" t="str">
            <v>OP</v>
          </cell>
          <cell r="B3695" t="str">
            <v>Quá 24h</v>
          </cell>
          <cell r="D3695" t="str">
            <v>Khiếu nại về dịch vụ FTTH</v>
          </cell>
          <cell r="W3695" t="str">
            <v>Đã đóng</v>
          </cell>
          <cell r="AJ3695" t="str">
            <v>Bình Thuận</v>
          </cell>
          <cell r="BX3695" t="str">
            <v>AON</v>
          </cell>
        </row>
        <row r="3696">
          <cell r="A3696" t="str">
            <v>OP</v>
          </cell>
          <cell r="B3696" t="str">
            <v>Quá 24h</v>
          </cell>
          <cell r="D3696" t="str">
            <v>Khiếu nại về dịch vụ FTTH</v>
          </cell>
          <cell r="W3696" t="str">
            <v>Đã đóng</v>
          </cell>
          <cell r="AJ3696" t="str">
            <v>Hậu Giang</v>
          </cell>
          <cell r="BX3696" t="str">
            <v>AON</v>
          </cell>
        </row>
        <row r="3697">
          <cell r="A3697" t="str">
            <v>OP</v>
          </cell>
          <cell r="B3697" t="str">
            <v>Quá 24h</v>
          </cell>
          <cell r="D3697" t="str">
            <v>Khiếu nại về dịch vụ NextTV</v>
          </cell>
          <cell r="W3697" t="str">
            <v>Đã đóng</v>
          </cell>
          <cell r="AJ3697" t="str">
            <v>Bình Dương</v>
          </cell>
          <cell r="BX3697" t="str">
            <v>AON</v>
          </cell>
        </row>
        <row r="3698">
          <cell r="A3698" t="str">
            <v>OP</v>
          </cell>
          <cell r="B3698" t="str">
            <v>Quá 24h</v>
          </cell>
          <cell r="D3698" t="str">
            <v>Khiếu nại về dịch vụ FTTH</v>
          </cell>
          <cell r="W3698" t="str">
            <v>Đã đóng</v>
          </cell>
          <cell r="AJ3698" t="str">
            <v>Đồng Tháp</v>
          </cell>
          <cell r="BX3698" t="str">
            <v>AON</v>
          </cell>
        </row>
        <row r="3699">
          <cell r="A3699" t="str">
            <v>OP</v>
          </cell>
          <cell r="B3699" t="str">
            <v>Quá 24h</v>
          </cell>
          <cell r="D3699" t="str">
            <v>Khiếu nại về dịch vụ NextTV</v>
          </cell>
          <cell r="W3699" t="str">
            <v>Đã đóng</v>
          </cell>
          <cell r="AJ3699" t="str">
            <v>Tây Ninh</v>
          </cell>
          <cell r="BX3699" t="str">
            <v>AON</v>
          </cell>
        </row>
        <row r="3700">
          <cell r="A3700" t="str">
            <v>OP</v>
          </cell>
          <cell r="B3700" t="str">
            <v>Quá 24h</v>
          </cell>
          <cell r="D3700" t="str">
            <v>Khiếu nại về dịch vụ FTTH</v>
          </cell>
          <cell r="W3700" t="str">
            <v>Đã đóng</v>
          </cell>
          <cell r="AJ3700" t="str">
            <v>Kiên Giang</v>
          </cell>
          <cell r="BX3700" t="str">
            <v>AON</v>
          </cell>
        </row>
        <row r="3701">
          <cell r="A3701" t="str">
            <v>OP</v>
          </cell>
          <cell r="B3701" t="str">
            <v>Quá 24h</v>
          </cell>
          <cell r="D3701" t="str">
            <v>Khiếu nại về dịch vụ FTTH</v>
          </cell>
          <cell r="W3701" t="str">
            <v>Đã đóng</v>
          </cell>
          <cell r="AJ3701" t="str">
            <v>Hậu Giang</v>
          </cell>
          <cell r="BX3701" t="str">
            <v>AON</v>
          </cell>
        </row>
        <row r="3702">
          <cell r="A3702" t="str">
            <v>OP</v>
          </cell>
          <cell r="B3702" t="str">
            <v>Quá 24h</v>
          </cell>
          <cell r="D3702" t="str">
            <v>Khiếu nại về dịch vụ FTTH</v>
          </cell>
          <cell r="W3702" t="str">
            <v>Đã đóng</v>
          </cell>
          <cell r="AJ3702" t="str">
            <v xml:space="preserve">Quảng Nam </v>
          </cell>
          <cell r="BX3702" t="str">
            <v>AON</v>
          </cell>
        </row>
        <row r="3703">
          <cell r="A3703" t="str">
            <v>OP</v>
          </cell>
          <cell r="B3703" t="str">
            <v>Quá 24h</v>
          </cell>
          <cell r="D3703" t="str">
            <v>Khiếu nại về dịch vụ NextTV</v>
          </cell>
          <cell r="W3703" t="str">
            <v>Đang xử lý</v>
          </cell>
          <cell r="AJ3703" t="str">
            <v>Bến Tre</v>
          </cell>
          <cell r="BX3703" t="str">
            <v>AON</v>
          </cell>
        </row>
        <row r="3704">
          <cell r="A3704" t="str">
            <v>OP</v>
          </cell>
          <cell r="B3704" t="str">
            <v>Quá 24h</v>
          </cell>
          <cell r="D3704" t="str">
            <v>Khiếu nại về dịch vụ FTTH</v>
          </cell>
          <cell r="W3704" t="str">
            <v>Đang xử lý</v>
          </cell>
          <cell r="AJ3704" t="str">
            <v>TP HCM</v>
          </cell>
          <cell r="BX3704" t="str">
            <v>GPON</v>
          </cell>
        </row>
        <row r="3705">
          <cell r="A3705" t="str">
            <v>OP</v>
          </cell>
          <cell r="B3705" t="str">
            <v>Quá 24h</v>
          </cell>
          <cell r="D3705" t="str">
            <v>Khiếu nại về dịch vụ FTTH</v>
          </cell>
          <cell r="W3705" t="str">
            <v>Đã đóng</v>
          </cell>
          <cell r="AJ3705" t="str">
            <v>TP HCM</v>
          </cell>
          <cell r="BX3705" t="str">
            <v>AON</v>
          </cell>
        </row>
        <row r="3706">
          <cell r="A3706" t="str">
            <v>OP</v>
          </cell>
          <cell r="B3706" t="str">
            <v>Quá 24h</v>
          </cell>
          <cell r="D3706" t="str">
            <v>Khiếu nại về dịch vụ FTTH</v>
          </cell>
          <cell r="W3706" t="str">
            <v>Đã đóng</v>
          </cell>
          <cell r="AJ3706" t="str">
            <v>Bình Dương</v>
          </cell>
          <cell r="BX3706" t="str">
            <v>AON</v>
          </cell>
        </row>
        <row r="3707">
          <cell r="A3707" t="str">
            <v>OP</v>
          </cell>
          <cell r="B3707" t="str">
            <v>Quá 24h</v>
          </cell>
          <cell r="D3707" t="str">
            <v>Khiếu nại về dịch vụ FTTH</v>
          </cell>
          <cell r="W3707" t="str">
            <v>Đã đóng</v>
          </cell>
          <cell r="AJ3707" t="str">
            <v>TP HCM</v>
          </cell>
          <cell r="BX3707" t="str">
            <v>AON</v>
          </cell>
        </row>
        <row r="3708">
          <cell r="A3708" t="str">
            <v>OP</v>
          </cell>
          <cell r="B3708" t="str">
            <v>Quá 24h</v>
          </cell>
          <cell r="D3708" t="str">
            <v>Khiếu nại về dịch vụ FTTH</v>
          </cell>
          <cell r="W3708" t="str">
            <v>Đã đóng</v>
          </cell>
          <cell r="AJ3708" t="str">
            <v>An Giang</v>
          </cell>
          <cell r="BX3708" t="str">
            <v>AON</v>
          </cell>
        </row>
        <row r="3709">
          <cell r="A3709" t="str">
            <v>OP</v>
          </cell>
          <cell r="B3709" t="str">
            <v>Quá 24h</v>
          </cell>
          <cell r="D3709" t="str">
            <v>Khiếu nại về dịch vụ FTTH</v>
          </cell>
          <cell r="W3709" t="str">
            <v>Đã đóng</v>
          </cell>
          <cell r="AJ3709" t="str">
            <v>An Giang</v>
          </cell>
          <cell r="BX3709" t="str">
            <v>AON</v>
          </cell>
        </row>
        <row r="3710">
          <cell r="A3710" t="str">
            <v>OP</v>
          </cell>
          <cell r="B3710" t="str">
            <v>Quá 24h</v>
          </cell>
          <cell r="D3710" t="str">
            <v>Khiếu nại về dịch vụ FTTH</v>
          </cell>
          <cell r="W3710" t="str">
            <v>Đã đóng</v>
          </cell>
          <cell r="AJ3710" t="str">
            <v>Đắc Nông</v>
          </cell>
          <cell r="BX3710" t="str">
            <v>AON</v>
          </cell>
        </row>
        <row r="3711">
          <cell r="A3711" t="str">
            <v>OP</v>
          </cell>
          <cell r="B3711" t="str">
            <v>Quá 24h</v>
          </cell>
          <cell r="D3711" t="str">
            <v>Khiếu nại về dịch vụ FTTH</v>
          </cell>
          <cell r="W3711" t="str">
            <v>Đã đóng</v>
          </cell>
          <cell r="AJ3711" t="str">
            <v>Bình Dương</v>
          </cell>
          <cell r="BX3711" t="str">
            <v>AON</v>
          </cell>
        </row>
        <row r="3712">
          <cell r="A3712" t="str">
            <v>OP</v>
          </cell>
          <cell r="B3712" t="str">
            <v>Quá 24h</v>
          </cell>
          <cell r="D3712" t="str">
            <v>Khiếu nại về dịch vụ FTTH</v>
          </cell>
          <cell r="W3712" t="str">
            <v>Đã đóng</v>
          </cell>
          <cell r="AJ3712" t="str">
            <v>TP HCM</v>
          </cell>
          <cell r="BX3712" t="str">
            <v>AON</v>
          </cell>
        </row>
        <row r="3713">
          <cell r="A3713" t="str">
            <v>OP</v>
          </cell>
          <cell r="B3713" t="str">
            <v>Quá 24h</v>
          </cell>
          <cell r="D3713" t="str">
            <v>Khiếu nại về dịch vụ FTTH</v>
          </cell>
          <cell r="W3713" t="str">
            <v>Đã đóng</v>
          </cell>
          <cell r="AJ3713" t="str">
            <v>Bình Dương</v>
          </cell>
          <cell r="BX3713" t="str">
            <v>AON</v>
          </cell>
        </row>
        <row r="3714">
          <cell r="A3714" t="str">
            <v>OP</v>
          </cell>
          <cell r="B3714" t="str">
            <v>Quá 24h</v>
          </cell>
          <cell r="D3714" t="str">
            <v>Khiếu nại về dịch vụ FTTH</v>
          </cell>
          <cell r="W3714" t="str">
            <v>Đã đóng</v>
          </cell>
          <cell r="AJ3714" t="str">
            <v>TP HCM</v>
          </cell>
          <cell r="BX3714" t="str">
            <v>AON</v>
          </cell>
        </row>
        <row r="3715">
          <cell r="A3715" t="str">
            <v>OP</v>
          </cell>
          <cell r="B3715" t="str">
            <v>Quá 24h</v>
          </cell>
          <cell r="D3715" t="str">
            <v>Khiếu nại về dịch vụ FTTH</v>
          </cell>
          <cell r="W3715" t="str">
            <v>Đã đóng</v>
          </cell>
          <cell r="AJ3715" t="str">
            <v>Hậu Giang</v>
          </cell>
          <cell r="BX3715" t="str">
            <v>AON</v>
          </cell>
        </row>
        <row r="3716">
          <cell r="A3716" t="str">
            <v>OP</v>
          </cell>
          <cell r="B3716" t="str">
            <v>Quá 24h</v>
          </cell>
          <cell r="D3716" t="str">
            <v>Khiếu nại về dịch vụ FTTH</v>
          </cell>
          <cell r="W3716" t="str">
            <v>Đã đóng</v>
          </cell>
          <cell r="AJ3716" t="str">
            <v>Hậu Giang</v>
          </cell>
          <cell r="BX3716" t="str">
            <v>AON</v>
          </cell>
        </row>
        <row r="3717">
          <cell r="A3717" t="str">
            <v>OP</v>
          </cell>
          <cell r="B3717" t="str">
            <v>Quá 24h</v>
          </cell>
          <cell r="D3717" t="str">
            <v>Khiếu nại về dịch vụ FTTH</v>
          </cell>
          <cell r="W3717" t="str">
            <v>Đã đóng</v>
          </cell>
          <cell r="AJ3717" t="str">
            <v>Bình Dương</v>
          </cell>
          <cell r="BX3717" t="str">
            <v>AON</v>
          </cell>
        </row>
        <row r="3718">
          <cell r="A3718" t="str">
            <v>OP</v>
          </cell>
          <cell r="B3718" t="str">
            <v>Quá 24h</v>
          </cell>
          <cell r="D3718" t="str">
            <v>Khiếu nại về dịch vụ FTTH</v>
          </cell>
          <cell r="W3718" t="str">
            <v>Đã đóng</v>
          </cell>
          <cell r="AJ3718" t="str">
            <v>TP HCM</v>
          </cell>
          <cell r="BX3718" t="str">
            <v>AON</v>
          </cell>
        </row>
        <row r="3719">
          <cell r="A3719" t="str">
            <v>OP</v>
          </cell>
          <cell r="B3719" t="str">
            <v>Quá 24h</v>
          </cell>
          <cell r="D3719" t="str">
            <v>Khiếu nại về dịch vụ FTTH</v>
          </cell>
          <cell r="W3719" t="str">
            <v>Đã đóng</v>
          </cell>
          <cell r="AJ3719" t="str">
            <v>An Giang</v>
          </cell>
          <cell r="BX3719" t="str">
            <v>AON</v>
          </cell>
        </row>
        <row r="3720">
          <cell r="A3720" t="str">
            <v>OP</v>
          </cell>
          <cell r="B3720" t="str">
            <v>Quá 24h</v>
          </cell>
          <cell r="D3720" t="str">
            <v>Khiếu nại về dịch vụ FTTH</v>
          </cell>
          <cell r="W3720" t="str">
            <v>Đã đóng</v>
          </cell>
          <cell r="AJ3720" t="str">
            <v>Bình Dương</v>
          </cell>
          <cell r="BX3720" t="str">
            <v>AON</v>
          </cell>
        </row>
        <row r="3721">
          <cell r="A3721" t="str">
            <v>OP</v>
          </cell>
          <cell r="B3721" t="str">
            <v>Quá 24h</v>
          </cell>
          <cell r="D3721" t="str">
            <v>Khiếu nại về dịch vụ FTTH</v>
          </cell>
          <cell r="W3721" t="str">
            <v>Đang xử lý</v>
          </cell>
          <cell r="AJ3721" t="str">
            <v>Cần Thơ</v>
          </cell>
          <cell r="BX3721" t="str">
            <v>AON</v>
          </cell>
        </row>
        <row r="3722">
          <cell r="A3722" t="str">
            <v>OP</v>
          </cell>
          <cell r="B3722" t="str">
            <v>Quá 24h</v>
          </cell>
          <cell r="D3722" t="str">
            <v>Khiếu nại về dịch vụ FTTH</v>
          </cell>
          <cell r="W3722" t="str">
            <v>Đã đóng</v>
          </cell>
          <cell r="AJ3722" t="str">
            <v>TP HCM</v>
          </cell>
          <cell r="BX3722" t="str">
            <v>GPON</v>
          </cell>
        </row>
        <row r="3723">
          <cell r="A3723" t="str">
            <v>OP</v>
          </cell>
          <cell r="B3723" t="str">
            <v>Quá 24h</v>
          </cell>
          <cell r="D3723" t="str">
            <v>Khiếu nại về dịch vụ FTTH</v>
          </cell>
          <cell r="W3723" t="str">
            <v>Đã đóng</v>
          </cell>
          <cell r="AJ3723" t="str">
            <v>Thừa Thiên Huế</v>
          </cell>
          <cell r="BX3723" t="str">
            <v>AON</v>
          </cell>
        </row>
        <row r="3724">
          <cell r="A3724" t="str">
            <v>OP</v>
          </cell>
          <cell r="B3724" t="str">
            <v>Quá 24h</v>
          </cell>
          <cell r="D3724" t="str">
            <v>Khiếu nại về dịch vụ FTTH</v>
          </cell>
          <cell r="W3724" t="str">
            <v>Đã đóng</v>
          </cell>
          <cell r="AJ3724" t="str">
            <v>TP HCM</v>
          </cell>
          <cell r="BX3724" t="str">
            <v>AON</v>
          </cell>
        </row>
        <row r="3725">
          <cell r="A3725" t="str">
            <v>OP</v>
          </cell>
          <cell r="B3725" t="str">
            <v>Quá 24h</v>
          </cell>
          <cell r="D3725" t="str">
            <v>Khiếu nại về dịch vụ FTTH</v>
          </cell>
          <cell r="W3725" t="str">
            <v>Đã đóng</v>
          </cell>
          <cell r="AJ3725" t="str">
            <v>Kiên Giang</v>
          </cell>
          <cell r="BX3725" t="str">
            <v>AON</v>
          </cell>
        </row>
        <row r="3726">
          <cell r="A3726" t="str">
            <v>OP</v>
          </cell>
          <cell r="B3726" t="str">
            <v>Quá 24h</v>
          </cell>
          <cell r="D3726" t="str">
            <v>Khiếu nại về dịch vụ FTTH</v>
          </cell>
          <cell r="W3726" t="str">
            <v>Đang xử lý</v>
          </cell>
          <cell r="AJ3726" t="str">
            <v>TP HCM</v>
          </cell>
          <cell r="BX3726" t="str">
            <v>AON</v>
          </cell>
        </row>
        <row r="3727">
          <cell r="A3727" t="str">
            <v>OP</v>
          </cell>
          <cell r="B3727" t="str">
            <v>Quá 24h</v>
          </cell>
          <cell r="D3727" t="str">
            <v>Khiếu nại về dịch vụ FTTH</v>
          </cell>
          <cell r="W3727" t="str">
            <v>Đã đóng</v>
          </cell>
          <cell r="AJ3727" t="str">
            <v>TP HCM</v>
          </cell>
          <cell r="BX3727" t="str">
            <v>AON</v>
          </cell>
        </row>
        <row r="3728">
          <cell r="A3728" t="str">
            <v>OP</v>
          </cell>
          <cell r="B3728" t="str">
            <v>Quá 24h</v>
          </cell>
          <cell r="D3728" t="str">
            <v>Khiếu nại về dịch vụ FTTH</v>
          </cell>
          <cell r="W3728" t="str">
            <v>Đang xử lý</v>
          </cell>
          <cell r="AJ3728" t="str">
            <v xml:space="preserve">Đà Nẵng </v>
          </cell>
          <cell r="BX3728" t="str">
            <v>AON</v>
          </cell>
        </row>
        <row r="3729">
          <cell r="A3729" t="str">
            <v>OP</v>
          </cell>
          <cell r="B3729" t="str">
            <v>Quá 24h</v>
          </cell>
          <cell r="D3729" t="str">
            <v>Khiếu nại về dịch vụ FTTH</v>
          </cell>
          <cell r="W3729" t="str">
            <v>Đã đóng</v>
          </cell>
          <cell r="AJ3729" t="str">
            <v>Lâm Đồng</v>
          </cell>
          <cell r="BX3729" t="str">
            <v>AON</v>
          </cell>
        </row>
        <row r="3730">
          <cell r="A3730" t="str">
            <v>OP</v>
          </cell>
          <cell r="B3730" t="str">
            <v>Quá 24h</v>
          </cell>
          <cell r="D3730" t="str">
            <v>Khiếu nại về dịch vụ NextTV</v>
          </cell>
          <cell r="W3730" t="str">
            <v>Đã đóng</v>
          </cell>
          <cell r="AJ3730" t="str">
            <v>TP HCM</v>
          </cell>
          <cell r="BX3730" t="str">
            <v>AON</v>
          </cell>
        </row>
        <row r="3731">
          <cell r="A3731" t="str">
            <v>OP</v>
          </cell>
          <cell r="B3731" t="str">
            <v>Quá 24h</v>
          </cell>
          <cell r="D3731" t="str">
            <v>Khiếu nại về dịch vụ FTTH</v>
          </cell>
          <cell r="W3731" t="str">
            <v>Đã đóng</v>
          </cell>
          <cell r="AJ3731" t="str">
            <v>Cà Mau</v>
          </cell>
          <cell r="BX3731" t="str">
            <v>AON</v>
          </cell>
        </row>
        <row r="3732">
          <cell r="A3732" t="str">
            <v>OP</v>
          </cell>
          <cell r="B3732" t="str">
            <v>Quá 24h</v>
          </cell>
          <cell r="D3732" t="str">
            <v>Khiếu nại về dịch vụ FTTH</v>
          </cell>
          <cell r="W3732" t="str">
            <v>Đang xử lý</v>
          </cell>
          <cell r="AJ3732" t="str">
            <v>TP HCM</v>
          </cell>
          <cell r="BX3732" t="str">
            <v>AON</v>
          </cell>
        </row>
        <row r="3733">
          <cell r="A3733" t="str">
            <v>OP</v>
          </cell>
          <cell r="B3733" t="str">
            <v>Quá 24h</v>
          </cell>
          <cell r="D3733" t="str">
            <v>Khiếu nại về dịch vụ FTTH</v>
          </cell>
          <cell r="W3733" t="str">
            <v>Đã đóng</v>
          </cell>
          <cell r="AJ3733" t="str">
            <v>Cà Mau</v>
          </cell>
          <cell r="BX3733" t="str">
            <v>AON</v>
          </cell>
        </row>
        <row r="3734">
          <cell r="A3734" t="str">
            <v>OP</v>
          </cell>
          <cell r="B3734" t="str">
            <v>Quá 24h</v>
          </cell>
          <cell r="D3734" t="str">
            <v>Khiếu nại về dịch vụ FTTH</v>
          </cell>
          <cell r="W3734" t="str">
            <v>Đã đóng</v>
          </cell>
          <cell r="AJ3734" t="str">
            <v>An Giang</v>
          </cell>
          <cell r="BX3734" t="str">
            <v>AON</v>
          </cell>
        </row>
        <row r="3735">
          <cell r="A3735" t="str">
            <v>OP</v>
          </cell>
          <cell r="B3735" t="str">
            <v>Quá 24h</v>
          </cell>
          <cell r="D3735" t="str">
            <v>Khiếu nại về dịch vụ FTTH</v>
          </cell>
          <cell r="W3735" t="str">
            <v>Đã đóng</v>
          </cell>
          <cell r="AJ3735" t="str">
            <v>Lâm Đồng</v>
          </cell>
          <cell r="BX3735" t="str">
            <v>AON</v>
          </cell>
        </row>
        <row r="3736">
          <cell r="A3736" t="str">
            <v>OP</v>
          </cell>
          <cell r="B3736" t="str">
            <v>Quá 24h</v>
          </cell>
          <cell r="D3736" t="str">
            <v>Khiếu nại về dịch vụ FTTH</v>
          </cell>
          <cell r="W3736" t="str">
            <v>Đang xử lý</v>
          </cell>
          <cell r="AJ3736" t="str">
            <v xml:space="preserve">Đắc Lắk </v>
          </cell>
          <cell r="BX3736" t="str">
            <v>AON</v>
          </cell>
        </row>
        <row r="3737">
          <cell r="A3737" t="str">
            <v>OP</v>
          </cell>
          <cell r="B3737" t="str">
            <v>Quá 24h</v>
          </cell>
          <cell r="D3737" t="str">
            <v>Khiếu nại về dịch vụ FTTH</v>
          </cell>
          <cell r="W3737" t="str">
            <v>Đã đóng</v>
          </cell>
          <cell r="AJ3737" t="str">
            <v>TP HCM</v>
          </cell>
          <cell r="BX3737" t="str">
            <v>AON</v>
          </cell>
        </row>
        <row r="3738">
          <cell r="A3738" t="str">
            <v>OP</v>
          </cell>
          <cell r="B3738" t="str">
            <v>Quá 24h</v>
          </cell>
          <cell r="D3738" t="str">
            <v>Khiếu nại về dịch vụ FTTH</v>
          </cell>
          <cell r="W3738" t="str">
            <v>Đã đóng</v>
          </cell>
          <cell r="AJ3738" t="str">
            <v>TP HCM</v>
          </cell>
          <cell r="BX3738" t="str">
            <v>AON</v>
          </cell>
        </row>
        <row r="3739">
          <cell r="A3739" t="str">
            <v>OP</v>
          </cell>
          <cell r="B3739" t="str">
            <v>Quá 24h</v>
          </cell>
          <cell r="D3739" t="str">
            <v>Khiếu nại về dịch vụ FTTH</v>
          </cell>
          <cell r="W3739" t="str">
            <v>Đã đóng</v>
          </cell>
          <cell r="AJ3739" t="str">
            <v>TP HCM</v>
          </cell>
          <cell r="BX3739" t="str">
            <v>AON</v>
          </cell>
        </row>
        <row r="3740">
          <cell r="A3740" t="str">
            <v>OP</v>
          </cell>
          <cell r="B3740" t="str">
            <v>Quá 24h</v>
          </cell>
          <cell r="D3740" t="str">
            <v>Khiếu nại về dịch vụ FTTH</v>
          </cell>
          <cell r="W3740" t="str">
            <v>Đã đóng</v>
          </cell>
          <cell r="AJ3740" t="str">
            <v>Bình Dương</v>
          </cell>
          <cell r="BX3740" t="str">
            <v>AON</v>
          </cell>
        </row>
        <row r="3741">
          <cell r="A3741" t="str">
            <v>OP</v>
          </cell>
          <cell r="B3741" t="str">
            <v>Quá 24h</v>
          </cell>
          <cell r="D3741" t="str">
            <v>Khiếu nại về dịch vụ FTTH</v>
          </cell>
          <cell r="W3741" t="str">
            <v>Đã đóng</v>
          </cell>
          <cell r="AJ3741" t="str">
            <v>TP HCM</v>
          </cell>
          <cell r="BX3741" t="str">
            <v>AON</v>
          </cell>
        </row>
        <row r="3742">
          <cell r="A3742" t="str">
            <v>OP</v>
          </cell>
          <cell r="B3742" t="str">
            <v>Quá 24h</v>
          </cell>
          <cell r="D3742" t="str">
            <v>Khiếu nại về dịch vụ FTTH</v>
          </cell>
          <cell r="W3742" t="str">
            <v>Đã đóng</v>
          </cell>
          <cell r="AJ3742" t="str">
            <v>TP HCM</v>
          </cell>
          <cell r="BX3742" t="str">
            <v>AON</v>
          </cell>
        </row>
        <row r="3743">
          <cell r="A3743" t="str">
            <v>OP</v>
          </cell>
          <cell r="B3743" t="str">
            <v>Quá 24h</v>
          </cell>
          <cell r="D3743" t="str">
            <v>Khiếu nại về dịch vụ FTTH</v>
          </cell>
          <cell r="W3743" t="str">
            <v>Đã đóng</v>
          </cell>
          <cell r="AJ3743" t="str">
            <v>TP HCM</v>
          </cell>
          <cell r="BX3743" t="str">
            <v>AON</v>
          </cell>
        </row>
        <row r="3744">
          <cell r="A3744" t="str">
            <v>OP</v>
          </cell>
          <cell r="B3744" t="str">
            <v>Quá 24h</v>
          </cell>
          <cell r="D3744" t="str">
            <v>Khiếu nại về dịch vụ FTTH</v>
          </cell>
          <cell r="W3744" t="str">
            <v>Đã đóng</v>
          </cell>
          <cell r="AJ3744" t="str">
            <v>Hậu Giang</v>
          </cell>
          <cell r="BX3744" t="str">
            <v>AON</v>
          </cell>
        </row>
        <row r="3745">
          <cell r="A3745" t="str">
            <v>OP</v>
          </cell>
          <cell r="B3745" t="str">
            <v>Quá 24h</v>
          </cell>
          <cell r="D3745" t="str">
            <v>Khiếu nại về dịch vụ FTTH</v>
          </cell>
          <cell r="W3745" t="str">
            <v>Đã đóng</v>
          </cell>
          <cell r="AJ3745" t="str">
            <v>TP HCM</v>
          </cell>
          <cell r="BX3745" t="str">
            <v>AON</v>
          </cell>
        </row>
        <row r="3746">
          <cell r="A3746" t="str">
            <v>OP</v>
          </cell>
          <cell r="B3746" t="str">
            <v>Quá 24h</v>
          </cell>
          <cell r="D3746" t="str">
            <v>Khiếu nại về dịch vụ FTTH</v>
          </cell>
          <cell r="W3746" t="str">
            <v>Đã đóng</v>
          </cell>
          <cell r="AJ3746" t="str">
            <v>Cần Thơ</v>
          </cell>
          <cell r="BX3746" t="str">
            <v>AON</v>
          </cell>
        </row>
        <row r="3747">
          <cell r="A3747" t="str">
            <v>OP</v>
          </cell>
          <cell r="B3747" t="str">
            <v>Quá 24h</v>
          </cell>
          <cell r="D3747" t="str">
            <v>Khiếu nại về dịch vụ FTTH</v>
          </cell>
          <cell r="W3747" t="str">
            <v>Đang xử lý</v>
          </cell>
          <cell r="AJ3747" t="str">
            <v>Thừa Thiên Huế</v>
          </cell>
          <cell r="BX3747" t="str">
            <v>AON</v>
          </cell>
        </row>
        <row r="3748">
          <cell r="A3748" t="str">
            <v>OP</v>
          </cell>
          <cell r="B3748" t="str">
            <v>Quá 24h</v>
          </cell>
          <cell r="D3748" t="str">
            <v>Khiếu nại về dịch vụ FTTH</v>
          </cell>
          <cell r="W3748" t="str">
            <v>Đã đóng</v>
          </cell>
          <cell r="AJ3748" t="str">
            <v>Bình Định</v>
          </cell>
          <cell r="BX3748" t="str">
            <v>AON</v>
          </cell>
        </row>
        <row r="3749">
          <cell r="A3749" t="str">
            <v>OP</v>
          </cell>
          <cell r="B3749" t="str">
            <v>Quá 24h</v>
          </cell>
          <cell r="D3749" t="str">
            <v>Khiếu nại về dịch vụ FTTH</v>
          </cell>
          <cell r="W3749" t="str">
            <v>Đã đóng</v>
          </cell>
          <cell r="AJ3749" t="str">
            <v>TP HCM</v>
          </cell>
          <cell r="BX3749" t="str">
            <v>AON</v>
          </cell>
        </row>
        <row r="3750">
          <cell r="A3750" t="str">
            <v>OP</v>
          </cell>
          <cell r="B3750" t="str">
            <v>Quá 24h</v>
          </cell>
          <cell r="D3750" t="str">
            <v>Khiếu nại về dịch vụ FTTH</v>
          </cell>
          <cell r="W3750" t="str">
            <v>Đang xử lý</v>
          </cell>
          <cell r="AJ3750" t="str">
            <v>Cà Mau</v>
          </cell>
          <cell r="BX3750" t="str">
            <v>AON</v>
          </cell>
        </row>
        <row r="3751">
          <cell r="A3751" t="str">
            <v>OP</v>
          </cell>
          <cell r="B3751" t="str">
            <v>Quá 24h</v>
          </cell>
          <cell r="D3751" t="str">
            <v>Khiếu nại về dịch vụ FTTH</v>
          </cell>
          <cell r="W3751" t="str">
            <v>Đã đóng</v>
          </cell>
          <cell r="AJ3751" t="str">
            <v>TP HCM</v>
          </cell>
          <cell r="BX3751" t="str">
            <v>AON</v>
          </cell>
        </row>
        <row r="3752">
          <cell r="A3752" t="str">
            <v>OP</v>
          </cell>
          <cell r="B3752" t="str">
            <v>Quá 24h</v>
          </cell>
          <cell r="D3752" t="str">
            <v>Khiếu nại về dịch vụ FTTH</v>
          </cell>
          <cell r="W3752" t="str">
            <v>Đang xử lý</v>
          </cell>
          <cell r="AJ3752" t="str">
            <v>TP HCM</v>
          </cell>
          <cell r="BX3752" t="str">
            <v>AON</v>
          </cell>
        </row>
        <row r="3753">
          <cell r="A3753" t="str">
            <v>OP</v>
          </cell>
          <cell r="B3753" t="str">
            <v>Quá 24h</v>
          </cell>
          <cell r="D3753" t="str">
            <v>Khiếu nại về dịch vụ FTTH</v>
          </cell>
          <cell r="W3753" t="str">
            <v>Đã đóng</v>
          </cell>
          <cell r="AJ3753" t="str">
            <v>Cần Thơ</v>
          </cell>
          <cell r="BX3753" t="str">
            <v>AON</v>
          </cell>
        </row>
        <row r="3754">
          <cell r="A3754" t="str">
            <v>OP</v>
          </cell>
          <cell r="B3754" t="str">
            <v>Quá 24h</v>
          </cell>
          <cell r="D3754" t="str">
            <v>Khiếu nại về dịch vụ FTTH</v>
          </cell>
          <cell r="W3754" t="str">
            <v>Đã đóng</v>
          </cell>
          <cell r="AJ3754" t="str">
            <v xml:space="preserve">Đà Nẵng </v>
          </cell>
          <cell r="BX3754" t="str">
            <v>AON</v>
          </cell>
        </row>
        <row r="3755">
          <cell r="A3755" t="str">
            <v>OP</v>
          </cell>
          <cell r="B3755" t="str">
            <v>Quá 24h</v>
          </cell>
          <cell r="D3755" t="str">
            <v>Khiếu nại về dịch vụ FTTH</v>
          </cell>
          <cell r="W3755" t="str">
            <v>Đang xử lý</v>
          </cell>
          <cell r="AJ3755" t="str">
            <v>Thừa Thiên Huế</v>
          </cell>
          <cell r="BX3755" t="str">
            <v>AON</v>
          </cell>
        </row>
        <row r="3756">
          <cell r="A3756" t="str">
            <v>OP</v>
          </cell>
          <cell r="B3756" t="str">
            <v>Quá 24h</v>
          </cell>
          <cell r="D3756" t="str">
            <v>Khiếu nại về dịch vụ FTTH</v>
          </cell>
          <cell r="W3756" t="str">
            <v>Đã đóng</v>
          </cell>
          <cell r="AJ3756" t="str">
            <v>TP HCM</v>
          </cell>
          <cell r="BX3756" t="str">
            <v>AON</v>
          </cell>
        </row>
        <row r="3757">
          <cell r="A3757" t="str">
            <v>OP</v>
          </cell>
          <cell r="B3757" t="str">
            <v>Quá 24h</v>
          </cell>
          <cell r="D3757" t="str">
            <v>Khiếu nại về dịch vụ FTTH</v>
          </cell>
          <cell r="W3757" t="str">
            <v>Đã đóng</v>
          </cell>
          <cell r="AJ3757" t="str">
            <v>Hậu Giang</v>
          </cell>
          <cell r="BX3757" t="str">
            <v>AON</v>
          </cell>
        </row>
        <row r="3758">
          <cell r="A3758" t="str">
            <v>OP</v>
          </cell>
          <cell r="B3758" t="str">
            <v>Quá 24h</v>
          </cell>
          <cell r="D3758" t="str">
            <v>Khiếu nại về dịch vụ FTTH</v>
          </cell>
          <cell r="W3758" t="str">
            <v>Đã đóng</v>
          </cell>
          <cell r="AJ3758" t="str">
            <v>TP HCM</v>
          </cell>
          <cell r="BX3758" t="str">
            <v>AON</v>
          </cell>
        </row>
        <row r="3759">
          <cell r="A3759" t="str">
            <v>OP</v>
          </cell>
          <cell r="B3759" t="str">
            <v>Quá 24h</v>
          </cell>
          <cell r="D3759" t="str">
            <v>Khiếu nại về dịch vụ FTTH</v>
          </cell>
          <cell r="W3759" t="str">
            <v>Đã đóng</v>
          </cell>
          <cell r="AJ3759" t="str">
            <v>An Giang</v>
          </cell>
          <cell r="BX3759" t="str">
            <v>AON</v>
          </cell>
        </row>
        <row r="3760">
          <cell r="A3760" t="str">
            <v>OP</v>
          </cell>
          <cell r="B3760" t="str">
            <v>Quá 24h</v>
          </cell>
          <cell r="D3760" t="str">
            <v>Khiếu nại về dịch vụ FTTH</v>
          </cell>
          <cell r="W3760" t="str">
            <v>Đang xử lý</v>
          </cell>
          <cell r="AJ3760" t="str">
            <v>TP HCM</v>
          </cell>
          <cell r="BX3760" t="str">
            <v>AON</v>
          </cell>
        </row>
        <row r="3761">
          <cell r="A3761" t="str">
            <v>OP</v>
          </cell>
          <cell r="B3761" t="str">
            <v>Quá 24h</v>
          </cell>
          <cell r="D3761" t="str">
            <v>Khiếu nại về dịch vụ FTTH</v>
          </cell>
          <cell r="W3761" t="str">
            <v>Đang xử lý</v>
          </cell>
          <cell r="AJ3761" t="str">
            <v>TP HCM</v>
          </cell>
          <cell r="BX3761" t="str">
            <v>AON</v>
          </cell>
        </row>
        <row r="3762">
          <cell r="A3762" t="str">
            <v>OP</v>
          </cell>
          <cell r="B3762" t="str">
            <v>Quá 24h</v>
          </cell>
          <cell r="D3762" t="str">
            <v>Khiếu nại về dịch vụ FTTH</v>
          </cell>
          <cell r="W3762" t="str">
            <v>Đã đóng</v>
          </cell>
          <cell r="AJ3762" t="str">
            <v>Cà Mau</v>
          </cell>
          <cell r="BX3762" t="str">
            <v>AON</v>
          </cell>
        </row>
        <row r="3763">
          <cell r="A3763" t="str">
            <v>OP</v>
          </cell>
          <cell r="B3763" t="str">
            <v>Quá 24h</v>
          </cell>
          <cell r="D3763" t="str">
            <v>Khiếu nại về dịch vụ FTTH</v>
          </cell>
          <cell r="W3763" t="str">
            <v>Đã đóng</v>
          </cell>
          <cell r="AJ3763" t="str">
            <v>Cà Mau</v>
          </cell>
          <cell r="BX3763" t="str">
            <v>GPON</v>
          </cell>
        </row>
        <row r="3764">
          <cell r="A3764" t="str">
            <v>OP</v>
          </cell>
          <cell r="B3764" t="str">
            <v>Quá 24h</v>
          </cell>
          <cell r="D3764" t="str">
            <v>Khiếu nại về dịch vụ FTTH</v>
          </cell>
          <cell r="W3764" t="str">
            <v>Đã đóng</v>
          </cell>
          <cell r="AJ3764" t="str">
            <v>Thừa Thiên Huế</v>
          </cell>
          <cell r="BX3764" t="str">
            <v>AON</v>
          </cell>
        </row>
        <row r="3765">
          <cell r="A3765" t="str">
            <v>OP</v>
          </cell>
          <cell r="B3765" t="str">
            <v>Quá 24h</v>
          </cell>
          <cell r="D3765" t="str">
            <v>Khiếu nại về dịch vụ FTTH</v>
          </cell>
          <cell r="W3765" t="str">
            <v>Đã đóng</v>
          </cell>
          <cell r="AJ3765" t="str">
            <v>Phú Yên</v>
          </cell>
          <cell r="BX3765" t="str">
            <v>AON</v>
          </cell>
        </row>
        <row r="3766">
          <cell r="A3766" t="str">
            <v>OP</v>
          </cell>
          <cell r="B3766" t="str">
            <v>Quá 24h</v>
          </cell>
          <cell r="D3766" t="str">
            <v>Khiếu nại về dịch vụ FTTH</v>
          </cell>
          <cell r="W3766" t="str">
            <v>Đã đóng</v>
          </cell>
          <cell r="AJ3766" t="str">
            <v xml:space="preserve">Đà Nẵng </v>
          </cell>
          <cell r="BX3766" t="str">
            <v>AON</v>
          </cell>
        </row>
        <row r="3767">
          <cell r="A3767" t="str">
            <v>OP</v>
          </cell>
          <cell r="B3767" t="str">
            <v>Quá 24h</v>
          </cell>
          <cell r="D3767" t="str">
            <v>Khiếu nại về dịch vụ FTTH</v>
          </cell>
          <cell r="W3767" t="str">
            <v>Đã đóng</v>
          </cell>
          <cell r="AJ3767" t="str">
            <v xml:space="preserve">Quảng Nam </v>
          </cell>
          <cell r="BX3767" t="str">
            <v>AON</v>
          </cell>
        </row>
        <row r="3768">
          <cell r="A3768" t="str">
            <v>OP</v>
          </cell>
          <cell r="B3768" t="str">
            <v>Quá 24h</v>
          </cell>
          <cell r="D3768" t="str">
            <v>Khiếu nại về dịch vụ FTTH</v>
          </cell>
          <cell r="W3768" t="str">
            <v>Đang xử lý</v>
          </cell>
          <cell r="AJ3768" t="str">
            <v>Bình Dương</v>
          </cell>
          <cell r="BX3768" t="str">
            <v>AON</v>
          </cell>
        </row>
        <row r="3769">
          <cell r="A3769" t="str">
            <v>OP</v>
          </cell>
          <cell r="B3769" t="str">
            <v>Quá 24h</v>
          </cell>
          <cell r="D3769" t="str">
            <v>Khiếu nại về dịch vụ FTTH</v>
          </cell>
          <cell r="W3769" t="str">
            <v>Đã đóng</v>
          </cell>
          <cell r="AJ3769" t="str">
            <v>TP HCM</v>
          </cell>
          <cell r="BX3769" t="str">
            <v>AON</v>
          </cell>
        </row>
        <row r="3770">
          <cell r="A3770" t="str">
            <v>OP</v>
          </cell>
          <cell r="B3770" t="str">
            <v>Quá 24h</v>
          </cell>
          <cell r="D3770" t="str">
            <v>Khiếu nại về dịch vụ FTTH</v>
          </cell>
          <cell r="W3770" t="str">
            <v>Đã đóng</v>
          </cell>
          <cell r="AJ3770" t="str">
            <v>TP HCM</v>
          </cell>
          <cell r="BX3770" t="str">
            <v>GPON</v>
          </cell>
        </row>
        <row r="3771">
          <cell r="A3771" t="str">
            <v>OP</v>
          </cell>
          <cell r="B3771" t="str">
            <v>Quá 24h</v>
          </cell>
          <cell r="D3771" t="str">
            <v>Khiếu nại về dịch vụ FTTH</v>
          </cell>
          <cell r="W3771" t="str">
            <v>Đã đóng</v>
          </cell>
          <cell r="AJ3771" t="str">
            <v>TP HCM</v>
          </cell>
          <cell r="BX3771" t="str">
            <v>AON</v>
          </cell>
        </row>
        <row r="3772">
          <cell r="A3772" t="str">
            <v>OP</v>
          </cell>
          <cell r="B3772" t="str">
            <v>Quá 24h</v>
          </cell>
          <cell r="D3772" t="str">
            <v>Khiếu nại về dịch vụ FTTH</v>
          </cell>
          <cell r="W3772" t="str">
            <v>Đã đóng</v>
          </cell>
          <cell r="AJ3772" t="str">
            <v xml:space="preserve">Quảng Nam </v>
          </cell>
          <cell r="BX3772" t="str">
            <v>AON</v>
          </cell>
        </row>
        <row r="3773">
          <cell r="A3773" t="str">
            <v>OP</v>
          </cell>
          <cell r="B3773" t="str">
            <v>Quá 24h</v>
          </cell>
          <cell r="D3773" t="str">
            <v>Khiếu nại về dịch vụ FTTH</v>
          </cell>
          <cell r="W3773" t="str">
            <v>Đã đóng</v>
          </cell>
          <cell r="AJ3773" t="str">
            <v>Bình Định</v>
          </cell>
          <cell r="BX3773" t="str">
            <v>AON</v>
          </cell>
        </row>
        <row r="3774">
          <cell r="A3774" t="str">
            <v>OP</v>
          </cell>
          <cell r="B3774" t="str">
            <v>Quá 24h</v>
          </cell>
          <cell r="D3774" t="str">
            <v>Khiếu nại về dịch vụ FTTH</v>
          </cell>
          <cell r="W3774" t="str">
            <v>Đã đóng</v>
          </cell>
          <cell r="AJ3774" t="str">
            <v>An Giang</v>
          </cell>
          <cell r="BX3774" t="str">
            <v>AON</v>
          </cell>
        </row>
        <row r="3775">
          <cell r="A3775" t="str">
            <v>OP</v>
          </cell>
          <cell r="B3775" t="str">
            <v>Quá 24h</v>
          </cell>
          <cell r="D3775" t="str">
            <v>Khiếu nại về dịch vụ FTTH</v>
          </cell>
          <cell r="W3775" t="str">
            <v>Đang xử lý</v>
          </cell>
          <cell r="AJ3775" t="str">
            <v>Thừa Thiên Huế</v>
          </cell>
          <cell r="BX3775" t="str">
            <v>AON</v>
          </cell>
        </row>
        <row r="3776">
          <cell r="A3776" t="str">
            <v>OP</v>
          </cell>
          <cell r="B3776" t="str">
            <v>Quá 24h</v>
          </cell>
          <cell r="D3776" t="str">
            <v>Khiếu nại về dịch vụ FTTH</v>
          </cell>
          <cell r="W3776" t="str">
            <v>Đã đóng</v>
          </cell>
          <cell r="AJ3776" t="str">
            <v xml:space="preserve">Quảng Nam </v>
          </cell>
          <cell r="BX3776" t="str">
            <v>AON</v>
          </cell>
        </row>
        <row r="3777">
          <cell r="A3777" t="str">
            <v>OP</v>
          </cell>
          <cell r="B3777" t="str">
            <v>Quá 24h</v>
          </cell>
          <cell r="D3777" t="str">
            <v>Khiếu nại về dịch vụ FTTH</v>
          </cell>
          <cell r="W3777" t="str">
            <v>Đã đóng</v>
          </cell>
          <cell r="AJ3777" t="str">
            <v>Bình Dương</v>
          </cell>
          <cell r="BX3777" t="str">
            <v>AON</v>
          </cell>
        </row>
        <row r="3778">
          <cell r="A3778" t="str">
            <v>OP</v>
          </cell>
          <cell r="B3778" t="str">
            <v>Quá 24h</v>
          </cell>
          <cell r="D3778" t="str">
            <v>Khiếu nại về dịch vụ FTTH</v>
          </cell>
          <cell r="W3778" t="str">
            <v>Đã đóng</v>
          </cell>
          <cell r="AJ3778" t="str">
            <v>Thừa Thiên Huế</v>
          </cell>
          <cell r="BX3778" t="str">
            <v>AON</v>
          </cell>
        </row>
        <row r="3779">
          <cell r="A3779" t="str">
            <v>OP</v>
          </cell>
          <cell r="B3779" t="str">
            <v>Quá 24h</v>
          </cell>
          <cell r="D3779" t="str">
            <v>Khiếu nại về dịch vụ FTTH</v>
          </cell>
          <cell r="W3779" t="str">
            <v>Đang xử lý</v>
          </cell>
          <cell r="AJ3779" t="str">
            <v>Bình Thuận</v>
          </cell>
          <cell r="BX3779" t="str">
            <v>AON</v>
          </cell>
        </row>
        <row r="3780">
          <cell r="A3780" t="str">
            <v>OP</v>
          </cell>
          <cell r="B3780" t="str">
            <v>Quá 24h</v>
          </cell>
          <cell r="D3780" t="str">
            <v>Khiếu nại về dịch vụ FTTH</v>
          </cell>
          <cell r="W3780" t="str">
            <v>Đã đóng</v>
          </cell>
          <cell r="AJ3780" t="str">
            <v>Hậu Giang</v>
          </cell>
          <cell r="BX3780" t="str">
            <v>AON</v>
          </cell>
        </row>
        <row r="3781">
          <cell r="A3781" t="str">
            <v>OP</v>
          </cell>
          <cell r="B3781" t="str">
            <v>Quá 24h</v>
          </cell>
          <cell r="D3781" t="str">
            <v>Khiếu nại về dịch vụ FTTH</v>
          </cell>
          <cell r="W3781" t="str">
            <v>Đã đóng</v>
          </cell>
          <cell r="AJ3781" t="str">
            <v>TP HCM</v>
          </cell>
          <cell r="BX3781" t="str">
            <v>AON</v>
          </cell>
        </row>
        <row r="3782">
          <cell r="A3782" t="str">
            <v>OP</v>
          </cell>
          <cell r="B3782" t="str">
            <v>Quá 24h</v>
          </cell>
          <cell r="D3782" t="str">
            <v>Khiếu nại về dịch vụ FTTH</v>
          </cell>
          <cell r="W3782" t="str">
            <v>Đã đóng</v>
          </cell>
          <cell r="AJ3782" t="str">
            <v>TP HCM</v>
          </cell>
          <cell r="BX3782" t="str">
            <v>AON</v>
          </cell>
        </row>
        <row r="3783">
          <cell r="A3783" t="str">
            <v>OP</v>
          </cell>
          <cell r="B3783" t="str">
            <v>Quá 24h</v>
          </cell>
          <cell r="D3783" t="str">
            <v>Khiếu nại về dịch vụ FTTH</v>
          </cell>
          <cell r="W3783" t="str">
            <v>Đã đóng</v>
          </cell>
          <cell r="AJ3783" t="str">
            <v>Bình Thuận</v>
          </cell>
          <cell r="BX3783" t="str">
            <v>AON</v>
          </cell>
        </row>
        <row r="3784">
          <cell r="A3784" t="str">
            <v>OP</v>
          </cell>
          <cell r="B3784" t="str">
            <v>Quá 24h</v>
          </cell>
          <cell r="D3784" t="str">
            <v>Khiếu nại về dịch vụ FTTH</v>
          </cell>
          <cell r="W3784" t="str">
            <v>Đã đóng</v>
          </cell>
          <cell r="AJ3784" t="str">
            <v>Kon Tum</v>
          </cell>
          <cell r="BX3784" t="str">
            <v>AON</v>
          </cell>
        </row>
        <row r="3785">
          <cell r="A3785" t="str">
            <v>OP</v>
          </cell>
          <cell r="B3785" t="str">
            <v>Quá 24h</v>
          </cell>
          <cell r="D3785" t="str">
            <v>Khiếu nại về dịch vụ FTTH</v>
          </cell>
          <cell r="W3785" t="str">
            <v>Đã đóng</v>
          </cell>
          <cell r="AJ3785" t="str">
            <v>Khánh Hoà</v>
          </cell>
          <cell r="BX3785" t="str">
            <v>AON</v>
          </cell>
        </row>
        <row r="3786">
          <cell r="A3786" t="str">
            <v>OP</v>
          </cell>
          <cell r="B3786" t="str">
            <v>Quá 24h</v>
          </cell>
          <cell r="D3786" t="str">
            <v>Khiếu nại về dịch vụ FTTH</v>
          </cell>
          <cell r="W3786" t="str">
            <v>Đã đóng</v>
          </cell>
          <cell r="AJ3786" t="str">
            <v>Bình Thuận</v>
          </cell>
          <cell r="BX3786" t="str">
            <v>AON</v>
          </cell>
        </row>
        <row r="3787">
          <cell r="A3787" t="str">
            <v>OP</v>
          </cell>
          <cell r="B3787" t="str">
            <v>Quá 24h</v>
          </cell>
          <cell r="D3787" t="str">
            <v>Khiếu nại về dịch vụ FTTH</v>
          </cell>
          <cell r="W3787" t="str">
            <v>Đã đóng</v>
          </cell>
          <cell r="AJ3787" t="str">
            <v>Tiền Giang</v>
          </cell>
          <cell r="BX3787" t="str">
            <v>AON</v>
          </cell>
        </row>
        <row r="3788">
          <cell r="A3788" t="str">
            <v>OP</v>
          </cell>
          <cell r="B3788" t="str">
            <v>Quá 24h</v>
          </cell>
          <cell r="D3788" t="str">
            <v>Khiếu nại về dịch vụ FTTH</v>
          </cell>
          <cell r="W3788" t="str">
            <v>Đã đóng</v>
          </cell>
          <cell r="AJ3788" t="str">
            <v>Khánh Hoà</v>
          </cell>
          <cell r="BX3788" t="str">
            <v>AON</v>
          </cell>
        </row>
        <row r="3789">
          <cell r="A3789" t="str">
            <v>OP</v>
          </cell>
          <cell r="B3789" t="str">
            <v>Quá 24h</v>
          </cell>
          <cell r="D3789" t="str">
            <v>Khiếu nại về dịch vụ NextTV</v>
          </cell>
          <cell r="W3789" t="str">
            <v>Đã đóng</v>
          </cell>
          <cell r="AJ3789" t="str">
            <v xml:space="preserve">Đà Nẵng </v>
          </cell>
          <cell r="BX3789" t="str">
            <v>AON</v>
          </cell>
        </row>
        <row r="3790">
          <cell r="A3790" t="str">
            <v>OP</v>
          </cell>
          <cell r="B3790" t="str">
            <v>Quá 24h</v>
          </cell>
          <cell r="D3790" t="str">
            <v>Khiếu nại về dịch vụ FTTH</v>
          </cell>
          <cell r="W3790" t="str">
            <v>Đã đóng</v>
          </cell>
          <cell r="AJ3790" t="str">
            <v>TP HCM</v>
          </cell>
          <cell r="BX3790" t="str">
            <v>AON</v>
          </cell>
        </row>
        <row r="3791">
          <cell r="A3791" t="str">
            <v>OP</v>
          </cell>
          <cell r="B3791" t="str">
            <v>Quá 24h</v>
          </cell>
          <cell r="D3791" t="str">
            <v>Khiếu nại về dịch vụ FTTH</v>
          </cell>
          <cell r="W3791" t="str">
            <v>Đã đóng</v>
          </cell>
          <cell r="AJ3791" t="str">
            <v>TP HCM</v>
          </cell>
          <cell r="BX3791" t="str">
            <v>AON</v>
          </cell>
        </row>
        <row r="3792">
          <cell r="A3792" t="str">
            <v>OP</v>
          </cell>
          <cell r="B3792" t="str">
            <v>Quá 24h</v>
          </cell>
          <cell r="D3792" t="str">
            <v>Khiếu nại về dịch vụ FTTH</v>
          </cell>
          <cell r="W3792" t="str">
            <v>Đã đóng</v>
          </cell>
          <cell r="AJ3792" t="str">
            <v>Bến Tre</v>
          </cell>
          <cell r="BX3792" t="str">
            <v>AON</v>
          </cell>
        </row>
        <row r="3793">
          <cell r="A3793" t="str">
            <v>OP</v>
          </cell>
          <cell r="B3793" t="str">
            <v>Quá 24h</v>
          </cell>
          <cell r="D3793" t="str">
            <v>Khiếu nại về dịch vụ FTTH</v>
          </cell>
          <cell r="W3793" t="str">
            <v>Đã đóng</v>
          </cell>
          <cell r="AJ3793" t="str">
            <v>Bình Dương</v>
          </cell>
          <cell r="BX3793" t="str">
            <v>AON</v>
          </cell>
        </row>
        <row r="3794">
          <cell r="A3794" t="str">
            <v>OP</v>
          </cell>
          <cell r="B3794" t="str">
            <v>Quá 24h</v>
          </cell>
          <cell r="D3794" t="str">
            <v>Khiếu nại về dịch vụ FTTH</v>
          </cell>
          <cell r="W3794" t="str">
            <v>Đã đóng</v>
          </cell>
          <cell r="AJ3794" t="str">
            <v>TP HCM</v>
          </cell>
          <cell r="BX3794" t="str">
            <v>AON</v>
          </cell>
        </row>
        <row r="3795">
          <cell r="A3795" t="str">
            <v>OP</v>
          </cell>
          <cell r="B3795" t="str">
            <v>Quá 24h</v>
          </cell>
          <cell r="D3795" t="str">
            <v>Khiếu nại về dịch vụ FTTH</v>
          </cell>
          <cell r="W3795" t="str">
            <v>Đã đóng</v>
          </cell>
          <cell r="AJ3795" t="str">
            <v xml:space="preserve">Quảng Nam </v>
          </cell>
          <cell r="BX3795" t="str">
            <v>AON</v>
          </cell>
        </row>
        <row r="3796">
          <cell r="A3796" t="str">
            <v>OP</v>
          </cell>
          <cell r="B3796" t="str">
            <v>Quá 24h</v>
          </cell>
          <cell r="D3796" t="str">
            <v>Khiếu nại về dịch vụ FTTH</v>
          </cell>
          <cell r="W3796" t="str">
            <v>Đang xử lý</v>
          </cell>
          <cell r="AJ3796" t="str">
            <v>TP HCM</v>
          </cell>
          <cell r="BX3796" t="str">
            <v>GPON</v>
          </cell>
        </row>
        <row r="3797">
          <cell r="A3797" t="str">
            <v>OP</v>
          </cell>
          <cell r="B3797" t="str">
            <v>Quá 24h</v>
          </cell>
          <cell r="D3797" t="str">
            <v>Khiếu nại về dịch vụ FTTH</v>
          </cell>
          <cell r="W3797" t="str">
            <v>Đã đóng</v>
          </cell>
          <cell r="AJ3797" t="str">
            <v>An Giang</v>
          </cell>
          <cell r="BX3797" t="str">
            <v>AON</v>
          </cell>
        </row>
        <row r="3798">
          <cell r="A3798" t="str">
            <v>OP</v>
          </cell>
          <cell r="B3798" t="str">
            <v>Quá 24h</v>
          </cell>
          <cell r="D3798" t="str">
            <v>Khiếu nại về dịch vụ FTTH</v>
          </cell>
          <cell r="W3798" t="str">
            <v>Đã đóng</v>
          </cell>
          <cell r="AJ3798" t="str">
            <v xml:space="preserve">Đà Nẵng </v>
          </cell>
          <cell r="BX3798" t="str">
            <v>AON</v>
          </cell>
        </row>
        <row r="3799">
          <cell r="A3799" t="str">
            <v>OP</v>
          </cell>
          <cell r="B3799" t="str">
            <v>Quá 24h</v>
          </cell>
          <cell r="D3799" t="str">
            <v>Khiếu nại về dịch vụ FTTH</v>
          </cell>
          <cell r="W3799" t="str">
            <v>Đã đóng</v>
          </cell>
          <cell r="AJ3799" t="str">
            <v>Tây Ninh</v>
          </cell>
          <cell r="BX3799" t="str">
            <v>AON</v>
          </cell>
        </row>
        <row r="3800">
          <cell r="A3800" t="str">
            <v>OP</v>
          </cell>
          <cell r="B3800" t="str">
            <v>Quá 24h</v>
          </cell>
          <cell r="D3800" t="str">
            <v>Khiếu nại về dịch vụ FTTH</v>
          </cell>
          <cell r="W3800" t="str">
            <v>Đã đóng</v>
          </cell>
          <cell r="AJ3800" t="str">
            <v>TP HCM</v>
          </cell>
          <cell r="BX3800" t="str">
            <v>AON</v>
          </cell>
        </row>
        <row r="3801">
          <cell r="A3801" t="str">
            <v>OP</v>
          </cell>
          <cell r="B3801" t="str">
            <v>Quá 24h</v>
          </cell>
          <cell r="D3801" t="str">
            <v>Khiếu nại về dịch vụ NextTV</v>
          </cell>
          <cell r="W3801" t="str">
            <v>Đã đóng</v>
          </cell>
          <cell r="AJ3801" t="str">
            <v>TP HCM</v>
          </cell>
          <cell r="BX3801" t="str">
            <v>AON</v>
          </cell>
        </row>
        <row r="3802">
          <cell r="A3802" t="str">
            <v>OP</v>
          </cell>
          <cell r="B3802" t="str">
            <v>Quá 24h</v>
          </cell>
          <cell r="D3802" t="str">
            <v>Khiếu nại về dịch vụ FTTH</v>
          </cell>
          <cell r="W3802" t="str">
            <v>Đã đóng</v>
          </cell>
          <cell r="AJ3802" t="str">
            <v>TP HCM</v>
          </cell>
          <cell r="BX3802" t="str">
            <v>AON</v>
          </cell>
        </row>
        <row r="3803">
          <cell r="A3803" t="str">
            <v>OP</v>
          </cell>
          <cell r="B3803" t="str">
            <v>Quá 24h</v>
          </cell>
          <cell r="D3803" t="str">
            <v>Khiếu nại về dịch vụ FTTH</v>
          </cell>
          <cell r="W3803" t="str">
            <v>Đã đóng</v>
          </cell>
          <cell r="AJ3803" t="str">
            <v>Bình Định</v>
          </cell>
          <cell r="BX3803" t="str">
            <v>AON</v>
          </cell>
        </row>
        <row r="3804">
          <cell r="A3804" t="str">
            <v>OP</v>
          </cell>
          <cell r="B3804" t="str">
            <v>Quá 24h</v>
          </cell>
          <cell r="D3804" t="str">
            <v>Khiếu nại về dịch vụ NextTV</v>
          </cell>
          <cell r="W3804" t="str">
            <v>Đã đóng</v>
          </cell>
          <cell r="AJ3804" t="str">
            <v>TP HCM</v>
          </cell>
          <cell r="BX3804" t="str">
            <v>AON</v>
          </cell>
        </row>
        <row r="3805">
          <cell r="A3805" t="str">
            <v>OP</v>
          </cell>
          <cell r="B3805" t="str">
            <v>Quá 24h</v>
          </cell>
          <cell r="D3805" t="str">
            <v>Khiếu nại về dịch vụ FTTH</v>
          </cell>
          <cell r="W3805" t="str">
            <v>Đã đóng</v>
          </cell>
          <cell r="AJ3805" t="str">
            <v>TP HCM</v>
          </cell>
          <cell r="BX3805" t="str">
            <v>GPON</v>
          </cell>
        </row>
        <row r="3806">
          <cell r="A3806" t="str">
            <v>OP</v>
          </cell>
          <cell r="B3806" t="str">
            <v>Quá 24h</v>
          </cell>
          <cell r="D3806" t="str">
            <v>Khiếu nại về dịch vụ FTTH</v>
          </cell>
          <cell r="W3806" t="str">
            <v>Đang xử lý</v>
          </cell>
          <cell r="AJ3806" t="str">
            <v xml:space="preserve">Đà Nẵng </v>
          </cell>
          <cell r="BX3806" t="str">
            <v>AON</v>
          </cell>
        </row>
        <row r="3807">
          <cell r="A3807" t="str">
            <v>OP</v>
          </cell>
          <cell r="B3807" t="str">
            <v>Quá 24h</v>
          </cell>
          <cell r="D3807" t="str">
            <v>Khiếu nại về dịch vụ NextTV</v>
          </cell>
          <cell r="W3807" t="str">
            <v>Đã đóng</v>
          </cell>
          <cell r="AJ3807" t="str">
            <v>Quảng Ngãi</v>
          </cell>
          <cell r="BX3807" t="str">
            <v>AON</v>
          </cell>
        </row>
        <row r="3808">
          <cell r="A3808" t="str">
            <v>OP</v>
          </cell>
          <cell r="B3808" t="str">
            <v>Quá 24h</v>
          </cell>
          <cell r="D3808" t="str">
            <v>Khiếu nại về dịch vụ NextTV</v>
          </cell>
          <cell r="W3808" t="str">
            <v>Đã đóng</v>
          </cell>
          <cell r="AJ3808" t="str">
            <v>TP HCM</v>
          </cell>
          <cell r="BX3808" t="str">
            <v>GPON</v>
          </cell>
        </row>
        <row r="3809">
          <cell r="A3809" t="str">
            <v>OP</v>
          </cell>
          <cell r="B3809" t="str">
            <v>Quá 24h</v>
          </cell>
          <cell r="D3809" t="str">
            <v>Khiếu nại về dịch vụ NextTV</v>
          </cell>
          <cell r="W3809" t="str">
            <v>Đang xử lý</v>
          </cell>
          <cell r="AJ3809" t="str">
            <v xml:space="preserve">Quảng Nam </v>
          </cell>
          <cell r="BX3809" t="str">
            <v>AON</v>
          </cell>
        </row>
        <row r="3810">
          <cell r="A3810" t="str">
            <v>OP</v>
          </cell>
          <cell r="B3810" t="str">
            <v>Quá 24h</v>
          </cell>
          <cell r="D3810" t="str">
            <v>Khiếu nại về dịch vụ NextTV</v>
          </cell>
          <cell r="W3810" t="str">
            <v>Đã đóng</v>
          </cell>
          <cell r="AJ3810" t="str">
            <v>Khánh Hoà</v>
          </cell>
          <cell r="BX3810" t="str">
            <v>AON</v>
          </cell>
        </row>
        <row r="3811">
          <cell r="A3811" t="str">
            <v>OP</v>
          </cell>
          <cell r="B3811" t="str">
            <v>Quá 24h</v>
          </cell>
          <cell r="D3811" t="str">
            <v>Khiếu nại về dịch vụ NextTV</v>
          </cell>
          <cell r="W3811" t="str">
            <v>Đã đóng</v>
          </cell>
          <cell r="AJ3811" t="str">
            <v>TP HCM</v>
          </cell>
          <cell r="BX3811" t="str">
            <v>AON</v>
          </cell>
        </row>
        <row r="3812">
          <cell r="A3812" t="str">
            <v>OP</v>
          </cell>
          <cell r="B3812" t="str">
            <v>Quá 24h</v>
          </cell>
          <cell r="D3812" t="str">
            <v>Khiếu nại về dịch vụ NextTV</v>
          </cell>
          <cell r="W3812" t="str">
            <v>Đang xử lý</v>
          </cell>
          <cell r="AJ3812" t="str">
            <v>TP HCM</v>
          </cell>
          <cell r="BX3812" t="str">
            <v>AON</v>
          </cell>
        </row>
        <row r="3813">
          <cell r="A3813" t="str">
            <v>OP</v>
          </cell>
          <cell r="B3813" t="str">
            <v>Quá 24h</v>
          </cell>
          <cell r="D3813" t="str">
            <v>Khiếu nại về dịch vụ NextTV</v>
          </cell>
          <cell r="W3813" t="str">
            <v>Đã đóng</v>
          </cell>
          <cell r="AJ3813" t="str">
            <v>TP HCM</v>
          </cell>
          <cell r="BX3813" t="str">
            <v>AON</v>
          </cell>
        </row>
        <row r="3814">
          <cell r="A3814" t="str">
            <v>OP</v>
          </cell>
          <cell r="B3814" t="str">
            <v>Quá 24h</v>
          </cell>
          <cell r="D3814" t="str">
            <v>Khiếu nại về dịch vụ NextTV</v>
          </cell>
          <cell r="W3814" t="str">
            <v>Đã đóng</v>
          </cell>
          <cell r="AJ3814" t="str">
            <v>TP HCM</v>
          </cell>
          <cell r="BX3814" t="str">
            <v>AON</v>
          </cell>
        </row>
        <row r="3815">
          <cell r="A3815" t="str">
            <v>OP</v>
          </cell>
          <cell r="B3815" t="str">
            <v>Quá 24h</v>
          </cell>
          <cell r="D3815" t="str">
            <v>Khiếu nại về dịch vụ NextTV</v>
          </cell>
          <cell r="W3815" t="str">
            <v>Đã đóng</v>
          </cell>
          <cell r="AJ3815" t="str">
            <v>Bà Rịa - Vũng Tàu</v>
          </cell>
          <cell r="BX3815" t="str">
            <v>AON</v>
          </cell>
        </row>
        <row r="3816">
          <cell r="A3816" t="str">
            <v>OP</v>
          </cell>
          <cell r="B3816" t="str">
            <v>Quá 24h</v>
          </cell>
          <cell r="D3816" t="str">
            <v>Khiếu nại về dịch vụ NextTV</v>
          </cell>
          <cell r="W3816" t="str">
            <v>Đang xử lý</v>
          </cell>
          <cell r="AJ3816" t="str">
            <v>TP HCM</v>
          </cell>
          <cell r="BX3816" t="str">
            <v>AON</v>
          </cell>
        </row>
        <row r="3817">
          <cell r="A3817" t="str">
            <v>OP</v>
          </cell>
          <cell r="B3817" t="str">
            <v>Quá 24h</v>
          </cell>
          <cell r="D3817" t="str">
            <v>Khiếu nại về dịch vụ NextTV</v>
          </cell>
          <cell r="W3817" t="str">
            <v>Đã đóng</v>
          </cell>
          <cell r="AJ3817" t="str">
            <v xml:space="preserve">Đồng Nai </v>
          </cell>
          <cell r="BX3817" t="str">
            <v>AON</v>
          </cell>
        </row>
        <row r="3818">
          <cell r="A3818" t="str">
            <v>OP</v>
          </cell>
          <cell r="B3818" t="str">
            <v>Quá 24h</v>
          </cell>
          <cell r="D3818" t="str">
            <v>Khiếu nại về dịch vụ NextTV</v>
          </cell>
          <cell r="W3818" t="str">
            <v>Đã đóng</v>
          </cell>
          <cell r="AJ3818" t="str">
            <v>TP HCM</v>
          </cell>
          <cell r="BX3818" t="str">
            <v>AON</v>
          </cell>
        </row>
        <row r="3819">
          <cell r="A3819" t="str">
            <v>OP</v>
          </cell>
          <cell r="B3819" t="str">
            <v>Quá 24h</v>
          </cell>
          <cell r="D3819" t="str">
            <v>Khiếu nại về dịch vụ FTTH</v>
          </cell>
          <cell r="W3819" t="str">
            <v>Đang xử lý</v>
          </cell>
          <cell r="AJ3819" t="str">
            <v>Hà Nội 2</v>
          </cell>
          <cell r="BX3819" t="str">
            <v>AON</v>
          </cell>
        </row>
        <row r="3820">
          <cell r="A3820" t="str">
            <v>OP</v>
          </cell>
          <cell r="B3820" t="str">
            <v>Quá 24h</v>
          </cell>
          <cell r="D3820" t="str">
            <v>Khiếu nại về dịch vụ FTTH</v>
          </cell>
          <cell r="W3820" t="str">
            <v>Đang xử lý</v>
          </cell>
          <cell r="AJ3820" t="str">
            <v>Thanh Hoá</v>
          </cell>
          <cell r="BX3820" t="str">
            <v>AON</v>
          </cell>
        </row>
        <row r="3821">
          <cell r="A3821" t="str">
            <v>OP</v>
          </cell>
          <cell r="B3821" t="str">
            <v>Quá 24h</v>
          </cell>
          <cell r="D3821" t="str">
            <v>Khiếu nại về dịch vụ FTTH</v>
          </cell>
          <cell r="W3821" t="str">
            <v>Đang xử lý</v>
          </cell>
          <cell r="AJ3821" t="str">
            <v>Thanh Hoá</v>
          </cell>
          <cell r="BX3821" t="str">
            <v>AON</v>
          </cell>
        </row>
        <row r="3822">
          <cell r="A3822" t="str">
            <v>OP</v>
          </cell>
          <cell r="B3822" t="str">
            <v>Quá 24h</v>
          </cell>
          <cell r="D3822" t="str">
            <v>Khiếu nại về dịch vụ FTTH</v>
          </cell>
          <cell r="W3822" t="str">
            <v>Đang xử lý</v>
          </cell>
          <cell r="AJ3822" t="str">
            <v>Nam Định</v>
          </cell>
          <cell r="BX3822" t="str">
            <v>AON</v>
          </cell>
        </row>
        <row r="3823">
          <cell r="A3823" t="str">
            <v>OP</v>
          </cell>
          <cell r="B3823" t="str">
            <v>Quá 24h</v>
          </cell>
          <cell r="D3823" t="str">
            <v>Khiếu nại về dịch vụ FTTH</v>
          </cell>
          <cell r="W3823" t="str">
            <v>Đang xử lý</v>
          </cell>
          <cell r="AJ3823" t="str">
            <v>Hà Nội 2</v>
          </cell>
          <cell r="BX3823" t="str">
            <v>AON</v>
          </cell>
        </row>
        <row r="3824">
          <cell r="A3824" t="str">
            <v>OP</v>
          </cell>
          <cell r="B3824" t="str">
            <v>Quá 24h</v>
          </cell>
          <cell r="D3824" t="str">
            <v>Khiếu nại về dịch vụ FTTH</v>
          </cell>
          <cell r="W3824" t="str">
            <v>Đang xử lý</v>
          </cell>
          <cell r="AJ3824" t="str">
            <v>Tuyên Quang</v>
          </cell>
          <cell r="BX3824" t="str">
            <v>AON</v>
          </cell>
        </row>
        <row r="3825">
          <cell r="A3825" t="str">
            <v>OP</v>
          </cell>
          <cell r="B3825" t="str">
            <v>Quá 24h</v>
          </cell>
          <cell r="D3825" t="str">
            <v>Khiếu nại về dịch vụ FTTH</v>
          </cell>
          <cell r="W3825" t="str">
            <v>Đang xử lý</v>
          </cell>
          <cell r="AJ3825" t="str">
            <v>Hà Nội 1</v>
          </cell>
          <cell r="BX3825" t="str">
            <v>AON</v>
          </cell>
        </row>
        <row r="3826">
          <cell r="A3826" t="str">
            <v>OP</v>
          </cell>
          <cell r="B3826" t="str">
            <v>Quá 24h</v>
          </cell>
          <cell r="D3826" t="str">
            <v>Khiếu nại về dịch vụ FTTH</v>
          </cell>
          <cell r="W3826" t="str">
            <v>Đang xử lý</v>
          </cell>
          <cell r="AJ3826" t="str">
            <v>Hà Nội 1</v>
          </cell>
          <cell r="BX3826" t="str">
            <v>AON</v>
          </cell>
        </row>
        <row r="3827">
          <cell r="A3827" t="str">
            <v>OP</v>
          </cell>
          <cell r="B3827" t="str">
            <v>Quá 24h</v>
          </cell>
          <cell r="D3827" t="str">
            <v>Khiếu nại về dịch vụ FTTH</v>
          </cell>
          <cell r="W3827" t="str">
            <v>Đang xử lý</v>
          </cell>
          <cell r="AJ3827" t="str">
            <v>Hải Phòng</v>
          </cell>
          <cell r="BX3827" t="str">
            <v>AON</v>
          </cell>
        </row>
        <row r="3828">
          <cell r="A3828" t="str">
            <v>OP</v>
          </cell>
          <cell r="B3828" t="str">
            <v>Quá 24h</v>
          </cell>
          <cell r="D3828" t="str">
            <v>Khiếu nại về dịch vụ FTTH</v>
          </cell>
          <cell r="W3828" t="str">
            <v>Đang xử lý</v>
          </cell>
          <cell r="AJ3828" t="str">
            <v>Hà Nội 2</v>
          </cell>
          <cell r="BX3828" t="str">
            <v>AON</v>
          </cell>
        </row>
        <row r="3829">
          <cell r="A3829" t="str">
            <v>OP</v>
          </cell>
          <cell r="B3829" t="str">
            <v>Quá 24h</v>
          </cell>
          <cell r="D3829" t="str">
            <v>Khiếu nại về dịch vụ FTTH</v>
          </cell>
          <cell r="W3829" t="str">
            <v>Đang xử lý</v>
          </cell>
          <cell r="AJ3829" t="str">
            <v>Thanh Hoá</v>
          </cell>
          <cell r="BX3829" t="str">
            <v>AON</v>
          </cell>
        </row>
        <row r="3830">
          <cell r="A3830" t="str">
            <v>OP</v>
          </cell>
          <cell r="B3830" t="str">
            <v>Quá 24h</v>
          </cell>
          <cell r="D3830" t="str">
            <v>Khiếu nại về dịch vụ FTTH</v>
          </cell>
          <cell r="W3830" t="str">
            <v>Đang xử lý</v>
          </cell>
          <cell r="AJ3830" t="str">
            <v xml:space="preserve">Hà Tĩnh </v>
          </cell>
          <cell r="BX3830" t="str">
            <v>AON</v>
          </cell>
        </row>
        <row r="3831">
          <cell r="A3831" t="str">
            <v>OP</v>
          </cell>
          <cell r="B3831" t="str">
            <v>Quá 24h</v>
          </cell>
          <cell r="D3831" t="str">
            <v>Khiếu nại về dịch vụ FTTH</v>
          </cell>
          <cell r="W3831" t="str">
            <v>Đang xử lý</v>
          </cell>
          <cell r="AJ3831" t="str">
            <v>Hải Phòng</v>
          </cell>
          <cell r="BX3831" t="str">
            <v>AON</v>
          </cell>
        </row>
        <row r="3832">
          <cell r="A3832" t="str">
            <v>OP</v>
          </cell>
          <cell r="B3832" t="str">
            <v>Quá 24h</v>
          </cell>
          <cell r="D3832" t="str">
            <v>Khiếu nại về dịch vụ FTTH</v>
          </cell>
          <cell r="W3832" t="str">
            <v>Đang xử lý</v>
          </cell>
          <cell r="AJ3832" t="str">
            <v>Bắc Giang</v>
          </cell>
          <cell r="BX3832" t="str">
            <v>AON</v>
          </cell>
        </row>
        <row r="3833">
          <cell r="A3833" t="str">
            <v>OP</v>
          </cell>
          <cell r="B3833" t="str">
            <v>Quá 24h</v>
          </cell>
          <cell r="D3833" t="str">
            <v>Khiếu nại về dịch vụ FTTH</v>
          </cell>
          <cell r="W3833" t="str">
            <v>Đang xử lý</v>
          </cell>
          <cell r="AJ3833" t="str">
            <v>Hà Nội 1</v>
          </cell>
          <cell r="BX3833" t="str">
            <v>AON</v>
          </cell>
        </row>
        <row r="3834">
          <cell r="A3834" t="str">
            <v>OP</v>
          </cell>
          <cell r="B3834" t="str">
            <v>Quá 24h</v>
          </cell>
          <cell r="D3834" t="str">
            <v>Khiếu nại về dịch vụ FTTH</v>
          </cell>
          <cell r="W3834" t="str">
            <v>Đang xử lý</v>
          </cell>
          <cell r="AJ3834" t="str">
            <v>Hà Nội 2</v>
          </cell>
          <cell r="BX3834" t="str">
            <v>AON</v>
          </cell>
        </row>
        <row r="3835">
          <cell r="A3835" t="str">
            <v>OP</v>
          </cell>
          <cell r="B3835" t="str">
            <v>Quá 24h</v>
          </cell>
          <cell r="D3835" t="str">
            <v>Khiếu nại về dịch vụ FTTH</v>
          </cell>
          <cell r="W3835" t="str">
            <v>Đang xử lý</v>
          </cell>
          <cell r="AJ3835" t="str">
            <v>Hà Nội 1</v>
          </cell>
          <cell r="BX3835" t="str">
            <v>AON</v>
          </cell>
        </row>
        <row r="3836">
          <cell r="A3836" t="str">
            <v>OP</v>
          </cell>
          <cell r="B3836" t="str">
            <v>Quá 24h</v>
          </cell>
          <cell r="D3836" t="str">
            <v>Khiếu nại về dịch vụ FTTH</v>
          </cell>
          <cell r="W3836" t="str">
            <v>Đã đóng</v>
          </cell>
          <cell r="AJ3836" t="str">
            <v>Hà Nam</v>
          </cell>
          <cell r="BX3836" t="str">
            <v>AON</v>
          </cell>
        </row>
        <row r="3837">
          <cell r="A3837" t="str">
            <v>OP</v>
          </cell>
          <cell r="B3837" t="str">
            <v>Quá 24h</v>
          </cell>
          <cell r="D3837" t="str">
            <v>Khiếu nại về dịch vụ FTTH</v>
          </cell>
          <cell r="W3837" t="str">
            <v>Đang xử lý</v>
          </cell>
          <cell r="AJ3837" t="str">
            <v>Bắc Giang</v>
          </cell>
          <cell r="BX3837" t="str">
            <v>AON</v>
          </cell>
        </row>
        <row r="3838">
          <cell r="A3838" t="str">
            <v>OP</v>
          </cell>
          <cell r="B3838" t="str">
            <v>Quá 24h</v>
          </cell>
          <cell r="D3838" t="str">
            <v>Khiếu nại về dịch vụ FTTH</v>
          </cell>
          <cell r="W3838" t="str">
            <v>Đang xử lý</v>
          </cell>
          <cell r="AJ3838" t="str">
            <v>Hải Phòng</v>
          </cell>
          <cell r="BX3838" t="str">
            <v>AON</v>
          </cell>
        </row>
        <row r="3839">
          <cell r="A3839" t="str">
            <v>OP</v>
          </cell>
          <cell r="B3839" t="str">
            <v>Quá 24h</v>
          </cell>
          <cell r="D3839" t="str">
            <v>Khiếu nại về dịch vụ FTTH</v>
          </cell>
          <cell r="W3839" t="str">
            <v>Đang xử lý</v>
          </cell>
          <cell r="AJ3839" t="str">
            <v>Hà Nội 1</v>
          </cell>
          <cell r="BX3839" t="str">
            <v>AON</v>
          </cell>
        </row>
        <row r="3840">
          <cell r="A3840" t="str">
            <v>OP</v>
          </cell>
          <cell r="B3840" t="str">
            <v>Quá 24h</v>
          </cell>
          <cell r="D3840" t="str">
            <v>Khiếu nại về dịch vụ FTTH</v>
          </cell>
          <cell r="W3840" t="str">
            <v>Đang xử lý</v>
          </cell>
          <cell r="AJ3840" t="str">
            <v>Lạng Sơn</v>
          </cell>
          <cell r="BX3840" t="str">
            <v>AON</v>
          </cell>
        </row>
        <row r="3841">
          <cell r="A3841" t="str">
            <v>OP</v>
          </cell>
          <cell r="B3841" t="str">
            <v>Quá 24h</v>
          </cell>
          <cell r="D3841" t="str">
            <v>Khiếu nại về dịch vụ FTTH</v>
          </cell>
          <cell r="W3841" t="str">
            <v>Đang xử lý</v>
          </cell>
          <cell r="AJ3841" t="str">
            <v xml:space="preserve">Hà Tĩnh </v>
          </cell>
          <cell r="BX3841" t="str">
            <v>AON</v>
          </cell>
        </row>
        <row r="3842">
          <cell r="A3842" t="str">
            <v>OP</v>
          </cell>
          <cell r="B3842" t="str">
            <v>Quá 24h</v>
          </cell>
          <cell r="D3842" t="str">
            <v>Khiếu nại về dịch vụ FTTH</v>
          </cell>
          <cell r="W3842" t="str">
            <v>Đang xử lý</v>
          </cell>
          <cell r="AJ3842" t="str">
            <v>Hà Nam</v>
          </cell>
          <cell r="BX3842" t="str">
            <v>AON</v>
          </cell>
        </row>
        <row r="3843">
          <cell r="A3843" t="str">
            <v>OP</v>
          </cell>
          <cell r="B3843" t="str">
            <v>Quá 24h</v>
          </cell>
          <cell r="D3843" t="str">
            <v>Khiếu nại về dịch vụ FTTH</v>
          </cell>
          <cell r="W3843" t="str">
            <v>Đang xử lý</v>
          </cell>
          <cell r="AJ3843" t="str">
            <v>Hải Phòng</v>
          </cell>
          <cell r="BX3843" t="str">
            <v>AON</v>
          </cell>
        </row>
        <row r="3844">
          <cell r="A3844" t="str">
            <v>OP</v>
          </cell>
          <cell r="B3844" t="str">
            <v>Quá 24h</v>
          </cell>
          <cell r="D3844" t="str">
            <v>Khiếu nại về dịch vụ FTTH</v>
          </cell>
          <cell r="W3844" t="str">
            <v>Đang xử lý</v>
          </cell>
          <cell r="AJ3844" t="str">
            <v>Hà Nội 1</v>
          </cell>
          <cell r="BX3844" t="str">
            <v>AON</v>
          </cell>
        </row>
        <row r="3845">
          <cell r="A3845" t="str">
            <v>OP</v>
          </cell>
          <cell r="B3845" t="str">
            <v>Quá 24h</v>
          </cell>
          <cell r="D3845" t="str">
            <v>Khiếu nại về dịch vụ FTTH</v>
          </cell>
          <cell r="W3845" t="str">
            <v>Đã đóng</v>
          </cell>
          <cell r="AJ3845" t="str">
            <v>Hà Nam</v>
          </cell>
          <cell r="BX3845" t="str">
            <v>AON</v>
          </cell>
        </row>
        <row r="3846">
          <cell r="A3846" t="str">
            <v>OP</v>
          </cell>
          <cell r="B3846" t="str">
            <v>Quá 24h</v>
          </cell>
          <cell r="D3846" t="str">
            <v>Khiếu nại về dịch vụ FTTH</v>
          </cell>
          <cell r="W3846" t="str">
            <v>Đang xử lý</v>
          </cell>
          <cell r="AJ3846" t="str">
            <v>Yên Bái</v>
          </cell>
          <cell r="BX3846" t="str">
            <v>AON</v>
          </cell>
        </row>
        <row r="3847">
          <cell r="A3847" t="str">
            <v>OP</v>
          </cell>
          <cell r="B3847" t="str">
            <v>Quá 24h</v>
          </cell>
          <cell r="D3847" t="str">
            <v>Khiếu nại về dịch vụ FTTH</v>
          </cell>
          <cell r="W3847" t="str">
            <v>Đang xử lý</v>
          </cell>
          <cell r="AJ3847" t="str">
            <v>Hải Phòng</v>
          </cell>
          <cell r="BX3847" t="str">
            <v>AON</v>
          </cell>
        </row>
        <row r="3848">
          <cell r="A3848" t="str">
            <v>OP</v>
          </cell>
          <cell r="B3848" t="str">
            <v>Quá 24h</v>
          </cell>
          <cell r="D3848" t="str">
            <v>Khiếu nại về dịch vụ FTTH</v>
          </cell>
          <cell r="W3848" t="str">
            <v>Đang xử lý</v>
          </cell>
          <cell r="AJ3848" t="str">
            <v>Hải Phòng</v>
          </cell>
          <cell r="BX3848" t="str">
            <v>AON</v>
          </cell>
        </row>
        <row r="3849">
          <cell r="A3849" t="str">
            <v>OP</v>
          </cell>
          <cell r="B3849" t="str">
            <v>Quá 24h</v>
          </cell>
          <cell r="D3849" t="str">
            <v>Khiếu nại về dịch vụ FTTH</v>
          </cell>
          <cell r="W3849" t="str">
            <v>Đã đóng</v>
          </cell>
          <cell r="AJ3849" t="str">
            <v>Thái Nguyên</v>
          </cell>
          <cell r="BX3849" t="str">
            <v>AON</v>
          </cell>
        </row>
        <row r="3850">
          <cell r="A3850" t="str">
            <v>OP</v>
          </cell>
          <cell r="B3850" t="str">
            <v>Quá 24h</v>
          </cell>
          <cell r="D3850" t="str">
            <v>Khiếu nại về dịch vụ FTTH</v>
          </cell>
          <cell r="W3850" t="str">
            <v>Đã đóng</v>
          </cell>
          <cell r="AJ3850" t="str">
            <v>Hà Nam</v>
          </cell>
          <cell r="BX3850" t="str">
            <v>AON</v>
          </cell>
        </row>
        <row r="3851">
          <cell r="A3851" t="str">
            <v>OP</v>
          </cell>
          <cell r="B3851" t="str">
            <v>Quá 24h</v>
          </cell>
          <cell r="D3851" t="str">
            <v>Khiếu nại về dịch vụ FTTH</v>
          </cell>
          <cell r="W3851" t="str">
            <v>Đang xử lý</v>
          </cell>
          <cell r="AJ3851" t="str">
            <v>Bắc Giang</v>
          </cell>
          <cell r="BX3851" t="str">
            <v>AON</v>
          </cell>
        </row>
        <row r="3852">
          <cell r="A3852" t="str">
            <v>OP</v>
          </cell>
          <cell r="B3852" t="str">
            <v>Quá 24h</v>
          </cell>
          <cell r="D3852" t="str">
            <v>Khiếu nại về dịch vụ FTTH</v>
          </cell>
          <cell r="W3852" t="str">
            <v>Đang xử lý</v>
          </cell>
          <cell r="AJ3852" t="str">
            <v>Hải Dương</v>
          </cell>
          <cell r="BX3852" t="str">
            <v>AON</v>
          </cell>
        </row>
        <row r="3853">
          <cell r="A3853" t="str">
            <v>OP</v>
          </cell>
          <cell r="B3853" t="str">
            <v>Quá 24h</v>
          </cell>
          <cell r="D3853" t="str">
            <v>Khiếu nại về dịch vụ FTTH</v>
          </cell>
          <cell r="W3853" t="str">
            <v>Đang xử lý</v>
          </cell>
          <cell r="AJ3853" t="str">
            <v>Hà Nội 1</v>
          </cell>
          <cell r="BX3853" t="str">
            <v>AON</v>
          </cell>
        </row>
        <row r="3854">
          <cell r="A3854" t="str">
            <v>OP</v>
          </cell>
          <cell r="B3854" t="str">
            <v>Quá 24h</v>
          </cell>
          <cell r="D3854" t="str">
            <v>Khiếu nại về dịch vụ FTTH</v>
          </cell>
          <cell r="W3854" t="str">
            <v>Đang xử lý</v>
          </cell>
          <cell r="AJ3854" t="str">
            <v>Hà Nội 2</v>
          </cell>
          <cell r="BX3854" t="str">
            <v>AON</v>
          </cell>
        </row>
        <row r="3855">
          <cell r="A3855" t="str">
            <v>OP</v>
          </cell>
          <cell r="B3855" t="str">
            <v>Quá 24h</v>
          </cell>
          <cell r="D3855" t="str">
            <v>Khiếu nại về dịch vụ FTTH</v>
          </cell>
          <cell r="W3855" t="str">
            <v>Đang xử lý</v>
          </cell>
          <cell r="AJ3855" t="str">
            <v xml:space="preserve">Hà Tĩnh </v>
          </cell>
          <cell r="BX3855" t="str">
            <v>AON</v>
          </cell>
        </row>
        <row r="3856">
          <cell r="A3856" t="str">
            <v>OP</v>
          </cell>
          <cell r="B3856" t="str">
            <v>Quá 24h</v>
          </cell>
          <cell r="D3856" t="str">
            <v>Khiếu nại về dịch vụ FTTH</v>
          </cell>
          <cell r="W3856" t="str">
            <v>Đang xử lý</v>
          </cell>
          <cell r="AJ3856" t="str">
            <v>Hải Phòng</v>
          </cell>
          <cell r="BX3856" t="str">
            <v>AON</v>
          </cell>
        </row>
        <row r="3857">
          <cell r="A3857" t="str">
            <v>OP</v>
          </cell>
          <cell r="B3857" t="str">
            <v>Quá 24h</v>
          </cell>
          <cell r="D3857" t="str">
            <v>Khiếu nại về dịch vụ FTTH</v>
          </cell>
          <cell r="W3857" t="str">
            <v>Đang xử lý</v>
          </cell>
          <cell r="AJ3857" t="str">
            <v>Thái Nguyên</v>
          </cell>
          <cell r="BX3857" t="str">
            <v>AON</v>
          </cell>
        </row>
        <row r="3858">
          <cell r="A3858" t="str">
            <v>OP</v>
          </cell>
          <cell r="B3858" t="str">
            <v>Quá 24h</v>
          </cell>
          <cell r="D3858" t="str">
            <v>Khiếu nại về dịch vụ FTTH</v>
          </cell>
          <cell r="W3858" t="str">
            <v>Đang xử lý</v>
          </cell>
          <cell r="AJ3858" t="str">
            <v>Thanh Hoá</v>
          </cell>
          <cell r="BX3858" t="str">
            <v>AON</v>
          </cell>
        </row>
        <row r="3859">
          <cell r="A3859" t="str">
            <v>OP</v>
          </cell>
          <cell r="B3859" t="str">
            <v>Quá 24h</v>
          </cell>
          <cell r="D3859" t="str">
            <v>Khiếu nại về dịch vụ FTTH</v>
          </cell>
          <cell r="W3859" t="str">
            <v>Đang xử lý</v>
          </cell>
          <cell r="AJ3859" t="str">
            <v>Hà Nội 2</v>
          </cell>
          <cell r="BX3859" t="str">
            <v>AON</v>
          </cell>
        </row>
        <row r="3860">
          <cell r="A3860" t="str">
            <v>OP</v>
          </cell>
          <cell r="B3860" t="str">
            <v>Quá 24h</v>
          </cell>
          <cell r="D3860" t="str">
            <v>Khiếu nại về dịch vụ FTTH</v>
          </cell>
          <cell r="W3860" t="str">
            <v>Đã đóng</v>
          </cell>
          <cell r="AJ3860" t="str">
            <v>Nghệ An</v>
          </cell>
          <cell r="BX3860" t="str">
            <v>AON</v>
          </cell>
        </row>
        <row r="3861">
          <cell r="A3861" t="str">
            <v>OP</v>
          </cell>
          <cell r="B3861" t="str">
            <v>Quá 24h</v>
          </cell>
          <cell r="D3861" t="str">
            <v>Khiếu nại về dịch vụ FTTH</v>
          </cell>
          <cell r="W3861" t="str">
            <v>Đang xử lý</v>
          </cell>
          <cell r="AJ3861" t="str">
            <v>Hà Nội 2</v>
          </cell>
          <cell r="BX3861" t="str">
            <v>AON</v>
          </cell>
        </row>
        <row r="3862">
          <cell r="A3862" t="str">
            <v>OP</v>
          </cell>
          <cell r="B3862" t="str">
            <v>Quá 24h</v>
          </cell>
          <cell r="D3862" t="str">
            <v>Khiếu nại về dịch vụ FTTH</v>
          </cell>
          <cell r="W3862" t="str">
            <v>Đang xử lý</v>
          </cell>
          <cell r="AJ3862" t="str">
            <v>Hà Nội 1</v>
          </cell>
          <cell r="BX3862" t="str">
            <v>AON</v>
          </cell>
        </row>
        <row r="3863">
          <cell r="A3863" t="str">
            <v>OP</v>
          </cell>
          <cell r="B3863" t="str">
            <v>Quá 24h</v>
          </cell>
          <cell r="D3863" t="str">
            <v>Khiếu nại về dịch vụ FTTH</v>
          </cell>
          <cell r="W3863" t="str">
            <v>Đang xử lý</v>
          </cell>
          <cell r="AJ3863" t="str">
            <v>Yên Bái</v>
          </cell>
          <cell r="BX3863" t="str">
            <v>AON</v>
          </cell>
        </row>
        <row r="3864">
          <cell r="A3864" t="str">
            <v>OP</v>
          </cell>
          <cell r="B3864" t="str">
            <v>Quá 24h</v>
          </cell>
          <cell r="D3864" t="str">
            <v>Khiếu nại về dịch vụ FTTH</v>
          </cell>
          <cell r="W3864" t="str">
            <v>Đang xử lý</v>
          </cell>
          <cell r="AJ3864" t="str">
            <v>Hà Nội 1</v>
          </cell>
          <cell r="BX3864" t="str">
            <v>AON</v>
          </cell>
        </row>
        <row r="3865">
          <cell r="A3865" t="str">
            <v>OP</v>
          </cell>
          <cell r="B3865" t="str">
            <v>Quá 24h</v>
          </cell>
          <cell r="D3865" t="str">
            <v>Khiếu nại về dịch vụ FTTH</v>
          </cell>
          <cell r="W3865" t="str">
            <v>Đã đóng</v>
          </cell>
          <cell r="AJ3865" t="str">
            <v>Quảng Ninh</v>
          </cell>
          <cell r="BX3865" t="str">
            <v>AON</v>
          </cell>
        </row>
        <row r="3866">
          <cell r="A3866" t="str">
            <v>OP</v>
          </cell>
          <cell r="B3866" t="str">
            <v>Quá 24h</v>
          </cell>
          <cell r="D3866" t="str">
            <v>Khiếu nại về dịch vụ FTTH</v>
          </cell>
          <cell r="W3866" t="str">
            <v>Đã đóng</v>
          </cell>
          <cell r="AJ3866" t="str">
            <v>Nghệ An</v>
          </cell>
          <cell r="BX3866" t="str">
            <v>AON</v>
          </cell>
        </row>
        <row r="3867">
          <cell r="A3867" t="str">
            <v>OP</v>
          </cell>
          <cell r="B3867" t="str">
            <v>Quá 24h</v>
          </cell>
          <cell r="D3867" t="str">
            <v>Khiếu nại về dịch vụ FTTH</v>
          </cell>
          <cell r="W3867" t="str">
            <v>Đang xử lý</v>
          </cell>
          <cell r="AJ3867" t="str">
            <v>Hà Nội 2</v>
          </cell>
          <cell r="BX3867" t="str">
            <v>AON</v>
          </cell>
        </row>
        <row r="3868">
          <cell r="A3868" t="str">
            <v>OP</v>
          </cell>
          <cell r="B3868" t="str">
            <v>Quá 24h</v>
          </cell>
          <cell r="D3868" t="str">
            <v>Khiếu nại về dịch vụ FTTH</v>
          </cell>
          <cell r="W3868" t="str">
            <v>Đã đóng</v>
          </cell>
          <cell r="AJ3868" t="str">
            <v>Nghệ An</v>
          </cell>
          <cell r="BX3868" t="str">
            <v>AON</v>
          </cell>
        </row>
        <row r="3869">
          <cell r="A3869" t="str">
            <v>OP</v>
          </cell>
          <cell r="B3869" t="str">
            <v>Quá 24h</v>
          </cell>
          <cell r="D3869" t="str">
            <v>Khiếu nại về dịch vụ FTTH</v>
          </cell>
          <cell r="W3869" t="str">
            <v>Đang xử lý</v>
          </cell>
          <cell r="AJ3869" t="str">
            <v>Hà Nội 1</v>
          </cell>
          <cell r="BX3869" t="str">
            <v>AON</v>
          </cell>
        </row>
        <row r="3870">
          <cell r="A3870" t="str">
            <v>OP</v>
          </cell>
          <cell r="B3870" t="str">
            <v>Quá 24h</v>
          </cell>
          <cell r="D3870" t="str">
            <v>Khiếu nại về dịch vụ FTTH</v>
          </cell>
          <cell r="W3870" t="str">
            <v>Đã đóng</v>
          </cell>
          <cell r="AJ3870" t="str">
            <v>Nghệ An</v>
          </cell>
          <cell r="BX3870" t="str">
            <v>AON</v>
          </cell>
        </row>
        <row r="3871">
          <cell r="A3871" t="str">
            <v>OP</v>
          </cell>
          <cell r="B3871" t="str">
            <v>Quá 24h</v>
          </cell>
          <cell r="D3871" t="str">
            <v>Khiếu nại về dịch vụ FTTH</v>
          </cell>
          <cell r="W3871" t="str">
            <v>Đã đóng</v>
          </cell>
          <cell r="AJ3871" t="str">
            <v>Quảng Ninh</v>
          </cell>
          <cell r="BX3871" t="str">
            <v>AON</v>
          </cell>
        </row>
        <row r="3872">
          <cell r="A3872" t="str">
            <v>OP</v>
          </cell>
          <cell r="B3872" t="str">
            <v>Quá 24h</v>
          </cell>
          <cell r="D3872" t="str">
            <v>Khiếu nại về dịch vụ FTTH</v>
          </cell>
          <cell r="W3872" t="str">
            <v>Đang xử lý</v>
          </cell>
          <cell r="AJ3872" t="str">
            <v>Nam Định</v>
          </cell>
          <cell r="BX3872" t="str">
            <v>AON</v>
          </cell>
        </row>
        <row r="3873">
          <cell r="A3873" t="str">
            <v>OP</v>
          </cell>
          <cell r="B3873" t="str">
            <v>Quá 24h</v>
          </cell>
          <cell r="D3873" t="str">
            <v>Khiếu nại về dịch vụ FTTH</v>
          </cell>
          <cell r="W3873" t="str">
            <v>Đã đóng</v>
          </cell>
          <cell r="AJ3873" t="str">
            <v>Bắc Ninh</v>
          </cell>
          <cell r="BX3873" t="str">
            <v>AON</v>
          </cell>
        </row>
        <row r="3874">
          <cell r="A3874" t="str">
            <v>OP</v>
          </cell>
          <cell r="B3874" t="str">
            <v>Quá 24h</v>
          </cell>
          <cell r="D3874" t="str">
            <v>Khiếu nại về dịch vụ FTTH</v>
          </cell>
          <cell r="W3874" t="str">
            <v>Đang xử lý</v>
          </cell>
          <cell r="AJ3874" t="str">
            <v>Hà Nội 2</v>
          </cell>
          <cell r="BX3874" t="str">
            <v>AON</v>
          </cell>
        </row>
        <row r="3875">
          <cell r="A3875" t="str">
            <v>OP</v>
          </cell>
          <cell r="B3875" t="str">
            <v>Quá 24h</v>
          </cell>
          <cell r="D3875" t="str">
            <v>Khiếu nại về dịch vụ FTTH</v>
          </cell>
          <cell r="W3875" t="str">
            <v>Đã đóng</v>
          </cell>
          <cell r="AJ3875" t="str">
            <v>Nghệ An</v>
          </cell>
          <cell r="BX3875" t="str">
            <v>AON</v>
          </cell>
        </row>
        <row r="3876">
          <cell r="A3876" t="str">
            <v>OP</v>
          </cell>
          <cell r="B3876" t="str">
            <v>Quá 24h</v>
          </cell>
          <cell r="D3876" t="str">
            <v>Khiếu nại về dịch vụ FTTH</v>
          </cell>
          <cell r="W3876" t="str">
            <v>Đã đóng</v>
          </cell>
          <cell r="AJ3876" t="str">
            <v>Thanh Hoá</v>
          </cell>
          <cell r="BX3876" t="str">
            <v>AON</v>
          </cell>
        </row>
        <row r="3877">
          <cell r="A3877" t="str">
            <v>OP</v>
          </cell>
          <cell r="B3877" t="str">
            <v>Quá 24h</v>
          </cell>
          <cell r="D3877" t="str">
            <v>Khiếu nại về dịch vụ FTTH</v>
          </cell>
          <cell r="W3877" t="str">
            <v>Đã đóng</v>
          </cell>
          <cell r="AJ3877" t="str">
            <v>Bắc Ninh</v>
          </cell>
          <cell r="BX3877" t="str">
            <v>AON</v>
          </cell>
        </row>
        <row r="3878">
          <cell r="A3878" t="str">
            <v>OP</v>
          </cell>
          <cell r="B3878" t="str">
            <v>Quá 24h</v>
          </cell>
          <cell r="D3878" t="str">
            <v>Khiếu nại về dịch vụ FTTH</v>
          </cell>
          <cell r="W3878" t="str">
            <v>Đã đóng</v>
          </cell>
          <cell r="AJ3878" t="str">
            <v>Hà Nam</v>
          </cell>
          <cell r="BX3878" t="str">
            <v>AON</v>
          </cell>
        </row>
        <row r="3879">
          <cell r="A3879" t="str">
            <v>OP</v>
          </cell>
          <cell r="B3879" t="str">
            <v>Quá 24h</v>
          </cell>
          <cell r="D3879" t="str">
            <v>Khiếu nại về dịch vụ FTTH</v>
          </cell>
          <cell r="W3879" t="str">
            <v>Đang xử lý</v>
          </cell>
          <cell r="AJ3879" t="str">
            <v xml:space="preserve">Hà Tĩnh </v>
          </cell>
          <cell r="BX3879" t="str">
            <v>AON</v>
          </cell>
        </row>
        <row r="3880">
          <cell r="A3880" t="str">
            <v>OP</v>
          </cell>
          <cell r="B3880" t="str">
            <v>Quá 24h</v>
          </cell>
          <cell r="D3880" t="str">
            <v>Khiếu nại về dịch vụ FTTH</v>
          </cell>
          <cell r="W3880" t="str">
            <v>Đang xử lý</v>
          </cell>
          <cell r="AJ3880" t="str">
            <v>Nam Định</v>
          </cell>
          <cell r="BX3880" t="str">
            <v>AON</v>
          </cell>
        </row>
        <row r="3881">
          <cell r="A3881" t="str">
            <v>OP</v>
          </cell>
          <cell r="B3881" t="str">
            <v>Quá 24h</v>
          </cell>
          <cell r="D3881" t="str">
            <v>Khiếu nại về dịch vụ FTTH</v>
          </cell>
          <cell r="W3881" t="str">
            <v>Đã đóng</v>
          </cell>
          <cell r="AJ3881" t="str">
            <v>Nghệ An</v>
          </cell>
          <cell r="BX3881" t="str">
            <v>AON</v>
          </cell>
        </row>
        <row r="3882">
          <cell r="A3882" t="str">
            <v>OP</v>
          </cell>
          <cell r="B3882" t="str">
            <v>Quá 24h</v>
          </cell>
          <cell r="D3882" t="str">
            <v>Khiếu nại về dịch vụ FTTH</v>
          </cell>
          <cell r="W3882" t="str">
            <v>Đã đóng</v>
          </cell>
          <cell r="AJ3882" t="str">
            <v>Nghệ An</v>
          </cell>
          <cell r="BX3882" t="str">
            <v>AON</v>
          </cell>
        </row>
        <row r="3883">
          <cell r="A3883" t="str">
            <v>OP</v>
          </cell>
          <cell r="B3883" t="str">
            <v>Quá 24h</v>
          </cell>
          <cell r="D3883" t="str">
            <v>Khiếu nại về dịch vụ FTTH</v>
          </cell>
          <cell r="W3883" t="str">
            <v>Đã đóng</v>
          </cell>
          <cell r="AJ3883" t="str">
            <v>Bắc Ninh</v>
          </cell>
          <cell r="BX3883" t="str">
            <v>AON</v>
          </cell>
        </row>
        <row r="3884">
          <cell r="A3884" t="str">
            <v>OP</v>
          </cell>
          <cell r="B3884" t="str">
            <v>Quá 24h</v>
          </cell>
          <cell r="D3884" t="str">
            <v>Khiếu nại về dịch vụ FTTH</v>
          </cell>
          <cell r="W3884" t="str">
            <v>Đã đóng</v>
          </cell>
          <cell r="AJ3884" t="str">
            <v>Quảng Ninh</v>
          </cell>
          <cell r="BX3884" t="str">
            <v>AON</v>
          </cell>
        </row>
        <row r="3885">
          <cell r="A3885" t="str">
            <v>OP</v>
          </cell>
          <cell r="B3885" t="str">
            <v>Quá 24h</v>
          </cell>
          <cell r="D3885" t="str">
            <v>Khiếu nại về dịch vụ FTTH</v>
          </cell>
          <cell r="W3885" t="str">
            <v>Đã đóng</v>
          </cell>
          <cell r="AJ3885" t="str">
            <v>Nghệ An</v>
          </cell>
          <cell r="BX3885" t="str">
            <v>AON</v>
          </cell>
        </row>
        <row r="3886">
          <cell r="A3886" t="str">
            <v>OP</v>
          </cell>
          <cell r="B3886" t="str">
            <v>Quá 24h</v>
          </cell>
          <cell r="D3886" t="str">
            <v>Khiếu nại về dịch vụ FTTH</v>
          </cell>
          <cell r="W3886" t="str">
            <v>Đã đóng</v>
          </cell>
          <cell r="AJ3886" t="str">
            <v>Quảng Ninh</v>
          </cell>
          <cell r="BX3886" t="str">
            <v>AON</v>
          </cell>
        </row>
        <row r="3887">
          <cell r="A3887" t="str">
            <v>OP</v>
          </cell>
          <cell r="B3887" t="str">
            <v>Quá 24h</v>
          </cell>
          <cell r="D3887" t="str">
            <v>Khiếu nại về dịch vụ FTTH</v>
          </cell>
          <cell r="W3887" t="str">
            <v>Đã đóng</v>
          </cell>
          <cell r="AJ3887" t="str">
            <v>Hưng Yên</v>
          </cell>
          <cell r="BX3887" t="str">
            <v>AON</v>
          </cell>
        </row>
        <row r="3888">
          <cell r="A3888" t="str">
            <v>OP</v>
          </cell>
          <cell r="B3888" t="str">
            <v>Quá 24h</v>
          </cell>
          <cell r="D3888" t="str">
            <v>Khiếu nại về dịch vụ FTTH</v>
          </cell>
          <cell r="W3888" t="str">
            <v>Đang xử lý</v>
          </cell>
          <cell r="AJ3888" t="str">
            <v>Bắc Giang</v>
          </cell>
          <cell r="BX3888" t="str">
            <v>AON</v>
          </cell>
        </row>
        <row r="3889">
          <cell r="A3889" t="str">
            <v>OP</v>
          </cell>
          <cell r="B3889" t="str">
            <v>Quá 24h</v>
          </cell>
          <cell r="D3889" t="str">
            <v>Khiếu nại về dịch vụ FTTH</v>
          </cell>
          <cell r="W3889" t="str">
            <v>Đang xử lý</v>
          </cell>
          <cell r="AJ3889" t="str">
            <v>Quảng Ninh</v>
          </cell>
          <cell r="BX3889" t="str">
            <v>AON</v>
          </cell>
        </row>
        <row r="3890">
          <cell r="A3890" t="str">
            <v>OP</v>
          </cell>
          <cell r="B3890" t="str">
            <v>Quá 24h</v>
          </cell>
          <cell r="D3890" t="str">
            <v>Khiếu nại về dịch vụ FTTH</v>
          </cell>
          <cell r="W3890" t="str">
            <v>Đã đóng</v>
          </cell>
          <cell r="AJ3890" t="str">
            <v>Nghệ An</v>
          </cell>
          <cell r="BX3890" t="str">
            <v>AON</v>
          </cell>
        </row>
        <row r="3891">
          <cell r="A3891" t="str">
            <v>OP</v>
          </cell>
          <cell r="B3891" t="str">
            <v>Quá 24h</v>
          </cell>
          <cell r="D3891" t="str">
            <v>Khiếu nại về dịch vụ FTTH</v>
          </cell>
          <cell r="W3891" t="str">
            <v>Đã đóng</v>
          </cell>
          <cell r="AJ3891" t="str">
            <v>Quảng Ninh</v>
          </cell>
          <cell r="BX3891" t="str">
            <v>AON</v>
          </cell>
        </row>
        <row r="3892">
          <cell r="A3892" t="str">
            <v>OP</v>
          </cell>
          <cell r="B3892" t="str">
            <v>Quá 24h</v>
          </cell>
          <cell r="D3892" t="str">
            <v>Khiếu nại về dịch vụ FTTH</v>
          </cell>
          <cell r="W3892" t="str">
            <v>Đang xử lý</v>
          </cell>
          <cell r="AJ3892" t="str">
            <v>Hà Nội 1</v>
          </cell>
          <cell r="BX3892" t="str">
            <v>AON</v>
          </cell>
        </row>
        <row r="3893">
          <cell r="A3893" t="str">
            <v>OP</v>
          </cell>
          <cell r="B3893" t="str">
            <v>Quá 24h</v>
          </cell>
          <cell r="D3893" t="str">
            <v>Khiếu nại về dịch vụ FTTH</v>
          </cell>
          <cell r="W3893" t="str">
            <v>Đã đóng</v>
          </cell>
          <cell r="AJ3893" t="str">
            <v>Cao Bằng</v>
          </cell>
          <cell r="BX3893" t="str">
            <v>AON</v>
          </cell>
        </row>
        <row r="3894">
          <cell r="A3894" t="str">
            <v>OP</v>
          </cell>
          <cell r="B3894" t="str">
            <v>Quá 24h</v>
          </cell>
          <cell r="D3894" t="str">
            <v>Khiếu nại về dịch vụ FTTH</v>
          </cell>
          <cell r="W3894" t="str">
            <v>Đã đóng</v>
          </cell>
          <cell r="AJ3894" t="str">
            <v>Thái Nguyên</v>
          </cell>
          <cell r="BX3894" t="str">
            <v>AON</v>
          </cell>
        </row>
        <row r="3895">
          <cell r="A3895" t="str">
            <v>OP</v>
          </cell>
          <cell r="B3895" t="str">
            <v>Quá 24h</v>
          </cell>
          <cell r="D3895" t="str">
            <v>Khiếu nại về dịch vụ FTTH</v>
          </cell>
          <cell r="W3895" t="str">
            <v>Đang xử lý</v>
          </cell>
          <cell r="AJ3895" t="str">
            <v>Hải Phòng</v>
          </cell>
          <cell r="BX3895" t="str">
            <v>AON</v>
          </cell>
        </row>
        <row r="3896">
          <cell r="A3896" t="str">
            <v>OP</v>
          </cell>
          <cell r="B3896" t="str">
            <v>Quá 24h</v>
          </cell>
          <cell r="D3896" t="str">
            <v>Khiếu nại về dịch vụ FTTH</v>
          </cell>
          <cell r="W3896" t="str">
            <v>Đã đóng</v>
          </cell>
          <cell r="AJ3896" t="str">
            <v>Hoà Bình</v>
          </cell>
          <cell r="BX3896" t="str">
            <v>AON</v>
          </cell>
        </row>
        <row r="3897">
          <cell r="A3897" t="str">
            <v>OP</v>
          </cell>
          <cell r="B3897" t="str">
            <v>Quá 24h</v>
          </cell>
          <cell r="D3897" t="str">
            <v>Khiếu nại về dịch vụ FTTH</v>
          </cell>
          <cell r="W3897" t="str">
            <v>Đang xử lý</v>
          </cell>
          <cell r="AJ3897" t="str">
            <v>Hà Nội 2</v>
          </cell>
          <cell r="BX3897" t="str">
            <v>AON</v>
          </cell>
        </row>
        <row r="3898">
          <cell r="A3898" t="str">
            <v>OP</v>
          </cell>
          <cell r="B3898" t="str">
            <v>Quá 24h</v>
          </cell>
          <cell r="D3898" t="str">
            <v>Khiếu nại về dịch vụ FTTH</v>
          </cell>
          <cell r="W3898" t="str">
            <v>Đang xử lý</v>
          </cell>
          <cell r="AJ3898" t="str">
            <v>Hà Nội 1</v>
          </cell>
          <cell r="BX3898" t="str">
            <v>AON</v>
          </cell>
        </row>
        <row r="3899">
          <cell r="A3899" t="str">
            <v>OP</v>
          </cell>
          <cell r="B3899" t="str">
            <v>Quá 24h</v>
          </cell>
          <cell r="D3899" t="str">
            <v>Khiếu nại về dịch vụ FTTH</v>
          </cell>
          <cell r="W3899" t="str">
            <v>Đang xử lý</v>
          </cell>
          <cell r="AJ3899" t="str">
            <v>Nam Định</v>
          </cell>
          <cell r="BX3899" t="str">
            <v>AON</v>
          </cell>
        </row>
        <row r="3900">
          <cell r="A3900" t="str">
            <v>OP</v>
          </cell>
          <cell r="B3900" t="str">
            <v>Quá 24h</v>
          </cell>
          <cell r="D3900" t="str">
            <v>Khiếu nại về dịch vụ FTTH</v>
          </cell>
          <cell r="W3900" t="str">
            <v>Đang xử lý</v>
          </cell>
          <cell r="AJ3900" t="str">
            <v>Hà Nội 1</v>
          </cell>
          <cell r="BX3900" t="str">
            <v>AON</v>
          </cell>
        </row>
        <row r="3901">
          <cell r="A3901" t="str">
            <v>OP</v>
          </cell>
          <cell r="B3901" t="str">
            <v>Quá 24h</v>
          </cell>
          <cell r="D3901" t="str">
            <v>Khiếu nại về dịch vụ FTTH</v>
          </cell>
          <cell r="W3901" t="str">
            <v>Đang xử lý</v>
          </cell>
          <cell r="AJ3901" t="str">
            <v>Thái Nguyên</v>
          </cell>
          <cell r="BX3901" t="str">
            <v>AON</v>
          </cell>
        </row>
        <row r="3902">
          <cell r="A3902" t="str">
            <v>OP</v>
          </cell>
          <cell r="B3902" t="str">
            <v>Quá 24h</v>
          </cell>
          <cell r="D3902" t="str">
            <v>Khiếu nại về dịch vụ FTTH</v>
          </cell>
          <cell r="W3902" t="str">
            <v>Đang xử lý</v>
          </cell>
          <cell r="AJ3902" t="str">
            <v>Bắc Ninh</v>
          </cell>
          <cell r="BX3902" t="str">
            <v>AON</v>
          </cell>
        </row>
        <row r="3903">
          <cell r="A3903" t="str">
            <v>OP</v>
          </cell>
          <cell r="B3903" t="str">
            <v>Quá 24h</v>
          </cell>
          <cell r="D3903" t="str">
            <v>Khiếu nại về dịch vụ FTTH</v>
          </cell>
          <cell r="W3903" t="str">
            <v>Đã đóng</v>
          </cell>
          <cell r="AJ3903" t="str">
            <v>Thái Nguyên</v>
          </cell>
          <cell r="BX3903" t="str">
            <v>AON</v>
          </cell>
        </row>
        <row r="3904">
          <cell r="A3904" t="str">
            <v>OP</v>
          </cell>
          <cell r="B3904" t="str">
            <v>Quá 24h</v>
          </cell>
          <cell r="D3904" t="str">
            <v>Khiếu nại về dịch vụ NextTV</v>
          </cell>
          <cell r="W3904" t="str">
            <v>Đang xử lý</v>
          </cell>
          <cell r="AJ3904" t="str">
            <v>Hà Nam</v>
          </cell>
          <cell r="BX3904" t="str">
            <v>AON</v>
          </cell>
        </row>
        <row r="3905">
          <cell r="A3905" t="str">
            <v>OP</v>
          </cell>
          <cell r="B3905" t="str">
            <v>Quá 24h</v>
          </cell>
          <cell r="D3905" t="str">
            <v>Khiếu nại về dịch vụ FTTH</v>
          </cell>
          <cell r="W3905" t="str">
            <v>Đã đóng</v>
          </cell>
          <cell r="AJ3905" t="str">
            <v>TP HCM</v>
          </cell>
          <cell r="BX3905" t="str">
            <v>AON</v>
          </cell>
        </row>
        <row r="3906">
          <cell r="A3906" t="str">
            <v>OP</v>
          </cell>
          <cell r="B3906" t="str">
            <v>Quá 24h</v>
          </cell>
          <cell r="D3906" t="str">
            <v>Khiếu nại về dịch vụ FTTH</v>
          </cell>
          <cell r="W3906" t="str">
            <v>Đã đóng</v>
          </cell>
          <cell r="AJ3906" t="str">
            <v>TP HCM</v>
          </cell>
          <cell r="BX3906" t="str">
            <v>AON</v>
          </cell>
        </row>
        <row r="3907">
          <cell r="A3907" t="str">
            <v>OP</v>
          </cell>
          <cell r="B3907" t="str">
            <v>Quá 24h</v>
          </cell>
          <cell r="D3907" t="str">
            <v>Khiếu nại về dịch vụ FTTH</v>
          </cell>
          <cell r="W3907" t="str">
            <v>Đang xử lý</v>
          </cell>
          <cell r="AJ3907" t="str">
            <v>Bình Dương</v>
          </cell>
          <cell r="BX3907" t="str">
            <v>AON</v>
          </cell>
        </row>
        <row r="3908">
          <cell r="A3908" t="str">
            <v>OP</v>
          </cell>
          <cell r="B3908" t="str">
            <v>Quá 24h</v>
          </cell>
          <cell r="D3908" t="str">
            <v>Khiếu nại về dịch vụ FTTH</v>
          </cell>
          <cell r="W3908" t="str">
            <v>Đã đóng</v>
          </cell>
          <cell r="AJ3908" t="str">
            <v>Hậu Giang</v>
          </cell>
          <cell r="BX3908" t="str">
            <v>AON</v>
          </cell>
        </row>
        <row r="3909">
          <cell r="A3909" t="str">
            <v>OP</v>
          </cell>
          <cell r="B3909" t="str">
            <v>Quá 24h</v>
          </cell>
          <cell r="D3909" t="str">
            <v>Khiếu nại về dịch vụ FTTH</v>
          </cell>
          <cell r="W3909" t="str">
            <v>Đang xử lý</v>
          </cell>
          <cell r="AJ3909" t="str">
            <v>Bến Tre</v>
          </cell>
          <cell r="BX3909" t="str">
            <v>AON</v>
          </cell>
        </row>
        <row r="3910">
          <cell r="A3910" t="str">
            <v>OP</v>
          </cell>
          <cell r="B3910" t="str">
            <v>Quá 24h</v>
          </cell>
          <cell r="D3910" t="str">
            <v>Khiếu nại về dịch vụ FTTH</v>
          </cell>
          <cell r="W3910" t="str">
            <v>Đã đóng</v>
          </cell>
          <cell r="AJ3910" t="str">
            <v>Sơn La</v>
          </cell>
          <cell r="BX3910" t="str">
            <v>AON</v>
          </cell>
        </row>
        <row r="3911">
          <cell r="A3911" t="str">
            <v>OP</v>
          </cell>
          <cell r="B3911" t="str">
            <v>Quá 24h</v>
          </cell>
          <cell r="D3911" t="str">
            <v>Khiếu nại về dịch vụ FTTH</v>
          </cell>
          <cell r="W3911" t="str">
            <v>Đã đóng</v>
          </cell>
          <cell r="AJ3911" t="str">
            <v>TP HCM</v>
          </cell>
          <cell r="BX3911" t="str">
            <v>AON</v>
          </cell>
        </row>
        <row r="3912">
          <cell r="A3912" t="str">
            <v>OP</v>
          </cell>
          <cell r="B3912" t="str">
            <v>Quá 24h</v>
          </cell>
          <cell r="D3912" t="str">
            <v>Khiếu nại về dịch vụ FTTH</v>
          </cell>
          <cell r="W3912" t="str">
            <v>Đã đóng</v>
          </cell>
          <cell r="AJ3912" t="str">
            <v>Nghệ An</v>
          </cell>
          <cell r="BX3912" t="str">
            <v>AON</v>
          </cell>
        </row>
        <row r="3913">
          <cell r="A3913" t="str">
            <v>OP</v>
          </cell>
          <cell r="B3913" t="str">
            <v>Quá 24h</v>
          </cell>
          <cell r="D3913" t="str">
            <v>Khiếu nại về dịch vụ FTTH</v>
          </cell>
          <cell r="W3913" t="str">
            <v>Đã đóng</v>
          </cell>
          <cell r="AJ3913" t="str">
            <v>Bắc Ninh</v>
          </cell>
          <cell r="BX3913" t="str">
            <v>AON</v>
          </cell>
        </row>
        <row r="3914">
          <cell r="A3914" t="str">
            <v>OP</v>
          </cell>
          <cell r="B3914" t="str">
            <v>Quá 24h</v>
          </cell>
          <cell r="D3914" t="str">
            <v>Khiếu nại về dịch vụ FTTH</v>
          </cell>
          <cell r="W3914" t="str">
            <v>Đã đóng</v>
          </cell>
          <cell r="AJ3914" t="str">
            <v>Hà Nam</v>
          </cell>
          <cell r="BX3914" t="str">
            <v>AON</v>
          </cell>
        </row>
        <row r="3915">
          <cell r="A3915" t="str">
            <v>OP</v>
          </cell>
          <cell r="B3915" t="str">
            <v>Quá 24h</v>
          </cell>
          <cell r="D3915" t="str">
            <v>Khiếu nại về dịch vụ FTTH</v>
          </cell>
          <cell r="W3915" t="str">
            <v>Đang xử lý</v>
          </cell>
          <cell r="AJ3915" t="str">
            <v>TP HCM</v>
          </cell>
          <cell r="BX3915" t="str">
            <v>GPON</v>
          </cell>
        </row>
        <row r="3916">
          <cell r="A3916" t="str">
            <v>OP</v>
          </cell>
          <cell r="B3916" t="str">
            <v>Quá 24h</v>
          </cell>
          <cell r="D3916" t="str">
            <v>Khiếu nại về dịch vụ FTTH</v>
          </cell>
          <cell r="W3916" t="str">
            <v>Đã đóng</v>
          </cell>
          <cell r="AJ3916" t="str">
            <v>Bến Tre</v>
          </cell>
          <cell r="BX3916" t="str">
            <v>AON</v>
          </cell>
        </row>
        <row r="3917">
          <cell r="A3917" t="str">
            <v>OP</v>
          </cell>
          <cell r="B3917" t="str">
            <v>Quá 24h</v>
          </cell>
          <cell r="D3917" t="str">
            <v>Khiếu nại về dịch vụ FTTH</v>
          </cell>
          <cell r="W3917" t="str">
            <v>Đã đóng</v>
          </cell>
          <cell r="AJ3917" t="str">
            <v>Bắc Ninh</v>
          </cell>
          <cell r="BX3917" t="str">
            <v>AON</v>
          </cell>
        </row>
        <row r="3918">
          <cell r="A3918" t="str">
            <v>OP</v>
          </cell>
          <cell r="B3918" t="str">
            <v>Quá 24h</v>
          </cell>
          <cell r="D3918" t="str">
            <v>Khiếu nại về dịch vụ FTTH</v>
          </cell>
          <cell r="W3918" t="str">
            <v>Đã đóng</v>
          </cell>
          <cell r="AJ3918" t="str">
            <v>Bắc Giang</v>
          </cell>
          <cell r="BX3918" t="str">
            <v>AON</v>
          </cell>
        </row>
        <row r="3919">
          <cell r="A3919" t="str">
            <v>OP</v>
          </cell>
          <cell r="B3919" t="str">
            <v>Quá 24h</v>
          </cell>
          <cell r="D3919" t="str">
            <v>Khiếu nại về dịch vụ FTTH</v>
          </cell>
          <cell r="W3919" t="str">
            <v>Đang xử lý</v>
          </cell>
          <cell r="AJ3919" t="str">
            <v>TP HCM</v>
          </cell>
          <cell r="BX3919" t="str">
            <v>GPON</v>
          </cell>
        </row>
        <row r="3920">
          <cell r="A3920" t="str">
            <v>OP</v>
          </cell>
          <cell r="B3920" t="str">
            <v>Quá 24h</v>
          </cell>
          <cell r="D3920" t="str">
            <v>Khiếu nại về dịch vụ FTTH</v>
          </cell>
          <cell r="W3920" t="str">
            <v>Đã đóng</v>
          </cell>
          <cell r="AJ3920" t="str">
            <v>TP HCM</v>
          </cell>
          <cell r="BX3920" t="str">
            <v>AON</v>
          </cell>
        </row>
        <row r="3921">
          <cell r="A3921" t="str">
            <v>OP</v>
          </cell>
          <cell r="B3921" t="str">
            <v>Quá 24h</v>
          </cell>
          <cell r="D3921" t="str">
            <v>Khiếu nại về dịch vụ FTTH</v>
          </cell>
          <cell r="W3921" t="str">
            <v>Đã đóng</v>
          </cell>
          <cell r="AJ3921" t="str">
            <v>TP HCM</v>
          </cell>
          <cell r="BX3921" t="str">
            <v>AON</v>
          </cell>
        </row>
        <row r="3922">
          <cell r="A3922" t="str">
            <v>OP</v>
          </cell>
          <cell r="B3922" t="str">
            <v>Quá 24h</v>
          </cell>
          <cell r="D3922" t="str">
            <v>Khiếu nại về dịch vụ FTTH</v>
          </cell>
          <cell r="W3922" t="str">
            <v>Đã đóng</v>
          </cell>
          <cell r="AJ3922" t="str">
            <v>Quảng Ninh</v>
          </cell>
          <cell r="BX3922" t="str">
            <v>AON</v>
          </cell>
        </row>
        <row r="3923">
          <cell r="A3923" t="str">
            <v>OP</v>
          </cell>
          <cell r="B3923" t="str">
            <v>Quá 24h</v>
          </cell>
          <cell r="D3923" t="str">
            <v>Khiếu nại về dịch vụ FTTH</v>
          </cell>
          <cell r="W3923" t="str">
            <v>Đang xử lý</v>
          </cell>
          <cell r="AJ3923" t="str">
            <v>TP HCM</v>
          </cell>
          <cell r="BX3923" t="str">
            <v>AON</v>
          </cell>
        </row>
        <row r="3924">
          <cell r="A3924" t="str">
            <v>OP</v>
          </cell>
          <cell r="B3924" t="str">
            <v>Quá 24h</v>
          </cell>
          <cell r="D3924" t="str">
            <v>Khiếu nại về dịch vụ FTTH</v>
          </cell>
          <cell r="W3924" t="str">
            <v>Đang xử lý</v>
          </cell>
          <cell r="AJ3924" t="str">
            <v>TP HCM</v>
          </cell>
          <cell r="BX3924" t="str">
            <v>AON</v>
          </cell>
        </row>
        <row r="3925">
          <cell r="A3925" t="str">
            <v>OP</v>
          </cell>
          <cell r="B3925" t="str">
            <v>Quá 24h</v>
          </cell>
          <cell r="D3925" t="str">
            <v>Khiếu nại về dịch vụ FTTH</v>
          </cell>
          <cell r="W3925" t="str">
            <v>Đã đóng</v>
          </cell>
          <cell r="AJ3925" t="str">
            <v>Thanh Hoá</v>
          </cell>
          <cell r="BX3925" t="str">
            <v>AON</v>
          </cell>
        </row>
        <row r="3926">
          <cell r="A3926" t="str">
            <v>OP</v>
          </cell>
          <cell r="B3926" t="str">
            <v>Quá 24h</v>
          </cell>
          <cell r="D3926" t="str">
            <v>Khiếu nại về dịch vụ FTTH</v>
          </cell>
          <cell r="W3926" t="str">
            <v>Đã đóng</v>
          </cell>
          <cell r="AJ3926" t="str">
            <v>Thái Nguyên</v>
          </cell>
          <cell r="BX3926" t="str">
            <v>AON</v>
          </cell>
        </row>
        <row r="3927">
          <cell r="A3927" t="str">
            <v>OP</v>
          </cell>
          <cell r="B3927" t="str">
            <v>Quá 24h</v>
          </cell>
          <cell r="D3927" t="str">
            <v>Khiếu nại về dịch vụ FTTH</v>
          </cell>
          <cell r="W3927" t="str">
            <v>Đã đóng</v>
          </cell>
          <cell r="AJ3927" t="str">
            <v>Quảng Ninh</v>
          </cell>
          <cell r="BX3927" t="str">
            <v>AON</v>
          </cell>
        </row>
        <row r="3928">
          <cell r="A3928" t="str">
            <v>OP</v>
          </cell>
          <cell r="B3928" t="str">
            <v>Quá 24h</v>
          </cell>
          <cell r="D3928" t="str">
            <v>Khiếu nại về dịch vụ FTTH</v>
          </cell>
          <cell r="W3928" t="str">
            <v>Đã đóng</v>
          </cell>
          <cell r="AJ3928" t="str">
            <v>Quảng Ninh</v>
          </cell>
          <cell r="BX3928" t="str">
            <v>AON</v>
          </cell>
        </row>
        <row r="3929">
          <cell r="A3929" t="str">
            <v>OP</v>
          </cell>
          <cell r="B3929" t="str">
            <v>Quá 24h</v>
          </cell>
          <cell r="D3929" t="str">
            <v>Khiếu nại về dịch vụ FTTH</v>
          </cell>
          <cell r="W3929" t="str">
            <v>Đã đóng</v>
          </cell>
          <cell r="AJ3929" t="str">
            <v>Quảng Ninh</v>
          </cell>
          <cell r="BX3929" t="str">
            <v>AON</v>
          </cell>
        </row>
        <row r="3930">
          <cell r="A3930" t="str">
            <v>OP</v>
          </cell>
          <cell r="B3930" t="str">
            <v>Quá 24h</v>
          </cell>
          <cell r="D3930" t="str">
            <v>Khiếu nại về dịch vụ NextTV</v>
          </cell>
          <cell r="W3930" t="str">
            <v>Đã đóng</v>
          </cell>
          <cell r="AJ3930" t="str">
            <v>Thanh Hoá</v>
          </cell>
          <cell r="BX3930" t="str">
            <v>AON</v>
          </cell>
        </row>
        <row r="3931">
          <cell r="A3931" t="str">
            <v>OP</v>
          </cell>
          <cell r="B3931" t="str">
            <v>Quá 24h</v>
          </cell>
          <cell r="D3931" t="str">
            <v>Khiếu nại về dịch vụ FTTH</v>
          </cell>
          <cell r="W3931" t="str">
            <v>Đã đóng</v>
          </cell>
          <cell r="AJ3931" t="str">
            <v>Quảng Ninh</v>
          </cell>
          <cell r="BX3931" t="str">
            <v>AON</v>
          </cell>
        </row>
        <row r="3932">
          <cell r="A3932" t="str">
            <v>OP</v>
          </cell>
          <cell r="B3932" t="str">
            <v>Quá 24h</v>
          </cell>
          <cell r="D3932" t="str">
            <v>Khiếu nại về dịch vụ FTTH</v>
          </cell>
          <cell r="W3932" t="str">
            <v>Đã đóng</v>
          </cell>
          <cell r="AJ3932" t="str">
            <v>Thái Nguyên</v>
          </cell>
          <cell r="BX3932" t="str">
            <v>AON</v>
          </cell>
        </row>
        <row r="3933">
          <cell r="A3933" t="str">
            <v>OP</v>
          </cell>
          <cell r="B3933" t="str">
            <v>Quá 24h</v>
          </cell>
          <cell r="D3933" t="str">
            <v>Khiếu nại về dịch vụ FTTH</v>
          </cell>
          <cell r="W3933" t="str">
            <v>Đang xử lý</v>
          </cell>
          <cell r="AJ3933" t="str">
            <v>Bắc Ninh</v>
          </cell>
          <cell r="BX3933" t="str">
            <v>AON</v>
          </cell>
        </row>
        <row r="3934">
          <cell r="A3934" t="str">
            <v>OP</v>
          </cell>
          <cell r="B3934" t="str">
            <v>Quá 24h</v>
          </cell>
          <cell r="D3934" t="str">
            <v>Khiếu nại về dịch vụ NextTV</v>
          </cell>
          <cell r="W3934" t="str">
            <v>Đã đóng</v>
          </cell>
          <cell r="AJ3934" t="str">
            <v>Nam Định</v>
          </cell>
          <cell r="BX3934" t="str">
            <v>AON</v>
          </cell>
        </row>
        <row r="3935">
          <cell r="A3935" t="str">
            <v>OP</v>
          </cell>
          <cell r="B3935" t="str">
            <v>Quá 24h</v>
          </cell>
          <cell r="D3935" t="str">
            <v>Khiếu nại về dịch vụ FTTH</v>
          </cell>
          <cell r="W3935" t="str">
            <v>Đang xử lý</v>
          </cell>
          <cell r="AJ3935" t="str">
            <v>Hà Nam</v>
          </cell>
          <cell r="BX3935" t="str">
            <v>AON</v>
          </cell>
        </row>
        <row r="3936">
          <cell r="A3936" t="str">
            <v>OP</v>
          </cell>
          <cell r="B3936" t="str">
            <v>Quá 24h</v>
          </cell>
          <cell r="D3936" t="str">
            <v>Khiếu nại về dịch vụ FTTH</v>
          </cell>
          <cell r="W3936" t="str">
            <v>Đang xử lý</v>
          </cell>
          <cell r="AJ3936" t="str">
            <v>Hà Nội 2</v>
          </cell>
          <cell r="BX3936" t="str">
            <v>AON</v>
          </cell>
        </row>
        <row r="3937">
          <cell r="A3937" t="str">
            <v>OP</v>
          </cell>
          <cell r="B3937" t="str">
            <v>Quá 24h</v>
          </cell>
          <cell r="D3937" t="str">
            <v>Khiếu nại về dịch vụ FTTH</v>
          </cell>
          <cell r="W3937" t="str">
            <v>Đã đóng</v>
          </cell>
          <cell r="AJ3937" t="str">
            <v>Quảng Ninh</v>
          </cell>
          <cell r="BX3937" t="str">
            <v>AON</v>
          </cell>
        </row>
        <row r="3938">
          <cell r="A3938" t="str">
            <v>OP</v>
          </cell>
          <cell r="B3938" t="str">
            <v>Quá 24h</v>
          </cell>
          <cell r="D3938" t="str">
            <v>Khiếu nại về dịch vụ FTTH</v>
          </cell>
          <cell r="W3938" t="str">
            <v>Đã đóng</v>
          </cell>
          <cell r="AJ3938" t="str">
            <v>Quảng Ninh</v>
          </cell>
          <cell r="BX3938" t="str">
            <v>AON</v>
          </cell>
        </row>
        <row r="3939">
          <cell r="A3939" t="str">
            <v>OP</v>
          </cell>
          <cell r="B3939" t="str">
            <v>Quá 24h</v>
          </cell>
          <cell r="D3939" t="str">
            <v>Khiếu nại về dịch vụ FTTH</v>
          </cell>
          <cell r="W3939" t="str">
            <v>Đã đóng</v>
          </cell>
          <cell r="AJ3939" t="str">
            <v>Quảng Ninh</v>
          </cell>
          <cell r="BX3939" t="str">
            <v>AON</v>
          </cell>
        </row>
        <row r="3940">
          <cell r="A3940" t="str">
            <v>OP</v>
          </cell>
          <cell r="B3940" t="str">
            <v>Quá 24h</v>
          </cell>
          <cell r="D3940" t="str">
            <v>Khiếu nại về dịch vụ FTTH</v>
          </cell>
          <cell r="W3940" t="str">
            <v>Đã đóng</v>
          </cell>
          <cell r="AJ3940" t="str">
            <v>Quảng Ninh</v>
          </cell>
          <cell r="BX3940" t="str">
            <v>AON</v>
          </cell>
        </row>
        <row r="3941">
          <cell r="A3941" t="str">
            <v>OP</v>
          </cell>
          <cell r="B3941" t="str">
            <v>Quá 24h</v>
          </cell>
          <cell r="D3941" t="str">
            <v>Khiếu nại về dịch vụ FTTH</v>
          </cell>
          <cell r="W3941" t="str">
            <v>Đang xử lý</v>
          </cell>
          <cell r="AJ3941" t="str">
            <v>Hà Nội 2</v>
          </cell>
          <cell r="BX3941" t="str">
            <v>AON</v>
          </cell>
        </row>
        <row r="3942">
          <cell r="A3942" t="str">
            <v>OP</v>
          </cell>
          <cell r="B3942" t="str">
            <v>Quá 24h</v>
          </cell>
          <cell r="D3942" t="str">
            <v>Khiếu nại về dịch vụ FTTH</v>
          </cell>
          <cell r="W3942" t="str">
            <v>Đã đóng</v>
          </cell>
          <cell r="AJ3942" t="str">
            <v>Bắc Giang</v>
          </cell>
          <cell r="BX3942" t="str">
            <v>AON</v>
          </cell>
        </row>
        <row r="3943">
          <cell r="A3943" t="str">
            <v>OP</v>
          </cell>
          <cell r="B3943" t="str">
            <v>Quá 24h</v>
          </cell>
          <cell r="D3943" t="str">
            <v>Khiếu nại về dịch vụ FTTH</v>
          </cell>
          <cell r="W3943" t="str">
            <v>Đã đóng</v>
          </cell>
          <cell r="AJ3943" t="str">
            <v>Thái Bình</v>
          </cell>
          <cell r="BX3943" t="str">
            <v>AON</v>
          </cell>
        </row>
        <row r="3944">
          <cell r="A3944" t="str">
            <v>OP</v>
          </cell>
          <cell r="B3944" t="str">
            <v>Quá 24h</v>
          </cell>
          <cell r="D3944" t="str">
            <v>Khiếu nại về dịch vụ FTTH</v>
          </cell>
          <cell r="W3944" t="str">
            <v>Đã đóng</v>
          </cell>
          <cell r="AJ3944" t="str">
            <v>Bắc Ninh</v>
          </cell>
          <cell r="BX3944" t="str">
            <v>AON</v>
          </cell>
        </row>
        <row r="3945">
          <cell r="A3945" t="str">
            <v>OP</v>
          </cell>
          <cell r="B3945" t="str">
            <v>Quá 24h</v>
          </cell>
          <cell r="D3945" t="str">
            <v>Khiếu nại về dịch vụ FTTH</v>
          </cell>
          <cell r="W3945" t="str">
            <v>Đã đóng</v>
          </cell>
          <cell r="AJ3945" t="str">
            <v>Hà Nam</v>
          </cell>
          <cell r="BX3945" t="str">
            <v>AON</v>
          </cell>
        </row>
        <row r="3946">
          <cell r="A3946" t="str">
            <v>OP</v>
          </cell>
          <cell r="B3946" t="str">
            <v>Quá 24h</v>
          </cell>
          <cell r="D3946" t="str">
            <v>Khiếu nại về dịch vụ FTTH</v>
          </cell>
          <cell r="W3946" t="str">
            <v>Đã đóng</v>
          </cell>
          <cell r="AJ3946" t="str">
            <v>Thái Nguyên</v>
          </cell>
          <cell r="BX3946" t="str">
            <v>AON</v>
          </cell>
        </row>
        <row r="3947">
          <cell r="A3947" t="str">
            <v>OP</v>
          </cell>
          <cell r="B3947" t="str">
            <v>Quá 24h</v>
          </cell>
          <cell r="D3947" t="str">
            <v>Khiếu nại về dịch vụ FTTH</v>
          </cell>
          <cell r="W3947" t="str">
            <v>Đã đóng</v>
          </cell>
          <cell r="AJ3947" t="str">
            <v>Quảng Ninh</v>
          </cell>
          <cell r="BX3947" t="str">
            <v>AON</v>
          </cell>
        </row>
        <row r="3948">
          <cell r="A3948" t="str">
            <v>OP</v>
          </cell>
          <cell r="B3948" t="str">
            <v>Quá 24h</v>
          </cell>
          <cell r="D3948" t="str">
            <v>Khiếu nại về dịch vụ FTTH</v>
          </cell>
          <cell r="W3948" t="str">
            <v>Đã đóng</v>
          </cell>
          <cell r="AJ3948" t="str">
            <v>Quảng Ninh</v>
          </cell>
          <cell r="BX3948" t="str">
            <v>AON</v>
          </cell>
        </row>
        <row r="3949">
          <cell r="A3949" t="str">
            <v>OP</v>
          </cell>
          <cell r="B3949" t="str">
            <v>Quá 24h</v>
          </cell>
          <cell r="D3949" t="str">
            <v>Khiếu nại về dịch vụ FTTH</v>
          </cell>
          <cell r="W3949" t="str">
            <v>Đã đóng</v>
          </cell>
          <cell r="AJ3949" t="str">
            <v>Nghệ An</v>
          </cell>
          <cell r="BX3949" t="str">
            <v>AON</v>
          </cell>
        </row>
        <row r="3950">
          <cell r="A3950" t="str">
            <v>OP</v>
          </cell>
          <cell r="B3950" t="str">
            <v>Quá 24h</v>
          </cell>
          <cell r="D3950" t="str">
            <v>Khiếu nại về dịch vụ FTTH</v>
          </cell>
          <cell r="W3950" t="str">
            <v>Đang xử lý</v>
          </cell>
          <cell r="AJ3950" t="str">
            <v>Hà Nội 1</v>
          </cell>
          <cell r="BX3950" t="str">
            <v>AON</v>
          </cell>
        </row>
        <row r="3951">
          <cell r="A3951" t="str">
            <v>OP</v>
          </cell>
          <cell r="B3951" t="str">
            <v>Quá 24h</v>
          </cell>
          <cell r="D3951" t="str">
            <v>Khiếu nại về dịch vụ FTTH</v>
          </cell>
          <cell r="W3951" t="str">
            <v>Đã đóng</v>
          </cell>
          <cell r="AJ3951" t="str">
            <v>Nghệ An</v>
          </cell>
          <cell r="BX3951" t="str">
            <v>AON</v>
          </cell>
        </row>
        <row r="3952">
          <cell r="A3952" t="str">
            <v>OP</v>
          </cell>
          <cell r="B3952" t="str">
            <v>Quá 24h</v>
          </cell>
          <cell r="D3952" t="str">
            <v>Khiếu nại về dịch vụ FTTH</v>
          </cell>
          <cell r="W3952" t="str">
            <v>Đã đóng</v>
          </cell>
          <cell r="AJ3952" t="str">
            <v>Bắc Ninh</v>
          </cell>
          <cell r="BX3952" t="str">
            <v>AON</v>
          </cell>
        </row>
        <row r="3953">
          <cell r="A3953" t="str">
            <v>OP</v>
          </cell>
          <cell r="B3953" t="str">
            <v>Quá 24h</v>
          </cell>
          <cell r="D3953" t="str">
            <v>Khiếu nại về dịch vụ FTTH</v>
          </cell>
          <cell r="W3953" t="str">
            <v>Đã đóng</v>
          </cell>
          <cell r="AJ3953" t="str">
            <v>Quảng Ninh</v>
          </cell>
          <cell r="BX3953" t="str">
            <v>AON</v>
          </cell>
        </row>
        <row r="3954">
          <cell r="A3954" t="str">
            <v>OP</v>
          </cell>
          <cell r="B3954" t="str">
            <v>Quá 24h</v>
          </cell>
          <cell r="D3954" t="str">
            <v>Khiếu nại về dịch vụ FTTH</v>
          </cell>
          <cell r="W3954" t="str">
            <v>Đã đóng</v>
          </cell>
          <cell r="AJ3954" t="str">
            <v>Quảng Ninh</v>
          </cell>
          <cell r="BX3954" t="str">
            <v>AON</v>
          </cell>
        </row>
        <row r="3955">
          <cell r="A3955" t="str">
            <v>OP</v>
          </cell>
          <cell r="B3955" t="str">
            <v>Quá 24h</v>
          </cell>
          <cell r="D3955" t="str">
            <v>Khiếu nại về dịch vụ FTTH</v>
          </cell>
          <cell r="W3955" t="str">
            <v>Đã đóng</v>
          </cell>
          <cell r="AJ3955" t="str">
            <v>Quảng Ninh</v>
          </cell>
          <cell r="BX3955" t="str">
            <v>AON</v>
          </cell>
        </row>
        <row r="3956">
          <cell r="A3956" t="str">
            <v>OP</v>
          </cell>
          <cell r="B3956" t="str">
            <v>Quá 24h</v>
          </cell>
          <cell r="D3956" t="str">
            <v>Khiếu nại về dịch vụ FTTH</v>
          </cell>
          <cell r="W3956" t="str">
            <v>Đã đóng</v>
          </cell>
          <cell r="AJ3956" t="str">
            <v>Nghệ An</v>
          </cell>
          <cell r="BX3956" t="str">
            <v>AON</v>
          </cell>
        </row>
        <row r="3957">
          <cell r="A3957" t="str">
            <v>OP</v>
          </cell>
          <cell r="B3957" t="str">
            <v>Quá 24h</v>
          </cell>
          <cell r="D3957" t="str">
            <v>Khiếu nại về dịch vụ FTTH</v>
          </cell>
          <cell r="W3957" t="str">
            <v>Đã đóng</v>
          </cell>
          <cell r="AJ3957" t="str">
            <v>Quảng Ninh</v>
          </cell>
          <cell r="BX3957" t="str">
            <v>AON</v>
          </cell>
        </row>
        <row r="3958">
          <cell r="A3958" t="str">
            <v>OP</v>
          </cell>
          <cell r="B3958" t="str">
            <v>Quá 24h</v>
          </cell>
          <cell r="D3958" t="str">
            <v>Khiếu nại về dịch vụ FTTH</v>
          </cell>
          <cell r="W3958" t="str">
            <v>Đã đóng</v>
          </cell>
          <cell r="AJ3958" t="str">
            <v>Quảng Ninh</v>
          </cell>
          <cell r="BX3958" t="str">
            <v>AON</v>
          </cell>
        </row>
        <row r="3959">
          <cell r="A3959" t="str">
            <v>OP</v>
          </cell>
          <cell r="B3959" t="str">
            <v>Quá 24h</v>
          </cell>
          <cell r="D3959" t="str">
            <v>Khiếu nại về dịch vụ FTTH</v>
          </cell>
          <cell r="W3959" t="str">
            <v>Đã đóng</v>
          </cell>
          <cell r="AJ3959" t="str">
            <v>Quảng Ninh</v>
          </cell>
          <cell r="BX3959" t="str">
            <v>AON</v>
          </cell>
        </row>
        <row r="3960">
          <cell r="A3960" t="str">
            <v>OP</v>
          </cell>
          <cell r="B3960" t="str">
            <v>Quá 24h</v>
          </cell>
          <cell r="D3960" t="str">
            <v>Khiếu nại về dịch vụ FTTH</v>
          </cell>
          <cell r="W3960" t="str">
            <v>Đang xử lý</v>
          </cell>
          <cell r="AJ3960" t="str">
            <v>Quảng Ninh</v>
          </cell>
          <cell r="BX3960" t="str">
            <v>AON</v>
          </cell>
        </row>
        <row r="3961">
          <cell r="A3961" t="str">
            <v>OP</v>
          </cell>
          <cell r="B3961" t="str">
            <v>Quá 24h</v>
          </cell>
          <cell r="D3961" t="str">
            <v>Khiếu nại về dịch vụ FTTH</v>
          </cell>
          <cell r="W3961" t="str">
            <v>Đang xử lý</v>
          </cell>
          <cell r="AJ3961" t="str">
            <v>Quảng Ninh</v>
          </cell>
          <cell r="BX3961" t="str">
            <v>AON</v>
          </cell>
        </row>
        <row r="3962">
          <cell r="A3962" t="str">
            <v>OP</v>
          </cell>
          <cell r="B3962" t="str">
            <v>Quá 24h</v>
          </cell>
          <cell r="D3962" t="str">
            <v>Khiếu nại về dịch vụ FTTH</v>
          </cell>
          <cell r="W3962" t="str">
            <v>Đang xử lý</v>
          </cell>
          <cell r="AJ3962" t="str">
            <v>Quảng Ninh</v>
          </cell>
          <cell r="BX3962" t="str">
            <v>AON</v>
          </cell>
        </row>
        <row r="3963">
          <cell r="A3963" t="str">
            <v>OP</v>
          </cell>
          <cell r="B3963" t="str">
            <v>Quá 24h</v>
          </cell>
          <cell r="D3963" t="str">
            <v>Khiếu nại về dịch vụ FTTH</v>
          </cell>
          <cell r="W3963" t="str">
            <v>Đã đóng</v>
          </cell>
          <cell r="AJ3963" t="str">
            <v>Thái Bình</v>
          </cell>
          <cell r="BX3963" t="str">
            <v>AON</v>
          </cell>
        </row>
        <row r="3964">
          <cell r="A3964" t="str">
            <v>OP</v>
          </cell>
          <cell r="B3964" t="str">
            <v>Quá 24h</v>
          </cell>
          <cell r="D3964" t="str">
            <v>Khiếu nại về dịch vụ FTTH</v>
          </cell>
          <cell r="W3964" t="str">
            <v>Đang xử lý</v>
          </cell>
          <cell r="AJ3964" t="str">
            <v>Bắc Ninh</v>
          </cell>
          <cell r="BX3964" t="str">
            <v>AON</v>
          </cell>
        </row>
        <row r="3965">
          <cell r="A3965" t="str">
            <v>OP</v>
          </cell>
          <cell r="B3965" t="str">
            <v>Quá 24h</v>
          </cell>
          <cell r="D3965" t="str">
            <v>Khiếu nại về dịch vụ FTTH</v>
          </cell>
          <cell r="W3965" t="str">
            <v>Đã đóng</v>
          </cell>
          <cell r="AJ3965" t="str">
            <v>Thanh Hoá</v>
          </cell>
          <cell r="BX3965" t="str">
            <v>AON</v>
          </cell>
        </row>
        <row r="3966">
          <cell r="A3966" t="str">
            <v>OP</v>
          </cell>
          <cell r="B3966" t="str">
            <v>Quá 24h</v>
          </cell>
          <cell r="D3966" t="str">
            <v>Khiếu nại về dịch vụ FTTH</v>
          </cell>
          <cell r="W3966" t="str">
            <v>Đã đóng</v>
          </cell>
          <cell r="AJ3966" t="str">
            <v>Quảng Ninh</v>
          </cell>
          <cell r="BX3966" t="str">
            <v>AON</v>
          </cell>
        </row>
        <row r="3967">
          <cell r="A3967" t="str">
            <v>OP</v>
          </cell>
          <cell r="B3967" t="str">
            <v>Quá 24h</v>
          </cell>
          <cell r="D3967" t="str">
            <v>Khiếu nại về dịch vụ FTTH</v>
          </cell>
          <cell r="W3967" t="str">
            <v>Đã đóng</v>
          </cell>
          <cell r="AJ3967" t="str">
            <v>Nam Định</v>
          </cell>
          <cell r="BX3967" t="str">
            <v>AON</v>
          </cell>
        </row>
        <row r="3968">
          <cell r="A3968" t="str">
            <v>OP</v>
          </cell>
          <cell r="B3968" t="str">
            <v>Quá 24h</v>
          </cell>
          <cell r="D3968" t="str">
            <v>Khiếu nại về dịch vụ FTTH</v>
          </cell>
          <cell r="W3968" t="str">
            <v>Đã đóng</v>
          </cell>
          <cell r="AJ3968" t="str">
            <v>Sơn La</v>
          </cell>
          <cell r="BX3968" t="str">
            <v>AON</v>
          </cell>
        </row>
        <row r="3969">
          <cell r="A3969" t="str">
            <v>OP</v>
          </cell>
          <cell r="B3969" t="str">
            <v>Quá 24h</v>
          </cell>
          <cell r="D3969" t="str">
            <v>Khiếu nại về dịch vụ NextTV</v>
          </cell>
          <cell r="W3969" t="str">
            <v>Đã đóng</v>
          </cell>
          <cell r="AJ3969" t="str">
            <v>Thái Bình</v>
          </cell>
          <cell r="BX3969" t="str">
            <v>AON</v>
          </cell>
        </row>
        <row r="3970">
          <cell r="A3970" t="str">
            <v>OP</v>
          </cell>
          <cell r="B3970" t="str">
            <v>Quá 24h</v>
          </cell>
          <cell r="D3970" t="str">
            <v>Khiếu nại về dịch vụ FTTH</v>
          </cell>
          <cell r="W3970" t="str">
            <v>Đã đóng</v>
          </cell>
          <cell r="AJ3970" t="str">
            <v>Quảng Ninh</v>
          </cell>
          <cell r="BX3970" t="str">
            <v>AON</v>
          </cell>
        </row>
        <row r="3971">
          <cell r="A3971" t="str">
            <v>OP</v>
          </cell>
          <cell r="B3971" t="str">
            <v>Quá 24h</v>
          </cell>
          <cell r="D3971" t="str">
            <v>Khiếu nại về dịch vụ FTTH</v>
          </cell>
          <cell r="W3971" t="str">
            <v>Đã đóng</v>
          </cell>
          <cell r="AJ3971" t="str">
            <v>Thái Nguyên</v>
          </cell>
          <cell r="BX3971" t="str">
            <v>AON</v>
          </cell>
        </row>
        <row r="3972">
          <cell r="A3972" t="str">
            <v>OP</v>
          </cell>
          <cell r="B3972" t="str">
            <v>Quá 24h</v>
          </cell>
          <cell r="D3972" t="str">
            <v>Khiếu nại về dịch vụ FTTH</v>
          </cell>
          <cell r="W3972" t="str">
            <v>Đang xử lý</v>
          </cell>
          <cell r="AJ3972" t="str">
            <v>Quảng Ninh</v>
          </cell>
          <cell r="BX3972" t="str">
            <v>AON</v>
          </cell>
        </row>
        <row r="3973">
          <cell r="A3973" t="str">
            <v>OP</v>
          </cell>
          <cell r="B3973" t="str">
            <v>Quá 24h</v>
          </cell>
          <cell r="D3973" t="str">
            <v>Khiếu nại về dịch vụ FTTH</v>
          </cell>
          <cell r="W3973" t="str">
            <v>Đã đóng</v>
          </cell>
          <cell r="AJ3973" t="str">
            <v>Hà Nội 1</v>
          </cell>
          <cell r="BX3973" t="str">
            <v>AON</v>
          </cell>
        </row>
        <row r="3974">
          <cell r="A3974" t="str">
            <v>OP</v>
          </cell>
          <cell r="B3974" t="str">
            <v>Quá 24h</v>
          </cell>
          <cell r="D3974" t="str">
            <v>Khiếu nại về dịch vụ FTTH</v>
          </cell>
          <cell r="W3974" t="str">
            <v>Đã đóng</v>
          </cell>
          <cell r="AJ3974" t="str">
            <v>Hà Nam</v>
          </cell>
          <cell r="BX3974" t="str">
            <v>AON</v>
          </cell>
        </row>
        <row r="3975">
          <cell r="A3975" t="str">
            <v>OP</v>
          </cell>
          <cell r="B3975" t="str">
            <v>Quá 24h</v>
          </cell>
          <cell r="D3975" t="str">
            <v>Khiếu nại về dịch vụ FTTH</v>
          </cell>
          <cell r="W3975" t="str">
            <v>Đã đóng</v>
          </cell>
          <cell r="AJ3975" t="str">
            <v>Thái Nguyên</v>
          </cell>
          <cell r="BX3975" t="str">
            <v>AON</v>
          </cell>
        </row>
        <row r="3976">
          <cell r="A3976" t="str">
            <v>OP</v>
          </cell>
          <cell r="B3976" t="str">
            <v>Quá 24h</v>
          </cell>
          <cell r="D3976" t="str">
            <v>Khiếu nại về dịch vụ FTTH</v>
          </cell>
          <cell r="W3976" t="str">
            <v>Đang xử lý</v>
          </cell>
          <cell r="AJ3976" t="str">
            <v>Long An</v>
          </cell>
          <cell r="BX3976" t="str">
            <v>AON</v>
          </cell>
        </row>
        <row r="3977">
          <cell r="A3977" t="str">
            <v>OP</v>
          </cell>
          <cell r="B3977" t="str">
            <v>Quá 24h</v>
          </cell>
          <cell r="D3977" t="str">
            <v>Khiếu nại về dịch vụ FTTH</v>
          </cell>
          <cell r="W3977" t="str">
            <v>Đang xử lý</v>
          </cell>
          <cell r="AJ3977" t="str">
            <v>Hà Nội 1</v>
          </cell>
          <cell r="BX3977" t="str">
            <v>AON</v>
          </cell>
        </row>
        <row r="3978">
          <cell r="A3978" t="str">
            <v>OP</v>
          </cell>
          <cell r="B3978" t="str">
            <v>Quá 24h</v>
          </cell>
          <cell r="D3978" t="str">
            <v>Khiếu nại về dịch vụ FTTH</v>
          </cell>
          <cell r="W3978" t="str">
            <v>Đã đóng</v>
          </cell>
          <cell r="AJ3978" t="str">
            <v>Quảng Ninh</v>
          </cell>
          <cell r="BX3978" t="str">
            <v>AON</v>
          </cell>
        </row>
        <row r="3979">
          <cell r="A3979" t="str">
            <v>OP</v>
          </cell>
          <cell r="B3979" t="str">
            <v>Quá 24h</v>
          </cell>
          <cell r="D3979" t="str">
            <v>Khiếu nại về dịch vụ FTTH</v>
          </cell>
          <cell r="W3979" t="str">
            <v>Đã đóng</v>
          </cell>
          <cell r="AJ3979" t="str">
            <v>Nam Định</v>
          </cell>
          <cell r="BX3979" t="str">
            <v>AON</v>
          </cell>
        </row>
        <row r="3980">
          <cell r="A3980" t="str">
            <v>OP</v>
          </cell>
          <cell r="B3980" t="str">
            <v>Quá 24h</v>
          </cell>
          <cell r="D3980" t="str">
            <v>Khiếu nại về dịch vụ FTTH</v>
          </cell>
          <cell r="W3980" t="str">
            <v>Đã đóng</v>
          </cell>
          <cell r="AJ3980" t="str">
            <v>Nghệ An</v>
          </cell>
          <cell r="BX3980" t="str">
            <v>AON</v>
          </cell>
        </row>
        <row r="3981">
          <cell r="A3981" t="str">
            <v>OP</v>
          </cell>
          <cell r="B3981" t="str">
            <v>Quá 24h</v>
          </cell>
          <cell r="D3981" t="str">
            <v>Khiếu nại về dịch vụ FTTH</v>
          </cell>
          <cell r="W3981" t="str">
            <v>Đang xử lý</v>
          </cell>
          <cell r="AJ3981" t="str">
            <v>Hoà Bình</v>
          </cell>
          <cell r="BX3981" t="str">
            <v>AON</v>
          </cell>
        </row>
        <row r="3982">
          <cell r="A3982" t="str">
            <v>OP</v>
          </cell>
          <cell r="B3982" t="str">
            <v>Quá 24h</v>
          </cell>
          <cell r="D3982" t="str">
            <v>Khiếu nại về dịch vụ FTTH</v>
          </cell>
          <cell r="W3982" t="str">
            <v>Đang xử lý</v>
          </cell>
          <cell r="AJ3982" t="str">
            <v>TP HCM</v>
          </cell>
          <cell r="BX3982" t="str">
            <v>AON</v>
          </cell>
        </row>
        <row r="3983">
          <cell r="A3983" t="str">
            <v>OP</v>
          </cell>
          <cell r="B3983" t="str">
            <v>Quá 24h</v>
          </cell>
          <cell r="D3983" t="str">
            <v>Khiếu nại về dịch vụ FTTH</v>
          </cell>
          <cell r="W3983" t="str">
            <v>Đã đóng</v>
          </cell>
          <cell r="AJ3983" t="str">
            <v>TP HCM</v>
          </cell>
          <cell r="BX3983" t="str">
            <v>AON</v>
          </cell>
        </row>
        <row r="3984">
          <cell r="A3984" t="str">
            <v>OP</v>
          </cell>
          <cell r="B3984" t="str">
            <v>Quá 24h</v>
          </cell>
          <cell r="D3984" t="str">
            <v>Khiếu nại về dịch vụ FTTH</v>
          </cell>
          <cell r="W3984" t="str">
            <v>Đã đóng</v>
          </cell>
          <cell r="AJ3984" t="str">
            <v>Bắc Ninh</v>
          </cell>
          <cell r="BX3984" t="str">
            <v>AON</v>
          </cell>
        </row>
        <row r="3985">
          <cell r="A3985" t="str">
            <v>OP</v>
          </cell>
          <cell r="B3985" t="str">
            <v>Quá 24h</v>
          </cell>
          <cell r="D3985" t="str">
            <v>Khiếu nại về dịch vụ FTTH</v>
          </cell>
          <cell r="W3985" t="str">
            <v>Đã đóng</v>
          </cell>
          <cell r="AJ3985" t="str">
            <v>Nam Định</v>
          </cell>
          <cell r="BX3985" t="str">
            <v>AON</v>
          </cell>
        </row>
        <row r="3986">
          <cell r="A3986" t="str">
            <v>OP</v>
          </cell>
          <cell r="B3986" t="str">
            <v>Quá 24h</v>
          </cell>
          <cell r="D3986" t="str">
            <v>Khiếu nại về dịch vụ FTTH</v>
          </cell>
          <cell r="W3986" t="str">
            <v>Đã đóng</v>
          </cell>
          <cell r="AJ3986" t="str">
            <v>Quảng Bình</v>
          </cell>
          <cell r="BX3986" t="str">
            <v>AON</v>
          </cell>
        </row>
        <row r="3987">
          <cell r="A3987" t="str">
            <v>OP</v>
          </cell>
          <cell r="B3987" t="str">
            <v>Quá 24h</v>
          </cell>
          <cell r="D3987" t="str">
            <v>Khiếu nại về dịch vụ FTTH</v>
          </cell>
          <cell r="W3987" t="str">
            <v>Đã đóng</v>
          </cell>
          <cell r="AJ3987" t="str">
            <v>Hà Nội 1</v>
          </cell>
          <cell r="BX3987" t="str">
            <v>AON</v>
          </cell>
        </row>
        <row r="3988">
          <cell r="A3988" t="str">
            <v>OP</v>
          </cell>
          <cell r="B3988" t="str">
            <v>Quá 24h</v>
          </cell>
          <cell r="D3988" t="str">
            <v>Khiếu nại về dịch vụ FTTH</v>
          </cell>
          <cell r="W3988" t="str">
            <v>Đã đóng</v>
          </cell>
          <cell r="AJ3988" t="str">
            <v>Bình Dương</v>
          </cell>
          <cell r="BX3988" t="str">
            <v>AON</v>
          </cell>
        </row>
        <row r="3989">
          <cell r="A3989" t="str">
            <v>OP</v>
          </cell>
          <cell r="B3989" t="str">
            <v>Quá 24h</v>
          </cell>
          <cell r="D3989" t="str">
            <v>Khiếu nại về dịch vụ FTTH</v>
          </cell>
          <cell r="W3989" t="str">
            <v>Đã đóng</v>
          </cell>
          <cell r="AJ3989" t="str">
            <v>Bình Dương</v>
          </cell>
          <cell r="BX3989" t="str">
            <v>AON</v>
          </cell>
        </row>
        <row r="3990">
          <cell r="A3990" t="str">
            <v>OP</v>
          </cell>
          <cell r="B3990" t="str">
            <v>Quá 24h</v>
          </cell>
          <cell r="D3990" t="str">
            <v>Khiếu nại về dịch vụ FTTH</v>
          </cell>
          <cell r="W3990" t="str">
            <v>Đã đóng</v>
          </cell>
          <cell r="AJ3990" t="str">
            <v>Bình Dương</v>
          </cell>
          <cell r="BX3990" t="str">
            <v>AON</v>
          </cell>
        </row>
        <row r="3991">
          <cell r="A3991" t="str">
            <v>OP</v>
          </cell>
          <cell r="B3991" t="str">
            <v>Quá 24h</v>
          </cell>
          <cell r="D3991" t="str">
            <v>Khiếu nại về dịch vụ FTTH</v>
          </cell>
          <cell r="W3991" t="str">
            <v>Đã đóng</v>
          </cell>
          <cell r="AJ3991" t="str">
            <v xml:space="preserve">Hà Tĩnh </v>
          </cell>
          <cell r="BX3991" t="str">
            <v>AON</v>
          </cell>
        </row>
        <row r="3992">
          <cell r="A3992" t="str">
            <v>OP</v>
          </cell>
          <cell r="B3992" t="str">
            <v>Quá 24h</v>
          </cell>
          <cell r="D3992" t="str">
            <v>Khiếu nại về dịch vụ FTTH</v>
          </cell>
          <cell r="W3992" t="str">
            <v>Đã đóng</v>
          </cell>
          <cell r="AJ3992" t="str">
            <v>Quảng Ninh</v>
          </cell>
          <cell r="BX3992" t="str">
            <v>AON</v>
          </cell>
        </row>
        <row r="3993">
          <cell r="A3993" t="str">
            <v>OP</v>
          </cell>
          <cell r="B3993" t="str">
            <v>Quá 24h</v>
          </cell>
          <cell r="D3993" t="str">
            <v>Khiếu nại về dịch vụ FTTH</v>
          </cell>
          <cell r="W3993" t="str">
            <v>Đã đóng</v>
          </cell>
          <cell r="AJ3993" t="str">
            <v>TP HCM</v>
          </cell>
          <cell r="BX3993" t="str">
            <v>GPON</v>
          </cell>
        </row>
        <row r="3994">
          <cell r="A3994" t="str">
            <v>OP</v>
          </cell>
          <cell r="B3994" t="str">
            <v>Quá 24h</v>
          </cell>
          <cell r="D3994" t="str">
            <v>Khiếu nại về dịch vụ FTTH</v>
          </cell>
          <cell r="W3994" t="str">
            <v>Đã đóng</v>
          </cell>
          <cell r="AJ3994" t="str">
            <v>Kiên Giang</v>
          </cell>
          <cell r="BX3994" t="str">
            <v>AON</v>
          </cell>
        </row>
        <row r="3995">
          <cell r="A3995" t="str">
            <v>OP</v>
          </cell>
          <cell r="B3995" t="str">
            <v>Quá 24h</v>
          </cell>
          <cell r="D3995" t="str">
            <v>Khiếu nại về dịch vụ FTTH</v>
          </cell>
          <cell r="W3995" t="str">
            <v>Đã đóng</v>
          </cell>
          <cell r="AJ3995" t="str">
            <v>Nghệ An</v>
          </cell>
          <cell r="BX3995" t="str">
            <v>AON</v>
          </cell>
        </row>
        <row r="3996">
          <cell r="A3996" t="str">
            <v>OP</v>
          </cell>
          <cell r="B3996" t="str">
            <v>Quá 24h</v>
          </cell>
          <cell r="D3996" t="str">
            <v>Khiếu nại về dịch vụ FTTH</v>
          </cell>
          <cell r="W3996" t="str">
            <v>Đã đóng</v>
          </cell>
          <cell r="AJ3996" t="str">
            <v>TP HCM</v>
          </cell>
          <cell r="BX3996" t="str">
            <v>AON</v>
          </cell>
        </row>
        <row r="3997">
          <cell r="A3997" t="str">
            <v>OP</v>
          </cell>
          <cell r="B3997" t="str">
            <v>Quá 24h</v>
          </cell>
          <cell r="D3997" t="str">
            <v>Khiếu nại về dịch vụ FTTH</v>
          </cell>
          <cell r="W3997" t="str">
            <v>Đang xử lý</v>
          </cell>
          <cell r="AJ3997" t="str">
            <v>TP HCM</v>
          </cell>
          <cell r="BX3997" t="str">
            <v>AON</v>
          </cell>
        </row>
        <row r="3998">
          <cell r="A3998" t="str">
            <v>OP</v>
          </cell>
          <cell r="B3998" t="str">
            <v>Quá 24h</v>
          </cell>
          <cell r="D3998" t="str">
            <v>Khiếu nại về dịch vụ NextTV</v>
          </cell>
          <cell r="W3998" t="str">
            <v>Đã đóng</v>
          </cell>
          <cell r="AJ3998" t="str">
            <v>TP HCM</v>
          </cell>
          <cell r="BX3998" t="str">
            <v>AON</v>
          </cell>
        </row>
        <row r="3999">
          <cell r="A3999" t="str">
            <v>OP</v>
          </cell>
          <cell r="B3999" t="str">
            <v>Quá 24h</v>
          </cell>
          <cell r="D3999" t="str">
            <v>Khiếu nại về dịch vụ FTTH</v>
          </cell>
          <cell r="W3999" t="str">
            <v>Đã đóng</v>
          </cell>
          <cell r="AJ3999" t="str">
            <v>TP HCM</v>
          </cell>
          <cell r="BX3999" t="str">
            <v>AON</v>
          </cell>
        </row>
        <row r="4000">
          <cell r="A4000" t="str">
            <v>OP</v>
          </cell>
          <cell r="B4000" t="str">
            <v>Quá 24h</v>
          </cell>
          <cell r="D4000" t="str">
            <v>Khiếu nại về dịch vụ FTTH</v>
          </cell>
          <cell r="W4000" t="str">
            <v>Đang xử lý</v>
          </cell>
          <cell r="AJ4000" t="str">
            <v>Quảng Ninh</v>
          </cell>
          <cell r="BX4000" t="str">
            <v>AON</v>
          </cell>
        </row>
        <row r="4001">
          <cell r="A4001" t="str">
            <v>OP</v>
          </cell>
          <cell r="B4001" t="str">
            <v>Quá 24h</v>
          </cell>
          <cell r="D4001" t="str">
            <v>Khiếu nại về dịch vụ FTTH</v>
          </cell>
          <cell r="W4001" t="str">
            <v>Đã đóng</v>
          </cell>
          <cell r="AJ4001" t="str">
            <v>Hoà Bình</v>
          </cell>
          <cell r="BX4001" t="str">
            <v>AON</v>
          </cell>
        </row>
        <row r="4002">
          <cell r="A4002" t="str">
            <v>OP</v>
          </cell>
          <cell r="B4002" t="str">
            <v>Quá 24h</v>
          </cell>
          <cell r="D4002" t="str">
            <v>Khiếu nại về dịch vụ FTTH</v>
          </cell>
          <cell r="W4002" t="str">
            <v>Đã đóng</v>
          </cell>
          <cell r="AJ4002" t="str">
            <v>Kiên Giang</v>
          </cell>
          <cell r="BX4002" t="str">
            <v>AON</v>
          </cell>
        </row>
        <row r="4003">
          <cell r="A4003" t="str">
            <v>OP</v>
          </cell>
          <cell r="B4003" t="str">
            <v>Quá 24h</v>
          </cell>
          <cell r="D4003" t="str">
            <v>Khiếu nại về dịch vụ FTTH</v>
          </cell>
          <cell r="W4003" t="str">
            <v>Đang xử lý</v>
          </cell>
          <cell r="AJ4003" t="str">
            <v>Bình Dương</v>
          </cell>
          <cell r="BX4003" t="str">
            <v>AON</v>
          </cell>
        </row>
        <row r="4004">
          <cell r="A4004" t="str">
            <v>OP</v>
          </cell>
          <cell r="B4004" t="str">
            <v>Quá 24h</v>
          </cell>
          <cell r="D4004" t="str">
            <v>Khiếu nại về dịch vụ FTTH</v>
          </cell>
          <cell r="W4004" t="str">
            <v>Đã đóng</v>
          </cell>
          <cell r="AJ4004" t="str">
            <v>TP HCM</v>
          </cell>
          <cell r="BX4004" t="str">
            <v>AON</v>
          </cell>
        </row>
        <row r="4005">
          <cell r="A4005" t="str">
            <v>OP</v>
          </cell>
          <cell r="B4005" t="str">
            <v>Quá 24h</v>
          </cell>
          <cell r="D4005" t="str">
            <v>Khiếu nại về dịch vụ FTTH</v>
          </cell>
          <cell r="W4005" t="str">
            <v>Đã đóng</v>
          </cell>
          <cell r="AJ4005" t="str">
            <v>TP HCM</v>
          </cell>
          <cell r="BX4005" t="str">
            <v>AON</v>
          </cell>
        </row>
        <row r="4006">
          <cell r="A4006" t="str">
            <v>OP</v>
          </cell>
          <cell r="B4006" t="str">
            <v>Quá 24h</v>
          </cell>
          <cell r="D4006" t="str">
            <v>Khiếu nại về dịch vụ FTTH</v>
          </cell>
          <cell r="W4006" t="str">
            <v>Đã đóng</v>
          </cell>
          <cell r="AJ4006" t="str">
            <v>Quảng Bình</v>
          </cell>
          <cell r="BX4006" t="str">
            <v>AON</v>
          </cell>
        </row>
        <row r="4007">
          <cell r="A4007" t="str">
            <v>OP</v>
          </cell>
          <cell r="B4007" t="str">
            <v>Quá 24h</v>
          </cell>
          <cell r="D4007" t="str">
            <v>Khiếu nại về dịch vụ FTTH</v>
          </cell>
          <cell r="W4007" t="str">
            <v>Đã đóng</v>
          </cell>
          <cell r="AJ4007" t="str">
            <v>Thái Nguyên</v>
          </cell>
          <cell r="BX4007" t="str">
            <v>AON</v>
          </cell>
        </row>
        <row r="4008">
          <cell r="A4008" t="str">
            <v>OP</v>
          </cell>
          <cell r="B4008" t="str">
            <v>Quá 24h</v>
          </cell>
          <cell r="D4008" t="str">
            <v>Khiếu nại về dịch vụ FTTH</v>
          </cell>
          <cell r="W4008" t="str">
            <v>Đã đóng</v>
          </cell>
          <cell r="AJ4008" t="str">
            <v>Bắc Ninh</v>
          </cell>
          <cell r="BX4008" t="str">
            <v>AON</v>
          </cell>
        </row>
        <row r="4009">
          <cell r="A4009" t="str">
            <v>OP</v>
          </cell>
          <cell r="B4009" t="str">
            <v>Quá 24h</v>
          </cell>
          <cell r="D4009" t="str">
            <v>Khiếu nại về dịch vụ FTTH</v>
          </cell>
          <cell r="W4009" t="str">
            <v>Đang xử lý</v>
          </cell>
          <cell r="AJ4009" t="str">
            <v>Hà Nội 2</v>
          </cell>
          <cell r="BX4009" t="str">
            <v>AON</v>
          </cell>
        </row>
        <row r="4010">
          <cell r="A4010" t="str">
            <v>OP</v>
          </cell>
          <cell r="B4010" t="str">
            <v>Quá 24h</v>
          </cell>
          <cell r="D4010" t="str">
            <v>Khiếu nại về dịch vụ FTTH</v>
          </cell>
          <cell r="W4010" t="str">
            <v>Đã đóng</v>
          </cell>
          <cell r="AJ4010" t="str">
            <v>Bình Dương</v>
          </cell>
          <cell r="BX4010" t="str">
            <v>AON</v>
          </cell>
        </row>
        <row r="4011">
          <cell r="A4011" t="str">
            <v>OP</v>
          </cell>
          <cell r="B4011" t="str">
            <v>Quá 24h</v>
          </cell>
          <cell r="D4011" t="str">
            <v>Khiếu nại về dịch vụ FTTH</v>
          </cell>
          <cell r="W4011" t="str">
            <v>Đã đóng</v>
          </cell>
          <cell r="AJ4011" t="str">
            <v>Thái Nguyên</v>
          </cell>
          <cell r="BX4011" t="str">
            <v>AON</v>
          </cell>
        </row>
        <row r="4012">
          <cell r="A4012" t="str">
            <v>OP</v>
          </cell>
          <cell r="B4012" t="str">
            <v>Quá 24h</v>
          </cell>
          <cell r="D4012" t="str">
            <v>Khiếu nại về dịch vụ FTTH</v>
          </cell>
          <cell r="W4012" t="str">
            <v>Đang xử lý</v>
          </cell>
          <cell r="AJ4012" t="str">
            <v>Hà Nội 2</v>
          </cell>
          <cell r="BX4012" t="str">
            <v>AON</v>
          </cell>
        </row>
        <row r="4013">
          <cell r="A4013" t="str">
            <v>OP</v>
          </cell>
          <cell r="B4013" t="str">
            <v>Quá 24h</v>
          </cell>
          <cell r="D4013" t="str">
            <v>Khiếu nại về dịch vụ FTTH</v>
          </cell>
          <cell r="W4013" t="str">
            <v>Đã đóng</v>
          </cell>
          <cell r="AJ4013" t="str">
            <v>Nam Định</v>
          </cell>
          <cell r="BX4013" t="str">
            <v>AON</v>
          </cell>
        </row>
        <row r="4014">
          <cell r="A4014" t="str">
            <v>OP</v>
          </cell>
          <cell r="B4014" t="str">
            <v>Quá 24h</v>
          </cell>
          <cell r="D4014" t="str">
            <v>Khiếu nại về dịch vụ FTTH</v>
          </cell>
          <cell r="W4014" t="str">
            <v>Đã đóng</v>
          </cell>
          <cell r="AJ4014" t="str">
            <v xml:space="preserve">Hà Tĩnh </v>
          </cell>
          <cell r="BX4014" t="str">
            <v>AON</v>
          </cell>
        </row>
        <row r="4015">
          <cell r="A4015" t="str">
            <v>OP</v>
          </cell>
          <cell r="B4015" t="str">
            <v>Quá 24h</v>
          </cell>
          <cell r="D4015" t="str">
            <v>Khiếu nại về dịch vụ FTTH</v>
          </cell>
          <cell r="W4015" t="str">
            <v>Đang xử lý</v>
          </cell>
          <cell r="AJ4015" t="str">
            <v>Hà Nội 2</v>
          </cell>
          <cell r="BX4015" t="str">
            <v>AON</v>
          </cell>
        </row>
        <row r="4016">
          <cell r="A4016" t="str">
            <v>OP</v>
          </cell>
          <cell r="B4016" t="str">
            <v>Quá 24h</v>
          </cell>
          <cell r="D4016" t="str">
            <v>Khiếu nại về dịch vụ FTTH</v>
          </cell>
          <cell r="W4016" t="str">
            <v>Đã đóng</v>
          </cell>
          <cell r="AJ4016" t="str">
            <v>Bình Dương</v>
          </cell>
          <cell r="BX4016" t="str">
            <v>AON</v>
          </cell>
        </row>
        <row r="4017">
          <cell r="A4017" t="str">
            <v>OP</v>
          </cell>
          <cell r="B4017" t="str">
            <v>Quá 24h</v>
          </cell>
          <cell r="D4017" t="str">
            <v>Khiếu nại về dịch vụ FTTH</v>
          </cell>
          <cell r="W4017" t="str">
            <v>Đã đóng</v>
          </cell>
          <cell r="AJ4017" t="str">
            <v>TP HCM</v>
          </cell>
          <cell r="BX4017" t="str">
            <v>AON</v>
          </cell>
        </row>
        <row r="4018">
          <cell r="A4018" t="str">
            <v>OP</v>
          </cell>
          <cell r="B4018" t="str">
            <v>Quá 24h</v>
          </cell>
          <cell r="D4018" t="str">
            <v>Khiếu nại về dịch vụ FTTH</v>
          </cell>
          <cell r="W4018" t="str">
            <v>Đã đóng</v>
          </cell>
          <cell r="AJ4018" t="str">
            <v>TP HCM</v>
          </cell>
          <cell r="BX4018" t="str">
            <v>GPON</v>
          </cell>
        </row>
        <row r="4019">
          <cell r="A4019" t="str">
            <v>OP</v>
          </cell>
          <cell r="B4019" t="str">
            <v>Quá 24h</v>
          </cell>
          <cell r="D4019" t="str">
            <v>Khiếu nại về dịch vụ FTTH</v>
          </cell>
          <cell r="W4019" t="str">
            <v>Đang xử lý</v>
          </cell>
          <cell r="AJ4019" t="str">
            <v>Quảng Ninh</v>
          </cell>
          <cell r="BX4019" t="str">
            <v>AON</v>
          </cell>
        </row>
        <row r="4020">
          <cell r="A4020" t="str">
            <v>OP</v>
          </cell>
          <cell r="B4020" t="str">
            <v>Quá 24h</v>
          </cell>
          <cell r="D4020" t="str">
            <v>Khiếu nại về dịch vụ FTTH</v>
          </cell>
          <cell r="W4020" t="str">
            <v>Đã đóng</v>
          </cell>
          <cell r="AJ4020" t="str">
            <v>TP HCM</v>
          </cell>
          <cell r="BX4020" t="str">
            <v>AON</v>
          </cell>
        </row>
        <row r="4021">
          <cell r="A4021" t="str">
            <v>OP</v>
          </cell>
          <cell r="B4021" t="str">
            <v>Quá 24h</v>
          </cell>
          <cell r="D4021" t="str">
            <v>Khiếu nại về dịch vụ FTTH</v>
          </cell>
          <cell r="W4021" t="str">
            <v>Đang xử lý</v>
          </cell>
          <cell r="AJ4021" t="str">
            <v>Thái Bình</v>
          </cell>
          <cell r="BX4021" t="str">
            <v>AON</v>
          </cell>
        </row>
        <row r="4022">
          <cell r="A4022" t="str">
            <v>OP</v>
          </cell>
          <cell r="B4022" t="str">
            <v>Quá 24h</v>
          </cell>
          <cell r="D4022" t="str">
            <v>Khiếu nại về dịch vụ FTTH</v>
          </cell>
          <cell r="W4022" t="str">
            <v>Đang xử lý</v>
          </cell>
          <cell r="AJ4022" t="str">
            <v>Hà Nội 2</v>
          </cell>
          <cell r="BX4022" t="str">
            <v>AON</v>
          </cell>
        </row>
        <row r="4023">
          <cell r="A4023" t="str">
            <v>OP</v>
          </cell>
          <cell r="B4023" t="str">
            <v>Quá 24h</v>
          </cell>
          <cell r="D4023" t="str">
            <v>Khiếu nại về dịch vụ FTTH</v>
          </cell>
          <cell r="W4023" t="str">
            <v>Đã đóng</v>
          </cell>
          <cell r="AJ4023" t="str">
            <v>TP HCM</v>
          </cell>
          <cell r="BX4023" t="str">
            <v>AON</v>
          </cell>
        </row>
        <row r="4024">
          <cell r="A4024" t="str">
            <v>OP</v>
          </cell>
          <cell r="B4024" t="str">
            <v>Quá 24h</v>
          </cell>
          <cell r="D4024" t="str">
            <v>Khiếu nại về dịch vụ FTTH</v>
          </cell>
          <cell r="W4024" t="str">
            <v>Đang xử lý</v>
          </cell>
          <cell r="AJ4024" t="str">
            <v>Quảng Ninh</v>
          </cell>
          <cell r="BX4024" t="str">
            <v>AON</v>
          </cell>
        </row>
        <row r="4025">
          <cell r="A4025" t="str">
            <v>OP</v>
          </cell>
          <cell r="B4025" t="str">
            <v>Quá 24h</v>
          </cell>
          <cell r="D4025" t="str">
            <v>Khiếu nại về dịch vụ FTTH</v>
          </cell>
          <cell r="W4025" t="str">
            <v>Đã đóng</v>
          </cell>
          <cell r="AJ4025" t="str">
            <v>An Giang</v>
          </cell>
          <cell r="BX4025" t="str">
            <v>AON</v>
          </cell>
        </row>
        <row r="4026">
          <cell r="A4026" t="str">
            <v>OP</v>
          </cell>
          <cell r="B4026" t="str">
            <v>Quá 24h</v>
          </cell>
          <cell r="D4026" t="str">
            <v>Khiếu nại về dịch vụ FTTH</v>
          </cell>
          <cell r="W4026" t="str">
            <v>Đã đóng</v>
          </cell>
          <cell r="AJ4026" t="str">
            <v>TP HCM</v>
          </cell>
          <cell r="BX4026" t="str">
            <v>AON</v>
          </cell>
        </row>
        <row r="4027">
          <cell r="A4027" t="str">
            <v>OP</v>
          </cell>
          <cell r="B4027" t="str">
            <v>Quá 24h</v>
          </cell>
          <cell r="D4027" t="str">
            <v>Khiếu nại về dịch vụ FTTH</v>
          </cell>
          <cell r="W4027" t="str">
            <v>Đã đóng</v>
          </cell>
          <cell r="AJ4027" t="str">
            <v>Quảng Ninh</v>
          </cell>
          <cell r="BX4027" t="str">
            <v>AON</v>
          </cell>
        </row>
        <row r="4028">
          <cell r="A4028" t="str">
            <v>OP</v>
          </cell>
          <cell r="B4028" t="str">
            <v>Quá 24h</v>
          </cell>
          <cell r="D4028" t="str">
            <v>Khiếu nại về dịch vụ FTTH</v>
          </cell>
          <cell r="W4028" t="str">
            <v>Đã đóng</v>
          </cell>
          <cell r="AJ4028" t="str">
            <v>Thanh Hoá</v>
          </cell>
          <cell r="BX4028" t="str">
            <v>AON</v>
          </cell>
        </row>
        <row r="4029">
          <cell r="A4029" t="str">
            <v>OP</v>
          </cell>
          <cell r="B4029" t="str">
            <v>Quá 24h</v>
          </cell>
          <cell r="D4029" t="str">
            <v>Khiếu nại về dịch vụ NextTV</v>
          </cell>
          <cell r="W4029" t="str">
            <v>Đã đóng</v>
          </cell>
          <cell r="AJ4029" t="str">
            <v>TP HCM</v>
          </cell>
          <cell r="BX4029" t="str">
            <v>AON</v>
          </cell>
        </row>
        <row r="4030">
          <cell r="A4030" t="str">
            <v>OP</v>
          </cell>
          <cell r="B4030" t="str">
            <v>Quá 24h</v>
          </cell>
          <cell r="D4030" t="str">
            <v>Khiếu nại về dịch vụ FTTH</v>
          </cell>
          <cell r="W4030" t="str">
            <v>Đang xử lý</v>
          </cell>
          <cell r="AJ4030" t="str">
            <v xml:space="preserve">Hà Tĩnh </v>
          </cell>
          <cell r="BX4030" t="str">
            <v>AON</v>
          </cell>
        </row>
        <row r="4031">
          <cell r="A4031" t="str">
            <v>OP</v>
          </cell>
          <cell r="B4031" t="str">
            <v>Quá 24h</v>
          </cell>
          <cell r="D4031" t="str">
            <v>Khiếu nại về dịch vụ FTTH</v>
          </cell>
          <cell r="W4031" t="str">
            <v>Đã đóng</v>
          </cell>
          <cell r="AJ4031" t="str">
            <v>Quảng Ninh</v>
          </cell>
          <cell r="BX4031" t="str">
            <v>AON</v>
          </cell>
        </row>
        <row r="4032">
          <cell r="A4032" t="str">
            <v>OP</v>
          </cell>
          <cell r="B4032" t="str">
            <v>Quá 24h</v>
          </cell>
          <cell r="D4032" t="str">
            <v>Khiếu nại về dịch vụ FTTH</v>
          </cell>
          <cell r="W4032" t="str">
            <v>Đã đóng</v>
          </cell>
          <cell r="AJ4032" t="str">
            <v>Bình Dương</v>
          </cell>
          <cell r="BX4032" t="str">
            <v>AON</v>
          </cell>
        </row>
        <row r="4033">
          <cell r="A4033" t="str">
            <v>OP</v>
          </cell>
          <cell r="B4033" t="str">
            <v>Quá 24h</v>
          </cell>
          <cell r="D4033" t="str">
            <v>Khiếu nại về dịch vụ FTTH</v>
          </cell>
          <cell r="W4033" t="str">
            <v>Đã đóng</v>
          </cell>
          <cell r="AJ4033" t="str">
            <v>Thanh Hoá</v>
          </cell>
          <cell r="BX4033" t="str">
            <v>AON</v>
          </cell>
        </row>
        <row r="4034">
          <cell r="A4034" t="str">
            <v>OP</v>
          </cell>
          <cell r="B4034" t="str">
            <v>Quá 24h</v>
          </cell>
          <cell r="D4034" t="str">
            <v>Khiếu nại về dịch vụ FTTH</v>
          </cell>
          <cell r="W4034" t="str">
            <v>Đã đóng</v>
          </cell>
          <cell r="AJ4034" t="str">
            <v>Quảng Ninh</v>
          </cell>
          <cell r="BX4034" t="str">
            <v>AON</v>
          </cell>
        </row>
        <row r="4035">
          <cell r="A4035" t="str">
            <v>OP</v>
          </cell>
          <cell r="B4035" t="str">
            <v>Quá 24h</v>
          </cell>
          <cell r="D4035" t="str">
            <v>Khiếu nại về dịch vụ FTTH</v>
          </cell>
          <cell r="W4035" t="str">
            <v>Đã đóng</v>
          </cell>
          <cell r="AJ4035" t="str">
            <v>Quảng Ninh</v>
          </cell>
          <cell r="BX4035" t="str">
            <v>AON</v>
          </cell>
        </row>
        <row r="4036">
          <cell r="A4036" t="str">
            <v>OP</v>
          </cell>
          <cell r="B4036" t="str">
            <v>Quá 24h</v>
          </cell>
          <cell r="D4036" t="str">
            <v>Khiếu nại về dịch vụ FTTH</v>
          </cell>
          <cell r="W4036" t="str">
            <v>Đã đóng</v>
          </cell>
          <cell r="AJ4036" t="str">
            <v>Bắc Ninh</v>
          </cell>
          <cell r="BX4036" t="str">
            <v>AON</v>
          </cell>
        </row>
        <row r="4037">
          <cell r="A4037" t="str">
            <v>OP</v>
          </cell>
          <cell r="B4037" t="str">
            <v>Quá 24h</v>
          </cell>
          <cell r="D4037" t="str">
            <v>Khiếu nại về dịch vụ FTTH</v>
          </cell>
          <cell r="W4037" t="str">
            <v>Đã đóng</v>
          </cell>
          <cell r="AJ4037" t="str">
            <v>Quảng Ninh</v>
          </cell>
          <cell r="BX4037" t="str">
            <v>AON</v>
          </cell>
        </row>
        <row r="4038">
          <cell r="A4038" t="str">
            <v>OP</v>
          </cell>
          <cell r="B4038" t="str">
            <v>Quá 24h</v>
          </cell>
          <cell r="D4038" t="str">
            <v>Khiếu nại về dịch vụ FTTH</v>
          </cell>
          <cell r="W4038" t="str">
            <v>Đã đóng</v>
          </cell>
          <cell r="AJ4038" t="str">
            <v>Quảng Ninh</v>
          </cell>
          <cell r="BX4038" t="str">
            <v>AON</v>
          </cell>
        </row>
        <row r="4039">
          <cell r="A4039" t="str">
            <v>OP</v>
          </cell>
          <cell r="B4039" t="str">
            <v>Quá 24h</v>
          </cell>
          <cell r="D4039" t="str">
            <v>Khiếu nại về dịch vụ FTTH</v>
          </cell>
          <cell r="W4039" t="str">
            <v>Đã đóng</v>
          </cell>
          <cell r="AJ4039" t="str">
            <v>Quảng Ninh</v>
          </cell>
          <cell r="BX4039" t="str">
            <v>AON</v>
          </cell>
        </row>
        <row r="4040">
          <cell r="A4040" t="str">
            <v>OP</v>
          </cell>
          <cell r="B4040" t="str">
            <v>Quá 24h</v>
          </cell>
          <cell r="D4040" t="str">
            <v>Khiếu nại về dịch vụ FTTH</v>
          </cell>
          <cell r="W4040" t="str">
            <v>Đã đóng</v>
          </cell>
          <cell r="AJ4040" t="str">
            <v>Bình Dương</v>
          </cell>
          <cell r="BX4040" t="str">
            <v>AON</v>
          </cell>
        </row>
        <row r="4041">
          <cell r="A4041" t="str">
            <v>OP</v>
          </cell>
          <cell r="B4041" t="str">
            <v>Quá 24h</v>
          </cell>
          <cell r="D4041" t="str">
            <v>Khiếu nại về dịch vụ FTTH</v>
          </cell>
          <cell r="W4041" t="str">
            <v>Đã đóng</v>
          </cell>
          <cell r="AJ4041" t="str">
            <v>Quảng Ninh</v>
          </cell>
          <cell r="BX4041" t="str">
            <v>AON</v>
          </cell>
        </row>
        <row r="4042">
          <cell r="A4042" t="str">
            <v>OP</v>
          </cell>
          <cell r="B4042" t="str">
            <v>Quá 24h</v>
          </cell>
          <cell r="D4042" t="str">
            <v>Khiếu nại về dịch vụ FTTH</v>
          </cell>
          <cell r="W4042" t="str">
            <v>Đã đóng</v>
          </cell>
          <cell r="AJ4042" t="str">
            <v>Bắc Ninh</v>
          </cell>
          <cell r="BX4042" t="str">
            <v>AON</v>
          </cell>
        </row>
        <row r="4043">
          <cell r="A4043" t="str">
            <v>OP</v>
          </cell>
          <cell r="B4043" t="str">
            <v>Quá 24h</v>
          </cell>
          <cell r="D4043" t="str">
            <v>Khiếu nại về dịch vụ NextTV</v>
          </cell>
          <cell r="W4043" t="str">
            <v>Đã đóng</v>
          </cell>
          <cell r="AJ4043" t="str">
            <v>Hà Nam</v>
          </cell>
          <cell r="BX4043" t="str">
            <v>AON</v>
          </cell>
        </row>
        <row r="4044">
          <cell r="A4044" t="str">
            <v>OP</v>
          </cell>
          <cell r="B4044" t="str">
            <v>Quá 24h</v>
          </cell>
          <cell r="D4044" t="str">
            <v>Khiếu nại về dịch vụ FTTH</v>
          </cell>
          <cell r="W4044" t="str">
            <v>Đang xử lý</v>
          </cell>
          <cell r="AJ4044" t="str">
            <v>Nam Định</v>
          </cell>
          <cell r="BX4044" t="str">
            <v>AON</v>
          </cell>
        </row>
        <row r="4045">
          <cell r="A4045" t="str">
            <v>OP</v>
          </cell>
          <cell r="B4045" t="str">
            <v>Quá 24h</v>
          </cell>
          <cell r="D4045" t="str">
            <v>Khiếu nại về dịch vụ FTTH</v>
          </cell>
          <cell r="W4045" t="str">
            <v>Đã đóng</v>
          </cell>
          <cell r="AJ4045" t="str">
            <v>Bình Dương</v>
          </cell>
          <cell r="BX4045" t="str">
            <v>AON</v>
          </cell>
        </row>
        <row r="4046">
          <cell r="A4046" t="str">
            <v>OP</v>
          </cell>
          <cell r="B4046" t="str">
            <v>Quá 24h</v>
          </cell>
          <cell r="D4046" t="str">
            <v>Khiếu nại về dịch vụ FTTH</v>
          </cell>
          <cell r="W4046" t="str">
            <v>Đã đóng</v>
          </cell>
          <cell r="AJ4046" t="str">
            <v>Thanh Hoá</v>
          </cell>
          <cell r="BX4046" t="str">
            <v>AON</v>
          </cell>
        </row>
        <row r="4047">
          <cell r="A4047" t="str">
            <v>OP</v>
          </cell>
          <cell r="B4047" t="str">
            <v>Quá 24h</v>
          </cell>
          <cell r="D4047" t="str">
            <v>Khiếu nại về dịch vụ NextTV</v>
          </cell>
          <cell r="W4047" t="str">
            <v>Đã đóng</v>
          </cell>
          <cell r="AJ4047" t="str">
            <v>Bình Dương</v>
          </cell>
          <cell r="BX4047" t="str">
            <v>AON</v>
          </cell>
        </row>
        <row r="4048">
          <cell r="A4048" t="str">
            <v>OP</v>
          </cell>
          <cell r="B4048" t="str">
            <v>Quá 24h</v>
          </cell>
          <cell r="D4048" t="str">
            <v>Khiếu nại về dịch vụ FTTH</v>
          </cell>
          <cell r="W4048" t="str">
            <v>Đã đóng</v>
          </cell>
          <cell r="AJ4048" t="str">
            <v>Bình Dương</v>
          </cell>
          <cell r="BX4048" t="str">
            <v>AON</v>
          </cell>
        </row>
        <row r="4049">
          <cell r="A4049" t="str">
            <v>OP</v>
          </cell>
          <cell r="B4049" t="str">
            <v>Quá 24h</v>
          </cell>
          <cell r="D4049" t="str">
            <v>Khiếu nại về dịch vụ FTTH</v>
          </cell>
          <cell r="W4049" t="str">
            <v>Đã đóng</v>
          </cell>
          <cell r="AJ4049" t="str">
            <v>Nghệ An</v>
          </cell>
          <cell r="BX4049" t="str">
            <v>AON</v>
          </cell>
        </row>
        <row r="4050">
          <cell r="A4050" t="str">
            <v>OP</v>
          </cell>
          <cell r="B4050" t="str">
            <v>Quá 24h</v>
          </cell>
          <cell r="D4050" t="str">
            <v>Khiếu nại về dịch vụ NextTV</v>
          </cell>
          <cell r="W4050" t="str">
            <v>Đã đóng</v>
          </cell>
          <cell r="AJ4050" t="str">
            <v>Nghệ An</v>
          </cell>
          <cell r="BX4050" t="str">
            <v>AON</v>
          </cell>
        </row>
        <row r="4051">
          <cell r="A4051" t="str">
            <v>OP</v>
          </cell>
          <cell r="B4051" t="str">
            <v>Quá 24h</v>
          </cell>
          <cell r="D4051" t="str">
            <v>Khiếu nại về dịch vụ FTTH</v>
          </cell>
          <cell r="W4051" t="str">
            <v>Đang xử lý</v>
          </cell>
          <cell r="AJ4051" t="str">
            <v>Quảng Ninh</v>
          </cell>
          <cell r="BX4051" t="str">
            <v>AON</v>
          </cell>
        </row>
        <row r="4052">
          <cell r="A4052" t="str">
            <v>OP</v>
          </cell>
          <cell r="B4052" t="str">
            <v>Quá 24h</v>
          </cell>
          <cell r="D4052" t="str">
            <v>Khiếu nại về dịch vụ FTTH</v>
          </cell>
          <cell r="W4052" t="str">
            <v>Đang xử lý</v>
          </cell>
          <cell r="AJ4052" t="str">
            <v>Hà Nội 2</v>
          </cell>
          <cell r="BX4052" t="str">
            <v>AON</v>
          </cell>
        </row>
        <row r="4053">
          <cell r="A4053" t="str">
            <v>OP</v>
          </cell>
          <cell r="B4053" t="str">
            <v>Quá 24h</v>
          </cell>
          <cell r="D4053" t="str">
            <v>Khiếu nại về dịch vụ FTTH</v>
          </cell>
          <cell r="W4053" t="str">
            <v>Đã đóng</v>
          </cell>
          <cell r="AJ4053" t="str">
            <v>Quảng Ninh</v>
          </cell>
          <cell r="BX4053" t="str">
            <v>AON</v>
          </cell>
        </row>
        <row r="4054">
          <cell r="A4054" t="str">
            <v>OP</v>
          </cell>
          <cell r="B4054" t="str">
            <v>Quá 24h</v>
          </cell>
          <cell r="D4054" t="str">
            <v>Khiếu nại về dịch vụ FTTH</v>
          </cell>
          <cell r="W4054" t="str">
            <v>Đang xử lý</v>
          </cell>
          <cell r="AJ4054" t="str">
            <v>Hải Dương</v>
          </cell>
          <cell r="BX4054" t="str">
            <v>AON</v>
          </cell>
        </row>
        <row r="4055">
          <cell r="A4055" t="str">
            <v>OP</v>
          </cell>
          <cell r="B4055" t="str">
            <v>Quá 24h</v>
          </cell>
          <cell r="D4055" t="str">
            <v>Khiếu nại về dịch vụ FTTH</v>
          </cell>
          <cell r="W4055" t="str">
            <v>Đã đóng</v>
          </cell>
          <cell r="AJ4055" t="str">
            <v>Sơn La</v>
          </cell>
          <cell r="BX4055" t="str">
            <v>AON</v>
          </cell>
        </row>
        <row r="4056">
          <cell r="A4056" t="str">
            <v>OP</v>
          </cell>
          <cell r="B4056" t="str">
            <v>Quá 24h</v>
          </cell>
          <cell r="D4056" t="str">
            <v>Khiếu nại về dịch vụ FTTH</v>
          </cell>
          <cell r="W4056" t="str">
            <v>Đang xử lý</v>
          </cell>
          <cell r="AJ4056" t="str">
            <v>Nam Định</v>
          </cell>
          <cell r="BX4056" t="str">
            <v>AON</v>
          </cell>
        </row>
        <row r="4057">
          <cell r="A4057" t="str">
            <v>OP</v>
          </cell>
          <cell r="B4057" t="str">
            <v>Quá 24h</v>
          </cell>
          <cell r="D4057" t="str">
            <v>Khiếu nại về dịch vụ NextTV</v>
          </cell>
          <cell r="W4057" t="str">
            <v>Đã đóng</v>
          </cell>
          <cell r="AJ4057" t="str">
            <v>Nam Định</v>
          </cell>
          <cell r="BX4057" t="str">
            <v>AON</v>
          </cell>
        </row>
        <row r="4058">
          <cell r="A4058" t="str">
            <v>OP</v>
          </cell>
          <cell r="B4058" t="str">
            <v>Quá 24h</v>
          </cell>
          <cell r="D4058" t="str">
            <v>Khiếu nại về dịch vụ FTTH</v>
          </cell>
          <cell r="W4058" t="str">
            <v>Đã đóng</v>
          </cell>
          <cell r="AJ4058" t="str">
            <v>Quảng Bình</v>
          </cell>
          <cell r="BX4058" t="str">
            <v>AON</v>
          </cell>
        </row>
        <row r="4059">
          <cell r="A4059" t="str">
            <v>OP</v>
          </cell>
          <cell r="B4059" t="str">
            <v>Quá 24h</v>
          </cell>
          <cell r="D4059" t="str">
            <v>Khiếu nại về dịch vụ FTTH</v>
          </cell>
          <cell r="W4059" t="str">
            <v>Đã đóng</v>
          </cell>
          <cell r="AJ4059" t="str">
            <v>Bắc Ninh</v>
          </cell>
          <cell r="BX4059" t="str">
            <v>AON</v>
          </cell>
        </row>
        <row r="4060">
          <cell r="A4060" t="str">
            <v>OP</v>
          </cell>
          <cell r="B4060" t="str">
            <v>Quá 24h</v>
          </cell>
          <cell r="D4060" t="str">
            <v>Khiếu nại về dịch vụ NextTV</v>
          </cell>
          <cell r="W4060" t="str">
            <v>Đã đóng</v>
          </cell>
          <cell r="AJ4060" t="str">
            <v>Nghệ An</v>
          </cell>
          <cell r="BX4060" t="str">
            <v>AON</v>
          </cell>
        </row>
        <row r="4061">
          <cell r="A4061" t="str">
            <v>OP</v>
          </cell>
          <cell r="B4061" t="str">
            <v>Quá 24h</v>
          </cell>
          <cell r="D4061" t="str">
            <v>Khiếu nại về dịch vụ FTTH</v>
          </cell>
          <cell r="W4061" t="str">
            <v>Đã đóng</v>
          </cell>
          <cell r="AJ4061" t="str">
            <v>Thái Nguyên</v>
          </cell>
          <cell r="BX4061" t="str">
            <v>AON</v>
          </cell>
        </row>
        <row r="4062">
          <cell r="A4062" t="str">
            <v>OP</v>
          </cell>
          <cell r="B4062" t="str">
            <v>Quá 24h</v>
          </cell>
          <cell r="D4062" t="str">
            <v>Khiếu nại về dịch vụ FTTH</v>
          </cell>
          <cell r="W4062" t="str">
            <v>Đang xử lý</v>
          </cell>
          <cell r="AJ4062" t="str">
            <v>Bắc Ninh</v>
          </cell>
          <cell r="BX4062" t="str">
            <v>AON</v>
          </cell>
        </row>
        <row r="4063">
          <cell r="A4063" t="str">
            <v>OP</v>
          </cell>
          <cell r="B4063" t="str">
            <v>Quá 24h</v>
          </cell>
          <cell r="D4063" t="str">
            <v>Khiếu nại về dịch vụ FTTH</v>
          </cell>
          <cell r="W4063" t="str">
            <v>Đã đóng</v>
          </cell>
          <cell r="AJ4063" t="str">
            <v>Quảng Ninh</v>
          </cell>
          <cell r="BX4063" t="str">
            <v>AON</v>
          </cell>
        </row>
        <row r="4064">
          <cell r="A4064" t="str">
            <v>OP</v>
          </cell>
          <cell r="B4064" t="str">
            <v>Quá 24h</v>
          </cell>
          <cell r="D4064" t="str">
            <v>Khiếu nại về dịch vụ FTTH</v>
          </cell>
          <cell r="W4064" t="str">
            <v>Đang xử lý</v>
          </cell>
          <cell r="AJ4064" t="str">
            <v>Bắc Ninh</v>
          </cell>
          <cell r="BX4064" t="str">
            <v>AON</v>
          </cell>
        </row>
        <row r="4065">
          <cell r="A4065" t="str">
            <v>OP</v>
          </cell>
          <cell r="B4065" t="str">
            <v>Quá 24h</v>
          </cell>
          <cell r="D4065" t="str">
            <v>Khiếu nại về dịch vụ FTTH</v>
          </cell>
          <cell r="W4065" t="str">
            <v>Đang xử lý</v>
          </cell>
          <cell r="AJ4065" t="str">
            <v>Bắc Ninh</v>
          </cell>
          <cell r="BX4065" t="str">
            <v>AON</v>
          </cell>
        </row>
        <row r="4066">
          <cell r="A4066" t="str">
            <v>OP</v>
          </cell>
          <cell r="B4066" t="str">
            <v>Quá 24h</v>
          </cell>
          <cell r="D4066" t="str">
            <v>Khiếu nại về dịch vụ FTTH</v>
          </cell>
          <cell r="W4066" t="str">
            <v>Đang xử lý</v>
          </cell>
          <cell r="AJ4066" t="str">
            <v>Hà Nam</v>
          </cell>
          <cell r="BX4066" t="str">
            <v>AON</v>
          </cell>
        </row>
        <row r="4067">
          <cell r="A4067" t="str">
            <v>OP</v>
          </cell>
          <cell r="B4067" t="str">
            <v>Quá 24h</v>
          </cell>
          <cell r="D4067" t="str">
            <v>Khiếu nại về dịch vụ NextTV</v>
          </cell>
          <cell r="W4067" t="str">
            <v>Đã đóng</v>
          </cell>
          <cell r="AJ4067" t="str">
            <v>Tây Ninh</v>
          </cell>
          <cell r="BX4067" t="str">
            <v>AON</v>
          </cell>
        </row>
        <row r="4068">
          <cell r="A4068" t="str">
            <v>OP</v>
          </cell>
          <cell r="B4068" t="str">
            <v>Quá 24h</v>
          </cell>
          <cell r="D4068" t="str">
            <v>Khiếu nại về dịch vụ FTTH</v>
          </cell>
          <cell r="W4068" t="str">
            <v>Đã đóng</v>
          </cell>
          <cell r="AJ4068" t="str">
            <v>Quảng Ninh</v>
          </cell>
          <cell r="BX4068" t="str">
            <v>AON</v>
          </cell>
        </row>
        <row r="4069">
          <cell r="A4069" t="str">
            <v>OP</v>
          </cell>
          <cell r="B4069" t="str">
            <v>Quá 24h</v>
          </cell>
          <cell r="D4069" t="str">
            <v>Khiếu nại về dịch vụ FTTH</v>
          </cell>
          <cell r="W4069" t="str">
            <v>Đã đóng</v>
          </cell>
          <cell r="AJ4069" t="str">
            <v>Hà Nội 1</v>
          </cell>
          <cell r="BX4069" t="str">
            <v>AON</v>
          </cell>
        </row>
        <row r="4070">
          <cell r="A4070" t="str">
            <v>OP</v>
          </cell>
          <cell r="B4070" t="str">
            <v>Quá 24h</v>
          </cell>
          <cell r="D4070" t="str">
            <v>Khiếu nại về dịch vụ FTTH</v>
          </cell>
          <cell r="W4070" t="str">
            <v>Đang xử lý</v>
          </cell>
          <cell r="AJ4070" t="str">
            <v>Hà Nam</v>
          </cell>
          <cell r="BX4070" t="str">
            <v>AON</v>
          </cell>
        </row>
        <row r="4071">
          <cell r="A4071" t="str">
            <v>OP</v>
          </cell>
          <cell r="B4071" t="str">
            <v>Quá 24h</v>
          </cell>
          <cell r="D4071" t="str">
            <v>Khiếu nại về dịch vụ FTTH</v>
          </cell>
          <cell r="W4071" t="str">
            <v>Đã đóng</v>
          </cell>
          <cell r="AJ4071" t="str">
            <v>Thanh Hoá</v>
          </cell>
          <cell r="BX4071" t="str">
            <v>AON</v>
          </cell>
        </row>
        <row r="4072">
          <cell r="A4072" t="str">
            <v>OP</v>
          </cell>
          <cell r="B4072" t="str">
            <v>Quá 24h</v>
          </cell>
          <cell r="D4072" t="str">
            <v>Khiếu nại về dịch vụ FTTH</v>
          </cell>
          <cell r="W4072" t="str">
            <v>Đang xử lý</v>
          </cell>
          <cell r="AJ4072" t="str">
            <v>Bắc Ninh</v>
          </cell>
          <cell r="BX4072" t="str">
            <v>AON</v>
          </cell>
        </row>
        <row r="4073">
          <cell r="A4073" t="str">
            <v>OP</v>
          </cell>
          <cell r="B4073" t="str">
            <v>Quá 24h</v>
          </cell>
          <cell r="D4073" t="str">
            <v>Khiếu nại về dịch vụ FTTH</v>
          </cell>
          <cell r="W4073" t="str">
            <v>Đang xử lý</v>
          </cell>
          <cell r="AJ4073" t="str">
            <v>Hà Nội 2</v>
          </cell>
          <cell r="BX4073" t="str">
            <v>AON</v>
          </cell>
        </row>
        <row r="4074">
          <cell r="A4074" t="str">
            <v>OP</v>
          </cell>
          <cell r="B4074" t="str">
            <v>Quá 24h</v>
          </cell>
          <cell r="D4074" t="str">
            <v>Khiếu nại về dịch vụ FTTH</v>
          </cell>
          <cell r="W4074" t="str">
            <v>Đang xử lý</v>
          </cell>
          <cell r="AJ4074" t="str">
            <v>Bắc Ninh</v>
          </cell>
          <cell r="BX4074" t="str">
            <v>AON</v>
          </cell>
        </row>
        <row r="4075">
          <cell r="A4075" t="str">
            <v>OP</v>
          </cell>
          <cell r="B4075" t="str">
            <v>Quá 24h</v>
          </cell>
          <cell r="D4075" t="str">
            <v>Khiếu nại về dịch vụ FTTH</v>
          </cell>
          <cell r="W4075" t="str">
            <v>Đang xử lý</v>
          </cell>
          <cell r="AJ4075" t="str">
            <v>Bắc Ninh</v>
          </cell>
          <cell r="BX4075" t="str">
            <v>AON</v>
          </cell>
        </row>
        <row r="4076">
          <cell r="A4076" t="str">
            <v>OP</v>
          </cell>
          <cell r="B4076" t="str">
            <v>Quá 24h</v>
          </cell>
          <cell r="D4076" t="str">
            <v>Khiếu nại về dịch vụ FTTH</v>
          </cell>
          <cell r="W4076" t="str">
            <v>Đã đóng</v>
          </cell>
          <cell r="AJ4076" t="str">
            <v xml:space="preserve">Hà Tĩnh </v>
          </cell>
          <cell r="BX4076" t="str">
            <v>AON</v>
          </cell>
        </row>
        <row r="4077">
          <cell r="A4077" t="str">
            <v>OP</v>
          </cell>
          <cell r="B4077" t="str">
            <v>Quá 24h</v>
          </cell>
          <cell r="D4077" t="str">
            <v>Khiếu nại về dịch vụ FTTH</v>
          </cell>
          <cell r="W4077" t="str">
            <v>Đã đóng</v>
          </cell>
          <cell r="AJ4077" t="str">
            <v>Bắc Ninh</v>
          </cell>
          <cell r="BX4077" t="str">
            <v>AON</v>
          </cell>
        </row>
        <row r="4078">
          <cell r="A4078" t="str">
            <v>OP</v>
          </cell>
          <cell r="B4078" t="str">
            <v>Quá 24h</v>
          </cell>
          <cell r="D4078" t="str">
            <v>Khiếu nại về dịch vụ FTTH</v>
          </cell>
          <cell r="W4078" t="str">
            <v>Đang xử lý</v>
          </cell>
          <cell r="AJ4078" t="str">
            <v>Hải Phòng</v>
          </cell>
          <cell r="BX4078" t="str">
            <v>AON</v>
          </cell>
        </row>
        <row r="4079">
          <cell r="A4079" t="str">
            <v>OP</v>
          </cell>
          <cell r="B4079" t="str">
            <v>Quá 24h</v>
          </cell>
          <cell r="D4079" t="str">
            <v>Khiếu nại về dịch vụ FTTH</v>
          </cell>
          <cell r="W4079" t="str">
            <v>Đã đóng</v>
          </cell>
          <cell r="AJ4079" t="str">
            <v>Quảng Ninh</v>
          </cell>
          <cell r="BX4079" t="str">
            <v>AON</v>
          </cell>
        </row>
        <row r="4080">
          <cell r="A4080" t="str">
            <v>OP</v>
          </cell>
          <cell r="B4080" t="str">
            <v>Quá 24h</v>
          </cell>
          <cell r="D4080" t="str">
            <v>Khiếu nại về dịch vụ FTTH</v>
          </cell>
          <cell r="W4080" t="str">
            <v>Đang xử lý</v>
          </cell>
          <cell r="AJ4080" t="str">
            <v>Hà Nội 2</v>
          </cell>
          <cell r="BX4080" t="str">
            <v>AON</v>
          </cell>
        </row>
        <row r="4081">
          <cell r="A4081" t="str">
            <v>OP</v>
          </cell>
          <cell r="B4081" t="str">
            <v>Quá 24h</v>
          </cell>
          <cell r="D4081" t="str">
            <v>Khiếu nại về dịch vụ FTTH</v>
          </cell>
          <cell r="W4081" t="str">
            <v>Đang xử lý</v>
          </cell>
          <cell r="AJ4081" t="str">
            <v>Bắc Ninh</v>
          </cell>
          <cell r="BX4081" t="str">
            <v>AON</v>
          </cell>
        </row>
        <row r="4082">
          <cell r="A4082" t="str">
            <v>OP</v>
          </cell>
          <cell r="B4082" t="str">
            <v>Quá 24h</v>
          </cell>
          <cell r="D4082" t="str">
            <v>Khiếu nại về dịch vụ FTTH</v>
          </cell>
          <cell r="W4082" t="str">
            <v>Đang xử lý</v>
          </cell>
          <cell r="AJ4082" t="str">
            <v>Bắc Ninh</v>
          </cell>
          <cell r="BX4082" t="str">
            <v>AON</v>
          </cell>
        </row>
        <row r="4083">
          <cell r="A4083" t="str">
            <v>OP</v>
          </cell>
          <cell r="B4083" t="str">
            <v>Quá 24h</v>
          </cell>
          <cell r="D4083" t="str">
            <v>Khiếu nại về dịch vụ FTTH</v>
          </cell>
          <cell r="W4083" t="str">
            <v>Đã đóng</v>
          </cell>
          <cell r="AJ4083" t="str">
            <v>Quảng Ninh</v>
          </cell>
          <cell r="BX4083" t="str">
            <v>AON</v>
          </cell>
        </row>
        <row r="4084">
          <cell r="A4084" t="str">
            <v>OP</v>
          </cell>
          <cell r="B4084" t="str">
            <v>Quá 24h</v>
          </cell>
          <cell r="D4084" t="str">
            <v>Khiếu nại về dịch vụ FTTH</v>
          </cell>
          <cell r="W4084" t="str">
            <v>Đã đóng</v>
          </cell>
          <cell r="AJ4084" t="str">
            <v>An Giang</v>
          </cell>
          <cell r="BX4084" t="str">
            <v>AON</v>
          </cell>
        </row>
        <row r="4085">
          <cell r="A4085" t="str">
            <v>OP</v>
          </cell>
          <cell r="B4085" t="str">
            <v>Quá 24h</v>
          </cell>
          <cell r="D4085" t="str">
            <v>Khiếu nại về dịch vụ FTTH</v>
          </cell>
          <cell r="W4085" t="str">
            <v>Đã đóng</v>
          </cell>
          <cell r="AJ4085" t="str">
            <v>Bình Dương</v>
          </cell>
          <cell r="BX4085" t="str">
            <v>AON</v>
          </cell>
        </row>
        <row r="4086">
          <cell r="A4086" t="str">
            <v>OP</v>
          </cell>
          <cell r="B4086" t="str">
            <v>Quá 24h</v>
          </cell>
          <cell r="D4086" t="str">
            <v>Khiếu nại về dịch vụ FTTH</v>
          </cell>
          <cell r="W4086" t="str">
            <v>Đang xử lý</v>
          </cell>
          <cell r="AJ4086" t="str">
            <v>Hà Nội 1</v>
          </cell>
          <cell r="BX4086" t="str">
            <v>AON</v>
          </cell>
        </row>
        <row r="4087">
          <cell r="A4087" t="str">
            <v>OP</v>
          </cell>
          <cell r="B4087" t="str">
            <v>Quá 24h</v>
          </cell>
          <cell r="D4087" t="str">
            <v>Khiếu nại về dịch vụ FTTH</v>
          </cell>
          <cell r="W4087" t="str">
            <v>Đã đóng</v>
          </cell>
          <cell r="AJ4087" t="str">
            <v>Cần Thơ</v>
          </cell>
          <cell r="BX4087" t="str">
            <v>AON</v>
          </cell>
        </row>
        <row r="4088">
          <cell r="A4088" t="str">
            <v>OP</v>
          </cell>
          <cell r="B4088" t="str">
            <v>Quá 24h</v>
          </cell>
          <cell r="D4088" t="str">
            <v>Khiếu nại về dịch vụ FTTH</v>
          </cell>
          <cell r="W4088" t="str">
            <v>Đang xử lý</v>
          </cell>
          <cell r="AJ4088" t="str">
            <v>Bà Rịa - Vũng Tàu</v>
          </cell>
          <cell r="BX4088" t="str">
            <v>AON</v>
          </cell>
        </row>
        <row r="4089">
          <cell r="A4089" t="str">
            <v>OP</v>
          </cell>
          <cell r="B4089" t="str">
            <v>Quá 24h</v>
          </cell>
          <cell r="D4089" t="str">
            <v>Khiếu nại về dịch vụ FTTH</v>
          </cell>
          <cell r="W4089" t="str">
            <v>Đang xử lý</v>
          </cell>
          <cell r="AJ4089" t="str">
            <v>Bình Dương</v>
          </cell>
          <cell r="BX4089" t="str">
            <v>AON</v>
          </cell>
        </row>
        <row r="4090">
          <cell r="A4090" t="str">
            <v>OP</v>
          </cell>
          <cell r="B4090" t="str">
            <v>Quá 24h</v>
          </cell>
          <cell r="D4090" t="str">
            <v>Khiếu nại về dịch vụ FTTH</v>
          </cell>
          <cell r="W4090" t="str">
            <v>Đã đóng</v>
          </cell>
          <cell r="AJ4090" t="str">
            <v xml:space="preserve">Đồng Nai </v>
          </cell>
          <cell r="BX4090" t="str">
            <v>AON</v>
          </cell>
        </row>
        <row r="4091">
          <cell r="A4091" t="str">
            <v>OP</v>
          </cell>
          <cell r="B4091" t="str">
            <v>Quá 24h</v>
          </cell>
          <cell r="D4091" t="str">
            <v>Khiếu nại về dịch vụ FTTH</v>
          </cell>
          <cell r="W4091" t="str">
            <v>Đã đóng</v>
          </cell>
          <cell r="AJ4091" t="str">
            <v>Hà Nội 2</v>
          </cell>
          <cell r="BX4091" t="str">
            <v>AON</v>
          </cell>
        </row>
        <row r="4092">
          <cell r="A4092" t="str">
            <v>OP</v>
          </cell>
          <cell r="B4092" t="str">
            <v>Quá 24h</v>
          </cell>
          <cell r="D4092" t="str">
            <v>Khiếu nại về dịch vụ FTTH</v>
          </cell>
          <cell r="W4092" t="str">
            <v>Đang xử lý</v>
          </cell>
          <cell r="AJ4092" t="str">
            <v>Hải Phòng</v>
          </cell>
          <cell r="BX4092" t="str">
            <v>AON</v>
          </cell>
        </row>
        <row r="4093">
          <cell r="A4093" t="str">
            <v>OP</v>
          </cell>
          <cell r="B4093" t="str">
            <v>Quá 24h</v>
          </cell>
          <cell r="D4093" t="str">
            <v>Khiếu nại về dịch vụ NextTV</v>
          </cell>
          <cell r="W4093" t="str">
            <v>Đã đóng</v>
          </cell>
          <cell r="AJ4093" t="str">
            <v>TP HCM</v>
          </cell>
          <cell r="BX4093" t="str">
            <v>GPON</v>
          </cell>
        </row>
        <row r="4094">
          <cell r="A4094" t="str">
            <v>OP</v>
          </cell>
          <cell r="B4094" t="str">
            <v>Quá 24h</v>
          </cell>
          <cell r="D4094" t="str">
            <v>Khiếu nại về dịch vụ FTTH</v>
          </cell>
          <cell r="W4094" t="str">
            <v>Đã đóng</v>
          </cell>
          <cell r="AJ4094" t="str">
            <v>Bình Dương</v>
          </cell>
          <cell r="BX4094" t="str">
            <v>AON</v>
          </cell>
        </row>
        <row r="4095">
          <cell r="A4095" t="str">
            <v>OP</v>
          </cell>
          <cell r="B4095" t="str">
            <v>Quá 24h</v>
          </cell>
          <cell r="D4095" t="str">
            <v>Khiếu nại về dịch vụ FTTH</v>
          </cell>
          <cell r="W4095" t="str">
            <v>Đang xử lý</v>
          </cell>
          <cell r="AJ4095" t="str">
            <v>Bình Dương</v>
          </cell>
          <cell r="BX4095" t="str">
            <v>AON</v>
          </cell>
        </row>
        <row r="4096">
          <cell r="A4096" t="str">
            <v>OP</v>
          </cell>
          <cell r="B4096" t="str">
            <v>Quá 24h</v>
          </cell>
          <cell r="D4096" t="str">
            <v>Khiếu nại về dịch vụ FTTH</v>
          </cell>
          <cell r="W4096" t="str">
            <v>Đang xử lý</v>
          </cell>
          <cell r="AJ4096" t="str">
            <v>TP HCM</v>
          </cell>
          <cell r="BX4096" t="str">
            <v>AON</v>
          </cell>
        </row>
        <row r="4097">
          <cell r="A4097" t="str">
            <v>OP</v>
          </cell>
          <cell r="B4097" t="str">
            <v>Quá 24h</v>
          </cell>
          <cell r="D4097" t="str">
            <v>Khiếu nại về dịch vụ FTTH</v>
          </cell>
          <cell r="W4097" t="str">
            <v>Đang xử lý</v>
          </cell>
          <cell r="AJ4097" t="str">
            <v>Hà Nội 2</v>
          </cell>
          <cell r="BX4097" t="str">
            <v>AON</v>
          </cell>
        </row>
        <row r="4098">
          <cell r="A4098" t="str">
            <v>OP</v>
          </cell>
          <cell r="B4098" t="str">
            <v>Quá 24h</v>
          </cell>
          <cell r="D4098" t="str">
            <v>Khiếu nại về dịch vụ FTTH</v>
          </cell>
          <cell r="W4098" t="str">
            <v>Đã đóng</v>
          </cell>
          <cell r="AJ4098" t="str">
            <v>Nghệ An</v>
          </cell>
          <cell r="BX4098" t="str">
            <v>AON</v>
          </cell>
        </row>
        <row r="4099">
          <cell r="A4099" t="str">
            <v>OP</v>
          </cell>
          <cell r="B4099" t="str">
            <v>Quá 24h</v>
          </cell>
          <cell r="D4099" t="str">
            <v>Khiếu nại về dịch vụ FTTH</v>
          </cell>
          <cell r="W4099" t="str">
            <v>Đã đóng</v>
          </cell>
          <cell r="AJ4099" t="str">
            <v>Bắc Ninh</v>
          </cell>
          <cell r="BX4099" t="str">
            <v>AON</v>
          </cell>
        </row>
        <row r="4100">
          <cell r="A4100" t="str">
            <v>OP</v>
          </cell>
          <cell r="B4100" t="str">
            <v>Quá 24h</v>
          </cell>
          <cell r="D4100" t="str">
            <v>Khiếu nại về dịch vụ FTTH</v>
          </cell>
          <cell r="W4100" t="str">
            <v>Đã đóng</v>
          </cell>
          <cell r="AJ4100" t="str">
            <v>Quảng Ninh</v>
          </cell>
          <cell r="BX4100" t="str">
            <v>AON</v>
          </cell>
        </row>
        <row r="4101">
          <cell r="A4101" t="str">
            <v>OP</v>
          </cell>
          <cell r="B4101" t="str">
            <v>Quá 24h</v>
          </cell>
          <cell r="D4101" t="str">
            <v>Khiếu nại về dịch vụ FTTH</v>
          </cell>
          <cell r="W4101" t="str">
            <v>Đã đóng</v>
          </cell>
          <cell r="AJ4101" t="str">
            <v>Quảng Bình</v>
          </cell>
          <cell r="BX4101" t="str">
            <v>AON</v>
          </cell>
        </row>
        <row r="4102">
          <cell r="A4102" t="str">
            <v>OP</v>
          </cell>
          <cell r="B4102" t="str">
            <v>Quá 24h</v>
          </cell>
          <cell r="D4102" t="str">
            <v>Khiếu nại về dịch vụ FTTH</v>
          </cell>
          <cell r="W4102" t="str">
            <v>Đang xử lý</v>
          </cell>
          <cell r="AJ4102" t="str">
            <v>Bắc Ninh</v>
          </cell>
          <cell r="BX4102" t="str">
            <v>AON</v>
          </cell>
        </row>
        <row r="4103">
          <cell r="A4103" t="str">
            <v>OP</v>
          </cell>
          <cell r="B4103" t="str">
            <v>Quá 24h</v>
          </cell>
          <cell r="D4103" t="str">
            <v>Khiếu nại về dịch vụ FTTH</v>
          </cell>
          <cell r="W4103" t="str">
            <v>Đã đóng</v>
          </cell>
          <cell r="AJ4103" t="str">
            <v>Hà Nội 1</v>
          </cell>
          <cell r="BX4103" t="str">
            <v>AON</v>
          </cell>
        </row>
        <row r="4104">
          <cell r="A4104" t="str">
            <v>OP</v>
          </cell>
          <cell r="B4104" t="str">
            <v>Quá 24h</v>
          </cell>
          <cell r="D4104" t="str">
            <v>Khiếu nại về dịch vụ FTTH</v>
          </cell>
          <cell r="W4104" t="str">
            <v>Đã đóng</v>
          </cell>
          <cell r="AJ4104" t="str">
            <v>Thái Nguyên</v>
          </cell>
          <cell r="BX4104" t="str">
            <v>AON</v>
          </cell>
        </row>
        <row r="4105">
          <cell r="A4105" t="str">
            <v>OP</v>
          </cell>
          <cell r="B4105" t="str">
            <v>Quá 24h</v>
          </cell>
          <cell r="D4105" t="str">
            <v>Khiếu nại về dịch vụ FTTH</v>
          </cell>
          <cell r="W4105" t="str">
            <v>Đã đóng</v>
          </cell>
          <cell r="AJ4105" t="str">
            <v>Bắc Ninh</v>
          </cell>
          <cell r="BX4105" t="str">
            <v>AON</v>
          </cell>
        </row>
        <row r="4106">
          <cell r="A4106" t="str">
            <v>OP</v>
          </cell>
          <cell r="B4106" t="str">
            <v>Quá 24h</v>
          </cell>
          <cell r="D4106" t="str">
            <v>Khiếu nại về dịch vụ FTTH</v>
          </cell>
          <cell r="W4106" t="str">
            <v>Đang xử lý</v>
          </cell>
          <cell r="AJ4106" t="str">
            <v>Bắc Ninh</v>
          </cell>
          <cell r="BX4106" t="str">
            <v>AON</v>
          </cell>
        </row>
        <row r="4107">
          <cell r="A4107" t="str">
            <v>OP</v>
          </cell>
          <cell r="B4107" t="str">
            <v>Quá 24h</v>
          </cell>
          <cell r="D4107" t="str">
            <v>Khiếu nại về dịch vụ FTTH</v>
          </cell>
          <cell r="W4107" t="str">
            <v>Đã đóng</v>
          </cell>
          <cell r="AJ4107" t="str">
            <v>Nghệ An</v>
          </cell>
          <cell r="BX4107" t="str">
            <v>AON</v>
          </cell>
        </row>
        <row r="4108">
          <cell r="A4108" t="str">
            <v>OP</v>
          </cell>
          <cell r="B4108" t="str">
            <v>Quá 24h</v>
          </cell>
          <cell r="D4108" t="str">
            <v>Khiếu nại về dịch vụ FTTH</v>
          </cell>
          <cell r="W4108" t="str">
            <v>Đã đóng</v>
          </cell>
          <cell r="AJ4108" t="str">
            <v>Phú Thọ</v>
          </cell>
          <cell r="BX4108" t="str">
            <v>AON</v>
          </cell>
        </row>
        <row r="4109">
          <cell r="A4109" t="str">
            <v>OP</v>
          </cell>
          <cell r="B4109" t="str">
            <v>Quá 24h</v>
          </cell>
          <cell r="D4109" t="str">
            <v>Khiếu nại về dịch vụ FTTH</v>
          </cell>
          <cell r="W4109" t="str">
            <v>Đã đóng</v>
          </cell>
          <cell r="AJ4109" t="str">
            <v>Thái Nguyên</v>
          </cell>
          <cell r="BX4109" t="str">
            <v>AON</v>
          </cell>
        </row>
        <row r="4110">
          <cell r="A4110" t="str">
            <v>OP</v>
          </cell>
          <cell r="B4110" t="str">
            <v>Quá 24h</v>
          </cell>
          <cell r="D4110" t="str">
            <v>Khiếu nại về dịch vụ FTTH</v>
          </cell>
          <cell r="W4110" t="str">
            <v>Đang xử lý</v>
          </cell>
          <cell r="AJ4110" t="str">
            <v>Bắc Ninh</v>
          </cell>
          <cell r="BX4110" t="str">
            <v>AON</v>
          </cell>
        </row>
        <row r="4111">
          <cell r="A4111" t="str">
            <v>OP</v>
          </cell>
          <cell r="B4111" t="str">
            <v>Quá 24h</v>
          </cell>
          <cell r="D4111" t="str">
            <v>Khiếu nại về dịch vụ NextTV</v>
          </cell>
          <cell r="W4111" t="str">
            <v>Đã đóng</v>
          </cell>
          <cell r="AJ4111" t="str">
            <v>Quảng Ninh</v>
          </cell>
          <cell r="BX4111" t="str">
            <v>AON</v>
          </cell>
        </row>
        <row r="4112">
          <cell r="A4112" t="str">
            <v>OP</v>
          </cell>
          <cell r="B4112" t="str">
            <v>Quá 24h</v>
          </cell>
          <cell r="D4112" t="str">
            <v>Khiếu nại về dịch vụ FTTH</v>
          </cell>
          <cell r="W4112" t="str">
            <v>Đang xử lý</v>
          </cell>
          <cell r="AJ4112" t="str">
            <v>Bắc Ninh</v>
          </cell>
          <cell r="BX4112" t="str">
            <v>AON</v>
          </cell>
        </row>
        <row r="4113">
          <cell r="A4113" t="str">
            <v>OP</v>
          </cell>
          <cell r="B4113" t="str">
            <v>Quá 24h</v>
          </cell>
          <cell r="D4113" t="str">
            <v>Khiếu nại về dịch vụ FTTH</v>
          </cell>
          <cell r="W4113" t="str">
            <v>Đang xử lý</v>
          </cell>
          <cell r="AJ4113" t="str">
            <v>Quảng Ninh</v>
          </cell>
          <cell r="BX4113" t="str">
            <v>AON</v>
          </cell>
        </row>
        <row r="4114">
          <cell r="A4114" t="str">
            <v>OP</v>
          </cell>
          <cell r="B4114" t="str">
            <v>Quá 24h</v>
          </cell>
          <cell r="D4114" t="str">
            <v>Khiếu nại về dịch vụ FTTH</v>
          </cell>
          <cell r="W4114" t="str">
            <v>Đang xử lý</v>
          </cell>
          <cell r="AJ4114" t="str">
            <v>Bắc Ninh</v>
          </cell>
          <cell r="BX4114" t="str">
            <v>AON</v>
          </cell>
        </row>
        <row r="4115">
          <cell r="A4115" t="str">
            <v>OP</v>
          </cell>
          <cell r="B4115" t="str">
            <v>Quá 24h</v>
          </cell>
          <cell r="D4115" t="str">
            <v>Khiếu nại về dịch vụ FTTH</v>
          </cell>
          <cell r="W4115" t="str">
            <v>Đã đóng</v>
          </cell>
          <cell r="AJ4115" t="str">
            <v>Quảng Bình</v>
          </cell>
          <cell r="BX4115" t="str">
            <v>AON</v>
          </cell>
        </row>
        <row r="4116">
          <cell r="A4116" t="str">
            <v>OP</v>
          </cell>
          <cell r="B4116" t="str">
            <v>Quá 24h</v>
          </cell>
          <cell r="D4116" t="str">
            <v>Khiếu nại về dịch vụ FTTH</v>
          </cell>
          <cell r="W4116" t="str">
            <v>Đang xử lý</v>
          </cell>
          <cell r="AJ4116" t="str">
            <v>Quảng Ninh</v>
          </cell>
          <cell r="BX4116" t="str">
            <v>AON</v>
          </cell>
        </row>
        <row r="4117">
          <cell r="A4117" t="str">
            <v>OP</v>
          </cell>
          <cell r="B4117" t="str">
            <v>Quá 24h</v>
          </cell>
          <cell r="D4117" t="str">
            <v>Khiếu nại về dịch vụ FTTH</v>
          </cell>
          <cell r="W4117" t="str">
            <v>Đã đóng</v>
          </cell>
          <cell r="AJ4117" t="str">
            <v>Quảng Ninh</v>
          </cell>
          <cell r="BX4117" t="str">
            <v>AON</v>
          </cell>
        </row>
        <row r="4118">
          <cell r="A4118" t="str">
            <v>OP</v>
          </cell>
          <cell r="B4118" t="str">
            <v>Quá 24h</v>
          </cell>
          <cell r="D4118" t="str">
            <v>Khiếu nại về dịch vụ FTTH</v>
          </cell>
          <cell r="W4118" t="str">
            <v>Đã đóng</v>
          </cell>
          <cell r="AJ4118" t="str">
            <v>Quảng Ninh</v>
          </cell>
          <cell r="BX4118" t="str">
            <v>AON</v>
          </cell>
        </row>
        <row r="4119">
          <cell r="A4119" t="str">
            <v>OP</v>
          </cell>
          <cell r="B4119" t="str">
            <v>Quá 24h</v>
          </cell>
          <cell r="D4119" t="str">
            <v>Khiếu nại về dịch vụ FTTH</v>
          </cell>
          <cell r="W4119" t="str">
            <v>Đã đóng</v>
          </cell>
          <cell r="AJ4119" t="str">
            <v>Bắc Ninh</v>
          </cell>
          <cell r="BX4119" t="str">
            <v>AON</v>
          </cell>
        </row>
        <row r="4120">
          <cell r="A4120" t="str">
            <v>OP</v>
          </cell>
          <cell r="B4120" t="str">
            <v>Quá 24h</v>
          </cell>
          <cell r="D4120" t="str">
            <v>Khiếu nại về dịch vụ FTTH</v>
          </cell>
          <cell r="W4120" t="str">
            <v>Đang xử lý</v>
          </cell>
          <cell r="AJ4120" t="str">
            <v>Quảng Ninh</v>
          </cell>
          <cell r="BX4120" t="str">
            <v>AON</v>
          </cell>
        </row>
        <row r="4121">
          <cell r="A4121" t="str">
            <v>OP</v>
          </cell>
          <cell r="B4121" t="str">
            <v>Quá 24h</v>
          </cell>
          <cell r="D4121" t="str">
            <v>Khiếu nại về dịch vụ FTTH</v>
          </cell>
          <cell r="W4121" t="str">
            <v>Đã đóng</v>
          </cell>
          <cell r="AJ4121" t="str">
            <v>Hà Nam</v>
          </cell>
          <cell r="BX4121" t="str">
            <v>AON</v>
          </cell>
        </row>
        <row r="4122">
          <cell r="A4122" t="str">
            <v>OP</v>
          </cell>
          <cell r="B4122" t="str">
            <v>Quá 24h</v>
          </cell>
          <cell r="D4122" t="str">
            <v>Khiếu nại về dịch vụ NextTV</v>
          </cell>
          <cell r="W4122" t="str">
            <v>Đã đóng</v>
          </cell>
          <cell r="AJ4122" t="str">
            <v>Quảng Ninh</v>
          </cell>
          <cell r="BX4122" t="str">
            <v>AON</v>
          </cell>
        </row>
        <row r="4123">
          <cell r="A4123" t="str">
            <v>OP</v>
          </cell>
          <cell r="B4123" t="str">
            <v>Quá 24h</v>
          </cell>
          <cell r="D4123" t="str">
            <v>Khiếu nại về dịch vụ FTTH</v>
          </cell>
          <cell r="W4123" t="str">
            <v>Đã đóng</v>
          </cell>
          <cell r="AJ4123" t="str">
            <v>Bắc Ninh</v>
          </cell>
          <cell r="BX4123" t="str">
            <v>AON</v>
          </cell>
        </row>
        <row r="4124">
          <cell r="A4124" t="str">
            <v>OP</v>
          </cell>
          <cell r="B4124" t="str">
            <v>Quá 24h</v>
          </cell>
          <cell r="D4124" t="str">
            <v>Khiếu nại về dịch vụ FTTH</v>
          </cell>
          <cell r="W4124" t="str">
            <v>Đang xử lý</v>
          </cell>
          <cell r="AJ4124" t="str">
            <v>Nghệ An</v>
          </cell>
          <cell r="BX4124" t="str">
            <v>AON</v>
          </cell>
        </row>
        <row r="4125">
          <cell r="A4125" t="str">
            <v>OP</v>
          </cell>
          <cell r="B4125" t="str">
            <v>Quá 24h</v>
          </cell>
          <cell r="D4125" t="str">
            <v>Khiếu nại về dịch vụ FTTH</v>
          </cell>
          <cell r="W4125" t="str">
            <v>Đang xử lý</v>
          </cell>
          <cell r="AJ4125" t="str">
            <v>Bắc Ninh</v>
          </cell>
          <cell r="BX4125" t="str">
            <v>AON</v>
          </cell>
        </row>
        <row r="4126">
          <cell r="A4126" t="str">
            <v>OP</v>
          </cell>
          <cell r="B4126" t="str">
            <v>Quá 24h</v>
          </cell>
          <cell r="D4126" t="str">
            <v>Khiếu nại về dịch vụ FTTH</v>
          </cell>
          <cell r="W4126" t="str">
            <v>Đã đóng</v>
          </cell>
          <cell r="AJ4126" t="str">
            <v>Thái Nguyên</v>
          </cell>
          <cell r="BX4126" t="str">
            <v>AON</v>
          </cell>
        </row>
        <row r="4127">
          <cell r="A4127" t="str">
            <v>OP</v>
          </cell>
          <cell r="B4127" t="str">
            <v>Quá 24h</v>
          </cell>
          <cell r="D4127" t="str">
            <v>Khiếu nại về dịch vụ FTTH</v>
          </cell>
          <cell r="W4127" t="str">
            <v>Đang xử lý</v>
          </cell>
          <cell r="AJ4127" t="str">
            <v>Hải Phòng</v>
          </cell>
          <cell r="BX4127" t="str">
            <v>AON</v>
          </cell>
        </row>
        <row r="4128">
          <cell r="A4128" t="str">
            <v>OP</v>
          </cell>
          <cell r="B4128" t="str">
            <v>Quá 24h</v>
          </cell>
          <cell r="D4128" t="str">
            <v>Khiếu nại về dịch vụ FTTH</v>
          </cell>
          <cell r="W4128" t="str">
            <v>Đã đóng</v>
          </cell>
          <cell r="AJ4128" t="str">
            <v>Quảng Ninh</v>
          </cell>
          <cell r="BX4128" t="str">
            <v>AON</v>
          </cell>
        </row>
        <row r="4129">
          <cell r="A4129" t="str">
            <v>OP</v>
          </cell>
          <cell r="B4129" t="str">
            <v>Quá 24h</v>
          </cell>
          <cell r="D4129" t="str">
            <v>Khiếu nại về dịch vụ FTTH</v>
          </cell>
          <cell r="W4129" t="str">
            <v>Đang xử lý</v>
          </cell>
          <cell r="AJ4129" t="str">
            <v>Quảng Ninh</v>
          </cell>
          <cell r="BX4129" t="str">
            <v>AON</v>
          </cell>
        </row>
        <row r="4130">
          <cell r="A4130" t="str">
            <v>OP</v>
          </cell>
          <cell r="B4130" t="str">
            <v>Quá 24h</v>
          </cell>
          <cell r="D4130" t="str">
            <v>Khiếu nại về dịch vụ FTTH</v>
          </cell>
          <cell r="W4130" t="str">
            <v>Đã đóng</v>
          </cell>
          <cell r="AJ4130" t="str">
            <v>Thái Nguyên</v>
          </cell>
          <cell r="BX4130" t="str">
            <v>AON</v>
          </cell>
        </row>
        <row r="4131">
          <cell r="A4131" t="str">
            <v>OP</v>
          </cell>
          <cell r="B4131" t="str">
            <v>Quá 24h</v>
          </cell>
          <cell r="D4131" t="str">
            <v>Khiếu nại về dịch vụ FTTH</v>
          </cell>
          <cell r="W4131" t="str">
            <v>Đã đóng</v>
          </cell>
          <cell r="AJ4131" t="str">
            <v>Thái Nguyên</v>
          </cell>
          <cell r="BX4131" t="str">
            <v>AON</v>
          </cell>
        </row>
        <row r="4132">
          <cell r="A4132" t="str">
            <v>OP</v>
          </cell>
          <cell r="B4132" t="str">
            <v>Quá 24h</v>
          </cell>
          <cell r="D4132" t="str">
            <v>Khiếu nại về dịch vụ FTTH</v>
          </cell>
          <cell r="W4132" t="str">
            <v>Đã đóng</v>
          </cell>
          <cell r="AJ4132" t="str">
            <v>Bắc Ninh</v>
          </cell>
          <cell r="BX4132" t="str">
            <v>AON</v>
          </cell>
        </row>
        <row r="4133">
          <cell r="A4133" t="str">
            <v>OP</v>
          </cell>
          <cell r="B4133" t="str">
            <v>Quá 24h</v>
          </cell>
          <cell r="D4133" t="str">
            <v>Khiếu nại về dịch vụ FTTH</v>
          </cell>
          <cell r="W4133" t="str">
            <v>Đã đóng</v>
          </cell>
          <cell r="AJ4133" t="str">
            <v>Bắc Ninh</v>
          </cell>
          <cell r="BX4133" t="str">
            <v>AON</v>
          </cell>
        </row>
        <row r="4134">
          <cell r="A4134" t="str">
            <v>OP</v>
          </cell>
          <cell r="B4134" t="str">
            <v>Quá 24h</v>
          </cell>
          <cell r="D4134" t="str">
            <v>Khiếu nại về dịch vụ FTTH</v>
          </cell>
          <cell r="W4134" t="str">
            <v>Đã đóng</v>
          </cell>
          <cell r="AJ4134" t="str">
            <v>Quảng Ninh</v>
          </cell>
          <cell r="BX4134" t="str">
            <v>AON</v>
          </cell>
        </row>
        <row r="4135">
          <cell r="A4135" t="str">
            <v>OP</v>
          </cell>
          <cell r="B4135" t="str">
            <v>Quá 24h</v>
          </cell>
          <cell r="D4135" t="str">
            <v>Khiếu nại về dịch vụ FTTH</v>
          </cell>
          <cell r="W4135" t="str">
            <v>Đã đóng</v>
          </cell>
          <cell r="AJ4135" t="str">
            <v>Hà Nội 2</v>
          </cell>
          <cell r="BX4135" t="str">
            <v>AON</v>
          </cell>
        </row>
        <row r="4136">
          <cell r="A4136" t="str">
            <v>OP</v>
          </cell>
          <cell r="B4136" t="str">
            <v>Quá 24h</v>
          </cell>
          <cell r="D4136" t="str">
            <v>Khiếu nại về dịch vụ FTTH</v>
          </cell>
          <cell r="W4136" t="str">
            <v>Đang xử lý</v>
          </cell>
          <cell r="AJ4136" t="str">
            <v>Quảng Ninh</v>
          </cell>
          <cell r="BX4136" t="str">
            <v>AON</v>
          </cell>
        </row>
        <row r="4137">
          <cell r="A4137" t="str">
            <v>OP</v>
          </cell>
          <cell r="B4137" t="str">
            <v>Quá 24h</v>
          </cell>
          <cell r="D4137" t="str">
            <v>Khiếu nại về dịch vụ FTTH</v>
          </cell>
          <cell r="W4137" t="str">
            <v>Đã đóng</v>
          </cell>
          <cell r="AJ4137" t="str">
            <v>Bắc Ninh</v>
          </cell>
          <cell r="BX4137" t="str">
            <v>AON</v>
          </cell>
        </row>
        <row r="4138">
          <cell r="A4138" t="str">
            <v>OP</v>
          </cell>
          <cell r="B4138" t="str">
            <v>Quá 24h</v>
          </cell>
          <cell r="D4138" t="str">
            <v>Khiếu nại về dịch vụ FTTH</v>
          </cell>
          <cell r="W4138" t="str">
            <v>Đã đóng</v>
          </cell>
          <cell r="AJ4138" t="str">
            <v>Nghệ An</v>
          </cell>
          <cell r="BX4138" t="str">
            <v>AON</v>
          </cell>
        </row>
        <row r="4139">
          <cell r="A4139" t="str">
            <v>OP</v>
          </cell>
          <cell r="B4139" t="str">
            <v>Quá 24h</v>
          </cell>
          <cell r="D4139" t="str">
            <v>Khiếu nại về dịch vụ FTTH</v>
          </cell>
          <cell r="W4139" t="str">
            <v>Đã đóng</v>
          </cell>
          <cell r="AJ4139" t="str">
            <v>Bắc Ninh</v>
          </cell>
          <cell r="BX4139" t="str">
            <v>AON</v>
          </cell>
        </row>
        <row r="4140">
          <cell r="A4140" t="str">
            <v>OP</v>
          </cell>
          <cell r="B4140" t="str">
            <v>Quá 24h</v>
          </cell>
          <cell r="D4140" t="str">
            <v>Khiếu nại về dịch vụ FTTH</v>
          </cell>
          <cell r="W4140" t="str">
            <v>Đang xử lý</v>
          </cell>
          <cell r="AJ4140" t="str">
            <v>Bắc Ninh</v>
          </cell>
          <cell r="BX4140" t="str">
            <v>AON</v>
          </cell>
        </row>
        <row r="4141">
          <cell r="A4141" t="str">
            <v>OP</v>
          </cell>
          <cell r="B4141" t="str">
            <v>Quá 24h</v>
          </cell>
          <cell r="D4141" t="str">
            <v>Khiếu nại về dịch vụ FTTH</v>
          </cell>
          <cell r="W4141" t="str">
            <v>Đã đóng</v>
          </cell>
          <cell r="AJ4141" t="str">
            <v>Quảng Ninh</v>
          </cell>
          <cell r="BX4141" t="str">
            <v>AON</v>
          </cell>
        </row>
        <row r="4142">
          <cell r="A4142" t="str">
            <v>OP</v>
          </cell>
          <cell r="B4142" t="str">
            <v>Quá 24h</v>
          </cell>
          <cell r="D4142" t="str">
            <v>Khiếu nại về dịch vụ FTTH</v>
          </cell>
          <cell r="W4142" t="str">
            <v>Đang xử lý</v>
          </cell>
          <cell r="AJ4142" t="str">
            <v>Thanh Hoá</v>
          </cell>
          <cell r="BX4142" t="str">
            <v>AON</v>
          </cell>
        </row>
        <row r="4143">
          <cell r="A4143" t="str">
            <v>OP</v>
          </cell>
          <cell r="B4143" t="str">
            <v>Quá 24h</v>
          </cell>
          <cell r="D4143" t="str">
            <v>Khiếu nại về dịch vụ FTTH</v>
          </cell>
          <cell r="W4143" t="str">
            <v>Đã đóng</v>
          </cell>
          <cell r="AJ4143" t="str">
            <v>Quảng Ninh</v>
          </cell>
          <cell r="BX4143" t="str">
            <v>AON</v>
          </cell>
        </row>
        <row r="4144">
          <cell r="A4144" t="str">
            <v>OP</v>
          </cell>
          <cell r="B4144" t="str">
            <v>Quá 24h</v>
          </cell>
          <cell r="D4144" t="str">
            <v>Khiếu nại về dịch vụ FTTH</v>
          </cell>
          <cell r="W4144" t="str">
            <v>Đã đóng</v>
          </cell>
          <cell r="AJ4144" t="str">
            <v xml:space="preserve">Hà Tĩnh </v>
          </cell>
          <cell r="BX4144" t="str">
            <v>AON</v>
          </cell>
        </row>
        <row r="4145">
          <cell r="A4145" t="str">
            <v>OP</v>
          </cell>
          <cell r="B4145" t="str">
            <v>Quá 24h</v>
          </cell>
          <cell r="D4145" t="str">
            <v>Khiếu nại về dịch vụ FTTH</v>
          </cell>
          <cell r="W4145" t="str">
            <v>Đã đóng</v>
          </cell>
          <cell r="AJ4145" t="str">
            <v>Hà Nội 2</v>
          </cell>
          <cell r="BX4145" t="str">
            <v>AON</v>
          </cell>
        </row>
        <row r="4146">
          <cell r="A4146" t="str">
            <v>OP</v>
          </cell>
          <cell r="B4146" t="str">
            <v>Quá 24h</v>
          </cell>
          <cell r="D4146" t="str">
            <v>Khiếu nại về dịch vụ FTTH</v>
          </cell>
          <cell r="W4146" t="str">
            <v>Đang xử lý</v>
          </cell>
          <cell r="AJ4146" t="str">
            <v>Hà Nội 2</v>
          </cell>
          <cell r="BX4146" t="str">
            <v>AON</v>
          </cell>
        </row>
        <row r="4147">
          <cell r="A4147" t="str">
            <v>OP</v>
          </cell>
          <cell r="B4147" t="str">
            <v>Quá 24h</v>
          </cell>
          <cell r="D4147" t="str">
            <v>Khiếu nại về dịch vụ FTTH</v>
          </cell>
          <cell r="W4147" t="str">
            <v>Đang xử lý</v>
          </cell>
          <cell r="AJ4147" t="str">
            <v>Bắc Ninh</v>
          </cell>
          <cell r="BX4147" t="str">
            <v>AON</v>
          </cell>
        </row>
        <row r="4148">
          <cell r="A4148" t="str">
            <v>OP</v>
          </cell>
          <cell r="B4148" t="str">
            <v>Quá 24h</v>
          </cell>
          <cell r="D4148" t="str">
            <v>Khiếu nại về dịch vụ FTTH</v>
          </cell>
          <cell r="W4148" t="str">
            <v>Đã đóng</v>
          </cell>
          <cell r="AJ4148" t="str">
            <v>Thái Nguyên</v>
          </cell>
          <cell r="BX4148" t="str">
            <v>AON</v>
          </cell>
        </row>
        <row r="4149">
          <cell r="A4149" t="str">
            <v>OP</v>
          </cell>
          <cell r="B4149" t="str">
            <v>Quá 24h</v>
          </cell>
          <cell r="D4149" t="str">
            <v>Khiếu nại về dịch vụ FTTH</v>
          </cell>
          <cell r="W4149" t="str">
            <v>Đã đóng</v>
          </cell>
          <cell r="AJ4149" t="str">
            <v>Quảng Ninh</v>
          </cell>
          <cell r="BX4149" t="str">
            <v>AON</v>
          </cell>
        </row>
        <row r="4150">
          <cell r="A4150" t="str">
            <v>OP</v>
          </cell>
          <cell r="B4150" t="str">
            <v>Quá 24h</v>
          </cell>
          <cell r="D4150" t="str">
            <v>Khiếu nại về dịch vụ FTTH</v>
          </cell>
          <cell r="W4150" t="str">
            <v>Đã đóng</v>
          </cell>
          <cell r="AJ4150" t="str">
            <v>Quảng Ninh</v>
          </cell>
          <cell r="BX4150" t="str">
            <v>AON</v>
          </cell>
        </row>
        <row r="4151">
          <cell r="A4151" t="str">
            <v>OP</v>
          </cell>
          <cell r="B4151" t="str">
            <v>Quá 24h</v>
          </cell>
          <cell r="D4151" t="str">
            <v>Khiếu nại về dịch vụ FTTH</v>
          </cell>
          <cell r="W4151" t="str">
            <v>Đã đóng</v>
          </cell>
          <cell r="AJ4151" t="str">
            <v>Quảng Ninh</v>
          </cell>
          <cell r="BX4151" t="str">
            <v>AON</v>
          </cell>
        </row>
        <row r="4152">
          <cell r="A4152" t="str">
            <v>OP</v>
          </cell>
          <cell r="B4152" t="str">
            <v>Quá 24h</v>
          </cell>
          <cell r="D4152" t="str">
            <v>Khiếu nại về dịch vụ FTTH</v>
          </cell>
          <cell r="W4152" t="str">
            <v>Đã đóng</v>
          </cell>
          <cell r="AJ4152" t="str">
            <v>Bắc Ninh</v>
          </cell>
          <cell r="BX4152" t="str">
            <v>AON</v>
          </cell>
        </row>
        <row r="4153">
          <cell r="A4153" t="str">
            <v>OP</v>
          </cell>
          <cell r="B4153" t="str">
            <v>Quá 24h</v>
          </cell>
          <cell r="D4153" t="str">
            <v>Khiếu nại về dịch vụ FTTH</v>
          </cell>
          <cell r="W4153" t="str">
            <v>Đã đóng</v>
          </cell>
          <cell r="AJ4153" t="str">
            <v>Bắc Ninh</v>
          </cell>
          <cell r="BX4153" t="str">
            <v>AON</v>
          </cell>
        </row>
        <row r="4154">
          <cell r="A4154" t="str">
            <v>OP</v>
          </cell>
          <cell r="B4154" t="str">
            <v>Quá 24h</v>
          </cell>
          <cell r="D4154" t="str">
            <v>Khiếu nại về dịch vụ FTTH</v>
          </cell>
          <cell r="W4154" t="str">
            <v>Đã đóng</v>
          </cell>
          <cell r="AJ4154" t="str">
            <v>Hà Nội 1</v>
          </cell>
          <cell r="BX4154" t="str">
            <v>AON</v>
          </cell>
        </row>
        <row r="4155">
          <cell r="A4155" t="str">
            <v>OP</v>
          </cell>
          <cell r="B4155" t="str">
            <v>Quá 24h</v>
          </cell>
          <cell r="D4155" t="str">
            <v>Khiếu nại về dịch vụ FTTH</v>
          </cell>
          <cell r="W4155" t="str">
            <v>Đang xử lý</v>
          </cell>
          <cell r="AJ4155" t="str">
            <v>Quảng Ninh</v>
          </cell>
          <cell r="BX4155" t="str">
            <v>AON</v>
          </cell>
        </row>
        <row r="4156">
          <cell r="A4156" t="str">
            <v>OP</v>
          </cell>
          <cell r="B4156" t="str">
            <v>Quá 24h</v>
          </cell>
          <cell r="D4156" t="str">
            <v>Khiếu nại về dịch vụ FTTH</v>
          </cell>
          <cell r="W4156" t="str">
            <v>Đang xử lý</v>
          </cell>
          <cell r="AJ4156" t="str">
            <v>Bắc Giang</v>
          </cell>
          <cell r="BX4156" t="str">
            <v>AON</v>
          </cell>
        </row>
        <row r="4157">
          <cell r="A4157" t="str">
            <v>OP</v>
          </cell>
          <cell r="B4157" t="str">
            <v>Quá 24h</v>
          </cell>
          <cell r="D4157" t="str">
            <v>Khiếu nại về dịch vụ FTTH</v>
          </cell>
          <cell r="W4157" t="str">
            <v>Đã đóng</v>
          </cell>
          <cell r="AJ4157" t="str">
            <v>Nghệ An</v>
          </cell>
          <cell r="BX4157" t="str">
            <v>AON</v>
          </cell>
        </row>
        <row r="4158">
          <cell r="A4158" t="str">
            <v>OP</v>
          </cell>
          <cell r="B4158" t="str">
            <v>Quá 24h</v>
          </cell>
          <cell r="D4158" t="str">
            <v>Khiếu nại về dịch vụ FTTH</v>
          </cell>
          <cell r="W4158" t="str">
            <v>Đang xử lý</v>
          </cell>
          <cell r="AJ4158" t="str">
            <v>Bắc Ninh</v>
          </cell>
          <cell r="BX4158" t="str">
            <v>AON</v>
          </cell>
        </row>
        <row r="4159">
          <cell r="A4159" t="str">
            <v>OP</v>
          </cell>
          <cell r="B4159" t="str">
            <v>Quá 24h</v>
          </cell>
          <cell r="D4159" t="str">
            <v>Khiếu nại về dịch vụ FTTH</v>
          </cell>
          <cell r="W4159" t="str">
            <v>Đã đóng</v>
          </cell>
          <cell r="AJ4159" t="str">
            <v>Quảng Ninh</v>
          </cell>
          <cell r="BX4159" t="str">
            <v>AON</v>
          </cell>
        </row>
        <row r="4160">
          <cell r="A4160" t="str">
            <v>OP</v>
          </cell>
          <cell r="B4160" t="str">
            <v>Quá 24h</v>
          </cell>
          <cell r="D4160" t="str">
            <v>Khiếu nại về dịch vụ FTTH</v>
          </cell>
          <cell r="W4160" t="str">
            <v>Đang xử lý</v>
          </cell>
          <cell r="AJ4160" t="str">
            <v>Bắc Ninh</v>
          </cell>
          <cell r="BX4160" t="str">
            <v>AON</v>
          </cell>
        </row>
        <row r="4161">
          <cell r="A4161" t="str">
            <v>OP</v>
          </cell>
          <cell r="B4161" t="str">
            <v>Quá 24h</v>
          </cell>
          <cell r="D4161" t="str">
            <v>Khiếu nại về dịch vụ FTTH</v>
          </cell>
          <cell r="W4161" t="str">
            <v>Đã đóng</v>
          </cell>
          <cell r="AJ4161" t="str">
            <v xml:space="preserve">Hà Tĩnh </v>
          </cell>
          <cell r="BX4161" t="str">
            <v>AON</v>
          </cell>
        </row>
        <row r="4162">
          <cell r="A4162" t="str">
            <v>OP</v>
          </cell>
          <cell r="B4162" t="str">
            <v>Quá 24h</v>
          </cell>
          <cell r="D4162" t="str">
            <v>Khiếu nại về dịch vụ FTTH</v>
          </cell>
          <cell r="W4162" t="str">
            <v>Đã đóng</v>
          </cell>
          <cell r="AJ4162" t="str">
            <v>Nam Định</v>
          </cell>
          <cell r="BX4162" t="str">
            <v>AON</v>
          </cell>
        </row>
        <row r="4163">
          <cell r="A4163" t="str">
            <v>OP</v>
          </cell>
          <cell r="B4163" t="str">
            <v>Quá 24h</v>
          </cell>
          <cell r="D4163" t="str">
            <v>Khiếu nại về dịch vụ FTTH</v>
          </cell>
          <cell r="W4163" t="str">
            <v>Đang xử lý</v>
          </cell>
          <cell r="AJ4163" t="str">
            <v>Bắc Ninh</v>
          </cell>
          <cell r="BX4163" t="str">
            <v>AON</v>
          </cell>
        </row>
        <row r="4164">
          <cell r="A4164" t="str">
            <v>OP</v>
          </cell>
          <cell r="B4164" t="str">
            <v>Quá 24h</v>
          </cell>
          <cell r="D4164" t="str">
            <v>Khiếu nại về dịch vụ FTTH</v>
          </cell>
          <cell r="W4164" t="str">
            <v>Đang xử lý</v>
          </cell>
          <cell r="AJ4164" t="str">
            <v>Hà Nội 2</v>
          </cell>
          <cell r="BX4164" t="str">
            <v>AON</v>
          </cell>
        </row>
        <row r="4165">
          <cell r="A4165" t="str">
            <v>OP</v>
          </cell>
          <cell r="B4165" t="str">
            <v>Quá 24h</v>
          </cell>
          <cell r="D4165" t="str">
            <v>Khiếu nại về dịch vụ FTTH</v>
          </cell>
          <cell r="W4165" t="str">
            <v>Đang xử lý</v>
          </cell>
          <cell r="AJ4165" t="str">
            <v>Hà Nội 2</v>
          </cell>
          <cell r="BX4165" t="str">
            <v>AON</v>
          </cell>
        </row>
        <row r="4166">
          <cell r="A4166" t="str">
            <v>OP</v>
          </cell>
          <cell r="B4166" t="str">
            <v>Quá 24h</v>
          </cell>
          <cell r="D4166" t="str">
            <v>Khiếu nại về dịch vụ FTTH</v>
          </cell>
          <cell r="W4166" t="str">
            <v>Đã đóng</v>
          </cell>
          <cell r="AJ4166" t="str">
            <v>Thái Nguyên</v>
          </cell>
          <cell r="BX4166" t="str">
            <v>AON</v>
          </cell>
        </row>
        <row r="4167">
          <cell r="A4167" t="str">
            <v>OP</v>
          </cell>
          <cell r="B4167" t="str">
            <v>Quá 24h</v>
          </cell>
          <cell r="D4167" t="str">
            <v>Khiếu nại về dịch vụ FTTH</v>
          </cell>
          <cell r="W4167" t="str">
            <v>Đang xử lý</v>
          </cell>
          <cell r="AJ4167" t="str">
            <v>Bắc Ninh</v>
          </cell>
          <cell r="BX4167" t="str">
            <v>AON</v>
          </cell>
        </row>
        <row r="4168">
          <cell r="A4168" t="str">
            <v>OP</v>
          </cell>
          <cell r="B4168" t="str">
            <v>Quá 24h</v>
          </cell>
          <cell r="D4168" t="str">
            <v>Khiếu nại về dịch vụ FTTH</v>
          </cell>
          <cell r="W4168" t="str">
            <v>Đã đóng</v>
          </cell>
          <cell r="AJ4168" t="str">
            <v>Quảng Ninh</v>
          </cell>
          <cell r="BX4168" t="str">
            <v>AON</v>
          </cell>
        </row>
        <row r="4169">
          <cell r="A4169" t="str">
            <v>OP</v>
          </cell>
          <cell r="B4169" t="str">
            <v>Quá 24h</v>
          </cell>
          <cell r="D4169" t="str">
            <v>Khiếu nại về dịch vụ FTTH</v>
          </cell>
          <cell r="W4169" t="str">
            <v>Đã đóng</v>
          </cell>
          <cell r="AJ4169" t="str">
            <v>Bắc Giang</v>
          </cell>
          <cell r="BX4169" t="str">
            <v>AON</v>
          </cell>
        </row>
        <row r="4170">
          <cell r="A4170" t="str">
            <v>OP</v>
          </cell>
          <cell r="B4170" t="str">
            <v>Quá 24h</v>
          </cell>
          <cell r="D4170" t="str">
            <v>Khiếu nại về dịch vụ FTTH</v>
          </cell>
          <cell r="W4170" t="str">
            <v>Đang xử lý</v>
          </cell>
          <cell r="AJ4170" t="str">
            <v>Thái Nguyên</v>
          </cell>
          <cell r="BX4170" t="str">
            <v>AON</v>
          </cell>
        </row>
        <row r="4171">
          <cell r="A4171" t="str">
            <v>OP</v>
          </cell>
          <cell r="B4171" t="str">
            <v>Quá 24h</v>
          </cell>
          <cell r="D4171" t="str">
            <v>Khiếu nại về dịch vụ FTTH</v>
          </cell>
          <cell r="W4171" t="str">
            <v>Đã đóng</v>
          </cell>
          <cell r="AJ4171" t="str">
            <v>Quảng Ninh</v>
          </cell>
          <cell r="BX4171" t="str">
            <v>AON</v>
          </cell>
        </row>
        <row r="4172">
          <cell r="A4172" t="str">
            <v>OP</v>
          </cell>
          <cell r="B4172" t="str">
            <v>Quá 24h</v>
          </cell>
          <cell r="D4172" t="str">
            <v>Khiếu nại về dịch vụ FTTH</v>
          </cell>
          <cell r="W4172" t="str">
            <v>Đang xử lý</v>
          </cell>
          <cell r="AJ4172" t="str">
            <v>Bắc Ninh</v>
          </cell>
          <cell r="BX4172" t="str">
            <v>AON</v>
          </cell>
        </row>
        <row r="4173">
          <cell r="A4173" t="str">
            <v>OP</v>
          </cell>
          <cell r="B4173" t="str">
            <v>Quá 24h</v>
          </cell>
          <cell r="D4173" t="str">
            <v>Khiếu nại về dịch vụ FTTH</v>
          </cell>
          <cell r="W4173" t="str">
            <v>Đã đóng</v>
          </cell>
          <cell r="AJ4173" t="str">
            <v>Nghệ An</v>
          </cell>
          <cell r="BX4173" t="str">
            <v>AON</v>
          </cell>
        </row>
        <row r="4174">
          <cell r="A4174" t="str">
            <v>OP</v>
          </cell>
          <cell r="B4174" t="str">
            <v>Quá 24h</v>
          </cell>
          <cell r="D4174" t="str">
            <v>Khiếu nại về dịch vụ FTTH</v>
          </cell>
          <cell r="W4174" t="str">
            <v>Đã đóng</v>
          </cell>
          <cell r="AJ4174" t="str">
            <v>Bắc Ninh</v>
          </cell>
          <cell r="BX4174" t="str">
            <v>AON</v>
          </cell>
        </row>
        <row r="4175">
          <cell r="A4175" t="str">
            <v>OP</v>
          </cell>
          <cell r="B4175" t="str">
            <v>Quá 24h</v>
          </cell>
          <cell r="D4175" t="str">
            <v>Khiếu nại về dịch vụ FTTH</v>
          </cell>
          <cell r="W4175" t="str">
            <v>Đã đóng</v>
          </cell>
          <cell r="AJ4175" t="str">
            <v xml:space="preserve">Hà Tĩnh </v>
          </cell>
          <cell r="BX4175" t="str">
            <v>AON</v>
          </cell>
        </row>
        <row r="4176">
          <cell r="A4176" t="str">
            <v>OP</v>
          </cell>
          <cell r="B4176" t="str">
            <v>Quá 24h</v>
          </cell>
          <cell r="D4176" t="str">
            <v>Khiếu nại về dịch vụ FTTH</v>
          </cell>
          <cell r="W4176" t="str">
            <v>Đã đóng</v>
          </cell>
          <cell r="AJ4176" t="str">
            <v>Quảng Ninh</v>
          </cell>
          <cell r="BX4176" t="str">
            <v>AON</v>
          </cell>
        </row>
        <row r="4177">
          <cell r="A4177" t="str">
            <v>OP</v>
          </cell>
          <cell r="B4177" t="str">
            <v>Quá 24h</v>
          </cell>
          <cell r="D4177" t="str">
            <v>Khiếu nại về dịch vụ FTTH</v>
          </cell>
          <cell r="W4177" t="str">
            <v>Đã đóng</v>
          </cell>
          <cell r="AJ4177" t="str">
            <v>Tuyên Quang</v>
          </cell>
          <cell r="BX4177" t="str">
            <v>AON</v>
          </cell>
        </row>
        <row r="4178">
          <cell r="A4178" t="str">
            <v>OP</v>
          </cell>
          <cell r="B4178" t="str">
            <v>Quá 24h</v>
          </cell>
          <cell r="D4178" t="str">
            <v>Khiếu nại về dịch vụ FTTH</v>
          </cell>
          <cell r="W4178" t="str">
            <v>Đã đóng</v>
          </cell>
          <cell r="AJ4178" t="str">
            <v>Quảng Ninh</v>
          </cell>
          <cell r="BX4178" t="str">
            <v>AON</v>
          </cell>
        </row>
        <row r="4179">
          <cell r="A4179" t="str">
            <v>OP</v>
          </cell>
          <cell r="B4179" t="str">
            <v>Quá 24h</v>
          </cell>
          <cell r="D4179" t="str">
            <v>Khiếu nại về dịch vụ FTTH</v>
          </cell>
          <cell r="W4179" t="str">
            <v>Đang xử lý</v>
          </cell>
          <cell r="AJ4179" t="str">
            <v>Quảng Ninh</v>
          </cell>
          <cell r="BX4179" t="str">
            <v>AON</v>
          </cell>
        </row>
        <row r="4180">
          <cell r="A4180" t="str">
            <v>OP</v>
          </cell>
          <cell r="B4180" t="str">
            <v>Quá 24h</v>
          </cell>
          <cell r="D4180" t="str">
            <v>Khiếu nại về dịch vụ FTTH</v>
          </cell>
          <cell r="W4180" t="str">
            <v>Đã đóng</v>
          </cell>
          <cell r="AJ4180" t="str">
            <v>Quảng Ninh</v>
          </cell>
          <cell r="BX4180" t="str">
            <v>AON</v>
          </cell>
        </row>
        <row r="4181">
          <cell r="A4181" t="str">
            <v>OP</v>
          </cell>
          <cell r="B4181" t="str">
            <v>Quá 24h</v>
          </cell>
          <cell r="D4181" t="str">
            <v>Khiếu nại về dịch vụ FTTH</v>
          </cell>
          <cell r="W4181" t="str">
            <v>Đã đóng</v>
          </cell>
          <cell r="AJ4181" t="str">
            <v>Quảng Ninh</v>
          </cell>
          <cell r="BX4181" t="str">
            <v>AON</v>
          </cell>
        </row>
        <row r="4182">
          <cell r="A4182" t="str">
            <v>OP</v>
          </cell>
          <cell r="B4182" t="str">
            <v>Quá 24h</v>
          </cell>
          <cell r="D4182" t="str">
            <v>Khiếu nại về dịch vụ FTTH</v>
          </cell>
          <cell r="W4182" t="str">
            <v>Đã đóng</v>
          </cell>
          <cell r="AJ4182" t="str">
            <v>Bắc Ninh</v>
          </cell>
          <cell r="BX4182" t="str">
            <v>AON</v>
          </cell>
        </row>
        <row r="4183">
          <cell r="A4183" t="str">
            <v>OP</v>
          </cell>
          <cell r="B4183" t="str">
            <v>Quá 24h</v>
          </cell>
          <cell r="D4183" t="str">
            <v>Khiếu nại về dịch vụ FTTH</v>
          </cell>
          <cell r="W4183" t="str">
            <v>Đã đóng</v>
          </cell>
          <cell r="AJ4183" t="str">
            <v>Nghệ An</v>
          </cell>
          <cell r="BX4183" t="str">
            <v>AON</v>
          </cell>
        </row>
        <row r="4184">
          <cell r="A4184" t="str">
            <v>OP</v>
          </cell>
          <cell r="B4184" t="str">
            <v>Quá 24h</v>
          </cell>
          <cell r="D4184" t="str">
            <v>Khiếu nại về dịch vụ FTTH</v>
          </cell>
          <cell r="W4184" t="str">
            <v>Đã đóng</v>
          </cell>
          <cell r="AJ4184" t="str">
            <v>Thái Nguyên</v>
          </cell>
          <cell r="BX4184" t="str">
            <v>AON</v>
          </cell>
        </row>
        <row r="4185">
          <cell r="A4185" t="str">
            <v>OP</v>
          </cell>
          <cell r="B4185" t="str">
            <v>Quá 24h</v>
          </cell>
          <cell r="D4185" t="str">
            <v>Khiếu nại về dịch vụ FTTH</v>
          </cell>
          <cell r="W4185" t="str">
            <v>Đã đóng</v>
          </cell>
          <cell r="AJ4185" t="str">
            <v>Bắc Giang</v>
          </cell>
          <cell r="BX4185" t="str">
            <v>AON</v>
          </cell>
        </row>
        <row r="4186">
          <cell r="A4186" t="str">
            <v>OP</v>
          </cell>
          <cell r="B4186" t="str">
            <v>Quá 24h</v>
          </cell>
          <cell r="D4186" t="str">
            <v>Khiếu nại về dịch vụ FTTH</v>
          </cell>
          <cell r="W4186" t="str">
            <v>Đã đóng</v>
          </cell>
          <cell r="AJ4186" t="str">
            <v>Quảng Ninh</v>
          </cell>
          <cell r="BX4186" t="str">
            <v>AON</v>
          </cell>
        </row>
        <row r="4187">
          <cell r="A4187" t="str">
            <v>OP</v>
          </cell>
          <cell r="B4187" t="str">
            <v>Quá 24h</v>
          </cell>
          <cell r="D4187" t="str">
            <v>Khiếu nại về dịch vụ FTTH</v>
          </cell>
          <cell r="W4187" t="str">
            <v>Đã đóng</v>
          </cell>
          <cell r="AJ4187" t="str">
            <v>Bắc Ninh</v>
          </cell>
          <cell r="BX4187" t="str">
            <v>AON</v>
          </cell>
        </row>
        <row r="4188">
          <cell r="A4188" t="str">
            <v>OP</v>
          </cell>
          <cell r="B4188" t="str">
            <v>Quá 24h</v>
          </cell>
          <cell r="D4188" t="str">
            <v>Khiếu nại về dịch vụ FTTH</v>
          </cell>
          <cell r="W4188" t="str">
            <v>Đã đóng</v>
          </cell>
          <cell r="AJ4188" t="str">
            <v>Hà Nam</v>
          </cell>
          <cell r="BX4188" t="str">
            <v>AON</v>
          </cell>
        </row>
        <row r="4189">
          <cell r="A4189" t="str">
            <v>OP</v>
          </cell>
          <cell r="B4189" t="str">
            <v>Quá 24h</v>
          </cell>
          <cell r="D4189" t="str">
            <v>Khiếu nại về dịch vụ FTTH</v>
          </cell>
          <cell r="W4189" t="str">
            <v>Đã đóng</v>
          </cell>
          <cell r="AJ4189" t="str">
            <v>Bắc Ninh</v>
          </cell>
          <cell r="BX4189" t="str">
            <v>AON</v>
          </cell>
        </row>
        <row r="4190">
          <cell r="A4190" t="str">
            <v>OP</v>
          </cell>
          <cell r="B4190" t="str">
            <v>Quá 24h</v>
          </cell>
          <cell r="D4190" t="str">
            <v>Khiếu nại về dịch vụ FTTH</v>
          </cell>
          <cell r="W4190" t="str">
            <v>Đã đóng</v>
          </cell>
          <cell r="AJ4190" t="str">
            <v>Quảng Bình</v>
          </cell>
          <cell r="BX4190" t="str">
            <v>AON</v>
          </cell>
        </row>
        <row r="4191">
          <cell r="A4191" t="str">
            <v>OP</v>
          </cell>
          <cell r="B4191" t="str">
            <v>Quá 24h</v>
          </cell>
          <cell r="D4191" t="str">
            <v>Khiếu nại về dịch vụ FTTH</v>
          </cell>
          <cell r="W4191" t="str">
            <v>Đã đóng</v>
          </cell>
          <cell r="AJ4191" t="str">
            <v>Bắc Ninh</v>
          </cell>
          <cell r="BX4191" t="str">
            <v>AON</v>
          </cell>
        </row>
        <row r="4192">
          <cell r="A4192" t="str">
            <v>OP</v>
          </cell>
          <cell r="B4192" t="str">
            <v>Quá 24h</v>
          </cell>
          <cell r="D4192" t="str">
            <v>Khiếu nại về dịch vụ FTTH</v>
          </cell>
          <cell r="W4192" t="str">
            <v>Đã đóng</v>
          </cell>
          <cell r="AJ4192" t="str">
            <v>Thanh Hoá</v>
          </cell>
          <cell r="BX4192" t="str">
            <v>AON</v>
          </cell>
        </row>
        <row r="4193">
          <cell r="A4193" t="str">
            <v>OP</v>
          </cell>
          <cell r="B4193" t="str">
            <v>Quá 24h</v>
          </cell>
          <cell r="D4193" t="str">
            <v>Khiếu nại về dịch vụ FTTH</v>
          </cell>
          <cell r="W4193" t="str">
            <v>Đã đóng</v>
          </cell>
          <cell r="AJ4193" t="str">
            <v>Quảng Ninh</v>
          </cell>
          <cell r="BX4193" t="str">
            <v>AON</v>
          </cell>
        </row>
        <row r="4194">
          <cell r="A4194" t="str">
            <v>OP</v>
          </cell>
          <cell r="B4194" t="str">
            <v>Quá 24h</v>
          </cell>
          <cell r="D4194" t="str">
            <v>Khiếu nại về dịch vụ NextTV</v>
          </cell>
          <cell r="W4194" t="str">
            <v>Đã đóng</v>
          </cell>
          <cell r="AJ4194" t="str">
            <v>Sơn La</v>
          </cell>
          <cell r="BX4194" t="str">
            <v>AON</v>
          </cell>
        </row>
        <row r="4195">
          <cell r="A4195" t="str">
            <v>OP</v>
          </cell>
          <cell r="B4195" t="str">
            <v>Quá 24h</v>
          </cell>
          <cell r="D4195" t="str">
            <v>Khiếu nại về dịch vụ FTTH</v>
          </cell>
          <cell r="W4195" t="str">
            <v>Đang xử lý</v>
          </cell>
          <cell r="AJ4195" t="str">
            <v>Nam Định</v>
          </cell>
          <cell r="BX4195" t="str">
            <v>AON</v>
          </cell>
        </row>
        <row r="4196">
          <cell r="A4196" t="str">
            <v>OP</v>
          </cell>
          <cell r="B4196" t="str">
            <v>Quá 24h</v>
          </cell>
          <cell r="D4196" t="str">
            <v>Khiếu nại về dịch vụ FTTH</v>
          </cell>
          <cell r="W4196" t="str">
            <v>Đã đóng</v>
          </cell>
          <cell r="AJ4196" t="str">
            <v>Nghệ An</v>
          </cell>
          <cell r="BX4196" t="str">
            <v>AON</v>
          </cell>
        </row>
        <row r="4197">
          <cell r="A4197" t="str">
            <v>OP</v>
          </cell>
          <cell r="B4197" t="str">
            <v>Quá 24h</v>
          </cell>
          <cell r="D4197" t="str">
            <v>Khiếu nại về dịch vụ FTTH</v>
          </cell>
          <cell r="W4197" t="str">
            <v>Đã đóng</v>
          </cell>
          <cell r="AJ4197" t="str">
            <v>Thái Nguyên</v>
          </cell>
          <cell r="BX4197" t="str">
            <v>AON</v>
          </cell>
        </row>
        <row r="4198">
          <cell r="A4198" t="str">
            <v>OP</v>
          </cell>
          <cell r="B4198" t="str">
            <v>Quá 24h</v>
          </cell>
          <cell r="D4198" t="str">
            <v>Khiếu nại về dịch vụ FTTH</v>
          </cell>
          <cell r="W4198" t="str">
            <v>Đang xử lý</v>
          </cell>
          <cell r="AJ4198" t="str">
            <v>Quảng Ninh</v>
          </cell>
          <cell r="BX4198" t="str">
            <v>AON</v>
          </cell>
        </row>
        <row r="4199">
          <cell r="A4199" t="str">
            <v>OP</v>
          </cell>
          <cell r="B4199" t="str">
            <v>Quá 24h</v>
          </cell>
          <cell r="D4199" t="str">
            <v>Khiếu nại về dịch vụ NextTV</v>
          </cell>
          <cell r="W4199" t="str">
            <v>Đã đóng</v>
          </cell>
          <cell r="AJ4199" t="str">
            <v>Thái Nguyên</v>
          </cell>
          <cell r="BX4199" t="str">
            <v>AON</v>
          </cell>
        </row>
        <row r="4200">
          <cell r="A4200" t="str">
            <v>OP</v>
          </cell>
          <cell r="B4200" t="str">
            <v>Quá 24h</v>
          </cell>
          <cell r="D4200" t="str">
            <v>Khiếu nại về dịch vụ NextTV</v>
          </cell>
          <cell r="W4200" t="str">
            <v>Đã đóng</v>
          </cell>
          <cell r="AJ4200" t="str">
            <v>Bắc Ninh</v>
          </cell>
          <cell r="BX4200" t="str">
            <v>AON</v>
          </cell>
        </row>
        <row r="4201">
          <cell r="A4201" t="str">
            <v>OP</v>
          </cell>
          <cell r="B4201" t="str">
            <v>Quá 24h</v>
          </cell>
          <cell r="D4201" t="str">
            <v>Khiếu nại về dịch vụ FTTH</v>
          </cell>
          <cell r="W4201" t="str">
            <v>Đã đóng</v>
          </cell>
          <cell r="AJ4201" t="str">
            <v>Quảng Ninh</v>
          </cell>
          <cell r="BX4201" t="str">
            <v>AON</v>
          </cell>
        </row>
        <row r="4202">
          <cell r="A4202" t="str">
            <v>OP</v>
          </cell>
          <cell r="B4202" t="str">
            <v>Quá 24h</v>
          </cell>
          <cell r="D4202" t="str">
            <v>Khiếu nại về dịch vụ FTTH</v>
          </cell>
          <cell r="W4202" t="str">
            <v>Đã đóng</v>
          </cell>
          <cell r="AJ4202" t="str">
            <v>Nghệ An</v>
          </cell>
          <cell r="BX4202" t="str">
            <v>AON</v>
          </cell>
        </row>
        <row r="4203">
          <cell r="A4203" t="str">
            <v>OP</v>
          </cell>
          <cell r="B4203" t="str">
            <v>Quá 24h</v>
          </cell>
          <cell r="D4203" t="str">
            <v>Khiếu nại về dịch vụ FTTH</v>
          </cell>
          <cell r="W4203" t="str">
            <v>Đã đóng</v>
          </cell>
          <cell r="AJ4203" t="str">
            <v xml:space="preserve">Hà Tĩnh </v>
          </cell>
          <cell r="BX4203" t="str">
            <v>AON</v>
          </cell>
        </row>
        <row r="4204">
          <cell r="A4204" t="str">
            <v>OP</v>
          </cell>
          <cell r="B4204" t="str">
            <v>Quá 24h</v>
          </cell>
          <cell r="D4204" t="str">
            <v>Khiếu nại về dịch vụ FTTH</v>
          </cell>
          <cell r="W4204" t="str">
            <v>Đã đóng</v>
          </cell>
          <cell r="AJ4204" t="str">
            <v>Hà Nội 2</v>
          </cell>
          <cell r="BX4204" t="str">
            <v>AON</v>
          </cell>
        </row>
        <row r="4205">
          <cell r="A4205" t="str">
            <v>OP</v>
          </cell>
          <cell r="B4205" t="str">
            <v>Quá 24h</v>
          </cell>
          <cell r="D4205" t="str">
            <v>Khiếu nại về dịch vụ FTTH</v>
          </cell>
          <cell r="W4205" t="str">
            <v>Đang xử lý</v>
          </cell>
          <cell r="AJ4205" t="str">
            <v>Hà Nam</v>
          </cell>
          <cell r="BX4205" t="str">
            <v>AON</v>
          </cell>
        </row>
        <row r="4206">
          <cell r="A4206" t="str">
            <v>OP</v>
          </cell>
          <cell r="B4206" t="str">
            <v>Quá 24h</v>
          </cell>
          <cell r="D4206" t="str">
            <v>Khiếu nại về dịch vụ FTTH</v>
          </cell>
          <cell r="W4206" t="str">
            <v>Đang xử lý</v>
          </cell>
          <cell r="AJ4206" t="str">
            <v>Quảng Ninh</v>
          </cell>
          <cell r="BX4206" t="str">
            <v>AON</v>
          </cell>
        </row>
        <row r="4207">
          <cell r="A4207" t="str">
            <v>OP</v>
          </cell>
          <cell r="B4207" t="str">
            <v>Quá 24h</v>
          </cell>
          <cell r="D4207" t="str">
            <v>Khiếu nại về dịch vụ NextTV</v>
          </cell>
          <cell r="W4207" t="str">
            <v>Đã đóng</v>
          </cell>
          <cell r="AJ4207" t="str">
            <v>Sơn La</v>
          </cell>
          <cell r="BX4207" t="str">
            <v>AON</v>
          </cell>
        </row>
        <row r="4208">
          <cell r="A4208" t="str">
            <v>OP</v>
          </cell>
          <cell r="B4208" t="str">
            <v>Quá 24h</v>
          </cell>
          <cell r="D4208" t="str">
            <v>Khiếu nại về dịch vụ FTTH</v>
          </cell>
          <cell r="W4208" t="str">
            <v>Đang xử lý</v>
          </cell>
          <cell r="AJ4208" t="str">
            <v>Bắc Ninh</v>
          </cell>
          <cell r="BX4208" t="str">
            <v>AON</v>
          </cell>
        </row>
        <row r="4209">
          <cell r="A4209" t="str">
            <v>OP</v>
          </cell>
          <cell r="B4209" t="str">
            <v>Quá 24h</v>
          </cell>
          <cell r="D4209" t="str">
            <v>Khiếu nại về dịch vụ FTTH</v>
          </cell>
          <cell r="W4209" t="str">
            <v>Đã đóng</v>
          </cell>
          <cell r="AJ4209" t="str">
            <v>Thanh Hoá</v>
          </cell>
          <cell r="BX4209" t="str">
            <v>AON</v>
          </cell>
        </row>
        <row r="4210">
          <cell r="A4210" t="str">
            <v>OP</v>
          </cell>
          <cell r="B4210" t="str">
            <v>Quá 24h</v>
          </cell>
          <cell r="D4210" t="str">
            <v>Khiếu nại về dịch vụ FTTH</v>
          </cell>
          <cell r="W4210" t="str">
            <v>Đã đóng</v>
          </cell>
          <cell r="AJ4210" t="str">
            <v>Bắc Giang</v>
          </cell>
          <cell r="BX4210" t="str">
            <v>AON</v>
          </cell>
        </row>
        <row r="4211">
          <cell r="A4211" t="str">
            <v>OP</v>
          </cell>
          <cell r="B4211" t="str">
            <v>Quá 24h</v>
          </cell>
          <cell r="D4211" t="str">
            <v>Khiếu nại về dịch vụ FTTH</v>
          </cell>
          <cell r="W4211" t="str">
            <v>Đã đóng</v>
          </cell>
          <cell r="AJ4211" t="str">
            <v>Lai Châu</v>
          </cell>
          <cell r="BX4211" t="str">
            <v>AON</v>
          </cell>
        </row>
        <row r="4212">
          <cell r="A4212" t="str">
            <v>OP</v>
          </cell>
          <cell r="B4212" t="str">
            <v>Quá 24h</v>
          </cell>
          <cell r="D4212" t="str">
            <v>Khiếu nại về dịch vụ FTTH</v>
          </cell>
          <cell r="W4212" t="str">
            <v>Đã đóng</v>
          </cell>
          <cell r="AJ4212" t="str">
            <v>Quảng Ninh</v>
          </cell>
          <cell r="BX4212" t="str">
            <v>AON</v>
          </cell>
        </row>
        <row r="4213">
          <cell r="A4213" t="str">
            <v>OP</v>
          </cell>
          <cell r="B4213" t="str">
            <v>Quá 24h</v>
          </cell>
          <cell r="D4213" t="str">
            <v>Khiếu nại về dịch vụ FTTH</v>
          </cell>
          <cell r="W4213" t="str">
            <v>Đã đóng</v>
          </cell>
          <cell r="AJ4213" t="str">
            <v>Thái Nguyên</v>
          </cell>
          <cell r="BX4213" t="str">
            <v>AON</v>
          </cell>
        </row>
        <row r="4214">
          <cell r="A4214" t="str">
            <v>OP</v>
          </cell>
          <cell r="B4214" t="str">
            <v>Quá 24h</v>
          </cell>
          <cell r="D4214" t="str">
            <v>Khiếu nại về dịch vụ NextTV</v>
          </cell>
          <cell r="W4214" t="str">
            <v>Đã đóng</v>
          </cell>
          <cell r="AJ4214" t="str">
            <v>Bắc Giang</v>
          </cell>
          <cell r="BX4214" t="str">
            <v>AON</v>
          </cell>
        </row>
        <row r="4215">
          <cell r="A4215" t="str">
            <v>OP</v>
          </cell>
          <cell r="B4215" t="str">
            <v>Quá 24h</v>
          </cell>
          <cell r="D4215" t="str">
            <v>Khiếu nại về dịch vụ FTTH</v>
          </cell>
          <cell r="W4215" t="str">
            <v>Đã đóng</v>
          </cell>
          <cell r="AJ4215" t="str">
            <v>Quảng Ninh</v>
          </cell>
          <cell r="BX4215" t="str">
            <v>AON</v>
          </cell>
        </row>
        <row r="4216">
          <cell r="A4216" t="str">
            <v>OP</v>
          </cell>
          <cell r="B4216" t="str">
            <v>Quá 24h</v>
          </cell>
          <cell r="D4216" t="str">
            <v>Khiếu nại về dịch vụ FTTH</v>
          </cell>
          <cell r="W4216" t="str">
            <v>Đã đóng</v>
          </cell>
          <cell r="AJ4216" t="str">
            <v>Nghệ An</v>
          </cell>
          <cell r="BX4216" t="str">
            <v>AON</v>
          </cell>
        </row>
        <row r="4217">
          <cell r="A4217" t="str">
            <v>OP</v>
          </cell>
          <cell r="B4217" t="str">
            <v>Quá 24h</v>
          </cell>
          <cell r="D4217" t="str">
            <v>Khiếu nại về dịch vụ FTTH</v>
          </cell>
          <cell r="W4217" t="str">
            <v>Đã đóng</v>
          </cell>
          <cell r="AJ4217" t="str">
            <v>Tuyên Quang</v>
          </cell>
          <cell r="BX4217" t="str">
            <v>AON</v>
          </cell>
        </row>
        <row r="4218">
          <cell r="A4218" t="str">
            <v>OP</v>
          </cell>
          <cell r="B4218" t="str">
            <v>Quá 24h</v>
          </cell>
          <cell r="D4218" t="str">
            <v>Khiếu nại về dịch vụ FTTH</v>
          </cell>
          <cell r="W4218" t="str">
            <v>Đã đóng</v>
          </cell>
          <cell r="AJ4218" t="str">
            <v>Quảng Ninh</v>
          </cell>
          <cell r="BX4218" t="str">
            <v>AON</v>
          </cell>
        </row>
        <row r="4219">
          <cell r="A4219" t="str">
            <v>OP</v>
          </cell>
          <cell r="B4219" t="str">
            <v>Quá 24h</v>
          </cell>
          <cell r="D4219" t="str">
            <v>Khiếu nại về dịch vụ NextTV</v>
          </cell>
          <cell r="W4219" t="str">
            <v>Đang xử lý</v>
          </cell>
          <cell r="AJ4219" t="str">
            <v>Hoà Bình</v>
          </cell>
          <cell r="BX4219" t="str">
            <v>AON</v>
          </cell>
        </row>
        <row r="4220">
          <cell r="A4220" t="str">
            <v>OP</v>
          </cell>
          <cell r="B4220" t="str">
            <v>Quá 24h</v>
          </cell>
          <cell r="D4220" t="str">
            <v>Khiếu nại về dịch vụ NextTV</v>
          </cell>
          <cell r="W4220" t="str">
            <v>Đã đóng</v>
          </cell>
          <cell r="AJ4220" t="str">
            <v>Lai Châu</v>
          </cell>
          <cell r="BX4220" t="str">
            <v>AON</v>
          </cell>
        </row>
        <row r="4221">
          <cell r="A4221" t="str">
            <v>OP</v>
          </cell>
          <cell r="B4221" t="str">
            <v>Quá 24h</v>
          </cell>
          <cell r="D4221" t="str">
            <v>Khiếu nại về dịch vụ NextTV</v>
          </cell>
          <cell r="W4221" t="str">
            <v>Đã đóng</v>
          </cell>
          <cell r="AJ4221" t="str">
            <v>Hà Nội 1</v>
          </cell>
          <cell r="BX4221" t="str">
            <v>AON</v>
          </cell>
        </row>
        <row r="4222">
          <cell r="A4222" t="str">
            <v>OP</v>
          </cell>
          <cell r="B4222" t="str">
            <v>Quá 24h</v>
          </cell>
          <cell r="D4222" t="str">
            <v>Khiếu nại về dịch vụ NextTV</v>
          </cell>
          <cell r="W4222" t="str">
            <v>Đã đóng</v>
          </cell>
          <cell r="AJ4222" t="str">
            <v>Bắc Ninh</v>
          </cell>
          <cell r="BX4222" t="str">
            <v>AON</v>
          </cell>
        </row>
        <row r="4223">
          <cell r="A4223" t="str">
            <v>OP</v>
          </cell>
          <cell r="B4223" t="str">
            <v>Quá 24h</v>
          </cell>
          <cell r="D4223" t="str">
            <v>Khiếu nại về dịch vụ NextTV</v>
          </cell>
          <cell r="W4223" t="str">
            <v>Đang xử lý</v>
          </cell>
          <cell r="AJ4223" t="str">
            <v>Nghệ An</v>
          </cell>
          <cell r="BX4223" t="str">
            <v>AON</v>
          </cell>
        </row>
        <row r="4224">
          <cell r="A4224" t="str">
            <v>OP</v>
          </cell>
          <cell r="B4224" t="str">
            <v>Quá 24h</v>
          </cell>
          <cell r="D4224" t="str">
            <v>Khiếu nại về dịch vụ NextTV</v>
          </cell>
          <cell r="W4224" t="str">
            <v>Đã đóng</v>
          </cell>
          <cell r="AJ4224" t="str">
            <v>Hà Nội 2</v>
          </cell>
          <cell r="BX4224" t="str">
            <v>AON</v>
          </cell>
        </row>
        <row r="4225">
          <cell r="A4225" t="str">
            <v>OP</v>
          </cell>
          <cell r="B4225" t="str">
            <v>Quá 24h</v>
          </cell>
          <cell r="D4225" t="str">
            <v>Khiếu nại về dịch vụ NextTV</v>
          </cell>
          <cell r="W4225" t="str">
            <v>Đã đóng</v>
          </cell>
          <cell r="AJ4225" t="str">
            <v>Thái Nguyên</v>
          </cell>
          <cell r="BX4225" t="str">
            <v>AON</v>
          </cell>
        </row>
        <row r="4226">
          <cell r="A4226" t="str">
            <v>OP</v>
          </cell>
          <cell r="B4226" t="str">
            <v>Quá 24h</v>
          </cell>
          <cell r="D4226" t="str">
            <v>Khiếu nại về dịch vụ NextTV</v>
          </cell>
          <cell r="W4226" t="str">
            <v>Đã đóng</v>
          </cell>
          <cell r="AJ4226" t="str">
            <v>Hà Giang</v>
          </cell>
          <cell r="BX4226" t="str">
            <v>AON</v>
          </cell>
        </row>
        <row r="4227">
          <cell r="A4227" t="str">
            <v>OP</v>
          </cell>
          <cell r="B4227" t="str">
            <v>Quá 24h</v>
          </cell>
          <cell r="D4227" t="str">
            <v>Khiếu nại về dịch vụ NextTV</v>
          </cell>
          <cell r="W4227" t="str">
            <v>Đã đóng</v>
          </cell>
          <cell r="AJ4227" t="str">
            <v>Hà Nội 2</v>
          </cell>
          <cell r="BX4227" t="str">
            <v>AON</v>
          </cell>
        </row>
        <row r="4228">
          <cell r="A4228" t="str">
            <v>OP</v>
          </cell>
          <cell r="B4228" t="str">
            <v>Quá 24h</v>
          </cell>
          <cell r="D4228" t="str">
            <v>Khiếu nại về dịch vụ NextTV</v>
          </cell>
          <cell r="W4228" t="str">
            <v>Đã đóng</v>
          </cell>
          <cell r="AJ4228" t="str">
            <v>Hà Nam</v>
          </cell>
          <cell r="BX4228" t="str">
            <v>AON</v>
          </cell>
        </row>
        <row r="4229">
          <cell r="A4229" t="str">
            <v>OP</v>
          </cell>
          <cell r="B4229" t="str">
            <v>Quá 24h</v>
          </cell>
          <cell r="D4229" t="str">
            <v>Khiếu nại về dịch vụ NextTV</v>
          </cell>
          <cell r="W4229" t="str">
            <v>Đang xử lý</v>
          </cell>
          <cell r="AJ4229" t="str">
            <v>Nghệ An</v>
          </cell>
          <cell r="BX4229" t="str">
            <v>AON</v>
          </cell>
        </row>
        <row r="4230">
          <cell r="A4230" t="str">
            <v>OP</v>
          </cell>
          <cell r="B4230" t="str">
            <v>Quá 24h</v>
          </cell>
          <cell r="D4230" t="str">
            <v>Khiếu nại về dịch vụ NextTV</v>
          </cell>
          <cell r="W4230" t="str">
            <v>Đã đóng</v>
          </cell>
          <cell r="AJ4230" t="str">
            <v>Hà Nội 1</v>
          </cell>
          <cell r="BX4230" t="str">
            <v>AON</v>
          </cell>
        </row>
        <row r="4231">
          <cell r="A4231" t="str">
            <v>OP</v>
          </cell>
          <cell r="B4231" t="str">
            <v>Quá 24h</v>
          </cell>
          <cell r="D4231" t="str">
            <v>Khiếu nại về dịch vụ NextTV</v>
          </cell>
          <cell r="W4231" t="str">
            <v>Đã đóng</v>
          </cell>
          <cell r="AJ4231" t="str">
            <v>Thái Nguyên</v>
          </cell>
          <cell r="BX4231" t="str">
            <v>AON</v>
          </cell>
        </row>
        <row r="4232">
          <cell r="A4232" t="str">
            <v>OP</v>
          </cell>
          <cell r="B4232" t="str">
            <v>Quá 24h</v>
          </cell>
          <cell r="D4232" t="str">
            <v>Khiếu nại về dịch vụ NextTV</v>
          </cell>
          <cell r="W4232" t="str">
            <v>Đã đóng</v>
          </cell>
          <cell r="AJ4232" t="str">
            <v>Thái Nguyên</v>
          </cell>
          <cell r="BX4232" t="str">
            <v>AON</v>
          </cell>
        </row>
      </sheetData>
      <sheetData sheetId="3"/>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 bieu do"/>
      <sheetName val="NIMS"/>
      <sheetName val="Chi tiet theo tinh"/>
      <sheetName val="CT XL 36h -0-24 ngay n-2"/>
      <sheetName val="Sheet3"/>
      <sheetName val="So lieu de coppy"/>
      <sheetName val="Sheet1"/>
      <sheetName val="NN"/>
      <sheetName val="Chi tiet chuan"/>
    </sheetNames>
    <sheetDataSet>
      <sheetData sheetId="0" refreshError="1"/>
      <sheetData sheetId="1" refreshError="1"/>
      <sheetData sheetId="2" refreshError="1"/>
      <sheetData sheetId="3" refreshError="1"/>
      <sheetData sheetId="4" refreshError="1">
        <row r="1">
          <cell r="A1" t="str">
            <v>FTTH_Sự cố</v>
          </cell>
          <cell r="B1" t="str">
            <v>FTTH</v>
          </cell>
        </row>
        <row r="2">
          <cell r="A2" t="str">
            <v>FTTH_Sự cố hàng loạt</v>
          </cell>
          <cell r="B2" t="str">
            <v>FTTH</v>
          </cell>
        </row>
        <row r="3">
          <cell r="A3" t="str">
            <v>NextTV_Sự cố</v>
          </cell>
          <cell r="B3" t="str">
            <v>NextTV</v>
          </cell>
        </row>
        <row r="4">
          <cell r="A4" t="str">
            <v>NextTV_Sự cố hàng loạt</v>
          </cell>
          <cell r="B4" t="str">
            <v>NextTV</v>
          </cell>
        </row>
        <row r="6">
          <cell r="A6" t="str">
            <v>Đang xử lý</v>
          </cell>
          <cell r="B6" t="str">
            <v>Đang xử lý</v>
          </cell>
        </row>
        <row r="7">
          <cell r="A7" t="str">
            <v>Đã đóng</v>
          </cell>
          <cell r="B7" t="str">
            <v>Đã đóng</v>
          </cell>
        </row>
        <row r="8">
          <cell r="A8" t="str">
            <v>Chưa xử lý</v>
          </cell>
          <cell r="B8" t="str">
            <v>Đang xử lý</v>
          </cell>
        </row>
        <row r="9">
          <cell r="A9" t="str">
            <v>Đã xử lý xong</v>
          </cell>
          <cell r="B9" t="str">
            <v>Đã đóng</v>
          </cell>
        </row>
      </sheetData>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 TĐ"/>
      <sheetName val="input DL24Q "/>
      <sheetName val="TH Quận"/>
      <sheetName val="TH P.án"/>
      <sheetName val="Đối tác"/>
      <sheetName val="Danh mục"/>
      <sheetName val="KL Ton TL"/>
      <sheetName val="TH thau"/>
      <sheetName val="TH Báo cáo"/>
      <sheetName val="Tồn Đọng TTVT  Xử Lý Gấp"/>
      <sheetName val="CV thuc hien trong ngay"/>
      <sheetName val="TH trạm cấp TB thiếu VT"/>
      <sheetName val="TH 6 quan"/>
      <sheetName val="CT132"/>
      <sheetName val="Sheet1"/>
      <sheetName val="Sheet2"/>
      <sheetName val="BC Quy 3"/>
      <sheetName val="Sheet3"/>
      <sheetName val="500 thau"/>
      <sheetName val="CT247 P.án"/>
      <sheetName val="SDT DVTC"/>
      <sheetName val="Thau"/>
      <sheetName val="THN"/>
      <sheetName val="CT247 Quan"/>
      <sheetName val="BC_TĐ"/>
      <sheetName val="input_DL24Q_"/>
      <sheetName val="TH_Quận"/>
      <sheetName val="TH_P_án"/>
      <sheetName val="Đối_tác"/>
      <sheetName val="Danh_mục"/>
      <sheetName val="KL_Ton_TL"/>
      <sheetName val="TH_thau"/>
      <sheetName val="TH_Báo_cáo"/>
      <sheetName val="Tồn_Đọng_TTVT__Xử_Lý_Gấp"/>
      <sheetName val="CV_thuc_hien_trong_ngay"/>
      <sheetName val="TH_trạm_cấp_TB_thiếu_VT"/>
      <sheetName val="TH_6_quan"/>
      <sheetName val="BC_Quy_3"/>
      <sheetName val="500_thau"/>
      <sheetName val="CT247_P_án"/>
      <sheetName val="SDT_DVTC"/>
      <sheetName val="CT247_Quan"/>
      <sheetName val="DMuc"/>
      <sheetName val="Tong hop"/>
      <sheetName val="Su co ML"/>
      <sheetName val="ThamChieu"/>
      <sheetName val="Chấm điểm"/>
      <sheetName val="NT-BGTS Truyen dan"/>
    </sheetNames>
    <sheetDataSet>
      <sheetData sheetId="0">
        <row r="5">
          <cell r="A5" t="str">
            <v>CS</v>
          </cell>
        </row>
      </sheetData>
      <sheetData sheetId="1">
        <row r="5">
          <cell r="A5" t="str">
            <v>CS</v>
          </cell>
        </row>
      </sheetData>
      <sheetData sheetId="2"/>
      <sheetData sheetId="3"/>
      <sheetData sheetId="4"/>
      <sheetData sheetId="5">
        <row r="5">
          <cell r="A5" t="str">
            <v>CS</v>
          </cell>
        </row>
        <row r="6">
          <cell r="A6" t="str">
            <v>GNGP</v>
          </cell>
        </row>
        <row r="7">
          <cell r="A7">
            <v>40179</v>
          </cell>
        </row>
        <row r="8">
          <cell r="A8">
            <v>40180</v>
          </cell>
        </row>
        <row r="9">
          <cell r="A9">
            <v>40181</v>
          </cell>
        </row>
        <row r="10">
          <cell r="A10">
            <v>40182</v>
          </cell>
        </row>
        <row r="11">
          <cell r="A11">
            <v>40183</v>
          </cell>
        </row>
        <row r="12">
          <cell r="A12">
            <v>40184</v>
          </cell>
        </row>
        <row r="13">
          <cell r="A13">
            <v>40185</v>
          </cell>
        </row>
        <row r="14">
          <cell r="A14">
            <v>40186</v>
          </cell>
        </row>
        <row r="15">
          <cell r="A15">
            <v>40187</v>
          </cell>
        </row>
        <row r="16">
          <cell r="A16">
            <v>40188</v>
          </cell>
        </row>
        <row r="17">
          <cell r="A17">
            <v>40189</v>
          </cell>
        </row>
        <row r="18">
          <cell r="A18">
            <v>40190</v>
          </cell>
        </row>
        <row r="19">
          <cell r="A19">
            <v>40191</v>
          </cell>
        </row>
        <row r="20">
          <cell r="A20">
            <v>40192</v>
          </cell>
        </row>
        <row r="21">
          <cell r="A21">
            <v>40193</v>
          </cell>
        </row>
        <row r="22">
          <cell r="A22">
            <v>40194</v>
          </cell>
        </row>
        <row r="23">
          <cell r="A23">
            <v>40195</v>
          </cell>
        </row>
        <row r="24">
          <cell r="A24">
            <v>40196</v>
          </cell>
        </row>
        <row r="25">
          <cell r="A25">
            <v>40197</v>
          </cell>
        </row>
        <row r="26">
          <cell r="A26">
            <v>40198</v>
          </cell>
        </row>
        <row r="27">
          <cell r="A27">
            <v>40199</v>
          </cell>
        </row>
        <row r="28">
          <cell r="A28">
            <v>40200</v>
          </cell>
        </row>
        <row r="29">
          <cell r="A29">
            <v>40201</v>
          </cell>
        </row>
        <row r="30">
          <cell r="A30">
            <v>40202</v>
          </cell>
        </row>
        <row r="31">
          <cell r="A31">
            <v>40203</v>
          </cell>
        </row>
        <row r="32">
          <cell r="A32">
            <v>40204</v>
          </cell>
        </row>
        <row r="33">
          <cell r="A33">
            <v>40205</v>
          </cell>
        </row>
        <row r="34">
          <cell r="A34">
            <v>40206</v>
          </cell>
        </row>
        <row r="35">
          <cell r="A35">
            <v>40207</v>
          </cell>
        </row>
        <row r="36">
          <cell r="A36">
            <v>40208</v>
          </cell>
        </row>
        <row r="37">
          <cell r="A37">
            <v>40209</v>
          </cell>
        </row>
        <row r="38">
          <cell r="A38">
            <v>40210</v>
          </cell>
        </row>
        <row r="39">
          <cell r="A39">
            <v>40211</v>
          </cell>
        </row>
        <row r="40">
          <cell r="A40">
            <v>40212</v>
          </cell>
        </row>
        <row r="41">
          <cell r="A41">
            <v>40213</v>
          </cell>
        </row>
        <row r="42">
          <cell r="A42">
            <v>40214</v>
          </cell>
        </row>
        <row r="43">
          <cell r="A43">
            <v>40215</v>
          </cell>
        </row>
        <row r="44">
          <cell r="A44">
            <v>40216</v>
          </cell>
        </row>
        <row r="45">
          <cell r="A45">
            <v>40217</v>
          </cell>
        </row>
        <row r="46">
          <cell r="A46">
            <v>40218</v>
          </cell>
        </row>
        <row r="47">
          <cell r="A47">
            <v>40219</v>
          </cell>
        </row>
        <row r="48">
          <cell r="A48">
            <v>40220</v>
          </cell>
        </row>
        <row r="49">
          <cell r="A49">
            <v>40221</v>
          </cell>
        </row>
        <row r="50">
          <cell r="A50">
            <v>40222</v>
          </cell>
        </row>
        <row r="51">
          <cell r="A51">
            <v>40223</v>
          </cell>
        </row>
        <row r="52">
          <cell r="A52">
            <v>40224</v>
          </cell>
        </row>
        <row r="53">
          <cell r="A53">
            <v>40225</v>
          </cell>
        </row>
        <row r="54">
          <cell r="A54">
            <v>40226</v>
          </cell>
        </row>
        <row r="55">
          <cell r="A55">
            <v>40227</v>
          </cell>
        </row>
        <row r="56">
          <cell r="A56">
            <v>40228</v>
          </cell>
        </row>
        <row r="57">
          <cell r="A57">
            <v>40229</v>
          </cell>
        </row>
        <row r="58">
          <cell r="A58">
            <v>40230</v>
          </cell>
        </row>
        <row r="59">
          <cell r="A59">
            <v>40231</v>
          </cell>
        </row>
        <row r="60">
          <cell r="A60">
            <v>40232</v>
          </cell>
        </row>
        <row r="61">
          <cell r="A61">
            <v>40233</v>
          </cell>
        </row>
        <row r="62">
          <cell r="A62">
            <v>40234</v>
          </cell>
        </row>
        <row r="63">
          <cell r="A63">
            <v>40235</v>
          </cell>
        </row>
        <row r="64">
          <cell r="A64">
            <v>40236</v>
          </cell>
        </row>
        <row r="65">
          <cell r="A65">
            <v>40237</v>
          </cell>
        </row>
        <row r="66">
          <cell r="A66">
            <v>40238</v>
          </cell>
        </row>
        <row r="67">
          <cell r="A67">
            <v>40239</v>
          </cell>
        </row>
        <row r="68">
          <cell r="A68">
            <v>40240</v>
          </cell>
        </row>
        <row r="69">
          <cell r="A69">
            <v>40241</v>
          </cell>
        </row>
        <row r="70">
          <cell r="A70">
            <v>40242</v>
          </cell>
        </row>
        <row r="71">
          <cell r="A71">
            <v>40243</v>
          </cell>
        </row>
        <row r="72">
          <cell r="A72">
            <v>40244</v>
          </cell>
        </row>
        <row r="73">
          <cell r="A73">
            <v>40245</v>
          </cell>
        </row>
        <row r="74">
          <cell r="A74">
            <v>40246</v>
          </cell>
        </row>
        <row r="75">
          <cell r="A75">
            <v>40247</v>
          </cell>
        </row>
        <row r="76">
          <cell r="A76">
            <v>40248</v>
          </cell>
        </row>
        <row r="77">
          <cell r="A77">
            <v>40249</v>
          </cell>
        </row>
        <row r="78">
          <cell r="A78">
            <v>40250</v>
          </cell>
        </row>
        <row r="79">
          <cell r="A79">
            <v>40251</v>
          </cell>
        </row>
        <row r="80">
          <cell r="A80">
            <v>40252</v>
          </cell>
        </row>
        <row r="81">
          <cell r="A81">
            <v>40253</v>
          </cell>
        </row>
        <row r="82">
          <cell r="A82">
            <v>40254</v>
          </cell>
        </row>
        <row r="83">
          <cell r="A83">
            <v>40255</v>
          </cell>
        </row>
        <row r="84">
          <cell r="A84">
            <v>40256</v>
          </cell>
        </row>
        <row r="85">
          <cell r="A85">
            <v>40257</v>
          </cell>
        </row>
        <row r="86">
          <cell r="A86">
            <v>40258</v>
          </cell>
        </row>
        <row r="87">
          <cell r="A87">
            <v>40259</v>
          </cell>
        </row>
        <row r="88">
          <cell r="A88">
            <v>40260</v>
          </cell>
        </row>
        <row r="89">
          <cell r="A89">
            <v>40261</v>
          </cell>
        </row>
        <row r="90">
          <cell r="A90">
            <v>40262</v>
          </cell>
        </row>
        <row r="91">
          <cell r="A91">
            <v>40263</v>
          </cell>
        </row>
        <row r="92">
          <cell r="A92">
            <v>40264</v>
          </cell>
        </row>
        <row r="93">
          <cell r="A93">
            <v>40265</v>
          </cell>
        </row>
        <row r="94">
          <cell r="A94">
            <v>40266</v>
          </cell>
        </row>
        <row r="95">
          <cell r="A95">
            <v>40267</v>
          </cell>
        </row>
        <row r="96">
          <cell r="A96">
            <v>40268</v>
          </cell>
        </row>
        <row r="97">
          <cell r="A97">
            <v>40269</v>
          </cell>
        </row>
        <row r="98">
          <cell r="A98">
            <v>40270</v>
          </cell>
        </row>
        <row r="99">
          <cell r="A99">
            <v>40271</v>
          </cell>
        </row>
        <row r="100">
          <cell r="A100">
            <v>40272</v>
          </cell>
        </row>
        <row r="101">
          <cell r="A101">
            <v>40273</v>
          </cell>
        </row>
        <row r="102">
          <cell r="A102">
            <v>40274</v>
          </cell>
        </row>
        <row r="103">
          <cell r="A103">
            <v>40275</v>
          </cell>
        </row>
        <row r="104">
          <cell r="A104">
            <v>40276</v>
          </cell>
        </row>
        <row r="105">
          <cell r="A105">
            <v>40277</v>
          </cell>
        </row>
        <row r="106">
          <cell r="A106">
            <v>40278</v>
          </cell>
        </row>
        <row r="107">
          <cell r="A107">
            <v>40279</v>
          </cell>
        </row>
        <row r="108">
          <cell r="A108">
            <v>40280</v>
          </cell>
        </row>
        <row r="109">
          <cell r="A109">
            <v>40281</v>
          </cell>
        </row>
        <row r="110">
          <cell r="A110">
            <v>40282</v>
          </cell>
        </row>
        <row r="111">
          <cell r="A111">
            <v>40283</v>
          </cell>
        </row>
        <row r="112">
          <cell r="A112">
            <v>40284</v>
          </cell>
        </row>
        <row r="113">
          <cell r="A113">
            <v>40285</v>
          </cell>
        </row>
        <row r="114">
          <cell r="A114">
            <v>40286</v>
          </cell>
        </row>
        <row r="115">
          <cell r="A115">
            <v>40287</v>
          </cell>
        </row>
        <row r="116">
          <cell r="A116">
            <v>40288</v>
          </cell>
        </row>
        <row r="117">
          <cell r="A117">
            <v>40289</v>
          </cell>
        </row>
        <row r="118">
          <cell r="A118">
            <v>40290</v>
          </cell>
        </row>
        <row r="119">
          <cell r="A119">
            <v>40291</v>
          </cell>
        </row>
        <row r="120">
          <cell r="A120">
            <v>40292</v>
          </cell>
        </row>
        <row r="121">
          <cell r="A121">
            <v>40293</v>
          </cell>
        </row>
        <row r="122">
          <cell r="A122">
            <v>40294</v>
          </cell>
        </row>
        <row r="123">
          <cell r="A123">
            <v>40295</v>
          </cell>
        </row>
        <row r="124">
          <cell r="A124">
            <v>40296</v>
          </cell>
        </row>
        <row r="125">
          <cell r="A125">
            <v>40297</v>
          </cell>
        </row>
        <row r="126">
          <cell r="A126">
            <v>40298</v>
          </cell>
        </row>
        <row r="127">
          <cell r="A127">
            <v>40299</v>
          </cell>
        </row>
        <row r="128">
          <cell r="A128">
            <v>40300</v>
          </cell>
        </row>
        <row r="129">
          <cell r="A129">
            <v>40301</v>
          </cell>
        </row>
        <row r="130">
          <cell r="A130">
            <v>40302</v>
          </cell>
        </row>
        <row r="131">
          <cell r="A131">
            <v>40303</v>
          </cell>
        </row>
        <row r="132">
          <cell r="A132">
            <v>40304</v>
          </cell>
        </row>
        <row r="133">
          <cell r="A133">
            <v>40305</v>
          </cell>
        </row>
        <row r="134">
          <cell r="A134">
            <v>40306</v>
          </cell>
        </row>
        <row r="135">
          <cell r="A135">
            <v>40307</v>
          </cell>
        </row>
        <row r="136">
          <cell r="A136">
            <v>40308</v>
          </cell>
        </row>
        <row r="137">
          <cell r="A137">
            <v>40309</v>
          </cell>
        </row>
        <row r="138">
          <cell r="A138">
            <v>40310</v>
          </cell>
        </row>
        <row r="139">
          <cell r="A139">
            <v>40311</v>
          </cell>
        </row>
        <row r="140">
          <cell r="A140">
            <v>40312</v>
          </cell>
        </row>
        <row r="141">
          <cell r="A141">
            <v>40313</v>
          </cell>
        </row>
        <row r="142">
          <cell r="A142">
            <v>40314</v>
          </cell>
        </row>
        <row r="143">
          <cell r="A143">
            <v>40315</v>
          </cell>
        </row>
        <row r="144">
          <cell r="A144">
            <v>40316</v>
          </cell>
        </row>
        <row r="145">
          <cell r="A145">
            <v>40317</v>
          </cell>
        </row>
        <row r="146">
          <cell r="A146">
            <v>40318</v>
          </cell>
        </row>
        <row r="147">
          <cell r="A147">
            <v>40319</v>
          </cell>
        </row>
        <row r="148">
          <cell r="A148">
            <v>40320</v>
          </cell>
        </row>
        <row r="149">
          <cell r="A149">
            <v>40321</v>
          </cell>
        </row>
        <row r="150">
          <cell r="A150">
            <v>40322</v>
          </cell>
        </row>
        <row r="151">
          <cell r="A151">
            <v>40323</v>
          </cell>
        </row>
        <row r="152">
          <cell r="A152">
            <v>40324</v>
          </cell>
        </row>
        <row r="153">
          <cell r="A153">
            <v>40325</v>
          </cell>
        </row>
        <row r="154">
          <cell r="A154">
            <v>40326</v>
          </cell>
        </row>
        <row r="155">
          <cell r="A155">
            <v>40327</v>
          </cell>
        </row>
        <row r="156">
          <cell r="A156">
            <v>40328</v>
          </cell>
        </row>
        <row r="157">
          <cell r="A157">
            <v>40329</v>
          </cell>
        </row>
        <row r="158">
          <cell r="A158">
            <v>40330</v>
          </cell>
        </row>
        <row r="159">
          <cell r="A159">
            <v>40331</v>
          </cell>
        </row>
        <row r="160">
          <cell r="A160">
            <v>40332</v>
          </cell>
        </row>
        <row r="161">
          <cell r="A161">
            <v>40333</v>
          </cell>
        </row>
        <row r="162">
          <cell r="A162">
            <v>40334</v>
          </cell>
        </row>
        <row r="163">
          <cell r="A163">
            <v>40335</v>
          </cell>
        </row>
        <row r="164">
          <cell r="A164">
            <v>40336</v>
          </cell>
        </row>
        <row r="165">
          <cell r="A165">
            <v>40337</v>
          </cell>
        </row>
        <row r="166">
          <cell r="A166">
            <v>40338</v>
          </cell>
        </row>
        <row r="167">
          <cell r="A167">
            <v>40339</v>
          </cell>
        </row>
        <row r="168">
          <cell r="A168">
            <v>40340</v>
          </cell>
        </row>
        <row r="169">
          <cell r="A169">
            <v>40341</v>
          </cell>
        </row>
        <row r="170">
          <cell r="A170">
            <v>40342</v>
          </cell>
        </row>
        <row r="171">
          <cell r="A171">
            <v>40343</v>
          </cell>
        </row>
        <row r="172">
          <cell r="A172">
            <v>40344</v>
          </cell>
        </row>
        <row r="173">
          <cell r="A173">
            <v>40345</v>
          </cell>
        </row>
        <row r="174">
          <cell r="A174">
            <v>40346</v>
          </cell>
        </row>
        <row r="175">
          <cell r="A175">
            <v>40347</v>
          </cell>
        </row>
        <row r="176">
          <cell r="A176">
            <v>40348</v>
          </cell>
        </row>
        <row r="177">
          <cell r="A177">
            <v>40349</v>
          </cell>
        </row>
        <row r="178">
          <cell r="A178">
            <v>40350</v>
          </cell>
        </row>
        <row r="179">
          <cell r="A179">
            <v>40351</v>
          </cell>
        </row>
        <row r="180">
          <cell r="A180">
            <v>40352</v>
          </cell>
        </row>
        <row r="181">
          <cell r="A181">
            <v>40353</v>
          </cell>
        </row>
        <row r="182">
          <cell r="A182">
            <v>40354</v>
          </cell>
        </row>
        <row r="183">
          <cell r="A183">
            <v>40355</v>
          </cell>
        </row>
        <row r="184">
          <cell r="A184">
            <v>40356</v>
          </cell>
        </row>
        <row r="185">
          <cell r="A185">
            <v>40357</v>
          </cell>
        </row>
        <row r="186">
          <cell r="A186">
            <v>40358</v>
          </cell>
        </row>
        <row r="187">
          <cell r="A187">
            <v>40359</v>
          </cell>
        </row>
        <row r="188">
          <cell r="A188">
            <v>40360</v>
          </cell>
        </row>
        <row r="189">
          <cell r="A189">
            <v>40361</v>
          </cell>
        </row>
        <row r="190">
          <cell r="A190">
            <v>40362</v>
          </cell>
        </row>
        <row r="191">
          <cell r="A191">
            <v>40363</v>
          </cell>
        </row>
        <row r="192">
          <cell r="A192">
            <v>40364</v>
          </cell>
        </row>
        <row r="193">
          <cell r="A193">
            <v>40365</v>
          </cell>
        </row>
        <row r="194">
          <cell r="A194">
            <v>40366</v>
          </cell>
        </row>
        <row r="195">
          <cell r="A195">
            <v>40367</v>
          </cell>
        </row>
        <row r="196">
          <cell r="A196">
            <v>40368</v>
          </cell>
        </row>
        <row r="197">
          <cell r="A197">
            <v>40369</v>
          </cell>
        </row>
        <row r="198">
          <cell r="A198">
            <v>40370</v>
          </cell>
        </row>
        <row r="199">
          <cell r="A199">
            <v>40371</v>
          </cell>
        </row>
        <row r="200">
          <cell r="A200">
            <v>40372</v>
          </cell>
        </row>
        <row r="201">
          <cell r="A201">
            <v>40373</v>
          </cell>
        </row>
        <row r="202">
          <cell r="A202">
            <v>40374</v>
          </cell>
        </row>
        <row r="203">
          <cell r="A203">
            <v>40375</v>
          </cell>
        </row>
        <row r="204">
          <cell r="A204">
            <v>40376</v>
          </cell>
        </row>
        <row r="205">
          <cell r="A205">
            <v>40377</v>
          </cell>
        </row>
        <row r="206">
          <cell r="A206">
            <v>40378</v>
          </cell>
        </row>
        <row r="207">
          <cell r="A207">
            <v>40379</v>
          </cell>
        </row>
        <row r="208">
          <cell r="A208">
            <v>40380</v>
          </cell>
        </row>
        <row r="209">
          <cell r="A209">
            <v>40381</v>
          </cell>
        </row>
        <row r="210">
          <cell r="A210">
            <v>40382</v>
          </cell>
        </row>
        <row r="211">
          <cell r="A211">
            <v>40383</v>
          </cell>
        </row>
        <row r="212">
          <cell r="A212">
            <v>40384</v>
          </cell>
        </row>
        <row r="213">
          <cell r="A213">
            <v>40385</v>
          </cell>
        </row>
        <row r="214">
          <cell r="A214">
            <v>40386</v>
          </cell>
        </row>
        <row r="215">
          <cell r="A215">
            <v>40387</v>
          </cell>
        </row>
        <row r="216">
          <cell r="A216">
            <v>40388</v>
          </cell>
        </row>
        <row r="217">
          <cell r="A217">
            <v>40389</v>
          </cell>
        </row>
        <row r="218">
          <cell r="A218">
            <v>40390</v>
          </cell>
        </row>
        <row r="219">
          <cell r="A219">
            <v>40391</v>
          </cell>
        </row>
        <row r="220">
          <cell r="A220">
            <v>40392</v>
          </cell>
        </row>
        <row r="221">
          <cell r="A221">
            <v>40393</v>
          </cell>
        </row>
        <row r="222">
          <cell r="A222">
            <v>40394</v>
          </cell>
        </row>
        <row r="223">
          <cell r="A223">
            <v>40395</v>
          </cell>
        </row>
        <row r="224">
          <cell r="A224">
            <v>40396</v>
          </cell>
        </row>
        <row r="225">
          <cell r="A225">
            <v>40397</v>
          </cell>
        </row>
        <row r="226">
          <cell r="A226">
            <v>40398</v>
          </cell>
        </row>
        <row r="227">
          <cell r="A227">
            <v>40399</v>
          </cell>
        </row>
        <row r="228">
          <cell r="A228">
            <v>40400</v>
          </cell>
        </row>
        <row r="229">
          <cell r="A229">
            <v>40401</v>
          </cell>
        </row>
        <row r="230">
          <cell r="A230">
            <v>40402</v>
          </cell>
        </row>
        <row r="231">
          <cell r="A231">
            <v>40403</v>
          </cell>
        </row>
        <row r="232">
          <cell r="A232">
            <v>40404</v>
          </cell>
        </row>
        <row r="233">
          <cell r="A233">
            <v>40405</v>
          </cell>
        </row>
        <row r="234">
          <cell r="A234">
            <v>40406</v>
          </cell>
        </row>
        <row r="235">
          <cell r="A235">
            <v>40407</v>
          </cell>
        </row>
        <row r="236">
          <cell r="A236">
            <v>40408</v>
          </cell>
        </row>
        <row r="237">
          <cell r="A237">
            <v>40409</v>
          </cell>
        </row>
        <row r="238">
          <cell r="A238">
            <v>40410</v>
          </cell>
        </row>
        <row r="239">
          <cell r="A239">
            <v>40411</v>
          </cell>
        </row>
        <row r="240">
          <cell r="A240">
            <v>40412</v>
          </cell>
        </row>
        <row r="241">
          <cell r="A241">
            <v>40413</v>
          </cell>
        </row>
        <row r="242">
          <cell r="A242">
            <v>40414</v>
          </cell>
        </row>
        <row r="243">
          <cell r="A243">
            <v>40415</v>
          </cell>
        </row>
        <row r="244">
          <cell r="A244">
            <v>40416</v>
          </cell>
        </row>
        <row r="245">
          <cell r="A245">
            <v>40417</v>
          </cell>
        </row>
        <row r="246">
          <cell r="A246">
            <v>40418</v>
          </cell>
        </row>
        <row r="247">
          <cell r="A247">
            <v>40419</v>
          </cell>
        </row>
        <row r="248">
          <cell r="A248">
            <v>40420</v>
          </cell>
        </row>
        <row r="249">
          <cell r="A249">
            <v>40421</v>
          </cell>
        </row>
        <row r="250">
          <cell r="A250">
            <v>40422</v>
          </cell>
        </row>
        <row r="251">
          <cell r="A251">
            <v>40423</v>
          </cell>
        </row>
        <row r="252">
          <cell r="A252">
            <v>40424</v>
          </cell>
        </row>
        <row r="253">
          <cell r="A253">
            <v>40425</v>
          </cell>
        </row>
        <row r="254">
          <cell r="A254">
            <v>40426</v>
          </cell>
        </row>
        <row r="255">
          <cell r="A255">
            <v>40427</v>
          </cell>
        </row>
        <row r="256">
          <cell r="A256">
            <v>40428</v>
          </cell>
        </row>
        <row r="257">
          <cell r="A257">
            <v>40429</v>
          </cell>
        </row>
        <row r="258">
          <cell r="A258">
            <v>40430</v>
          </cell>
        </row>
        <row r="259">
          <cell r="A259">
            <v>40431</v>
          </cell>
        </row>
        <row r="260">
          <cell r="A260">
            <v>40432</v>
          </cell>
        </row>
        <row r="261">
          <cell r="A261">
            <v>40433</v>
          </cell>
        </row>
        <row r="262">
          <cell r="A262">
            <v>40434</v>
          </cell>
        </row>
        <row r="263">
          <cell r="A263">
            <v>40435</v>
          </cell>
        </row>
        <row r="264">
          <cell r="A264">
            <v>40436</v>
          </cell>
        </row>
        <row r="265">
          <cell r="A265">
            <v>40437</v>
          </cell>
        </row>
        <row r="266">
          <cell r="A266">
            <v>40438</v>
          </cell>
        </row>
        <row r="267">
          <cell r="A267">
            <v>40439</v>
          </cell>
        </row>
        <row r="268">
          <cell r="A268">
            <v>40440</v>
          </cell>
        </row>
        <row r="269">
          <cell r="A269">
            <v>40441</v>
          </cell>
        </row>
        <row r="270">
          <cell r="A270">
            <v>40442</v>
          </cell>
        </row>
        <row r="271">
          <cell r="A271">
            <v>40443</v>
          </cell>
        </row>
        <row r="272">
          <cell r="A272">
            <v>40444</v>
          </cell>
        </row>
        <row r="273">
          <cell r="A273">
            <v>40445</v>
          </cell>
        </row>
        <row r="274">
          <cell r="A274">
            <v>40446</v>
          </cell>
        </row>
        <row r="275">
          <cell r="A275">
            <v>40447</v>
          </cell>
        </row>
        <row r="276">
          <cell r="A276">
            <v>40448</v>
          </cell>
        </row>
        <row r="277">
          <cell r="A277">
            <v>40449</v>
          </cell>
        </row>
        <row r="278">
          <cell r="A278">
            <v>40450</v>
          </cell>
        </row>
        <row r="279">
          <cell r="A279">
            <v>40451</v>
          </cell>
        </row>
        <row r="280">
          <cell r="A280">
            <v>40452</v>
          </cell>
        </row>
        <row r="281">
          <cell r="A281">
            <v>40453</v>
          </cell>
        </row>
        <row r="282">
          <cell r="A282">
            <v>40454</v>
          </cell>
        </row>
        <row r="283">
          <cell r="A283">
            <v>40455</v>
          </cell>
        </row>
        <row r="284">
          <cell r="A284">
            <v>40456</v>
          </cell>
        </row>
        <row r="285">
          <cell r="A285">
            <v>40457</v>
          </cell>
        </row>
        <row r="286">
          <cell r="A286">
            <v>40458</v>
          </cell>
        </row>
        <row r="287">
          <cell r="A287">
            <v>40459</v>
          </cell>
        </row>
        <row r="288">
          <cell r="A288">
            <v>40460</v>
          </cell>
        </row>
        <row r="289">
          <cell r="A289">
            <v>40461</v>
          </cell>
        </row>
        <row r="290">
          <cell r="A290">
            <v>40462</v>
          </cell>
        </row>
        <row r="291">
          <cell r="A291">
            <v>40463</v>
          </cell>
        </row>
        <row r="292">
          <cell r="A292">
            <v>40464</v>
          </cell>
        </row>
        <row r="293">
          <cell r="A293">
            <v>40465</v>
          </cell>
        </row>
        <row r="294">
          <cell r="A294">
            <v>40466</v>
          </cell>
        </row>
        <row r="295">
          <cell r="A295">
            <v>40467</v>
          </cell>
        </row>
        <row r="296">
          <cell r="A296">
            <v>40468</v>
          </cell>
        </row>
        <row r="297">
          <cell r="A297">
            <v>40469</v>
          </cell>
        </row>
        <row r="298">
          <cell r="A298">
            <v>40470</v>
          </cell>
        </row>
        <row r="299">
          <cell r="A299">
            <v>40471</v>
          </cell>
        </row>
        <row r="300">
          <cell r="A300">
            <v>40472</v>
          </cell>
        </row>
        <row r="301">
          <cell r="A301">
            <v>40473</v>
          </cell>
        </row>
        <row r="302">
          <cell r="A302">
            <v>40474</v>
          </cell>
        </row>
        <row r="303">
          <cell r="A303">
            <v>40475</v>
          </cell>
        </row>
        <row r="304">
          <cell r="A304">
            <v>40476</v>
          </cell>
        </row>
        <row r="305">
          <cell r="A305">
            <v>40477</v>
          </cell>
        </row>
        <row r="306">
          <cell r="A306">
            <v>40478</v>
          </cell>
        </row>
        <row r="307">
          <cell r="A307">
            <v>40479</v>
          </cell>
        </row>
        <row r="308">
          <cell r="A308">
            <v>40480</v>
          </cell>
        </row>
        <row r="309">
          <cell r="A309">
            <v>40481</v>
          </cell>
        </row>
        <row r="310">
          <cell r="A310">
            <v>40482</v>
          </cell>
        </row>
        <row r="311">
          <cell r="A311">
            <v>40483</v>
          </cell>
        </row>
        <row r="312">
          <cell r="A312">
            <v>40484</v>
          </cell>
        </row>
        <row r="313">
          <cell r="A313">
            <v>40485</v>
          </cell>
        </row>
        <row r="314">
          <cell r="A314">
            <v>40486</v>
          </cell>
        </row>
        <row r="315">
          <cell r="A315">
            <v>40487</v>
          </cell>
        </row>
        <row r="316">
          <cell r="A316">
            <v>40488</v>
          </cell>
        </row>
        <row r="317">
          <cell r="A317">
            <v>40489</v>
          </cell>
        </row>
        <row r="318">
          <cell r="A318">
            <v>40490</v>
          </cell>
        </row>
        <row r="319">
          <cell r="A319">
            <v>40491</v>
          </cell>
        </row>
        <row r="320">
          <cell r="A320">
            <v>40492</v>
          </cell>
        </row>
        <row r="321">
          <cell r="A321">
            <v>40493</v>
          </cell>
        </row>
        <row r="322">
          <cell r="A322">
            <v>40494</v>
          </cell>
        </row>
        <row r="323">
          <cell r="A323">
            <v>40495</v>
          </cell>
        </row>
        <row r="324">
          <cell r="A324">
            <v>40496</v>
          </cell>
        </row>
        <row r="325">
          <cell r="A325">
            <v>40497</v>
          </cell>
        </row>
        <row r="326">
          <cell r="A326">
            <v>40498</v>
          </cell>
        </row>
        <row r="327">
          <cell r="A327">
            <v>40499</v>
          </cell>
        </row>
        <row r="328">
          <cell r="A328">
            <v>40500</v>
          </cell>
        </row>
        <row r="329">
          <cell r="A329">
            <v>40501</v>
          </cell>
        </row>
        <row r="330">
          <cell r="A330">
            <v>40502</v>
          </cell>
        </row>
        <row r="331">
          <cell r="A331">
            <v>40503</v>
          </cell>
        </row>
        <row r="332">
          <cell r="A332">
            <v>40504</v>
          </cell>
        </row>
        <row r="333">
          <cell r="A333">
            <v>40505</v>
          </cell>
        </row>
        <row r="334">
          <cell r="A334">
            <v>40506</v>
          </cell>
        </row>
        <row r="335">
          <cell r="A335">
            <v>40507</v>
          </cell>
        </row>
        <row r="336">
          <cell r="A336">
            <v>40508</v>
          </cell>
        </row>
        <row r="337">
          <cell r="A337">
            <v>40509</v>
          </cell>
        </row>
        <row r="338">
          <cell r="A338">
            <v>40510</v>
          </cell>
        </row>
        <row r="339">
          <cell r="A339">
            <v>40511</v>
          </cell>
        </row>
        <row r="340">
          <cell r="A340">
            <v>40512</v>
          </cell>
        </row>
        <row r="341">
          <cell r="A341">
            <v>40513</v>
          </cell>
        </row>
        <row r="342">
          <cell r="A342">
            <v>40514</v>
          </cell>
        </row>
        <row r="343">
          <cell r="A343">
            <v>40515</v>
          </cell>
        </row>
        <row r="344">
          <cell r="A344">
            <v>40516</v>
          </cell>
        </row>
        <row r="345">
          <cell r="A345">
            <v>40517</v>
          </cell>
        </row>
        <row r="346">
          <cell r="A346">
            <v>40518</v>
          </cell>
        </row>
        <row r="347">
          <cell r="A347">
            <v>40519</v>
          </cell>
        </row>
        <row r="348">
          <cell r="A348">
            <v>40520</v>
          </cell>
        </row>
        <row r="349">
          <cell r="A349">
            <v>40521</v>
          </cell>
        </row>
        <row r="350">
          <cell r="A350">
            <v>40522</v>
          </cell>
        </row>
        <row r="351">
          <cell r="A351">
            <v>40523</v>
          </cell>
        </row>
        <row r="352">
          <cell r="A352">
            <v>40524</v>
          </cell>
        </row>
        <row r="353">
          <cell r="A353">
            <v>40525</v>
          </cell>
        </row>
        <row r="354">
          <cell r="A354">
            <v>40526</v>
          </cell>
        </row>
        <row r="355">
          <cell r="A355">
            <v>40527</v>
          </cell>
        </row>
        <row r="356">
          <cell r="A356">
            <v>40528</v>
          </cell>
        </row>
        <row r="357">
          <cell r="A357">
            <v>40529</v>
          </cell>
        </row>
        <row r="358">
          <cell r="A358">
            <v>40530</v>
          </cell>
        </row>
        <row r="359">
          <cell r="A359">
            <v>40531</v>
          </cell>
        </row>
        <row r="360">
          <cell r="A360">
            <v>40532</v>
          </cell>
        </row>
        <row r="361">
          <cell r="A361">
            <v>40533</v>
          </cell>
        </row>
        <row r="362">
          <cell r="A362">
            <v>40534</v>
          </cell>
        </row>
        <row r="363">
          <cell r="A363">
            <v>40535</v>
          </cell>
        </row>
        <row r="364">
          <cell r="A364">
            <v>40536</v>
          </cell>
        </row>
        <row r="365">
          <cell r="A365">
            <v>40537</v>
          </cell>
        </row>
        <row r="366">
          <cell r="A366">
            <v>40538</v>
          </cell>
        </row>
        <row r="367">
          <cell r="A367">
            <v>40539</v>
          </cell>
        </row>
        <row r="368">
          <cell r="A368">
            <v>40540</v>
          </cell>
        </row>
        <row r="369">
          <cell r="A369">
            <v>40541</v>
          </cell>
        </row>
        <row r="370">
          <cell r="A370">
            <v>40542</v>
          </cell>
        </row>
        <row r="371">
          <cell r="A371">
            <v>40543</v>
          </cell>
        </row>
        <row r="372">
          <cell r="A372">
            <v>40544</v>
          </cell>
        </row>
        <row r="373">
          <cell r="A373">
            <v>40545</v>
          </cell>
        </row>
        <row r="374">
          <cell r="A374">
            <v>40546</v>
          </cell>
        </row>
        <row r="375">
          <cell r="A375">
            <v>40547</v>
          </cell>
        </row>
        <row r="376">
          <cell r="A376">
            <v>40548</v>
          </cell>
        </row>
        <row r="377">
          <cell r="A377">
            <v>40549</v>
          </cell>
        </row>
        <row r="378">
          <cell r="A378">
            <v>40550</v>
          </cell>
        </row>
        <row r="379">
          <cell r="A379">
            <v>40551</v>
          </cell>
        </row>
        <row r="380">
          <cell r="A380">
            <v>40552</v>
          </cell>
        </row>
        <row r="381">
          <cell r="A381">
            <v>40553</v>
          </cell>
        </row>
        <row r="382">
          <cell r="A382">
            <v>40554</v>
          </cell>
        </row>
        <row r="383">
          <cell r="A383">
            <v>40555</v>
          </cell>
        </row>
        <row r="384">
          <cell r="A384">
            <v>40556</v>
          </cell>
        </row>
        <row r="385">
          <cell r="A385">
            <v>40557</v>
          </cell>
        </row>
        <row r="386">
          <cell r="A386">
            <v>40558</v>
          </cell>
        </row>
        <row r="387">
          <cell r="A387">
            <v>40559</v>
          </cell>
        </row>
        <row r="388">
          <cell r="A388">
            <v>40560</v>
          </cell>
        </row>
        <row r="389">
          <cell r="A389">
            <v>40561</v>
          </cell>
        </row>
        <row r="390">
          <cell r="A390">
            <v>40562</v>
          </cell>
        </row>
        <row r="391">
          <cell r="A391">
            <v>40563</v>
          </cell>
        </row>
        <row r="392">
          <cell r="A392">
            <v>40564</v>
          </cell>
        </row>
        <row r="393">
          <cell r="A393">
            <v>40565</v>
          </cell>
        </row>
        <row r="394">
          <cell r="A394">
            <v>40566</v>
          </cell>
        </row>
        <row r="395">
          <cell r="A395">
            <v>40567</v>
          </cell>
        </row>
        <row r="396">
          <cell r="A396">
            <v>40568</v>
          </cell>
        </row>
        <row r="397">
          <cell r="A397">
            <v>40569</v>
          </cell>
        </row>
        <row r="398">
          <cell r="A398">
            <v>40570</v>
          </cell>
        </row>
        <row r="399">
          <cell r="A399">
            <v>40571</v>
          </cell>
        </row>
        <row r="400">
          <cell r="A400">
            <v>40572</v>
          </cell>
        </row>
        <row r="401">
          <cell r="A401">
            <v>40573</v>
          </cell>
        </row>
        <row r="402">
          <cell r="A402">
            <v>40574</v>
          </cell>
        </row>
        <row r="403">
          <cell r="A403">
            <v>40575</v>
          </cell>
        </row>
        <row r="404">
          <cell r="A404">
            <v>40576</v>
          </cell>
        </row>
        <row r="405">
          <cell r="A405">
            <v>40577</v>
          </cell>
        </row>
        <row r="406">
          <cell r="A406">
            <v>40578</v>
          </cell>
        </row>
        <row r="407">
          <cell r="A407">
            <v>40579</v>
          </cell>
        </row>
        <row r="408">
          <cell r="A408">
            <v>40580</v>
          </cell>
        </row>
        <row r="409">
          <cell r="A409">
            <v>40581</v>
          </cell>
        </row>
        <row r="410">
          <cell r="A410">
            <v>40582</v>
          </cell>
        </row>
        <row r="411">
          <cell r="A411">
            <v>40583</v>
          </cell>
        </row>
        <row r="412">
          <cell r="A412">
            <v>40584</v>
          </cell>
        </row>
        <row r="413">
          <cell r="A413">
            <v>40585</v>
          </cell>
        </row>
        <row r="414">
          <cell r="A414">
            <v>40586</v>
          </cell>
        </row>
        <row r="415">
          <cell r="A415">
            <v>40587</v>
          </cell>
        </row>
        <row r="416">
          <cell r="A416">
            <v>40588</v>
          </cell>
        </row>
        <row r="417">
          <cell r="A417">
            <v>40589</v>
          </cell>
        </row>
        <row r="418">
          <cell r="A418">
            <v>40590</v>
          </cell>
        </row>
        <row r="419">
          <cell r="A419">
            <v>40591</v>
          </cell>
        </row>
        <row r="420">
          <cell r="A420">
            <v>40592</v>
          </cell>
        </row>
        <row r="421">
          <cell r="A421">
            <v>40593</v>
          </cell>
        </row>
        <row r="422">
          <cell r="A422">
            <v>40594</v>
          </cell>
        </row>
        <row r="423">
          <cell r="A423">
            <v>40595</v>
          </cell>
        </row>
        <row r="424">
          <cell r="A424">
            <v>40596</v>
          </cell>
        </row>
        <row r="425">
          <cell r="A425">
            <v>40597</v>
          </cell>
        </row>
        <row r="426">
          <cell r="A426">
            <v>40598</v>
          </cell>
        </row>
        <row r="427">
          <cell r="A427">
            <v>40599</v>
          </cell>
        </row>
        <row r="428">
          <cell r="A428">
            <v>40600</v>
          </cell>
        </row>
        <row r="429">
          <cell r="A429">
            <v>40601</v>
          </cell>
        </row>
        <row r="430">
          <cell r="A430">
            <v>40602</v>
          </cell>
        </row>
        <row r="431">
          <cell r="A431">
            <v>40603</v>
          </cell>
        </row>
        <row r="432">
          <cell r="A432">
            <v>40604</v>
          </cell>
        </row>
        <row r="433">
          <cell r="A433">
            <v>40605</v>
          </cell>
        </row>
        <row r="434">
          <cell r="A434">
            <v>40606</v>
          </cell>
        </row>
        <row r="435">
          <cell r="A435">
            <v>40607</v>
          </cell>
        </row>
        <row r="436">
          <cell r="A436">
            <v>40608</v>
          </cell>
        </row>
        <row r="437">
          <cell r="A437">
            <v>40609</v>
          </cell>
        </row>
        <row r="438">
          <cell r="A438">
            <v>40610</v>
          </cell>
        </row>
        <row r="439">
          <cell r="A439">
            <v>40611</v>
          </cell>
        </row>
        <row r="440">
          <cell r="A440">
            <v>40612</v>
          </cell>
        </row>
        <row r="441">
          <cell r="A441">
            <v>40613</v>
          </cell>
        </row>
        <row r="442">
          <cell r="A442">
            <v>40614</v>
          </cell>
        </row>
        <row r="443">
          <cell r="A443">
            <v>40615</v>
          </cell>
        </row>
        <row r="444">
          <cell r="A444">
            <v>40616</v>
          </cell>
        </row>
        <row r="445">
          <cell r="A445">
            <v>40617</v>
          </cell>
        </row>
        <row r="446">
          <cell r="A446">
            <v>40618</v>
          </cell>
        </row>
        <row r="447">
          <cell r="A447">
            <v>40619</v>
          </cell>
        </row>
        <row r="448">
          <cell r="A448">
            <v>40620</v>
          </cell>
        </row>
        <row r="449">
          <cell r="A449">
            <v>40621</v>
          </cell>
        </row>
        <row r="450">
          <cell r="A450">
            <v>40622</v>
          </cell>
        </row>
        <row r="451">
          <cell r="A451">
            <v>40623</v>
          </cell>
        </row>
        <row r="452">
          <cell r="A452">
            <v>40624</v>
          </cell>
        </row>
        <row r="453">
          <cell r="A453">
            <v>40625</v>
          </cell>
        </row>
        <row r="454">
          <cell r="A454">
            <v>40626</v>
          </cell>
        </row>
        <row r="455">
          <cell r="A455">
            <v>40627</v>
          </cell>
        </row>
        <row r="456">
          <cell r="A456">
            <v>40628</v>
          </cell>
        </row>
        <row r="457">
          <cell r="A457">
            <v>40629</v>
          </cell>
        </row>
        <row r="458">
          <cell r="A458">
            <v>40630</v>
          </cell>
        </row>
        <row r="459">
          <cell r="A459">
            <v>40631</v>
          </cell>
        </row>
        <row r="460">
          <cell r="A460">
            <v>40632</v>
          </cell>
        </row>
        <row r="461">
          <cell r="A461">
            <v>40633</v>
          </cell>
        </row>
        <row r="462">
          <cell r="A462">
            <v>40634</v>
          </cell>
        </row>
        <row r="463">
          <cell r="A463">
            <v>40635</v>
          </cell>
        </row>
        <row r="464">
          <cell r="A464">
            <v>40636</v>
          </cell>
        </row>
        <row r="465">
          <cell r="A465">
            <v>40637</v>
          </cell>
        </row>
        <row r="466">
          <cell r="A466">
            <v>40638</v>
          </cell>
        </row>
        <row r="467">
          <cell r="A467">
            <v>40639</v>
          </cell>
        </row>
        <row r="468">
          <cell r="A468">
            <v>40640</v>
          </cell>
        </row>
        <row r="469">
          <cell r="A469">
            <v>40641</v>
          </cell>
        </row>
        <row r="470">
          <cell r="A470">
            <v>40642</v>
          </cell>
        </row>
        <row r="471">
          <cell r="A471">
            <v>40643</v>
          </cell>
        </row>
        <row r="472">
          <cell r="A472">
            <v>40644</v>
          </cell>
        </row>
        <row r="473">
          <cell r="A473">
            <v>40645</v>
          </cell>
        </row>
        <row r="474">
          <cell r="A474">
            <v>40646</v>
          </cell>
        </row>
        <row r="475">
          <cell r="A475">
            <v>40647</v>
          </cell>
        </row>
        <row r="476">
          <cell r="A476">
            <v>40648</v>
          </cell>
        </row>
        <row r="477">
          <cell r="A477">
            <v>40649</v>
          </cell>
        </row>
        <row r="478">
          <cell r="A478">
            <v>40650</v>
          </cell>
        </row>
        <row r="479">
          <cell r="A479">
            <v>40651</v>
          </cell>
        </row>
        <row r="480">
          <cell r="A480">
            <v>40652</v>
          </cell>
        </row>
        <row r="481">
          <cell r="A481">
            <v>40653</v>
          </cell>
        </row>
        <row r="482">
          <cell r="A482">
            <v>40654</v>
          </cell>
        </row>
        <row r="483">
          <cell r="A483">
            <v>40655</v>
          </cell>
        </row>
        <row r="484">
          <cell r="A484">
            <v>40656</v>
          </cell>
        </row>
        <row r="485">
          <cell r="A485">
            <v>40657</v>
          </cell>
        </row>
        <row r="486">
          <cell r="A486">
            <v>40658</v>
          </cell>
        </row>
        <row r="487">
          <cell r="A487">
            <v>40659</v>
          </cell>
        </row>
        <row r="488">
          <cell r="A488">
            <v>40660</v>
          </cell>
        </row>
        <row r="489">
          <cell r="A489">
            <v>40661</v>
          </cell>
        </row>
        <row r="490">
          <cell r="A490">
            <v>40662</v>
          </cell>
        </row>
        <row r="491">
          <cell r="A491">
            <v>40663</v>
          </cell>
        </row>
        <row r="492">
          <cell r="A492">
            <v>40664</v>
          </cell>
        </row>
        <row r="493">
          <cell r="A493">
            <v>40665</v>
          </cell>
        </row>
        <row r="494">
          <cell r="A494">
            <v>40666</v>
          </cell>
        </row>
        <row r="495">
          <cell r="A495">
            <v>40667</v>
          </cell>
        </row>
        <row r="496">
          <cell r="A496">
            <v>40668</v>
          </cell>
        </row>
        <row r="497">
          <cell r="A497">
            <v>40669</v>
          </cell>
        </row>
        <row r="498">
          <cell r="A498">
            <v>40670</v>
          </cell>
        </row>
        <row r="499">
          <cell r="A499">
            <v>40671</v>
          </cell>
        </row>
        <row r="500">
          <cell r="A500">
            <v>40672</v>
          </cell>
        </row>
        <row r="501">
          <cell r="A501">
            <v>40673</v>
          </cell>
        </row>
        <row r="502">
          <cell r="A502">
            <v>40674</v>
          </cell>
        </row>
        <row r="503">
          <cell r="A503">
            <v>40675</v>
          </cell>
        </row>
        <row r="504">
          <cell r="A504">
            <v>40676</v>
          </cell>
        </row>
        <row r="505">
          <cell r="A505">
            <v>40677</v>
          </cell>
        </row>
        <row r="506">
          <cell r="A506">
            <v>40678</v>
          </cell>
        </row>
        <row r="507">
          <cell r="A507">
            <v>40679</v>
          </cell>
        </row>
        <row r="508">
          <cell r="A508">
            <v>40680</v>
          </cell>
        </row>
        <row r="509">
          <cell r="A509">
            <v>40681</v>
          </cell>
        </row>
        <row r="510">
          <cell r="A510">
            <v>40682</v>
          </cell>
        </row>
        <row r="511">
          <cell r="A511">
            <v>40683</v>
          </cell>
        </row>
        <row r="512">
          <cell r="A512">
            <v>40684</v>
          </cell>
        </row>
        <row r="513">
          <cell r="A513">
            <v>40685</v>
          </cell>
        </row>
        <row r="514">
          <cell r="A514">
            <v>40686</v>
          </cell>
        </row>
        <row r="515">
          <cell r="A515">
            <v>40687</v>
          </cell>
        </row>
        <row r="516">
          <cell r="A516">
            <v>40688</v>
          </cell>
        </row>
        <row r="517">
          <cell r="A517">
            <v>40689</v>
          </cell>
        </row>
        <row r="518">
          <cell r="A518">
            <v>40690</v>
          </cell>
        </row>
        <row r="519">
          <cell r="A519">
            <v>40691</v>
          </cell>
        </row>
        <row r="520">
          <cell r="A520">
            <v>40692</v>
          </cell>
        </row>
        <row r="521">
          <cell r="A521">
            <v>40693</v>
          </cell>
        </row>
        <row r="522">
          <cell r="A522">
            <v>40694</v>
          </cell>
        </row>
        <row r="523">
          <cell r="A523">
            <v>40695</v>
          </cell>
        </row>
        <row r="524">
          <cell r="A524">
            <v>40696</v>
          </cell>
        </row>
        <row r="525">
          <cell r="A525">
            <v>40697</v>
          </cell>
        </row>
        <row r="526">
          <cell r="A526">
            <v>40698</v>
          </cell>
        </row>
        <row r="527">
          <cell r="A527">
            <v>40699</v>
          </cell>
        </row>
        <row r="528">
          <cell r="A528">
            <v>40700</v>
          </cell>
        </row>
        <row r="529">
          <cell r="A529">
            <v>40701</v>
          </cell>
        </row>
        <row r="530">
          <cell r="A530">
            <v>40702</v>
          </cell>
        </row>
        <row r="531">
          <cell r="A531">
            <v>40703</v>
          </cell>
        </row>
        <row r="532">
          <cell r="A532">
            <v>40704</v>
          </cell>
        </row>
        <row r="533">
          <cell r="A533">
            <v>40705</v>
          </cell>
        </row>
        <row r="534">
          <cell r="A534">
            <v>40706</v>
          </cell>
        </row>
        <row r="535">
          <cell r="A535">
            <v>40707</v>
          </cell>
        </row>
        <row r="536">
          <cell r="A536">
            <v>40708</v>
          </cell>
        </row>
        <row r="537">
          <cell r="A537">
            <v>40709</v>
          </cell>
        </row>
        <row r="538">
          <cell r="A538">
            <v>40710</v>
          </cell>
        </row>
        <row r="539">
          <cell r="A539">
            <v>40711</v>
          </cell>
        </row>
        <row r="540">
          <cell r="A540">
            <v>40712</v>
          </cell>
        </row>
        <row r="541">
          <cell r="A541">
            <v>40713</v>
          </cell>
        </row>
        <row r="542">
          <cell r="A542">
            <v>40714</v>
          </cell>
        </row>
        <row r="543">
          <cell r="A543">
            <v>40715</v>
          </cell>
        </row>
        <row r="544">
          <cell r="A544">
            <v>40716</v>
          </cell>
        </row>
        <row r="545">
          <cell r="A545">
            <v>40717</v>
          </cell>
        </row>
        <row r="546">
          <cell r="A546">
            <v>40718</v>
          </cell>
        </row>
        <row r="547">
          <cell r="A547">
            <v>40719</v>
          </cell>
        </row>
        <row r="548">
          <cell r="A548">
            <v>40720</v>
          </cell>
        </row>
        <row r="549">
          <cell r="A549">
            <v>40721</v>
          </cell>
        </row>
        <row r="550">
          <cell r="A550">
            <v>40722</v>
          </cell>
        </row>
        <row r="551">
          <cell r="A551">
            <v>40723</v>
          </cell>
        </row>
        <row r="552">
          <cell r="A552">
            <v>40724</v>
          </cell>
        </row>
        <row r="553">
          <cell r="A553">
            <v>40725</v>
          </cell>
        </row>
        <row r="554">
          <cell r="A554">
            <v>40726</v>
          </cell>
        </row>
        <row r="555">
          <cell r="A555">
            <v>40727</v>
          </cell>
        </row>
        <row r="556">
          <cell r="A556">
            <v>40728</v>
          </cell>
        </row>
        <row r="557">
          <cell r="A557">
            <v>40729</v>
          </cell>
        </row>
        <row r="558">
          <cell r="A558">
            <v>40730</v>
          </cell>
        </row>
        <row r="559">
          <cell r="A559">
            <v>40731</v>
          </cell>
        </row>
        <row r="560">
          <cell r="A560">
            <v>40732</v>
          </cell>
        </row>
        <row r="561">
          <cell r="A561">
            <v>40733</v>
          </cell>
        </row>
        <row r="562">
          <cell r="A562">
            <v>40734</v>
          </cell>
        </row>
        <row r="563">
          <cell r="A563">
            <v>40735</v>
          </cell>
        </row>
        <row r="564">
          <cell r="A564">
            <v>40736</v>
          </cell>
        </row>
        <row r="565">
          <cell r="A565">
            <v>40737</v>
          </cell>
        </row>
        <row r="566">
          <cell r="A566">
            <v>40738</v>
          </cell>
        </row>
        <row r="567">
          <cell r="A567">
            <v>40739</v>
          </cell>
        </row>
        <row r="568">
          <cell r="A568">
            <v>40740</v>
          </cell>
        </row>
        <row r="569">
          <cell r="A569">
            <v>40741</v>
          </cell>
        </row>
        <row r="570">
          <cell r="A570">
            <v>40742</v>
          </cell>
        </row>
        <row r="571">
          <cell r="A571">
            <v>40743</v>
          </cell>
        </row>
        <row r="572">
          <cell r="A572">
            <v>40744</v>
          </cell>
        </row>
        <row r="573">
          <cell r="A573">
            <v>40745</v>
          </cell>
        </row>
        <row r="574">
          <cell r="A574">
            <v>40746</v>
          </cell>
        </row>
        <row r="575">
          <cell r="A575">
            <v>40747</v>
          </cell>
        </row>
        <row r="576">
          <cell r="A576">
            <v>40748</v>
          </cell>
        </row>
        <row r="577">
          <cell r="A577">
            <v>40749</v>
          </cell>
        </row>
        <row r="578">
          <cell r="A578">
            <v>40750</v>
          </cell>
        </row>
        <row r="579">
          <cell r="A579">
            <v>40751</v>
          </cell>
        </row>
        <row r="580">
          <cell r="A580">
            <v>40752</v>
          </cell>
        </row>
        <row r="581">
          <cell r="A581">
            <v>40753</v>
          </cell>
        </row>
        <row r="582">
          <cell r="A582">
            <v>40754</v>
          </cell>
        </row>
        <row r="583">
          <cell r="A583">
            <v>40755</v>
          </cell>
        </row>
        <row r="584">
          <cell r="A584">
            <v>40756</v>
          </cell>
        </row>
        <row r="585">
          <cell r="A585">
            <v>40757</v>
          </cell>
        </row>
        <row r="586">
          <cell r="A586">
            <v>40758</v>
          </cell>
        </row>
        <row r="587">
          <cell r="A587">
            <v>40759</v>
          </cell>
        </row>
        <row r="588">
          <cell r="A588">
            <v>40760</v>
          </cell>
        </row>
        <row r="589">
          <cell r="A589">
            <v>40761</v>
          </cell>
        </row>
        <row r="590">
          <cell r="A590">
            <v>40762</v>
          </cell>
        </row>
        <row r="591">
          <cell r="A591">
            <v>40763</v>
          </cell>
        </row>
        <row r="592">
          <cell r="A592">
            <v>40764</v>
          </cell>
        </row>
        <row r="593">
          <cell r="A593">
            <v>40765</v>
          </cell>
        </row>
        <row r="594">
          <cell r="A594">
            <v>40766</v>
          </cell>
        </row>
        <row r="595">
          <cell r="A595">
            <v>40767</v>
          </cell>
        </row>
        <row r="596">
          <cell r="A596">
            <v>40768</v>
          </cell>
        </row>
        <row r="597">
          <cell r="A597">
            <v>40769</v>
          </cell>
        </row>
        <row r="598">
          <cell r="A598">
            <v>40770</v>
          </cell>
        </row>
        <row r="599">
          <cell r="A599">
            <v>40771</v>
          </cell>
        </row>
        <row r="600">
          <cell r="A600">
            <v>40772</v>
          </cell>
        </row>
        <row r="601">
          <cell r="A601">
            <v>40773</v>
          </cell>
        </row>
        <row r="602">
          <cell r="A602">
            <v>40774</v>
          </cell>
        </row>
        <row r="603">
          <cell r="A603">
            <v>40775</v>
          </cell>
        </row>
        <row r="604">
          <cell r="A604">
            <v>40776</v>
          </cell>
        </row>
        <row r="605">
          <cell r="A605">
            <v>40777</v>
          </cell>
        </row>
        <row r="606">
          <cell r="A606">
            <v>40778</v>
          </cell>
        </row>
        <row r="607">
          <cell r="A607">
            <v>40779</v>
          </cell>
        </row>
        <row r="608">
          <cell r="A608">
            <v>40780</v>
          </cell>
        </row>
        <row r="609">
          <cell r="A609">
            <v>40781</v>
          </cell>
        </row>
        <row r="610">
          <cell r="A610">
            <v>40782</v>
          </cell>
        </row>
        <row r="611">
          <cell r="A611">
            <v>40783</v>
          </cell>
        </row>
        <row r="612">
          <cell r="A612">
            <v>40784</v>
          </cell>
        </row>
        <row r="613">
          <cell r="A613">
            <v>40785</v>
          </cell>
        </row>
        <row r="614">
          <cell r="A614">
            <v>40786</v>
          </cell>
        </row>
        <row r="615">
          <cell r="A615">
            <v>40787</v>
          </cell>
        </row>
        <row r="616">
          <cell r="A616">
            <v>40788</v>
          </cell>
        </row>
        <row r="617">
          <cell r="A617">
            <v>40789</v>
          </cell>
        </row>
        <row r="618">
          <cell r="A618">
            <v>40790</v>
          </cell>
        </row>
        <row r="619">
          <cell r="A619">
            <v>40791</v>
          </cell>
        </row>
        <row r="620">
          <cell r="A620">
            <v>40792</v>
          </cell>
        </row>
        <row r="621">
          <cell r="A621">
            <v>40793</v>
          </cell>
        </row>
        <row r="622">
          <cell r="A622">
            <v>40794</v>
          </cell>
        </row>
        <row r="623">
          <cell r="A623">
            <v>40795</v>
          </cell>
        </row>
        <row r="624">
          <cell r="A624">
            <v>40796</v>
          </cell>
        </row>
        <row r="625">
          <cell r="A625">
            <v>40797</v>
          </cell>
        </row>
        <row r="626">
          <cell r="A626">
            <v>40798</v>
          </cell>
        </row>
        <row r="627">
          <cell r="A627">
            <v>40799</v>
          </cell>
        </row>
        <row r="628">
          <cell r="A628">
            <v>40800</v>
          </cell>
        </row>
        <row r="629">
          <cell r="A629">
            <v>40801</v>
          </cell>
        </row>
        <row r="630">
          <cell r="A630">
            <v>40802</v>
          </cell>
        </row>
        <row r="631">
          <cell r="A631">
            <v>40803</v>
          </cell>
        </row>
        <row r="632">
          <cell r="A632">
            <v>40804</v>
          </cell>
        </row>
        <row r="633">
          <cell r="A633">
            <v>40805</v>
          </cell>
        </row>
        <row r="634">
          <cell r="A634">
            <v>40806</v>
          </cell>
        </row>
        <row r="635">
          <cell r="A635">
            <v>40807</v>
          </cell>
        </row>
        <row r="636">
          <cell r="A636">
            <v>40808</v>
          </cell>
        </row>
        <row r="637">
          <cell r="A637">
            <v>40809</v>
          </cell>
        </row>
        <row r="638">
          <cell r="A638">
            <v>40810</v>
          </cell>
        </row>
        <row r="639">
          <cell r="A639">
            <v>40811</v>
          </cell>
        </row>
        <row r="640">
          <cell r="A640">
            <v>40812</v>
          </cell>
        </row>
        <row r="641">
          <cell r="A641">
            <v>40813</v>
          </cell>
        </row>
        <row r="642">
          <cell r="A642">
            <v>40814</v>
          </cell>
        </row>
        <row r="643">
          <cell r="A643">
            <v>40815</v>
          </cell>
        </row>
        <row r="644">
          <cell r="A644">
            <v>40816</v>
          </cell>
        </row>
        <row r="645">
          <cell r="A645">
            <v>40817</v>
          </cell>
        </row>
        <row r="646">
          <cell r="A646">
            <v>40818</v>
          </cell>
        </row>
        <row r="647">
          <cell r="A647">
            <v>40819</v>
          </cell>
        </row>
        <row r="648">
          <cell r="A648">
            <v>40820</v>
          </cell>
        </row>
        <row r="649">
          <cell r="A649">
            <v>40821</v>
          </cell>
        </row>
        <row r="650">
          <cell r="A650">
            <v>40822</v>
          </cell>
        </row>
        <row r="651">
          <cell r="A651">
            <v>40823</v>
          </cell>
        </row>
        <row r="652">
          <cell r="A652">
            <v>40824</v>
          </cell>
        </row>
        <row r="653">
          <cell r="A653">
            <v>40825</v>
          </cell>
        </row>
        <row r="654">
          <cell r="A654">
            <v>40826</v>
          </cell>
        </row>
        <row r="655">
          <cell r="A655">
            <v>40827</v>
          </cell>
        </row>
        <row r="656">
          <cell r="A656">
            <v>40828</v>
          </cell>
        </row>
        <row r="657">
          <cell r="A657">
            <v>40829</v>
          </cell>
        </row>
        <row r="658">
          <cell r="A658">
            <v>40830</v>
          </cell>
        </row>
        <row r="659">
          <cell r="A659">
            <v>40831</v>
          </cell>
        </row>
        <row r="660">
          <cell r="A660">
            <v>40832</v>
          </cell>
        </row>
        <row r="661">
          <cell r="A661">
            <v>40833</v>
          </cell>
        </row>
        <row r="662">
          <cell r="A662">
            <v>40834</v>
          </cell>
        </row>
        <row r="663">
          <cell r="A663">
            <v>40835</v>
          </cell>
        </row>
        <row r="664">
          <cell r="A664">
            <v>40836</v>
          </cell>
        </row>
        <row r="665">
          <cell r="A665">
            <v>40837</v>
          </cell>
        </row>
        <row r="666">
          <cell r="A666">
            <v>40838</v>
          </cell>
        </row>
        <row r="667">
          <cell r="A667">
            <v>40839</v>
          </cell>
        </row>
        <row r="668">
          <cell r="A668">
            <v>40840</v>
          </cell>
        </row>
        <row r="669">
          <cell r="A669">
            <v>40841</v>
          </cell>
        </row>
        <row r="670">
          <cell r="A670">
            <v>40842</v>
          </cell>
        </row>
        <row r="671">
          <cell r="A671">
            <v>40843</v>
          </cell>
        </row>
        <row r="672">
          <cell r="A672">
            <v>40844</v>
          </cell>
        </row>
        <row r="673">
          <cell r="A673">
            <v>40845</v>
          </cell>
        </row>
        <row r="674">
          <cell r="A674">
            <v>40846</v>
          </cell>
        </row>
        <row r="675">
          <cell r="A675">
            <v>40847</v>
          </cell>
        </row>
        <row r="676">
          <cell r="A676">
            <v>40848</v>
          </cell>
        </row>
        <row r="677">
          <cell r="A677">
            <v>40849</v>
          </cell>
        </row>
        <row r="678">
          <cell r="A678">
            <v>40850</v>
          </cell>
        </row>
        <row r="679">
          <cell r="A679">
            <v>40851</v>
          </cell>
        </row>
        <row r="680">
          <cell r="A680">
            <v>40852</v>
          </cell>
        </row>
        <row r="681">
          <cell r="A681">
            <v>40853</v>
          </cell>
        </row>
        <row r="682">
          <cell r="A682">
            <v>40854</v>
          </cell>
        </row>
        <row r="683">
          <cell r="A683">
            <v>40855</v>
          </cell>
        </row>
        <row r="684">
          <cell r="A684">
            <v>40856</v>
          </cell>
        </row>
        <row r="685">
          <cell r="A685">
            <v>40857</v>
          </cell>
        </row>
        <row r="686">
          <cell r="A686">
            <v>40858</v>
          </cell>
        </row>
        <row r="687">
          <cell r="A687">
            <v>40859</v>
          </cell>
        </row>
        <row r="688">
          <cell r="A688">
            <v>40860</v>
          </cell>
        </row>
        <row r="689">
          <cell r="A689">
            <v>40861</v>
          </cell>
        </row>
        <row r="690">
          <cell r="A690">
            <v>40862</v>
          </cell>
        </row>
        <row r="691">
          <cell r="A691">
            <v>40863</v>
          </cell>
        </row>
        <row r="692">
          <cell r="A692">
            <v>40864</v>
          </cell>
        </row>
        <row r="693">
          <cell r="A693">
            <v>40865</v>
          </cell>
        </row>
        <row r="694">
          <cell r="A694">
            <v>40866</v>
          </cell>
        </row>
        <row r="695">
          <cell r="A695">
            <v>40867</v>
          </cell>
        </row>
        <row r="696">
          <cell r="A696">
            <v>40868</v>
          </cell>
        </row>
        <row r="697">
          <cell r="A697">
            <v>40869</v>
          </cell>
        </row>
        <row r="698">
          <cell r="A698">
            <v>40870</v>
          </cell>
        </row>
        <row r="699">
          <cell r="A699">
            <v>40871</v>
          </cell>
        </row>
        <row r="700">
          <cell r="A700">
            <v>40872</v>
          </cell>
        </row>
        <row r="701">
          <cell r="A701">
            <v>40873</v>
          </cell>
        </row>
        <row r="702">
          <cell r="A702">
            <v>40874</v>
          </cell>
        </row>
        <row r="703">
          <cell r="A703">
            <v>40875</v>
          </cell>
        </row>
        <row r="704">
          <cell r="A704">
            <v>40876</v>
          </cell>
        </row>
        <row r="705">
          <cell r="A705">
            <v>40877</v>
          </cell>
        </row>
        <row r="706">
          <cell r="A706">
            <v>40878</v>
          </cell>
        </row>
        <row r="707">
          <cell r="A707">
            <v>40879</v>
          </cell>
        </row>
        <row r="708">
          <cell r="A708">
            <v>40880</v>
          </cell>
        </row>
        <row r="709">
          <cell r="A709">
            <v>40881</v>
          </cell>
        </row>
        <row r="710">
          <cell r="A710">
            <v>40882</v>
          </cell>
        </row>
        <row r="711">
          <cell r="A711">
            <v>40883</v>
          </cell>
        </row>
        <row r="712">
          <cell r="A712">
            <v>40884</v>
          </cell>
        </row>
        <row r="713">
          <cell r="A713">
            <v>40885</v>
          </cell>
        </row>
        <row r="714">
          <cell r="A714">
            <v>40886</v>
          </cell>
        </row>
        <row r="715">
          <cell r="A715">
            <v>40887</v>
          </cell>
        </row>
        <row r="716">
          <cell r="A716">
            <v>40888</v>
          </cell>
        </row>
        <row r="717">
          <cell r="A717">
            <v>40889</v>
          </cell>
        </row>
        <row r="718">
          <cell r="A718">
            <v>40890</v>
          </cell>
        </row>
        <row r="719">
          <cell r="A719">
            <v>40891</v>
          </cell>
        </row>
        <row r="720">
          <cell r="A720">
            <v>40892</v>
          </cell>
        </row>
        <row r="721">
          <cell r="A721">
            <v>40893</v>
          </cell>
        </row>
        <row r="722">
          <cell r="A722">
            <v>40894</v>
          </cell>
        </row>
        <row r="723">
          <cell r="A723">
            <v>40895</v>
          </cell>
        </row>
        <row r="724">
          <cell r="A724">
            <v>40896</v>
          </cell>
        </row>
        <row r="725">
          <cell r="A725">
            <v>40897</v>
          </cell>
        </row>
        <row r="726">
          <cell r="A726">
            <v>40898</v>
          </cell>
        </row>
        <row r="727">
          <cell r="A727">
            <v>40899</v>
          </cell>
        </row>
        <row r="728">
          <cell r="A728">
            <v>40900</v>
          </cell>
        </row>
        <row r="729">
          <cell r="A729">
            <v>40901</v>
          </cell>
        </row>
        <row r="730">
          <cell r="A730">
            <v>40902</v>
          </cell>
        </row>
        <row r="731">
          <cell r="A731">
            <v>40903</v>
          </cell>
        </row>
        <row r="732">
          <cell r="A732">
            <v>40904</v>
          </cell>
        </row>
        <row r="733">
          <cell r="A733">
            <v>40905</v>
          </cell>
        </row>
        <row r="734">
          <cell r="A734">
            <v>40906</v>
          </cell>
        </row>
        <row r="735">
          <cell r="A735">
            <v>40907</v>
          </cell>
        </row>
        <row r="736">
          <cell r="A736">
            <v>40908</v>
          </cell>
        </row>
        <row r="737">
          <cell r="A737">
            <v>40909</v>
          </cell>
        </row>
        <row r="738">
          <cell r="A738">
            <v>40910</v>
          </cell>
        </row>
        <row r="739">
          <cell r="A739">
            <v>40911</v>
          </cell>
        </row>
        <row r="740">
          <cell r="A740">
            <v>40912</v>
          </cell>
        </row>
        <row r="741">
          <cell r="A741">
            <v>40913</v>
          </cell>
        </row>
        <row r="742">
          <cell r="A742">
            <v>40914</v>
          </cell>
        </row>
        <row r="743">
          <cell r="A743">
            <v>40915</v>
          </cell>
        </row>
        <row r="744">
          <cell r="A744">
            <v>40916</v>
          </cell>
        </row>
        <row r="745">
          <cell r="A745">
            <v>40917</v>
          </cell>
        </row>
        <row r="746">
          <cell r="A746">
            <v>40918</v>
          </cell>
        </row>
        <row r="747">
          <cell r="A747">
            <v>40919</v>
          </cell>
        </row>
        <row r="748">
          <cell r="A748">
            <v>40920</v>
          </cell>
        </row>
        <row r="749">
          <cell r="A749">
            <v>40921</v>
          </cell>
        </row>
        <row r="750">
          <cell r="A750">
            <v>40922</v>
          </cell>
        </row>
        <row r="751">
          <cell r="A751">
            <v>40923</v>
          </cell>
        </row>
        <row r="752">
          <cell r="A752">
            <v>40924</v>
          </cell>
        </row>
        <row r="753">
          <cell r="A753">
            <v>40925</v>
          </cell>
        </row>
        <row r="754">
          <cell r="A754">
            <v>40926</v>
          </cell>
        </row>
        <row r="755">
          <cell r="A755">
            <v>40927</v>
          </cell>
        </row>
        <row r="756">
          <cell r="A756">
            <v>40928</v>
          </cell>
        </row>
        <row r="757">
          <cell r="A757">
            <v>40929</v>
          </cell>
        </row>
        <row r="758">
          <cell r="A758">
            <v>40930</v>
          </cell>
        </row>
        <row r="759">
          <cell r="A759">
            <v>40931</v>
          </cell>
        </row>
        <row r="760">
          <cell r="A760">
            <v>40932</v>
          </cell>
        </row>
        <row r="761">
          <cell r="A761">
            <v>40933</v>
          </cell>
        </row>
        <row r="762">
          <cell r="A762">
            <v>40934</v>
          </cell>
        </row>
        <row r="763">
          <cell r="A763">
            <v>40935</v>
          </cell>
        </row>
        <row r="764">
          <cell r="A764">
            <v>40936</v>
          </cell>
        </row>
        <row r="765">
          <cell r="A765">
            <v>40937</v>
          </cell>
        </row>
        <row r="766">
          <cell r="A766">
            <v>40938</v>
          </cell>
        </row>
        <row r="767">
          <cell r="A767">
            <v>40939</v>
          </cell>
        </row>
        <row r="768">
          <cell r="A768">
            <v>40940</v>
          </cell>
        </row>
        <row r="769">
          <cell r="A769">
            <v>40941</v>
          </cell>
        </row>
        <row r="770">
          <cell r="A770">
            <v>40942</v>
          </cell>
        </row>
        <row r="771">
          <cell r="A771">
            <v>40943</v>
          </cell>
        </row>
        <row r="772">
          <cell r="A772">
            <v>40944</v>
          </cell>
        </row>
        <row r="773">
          <cell r="A773">
            <v>40945</v>
          </cell>
        </row>
        <row r="774">
          <cell r="A774">
            <v>40946</v>
          </cell>
        </row>
        <row r="775">
          <cell r="A775">
            <v>40947</v>
          </cell>
        </row>
        <row r="776">
          <cell r="A776">
            <v>40948</v>
          </cell>
        </row>
        <row r="777">
          <cell r="A777">
            <v>40949</v>
          </cell>
        </row>
        <row r="778">
          <cell r="A778">
            <v>40950</v>
          </cell>
        </row>
        <row r="779">
          <cell r="A779">
            <v>40951</v>
          </cell>
        </row>
        <row r="780">
          <cell r="A780">
            <v>40952</v>
          </cell>
        </row>
        <row r="781">
          <cell r="A781">
            <v>40953</v>
          </cell>
        </row>
        <row r="782">
          <cell r="A782">
            <v>40954</v>
          </cell>
        </row>
        <row r="783">
          <cell r="A783">
            <v>40955</v>
          </cell>
        </row>
        <row r="784">
          <cell r="A784">
            <v>40956</v>
          </cell>
        </row>
        <row r="785">
          <cell r="A785">
            <v>40957</v>
          </cell>
        </row>
        <row r="786">
          <cell r="A786">
            <v>40958</v>
          </cell>
        </row>
        <row r="787">
          <cell r="A787">
            <v>40959</v>
          </cell>
        </row>
        <row r="788">
          <cell r="A788">
            <v>40960</v>
          </cell>
        </row>
        <row r="789">
          <cell r="A789">
            <v>40961</v>
          </cell>
        </row>
        <row r="790">
          <cell r="A790">
            <v>40962</v>
          </cell>
        </row>
        <row r="791">
          <cell r="A791">
            <v>40963</v>
          </cell>
        </row>
        <row r="792">
          <cell r="A792">
            <v>40964</v>
          </cell>
        </row>
        <row r="793">
          <cell r="A793">
            <v>40965</v>
          </cell>
        </row>
        <row r="794">
          <cell r="A794">
            <v>40966</v>
          </cell>
        </row>
        <row r="795">
          <cell r="A795">
            <v>40967</v>
          </cell>
        </row>
        <row r="796">
          <cell r="A796">
            <v>40968</v>
          </cell>
        </row>
        <row r="797">
          <cell r="A797">
            <v>40969</v>
          </cell>
        </row>
        <row r="798">
          <cell r="A798">
            <v>40970</v>
          </cell>
        </row>
        <row r="799">
          <cell r="A799">
            <v>40971</v>
          </cell>
        </row>
        <row r="800">
          <cell r="A800">
            <v>40972</v>
          </cell>
        </row>
        <row r="801">
          <cell r="A801">
            <v>40973</v>
          </cell>
        </row>
        <row r="802">
          <cell r="A802">
            <v>40974</v>
          </cell>
        </row>
        <row r="803">
          <cell r="A803">
            <v>40975</v>
          </cell>
        </row>
        <row r="804">
          <cell r="A804">
            <v>40976</v>
          </cell>
        </row>
        <row r="805">
          <cell r="A805">
            <v>40977</v>
          </cell>
        </row>
        <row r="806">
          <cell r="A806">
            <v>40978</v>
          </cell>
        </row>
        <row r="807">
          <cell r="A807">
            <v>40979</v>
          </cell>
        </row>
        <row r="808">
          <cell r="A808">
            <v>40980</v>
          </cell>
        </row>
        <row r="809">
          <cell r="A809">
            <v>40981</v>
          </cell>
        </row>
        <row r="810">
          <cell r="A810">
            <v>40982</v>
          </cell>
        </row>
        <row r="811">
          <cell r="A811">
            <v>40983</v>
          </cell>
        </row>
        <row r="812">
          <cell r="A812">
            <v>40984</v>
          </cell>
        </row>
        <row r="813">
          <cell r="A813">
            <v>40985</v>
          </cell>
        </row>
        <row r="814">
          <cell r="A814">
            <v>40986</v>
          </cell>
        </row>
        <row r="815">
          <cell r="A815">
            <v>40987</v>
          </cell>
        </row>
        <row r="816">
          <cell r="A816">
            <v>40988</v>
          </cell>
        </row>
        <row r="817">
          <cell r="A817">
            <v>40989</v>
          </cell>
        </row>
        <row r="818">
          <cell r="A818">
            <v>40990</v>
          </cell>
        </row>
        <row r="819">
          <cell r="A819">
            <v>40991</v>
          </cell>
        </row>
        <row r="820">
          <cell r="A820">
            <v>40992</v>
          </cell>
        </row>
        <row r="821">
          <cell r="A821">
            <v>40993</v>
          </cell>
        </row>
        <row r="822">
          <cell r="A822">
            <v>40994</v>
          </cell>
        </row>
        <row r="823">
          <cell r="A823">
            <v>40995</v>
          </cell>
        </row>
        <row r="824">
          <cell r="A824">
            <v>40996</v>
          </cell>
        </row>
        <row r="825">
          <cell r="A825">
            <v>40997</v>
          </cell>
        </row>
        <row r="826">
          <cell r="A826">
            <v>40998</v>
          </cell>
        </row>
        <row r="827">
          <cell r="A827">
            <v>40999</v>
          </cell>
        </row>
        <row r="828">
          <cell r="A828">
            <v>41000</v>
          </cell>
        </row>
        <row r="829">
          <cell r="A829">
            <v>41001</v>
          </cell>
        </row>
        <row r="830">
          <cell r="A830">
            <v>41002</v>
          </cell>
        </row>
        <row r="831">
          <cell r="A831">
            <v>41003</v>
          </cell>
        </row>
        <row r="832">
          <cell r="A832">
            <v>41004</v>
          </cell>
        </row>
        <row r="833">
          <cell r="A833">
            <v>41005</v>
          </cell>
        </row>
        <row r="834">
          <cell r="A834">
            <v>41006</v>
          </cell>
        </row>
        <row r="835">
          <cell r="A835">
            <v>41007</v>
          </cell>
        </row>
        <row r="836">
          <cell r="A836">
            <v>41008</v>
          </cell>
        </row>
        <row r="837">
          <cell r="A837">
            <v>41009</v>
          </cell>
        </row>
        <row r="838">
          <cell r="A838">
            <v>41010</v>
          </cell>
        </row>
        <row r="839">
          <cell r="A839">
            <v>41011</v>
          </cell>
        </row>
        <row r="840">
          <cell r="A840">
            <v>41012</v>
          </cell>
        </row>
        <row r="841">
          <cell r="A841">
            <v>41013</v>
          </cell>
        </row>
        <row r="842">
          <cell r="A842">
            <v>41014</v>
          </cell>
        </row>
        <row r="843">
          <cell r="A843">
            <v>41015</v>
          </cell>
        </row>
        <row r="844">
          <cell r="A844">
            <v>41016</v>
          </cell>
        </row>
        <row r="845">
          <cell r="A845">
            <v>41017</v>
          </cell>
        </row>
        <row r="846">
          <cell r="A846">
            <v>41018</v>
          </cell>
        </row>
        <row r="847">
          <cell r="A847">
            <v>41019</v>
          </cell>
        </row>
        <row r="848">
          <cell r="A848">
            <v>41020</v>
          </cell>
        </row>
        <row r="849">
          <cell r="A849">
            <v>41021</v>
          </cell>
        </row>
        <row r="850">
          <cell r="A850">
            <v>41022</v>
          </cell>
        </row>
        <row r="851">
          <cell r="A851">
            <v>41023</v>
          </cell>
        </row>
        <row r="852">
          <cell r="A852">
            <v>41024</v>
          </cell>
        </row>
        <row r="853">
          <cell r="A853">
            <v>41025</v>
          </cell>
        </row>
        <row r="854">
          <cell r="A854">
            <v>41026</v>
          </cell>
        </row>
        <row r="855">
          <cell r="A855">
            <v>41027</v>
          </cell>
        </row>
        <row r="856">
          <cell r="A856">
            <v>41028</v>
          </cell>
        </row>
        <row r="857">
          <cell r="A857">
            <v>41029</v>
          </cell>
        </row>
        <row r="858">
          <cell r="A858">
            <v>41030</v>
          </cell>
        </row>
        <row r="859">
          <cell r="A859">
            <v>41031</v>
          </cell>
        </row>
        <row r="860">
          <cell r="A860">
            <v>41032</v>
          </cell>
        </row>
        <row r="861">
          <cell r="A861">
            <v>41033</v>
          </cell>
        </row>
        <row r="862">
          <cell r="A862">
            <v>41034</v>
          </cell>
        </row>
        <row r="863">
          <cell r="A863">
            <v>41035</v>
          </cell>
        </row>
        <row r="864">
          <cell r="A864">
            <v>41036</v>
          </cell>
        </row>
        <row r="865">
          <cell r="A865">
            <v>41037</v>
          </cell>
        </row>
        <row r="866">
          <cell r="A866">
            <v>41038</v>
          </cell>
        </row>
        <row r="867">
          <cell r="A867">
            <v>41039</v>
          </cell>
        </row>
        <row r="868">
          <cell r="A868">
            <v>41040</v>
          </cell>
        </row>
        <row r="869">
          <cell r="A869">
            <v>41041</v>
          </cell>
        </row>
        <row r="870">
          <cell r="A870">
            <v>41042</v>
          </cell>
        </row>
        <row r="871">
          <cell r="A871">
            <v>41043</v>
          </cell>
        </row>
        <row r="872">
          <cell r="A872">
            <v>41044</v>
          </cell>
        </row>
        <row r="873">
          <cell r="A873">
            <v>41045</v>
          </cell>
        </row>
        <row r="874">
          <cell r="A874">
            <v>41046</v>
          </cell>
        </row>
        <row r="875">
          <cell r="A875">
            <v>41047</v>
          </cell>
        </row>
        <row r="876">
          <cell r="A876">
            <v>41048</v>
          </cell>
        </row>
        <row r="877">
          <cell r="A877">
            <v>41049</v>
          </cell>
        </row>
        <row r="878">
          <cell r="A878">
            <v>41050</v>
          </cell>
        </row>
        <row r="879">
          <cell r="A879">
            <v>41051</v>
          </cell>
        </row>
        <row r="880">
          <cell r="A880">
            <v>41052</v>
          </cell>
        </row>
        <row r="881">
          <cell r="A881">
            <v>41053</v>
          </cell>
        </row>
        <row r="882">
          <cell r="A882">
            <v>41054</v>
          </cell>
        </row>
        <row r="883">
          <cell r="A883">
            <v>41055</v>
          </cell>
        </row>
        <row r="884">
          <cell r="A884">
            <v>41056</v>
          </cell>
        </row>
        <row r="885">
          <cell r="A885">
            <v>41057</v>
          </cell>
        </row>
        <row r="886">
          <cell r="A886">
            <v>41058</v>
          </cell>
        </row>
        <row r="887">
          <cell r="A887">
            <v>41059</v>
          </cell>
        </row>
        <row r="888">
          <cell r="A888">
            <v>41060</v>
          </cell>
        </row>
        <row r="889">
          <cell r="A889">
            <v>41061</v>
          </cell>
        </row>
        <row r="890">
          <cell r="A890">
            <v>41062</v>
          </cell>
        </row>
        <row r="891">
          <cell r="A891">
            <v>41063</v>
          </cell>
        </row>
        <row r="892">
          <cell r="A892">
            <v>41064</v>
          </cell>
        </row>
        <row r="893">
          <cell r="A893">
            <v>41065</v>
          </cell>
        </row>
        <row r="894">
          <cell r="A894">
            <v>41066</v>
          </cell>
        </row>
        <row r="895">
          <cell r="A895">
            <v>41067</v>
          </cell>
        </row>
        <row r="896">
          <cell r="A896">
            <v>41068</v>
          </cell>
        </row>
        <row r="897">
          <cell r="A897">
            <v>41069</v>
          </cell>
        </row>
        <row r="898">
          <cell r="A898">
            <v>41070</v>
          </cell>
        </row>
        <row r="899">
          <cell r="A899">
            <v>41071</v>
          </cell>
        </row>
        <row r="900">
          <cell r="A900">
            <v>41072</v>
          </cell>
        </row>
        <row r="901">
          <cell r="A901">
            <v>41073</v>
          </cell>
        </row>
        <row r="902">
          <cell r="A902">
            <v>41074</v>
          </cell>
        </row>
        <row r="903">
          <cell r="A903">
            <v>41075</v>
          </cell>
        </row>
        <row r="904">
          <cell r="A904">
            <v>41076</v>
          </cell>
        </row>
        <row r="905">
          <cell r="A905">
            <v>41077</v>
          </cell>
        </row>
        <row r="906">
          <cell r="A906">
            <v>41078</v>
          </cell>
        </row>
        <row r="907">
          <cell r="A907">
            <v>41079</v>
          </cell>
        </row>
        <row r="908">
          <cell r="A908">
            <v>41080</v>
          </cell>
        </row>
        <row r="909">
          <cell r="A909">
            <v>41081</v>
          </cell>
        </row>
        <row r="910">
          <cell r="A910">
            <v>41082</v>
          </cell>
        </row>
        <row r="911">
          <cell r="A911">
            <v>41083</v>
          </cell>
        </row>
        <row r="912">
          <cell r="A912">
            <v>41084</v>
          </cell>
        </row>
        <row r="913">
          <cell r="A913">
            <v>41085</v>
          </cell>
        </row>
        <row r="914">
          <cell r="A914">
            <v>41086</v>
          </cell>
        </row>
        <row r="915">
          <cell r="A915">
            <v>41087</v>
          </cell>
        </row>
        <row r="916">
          <cell r="A916">
            <v>41088</v>
          </cell>
        </row>
        <row r="917">
          <cell r="A917">
            <v>41089</v>
          </cell>
        </row>
        <row r="918">
          <cell r="A918">
            <v>41090</v>
          </cell>
        </row>
        <row r="919">
          <cell r="A919">
            <v>41091</v>
          </cell>
        </row>
        <row r="920">
          <cell r="A920">
            <v>41092</v>
          </cell>
        </row>
        <row r="921">
          <cell r="A921">
            <v>41093</v>
          </cell>
        </row>
        <row r="922">
          <cell r="A922">
            <v>41094</v>
          </cell>
        </row>
        <row r="923">
          <cell r="A923">
            <v>41095</v>
          </cell>
        </row>
        <row r="924">
          <cell r="A924">
            <v>41096</v>
          </cell>
        </row>
        <row r="925">
          <cell r="A925">
            <v>41097</v>
          </cell>
        </row>
        <row r="926">
          <cell r="A926">
            <v>41098</v>
          </cell>
        </row>
        <row r="927">
          <cell r="A927">
            <v>41099</v>
          </cell>
        </row>
        <row r="928">
          <cell r="A928">
            <v>41100</v>
          </cell>
        </row>
        <row r="929">
          <cell r="A929">
            <v>41101</v>
          </cell>
        </row>
        <row r="930">
          <cell r="A930">
            <v>41102</v>
          </cell>
        </row>
        <row r="931">
          <cell r="A931">
            <v>41103</v>
          </cell>
        </row>
        <row r="932">
          <cell r="A932">
            <v>41104</v>
          </cell>
        </row>
        <row r="933">
          <cell r="A933">
            <v>41105</v>
          </cell>
        </row>
        <row r="934">
          <cell r="A934">
            <v>41106</v>
          </cell>
        </row>
        <row r="935">
          <cell r="A935">
            <v>41107</v>
          </cell>
        </row>
        <row r="936">
          <cell r="A936">
            <v>41108</v>
          </cell>
        </row>
        <row r="937">
          <cell r="A937">
            <v>41109</v>
          </cell>
        </row>
        <row r="938">
          <cell r="A938">
            <v>41110</v>
          </cell>
        </row>
        <row r="939">
          <cell r="A939">
            <v>41111</v>
          </cell>
        </row>
        <row r="940">
          <cell r="A940">
            <v>41112</v>
          </cell>
        </row>
        <row r="941">
          <cell r="A941">
            <v>41113</v>
          </cell>
        </row>
        <row r="942">
          <cell r="A942">
            <v>41114</v>
          </cell>
        </row>
        <row r="943">
          <cell r="A943">
            <v>41115</v>
          </cell>
        </row>
        <row r="944">
          <cell r="A944">
            <v>41116</v>
          </cell>
        </row>
        <row r="945">
          <cell r="A945">
            <v>41117</v>
          </cell>
        </row>
        <row r="946">
          <cell r="A946">
            <v>41118</v>
          </cell>
        </row>
        <row r="947">
          <cell r="A947">
            <v>41119</v>
          </cell>
        </row>
        <row r="948">
          <cell r="A948">
            <v>41120</v>
          </cell>
        </row>
        <row r="949">
          <cell r="A949">
            <v>41121</v>
          </cell>
        </row>
        <row r="950">
          <cell r="A950">
            <v>41122</v>
          </cell>
        </row>
        <row r="951">
          <cell r="A951">
            <v>41123</v>
          </cell>
        </row>
        <row r="952">
          <cell r="A952">
            <v>41124</v>
          </cell>
        </row>
        <row r="953">
          <cell r="A953">
            <v>41125</v>
          </cell>
        </row>
        <row r="954">
          <cell r="A954">
            <v>41126</v>
          </cell>
        </row>
        <row r="955">
          <cell r="A955">
            <v>41127</v>
          </cell>
        </row>
        <row r="956">
          <cell r="A956">
            <v>41128</v>
          </cell>
        </row>
        <row r="957">
          <cell r="A957">
            <v>41129</v>
          </cell>
        </row>
        <row r="958">
          <cell r="A958">
            <v>41130</v>
          </cell>
        </row>
        <row r="959">
          <cell r="A959">
            <v>41131</v>
          </cell>
        </row>
        <row r="960">
          <cell r="A960">
            <v>41132</v>
          </cell>
        </row>
        <row r="961">
          <cell r="A961">
            <v>41133</v>
          </cell>
        </row>
        <row r="962">
          <cell r="A962">
            <v>41134</v>
          </cell>
        </row>
        <row r="963">
          <cell r="A963">
            <v>41135</v>
          </cell>
        </row>
        <row r="964">
          <cell r="A964">
            <v>41136</v>
          </cell>
        </row>
        <row r="965">
          <cell r="A965">
            <v>41137</v>
          </cell>
        </row>
        <row r="966">
          <cell r="A966">
            <v>41138</v>
          </cell>
        </row>
        <row r="967">
          <cell r="A967">
            <v>41139</v>
          </cell>
        </row>
        <row r="968">
          <cell r="A968">
            <v>41140</v>
          </cell>
        </row>
        <row r="969">
          <cell r="A969">
            <v>41141</v>
          </cell>
        </row>
        <row r="970">
          <cell r="A970">
            <v>41142</v>
          </cell>
        </row>
        <row r="971">
          <cell r="A971">
            <v>41143</v>
          </cell>
        </row>
        <row r="972">
          <cell r="A972">
            <v>41144</v>
          </cell>
        </row>
        <row r="973">
          <cell r="A973">
            <v>41145</v>
          </cell>
        </row>
        <row r="974">
          <cell r="A974">
            <v>41146</v>
          </cell>
        </row>
        <row r="975">
          <cell r="A975">
            <v>41147</v>
          </cell>
        </row>
        <row r="976">
          <cell r="A976">
            <v>41148</v>
          </cell>
        </row>
        <row r="977">
          <cell r="A977">
            <v>41149</v>
          </cell>
        </row>
        <row r="978">
          <cell r="A978">
            <v>41150</v>
          </cell>
        </row>
        <row r="979">
          <cell r="A979">
            <v>41151</v>
          </cell>
        </row>
        <row r="980">
          <cell r="A980">
            <v>41152</v>
          </cell>
        </row>
        <row r="981">
          <cell r="A981">
            <v>41153</v>
          </cell>
        </row>
        <row r="982">
          <cell r="A982">
            <v>41154</v>
          </cell>
        </row>
        <row r="983">
          <cell r="A983">
            <v>41155</v>
          </cell>
        </row>
        <row r="984">
          <cell r="A984">
            <v>41156</v>
          </cell>
        </row>
        <row r="985">
          <cell r="A985">
            <v>41157</v>
          </cell>
        </row>
        <row r="986">
          <cell r="A986">
            <v>41158</v>
          </cell>
        </row>
        <row r="987">
          <cell r="A987">
            <v>41159</v>
          </cell>
        </row>
        <row r="988">
          <cell r="A988">
            <v>41160</v>
          </cell>
        </row>
        <row r="989">
          <cell r="A989">
            <v>41161</v>
          </cell>
        </row>
        <row r="990">
          <cell r="A990">
            <v>41162</v>
          </cell>
        </row>
        <row r="991">
          <cell r="A991">
            <v>41163</v>
          </cell>
        </row>
        <row r="992">
          <cell r="A992">
            <v>41164</v>
          </cell>
        </row>
        <row r="993">
          <cell r="A993">
            <v>41165</v>
          </cell>
        </row>
        <row r="994">
          <cell r="A994">
            <v>41166</v>
          </cell>
        </row>
        <row r="995">
          <cell r="A995">
            <v>41167</v>
          </cell>
        </row>
        <row r="996">
          <cell r="A996">
            <v>41168</v>
          </cell>
        </row>
        <row r="997">
          <cell r="A997">
            <v>41169</v>
          </cell>
        </row>
        <row r="998">
          <cell r="A998">
            <v>41170</v>
          </cell>
        </row>
        <row r="999">
          <cell r="A999">
            <v>41171</v>
          </cell>
        </row>
        <row r="1000">
          <cell r="A1000">
            <v>41172</v>
          </cell>
        </row>
        <row r="1001">
          <cell r="A1001">
            <v>41173</v>
          </cell>
        </row>
        <row r="1002">
          <cell r="A1002">
            <v>41174</v>
          </cell>
        </row>
        <row r="1003">
          <cell r="A1003">
            <v>41175</v>
          </cell>
        </row>
        <row r="1004">
          <cell r="A1004">
            <v>41176</v>
          </cell>
        </row>
        <row r="1005">
          <cell r="A1005">
            <v>41177</v>
          </cell>
        </row>
        <row r="1006">
          <cell r="A1006">
            <v>41178</v>
          </cell>
        </row>
        <row r="1007">
          <cell r="A1007">
            <v>41179</v>
          </cell>
        </row>
        <row r="1008">
          <cell r="A1008">
            <v>41180</v>
          </cell>
        </row>
        <row r="1009">
          <cell r="A1009">
            <v>41181</v>
          </cell>
        </row>
        <row r="1010">
          <cell r="A1010">
            <v>41182</v>
          </cell>
        </row>
        <row r="1011">
          <cell r="A1011">
            <v>41183</v>
          </cell>
        </row>
        <row r="1012">
          <cell r="A1012">
            <v>41184</v>
          </cell>
        </row>
        <row r="1013">
          <cell r="A1013">
            <v>41185</v>
          </cell>
        </row>
        <row r="1014">
          <cell r="A1014">
            <v>41186</v>
          </cell>
        </row>
        <row r="1015">
          <cell r="A1015">
            <v>41187</v>
          </cell>
        </row>
        <row r="1016">
          <cell r="A1016">
            <v>41188</v>
          </cell>
        </row>
        <row r="1017">
          <cell r="A1017">
            <v>41189</v>
          </cell>
        </row>
        <row r="1018">
          <cell r="A1018">
            <v>41190</v>
          </cell>
        </row>
        <row r="1019">
          <cell r="A1019">
            <v>41191</v>
          </cell>
        </row>
        <row r="1020">
          <cell r="A1020">
            <v>41192</v>
          </cell>
        </row>
        <row r="1021">
          <cell r="A1021">
            <v>41193</v>
          </cell>
        </row>
        <row r="1022">
          <cell r="A1022">
            <v>41194</v>
          </cell>
        </row>
        <row r="1023">
          <cell r="A1023">
            <v>41195</v>
          </cell>
        </row>
        <row r="1024">
          <cell r="A1024">
            <v>41196</v>
          </cell>
        </row>
        <row r="1025">
          <cell r="A1025">
            <v>41197</v>
          </cell>
        </row>
        <row r="1026">
          <cell r="A1026">
            <v>41198</v>
          </cell>
        </row>
        <row r="1027">
          <cell r="A1027">
            <v>41199</v>
          </cell>
        </row>
        <row r="1028">
          <cell r="A1028">
            <v>41200</v>
          </cell>
        </row>
        <row r="1029">
          <cell r="A1029">
            <v>41201</v>
          </cell>
        </row>
        <row r="1030">
          <cell r="A1030">
            <v>41202</v>
          </cell>
        </row>
        <row r="1031">
          <cell r="A1031">
            <v>41203</v>
          </cell>
        </row>
        <row r="1032">
          <cell r="A1032">
            <v>41204</v>
          </cell>
        </row>
        <row r="1033">
          <cell r="A1033">
            <v>41205</v>
          </cell>
        </row>
        <row r="1034">
          <cell r="A1034">
            <v>41206</v>
          </cell>
        </row>
        <row r="1035">
          <cell r="A1035">
            <v>41207</v>
          </cell>
        </row>
        <row r="1036">
          <cell r="A1036">
            <v>41208</v>
          </cell>
        </row>
        <row r="1037">
          <cell r="A1037">
            <v>41209</v>
          </cell>
        </row>
        <row r="1038">
          <cell r="A1038">
            <v>41210</v>
          </cell>
        </row>
        <row r="1039">
          <cell r="A1039">
            <v>41211</v>
          </cell>
        </row>
        <row r="1040">
          <cell r="A1040">
            <v>41212</v>
          </cell>
        </row>
        <row r="1041">
          <cell r="A1041">
            <v>41213</v>
          </cell>
        </row>
        <row r="1042">
          <cell r="A1042">
            <v>41214</v>
          </cell>
        </row>
        <row r="1043">
          <cell r="A1043">
            <v>41215</v>
          </cell>
        </row>
        <row r="1044">
          <cell r="A1044">
            <v>41216</v>
          </cell>
        </row>
        <row r="1045">
          <cell r="A1045">
            <v>41217</v>
          </cell>
        </row>
        <row r="1046">
          <cell r="A1046">
            <v>41218</v>
          </cell>
        </row>
        <row r="1047">
          <cell r="A1047">
            <v>41219</v>
          </cell>
        </row>
        <row r="1048">
          <cell r="A1048">
            <v>41220</v>
          </cell>
        </row>
        <row r="1049">
          <cell r="A1049">
            <v>41221</v>
          </cell>
        </row>
        <row r="1050">
          <cell r="A1050">
            <v>41222</v>
          </cell>
        </row>
        <row r="1051">
          <cell r="A1051">
            <v>41223</v>
          </cell>
        </row>
        <row r="1052">
          <cell r="A1052">
            <v>41224</v>
          </cell>
        </row>
        <row r="1053">
          <cell r="A1053">
            <v>41225</v>
          </cell>
        </row>
        <row r="1054">
          <cell r="A1054">
            <v>41226</v>
          </cell>
        </row>
        <row r="1055">
          <cell r="A1055">
            <v>41227</v>
          </cell>
        </row>
        <row r="1056">
          <cell r="A1056">
            <v>41228</v>
          </cell>
        </row>
        <row r="1057">
          <cell r="A1057">
            <v>41229</v>
          </cell>
        </row>
        <row r="1058">
          <cell r="A1058">
            <v>41230</v>
          </cell>
        </row>
        <row r="1059">
          <cell r="A1059">
            <v>41231</v>
          </cell>
        </row>
        <row r="1060">
          <cell r="A1060">
            <v>41232</v>
          </cell>
        </row>
        <row r="1061">
          <cell r="A1061">
            <v>41233</v>
          </cell>
        </row>
        <row r="1062">
          <cell r="A1062">
            <v>41234</v>
          </cell>
        </row>
        <row r="1063">
          <cell r="A1063">
            <v>41235</v>
          </cell>
        </row>
        <row r="1064">
          <cell r="A1064">
            <v>41236</v>
          </cell>
        </row>
        <row r="1065">
          <cell r="A1065">
            <v>41237</v>
          </cell>
        </row>
        <row r="1066">
          <cell r="A1066">
            <v>41238</v>
          </cell>
        </row>
        <row r="1067">
          <cell r="A1067">
            <v>41239</v>
          </cell>
        </row>
        <row r="1068">
          <cell r="A1068">
            <v>41240</v>
          </cell>
        </row>
        <row r="1069">
          <cell r="A1069">
            <v>41241</v>
          </cell>
        </row>
        <row r="1070">
          <cell r="A1070">
            <v>41242</v>
          </cell>
        </row>
        <row r="1071">
          <cell r="A1071">
            <v>41243</v>
          </cell>
        </row>
        <row r="1072">
          <cell r="A1072">
            <v>41244</v>
          </cell>
        </row>
        <row r="1073">
          <cell r="A1073">
            <v>41245</v>
          </cell>
        </row>
        <row r="1074">
          <cell r="A1074">
            <v>41246</v>
          </cell>
        </row>
        <row r="1075">
          <cell r="A1075">
            <v>41247</v>
          </cell>
        </row>
        <row r="1076">
          <cell r="A1076">
            <v>41248</v>
          </cell>
        </row>
        <row r="1077">
          <cell r="A1077">
            <v>41249</v>
          </cell>
        </row>
        <row r="1078">
          <cell r="A1078">
            <v>41250</v>
          </cell>
        </row>
        <row r="1079">
          <cell r="A1079">
            <v>41251</v>
          </cell>
        </row>
        <row r="1080">
          <cell r="A1080">
            <v>41252</v>
          </cell>
        </row>
        <row r="1081">
          <cell r="A1081">
            <v>41253</v>
          </cell>
        </row>
        <row r="1082">
          <cell r="A1082">
            <v>41254</v>
          </cell>
        </row>
        <row r="1083">
          <cell r="A1083">
            <v>41255</v>
          </cell>
        </row>
        <row r="1084">
          <cell r="A1084">
            <v>41256</v>
          </cell>
        </row>
        <row r="1085">
          <cell r="A1085">
            <v>41257</v>
          </cell>
        </row>
        <row r="1086">
          <cell r="A1086">
            <v>41258</v>
          </cell>
        </row>
        <row r="1087">
          <cell r="A1087">
            <v>41259</v>
          </cell>
        </row>
        <row r="1088">
          <cell r="A1088">
            <v>41260</v>
          </cell>
        </row>
        <row r="1089">
          <cell r="A1089">
            <v>41261</v>
          </cell>
        </row>
        <row r="1090">
          <cell r="A1090">
            <v>41262</v>
          </cell>
        </row>
        <row r="1091">
          <cell r="A1091">
            <v>41263</v>
          </cell>
        </row>
        <row r="1092">
          <cell r="A1092">
            <v>41264</v>
          </cell>
        </row>
        <row r="1093">
          <cell r="A1093">
            <v>41265</v>
          </cell>
        </row>
        <row r="1094">
          <cell r="A1094">
            <v>41266</v>
          </cell>
        </row>
        <row r="1095">
          <cell r="A1095">
            <v>41267</v>
          </cell>
        </row>
        <row r="1096">
          <cell r="A1096">
            <v>41268</v>
          </cell>
        </row>
        <row r="1097">
          <cell r="A1097">
            <v>41269</v>
          </cell>
        </row>
        <row r="1098">
          <cell r="A1098">
            <v>41270</v>
          </cell>
        </row>
        <row r="1099">
          <cell r="A1099">
            <v>41271</v>
          </cell>
        </row>
        <row r="1100">
          <cell r="A1100">
            <v>41272</v>
          </cell>
        </row>
        <row r="1101">
          <cell r="A1101">
            <v>41273</v>
          </cell>
        </row>
        <row r="1102">
          <cell r="A1102">
            <v>41274</v>
          </cell>
        </row>
        <row r="1103">
          <cell r="A1103">
            <v>41275</v>
          </cell>
        </row>
        <row r="1104">
          <cell r="A1104">
            <v>41276</v>
          </cell>
        </row>
        <row r="1105">
          <cell r="A1105">
            <v>41277</v>
          </cell>
        </row>
        <row r="1106">
          <cell r="A1106">
            <v>41278</v>
          </cell>
        </row>
        <row r="1107">
          <cell r="A1107">
            <v>41279</v>
          </cell>
        </row>
        <row r="1108">
          <cell r="A1108">
            <v>41280</v>
          </cell>
        </row>
        <row r="1109">
          <cell r="A1109">
            <v>41281</v>
          </cell>
        </row>
        <row r="1110">
          <cell r="A1110">
            <v>41282</v>
          </cell>
        </row>
        <row r="1111">
          <cell r="A1111">
            <v>41283</v>
          </cell>
        </row>
        <row r="1112">
          <cell r="A1112">
            <v>41284</v>
          </cell>
        </row>
        <row r="1113">
          <cell r="A1113">
            <v>41285</v>
          </cell>
        </row>
        <row r="1114">
          <cell r="A1114">
            <v>41286</v>
          </cell>
        </row>
        <row r="1115">
          <cell r="A1115">
            <v>41287</v>
          </cell>
        </row>
        <row r="1116">
          <cell r="A1116">
            <v>41288</v>
          </cell>
        </row>
        <row r="1117">
          <cell r="A1117">
            <v>41289</v>
          </cell>
        </row>
        <row r="1118">
          <cell r="A1118">
            <v>41290</v>
          </cell>
        </row>
        <row r="1119">
          <cell r="A1119">
            <v>41291</v>
          </cell>
        </row>
        <row r="1120">
          <cell r="A1120">
            <v>41292</v>
          </cell>
        </row>
        <row r="1121">
          <cell r="A1121">
            <v>41293</v>
          </cell>
        </row>
        <row r="1122">
          <cell r="A1122">
            <v>41294</v>
          </cell>
        </row>
        <row r="1123">
          <cell r="A1123">
            <v>41295</v>
          </cell>
        </row>
        <row r="1124">
          <cell r="A1124">
            <v>41296</v>
          </cell>
        </row>
        <row r="1125">
          <cell r="A1125">
            <v>41297</v>
          </cell>
        </row>
        <row r="1126">
          <cell r="A1126">
            <v>41298</v>
          </cell>
        </row>
        <row r="1127">
          <cell r="A1127">
            <v>41299</v>
          </cell>
        </row>
        <row r="1128">
          <cell r="A1128">
            <v>41300</v>
          </cell>
        </row>
        <row r="1129">
          <cell r="A1129">
            <v>41301</v>
          </cell>
        </row>
        <row r="1130">
          <cell r="A1130">
            <v>41302</v>
          </cell>
        </row>
        <row r="1131">
          <cell r="A1131">
            <v>41303</v>
          </cell>
        </row>
        <row r="1132">
          <cell r="A1132">
            <v>41304</v>
          </cell>
        </row>
        <row r="1133">
          <cell r="A1133">
            <v>41305</v>
          </cell>
        </row>
        <row r="1134">
          <cell r="A1134">
            <v>41306</v>
          </cell>
        </row>
        <row r="1135">
          <cell r="A1135">
            <v>41307</v>
          </cell>
        </row>
        <row r="1136">
          <cell r="A1136">
            <v>41308</v>
          </cell>
        </row>
        <row r="1137">
          <cell r="A1137">
            <v>41309</v>
          </cell>
        </row>
        <row r="1138">
          <cell r="A1138">
            <v>41310</v>
          </cell>
        </row>
        <row r="1139">
          <cell r="A1139">
            <v>41311</v>
          </cell>
        </row>
        <row r="1140">
          <cell r="A1140">
            <v>41312</v>
          </cell>
        </row>
        <row r="1141">
          <cell r="A1141">
            <v>41313</v>
          </cell>
        </row>
        <row r="1142">
          <cell r="A1142">
            <v>41314</v>
          </cell>
        </row>
        <row r="1143">
          <cell r="A1143">
            <v>41315</v>
          </cell>
        </row>
        <row r="1144">
          <cell r="A1144">
            <v>41316</v>
          </cell>
        </row>
        <row r="1145">
          <cell r="A1145">
            <v>41317</v>
          </cell>
        </row>
        <row r="1146">
          <cell r="A1146">
            <v>41318</v>
          </cell>
        </row>
        <row r="1147">
          <cell r="A1147">
            <v>41319</v>
          </cell>
        </row>
        <row r="1148">
          <cell r="A1148">
            <v>41320</v>
          </cell>
        </row>
        <row r="1149">
          <cell r="A1149">
            <v>41321</v>
          </cell>
        </row>
        <row r="1150">
          <cell r="A1150">
            <v>41322</v>
          </cell>
        </row>
        <row r="1151">
          <cell r="A1151">
            <v>41323</v>
          </cell>
        </row>
        <row r="1152">
          <cell r="A1152">
            <v>41324</v>
          </cell>
        </row>
        <row r="1153">
          <cell r="A1153">
            <v>41325</v>
          </cell>
        </row>
        <row r="1154">
          <cell r="A1154">
            <v>41326</v>
          </cell>
        </row>
        <row r="1155">
          <cell r="A1155">
            <v>41327</v>
          </cell>
        </row>
        <row r="1156">
          <cell r="A1156">
            <v>41328</v>
          </cell>
        </row>
        <row r="1157">
          <cell r="A1157">
            <v>41329</v>
          </cell>
        </row>
        <row r="1158">
          <cell r="A1158">
            <v>41330</v>
          </cell>
        </row>
        <row r="1159">
          <cell r="A1159">
            <v>41331</v>
          </cell>
        </row>
        <row r="1160">
          <cell r="A1160">
            <v>41332</v>
          </cell>
        </row>
        <row r="1161">
          <cell r="A1161">
            <v>41333</v>
          </cell>
        </row>
        <row r="1162">
          <cell r="A1162">
            <v>41334</v>
          </cell>
        </row>
        <row r="1163">
          <cell r="A1163">
            <v>41335</v>
          </cell>
        </row>
        <row r="1164">
          <cell r="A1164">
            <v>41336</v>
          </cell>
        </row>
        <row r="1165">
          <cell r="A1165">
            <v>41337</v>
          </cell>
        </row>
        <row r="1166">
          <cell r="A1166">
            <v>41338</v>
          </cell>
        </row>
        <row r="1167">
          <cell r="A1167">
            <v>41339</v>
          </cell>
        </row>
        <row r="1168">
          <cell r="A1168">
            <v>41340</v>
          </cell>
        </row>
        <row r="1169">
          <cell r="A1169">
            <v>41341</v>
          </cell>
        </row>
        <row r="1170">
          <cell r="A1170">
            <v>41342</v>
          </cell>
        </row>
        <row r="1171">
          <cell r="A1171">
            <v>41343</v>
          </cell>
        </row>
        <row r="1172">
          <cell r="A1172">
            <v>41344</v>
          </cell>
        </row>
        <row r="1173">
          <cell r="A1173">
            <v>41345</v>
          </cell>
        </row>
        <row r="1174">
          <cell r="A1174">
            <v>41346</v>
          </cell>
        </row>
        <row r="1175">
          <cell r="A1175">
            <v>41347</v>
          </cell>
        </row>
        <row r="1176">
          <cell r="A1176">
            <v>41348</v>
          </cell>
        </row>
        <row r="1177">
          <cell r="A1177">
            <v>41349</v>
          </cell>
        </row>
        <row r="1178">
          <cell r="A1178">
            <v>41350</v>
          </cell>
        </row>
        <row r="1179">
          <cell r="A1179">
            <v>41351</v>
          </cell>
        </row>
        <row r="1180">
          <cell r="A1180">
            <v>41352</v>
          </cell>
        </row>
        <row r="1181">
          <cell r="A1181">
            <v>41353</v>
          </cell>
        </row>
        <row r="1182">
          <cell r="A1182">
            <v>41354</v>
          </cell>
        </row>
        <row r="1183">
          <cell r="A1183">
            <v>41355</v>
          </cell>
        </row>
        <row r="1184">
          <cell r="A1184">
            <v>41356</v>
          </cell>
        </row>
        <row r="1185">
          <cell r="A1185">
            <v>41357</v>
          </cell>
        </row>
        <row r="1186">
          <cell r="A1186">
            <v>41358</v>
          </cell>
        </row>
        <row r="1187">
          <cell r="A1187">
            <v>41359</v>
          </cell>
        </row>
        <row r="1188">
          <cell r="A1188">
            <v>41360</v>
          </cell>
        </row>
        <row r="1189">
          <cell r="A1189">
            <v>41361</v>
          </cell>
        </row>
        <row r="1190">
          <cell r="A1190">
            <v>41362</v>
          </cell>
        </row>
        <row r="1191">
          <cell r="A1191">
            <v>41363</v>
          </cell>
        </row>
        <row r="1192">
          <cell r="A1192">
            <v>41364</v>
          </cell>
        </row>
        <row r="1193">
          <cell r="A1193">
            <v>41365</v>
          </cell>
        </row>
        <row r="1194">
          <cell r="A1194">
            <v>41366</v>
          </cell>
        </row>
        <row r="1195">
          <cell r="A1195">
            <v>41367</v>
          </cell>
        </row>
        <row r="1196">
          <cell r="A1196">
            <v>41368</v>
          </cell>
        </row>
        <row r="1197">
          <cell r="A1197">
            <v>41369</v>
          </cell>
        </row>
        <row r="1198">
          <cell r="A1198">
            <v>41370</v>
          </cell>
        </row>
        <row r="1199">
          <cell r="A1199">
            <v>41371</v>
          </cell>
        </row>
        <row r="1200">
          <cell r="A1200">
            <v>41372</v>
          </cell>
        </row>
        <row r="1201">
          <cell r="A1201">
            <v>41373</v>
          </cell>
        </row>
        <row r="1202">
          <cell r="A1202">
            <v>41374</v>
          </cell>
        </row>
        <row r="1203">
          <cell r="A1203">
            <v>41375</v>
          </cell>
        </row>
        <row r="1204">
          <cell r="A1204">
            <v>41376</v>
          </cell>
        </row>
        <row r="1205">
          <cell r="A1205">
            <v>41377</v>
          </cell>
        </row>
        <row r="1206">
          <cell r="A1206">
            <v>41378</v>
          </cell>
        </row>
        <row r="1207">
          <cell r="A1207">
            <v>41379</v>
          </cell>
        </row>
        <row r="1208">
          <cell r="A1208">
            <v>41380</v>
          </cell>
        </row>
        <row r="1209">
          <cell r="A1209">
            <v>41381</v>
          </cell>
        </row>
        <row r="1210">
          <cell r="A1210">
            <v>41382</v>
          </cell>
        </row>
        <row r="1211">
          <cell r="A1211">
            <v>41383</v>
          </cell>
        </row>
        <row r="1212">
          <cell r="A1212">
            <v>41384</v>
          </cell>
        </row>
        <row r="1213">
          <cell r="A1213">
            <v>41385</v>
          </cell>
        </row>
        <row r="1214">
          <cell r="A1214">
            <v>41386</v>
          </cell>
        </row>
        <row r="1215">
          <cell r="A1215">
            <v>41387</v>
          </cell>
        </row>
        <row r="1216">
          <cell r="A1216">
            <v>41388</v>
          </cell>
        </row>
        <row r="1217">
          <cell r="A1217">
            <v>41389</v>
          </cell>
        </row>
        <row r="1218">
          <cell r="A1218">
            <v>41390</v>
          </cell>
        </row>
        <row r="1219">
          <cell r="A1219">
            <v>41391</v>
          </cell>
        </row>
        <row r="1220">
          <cell r="A1220">
            <v>41392</v>
          </cell>
        </row>
        <row r="1221">
          <cell r="A1221">
            <v>41393</v>
          </cell>
        </row>
        <row r="1222">
          <cell r="A1222">
            <v>41394</v>
          </cell>
        </row>
        <row r="1223">
          <cell r="A1223">
            <v>41395</v>
          </cell>
        </row>
        <row r="1224">
          <cell r="A1224">
            <v>41396</v>
          </cell>
        </row>
        <row r="1225">
          <cell r="A1225">
            <v>41397</v>
          </cell>
        </row>
        <row r="1226">
          <cell r="A1226">
            <v>41398</v>
          </cell>
        </row>
        <row r="1227">
          <cell r="A1227">
            <v>41399</v>
          </cell>
        </row>
        <row r="1228">
          <cell r="A1228">
            <v>41400</v>
          </cell>
        </row>
        <row r="1229">
          <cell r="A1229">
            <v>41401</v>
          </cell>
        </row>
        <row r="1230">
          <cell r="A1230">
            <v>41402</v>
          </cell>
        </row>
        <row r="1231">
          <cell r="A1231">
            <v>41403</v>
          </cell>
        </row>
        <row r="1232">
          <cell r="A1232">
            <v>41404</v>
          </cell>
        </row>
        <row r="1233">
          <cell r="A1233">
            <v>41405</v>
          </cell>
        </row>
        <row r="1234">
          <cell r="A1234">
            <v>41406</v>
          </cell>
        </row>
        <row r="1235">
          <cell r="A1235">
            <v>41407</v>
          </cell>
        </row>
        <row r="1236">
          <cell r="A1236">
            <v>41408</v>
          </cell>
        </row>
        <row r="1237">
          <cell r="A1237">
            <v>41409</v>
          </cell>
        </row>
        <row r="1238">
          <cell r="A1238">
            <v>41410</v>
          </cell>
        </row>
        <row r="1239">
          <cell r="A1239">
            <v>41411</v>
          </cell>
        </row>
        <row r="1240">
          <cell r="A1240">
            <v>41412</v>
          </cell>
        </row>
        <row r="1241">
          <cell r="A1241">
            <v>41413</v>
          </cell>
        </row>
        <row r="1242">
          <cell r="A1242">
            <v>41414</v>
          </cell>
        </row>
        <row r="1243">
          <cell r="A1243">
            <v>41415</v>
          </cell>
        </row>
        <row r="1244">
          <cell r="A1244">
            <v>41416</v>
          </cell>
        </row>
        <row r="1245">
          <cell r="A1245">
            <v>41417</v>
          </cell>
        </row>
        <row r="1246">
          <cell r="A1246">
            <v>41418</v>
          </cell>
        </row>
        <row r="1247">
          <cell r="A1247">
            <v>41419</v>
          </cell>
        </row>
        <row r="1248">
          <cell r="A1248">
            <v>41420</v>
          </cell>
        </row>
        <row r="1249">
          <cell r="A1249">
            <v>41421</v>
          </cell>
        </row>
        <row r="1250">
          <cell r="A1250">
            <v>41422</v>
          </cell>
        </row>
        <row r="1251">
          <cell r="A1251">
            <v>41423</v>
          </cell>
        </row>
        <row r="1252">
          <cell r="A1252">
            <v>41424</v>
          </cell>
        </row>
        <row r="1253">
          <cell r="A1253">
            <v>41425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5">
          <cell r="A5" t="str">
            <v>CS</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M_Sheet"/>
      <sheetName val="Thong_tin"/>
      <sheetName val="Don_vi"/>
      <sheetName val="Danh_muc"/>
      <sheetName val="DM"/>
      <sheetName val="Dieu_chinh"/>
      <sheetName val="Chi_tiet"/>
      <sheetName val="Kiem_tra"/>
      <sheetName val="Tong_hop"/>
      <sheetName val="CDPS"/>
      <sheetName val="T911"/>
      <sheetName val="LC"/>
      <sheetName val="CTCongNo"/>
      <sheetName val="GiaoDichNB"/>
      <sheetName val="NBChuaXN"/>
      <sheetName val="BiaBC"/>
      <sheetName val="CDKT"/>
      <sheetName val="KQKD"/>
      <sheetName val="KQKD.Q"/>
      <sheetName val="LCBTCP"/>
      <sheetName val="KN_CPBQ"/>
      <sheetName val="KT_CPBQ"/>
      <sheetName val="LCTT"/>
      <sheetName val="Du_lieu"/>
      <sheetName val="CT_LCTT"/>
      <sheetName val="LCGT"/>
      <sheetName val="CT_LCGT"/>
      <sheetName val="Thuyet_minh"/>
      <sheetName val="TM_DTTC"/>
      <sheetName val="TM_TSCDHH"/>
      <sheetName val="TM_TSCDTTC"/>
      <sheetName val="TM_TSCDVH"/>
      <sheetName val="TM_Vay"/>
      <sheetName val="TM_Thue"/>
      <sheetName val="TM_VCSH"/>
      <sheetName val="TM_SoSanh"/>
      <sheetName val="QTTNDN"/>
      <sheetName val="Doi_chieu"/>
      <sheetName val="TM_BCBPKD"/>
      <sheetName val="TM_BCBPDL"/>
      <sheetName val="Trong_yeu"/>
      <sheetName val="Phan_tich"/>
      <sheetName val="TM_ChenhLechTK"/>
      <sheetName val="TM_ChenhLechCT"/>
      <sheetName val="1."/>
      <sheetName val="2."/>
      <sheetName val="3."/>
      <sheetName val="LIST"/>
      <sheetName val="TH CP Khoan theo Kenh"/>
      <sheetName val="Danh mục loại hinh"/>
      <sheetName val="Sheet3"/>
      <sheetName val="Units"/>
      <sheetName val="VTT_28072016-BCQ1602_BCTC TT200"/>
    </sheetNames>
    <sheetDataSet>
      <sheetData sheetId="0" refreshError="1"/>
      <sheetData sheetId="1" refreshError="1"/>
      <sheetData sheetId="2">
        <row r="7">
          <cell r="D7" t="str">
            <v>BCTC tổng hợp</v>
          </cell>
        </row>
        <row r="9">
          <cell r="D9" t="str">
            <v>TẬP ĐOÀN VIỄN THÔNG QUÂN ĐỘI</v>
          </cell>
          <cell r="E9" t="str">
            <v>XYZ CORPORATION</v>
          </cell>
        </row>
        <row r="11">
          <cell r="D11" t="str">
            <v>Tổng công ty Viễn thông Viettel</v>
          </cell>
          <cell r="E11" t="str">
            <v>Viettel Telecom Corporation</v>
          </cell>
        </row>
        <row r="13">
          <cell r="D13" t="str">
            <v>[địa chỉ đơn vị lập báo cáo]</v>
          </cell>
          <cell r="E13" t="str">
            <v>[address…………………………..]</v>
          </cell>
        </row>
        <row r="14">
          <cell r="D14" t="str">
            <v>Cho kỳ kế toán giữa niên độ Quý 2 năm 2016</v>
          </cell>
          <cell r="E14" t="str">
            <v>for the fiscal year ended as at 31 December 2015</v>
          </cell>
        </row>
        <row r="22">
          <cell r="E22" t="str">
            <v>VND</v>
          </cell>
        </row>
      </sheetData>
      <sheetData sheetId="3" refreshError="1"/>
      <sheetData sheetId="4" refreshError="1"/>
      <sheetData sheetId="5" refreshError="1"/>
      <sheetData sheetId="6" refreshError="1"/>
      <sheetData sheetId="7" refreshError="1"/>
      <sheetData sheetId="8" refreshError="1"/>
      <sheetData sheetId="9">
        <row r="194">
          <cell r="BV194">
            <v>1252862588</v>
          </cell>
          <cell r="EM194">
            <v>574596168</v>
          </cell>
        </row>
        <row r="195">
          <cell r="BV195">
            <v>0</v>
          </cell>
          <cell r="EM195">
            <v>574596168</v>
          </cell>
        </row>
        <row r="196">
          <cell r="BV196">
            <v>0</v>
          </cell>
          <cell r="EM196">
            <v>0</v>
          </cell>
        </row>
        <row r="197">
          <cell r="BV197">
            <v>0</v>
          </cell>
          <cell r="EM197">
            <v>0</v>
          </cell>
        </row>
        <row r="198">
          <cell r="BV198">
            <v>0</v>
          </cell>
          <cell r="EM198">
            <v>0</v>
          </cell>
        </row>
        <row r="199">
          <cell r="BV199">
            <v>0</v>
          </cell>
          <cell r="EM199">
            <v>0</v>
          </cell>
        </row>
        <row r="200">
          <cell r="BV200">
            <v>1252862588</v>
          </cell>
          <cell r="EM200">
            <v>0</v>
          </cell>
        </row>
        <row r="201">
          <cell r="BV201">
            <v>0</v>
          </cell>
          <cell r="EM201">
            <v>0</v>
          </cell>
        </row>
        <row r="202">
          <cell r="BV202">
            <v>0</v>
          </cell>
          <cell r="EM202">
            <v>0</v>
          </cell>
        </row>
        <row r="203">
          <cell r="BV203">
            <v>0</v>
          </cell>
          <cell r="EM203">
            <v>0</v>
          </cell>
        </row>
        <row r="204">
          <cell r="BV204">
            <v>0</v>
          </cell>
          <cell r="EM204">
            <v>0</v>
          </cell>
        </row>
        <row r="205">
          <cell r="BV205">
            <v>0</v>
          </cell>
          <cell r="EM205">
            <v>0</v>
          </cell>
        </row>
        <row r="369">
          <cell r="BV369">
            <v>263095615545</v>
          </cell>
          <cell r="EM369">
            <v>213942032653</v>
          </cell>
        </row>
        <row r="370">
          <cell r="BV370">
            <v>238072332826</v>
          </cell>
          <cell r="EM370">
            <v>190347010787</v>
          </cell>
        </row>
        <row r="371">
          <cell r="BV371">
            <v>0</v>
          </cell>
          <cell r="EM371">
            <v>0</v>
          </cell>
        </row>
        <row r="372">
          <cell r="BV372">
            <v>0</v>
          </cell>
          <cell r="EM372">
            <v>0</v>
          </cell>
        </row>
        <row r="373">
          <cell r="BV373">
            <v>0</v>
          </cell>
          <cell r="EM373">
            <v>0</v>
          </cell>
        </row>
        <row r="374">
          <cell r="BV374">
            <v>0</v>
          </cell>
          <cell r="EM374">
            <v>0</v>
          </cell>
        </row>
        <row r="375">
          <cell r="BV375">
            <v>24947046091</v>
          </cell>
          <cell r="EM375">
            <v>23518785238</v>
          </cell>
        </row>
        <row r="376">
          <cell r="BV376">
            <v>0</v>
          </cell>
          <cell r="EM376">
            <v>0</v>
          </cell>
        </row>
        <row r="377">
          <cell r="BV377">
            <v>76236628</v>
          </cell>
          <cell r="EM377">
            <v>76236628</v>
          </cell>
        </row>
        <row r="378">
          <cell r="BV378">
            <v>0</v>
          </cell>
          <cell r="EM378">
            <v>0</v>
          </cell>
        </row>
        <row r="379">
          <cell r="BV379">
            <v>0</v>
          </cell>
          <cell r="EM379">
            <v>0</v>
          </cell>
        </row>
        <row r="380">
          <cell r="BV380">
            <v>0</v>
          </cell>
          <cell r="EM380">
            <v>0</v>
          </cell>
        </row>
        <row r="381">
          <cell r="BV381">
            <v>0</v>
          </cell>
          <cell r="EM381">
            <v>0</v>
          </cell>
        </row>
        <row r="382">
          <cell r="BV382">
            <v>0</v>
          </cell>
          <cell r="EM382">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ng tin doi thu"/>
      <sheetName val="Xa phuong"/>
      <sheetName val="SLA 18 Chuong trinh 2009"/>
      <sheetName val="Tong hop xa co song"/>
      <sheetName val="Thong tin ve tram"/>
      <sheetName val="ADSL"/>
      <sheetName val="PSTN"/>
      <sheetName val="Danh ba"/>
      <sheetName val="Nhan su"/>
      <sheetName val="Phat trien AP"/>
      <sheetName val="Sua chua AP"/>
      <sheetName val="Mat dien"/>
      <sheetName val="Mat luong"/>
      <sheetName val="Loi tram"/>
      <sheetName val="Tai nguyen A"/>
      <sheetName val="Tai nguyen P"/>
      <sheetName val="Tien do nha tram"/>
      <sheetName val="Danh bạ phối hợp"/>
      <sheetName val="Theo doi Hop dong"/>
      <sheetName val="Theo doi xe"/>
      <sheetName val="Phat trien Mang giao duc"/>
      <sheetName val="Danh muc"/>
      <sheetName val="Hop dong"/>
      <sheetName val="Thue bao AP"/>
      <sheetName val="Phat trien"/>
      <sheetName val="Sua chua"/>
      <sheetName val="Tong hop phat trien"/>
      <sheetName val="Theo doi phat trien mang luoi"/>
      <sheetName val="Theo doi ke hoach"/>
      <sheetName val="Danh mụ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17">
          <cell r="A17" t="str">
            <v>Trên ĐH</v>
          </cell>
          <cell r="F17" t="str">
            <v>Bảo vệ</v>
          </cell>
        </row>
        <row r="18">
          <cell r="A18" t="str">
            <v>Đại học</v>
          </cell>
          <cell r="F18" t="str">
            <v>Dự án</v>
          </cell>
        </row>
        <row r="19">
          <cell r="A19" t="str">
            <v>Cao đẳng</v>
          </cell>
          <cell r="F19" t="str">
            <v>Kế toán</v>
          </cell>
        </row>
        <row r="20">
          <cell r="A20" t="str">
            <v>Trung cấp</v>
          </cell>
          <cell r="F20" t="str">
            <v>KH TN</v>
          </cell>
        </row>
        <row r="21">
          <cell r="A21" t="str">
            <v>Sơ cấp</v>
          </cell>
          <cell r="F21" t="str">
            <v>Kho vật tư</v>
          </cell>
        </row>
        <row r="22">
          <cell r="A22" t="str">
            <v>Bằng nghề</v>
          </cell>
          <cell r="F22" t="str">
            <v>Lái xe</v>
          </cell>
        </row>
        <row r="23">
          <cell r="A23" t="str">
            <v>THPT</v>
          </cell>
          <cell r="F23" t="str">
            <v>NV KT đội</v>
          </cell>
        </row>
        <row r="24">
          <cell r="A24" t="str">
            <v>Khác</v>
          </cell>
          <cell r="F24" t="str">
            <v>NV KT xã</v>
          </cell>
        </row>
        <row r="25">
          <cell r="F25" t="str">
            <v>Tạp vụ</v>
          </cell>
        </row>
        <row r="26">
          <cell r="F26" t="str">
            <v>TCLĐ</v>
          </cell>
        </row>
        <row r="27">
          <cell r="F27" t="str">
            <v>TKTU</v>
          </cell>
        </row>
        <row r="28">
          <cell r="F28" t="str">
            <v>Văn thư</v>
          </cell>
        </row>
        <row r="29">
          <cell r="F29" t="str">
            <v>VHKT</v>
          </cell>
        </row>
        <row r="30">
          <cell r="F30" t="str">
            <v>XLHT</v>
          </cell>
        </row>
        <row r="31">
          <cell r="F31" t="str">
            <v>TUVT</v>
          </cell>
        </row>
        <row r="32">
          <cell r="F32" t="str">
            <v>TUHT</v>
          </cell>
        </row>
        <row r="33">
          <cell r="F33" t="str">
            <v>TD</v>
          </cell>
        </row>
      </sheetData>
      <sheetData sheetId="22"/>
      <sheetData sheetId="23"/>
      <sheetData sheetId="24"/>
      <sheetData sheetId="25"/>
      <sheetData sheetId="26"/>
      <sheetData sheetId="27"/>
      <sheetData sheetId="28"/>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em TH tinh Thang"/>
      <sheetName val="VTNet"/>
      <sheetName val="VTT"/>
      <sheetName val="VTS"/>
    </sheetNames>
    <sheetDataSet>
      <sheetData sheetId="0">
        <row r="3">
          <cell r="B3" t="str">
            <v>Tỉnh</v>
          </cell>
        </row>
        <row r="4">
          <cell r="B4" t="str">
            <v>HCM</v>
          </cell>
        </row>
        <row r="5">
          <cell r="B5" t="str">
            <v>HNI</v>
          </cell>
        </row>
        <row r="6">
          <cell r="B6" t="str">
            <v>BNH</v>
          </cell>
        </row>
        <row r="7">
          <cell r="B7" t="str">
            <v>NBH</v>
          </cell>
        </row>
        <row r="8">
          <cell r="B8" t="str">
            <v>CBG</v>
          </cell>
        </row>
        <row r="9">
          <cell r="B9" t="str">
            <v>LSN</v>
          </cell>
        </row>
        <row r="10">
          <cell r="B10" t="str">
            <v>HPG</v>
          </cell>
        </row>
        <row r="11">
          <cell r="B11" t="str">
            <v>DBN</v>
          </cell>
        </row>
        <row r="12">
          <cell r="B12" t="str">
            <v>LCU</v>
          </cell>
        </row>
        <row r="13">
          <cell r="B13" t="str">
            <v>SLA</v>
          </cell>
        </row>
        <row r="14">
          <cell r="B14" t="str">
            <v>LCI</v>
          </cell>
        </row>
        <row r="15">
          <cell r="B15" t="str">
            <v>HYN</v>
          </cell>
        </row>
        <row r="16">
          <cell r="B16" t="str">
            <v>TNN</v>
          </cell>
        </row>
        <row r="17">
          <cell r="B17" t="str">
            <v>TQG</v>
          </cell>
        </row>
        <row r="18">
          <cell r="B18" t="str">
            <v>QNH</v>
          </cell>
        </row>
        <row r="19">
          <cell r="B19" t="str">
            <v>PTO</v>
          </cell>
        </row>
        <row r="20">
          <cell r="B20" t="str">
            <v>HTH</v>
          </cell>
        </row>
        <row r="21">
          <cell r="B21" t="str">
            <v>NAN</v>
          </cell>
        </row>
        <row r="22">
          <cell r="B22" t="str">
            <v>THA</v>
          </cell>
        </row>
        <row r="23">
          <cell r="B23" t="str">
            <v>QNI</v>
          </cell>
        </row>
        <row r="24">
          <cell r="B24" t="str">
            <v>TTH</v>
          </cell>
        </row>
        <row r="25">
          <cell r="B25" t="str">
            <v>DNG</v>
          </cell>
        </row>
        <row r="26">
          <cell r="B26" t="str">
            <v>DLK</v>
          </cell>
        </row>
        <row r="27">
          <cell r="B27" t="str">
            <v>GLI</v>
          </cell>
        </row>
        <row r="28">
          <cell r="B28" t="str">
            <v>KHA</v>
          </cell>
        </row>
        <row r="29">
          <cell r="B29" t="str">
            <v>QTI</v>
          </cell>
        </row>
        <row r="30">
          <cell r="B30" t="str">
            <v>LDG</v>
          </cell>
        </row>
        <row r="31">
          <cell r="B31" t="str">
            <v>DNI</v>
          </cell>
        </row>
        <row r="32">
          <cell r="B32" t="str">
            <v>TNH</v>
          </cell>
        </row>
        <row r="33">
          <cell r="B33" t="str">
            <v>CMU</v>
          </cell>
        </row>
        <row r="34">
          <cell r="B34" t="str">
            <v>AGG</v>
          </cell>
        </row>
        <row r="35">
          <cell r="B35" t="str">
            <v>CTO</v>
          </cell>
        </row>
        <row r="36">
          <cell r="B36" t="str">
            <v>DTP</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rgb="FFFF0000"/>
    <x:outlinePr summaryBelow="1" summaryRight="1"/>
  </x:sheetPr>
  <x:dimension ref="A1:G11"/>
  <x:sheetViews>
    <x:sheetView topLeftCell="A4" zoomScale="130" zoomScaleNormal="130" workbookViewId="0">
      <x:selection activeCell="E5" sqref="E5"/>
    </x:sheetView>
  </x:sheetViews>
  <x:sheetFormatPr defaultColWidth="9.140625" defaultRowHeight="15" x14ac:dyDescent="0.25"/>
  <x:cols>
    <x:col min="1" max="1" width="6.710938" style="83" customWidth="1"/>
    <x:col min="2" max="2" width="7.425781" style="84" customWidth="1"/>
    <x:col min="3" max="3" width="12.140625" style="84" customWidth="1"/>
    <x:col min="4" max="4" width="16.710938" style="84" customWidth="1"/>
    <x:col min="5" max="5" width="21.570312" style="84" customWidth="1"/>
    <x:col min="6" max="6" width="19.425781" style="84" customWidth="1"/>
    <x:col min="7" max="7" width="14.570312" style="92" customWidth="1"/>
    <x:col min="8" max="16384" width="9.140625" style="83" customWidth="1"/>
  </x:cols>
  <x:sheetData>
    <x:row r="1" spans="1:7" ht="51" customHeight="1" x14ac:dyDescent="0.25">
      <x:c r="A1" s="49" t="s">
        <x:v>0</x:v>
      </x:c>
      <x:c r="B1" s="48"/>
      <x:c r="C1" s="48"/>
      <x:c r="D1" s="48"/>
      <x:c r="E1" s="48"/>
      <x:c r="F1" s="48"/>
      <x:c r="G1" s="48"/>
    </x:row>
    <x:row r="2" spans="1:7" ht="10.5" customHeight="1" x14ac:dyDescent="0.3">
      <x:c r="B2" s="82"/>
      <x:c r="C2" s="82"/>
      <x:c r="D2" s="82"/>
      <x:c r="E2" s="82"/>
      <x:c r="F2" s="82"/>
      <x:c r="G2" s="88"/>
    </x:row>
    <x:row r="3" spans="1:7" ht="72" customHeight="1" s="86" customFormat="1" x14ac:dyDescent="0.25">
      <x:c r="A3" s="204" t="s">
        <x:v>1</x:v>
      </x:c>
      <x:c r="B3" s="204" t="s">
        <x:v>2</x:v>
      </x:c>
      <x:c r="C3" s="204" t="s">
        <x:v>3</x:v>
      </x:c>
      <x:c r="D3" s="204" t="s">
        <x:v>4</x:v>
      </x:c>
      <x:c r="E3" s="204" t="s">
        <x:v>5</x:v>
      </x:c>
      <x:c r="F3" s="204" t="s">
        <x:v>6</x:v>
      </x:c>
      <x:c r="G3" s="204" t="s">
        <x:v>7</x:v>
      </x:c>
    </x:row>
    <x:row r="4" spans="1:7" ht="24.95" customHeight="1" x14ac:dyDescent="0.25">
      <x:c r="A4" s="89">
        <x:v>1</x:v>
      </x:c>
      <x:c r="B4" s="60" t="s">
        <x:v>8</x:v>
      </x:c>
      <x:c r="C4" s="97">
        <x:f>D4+E4</x:f>
      </x:c>
      <x:c r="D4" s="90">
        <x:f>VLOOKUP(B4,'TH điểm'!$B$8:$D$15,3,0)</x:f>
      </x:c>
      <x:c r="E4" s="90">
        <x:f>VLOOKUP(B4,'TH điểm'!$AC$8:$AE$15,3,0)</x:f>
      </x:c>
      <x:c r="F4" s="97">
        <x:f>(D4+E4)/2</x:f>
      </x:c>
      <x:c r="G4" s="91">
        <x:f>+RANK(F4,$F$4:$F$11,0)</x:f>
      </x:c>
    </x:row>
    <x:row r="5" spans="1:7" ht="24.95" customHeight="1" x14ac:dyDescent="0.25">
      <x:c r="A5" s="89">
        <x:f>A4+1</x:f>
      </x:c>
      <x:c r="B5" s="60" t="s">
        <x:v>9</x:v>
      </x:c>
      <x:c r="C5" s="97">
        <x:f>D5+E5</x:f>
      </x:c>
      <x:c r="D5" s="90">
        <x:f>VLOOKUP(B5,'TH điểm'!$B$8:$D$15,3,0)</x:f>
      </x:c>
      <x:c r="E5" s="90">
        <x:f>VLOOKUP(B5,'TH điểm'!$AC$8:$AE$15,3,0)</x:f>
      </x:c>
      <x:c r="F5" s="97">
        <x:f>(D5+E5)/2</x:f>
      </x:c>
      <x:c r="G5" s="91">
        <x:f>+RANK(F5,$F$4:$F$11,0)</x:f>
      </x:c>
    </x:row>
    <x:row r="6" spans="1:7" ht="24.95" customHeight="1" x14ac:dyDescent="0.25">
      <x:c r="A6" s="89">
        <x:f>A5+1</x:f>
      </x:c>
      <x:c r="B6" s="60" t="s">
        <x:v>10</x:v>
      </x:c>
      <x:c r="C6" s="97">
        <x:f>D6+E6</x:f>
      </x:c>
      <x:c r="D6" s="90">
        <x:f>VLOOKUP(B6,'TH điểm'!$B$8:$D$15,3,0)</x:f>
      </x:c>
      <x:c r="E6" s="90">
        <x:f>VLOOKUP(B6,'TH điểm'!$AC$8:$AE$15,3,0)</x:f>
      </x:c>
      <x:c r="F6" s="97">
        <x:f>(D6+E6)/2</x:f>
      </x:c>
      <x:c r="G6" s="91">
        <x:f>+RANK(F6,$F$4:$F$11,0)</x:f>
      </x:c>
    </x:row>
    <x:row r="7" spans="1:7" ht="24.95" customHeight="1" x14ac:dyDescent="0.25">
      <x:c r="A7" s="89">
        <x:f>A6+1</x:f>
      </x:c>
      <x:c r="B7" s="60" t="s">
        <x:v>11</x:v>
      </x:c>
      <x:c r="C7" s="97">
        <x:f>D7+E7</x:f>
      </x:c>
      <x:c r="D7" s="90">
        <x:f>VLOOKUP(B7,'TH điểm'!$B$8:$D$15,3,0)</x:f>
      </x:c>
      <x:c r="E7" s="90">
        <x:f>VLOOKUP(B7,'TH điểm'!$AC$8:$AE$15,3,0)</x:f>
      </x:c>
      <x:c r="F7" s="97">
        <x:f>(D7+E7)/2</x:f>
      </x:c>
      <x:c r="G7" s="91">
        <x:f>+RANK(F7,$F$4:$F$11,0)</x:f>
      </x:c>
    </x:row>
    <x:row r="8" spans="1:7" ht="24.95" customHeight="1" x14ac:dyDescent="0.25">
      <x:c r="A8" s="89">
        <x:f>A7+1</x:f>
      </x:c>
      <x:c r="B8" s="60" t="s">
        <x:v>12</x:v>
      </x:c>
      <x:c r="C8" s="97">
        <x:f>D8+E8</x:f>
      </x:c>
      <x:c r="D8" s="90">
        <x:f>VLOOKUP(B8,'TH điểm'!$B$8:$D$15,3,0)</x:f>
      </x:c>
      <x:c r="E8" s="90">
        <x:f>VLOOKUP(B8,'TH điểm'!$AC$8:$AE$15,3,0)</x:f>
      </x:c>
      <x:c r="F8" s="97">
        <x:f>(D8+E8)/2</x:f>
      </x:c>
      <x:c r="G8" s="91">
        <x:f>+RANK(F8,$F$4:$F$11,0)</x:f>
      </x:c>
    </x:row>
    <x:row r="9" spans="1:7" ht="24.95" customHeight="1" x14ac:dyDescent="0.25">
      <x:c r="A9" s="89">
        <x:f>A8+1</x:f>
      </x:c>
      <x:c r="B9" s="60" t="s">
        <x:v>13</x:v>
      </x:c>
      <x:c r="C9" s="97">
        <x:f>D9+E9</x:f>
      </x:c>
      <x:c r="D9" s="90">
        <x:f>VLOOKUP(B9,'TH điểm'!$B$8:$D$15,3,0)</x:f>
      </x:c>
      <x:c r="E9" s="90">
        <x:f>VLOOKUP(B9,'TH điểm'!$AC$8:$AE$15,3,0)</x:f>
      </x:c>
      <x:c r="F9" s="97">
        <x:f>(D9+E9)/2</x:f>
      </x:c>
      <x:c r="G9" s="91">
        <x:f>+RANK(F9,$F$4:$F$11,0)</x:f>
      </x:c>
    </x:row>
    <x:row r="10" spans="1:7" ht="24.95" customHeight="1" x14ac:dyDescent="0.25">
      <x:c r="A10" s="89">
        <x:f>A9+1</x:f>
      </x:c>
      <x:c r="B10" s="60" t="s">
        <x:v>14</x:v>
      </x:c>
      <x:c r="C10" s="97">
        <x:f>D10+E10</x:f>
      </x:c>
      <x:c r="D10" s="90">
        <x:f>VLOOKUP(B10,'TH điểm'!$B$8:$D$15,3,0)</x:f>
      </x:c>
      <x:c r="E10" s="90">
        <x:f>VLOOKUP(B10,'TH điểm'!$AC$8:$AE$15,3,0)</x:f>
      </x:c>
      <x:c r="F10" s="97">
        <x:f>(D10+E10)/2</x:f>
      </x:c>
      <x:c r="G10" s="91">
        <x:f>+RANK(F10,$F$4:$F$11,0)</x:f>
      </x:c>
    </x:row>
    <x:row r="11" spans="1:7" ht="24.95" customHeight="1" x14ac:dyDescent="0.25">
      <x:c r="A11" s="89">
        <x:f>A10+1</x:f>
      </x:c>
      <x:c r="B11" s="60" t="s">
        <x:v>15</x:v>
      </x:c>
      <x:c r="C11" s="97">
        <x:f>D11+E11</x:f>
      </x:c>
      <x:c r="D11" s="90">
        <x:f>VLOOKUP(B11,'TH điểm'!$B$8:$D$15,3,0)</x:f>
      </x:c>
      <x:c r="E11" s="90">
        <x:f>VLOOKUP(B11,'TH điểm'!$AC$8:$AE$15,3,0)</x:f>
      </x:c>
      <x:c r="F11" s="97">
        <x:f>(D11+E11)/2</x:f>
      </x:c>
      <x:c r="G11" s="91">
        <x:f>+RANK(F11,$F$4:$F$11,0)</x:f>
      </x:c>
    </x:row>
  </x:sheetData>
  <x:autoFilter ref="A3:G11">
    <x:sortState ref="A4:G11">
      <x:sortCondition ref="G3:G11"/>
    </x:sortState>
  </x:autoFilter>
  <x:sortState xmlns:xlrd2="http://schemas.microsoft.com/office/spreadsheetml/2017/richdata2" ref="A4:G11">
    <x:sortCondition ref="B4:B11"/>
  </x:sortState>
  <x:mergeCells count="1">
    <x:mergeCell ref="A1:G1"/>
  </x:mergeCells>
  <x:printOptions horizontalCentered="0" verticalCentered="0" headings="0" gridLines="0"/>
  <x:pageMargins left="0.7" right="0.5" top="0.4" bottom="0.25" header="0.12" footer="0.3"/>
  <x:pageSetup paperSize="9" scale="85"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tabColor rgb="FFFF0000"/>
    <x:outlinePr summaryBelow="1" summaryRight="1"/>
    <x:pageSetUpPr fitToPage="1"/>
  </x:sheetPr>
  <x:dimension ref="A1:AO15"/>
  <x:sheetViews>
    <x:sheetView workbookViewId="0">
      <x:pane xSplit="4" ySplit="7" topLeftCell="E8" activePane="bottomRight" state="frozenSplit"/>
      <x:selection activeCell="E1" sqref="E1"/>
      <x:selection pane="bottomRight" activeCell="E1" sqref="E1"/>
    </x:sheetView>
  </x:sheetViews>
  <x:sheetFormatPr defaultColWidth="9.140625" defaultRowHeight="15" outlineLevelCol="1" x14ac:dyDescent="0.25"/>
  <x:cols>
    <x:col min="1" max="1" width="4.425781" style="133" bestFit="1" customWidth="1"/>
    <x:col min="2" max="2" width="5.140625" style="133" customWidth="1"/>
    <x:col min="3" max="3" width="6.710938" style="133" customWidth="1"/>
    <x:col min="4" max="4" width="8" style="133" customWidth="1"/>
    <x:col min="5" max="5" width="7.570312" style="133" customWidth="1"/>
    <x:col min="6" max="6" width="6.285156" style="133" customWidth="1"/>
    <x:col min="7" max="7" width="7.710938" style="133" customWidth="1"/>
    <x:col min="8" max="8" width="6.570312" style="133" customWidth="1"/>
    <x:col min="9" max="9" width="8.140625" style="133" customWidth="1"/>
    <x:col min="10" max="10" width="9" style="133" bestFit="1" customWidth="1"/>
    <x:col min="11" max="11" width="6.710938" style="133" customWidth="1"/>
    <x:col min="12" max="12" width="5.710938" style="133" customWidth="1"/>
    <x:col min="13" max="13" width="8.710938" style="133" customWidth="1"/>
    <x:col min="14" max="14" width="7.140625" style="133" customWidth="1"/>
    <x:col min="15" max="15" width="6.855469" style="133" customWidth="1"/>
    <x:col min="16" max="16" width="6.710938" style="133" customWidth="1"/>
    <x:col min="17" max="17" width="7.285156" style="133" customWidth="1"/>
    <x:col min="18" max="18" width="5.710938" style="133" customWidth="1"/>
    <x:col min="19" max="19" width="8.570312" style="133" customWidth="1" outlineLevel="1"/>
    <x:col min="20" max="20" width="5.710938" style="133" customWidth="1" outlineLevel="1"/>
    <x:col min="21" max="21" width="8.570312" style="133" customWidth="1" outlineLevel="1"/>
    <x:col min="22" max="23" width="7.140625" style="133" customWidth="1" outlineLevel="1"/>
    <x:col min="24" max="24" width="5.710938" style="133" customWidth="1" outlineLevel="1"/>
    <x:col min="25" max="26" width="7.285156" style="133" customWidth="1" outlineLevel="1"/>
    <x:col min="27" max="27" width="7" style="133" customWidth="1" outlineLevel="1"/>
    <x:col min="28" max="28" width="5.710938" style="133" customWidth="1" outlineLevel="1"/>
    <x:col min="29" max="30" width="6.855469" style="133" customWidth="1"/>
    <x:col min="31" max="33" width="7.140625" style="133" customWidth="1"/>
    <x:col min="34" max="34" width="6.425781" style="133" customWidth="1"/>
    <x:col min="35" max="35" width="6" style="133" customWidth="1"/>
    <x:col min="36" max="41" width="7.285156" style="133" customWidth="1"/>
    <x:col min="42" max="16384" width="9.140625" style="83" customWidth="1"/>
  </x:cols>
  <x:sheetData>
    <x:row r="1" spans="1:42" ht="26.25" customHeight="1" x14ac:dyDescent="0.25">
      <x:c r="A1" s="47" t="s">
        <x:v>16</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row>
    <x:row r="2" spans="1:42" ht="15.75" customHeight="1" s="85" customFormat="1" x14ac:dyDescent="0.2">
      <x:c r="A2" s="134"/>
      <x:c r="B2" s="132"/>
      <x:c r="C2" s="131"/>
      <x:c r="D2" s="131"/>
      <x:c r="E2" s="131"/>
      <x:c r="F2" s="132"/>
      <x:c r="G2" s="131"/>
      <x:c r="H2" s="132"/>
      <x:c r="I2" s="131"/>
      <x:c r="J2" s="132"/>
      <x:c r="K2" s="131"/>
      <x:c r="L2" s="132"/>
      <x:c r="M2" s="131"/>
      <x:c r="N2" s="132"/>
      <x:c r="O2" s="131"/>
      <x:c r="P2" s="132"/>
      <x:c r="Q2" s="131"/>
      <x:c r="R2" s="132"/>
      <x:c r="S2" s="134"/>
      <x:c r="T2" s="134"/>
      <x:c r="U2" s="134"/>
      <x:c r="V2" s="134"/>
      <x:c r="W2" s="134"/>
      <x:c r="X2" s="134"/>
      <x:c r="Y2" s="134"/>
      <x:c r="Z2" s="134"/>
      <x:c r="AA2" s="134"/>
      <x:c r="AB2" s="134"/>
      <x:c r="AC2" s="134"/>
      <x:c r="AD2" s="134"/>
      <x:c r="AE2" s="134"/>
      <x:c r="AF2" s="134"/>
      <x:c r="AG2" s="134"/>
      <x:c r="AH2" s="134"/>
      <x:c r="AI2" s="134"/>
      <x:c r="AJ2" s="134"/>
      <x:c r="AK2" s="134"/>
      <x:c r="AL2" s="134"/>
      <x:c r="AM2" s="134"/>
      <x:c r="AN2" s="134"/>
      <x:c r="AO2" s="134"/>
    </x:row>
    <x:row r="3" spans="1:42" ht="24.75" customHeight="1" s="86" customFormat="1" x14ac:dyDescent="0.25">
      <x:c r="A3" s="206" t="s">
        <x:v>1</x:v>
      </x:c>
      <x:c r="B3" s="206" t="s">
        <x:v>2</x:v>
      </x:c>
      <x:c r="C3" s="207" t="s">
        <x:v>17</x:v>
      </x:c>
      <x:c r="D3" s="208"/>
      <x:c r="E3" s="208"/>
      <x:c r="F3" s="208"/>
      <x:c r="G3" s="208"/>
      <x:c r="H3" s="208"/>
      <x:c r="I3" s="208"/>
      <x:c r="J3" s="208"/>
      <x:c r="K3" s="208"/>
      <x:c r="L3" s="208"/>
      <x:c r="M3" s="208"/>
      <x:c r="N3" s="208"/>
      <x:c r="O3" s="208"/>
      <x:c r="P3" s="208"/>
      <x:c r="Q3" s="208"/>
      <x:c r="R3" s="208"/>
      <x:c r="S3" s="208"/>
      <x:c r="T3" s="208"/>
      <x:c r="U3" s="208"/>
      <x:c r="V3" s="208"/>
      <x:c r="W3" s="208"/>
      <x:c r="X3" s="208"/>
      <x:c r="Y3" s="208"/>
      <x:c r="Z3" s="208"/>
      <x:c r="AA3" s="208"/>
      <x:c r="AB3" s="209"/>
      <x:c r="AC3" s="210" t="s">
        <x:v>2</x:v>
      </x:c>
      <x:c r="AD3" s="211" t="s">
        <x:v>18</x:v>
      </x:c>
      <x:c r="AE3" s="212"/>
      <x:c r="AF3" s="212"/>
      <x:c r="AG3" s="212"/>
      <x:c r="AH3" s="212"/>
      <x:c r="AI3" s="212"/>
      <x:c r="AJ3" s="212"/>
      <x:c r="AK3" s="212"/>
      <x:c r="AL3" s="212"/>
      <x:c r="AM3" s="212"/>
      <x:c r="AN3" s="212"/>
      <x:c r="AO3" s="212"/>
    </x:row>
    <x:row r="4" spans="1:42" ht="69" customHeight="1" s="93" customFormat="1" x14ac:dyDescent="0.25">
      <x:c r="A4" s="206"/>
      <x:c r="B4" s="206"/>
      <x:c r="C4" s="213" t="s">
        <x:v>19</x:v>
      </x:c>
      <x:c r="D4" s="213" t="s">
        <x:v>20</x:v>
      </x:c>
      <x:c r="E4" s="214" t="s">
        <x:v>21</x:v>
      </x:c>
      <x:c r="F4" s="215"/>
      <x:c r="G4" s="214" t="s">
        <x:v>22</x:v>
      </x:c>
      <x:c r="H4" s="215"/>
      <x:c r="I4" s="214" t="s">
        <x:v>23</x:v>
      </x:c>
      <x:c r="J4" s="215"/>
      <x:c r="K4" s="214" t="s">
        <x:v>24</x:v>
      </x:c>
      <x:c r="L4" s="215"/>
      <x:c r="M4" s="214" t="s">
        <x:v>25</x:v>
      </x:c>
      <x:c r="N4" s="215"/>
      <x:c r="O4" s="214" t="s">
        <x:v>26</x:v>
      </x:c>
      <x:c r="P4" s="215"/>
      <x:c r="Q4" s="214" t="s">
        <x:v>27</x:v>
      </x:c>
      <x:c r="R4" s="215"/>
      <x:c r="S4" s="216" t="s">
        <x:v>28</x:v>
      </x:c>
      <x:c r="T4" s="217"/>
      <x:c r="U4" s="216" t="s">
        <x:v>29</x:v>
      </x:c>
      <x:c r="V4" s="217"/>
      <x:c r="W4" s="216" t="s">
        <x:v>30</x:v>
      </x:c>
      <x:c r="X4" s="217"/>
      <x:c r="Y4" s="216" t="s">
        <x:v>31</x:v>
      </x:c>
      <x:c r="Z4" s="217"/>
      <x:c r="AA4" s="218" t="s">
        <x:v>32</x:v>
      </x:c>
      <x:c r="AB4" s="218"/>
      <x:c r="AC4" s="210"/>
      <x:c r="AD4" s="219" t="s">
        <x:v>19</x:v>
      </x:c>
      <x:c r="AE4" s="219" t="s">
        <x:v>20</x:v>
      </x:c>
      <x:c r="AF4" s="220" t="s">
        <x:v>33</x:v>
      </x:c>
      <x:c r="AG4" s="221"/>
      <x:c r="AH4" s="220" t="s">
        <x:v>34</x:v>
      </x:c>
      <x:c r="AI4" s="221"/>
      <x:c r="AJ4" s="220" t="s">
        <x:v>35</x:v>
      </x:c>
      <x:c r="AK4" s="221"/>
      <x:c r="AL4" s="220" t="s">
        <x:v>36</x:v>
      </x:c>
      <x:c r="AM4" s="221"/>
      <x:c r="AN4" s="220" t="s">
        <x:v>37</x:v>
      </x:c>
      <x:c r="AO4" s="221"/>
    </x:row>
    <x:row r="5" spans="1:42" ht="42" customHeight="1" hidden="1" s="93" customFormat="1" x14ac:dyDescent="0.25">
      <x:c r="A5" s="206"/>
      <x:c r="B5" s="206"/>
      <x:c r="C5" s="222"/>
      <x:c r="D5" s="222"/>
      <x:c r="E5" s="223" t="s">
        <x:v>38</x:v>
      </x:c>
      <x:c r="F5" s="224"/>
      <x:c r="G5" s="223" t="s">
        <x:v>39</x:v>
      </x:c>
      <x:c r="H5" s="224"/>
      <x:c r="I5" s="223" t="s">
        <x:v>40</x:v>
      </x:c>
      <x:c r="J5" s="224"/>
      <x:c r="K5" s="223" t="s">
        <x:v>41</x:v>
      </x:c>
      <x:c r="L5" s="224"/>
      <x:c r="M5" s="223" t="s">
        <x:v>42</x:v>
      </x:c>
      <x:c r="N5" s="224"/>
      <x:c r="O5" s="223" t="s">
        <x:v>43</x:v>
      </x:c>
      <x:c r="P5" s="224"/>
      <x:c r="Q5" s="223" t="s">
        <x:v>44</x:v>
      </x:c>
      <x:c r="R5" s="224"/>
      <x:c r="S5" s="223" t="s">
        <x:v>45</x:v>
      </x:c>
      <x:c r="T5" s="224"/>
      <x:c r="U5" s="224"/>
      <x:c r="V5" s="224"/>
      <x:c r="W5" s="223" t="s">
        <x:v>45</x:v>
      </x:c>
      <x:c r="X5" s="224"/>
      <x:c r="Y5" s="223" t="s">
        <x:v>45</x:v>
      </x:c>
      <x:c r="Z5" s="224"/>
      <x:c r="AA5" s="223" t="s">
        <x:v>45</x:v>
      </x:c>
      <x:c r="AB5" s="224"/>
      <x:c r="AC5" s="210"/>
      <x:c r="AD5" s="225"/>
      <x:c r="AE5" s="225"/>
      <x:c r="AF5" s="226" t="s">
        <x:v>38</x:v>
      </x:c>
      <x:c r="AG5" s="227"/>
      <x:c r="AH5" s="226" t="s">
        <x:v>39</x:v>
      </x:c>
      <x:c r="AI5" s="227"/>
      <x:c r="AJ5" s="226" t="s">
        <x:v>40</x:v>
      </x:c>
      <x:c r="AK5" s="227"/>
      <x:c r="AL5" s="226" t="s">
        <x:v>41</x:v>
      </x:c>
      <x:c r="AM5" s="227"/>
      <x:c r="AN5" s="226" t="s">
        <x:v>42</x:v>
      </x:c>
      <x:c r="AO5" s="227"/>
    </x:row>
    <x:row r="6" spans="1:42" ht="82.5" customHeight="1" s="94" customFormat="1" x14ac:dyDescent="0.25">
      <x:c r="A6" s="206"/>
      <x:c r="B6" s="206"/>
      <x:c r="C6" s="228"/>
      <x:c r="D6" s="228"/>
      <x:c r="E6" s="218" t="s">
        <x:v>19</x:v>
      </x:c>
      <x:c r="F6" s="218" t="s">
        <x:v>20</x:v>
      </x:c>
      <x:c r="G6" s="218" t="s">
        <x:v>19</x:v>
      </x:c>
      <x:c r="H6" s="218" t="s">
        <x:v>20</x:v>
      </x:c>
      <x:c r="I6" s="218" t="s">
        <x:v>19</x:v>
      </x:c>
      <x:c r="J6" s="218" t="s">
        <x:v>20</x:v>
      </x:c>
      <x:c r="K6" s="218" t="s">
        <x:v>19</x:v>
      </x:c>
      <x:c r="L6" s="218" t="s">
        <x:v>20</x:v>
      </x:c>
      <x:c r="M6" s="218" t="s">
        <x:v>19</x:v>
      </x:c>
      <x:c r="N6" s="218" t="s">
        <x:v>20</x:v>
      </x:c>
      <x:c r="O6" s="218" t="s">
        <x:v>19</x:v>
      </x:c>
      <x:c r="P6" s="218" t="s">
        <x:v>20</x:v>
      </x:c>
      <x:c r="Q6" s="218" t="s">
        <x:v>19</x:v>
      </x:c>
      <x:c r="R6" s="218" t="s">
        <x:v>20</x:v>
      </x:c>
      <x:c r="S6" s="218" t="s">
        <x:v>19</x:v>
      </x:c>
      <x:c r="T6" s="218" t="s">
        <x:v>20</x:v>
      </x:c>
      <x:c r="U6" s="218" t="s">
        <x:v>19</x:v>
      </x:c>
      <x:c r="V6" s="218" t="s">
        <x:v>20</x:v>
      </x:c>
      <x:c r="W6" s="218" t="s">
        <x:v>19</x:v>
      </x:c>
      <x:c r="X6" s="218" t="s">
        <x:v>20</x:v>
      </x:c>
      <x:c r="Y6" s="218" t="s">
        <x:v>19</x:v>
      </x:c>
      <x:c r="Z6" s="218" t="s">
        <x:v>20</x:v>
      </x:c>
      <x:c r="AA6" s="218" t="s">
        <x:v>19</x:v>
      </x:c>
      <x:c r="AB6" s="218" t="s">
        <x:v>20</x:v>
      </x:c>
      <x:c r="AC6" s="210"/>
      <x:c r="AD6" s="229"/>
      <x:c r="AE6" s="229"/>
      <x:c r="AF6" s="221" t="s">
        <x:v>19</x:v>
      </x:c>
      <x:c r="AG6" s="221" t="s">
        <x:v>20</x:v>
      </x:c>
      <x:c r="AH6" s="221" t="s">
        <x:v>19</x:v>
      </x:c>
      <x:c r="AI6" s="221" t="s">
        <x:v>20</x:v>
      </x:c>
      <x:c r="AJ6" s="221" t="s">
        <x:v>19</x:v>
      </x:c>
      <x:c r="AK6" s="221" t="s">
        <x:v>20</x:v>
      </x:c>
      <x:c r="AL6" s="221" t="s">
        <x:v>19</x:v>
      </x:c>
      <x:c r="AM6" s="221" t="s">
        <x:v>20</x:v>
      </x:c>
      <x:c r="AN6" s="221" t="s">
        <x:v>19</x:v>
      </x:c>
      <x:c r="AO6" s="221" t="s">
        <x:v>20</x:v>
      </x:c>
    </x:row>
    <x:row r="7" spans="1:42" ht="12.6" customHeight="1" s="87" customFormat="1" x14ac:dyDescent="0.25">
      <x:c r="A7" s="206"/>
      <x:c r="B7" s="206"/>
      <x:c r="C7" s="206"/>
      <x:c r="D7" s="206"/>
      <x:c r="E7" s="206"/>
      <x:c r="F7" s="206"/>
      <x:c r="G7" s="206"/>
      <x:c r="H7" s="206"/>
      <x:c r="I7" s="206"/>
      <x:c r="J7" s="206"/>
      <x:c r="K7" s="206"/>
      <x:c r="L7" s="206"/>
      <x:c r="M7" s="206"/>
      <x:c r="N7" s="206"/>
      <x:c r="O7" s="206"/>
      <x:c r="P7" s="206"/>
      <x:c r="Q7" s="206"/>
      <x:c r="R7" s="206"/>
      <x:c r="S7" s="206"/>
      <x:c r="T7" s="206"/>
      <x:c r="U7" s="206"/>
      <x:c r="V7" s="206"/>
      <x:c r="W7" s="206"/>
      <x:c r="X7" s="206"/>
      <x:c r="Y7" s="206"/>
      <x:c r="Z7" s="206"/>
      <x:c r="AA7" s="206"/>
      <x:c r="AB7" s="206"/>
      <x:c r="AC7" s="206"/>
      <x:c r="AD7" s="206"/>
      <x:c r="AE7" s="206"/>
      <x:c r="AF7" s="206"/>
      <x:c r="AG7" s="206"/>
      <x:c r="AH7" s="206"/>
      <x:c r="AI7" s="206"/>
      <x:c r="AJ7" s="206"/>
      <x:c r="AK7" s="206"/>
      <x:c r="AL7" s="206"/>
      <x:c r="AM7" s="206"/>
      <x:c r="AN7" s="206"/>
      <x:c r="AO7" s="206"/>
    </x:row>
    <x:row r="8" spans="1:42" ht="18.75" customHeight="1" s="205" customFormat="1" x14ac:dyDescent="0.25">
      <x:c r="A8" s="230">
        <x:v>1</x:v>
      </x:c>
      <x:c r="B8" s="231" t="s">
        <x:v>11</x:v>
      </x:c>
      <x:c r="C8" s="232">
        <x:f>E8+G8+I8+K8+M8+O8+Q8+S8+ U8+ W8+Y8+AA8</x:f>
      </x:c>
      <x:c r="D8" s="232">
        <x:f>F8+H8+J8+L8+N8+P8+R8+T8+ V8+ X8+Z8+AB8</x:f>
      </x:c>
      <x:c r="E8" s="233">
        <x:v>0.737037037037037</x:v>
      </x:c>
      <x:c r="F8" s="233">
        <x:v>0.522222222222222</x:v>
      </x:c>
      <x:c r="G8" s="233">
        <x:v>0.414814814814815</x:v>
      </x:c>
      <x:c r="H8" s="233">
        <x:v>0.414814814814815</x:v>
      </x:c>
      <x:c r="I8" s="233">
        <x:v>0</x:v>
      </x:c>
      <x:c r="J8" s="233">
        <x:v>0</x:v>
      </x:c>
      <x:c r="K8" s="233">
        <x:v>0.237037037037037</x:v>
      </x:c>
      <x:c r="L8" s="233">
        <x:v>0.237037037037037</x:v>
      </x:c>
      <x:c r="M8" s="233">
        <x:v>0.307407407407407</x:v>
      </x:c>
      <x:c r="N8" s="233">
        <x:v>0.0614814814814815</x:v>
      </x:c>
      <x:c r="O8" s="233">
        <x:v>0.537037037037037</x:v>
      </x:c>
      <x:c r="P8" s="233">
        <x:v>0.451111111111111</x:v>
      </x:c>
      <x:c r="Q8" s="233">
        <x:v>0.314814814814815</x:v>
      </x:c>
      <x:c r="R8" s="233">
        <x:v>0.314814814814815</x:v>
      </x:c>
      <x:c r="S8" s="233">
        <x:v>0.42962962962963</x:v>
      </x:c>
      <x:c r="T8" s="233">
        <x:v>0.408148148148148</x:v>
      </x:c>
      <x:c r="U8" s="233">
        <x:v>0.414814814814815</x:v>
      </x:c>
      <x:c r="V8" s="233">
        <x:v>0.414814814814815</x:v>
      </x:c>
      <x:c r="W8" s="233">
        <x:v>0.507407407407407</x:v>
      </x:c>
      <x:c r="X8" s="233">
        <x:v>0.4</x:v>
      </x:c>
      <x:c r="Y8" s="234">
        <x:v>0.5</x:v>
      </x:c>
      <x:c r="Z8" s="235">
        <x:v>0.1</x:v>
      </x:c>
      <x:c r="AA8" s="234">
        <x:v>0.6</x:v>
      </x:c>
      <x:c r="AB8" s="235">
        <x:v>0.6</x:v>
      </x:c>
      <x:c r="AC8" s="231" t="s">
        <x:v>11</x:v>
      </x:c>
      <x:c r="AD8" s="232">
        <x:f>AF8+AH8+AJ8+AL8+AN8</x:f>
      </x:c>
      <x:c r="AE8" s="232">
        <x:f>AG8+AI8+AK8+AM8+AO8</x:f>
      </x:c>
      <x:c r="AF8" s="236">
        <x:v>0.5</x:v>
      </x:c>
      <x:c r="AG8" s="236">
        <x:v>0.5</x:v>
      </x:c>
      <x:c r="AH8" s="236">
        <x:v>0.4</x:v>
      </x:c>
      <x:c r="AI8" s="237">
        <x:v>0.4</x:v>
      </x:c>
      <x:c r="AJ8" s="234">
        <x:v>0.5</x:v>
      </x:c>
      <x:c r="AK8" s="234">
        <x:v>0.5</x:v>
      </x:c>
      <x:c r="AL8" s="234">
        <x:v>0.5</x:v>
      </x:c>
      <x:c r="AM8" s="234">
        <x:v>0.5</x:v>
      </x:c>
      <x:c r="AN8" s="234">
        <x:v>0.6</x:v>
      </x:c>
      <x:c r="AO8" s="235">
        <x:v>0.45</x:v>
      </x:c>
    </x:row>
    <x:row r="9" spans="1:42" ht="18.75" customHeight="1" x14ac:dyDescent="0.25">
      <x:c r="A9" s="137">
        <x:f>A8+1</x:f>
      </x:c>
      <x:c r="B9" s="96" t="s">
        <x:v>10</x:v>
      </x:c>
      <x:c r="C9" s="238">
        <x:f>E9+G9+I9+K9+M9+O9+Q9+S9+ U9+ W9+Y9+AA9</x:f>
      </x:c>
      <x:c r="D9" s="238">
        <x:f>F9+H9+J9+L9+N9+P9+R9+T9+ V9+ X9+Z9+AB9</x:f>
      </x:c>
      <x:c r="E9" s="130">
        <x:v>0.7</x:v>
      </x:c>
      <x:c r="F9" s="130">
        <x:v>0.44</x:v>
      </x:c>
      <x:c r="G9" s="130">
        <x:v>0.4</x:v>
      </x:c>
      <x:c r="H9" s="130">
        <x:v>0.4</x:v>
      </x:c>
      <x:c r="I9" s="130">
        <x:v>0.2</x:v>
      </x:c>
      <x:c r="J9" s="130">
        <x:v>0.2</x:v>
      </x:c>
      <x:c r="K9" s="130">
        <x:v>0.2</x:v>
      </x:c>
      <x:c r="L9" s="130">
        <x:v>0.2</x:v>
      </x:c>
      <x:c r="M9" s="130">
        <x:v>0.3</x:v>
      </x:c>
      <x:c r="N9" s="130">
        <x:v>0.16</x:v>
      </x:c>
      <x:c r="O9" s="130">
        <x:v>0.5</x:v>
      </x:c>
      <x:c r="P9" s="130">
        <x:v>0.34</x:v>
      </x:c>
      <x:c r="Q9" s="130">
        <x:v>0.3</x:v>
      </x:c>
      <x:c r="R9" s="130">
        <x:v>0.3</x:v>
      </x:c>
      <x:c r="S9" s="130">
        <x:v>0.4</x:v>
      </x:c>
      <x:c r="T9" s="130">
        <x:v>0.26</x:v>
      </x:c>
      <x:c r="U9" s="130">
        <x:v>0.4</x:v>
      </x:c>
      <x:c r="V9" s="130">
        <x:v>0.3</x:v>
      </x:c>
      <x:c r="W9" s="130">
        <x:v>0.5</x:v>
      </x:c>
      <x:c r="X9" s="130">
        <x:v>0.4</x:v>
      </x:c>
      <x:c r="Y9" s="95">
        <x:v>0.5</x:v>
      </x:c>
      <x:c r="Z9" s="129">
        <x:v>0.4</x:v>
      </x:c>
      <x:c r="AA9" s="95">
        <x:v>0.6</x:v>
      </x:c>
      <x:c r="AB9" s="129">
        <x:v>0.6</x:v>
      </x:c>
      <x:c r="AC9" s="96" t="s">
        <x:v>10</x:v>
      </x:c>
      <x:c r="AD9" s="238">
        <x:f>AF9+AH9+AJ9+AL9+AN9</x:f>
      </x:c>
      <x:c r="AE9" s="238">
        <x:f>AG9+AI9+AK9+AM9+AO9</x:f>
      </x:c>
      <x:c r="AF9" s="135">
        <x:v>0.5</x:v>
      </x:c>
      <x:c r="AG9" s="135">
        <x:v>0.5</x:v>
      </x:c>
      <x:c r="AH9" s="135">
        <x:v>0.4</x:v>
      </x:c>
      <x:c r="AI9" s="136">
        <x:v>0.35</x:v>
      </x:c>
      <x:c r="AJ9" s="95">
        <x:v>0.5</x:v>
      </x:c>
      <x:c r="AK9" s="95">
        <x:v>0.5</x:v>
      </x:c>
      <x:c r="AL9" s="95">
        <x:v>0.5</x:v>
      </x:c>
      <x:c r="AM9" s="95">
        <x:v>0.5</x:v>
      </x:c>
      <x:c r="AN9" s="95">
        <x:v>0.6</x:v>
      </x:c>
      <x:c r="AO9" s="129">
        <x:v>0.48</x:v>
      </x:c>
    </x:row>
    <x:row r="10" spans="1:42" ht="18.75" customHeight="1" x14ac:dyDescent="0.25">
      <x:c r="A10" s="137">
        <x:f>A9+1</x:f>
      </x:c>
      <x:c r="B10" s="96" t="s">
        <x:v>12</x:v>
      </x:c>
      <x:c r="C10" s="238">
        <x:f>E10+G10+I10+K10+M10+O10+Q10+S10+ U10+ W10+Y10+AA10</x:f>
      </x:c>
      <x:c r="D10" s="238">
        <x:f>F10+H10+J10+L10+N10+P10+R10+T10+ V10+ X10+Z10+AB10</x:f>
      </x:c>
      <x:c r="E10" s="130">
        <x:v>0.7</x:v>
      </x:c>
      <x:c r="F10" s="130">
        <x:v>0.54</x:v>
      </x:c>
      <x:c r="G10" s="130">
        <x:v>0.4</x:v>
      </x:c>
      <x:c r="H10" s="130">
        <x:v>0.4</x:v>
      </x:c>
      <x:c r="I10" s="130">
        <x:v>0.2</x:v>
      </x:c>
      <x:c r="J10" s="130">
        <x:v>0.2</x:v>
      </x:c>
      <x:c r="K10" s="130">
        <x:v>0.2</x:v>
      </x:c>
      <x:c r="L10" s="130">
        <x:v>0.2</x:v>
      </x:c>
      <x:c r="M10" s="130">
        <x:v>0.3</x:v>
      </x:c>
      <x:c r="N10" s="130">
        <x:v>0.06</x:v>
      </x:c>
      <x:c r="O10" s="130">
        <x:v>0.5</x:v>
      </x:c>
      <x:c r="P10" s="130">
        <x:v>0.36</x:v>
      </x:c>
      <x:c r="Q10" s="130">
        <x:v>0.3</x:v>
      </x:c>
      <x:c r="R10" s="130">
        <x:v>0.26</x:v>
      </x:c>
      <x:c r="S10" s="130">
        <x:v>0.4</x:v>
      </x:c>
      <x:c r="T10" s="130">
        <x:v>0.18</x:v>
      </x:c>
      <x:c r="U10" s="130">
        <x:v>0.4</x:v>
      </x:c>
      <x:c r="V10" s="130">
        <x:v>0.3</x:v>
      </x:c>
      <x:c r="W10" s="130">
        <x:v>0.5</x:v>
      </x:c>
      <x:c r="X10" s="130">
        <x:v>0.45</x:v>
      </x:c>
      <x:c r="Y10" s="95">
        <x:v>0.5</x:v>
      </x:c>
      <x:c r="Z10" s="129">
        <x:v>0.1</x:v>
      </x:c>
      <x:c r="AA10" s="95">
        <x:v>0.6</x:v>
      </x:c>
      <x:c r="AB10" s="129">
        <x:v>0.6</x:v>
      </x:c>
      <x:c r="AC10" s="96" t="s">
        <x:v>12</x:v>
      </x:c>
      <x:c r="AD10" s="238">
        <x:f>AF10+AH10+AJ10+AL10+AN10</x:f>
      </x:c>
      <x:c r="AE10" s="238">
        <x:f>AG10+AI10+AK10+AM10+AO10</x:f>
      </x:c>
      <x:c r="AF10" s="135">
        <x:v>0.5</x:v>
      </x:c>
      <x:c r="AG10" s="135">
        <x:v>0.5</x:v>
      </x:c>
      <x:c r="AH10" s="135">
        <x:v>0.4</x:v>
      </x:c>
      <x:c r="AI10" s="136">
        <x:v>0.4</x:v>
      </x:c>
      <x:c r="AJ10" s="95">
        <x:v>0.5</x:v>
      </x:c>
      <x:c r="AK10" s="95">
        <x:v>0.5</x:v>
      </x:c>
      <x:c r="AL10" s="95">
        <x:v>0.5</x:v>
      </x:c>
      <x:c r="AM10" s="95">
        <x:v>0.5</x:v>
      </x:c>
      <x:c r="AN10" s="95">
        <x:v>0.6</x:v>
      </x:c>
      <x:c r="AO10" s="129">
        <x:v>0.53</x:v>
      </x:c>
    </x:row>
    <x:row r="11" spans="1:42" ht="18.75" customHeight="1" x14ac:dyDescent="0.25">
      <x:c r="A11" s="137">
        <x:f>A10+1</x:f>
      </x:c>
      <x:c r="B11" s="96" t="s">
        <x:v>8</x:v>
      </x:c>
      <x:c r="C11" s="238">
        <x:f>E11+G11+I11+K11+M11+O11+Q11+S11+ U11+ W11+Y11+AA11</x:f>
      </x:c>
      <x:c r="D11" s="238">
        <x:f>F11+H11+J11+L11+N11+P11+R11+T11+ V11+ X11+Z11+AB11</x:f>
      </x:c>
      <x:c r="E11" s="130">
        <x:v>0.7</x:v>
      </x:c>
      <x:c r="F11" s="130">
        <x:v>0.68</x:v>
      </x:c>
      <x:c r="G11" s="130">
        <x:v>0.4</x:v>
      </x:c>
      <x:c r="H11" s="130">
        <x:v>0.4</x:v>
      </x:c>
      <x:c r="I11" s="130">
        <x:v>0.2</x:v>
      </x:c>
      <x:c r="J11" s="130">
        <x:v>0.2</x:v>
      </x:c>
      <x:c r="K11" s="130">
        <x:v>0.2</x:v>
      </x:c>
      <x:c r="L11" s="130">
        <x:v>0.2</x:v>
      </x:c>
      <x:c r="M11" s="130">
        <x:v>0.3</x:v>
      </x:c>
      <x:c r="N11" s="130">
        <x:v>0.26</x:v>
      </x:c>
      <x:c r="O11" s="130">
        <x:v>0.5</x:v>
      </x:c>
      <x:c r="P11" s="130">
        <x:v>0.3</x:v>
      </x:c>
      <x:c r="Q11" s="130">
        <x:v>0.3</x:v>
      </x:c>
      <x:c r="R11" s="130">
        <x:v>0.3</x:v>
      </x:c>
      <x:c r="S11" s="130">
        <x:v>0.4</x:v>
      </x:c>
      <x:c r="T11" s="130">
        <x:v>0.28</x:v>
      </x:c>
      <x:c r="U11" s="130">
        <x:v>0.4</x:v>
      </x:c>
      <x:c r="V11" s="130">
        <x:v>0.4</x:v>
      </x:c>
      <x:c r="W11" s="130">
        <x:v>0.5</x:v>
      </x:c>
      <x:c r="X11" s="130">
        <x:v>0.4</x:v>
      </x:c>
      <x:c r="Y11" s="95">
        <x:v>0.5</x:v>
      </x:c>
      <x:c r="Z11" s="129">
        <x:v>0.4</x:v>
      </x:c>
      <x:c r="AA11" s="95">
        <x:v>0.6</x:v>
      </x:c>
      <x:c r="AB11" s="129">
        <x:v>0.6</x:v>
      </x:c>
      <x:c r="AC11" s="96" t="s">
        <x:v>8</x:v>
      </x:c>
      <x:c r="AD11" s="238">
        <x:f>AF11+AH11+AJ11+AL11+AN11</x:f>
      </x:c>
      <x:c r="AE11" s="238">
        <x:f>AG11+AI11+AK11+AM11+AO11</x:f>
      </x:c>
      <x:c r="AF11" s="135">
        <x:v>0.5</x:v>
      </x:c>
      <x:c r="AG11" s="135">
        <x:v>0.5</x:v>
      </x:c>
      <x:c r="AH11" s="135">
        <x:v>0.4</x:v>
      </x:c>
      <x:c r="AI11" s="136">
        <x:v>0.35</x:v>
      </x:c>
      <x:c r="AJ11" s="95">
        <x:v>0.5</x:v>
      </x:c>
      <x:c r="AK11" s="95">
        <x:v>0.5</x:v>
      </x:c>
      <x:c r="AL11" s="95">
        <x:v>0.5</x:v>
      </x:c>
      <x:c r="AM11" s="95">
        <x:v>0.5</x:v>
      </x:c>
      <x:c r="AN11" s="95">
        <x:v>0.6</x:v>
      </x:c>
      <x:c r="AO11" s="129">
        <x:v>0.5</x:v>
      </x:c>
    </x:row>
    <x:row r="12" spans="1:42" ht="18.75" customHeight="1" x14ac:dyDescent="0.25">
      <x:c r="A12" s="137">
        <x:f>A11+1</x:f>
      </x:c>
      <x:c r="B12" s="96" t="s">
        <x:v>13</x:v>
      </x:c>
      <x:c r="C12" s="238">
        <x:f>E12+G12+I12+K12+M12+O12+Q12+S12+ U12+ W12+Y12+AA12</x:f>
      </x:c>
      <x:c r="D12" s="238">
        <x:f>F12+H12+J12+L12+N12+P12+R12+T12+ V12+ X12+Z12+AB12</x:f>
      </x:c>
      <x:c r="E12" s="130">
        <x:v>0.7</x:v>
      </x:c>
      <x:c r="F12" s="130">
        <x:v>0.6</x:v>
      </x:c>
      <x:c r="G12" s="130">
        <x:v>0.4</x:v>
      </x:c>
      <x:c r="H12" s="130">
        <x:v>0.4</x:v>
      </x:c>
      <x:c r="I12" s="130">
        <x:v>0.2</x:v>
      </x:c>
      <x:c r="J12" s="130">
        <x:v>0.2</x:v>
      </x:c>
      <x:c r="K12" s="130">
        <x:v>0.2</x:v>
      </x:c>
      <x:c r="L12" s="130">
        <x:v>0.168</x:v>
      </x:c>
      <x:c r="M12" s="130">
        <x:v>0.3</x:v>
      </x:c>
      <x:c r="N12" s="130">
        <x:v>0.26</x:v>
      </x:c>
      <x:c r="O12" s="130">
        <x:v>0.5</x:v>
      </x:c>
      <x:c r="P12" s="130">
        <x:v>0.28</x:v>
      </x:c>
      <x:c r="Q12" s="130">
        <x:v>0.3</x:v>
      </x:c>
      <x:c r="R12" s="130">
        <x:v>0.255</x:v>
      </x:c>
      <x:c r="S12" s="130">
        <x:v>0.4</x:v>
      </x:c>
      <x:c r="T12" s="130">
        <x:v>0.16</x:v>
      </x:c>
      <x:c r="U12" s="130">
        <x:v>0.4</x:v>
      </x:c>
      <x:c r="V12" s="130">
        <x:v>0.14</x:v>
      </x:c>
      <x:c r="W12" s="130">
        <x:v>0.5</x:v>
      </x:c>
      <x:c r="X12" s="130">
        <x:v>0.4</x:v>
      </x:c>
      <x:c r="Y12" s="95">
        <x:v>0.5</x:v>
      </x:c>
      <x:c r="Z12" s="129">
        <x:v>0.1</x:v>
      </x:c>
      <x:c r="AA12" s="95">
        <x:v>0.6</x:v>
      </x:c>
      <x:c r="AB12" s="129">
        <x:v>0.6</x:v>
      </x:c>
      <x:c r="AC12" s="96" t="s">
        <x:v>13</x:v>
      </x:c>
      <x:c r="AD12" s="238">
        <x:f>AF12+AH12+AJ12+AL12+AN12</x:f>
      </x:c>
      <x:c r="AE12" s="238">
        <x:f>AG12+AI12+AK12+AM12+AO12</x:f>
      </x:c>
      <x:c r="AF12" s="135">
        <x:v>0.5</x:v>
      </x:c>
      <x:c r="AG12" s="135">
        <x:v>0.5</x:v>
      </x:c>
      <x:c r="AH12" s="135">
        <x:v>0.4</x:v>
      </x:c>
      <x:c r="AI12" s="136">
        <x:v>0.4</x:v>
      </x:c>
      <x:c r="AJ12" s="95">
        <x:v>0.5</x:v>
      </x:c>
      <x:c r="AK12" s="95">
        <x:v>0.5</x:v>
      </x:c>
      <x:c r="AL12" s="95">
        <x:v>0.5</x:v>
      </x:c>
      <x:c r="AM12" s="95">
        <x:v>0.5</x:v>
      </x:c>
      <x:c r="AN12" s="95">
        <x:v>0.6</x:v>
      </x:c>
      <x:c r="AO12" s="129">
        <x:v>0.45</x:v>
      </x:c>
    </x:row>
    <x:row r="13" spans="1:42" ht="18.75" customHeight="1" x14ac:dyDescent="0.25">
      <x:c r="A13" s="137">
        <x:f>A12+1</x:f>
      </x:c>
      <x:c r="B13" s="96" t="s">
        <x:v>15</x:v>
      </x:c>
      <x:c r="C13" s="238">
        <x:f>E13+G13+I13+K13+M13+O13+Q13+S13+ U13+ W13+Y13+AA13</x:f>
      </x:c>
      <x:c r="D13" s="238">
        <x:f>F13+H13+J13+L13+N13+P13+R13+T13+ V13+ X13+Z13+AB13</x:f>
      </x:c>
      <x:c r="E13" s="130">
        <x:v>0.738461538461539</x:v>
      </x:c>
      <x:c r="F13" s="130">
        <x:v>0.296923076923077</x:v>
      </x:c>
      <x:c r="G13" s="130">
        <x:v>0.415384615384615</x:v>
      </x:c>
      <x:c r="H13" s="130">
        <x:v>0.415384615384615</x:v>
      </x:c>
      <x:c r="I13" s="130">
        <x:v>0</x:v>
      </x:c>
      <x:c r="J13" s="130">
        <x:v>0</x:v>
      </x:c>
      <x:c r="K13" s="130">
        <x:v>0.238461538461538</x:v>
      </x:c>
      <x:c r="L13" s="130">
        <x:v>0.200307692307692</x:v>
      </x:c>
      <x:c r="M13" s="130">
        <x:v>0.307692307692308</x:v>
      </x:c>
      <x:c r="N13" s="130">
        <x:v>0.0615384615384615</x:v>
      </x:c>
      <x:c r="O13" s="130">
        <x:v>0.538461538461539</x:v>
      </x:c>
      <x:c r="P13" s="130">
        <x:v>0.236923076923077</x:v>
      </x:c>
      <x:c r="Q13" s="130">
        <x:v>0.307692307692308</x:v>
      </x:c>
      <x:c r="R13" s="130">
        <x:v>0.307692307692308</x:v>
      </x:c>
      <x:c r="S13" s="130">
        <x:v>0.430769230769231</x:v>
      </x:c>
      <x:c r="T13" s="130">
        <x:v>0.193846153846154</x:v>
      </x:c>
      <x:c r="U13" s="130">
        <x:v>0.415384615384615</x:v>
      </x:c>
      <x:c r="V13" s="130">
        <x:v>0.145384615384615</x:v>
      </x:c>
      <x:c r="W13" s="130">
        <x:v>0.507692307692308</x:v>
      </x:c>
      <x:c r="X13" s="130">
        <x:v>0.4</x:v>
      </x:c>
      <x:c r="Y13" s="95">
        <x:v>0.5</x:v>
      </x:c>
      <x:c r="Z13" s="129">
        <x:v>0.1</x:v>
      </x:c>
      <x:c r="AA13" s="95">
        <x:v>0.6</x:v>
      </x:c>
      <x:c r="AB13" s="129">
        <x:v>0.6</x:v>
      </x:c>
      <x:c r="AC13" s="96" t="s">
        <x:v>15</x:v>
      </x:c>
      <x:c r="AD13" s="238">
        <x:f>AF13+AH13+AJ13+AL13+AN13</x:f>
      </x:c>
      <x:c r="AE13" s="238">
        <x:f>AG13+AI13+AK13+AM13+AO13</x:f>
      </x:c>
      <x:c r="AF13" s="135">
        <x:v>0.5</x:v>
      </x:c>
      <x:c r="AG13" s="135">
        <x:v>0.5</x:v>
      </x:c>
      <x:c r="AH13" s="135">
        <x:v>0.4</x:v>
      </x:c>
      <x:c r="AI13" s="136">
        <x:v>0.2</x:v>
      </x:c>
      <x:c r="AJ13" s="95">
        <x:v>0.5</x:v>
      </x:c>
      <x:c r="AK13" s="95">
        <x:v>0.5</x:v>
      </x:c>
      <x:c r="AL13" s="95">
        <x:v>0.5</x:v>
      </x:c>
      <x:c r="AM13" s="95">
        <x:v>0.5</x:v>
      </x:c>
      <x:c r="AN13" s="95">
        <x:v>0.6</x:v>
      </x:c>
      <x:c r="AO13" s="129">
        <x:v>0.45</x:v>
      </x:c>
    </x:row>
    <x:row r="14" spans="1:42" ht="18.75" customHeight="1" x14ac:dyDescent="0.25">
      <x:c r="A14" s="137">
        <x:f>A13+1</x:f>
      </x:c>
      <x:c r="B14" s="96" t="s">
        <x:v>9</x:v>
      </x:c>
      <x:c r="C14" s="238">
        <x:f>E14+G14+I14+K14+M14+O14+Q14+S14+ U14+ W14+Y14+AA14</x:f>
      </x:c>
      <x:c r="D14" s="238">
        <x:f>F14+H14+J14+L14+N14+P14+R14+T14+ V14+ X14+Z14+AB14</x:f>
      </x:c>
      <x:c r="E14" s="130">
        <x:v>0.7</x:v>
      </x:c>
      <x:c r="F14" s="130">
        <x:v>0.64</x:v>
      </x:c>
      <x:c r="G14" s="130">
        <x:v>0.4</x:v>
      </x:c>
      <x:c r="H14" s="130">
        <x:v>0.28</x:v>
      </x:c>
      <x:c r="I14" s="130">
        <x:v>0.2</x:v>
      </x:c>
      <x:c r="J14" s="130">
        <x:v>0.2</x:v>
      </x:c>
      <x:c r="K14" s="130">
        <x:v>0.2</x:v>
      </x:c>
      <x:c r="L14" s="130">
        <x:v>0.2</x:v>
      </x:c>
      <x:c r="M14" s="130">
        <x:v>0.3</x:v>
      </x:c>
      <x:c r="N14" s="130">
        <x:v>0.26</x:v>
      </x:c>
      <x:c r="O14" s="130">
        <x:v>0.5</x:v>
      </x:c>
      <x:c r="P14" s="130">
        <x:v>0.36</x:v>
      </x:c>
      <x:c r="Q14" s="130">
        <x:v>0.3</x:v>
      </x:c>
      <x:c r="R14" s="130">
        <x:v>0.3</x:v>
      </x:c>
      <x:c r="S14" s="130">
        <x:v>0.4</x:v>
      </x:c>
      <x:c r="T14" s="130">
        <x:v>0.22</x:v>
      </x:c>
      <x:c r="U14" s="130">
        <x:v>0.4</x:v>
      </x:c>
      <x:c r="V14" s="130">
        <x:v>0.4</x:v>
      </x:c>
      <x:c r="W14" s="130">
        <x:v>0.5</x:v>
      </x:c>
      <x:c r="X14" s="130">
        <x:v>0.4</x:v>
      </x:c>
      <x:c r="Y14" s="95">
        <x:v>0.5</x:v>
      </x:c>
      <x:c r="Z14" s="129">
        <x:v>0.4</x:v>
      </x:c>
      <x:c r="AA14" s="95">
        <x:v>0.6</x:v>
      </x:c>
      <x:c r="AB14" s="129">
        <x:v>0.6</x:v>
      </x:c>
      <x:c r="AC14" s="96" t="s">
        <x:v>9</x:v>
      </x:c>
      <x:c r="AD14" s="238">
        <x:f>AF14+AH14+AJ14+AL14+AN14</x:f>
      </x:c>
      <x:c r="AE14" s="238">
        <x:f>AG14+AI14+AK14+AM14+AO14</x:f>
      </x:c>
      <x:c r="AF14" s="135">
        <x:v>0.5</x:v>
      </x:c>
      <x:c r="AG14" s="135">
        <x:v>0.5</x:v>
      </x:c>
      <x:c r="AH14" s="135">
        <x:v>0.4</x:v>
      </x:c>
      <x:c r="AI14" s="136">
        <x:v>0.35</x:v>
      </x:c>
      <x:c r="AJ14" s="95">
        <x:v>0.5</x:v>
      </x:c>
      <x:c r="AK14" s="95">
        <x:v>0.5</x:v>
      </x:c>
      <x:c r="AL14" s="95">
        <x:v>0.5</x:v>
      </x:c>
      <x:c r="AM14" s="95">
        <x:v>0.5</x:v>
      </x:c>
      <x:c r="AN14" s="95">
        <x:v>0.6</x:v>
      </x:c>
      <x:c r="AO14" s="129">
        <x:v>0.51</x:v>
      </x:c>
    </x:row>
    <x:row r="15" spans="1:42" ht="18.75" customHeight="1" x14ac:dyDescent="0.25">
      <x:c r="A15" s="137">
        <x:f>A14+1</x:f>
      </x:c>
      <x:c r="B15" s="96" t="s">
        <x:v>14</x:v>
      </x:c>
      <x:c r="C15" s="238">
        <x:f>E15+G15+I15+K15+M15+O15+Q15+S15+ U15+ W15+Y15+AA15</x:f>
      </x:c>
      <x:c r="D15" s="238">
        <x:f>F15+H15+J15+L15+N15+P15+R15+T15+ V15+ X15+Z15+AB15</x:f>
      </x:c>
      <x:c r="E15" s="130">
        <x:v>0.737037037037037</x:v>
      </x:c>
      <x:c r="F15" s="130">
        <x:v>0.467777777777778</x:v>
      </x:c>
      <x:c r="G15" s="130">
        <x:v>0.414814814814815</x:v>
      </x:c>
      <x:c r="H15" s="130">
        <x:v>0.311851851851852</x:v>
      </x:c>
      <x:c r="I15" s="130">
        <x:v>0</x:v>
      </x:c>
      <x:c r="J15" s="130">
        <x:v>0</x:v>
      </x:c>
      <x:c r="K15" s="130">
        <x:v>0.237037037037037</x:v>
      </x:c>
      <x:c r="L15" s="130">
        <x:v>0.237037037037037</x:v>
      </x:c>
      <x:c r="M15" s="130">
        <x:v>0.307407407407407</x:v>
      </x:c>
      <x:c r="N15" s="130">
        <x:v>0.161481481481482</x:v>
      </x:c>
      <x:c r="O15" s="130">
        <x:v>0.537037037037037</x:v>
      </x:c>
      <x:c r="P15" s="130">
        <x:v>0.236296296296296</x:v>
      </x:c>
      <x:c r="Q15" s="130">
        <x:v>0.314814814814815</x:v>
      </x:c>
      <x:c r="R15" s="130">
        <x:v>0.188888888888889</x:v>
      </x:c>
      <x:c r="S15" s="130">
        <x:v>0.42962962962963</x:v>
      </x:c>
      <x:c r="T15" s="130">
        <x:v>0.257777777777778</x:v>
      </x:c>
      <x:c r="U15" s="130">
        <x:v>0.414814814814815</x:v>
      </x:c>
      <x:c r="V15" s="130">
        <x:v>0.248888888888889</x:v>
      </x:c>
      <x:c r="W15" s="130">
        <x:v>0.507407407407407</x:v>
      </x:c>
      <x:c r="X15" s="130">
        <x:v>0.4</x:v>
      </x:c>
      <x:c r="Y15" s="95">
        <x:v>0.5</x:v>
      </x:c>
      <x:c r="Z15" s="129">
        <x:v>0.4</x:v>
      </x:c>
      <x:c r="AA15" s="95">
        <x:v>0.6</x:v>
      </x:c>
      <x:c r="AB15" s="129">
        <x:v>0.6</x:v>
      </x:c>
      <x:c r="AC15" s="96" t="s">
        <x:v>14</x:v>
      </x:c>
      <x:c r="AD15" s="238">
        <x:f>AF15+AH15+AJ15+AL15+AN15</x:f>
      </x:c>
      <x:c r="AE15" s="238">
        <x:f>AG15+AI15+AK15+AM15+AO15</x:f>
      </x:c>
      <x:c r="AF15" s="135">
        <x:v>0.5</x:v>
      </x:c>
      <x:c r="AG15" s="135">
        <x:v>0.5</x:v>
      </x:c>
      <x:c r="AH15" s="135">
        <x:v>0.4</x:v>
      </x:c>
      <x:c r="AI15" s="136">
        <x:v>0.4</x:v>
      </x:c>
      <x:c r="AJ15" s="95">
        <x:v>0.5</x:v>
      </x:c>
      <x:c r="AK15" s="95">
        <x:v>0.5</x:v>
      </x:c>
      <x:c r="AL15" s="95">
        <x:v>0.5</x:v>
      </x:c>
      <x:c r="AM15" s="95">
        <x:v>0.5</x:v>
      </x:c>
      <x:c r="AN15" s="95">
        <x:v>0.6</x:v>
      </x:c>
      <x:c r="AO15" s="129">
        <x:v>0.45</x:v>
      </x:c>
    </x:row>
  </x:sheetData>
  <x:mergeCells count="43">
    <x:mergeCell ref="A1:AO1"/>
    <x:mergeCell ref="A3:A6"/>
    <x:mergeCell ref="B3:B6"/>
    <x:mergeCell ref="C3:AB3"/>
    <x:mergeCell ref="AC3:AC6"/>
    <x:mergeCell ref="AD3:AO3"/>
    <x:mergeCell ref="C4:C6"/>
    <x:mergeCell ref="D4:D6"/>
    <x:mergeCell ref="E4:F4"/>
    <x:mergeCell ref="G4:H4"/>
    <x:mergeCell ref="I4:J4"/>
    <x:mergeCell ref="K4:L4"/>
    <x:mergeCell ref="M4:N4"/>
    <x:mergeCell ref="O4:P4"/>
    <x:mergeCell ref="Q4:R4"/>
    <x:mergeCell ref="S4:T4"/>
    <x:mergeCell ref="U4:V4"/>
    <x:mergeCell ref="W4:X4"/>
    <x:mergeCell ref="Y4:Z4"/>
    <x:mergeCell ref="AA4:AB4"/>
    <x:mergeCell ref="AD4:AD6"/>
    <x:mergeCell ref="AE4:AE6"/>
    <x:mergeCell ref="AF4:AG4"/>
    <x:mergeCell ref="AH4:AI4"/>
    <x:mergeCell ref="AJ4:AK4"/>
    <x:mergeCell ref="AL4:AM4"/>
    <x:mergeCell ref="AN4:AO4"/>
    <x:mergeCell ref="E5:F5"/>
    <x:mergeCell ref="G5:H5"/>
    <x:mergeCell ref="I5:J5"/>
    <x:mergeCell ref="K5:L5"/>
    <x:mergeCell ref="M5:N5"/>
    <x:mergeCell ref="O5:P5"/>
    <x:mergeCell ref="Q5:R5"/>
    <x:mergeCell ref="S5:T5"/>
    <x:mergeCell ref="W5:X5"/>
    <x:mergeCell ref="Y5:Z5"/>
    <x:mergeCell ref="AA5:AB5"/>
    <x:mergeCell ref="AF5:AG5"/>
    <x:mergeCell ref="AH5:AI5"/>
    <x:mergeCell ref="AJ5:AK5"/>
    <x:mergeCell ref="AL5:AM5"/>
    <x:mergeCell ref="AN5:AO5"/>
  </x:mergeCells>
  <x:printOptions horizontalCentered="0" verticalCentered="0" headings="0" gridLines="0"/>
  <x:pageMargins left="0.2" right="0" top="0.4" bottom="0" header="0.12" footer="0.3"/>
  <x:pageSetup paperSize="9" fitToHeight="0" pageOrder="downThenOver" orientation="landscape" blackAndWhite="0" draft="0" cellComments="none" errors="displayed" r:id="rId1"/>
  <x:headerFooter/>
  <x:legacy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I35"/>
  <x:sheetViews>
    <x:sheetView workbookViewId="0">
      <x:selection activeCell="D21" sqref="D21"/>
    </x:sheetView>
  </x:sheetViews>
  <x:sheetFormatPr defaultRowHeight="15" x14ac:dyDescent="0.25"/>
  <x:cols>
    <x:col min="1" max="1" width="7.710938" style="0" customWidth="1"/>
    <x:col min="2" max="2" width="25.285156" style="0" customWidth="1"/>
    <x:col min="3" max="3" width="23.285156" style="0" customWidth="1"/>
    <x:col min="4" max="6" width="24.285156" style="0" customWidth="1"/>
    <x:col min="7" max="7" width="12.140625" style="0" customWidth="1"/>
    <x:col min="8" max="9" width="9.140625" style="0" customWidth="1"/>
  </x:cols>
  <x:sheetData>
    <x:row r="1" spans="1:9" ht="42.75" customHeight="1" x14ac:dyDescent="0.25">
      <x:c r="A1" s="240" t="s">
        <x:v>2</x:v>
      </x:c>
      <x:c r="B1" s="241" t="s">
        <x:v>46</x:v>
      </x:c>
      <x:c r="C1" s="241" t="s">
        <x:v>47</x:v>
      </x:c>
      <x:c r="D1" s="241" t="s">
        <x:v>48</x:v>
      </x:c>
      <x:c r="E1" s="242" t="s">
        <x:v>49</x:v>
      </x:c>
      <x:c r="F1" s="242" t="s">
        <x:v>50</x:v>
      </x:c>
      <x:c r="G1" s="243" t="s">
        <x:v>51</x:v>
      </x:c>
    </x:row>
    <x:row r="2" spans="1:9" x14ac:dyDescent="0.25">
      <x:c r="A2" s="139" t="s">
        <x:v>52</x:v>
      </x:c>
      <x:c r="B2" s="140">
        <x:v>0.1</x:v>
      </x:c>
      <x:c r="C2" s="141">
        <x:v>0.3</x:v>
      </x:c>
      <x:c r="D2" s="141">
        <x:v>0.16</x:v>
      </x:c>
      <x:c r="E2" s="141">
        <x:v>0.6</x:v>
      </x:c>
      <x:c r="F2" s="141"/>
      <x:c r="G2" s="142">
        <x:f>E2+D2+C2+B2</x:f>
      </x:c>
      <x:c r="H2" s="0">
        <x:f>SUM(B2:F2)=G2</x:f>
      </x:c>
      <x:c r="I2" s="0">
        <x:f>VLOOKUP(A2,'[9]Diem TH tinh Thang'!$B$4:$B$36,1,0)</x:f>
      </x:c>
    </x:row>
    <x:row r="3" spans="1:9" x14ac:dyDescent="0.25">
      <x:c r="A3" s="139" t="s">
        <x:v>53</x:v>
      </x:c>
      <x:c r="B3" s="140">
        <x:v>0.1</x:v>
      </x:c>
      <x:c r="C3" s="141">
        <x:v>0.14</x:v>
      </x:c>
      <x:c r="D3" s="141">
        <x:v>0.24</x:v>
      </x:c>
      <x:c r="E3" s="141">
        <x:v>0.6</x:v>
      </x:c>
      <x:c r="F3" s="141"/>
      <x:c r="G3" s="142">
        <x:f>E3+D3+C3+B3</x:f>
      </x:c>
      <x:c r="H3" s="0">
        <x:f>SUM(B3:F3)=G3</x:f>
      </x:c>
      <x:c r="I3" s="0">
        <x:f>VLOOKUP(A3,'[9]Diem TH tinh Thang'!$B$4:$B$36,1,0)</x:f>
      </x:c>
    </x:row>
    <x:row r="4" spans="1:9" x14ac:dyDescent="0.25">
      <x:c r="A4" s="139" t="s">
        <x:v>54</x:v>
      </x:c>
      <x:c r="B4" s="140">
        <x:v>0.2</x:v>
      </x:c>
      <x:c r="C4" s="141">
        <x:v>0.4</x:v>
      </x:c>
      <x:c r="D4" s="141">
        <x:v>0.64</x:v>
      </x:c>
      <x:c r="E4" s="141">
        <x:v>1.4</x:v>
      </x:c>
      <x:c r="F4" s="141"/>
      <x:c r="G4" s="142">
        <x:f>E4+D4+C4+B4</x:f>
      </x:c>
      <x:c r="H4" s="0">
        <x:f>SUM(B4:F4)=G4</x:f>
      </x:c>
      <x:c r="I4" s="0">
        <x:f>VLOOKUP(A4,'[9]Diem TH tinh Thang'!$B$4:$B$36,1,0)</x:f>
      </x:c>
    </x:row>
    <x:row r="5" spans="1:9" x14ac:dyDescent="0.25">
      <x:c r="A5" s="139" t="s">
        <x:v>55</x:v>
      </x:c>
      <x:c r="B5" s="140">
        <x:v>0.1</x:v>
      </x:c>
      <x:c r="C5" s="141">
        <x:v>0.3</x:v>
      </x:c>
      <x:c r="D5" s="141">
        <x:v>0.24</x:v>
      </x:c>
      <x:c r="E5" s="141">
        <x:v>0.6</x:v>
      </x:c>
      <x:c r="F5" s="141"/>
      <x:c r="G5" s="142">
        <x:f>E5+D5+C5+B5</x:f>
      </x:c>
      <x:c r="H5" s="0">
        <x:f>SUM(B5:F5)=G5</x:f>
      </x:c>
      <x:c r="I5" s="0">
        <x:f>VLOOKUP(A5,'[9]Diem TH tinh Thang'!$B$4:$B$36,1,0)</x:f>
      </x:c>
    </x:row>
    <x:row r="6" spans="1:9" x14ac:dyDescent="0.25">
      <x:c r="A6" s="139" t="s">
        <x:v>56</x:v>
      </x:c>
      <x:c r="B6" s="140">
        <x:v>0.1</x:v>
      </x:c>
      <x:c r="C6" s="141">
        <x:v>0.3</x:v>
      </x:c>
      <x:c r="D6" s="141">
        <x:v>0.2</x:v>
      </x:c>
      <x:c r="E6" s="141">
        <x:v>0.6</x:v>
      </x:c>
      <x:c r="F6" s="141"/>
      <x:c r="G6" s="142">
        <x:f>E6+D6+C6+B6</x:f>
      </x:c>
      <x:c r="H6" s="0">
        <x:f>SUM(B6:F6)=G6</x:f>
      </x:c>
      <x:c r="I6" s="0">
        <x:f>VLOOKUP(A6,'[9]Diem TH tinh Thang'!$B$4:$B$36,1,0)</x:f>
      </x:c>
    </x:row>
    <x:row r="7" spans="1:9" x14ac:dyDescent="0.25">
      <x:c r="A7" s="139" t="s">
        <x:v>57</x:v>
      </x:c>
      <x:c r="B7" s="140">
        <x:v>0.1</x:v>
      </x:c>
      <x:c r="C7" s="141">
        <x:v>0.3</x:v>
      </x:c>
      <x:c r="D7" s="141">
        <x:v>0.32</x:v>
      </x:c>
      <x:c r="E7" s="141">
        <x:v>0.6</x:v>
      </x:c>
      <x:c r="F7" s="141"/>
      <x:c r="G7" s="142">
        <x:f>E7+D7+C7+B7</x:f>
      </x:c>
      <x:c r="H7" s="0">
        <x:f>SUM(B7:F7)=G7</x:f>
      </x:c>
      <x:c r="I7" s="0">
        <x:f>VLOOKUP(A7,'[9]Diem TH tinh Thang'!$B$4:$B$36,1,0)</x:f>
      </x:c>
    </x:row>
    <x:row r="8" spans="1:9" x14ac:dyDescent="0.25">
      <x:c r="A8" s="139" t="s">
        <x:v>58</x:v>
      </x:c>
      <x:c r="B8" s="140">
        <x:v>0.1</x:v>
      </x:c>
      <x:c r="C8" s="141">
        <x:v>0.18</x:v>
      </x:c>
      <x:c r="D8" s="141">
        <x:v>0.32</x:v>
      </x:c>
      <x:c r="E8" s="141">
        <x:v>0.6</x:v>
      </x:c>
      <x:c r="F8" s="141"/>
      <x:c r="G8" s="142">
        <x:f>E8+D8+C8+B8</x:f>
      </x:c>
      <x:c r="H8" s="0">
        <x:f>SUM(B8:F8)=G8</x:f>
      </x:c>
      <x:c r="I8" s="0">
        <x:f>VLOOKUP(A8,'[9]Diem TH tinh Thang'!$B$4:$B$36,1,0)</x:f>
      </x:c>
    </x:row>
    <x:row r="9" spans="1:9" x14ac:dyDescent="0.25">
      <x:c r="A9" s="139" t="s">
        <x:v>59</x:v>
      </x:c>
      <x:c r="B9" s="140">
        <x:v>0.1</x:v>
      </x:c>
      <x:c r="C9" s="141">
        <x:v>0.14</x:v>
      </x:c>
      <x:c r="D9" s="141">
        <x:v>0.32</x:v>
      </x:c>
      <x:c r="E9" s="141">
        <x:v>0.6</x:v>
      </x:c>
      <x:c r="F9" s="141"/>
      <x:c r="G9" s="142">
        <x:f>E9+D9+C9+B9</x:f>
      </x:c>
      <x:c r="H9" s="0">
        <x:f>SUM(B9:F9)=G9</x:f>
      </x:c>
      <x:c r="I9" s="0">
        <x:f>VLOOKUP(A9,'[9]Diem TH tinh Thang'!$B$4:$B$36,1,0)</x:f>
      </x:c>
    </x:row>
    <x:row r="10" spans="1:9" x14ac:dyDescent="0.25">
      <x:c r="A10" s="139" t="s">
        <x:v>60</x:v>
      </x:c>
      <x:c r="B10" s="140">
        <x:v>0.1</x:v>
      </x:c>
      <x:c r="C10" s="141">
        <x:v>0.3</x:v>
      </x:c>
      <x:c r="D10" s="141">
        <x:v>0.24</x:v>
      </x:c>
      <x:c r="E10" s="141">
        <x:v>0.6</x:v>
      </x:c>
      <x:c r="F10" s="141"/>
      <x:c r="G10" s="142">
        <x:f>E10+D10+C10+B10</x:f>
      </x:c>
      <x:c r="H10" s="0">
        <x:f>SUM(B10:F10)=G10</x:f>
      </x:c>
      <x:c r="I10" s="0">
        <x:f>VLOOKUP(A10,'[9]Diem TH tinh Thang'!$B$4:$B$36,1,0)</x:f>
      </x:c>
    </x:row>
    <x:row r="11" spans="1:9" x14ac:dyDescent="0.25">
      <x:c r="A11" s="139" t="s">
        <x:v>61</x:v>
      </x:c>
      <x:c r="B11" s="140">
        <x:v>0.1</x:v>
      </x:c>
      <x:c r="C11" s="141">
        <x:v>0.3</x:v>
      </x:c>
      <x:c r="D11" s="141">
        <x:v>0.4</x:v>
      </x:c>
      <x:c r="E11" s="141">
        <x:v>0.6</x:v>
      </x:c>
      <x:c r="F11" s="141"/>
      <x:c r="G11" s="142">
        <x:f>E11+D11+C11+B11</x:f>
      </x:c>
      <x:c r="H11" s="0">
        <x:f>SUM(B11:F11)=G11</x:f>
      </x:c>
      <x:c r="I11" s="0">
        <x:f>VLOOKUP(A11,'[9]Diem TH tinh Thang'!$B$4:$B$36,1,0)</x:f>
      </x:c>
    </x:row>
    <x:row r="12" spans="1:9" x14ac:dyDescent="0.25">
      <x:c r="A12" s="139" t="s">
        <x:v>62</x:v>
      </x:c>
      <x:c r="B12" s="140">
        <x:v>0.1</x:v>
      </x:c>
      <x:c r="C12" s="141">
        <x:v>0.3</x:v>
      </x:c>
      <x:c r="D12" s="141">
        <x:v>0.32</x:v>
      </x:c>
      <x:c r="E12" s="141">
        <x:v>0.6</x:v>
      </x:c>
      <x:c r="F12" s="141"/>
      <x:c r="G12" s="142">
        <x:f>E12+D12+C12+B12</x:f>
      </x:c>
      <x:c r="H12" s="0">
        <x:f>SUM(B12:F12)=G12</x:f>
      </x:c>
      <x:c r="I12" s="0">
        <x:f>VLOOKUP(A12,'[9]Diem TH tinh Thang'!$B$4:$B$36,1,0)</x:f>
      </x:c>
    </x:row>
    <x:row r="13" spans="1:9" x14ac:dyDescent="0.25">
      <x:c r="A13" s="139" t="s">
        <x:v>63</x:v>
      </x:c>
      <x:c r="B13" s="140">
        <x:v>0.1</x:v>
      </x:c>
      <x:c r="C13" s="141">
        <x:v>0.3</x:v>
      </x:c>
      <x:c r="D13" s="141">
        <x:v>0.4</x:v>
      </x:c>
      <x:c r="E13" s="141">
        <x:v>0.6</x:v>
      </x:c>
      <x:c r="F13" s="141"/>
      <x:c r="G13" s="142">
        <x:f>E13+D13+C13+B13</x:f>
      </x:c>
      <x:c r="H13" s="0">
        <x:f>SUM(B13:F13)=G13</x:f>
      </x:c>
      <x:c r="I13" s="0">
        <x:f>VLOOKUP(A13,'[9]Diem TH tinh Thang'!$B$4:$B$36,1,0)</x:f>
      </x:c>
    </x:row>
    <x:row r="14" spans="1:9" x14ac:dyDescent="0.25">
      <x:c r="A14" s="139" t="s">
        <x:v>64</x:v>
      </x:c>
      <x:c r="B14" s="140">
        <x:v>0.1</x:v>
      </x:c>
      <x:c r="C14" s="141">
        <x:v>0.3</x:v>
      </x:c>
      <x:c r="D14" s="141">
        <x:v>0.24</x:v>
      </x:c>
      <x:c r="E14" s="141">
        <x:v>0.6</x:v>
      </x:c>
      <x:c r="F14" s="141"/>
      <x:c r="G14" s="142">
        <x:f>E14+D14+C14+B14</x:f>
      </x:c>
      <x:c r="H14" s="0">
        <x:f>SUM(B14:F14)=G14</x:f>
      </x:c>
      <x:c r="I14" s="0">
        <x:f>VLOOKUP(A14,'[9]Diem TH tinh Thang'!$B$4:$B$36,1,0)</x:f>
      </x:c>
    </x:row>
    <x:row r="15" spans="1:9" x14ac:dyDescent="0.25">
      <x:c r="A15" s="139" t="s">
        <x:v>65</x:v>
      </x:c>
      <x:c r="B15" s="140">
        <x:v>0.1</x:v>
      </x:c>
      <x:c r="C15" s="141">
        <x:v>0.3</x:v>
      </x:c>
      <x:c r="D15" s="141">
        <x:v>0.32</x:v>
      </x:c>
      <x:c r="E15" s="141">
        <x:v>0.6</x:v>
      </x:c>
      <x:c r="F15" s="141"/>
      <x:c r="G15" s="142">
        <x:f>E15+D15+C15+B15</x:f>
      </x:c>
      <x:c r="H15" s="0">
        <x:f>SUM(B15:F15)=G15</x:f>
      </x:c>
      <x:c r="I15" s="0">
        <x:f>VLOOKUP(A15,'[9]Diem TH tinh Thang'!$B$4:$B$36,1,0)</x:f>
      </x:c>
    </x:row>
    <x:row r="16" spans="1:9" x14ac:dyDescent="0.25">
      <x:c r="A16" s="139" t="s">
        <x:v>66</x:v>
      </x:c>
      <x:c r="B16" s="140">
        <x:v>0.1</x:v>
      </x:c>
      <x:c r="C16" s="141">
        <x:v>0.14</x:v>
      </x:c>
      <x:c r="D16" s="141">
        <x:v>0.32</x:v>
      </x:c>
      <x:c r="E16" s="141">
        <x:v>0.6</x:v>
      </x:c>
      <x:c r="F16" s="141"/>
      <x:c r="G16" s="142">
        <x:f>E16+D16+C16+B16</x:f>
      </x:c>
      <x:c r="H16" s="0">
        <x:f>SUM(B16:F16)=G16</x:f>
      </x:c>
      <x:c r="I16" s="0">
        <x:f>VLOOKUP(A16,'[9]Diem TH tinh Thang'!$B$4:$B$36,1,0)</x:f>
      </x:c>
    </x:row>
    <x:row r="17" spans="1:9" x14ac:dyDescent="0.25">
      <x:c r="A17" s="139" t="s">
        <x:v>67</x:v>
      </x:c>
      <x:c r="B17" s="140">
        <x:v>0.1</x:v>
      </x:c>
      <x:c r="C17" s="141">
        <x:v>0.14</x:v>
      </x:c>
      <x:c r="D17" s="141">
        <x:v>0.32</x:v>
      </x:c>
      <x:c r="E17" s="141">
        <x:v>0.6</x:v>
      </x:c>
      <x:c r="F17" s="141"/>
      <x:c r="G17" s="142">
        <x:f>E17+D17+C17+B17</x:f>
      </x:c>
      <x:c r="H17" s="0">
        <x:f>SUM(B17:F17)=G17</x:f>
      </x:c>
      <x:c r="I17" s="0">
        <x:f>VLOOKUP(A17,'[9]Diem TH tinh Thang'!$B$4:$B$36,1,0)</x:f>
      </x:c>
    </x:row>
    <x:row r="18" spans="1:9" x14ac:dyDescent="0.25">
      <x:c r="A18" s="139" t="s">
        <x:v>68</x:v>
      </x:c>
      <x:c r="B18" s="140">
        <x:v>0.1</x:v>
      </x:c>
      <x:c r="C18" s="141">
        <x:v>0.3</x:v>
      </x:c>
      <x:c r="D18" s="141">
        <x:v>0.32</x:v>
      </x:c>
      <x:c r="E18" s="141">
        <x:v>0.6</x:v>
      </x:c>
      <x:c r="F18" s="141"/>
      <x:c r="G18" s="142">
        <x:f>E18+D18+C18+B18</x:f>
      </x:c>
      <x:c r="H18" s="0">
        <x:f>SUM(B18:F18)=G18</x:f>
      </x:c>
      <x:c r="I18" s="0">
        <x:f>VLOOKUP(A18,'[9]Diem TH tinh Thang'!$B$4:$B$36,1,0)</x:f>
      </x:c>
    </x:row>
    <x:row r="19" spans="1:9" x14ac:dyDescent="0.25">
      <x:c r="A19" s="139" t="s">
        <x:v>69</x:v>
      </x:c>
      <x:c r="B19" s="140">
        <x:v>0.1</x:v>
      </x:c>
      <x:c r="C19" s="141">
        <x:v>0.14</x:v>
      </x:c>
      <x:c r="D19" s="141">
        <x:v>0.4</x:v>
      </x:c>
      <x:c r="E19" s="141">
        <x:v>0.6</x:v>
      </x:c>
      <x:c r="F19" s="141"/>
      <x:c r="G19" s="142">
        <x:f>E19+D19+C19+B19</x:f>
      </x:c>
      <x:c r="H19" s="0">
        <x:f>SUM(B19:F19)=G19</x:f>
      </x:c>
      <x:c r="I19" s="0">
        <x:f>VLOOKUP(A19,'[9]Diem TH tinh Thang'!$B$4:$B$36,1,0)</x:f>
      </x:c>
    </x:row>
    <x:row r="20" spans="1:9" x14ac:dyDescent="0.25">
      <x:c r="A20" s="139" t="s">
        <x:v>14</x:v>
      </x:c>
      <x:c r="B20" s="140">
        <x:v>0.1</x:v>
      </x:c>
      <x:c r="C20" s="141">
        <x:v>0.3</x:v>
      </x:c>
      <x:c r="D20" s="141">
        <x:v>0.32</x:v>
      </x:c>
      <x:c r="E20" s="141">
        <x:v>0.6</x:v>
      </x:c>
      <x:c r="F20" s="141"/>
      <x:c r="G20" s="142">
        <x:f>E20+D20+C20+B20</x:f>
      </x:c>
      <x:c r="H20" s="0">
        <x:f>SUM(B20:F20)=G20</x:f>
      </x:c>
      <x:c r="I20" s="0">
        <x:f>VLOOKUP(A20,'[9]Diem TH tinh Thang'!$B$4:$B$36,1,0)</x:f>
      </x:c>
    </x:row>
    <x:row r="21" spans="1:9" x14ac:dyDescent="0.25">
      <x:c r="A21" s="139" t="s">
        <x:v>8</x:v>
      </x:c>
      <x:c r="B21" s="140">
        <x:v>0.1</x:v>
      </x:c>
      <x:c r="C21" s="141">
        <x:v>0.3</x:v>
      </x:c>
      <x:c r="D21" s="141">
        <x:v>0.4</x:v>
      </x:c>
      <x:c r="E21" s="141">
        <x:v>0.6</x:v>
      </x:c>
      <x:c r="F21" s="141"/>
      <x:c r="G21" s="142">
        <x:f>E21+D21+C21+B21</x:f>
      </x:c>
      <x:c r="H21" s="0">
        <x:f>SUM(B21:F21)=G21</x:f>
      </x:c>
      <x:c r="I21" s="0">
        <x:f>VLOOKUP(A21,'[9]Diem TH tinh Thang'!$B$4:$B$36,1,0)</x:f>
      </x:c>
    </x:row>
    <x:row r="22" spans="1:9" x14ac:dyDescent="0.25">
      <x:c r="A22" s="139" t="s">
        <x:v>10</x:v>
      </x:c>
      <x:c r="B22" s="140">
        <x:v>0.1</x:v>
      </x:c>
      <x:c r="C22" s="141">
        <x:v>0.3</x:v>
      </x:c>
      <x:c r="D22" s="141">
        <x:v>0.32</x:v>
      </x:c>
      <x:c r="E22" s="141">
        <x:v>0.6</x:v>
      </x:c>
      <x:c r="F22" s="141"/>
      <x:c r="G22" s="142">
        <x:f>E22+D22+C22+B22</x:f>
      </x:c>
      <x:c r="H22" s="0">
        <x:f>SUM(B22:F22)=G22</x:f>
      </x:c>
      <x:c r="I22" s="0">
        <x:f>VLOOKUP(A22,'[9]Diem TH tinh Thang'!$B$4:$B$36,1,0)</x:f>
      </x:c>
    </x:row>
    <x:row r="23" spans="1:9" x14ac:dyDescent="0.25">
      <x:c r="A23" s="139" t="s">
        <x:v>9</x:v>
      </x:c>
      <x:c r="B23" s="140">
        <x:v>0.1</x:v>
      </x:c>
      <x:c r="C23" s="141">
        <x:v>0.3</x:v>
      </x:c>
      <x:c r="D23" s="141">
        <x:v>0.32</x:v>
      </x:c>
      <x:c r="E23" s="141">
        <x:v>0.6</x:v>
      </x:c>
      <x:c r="F23" s="141"/>
      <x:c r="G23" s="142">
        <x:f>E23+D23+C23+B23</x:f>
      </x:c>
      <x:c r="H23" s="0">
        <x:f>SUM(B23:F23)=G23</x:f>
      </x:c>
      <x:c r="I23" s="0">
        <x:f>VLOOKUP(A23,'[9]Diem TH tinh Thang'!$B$4:$B$36,1,0)</x:f>
      </x:c>
    </x:row>
    <x:row r="24" spans="1:9" x14ac:dyDescent="0.25">
      <x:c r="A24" s="139" t="s">
        <x:v>12</x:v>
      </x:c>
      <x:c r="B24" s="140">
        <x:v>0.1</x:v>
      </x:c>
      <x:c r="C24" s="141">
        <x:v>0.3</x:v>
      </x:c>
      <x:c r="D24" s="141">
        <x:v>0.4</x:v>
      </x:c>
      <x:c r="E24" s="141">
        <x:v>0.6</x:v>
      </x:c>
      <x:c r="F24" s="141"/>
      <x:c r="G24" s="142">
        <x:f>E24+D24+C24+B24</x:f>
      </x:c>
      <x:c r="H24" s="0">
        <x:f>SUM(B24:F24)=G24</x:f>
      </x:c>
      <x:c r="I24" s="0">
        <x:f>VLOOKUP(A24,'[9]Diem TH tinh Thang'!$B$4:$B$36,1,0)</x:f>
      </x:c>
    </x:row>
    <x:row r="25" spans="1:9" x14ac:dyDescent="0.25">
      <x:c r="A25" s="139" t="s">
        <x:v>13</x:v>
      </x:c>
      <x:c r="B25" s="140">
        <x:v>0.1</x:v>
      </x:c>
      <x:c r="C25" s="141">
        <x:v>0.3</x:v>
      </x:c>
      <x:c r="D25" s="141">
        <x:v>0.32</x:v>
      </x:c>
      <x:c r="E25" s="141">
        <x:v>0.6</x:v>
      </x:c>
      <x:c r="F25" s="141"/>
      <x:c r="G25" s="142">
        <x:f>E25+D25+C25+B25</x:f>
      </x:c>
      <x:c r="H25" s="0">
        <x:f>SUM(B25:F25)=G25</x:f>
      </x:c>
      <x:c r="I25" s="0">
        <x:f>VLOOKUP(A25,'[9]Diem TH tinh Thang'!$B$4:$B$36,1,0)</x:f>
      </x:c>
    </x:row>
    <x:row r="26" spans="1:9" x14ac:dyDescent="0.25">
      <x:c r="A26" s="139" t="s">
        <x:v>15</x:v>
      </x:c>
      <x:c r="B26" s="140">
        <x:v>0.1</x:v>
      </x:c>
      <x:c r="C26" s="141">
        <x:v>0.3</x:v>
      </x:c>
      <x:c r="D26" s="141">
        <x:v>0.24</x:v>
      </x:c>
      <x:c r="E26" s="141">
        <x:v>0.6</x:v>
      </x:c>
      <x:c r="F26" s="141"/>
      <x:c r="G26" s="142">
        <x:f>E26+D26+C26+B26</x:f>
      </x:c>
      <x:c r="H26" s="0">
        <x:f>SUM(B26:F26)=G26</x:f>
      </x:c>
      <x:c r="I26" s="0">
        <x:f>VLOOKUP(A26,'[9]Diem TH tinh Thang'!$B$4:$B$36,1,0)</x:f>
      </x:c>
    </x:row>
    <x:row r="27" spans="1:9" s="239" customFormat="1" x14ac:dyDescent="0.25">
      <x:c r="A27" s="244" t="s">
        <x:v>11</x:v>
      </x:c>
      <x:c r="B27" s="245">
        <x:v>0.1</x:v>
      </x:c>
      <x:c r="C27" s="246">
        <x:v>0.3</x:v>
      </x:c>
      <x:c r="D27" s="246">
        <x:v>0.32</x:v>
      </x:c>
      <x:c r="E27" s="246">
        <x:v>0.6</x:v>
      </x:c>
      <x:c r="F27" s="246"/>
      <x:c r="G27" s="142">
        <x:f>E27+D27+C27+B27</x:f>
      </x:c>
      <x:c r="H27" s="239">
        <x:f>SUM(B27:F27)=G27</x:f>
      </x:c>
      <x:c r="I27" s="239">
        <x:f>VLOOKUP(A27,'[9]Diem TH tinh Thang'!$B$4:$B$36,1,0)</x:f>
      </x:c>
    </x:row>
    <x:row r="28" spans="1:9" x14ac:dyDescent="0.25">
      <x:c r="A28" s="139" t="s">
        <x:v>70</x:v>
      </x:c>
      <x:c r="B28" s="140">
        <x:v>0.2</x:v>
      </x:c>
      <x:c r="C28" s="141">
        <x:v>0.4</x:v>
      </x:c>
      <x:c r="D28" s="141">
        <x:v>0.64</x:v>
      </x:c>
      <x:c r="E28" s="141">
        <x:v>1.4</x:v>
      </x:c>
      <x:c r="F28" s="141"/>
      <x:c r="G28" s="142">
        <x:f>E28+D28+C28+B28</x:f>
      </x:c>
      <x:c r="H28" s="0">
        <x:f>SUM(B28:F28)=G28</x:f>
      </x:c>
      <x:c r="I28" s="0">
        <x:f>VLOOKUP(A28,'[9]Diem TH tinh Thang'!$B$4:$B$36,1,0)</x:f>
      </x:c>
    </x:row>
    <x:row r="29" spans="1:9" x14ac:dyDescent="0.25">
      <x:c r="A29" s="139" t="s">
        <x:v>71</x:v>
      </x:c>
      <x:c r="B29" s="140">
        <x:v>0.1</x:v>
      </x:c>
      <x:c r="C29" s="141">
        <x:v>0.3</x:v>
      </x:c>
      <x:c r="D29" s="141">
        <x:v>0.32</x:v>
      </x:c>
      <x:c r="E29" s="141">
        <x:v>0.6</x:v>
      </x:c>
      <x:c r="F29" s="141"/>
      <x:c r="G29" s="142">
        <x:f>E29+D29+C29+B29</x:f>
      </x:c>
      <x:c r="H29" s="0">
        <x:f>SUM(B29:F29)=G29</x:f>
      </x:c>
      <x:c r="I29" s="0">
        <x:f>VLOOKUP(A29,'[9]Diem TH tinh Thang'!$B$4:$B$36,1,0)</x:f>
      </x:c>
    </x:row>
    <x:row r="30" spans="1:9" x14ac:dyDescent="0.25">
      <x:c r="A30" s="139" t="s">
        <x:v>72</x:v>
      </x:c>
      <x:c r="B30" s="140">
        <x:v>0.1</x:v>
      </x:c>
      <x:c r="C30" s="141">
        <x:v>0.3</x:v>
      </x:c>
      <x:c r="D30" s="141">
        <x:v>0.36</x:v>
      </x:c>
      <x:c r="E30" s="141">
        <x:v>0.6</x:v>
      </x:c>
      <x:c r="F30" s="141"/>
      <x:c r="G30" s="142">
        <x:f>E30+D30+C30+B30</x:f>
      </x:c>
      <x:c r="H30" s="0">
        <x:f>SUM(B30:F30)=G30</x:f>
      </x:c>
      <x:c r="I30" s="0">
        <x:f>VLOOKUP(A30,'[9]Diem TH tinh Thang'!$B$4:$B$36,1,0)</x:f>
      </x:c>
    </x:row>
    <x:row r="31" spans="1:9" x14ac:dyDescent="0.25">
      <x:c r="A31" s="139" t="s">
        <x:v>73</x:v>
      </x:c>
      <x:c r="B31" s="140">
        <x:v>0.1</x:v>
      </x:c>
      <x:c r="C31" s="141">
        <x:v>0.3</x:v>
      </x:c>
      <x:c r="D31" s="141">
        <x:v>0.32</x:v>
      </x:c>
      <x:c r="E31" s="141">
        <x:v>0.6</x:v>
      </x:c>
      <x:c r="F31" s="141"/>
      <x:c r="G31" s="142">
        <x:f>E31+D31+C31+B31</x:f>
      </x:c>
      <x:c r="H31" s="0">
        <x:f>SUM(B31:F31)=G31</x:f>
      </x:c>
      <x:c r="I31" s="0">
        <x:f>VLOOKUP(A31,'[9]Diem TH tinh Thang'!$B$4:$B$36,1,0)</x:f>
      </x:c>
    </x:row>
    <x:row r="32" spans="1:9" x14ac:dyDescent="0.25">
      <x:c r="A32" s="139" t="s">
        <x:v>74</x:v>
      </x:c>
      <x:c r="B32" s="140">
        <x:v>0.1</x:v>
      </x:c>
      <x:c r="C32" s="141">
        <x:v>0.3</x:v>
      </x:c>
      <x:c r="D32" s="141">
        <x:v>0.4</x:v>
      </x:c>
      <x:c r="E32" s="141">
        <x:v>0.6</x:v>
      </x:c>
      <x:c r="F32" s="141"/>
      <x:c r="G32" s="142">
        <x:f>E32+D32+C32+B32</x:f>
      </x:c>
      <x:c r="H32" s="0">
        <x:f>SUM(B32:F32)=G32</x:f>
      </x:c>
      <x:c r="I32" s="0">
        <x:f>VLOOKUP(A32,'[9]Diem TH tinh Thang'!$B$4:$B$36,1,0)</x:f>
      </x:c>
    </x:row>
    <x:row r="33" spans="1:9" x14ac:dyDescent="0.25">
      <x:c r="A33" s="139" t="s">
        <x:v>75</x:v>
      </x:c>
      <x:c r="B33" s="140">
        <x:v>0.1</x:v>
      </x:c>
      <x:c r="C33" s="141">
        <x:v>0.3</x:v>
      </x:c>
      <x:c r="D33" s="141">
        <x:v>0.32</x:v>
      </x:c>
      <x:c r="E33" s="141">
        <x:v>0.6</x:v>
      </x:c>
      <x:c r="F33" s="141"/>
      <x:c r="G33" s="142">
        <x:f>E33+D33+C33+B33</x:f>
      </x:c>
      <x:c r="H33" s="0">
        <x:f>SUM(B33:F33)=G33</x:f>
      </x:c>
      <x:c r="I33" s="0">
        <x:f>VLOOKUP(A33,'[9]Diem TH tinh Thang'!$B$4:$B$36,1,0)</x:f>
      </x:c>
    </x:row>
    <x:row r="34" spans="1:9" x14ac:dyDescent="0.25">
      <x:c r="A34" s="139" t="s">
        <x:v>76</x:v>
      </x:c>
      <x:c r="B34" s="140">
        <x:v>0.1</x:v>
      </x:c>
      <x:c r="C34" s="141">
        <x:v>0.3</x:v>
      </x:c>
      <x:c r="D34" s="141">
        <x:v>0.4</x:v>
      </x:c>
      <x:c r="E34" s="141">
        <x:v>0.6</x:v>
      </x:c>
      <x:c r="F34" s="141"/>
      <x:c r="G34" s="142">
        <x:f>E34+D34+C34+B34</x:f>
      </x:c>
      <x:c r="H34" s="0">
        <x:f>SUM(B34:F34)=G34</x:f>
      </x:c>
      <x:c r="I34" s="0">
        <x:f>VLOOKUP(A34,'[9]Diem TH tinh Thang'!$B$4:$B$36,1,0)</x:f>
      </x:c>
    </x:row>
    <x:row r="35" spans="1:9" x14ac:dyDescent="0.25">
      <x:c r="A35" s="139" t="s">
        <x:v>77</x:v>
      </x:c>
      <x:c r="B35" s="140">
        <x:v>0.1</x:v>
      </x:c>
      <x:c r="C35" s="141">
        <x:v>0.3</x:v>
      </x:c>
      <x:c r="D35" s="141">
        <x:v>0.32</x:v>
      </x:c>
      <x:c r="E35" s="141">
        <x:v>0.6</x:v>
      </x:c>
      <x:c r="F35" s="141"/>
      <x:c r="G35" s="142">
        <x:f>E35+D35+C35+B35</x:f>
      </x:c>
      <x:c r="H35" s="0">
        <x:f>SUM(B35:F35)=G35</x:f>
      </x:c>
      <x:c r="I35" s="0">
        <x:f>VLOOKUP(A35,'[9]Diem TH tinh Thang'!$B$4:$B$36,1,0)</x:f>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H35"/>
  <x:sheetViews>
    <x:sheetView workbookViewId="0">
      <x:selection activeCell="D8" sqref="D8 D8:F8"/>
    </x:sheetView>
  </x:sheetViews>
  <x:sheetFormatPr defaultRowHeight="15" x14ac:dyDescent="0.25"/>
  <x:cols>
    <x:col min="1" max="1" width="4.285156" style="0" bestFit="1" customWidth="1"/>
    <x:col min="2" max="2" width="5.285156" style="0" bestFit="1" customWidth="1"/>
    <x:col min="3" max="3" width="9.425781" style="0" bestFit="1" customWidth="1"/>
    <x:col min="4" max="4" width="29.285156" style="144" customWidth="1"/>
    <x:col min="5" max="5" width="29" style="144" customWidth="1"/>
    <x:col min="6" max="6" width="21.140625" style="144" customWidth="1"/>
    <x:col min="7" max="8" width="9.140625" style="0" customWidth="1"/>
  </x:cols>
  <x:sheetData>
    <x:row r="1" spans="1:8" ht="57" customHeight="1" x14ac:dyDescent="0.25">
      <x:c r="A1" s="247" t="s">
        <x:v>1</x:v>
      </x:c>
      <x:c r="B1" s="247" t="s">
        <x:v>2</x:v>
      </x:c>
      <x:c r="C1" s="247" t="s">
        <x:v>78</x:v>
      </x:c>
      <x:c r="D1" s="248" t="s">
        <x:v>79</x:v>
      </x:c>
      <x:c r="E1" s="248" t="s">
        <x:v>80</x:v>
      </x:c>
      <x:c r="F1" s="248" t="s">
        <x:v>81</x:v>
      </x:c>
    </x:row>
    <x:row r="2" spans="1:8" x14ac:dyDescent="0.25">
      <x:c r="A2" s="89">
        <x:v>1</x:v>
      </x:c>
      <x:c r="B2" s="89" t="s">
        <x:v>75</x:v>
      </x:c>
      <x:c r="C2" s="146">
        <x:v>1</x:v>
      </x:c>
      <x:c r="D2" s="146">
        <x:v>0.4</x:v>
      </x:c>
      <x:c r="E2" s="141">
        <x:v>0.3</x:v>
      </x:c>
      <x:c r="F2" s="141">
        <x:v>0.3</x:v>
      </x:c>
      <x:c r="G2" s="0">
        <x:f>SUM(D2:F2)=C2</x:f>
      </x:c>
      <x:c r="H2" s="0">
        <x:f>VLOOKUP(B2,'[9]Diem TH tinh Thang'!$B$3:$B$36,1,0)</x:f>
      </x:c>
    </x:row>
    <x:row r="3" spans="1:8" x14ac:dyDescent="0.25">
      <x:c r="A3" s="89">
        <x:v>2</x:v>
      </x:c>
      <x:c r="B3" s="89" t="s">
        <x:v>65</x:v>
      </x:c>
      <x:c r="C3" s="146">
        <x:v>1</x:v>
      </x:c>
      <x:c r="D3" s="146">
        <x:v>0.4</x:v>
      </x:c>
      <x:c r="E3" s="141">
        <x:v>0.3</x:v>
      </x:c>
      <x:c r="F3" s="141">
        <x:v>0.3</x:v>
      </x:c>
      <x:c r="G3" s="0">
        <x:f>SUM(D3:F3)=C3</x:f>
      </x:c>
      <x:c r="H3" s="0">
        <x:f>VLOOKUP(B3,'[9]Diem TH tinh Thang'!$B$3:$B$36,1,0)</x:f>
      </x:c>
    </x:row>
    <x:row r="4" spans="1:8" x14ac:dyDescent="0.25">
      <x:c r="A4" s="89">
        <x:v>3</x:v>
      </x:c>
      <x:c r="B4" s="89" t="s">
        <x:v>52</x:v>
      </x:c>
      <x:c r="C4" s="146">
        <x:v>1</x:v>
      </x:c>
      <x:c r="D4" s="146">
        <x:v>0.4</x:v>
      </x:c>
      <x:c r="E4" s="141">
        <x:v>0.3</x:v>
      </x:c>
      <x:c r="F4" s="141">
        <x:v>0.3</x:v>
      </x:c>
      <x:c r="G4" s="0">
        <x:f>SUM(D4:F4)=C4</x:f>
      </x:c>
      <x:c r="H4" s="0">
        <x:f>VLOOKUP(B4,'[9]Diem TH tinh Thang'!$B$3:$B$36,1,0)</x:f>
      </x:c>
    </x:row>
    <x:row r="5" spans="1:8" x14ac:dyDescent="0.25">
      <x:c r="A5" s="89">
        <x:v>4</x:v>
      </x:c>
      <x:c r="B5" s="89" t="s">
        <x:v>77</x:v>
      </x:c>
      <x:c r="C5" s="146">
        <x:v>1</x:v>
      </x:c>
      <x:c r="D5" s="146">
        <x:v>0.4</x:v>
      </x:c>
      <x:c r="E5" s="141">
        <x:v>0.3</x:v>
      </x:c>
      <x:c r="F5" s="141">
        <x:v>0.3</x:v>
      </x:c>
      <x:c r="G5" s="0">
        <x:f>SUM(D5:F5)=C5</x:f>
      </x:c>
      <x:c r="H5" s="0">
        <x:f>VLOOKUP(B5,'[9]Diem TH tinh Thang'!$B$3:$B$36,1,0)</x:f>
      </x:c>
    </x:row>
    <x:row r="6" spans="1:8" x14ac:dyDescent="0.25">
      <x:c r="A6" s="89">
        <x:v>5</x:v>
      </x:c>
      <x:c r="B6" s="89" t="s">
        <x:v>73</x:v>
      </x:c>
      <x:c r="C6" s="146">
        <x:v>1</x:v>
      </x:c>
      <x:c r="D6" s="146">
        <x:v>0.4</x:v>
      </x:c>
      <x:c r="E6" s="141">
        <x:v>0.3</x:v>
      </x:c>
      <x:c r="F6" s="141">
        <x:v>0.3</x:v>
      </x:c>
      <x:c r="G6" s="0">
        <x:f>SUM(D6:F6)=C6</x:f>
      </x:c>
      <x:c r="H6" s="0">
        <x:f>VLOOKUP(B6,'[9]Diem TH tinh Thang'!$B$3:$B$36,1,0)</x:f>
      </x:c>
    </x:row>
    <x:row r="7" spans="1:8" x14ac:dyDescent="0.25">
      <x:c r="A7" s="89">
        <x:v>6</x:v>
      </x:c>
      <x:c r="B7" s="89" t="s">
        <x:v>53</x:v>
      </x:c>
      <x:c r="C7" s="146">
        <x:v>1</x:v>
      </x:c>
      <x:c r="D7" s="146">
        <x:v>0.4</x:v>
      </x:c>
      <x:c r="E7" s="141">
        <x:v>0.3</x:v>
      </x:c>
      <x:c r="F7" s="141">
        <x:v>0.3</x:v>
      </x:c>
      <x:c r="G7" s="0">
        <x:f>SUM(D7:F7)=C7</x:f>
      </x:c>
      <x:c r="H7" s="0">
        <x:f>VLOOKUP(B7,'[9]Diem TH tinh Thang'!$B$3:$B$36,1,0)</x:f>
      </x:c>
    </x:row>
    <x:row r="8" spans="1:8" x14ac:dyDescent="0.25">
      <x:c r="A8" s="89">
        <x:v>7</x:v>
      </x:c>
      <x:c r="B8" s="89" t="s">
        <x:v>11</x:v>
      </x:c>
      <x:c r="C8" s="146">
        <x:v>1</x:v>
      </x:c>
      <x:c r="D8" s="146">
        <x:v>0.4</x:v>
      </x:c>
      <x:c r="E8" s="141">
        <x:v>0.3</x:v>
      </x:c>
      <x:c r="F8" s="141">
        <x:v>0.3</x:v>
      </x:c>
      <x:c r="G8" s="0">
        <x:f>SUM(D8:F8)=C8</x:f>
      </x:c>
      <x:c r="H8" s="0">
        <x:f>VLOOKUP(B8,'[9]Diem TH tinh Thang'!$B$3:$B$36,1,0)</x:f>
      </x:c>
    </x:row>
    <x:row r="9" spans="1:8" x14ac:dyDescent="0.25">
      <x:c r="A9" s="89">
        <x:v>8</x:v>
      </x:c>
      <x:c r="B9" s="89" t="s">
        <x:v>10</x:v>
      </x:c>
      <x:c r="C9" s="146">
        <x:v>1</x:v>
      </x:c>
      <x:c r="D9" s="146">
        <x:v>0.4</x:v>
      </x:c>
      <x:c r="E9" s="141">
        <x:v>0.3</x:v>
      </x:c>
      <x:c r="F9" s="141">
        <x:v>0.3</x:v>
      </x:c>
      <x:c r="G9" s="0">
        <x:f>SUM(D9:F9)=C9</x:f>
      </x:c>
      <x:c r="H9" s="0">
        <x:f>VLOOKUP(B9,'[9]Diem TH tinh Thang'!$B$3:$B$36,1,0)</x:f>
      </x:c>
    </x:row>
    <x:row r="10" spans="1:8" x14ac:dyDescent="0.25">
      <x:c r="A10" s="89">
        <x:v>9</x:v>
      </x:c>
      <x:c r="B10" s="89" t="s">
        <x:v>71</x:v>
      </x:c>
      <x:c r="C10" s="146">
        <x:v>1</x:v>
      </x:c>
      <x:c r="D10" s="146">
        <x:v>0.4</x:v>
      </x:c>
      <x:c r="E10" s="141">
        <x:v>0.3</x:v>
      </x:c>
      <x:c r="F10" s="141">
        <x:v>0.3</x:v>
      </x:c>
      <x:c r="G10" s="0">
        <x:f>SUM(D10:F10)=C10</x:f>
      </x:c>
      <x:c r="H10" s="0">
        <x:f>VLOOKUP(B10,'[9]Diem TH tinh Thang'!$B$3:$B$36,1,0)</x:f>
      </x:c>
    </x:row>
    <x:row r="11" spans="1:8" x14ac:dyDescent="0.25">
      <x:c r="A11" s="89">
        <x:v>10</x:v>
      </x:c>
      <x:c r="B11" s="89" t="s">
        <x:v>76</x:v>
      </x:c>
      <x:c r="C11" s="146">
        <x:v>1</x:v>
      </x:c>
      <x:c r="D11" s="146">
        <x:v>0.4</x:v>
      </x:c>
      <x:c r="E11" s="141">
        <x:v>0.3</x:v>
      </x:c>
      <x:c r="F11" s="141">
        <x:v>0.3</x:v>
      </x:c>
      <x:c r="G11" s="0">
        <x:f>SUM(D11:F11)=C11</x:f>
      </x:c>
      <x:c r="H11" s="0">
        <x:f>VLOOKUP(B11,'[9]Diem TH tinh Thang'!$B$3:$B$36,1,0)</x:f>
      </x:c>
    </x:row>
    <x:row r="12" spans="1:8" x14ac:dyDescent="0.25">
      <x:c r="A12" s="89">
        <x:v>11</x:v>
      </x:c>
      <x:c r="B12" s="89" t="s">
        <x:v>12</x:v>
      </x:c>
      <x:c r="C12" s="146">
        <x:v>1</x:v>
      </x:c>
      <x:c r="D12" s="146">
        <x:v>0.4</x:v>
      </x:c>
      <x:c r="E12" s="141">
        <x:v>0.3</x:v>
      </x:c>
      <x:c r="F12" s="141">
        <x:v>0.3</x:v>
      </x:c>
      <x:c r="G12" s="0">
        <x:f>SUM(D12:F12)=C12</x:f>
      </x:c>
      <x:c r="H12" s="0">
        <x:f>VLOOKUP(B12,'[9]Diem TH tinh Thang'!$B$3:$B$36,1,0)</x:f>
      </x:c>
    </x:row>
    <x:row r="13" spans="1:8" x14ac:dyDescent="0.25">
      <x:c r="A13" s="89">
        <x:v>12</x:v>
      </x:c>
      <x:c r="B13" s="89" t="s">
        <x:v>70</x:v>
      </x:c>
      <x:c r="C13" s="146">
        <x:v>2</x:v>
      </x:c>
      <x:c r="D13" s="146">
        <x:v>0.8</x:v>
      </x:c>
      <x:c r="E13" s="141">
        <x:v>0.6</x:v>
      </x:c>
      <x:c r="F13" s="141">
        <x:v>0.6</x:v>
      </x:c>
      <x:c r="G13" s="0">
        <x:f>SUM(D13:F13)=C13</x:f>
      </x:c>
      <x:c r="H13" s="0">
        <x:f>VLOOKUP(B13,'[9]Diem TH tinh Thang'!$B$3:$B$36,1,0)</x:f>
      </x:c>
    </x:row>
    <x:row r="14" spans="1:8" x14ac:dyDescent="0.25">
      <x:c r="A14" s="89">
        <x:v>13</x:v>
      </x:c>
      <x:c r="B14" s="89" t="s">
        <x:v>54</x:v>
      </x:c>
      <x:c r="C14" s="146">
        <x:v>2</x:v>
      </x:c>
      <x:c r="D14" s="146">
        <x:v>0.8</x:v>
      </x:c>
      <x:c r="E14" s="141">
        <x:v>0.6</x:v>
      </x:c>
      <x:c r="F14" s="141">
        <x:v>0.6</x:v>
      </x:c>
      <x:c r="G14" s="0">
        <x:f>SUM(D14:F14)=C14</x:f>
      </x:c>
      <x:c r="H14" s="0">
        <x:f>VLOOKUP(B14,'[9]Diem TH tinh Thang'!$B$3:$B$36,1,0)</x:f>
      </x:c>
    </x:row>
    <x:row r="15" spans="1:8" x14ac:dyDescent="0.25">
      <x:c r="A15" s="89">
        <x:v>14</x:v>
      </x:c>
      <x:c r="B15" s="89" t="s">
        <x:v>67</x:v>
      </x:c>
      <x:c r="C15" s="146">
        <x:v>1</x:v>
      </x:c>
      <x:c r="D15" s="146">
        <x:v>0.4</x:v>
      </x:c>
      <x:c r="E15" s="141">
        <x:v>0.3</x:v>
      </x:c>
      <x:c r="F15" s="141">
        <x:v>0.3</x:v>
      </x:c>
      <x:c r="G15" s="0">
        <x:f>SUM(D15:F15)=C15</x:f>
      </x:c>
      <x:c r="H15" s="0">
        <x:f>VLOOKUP(B15,'[9]Diem TH tinh Thang'!$B$3:$B$36,1,0)</x:f>
      </x:c>
    </x:row>
    <x:row r="16" spans="1:8" x14ac:dyDescent="0.25">
      <x:c r="A16" s="89">
        <x:v>15</x:v>
      </x:c>
      <x:c r="B16" s="89" t="s">
        <x:v>69</x:v>
      </x:c>
      <x:c r="C16" s="146">
        <x:v>1</x:v>
      </x:c>
      <x:c r="D16" s="146">
        <x:v>0.4</x:v>
      </x:c>
      <x:c r="E16" s="141">
        <x:v>0.3</x:v>
      </x:c>
      <x:c r="F16" s="141">
        <x:v>0.3</x:v>
      </x:c>
      <x:c r="G16" s="0">
        <x:f>SUM(D16:F16)=C16</x:f>
      </x:c>
      <x:c r="H16" s="0">
        <x:f>VLOOKUP(B16,'[9]Diem TH tinh Thang'!$B$3:$B$36,1,0)</x:f>
      </x:c>
    </x:row>
    <x:row r="17" spans="1:8" x14ac:dyDescent="0.25">
      <x:c r="A17" s="89">
        <x:v>16</x:v>
      </x:c>
      <x:c r="B17" s="89" t="s">
        <x:v>82</x:v>
      </x:c>
      <x:c r="C17" s="146">
        <x:v>1</x:v>
      </x:c>
      <x:c r="D17" s="146">
        <x:v>0.4</x:v>
      </x:c>
      <x:c r="E17" s="141">
        <x:v>0.3</x:v>
      </x:c>
      <x:c r="F17" s="141">
        <x:v>0.3</x:v>
      </x:c>
      <x:c r="G17" s="0">
        <x:f>SUM(D17:F17)=C17</x:f>
      </x:c>
      <x:c r="H17" s="0">
        <x:f>VLOOKUP(B17,'[9]Diem TH tinh Thang'!$B$3:$B$36,1,0)</x:f>
      </x:c>
    </x:row>
    <x:row r="18" spans="1:8" x14ac:dyDescent="0.25">
      <x:c r="A18" s="89">
        <x:v>17</x:v>
      </x:c>
      <x:c r="B18" s="89" t="s">
        <x:v>66</x:v>
      </x:c>
      <x:c r="C18" s="146">
        <x:v>1</x:v>
      </x:c>
      <x:c r="D18" s="146">
        <x:v>0.4</x:v>
      </x:c>
      <x:c r="E18" s="141">
        <x:v>0.3</x:v>
      </x:c>
      <x:c r="F18" s="141">
        <x:v>0.3</x:v>
      </x:c>
      <x:c r="G18" s="0">
        <x:f>SUM(D18:F18)=C18</x:f>
      </x:c>
      <x:c r="H18" s="0">
        <x:f>VLOOKUP(B18,'[9]Diem TH tinh Thang'!$B$3:$B$36,1,0)</x:f>
      </x:c>
    </x:row>
    <x:row r="19" spans="1:8" x14ac:dyDescent="0.25">
      <x:c r="A19" s="89">
        <x:v>18</x:v>
      </x:c>
      <x:c r="B19" s="89" t="s">
        <x:v>13</x:v>
      </x:c>
      <x:c r="C19" s="146">
        <x:v>1</x:v>
      </x:c>
      <x:c r="D19" s="146">
        <x:v>0.4</x:v>
      </x:c>
      <x:c r="E19" s="141">
        <x:v>0.3</x:v>
      </x:c>
      <x:c r="F19" s="141">
        <x:v>0.3</x:v>
      </x:c>
      <x:c r="G19" s="0">
        <x:f>SUM(D19:F19)=C19</x:f>
      </x:c>
      <x:c r="H19" s="0">
        <x:f>VLOOKUP(B19,'[9]Diem TH tinh Thang'!$B$3:$B$36,1,0)</x:f>
      </x:c>
    </x:row>
    <x:row r="20" spans="1:8" x14ac:dyDescent="0.25">
      <x:c r="A20" s="89">
        <x:v>19</x:v>
      </x:c>
      <x:c r="B20" s="89" t="s">
        <x:v>62</x:v>
      </x:c>
      <x:c r="C20" s="146">
        <x:v>1</x:v>
      </x:c>
      <x:c r="D20" s="146">
        <x:v>0.4</x:v>
      </x:c>
      <x:c r="E20" s="141">
        <x:v>0.3</x:v>
      </x:c>
      <x:c r="F20" s="141">
        <x:v>0.3</x:v>
      </x:c>
      <x:c r="G20" s="0">
        <x:f>SUM(D20:F20)=C20</x:f>
      </x:c>
      <x:c r="H20" s="0">
        <x:f>VLOOKUP(B20,'[9]Diem TH tinh Thang'!$B$3:$B$36,1,0)</x:f>
      </x:c>
    </x:row>
    <x:row r="21" spans="1:8" x14ac:dyDescent="0.25">
      <x:c r="A21" s="89">
        <x:v>20</x:v>
      </x:c>
      <x:c r="B21" s="89" t="s">
        <x:v>55</x:v>
      </x:c>
      <x:c r="C21" s="146">
        <x:v>1</x:v>
      </x:c>
      <x:c r="D21" s="146">
        <x:v>0.4</x:v>
      </x:c>
      <x:c r="E21" s="141">
        <x:v>0.3</x:v>
      </x:c>
      <x:c r="F21" s="141">
        <x:v>0.3</x:v>
      </x:c>
      <x:c r="G21" s="0">
        <x:f>SUM(D21:F21)=C21</x:f>
      </x:c>
      <x:c r="H21" s="0">
        <x:f>VLOOKUP(B21,'[9]Diem TH tinh Thang'!$B$3:$B$36,1,0)</x:f>
      </x:c>
    </x:row>
    <x:row r="22" spans="1:8" x14ac:dyDescent="0.25">
      <x:c r="A22" s="89">
        <x:v>21</x:v>
      </x:c>
      <x:c r="B22" s="89" t="s">
        <x:v>15</x:v>
      </x:c>
      <x:c r="C22" s="146">
        <x:v>1</x:v>
      </x:c>
      <x:c r="D22" s="146">
        <x:v>0.4</x:v>
      </x:c>
      <x:c r="E22" s="141">
        <x:v>0.3</x:v>
      </x:c>
      <x:c r="F22" s="141">
        <x:v>0.3</x:v>
      </x:c>
      <x:c r="G22" s="0">
        <x:f>SUM(D22:F22)=C22</x:f>
      </x:c>
      <x:c r="H22" s="0">
        <x:f>VLOOKUP(B22,'[9]Diem TH tinh Thang'!$B$3:$B$36,1,0)</x:f>
      </x:c>
    </x:row>
    <x:row r="23" spans="1:8" x14ac:dyDescent="0.25">
      <x:c r="A23" s="89">
        <x:v>22</x:v>
      </x:c>
      <x:c r="B23" s="89" t="s">
        <x:v>56</x:v>
      </x:c>
      <x:c r="C23" s="146">
        <x:v>1</x:v>
      </x:c>
      <x:c r="D23" s="146">
        <x:v>0.4</x:v>
      </x:c>
      <x:c r="E23" s="141">
        <x:v>0.3</x:v>
      </x:c>
      <x:c r="F23" s="141">
        <x:v>0.3</x:v>
      </x:c>
      <x:c r="G23" s="0">
        <x:f>SUM(D23:F23)=C23</x:f>
      </x:c>
      <x:c r="H23" s="0">
        <x:f>VLOOKUP(B23,'[9]Diem TH tinh Thang'!$B$3:$B$36,1,0)</x:f>
      </x:c>
    </x:row>
    <x:row r="24" spans="1:8" x14ac:dyDescent="0.25">
      <x:c r="A24" s="89">
        <x:v>23</x:v>
      </x:c>
      <x:c r="B24" s="89" t="s">
        <x:v>57</x:v>
      </x:c>
      <x:c r="C24" s="146">
        <x:v>1</x:v>
      </x:c>
      <x:c r="D24" s="146">
        <x:v>0.4</x:v>
      </x:c>
      <x:c r="E24" s="141">
        <x:v>0.3</x:v>
      </x:c>
      <x:c r="F24" s="141">
        <x:v>0.3</x:v>
      </x:c>
      <x:c r="G24" s="0">
        <x:f>SUM(D24:F24)=C24</x:f>
      </x:c>
      <x:c r="H24" s="0">
        <x:f>VLOOKUP(B24,'[9]Diem TH tinh Thang'!$B$3:$B$36,1,0)</x:f>
      </x:c>
    </x:row>
    <x:row r="25" spans="1:8" x14ac:dyDescent="0.25">
      <x:c r="A25" s="89">
        <x:v>24</x:v>
      </x:c>
      <x:c r="B25" s="89" t="s">
        <x:v>68</x:v>
      </x:c>
      <x:c r="C25" s="146">
        <x:v>1</x:v>
      </x:c>
      <x:c r="D25" s="146">
        <x:v>0.4</x:v>
      </x:c>
      <x:c r="E25" s="141">
        <x:v>0.3</x:v>
      </x:c>
      <x:c r="F25" s="141">
        <x:v>0.3</x:v>
      </x:c>
      <x:c r="G25" s="0">
        <x:f>SUM(D25:F25)=C25</x:f>
      </x:c>
      <x:c r="H25" s="0">
        <x:f>VLOOKUP(B25,'[9]Diem TH tinh Thang'!$B$3:$B$36,1,0)</x:f>
      </x:c>
    </x:row>
    <x:row r="26" spans="1:8" x14ac:dyDescent="0.25">
      <x:c r="A26" s="89">
        <x:v>25</x:v>
      </x:c>
      <x:c r="B26" s="89" t="s">
        <x:v>64</x:v>
      </x:c>
      <x:c r="C26" s="146">
        <x:v>1</x:v>
      </x:c>
      <x:c r="D26" s="146">
        <x:v>0.4</x:v>
      </x:c>
      <x:c r="E26" s="141">
        <x:v>0.3</x:v>
      </x:c>
      <x:c r="F26" s="141">
        <x:v>0.3</x:v>
      </x:c>
      <x:c r="G26" s="0">
        <x:f>SUM(D26:F26)=C26</x:f>
      </x:c>
      <x:c r="H26" s="0">
        <x:f>VLOOKUP(B26,'[9]Diem TH tinh Thang'!$B$3:$B$36,1,0)</x:f>
      </x:c>
    </x:row>
    <x:row r="27" spans="1:8" x14ac:dyDescent="0.25">
      <x:c r="A27" s="89">
        <x:v>26</x:v>
      </x:c>
      <x:c r="B27" s="89" t="s">
        <x:v>58</x:v>
      </x:c>
      <x:c r="C27" s="146">
        <x:v>1</x:v>
      </x:c>
      <x:c r="D27" s="146">
        <x:v>0.4</x:v>
      </x:c>
      <x:c r="E27" s="141">
        <x:v>0.3</x:v>
      </x:c>
      <x:c r="F27" s="141">
        <x:v>0.3</x:v>
      </x:c>
      <x:c r="G27" s="0">
        <x:f>SUM(D27:F27)=C27</x:f>
      </x:c>
      <x:c r="H27" s="0">
        <x:f>VLOOKUP(B27,'[9]Diem TH tinh Thang'!$B$3:$B$36,1,0)</x:f>
      </x:c>
    </x:row>
    <x:row r="28" spans="1:8" x14ac:dyDescent="0.25">
      <x:c r="A28" s="89">
        <x:v>27</x:v>
      </x:c>
      <x:c r="B28" s="89" t="s">
        <x:v>9</x:v>
      </x:c>
      <x:c r="C28" s="146">
        <x:v>1</x:v>
      </x:c>
      <x:c r="D28" s="146">
        <x:v>0.4</x:v>
      </x:c>
      <x:c r="E28" s="141">
        <x:v>0.3</x:v>
      </x:c>
      <x:c r="F28" s="141">
        <x:v>0.3</x:v>
      </x:c>
      <x:c r="G28" s="0">
        <x:f>SUM(D28:F28)=C28</x:f>
      </x:c>
      <x:c r="H28" s="0">
        <x:f>VLOOKUP(B28,'[9]Diem TH tinh Thang'!$B$3:$B$36,1,0)</x:f>
      </x:c>
    </x:row>
    <x:row r="29" spans="1:8" x14ac:dyDescent="0.25">
      <x:c r="A29" s="89">
        <x:v>28</x:v>
      </x:c>
      <x:c r="B29" s="89" t="s">
        <x:v>14</x:v>
      </x:c>
      <x:c r="C29" s="146">
        <x:v>1</x:v>
      </x:c>
      <x:c r="D29" s="146">
        <x:v>0.4</x:v>
      </x:c>
      <x:c r="E29" s="141">
        <x:v>0.3</x:v>
      </x:c>
      <x:c r="F29" s="141">
        <x:v>0.3</x:v>
      </x:c>
      <x:c r="G29" s="0">
        <x:f>SUM(D29:F29)=C29</x:f>
      </x:c>
      <x:c r="H29" s="0">
        <x:f>VLOOKUP(B29,'[9]Diem TH tinh Thang'!$B$3:$B$36,1,0)</x:f>
      </x:c>
    </x:row>
    <x:row r="30" spans="1:8" x14ac:dyDescent="0.25">
      <x:c r="A30" s="89">
        <x:v>29</x:v>
      </x:c>
      <x:c r="B30" s="89" t="s">
        <x:v>59</x:v>
      </x:c>
      <x:c r="C30" s="146">
        <x:v>1</x:v>
      </x:c>
      <x:c r="D30" s="146">
        <x:v>0.4</x:v>
      </x:c>
      <x:c r="E30" s="141">
        <x:v>0.3</x:v>
      </x:c>
      <x:c r="F30" s="141">
        <x:v>0.3</x:v>
      </x:c>
      <x:c r="G30" s="0">
        <x:f>SUM(D30:F30)=C30</x:f>
      </x:c>
      <x:c r="H30" s="0">
        <x:f>VLOOKUP(B30,'[9]Diem TH tinh Thang'!$B$3:$B$36,1,0)</x:f>
      </x:c>
    </x:row>
    <x:row r="31" spans="1:8" x14ac:dyDescent="0.25">
      <x:c r="A31" s="89">
        <x:v>30</x:v>
      </x:c>
      <x:c r="B31" s="89" t="s">
        <x:v>60</x:v>
      </x:c>
      <x:c r="C31" s="146">
        <x:v>1</x:v>
      </x:c>
      <x:c r="D31" s="146">
        <x:v>0.4</x:v>
      </x:c>
      <x:c r="E31" s="141">
        <x:v>0.3</x:v>
      </x:c>
      <x:c r="F31" s="141">
        <x:v>0.3</x:v>
      </x:c>
      <x:c r="G31" s="0">
        <x:f>SUM(D31:F31)=C31</x:f>
      </x:c>
      <x:c r="H31" s="0">
        <x:f>VLOOKUP(B31,'[9]Diem TH tinh Thang'!$B$3:$B$36,1,0)</x:f>
      </x:c>
    </x:row>
    <x:row r="32" spans="1:8" x14ac:dyDescent="0.25">
      <x:c r="A32" s="89">
        <x:v>31</x:v>
      </x:c>
      <x:c r="B32" s="89" t="s">
        <x:v>72</x:v>
      </x:c>
      <x:c r="C32" s="146">
        <x:v>1</x:v>
      </x:c>
      <x:c r="D32" s="146">
        <x:v>0.4</x:v>
      </x:c>
      <x:c r="E32" s="141">
        <x:v>0.3</x:v>
      </x:c>
      <x:c r="F32" s="141">
        <x:v>0.3</x:v>
      </x:c>
      <x:c r="G32" s="0">
        <x:f>SUM(D32:F32)=C32</x:f>
      </x:c>
      <x:c r="H32" s="0">
        <x:f>VLOOKUP(B32,'[9]Diem TH tinh Thang'!$B$3:$B$36,1,0)</x:f>
      </x:c>
    </x:row>
    <x:row r="33" spans="1:8" x14ac:dyDescent="0.25">
      <x:c r="A33" s="89">
        <x:v>32</x:v>
      </x:c>
      <x:c r="B33" s="89" t="s">
        <x:v>63</x:v>
      </x:c>
      <x:c r="C33" s="146">
        <x:v>1</x:v>
      </x:c>
      <x:c r="D33" s="146">
        <x:v>0.4</x:v>
      </x:c>
      <x:c r="E33" s="141">
        <x:v>0.3</x:v>
      </x:c>
      <x:c r="F33" s="141">
        <x:v>0.3</x:v>
      </x:c>
      <x:c r="G33" s="0">
        <x:f>SUM(D33:F33)=C33</x:f>
      </x:c>
      <x:c r="H33" s="0">
        <x:f>VLOOKUP(B33,'[9]Diem TH tinh Thang'!$B$3:$B$36,1,0)</x:f>
      </x:c>
    </x:row>
    <x:row r="34" spans="1:8" x14ac:dyDescent="0.25">
      <x:c r="A34" s="89">
        <x:v>33</x:v>
      </x:c>
      <x:c r="B34" s="89" t="s">
        <x:v>61</x:v>
      </x:c>
      <x:c r="C34" s="146">
        <x:v>1</x:v>
      </x:c>
      <x:c r="D34" s="146">
        <x:v>0.4</x:v>
      </x:c>
      <x:c r="E34" s="141">
        <x:v>0.3</x:v>
      </x:c>
      <x:c r="F34" s="141">
        <x:v>0.3</x:v>
      </x:c>
      <x:c r="G34" s="0">
        <x:f>SUM(D34:F34)=C34</x:f>
      </x:c>
      <x:c r="H34" s="0">
        <x:f>VLOOKUP(B34,'[9]Diem TH tinh Thang'!$B$3:$B$36,1,0)</x:f>
      </x:c>
    </x:row>
    <x:row r="35" spans="1:8" x14ac:dyDescent="0.25">
      <x:c r="A35" s="89">
        <x:v>34</x:v>
      </x:c>
      <x:c r="B35" s="89" t="s">
        <x:v>74</x:v>
      </x:c>
      <x:c r="C35" s="146">
        <x:v>1</x:v>
      </x:c>
      <x:c r="D35" s="146">
        <x:v>0.4</x:v>
      </x:c>
      <x:c r="E35" s="141">
        <x:v>0.3</x:v>
      </x:c>
      <x:c r="F35" s="141">
        <x:v>0.3</x:v>
      </x:c>
      <x:c r="G35" s="0">
        <x:f>SUM(D35:F35)=C35</x:f>
      </x:c>
      <x:c r="H35" s="0">
        <x:f>VLOOKUP(B35,'[9]Diem TH tinh Thang'!$B$3:$B$36,1,0)</x:f>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M30"/>
  <x:sheetViews>
    <x:sheetView workbookViewId="0">
      <x:pane xSplit="2" ySplit="1" topLeftCell="C2" activePane="bottomRight" state="frozenSplit"/>
      <x:selection activeCell="C1" sqref="C1"/>
      <x:selection pane="bottomRight" activeCell="C1" sqref="C1"/>
    </x:sheetView>
  </x:sheetViews>
  <x:sheetFormatPr defaultRowHeight="15" x14ac:dyDescent="0.25"/>
  <x:cols>
    <x:col min="1" max="1" width="9.140625" style="143" customWidth="1"/>
    <x:col min="2" max="2" width="51.140625" style="0" customWidth="1"/>
    <x:col min="3" max="4" width="9.425781" style="0" customWidth="1"/>
    <x:col min="5" max="5" width="10.710938" style="0" customWidth="1"/>
    <x:col min="6" max="6" width="11.425781" style="0" customWidth="1"/>
    <x:col min="7" max="7" width="10.710938" style="0" customWidth="1"/>
    <x:col min="8" max="8" width="12.710938" style="0" customWidth="1"/>
    <x:col min="9" max="10" width="9.140625" style="0" customWidth="1"/>
    <x:col min="11" max="11" width="12.570312" style="0" customWidth="1"/>
    <x:col min="12" max="12" width="14" style="0" customWidth="1"/>
    <x:col min="13" max="13" width="13.425781" style="0" customWidth="1"/>
  </x:cols>
  <x:sheetData>
    <x:row r="1" spans="1:13" ht="42" customHeight="1" x14ac:dyDescent="0.25">
      <x:c r="A1" s="249" t="s">
        <x:v>83</x:v>
      </x:c>
      <x:c r="B1" s="249" t="s">
        <x:v>11</x:v>
      </x:c>
      <x:c r="C1" s="249" t="s">
        <x:v>84</x:v>
      </x:c>
      <x:c r="D1" s="249" t="s">
        <x:v>85</x:v>
      </x:c>
      <x:c r="E1" s="249" t="s">
        <x:v>86</x:v>
      </x:c>
      <x:c r="F1" s="249" t="s">
        <x:v>87</x:v>
      </x:c>
      <x:c r="G1" s="249" t="s">
        <x:v>20</x:v>
      </x:c>
      <x:c r="H1" s="249" t="s">
        <x:v>88</x:v>
      </x:c>
      <x:c r="I1" s="249" t="s">
        <x:v>89</x:v>
      </x:c>
      <x:c r="J1" s="249" t="s">
        <x:v>90</x:v>
      </x:c>
      <x:c r="K1" s="249" t="s">
        <x:v>91</x:v>
      </x:c>
      <x:c r="L1" s="249" t="s">
        <x:v>92</x:v>
      </x:c>
      <x:c r="M1" s="249" t="s">
        <x:v>93</x:v>
      </x:c>
    </x:row>
    <x:row r="2" spans="1:13" ht="30.75" customHeight="1" x14ac:dyDescent="0.45">
      <x:c r="A2" s="250"/>
      <x:c r="B2" s="251" t="s">
        <x:v>78</x:v>
      </x:c>
      <x:c r="C2" s="251"/>
      <x:c r="D2" s="251"/>
      <x:c r="E2" s="251"/>
      <x:c r="F2" s="252">
        <x:f>F3+F16+F22+F27</x:f>
      </x:c>
      <x:c r="G2" s="252">
        <x:f>G3+G16+G22+G27</x:f>
      </x:c>
      <x:c r="H2" s="252">
        <x:f>H3+H16+H22+H27</x:f>
      </x:c>
      <x:c r="I2" s="252"/>
      <x:c r="J2" s="252"/>
      <x:c r="K2" s="138"/>
      <x:c r="L2" s="138"/>
      <x:c r="M2" s="138"/>
    </x:row>
    <x:row r="3" spans="1:13" ht="18.75" customHeight="1" x14ac:dyDescent="0.25">
      <x:c r="A3" s="253" t="s">
        <x:v>94</x:v>
      </x:c>
      <x:c r="B3" s="254" t="s">
        <x:v>17</x:v>
      </x:c>
      <x:c r="C3" s="254"/>
      <x:c r="D3" s="254"/>
      <x:c r="E3" s="254"/>
      <x:c r="F3" s="252">
        <x:f>SUM(F4:F15)</x:f>
      </x:c>
      <x:c r="G3" s="252">
        <x:f>SUM(G4:G15)</x:f>
      </x:c>
      <x:c r="H3" s="252">
        <x:f>SUM(H4:H15)</x:f>
      </x:c>
      <x:c r="I3" s="252"/>
      <x:c r="J3" s="252"/>
      <x:c r="K3" s="138"/>
      <x:c r="L3" s="138"/>
      <x:c r="M3" s="145"/>
    </x:row>
    <x:row r="4" spans="1:13" ht="18.75" customHeight="1" x14ac:dyDescent="0.3">
      <x:c r="A4" s="253">
        <x:v>1</x:v>
      </x:c>
      <x:c r="B4" s="255" t="s">
        <x:v>21</x:v>
      </x:c>
      <x:c r="C4" s="256">
        <x:f>BC_chi_tiet!G3</x:f>
      </x:c>
      <x:c r="D4" s="255">
        <x:f>BC_chi_tiet!H3</x:f>
      </x:c>
      <x:c r="E4" s="257">
        <x:f>IF(D4&gt; 0,D4/C4,0)</x:f>
      </x:c>
      <x:c r="F4" s="258">
        <x:v>0.737037037037037</x:v>
      </x:c>
      <x:c r="G4" s="258">
        <x:v>0.522222222222222</x:v>
      </x:c>
      <x:c r="H4" s="259">
        <x:f>G4-F4</x:f>
      </x:c>
      <x:c r="I4" s="260"/>
      <x:c r="J4" s="260"/>
      <x:c r="K4" s="138"/>
      <x:c r="L4" s="138"/>
      <x:c r="M4" s="138"/>
    </x:row>
    <x:row r="5" spans="1:13" ht="18.75" customHeight="1" x14ac:dyDescent="0.3">
      <x:c r="A5" s="253">
        <x:v>2</x:v>
      </x:c>
      <x:c r="B5" s="255" t="s">
        <x:v>22</x:v>
      </x:c>
      <x:c r="C5" s="256">
        <x:f>BC_chi_tiet!G8</x:f>
      </x:c>
      <x:c r="D5" s="255">
        <x:f>BC_chi_tiet!H8</x:f>
      </x:c>
      <x:c r="E5" s="257">
        <x:f>IF(D5&gt; 0,D5/C5,0)</x:f>
      </x:c>
      <x:c r="F5" s="258">
        <x:v>0.414814814814815</x:v>
      </x:c>
      <x:c r="G5" s="258">
        <x:v>0.414814814814815</x:v>
      </x:c>
      <x:c r="H5" s="259">
        <x:f>G5-F5</x:f>
      </x:c>
      <x:c r="I5" s="260"/>
      <x:c r="J5" s="260"/>
      <x:c r="K5" s="138"/>
      <x:c r="L5" s="138"/>
      <x:c r="M5" s="138"/>
    </x:row>
    <x:row r="6" spans="1:13" ht="33.75" customHeight="1" x14ac:dyDescent="0.3">
      <x:c r="A6" s="253">
        <x:v>3</x:v>
      </x:c>
      <x:c r="B6" s="261" t="s">
        <x:v>95</x:v>
      </x:c>
      <x:c r="C6" s="261"/>
      <x:c r="D6" s="261"/>
      <x:c r="E6" s="257"/>
      <x:c r="F6" s="258">
        <x:v>0</x:v>
      </x:c>
      <x:c r="G6" s="258">
        <x:v>0</x:v>
      </x:c>
      <x:c r="H6" s="259">
        <x:f>G6-F6</x:f>
      </x:c>
      <x:c r="I6" s="260"/>
      <x:c r="J6" s="260"/>
      <x:c r="K6" s="138"/>
      <x:c r="L6" s="138"/>
      <x:c r="M6" s="138"/>
    </x:row>
    <x:row r="7" spans="1:13" ht="18.75" customHeight="1" x14ac:dyDescent="0.3">
      <x:c r="A7" s="253">
        <x:v>4</x:v>
      </x:c>
      <x:c r="B7" s="255" t="s">
        <x:v>24</x:v>
      </x:c>
      <x:c r="C7" s="262">
        <x:f>SUM(BC_chi_tiet!G4:G7)</x:f>
      </x:c>
      <x:c r="D7" s="255">
        <x:f>SUM(BC_chi_tiet!H4:H7)</x:f>
      </x:c>
      <x:c r="E7" s="257">
        <x:f>IF(D7&gt; 0,D7/C7,0)</x:f>
      </x:c>
      <x:c r="F7" s="258">
        <x:v>0.237037037037037</x:v>
      </x:c>
      <x:c r="G7" s="258">
        <x:v>0.237037037037037</x:v>
      </x:c>
      <x:c r="H7" s="259">
        <x:f>G7-F7</x:f>
      </x:c>
      <x:c r="I7" s="260"/>
      <x:c r="J7" s="260"/>
      <x:c r="K7" s="138"/>
      <x:c r="L7" s="138"/>
      <x:c r="M7" s="138"/>
    </x:row>
    <x:row r="8" spans="1:13" ht="18.75" customHeight="1" x14ac:dyDescent="0.3">
      <x:c r="A8" s="253">
        <x:v>5</x:v>
      </x:c>
      <x:c r="B8" s="255" t="s">
        <x:v>25</x:v>
      </x:c>
      <x:c r="C8" s="255"/>
      <x:c r="D8" s="255"/>
      <x:c r="E8" s="257">
        <x:f>IF(D8&gt; 0,D8/C8,0)</x:f>
      </x:c>
      <x:c r="F8" s="258">
        <x:v>0.307407407407407</x:v>
      </x:c>
      <x:c r="G8" s="258">
        <x:v>0.0614814814814815</x:v>
      </x:c>
      <x:c r="H8" s="259">
        <x:f>G8-F8</x:f>
      </x:c>
      <x:c r="I8" s="260"/>
      <x:c r="J8" s="260"/>
      <x:c r="K8" s="138"/>
      <x:c r="L8" s="138"/>
      <x:c r="M8" s="138"/>
    </x:row>
    <x:row r="9" spans="1:13" ht="18.75" customHeight="1" x14ac:dyDescent="0.3">
      <x:c r="A9" s="253">
        <x:v>6</x:v>
      </x:c>
      <x:c r="B9" s="255" t="s">
        <x:v>26</x:v>
      </x:c>
      <x:c r="C9" s="255"/>
      <x:c r="D9" s="255"/>
      <x:c r="E9" s="257">
        <x:f>IF(D9&gt; 0,D9/C9,0)</x:f>
      </x:c>
      <x:c r="F9" s="258">
        <x:v>0.537037037037037</x:v>
      </x:c>
      <x:c r="G9" s="258">
        <x:v>0.451111111111111</x:v>
      </x:c>
      <x:c r="H9" s="259">
        <x:f>G9-F9</x:f>
      </x:c>
      <x:c r="I9" s="260"/>
      <x:c r="J9" s="260"/>
      <x:c r="K9" s="138"/>
      <x:c r="L9" s="138"/>
      <x:c r="M9" s="138"/>
    </x:row>
    <x:row r="10" spans="1:13" ht="18.75" customHeight="1" x14ac:dyDescent="0.3">
      <x:c r="A10" s="253">
        <x:v>7</x:v>
      </x:c>
      <x:c r="B10" s="255" t="s">
        <x:v>27</x:v>
      </x:c>
      <x:c r="C10" s="255"/>
      <x:c r="D10" s="255"/>
      <x:c r="E10" s="257">
        <x:f>IF(D10&gt; 0,D10/C10,0)</x:f>
      </x:c>
      <x:c r="F10" s="258">
        <x:v>0.314814814814815</x:v>
      </x:c>
      <x:c r="G10" s="258">
        <x:v>0.314814814814815</x:v>
      </x:c>
      <x:c r="H10" s="259">
        <x:f>G10-F10</x:f>
      </x:c>
      <x:c r="I10" s="260"/>
      <x:c r="J10" s="260"/>
      <x:c r="K10" s="138"/>
      <x:c r="L10" s="138"/>
      <x:c r="M10" s="138"/>
    </x:row>
    <x:row r="11" spans="1:13" ht="18.75" customHeight="1" x14ac:dyDescent="0.3">
      <x:c r="A11" s="253">
        <x:v>8</x:v>
      </x:c>
      <x:c r="B11" s="255" t="s">
        <x:v>28</x:v>
      </x:c>
      <x:c r="C11" s="255"/>
      <x:c r="D11" s="255"/>
      <x:c r="E11" s="257">
        <x:f>IF(D11&gt; 0,D11/C11,0)</x:f>
      </x:c>
      <x:c r="F11" s="258">
        <x:v>0.42962962962963</x:v>
      </x:c>
      <x:c r="G11" s="258">
        <x:v>0.408148148148148</x:v>
      </x:c>
      <x:c r="H11" s="259">
        <x:f>G11-F11</x:f>
      </x:c>
      <x:c r="I11" s="260"/>
      <x:c r="J11" s="260"/>
      <x:c r="K11" s="138"/>
      <x:c r="L11" s="138"/>
      <x:c r="M11" s="138"/>
    </x:row>
    <x:row r="12" spans="1:13" ht="18.75" customHeight="1" x14ac:dyDescent="0.3">
      <x:c r="A12" s="253">
        <x:v>9</x:v>
      </x:c>
      <x:c r="B12" s="255" t="s">
        <x:v>29</x:v>
      </x:c>
      <x:c r="C12" s="255"/>
      <x:c r="D12" s="255"/>
      <x:c r="E12" s="255"/>
      <x:c r="F12" s="258">
        <x:v>0.414814814814815</x:v>
      </x:c>
      <x:c r="G12" s="258">
        <x:v>0.414814814814815</x:v>
      </x:c>
      <x:c r="H12" s="259">
        <x:f>G12-F12</x:f>
      </x:c>
      <x:c r="I12" s="260"/>
      <x:c r="J12" s="260"/>
      <x:c r="K12" s="138"/>
      <x:c r="L12" s="138"/>
      <x:c r="M12" s="138"/>
    </x:row>
    <x:row r="13" spans="1:13" ht="18.75" customHeight="1" x14ac:dyDescent="0.3">
      <x:c r="A13" s="253">
        <x:v>10</x:v>
      </x:c>
      <x:c r="B13" s="255" t="s">
        <x:v>30</x:v>
      </x:c>
      <x:c r="C13" s="255"/>
      <x:c r="D13" s="255"/>
      <x:c r="E13" s="255"/>
      <x:c r="F13" s="258">
        <x:v>0.507407407407407</x:v>
      </x:c>
      <x:c r="G13" s="258">
        <x:v>0.4</x:v>
      </x:c>
      <x:c r="H13" s="259">
        <x:f>G13-F13</x:f>
      </x:c>
      <x:c r="I13" s="260"/>
      <x:c r="J13" s="260"/>
      <x:c r="K13" s="138"/>
      <x:c r="L13" s="138"/>
      <x:c r="M13" s="138"/>
    </x:row>
    <x:row r="14" spans="1:13" ht="18.75" customHeight="1" x14ac:dyDescent="0.3">
      <x:c r="A14" s="253">
        <x:v>11</x:v>
      </x:c>
      <x:c r="B14" s="255" t="s">
        <x:v>31</x:v>
      </x:c>
      <x:c r="C14" s="255"/>
      <x:c r="D14" s="255"/>
      <x:c r="E14" s="255"/>
      <x:c r="F14" s="263">
        <x:v>0.5</x:v>
      </x:c>
      <x:c r="G14" s="263">
        <x:v>0.1</x:v>
      </x:c>
      <x:c r="H14" s="259">
        <x:f>G14-F14</x:f>
      </x:c>
      <x:c r="I14" s="260"/>
      <x:c r="J14" s="260"/>
      <x:c r="K14" s="138"/>
      <x:c r="L14" s="138"/>
      <x:c r="M14" s="138"/>
    </x:row>
    <x:row r="15" spans="1:13" ht="18.75" customHeight="1" x14ac:dyDescent="0.3">
      <x:c r="A15" s="253">
        <x:v>12</x:v>
      </x:c>
      <x:c r="B15" s="255" t="s">
        <x:v>32</x:v>
      </x:c>
      <x:c r="C15" s="255"/>
      <x:c r="D15" s="255"/>
      <x:c r="E15" s="255"/>
      <x:c r="F15" s="263">
        <x:v>0.6</x:v>
      </x:c>
      <x:c r="G15" s="263">
        <x:v>0.6</x:v>
      </x:c>
      <x:c r="H15" s="259">
        <x:f>G15-F15</x:f>
      </x:c>
      <x:c r="I15" s="260"/>
      <x:c r="J15" s="260"/>
      <x:c r="K15" s="138"/>
      <x:c r="L15" s="138"/>
      <x:c r="M15" s="138"/>
    </x:row>
    <x:row r="16" spans="1:13" ht="50.25" customHeight="1" x14ac:dyDescent="0.3">
      <x:c r="A16" s="253" t="s">
        <x:v>96</x:v>
      </x:c>
      <x:c r="B16" s="264" t="s">
        <x:v>18</x:v>
      </x:c>
      <x:c r="C16" s="264"/>
      <x:c r="D16" s="264"/>
      <x:c r="E16" s="264"/>
      <x:c r="F16" s="252">
        <x:f>SUM(F17:F21)</x:f>
      </x:c>
      <x:c r="G16" s="252">
        <x:f>SUM(G17:G21)</x:f>
      </x:c>
      <x:c r="H16" s="265">
        <x:f>SUM(H17:H21)</x:f>
      </x:c>
      <x:c r="I16" s="252"/>
      <x:c r="J16" s="252"/>
      <x:c r="K16" s="138"/>
      <x:c r="L16" s="138"/>
      <x:c r="M16" s="138"/>
    </x:row>
    <x:row r="17" spans="1:13" ht="18.75" customHeight="1" x14ac:dyDescent="0.3">
      <x:c r="A17" s="253">
        <x:v>1</x:v>
      </x:c>
      <x:c r="B17" s="255" t="s">
        <x:v>33</x:v>
      </x:c>
      <x:c r="C17" s="255"/>
      <x:c r="D17" s="255"/>
      <x:c r="E17" s="255"/>
      <x:c r="F17" s="266">
        <x:v>0.5</x:v>
      </x:c>
      <x:c r="G17" s="266">
        <x:v>0.5</x:v>
      </x:c>
      <x:c r="H17" s="259">
        <x:f>G17-F17</x:f>
      </x:c>
      <x:c r="I17" s="260"/>
      <x:c r="J17" s="260"/>
      <x:c r="K17" s="138"/>
      <x:c r="L17" s="138"/>
      <x:c r="M17" s="138"/>
    </x:row>
    <x:row r="18" spans="1:13" ht="18.75" customHeight="1" x14ac:dyDescent="0.3">
      <x:c r="A18" s="253">
        <x:v>2</x:v>
      </x:c>
      <x:c r="B18" s="255" t="s">
        <x:v>34</x:v>
      </x:c>
      <x:c r="C18" s="255"/>
      <x:c r="D18" s="255"/>
      <x:c r="E18" s="255"/>
      <x:c r="F18" s="266">
        <x:v>0.4</x:v>
      </x:c>
      <x:c r="G18" s="266">
        <x:v>0.4</x:v>
      </x:c>
      <x:c r="H18" s="259">
        <x:f>G18-F18</x:f>
      </x:c>
      <x:c r="I18" s="260"/>
      <x:c r="J18" s="260"/>
      <x:c r="K18" s="138"/>
      <x:c r="L18" s="138"/>
      <x:c r="M18" s="138"/>
    </x:row>
    <x:row r="19" spans="1:13" ht="18.75" customHeight="1" x14ac:dyDescent="0.3">
      <x:c r="A19" s="253">
        <x:v>3</x:v>
      </x:c>
      <x:c r="B19" s="255" t="s">
        <x:v>35</x:v>
      </x:c>
      <x:c r="C19" s="255"/>
      <x:c r="D19" s="255"/>
      <x:c r="E19" s="255"/>
      <x:c r="F19" s="263">
        <x:v>0.5</x:v>
      </x:c>
      <x:c r="G19" s="263">
        <x:v>0.5</x:v>
      </x:c>
      <x:c r="H19" s="259">
        <x:f>G19-F19</x:f>
      </x:c>
      <x:c r="I19" s="260"/>
      <x:c r="J19" s="260"/>
      <x:c r="K19" s="138"/>
      <x:c r="L19" s="138"/>
      <x:c r="M19" s="138"/>
    </x:row>
    <x:row r="20" spans="1:13" ht="18.75" customHeight="1" x14ac:dyDescent="0.3">
      <x:c r="A20" s="253">
        <x:v>4</x:v>
      </x:c>
      <x:c r="B20" s="255" t="s">
        <x:v>36</x:v>
      </x:c>
      <x:c r="C20" s="255"/>
      <x:c r="D20" s="255"/>
      <x:c r="E20" s="255"/>
      <x:c r="F20" s="263">
        <x:v>0.5</x:v>
      </x:c>
      <x:c r="G20" s="263">
        <x:v>0.5</x:v>
      </x:c>
      <x:c r="H20" s="259">
        <x:f>G20-F20</x:f>
      </x:c>
      <x:c r="I20" s="260"/>
      <x:c r="J20" s="260"/>
      <x:c r="K20" s="138"/>
      <x:c r="L20" s="138"/>
      <x:c r="M20" s="138"/>
    </x:row>
    <x:row r="21" spans="1:13" ht="18.75" customHeight="1" x14ac:dyDescent="0.3">
      <x:c r="A21" s="253">
        <x:v>5</x:v>
      </x:c>
      <x:c r="B21" s="255" t="s">
        <x:v>37</x:v>
      </x:c>
      <x:c r="C21" s="255"/>
      <x:c r="D21" s="255"/>
      <x:c r="E21" s="255"/>
      <x:c r="F21" s="263">
        <x:v>0.6</x:v>
      </x:c>
      <x:c r="G21" s="263">
        <x:v>0.45</x:v>
      </x:c>
      <x:c r="H21" s="259">
        <x:f>G21-F21</x:f>
      </x:c>
      <x:c r="I21" s="260"/>
      <x:c r="J21" s="260"/>
      <x:c r="K21" s="138"/>
      <x:c r="L21" s="138"/>
      <x:c r="M21" s="138"/>
    </x:row>
    <x:row r="22" spans="1:13" ht="18.75" customHeight="1" x14ac:dyDescent="0.3">
      <x:c r="A22" s="253" t="s">
        <x:v>97</x:v>
      </x:c>
      <x:c r="B22" s="267" t="s">
        <x:v>98</x:v>
      </x:c>
      <x:c r="C22" s="267"/>
      <x:c r="D22" s="267"/>
      <x:c r="E22" s="267"/>
      <x:c r="F22" s="252">
        <x:f>SUM(F23:F26)</x:f>
      </x:c>
      <x:c r="G22" s="252">
        <x:f>SUM(G23:G26)</x:f>
      </x:c>
      <x:c r="H22" s="265">
        <x:f>SUM(H23:H26)</x:f>
      </x:c>
      <x:c r="I22" s="252"/>
      <x:c r="J22" s="252"/>
      <x:c r="K22" s="138"/>
      <x:c r="L22" s="138"/>
      <x:c r="M22" s="138"/>
    </x:row>
    <x:row r="23" spans="1:13" ht="33" customHeight="1" x14ac:dyDescent="0.3">
      <x:c r="A23" s="253">
        <x:v>1</x:v>
      </x:c>
      <x:c r="B23" s="268" t="s">
        <x:v>46</x:v>
      </x:c>
      <x:c r="C23" s="268"/>
      <x:c r="D23" s="268"/>
      <x:c r="E23" s="268"/>
      <x:c r="F23" s="269">
        <x:v>0.1</x:v>
      </x:c>
      <x:c r="G23" s="269">
        <x:v>0.1</x:v>
      </x:c>
      <x:c r="H23" s="259">
        <x:f>G23-F23</x:f>
      </x:c>
      <x:c r="I23" s="260"/>
      <x:c r="J23" s="260"/>
      <x:c r="K23" s="138"/>
      <x:c r="L23" s="138"/>
      <x:c r="M23" s="138"/>
    </x:row>
    <x:row r="24" spans="1:13" ht="18.75" customHeight="1" x14ac:dyDescent="0.3">
      <x:c r="A24" s="253">
        <x:v>2</x:v>
      </x:c>
      <x:c r="B24" s="268" t="s">
        <x:v>47</x:v>
      </x:c>
      <x:c r="C24" s="268"/>
      <x:c r="D24" s="268"/>
      <x:c r="E24" s="268"/>
      <x:c r="F24" s="270">
        <x:v>0.3</x:v>
      </x:c>
      <x:c r="G24" s="270">
        <x:v>0.3</x:v>
      </x:c>
      <x:c r="H24" s="259">
        <x:f>G24-F24</x:f>
      </x:c>
      <x:c r="I24" s="260"/>
      <x:c r="J24" s="260"/>
      <x:c r="K24" s="138"/>
      <x:c r="L24" s="138"/>
      <x:c r="M24" s="138"/>
    </x:row>
    <x:row r="25" spans="1:13" ht="18.75" customHeight="1" x14ac:dyDescent="0.3">
      <x:c r="A25" s="253">
        <x:v>3</x:v>
      </x:c>
      <x:c r="B25" s="268" t="s">
        <x:v>48</x:v>
      </x:c>
      <x:c r="C25" s="268"/>
      <x:c r="D25" s="268"/>
      <x:c r="E25" s="268"/>
      <x:c r="F25" s="270">
        <x:v>0.3</x:v>
      </x:c>
      <x:c r="G25" s="270">
        <x:v>0.32</x:v>
      </x:c>
      <x:c r="H25" s="259">
        <x:f>G25-F25</x:f>
      </x:c>
      <x:c r="I25" s="260"/>
      <x:c r="J25" s="260"/>
      <x:c r="K25" s="138"/>
      <x:c r="L25" s="138"/>
      <x:c r="M25" s="138"/>
    </x:row>
    <x:row r="26" spans="1:13" ht="18.75" customHeight="1" x14ac:dyDescent="0.3">
      <x:c r="A26" s="253">
        <x:v>4</x:v>
      </x:c>
      <x:c r="B26" s="268" t="s">
        <x:v>49</x:v>
      </x:c>
      <x:c r="C26" s="268"/>
      <x:c r="D26" s="268"/>
      <x:c r="E26" s="268"/>
      <x:c r="F26" s="270">
        <x:v>0.6</x:v>
      </x:c>
      <x:c r="G26" s="270">
        <x:v>0.6</x:v>
      </x:c>
      <x:c r="H26" s="259">
        <x:f>G26-F26</x:f>
      </x:c>
      <x:c r="I26" s="260"/>
      <x:c r="J26" s="260"/>
      <x:c r="K26" s="138"/>
      <x:c r="L26" s="138"/>
      <x:c r="M26" s="138"/>
    </x:row>
    <x:row r="27" spans="1:13" ht="18.75" customHeight="1" x14ac:dyDescent="0.3">
      <x:c r="A27" s="271" t="s">
        <x:v>99</x:v>
      </x:c>
      <x:c r="B27" s="272" t="s">
        <x:v>100</x:v>
      </x:c>
      <x:c r="C27" s="272"/>
      <x:c r="D27" s="272"/>
      <x:c r="E27" s="272"/>
      <x:c r="F27" s="252">
        <x:f>SUM(F28:F30)</x:f>
      </x:c>
      <x:c r="G27" s="252">
        <x:f>SUM(G28:G30)</x:f>
      </x:c>
      <x:c r="H27" s="273">
        <x:f>SUM(H28:H30)</x:f>
      </x:c>
      <x:c r="I27" s="274"/>
      <x:c r="J27" s="274"/>
      <x:c r="K27" s="138"/>
      <x:c r="L27" s="138"/>
      <x:c r="M27" s="138"/>
    </x:row>
    <x:row r="28" spans="1:13" ht="28.5" customHeight="1" x14ac:dyDescent="0.3">
      <x:c r="A28" s="271">
        <x:v>1</x:v>
      </x:c>
      <x:c r="B28" s="275" t="s">
        <x:v>101</x:v>
      </x:c>
      <x:c r="C28" s="275"/>
      <x:c r="D28" s="275"/>
      <x:c r="E28" s="275"/>
      <x:c r="F28" s="269">
        <x:v>0.4</x:v>
      </x:c>
      <x:c r="G28" s="269">
        <x:v>0.4</x:v>
      </x:c>
      <x:c r="H28" s="259">
        <x:f>G28-F28</x:f>
      </x:c>
      <x:c r="I28" s="274"/>
      <x:c r="J28" s="274"/>
      <x:c r="K28" s="138"/>
      <x:c r="L28" s="138"/>
      <x:c r="M28" s="138"/>
    </x:row>
    <x:row r="29" spans="1:13" ht="42.75" customHeight="1" x14ac:dyDescent="0.3">
      <x:c r="A29" s="271">
        <x:v>2</x:v>
      </x:c>
      <x:c r="B29" s="275" t="s">
        <x:v>80</x:v>
      </x:c>
      <x:c r="C29" s="275"/>
      <x:c r="D29" s="275"/>
      <x:c r="E29" s="275"/>
      <x:c r="F29" s="269">
        <x:v>0.3</x:v>
      </x:c>
      <x:c r="G29" s="269">
        <x:v>0.3</x:v>
      </x:c>
      <x:c r="H29" s="259">
        <x:f>G29-F29</x:f>
      </x:c>
      <x:c r="I29" s="274"/>
      <x:c r="J29" s="274"/>
      <x:c r="K29" s="138"/>
      <x:c r="L29" s="138"/>
      <x:c r="M29" s="138"/>
    </x:row>
    <x:row r="30" spans="1:13" ht="42.75" customHeight="1" x14ac:dyDescent="0.3">
      <x:c r="A30" s="271">
        <x:v>3</x:v>
      </x:c>
      <x:c r="B30" s="275" t="s">
        <x:v>81</x:v>
      </x:c>
      <x:c r="C30" s="275"/>
      <x:c r="D30" s="275"/>
      <x:c r="E30" s="275"/>
      <x:c r="F30" s="269">
        <x:v>0.3</x:v>
      </x:c>
      <x:c r="G30" s="269">
        <x:v>0.3</x:v>
      </x:c>
      <x:c r="H30" s="259">
        <x:f>G30-F30</x:f>
      </x:c>
      <x:c r="I30" s="274"/>
      <x:c r="J30" s="274"/>
      <x:c r="K30" s="138"/>
      <x:c r="L30" s="138"/>
      <x:c r="M30" s="138"/>
    </x:row>
  </x:sheetData>
  <x:conditionalFormatting sqref="F2:G3">
    <x:cfRule type="colorScale" priority="1">
      <x:colorScale>
        <x:cfvo type="min"/>
        <x:cfvo type="percentile" val="50"/>
        <x:cfvo type="max"/>
        <x:color rgb="FFF8696B"/>
        <x:color rgb="FFFCFCFF"/>
        <x:color rgb="FF63BE7B"/>
      </x:colorScale>
    </x:cfRule>
  </x:conditionalFormatting>
  <x:conditionalFormatting sqref="H2:H30">
    <x:cfRule type="colorScale" priority="2">
      <x:colorScale>
        <x:cfvo type="min"/>
        <x:cfvo type="percentile" val="50"/>
        <x:cfvo type="max"/>
        <x:color rgb="FFF8696B"/>
        <x:color rgb="FFFCFCFF"/>
        <x:color rgb="FF63BE7B"/>
      </x:colorScale>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outlinePr summaryBelow="1" summaryRight="1"/>
  </x:sheetPr>
  <x:dimension ref="A1:Y30"/>
  <x:sheetViews>
    <x:sheetView tabSelected="1" topLeftCell="C1" workbookViewId="0">
      <x:selection activeCell="Q3" sqref="Q3 Q3:Q25"/>
    </x:sheetView>
  </x:sheetViews>
  <x:sheetFormatPr defaultRowHeight="15" x14ac:dyDescent="0.25"/>
  <x:cols>
    <x:col min="1" max="1" width="13.285156" style="0" customWidth="1"/>
    <x:col min="2" max="2" width="27.710938" style="0" customWidth="1"/>
    <x:col min="3" max="6" width="9.140625" style="0" customWidth="1"/>
    <x:col min="7" max="7" width="11.285156" style="0" customWidth="1"/>
    <x:col min="8" max="8" width="9.140625" style="0" customWidth="1"/>
    <x:col min="9" max="9" width="12.710938" style="0" customWidth="1"/>
    <x:col min="10" max="12" width="9.140625" style="0" customWidth="1"/>
    <x:col min="13" max="14" width="9.140625" style="276" customWidth="1"/>
    <x:col min="15" max="15" width="13" style="239" customWidth="1"/>
    <x:col min="16" max="16" width="26.710938" style="0" customWidth="1"/>
    <x:col min="17" max="17" width="9.140625" style="0" customWidth="1"/>
  </x:cols>
  <x:sheetData>
    <x:row r="1" spans="1:25" ht="15.75" customHeight="1" x14ac:dyDescent="0.25">
      <x:c r="A1" s="277" t="s">
        <x:v>102</x:v>
      </x:c>
      <x:c r="B1" s="277"/>
      <x:c r="C1" s="277" t="s">
        <x:v>103</x:v>
      </x:c>
      <x:c r="D1" s="277"/>
      <x:c r="E1" s="277"/>
      <x:c r="F1" s="277"/>
      <x:c r="G1" s="277" t="s">
        <x:v>104</x:v>
      </x:c>
      <x:c r="H1" s="277"/>
      <x:c r="I1" s="277"/>
      <x:c r="J1" s="277" t="s">
        <x:v>105</x:v>
      </x:c>
      <x:c r="K1" s="277"/>
      <x:c r="L1" s="277"/>
      <x:c r="M1" s="277" t="s">
        <x:v>106</x:v>
      </x:c>
      <x:c r="N1" s="277"/>
      <x:c r="O1" s="277"/>
      <x:c r="P1" s="278"/>
      <x:c r="Q1" s="79" t="s">
        <x:v>107</x:v>
      </x:c>
      <x:c r="R1" s="79"/>
      <x:c r="S1" s="79"/>
    </x:row>
    <x:row r="2" spans="1:25" ht="31.5" customHeight="1" x14ac:dyDescent="0.25">
      <x:c r="A2" s="277"/>
      <x:c r="B2" s="277"/>
      <x:c r="C2" s="277"/>
      <x:c r="D2" s="277" t="s">
        <x:v>108</x:v>
      </x:c>
      <x:c r="E2" s="277" t="s">
        <x:v>109</x:v>
      </x:c>
      <x:c r="F2" s="277" t="s">
        <x:v>110</x:v>
      </x:c>
      <x:c r="G2" s="277" t="s">
        <x:v>111</x:v>
      </x:c>
      <x:c r="H2" s="277" t="s">
        <x:v>85</x:v>
      </x:c>
      <x:c r="I2" s="277" t="s">
        <x:v>112</x:v>
      </x:c>
      <x:c r="J2" s="277" t="s">
        <x:v>111</x:v>
      </x:c>
      <x:c r="K2" s="277" t="s">
        <x:v>85</x:v>
      </x:c>
      <x:c r="L2" s="277" t="s">
        <x:v>112</x:v>
      </x:c>
      <x:c r="M2" s="277" t="s">
        <x:v>111</x:v>
      </x:c>
      <x:c r="N2" s="277" t="s">
        <x:v>85</x:v>
      </x:c>
      <x:c r="O2" s="277" t="s">
        <x:v>112</x:v>
      </x:c>
      <x:c r="P2" s="277" t="s">
        <x:v>113</x:v>
      </x:c>
      <x:c r="Q2" s="79"/>
      <x:c r="R2" s="79"/>
      <x:c r="S2" s="79"/>
    </x:row>
    <x:row r="3" spans="1:25" ht="16.5" customHeight="1" x14ac:dyDescent="0.25">
      <x:c r="A3" s="21" t="s">
        <x:v>114</x:v>
      </x:c>
      <x:c r="B3" s="279" t="s">
        <x:v>115</x:v>
      </x:c>
      <x:c r="C3" s="21" t="s">
        <x:v>116</x:v>
      </x:c>
      <x:c r="D3" s="21"/>
      <x:c r="E3" s="21"/>
      <x:c r="F3" s="21"/>
      <x:c r="G3" s="63" t="s">
        <x:v>117</x:v>
      </x:c>
      <x:c r="H3" s="60" t="s">
        <x:v>118</x:v>
      </x:c>
      <x:c r="I3" s="72">
        <x:v>1.05555555555556</x:v>
      </x:c>
      <x:c r="J3" s="60"/>
      <x:c r="K3" s="60"/>
      <x:c r="L3" s="72"/>
      <x:c r="M3" s="280"/>
      <x:c r="N3" s="280"/>
      <x:c r="O3" s="281"/>
      <x:c r="P3" s="77" t="s">
        <x:v>119</x:v>
      </x:c>
      <x:c r="Q3" s="79" t="s">
        <x:v>120</x:v>
      </x:c>
      <x:c r="R3" s="79"/>
      <x:c r="S3" s="79"/>
    </x:row>
    <x:row r="4" spans="1:25" ht="16.5" customHeight="1" x14ac:dyDescent="0.25">
      <x:c r="A4" s="21" t="s">
        <x:v>121</x:v>
      </x:c>
      <x:c r="B4" s="279" t="s">
        <x:v>122</x:v>
      </x:c>
      <x:c r="C4" s="21" t="s">
        <x:v>123</x:v>
      </x:c>
      <x:c r="D4" s="21"/>
      <x:c r="E4" s="21"/>
      <x:c r="F4" s="21"/>
      <x:c r="G4" s="62" t="s">
        <x:v>124</x:v>
      </x:c>
      <x:c r="H4" s="69" t="s">
        <x:v>124</x:v>
      </x:c>
      <x:c r="I4" s="72">
        <x:v>0</x:v>
      </x:c>
      <x:c r="J4" s="60"/>
      <x:c r="K4" s="60"/>
      <x:c r="L4" s="72"/>
      <x:c r="M4" s="280"/>
      <x:c r="N4" s="280"/>
      <x:c r="O4" s="281"/>
      <x:c r="P4" s="77">
        <x:f>Meta!C14</x:f>
      </x:c>
      <x:c r="Q4" s="79" t="s">
        <x:v>125</x:v>
      </x:c>
      <x:c r="R4" s="79">
        <x:f>Meta!C16</x:f>
      </x:c>
      <x:c r="S4" s="79">
        <x:f>Meta!C17</x:f>
      </x:c>
      <x:c r="T4" s="0">
        <x:f>Meta!C18</x:f>
      </x:c>
      <x:c r="U4" s="0">
        <x:f>Meta!C19</x:f>
      </x:c>
      <x:c r="V4" s="0">
        <x:f>Meta!C20</x:f>
      </x:c>
      <x:c r="W4" s="0">
        <x:f>Meta!C21</x:f>
      </x:c>
      <x:c r="X4" s="0">
        <x:f>Meta!C22</x:f>
      </x:c>
      <x:c r="Y4" s="0">
        <x:f>Meta!C23</x:f>
      </x:c>
    </x:row>
    <x:row r="5" spans="1:25" ht="16.5" customHeight="1" x14ac:dyDescent="0.25">
      <x:c r="A5" s="21"/>
      <x:c r="B5" s="279" t="s">
        <x:v>126</x:v>
      </x:c>
      <x:c r="C5" s="21" t="s">
        <x:v>127</x:v>
      </x:c>
      <x:c r="D5" s="21"/>
      <x:c r="E5" s="21"/>
      <x:c r="F5" s="21"/>
      <x:c r="G5" s="63" t="s">
        <x:v>124</x:v>
      </x:c>
      <x:c r="H5" s="60" t="s">
        <x:v>124</x:v>
      </x:c>
      <x:c r="I5" s="72">
        <x:v>0</x:v>
      </x:c>
      <x:c r="J5" s="60"/>
      <x:c r="K5" s="60"/>
      <x:c r="L5" s="72"/>
      <x:c r="M5" s="280"/>
      <x:c r="N5" s="280"/>
      <x:c r="O5" s="281"/>
      <x:c r="P5" s="77">
        <x:f>Meta!D14</x:f>
      </x:c>
      <x:c r="Q5" s="79" t="s">
        <x:v>128</x:v>
      </x:c>
      <x:c r="R5" s="79">
        <x:f>Meta!D16</x:f>
      </x:c>
      <x:c r="S5" s="79">
        <x:f>Meta!D17</x:f>
      </x:c>
      <x:c r="T5" s="0">
        <x:f>Meta!D18</x:f>
      </x:c>
      <x:c r="U5" s="0">
        <x:f>Meta!D19</x:f>
      </x:c>
      <x:c r="V5" s="0">
        <x:f>Meta!D20</x:f>
      </x:c>
      <x:c r="W5" s="0">
        <x:f>Meta!D21</x:f>
      </x:c>
      <x:c r="X5" s="0">
        <x:f>Meta!D22</x:f>
      </x:c>
      <x:c r="Y5" s="0">
        <x:f>Meta!D23</x:f>
      </x:c>
    </x:row>
    <x:row r="6" spans="1:25" ht="16.5" customHeight="1" x14ac:dyDescent="0.25">
      <x:c r="A6" s="21"/>
      <x:c r="B6" s="279" t="s">
        <x:v>129</x:v>
      </x:c>
      <x:c r="C6" s="21" t="s">
        <x:v>123</x:v>
      </x:c>
      <x:c r="D6" s="21"/>
      <x:c r="E6" s="21"/>
      <x:c r="F6" s="21"/>
      <x:c r="G6" s="63" t="s">
        <x:v>124</x:v>
      </x:c>
      <x:c r="H6" s="60" t="s">
        <x:v>124</x:v>
      </x:c>
      <x:c r="I6" s="72">
        <x:v>0</x:v>
      </x:c>
      <x:c r="J6" s="68"/>
      <x:c r="K6" s="60"/>
      <x:c r="L6" s="72"/>
      <x:c r="M6" s="280"/>
      <x:c r="N6" s="280"/>
      <x:c r="O6" s="281"/>
      <x:c r="P6" s="77" t="s">
        <x:v>130</x:v>
      </x:c>
      <x:c r="Q6" s="79" t="s">
        <x:v>131</x:v>
      </x:c>
      <x:c r="R6" s="79"/>
      <x:c r="S6" s="79"/>
    </x:row>
    <x:row r="7" spans="1:25" ht="16.5" customHeight="1" x14ac:dyDescent="0.25">
      <x:c r="A7" s="21"/>
      <x:c r="B7" s="279" t="s">
        <x:v>132</x:v>
      </x:c>
      <x:c r="C7" s="21" t="s">
        <x:v>127</x:v>
      </x:c>
      <x:c r="D7" s="21"/>
      <x:c r="E7" s="21"/>
      <x:c r="F7" s="21"/>
      <x:c r="G7" s="63" t="s">
        <x:v>124</x:v>
      </x:c>
      <x:c r="H7" s="60" t="s">
        <x:v>124</x:v>
      </x:c>
      <x:c r="I7" s="72">
        <x:v>0</x:v>
      </x:c>
      <x:c r="J7" s="60"/>
      <x:c r="K7" s="60"/>
      <x:c r="L7" s="72"/>
      <x:c r="M7" s="280"/>
      <x:c r="N7" s="280"/>
      <x:c r="O7" s="281"/>
      <x:c r="P7" s="77" t="s">
        <x:v>130</x:v>
      </x:c>
      <x:c r="Q7" s="79" t="s">
        <x:v>133</x:v>
      </x:c>
      <x:c r="R7" s="79"/>
      <x:c r="S7" s="79"/>
    </x:row>
    <x:row r="8" spans="1:25" ht="16.5" customHeight="1" x14ac:dyDescent="0.25">
      <x:c r="A8" s="21" t="s">
        <x:v>134</x:v>
      </x:c>
      <x:c r="B8" s="279" t="s">
        <x:v>135</x:v>
      </x:c>
      <x:c r="C8" s="21" t="s">
        <x:v>136</x:v>
      </x:c>
      <x:c r="D8" s="21"/>
      <x:c r="E8" s="21"/>
      <x:c r="F8" s="21"/>
      <x:c r="G8" s="63" t="s">
        <x:v>124</x:v>
      </x:c>
      <x:c r="H8" s="60" t="s">
        <x:v>124</x:v>
      </x:c>
      <x:c r="I8" s="72">
        <x:v>0</x:v>
      </x:c>
      <x:c r="J8" s="60"/>
      <x:c r="K8" s="60"/>
      <x:c r="L8" s="72"/>
      <x:c r="M8" s="280"/>
      <x:c r="N8" s="282"/>
      <x:c r="O8" s="281"/>
      <x:c r="P8" s="77" t="s">
        <x:v>137</x:v>
      </x:c>
      <x:c r="Q8" s="79" t="s">
        <x:v>138</x:v>
      </x:c>
      <x:c r="R8" s="79"/>
      <x:c r="S8" s="79"/>
    </x:row>
    <x:row r="9" spans="1:25" ht="16.5" customHeight="1" x14ac:dyDescent="0.25">
      <x:c r="A9" s="21" t="s">
        <x:v>139</x:v>
      </x:c>
      <x:c r="B9" s="78" t="s">
        <x:v>140</x:v>
      </x:c>
      <x:c r="C9" s="21" t="s">
        <x:v>141</x:v>
      </x:c>
      <x:c r="D9" s="21"/>
      <x:c r="E9" s="21"/>
      <x:c r="F9" s="21"/>
      <x:c r="G9" s="63" t="s">
        <x:v>124</x:v>
      </x:c>
      <x:c r="H9" s="60" t="s">
        <x:v>124</x:v>
      </x:c>
      <x:c r="I9" s="72">
        <x:v>0</x:v>
      </x:c>
      <x:c r="J9" s="60"/>
      <x:c r="K9" s="60"/>
      <x:c r="L9" s="72"/>
      <x:c r="M9" s="280"/>
      <x:c r="N9" s="280"/>
      <x:c r="O9" s="281"/>
      <x:c r="P9" s="77" t="s">
        <x:v>142</x:v>
      </x:c>
      <x:c r="Q9" s="79" t="s">
        <x:v>143</x:v>
      </x:c>
      <x:c r="R9" s="79"/>
      <x:c r="S9" s="76"/>
    </x:row>
    <x:row r="10" spans="1:25" ht="21.75" customHeight="1" x14ac:dyDescent="0.25">
      <x:c r="A10" s="21"/>
      <x:c r="B10" s="78" t="s">
        <x:v>144</x:v>
      </x:c>
      <x:c r="C10" s="21" t="s">
        <x:v>145</x:v>
      </x:c>
      <x:c r="D10" s="21"/>
      <x:c r="E10" s="21"/>
      <x:c r="F10" s="21"/>
      <x:c r="G10" s="60" t="s">
        <x:v>124</x:v>
      </x:c>
      <x:c r="H10" s="60" t="s">
        <x:v>124</x:v>
      </x:c>
      <x:c r="I10" s="72">
        <x:v>0</x:v>
      </x:c>
      <x:c r="J10" s="60"/>
      <x:c r="K10" s="60"/>
      <x:c r="L10" s="72"/>
      <x:c r="M10" s="280"/>
      <x:c r="N10" s="280"/>
      <x:c r="O10" s="281"/>
      <x:c r="P10" s="77" t="s">
        <x:v>142</x:v>
      </x:c>
      <x:c r="Q10" s="79" t="s">
        <x:v>146</x:v>
      </x:c>
      <x:c r="R10" s="79"/>
      <x:c r="S10" s="79"/>
    </x:row>
    <x:row r="11" spans="1:25" ht="16.5" customHeight="1" x14ac:dyDescent="0.25">
      <x:c r="A11" s="21"/>
      <x:c r="B11" s="78" t="s">
        <x:v>147</x:v>
      </x:c>
      <x:c r="C11" s="21" t="s">
        <x:v>127</x:v>
      </x:c>
      <x:c r="D11" s="21"/>
      <x:c r="E11" s="21"/>
      <x:c r="F11" s="21"/>
      <x:c r="G11" s="60" t="s">
        <x:v>124</x:v>
      </x:c>
      <x:c r="H11" s="60" t="s">
        <x:v>124</x:v>
      </x:c>
      <x:c r="I11" s="72">
        <x:v>0</x:v>
      </x:c>
      <x:c r="J11" s="60"/>
      <x:c r="K11" s="60"/>
      <x:c r="L11" s="72"/>
      <x:c r="M11" s="280"/>
      <x:c r="N11" s="280"/>
      <x:c r="O11" s="281"/>
      <x:c r="P11" s="77" t="s">
        <x:v>148</x:v>
      </x:c>
      <x:c r="Q11" s="79" t="s">
        <x:v>149</x:v>
      </x:c>
      <x:c r="R11" s="79"/>
      <x:c r="S11" s="79"/>
    </x:row>
    <x:row r="12" spans="1:25" ht="24" customHeight="1" x14ac:dyDescent="0.25">
      <x:c r="A12" s="21"/>
      <x:c r="B12" s="78" t="s">
        <x:v>150</x:v>
      </x:c>
      <x:c r="C12" s="21" t="s">
        <x:v>127</x:v>
      </x:c>
      <x:c r="D12" s="21"/>
      <x:c r="E12" s="21"/>
      <x:c r="F12" s="21"/>
      <x:c r="G12" s="63" t="s">
        <x:v>151</x:v>
      </x:c>
      <x:c r="H12" s="60" t="s">
        <x:v>117</x:v>
      </x:c>
      <x:c r="I12" s="72">
        <x:v>0.9</x:v>
      </x:c>
      <x:c r="J12" s="60"/>
      <x:c r="K12" s="60"/>
      <x:c r="L12" s="72"/>
      <x:c r="M12" s="280"/>
      <x:c r="N12" s="280"/>
      <x:c r="O12" s="281"/>
      <x:c r="P12" s="77" t="s">
        <x:v>148</x:v>
      </x:c>
      <x:c r="Q12" s="79" t="s">
        <x:v>152</x:v>
      </x:c>
      <x:c r="R12" s="79"/>
      <x:c r="S12" s="79"/>
    </x:row>
    <x:row r="13" spans="1:25" ht="15.75" customHeight="1" x14ac:dyDescent="0.25">
      <x:c r="A13" s="20" t="s">
        <x:v>153</x:v>
      </x:c>
      <x:c r="B13" s="78" t="s">
        <x:v>154</x:v>
      </x:c>
      <x:c r="C13" s="75"/>
      <x:c r="D13" s="75"/>
      <x:c r="E13" s="75"/>
      <x:c r="F13" s="75"/>
      <x:c r="G13" s="61" t="s">
        <x:v>155</x:v>
      </x:c>
      <x:c r="H13" s="67" t="s">
        <x:v>156</x:v>
      </x:c>
      <x:c r="I13" s="72">
        <x:v>0.12396694214876</x:v>
      </x:c>
      <x:c r="J13" s="75"/>
      <x:c r="K13" s="75"/>
      <x:c r="L13" s="75"/>
      <x:c r="M13" s="283"/>
      <x:c r="N13" s="283"/>
      <x:c r="O13" s="281"/>
      <x:c r="P13" s="77" t="s">
        <x:v>157</x:v>
      </x:c>
      <x:c r="Q13" s="79" t="s">
        <x:v>158</x:v>
      </x:c>
      <x:c r="R13" s="79"/>
      <x:c r="S13" s="79"/>
    </x:row>
    <x:row r="14" spans="1:25" ht="24" customHeight="1" x14ac:dyDescent="0.25">
      <x:c r="A14" s="19"/>
      <x:c r="B14" s="73" t="s">
        <x:v>159</x:v>
      </x:c>
      <x:c r="C14" s="75"/>
      <x:c r="D14" s="75"/>
      <x:c r="E14" s="75"/>
      <x:c r="F14" s="75"/>
      <x:c r="G14" s="61" t="s">
        <x:v>160</x:v>
      </x:c>
      <x:c r="H14" s="67" t="s">
        <x:v>161</x:v>
      </x:c>
      <x:c r="I14" s="72">
        <x:v>0</x:v>
      </x:c>
      <x:c r="J14" s="75"/>
      <x:c r="K14" s="75"/>
      <x:c r="L14" s="75"/>
      <x:c r="M14" s="283"/>
      <x:c r="N14" s="283"/>
      <x:c r="O14" s="281"/>
      <x:c r="P14" s="77" t="s">
        <x:v>157</x:v>
      </x:c>
      <x:c r="Q14" s="79" t="s">
        <x:v>162</x:v>
      </x:c>
      <x:c r="R14" s="79"/>
      <x:c r="S14" s="79"/>
    </x:row>
    <x:row r="15" spans="1:25" ht="36" customHeight="1" x14ac:dyDescent="0.25">
      <x:c r="A15" s="19"/>
      <x:c r="B15" s="73" t="s">
        <x:v>163</x:v>
      </x:c>
      <x:c r="C15" s="75"/>
      <x:c r="D15" s="75"/>
      <x:c r="E15" s="75"/>
      <x:c r="F15" s="75"/>
      <x:c r="G15" s="61" t="s">
        <x:v>161</x:v>
      </x:c>
      <x:c r="H15" s="67" t="s">
        <x:v>161</x:v>
      </x:c>
      <x:c r="I15" s="72">
        <x:v>0</x:v>
      </x:c>
      <x:c r="J15" s="75"/>
      <x:c r="K15" s="75"/>
      <x:c r="L15" s="75"/>
      <x:c r="M15" s="283"/>
      <x:c r="N15" s="283"/>
      <x:c r="O15" s="281"/>
      <x:c r="P15" s="77" t="s">
        <x:v>157</x:v>
      </x:c>
      <x:c r="Q15" s="79" t="s">
        <x:v>164</x:v>
      </x:c>
      <x:c r="R15" s="79"/>
      <x:c r="S15" s="79"/>
    </x:row>
    <x:row r="16" spans="1:25" ht="24" customHeight="1" x14ac:dyDescent="0.25">
      <x:c r="A16" s="19"/>
      <x:c r="B16" s="73" t="s">
        <x:v>165</x:v>
      </x:c>
      <x:c r="C16" s="75"/>
      <x:c r="D16" s="75"/>
      <x:c r="E16" s="75"/>
      <x:c r="F16" s="75"/>
      <x:c r="G16" s="61" t="s">
        <x:v>161</x:v>
      </x:c>
      <x:c r="H16" s="67" t="s">
        <x:v>161</x:v>
      </x:c>
      <x:c r="I16" s="72">
        <x:v>0</x:v>
      </x:c>
      <x:c r="J16" s="75"/>
      <x:c r="K16" s="75"/>
      <x:c r="L16" s="75"/>
      <x:c r="M16" s="283"/>
      <x:c r="N16" s="283"/>
      <x:c r="O16" s="281"/>
      <x:c r="P16" s="77" t="s">
        <x:v>157</x:v>
      </x:c>
      <x:c r="Q16" s="79" t="s">
        <x:v>166</x:v>
      </x:c>
      <x:c r="R16" s="79"/>
      <x:c r="S16" s="79"/>
    </x:row>
    <x:row r="17" spans="1:25" ht="31.5" customHeight="1" x14ac:dyDescent="0.25">
      <x:c r="A17" s="19"/>
      <x:c r="B17" s="73" t="s">
        <x:v>167</x:v>
      </x:c>
      <x:c r="C17" s="75"/>
      <x:c r="D17" s="75"/>
      <x:c r="E17" s="75"/>
      <x:c r="F17" s="75"/>
      <x:c r="G17" s="61" t="s">
        <x:v>156</x:v>
      </x:c>
      <x:c r="H17" s="67" t="s">
        <x:v>156</x:v>
      </x:c>
      <x:c r="I17" s="72">
        <x:v>1</x:v>
      </x:c>
      <x:c r="J17" s="75"/>
      <x:c r="K17" s="75"/>
      <x:c r="L17" s="75"/>
      <x:c r="M17" s="283"/>
      <x:c r="N17" s="283"/>
      <x:c r="O17" s="281"/>
      <x:c r="P17" s="77" t="s">
        <x:v>157</x:v>
      </x:c>
      <x:c r="Q17" s="79" t="s">
        <x:v>168</x:v>
      </x:c>
      <x:c r="R17" s="79"/>
      <x:c r="S17" s="79"/>
    </x:row>
    <x:row r="18" spans="1:25" ht="15.75" customHeight="1" x14ac:dyDescent="0.25">
      <x:c r="A18" s="19"/>
      <x:c r="B18" s="73" t="s">
        <x:v>169</x:v>
      </x:c>
      <x:c r="C18" s="75"/>
      <x:c r="D18" s="75"/>
      <x:c r="E18" s="75"/>
      <x:c r="F18" s="75"/>
      <x:c r="G18" s="61" t="s">
        <x:v>124</x:v>
      </x:c>
      <x:c r="H18" s="67" t="s">
        <x:v>124</x:v>
      </x:c>
      <x:c r="I18" s="72">
        <x:v>0</x:v>
      </x:c>
      <x:c r="J18" s="75"/>
      <x:c r="K18" s="75"/>
      <x:c r="L18" s="75"/>
      <x:c r="M18" s="283"/>
      <x:c r="N18" s="283"/>
      <x:c r="O18" s="281"/>
      <x:c r="P18" s="77" t="s">
        <x:v>157</x:v>
      </x:c>
      <x:c r="Q18" s="79" t="s">
        <x:v>170</x:v>
      </x:c>
      <x:c r="R18" s="79"/>
      <x:c r="S18" s="79"/>
    </x:row>
    <x:row r="19" spans="1:25" ht="31.5" customHeight="1" x14ac:dyDescent="0.25">
      <x:c r="A19" s="20" t="s">
        <x:v>171</x:v>
      </x:c>
      <x:c r="B19" s="73" t="s">
        <x:v>172</x:v>
      </x:c>
      <x:c r="C19" s="75"/>
      <x:c r="D19" s="75"/>
      <x:c r="E19" s="75"/>
      <x:c r="F19" s="75"/>
      <x:c r="G19" s="61" t="s">
        <x:v>161</x:v>
      </x:c>
      <x:c r="H19" s="67" t="s">
        <x:v>161</x:v>
      </x:c>
      <x:c r="I19" s="72">
        <x:v>0</x:v>
      </x:c>
      <x:c r="J19" s="75"/>
      <x:c r="K19" s="75"/>
      <x:c r="L19" s="75"/>
      <x:c r="M19" s="283"/>
      <x:c r="N19" s="283"/>
      <x:c r="O19" s="281"/>
      <x:c r="P19" s="77" t="s">
        <x:v>173</x:v>
      </x:c>
      <x:c r="Q19" s="79" t="s">
        <x:v>174</x:v>
      </x:c>
      <x:c r="R19" s="79"/>
      <x:c r="S19" s="79"/>
    </x:row>
    <x:row r="20" spans="1:25" ht="15.75" customHeight="1" x14ac:dyDescent="0.25">
      <x:c r="A20" s="19"/>
      <x:c r="B20" s="73" t="s">
        <x:v>175</x:v>
      </x:c>
      <x:c r="C20" s="75"/>
      <x:c r="D20" s="75"/>
      <x:c r="E20" s="75"/>
      <x:c r="F20" s="75"/>
      <x:c r="G20" s="61" t="s">
        <x:v>124</x:v>
      </x:c>
      <x:c r="H20" s="67" t="s">
        <x:v>124</x:v>
      </x:c>
      <x:c r="I20" s="72">
        <x:v>0</x:v>
      </x:c>
      <x:c r="J20" s="75"/>
      <x:c r="K20" s="75"/>
      <x:c r="L20" s="75"/>
      <x:c r="M20" s="283"/>
      <x:c r="N20" s="283"/>
      <x:c r="O20" s="281"/>
      <x:c r="P20" s="77" t="s">
        <x:v>173</x:v>
      </x:c>
      <x:c r="Q20" s="79" t="s">
        <x:v>176</x:v>
      </x:c>
      <x:c r="R20" s="79"/>
      <x:c r="S20" s="79"/>
    </x:row>
    <x:row r="21" spans="1:25" ht="15.75" customHeight="1" x14ac:dyDescent="0.25">
      <x:c r="A21" s="19"/>
      <x:c r="B21" s="73" t="s">
        <x:v>177</x:v>
      </x:c>
      <x:c r="C21" s="75"/>
      <x:c r="D21" s="75"/>
      <x:c r="E21" s="75"/>
      <x:c r="F21" s="75"/>
      <x:c r="G21" s="61" t="s">
        <x:v>124</x:v>
      </x:c>
      <x:c r="H21" s="67" t="s">
        <x:v>124</x:v>
      </x:c>
      <x:c r="I21" s="72">
        <x:v>0</x:v>
      </x:c>
      <x:c r="J21" s="75"/>
      <x:c r="K21" s="75"/>
      <x:c r="L21" s="75"/>
      <x:c r="M21" s="283"/>
      <x:c r="N21" s="283"/>
      <x:c r="O21" s="281"/>
      <x:c r="P21" s="77" t="s">
        <x:v>173</x:v>
      </x:c>
      <x:c r="Q21" s="79" t="s">
        <x:v>178</x:v>
      </x:c>
      <x:c r="R21" s="79"/>
      <x:c r="S21" s="79"/>
    </x:row>
    <x:row r="22" spans="1:25" ht="24" customHeight="1" x14ac:dyDescent="0.25">
      <x:c r="A22" s="19"/>
      <x:c r="B22" s="73" t="s">
        <x:v>179</x:v>
      </x:c>
      <x:c r="C22" s="75"/>
      <x:c r="D22" s="75"/>
      <x:c r="E22" s="75"/>
      <x:c r="F22" s="75"/>
      <x:c r="G22" s="61" t="s">
        <x:v>161</x:v>
      </x:c>
      <x:c r="H22" s="67" t="s">
        <x:v>161</x:v>
      </x:c>
      <x:c r="I22" s="72">
        <x:v>0</x:v>
      </x:c>
      <x:c r="J22" s="75"/>
      <x:c r="K22" s="75"/>
      <x:c r="L22" s="75"/>
      <x:c r="M22" s="283"/>
      <x:c r="N22" s="283"/>
      <x:c r="O22" s="281"/>
      <x:c r="P22" s="77" t="s">
        <x:v>173</x:v>
      </x:c>
      <x:c r="Q22" s="79" t="s">
        <x:v>180</x:v>
      </x:c>
      <x:c r="R22" s="79"/>
      <x:c r="S22" s="79"/>
    </x:row>
    <x:row r="23" spans="1:25" ht="15.75" customHeight="1" x14ac:dyDescent="0.25">
      <x:c r="A23" s="19"/>
      <x:c r="B23" s="73" t="s">
        <x:v>175</x:v>
      </x:c>
      <x:c r="C23" s="75"/>
      <x:c r="D23" s="75"/>
      <x:c r="E23" s="75"/>
      <x:c r="F23" s="75"/>
      <x:c r="G23" s="61"/>
      <x:c r="H23" s="67"/>
      <x:c r="I23" s="72"/>
      <x:c r="J23" s="75"/>
      <x:c r="K23" s="75"/>
      <x:c r="L23" s="75"/>
      <x:c r="M23" s="283"/>
      <x:c r="N23" s="283"/>
      <x:c r="O23" s="281"/>
      <x:c r="P23" s="77" t="s">
        <x:v>173</x:v>
      </x:c>
      <x:c r="Q23" s="79" t="s">
        <x:v>176</x:v>
      </x:c>
      <x:c r="R23" s="79"/>
      <x:c r="S23" s="79"/>
    </x:row>
    <x:row r="24" spans="1:25" ht="15.75" customHeight="1" x14ac:dyDescent="0.25">
      <x:c r="A24" s="19"/>
      <x:c r="B24" s="73" t="s">
        <x:v>177</x:v>
      </x:c>
      <x:c r="C24" s="75"/>
      <x:c r="D24" s="75"/>
      <x:c r="E24" s="75"/>
      <x:c r="F24" s="75"/>
      <x:c r="G24" s="61"/>
      <x:c r="H24" s="67"/>
      <x:c r="I24" s="72"/>
      <x:c r="J24" s="75"/>
      <x:c r="K24" s="75"/>
      <x:c r="L24" s="75"/>
      <x:c r="M24" s="283"/>
      <x:c r="N24" s="283"/>
      <x:c r="O24" s="281"/>
      <x:c r="P24" s="77" t="s">
        <x:v>173</x:v>
      </x:c>
      <x:c r="Q24" s="79" t="s">
        <x:v>178</x:v>
      </x:c>
      <x:c r="R24" s="79"/>
      <x:c r="S24" s="79"/>
    </x:row>
    <x:row r="25" spans="1:25" ht="23.25" customHeight="1" x14ac:dyDescent="0.25">
      <x:c r="A25" s="21" t="s">
        <x:v>181</x:v>
      </x:c>
      <x:c r="B25" s="78" t="s">
        <x:v>182</x:v>
      </x:c>
      <x:c r="C25" s="21" t="s">
        <x:v>183</x:v>
      </x:c>
      <x:c r="D25" s="21"/>
      <x:c r="E25" s="21"/>
      <x:c r="F25" s="21"/>
      <x:c r="G25" s="60"/>
      <x:c r="H25" s="60"/>
      <x:c r="I25" s="72"/>
      <x:c r="J25" s="60"/>
      <x:c r="K25" s="60"/>
      <x:c r="L25" s="72"/>
      <x:c r="M25" s="280"/>
      <x:c r="N25" s="280"/>
      <x:c r="O25" s="281"/>
      <x:c r="P25" s="77" t="s">
        <x:v>137</x:v>
      </x:c>
      <x:c r="Q25" s="79" t="s">
        <x:v>184</x:v>
      </x:c>
      <x:c r="R25" s="79"/>
      <x:c r="S25" s="79"/>
    </x:row>
    <x:row r="26" spans="1:25" ht="15.75" customHeight="1" x14ac:dyDescent="0.25">
      <x:c r="O26" s="276"/>
      <x:c r="R26" s="79"/>
    </x:row>
    <x:row r="27" spans="1:25" ht="15.75" customHeight="1" x14ac:dyDescent="0.25">
      <x:c r="O27" s="276"/>
      <x:c r="R27" s="79"/>
    </x:row>
    <x:row r="28" spans="1:25" x14ac:dyDescent="0.25">
      <x:c r="O28" s="276"/>
    </x:row>
    <x:row r="29" spans="1:25" x14ac:dyDescent="0.25">
      <x:c r="O29" s="276"/>
    </x:row>
    <x:row r="30" spans="1:25" x14ac:dyDescent="0.25">
      <x:c r="O30" s="276"/>
    </x:row>
  </x:sheetData>
  <x:mergeCells count="9">
    <x:mergeCell ref="A1:B2"/>
    <x:mergeCell ref="C1:C2"/>
    <x:mergeCell ref="G1:I1"/>
    <x:mergeCell ref="J1:L1"/>
    <x:mergeCell ref="M1:O1"/>
    <x:mergeCell ref="A4:A7"/>
    <x:mergeCell ref="A9:A12"/>
    <x:mergeCell ref="A13:A18"/>
    <x:mergeCell ref="A19:A24"/>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8C7C0C3-4108-43D3-AB64-2E3B30271578}" mc:Ignorable="x14ac xr xr2 xr3">
  <x:sheetPr>
    <x:outlinePr summaryBelow="1" summaryRight="1"/>
  </x:sheetPr>
  <x:dimension ref="A1:H25"/>
  <x:sheetViews>
    <x:sheetView workbookViewId="0">
      <x:selection activeCell="A3" sqref="A3 A3:B25"/>
    </x:sheetView>
  </x:sheetViews>
  <x:sheetFormatPr defaultRowHeight="15" x14ac:dyDescent="0.25"/>
  <x:cols>
    <x:col min="1" max="1" width="9.140625" style="0" customWidth="1"/>
    <x:col min="2" max="2" width="21.285156" style="0" customWidth="1"/>
  </x:cols>
  <x:sheetData>
    <x:row r="1" spans="1:8" x14ac:dyDescent="0.25">
      <x:c r="A1" s="18" t="s">
        <x:v>107</x:v>
      </x:c>
      <x:c r="B1" s="18" t="s">
        <x:v>185</x:v>
      </x:c>
      <x:c r="C1" s="16" t="s">
        <x:v>186</x:v>
      </x:c>
      <x:c r="D1" s="16"/>
      <x:c r="E1" s="16" t="s">
        <x:v>187</x:v>
      </x:c>
      <x:c r="F1" s="16"/>
      <x:c r="G1" s="16" t="s">
        <x:v>188</x:v>
      </x:c>
      <x:c r="H1" s="16"/>
    </x:row>
    <x:row r="2" spans="1:8" x14ac:dyDescent="0.25">
      <x:c r="A2" s="17"/>
      <x:c r="B2" s="17"/>
      <x:c r="C2" s="203" t="s">
        <x:v>84</x:v>
      </x:c>
      <x:c r="D2" s="203" t="s">
        <x:v>189</x:v>
      </x:c>
      <x:c r="E2" s="203" t="s">
        <x:v>84</x:v>
      </x:c>
      <x:c r="F2" s="203" t="s">
        <x:v>189</x:v>
      </x:c>
      <x:c r="G2" s="203" t="s">
        <x:v>84</x:v>
      </x:c>
      <x:c r="H2" s="203" t="s">
        <x:v>189</x:v>
      </x:c>
    </x:row>
    <x:row r="3" spans="1:8" x14ac:dyDescent="0.25">
      <x:c r="A3" s="0">
        <x:v>1</x:v>
      </x:c>
      <x:c r="B3" s="0" t="s">
        <x:v>120</x:v>
      </x:c>
      <x:c r="C3" s="0">
        <x:v>18</x:v>
      </x:c>
      <x:c r="D3" s="0">
        <x:v>19</x:v>
      </x:c>
    </x:row>
    <x:row r="4" spans="1:8" x14ac:dyDescent="0.25">
      <x:c r="A4" s="0">
        <x:v>2</x:v>
      </x:c>
      <x:c r="B4" s="0" t="s">
        <x:v>125</x:v>
      </x:c>
    </x:row>
    <x:row r="5" spans="1:8" x14ac:dyDescent="0.25">
      <x:c r="A5" s="0">
        <x:v>3</x:v>
      </x:c>
      <x:c r="B5" s="0" t="s">
        <x:v>128</x:v>
      </x:c>
    </x:row>
    <x:row r="6" spans="1:8" x14ac:dyDescent="0.25">
      <x:c r="A6" s="0">
        <x:v>4</x:v>
      </x:c>
      <x:c r="B6" s="0" t="s">
        <x:v>131</x:v>
      </x:c>
    </x:row>
    <x:row r="7" spans="1:8" x14ac:dyDescent="0.25">
      <x:c r="A7" s="0">
        <x:v>5</x:v>
      </x:c>
      <x:c r="B7" s="0" t="s">
        <x:v>133</x:v>
      </x:c>
    </x:row>
    <x:row r="8" spans="1:8" x14ac:dyDescent="0.25">
      <x:c r="A8" s="0">
        <x:v>6</x:v>
      </x:c>
      <x:c r="B8" s="0" t="s">
        <x:v>138</x:v>
      </x:c>
    </x:row>
    <x:row r="9" spans="1:8" x14ac:dyDescent="0.25">
      <x:c r="A9" s="0">
        <x:v>7</x:v>
      </x:c>
      <x:c r="B9" s="0" t="s">
        <x:v>143</x:v>
      </x:c>
    </x:row>
    <x:row r="10" spans="1:8" x14ac:dyDescent="0.25">
      <x:c r="A10" s="0">
        <x:v>8</x:v>
      </x:c>
      <x:c r="B10" s="0" t="s">
        <x:v>146</x:v>
      </x:c>
    </x:row>
    <x:row r="11" spans="1:8" x14ac:dyDescent="0.25">
      <x:c r="A11" s="0">
        <x:v>9</x:v>
      </x:c>
      <x:c r="B11" s="0" t="s">
        <x:v>149</x:v>
      </x:c>
    </x:row>
    <x:row r="12" spans="1:8" x14ac:dyDescent="0.25">
      <x:c r="A12" s="0">
        <x:v>10</x:v>
      </x:c>
      <x:c r="B12" s="0" t="s">
        <x:v>152</x:v>
      </x:c>
      <x:c r="C12" s="0">
        <x:v>20</x:v>
      </x:c>
      <x:c r="D12" s="0">
        <x:v>18</x:v>
      </x:c>
    </x:row>
    <x:row r="13" spans="1:8" x14ac:dyDescent="0.25">
      <x:c r="A13" s="0">
        <x:v>11</x:v>
      </x:c>
      <x:c r="B13" s="0" t="s">
        <x:v>158</x:v>
      </x:c>
      <x:c r="C13" s="0">
        <x:v>121</x:v>
      </x:c>
      <x:c r="D13" s="0">
        <x:v>15</x:v>
      </x:c>
    </x:row>
    <x:row r="14" spans="1:8" x14ac:dyDescent="0.25">
      <x:c r="A14" s="0">
        <x:v>12</x:v>
      </x:c>
      <x:c r="B14" s="0" t="s">
        <x:v>162</x:v>
      </x:c>
      <x:c r="C14" s="0">
        <x:v>59</x:v>
      </x:c>
      <x:c r="D14" s="0">
        <x:v>0</x:v>
      </x:c>
    </x:row>
    <x:row r="15" spans="1:8" x14ac:dyDescent="0.25">
      <x:c r="A15" s="0">
        <x:v>13</x:v>
      </x:c>
      <x:c r="B15" s="0" t="s">
        <x:v>164</x:v>
      </x:c>
      <x:c r="C15" s="0">
        <x:v>0</x:v>
      </x:c>
      <x:c r="D15" s="0">
        <x:v>0</x:v>
      </x:c>
    </x:row>
    <x:row r="16" spans="1:8" x14ac:dyDescent="0.25">
      <x:c r="A16" s="0">
        <x:v>14</x:v>
      </x:c>
      <x:c r="B16" s="0" t="s">
        <x:v>166</x:v>
      </x:c>
      <x:c r="C16" s="0">
        <x:v>0</x:v>
      </x:c>
      <x:c r="D16" s="0">
        <x:v>0</x:v>
      </x:c>
    </x:row>
    <x:row r="17" spans="1:8" x14ac:dyDescent="0.25">
      <x:c r="A17" s="0">
        <x:v>15</x:v>
      </x:c>
      <x:c r="B17" s="0" t="s">
        <x:v>168</x:v>
      </x:c>
      <x:c r="C17" s="0">
        <x:v>15</x:v>
      </x:c>
      <x:c r="D17" s="0">
        <x:v>15</x:v>
      </x:c>
    </x:row>
    <x:row r="18" spans="1:8" x14ac:dyDescent="0.25">
      <x:c r="A18" s="0">
        <x:v>16</x:v>
      </x:c>
      <x:c r="B18" s="0" t="s">
        <x:v>170</x:v>
      </x:c>
    </x:row>
    <x:row r="19" spans="1:8" x14ac:dyDescent="0.25">
      <x:c r="A19" s="0">
        <x:v>17</x:v>
      </x:c>
      <x:c r="B19" s="0" t="s">
        <x:v>174</x:v>
      </x:c>
      <x:c r="C19" s="0">
        <x:v>0</x:v>
      </x:c>
      <x:c r="D19" s="0">
        <x:v>0</x:v>
      </x:c>
    </x:row>
    <x:row r="20" spans="1:8" x14ac:dyDescent="0.25">
      <x:c r="A20" s="0">
        <x:v>18</x:v>
      </x:c>
      <x:c r="B20" s="0" t="s">
        <x:v>176</x:v>
      </x:c>
      <x:c r="C20" s="0">
        <x:v>0</x:v>
      </x:c>
      <x:c r="D20" s="0">
        <x:v>0</x:v>
      </x:c>
    </x:row>
    <x:row r="21" spans="1:8" x14ac:dyDescent="0.25">
      <x:c r="A21" s="0">
        <x:v>19</x:v>
      </x:c>
      <x:c r="B21" s="0" t="s">
        <x:v>178</x:v>
      </x:c>
      <x:c r="C21" s="0">
        <x:v>1</x:v>
      </x:c>
      <x:c r="D21" s="0">
        <x:v>0</x:v>
      </x:c>
    </x:row>
    <x:row r="22" spans="1:8" x14ac:dyDescent="0.25">
      <x:c r="A22" s="0">
        <x:v>20</x:v>
      </x:c>
      <x:c r="B22" s="0" t="s">
        <x:v>180</x:v>
      </x:c>
      <x:c r="C22" s="0">
        <x:v>0</x:v>
      </x:c>
      <x:c r="D22" s="0">
        <x:v>0</x:v>
      </x:c>
    </x:row>
    <x:row r="23" spans="1:8" x14ac:dyDescent="0.25">
      <x:c r="A23" s="0">
        <x:v>21</x:v>
      </x:c>
      <x:c r="B23" s="0" t="s">
        <x:v>176</x:v>
      </x:c>
    </x:row>
    <x:row r="24" spans="1:8" x14ac:dyDescent="0.25">
      <x:c r="A24" s="0">
        <x:v>22</x:v>
      </x:c>
      <x:c r="B24" s="0" t="s">
        <x:v>178</x:v>
      </x:c>
    </x:row>
    <x:row r="25" spans="1:8" x14ac:dyDescent="0.25">
      <x:c r="A25" s="0">
        <x:v>23</x:v>
      </x:c>
      <x:c r="B25" s="0" t="s">
        <x:v>184</x:v>
      </x:c>
    </x:row>
  </x:sheetData>
  <x:mergeCells count="5">
    <x:mergeCell ref="A1:A2"/>
    <x:mergeCell ref="B1:B2"/>
    <x:mergeCell ref="C1:D1"/>
    <x:mergeCell ref="E1:F1"/>
    <x:mergeCell ref="G1:H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tabColor rgb="FFFFFF00"/>
    <x:outlinePr summaryBelow="1" summaryRight="1"/>
    <x:pageSetUpPr fitToPage="1"/>
  </x:sheetPr>
  <x:dimension ref="A1:XFC69"/>
  <x:sheetViews>
    <x:sheetView zoomScale="55" zoomScaleNormal="55" workbookViewId="0">
      <x:pane xSplit="2" ySplit="6" topLeftCell="C7" activePane="bottomRight" state="frozenSplit"/>
      <x:selection activeCell="C1" sqref="C1"/>
      <x:selection pane="bottomRight" activeCell="C1" sqref="C1"/>
    </x:sheetView>
  </x:sheetViews>
  <x:sheetFormatPr defaultColWidth="8.855469" defaultRowHeight="15.75" x14ac:dyDescent="0.25"/>
  <x:cols>
    <x:col min="1" max="1" width="5.710938" style="100" customWidth="1"/>
    <x:col min="2" max="2" width="49" style="100" customWidth="1"/>
    <x:col min="3" max="3" width="71.285156" style="100" customWidth="1"/>
    <x:col min="4" max="4" width="10.285156" style="100" customWidth="1"/>
    <x:col min="5" max="5" width="12" style="100" customWidth="1"/>
    <x:col min="6" max="6" width="10.285156" style="100" customWidth="1"/>
    <x:col min="7" max="7" width="12.285156" style="126" customWidth="1"/>
    <x:col min="8" max="8" width="10.285156" style="100" customWidth="1"/>
    <x:col min="9" max="9" width="12" style="100" customWidth="1"/>
    <x:col min="10" max="10" width="10.285156" style="100" customWidth="1"/>
    <x:col min="11" max="11" width="9.140625" style="126" bestFit="1" customWidth="1"/>
    <x:col min="12" max="12" width="13.285156" style="113" customWidth="1"/>
    <x:col min="13" max="13" width="14.570312" style="127" customWidth="1"/>
    <x:col min="14" max="14" width="12.285156" style="113" customWidth="1"/>
    <x:col min="15" max="15" width="12.710938" style="127" customWidth="1"/>
    <x:col min="16" max="16" width="10.855469" style="100" customWidth="1"/>
    <x:col min="17" max="17" width="13.285156" style="100" customWidth="1"/>
    <x:col min="18" max="18" width="13" style="100" customWidth="1"/>
    <x:col min="19" max="19" width="16.855469" style="116" customWidth="1"/>
    <x:col min="20" max="20" width="25.710938" style="128" customWidth="1"/>
    <x:col min="21" max="21" width="12.285156" style="99" hidden="1" customWidth="1"/>
    <x:col min="22" max="22" width="21.425781" style="100" customWidth="1"/>
    <x:col min="23" max="16384" width="8.855469" style="100" customWidth="1"/>
  </x:cols>
  <x:sheetData>
    <x:row r="1" spans="1:16383" ht="78" customHeight="1" s="98" customFormat="1" x14ac:dyDescent="0.25">
      <x:c r="A1" s="15" t="s">
        <x:v>190</x:v>
      </x:c>
      <x:c r="B1" s="14"/>
      <x:c r="C1" s="14"/>
      <x:c r="D1" s="14"/>
      <x:c r="E1" s="14"/>
      <x:c r="F1" s="14"/>
      <x:c r="G1" s="14"/>
      <x:c r="H1" s="14"/>
      <x:c r="I1" s="14"/>
      <x:c r="J1" s="14"/>
      <x:c r="K1" s="14"/>
      <x:c r="L1" s="13"/>
      <x:c r="M1" s="13"/>
      <x:c r="N1" s="13"/>
      <x:c r="O1" s="13"/>
      <x:c r="P1" s="14"/>
      <x:c r="Q1" s="14"/>
      <x:c r="R1" s="14"/>
      <x:c r="S1" s="14"/>
      <x:c r="T1" s="14"/>
      <x:c r="U1" s="14"/>
    </x:row>
    <x:row r="2" spans="1:16383" ht="31.5" customHeight="1" x14ac:dyDescent="0.25">
      <x:c r="A2" s="21" t="s">
        <x:v>191</x:v>
      </x:c>
      <x:c r="B2" s="12" t="s">
        <x:v>192</x:v>
      </x:c>
      <x:c r="C2" s="12"/>
      <x:c r="D2" s="12" t="s">
        <x:v>193</x:v>
      </x:c>
      <x:c r="E2" s="12"/>
      <x:c r="F2" s="12"/>
      <x:c r="G2" s="12"/>
      <x:c r="H2" s="12" t="s">
        <x:v>194</x:v>
      </x:c>
      <x:c r="I2" s="12"/>
      <x:c r="J2" s="12"/>
      <x:c r="K2" s="12"/>
      <x:c r="L2" s="12" t="s">
        <x:v>195</x:v>
      </x:c>
      <x:c r="M2" s="12"/>
      <x:c r="N2" s="12"/>
      <x:c r="O2" s="12"/>
      <x:c r="P2" s="11" t="s">
        <x:v>196</x:v>
      </x:c>
      <x:c r="Q2" s="10"/>
      <x:c r="R2" s="9"/>
      <x:c r="S2" s="5" t="s">
        <x:v>197</x:v>
      </x:c>
      <x:c r="T2" s="5" t="s">
        <x:v>198</x:v>
      </x:c>
    </x:row>
    <x:row r="3" spans="1:16383" ht="40.15" customHeight="1" x14ac:dyDescent="0.25">
      <x:c r="A3" s="21"/>
      <x:c r="B3" s="21" t="s">
        <x:v>199</x:v>
      </x:c>
      <x:c r="C3" s="21" t="s">
        <x:v>200</x:v>
      </x:c>
      <x:c r="D3" s="21" t="s">
        <x:v>201</x:v>
      </x:c>
      <x:c r="E3" s="21"/>
      <x:c r="F3" s="21" t="s">
        <x:v>202</x:v>
      </x:c>
      <x:c r="G3" s="21"/>
      <x:c r="H3" s="21" t="s">
        <x:v>201</x:v>
      </x:c>
      <x:c r="I3" s="21"/>
      <x:c r="J3" s="21" t="s">
        <x:v>202</x:v>
      </x:c>
      <x:c r="K3" s="21"/>
      <x:c r="L3" s="21" t="s">
        <x:v>201</x:v>
      </x:c>
      <x:c r="M3" s="21"/>
      <x:c r="N3" s="21" t="s">
        <x:v>202</x:v>
      </x:c>
      <x:c r="O3" s="21"/>
      <x:c r="P3" s="8"/>
      <x:c r="Q3" s="7"/>
      <x:c r="R3" s="6"/>
      <x:c r="S3" s="4"/>
      <x:c r="T3" s="4"/>
      <x:c r="U3" s="9" t="s">
        <x:v>203</x:v>
      </x:c>
      <x:c r="V3" s="101"/>
    </x:row>
    <x:row r="4" spans="1:16383" ht="40.15" customHeight="1" x14ac:dyDescent="0.25">
      <x:c r="A4" s="21"/>
      <x:c r="B4" s="21"/>
      <x:c r="C4" s="21"/>
      <x:c r="D4" s="21" t="s">
        <x:v>204</x:v>
      </x:c>
      <x:c r="E4" s="21" t="s">
        <x:v>205</x:v>
      </x:c>
      <x:c r="F4" s="21" t="s">
        <x:v>204</x:v>
      </x:c>
      <x:c r="G4" s="102" t="s">
        <x:v>205</x:v>
      </x:c>
      <x:c r="H4" s="21" t="s">
        <x:v>204</x:v>
      </x:c>
      <x:c r="I4" s="21" t="s">
        <x:v>205</x:v>
      </x:c>
      <x:c r="J4" s="21" t="s">
        <x:v>204</x:v>
      </x:c>
      <x:c r="K4" s="102" t="s">
        <x:v>205</x:v>
      </x:c>
      <x:c r="L4" s="21" t="s">
        <x:v>204</x:v>
      </x:c>
      <x:c r="M4" s="21" t="s">
        <x:v>205</x:v>
      </x:c>
      <x:c r="N4" s="21" t="s">
        <x:v>204</x:v>
      </x:c>
      <x:c r="O4" s="102" t="s">
        <x:v>205</x:v>
      </x:c>
      <x:c r="P4" s="21" t="s">
        <x:v>206</x:v>
      </x:c>
      <x:c r="Q4" s="21" t="s">
        <x:v>207</x:v>
      </x:c>
      <x:c r="R4" s="21" t="s">
        <x:v>208</x:v>
      </x:c>
      <x:c r="S4" s="3"/>
      <x:c r="T4" s="3"/>
      <x:c r="U4" s="6"/>
      <x:c r="V4" s="101"/>
    </x:row>
    <x:row r="5" spans="1:16383" ht="30.6" customHeight="1" x14ac:dyDescent="0.25">
      <x:c r="A5" s="21" t="s">
        <x:v>209</x:v>
      </x:c>
      <x:c r="B5" s="103" t="s">
        <x:v>210</x:v>
      </x:c>
      <x:c r="C5" s="21"/>
      <x:c r="D5" s="104">
        <x:f>SUM(D6:D17)</x:f>
      </x:c>
      <x:c r="E5" s="102">
        <x:f>SUM(E6:E17)</x:f>
      </x:c>
      <x:c r="F5" s="104">
        <x:f>SUM(F6:F17)</x:f>
      </x:c>
      <x:c r="G5" s="102">
        <x:f>SUM(G6:G17)</x:f>
      </x:c>
      <x:c r="H5" s="104">
        <x:f>SUM(H6:H16)</x:f>
      </x:c>
      <x:c r="I5" s="105">
        <x:f>SUM(I6:I16)</x:f>
      </x:c>
      <x:c r="J5" s="104">
        <x:f>SUM(J6:J16)</x:f>
      </x:c>
      <x:c r="K5" s="102">
        <x:f>SUM(K6:K16)</x:f>
      </x:c>
      <x:c r="L5" s="21">
        <x:f>D5-H5</x:f>
      </x:c>
      <x:c r="M5" s="104">
        <x:f>E5-I5</x:f>
      </x:c>
      <x:c r="N5" s="21">
        <x:f>F5-J5</x:f>
      </x:c>
      <x:c r="O5" s="104">
        <x:f>G5-K5</x:f>
      </x:c>
      <x:c r="P5" s="102"/>
      <x:c r="Q5" s="102"/>
      <x:c r="R5" s="102"/>
      <x:c r="S5" s="102"/>
      <x:c r="T5" s="1"/>
      <x:c r="U5" s="21"/>
      <x:c r="V5" s="101"/>
    </x:row>
    <x:row r="6" spans="1:16383" ht="99.75" customHeight="1" x14ac:dyDescent="0.25">
      <x:c r="A6" s="60">
        <x:v>1</x:v>
      </x:c>
      <x:c r="B6" s="1" t="s">
        <x:v>211</x:v>
      </x:c>
      <x:c r="C6" s="1">
        <x:f>+C20</x:f>
      </x:c>
      <x:c r="D6" s="106">
        <x:f>D19</x:f>
      </x:c>
      <x:c r="E6" s="107">
        <x:f>+D6/5</x:f>
      </x:c>
      <x:c r="F6" s="106">
        <x:v>1.3</x:v>
      </x:c>
      <x:c r="G6" s="108">
        <x:f>+F6/7.5</x:f>
      </x:c>
      <x:c r="H6" s="106">
        <x:f>H19</x:f>
      </x:c>
      <x:c r="I6" s="107">
        <x:v>0.16</x:v>
      </x:c>
      <x:c r="J6" s="106">
        <x:v>1.3</x:v>
      </x:c>
      <x:c r="K6" s="108">
        <x:v>0.173333333333333</x:v>
      </x:c>
      <x:c r="L6" s="60">
        <x:f>D6-H6</x:f>
      </x:c>
      <x:c r="M6" s="108">
        <x:f>E6-I6</x:f>
      </x:c>
      <x:c r="N6" s="60">
        <x:f>F6-J6</x:f>
      </x:c>
      <x:c r="O6" s="108">
        <x:f>G6-K6</x:f>
      </x:c>
      <x:c r="P6" s="108">
        <x:f>+P19</x:f>
      </x:c>
      <x:c r="Q6" s="108">
        <x:f>+Q19</x:f>
      </x:c>
      <x:c r="R6" s="108">
        <x:f>+R19</x:f>
      </x:c>
      <x:c r="S6" s="21">
        <x:f>+S19</x:f>
      </x:c>
      <x:c r="T6" s="1">
        <x:f>+T19</x:f>
      </x:c>
      <x:c r="U6" s="60">
        <x:f>+U19</x:f>
      </x:c>
      <x:c r="X6" s="101"/>
    </x:row>
    <x:row r="7" spans="1:16383" ht="90" customHeight="1" x14ac:dyDescent="0.25">
      <x:c r="A7" s="60">
        <x:f>+A6+1</x:f>
      </x:c>
      <x:c r="B7" s="1" t="s">
        <x:v>212</x:v>
      </x:c>
      <x:c r="C7" s="1">
        <x:f>+C26</x:f>
      </x:c>
      <x:c r="D7" s="106">
        <x:f>+D25</x:f>
      </x:c>
      <x:c r="E7" s="107">
        <x:f>+D7/5</x:f>
      </x:c>
      <x:c r="F7" s="106">
        <x:f>+F25</x:f>
      </x:c>
      <x:c r="G7" s="108">
        <x:f>+F7/7.5</x:f>
      </x:c>
      <x:c r="H7" s="106">
        <x:f>+H25</x:f>
      </x:c>
      <x:c r="I7" s="107">
        <x:f>+I25</x:f>
      </x:c>
      <x:c r="J7" s="106">
        <x:f>+J25</x:f>
      </x:c>
      <x:c r="K7" s="108">
        <x:f>+K25</x:f>
      </x:c>
      <x:c r="L7" s="60">
        <x:f>D7-H7</x:f>
      </x:c>
      <x:c r="M7" s="108">
        <x:f>E7-I7</x:f>
      </x:c>
      <x:c r="N7" s="60">
        <x:f>F7-J7</x:f>
      </x:c>
      <x:c r="O7" s="108">
        <x:f>G7-K7</x:f>
      </x:c>
      <x:c r="P7" s="108">
        <x:f>+P25</x:f>
      </x:c>
      <x:c r="Q7" s="108">
        <x:f>+Q25</x:f>
      </x:c>
      <x:c r="R7" s="108">
        <x:f>+R25</x:f>
      </x:c>
      <x:c r="S7" s="21">
        <x:f>+S25</x:f>
      </x:c>
      <x:c r="T7" s="1">
        <x:f>+T25</x:f>
      </x:c>
      <x:c r="U7" s="60">
        <x:f>+U25</x:f>
      </x:c>
      <x:c r="V7" s="109"/>
      <x:c r="X7" s="101"/>
    </x:row>
    <x:row r="8" spans="1:16383" ht="92.25" customHeight="1" s="284" customFormat="1" x14ac:dyDescent="0.25">
      <x:c r="A8" s="60">
        <x:f>+A7+1</x:f>
      </x:c>
      <x:c r="B8" s="1" t="s">
        <x:v>213</x:v>
      </x:c>
      <x:c r="C8" s="1">
        <x:f>+C29</x:f>
      </x:c>
      <x:c r="D8" s="106">
        <x:f>+D28</x:f>
      </x:c>
      <x:c r="E8" s="107">
        <x:f>+D8/5</x:f>
      </x:c>
      <x:c r="F8" s="106">
        <x:f>+F28</x:f>
      </x:c>
      <x:c r="G8" s="108">
        <x:f>+F8/7.5</x:f>
      </x:c>
      <x:c r="H8" s="106">
        <x:f>+H28</x:f>
      </x:c>
      <x:c r="I8" s="107">
        <x:f>+I28</x:f>
      </x:c>
      <x:c r="J8" s="106">
        <x:f>+J28</x:f>
      </x:c>
      <x:c r="K8" s="108">
        <x:f>+K28</x:f>
      </x:c>
      <x:c r="L8" s="60">
        <x:f>D8-H8</x:f>
      </x:c>
      <x:c r="M8" s="108">
        <x:f>E8-I8</x:f>
      </x:c>
      <x:c r="N8" s="60">
        <x:f>F8-J8</x:f>
      </x:c>
      <x:c r="O8" s="108">
        <x:f>G8-K8</x:f>
      </x:c>
      <x:c r="P8" s="108">
        <x:f>+P28</x:f>
      </x:c>
      <x:c r="Q8" s="108">
        <x:f>+Q28</x:f>
      </x:c>
      <x:c r="R8" s="108">
        <x:f>+R28</x:f>
      </x:c>
      <x:c r="S8" s="21">
        <x:f>+S28</x:f>
      </x:c>
      <x:c r="T8" s="1">
        <x:f>+T28</x:f>
      </x:c>
      <x:c r="U8" s="60">
        <x:f>+U28</x:f>
      </x:c>
      <x:c r="V8" s="100" t="s">
        <x:v>214</x:v>
      </x:c>
      <x:c r="X8" s="288"/>
    </x:row>
    <x:row r="9" spans="1:16383" ht="98.25" customHeight="1" x14ac:dyDescent="0.25">
      <x:c r="A9" s="60">
        <x:f>+A8+1</x:f>
      </x:c>
      <x:c r="B9" s="1" t="s">
        <x:v>215</x:v>
      </x:c>
      <x:c r="C9" s="1">
        <x:f>+C30</x:f>
      </x:c>
      <x:c r="D9" s="106">
        <x:f>+D30</x:f>
      </x:c>
      <x:c r="E9" s="107">
        <x:f>+D9/5</x:f>
      </x:c>
      <x:c r="F9" s="106">
        <x:f>+F30</x:f>
      </x:c>
      <x:c r="G9" s="108">
        <x:f>+F9/7.5</x:f>
      </x:c>
      <x:c r="H9" s="106">
        <x:f>+H30</x:f>
      </x:c>
      <x:c r="I9" s="107">
        <x:f>+I30</x:f>
      </x:c>
      <x:c r="J9" s="106">
        <x:f>+J30</x:f>
      </x:c>
      <x:c r="K9" s="108">
        <x:f>+K30</x:f>
      </x:c>
      <x:c r="L9" s="60">
        <x:f>D9-H9</x:f>
      </x:c>
      <x:c r="M9" s="108">
        <x:f>E9-I9</x:f>
      </x:c>
      <x:c r="N9" s="60">
        <x:f>F9-J9</x:f>
      </x:c>
      <x:c r="O9" s="108">
        <x:f>G9-K9</x:f>
      </x:c>
      <x:c r="P9" s="108">
        <x:f>+P30</x:f>
      </x:c>
      <x:c r="Q9" s="108">
        <x:f>+Q30</x:f>
      </x:c>
      <x:c r="R9" s="108">
        <x:f>+R30</x:f>
      </x:c>
      <x:c r="S9" s="21">
        <x:f>+S30</x:f>
      </x:c>
      <x:c r="T9" s="1">
        <x:f>+T30</x:f>
      </x:c>
      <x:c r="U9" s="60">
        <x:f>+U30</x:f>
      </x:c>
      <x:c r="X9" s="101"/>
    </x:row>
    <x:row r="10" spans="1:16383" ht="90.75" customHeight="1" x14ac:dyDescent="0.25">
      <x:c r="A10" s="60">
        <x:f>+A9+1</x:f>
      </x:c>
      <x:c r="B10" s="1" t="s">
        <x:v>216</x:v>
      </x:c>
      <x:c r="C10" s="1">
        <x:f>+C33</x:f>
      </x:c>
      <x:c r="D10" s="106">
        <x:f>+D33</x:f>
      </x:c>
      <x:c r="E10" s="107">
        <x:f>+D10/5</x:f>
      </x:c>
      <x:c r="F10" s="106">
        <x:f>+F33</x:f>
      </x:c>
      <x:c r="G10" s="108">
        <x:f>+F10/7.5</x:f>
      </x:c>
      <x:c r="H10" s="106">
        <x:f>+H33</x:f>
      </x:c>
      <x:c r="I10" s="107">
        <x:f>+I33</x:f>
      </x:c>
      <x:c r="J10" s="106">
        <x:f>+J33</x:f>
      </x:c>
      <x:c r="K10" s="108">
        <x:f>+K33</x:f>
      </x:c>
      <x:c r="L10" s="60">
        <x:f>D10-H10</x:f>
      </x:c>
      <x:c r="M10" s="108">
        <x:f>E10-I10</x:f>
      </x:c>
      <x:c r="N10" s="60">
        <x:f>F10-J10</x:f>
      </x:c>
      <x:c r="O10" s="108">
        <x:f>G10-K10</x:f>
      </x:c>
      <x:c r="P10" s="108">
        <x:f>+P33</x:f>
      </x:c>
      <x:c r="Q10" s="108">
        <x:f>+Q33</x:f>
      </x:c>
      <x:c r="R10" s="108">
        <x:f>+R33</x:f>
      </x:c>
      <x:c r="S10" s="21">
        <x:f>+S33</x:f>
      </x:c>
      <x:c r="T10" s="1">
        <x:f>+T33</x:f>
      </x:c>
      <x:c r="U10" s="60">
        <x:f>+U33</x:f>
      </x:c>
      <x:c r="X10" s="101"/>
    </x:row>
    <x:row r="11" spans="1:16383" ht="138.75" customHeight="1" s="284" customFormat="1" x14ac:dyDescent="0.25">
      <x:c r="A11" s="60">
        <x:f>+A10+1</x:f>
      </x:c>
      <x:c r="B11" s="1" t="s">
        <x:v>217</x:v>
      </x:c>
      <x:c r="C11" s="1">
        <x:f>+C34</x:f>
      </x:c>
      <x:c r="D11" s="106">
        <x:f>+D34</x:f>
      </x:c>
      <x:c r="E11" s="107">
        <x:f>+D11/5</x:f>
      </x:c>
      <x:c r="F11" s="106">
        <x:f>+F34</x:f>
      </x:c>
      <x:c r="G11" s="108">
        <x:f>+F11/7.5</x:f>
      </x:c>
      <x:c r="H11" s="106">
        <x:f>+H34</x:f>
      </x:c>
      <x:c r="I11" s="107">
        <x:f>+I34</x:f>
      </x:c>
      <x:c r="J11" s="106">
        <x:f>+J34</x:f>
      </x:c>
      <x:c r="K11" s="108">
        <x:f>+K34</x:f>
      </x:c>
      <x:c r="L11" s="60">
        <x:f>D11-H11</x:f>
      </x:c>
      <x:c r="M11" s="108">
        <x:f>E11-I11</x:f>
      </x:c>
      <x:c r="N11" s="60">
        <x:f>F11-J11</x:f>
      </x:c>
      <x:c r="O11" s="108">
        <x:f>G11-K11</x:f>
      </x:c>
      <x:c r="P11" s="108">
        <x:f>+P34</x:f>
      </x:c>
      <x:c r="Q11" s="108">
        <x:f>+Q34</x:f>
      </x:c>
      <x:c r="R11" s="108">
        <x:f>+R34</x:f>
      </x:c>
      <x:c r="S11" s="21">
        <x:f>+S34</x:f>
      </x:c>
      <x:c r="T11" s="1">
        <x:f>+T34</x:f>
      </x:c>
      <x:c r="U11" s="60">
        <x:f>+U34</x:f>
      </x:c>
      <x:c r="V11" s="100" t="s">
        <x:v>218</x:v>
      </x:c>
      <x:c r="X11" s="288"/>
    </x:row>
    <x:row r="12" spans="1:16383" ht="132.75" customHeight="1" x14ac:dyDescent="0.25">
      <x:c r="A12" s="60">
        <x:f>+A11+1</x:f>
      </x:c>
      <x:c r="B12" s="1" t="s">
        <x:v>219</x:v>
      </x:c>
      <x:c r="C12" s="1">
        <x:f>+C38</x:f>
      </x:c>
      <x:c r="D12" s="106">
        <x:f>+D38</x:f>
      </x:c>
      <x:c r="E12" s="107">
        <x:f>+D12/5</x:f>
      </x:c>
      <x:c r="F12" s="106">
        <x:f>+F38</x:f>
      </x:c>
      <x:c r="G12" s="108">
        <x:f>+F12/7.5</x:f>
      </x:c>
      <x:c r="H12" s="106">
        <x:f>+H38</x:f>
      </x:c>
      <x:c r="I12" s="107">
        <x:f>+I38</x:f>
      </x:c>
      <x:c r="J12" s="106">
        <x:f>+J38</x:f>
      </x:c>
      <x:c r="K12" s="108">
        <x:f>+K38</x:f>
      </x:c>
      <x:c r="L12" s="60">
        <x:f>D12-H12</x:f>
      </x:c>
      <x:c r="M12" s="108">
        <x:f>E12-I12</x:f>
      </x:c>
      <x:c r="N12" s="60">
        <x:f>F12-J12</x:f>
      </x:c>
      <x:c r="O12" s="108">
        <x:f>G12-K12</x:f>
      </x:c>
      <x:c r="P12" s="108">
        <x:f>+P38</x:f>
      </x:c>
      <x:c r="Q12" s="108">
        <x:f>+Q38</x:f>
      </x:c>
      <x:c r="R12" s="108">
        <x:f>+R38</x:f>
      </x:c>
      <x:c r="S12" s="21">
        <x:f>+S38</x:f>
      </x:c>
      <x:c r="T12" s="1">
        <x:f>+T38</x:f>
      </x:c>
      <x:c r="U12" s="60">
        <x:f>+U38</x:f>
      </x:c>
      <x:c r="X12" s="101"/>
    </x:row>
    <x:row r="13" spans="1:16383" ht="84.75" customHeight="1" x14ac:dyDescent="0.25">
      <x:c r="A13" s="60">
        <x:f>+A12+1</x:f>
      </x:c>
      <x:c r="B13" s="1" t="s">
        <x:v>28</x:v>
      </x:c>
      <x:c r="C13" s="1">
        <x:f>+C42</x:f>
      </x:c>
      <x:c r="D13" s="106">
        <x:f>+D42</x:f>
      </x:c>
      <x:c r="E13" s="107">
        <x:f>+D13/5</x:f>
      </x:c>
      <x:c r="F13" s="106">
        <x:f>+F42</x:f>
      </x:c>
      <x:c r="G13" s="108">
        <x:f>+F13/7.5</x:f>
      </x:c>
      <x:c r="H13" s="106">
        <x:f>+H42</x:f>
      </x:c>
      <x:c r="I13" s="107">
        <x:f>+I42</x:f>
      </x:c>
      <x:c r="J13" s="106">
        <x:f>+J42</x:f>
      </x:c>
      <x:c r="K13" s="108">
        <x:f>+K42</x:f>
      </x:c>
      <x:c r="L13" s="60">
        <x:f>D13-H13</x:f>
      </x:c>
      <x:c r="M13" s="108">
        <x:f>E13-I13</x:f>
      </x:c>
      <x:c r="N13" s="60">
        <x:f>F13-J13</x:f>
      </x:c>
      <x:c r="O13" s="108">
        <x:f>G13-K13</x:f>
      </x:c>
      <x:c r="P13" s="108">
        <x:f>+P42</x:f>
      </x:c>
      <x:c r="Q13" s="108">
        <x:f>+Q42</x:f>
      </x:c>
      <x:c r="R13" s="108">
        <x:f>+R42</x:f>
      </x:c>
      <x:c r="S13" s="21">
        <x:f>+S42</x:f>
      </x:c>
      <x:c r="T13" s="1">
        <x:f>+T42</x:f>
      </x:c>
      <x:c r="U13" s="60">
        <x:f>+U42</x:f>
      </x:c>
      <x:c r="X13" s="101"/>
    </x:row>
    <x:row r="14" spans="1:16383" ht="150.75" customHeight="1" x14ac:dyDescent="0.25">
      <x:c r="A14" s="60">
        <x:f>+A13+1</x:f>
      </x:c>
      <x:c r="B14" s="1" t="s">
        <x:v>220</x:v>
      </x:c>
      <x:c r="C14" s="1">
        <x:f>+C47</x:f>
      </x:c>
      <x:c r="D14" s="106">
        <x:f>+D47</x:f>
      </x:c>
      <x:c r="E14" s="107">
        <x:f>+D14/5</x:f>
      </x:c>
      <x:c r="F14" s="106">
        <x:f>+F47</x:f>
      </x:c>
      <x:c r="G14" s="108">
        <x:f>+F14/7.5</x:f>
      </x:c>
      <x:c r="H14" s="106">
        <x:f>+H47</x:f>
      </x:c>
      <x:c r="I14" s="107">
        <x:f>+I47</x:f>
      </x:c>
      <x:c r="J14" s="106">
        <x:f>+J47</x:f>
      </x:c>
      <x:c r="K14" s="108">
        <x:f>+K47</x:f>
      </x:c>
      <x:c r="L14" s="60">
        <x:f>D14-H14</x:f>
      </x:c>
      <x:c r="M14" s="108">
        <x:f>E14-I14</x:f>
      </x:c>
      <x:c r="N14" s="60">
        <x:f>F14-J14</x:f>
      </x:c>
      <x:c r="O14" s="108">
        <x:f>G14-K14</x:f>
      </x:c>
      <x:c r="P14" s="108">
        <x:f>+P47</x:f>
      </x:c>
      <x:c r="Q14" s="108">
        <x:f>+Q47</x:f>
      </x:c>
      <x:c r="R14" s="108">
        <x:f>+R47</x:f>
      </x:c>
      <x:c r="S14" s="21">
        <x:f>+S47</x:f>
      </x:c>
      <x:c r="T14" s="1">
        <x:f>+T47</x:f>
      </x:c>
      <x:c r="U14" s="60">
        <x:f>+U47</x:f>
      </x:c>
      <x:c r="X14" s="101"/>
    </x:row>
    <x:row r="15" spans="1:16383" ht="81.75" customHeight="1" x14ac:dyDescent="0.25">
      <x:c r="A15" s="60">
        <x:f>+A14+1</x:f>
      </x:c>
      <x:c r="B15" s="1" t="s">
        <x:v>221</x:v>
      </x:c>
      <x:c r="C15" s="1">
        <x:f>+C51</x:f>
      </x:c>
      <x:c r="D15" s="106">
        <x:f>+D51</x:f>
      </x:c>
      <x:c r="E15" s="107">
        <x:f>+D15/5</x:f>
      </x:c>
      <x:c r="F15" s="106">
        <x:f>+F51</x:f>
      </x:c>
      <x:c r="G15" s="108">
        <x:f>+F15/7.5</x:f>
      </x:c>
      <x:c r="H15" s="106">
        <x:f>+H51</x:f>
      </x:c>
      <x:c r="I15" s="107">
        <x:f>+I51</x:f>
      </x:c>
      <x:c r="J15" s="106">
        <x:f>+J51</x:f>
      </x:c>
      <x:c r="K15" s="108">
        <x:f>+K51</x:f>
      </x:c>
      <x:c r="L15" s="60">
        <x:f>D15-H15</x:f>
      </x:c>
      <x:c r="M15" s="108">
        <x:f>E15-I15</x:f>
      </x:c>
      <x:c r="N15" s="60">
        <x:f>F15-J15</x:f>
      </x:c>
      <x:c r="O15" s="108">
        <x:f>G15-K15</x:f>
      </x:c>
      <x:c r="P15" s="108">
        <x:f>+P51</x:f>
      </x:c>
      <x:c r="Q15" s="108">
        <x:f>+Q51</x:f>
      </x:c>
      <x:c r="R15" s="108">
        <x:f>+R51</x:f>
      </x:c>
      <x:c r="S15" s="21">
        <x:f>+S51</x:f>
      </x:c>
      <x:c r="T15" s="1">
        <x:f>+T51</x:f>
      </x:c>
      <x:c r="U15" s="60">
        <x:f>+U51</x:f>
      </x:c>
      <x:c r="X15" s="101"/>
    </x:row>
    <x:row r="16" spans="1:16383" ht="89.25" customHeight="1" x14ac:dyDescent="0.25">
      <x:c r="A16" s="110">
        <x:v>11</x:v>
      </x:c>
      <x:c r="B16" s="110" t="s">
        <x:v>29</x:v>
      </x:c>
      <x:c r="C16" s="1">
        <x:f>C55</x:f>
      </x:c>
      <x:c r="D16" s="104">
        <x:f>D55</x:f>
      </x:c>
      <x:c r="E16" s="107">
        <x:f>+D16/5</x:f>
      </x:c>
      <x:c r="F16" s="104">
        <x:f>F55</x:f>
      </x:c>
      <x:c r="G16" s="107">
        <x:f>+F16/7.5</x:f>
      </x:c>
      <x:c r="H16" s="104">
        <x:f>H55</x:f>
      </x:c>
      <x:c r="I16" s="107">
        <x:f>I55</x:f>
      </x:c>
      <x:c r="J16" s="104">
        <x:f>J55</x:f>
      </x:c>
      <x:c r="K16" s="107">
        <x:f>K55</x:f>
      </x:c>
      <x:c r="L16" s="60">
        <x:f>D16-H16</x:f>
      </x:c>
      <x:c r="M16" s="107">
        <x:f>E16-I16</x:f>
      </x:c>
      <x:c r="N16" s="60">
        <x:f>F16-J16</x:f>
      </x:c>
      <x:c r="O16" s="107">
        <x:f>G16-K16</x:f>
      </x:c>
      <x:c r="P16" s="107">
        <x:f>P55</x:f>
      </x:c>
      <x:c r="Q16" s="107">
        <x:f>Q55</x:f>
      </x:c>
      <x:c r="R16" s="107">
        <x:f>R55</x:f>
      </x:c>
      <x:c r="S16" s="110"/>
      <x:c r="T16" s="111"/>
    </x:row>
    <x:row r="17" spans="1:16383" ht="57.75" customHeight="1" s="285" customFormat="1" x14ac:dyDescent="0.25">
      <x:c r="A17" s="110">
        <x:v>12</x:v>
      </x:c>
      <x:c r="B17" s="110" t="s">
        <x:v>222</x:v>
      </x:c>
      <x:c r="C17" s="1" t="s">
        <x:v>223</x:v>
      </x:c>
      <x:c r="D17" s="104">
        <x:f>D59</x:f>
      </x:c>
      <x:c r="E17" s="107">
        <x:f>+D17/5</x:f>
      </x:c>
      <x:c r="F17" s="104">
        <x:f>F59</x:f>
      </x:c>
      <x:c r="G17" s="102">
        <x:f>+F17/7.5</x:f>
      </x:c>
      <x:c r="H17" s="104">
        <x:f>H59</x:f>
      </x:c>
      <x:c r="I17" s="104">
        <x:f>I59</x:f>
      </x:c>
      <x:c r="J17" s="104">
        <x:f>J59</x:f>
      </x:c>
      <x:c r="K17" s="104">
        <x:f>K59</x:f>
      </x:c>
      <x:c r="L17" s="104">
        <x:f>L59</x:f>
      </x:c>
      <x:c r="M17" s="104">
        <x:f>M59</x:f>
      </x:c>
      <x:c r="N17" s="104">
        <x:f>N59</x:f>
      </x:c>
      <x:c r="O17" s="104">
        <x:f>O59</x:f>
      </x:c>
      <x:c r="P17" s="107"/>
      <x:c r="Q17" s="107"/>
      <x:c r="R17" s="107"/>
      <x:c r="S17" s="110"/>
      <x:c r="T17" s="111" t="s">
        <x:v>224</x:v>
      </x:c>
      <x:c r="U17" s="112"/>
      <x:c r="V17" s="113"/>
    </x:row>
    <x:row r="18" spans="1:16383" ht="74.25" customHeight="1" x14ac:dyDescent="0.25">
      <x:c r="A18" s="21" t="s">
        <x:v>209</x:v>
      </x:c>
      <x:c r="B18" s="103" t="s">
        <x:v>225</x:v>
      </x:c>
      <x:c r="C18" s="21"/>
      <x:c r="D18" s="104">
        <x:f>+D19+D25+D28+D30+D33+D34+D38+D42+D47+D51+D55+D59</x:f>
      </x:c>
      <x:c r="E18" s="105">
        <x:f>+E19+E25+E28+E30+E33+E34+E38+E42+E47+E51+E55+E59</x:f>
      </x:c>
      <x:c r="F18" s="104">
        <x:f>+F19+F25+F28+F30+F33+F34+F38+F42+F47+F51+F55+F59</x:f>
      </x:c>
      <x:c r="G18" s="104">
        <x:f>+G19+G25+G28+G30+G33+G34+G38+G42+G47+G51+G55+G59</x:f>
      </x:c>
      <x:c r="H18" s="104">
        <x:f>+H19+H25+H28+H30+H33+H34+H38+H42+H47+H51+H55+F59</x:f>
      </x:c>
      <x:c r="I18" s="105">
        <x:f>+I19+I25+I28+I30+I33+I34+I38+I42+I47+I51+I55+G59</x:f>
      </x:c>
      <x:c r="J18" s="104">
        <x:f>+J19+J25+J28+J30+J33+J34+J38+J42+J47+J51+J55+J59</x:f>
      </x:c>
      <x:c r="K18" s="102">
        <x:f>+K19+K25+K28+K30+K33+K34+K38+K42+K47+K51+K55+K59</x:f>
      </x:c>
      <x:c r="L18" s="104">
        <x:f>+L19+L25+L28+L30+L33+L34+L38+L42+L47+L51+L55+L59</x:f>
      </x:c>
      <x:c r="M18" s="105">
        <x:f>+M19+M25+M28+M30+M33+M34+M38+M42+M47+M51+M55+M59</x:f>
      </x:c>
      <x:c r="N18" s="104">
        <x:f>+N19+N25+N28+N30+N33+N34+N38+N42+N47+N51+N55+N59</x:f>
      </x:c>
      <x:c r="O18" s="105">
        <x:f>+O19+O25+O28+O30+O33+O34+O38+O42+O47+O51+O55+O59</x:f>
      </x:c>
      <x:c r="P18" s="108"/>
      <x:c r="Q18" s="108"/>
      <x:c r="R18" s="108"/>
      <x:c r="S18" s="102"/>
      <x:c r="T18" s="1"/>
      <x:c r="U18" s="21"/>
      <x:c r="X18" s="101"/>
    </x:row>
    <x:row r="19" spans="1:16383" ht="54" customHeight="1" x14ac:dyDescent="0.25">
      <x:c r="A19" s="21">
        <x:v>1</x:v>
      </x:c>
      <x:c r="B19" s="103" t="s">
        <x:v>226</x:v>
      </x:c>
      <x:c r="C19" s="114"/>
      <x:c r="D19" s="104">
        <x:f>SUM(D20:D24)</x:f>
      </x:c>
      <x:c r="E19" s="105">
        <x:f>+D19/5</x:f>
      </x:c>
      <x:c r="F19" s="104">
        <x:f>SUM(F20:F24)</x:f>
      </x:c>
      <x:c r="G19" s="102">
        <x:f>+F19/7.5</x:f>
      </x:c>
      <x:c r="H19" s="104">
        <x:f>SUM(H20:H24)</x:f>
      </x:c>
      <x:c r="I19" s="105">
        <x:f>+H19/5</x:f>
      </x:c>
      <x:c r="J19" s="104">
        <x:f>SUM(J20:J24)</x:f>
      </x:c>
      <x:c r="K19" s="102">
        <x:f>+J19/7.5</x:f>
      </x:c>
      <x:c r="L19" s="21">
        <x:f>D19-H19</x:f>
      </x:c>
      <x:c r="M19" s="102">
        <x:f>E19-I19</x:f>
      </x:c>
      <x:c r="N19" s="21">
        <x:f>F19-J19</x:f>
      </x:c>
      <x:c r="O19" s="102">
        <x:f>G19-K19</x:f>
      </x:c>
      <x:c r="P19" s="102">
        <x:v>0.95</x:v>
      </x:c>
      <x:c r="Q19" s="102" t="s">
        <x:v>227</x:v>
      </x:c>
      <x:c r="R19" s="102">
        <x:v>1.1</x:v>
      </x:c>
      <x:c r="S19" s="21" t="s">
        <x:v>228</x:v>
      </x:c>
      <x:c r="T19" s="1" t="s">
        <x:v>229</x:v>
      </x:c>
      <x:c r="U19" s="21" t="s">
        <x:v>230</x:v>
      </x:c>
      <x:c r="X19" s="101"/>
    </x:row>
    <x:row r="20" spans="1:16383" ht="31.15" customHeight="1" x14ac:dyDescent="0.25">
      <x:c r="A20" s="60" t="s">
        <x:v>231</x:v>
      </x:c>
      <x:c r="B20" s="73" t="s">
        <x:v>232</x:v>
      </x:c>
      <x:c r="C20" s="2" t="s">
        <x:v>233</x:v>
      </x:c>
      <x:c r="D20" s="106">
        <x:v>0.3</x:v>
      </x:c>
      <x:c r="E20" s="107">
        <x:f>+D20/5</x:f>
      </x:c>
      <x:c r="F20" s="106">
        <x:v>0.5</x:v>
      </x:c>
      <x:c r="G20" s="108">
        <x:f>+F20/7.5</x:f>
      </x:c>
      <x:c r="H20" s="106">
        <x:v>0.3</x:v>
      </x:c>
      <x:c r="I20" s="107">
        <x:v>0.06</x:v>
      </x:c>
      <x:c r="J20" s="106">
        <x:v>0.5</x:v>
      </x:c>
      <x:c r="K20" s="108">
        <x:v>0.0666666666666667</x:v>
      </x:c>
      <x:c r="L20" s="60">
        <x:f>D20-H20</x:f>
      </x:c>
      <x:c r="M20" s="108">
        <x:f>E20-I20</x:f>
      </x:c>
      <x:c r="N20" s="60">
        <x:f>F20-J20</x:f>
      </x:c>
      <x:c r="O20" s="108">
        <x:f>G20-K20</x:f>
      </x:c>
      <x:c r="P20" s="108">
        <x:v>0.95</x:v>
      </x:c>
      <x:c r="Q20" s="108" t="s">
        <x:v>227</x:v>
      </x:c>
      <x:c r="R20" s="108">
        <x:v>1.1</x:v>
      </x:c>
      <x:c r="S20" s="21"/>
      <x:c r="T20" s="1"/>
      <x:c r="U20" s="60"/>
      <x:c r="X20" s="101"/>
    </x:row>
    <x:row r="21" spans="1:16383" ht="31.15" customHeight="1" x14ac:dyDescent="0.25">
      <x:c r="A21" s="60" t="s">
        <x:v>231</x:v>
      </x:c>
      <x:c r="B21" s="73" t="s">
        <x:v>234</x:v>
      </x:c>
      <x:c r="C21" s="2"/>
      <x:c r="D21" s="106">
        <x:v>0.1</x:v>
      </x:c>
      <x:c r="E21" s="107">
        <x:f>+D21/5</x:f>
      </x:c>
      <x:c r="F21" s="106">
        <x:v>0.1</x:v>
      </x:c>
      <x:c r="G21" s="108">
        <x:f>+F21/7.5</x:f>
      </x:c>
      <x:c r="H21" s="106">
        <x:v>0.1</x:v>
      </x:c>
      <x:c r="I21" s="107">
        <x:v>0.02</x:v>
      </x:c>
      <x:c r="J21" s="106">
        <x:v>0.1</x:v>
      </x:c>
      <x:c r="K21" s="108">
        <x:v>0.0133333333333333</x:v>
      </x:c>
      <x:c r="L21" s="60">
        <x:f>D21-H21</x:f>
      </x:c>
      <x:c r="M21" s="108">
        <x:f>E21-I21</x:f>
      </x:c>
      <x:c r="N21" s="60">
        <x:f>F21-J21</x:f>
      </x:c>
      <x:c r="O21" s="108">
        <x:f>G21-K21</x:f>
      </x:c>
      <x:c r="P21" s="108">
        <x:v>0.95</x:v>
      </x:c>
      <x:c r="Q21" s="108" t="s">
        <x:v>227</x:v>
      </x:c>
      <x:c r="R21" s="108">
        <x:v>1.1</x:v>
      </x:c>
      <x:c r="S21" s="21"/>
      <x:c r="T21" s="1"/>
      <x:c r="U21" s="60"/>
      <x:c r="X21" s="101"/>
    </x:row>
    <x:row r="22" spans="1:16383" ht="31.15" customHeight="1" x14ac:dyDescent="0.25">
      <x:c r="A22" s="60" t="s">
        <x:v>231</x:v>
      </x:c>
      <x:c r="B22" s="73" t="s">
        <x:v>235</x:v>
      </x:c>
      <x:c r="C22" s="2"/>
      <x:c r="D22" s="106">
        <x:v>0.1</x:v>
      </x:c>
      <x:c r="E22" s="107">
        <x:f>+D22/5</x:f>
      </x:c>
      <x:c r="F22" s="106">
        <x:v>0.2</x:v>
      </x:c>
      <x:c r="G22" s="108">
        <x:f>+F22/7.5</x:f>
      </x:c>
      <x:c r="H22" s="106">
        <x:v>0.1</x:v>
      </x:c>
      <x:c r="I22" s="107">
        <x:v>0.02</x:v>
      </x:c>
      <x:c r="J22" s="106">
        <x:v>0.2</x:v>
      </x:c>
      <x:c r="K22" s="108">
        <x:v>0.0266666666666667</x:v>
      </x:c>
      <x:c r="L22" s="60">
        <x:f>D22-H22</x:f>
      </x:c>
      <x:c r="M22" s="108">
        <x:f>E22-I22</x:f>
      </x:c>
      <x:c r="N22" s="60">
        <x:f>F22-J22</x:f>
      </x:c>
      <x:c r="O22" s="108">
        <x:f>G22-K22</x:f>
      </x:c>
      <x:c r="P22" s="108">
        <x:v>0.95</x:v>
      </x:c>
      <x:c r="Q22" s="108" t="s">
        <x:v>227</x:v>
      </x:c>
      <x:c r="R22" s="108">
        <x:v>1.1</x:v>
      </x:c>
      <x:c r="S22" s="21"/>
      <x:c r="T22" s="1"/>
      <x:c r="U22" s="60"/>
      <x:c r="X22" s="101"/>
    </x:row>
    <x:row r="23" spans="1:16383" ht="31.15" customHeight="1" s="284" customFormat="1" x14ac:dyDescent="0.25">
      <x:c r="A23" s="60" t="s">
        <x:v>231</x:v>
      </x:c>
      <x:c r="B23" s="73" t="s">
        <x:v>236</x:v>
      </x:c>
      <x:c r="C23" s="2"/>
      <x:c r="D23" s="106">
        <x:v>0.1</x:v>
      </x:c>
      <x:c r="E23" s="107">
        <x:v>0.04</x:v>
      </x:c>
      <x:c r="F23" s="106">
        <x:v>0.2</x:v>
      </x:c>
      <x:c r="G23" s="108">
        <x:v>0.04</x:v>
      </x:c>
      <x:c r="H23" s="106">
        <x:v>0.2</x:v>
      </x:c>
      <x:c r="I23" s="107">
        <x:v>0.04</x:v>
      </x:c>
      <x:c r="J23" s="106">
        <x:v>0.3</x:v>
      </x:c>
      <x:c r="K23" s="108">
        <x:v>0.04</x:v>
      </x:c>
      <x:c r="L23" s="60">
        <x:f>D23-H23</x:f>
      </x:c>
      <x:c r="M23" s="108">
        <x:f>E23-I23</x:f>
      </x:c>
      <x:c r="N23" s="60">
        <x:f>F23-J23</x:f>
      </x:c>
      <x:c r="O23" s="108">
        <x:f>G23-K23</x:f>
      </x:c>
      <x:c r="P23" s="108">
        <x:v>0.9</x:v>
      </x:c>
      <x:c r="Q23" s="108" t="s">
        <x:v>237</x:v>
      </x:c>
      <x:c r="R23" s="108">
        <x:v>1</x:v>
      </x:c>
      <x:c r="S23" s="21"/>
      <x:c r="T23" s="1"/>
      <x:c r="U23" s="60"/>
      <x:c r="V23" s="100"/>
      <x:c r="X23" s="288"/>
    </x:row>
    <x:row r="24" spans="1:16383" ht="31.15" customHeight="1" x14ac:dyDescent="0.25">
      <x:c r="A24" s="60" t="s">
        <x:v>231</x:v>
      </x:c>
      <x:c r="B24" s="73" t="s">
        <x:v>238</x:v>
      </x:c>
      <x:c r="C24" s="2"/>
      <x:c r="D24" s="106">
        <x:v>0.1</x:v>
      </x:c>
      <x:c r="E24" s="107">
        <x:f>+D24/5</x:f>
      </x:c>
      <x:c r="F24" s="106">
        <x:v>0.2</x:v>
      </x:c>
      <x:c r="G24" s="108">
        <x:f>+F24/7.5</x:f>
      </x:c>
      <x:c r="H24" s="106">
        <x:v>0.1</x:v>
      </x:c>
      <x:c r="I24" s="107">
        <x:v>0.02</x:v>
      </x:c>
      <x:c r="J24" s="106">
        <x:v>0.2</x:v>
      </x:c>
      <x:c r="K24" s="108">
        <x:v>0.0266666666666667</x:v>
      </x:c>
      <x:c r="L24" s="60">
        <x:f>D24-H24</x:f>
      </x:c>
      <x:c r="M24" s="108">
        <x:f>E24-I24</x:f>
      </x:c>
      <x:c r="N24" s="60">
        <x:f>F24-J24</x:f>
      </x:c>
      <x:c r="O24" s="108">
        <x:f>G24-K24</x:f>
      </x:c>
      <x:c r="P24" s="108">
        <x:v>0.9</x:v>
      </x:c>
      <x:c r="Q24" s="108" t="s">
        <x:v>237</x:v>
      </x:c>
      <x:c r="R24" s="108">
        <x:v>1</x:v>
      </x:c>
      <x:c r="S24" s="21"/>
      <x:c r="T24" s="1"/>
      <x:c r="U24" s="60"/>
      <x:c r="X24" s="101"/>
    </x:row>
    <x:row r="25" spans="1:16383" ht="60.75" customHeight="1" x14ac:dyDescent="0.25">
      <x:c r="A25" s="21">
        <x:v>2</x:v>
      </x:c>
      <x:c r="B25" s="103" t="s">
        <x:v>239</x:v>
      </x:c>
      <x:c r="C25" s="114"/>
      <x:c r="D25" s="104">
        <x:f>SUM(D26:D27)</x:f>
      </x:c>
      <x:c r="E25" s="105">
        <x:f>+D25/5</x:f>
      </x:c>
      <x:c r="F25" s="104">
        <x:f>SUM(F26:F27)</x:f>
      </x:c>
      <x:c r="G25" s="102">
        <x:f>+F25/7.5</x:f>
      </x:c>
      <x:c r="H25" s="104">
        <x:f>SUM(H26:H27)</x:f>
      </x:c>
      <x:c r="I25" s="105">
        <x:f>+H25/5</x:f>
      </x:c>
      <x:c r="J25" s="104">
        <x:f>SUM(J26:J27)</x:f>
      </x:c>
      <x:c r="K25" s="102">
        <x:f>+J25/7.5</x:f>
      </x:c>
      <x:c r="L25" s="21">
        <x:f>D25-H25</x:f>
      </x:c>
      <x:c r="M25" s="102">
        <x:f>E25-I25</x:f>
      </x:c>
      <x:c r="N25" s="21">
        <x:f>F25-J25</x:f>
      </x:c>
      <x:c r="O25" s="102">
        <x:f>G25-K25</x:f>
      </x:c>
      <x:c r="P25" s="102">
        <x:v>0.95</x:v>
      </x:c>
      <x:c r="Q25" s="102" t="s">
        <x:v>227</x:v>
      </x:c>
      <x:c r="R25" s="102">
        <x:v>1.1</x:v>
      </x:c>
      <x:c r="S25" s="21" t="s">
        <x:v>228</x:v>
      </x:c>
      <x:c r="T25" s="1" t="s">
        <x:v>229</x:v>
      </x:c>
      <x:c r="U25" s="21" t="s">
        <x:v>230</x:v>
      </x:c>
      <x:c r="X25" s="101"/>
    </x:row>
    <x:row r="26" spans="1:16383" ht="45.6" customHeight="1" s="284" customFormat="1" x14ac:dyDescent="0.25">
      <x:c r="A26" s="60" t="s">
        <x:v>231</x:v>
      </x:c>
      <x:c r="B26" s="73" t="s">
        <x:v>240</x:v>
      </x:c>
      <x:c r="C26" s="2" t="s">
        <x:v>233</x:v>
      </x:c>
      <x:c r="D26" s="106">
        <x:v>0.2</x:v>
      </x:c>
      <x:c r="E26" s="107">
        <x:f>+D26/5</x:f>
      </x:c>
      <x:c r="F26" s="106">
        <x:v>0.4</x:v>
      </x:c>
      <x:c r="G26" s="108">
        <x:f>+F26/7.5</x:f>
      </x:c>
      <x:c r="H26" s="106">
        <x:v>0.3</x:v>
      </x:c>
      <x:c r="I26" s="107">
        <x:v>0.06</x:v>
      </x:c>
      <x:c r="J26" s="106">
        <x:v>0.5</x:v>
      </x:c>
      <x:c r="K26" s="108">
        <x:v>0.0666666666666667</x:v>
      </x:c>
      <x:c r="L26" s="60">
        <x:f>D26-H26</x:f>
      </x:c>
      <x:c r="M26" s="108">
        <x:f>E26-I26</x:f>
      </x:c>
      <x:c r="N26" s="60">
        <x:f>F26-J26</x:f>
      </x:c>
      <x:c r="O26" s="108">
        <x:f>G26-K26</x:f>
      </x:c>
      <x:c r="P26" s="108">
        <x:v>0.95</x:v>
      </x:c>
      <x:c r="Q26" s="108" t="s">
        <x:v>227</x:v>
      </x:c>
      <x:c r="R26" s="108">
        <x:v>1.1</x:v>
      </x:c>
      <x:c r="S26" s="21"/>
      <x:c r="T26" s="1"/>
      <x:c r="U26" s="60"/>
      <x:c r="V26" s="100"/>
      <x:c r="X26" s="288"/>
    </x:row>
    <x:row r="27" spans="1:16383" ht="45.6" customHeight="1" x14ac:dyDescent="0.25">
      <x:c r="A27" s="60" t="s">
        <x:v>231</x:v>
      </x:c>
      <x:c r="B27" s="73" t="s">
        <x:v>242</x:v>
      </x:c>
      <x:c r="C27" s="2"/>
      <x:c r="D27" s="106">
        <x:v>0.2</x:v>
      </x:c>
      <x:c r="E27" s="107">
        <x:f>+D27/5</x:f>
      </x:c>
      <x:c r="F27" s="106">
        <x:v>0.3</x:v>
      </x:c>
      <x:c r="G27" s="108">
        <x:f>+F27/7.5</x:f>
      </x:c>
      <x:c r="H27" s="106">
        <x:v>0.2</x:v>
      </x:c>
      <x:c r="I27" s="107">
        <x:v>0.04</x:v>
      </x:c>
      <x:c r="J27" s="106">
        <x:v>0.3</x:v>
      </x:c>
      <x:c r="K27" s="108">
        <x:v>0.04</x:v>
      </x:c>
      <x:c r="L27" s="60">
        <x:f>D27-H27</x:f>
      </x:c>
      <x:c r="M27" s="108">
        <x:f>E27-I27</x:f>
      </x:c>
      <x:c r="N27" s="60">
        <x:f>F27-J27</x:f>
      </x:c>
      <x:c r="O27" s="108">
        <x:f>G27-K27</x:f>
      </x:c>
      <x:c r="P27" s="108">
        <x:v>0.95</x:v>
      </x:c>
      <x:c r="Q27" s="108" t="s">
        <x:v>227</x:v>
      </x:c>
      <x:c r="R27" s="108">
        <x:v>1.1</x:v>
      </x:c>
      <x:c r="S27" s="21"/>
      <x:c r="T27" s="1"/>
      <x:c r="U27" s="21" t="s">
        <x:v>241</x:v>
      </x:c>
      <x:c r="X27" s="101"/>
    </x:row>
    <x:row r="28" spans="1:16383" ht="51" customHeight="1" s="284" customFormat="1" x14ac:dyDescent="0.25">
      <x:c r="A28" s="21">
        <x:v>3</x:v>
      </x:c>
      <x:c r="B28" s="103" t="s">
        <x:v>243</x:v>
      </x:c>
      <x:c r="C28" s="115"/>
      <x:c r="D28" s="104">
        <x:f>SUM(D29:D29)</x:f>
      </x:c>
      <x:c r="E28" s="105">
        <x:f>+D28/5</x:f>
      </x:c>
      <x:c r="F28" s="104">
        <x:f>SUM(F29:F29)</x:f>
      </x:c>
      <x:c r="G28" s="102">
        <x:f>+F28/7.5</x:f>
      </x:c>
      <x:c r="H28" s="104">
        <x:f>SUM(H29:H29)</x:f>
      </x:c>
      <x:c r="I28" s="105">
        <x:f>+H28/5</x:f>
      </x:c>
      <x:c r="J28" s="104">
        <x:f>SUM(J29:J29)</x:f>
      </x:c>
      <x:c r="K28" s="102">
        <x:f>+J28/7.5</x:f>
      </x:c>
      <x:c r="L28" s="21">
        <x:f>D28-H28</x:f>
      </x:c>
      <x:c r="M28" s="102">
        <x:f>E28-I28</x:f>
      </x:c>
      <x:c r="N28" s="21">
        <x:f>F28-J28</x:f>
      </x:c>
      <x:c r="O28" s="102">
        <x:f>G28-K28</x:f>
      </x:c>
      <x:c r="P28" s="102">
        <x:v>0.95</x:v>
      </x:c>
      <x:c r="Q28" s="102" t="s">
        <x:v>227</x:v>
      </x:c>
      <x:c r="R28" s="102">
        <x:v>1.1</x:v>
      </x:c>
      <x:c r="S28" s="21" t="s">
        <x:v>228</x:v>
      </x:c>
      <x:c r="T28" s="1" t="s">
        <x:v>229</x:v>
      </x:c>
      <x:c r="U28" s="21" t="s">
        <x:v>241</x:v>
      </x:c>
      <x:c r="V28" s="100"/>
      <x:c r="X28" s="288"/>
    </x:row>
    <x:row r="29" spans="1:16383" ht="104.25" customHeight="1" s="286" customFormat="1" x14ac:dyDescent="0.25">
      <x:c r="A29" s="60" t="s">
        <x:v>231</x:v>
      </x:c>
      <x:c r="B29" s="73" t="s">
        <x:v>244</x:v>
      </x:c>
      <x:c r="C29" s="2" t="s">
        <x:v>233</x:v>
      </x:c>
      <x:c r="D29" s="106">
        <x:v>0.2</x:v>
      </x:c>
      <x:c r="E29" s="107">
        <x:f>+D29/5</x:f>
      </x:c>
      <x:c r="F29" s="106">
        <x:v>0.3</x:v>
      </x:c>
      <x:c r="G29" s="108">
        <x:f>+F29/7.5</x:f>
      </x:c>
      <x:c r="H29" s="106">
        <x:v>0.2</x:v>
      </x:c>
      <x:c r="I29" s="107">
        <x:v>0.04</x:v>
      </x:c>
      <x:c r="J29" s="106">
        <x:v>0.3</x:v>
      </x:c>
      <x:c r="K29" s="108">
        <x:v>0.04</x:v>
      </x:c>
      <x:c r="L29" s="60">
        <x:f>D29-H29</x:f>
      </x:c>
      <x:c r="M29" s="108">
        <x:f>E29-I29</x:f>
      </x:c>
      <x:c r="N29" s="60">
        <x:f>F29-J29</x:f>
      </x:c>
      <x:c r="O29" s="108">
        <x:f>G29-K29</x:f>
      </x:c>
      <x:c r="P29" s="108">
        <x:v>0.95</x:v>
      </x:c>
      <x:c r="Q29" s="108" t="s">
        <x:v>227</x:v>
      </x:c>
      <x:c r="R29" s="108">
        <x:v>1.1</x:v>
      </x:c>
      <x:c r="S29" s="21"/>
      <x:c r="T29" s="1"/>
      <x:c r="U29" s="60"/>
      <x:c r="V29" s="113" t="s">
        <x:v>214</x:v>
      </x:c>
      <x:c r="X29" s="289"/>
    </x:row>
    <x:row r="30" spans="1:16383" ht="58.5" customHeight="1" x14ac:dyDescent="0.25">
      <x:c r="A30" s="21">
        <x:v>4</x:v>
      </x:c>
      <x:c r="B30" s="103" t="s">
        <x:v>246</x:v>
      </x:c>
      <x:c r="C30" s="2" t="s">
        <x:v>233</x:v>
      </x:c>
      <x:c r="D30" s="104">
        <x:f>SUM(D31:D32)</x:f>
      </x:c>
      <x:c r="E30" s="105">
        <x:f>+D30/5</x:f>
      </x:c>
      <x:c r="F30" s="104">
        <x:f>SUM(F31:F32)</x:f>
      </x:c>
      <x:c r="G30" s="102">
        <x:f>+F30/7.5</x:f>
      </x:c>
      <x:c r="H30" s="104">
        <x:f>SUM(H31:H32)</x:f>
      </x:c>
      <x:c r="I30" s="105">
        <x:f>+H30/5</x:f>
      </x:c>
      <x:c r="J30" s="104">
        <x:f>SUM(J31:J32)</x:f>
      </x:c>
      <x:c r="K30" s="102">
        <x:f>+J30/7.5</x:f>
      </x:c>
      <x:c r="L30" s="21">
        <x:f>D30-H30</x:f>
      </x:c>
      <x:c r="M30" s="102">
        <x:f>E30-I30</x:f>
      </x:c>
      <x:c r="N30" s="21">
        <x:f>F30-J30</x:f>
      </x:c>
      <x:c r="O30" s="102">
        <x:f>G30-K30</x:f>
      </x:c>
      <x:c r="P30" s="102">
        <x:v>0.95</x:v>
      </x:c>
      <x:c r="Q30" s="102" t="s">
        <x:v>227</x:v>
      </x:c>
      <x:c r="R30" s="102">
        <x:v>1.1</x:v>
      </x:c>
      <x:c r="S30" s="21" t="s">
        <x:v>228</x:v>
      </x:c>
      <x:c r="T30" s="1" t="s">
        <x:v>229</x:v>
      </x:c>
      <x:c r="U30" s="21" t="s">
        <x:v>230</x:v>
      </x:c>
      <x:c r="X30" s="101"/>
    </x:row>
    <x:row r="31" spans="1:16383" ht="48" customHeight="1" x14ac:dyDescent="0.25">
      <x:c r="A31" s="60" t="s">
        <x:v>231</x:v>
      </x:c>
      <x:c r="B31" s="73" t="s">
        <x:v>247</x:v>
      </x:c>
      <x:c r="C31" s="2"/>
      <x:c r="D31" s="106">
        <x:v>0.1</x:v>
      </x:c>
      <x:c r="E31" s="107">
        <x:f>+D31/5</x:f>
      </x:c>
      <x:c r="F31" s="106">
        <x:v>0.2</x:v>
      </x:c>
      <x:c r="G31" s="108">
        <x:f>+F31/7.5</x:f>
      </x:c>
      <x:c r="H31" s="106">
        <x:v>0.1</x:v>
      </x:c>
      <x:c r="I31" s="107">
        <x:v>0.02</x:v>
      </x:c>
      <x:c r="J31" s="106">
        <x:v>0.2</x:v>
      </x:c>
      <x:c r="K31" s="108">
        <x:v>0.0266666666666667</x:v>
      </x:c>
      <x:c r="L31" s="60">
        <x:f>D31-H31</x:f>
      </x:c>
      <x:c r="M31" s="108">
        <x:f>E31-I31</x:f>
      </x:c>
      <x:c r="N31" s="60">
        <x:f>F31-J31</x:f>
      </x:c>
      <x:c r="O31" s="108">
        <x:f>G31-K31</x:f>
      </x:c>
      <x:c r="P31" s="108">
        <x:v>0.95</x:v>
      </x:c>
      <x:c r="Q31" s="108" t="s">
        <x:v>227</x:v>
      </x:c>
      <x:c r="R31" s="108">
        <x:v>1.1</x:v>
      </x:c>
      <x:c r="S31" s="21"/>
      <x:c r="T31" s="1"/>
      <x:c r="U31" s="60"/>
      <x:c r="X31" s="101"/>
    </x:row>
    <x:row r="32" spans="1:16383" ht="48" customHeight="1" s="284" customFormat="1" x14ac:dyDescent="0.25">
      <x:c r="A32" s="60" t="s">
        <x:v>231</x:v>
      </x:c>
      <x:c r="B32" s="73" t="s">
        <x:v>245</x:v>
      </x:c>
      <x:c r="C32" s="2"/>
      <x:c r="D32" s="106">
        <x:v>0.1</x:v>
      </x:c>
      <x:c r="E32" s="107">
        <x:f>+D32/5</x:f>
      </x:c>
      <x:c r="F32" s="106">
        <x:v>0.2</x:v>
      </x:c>
      <x:c r="G32" s="108">
        <x:f>+F32/7.5</x:f>
      </x:c>
      <x:c r="H32" s="106">
        <x:v>0.2</x:v>
      </x:c>
      <x:c r="I32" s="107">
        <x:v>0.04</x:v>
      </x:c>
      <x:c r="J32" s="106">
        <x:v>0.3</x:v>
      </x:c>
      <x:c r="K32" s="108">
        <x:v>0.04</x:v>
      </x:c>
      <x:c r="L32" s="60">
        <x:f>D32-H32</x:f>
      </x:c>
      <x:c r="M32" s="108">
        <x:f>E32-I32</x:f>
      </x:c>
      <x:c r="N32" s="60">
        <x:f>F32-J32</x:f>
      </x:c>
      <x:c r="O32" s="108">
        <x:f>G32-K32</x:f>
      </x:c>
      <x:c r="P32" s="108">
        <x:v>0.95</x:v>
      </x:c>
      <x:c r="Q32" s="108" t="s">
        <x:v>227</x:v>
      </x:c>
      <x:c r="R32" s="108">
        <x:v>1.1</x:v>
      </x:c>
      <x:c r="S32" s="78"/>
      <x:c r="T32" s="1"/>
      <x:c r="U32" s="60"/>
      <x:c r="V32" s="100"/>
      <x:c r="X32" s="288"/>
    </x:row>
    <x:row r="33" spans="1:16383" ht="118.5" customHeight="1" x14ac:dyDescent="0.25">
      <x:c r="A33" s="21">
        <x:v>5</x:v>
      </x:c>
      <x:c r="B33" s="103" t="s">
        <x:v>248</x:v>
      </x:c>
      <x:c r="C33" s="2" t="s">
        <x:v>249</x:v>
      </x:c>
      <x:c r="D33" s="104">
        <x:v>0.3</x:v>
      </x:c>
      <x:c r="E33" s="105">
        <x:f>+D33/5</x:f>
      </x:c>
      <x:c r="F33" s="104">
        <x:v>0.4</x:v>
      </x:c>
      <x:c r="G33" s="102">
        <x:f>+F33/7.5</x:f>
      </x:c>
      <x:c r="H33" s="104">
        <x:v>0.3</x:v>
      </x:c>
      <x:c r="I33" s="105">
        <x:f>+H33/5</x:f>
      </x:c>
      <x:c r="J33" s="104">
        <x:v>0.4</x:v>
      </x:c>
      <x:c r="K33" s="102">
        <x:f>+J33/7.5</x:f>
      </x:c>
      <x:c r="L33" s="21">
        <x:f>D33-H33</x:f>
      </x:c>
      <x:c r="M33" s="102">
        <x:f>E33-I33</x:f>
      </x:c>
      <x:c r="N33" s="21">
        <x:f>F33-J33</x:f>
      </x:c>
      <x:c r="O33" s="102">
        <x:f>G33-K33</x:f>
      </x:c>
      <x:c r="P33" s="102">
        <x:v>0.9</x:v>
      </x:c>
      <x:c r="Q33" s="102" t="s">
        <x:v>237</x:v>
      </x:c>
      <x:c r="R33" s="102">
        <x:v>1</x:v>
      </x:c>
      <x:c r="S33" s="21" t="s">
        <x:v>228</x:v>
      </x:c>
      <x:c r="T33" s="1" t="s">
        <x:v>229</x:v>
      </x:c>
      <x:c r="U33" s="21" t="s">
        <x:v>230</x:v>
      </x:c>
      <x:c r="X33" s="101"/>
    </x:row>
    <x:row r="34" spans="1:16383" ht="51" customHeight="1" s="287" customFormat="1" x14ac:dyDescent="0.25">
      <x:c r="A34" s="21">
        <x:v>6</x:v>
      </x:c>
      <x:c r="B34" s="103" t="s">
        <x:v>250</x:v>
      </x:c>
      <x:c r="C34" s="2" t="s">
        <x:v>251</x:v>
      </x:c>
      <x:c r="D34" s="104">
        <x:f>SUM(D35:D37)</x:f>
      </x:c>
      <x:c r="E34" s="105">
        <x:f>+D34/5</x:f>
      </x:c>
      <x:c r="F34" s="104">
        <x:f>SUM(F35:F37)</x:f>
      </x:c>
      <x:c r="G34" s="102">
        <x:f>+F34/7.5</x:f>
      </x:c>
      <x:c r="H34" s="104">
        <x:f>SUM(H35:H37)</x:f>
      </x:c>
      <x:c r="I34" s="105">
        <x:f>+H34/5</x:f>
      </x:c>
      <x:c r="J34" s="104">
        <x:f>SUM(J35:J37)</x:f>
      </x:c>
      <x:c r="K34" s="102">
        <x:f>+J34/7.5</x:f>
      </x:c>
      <x:c r="L34" s="21">
        <x:f>D34-H34</x:f>
      </x:c>
      <x:c r="M34" s="102">
        <x:f>E34-I34</x:f>
      </x:c>
      <x:c r="N34" s="21">
        <x:f>F34-J34</x:f>
      </x:c>
      <x:c r="O34" s="102">
        <x:f>G34-K34</x:f>
      </x:c>
      <x:c r="P34" s="102">
        <x:v>0.9</x:v>
      </x:c>
      <x:c r="Q34" s="102" t="s">
        <x:v>237</x:v>
      </x:c>
      <x:c r="R34" s="102">
        <x:v>1</x:v>
      </x:c>
      <x:c r="S34" s="21" t="s">
        <x:v>228</x:v>
      </x:c>
      <x:c r="T34" s="1" t="s">
        <x:v>229</x:v>
      </x:c>
      <x:c r="U34" s="21" t="s">
        <x:v>230</x:v>
      </x:c>
      <x:c r="V34" s="116"/>
      <x:c r="W34" s="284"/>
      <x:c r="X34" s="288"/>
    </x:row>
    <x:row r="35" spans="1:16383" ht="36.75" customHeight="1" s="286" customFormat="1" x14ac:dyDescent="0.25">
      <x:c r="A35" s="60" t="s">
        <x:v>231</x:v>
      </x:c>
      <x:c r="B35" s="1" t="s">
        <x:v>252</x:v>
      </x:c>
      <x:c r="C35" s="2"/>
      <x:c r="D35" s="106">
        <x:v>0.2</x:v>
      </x:c>
      <x:c r="E35" s="107">
        <x:f>+D35/5</x:f>
      </x:c>
      <x:c r="F35" s="106">
        <x:v>0.4</x:v>
      </x:c>
      <x:c r="G35" s="108">
        <x:f>+F35/7.5</x:f>
      </x:c>
      <x:c r="H35" s="106">
        <x:v>0.3</x:v>
      </x:c>
      <x:c r="I35" s="107">
        <x:v>0.06</x:v>
      </x:c>
      <x:c r="J35" s="106">
        <x:v>0.4</x:v>
      </x:c>
      <x:c r="K35" s="108">
        <x:v>0.0533333333333333</x:v>
      </x:c>
      <x:c r="L35" s="60">
        <x:f>D35-H35</x:f>
      </x:c>
      <x:c r="M35" s="108">
        <x:f>E35-I35</x:f>
      </x:c>
      <x:c r="N35" s="60">
        <x:f>F35-J35</x:f>
      </x:c>
      <x:c r="O35" s="108">
        <x:f>G35-K35</x:f>
      </x:c>
      <x:c r="P35" s="108">
        <x:v>0.95</x:v>
      </x:c>
      <x:c r="Q35" s="108" t="s">
        <x:v>227</x:v>
      </x:c>
      <x:c r="R35" s="108">
        <x:v>1.1</x:v>
      </x:c>
      <x:c r="S35" s="21" t="s">
        <x:v>228</x:v>
      </x:c>
      <x:c r="T35" s="1"/>
      <x:c r="U35" s="21" t="s">
        <x:v>230</x:v>
      </x:c>
      <x:c r="V35" s="113" t="s">
        <x:v>214</x:v>
      </x:c>
      <x:c r="X35" s="289"/>
    </x:row>
    <x:row r="36" spans="1:16383" ht="27.75" customHeight="1" s="284" customFormat="1" x14ac:dyDescent="0.25">
      <x:c r="A36" s="60" t="s">
        <x:v>231</x:v>
      </x:c>
      <x:c r="B36" s="1" t="s">
        <x:v>253</x:v>
      </x:c>
      <x:c r="C36" s="2"/>
      <x:c r="D36" s="106">
        <x:v>0.1</x:v>
      </x:c>
      <x:c r="E36" s="107">
        <x:f>+D36/5</x:f>
      </x:c>
      <x:c r="F36" s="106">
        <x:v>0.2</x:v>
      </x:c>
      <x:c r="G36" s="108">
        <x:f>+F36/7.5</x:f>
      </x:c>
      <x:c r="H36" s="106">
        <x:v>0.2</x:v>
      </x:c>
      <x:c r="I36" s="107">
        <x:v>0.04</x:v>
      </x:c>
      <x:c r="J36" s="106">
        <x:v>0.4</x:v>
      </x:c>
      <x:c r="K36" s="108">
        <x:v>0.0533333333333333</x:v>
      </x:c>
      <x:c r="L36" s="60">
        <x:f>D36-H36</x:f>
      </x:c>
      <x:c r="M36" s="108">
        <x:f>E36-I36</x:f>
      </x:c>
      <x:c r="N36" s="60">
        <x:f>F36-J36</x:f>
      </x:c>
      <x:c r="O36" s="108">
        <x:f>G36-K36</x:f>
      </x:c>
      <x:c r="P36" s="108">
        <x:v>0.95</x:v>
      </x:c>
      <x:c r="Q36" s="108" t="s">
        <x:v>227</x:v>
      </x:c>
      <x:c r="R36" s="108">
        <x:v>1.1</x:v>
      </x:c>
      <x:c r="S36" s="21" t="s">
        <x:v>228</x:v>
      </x:c>
      <x:c r="T36" s="1"/>
      <x:c r="U36" s="21" t="s">
        <x:v>230</x:v>
      </x:c>
      <x:c r="V36" s="113" t="s">
        <x:v>214</x:v>
      </x:c>
      <x:c r="X36" s="288"/>
    </x:row>
    <x:row r="37" spans="1:16383" ht="39" customHeight="1" s="286" customFormat="1" x14ac:dyDescent="0.25">
      <x:c r="A37" s="60" t="s">
        <x:v>231</x:v>
      </x:c>
      <x:c r="B37" s="1" t="s">
        <x:v>254</x:v>
      </x:c>
      <x:c r="C37" s="2"/>
      <x:c r="D37" s="106">
        <x:v>0.2</x:v>
      </x:c>
      <x:c r="E37" s="107">
        <x:f>+D37/5</x:f>
      </x:c>
      <x:c r="F37" s="106">
        <x:v>0.4</x:v>
      </x:c>
      <x:c r="G37" s="108">
        <x:f>+F37/7.5</x:f>
      </x:c>
      <x:c r="H37" s="106">
        <x:v>0.2</x:v>
      </x:c>
      <x:c r="I37" s="107">
        <x:v>0.04</x:v>
      </x:c>
      <x:c r="J37" s="106">
        <x:v>0.6</x:v>
      </x:c>
      <x:c r="K37" s="108">
        <x:v>0.08</x:v>
      </x:c>
      <x:c r="L37" s="60">
        <x:f>D37-H37</x:f>
      </x:c>
      <x:c r="M37" s="108">
        <x:f>E37-I37</x:f>
      </x:c>
      <x:c r="N37" s="60">
        <x:f>F37-J37</x:f>
      </x:c>
      <x:c r="O37" s="108">
        <x:f>G37-K37</x:f>
      </x:c>
      <x:c r="P37" s="108">
        <x:v>0.9</x:v>
      </x:c>
      <x:c r="Q37" s="108" t="s">
        <x:v>237</x:v>
      </x:c>
      <x:c r="R37" s="108">
        <x:v>1</x:v>
      </x:c>
      <x:c r="S37" s="21" t="s">
        <x:v>228</x:v>
      </x:c>
      <x:c r="T37" s="1"/>
      <x:c r="U37" s="21" t="s">
        <x:v>230</x:v>
      </x:c>
      <x:c r="V37" s="113" t="s">
        <x:v>214</x:v>
      </x:c>
      <x:c r="X37" s="289"/>
    </x:row>
    <x:row r="38" spans="1:16383" ht="54" customHeight="1" x14ac:dyDescent="0.25">
      <x:c r="A38" s="21">
        <x:v>7</x:v>
      </x:c>
      <x:c r="B38" s="103" t="s">
        <x:v>219</x:v>
      </x:c>
      <x:c r="C38" s="2" t="s">
        <x:v>255</x:v>
      </x:c>
      <x:c r="D38" s="104">
        <x:f>SUM(D39:D41)</x:f>
      </x:c>
      <x:c r="E38" s="105">
        <x:f>+D38/5</x:f>
      </x:c>
      <x:c r="F38" s="104">
        <x:f>SUM(F39:F41)</x:f>
      </x:c>
      <x:c r="G38" s="102">
        <x:f>+F38/7.5</x:f>
      </x:c>
      <x:c r="H38" s="104">
        <x:f>SUM(H39:H41)</x:f>
      </x:c>
      <x:c r="I38" s="105">
        <x:f>+H38/5</x:f>
      </x:c>
      <x:c r="J38" s="104">
        <x:f>SUM(J39:J41)</x:f>
      </x:c>
      <x:c r="K38" s="102">
        <x:f>+J38/7.5</x:f>
      </x:c>
      <x:c r="L38" s="21">
        <x:f>D38-H38</x:f>
      </x:c>
      <x:c r="M38" s="102">
        <x:f>E38-I38</x:f>
      </x:c>
      <x:c r="N38" s="21">
        <x:f>F38-J38</x:f>
      </x:c>
      <x:c r="O38" s="102">
        <x:f>G38-K38</x:f>
      </x:c>
      <x:c r="P38" s="102">
        <x:v>0.9</x:v>
      </x:c>
      <x:c r="Q38" s="102" t="s">
        <x:v>237</x:v>
      </x:c>
      <x:c r="R38" s="102">
        <x:v>1</x:v>
      </x:c>
      <x:c r="S38" s="21" t="s">
        <x:v>228</x:v>
      </x:c>
      <x:c r="T38" s="1" t="s">
        <x:v>229</x:v>
      </x:c>
      <x:c r="U38" s="21" t="s">
        <x:v>230</x:v>
      </x:c>
      <x:c r="X38" s="101"/>
    </x:row>
    <x:row r="39" spans="1:16383" ht="40.15" customHeight="1" x14ac:dyDescent="0.25">
      <x:c r="A39" s="60" t="s">
        <x:v>231</x:v>
      </x:c>
      <x:c r="B39" s="73" t="s">
        <x:v>256</x:v>
      </x:c>
      <x:c r="C39" s="2"/>
      <x:c r="D39" s="106">
        <x:v>0.1</x:v>
      </x:c>
      <x:c r="E39" s="107">
        <x:f>+D39/5</x:f>
      </x:c>
      <x:c r="F39" s="106">
        <x:v>0.2</x:v>
      </x:c>
      <x:c r="G39" s="108">
        <x:f>+F39/7.5</x:f>
      </x:c>
      <x:c r="H39" s="106">
        <x:v>0.1</x:v>
      </x:c>
      <x:c r="I39" s="107">
        <x:v>0.02</x:v>
      </x:c>
      <x:c r="J39" s="106">
        <x:v>0.2</x:v>
      </x:c>
      <x:c r="K39" s="108">
        <x:v>0.0266666666666667</x:v>
      </x:c>
      <x:c r="L39" s="60">
        <x:f>D39-H39</x:f>
      </x:c>
      <x:c r="M39" s="108">
        <x:f>E39-I39</x:f>
      </x:c>
      <x:c r="N39" s="60">
        <x:f>F39-J39</x:f>
      </x:c>
      <x:c r="O39" s="108">
        <x:f>G39-K39</x:f>
      </x:c>
      <x:c r="P39" s="108">
        <x:v>0.9</x:v>
      </x:c>
      <x:c r="Q39" s="108" t="s">
        <x:v>237</x:v>
      </x:c>
      <x:c r="R39" s="108">
        <x:v>1</x:v>
      </x:c>
      <x:c r="S39" s="21"/>
      <x:c r="T39" s="1"/>
      <x:c r="U39" s="60"/>
      <x:c r="X39" s="101"/>
    </x:row>
    <x:row r="40" spans="1:16383" ht="21.6" customHeight="1" x14ac:dyDescent="0.25">
      <x:c r="A40" s="60" t="s">
        <x:v>231</x:v>
      </x:c>
      <x:c r="B40" s="73" t="s">
        <x:v>257</x:v>
      </x:c>
      <x:c r="C40" s="2"/>
      <x:c r="D40" s="106">
        <x:v>0.1</x:v>
      </x:c>
      <x:c r="E40" s="107">
        <x:f>+D40/5</x:f>
      </x:c>
      <x:c r="F40" s="106">
        <x:v>0.2</x:v>
      </x:c>
      <x:c r="G40" s="108">
        <x:f>+F40/7.5</x:f>
      </x:c>
      <x:c r="H40" s="106">
        <x:v>0.1</x:v>
      </x:c>
      <x:c r="I40" s="107">
        <x:v>0.02</x:v>
      </x:c>
      <x:c r="J40" s="106">
        <x:v>0.2</x:v>
      </x:c>
      <x:c r="K40" s="108">
        <x:v>0.0266666666666667</x:v>
      </x:c>
      <x:c r="L40" s="60">
        <x:f>D40-H40</x:f>
      </x:c>
      <x:c r="M40" s="108">
        <x:f>E40-I40</x:f>
      </x:c>
      <x:c r="N40" s="60">
        <x:f>F40-J40</x:f>
      </x:c>
      <x:c r="O40" s="108">
        <x:f>G40-K40</x:f>
      </x:c>
      <x:c r="P40" s="108">
        <x:v>0.9</x:v>
      </x:c>
      <x:c r="Q40" s="108" t="s">
        <x:v>237</x:v>
      </x:c>
      <x:c r="R40" s="108">
        <x:v>1</x:v>
      </x:c>
      <x:c r="S40" s="21"/>
      <x:c r="T40" s="1"/>
      <x:c r="U40" s="60"/>
      <x:c r="X40" s="101"/>
    </x:row>
    <x:row r="41" spans="1:16383" ht="63" customHeight="1" x14ac:dyDescent="0.25">
      <x:c r="A41" s="60" t="s">
        <x:v>231</x:v>
      </x:c>
      <x:c r="B41" s="73" t="s">
        <x:v>258</x:v>
      </x:c>
      <x:c r="C41" s="2"/>
      <x:c r="D41" s="106">
        <x:v>0.1</x:v>
      </x:c>
      <x:c r="E41" s="107">
        <x:f>+D41/5</x:f>
      </x:c>
      <x:c r="F41" s="106">
        <x:v>0.1</x:v>
      </x:c>
      <x:c r="G41" s="108">
        <x:f>+F41/7.5</x:f>
      </x:c>
      <x:c r="H41" s="106">
        <x:v>0.1</x:v>
      </x:c>
      <x:c r="I41" s="107">
        <x:v>0.02</x:v>
      </x:c>
      <x:c r="J41" s="106">
        <x:v>0.1</x:v>
      </x:c>
      <x:c r="K41" s="108">
        <x:v>0.0133333333333333</x:v>
      </x:c>
      <x:c r="L41" s="60">
        <x:f>D41-H41</x:f>
      </x:c>
      <x:c r="M41" s="108">
        <x:f>E41-I41</x:f>
      </x:c>
      <x:c r="N41" s="60">
        <x:f>F41-J41</x:f>
      </x:c>
      <x:c r="O41" s="108">
        <x:f>G41-K41</x:f>
      </x:c>
      <x:c r="P41" s="117" t="s">
        <x:v>259</x:v>
      </x:c>
      <x:c r="Q41" s="117" t="s">
        <x:v>260</x:v>
      </x:c>
      <x:c r="R41" s="117" t="s">
        <x:v>261</x:v>
      </x:c>
      <x:c r="S41" s="21"/>
      <x:c r="T41" s="1"/>
      <x:c r="U41" s="60"/>
      <x:c r="X41" s="101"/>
    </x:row>
    <x:row r="42" spans="1:16383" ht="54.75" customHeight="1" x14ac:dyDescent="0.25">
      <x:c r="A42" s="21">
        <x:v>8</x:v>
      </x:c>
      <x:c r="B42" s="103" t="s">
        <x:v>28</x:v>
      </x:c>
      <x:c r="C42" s="2" t="s">
        <x:v>262</x:v>
      </x:c>
      <x:c r="D42" s="104">
        <x:f>SUM(D43:D46)</x:f>
      </x:c>
      <x:c r="E42" s="105">
        <x:f>+D42/5</x:f>
      </x:c>
      <x:c r="F42" s="104">
        <x:f>SUM(F43:F46)</x:f>
      </x:c>
      <x:c r="G42" s="102">
        <x:f>+F42/7.5</x:f>
      </x:c>
      <x:c r="H42" s="104">
        <x:f>SUM(H43:H46)</x:f>
      </x:c>
      <x:c r="I42" s="105">
        <x:f>+H42/5</x:f>
      </x:c>
      <x:c r="J42" s="104">
        <x:f>SUM(J43:J46)</x:f>
      </x:c>
      <x:c r="K42" s="102">
        <x:f>+J42/7.5</x:f>
      </x:c>
      <x:c r="L42" s="21">
        <x:f>D42-H42</x:f>
      </x:c>
      <x:c r="M42" s="102">
        <x:f>E42-I42</x:f>
      </x:c>
      <x:c r="N42" s="21">
        <x:f>F42-J42</x:f>
      </x:c>
      <x:c r="O42" s="102">
        <x:f>G42-K42</x:f>
      </x:c>
      <x:c r="P42" s="102">
        <x:v>0.95</x:v>
      </x:c>
      <x:c r="Q42" s="102" t="s">
        <x:v>227</x:v>
      </x:c>
      <x:c r="R42" s="102">
        <x:v>1.1</x:v>
      </x:c>
      <x:c r="S42" s="21" t="s">
        <x:v>228</x:v>
      </x:c>
      <x:c r="T42" s="1" t="s">
        <x:v>229</x:v>
      </x:c>
      <x:c r="U42" s="21" t="s">
        <x:v>230</x:v>
      </x:c>
      <x:c r="X42" s="101"/>
    </x:row>
    <x:row r="43" spans="1:16383" ht="18" customHeight="1" s="284" customFormat="1" x14ac:dyDescent="0.25">
      <x:c r="A43" s="60" t="s">
        <x:v>231</x:v>
      </x:c>
      <x:c r="B43" s="73" t="s">
        <x:v>263</x:v>
      </x:c>
      <x:c r="C43" s="2"/>
      <x:c r="D43" s="106">
        <x:v>0.1</x:v>
      </x:c>
      <x:c r="E43" s="107">
        <x:f>+D43/5</x:f>
      </x:c>
      <x:c r="F43" s="106">
        <x:v>0.15</x:v>
      </x:c>
      <x:c r="G43" s="108">
        <x:f>+F43/7.5</x:f>
      </x:c>
      <x:c r="H43" s="106">
        <x:v>0.1</x:v>
      </x:c>
      <x:c r="I43" s="107">
        <x:v>0.02</x:v>
      </x:c>
      <x:c r="J43" s="106">
        <x:v>0.15</x:v>
      </x:c>
      <x:c r="K43" s="108">
        <x:v>0.02</x:v>
      </x:c>
      <x:c r="L43" s="60">
        <x:f>D43-H43</x:f>
      </x:c>
      <x:c r="M43" s="108">
        <x:f>E43-I43</x:f>
      </x:c>
      <x:c r="N43" s="60">
        <x:f>F43-J43</x:f>
      </x:c>
      <x:c r="O43" s="108">
        <x:f>G43-K43</x:f>
      </x:c>
      <x:c r="P43" s="108">
        <x:v>0.95</x:v>
      </x:c>
      <x:c r="Q43" s="108" t="s">
        <x:v>227</x:v>
      </x:c>
      <x:c r="R43" s="108">
        <x:v>1.1</x:v>
      </x:c>
      <x:c r="S43" s="21"/>
      <x:c r="T43" s="1"/>
      <x:c r="U43" s="60"/>
      <x:c r="V43" s="100"/>
      <x:c r="X43" s="288"/>
    </x:row>
    <x:row r="44" spans="1:16383" ht="18" customHeight="1" s="284" customFormat="1" x14ac:dyDescent="0.25">
      <x:c r="A44" s="60" t="s">
        <x:v>231</x:v>
      </x:c>
      <x:c r="B44" s="73" t="s">
        <x:v>264</x:v>
      </x:c>
      <x:c r="C44" s="2"/>
      <x:c r="D44" s="106">
        <x:v>0.1</x:v>
      </x:c>
      <x:c r="E44" s="107">
        <x:f>+D44/5</x:f>
      </x:c>
      <x:c r="F44" s="106">
        <x:v>0.15</x:v>
      </x:c>
      <x:c r="G44" s="108">
        <x:f>+F44/7.5</x:f>
      </x:c>
      <x:c r="H44" s="106">
        <x:v>0.1</x:v>
      </x:c>
      <x:c r="I44" s="107">
        <x:v>0.02</x:v>
      </x:c>
      <x:c r="J44" s="106">
        <x:v>0.15</x:v>
      </x:c>
      <x:c r="K44" s="108">
        <x:v>0.02</x:v>
      </x:c>
      <x:c r="L44" s="60">
        <x:f>D44-H44</x:f>
      </x:c>
      <x:c r="M44" s="108">
        <x:f>E44-I44</x:f>
      </x:c>
      <x:c r="N44" s="60">
        <x:f>F44-J44</x:f>
      </x:c>
      <x:c r="O44" s="108">
        <x:f>G44-K44</x:f>
      </x:c>
      <x:c r="P44" s="108">
        <x:v>0.95</x:v>
      </x:c>
      <x:c r="Q44" s="108" t="s">
        <x:v>227</x:v>
      </x:c>
      <x:c r="R44" s="108">
        <x:v>1.1</x:v>
      </x:c>
      <x:c r="S44" s="21"/>
      <x:c r="T44" s="1"/>
      <x:c r="U44" s="60"/>
      <x:c r="V44" s="100"/>
      <x:c r="X44" s="288"/>
    </x:row>
    <x:row r="45" spans="1:16383" ht="18" customHeight="1" s="284" customFormat="1" x14ac:dyDescent="0.25">
      <x:c r="A45" s="60" t="s">
        <x:v>231</x:v>
      </x:c>
      <x:c r="B45" s="73" t="s">
        <x:v>147</x:v>
      </x:c>
      <x:c r="C45" s="2"/>
      <x:c r="D45" s="106">
        <x:v>0.1</x:v>
      </x:c>
      <x:c r="E45" s="107">
        <x:f>+D45/5</x:f>
      </x:c>
      <x:c r="F45" s="106">
        <x:v>0.1</x:v>
      </x:c>
      <x:c r="G45" s="108">
        <x:f>+F45/7.5</x:f>
      </x:c>
      <x:c r="H45" s="106">
        <x:v>0.1</x:v>
      </x:c>
      <x:c r="I45" s="107">
        <x:v>0.02</x:v>
      </x:c>
      <x:c r="J45" s="106">
        <x:v>0.1</x:v>
      </x:c>
      <x:c r="K45" s="108">
        <x:v>0.0133333333333333</x:v>
      </x:c>
      <x:c r="L45" s="60">
        <x:f>D45-H45</x:f>
      </x:c>
      <x:c r="M45" s="108">
        <x:f>E45-I45</x:f>
      </x:c>
      <x:c r="N45" s="60">
        <x:f>F45-J45</x:f>
      </x:c>
      <x:c r="O45" s="108">
        <x:f>G45-K45</x:f>
      </x:c>
      <x:c r="P45" s="108">
        <x:v>0.95</x:v>
      </x:c>
      <x:c r="Q45" s="108" t="s">
        <x:v>227</x:v>
      </x:c>
      <x:c r="R45" s="108">
        <x:v>1.1</x:v>
      </x:c>
      <x:c r="S45" s="21"/>
      <x:c r="T45" s="1"/>
      <x:c r="U45" s="60"/>
      <x:c r="V45" s="100"/>
      <x:c r="X45" s="288"/>
    </x:row>
    <x:row r="46" spans="1:16383" ht="18" customHeight="1" s="284" customFormat="1" x14ac:dyDescent="0.25">
      <x:c r="A46" s="60" t="s">
        <x:v>231</x:v>
      </x:c>
      <x:c r="B46" s="73" t="s">
        <x:v>265</x:v>
      </x:c>
      <x:c r="C46" s="2"/>
      <x:c r="D46" s="106">
        <x:v>0.1</x:v>
      </x:c>
      <x:c r="E46" s="107">
        <x:f>+D46/5</x:f>
      </x:c>
      <x:c r="F46" s="106">
        <x:v>0.1</x:v>
      </x:c>
      <x:c r="G46" s="108">
        <x:f>+F46/7.5</x:f>
      </x:c>
      <x:c r="H46" s="106">
        <x:v>0.1</x:v>
      </x:c>
      <x:c r="I46" s="107">
        <x:v>0.02</x:v>
      </x:c>
      <x:c r="J46" s="106">
        <x:v>0.1</x:v>
      </x:c>
      <x:c r="K46" s="108">
        <x:v>0.0133333333333333</x:v>
      </x:c>
      <x:c r="L46" s="60">
        <x:f>D46-H46</x:f>
      </x:c>
      <x:c r="M46" s="108">
        <x:f>E46-I46</x:f>
      </x:c>
      <x:c r="N46" s="60">
        <x:f>F46-J46</x:f>
      </x:c>
      <x:c r="O46" s="108">
        <x:f>G46-K46</x:f>
      </x:c>
      <x:c r="P46" s="108">
        <x:v>0.95</x:v>
      </x:c>
      <x:c r="Q46" s="108" t="s">
        <x:v>227</x:v>
      </x:c>
      <x:c r="R46" s="108">
        <x:v>1.1</x:v>
      </x:c>
      <x:c r="S46" s="21"/>
      <x:c r="T46" s="1"/>
      <x:c r="U46" s="60"/>
      <x:c r="V46" s="100"/>
      <x:c r="X46" s="288"/>
    </x:row>
    <x:row r="47" spans="1:16383" ht="51" customHeight="1" x14ac:dyDescent="0.25">
      <x:c r="A47" s="21">
        <x:v>9</x:v>
      </x:c>
      <x:c r="B47" s="103" t="s">
        <x:v>266</x:v>
      </x:c>
      <x:c r="C47" s="2" t="s">
        <x:v>267</x:v>
      </x:c>
      <x:c r="D47" s="104">
        <x:f>SUM(D48:D50)</x:f>
      </x:c>
      <x:c r="E47" s="105">
        <x:f>+D47/5</x:f>
      </x:c>
      <x:c r="F47" s="104">
        <x:f>SUM(F48:F50)</x:f>
      </x:c>
      <x:c r="G47" s="102">
        <x:f>+F47/7.5</x:f>
      </x:c>
      <x:c r="H47" s="104">
        <x:f>SUM(H48:H50)</x:f>
      </x:c>
      <x:c r="I47" s="105">
        <x:f>+H47/5</x:f>
      </x:c>
      <x:c r="J47" s="104">
        <x:f>SUM(J48:J50)</x:f>
      </x:c>
      <x:c r="K47" s="102">
        <x:f>+J47/7.5</x:f>
      </x:c>
      <x:c r="L47" s="21">
        <x:f>D47-H47</x:f>
      </x:c>
      <x:c r="M47" s="102">
        <x:f>E47-I47</x:f>
      </x:c>
      <x:c r="N47" s="21">
        <x:f>F47-J47</x:f>
      </x:c>
      <x:c r="O47" s="102">
        <x:f>G47-K47</x:f>
      </x:c>
      <x:c r="P47" s="102">
        <x:v>0.9</x:v>
      </x:c>
      <x:c r="Q47" s="102" t="s">
        <x:v>237</x:v>
      </x:c>
      <x:c r="R47" s="102">
        <x:v>1</x:v>
      </x:c>
      <x:c r="S47" s="21" t="s">
        <x:v>268</x:v>
      </x:c>
      <x:c r="T47" s="1" t="s">
        <x:v>269</x:v>
      </x:c>
      <x:c r="U47" s="21" t="s">
        <x:v>270</x:v>
      </x:c>
      <x:c r="X47" s="101"/>
    </x:row>
    <x:row r="48" spans="1:16383" ht="43.5" customHeight="1" x14ac:dyDescent="0.25">
      <x:c r="A48" s="60" t="s">
        <x:v>231</x:v>
      </x:c>
      <x:c r="B48" s="73" t="s">
        <x:v>271</x:v>
      </x:c>
      <x:c r="C48" s="2"/>
      <x:c r="D48" s="106">
        <x:v>0.1</x:v>
      </x:c>
      <x:c r="E48" s="107">
        <x:f>+D48/5</x:f>
      </x:c>
      <x:c r="F48" s="106">
        <x:v>0.2</x:v>
      </x:c>
      <x:c r="G48" s="108">
        <x:f>+F48/7.5</x:f>
      </x:c>
      <x:c r="H48" s="106">
        <x:v>0.1</x:v>
      </x:c>
      <x:c r="I48" s="107">
        <x:f>+H48/5</x:f>
      </x:c>
      <x:c r="J48" s="106">
        <x:v>0.2</x:v>
      </x:c>
      <x:c r="K48" s="108">
        <x:f>+J48/7.5</x:f>
      </x:c>
      <x:c r="L48" s="60">
        <x:f>D48-H48</x:f>
      </x:c>
      <x:c r="M48" s="108">
        <x:f>E48-I48</x:f>
      </x:c>
      <x:c r="N48" s="60">
        <x:f>F48-J48</x:f>
      </x:c>
      <x:c r="O48" s="108">
        <x:f>G48-K48</x:f>
      </x:c>
      <x:c r="P48" s="108">
        <x:v>0.9</x:v>
      </x:c>
      <x:c r="Q48" s="108" t="s">
        <x:v>237</x:v>
      </x:c>
      <x:c r="R48" s="108">
        <x:v>1</x:v>
      </x:c>
      <x:c r="S48" s="21"/>
      <x:c r="T48" s="1"/>
      <x:c r="U48" s="60"/>
      <x:c r="X48" s="101"/>
    </x:row>
    <x:row r="49" spans="1:16383" ht="39" customHeight="1" x14ac:dyDescent="0.25">
      <x:c r="A49" s="60" t="s">
        <x:v>231</x:v>
      </x:c>
      <x:c r="B49" s="73" t="s">
        <x:v>272</x:v>
      </x:c>
      <x:c r="C49" s="2"/>
      <x:c r="D49" s="106">
        <x:v>0.2</x:v>
      </x:c>
      <x:c r="E49" s="107">
        <x:f>+D49/5</x:f>
      </x:c>
      <x:c r="F49" s="106">
        <x:v>0.2</x:v>
      </x:c>
      <x:c r="G49" s="108">
        <x:f>+F49/7.5</x:f>
      </x:c>
      <x:c r="H49" s="106">
        <x:v>0.2</x:v>
      </x:c>
      <x:c r="I49" s="107">
        <x:f>+H49/5</x:f>
      </x:c>
      <x:c r="J49" s="106">
        <x:v>0.2</x:v>
      </x:c>
      <x:c r="K49" s="108">
        <x:f>+J49/7.5</x:f>
      </x:c>
      <x:c r="L49" s="60">
        <x:f>D49-H49</x:f>
      </x:c>
      <x:c r="M49" s="108">
        <x:f>E49-I49</x:f>
      </x:c>
      <x:c r="N49" s="60">
        <x:f>F49-J49</x:f>
      </x:c>
      <x:c r="O49" s="108">
        <x:f>G49-K49</x:f>
      </x:c>
      <x:c r="P49" s="108">
        <x:v>0.9</x:v>
      </x:c>
      <x:c r="Q49" s="108" t="s">
        <x:v>237</x:v>
      </x:c>
      <x:c r="R49" s="108">
        <x:v>1</x:v>
      </x:c>
      <x:c r="S49" s="21"/>
      <x:c r="T49" s="1"/>
      <x:c r="U49" s="60"/>
      <x:c r="X49" s="101"/>
    </x:row>
    <x:row r="50" spans="1:16383" ht="51.75" customHeight="1" x14ac:dyDescent="0.25">
      <x:c r="A50" s="60" t="s">
        <x:v>231</x:v>
      </x:c>
      <x:c r="B50" s="73" t="s">
        <x:v>273</x:v>
      </x:c>
      <x:c r="C50" s="2"/>
      <x:c r="D50" s="106">
        <x:v>0.2</x:v>
      </x:c>
      <x:c r="E50" s="107">
        <x:f>+D50/5</x:f>
      </x:c>
      <x:c r="F50" s="106">
        <x:v>0.2</x:v>
      </x:c>
      <x:c r="G50" s="108">
        <x:f>+F50/7.5</x:f>
      </x:c>
      <x:c r="H50" s="106">
        <x:v>0.2</x:v>
      </x:c>
      <x:c r="I50" s="107">
        <x:f>+H50/5</x:f>
      </x:c>
      <x:c r="J50" s="106">
        <x:v>0.2</x:v>
      </x:c>
      <x:c r="K50" s="108">
        <x:f>+J50/7.5</x:f>
      </x:c>
      <x:c r="L50" s="60">
        <x:f>D50-H50</x:f>
      </x:c>
      <x:c r="M50" s="108">
        <x:f>E50-I50</x:f>
      </x:c>
      <x:c r="N50" s="60">
        <x:f>F50-J50</x:f>
      </x:c>
      <x:c r="O50" s="108">
        <x:f>G50-K50</x:f>
      </x:c>
      <x:c r="P50" s="108">
        <x:v>0.9</x:v>
      </x:c>
      <x:c r="Q50" s="108" t="s">
        <x:v>237</x:v>
      </x:c>
      <x:c r="R50" s="108">
        <x:v>1</x:v>
      </x:c>
      <x:c r="S50" s="21"/>
      <x:c r="T50" s="1"/>
      <x:c r="U50" s="60"/>
      <x:c r="X50" s="101"/>
    </x:row>
    <x:row r="51" spans="1:16383" ht="47.25" customHeight="1" x14ac:dyDescent="0.25">
      <x:c r="A51" s="21">
        <x:v>10</x:v>
      </x:c>
      <x:c r="B51" s="103" t="s">
        <x:v>274</x:v>
      </x:c>
      <x:c r="C51" s="78" t="s">
        <x:v>275</x:v>
      </x:c>
      <x:c r="D51" s="104">
        <x:f>SUM(D52:D54)</x:f>
      </x:c>
      <x:c r="E51" s="105">
        <x:f>+D51/5</x:f>
      </x:c>
      <x:c r="F51" s="104">
        <x:f>SUM(F52:F54)</x:f>
      </x:c>
      <x:c r="G51" s="102">
        <x:f>+F51/7.5</x:f>
      </x:c>
      <x:c r="H51" s="104">
        <x:f>SUM(H52:H54)</x:f>
      </x:c>
      <x:c r="I51" s="105">
        <x:f>+H51/5</x:f>
      </x:c>
      <x:c r="J51" s="104">
        <x:f>SUM(J52:J54)</x:f>
      </x:c>
      <x:c r="K51" s="102">
        <x:f>+J51/7.5</x:f>
      </x:c>
      <x:c r="L51" s="21">
        <x:f>D51-H51</x:f>
      </x:c>
      <x:c r="M51" s="102">
        <x:f>E51-I51</x:f>
      </x:c>
      <x:c r="N51" s="21">
        <x:f>F51-J51</x:f>
      </x:c>
      <x:c r="O51" s="102">
        <x:f>G51-K51</x:f>
      </x:c>
      <x:c r="P51" s="102">
        <x:v>0.95</x:v>
      </x:c>
      <x:c r="Q51" s="102">
        <x:v>0.98</x:v>
      </x:c>
      <x:c r="R51" s="102">
        <x:v>1</x:v>
      </x:c>
      <x:c r="S51" s="21" t="s">
        <x:v>276</x:v>
      </x:c>
      <x:c r="T51" s="1" t="s">
        <x:v>269</x:v>
      </x:c>
      <x:c r="U51" s="21" t="s">
        <x:v>277</x:v>
      </x:c>
      <x:c r="V51" s="100" t="s">
        <x:v>278</x:v>
      </x:c>
      <x:c r="X51" s="101"/>
    </x:row>
    <x:row r="52" spans="1:16383" ht="92.25" customHeight="1" x14ac:dyDescent="0.25">
      <x:c r="A52" s="60" t="s">
        <x:v>231</x:v>
      </x:c>
      <x:c r="B52" s="1" t="s">
        <x:v>279</x:v>
      </x:c>
      <x:c r="C52" s="73" t="s">
        <x:v>280</x:v>
      </x:c>
      <x:c r="D52" s="118">
        <x:v>0.2</x:v>
      </x:c>
      <x:c r="E52" s="107">
        <x:f>+D52/5</x:f>
      </x:c>
      <x:c r="F52" s="118">
        <x:v>0.2</x:v>
      </x:c>
      <x:c r="G52" s="108">
        <x:f>+F52/7.5</x:f>
      </x:c>
      <x:c r="H52" s="118">
        <x:v>0.2</x:v>
      </x:c>
      <x:c r="I52" s="107">
        <x:f>+H52/5</x:f>
      </x:c>
      <x:c r="J52" s="118">
        <x:v>0.2</x:v>
      </x:c>
      <x:c r="K52" s="108">
        <x:f>+J52/7.5</x:f>
      </x:c>
      <x:c r="L52" s="60">
        <x:f>D52-H52</x:f>
      </x:c>
      <x:c r="M52" s="108">
        <x:f>E52-I52</x:f>
      </x:c>
      <x:c r="N52" s="60">
        <x:f>F52-J52</x:f>
      </x:c>
      <x:c r="O52" s="108">
        <x:f>G52-K52</x:f>
      </x:c>
      <x:c r="P52" s="108">
        <x:v>0.9</x:v>
      </x:c>
      <x:c r="Q52" s="108" t="s">
        <x:v>237</x:v>
      </x:c>
      <x:c r="R52" s="108">
        <x:v>1</x:v>
      </x:c>
      <x:c r="S52" s="21" t="s">
        <x:v>276</x:v>
      </x:c>
      <x:c r="T52" s="1"/>
      <x:c r="U52" s="119" t="s">
        <x:v>281</x:v>
      </x:c>
      <x:c r="X52" s="101"/>
    </x:row>
    <x:row r="53" spans="1:16383" ht="92.25" customHeight="1" x14ac:dyDescent="0.25">
      <x:c r="A53" s="60" t="s">
        <x:v>231</x:v>
      </x:c>
      <x:c r="B53" s="73" t="s">
        <x:v>282</x:v>
      </x:c>
      <x:c r="C53" s="73" t="s">
        <x:v>283</x:v>
      </x:c>
      <x:c r="D53" s="106">
        <x:v>0.2</x:v>
      </x:c>
      <x:c r="E53" s="107">
        <x:f>+D53/5</x:f>
      </x:c>
      <x:c r="F53" s="106">
        <x:v>0.3</x:v>
      </x:c>
      <x:c r="G53" s="108">
        <x:f>+F53/7.5</x:f>
      </x:c>
      <x:c r="H53" s="106">
        <x:v>0.2</x:v>
      </x:c>
      <x:c r="I53" s="107">
        <x:f>+H53/5</x:f>
      </x:c>
      <x:c r="J53" s="106">
        <x:v>0.3</x:v>
      </x:c>
      <x:c r="K53" s="108">
        <x:f>+J53/7.5</x:f>
      </x:c>
      <x:c r="L53" s="60">
        <x:f>D53-H53</x:f>
      </x:c>
      <x:c r="M53" s="108">
        <x:f>E53-I53</x:f>
      </x:c>
      <x:c r="N53" s="60">
        <x:f>F53-J53</x:f>
      </x:c>
      <x:c r="O53" s="108">
        <x:f>G53-K53</x:f>
      </x:c>
      <x:c r="P53" s="108">
        <x:v>0.9</x:v>
      </x:c>
      <x:c r="Q53" s="108" t="s">
        <x:v>237</x:v>
      </x:c>
      <x:c r="R53" s="108">
        <x:v>1</x:v>
      </x:c>
      <x:c r="S53" s="21" t="s">
        <x:v>276</x:v>
      </x:c>
      <x:c r="T53" s="1"/>
      <x:c r="U53" s="119" t="s">
        <x:v>277</x:v>
      </x:c>
      <x:c r="X53" s="101"/>
    </x:row>
    <x:row r="54" spans="1:16383" ht="92.25" customHeight="1" x14ac:dyDescent="0.25">
      <x:c r="A54" s="60" t="s">
        <x:v>231</x:v>
      </x:c>
      <x:c r="B54" s="73" t="s">
        <x:v>284</x:v>
      </x:c>
      <x:c r="C54" s="73" t="s">
        <x:v>285</x:v>
      </x:c>
      <x:c r="D54" s="106">
        <x:v>0.2</x:v>
      </x:c>
      <x:c r="E54" s="107">
        <x:v>0.04</x:v>
      </x:c>
      <x:c r="F54" s="106">
        <x:v>0.3</x:v>
      </x:c>
      <x:c r="G54" s="108">
        <x:f>+F54/7.5</x:f>
      </x:c>
      <x:c r="H54" s="106">
        <x:v>0.2</x:v>
      </x:c>
      <x:c r="I54" s="107">
        <x:v>0.04</x:v>
      </x:c>
      <x:c r="J54" s="106">
        <x:v>0.3</x:v>
      </x:c>
      <x:c r="K54" s="108">
        <x:f>+J54/7.5</x:f>
      </x:c>
      <x:c r="L54" s="60">
        <x:f>D54-H54</x:f>
      </x:c>
      <x:c r="M54" s="108">
        <x:f>E54-I54</x:f>
      </x:c>
      <x:c r="N54" s="60">
        <x:f>F54-J54</x:f>
      </x:c>
      <x:c r="O54" s="108">
        <x:f>G54-K54</x:f>
      </x:c>
      <x:c r="P54" s="108">
        <x:v>0.9</x:v>
      </x:c>
      <x:c r="Q54" s="108" t="s">
        <x:v>237</x:v>
      </x:c>
      <x:c r="R54" s="108">
        <x:v>1</x:v>
      </x:c>
      <x:c r="S54" s="21" t="s">
        <x:v>276</x:v>
      </x:c>
      <x:c r="T54" s="1"/>
      <x:c r="U54" s="119" t="s">
        <x:v>286</x:v>
      </x:c>
      <x:c r="X54" s="101"/>
    </x:row>
    <x:row r="55" spans="1:16383" ht="34.5" customHeight="1" s="113" customFormat="1" x14ac:dyDescent="0.25">
      <x:c r="A55" s="110">
        <x:v>11</x:v>
      </x:c>
      <x:c r="B55" s="110" t="s">
        <x:v>29</x:v>
      </x:c>
      <x:c r="C55" s="1" t="s">
        <x:v>287</x:v>
      </x:c>
      <x:c r="D55" s="104">
        <x:f>SUM(D56:D58)</x:f>
      </x:c>
      <x:c r="E55" s="105">
        <x:f>+D55/5</x:f>
      </x:c>
      <x:c r="F55" s="104">
        <x:f>SUM(F56:F58)</x:f>
      </x:c>
      <x:c r="G55" s="102">
        <x:f>+F55/7.5</x:f>
      </x:c>
      <x:c r="H55" s="104">
        <x:f>SUM(H56:H58)</x:f>
      </x:c>
      <x:c r="I55" s="105">
        <x:f>+H55/5</x:f>
      </x:c>
      <x:c r="J55" s="104">
        <x:f>SUM(J56:J58)</x:f>
      </x:c>
      <x:c r="K55" s="102">
        <x:f>+J55/7.5</x:f>
      </x:c>
      <x:c r="L55" s="21">
        <x:f>D55-H55</x:f>
      </x:c>
      <x:c r="M55" s="102">
        <x:f>E55-I55</x:f>
      </x:c>
      <x:c r="N55" s="21">
        <x:f>F55-J55</x:f>
      </x:c>
      <x:c r="O55" s="102">
        <x:f>G55-K55</x:f>
      </x:c>
      <x:c r="P55" s="102"/>
      <x:c r="Q55" s="102"/>
      <x:c r="R55" s="102"/>
      <x:c r="S55" s="110"/>
      <x:c r="T55" s="111"/>
      <x:c r="U55" s="99"/>
    </x:row>
    <x:row r="56" spans="1:16383" ht="65.25" customHeight="1" s="113" customFormat="1" x14ac:dyDescent="0.25">
      <x:c r="A56" s="120"/>
      <x:c r="B56" s="73" t="s">
        <x:v>288</x:v>
      </x:c>
      <x:c r="C56" s="1"/>
      <x:c r="D56" s="120">
        <x:v>0.2</x:v>
      </x:c>
      <x:c r="E56" s="120"/>
      <x:c r="F56" s="120">
        <x:v>0.2</x:v>
      </x:c>
      <x:c r="G56" s="121"/>
      <x:c r="H56" s="120">
        <x:v>0.2</x:v>
      </x:c>
      <x:c r="I56" s="120"/>
      <x:c r="J56" s="120">
        <x:v>0.2</x:v>
      </x:c>
      <x:c r="K56" s="121"/>
      <x:c r="L56" s="120">
        <x:f>D56-H56</x:f>
      </x:c>
      <x:c r="M56" s="121">
        <x:f>E56-I56</x:f>
      </x:c>
      <x:c r="N56" s="120">
        <x:f>F56-J56</x:f>
      </x:c>
      <x:c r="O56" s="121">
        <x:f>G56-K56</x:f>
      </x:c>
      <x:c r="P56" s="120"/>
      <x:c r="Q56" s="120"/>
      <x:c r="R56" s="120"/>
      <x:c r="S56" s="110"/>
      <x:c r="T56" s="1" t="s">
        <x:v>229</x:v>
      </x:c>
      <x:c r="U56" s="99"/>
    </x:row>
    <x:row r="57" spans="1:16383" ht="66" customHeight="1" s="113" customFormat="1" x14ac:dyDescent="0.25">
      <x:c r="A57" s="120"/>
      <x:c r="B57" s="120" t="s">
        <x:v>289</x:v>
      </x:c>
      <x:c r="C57" s="1"/>
      <x:c r="D57" s="120">
        <x:v>0.1</x:v>
      </x:c>
      <x:c r="E57" s="120"/>
      <x:c r="F57" s="120">
        <x:v>0.1</x:v>
      </x:c>
      <x:c r="G57" s="121"/>
      <x:c r="H57" s="120">
        <x:v>0.1</x:v>
      </x:c>
      <x:c r="I57" s="120"/>
      <x:c r="J57" s="120">
        <x:v>0.1</x:v>
      </x:c>
      <x:c r="K57" s="121"/>
      <x:c r="L57" s="120">
        <x:f>D57-H57</x:f>
      </x:c>
      <x:c r="M57" s="121">
        <x:f>E57-I57</x:f>
      </x:c>
      <x:c r="N57" s="120">
        <x:f>F57-J57</x:f>
      </x:c>
      <x:c r="O57" s="121">
        <x:f>G57-K57</x:f>
      </x:c>
      <x:c r="P57" s="120"/>
      <x:c r="Q57" s="120"/>
      <x:c r="R57" s="120"/>
      <x:c r="S57" s="110"/>
      <x:c r="T57" s="1" t="s">
        <x:v>229</x:v>
      </x:c>
      <x:c r="U57" s="99"/>
    </x:row>
    <x:row r="58" spans="1:16383" ht="54" customHeight="1" s="113" customFormat="1" x14ac:dyDescent="0.25">
      <x:c r="A58" s="120"/>
      <x:c r="B58" s="120" t="s">
        <x:v>290</x:v>
      </x:c>
      <x:c r="C58" s="1"/>
      <x:c r="D58" s="120">
        <x:v>0.1</x:v>
      </x:c>
      <x:c r="E58" s="120"/>
      <x:c r="F58" s="120">
        <x:v>0.1</x:v>
      </x:c>
      <x:c r="G58" s="121"/>
      <x:c r="H58" s="120">
        <x:v>0.1</x:v>
      </x:c>
      <x:c r="I58" s="120"/>
      <x:c r="J58" s="120">
        <x:v>0.1</x:v>
      </x:c>
      <x:c r="K58" s="121"/>
      <x:c r="L58" s="120">
        <x:f>D58-H58</x:f>
      </x:c>
      <x:c r="M58" s="121">
        <x:f>E58-I58</x:f>
      </x:c>
      <x:c r="N58" s="120">
        <x:f>F58-J58</x:f>
      </x:c>
      <x:c r="O58" s="121">
        <x:f>G58-K58</x:f>
      </x:c>
      <x:c r="P58" s="120"/>
      <x:c r="Q58" s="120"/>
      <x:c r="R58" s="120"/>
      <x:c r="S58" s="110"/>
      <x:c r="T58" s="1" t="s">
        <x:v>229</x:v>
      </x:c>
      <x:c r="U58" s="99"/>
    </x:row>
    <x:row r="59" spans="1:16383" ht="117.75" customHeight="1" x14ac:dyDescent="0.25">
      <x:c r="A59" s="110">
        <x:v>12</x:v>
      </x:c>
      <x:c r="B59" s="110" t="s">
        <x:v>30</x:v>
      </x:c>
      <x:c r="C59" s="73" t="s">
        <x:v>291</x:v>
      </x:c>
      <x:c r="D59" s="110">
        <x:v>0.5</x:v>
      </x:c>
      <x:c r="E59" s="105">
        <x:f>+D59/5</x:f>
      </x:c>
      <x:c r="F59" s="110">
        <x:v>0.6</x:v>
      </x:c>
      <x:c r="G59" s="105">
        <x:f>+F59/5</x:f>
      </x:c>
      <x:c r="H59" s="110">
        <x:v>0</x:v>
      </x:c>
      <x:c r="I59" s="110">
        <x:v>0</x:v>
      </x:c>
      <x:c r="J59" s="110">
        <x:v>0</x:v>
      </x:c>
      <x:c r="K59" s="102">
        <x:f>+J59/7.5</x:f>
      </x:c>
      <x:c r="L59" s="110">
        <x:f>D59-H59</x:f>
      </x:c>
      <x:c r="M59" s="122">
        <x:f>E59-I59</x:f>
      </x:c>
      <x:c r="N59" s="110">
        <x:f>F59-J59</x:f>
      </x:c>
      <x:c r="O59" s="122">
        <x:f>G59-K59</x:f>
      </x:c>
      <x:c r="P59" s="110"/>
      <x:c r="Q59" s="110"/>
      <x:c r="R59" s="120"/>
      <x:c r="S59" s="110"/>
      <x:c r="T59" s="12" t="s">
        <x:v>224</x:v>
      </x:c>
      <x:c r="V59" s="100" t="s">
        <x:v>292</x:v>
      </x:c>
    </x:row>
    <x:row r="60" spans="1:16383" ht="117.75" customHeight="1" s="125" customFormat="1" x14ac:dyDescent="0.25">
      <x:c r="A60" s="60" t="s">
        <x:v>231</x:v>
      </x:c>
      <x:c r="B60" s="123" t="s">
        <x:v>293</x:v>
      </x:c>
      <x:c r="C60" s="124" t="s">
        <x:v>294</x:v>
      </x:c>
      <x:c r="D60" s="106"/>
      <x:c r="E60" s="107"/>
      <x:c r="F60" s="106"/>
      <x:c r="G60" s="108"/>
      <x:c r="H60" s="106"/>
      <x:c r="I60" s="107"/>
      <x:c r="J60" s="106"/>
      <x:c r="K60" s="108"/>
      <x:c r="L60" s="60"/>
      <x:c r="M60" s="108"/>
      <x:c r="N60" s="60"/>
      <x:c r="O60" s="108"/>
      <x:c r="P60" s="108"/>
      <x:c r="Q60" s="108"/>
      <x:c r="R60" s="108"/>
      <x:c r="S60" s="21"/>
      <x:c r="T60" s="108">
        <x:v>0.95</x:v>
      </x:c>
      <x:c r="U60" s="100"/>
      <x:c r="V60" s="100"/>
      <x:c r="W60" s="290"/>
      <x:c r="X60" s="291"/>
      <x:c r="Y60" s="291"/>
      <x:c r="Z60" s="291"/>
      <x:c r="AA60" s="291"/>
      <x:c r="AB60" s="291"/>
      <x:c r="AC60" s="291"/>
      <x:c r="AD60" s="291"/>
      <x:c r="AE60" s="291"/>
      <x:c r="AF60" s="291"/>
      <x:c r="AG60" s="291"/>
      <x:c r="AH60" s="291"/>
      <x:c r="AI60" s="291"/>
      <x:c r="AJ60" s="291"/>
      <x:c r="AK60" s="291"/>
      <x:c r="AL60" s="291"/>
      <x:c r="AM60" s="291"/>
      <x:c r="AN60" s="291"/>
      <x:c r="AO60" s="291"/>
      <x:c r="AP60" s="291"/>
      <x:c r="AQ60" s="291"/>
      <x:c r="AR60" s="291"/>
      <x:c r="AS60" s="291"/>
      <x:c r="AT60" s="291"/>
      <x:c r="AU60" s="291"/>
      <x:c r="AV60" s="291"/>
      <x:c r="AW60" s="291"/>
      <x:c r="AX60" s="291"/>
      <x:c r="AY60" s="291"/>
      <x:c r="AZ60" s="291"/>
      <x:c r="BA60" s="291"/>
      <x:c r="BB60" s="291"/>
      <x:c r="BC60" s="291"/>
      <x:c r="BD60" s="291"/>
      <x:c r="BE60" s="291"/>
      <x:c r="BF60" s="291"/>
      <x:c r="BG60" s="291"/>
      <x:c r="BH60" s="291"/>
      <x:c r="BI60" s="291"/>
      <x:c r="BJ60" s="291"/>
      <x:c r="BK60" s="291"/>
      <x:c r="BL60" s="291"/>
      <x:c r="BM60" s="291"/>
      <x:c r="BN60" s="291"/>
      <x:c r="BO60" s="291"/>
      <x:c r="BP60" s="291"/>
      <x:c r="BQ60" s="291"/>
      <x:c r="BR60" s="291"/>
      <x:c r="BS60" s="291"/>
      <x:c r="BT60" s="291"/>
      <x:c r="BU60" s="291"/>
      <x:c r="BV60" s="291"/>
      <x:c r="BW60" s="291"/>
      <x:c r="BX60" s="291"/>
      <x:c r="BY60" s="291"/>
      <x:c r="BZ60" s="291"/>
      <x:c r="CA60" s="291"/>
      <x:c r="CB60" s="291"/>
      <x:c r="CC60" s="291"/>
      <x:c r="CD60" s="291"/>
      <x:c r="CE60" s="291"/>
      <x:c r="CF60" s="291"/>
      <x:c r="CG60" s="291"/>
      <x:c r="CH60" s="291"/>
      <x:c r="CI60" s="291"/>
      <x:c r="CJ60" s="291"/>
      <x:c r="CK60" s="291"/>
      <x:c r="CL60" s="291"/>
      <x:c r="CM60" s="291"/>
      <x:c r="CN60" s="291"/>
      <x:c r="CO60" s="291"/>
      <x:c r="CP60" s="291"/>
      <x:c r="CQ60" s="291"/>
      <x:c r="CR60" s="291"/>
      <x:c r="CS60" s="291"/>
      <x:c r="CT60" s="291"/>
      <x:c r="CU60" s="291"/>
      <x:c r="CV60" s="291"/>
      <x:c r="CW60" s="291"/>
      <x:c r="CX60" s="291"/>
      <x:c r="CY60" s="291"/>
      <x:c r="CZ60" s="291"/>
      <x:c r="DA60" s="291"/>
      <x:c r="DB60" s="291"/>
      <x:c r="DC60" s="291"/>
      <x:c r="DD60" s="291"/>
      <x:c r="DE60" s="291"/>
      <x:c r="DF60" s="291"/>
      <x:c r="DG60" s="291"/>
      <x:c r="DH60" s="291"/>
      <x:c r="DI60" s="291"/>
      <x:c r="DJ60" s="291"/>
      <x:c r="DK60" s="291"/>
      <x:c r="DL60" s="291"/>
      <x:c r="DM60" s="291"/>
      <x:c r="DN60" s="291"/>
      <x:c r="DO60" s="291"/>
      <x:c r="DP60" s="291"/>
      <x:c r="DQ60" s="291"/>
      <x:c r="DR60" s="291"/>
      <x:c r="DS60" s="291"/>
      <x:c r="DT60" s="291"/>
      <x:c r="DU60" s="291"/>
      <x:c r="DV60" s="291"/>
      <x:c r="DW60" s="291"/>
      <x:c r="DX60" s="291"/>
      <x:c r="DY60" s="291"/>
      <x:c r="DZ60" s="291"/>
      <x:c r="EA60" s="291"/>
      <x:c r="EB60" s="291"/>
      <x:c r="EC60" s="291"/>
      <x:c r="ED60" s="291"/>
      <x:c r="EE60" s="291"/>
      <x:c r="EF60" s="291"/>
      <x:c r="EG60" s="291"/>
      <x:c r="EH60" s="291"/>
      <x:c r="EI60" s="291"/>
      <x:c r="EJ60" s="291"/>
      <x:c r="EK60" s="291"/>
      <x:c r="EL60" s="291"/>
      <x:c r="EM60" s="291"/>
      <x:c r="EN60" s="291"/>
      <x:c r="EO60" s="291"/>
      <x:c r="EP60" s="291"/>
      <x:c r="EQ60" s="291"/>
      <x:c r="ER60" s="291"/>
      <x:c r="ES60" s="291"/>
      <x:c r="ET60" s="291"/>
      <x:c r="EU60" s="291"/>
      <x:c r="EV60" s="291"/>
      <x:c r="EW60" s="291"/>
      <x:c r="EX60" s="291"/>
      <x:c r="EY60" s="291"/>
      <x:c r="EZ60" s="291"/>
      <x:c r="FA60" s="291"/>
      <x:c r="FB60" s="291"/>
      <x:c r="FC60" s="291"/>
      <x:c r="FD60" s="291"/>
      <x:c r="FE60" s="291"/>
      <x:c r="FF60" s="291"/>
      <x:c r="FG60" s="291"/>
      <x:c r="FH60" s="291"/>
      <x:c r="FI60" s="291"/>
      <x:c r="FJ60" s="291"/>
      <x:c r="FK60" s="291"/>
      <x:c r="FL60" s="291"/>
      <x:c r="FM60" s="291"/>
      <x:c r="FN60" s="291"/>
      <x:c r="FO60" s="291"/>
      <x:c r="FP60" s="291"/>
      <x:c r="FQ60" s="291"/>
      <x:c r="FR60" s="291"/>
      <x:c r="FS60" s="291"/>
      <x:c r="FT60" s="291"/>
      <x:c r="FU60" s="291"/>
      <x:c r="FV60" s="291"/>
      <x:c r="FW60" s="291"/>
      <x:c r="FX60" s="291"/>
      <x:c r="FY60" s="291"/>
      <x:c r="FZ60" s="291"/>
      <x:c r="GA60" s="291"/>
      <x:c r="GB60" s="291"/>
      <x:c r="GC60" s="291"/>
      <x:c r="GD60" s="291"/>
      <x:c r="GE60" s="291"/>
      <x:c r="GF60" s="291"/>
      <x:c r="GG60" s="291"/>
      <x:c r="GH60" s="291"/>
      <x:c r="GI60" s="291"/>
      <x:c r="GJ60" s="291"/>
      <x:c r="GK60" s="291"/>
      <x:c r="GL60" s="291"/>
      <x:c r="GM60" s="291"/>
      <x:c r="GN60" s="291"/>
      <x:c r="GO60" s="291"/>
      <x:c r="GP60" s="291"/>
      <x:c r="GQ60" s="291"/>
      <x:c r="GR60" s="291"/>
      <x:c r="GS60" s="291"/>
      <x:c r="GT60" s="291"/>
      <x:c r="GU60" s="291"/>
      <x:c r="GV60" s="291"/>
      <x:c r="GW60" s="291"/>
      <x:c r="GX60" s="291"/>
      <x:c r="GY60" s="291"/>
      <x:c r="GZ60" s="291"/>
      <x:c r="HA60" s="291"/>
      <x:c r="HB60" s="291"/>
      <x:c r="HC60" s="291"/>
      <x:c r="HD60" s="291"/>
      <x:c r="HE60" s="291"/>
      <x:c r="HF60" s="291"/>
      <x:c r="HG60" s="291"/>
      <x:c r="HH60" s="291"/>
      <x:c r="HI60" s="291"/>
      <x:c r="HJ60" s="291"/>
      <x:c r="HK60" s="291"/>
      <x:c r="HL60" s="291"/>
      <x:c r="HM60" s="291"/>
      <x:c r="HN60" s="291"/>
      <x:c r="HO60" s="291"/>
      <x:c r="HP60" s="291"/>
      <x:c r="HQ60" s="291"/>
      <x:c r="HR60" s="291"/>
      <x:c r="HS60" s="291"/>
      <x:c r="HT60" s="291"/>
      <x:c r="HU60" s="291"/>
      <x:c r="HV60" s="291"/>
      <x:c r="HW60" s="291"/>
      <x:c r="HX60" s="291"/>
      <x:c r="HY60" s="291"/>
      <x:c r="HZ60" s="291"/>
      <x:c r="IA60" s="291"/>
      <x:c r="IB60" s="291"/>
      <x:c r="IC60" s="291"/>
      <x:c r="ID60" s="291"/>
      <x:c r="IE60" s="291"/>
      <x:c r="IF60" s="291"/>
      <x:c r="IG60" s="291"/>
      <x:c r="IH60" s="291"/>
      <x:c r="II60" s="291"/>
      <x:c r="IJ60" s="291"/>
      <x:c r="IK60" s="291"/>
      <x:c r="IL60" s="291"/>
      <x:c r="IM60" s="291"/>
      <x:c r="IN60" s="291"/>
      <x:c r="IO60" s="291"/>
      <x:c r="IP60" s="291"/>
      <x:c r="IQ60" s="291"/>
      <x:c r="IR60" s="291"/>
      <x:c r="IS60" s="291"/>
      <x:c r="IT60" s="291"/>
      <x:c r="IU60" s="291"/>
      <x:c r="IV60" s="291"/>
      <x:c r="IW60" s="291"/>
      <x:c r="IX60" s="291"/>
      <x:c r="IY60" s="291"/>
      <x:c r="IZ60" s="291"/>
      <x:c r="JA60" s="291"/>
      <x:c r="JB60" s="291"/>
      <x:c r="JC60" s="291"/>
      <x:c r="JD60" s="291"/>
      <x:c r="JE60" s="291"/>
      <x:c r="JF60" s="291"/>
      <x:c r="JG60" s="291"/>
      <x:c r="JH60" s="291"/>
      <x:c r="JI60" s="291"/>
      <x:c r="JJ60" s="291"/>
      <x:c r="JK60" s="291"/>
      <x:c r="JL60" s="291"/>
      <x:c r="JM60" s="291"/>
      <x:c r="JN60" s="291"/>
      <x:c r="JO60" s="291"/>
      <x:c r="JP60" s="291"/>
      <x:c r="JQ60" s="291"/>
      <x:c r="JR60" s="291"/>
      <x:c r="JS60" s="291"/>
      <x:c r="JT60" s="291"/>
      <x:c r="JU60" s="291"/>
      <x:c r="JV60" s="291"/>
      <x:c r="JW60" s="291"/>
      <x:c r="JX60" s="291"/>
      <x:c r="JY60" s="291"/>
      <x:c r="JZ60" s="291"/>
      <x:c r="KA60" s="291"/>
      <x:c r="KB60" s="291"/>
      <x:c r="KC60" s="291"/>
      <x:c r="KD60" s="291"/>
      <x:c r="KE60" s="291"/>
      <x:c r="KF60" s="291"/>
      <x:c r="KG60" s="291"/>
      <x:c r="KH60" s="291"/>
      <x:c r="KI60" s="291"/>
      <x:c r="KJ60" s="291"/>
      <x:c r="KK60" s="291"/>
      <x:c r="KL60" s="291"/>
      <x:c r="KM60" s="291"/>
      <x:c r="KN60" s="291"/>
      <x:c r="KO60" s="291"/>
      <x:c r="KP60" s="291"/>
      <x:c r="KQ60" s="291"/>
      <x:c r="KR60" s="291"/>
      <x:c r="KS60" s="291"/>
      <x:c r="KT60" s="291"/>
      <x:c r="KU60" s="291"/>
      <x:c r="KV60" s="291"/>
      <x:c r="KW60" s="291"/>
      <x:c r="KX60" s="291"/>
      <x:c r="KY60" s="291"/>
      <x:c r="KZ60" s="291"/>
      <x:c r="LA60" s="291"/>
      <x:c r="LB60" s="291"/>
      <x:c r="LC60" s="291"/>
      <x:c r="LD60" s="291"/>
      <x:c r="LE60" s="291"/>
      <x:c r="LF60" s="291"/>
      <x:c r="LG60" s="291"/>
      <x:c r="LH60" s="291"/>
      <x:c r="LI60" s="291"/>
      <x:c r="LJ60" s="291"/>
      <x:c r="LK60" s="291"/>
      <x:c r="LL60" s="291"/>
      <x:c r="LM60" s="291"/>
      <x:c r="LN60" s="291"/>
      <x:c r="LO60" s="291"/>
      <x:c r="LP60" s="291"/>
      <x:c r="LQ60" s="291"/>
      <x:c r="LR60" s="291"/>
      <x:c r="LS60" s="291"/>
      <x:c r="LT60" s="291"/>
      <x:c r="LU60" s="291"/>
      <x:c r="LV60" s="291"/>
      <x:c r="LW60" s="291"/>
      <x:c r="LX60" s="291"/>
      <x:c r="LY60" s="291"/>
      <x:c r="LZ60" s="291"/>
      <x:c r="MA60" s="291"/>
      <x:c r="MB60" s="291"/>
      <x:c r="MC60" s="291"/>
      <x:c r="MD60" s="291"/>
      <x:c r="ME60" s="291"/>
      <x:c r="MF60" s="291"/>
      <x:c r="MG60" s="291"/>
      <x:c r="MH60" s="291"/>
      <x:c r="MI60" s="291"/>
      <x:c r="MJ60" s="291"/>
      <x:c r="MK60" s="291"/>
      <x:c r="ML60" s="291"/>
      <x:c r="MM60" s="291"/>
      <x:c r="MN60" s="291"/>
      <x:c r="MO60" s="291"/>
      <x:c r="MP60" s="291"/>
      <x:c r="MQ60" s="291"/>
      <x:c r="MR60" s="291"/>
      <x:c r="MS60" s="291"/>
      <x:c r="MT60" s="291"/>
      <x:c r="MU60" s="291"/>
      <x:c r="MV60" s="291"/>
      <x:c r="MW60" s="291"/>
      <x:c r="MX60" s="291"/>
      <x:c r="MY60" s="291"/>
      <x:c r="MZ60" s="291"/>
      <x:c r="NA60" s="291"/>
      <x:c r="NB60" s="291"/>
      <x:c r="NC60" s="291"/>
      <x:c r="ND60" s="291"/>
      <x:c r="NE60" s="291"/>
      <x:c r="NF60" s="291"/>
      <x:c r="NG60" s="291"/>
      <x:c r="NH60" s="291"/>
      <x:c r="NI60" s="291"/>
      <x:c r="NJ60" s="291"/>
      <x:c r="NK60" s="291"/>
      <x:c r="NL60" s="291"/>
      <x:c r="NM60" s="291"/>
      <x:c r="NN60" s="291"/>
      <x:c r="NO60" s="291"/>
      <x:c r="NP60" s="291"/>
      <x:c r="NQ60" s="291"/>
      <x:c r="NR60" s="291"/>
      <x:c r="NS60" s="291"/>
      <x:c r="NT60" s="291"/>
      <x:c r="NU60" s="291"/>
      <x:c r="NV60" s="291"/>
      <x:c r="NW60" s="291"/>
      <x:c r="NX60" s="291"/>
      <x:c r="NY60" s="291"/>
      <x:c r="NZ60" s="291"/>
      <x:c r="OA60" s="291"/>
      <x:c r="OB60" s="291"/>
      <x:c r="OC60" s="291"/>
      <x:c r="OD60" s="291"/>
      <x:c r="OE60" s="291"/>
      <x:c r="OF60" s="291"/>
      <x:c r="OG60" s="291"/>
      <x:c r="OH60" s="291"/>
      <x:c r="OI60" s="291"/>
      <x:c r="OJ60" s="291"/>
      <x:c r="OK60" s="291"/>
      <x:c r="OL60" s="291"/>
      <x:c r="OM60" s="291"/>
      <x:c r="ON60" s="291"/>
      <x:c r="OO60" s="291"/>
      <x:c r="OP60" s="291"/>
      <x:c r="OQ60" s="291"/>
      <x:c r="OR60" s="291"/>
      <x:c r="OS60" s="291"/>
      <x:c r="OT60" s="291"/>
      <x:c r="OU60" s="291"/>
      <x:c r="OV60" s="291"/>
      <x:c r="OW60" s="291"/>
      <x:c r="OX60" s="291"/>
      <x:c r="OY60" s="291"/>
      <x:c r="OZ60" s="291"/>
      <x:c r="PA60" s="291"/>
      <x:c r="PB60" s="291"/>
      <x:c r="PC60" s="291"/>
      <x:c r="PD60" s="291"/>
      <x:c r="PE60" s="291"/>
      <x:c r="PF60" s="291"/>
      <x:c r="PG60" s="291"/>
      <x:c r="PH60" s="291"/>
      <x:c r="PI60" s="291"/>
      <x:c r="PJ60" s="291"/>
      <x:c r="PK60" s="291"/>
      <x:c r="PL60" s="291"/>
      <x:c r="PM60" s="291"/>
      <x:c r="PN60" s="291"/>
      <x:c r="PO60" s="291"/>
      <x:c r="PP60" s="291"/>
      <x:c r="PQ60" s="291"/>
      <x:c r="PR60" s="291"/>
      <x:c r="PS60" s="291"/>
      <x:c r="PT60" s="291"/>
      <x:c r="PU60" s="291"/>
      <x:c r="PV60" s="291"/>
      <x:c r="PW60" s="291"/>
      <x:c r="PX60" s="291"/>
      <x:c r="PY60" s="291"/>
      <x:c r="PZ60" s="291"/>
      <x:c r="QA60" s="291"/>
      <x:c r="QB60" s="291"/>
      <x:c r="QC60" s="291"/>
      <x:c r="QD60" s="291"/>
      <x:c r="QE60" s="291"/>
      <x:c r="QF60" s="291"/>
      <x:c r="QG60" s="291"/>
      <x:c r="QH60" s="291"/>
      <x:c r="QI60" s="291"/>
      <x:c r="QJ60" s="291"/>
      <x:c r="QK60" s="291"/>
      <x:c r="QL60" s="291"/>
      <x:c r="QM60" s="291"/>
      <x:c r="QN60" s="291"/>
      <x:c r="QO60" s="291"/>
      <x:c r="QP60" s="291"/>
      <x:c r="QQ60" s="291"/>
      <x:c r="QR60" s="291"/>
      <x:c r="QS60" s="291"/>
      <x:c r="QT60" s="291"/>
      <x:c r="QU60" s="291"/>
      <x:c r="QV60" s="291"/>
      <x:c r="QW60" s="291"/>
      <x:c r="QX60" s="291"/>
      <x:c r="QY60" s="291"/>
      <x:c r="QZ60" s="291"/>
      <x:c r="RA60" s="291"/>
      <x:c r="RB60" s="291"/>
      <x:c r="RC60" s="291"/>
      <x:c r="RD60" s="291"/>
      <x:c r="RE60" s="291"/>
      <x:c r="RF60" s="291"/>
      <x:c r="RG60" s="291"/>
      <x:c r="RH60" s="291"/>
      <x:c r="RI60" s="291"/>
      <x:c r="RJ60" s="291"/>
      <x:c r="RK60" s="291"/>
      <x:c r="RL60" s="291"/>
      <x:c r="RM60" s="291"/>
      <x:c r="RN60" s="291"/>
      <x:c r="RO60" s="291"/>
      <x:c r="RP60" s="291"/>
      <x:c r="RQ60" s="291"/>
      <x:c r="RR60" s="291"/>
      <x:c r="RS60" s="291"/>
      <x:c r="RT60" s="291"/>
      <x:c r="RU60" s="291"/>
      <x:c r="RV60" s="291"/>
      <x:c r="RW60" s="291"/>
      <x:c r="RX60" s="291"/>
      <x:c r="RY60" s="291"/>
      <x:c r="RZ60" s="291"/>
      <x:c r="SA60" s="291"/>
      <x:c r="SB60" s="291"/>
      <x:c r="SC60" s="291"/>
      <x:c r="SD60" s="291"/>
      <x:c r="SE60" s="291"/>
      <x:c r="SF60" s="291"/>
      <x:c r="SG60" s="291"/>
      <x:c r="SH60" s="291"/>
      <x:c r="SI60" s="291"/>
      <x:c r="SJ60" s="291"/>
      <x:c r="SK60" s="291"/>
      <x:c r="SL60" s="291"/>
      <x:c r="SM60" s="291"/>
      <x:c r="SN60" s="291"/>
      <x:c r="SO60" s="291"/>
      <x:c r="SP60" s="291"/>
      <x:c r="SQ60" s="291"/>
      <x:c r="SR60" s="291"/>
      <x:c r="SS60" s="291"/>
      <x:c r="ST60" s="291"/>
      <x:c r="SU60" s="291"/>
      <x:c r="SV60" s="291"/>
      <x:c r="SW60" s="291"/>
      <x:c r="SX60" s="291"/>
      <x:c r="SY60" s="291"/>
      <x:c r="SZ60" s="291"/>
      <x:c r="TA60" s="291"/>
      <x:c r="TB60" s="291"/>
      <x:c r="TC60" s="291"/>
      <x:c r="TD60" s="291"/>
      <x:c r="TE60" s="291"/>
      <x:c r="TF60" s="291"/>
      <x:c r="TG60" s="291"/>
      <x:c r="TH60" s="291"/>
      <x:c r="TI60" s="291"/>
      <x:c r="TJ60" s="291"/>
      <x:c r="TK60" s="291"/>
      <x:c r="TL60" s="291"/>
      <x:c r="TM60" s="291"/>
      <x:c r="TN60" s="291"/>
      <x:c r="TO60" s="291"/>
      <x:c r="TP60" s="291"/>
      <x:c r="TQ60" s="291"/>
      <x:c r="TR60" s="291"/>
      <x:c r="TS60" s="291"/>
      <x:c r="TT60" s="291"/>
      <x:c r="TU60" s="291"/>
      <x:c r="TV60" s="291"/>
      <x:c r="TW60" s="291"/>
      <x:c r="TX60" s="291"/>
      <x:c r="TY60" s="291"/>
      <x:c r="TZ60" s="291"/>
      <x:c r="UA60" s="291"/>
      <x:c r="UB60" s="291"/>
      <x:c r="UC60" s="291"/>
      <x:c r="UD60" s="291"/>
      <x:c r="UE60" s="291"/>
      <x:c r="UF60" s="291"/>
      <x:c r="UG60" s="291"/>
      <x:c r="UH60" s="291"/>
      <x:c r="UI60" s="291"/>
      <x:c r="UJ60" s="291"/>
      <x:c r="UK60" s="291"/>
      <x:c r="UL60" s="291"/>
      <x:c r="UM60" s="291"/>
      <x:c r="UN60" s="291"/>
      <x:c r="UO60" s="291"/>
      <x:c r="UP60" s="291"/>
      <x:c r="UQ60" s="291"/>
      <x:c r="UR60" s="291"/>
      <x:c r="US60" s="291"/>
      <x:c r="UT60" s="291"/>
      <x:c r="UU60" s="291"/>
      <x:c r="UV60" s="291"/>
      <x:c r="UW60" s="291"/>
      <x:c r="UX60" s="291"/>
      <x:c r="UY60" s="291"/>
      <x:c r="UZ60" s="291"/>
      <x:c r="VA60" s="291"/>
      <x:c r="VB60" s="291"/>
      <x:c r="VC60" s="291"/>
      <x:c r="VD60" s="291"/>
      <x:c r="VE60" s="291"/>
      <x:c r="VF60" s="291"/>
      <x:c r="VG60" s="291"/>
      <x:c r="VH60" s="291"/>
      <x:c r="VI60" s="291"/>
      <x:c r="VJ60" s="291"/>
      <x:c r="VK60" s="291"/>
      <x:c r="VL60" s="291"/>
      <x:c r="VM60" s="291"/>
      <x:c r="VN60" s="291"/>
      <x:c r="VO60" s="291"/>
      <x:c r="VP60" s="291"/>
      <x:c r="VQ60" s="291"/>
      <x:c r="VR60" s="291"/>
      <x:c r="VS60" s="291"/>
      <x:c r="VT60" s="291"/>
      <x:c r="VU60" s="291"/>
      <x:c r="VV60" s="291"/>
      <x:c r="VW60" s="291"/>
      <x:c r="VX60" s="291"/>
      <x:c r="VY60" s="291"/>
      <x:c r="VZ60" s="291"/>
      <x:c r="WA60" s="291"/>
      <x:c r="WB60" s="291"/>
      <x:c r="WC60" s="291"/>
      <x:c r="WD60" s="291"/>
      <x:c r="WE60" s="291"/>
      <x:c r="WF60" s="291"/>
      <x:c r="WG60" s="291"/>
      <x:c r="WH60" s="291"/>
      <x:c r="WI60" s="291"/>
      <x:c r="WJ60" s="291"/>
      <x:c r="WK60" s="291"/>
      <x:c r="WL60" s="291"/>
      <x:c r="WM60" s="291"/>
      <x:c r="WN60" s="291"/>
      <x:c r="WO60" s="291"/>
      <x:c r="WP60" s="291"/>
      <x:c r="WQ60" s="291"/>
      <x:c r="WR60" s="291"/>
      <x:c r="WS60" s="291"/>
      <x:c r="WT60" s="291"/>
      <x:c r="WU60" s="291"/>
      <x:c r="WV60" s="291"/>
      <x:c r="WW60" s="291"/>
      <x:c r="WX60" s="291"/>
      <x:c r="WY60" s="291"/>
      <x:c r="WZ60" s="291"/>
      <x:c r="XA60" s="291"/>
      <x:c r="XB60" s="291"/>
      <x:c r="XC60" s="291"/>
      <x:c r="XD60" s="291"/>
      <x:c r="XE60" s="291"/>
      <x:c r="XF60" s="291"/>
      <x:c r="XG60" s="291"/>
      <x:c r="XH60" s="291"/>
      <x:c r="XI60" s="291"/>
      <x:c r="XJ60" s="291"/>
      <x:c r="XK60" s="291"/>
      <x:c r="XL60" s="291"/>
      <x:c r="XM60" s="291"/>
      <x:c r="XN60" s="291"/>
      <x:c r="XO60" s="291"/>
      <x:c r="XP60" s="291"/>
      <x:c r="XQ60" s="291"/>
      <x:c r="XR60" s="291"/>
      <x:c r="XS60" s="291"/>
      <x:c r="XT60" s="291"/>
      <x:c r="XU60" s="291"/>
      <x:c r="XV60" s="291"/>
      <x:c r="XW60" s="291"/>
      <x:c r="XX60" s="291"/>
      <x:c r="XY60" s="291"/>
      <x:c r="XZ60" s="291"/>
      <x:c r="YA60" s="291"/>
      <x:c r="YB60" s="291"/>
      <x:c r="YC60" s="291"/>
      <x:c r="YD60" s="291"/>
      <x:c r="YE60" s="291"/>
      <x:c r="YF60" s="291"/>
      <x:c r="YG60" s="291"/>
      <x:c r="YH60" s="291"/>
      <x:c r="YI60" s="291"/>
      <x:c r="YJ60" s="291"/>
      <x:c r="YK60" s="291"/>
      <x:c r="YL60" s="291"/>
      <x:c r="YM60" s="291"/>
      <x:c r="YN60" s="291"/>
      <x:c r="YO60" s="291"/>
      <x:c r="YP60" s="291"/>
      <x:c r="YQ60" s="291"/>
      <x:c r="YR60" s="291"/>
      <x:c r="YS60" s="291"/>
      <x:c r="YT60" s="291"/>
      <x:c r="YU60" s="291"/>
      <x:c r="YV60" s="291"/>
      <x:c r="YW60" s="291"/>
      <x:c r="YX60" s="291"/>
      <x:c r="YY60" s="291"/>
      <x:c r="YZ60" s="291"/>
      <x:c r="ZA60" s="291"/>
      <x:c r="ZB60" s="291"/>
      <x:c r="ZC60" s="291"/>
      <x:c r="ZD60" s="291"/>
      <x:c r="ZE60" s="291"/>
      <x:c r="ZF60" s="291"/>
      <x:c r="ZG60" s="291"/>
      <x:c r="ZH60" s="291"/>
      <x:c r="ZI60" s="291"/>
      <x:c r="ZJ60" s="291"/>
      <x:c r="ZK60" s="291"/>
      <x:c r="ZL60" s="291"/>
      <x:c r="ZM60" s="291"/>
      <x:c r="ZN60" s="291"/>
      <x:c r="ZO60" s="291"/>
      <x:c r="ZP60" s="291"/>
      <x:c r="ZQ60" s="291"/>
      <x:c r="ZR60" s="291"/>
      <x:c r="ZS60" s="291"/>
      <x:c r="ZT60" s="291"/>
      <x:c r="ZU60" s="291"/>
      <x:c r="ZV60" s="291"/>
      <x:c r="ZW60" s="291"/>
      <x:c r="ZX60" s="291"/>
      <x:c r="ZY60" s="291"/>
      <x:c r="ZZ60" s="291"/>
      <x:c r="AAA60" s="291"/>
      <x:c r="AAB60" s="291"/>
      <x:c r="AAC60" s="291"/>
      <x:c r="AAD60" s="291"/>
      <x:c r="AAE60" s="291"/>
      <x:c r="AAF60" s="291"/>
      <x:c r="AAG60" s="291"/>
      <x:c r="AAH60" s="291"/>
      <x:c r="AAI60" s="291"/>
      <x:c r="AAJ60" s="291"/>
      <x:c r="AAK60" s="291"/>
      <x:c r="AAL60" s="291"/>
      <x:c r="AAM60" s="291"/>
      <x:c r="AAN60" s="291"/>
      <x:c r="AAO60" s="291"/>
      <x:c r="AAP60" s="291"/>
      <x:c r="AAQ60" s="291"/>
      <x:c r="AAR60" s="291"/>
      <x:c r="AAS60" s="291"/>
      <x:c r="AAT60" s="291"/>
      <x:c r="AAU60" s="291"/>
      <x:c r="AAV60" s="291"/>
      <x:c r="AAW60" s="291"/>
      <x:c r="AAX60" s="291"/>
      <x:c r="AAY60" s="291"/>
      <x:c r="AAZ60" s="291"/>
      <x:c r="ABA60" s="291"/>
      <x:c r="ABB60" s="291"/>
      <x:c r="ABC60" s="291"/>
      <x:c r="ABD60" s="291"/>
      <x:c r="ABE60" s="291"/>
      <x:c r="ABF60" s="291"/>
      <x:c r="ABG60" s="291"/>
      <x:c r="ABH60" s="291"/>
      <x:c r="ABI60" s="291"/>
      <x:c r="ABJ60" s="291"/>
      <x:c r="ABK60" s="291"/>
      <x:c r="ABL60" s="291"/>
      <x:c r="ABM60" s="291"/>
      <x:c r="ABN60" s="291"/>
      <x:c r="ABO60" s="291"/>
      <x:c r="ABP60" s="291"/>
      <x:c r="ABQ60" s="291"/>
      <x:c r="ABR60" s="291"/>
      <x:c r="ABS60" s="291"/>
      <x:c r="ABT60" s="291"/>
      <x:c r="ABU60" s="291"/>
      <x:c r="ABV60" s="291"/>
      <x:c r="ABW60" s="291"/>
      <x:c r="ABX60" s="291"/>
      <x:c r="ABY60" s="291"/>
      <x:c r="ABZ60" s="291"/>
      <x:c r="ACA60" s="291"/>
      <x:c r="ACB60" s="291"/>
      <x:c r="ACC60" s="291"/>
      <x:c r="ACD60" s="291"/>
      <x:c r="ACE60" s="291"/>
      <x:c r="ACF60" s="291"/>
      <x:c r="ACG60" s="291"/>
      <x:c r="ACH60" s="291"/>
      <x:c r="ACI60" s="291"/>
      <x:c r="ACJ60" s="291"/>
      <x:c r="ACK60" s="291"/>
      <x:c r="ACL60" s="291"/>
      <x:c r="ACM60" s="291"/>
      <x:c r="ACN60" s="291"/>
      <x:c r="ACO60" s="291"/>
      <x:c r="ACP60" s="291"/>
      <x:c r="ACQ60" s="291"/>
      <x:c r="ACR60" s="291"/>
      <x:c r="ACS60" s="291"/>
      <x:c r="ACT60" s="291"/>
      <x:c r="ACU60" s="291"/>
      <x:c r="ACV60" s="291"/>
      <x:c r="ACW60" s="291"/>
      <x:c r="ACX60" s="291"/>
      <x:c r="ACY60" s="291"/>
      <x:c r="ACZ60" s="291"/>
      <x:c r="ADA60" s="291"/>
      <x:c r="ADB60" s="291"/>
      <x:c r="ADC60" s="291"/>
      <x:c r="ADD60" s="291"/>
      <x:c r="ADE60" s="291"/>
      <x:c r="ADF60" s="291"/>
      <x:c r="ADG60" s="291"/>
      <x:c r="ADH60" s="291"/>
      <x:c r="ADI60" s="291"/>
      <x:c r="ADJ60" s="291"/>
      <x:c r="ADK60" s="291"/>
      <x:c r="ADL60" s="291"/>
      <x:c r="ADM60" s="291"/>
      <x:c r="ADN60" s="291"/>
      <x:c r="ADO60" s="291"/>
      <x:c r="ADP60" s="291"/>
      <x:c r="ADQ60" s="291"/>
      <x:c r="ADR60" s="291"/>
      <x:c r="ADS60" s="291"/>
      <x:c r="ADT60" s="291"/>
      <x:c r="ADU60" s="291"/>
      <x:c r="ADV60" s="291"/>
      <x:c r="ADW60" s="291"/>
      <x:c r="ADX60" s="291"/>
      <x:c r="ADY60" s="291"/>
      <x:c r="ADZ60" s="291"/>
      <x:c r="AEA60" s="291"/>
      <x:c r="AEB60" s="291"/>
      <x:c r="AEC60" s="291"/>
      <x:c r="AED60" s="291"/>
      <x:c r="AEE60" s="291"/>
      <x:c r="AEF60" s="291"/>
      <x:c r="AEG60" s="291"/>
      <x:c r="AEH60" s="291"/>
      <x:c r="AEI60" s="291"/>
      <x:c r="AEJ60" s="291"/>
      <x:c r="AEK60" s="291"/>
      <x:c r="AEL60" s="291"/>
      <x:c r="AEM60" s="291"/>
      <x:c r="AEN60" s="291"/>
      <x:c r="AEO60" s="291"/>
      <x:c r="AEP60" s="291"/>
      <x:c r="AEQ60" s="291"/>
      <x:c r="AER60" s="291"/>
      <x:c r="AES60" s="291"/>
      <x:c r="AET60" s="291"/>
      <x:c r="AEU60" s="291"/>
      <x:c r="AEV60" s="291"/>
      <x:c r="AEW60" s="291"/>
      <x:c r="AEX60" s="291"/>
      <x:c r="AEY60" s="291"/>
      <x:c r="AEZ60" s="291"/>
      <x:c r="AFA60" s="291"/>
      <x:c r="AFB60" s="291"/>
      <x:c r="AFC60" s="291"/>
      <x:c r="AFD60" s="291"/>
      <x:c r="AFE60" s="291"/>
      <x:c r="AFF60" s="291"/>
      <x:c r="AFG60" s="291"/>
      <x:c r="AFH60" s="291"/>
      <x:c r="AFI60" s="291"/>
      <x:c r="AFJ60" s="291"/>
      <x:c r="AFK60" s="291"/>
      <x:c r="AFL60" s="291"/>
      <x:c r="AFM60" s="291"/>
      <x:c r="AFN60" s="291"/>
      <x:c r="AFO60" s="291"/>
      <x:c r="AFP60" s="291"/>
      <x:c r="AFQ60" s="291"/>
      <x:c r="AFR60" s="291"/>
      <x:c r="AFS60" s="291"/>
      <x:c r="AFT60" s="291"/>
      <x:c r="AFU60" s="291"/>
      <x:c r="AFV60" s="291"/>
      <x:c r="AFW60" s="291"/>
      <x:c r="AFX60" s="291"/>
      <x:c r="AFY60" s="291"/>
      <x:c r="AFZ60" s="291"/>
      <x:c r="AGA60" s="291"/>
      <x:c r="AGB60" s="291"/>
      <x:c r="AGC60" s="291"/>
      <x:c r="AGD60" s="291"/>
      <x:c r="AGE60" s="291"/>
      <x:c r="AGF60" s="291"/>
      <x:c r="AGG60" s="291"/>
      <x:c r="AGH60" s="291"/>
      <x:c r="AGI60" s="291"/>
      <x:c r="AGJ60" s="291"/>
      <x:c r="AGK60" s="291"/>
      <x:c r="AGL60" s="291"/>
      <x:c r="AGM60" s="291"/>
      <x:c r="AGN60" s="291"/>
      <x:c r="AGO60" s="291"/>
      <x:c r="AGP60" s="291"/>
      <x:c r="AGQ60" s="291"/>
      <x:c r="AGR60" s="291"/>
      <x:c r="AGS60" s="291"/>
      <x:c r="AGT60" s="291"/>
      <x:c r="AGU60" s="291"/>
      <x:c r="AGV60" s="291"/>
      <x:c r="AGW60" s="291"/>
      <x:c r="AGX60" s="291"/>
      <x:c r="AGY60" s="291"/>
      <x:c r="AGZ60" s="291"/>
      <x:c r="AHA60" s="291"/>
      <x:c r="AHB60" s="291"/>
      <x:c r="AHC60" s="291"/>
      <x:c r="AHD60" s="291"/>
      <x:c r="AHE60" s="291"/>
      <x:c r="AHF60" s="291"/>
      <x:c r="AHG60" s="291"/>
      <x:c r="AHH60" s="291"/>
      <x:c r="AHI60" s="291"/>
      <x:c r="AHJ60" s="291"/>
      <x:c r="AHK60" s="291"/>
      <x:c r="AHL60" s="291"/>
      <x:c r="AHM60" s="291"/>
      <x:c r="AHN60" s="291"/>
      <x:c r="AHO60" s="291"/>
      <x:c r="AHP60" s="291"/>
      <x:c r="AHQ60" s="291"/>
      <x:c r="AHR60" s="291"/>
      <x:c r="AHS60" s="291"/>
      <x:c r="AHT60" s="291"/>
      <x:c r="AHU60" s="291"/>
      <x:c r="AHV60" s="291"/>
      <x:c r="AHW60" s="291"/>
      <x:c r="AHX60" s="291"/>
      <x:c r="AHY60" s="291"/>
      <x:c r="AHZ60" s="291"/>
      <x:c r="AIA60" s="291"/>
      <x:c r="AIB60" s="291"/>
      <x:c r="AIC60" s="291"/>
      <x:c r="AID60" s="291"/>
      <x:c r="AIE60" s="291"/>
      <x:c r="AIF60" s="291"/>
      <x:c r="AIG60" s="291"/>
      <x:c r="AIH60" s="291"/>
      <x:c r="AII60" s="291"/>
      <x:c r="AIJ60" s="291"/>
      <x:c r="AIK60" s="291"/>
      <x:c r="AIL60" s="291"/>
      <x:c r="AIM60" s="291"/>
      <x:c r="AIN60" s="291"/>
      <x:c r="AIO60" s="291"/>
      <x:c r="AIP60" s="291"/>
      <x:c r="AIQ60" s="291"/>
      <x:c r="AIR60" s="291"/>
      <x:c r="AIS60" s="291"/>
      <x:c r="AIT60" s="291"/>
      <x:c r="AIU60" s="291"/>
      <x:c r="AIV60" s="291"/>
      <x:c r="AIW60" s="291"/>
      <x:c r="AIX60" s="291"/>
      <x:c r="AIY60" s="291"/>
      <x:c r="AIZ60" s="291"/>
      <x:c r="AJA60" s="291"/>
      <x:c r="AJB60" s="291"/>
      <x:c r="AJC60" s="291"/>
      <x:c r="AJD60" s="291"/>
      <x:c r="AJE60" s="291"/>
      <x:c r="AJF60" s="291"/>
      <x:c r="AJG60" s="291"/>
      <x:c r="AJH60" s="291"/>
      <x:c r="AJI60" s="291"/>
      <x:c r="AJJ60" s="291"/>
      <x:c r="AJK60" s="291"/>
      <x:c r="AJL60" s="291"/>
      <x:c r="AJM60" s="291"/>
      <x:c r="AJN60" s="291"/>
      <x:c r="AJO60" s="291"/>
      <x:c r="AJP60" s="291"/>
      <x:c r="AJQ60" s="291"/>
      <x:c r="AJR60" s="291"/>
      <x:c r="AJS60" s="291"/>
      <x:c r="AJT60" s="291"/>
      <x:c r="AJU60" s="291"/>
      <x:c r="AJV60" s="291"/>
      <x:c r="AJW60" s="291"/>
      <x:c r="AJX60" s="291"/>
      <x:c r="AJY60" s="291"/>
      <x:c r="AJZ60" s="291"/>
      <x:c r="AKA60" s="291"/>
      <x:c r="AKB60" s="291"/>
      <x:c r="AKC60" s="291"/>
      <x:c r="AKD60" s="291"/>
      <x:c r="AKE60" s="291"/>
      <x:c r="AKF60" s="291"/>
      <x:c r="AKG60" s="291"/>
      <x:c r="AKH60" s="291"/>
      <x:c r="AKI60" s="291"/>
      <x:c r="AKJ60" s="291"/>
      <x:c r="AKK60" s="291"/>
      <x:c r="AKL60" s="291"/>
      <x:c r="AKM60" s="291"/>
      <x:c r="AKN60" s="291"/>
      <x:c r="AKO60" s="291"/>
      <x:c r="AKP60" s="291"/>
      <x:c r="AKQ60" s="291"/>
      <x:c r="AKR60" s="291"/>
      <x:c r="AKS60" s="291"/>
      <x:c r="AKT60" s="291"/>
      <x:c r="AKU60" s="291"/>
      <x:c r="AKV60" s="291"/>
      <x:c r="AKW60" s="291"/>
      <x:c r="AKX60" s="291"/>
      <x:c r="AKY60" s="291"/>
      <x:c r="AKZ60" s="291"/>
      <x:c r="ALA60" s="291"/>
      <x:c r="ALB60" s="291"/>
      <x:c r="ALC60" s="291"/>
      <x:c r="ALD60" s="291"/>
      <x:c r="ALE60" s="291"/>
      <x:c r="ALF60" s="291"/>
      <x:c r="ALG60" s="291"/>
      <x:c r="ALH60" s="291"/>
      <x:c r="ALI60" s="291"/>
      <x:c r="ALJ60" s="291"/>
      <x:c r="ALK60" s="291"/>
      <x:c r="ALL60" s="291"/>
      <x:c r="ALM60" s="291"/>
      <x:c r="ALN60" s="291"/>
      <x:c r="ALO60" s="291"/>
      <x:c r="ALP60" s="291"/>
      <x:c r="ALQ60" s="291"/>
      <x:c r="ALR60" s="291"/>
      <x:c r="ALS60" s="291"/>
      <x:c r="ALT60" s="291"/>
      <x:c r="ALU60" s="291"/>
      <x:c r="ALV60" s="291"/>
      <x:c r="ALW60" s="291"/>
      <x:c r="ALX60" s="291"/>
      <x:c r="ALY60" s="291"/>
      <x:c r="ALZ60" s="291"/>
      <x:c r="AMA60" s="291"/>
      <x:c r="AMB60" s="291"/>
      <x:c r="AMC60" s="291"/>
      <x:c r="AMD60" s="291"/>
      <x:c r="AME60" s="291"/>
      <x:c r="AMF60" s="291"/>
      <x:c r="AMG60" s="291"/>
      <x:c r="AMH60" s="291"/>
      <x:c r="AMI60" s="291"/>
      <x:c r="AMJ60" s="291"/>
      <x:c r="AMK60" s="291"/>
      <x:c r="AML60" s="291"/>
      <x:c r="AMM60" s="291"/>
      <x:c r="AMN60" s="291"/>
      <x:c r="AMO60" s="291"/>
      <x:c r="AMP60" s="291"/>
      <x:c r="AMQ60" s="291"/>
      <x:c r="AMR60" s="291"/>
      <x:c r="AMS60" s="291"/>
      <x:c r="AMT60" s="291"/>
      <x:c r="AMU60" s="291"/>
      <x:c r="AMV60" s="291"/>
      <x:c r="AMW60" s="291"/>
      <x:c r="AMX60" s="291"/>
      <x:c r="AMY60" s="291"/>
      <x:c r="AMZ60" s="291"/>
      <x:c r="ANA60" s="291"/>
      <x:c r="ANB60" s="291"/>
      <x:c r="ANC60" s="291"/>
      <x:c r="AND60" s="291"/>
      <x:c r="ANE60" s="291"/>
      <x:c r="ANF60" s="291"/>
      <x:c r="ANG60" s="291"/>
      <x:c r="ANH60" s="291"/>
      <x:c r="ANI60" s="291"/>
      <x:c r="ANJ60" s="291"/>
      <x:c r="ANK60" s="291"/>
      <x:c r="ANL60" s="291"/>
      <x:c r="ANM60" s="291"/>
      <x:c r="ANN60" s="291"/>
      <x:c r="ANO60" s="291"/>
      <x:c r="ANP60" s="291"/>
      <x:c r="ANQ60" s="291"/>
      <x:c r="ANR60" s="291"/>
      <x:c r="ANS60" s="291"/>
      <x:c r="ANT60" s="291"/>
      <x:c r="ANU60" s="291"/>
      <x:c r="ANV60" s="291"/>
      <x:c r="ANW60" s="291"/>
      <x:c r="ANX60" s="291"/>
      <x:c r="ANY60" s="291"/>
      <x:c r="ANZ60" s="291"/>
      <x:c r="AOA60" s="291"/>
      <x:c r="AOB60" s="291"/>
      <x:c r="AOC60" s="291"/>
      <x:c r="AOD60" s="291"/>
      <x:c r="AOE60" s="291"/>
      <x:c r="AOF60" s="291"/>
      <x:c r="AOG60" s="291"/>
      <x:c r="AOH60" s="291"/>
      <x:c r="AOI60" s="291"/>
      <x:c r="AOJ60" s="291"/>
      <x:c r="AOK60" s="291"/>
      <x:c r="AOL60" s="291"/>
      <x:c r="AOM60" s="291"/>
      <x:c r="AON60" s="291"/>
      <x:c r="AOO60" s="291"/>
      <x:c r="AOP60" s="291"/>
      <x:c r="AOQ60" s="291"/>
      <x:c r="AOR60" s="291"/>
      <x:c r="AOS60" s="291"/>
      <x:c r="AOT60" s="291"/>
      <x:c r="AOU60" s="291"/>
      <x:c r="AOV60" s="291"/>
      <x:c r="AOW60" s="291"/>
      <x:c r="AOX60" s="291"/>
      <x:c r="AOY60" s="291"/>
      <x:c r="AOZ60" s="291"/>
      <x:c r="APA60" s="291"/>
      <x:c r="APB60" s="291"/>
      <x:c r="APC60" s="291"/>
      <x:c r="APD60" s="291"/>
      <x:c r="APE60" s="291"/>
      <x:c r="APF60" s="291"/>
      <x:c r="APG60" s="291"/>
      <x:c r="APH60" s="291"/>
      <x:c r="API60" s="291"/>
      <x:c r="APJ60" s="291"/>
      <x:c r="APK60" s="291"/>
      <x:c r="APL60" s="291"/>
      <x:c r="APM60" s="291"/>
      <x:c r="APN60" s="291"/>
      <x:c r="APO60" s="291"/>
      <x:c r="APP60" s="291"/>
      <x:c r="APQ60" s="291"/>
      <x:c r="APR60" s="291"/>
      <x:c r="APS60" s="291"/>
      <x:c r="APT60" s="291"/>
      <x:c r="APU60" s="291"/>
      <x:c r="APV60" s="291"/>
      <x:c r="APW60" s="291"/>
      <x:c r="APX60" s="291"/>
      <x:c r="APY60" s="291"/>
      <x:c r="APZ60" s="291"/>
      <x:c r="AQA60" s="291"/>
      <x:c r="AQB60" s="291"/>
      <x:c r="AQC60" s="291"/>
      <x:c r="AQD60" s="291"/>
      <x:c r="AQE60" s="291"/>
      <x:c r="AQF60" s="291"/>
      <x:c r="AQG60" s="291"/>
      <x:c r="AQH60" s="291"/>
      <x:c r="AQI60" s="291"/>
      <x:c r="AQJ60" s="291"/>
      <x:c r="AQK60" s="291"/>
      <x:c r="AQL60" s="291"/>
      <x:c r="AQM60" s="291"/>
      <x:c r="AQN60" s="291"/>
      <x:c r="AQO60" s="291"/>
      <x:c r="AQP60" s="291"/>
      <x:c r="AQQ60" s="291"/>
      <x:c r="AQR60" s="291"/>
      <x:c r="AQS60" s="291"/>
      <x:c r="AQT60" s="291"/>
      <x:c r="AQU60" s="291"/>
      <x:c r="AQV60" s="291"/>
      <x:c r="AQW60" s="291"/>
      <x:c r="AQX60" s="291"/>
      <x:c r="AQY60" s="291"/>
      <x:c r="AQZ60" s="291"/>
      <x:c r="ARA60" s="291"/>
      <x:c r="ARB60" s="291"/>
      <x:c r="ARC60" s="291"/>
      <x:c r="ARD60" s="291"/>
      <x:c r="ARE60" s="291"/>
      <x:c r="ARF60" s="291"/>
      <x:c r="ARG60" s="291"/>
      <x:c r="ARH60" s="291"/>
      <x:c r="ARI60" s="291"/>
      <x:c r="ARJ60" s="291"/>
      <x:c r="ARK60" s="291"/>
      <x:c r="ARL60" s="291"/>
      <x:c r="ARM60" s="291"/>
      <x:c r="ARN60" s="291"/>
      <x:c r="ARO60" s="291"/>
      <x:c r="ARP60" s="291"/>
      <x:c r="ARQ60" s="291"/>
      <x:c r="ARR60" s="291"/>
      <x:c r="ARS60" s="291"/>
      <x:c r="ART60" s="291"/>
      <x:c r="ARU60" s="291"/>
      <x:c r="ARV60" s="291"/>
      <x:c r="ARW60" s="291"/>
      <x:c r="ARX60" s="291"/>
      <x:c r="ARY60" s="291"/>
      <x:c r="ARZ60" s="291"/>
      <x:c r="ASA60" s="291"/>
      <x:c r="ASB60" s="291"/>
      <x:c r="ASC60" s="291"/>
      <x:c r="ASD60" s="291"/>
      <x:c r="ASE60" s="291"/>
      <x:c r="ASF60" s="291"/>
      <x:c r="ASG60" s="291"/>
      <x:c r="ASH60" s="291"/>
      <x:c r="ASI60" s="291"/>
      <x:c r="ASJ60" s="291"/>
      <x:c r="ASK60" s="291"/>
      <x:c r="ASL60" s="291"/>
      <x:c r="ASM60" s="291"/>
      <x:c r="ASN60" s="291"/>
      <x:c r="ASO60" s="291"/>
      <x:c r="ASP60" s="291"/>
      <x:c r="ASQ60" s="291"/>
      <x:c r="ASR60" s="291"/>
      <x:c r="ASS60" s="291"/>
      <x:c r="AST60" s="291"/>
      <x:c r="ASU60" s="291"/>
      <x:c r="ASV60" s="291"/>
      <x:c r="ASW60" s="291"/>
      <x:c r="ASX60" s="291"/>
      <x:c r="ASY60" s="291"/>
      <x:c r="ASZ60" s="291"/>
      <x:c r="ATA60" s="291"/>
      <x:c r="ATB60" s="291"/>
      <x:c r="ATC60" s="291"/>
      <x:c r="ATD60" s="291"/>
      <x:c r="ATE60" s="291"/>
      <x:c r="ATF60" s="291"/>
      <x:c r="ATG60" s="291"/>
      <x:c r="ATH60" s="291"/>
      <x:c r="ATI60" s="291"/>
      <x:c r="ATJ60" s="291"/>
      <x:c r="ATK60" s="291"/>
      <x:c r="ATL60" s="291"/>
      <x:c r="ATM60" s="291"/>
      <x:c r="ATN60" s="291"/>
      <x:c r="ATO60" s="291"/>
      <x:c r="ATP60" s="291"/>
      <x:c r="ATQ60" s="291"/>
      <x:c r="ATR60" s="291"/>
      <x:c r="ATS60" s="291"/>
      <x:c r="ATT60" s="291"/>
      <x:c r="ATU60" s="291"/>
      <x:c r="ATV60" s="291"/>
      <x:c r="ATW60" s="291"/>
      <x:c r="ATX60" s="291"/>
      <x:c r="ATY60" s="291"/>
      <x:c r="ATZ60" s="291"/>
      <x:c r="AUA60" s="291"/>
      <x:c r="AUB60" s="291"/>
      <x:c r="AUC60" s="291"/>
      <x:c r="AUD60" s="291"/>
      <x:c r="AUE60" s="291"/>
      <x:c r="AUF60" s="291"/>
      <x:c r="AUG60" s="291"/>
      <x:c r="AUH60" s="291"/>
      <x:c r="AUI60" s="291"/>
      <x:c r="AUJ60" s="291"/>
      <x:c r="AUK60" s="291"/>
      <x:c r="AUL60" s="291"/>
      <x:c r="AUM60" s="291"/>
      <x:c r="AUN60" s="291"/>
      <x:c r="AUO60" s="291"/>
      <x:c r="AUP60" s="291"/>
      <x:c r="AUQ60" s="291"/>
      <x:c r="AUR60" s="291"/>
      <x:c r="AUS60" s="291"/>
      <x:c r="AUT60" s="291"/>
      <x:c r="AUU60" s="291"/>
      <x:c r="AUV60" s="291"/>
      <x:c r="AUW60" s="291"/>
      <x:c r="AUX60" s="291"/>
      <x:c r="AUY60" s="291"/>
      <x:c r="AUZ60" s="291"/>
      <x:c r="AVA60" s="291"/>
      <x:c r="AVB60" s="291"/>
      <x:c r="AVC60" s="291"/>
      <x:c r="AVD60" s="291"/>
      <x:c r="AVE60" s="291"/>
      <x:c r="AVF60" s="291"/>
      <x:c r="AVG60" s="291"/>
      <x:c r="AVH60" s="291"/>
      <x:c r="AVI60" s="291"/>
      <x:c r="AVJ60" s="291"/>
      <x:c r="AVK60" s="291"/>
      <x:c r="AVL60" s="291"/>
      <x:c r="AVM60" s="291"/>
      <x:c r="AVN60" s="291"/>
      <x:c r="AVO60" s="291"/>
      <x:c r="AVP60" s="291"/>
      <x:c r="AVQ60" s="291"/>
      <x:c r="AVR60" s="291"/>
      <x:c r="AVS60" s="291"/>
      <x:c r="AVT60" s="291"/>
      <x:c r="AVU60" s="291"/>
      <x:c r="AVV60" s="291"/>
      <x:c r="AVW60" s="291"/>
      <x:c r="AVX60" s="291"/>
      <x:c r="AVY60" s="291"/>
      <x:c r="AVZ60" s="291"/>
      <x:c r="AWA60" s="291"/>
      <x:c r="AWB60" s="291"/>
      <x:c r="AWC60" s="291"/>
      <x:c r="AWD60" s="291"/>
      <x:c r="AWE60" s="291"/>
      <x:c r="AWF60" s="291"/>
      <x:c r="AWG60" s="291"/>
      <x:c r="AWH60" s="291"/>
      <x:c r="AWI60" s="291"/>
      <x:c r="AWJ60" s="291"/>
      <x:c r="AWK60" s="291"/>
      <x:c r="AWL60" s="291"/>
      <x:c r="AWM60" s="291"/>
      <x:c r="AWN60" s="291"/>
      <x:c r="AWO60" s="291"/>
      <x:c r="AWP60" s="291"/>
      <x:c r="AWQ60" s="291"/>
      <x:c r="AWR60" s="291"/>
      <x:c r="AWS60" s="291"/>
      <x:c r="AWT60" s="291"/>
      <x:c r="AWU60" s="291"/>
      <x:c r="AWV60" s="291"/>
      <x:c r="AWW60" s="291"/>
      <x:c r="AWX60" s="291"/>
      <x:c r="AWY60" s="291"/>
      <x:c r="AWZ60" s="291"/>
      <x:c r="AXA60" s="291"/>
      <x:c r="AXB60" s="291"/>
      <x:c r="AXC60" s="291"/>
      <x:c r="AXD60" s="291"/>
      <x:c r="AXE60" s="291"/>
      <x:c r="AXF60" s="291"/>
      <x:c r="AXG60" s="291"/>
      <x:c r="AXH60" s="291"/>
      <x:c r="AXI60" s="291"/>
      <x:c r="AXJ60" s="291"/>
      <x:c r="AXK60" s="291"/>
      <x:c r="AXL60" s="291"/>
      <x:c r="AXM60" s="291"/>
      <x:c r="AXN60" s="291"/>
      <x:c r="AXO60" s="291"/>
      <x:c r="AXP60" s="291"/>
      <x:c r="AXQ60" s="291"/>
      <x:c r="AXR60" s="291"/>
      <x:c r="AXS60" s="291"/>
      <x:c r="AXT60" s="291"/>
      <x:c r="AXU60" s="291"/>
      <x:c r="AXV60" s="291"/>
      <x:c r="AXW60" s="291"/>
      <x:c r="AXX60" s="291"/>
      <x:c r="AXY60" s="291"/>
      <x:c r="AXZ60" s="291"/>
      <x:c r="AYA60" s="291"/>
      <x:c r="AYB60" s="291"/>
      <x:c r="AYC60" s="291"/>
      <x:c r="AYD60" s="291"/>
      <x:c r="AYE60" s="291"/>
      <x:c r="AYF60" s="291"/>
      <x:c r="AYG60" s="291"/>
      <x:c r="AYH60" s="291"/>
      <x:c r="AYI60" s="291"/>
      <x:c r="AYJ60" s="291"/>
      <x:c r="AYK60" s="291"/>
      <x:c r="AYL60" s="291"/>
      <x:c r="AYM60" s="291"/>
      <x:c r="AYN60" s="291"/>
      <x:c r="AYO60" s="291"/>
      <x:c r="AYP60" s="291"/>
      <x:c r="AYQ60" s="291"/>
      <x:c r="AYR60" s="291"/>
      <x:c r="AYS60" s="291"/>
      <x:c r="AYT60" s="291"/>
      <x:c r="AYU60" s="291"/>
      <x:c r="AYV60" s="291"/>
      <x:c r="AYW60" s="291"/>
      <x:c r="AYX60" s="291"/>
      <x:c r="AYY60" s="291"/>
      <x:c r="AYZ60" s="291"/>
      <x:c r="AZA60" s="291"/>
      <x:c r="AZB60" s="291"/>
      <x:c r="AZC60" s="291"/>
      <x:c r="AZD60" s="291"/>
      <x:c r="AZE60" s="291"/>
      <x:c r="AZF60" s="291"/>
      <x:c r="AZG60" s="291"/>
      <x:c r="AZH60" s="291"/>
      <x:c r="AZI60" s="291"/>
      <x:c r="AZJ60" s="291"/>
      <x:c r="AZK60" s="291"/>
      <x:c r="AZL60" s="291"/>
      <x:c r="AZM60" s="291"/>
      <x:c r="AZN60" s="291"/>
      <x:c r="AZO60" s="291"/>
      <x:c r="AZP60" s="291"/>
      <x:c r="AZQ60" s="291"/>
      <x:c r="AZR60" s="291"/>
      <x:c r="AZS60" s="291"/>
      <x:c r="AZT60" s="291"/>
      <x:c r="AZU60" s="291"/>
      <x:c r="AZV60" s="291"/>
      <x:c r="AZW60" s="291"/>
      <x:c r="AZX60" s="291"/>
      <x:c r="AZY60" s="291"/>
      <x:c r="AZZ60" s="291"/>
      <x:c r="BAA60" s="291"/>
      <x:c r="BAB60" s="291"/>
      <x:c r="BAC60" s="291"/>
      <x:c r="BAD60" s="291"/>
      <x:c r="BAE60" s="291"/>
      <x:c r="BAF60" s="291"/>
      <x:c r="BAG60" s="291"/>
      <x:c r="BAH60" s="291"/>
      <x:c r="BAI60" s="291"/>
      <x:c r="BAJ60" s="291"/>
      <x:c r="BAK60" s="291"/>
      <x:c r="BAL60" s="291"/>
      <x:c r="BAM60" s="291"/>
      <x:c r="BAN60" s="291"/>
      <x:c r="BAO60" s="291"/>
      <x:c r="BAP60" s="291"/>
      <x:c r="BAQ60" s="291"/>
      <x:c r="BAR60" s="291"/>
      <x:c r="BAS60" s="291"/>
      <x:c r="BAT60" s="291"/>
      <x:c r="BAU60" s="291"/>
      <x:c r="BAV60" s="291"/>
      <x:c r="BAW60" s="291"/>
      <x:c r="BAX60" s="291"/>
      <x:c r="BAY60" s="291"/>
      <x:c r="BAZ60" s="291"/>
      <x:c r="BBA60" s="291"/>
      <x:c r="BBB60" s="291"/>
      <x:c r="BBC60" s="291"/>
      <x:c r="BBD60" s="291"/>
      <x:c r="BBE60" s="291"/>
      <x:c r="BBF60" s="291"/>
      <x:c r="BBG60" s="291"/>
      <x:c r="BBH60" s="291"/>
      <x:c r="BBI60" s="291"/>
      <x:c r="BBJ60" s="291"/>
      <x:c r="BBK60" s="291"/>
      <x:c r="BBL60" s="291"/>
      <x:c r="BBM60" s="291"/>
      <x:c r="BBN60" s="291"/>
      <x:c r="BBO60" s="291"/>
      <x:c r="BBP60" s="291"/>
      <x:c r="BBQ60" s="291"/>
      <x:c r="BBR60" s="291"/>
      <x:c r="BBS60" s="291"/>
      <x:c r="BBT60" s="291"/>
      <x:c r="BBU60" s="291"/>
      <x:c r="BBV60" s="291"/>
      <x:c r="BBW60" s="291"/>
      <x:c r="BBX60" s="291"/>
      <x:c r="BBY60" s="291"/>
      <x:c r="BBZ60" s="291"/>
      <x:c r="BCA60" s="291"/>
      <x:c r="BCB60" s="291"/>
      <x:c r="BCC60" s="291"/>
      <x:c r="BCD60" s="291"/>
      <x:c r="BCE60" s="291"/>
      <x:c r="BCF60" s="291"/>
      <x:c r="BCG60" s="291"/>
      <x:c r="BCH60" s="291"/>
      <x:c r="BCI60" s="291"/>
      <x:c r="BCJ60" s="291"/>
      <x:c r="BCK60" s="291"/>
      <x:c r="BCL60" s="291"/>
      <x:c r="BCM60" s="291"/>
      <x:c r="BCN60" s="291"/>
      <x:c r="BCO60" s="291"/>
      <x:c r="BCP60" s="291"/>
      <x:c r="BCQ60" s="291"/>
      <x:c r="BCR60" s="291"/>
      <x:c r="BCS60" s="291"/>
      <x:c r="BCT60" s="291"/>
      <x:c r="BCU60" s="291"/>
      <x:c r="BCV60" s="291"/>
      <x:c r="BCW60" s="291"/>
      <x:c r="BCX60" s="291"/>
      <x:c r="BCY60" s="291"/>
      <x:c r="BCZ60" s="291"/>
      <x:c r="BDA60" s="291"/>
      <x:c r="BDB60" s="291"/>
      <x:c r="BDC60" s="291"/>
      <x:c r="BDD60" s="291"/>
      <x:c r="BDE60" s="291"/>
      <x:c r="BDF60" s="291"/>
      <x:c r="BDG60" s="291"/>
      <x:c r="BDH60" s="291"/>
      <x:c r="BDI60" s="291"/>
      <x:c r="BDJ60" s="291"/>
      <x:c r="BDK60" s="291"/>
      <x:c r="BDL60" s="291"/>
      <x:c r="BDM60" s="291"/>
      <x:c r="BDN60" s="291"/>
      <x:c r="BDO60" s="291"/>
      <x:c r="BDP60" s="291"/>
      <x:c r="BDQ60" s="291"/>
      <x:c r="BDR60" s="291"/>
      <x:c r="BDS60" s="291"/>
      <x:c r="BDT60" s="291"/>
      <x:c r="BDU60" s="291"/>
      <x:c r="BDV60" s="291"/>
      <x:c r="BDW60" s="291"/>
      <x:c r="BDX60" s="291"/>
      <x:c r="BDY60" s="291"/>
      <x:c r="BDZ60" s="291"/>
      <x:c r="BEA60" s="291"/>
      <x:c r="BEB60" s="291"/>
      <x:c r="BEC60" s="291"/>
      <x:c r="BED60" s="291"/>
      <x:c r="BEE60" s="291"/>
      <x:c r="BEF60" s="291"/>
      <x:c r="BEG60" s="291"/>
      <x:c r="BEH60" s="291"/>
      <x:c r="BEI60" s="291"/>
      <x:c r="BEJ60" s="291"/>
      <x:c r="BEK60" s="291"/>
      <x:c r="BEL60" s="291"/>
      <x:c r="BEM60" s="291"/>
      <x:c r="BEN60" s="291"/>
      <x:c r="BEO60" s="291"/>
      <x:c r="BEP60" s="291"/>
      <x:c r="BEQ60" s="291"/>
      <x:c r="BER60" s="291"/>
      <x:c r="BES60" s="291"/>
      <x:c r="BET60" s="291"/>
      <x:c r="BEU60" s="291"/>
      <x:c r="BEV60" s="291"/>
      <x:c r="BEW60" s="291"/>
      <x:c r="BEX60" s="291"/>
      <x:c r="BEY60" s="291"/>
      <x:c r="BEZ60" s="291"/>
      <x:c r="BFA60" s="291"/>
      <x:c r="BFB60" s="291"/>
      <x:c r="BFC60" s="291"/>
      <x:c r="BFD60" s="291"/>
      <x:c r="BFE60" s="291"/>
      <x:c r="BFF60" s="291"/>
      <x:c r="BFG60" s="291"/>
      <x:c r="BFH60" s="291"/>
      <x:c r="BFI60" s="291"/>
      <x:c r="BFJ60" s="291"/>
      <x:c r="BFK60" s="291"/>
      <x:c r="BFL60" s="291"/>
      <x:c r="BFM60" s="291"/>
      <x:c r="BFN60" s="291"/>
      <x:c r="BFO60" s="291"/>
      <x:c r="BFP60" s="291"/>
      <x:c r="BFQ60" s="291"/>
      <x:c r="BFR60" s="291"/>
      <x:c r="BFS60" s="291"/>
      <x:c r="BFT60" s="291"/>
      <x:c r="BFU60" s="291"/>
      <x:c r="BFV60" s="291"/>
      <x:c r="BFW60" s="291"/>
      <x:c r="BFX60" s="291"/>
      <x:c r="BFY60" s="291"/>
      <x:c r="BFZ60" s="291"/>
      <x:c r="BGA60" s="291"/>
      <x:c r="BGB60" s="291"/>
      <x:c r="BGC60" s="291"/>
      <x:c r="BGD60" s="291"/>
      <x:c r="BGE60" s="291"/>
      <x:c r="BGF60" s="291"/>
      <x:c r="BGG60" s="291"/>
      <x:c r="BGH60" s="291"/>
      <x:c r="BGI60" s="291"/>
      <x:c r="BGJ60" s="291"/>
      <x:c r="BGK60" s="291"/>
      <x:c r="BGL60" s="291"/>
      <x:c r="BGM60" s="291"/>
      <x:c r="BGN60" s="291"/>
      <x:c r="BGO60" s="291"/>
      <x:c r="BGP60" s="291"/>
      <x:c r="BGQ60" s="291"/>
      <x:c r="BGR60" s="291"/>
      <x:c r="BGS60" s="291"/>
      <x:c r="BGT60" s="291"/>
      <x:c r="BGU60" s="291"/>
      <x:c r="BGV60" s="291"/>
      <x:c r="BGW60" s="291"/>
      <x:c r="BGX60" s="291"/>
      <x:c r="BGY60" s="291"/>
      <x:c r="BGZ60" s="291"/>
      <x:c r="BHA60" s="291"/>
      <x:c r="BHB60" s="291"/>
      <x:c r="BHC60" s="291"/>
      <x:c r="BHD60" s="291"/>
      <x:c r="BHE60" s="291"/>
      <x:c r="BHF60" s="291"/>
      <x:c r="BHG60" s="291"/>
      <x:c r="BHH60" s="291"/>
      <x:c r="BHI60" s="291"/>
      <x:c r="BHJ60" s="291"/>
      <x:c r="BHK60" s="291"/>
      <x:c r="BHL60" s="291"/>
      <x:c r="BHM60" s="291"/>
      <x:c r="BHN60" s="291"/>
      <x:c r="BHO60" s="291"/>
      <x:c r="BHP60" s="291"/>
      <x:c r="BHQ60" s="291"/>
      <x:c r="BHR60" s="291"/>
      <x:c r="BHS60" s="291"/>
      <x:c r="BHT60" s="291"/>
      <x:c r="BHU60" s="291"/>
      <x:c r="BHV60" s="291"/>
      <x:c r="BHW60" s="291"/>
      <x:c r="BHX60" s="291"/>
      <x:c r="BHY60" s="291"/>
      <x:c r="BHZ60" s="291"/>
      <x:c r="BIA60" s="291"/>
      <x:c r="BIB60" s="291"/>
      <x:c r="BIC60" s="291"/>
      <x:c r="BID60" s="291"/>
      <x:c r="BIE60" s="291"/>
      <x:c r="BIF60" s="291"/>
      <x:c r="BIG60" s="291"/>
      <x:c r="BIH60" s="291"/>
      <x:c r="BII60" s="291"/>
      <x:c r="BIJ60" s="291"/>
      <x:c r="BIK60" s="291"/>
      <x:c r="BIL60" s="291"/>
      <x:c r="BIM60" s="291"/>
      <x:c r="BIN60" s="291"/>
      <x:c r="BIO60" s="291"/>
      <x:c r="BIP60" s="291"/>
      <x:c r="BIQ60" s="291"/>
      <x:c r="BIR60" s="291"/>
      <x:c r="BIS60" s="291"/>
      <x:c r="BIT60" s="291"/>
      <x:c r="BIU60" s="291"/>
      <x:c r="BIV60" s="291"/>
      <x:c r="BIW60" s="291"/>
      <x:c r="BIX60" s="291"/>
      <x:c r="BIY60" s="291"/>
      <x:c r="BIZ60" s="291"/>
      <x:c r="BJA60" s="291"/>
      <x:c r="BJB60" s="291"/>
      <x:c r="BJC60" s="291"/>
      <x:c r="BJD60" s="291"/>
      <x:c r="BJE60" s="291"/>
      <x:c r="BJF60" s="291"/>
      <x:c r="BJG60" s="291"/>
      <x:c r="BJH60" s="291"/>
      <x:c r="BJI60" s="291"/>
      <x:c r="BJJ60" s="291"/>
      <x:c r="BJK60" s="291"/>
      <x:c r="BJL60" s="291"/>
      <x:c r="BJM60" s="291"/>
      <x:c r="BJN60" s="291"/>
      <x:c r="BJO60" s="291"/>
      <x:c r="BJP60" s="291"/>
      <x:c r="BJQ60" s="291"/>
      <x:c r="BJR60" s="291"/>
      <x:c r="BJS60" s="291"/>
      <x:c r="BJT60" s="291"/>
      <x:c r="BJU60" s="291"/>
      <x:c r="BJV60" s="291"/>
      <x:c r="BJW60" s="291"/>
      <x:c r="BJX60" s="291"/>
      <x:c r="BJY60" s="291"/>
      <x:c r="BJZ60" s="291"/>
      <x:c r="BKA60" s="291"/>
      <x:c r="BKB60" s="291"/>
      <x:c r="BKC60" s="291"/>
      <x:c r="BKD60" s="291"/>
      <x:c r="BKE60" s="291"/>
      <x:c r="BKF60" s="291"/>
      <x:c r="BKG60" s="291"/>
      <x:c r="BKH60" s="291"/>
      <x:c r="BKI60" s="291"/>
      <x:c r="BKJ60" s="291"/>
      <x:c r="BKK60" s="291"/>
      <x:c r="BKL60" s="291"/>
      <x:c r="BKM60" s="291"/>
      <x:c r="BKN60" s="291"/>
      <x:c r="BKO60" s="291"/>
      <x:c r="BKP60" s="291"/>
      <x:c r="BKQ60" s="291"/>
      <x:c r="BKR60" s="291"/>
      <x:c r="BKS60" s="291"/>
      <x:c r="BKT60" s="291"/>
      <x:c r="BKU60" s="291"/>
      <x:c r="BKV60" s="291"/>
      <x:c r="BKW60" s="291"/>
      <x:c r="BKX60" s="291"/>
      <x:c r="BKY60" s="291"/>
      <x:c r="BKZ60" s="291"/>
      <x:c r="BLA60" s="291"/>
      <x:c r="BLB60" s="291"/>
      <x:c r="BLC60" s="291"/>
      <x:c r="BLD60" s="291"/>
      <x:c r="BLE60" s="291"/>
      <x:c r="BLF60" s="291"/>
      <x:c r="BLG60" s="291"/>
      <x:c r="BLH60" s="291"/>
      <x:c r="BLI60" s="291"/>
      <x:c r="BLJ60" s="291"/>
      <x:c r="BLK60" s="291"/>
      <x:c r="BLL60" s="291"/>
      <x:c r="BLM60" s="291"/>
      <x:c r="BLN60" s="291"/>
      <x:c r="BLO60" s="291"/>
      <x:c r="BLP60" s="291"/>
      <x:c r="BLQ60" s="291"/>
      <x:c r="BLR60" s="291"/>
      <x:c r="BLS60" s="291"/>
      <x:c r="BLT60" s="291"/>
      <x:c r="BLU60" s="291"/>
      <x:c r="BLV60" s="291"/>
      <x:c r="BLW60" s="291"/>
      <x:c r="BLX60" s="291"/>
      <x:c r="BLY60" s="291"/>
      <x:c r="BLZ60" s="291"/>
      <x:c r="BMA60" s="291"/>
      <x:c r="BMB60" s="291"/>
      <x:c r="BMC60" s="291"/>
      <x:c r="BMD60" s="291"/>
      <x:c r="BME60" s="291"/>
      <x:c r="BMF60" s="291"/>
      <x:c r="BMG60" s="291"/>
      <x:c r="BMH60" s="291"/>
      <x:c r="BMI60" s="291"/>
      <x:c r="BMJ60" s="291"/>
      <x:c r="BMK60" s="291"/>
      <x:c r="BML60" s="291"/>
      <x:c r="BMM60" s="291"/>
      <x:c r="BMN60" s="291"/>
      <x:c r="BMO60" s="291"/>
      <x:c r="BMP60" s="291"/>
      <x:c r="BMQ60" s="291"/>
      <x:c r="BMR60" s="291"/>
      <x:c r="BMS60" s="291"/>
      <x:c r="BMT60" s="291"/>
      <x:c r="BMU60" s="291"/>
      <x:c r="BMV60" s="291"/>
      <x:c r="BMW60" s="291"/>
      <x:c r="BMX60" s="291"/>
      <x:c r="BMY60" s="291"/>
      <x:c r="BMZ60" s="291"/>
      <x:c r="BNA60" s="291"/>
      <x:c r="BNB60" s="291"/>
      <x:c r="BNC60" s="291"/>
      <x:c r="BND60" s="291"/>
      <x:c r="BNE60" s="291"/>
      <x:c r="BNF60" s="291"/>
      <x:c r="BNG60" s="291"/>
      <x:c r="BNH60" s="291"/>
      <x:c r="BNI60" s="291"/>
      <x:c r="BNJ60" s="291"/>
      <x:c r="BNK60" s="291"/>
      <x:c r="BNL60" s="291"/>
      <x:c r="BNM60" s="291"/>
      <x:c r="BNN60" s="291"/>
      <x:c r="BNO60" s="291"/>
      <x:c r="BNP60" s="291"/>
      <x:c r="BNQ60" s="291"/>
      <x:c r="BNR60" s="291"/>
      <x:c r="BNS60" s="291"/>
      <x:c r="BNT60" s="291"/>
      <x:c r="BNU60" s="291"/>
      <x:c r="BNV60" s="291"/>
      <x:c r="BNW60" s="291"/>
      <x:c r="BNX60" s="291"/>
      <x:c r="BNY60" s="291"/>
      <x:c r="BNZ60" s="291"/>
      <x:c r="BOA60" s="291"/>
      <x:c r="BOB60" s="291"/>
      <x:c r="BOC60" s="291"/>
      <x:c r="BOD60" s="291"/>
      <x:c r="BOE60" s="291"/>
      <x:c r="BOF60" s="291"/>
      <x:c r="BOG60" s="291"/>
      <x:c r="BOH60" s="291"/>
      <x:c r="BOI60" s="291"/>
      <x:c r="BOJ60" s="291"/>
      <x:c r="BOK60" s="291"/>
      <x:c r="BOL60" s="291"/>
      <x:c r="BOM60" s="291"/>
      <x:c r="BON60" s="291"/>
      <x:c r="BOO60" s="291"/>
      <x:c r="BOP60" s="291"/>
      <x:c r="BOQ60" s="291"/>
      <x:c r="BOR60" s="291"/>
      <x:c r="BOS60" s="291"/>
      <x:c r="BOT60" s="291"/>
      <x:c r="BOU60" s="291"/>
      <x:c r="BOV60" s="291"/>
      <x:c r="BOW60" s="291"/>
      <x:c r="BOX60" s="291"/>
      <x:c r="BOY60" s="291"/>
      <x:c r="BOZ60" s="291"/>
      <x:c r="BPA60" s="291"/>
      <x:c r="BPB60" s="291"/>
      <x:c r="BPC60" s="291"/>
      <x:c r="BPD60" s="291"/>
      <x:c r="BPE60" s="291"/>
      <x:c r="BPF60" s="291"/>
      <x:c r="BPG60" s="291"/>
      <x:c r="BPH60" s="291"/>
      <x:c r="BPI60" s="291"/>
      <x:c r="BPJ60" s="291"/>
      <x:c r="BPK60" s="291"/>
      <x:c r="BPL60" s="291"/>
      <x:c r="BPM60" s="291"/>
      <x:c r="BPN60" s="291"/>
      <x:c r="BPO60" s="291"/>
      <x:c r="BPP60" s="291"/>
      <x:c r="BPQ60" s="291"/>
      <x:c r="BPR60" s="291"/>
      <x:c r="BPS60" s="291"/>
      <x:c r="BPT60" s="291"/>
      <x:c r="BPU60" s="291"/>
      <x:c r="BPV60" s="291"/>
      <x:c r="BPW60" s="291"/>
      <x:c r="BPX60" s="291"/>
      <x:c r="BPY60" s="291"/>
      <x:c r="BPZ60" s="291"/>
      <x:c r="BQA60" s="291"/>
      <x:c r="BQB60" s="291"/>
      <x:c r="BQC60" s="291"/>
      <x:c r="BQD60" s="291"/>
      <x:c r="BQE60" s="291"/>
      <x:c r="BQF60" s="291"/>
      <x:c r="BQG60" s="291"/>
      <x:c r="BQH60" s="291"/>
      <x:c r="BQI60" s="291"/>
      <x:c r="BQJ60" s="291"/>
      <x:c r="BQK60" s="291"/>
      <x:c r="BQL60" s="291"/>
      <x:c r="BQM60" s="291"/>
      <x:c r="BQN60" s="291"/>
      <x:c r="BQO60" s="291"/>
      <x:c r="BQP60" s="291"/>
      <x:c r="BQQ60" s="291"/>
      <x:c r="BQR60" s="291"/>
      <x:c r="BQS60" s="291"/>
      <x:c r="BQT60" s="291"/>
      <x:c r="BQU60" s="291"/>
      <x:c r="BQV60" s="291"/>
      <x:c r="BQW60" s="291"/>
      <x:c r="BQX60" s="291"/>
      <x:c r="BQY60" s="291"/>
      <x:c r="BQZ60" s="291"/>
      <x:c r="BRA60" s="291"/>
      <x:c r="BRB60" s="291"/>
      <x:c r="BRC60" s="291"/>
      <x:c r="BRD60" s="291"/>
      <x:c r="BRE60" s="291"/>
      <x:c r="BRF60" s="291"/>
      <x:c r="BRG60" s="291"/>
      <x:c r="BRH60" s="291"/>
      <x:c r="BRI60" s="291"/>
      <x:c r="BRJ60" s="291"/>
      <x:c r="BRK60" s="291"/>
      <x:c r="BRL60" s="291"/>
      <x:c r="BRM60" s="291"/>
      <x:c r="BRN60" s="291"/>
      <x:c r="BRO60" s="291"/>
      <x:c r="BRP60" s="291"/>
      <x:c r="BRQ60" s="291"/>
      <x:c r="BRR60" s="291"/>
      <x:c r="BRS60" s="291"/>
      <x:c r="BRT60" s="291"/>
      <x:c r="BRU60" s="291"/>
      <x:c r="BRV60" s="291"/>
      <x:c r="BRW60" s="291"/>
      <x:c r="BRX60" s="291"/>
      <x:c r="BRY60" s="291"/>
      <x:c r="BRZ60" s="291"/>
      <x:c r="BSA60" s="291"/>
      <x:c r="BSB60" s="291"/>
      <x:c r="BSC60" s="291"/>
      <x:c r="BSD60" s="291"/>
      <x:c r="BSE60" s="291"/>
      <x:c r="BSF60" s="291"/>
      <x:c r="BSG60" s="291"/>
      <x:c r="BSH60" s="291"/>
      <x:c r="BSI60" s="291"/>
      <x:c r="BSJ60" s="291"/>
      <x:c r="BSK60" s="291"/>
      <x:c r="BSL60" s="291"/>
      <x:c r="BSM60" s="291"/>
      <x:c r="BSN60" s="291"/>
      <x:c r="BSO60" s="291"/>
      <x:c r="BSP60" s="291"/>
      <x:c r="BSQ60" s="291"/>
      <x:c r="BSR60" s="291"/>
      <x:c r="BSS60" s="291"/>
      <x:c r="BST60" s="291"/>
      <x:c r="BSU60" s="291"/>
      <x:c r="BSV60" s="291"/>
      <x:c r="BSW60" s="291"/>
      <x:c r="BSX60" s="291"/>
      <x:c r="BSY60" s="291"/>
      <x:c r="BSZ60" s="291"/>
      <x:c r="BTA60" s="291"/>
      <x:c r="BTB60" s="291"/>
      <x:c r="BTC60" s="291"/>
      <x:c r="BTD60" s="291"/>
      <x:c r="BTE60" s="291"/>
      <x:c r="BTF60" s="291"/>
      <x:c r="BTG60" s="291"/>
      <x:c r="BTH60" s="291"/>
      <x:c r="BTI60" s="291"/>
      <x:c r="BTJ60" s="291"/>
      <x:c r="BTK60" s="291"/>
      <x:c r="BTL60" s="291"/>
      <x:c r="BTM60" s="291"/>
      <x:c r="BTN60" s="291"/>
      <x:c r="BTO60" s="291"/>
      <x:c r="BTP60" s="291"/>
      <x:c r="BTQ60" s="291"/>
      <x:c r="BTR60" s="291"/>
      <x:c r="BTS60" s="291"/>
      <x:c r="BTT60" s="291"/>
      <x:c r="BTU60" s="291"/>
      <x:c r="BTV60" s="291"/>
      <x:c r="BTW60" s="291"/>
      <x:c r="BTX60" s="291"/>
      <x:c r="BTY60" s="291"/>
      <x:c r="BTZ60" s="291"/>
      <x:c r="BUA60" s="291"/>
      <x:c r="BUB60" s="291"/>
      <x:c r="BUC60" s="291"/>
      <x:c r="BUD60" s="291"/>
      <x:c r="BUE60" s="291"/>
      <x:c r="BUF60" s="291"/>
      <x:c r="BUG60" s="291"/>
      <x:c r="BUH60" s="291"/>
      <x:c r="BUI60" s="291"/>
      <x:c r="BUJ60" s="291"/>
      <x:c r="BUK60" s="291"/>
      <x:c r="BUL60" s="291"/>
      <x:c r="BUM60" s="291"/>
      <x:c r="BUN60" s="291"/>
      <x:c r="BUO60" s="291"/>
      <x:c r="BUP60" s="291"/>
      <x:c r="BUQ60" s="291"/>
      <x:c r="BUR60" s="291"/>
      <x:c r="BUS60" s="291"/>
      <x:c r="BUT60" s="291"/>
      <x:c r="BUU60" s="291"/>
      <x:c r="BUV60" s="291"/>
      <x:c r="BUW60" s="291"/>
      <x:c r="BUX60" s="291"/>
      <x:c r="BUY60" s="291"/>
      <x:c r="BUZ60" s="291"/>
      <x:c r="BVA60" s="291"/>
      <x:c r="BVB60" s="291"/>
      <x:c r="BVC60" s="291"/>
      <x:c r="BVD60" s="291"/>
      <x:c r="BVE60" s="291"/>
      <x:c r="BVF60" s="291"/>
      <x:c r="BVG60" s="291"/>
      <x:c r="BVH60" s="291"/>
      <x:c r="BVI60" s="291"/>
      <x:c r="BVJ60" s="291"/>
      <x:c r="BVK60" s="291"/>
      <x:c r="BVL60" s="291"/>
      <x:c r="BVM60" s="291"/>
      <x:c r="BVN60" s="291"/>
      <x:c r="BVO60" s="291"/>
      <x:c r="BVP60" s="291"/>
      <x:c r="BVQ60" s="291"/>
      <x:c r="BVR60" s="291"/>
      <x:c r="BVS60" s="291"/>
      <x:c r="BVT60" s="291"/>
      <x:c r="BVU60" s="291"/>
      <x:c r="BVV60" s="291"/>
      <x:c r="BVW60" s="291"/>
      <x:c r="BVX60" s="291"/>
      <x:c r="BVY60" s="291"/>
      <x:c r="BVZ60" s="291"/>
      <x:c r="BWA60" s="291"/>
      <x:c r="BWB60" s="291"/>
      <x:c r="BWC60" s="291"/>
      <x:c r="BWD60" s="291"/>
      <x:c r="BWE60" s="291"/>
      <x:c r="BWF60" s="291"/>
      <x:c r="BWG60" s="291"/>
      <x:c r="BWH60" s="291"/>
      <x:c r="BWI60" s="291"/>
      <x:c r="BWJ60" s="291"/>
      <x:c r="BWK60" s="291"/>
      <x:c r="BWL60" s="291"/>
      <x:c r="BWM60" s="291"/>
      <x:c r="BWN60" s="291"/>
      <x:c r="BWO60" s="291"/>
      <x:c r="BWP60" s="291"/>
      <x:c r="BWQ60" s="291"/>
      <x:c r="BWR60" s="291"/>
      <x:c r="BWS60" s="291"/>
      <x:c r="BWT60" s="291"/>
      <x:c r="BWU60" s="291"/>
      <x:c r="BWV60" s="291"/>
      <x:c r="BWW60" s="291"/>
      <x:c r="BWX60" s="291"/>
      <x:c r="BWY60" s="291"/>
      <x:c r="BWZ60" s="291"/>
      <x:c r="BXA60" s="291"/>
      <x:c r="BXB60" s="291"/>
      <x:c r="BXC60" s="291"/>
      <x:c r="BXD60" s="291"/>
      <x:c r="BXE60" s="291"/>
      <x:c r="BXF60" s="291"/>
      <x:c r="BXG60" s="291"/>
      <x:c r="BXH60" s="291"/>
      <x:c r="BXI60" s="291"/>
      <x:c r="BXJ60" s="291"/>
      <x:c r="BXK60" s="291"/>
      <x:c r="BXL60" s="291"/>
      <x:c r="BXM60" s="291"/>
      <x:c r="BXN60" s="291"/>
      <x:c r="BXO60" s="291"/>
      <x:c r="BXP60" s="291"/>
      <x:c r="BXQ60" s="291"/>
      <x:c r="BXR60" s="291"/>
      <x:c r="BXS60" s="291"/>
      <x:c r="BXT60" s="291"/>
      <x:c r="BXU60" s="291"/>
      <x:c r="BXV60" s="291"/>
      <x:c r="BXW60" s="291"/>
      <x:c r="BXX60" s="291"/>
      <x:c r="BXY60" s="291"/>
      <x:c r="BXZ60" s="291"/>
      <x:c r="BYA60" s="291"/>
      <x:c r="BYB60" s="291"/>
      <x:c r="BYC60" s="291"/>
      <x:c r="BYD60" s="291"/>
      <x:c r="BYE60" s="291"/>
      <x:c r="BYF60" s="291"/>
      <x:c r="BYG60" s="291"/>
      <x:c r="BYH60" s="291"/>
      <x:c r="BYI60" s="291"/>
      <x:c r="BYJ60" s="291"/>
      <x:c r="BYK60" s="291"/>
      <x:c r="BYL60" s="291"/>
      <x:c r="BYM60" s="291"/>
      <x:c r="BYN60" s="291"/>
      <x:c r="BYO60" s="291"/>
      <x:c r="BYP60" s="291"/>
      <x:c r="BYQ60" s="291"/>
      <x:c r="BYR60" s="291"/>
      <x:c r="BYS60" s="291"/>
      <x:c r="BYT60" s="291"/>
      <x:c r="BYU60" s="291"/>
      <x:c r="BYV60" s="291"/>
      <x:c r="BYW60" s="291"/>
      <x:c r="BYX60" s="291"/>
      <x:c r="BYY60" s="291"/>
      <x:c r="BYZ60" s="291"/>
      <x:c r="BZA60" s="291"/>
      <x:c r="BZB60" s="291"/>
      <x:c r="BZC60" s="291"/>
      <x:c r="BZD60" s="291"/>
      <x:c r="BZE60" s="291"/>
      <x:c r="BZF60" s="291"/>
      <x:c r="BZG60" s="291"/>
      <x:c r="BZH60" s="291"/>
      <x:c r="BZI60" s="291"/>
      <x:c r="BZJ60" s="291"/>
      <x:c r="BZK60" s="291"/>
      <x:c r="BZL60" s="291"/>
      <x:c r="BZM60" s="291"/>
      <x:c r="BZN60" s="291"/>
      <x:c r="BZO60" s="291"/>
      <x:c r="BZP60" s="291"/>
      <x:c r="BZQ60" s="291"/>
      <x:c r="BZR60" s="291"/>
      <x:c r="BZS60" s="291"/>
      <x:c r="BZT60" s="291"/>
      <x:c r="BZU60" s="291"/>
      <x:c r="BZV60" s="291"/>
      <x:c r="BZW60" s="291"/>
      <x:c r="BZX60" s="291"/>
      <x:c r="BZY60" s="291"/>
      <x:c r="BZZ60" s="291"/>
      <x:c r="CAA60" s="291"/>
      <x:c r="CAB60" s="291"/>
      <x:c r="CAC60" s="291"/>
      <x:c r="CAD60" s="291"/>
      <x:c r="CAE60" s="291"/>
      <x:c r="CAF60" s="291"/>
      <x:c r="CAG60" s="291"/>
      <x:c r="CAH60" s="291"/>
      <x:c r="CAI60" s="291"/>
      <x:c r="CAJ60" s="291"/>
      <x:c r="CAK60" s="291"/>
      <x:c r="CAL60" s="291"/>
      <x:c r="CAM60" s="291"/>
      <x:c r="CAN60" s="291"/>
      <x:c r="CAO60" s="291"/>
      <x:c r="CAP60" s="291"/>
      <x:c r="CAQ60" s="291"/>
      <x:c r="CAR60" s="291"/>
      <x:c r="CAS60" s="291"/>
      <x:c r="CAT60" s="291"/>
      <x:c r="CAU60" s="291"/>
      <x:c r="CAV60" s="291"/>
      <x:c r="CAW60" s="291"/>
      <x:c r="CAX60" s="291"/>
      <x:c r="CAY60" s="291"/>
      <x:c r="CAZ60" s="291"/>
      <x:c r="CBA60" s="291"/>
      <x:c r="CBB60" s="291"/>
      <x:c r="CBC60" s="291"/>
      <x:c r="CBD60" s="291"/>
      <x:c r="CBE60" s="291"/>
      <x:c r="CBF60" s="291"/>
      <x:c r="CBG60" s="291"/>
      <x:c r="CBH60" s="291"/>
      <x:c r="CBI60" s="291"/>
      <x:c r="CBJ60" s="291"/>
      <x:c r="CBK60" s="291"/>
      <x:c r="CBL60" s="291"/>
      <x:c r="CBM60" s="291"/>
      <x:c r="CBN60" s="291"/>
      <x:c r="CBO60" s="291"/>
      <x:c r="CBP60" s="291"/>
      <x:c r="CBQ60" s="291"/>
      <x:c r="CBR60" s="291"/>
      <x:c r="CBS60" s="291"/>
      <x:c r="CBT60" s="291"/>
      <x:c r="CBU60" s="291"/>
      <x:c r="CBV60" s="291"/>
      <x:c r="CBW60" s="291"/>
      <x:c r="CBX60" s="291"/>
      <x:c r="CBY60" s="291"/>
      <x:c r="CBZ60" s="291"/>
      <x:c r="CCA60" s="291"/>
      <x:c r="CCB60" s="291"/>
      <x:c r="CCC60" s="291"/>
      <x:c r="CCD60" s="291"/>
      <x:c r="CCE60" s="291"/>
      <x:c r="CCF60" s="291"/>
      <x:c r="CCG60" s="291"/>
      <x:c r="CCH60" s="291"/>
      <x:c r="CCI60" s="291"/>
      <x:c r="CCJ60" s="291"/>
      <x:c r="CCK60" s="291"/>
      <x:c r="CCL60" s="291"/>
      <x:c r="CCM60" s="291"/>
      <x:c r="CCN60" s="291"/>
      <x:c r="CCO60" s="291"/>
      <x:c r="CCP60" s="291"/>
      <x:c r="CCQ60" s="291"/>
      <x:c r="CCR60" s="291"/>
      <x:c r="CCS60" s="291"/>
      <x:c r="CCT60" s="291"/>
      <x:c r="CCU60" s="291"/>
      <x:c r="CCV60" s="291"/>
      <x:c r="CCW60" s="291"/>
      <x:c r="CCX60" s="291"/>
      <x:c r="CCY60" s="291"/>
      <x:c r="CCZ60" s="291"/>
      <x:c r="CDA60" s="291"/>
      <x:c r="CDB60" s="291"/>
      <x:c r="CDC60" s="291"/>
      <x:c r="CDD60" s="291"/>
      <x:c r="CDE60" s="291"/>
      <x:c r="CDF60" s="291"/>
      <x:c r="CDG60" s="291"/>
      <x:c r="CDH60" s="291"/>
      <x:c r="CDI60" s="291"/>
      <x:c r="CDJ60" s="291"/>
      <x:c r="CDK60" s="291"/>
      <x:c r="CDL60" s="291"/>
      <x:c r="CDM60" s="291"/>
      <x:c r="CDN60" s="291"/>
      <x:c r="CDO60" s="291"/>
      <x:c r="CDP60" s="291"/>
      <x:c r="CDQ60" s="291"/>
      <x:c r="CDR60" s="291"/>
      <x:c r="CDS60" s="291"/>
      <x:c r="CDT60" s="291"/>
      <x:c r="CDU60" s="291"/>
      <x:c r="CDV60" s="291"/>
      <x:c r="CDW60" s="291"/>
      <x:c r="CDX60" s="291"/>
      <x:c r="CDY60" s="291"/>
      <x:c r="CDZ60" s="291"/>
      <x:c r="CEA60" s="291"/>
      <x:c r="CEB60" s="291"/>
      <x:c r="CEC60" s="291"/>
      <x:c r="CED60" s="291"/>
      <x:c r="CEE60" s="291"/>
      <x:c r="CEF60" s="291"/>
      <x:c r="CEG60" s="291"/>
      <x:c r="CEH60" s="291"/>
      <x:c r="CEI60" s="291"/>
      <x:c r="CEJ60" s="291"/>
      <x:c r="CEK60" s="291"/>
      <x:c r="CEL60" s="291"/>
      <x:c r="CEM60" s="291"/>
      <x:c r="CEN60" s="291"/>
      <x:c r="CEO60" s="291"/>
      <x:c r="CEP60" s="291"/>
      <x:c r="CEQ60" s="291"/>
      <x:c r="CER60" s="291"/>
      <x:c r="CES60" s="291"/>
      <x:c r="CET60" s="291"/>
      <x:c r="CEU60" s="291"/>
      <x:c r="CEV60" s="291"/>
      <x:c r="CEW60" s="291"/>
      <x:c r="CEX60" s="291"/>
      <x:c r="CEY60" s="291"/>
      <x:c r="CEZ60" s="291"/>
      <x:c r="CFA60" s="291"/>
      <x:c r="CFB60" s="291"/>
      <x:c r="CFC60" s="291"/>
      <x:c r="CFD60" s="291"/>
      <x:c r="CFE60" s="291"/>
      <x:c r="CFF60" s="291"/>
      <x:c r="CFG60" s="291"/>
      <x:c r="CFH60" s="291"/>
      <x:c r="CFI60" s="291"/>
      <x:c r="CFJ60" s="291"/>
      <x:c r="CFK60" s="291"/>
      <x:c r="CFL60" s="291"/>
      <x:c r="CFM60" s="291"/>
      <x:c r="CFN60" s="291"/>
      <x:c r="CFO60" s="291"/>
      <x:c r="CFP60" s="291"/>
      <x:c r="CFQ60" s="291"/>
      <x:c r="CFR60" s="291"/>
      <x:c r="CFS60" s="291"/>
      <x:c r="CFT60" s="291"/>
      <x:c r="CFU60" s="291"/>
      <x:c r="CFV60" s="291"/>
      <x:c r="CFW60" s="291"/>
      <x:c r="CFX60" s="291"/>
      <x:c r="CFY60" s="291"/>
      <x:c r="CFZ60" s="291"/>
      <x:c r="CGA60" s="291"/>
      <x:c r="CGB60" s="291"/>
      <x:c r="CGC60" s="291"/>
      <x:c r="CGD60" s="291"/>
      <x:c r="CGE60" s="291"/>
      <x:c r="CGF60" s="291"/>
      <x:c r="CGG60" s="291"/>
      <x:c r="CGH60" s="291"/>
      <x:c r="CGI60" s="291"/>
      <x:c r="CGJ60" s="291"/>
      <x:c r="CGK60" s="291"/>
      <x:c r="CGL60" s="291"/>
      <x:c r="CGM60" s="291"/>
      <x:c r="CGN60" s="291"/>
      <x:c r="CGO60" s="291"/>
      <x:c r="CGP60" s="291"/>
      <x:c r="CGQ60" s="291"/>
      <x:c r="CGR60" s="291"/>
      <x:c r="CGS60" s="291"/>
      <x:c r="CGT60" s="291"/>
      <x:c r="CGU60" s="291"/>
      <x:c r="CGV60" s="291"/>
      <x:c r="CGW60" s="291"/>
      <x:c r="CGX60" s="291"/>
      <x:c r="CGY60" s="291"/>
      <x:c r="CGZ60" s="291"/>
      <x:c r="CHA60" s="291"/>
      <x:c r="CHB60" s="291"/>
      <x:c r="CHC60" s="291"/>
      <x:c r="CHD60" s="291"/>
      <x:c r="CHE60" s="291"/>
      <x:c r="CHF60" s="291"/>
      <x:c r="CHG60" s="291"/>
      <x:c r="CHH60" s="291"/>
      <x:c r="CHI60" s="291"/>
      <x:c r="CHJ60" s="291"/>
      <x:c r="CHK60" s="291"/>
      <x:c r="CHL60" s="291"/>
      <x:c r="CHM60" s="291"/>
      <x:c r="CHN60" s="291"/>
      <x:c r="CHO60" s="291"/>
      <x:c r="CHP60" s="291"/>
      <x:c r="CHQ60" s="291"/>
      <x:c r="CHR60" s="291"/>
      <x:c r="CHS60" s="291"/>
      <x:c r="CHT60" s="291"/>
      <x:c r="CHU60" s="291"/>
      <x:c r="CHV60" s="291"/>
      <x:c r="CHW60" s="291"/>
      <x:c r="CHX60" s="291"/>
      <x:c r="CHY60" s="291"/>
      <x:c r="CHZ60" s="291"/>
      <x:c r="CIA60" s="291"/>
      <x:c r="CIB60" s="291"/>
      <x:c r="CIC60" s="291"/>
      <x:c r="CID60" s="291"/>
      <x:c r="CIE60" s="291"/>
      <x:c r="CIF60" s="291"/>
      <x:c r="CIG60" s="291"/>
      <x:c r="CIH60" s="291"/>
      <x:c r="CII60" s="291"/>
      <x:c r="CIJ60" s="291"/>
      <x:c r="CIK60" s="291"/>
      <x:c r="CIL60" s="291"/>
      <x:c r="CIM60" s="291"/>
      <x:c r="CIN60" s="291"/>
      <x:c r="CIO60" s="291"/>
      <x:c r="CIP60" s="291"/>
      <x:c r="CIQ60" s="291"/>
      <x:c r="CIR60" s="291"/>
      <x:c r="CIS60" s="291"/>
      <x:c r="CIT60" s="291"/>
      <x:c r="CIU60" s="291"/>
      <x:c r="CIV60" s="291"/>
      <x:c r="CIW60" s="291"/>
      <x:c r="CIX60" s="291"/>
      <x:c r="CIY60" s="291"/>
      <x:c r="CIZ60" s="291"/>
      <x:c r="CJA60" s="291"/>
      <x:c r="CJB60" s="291"/>
      <x:c r="CJC60" s="291"/>
      <x:c r="CJD60" s="291"/>
      <x:c r="CJE60" s="291"/>
      <x:c r="CJF60" s="291"/>
      <x:c r="CJG60" s="291"/>
      <x:c r="CJH60" s="291"/>
      <x:c r="CJI60" s="291"/>
      <x:c r="CJJ60" s="291"/>
      <x:c r="CJK60" s="291"/>
      <x:c r="CJL60" s="291"/>
      <x:c r="CJM60" s="291"/>
      <x:c r="CJN60" s="291"/>
      <x:c r="CJO60" s="291"/>
      <x:c r="CJP60" s="291"/>
      <x:c r="CJQ60" s="291"/>
      <x:c r="CJR60" s="291"/>
      <x:c r="CJS60" s="291"/>
      <x:c r="CJT60" s="291"/>
      <x:c r="CJU60" s="291"/>
      <x:c r="CJV60" s="291"/>
      <x:c r="CJW60" s="291"/>
      <x:c r="CJX60" s="291"/>
      <x:c r="CJY60" s="291"/>
      <x:c r="CJZ60" s="291"/>
      <x:c r="CKA60" s="291"/>
      <x:c r="CKB60" s="291"/>
      <x:c r="CKC60" s="291"/>
      <x:c r="CKD60" s="291"/>
      <x:c r="CKE60" s="291"/>
      <x:c r="CKF60" s="291"/>
      <x:c r="CKG60" s="291"/>
      <x:c r="CKH60" s="291"/>
      <x:c r="CKI60" s="291"/>
      <x:c r="CKJ60" s="291"/>
      <x:c r="CKK60" s="291"/>
      <x:c r="CKL60" s="291"/>
      <x:c r="CKM60" s="291"/>
      <x:c r="CKN60" s="291"/>
      <x:c r="CKO60" s="291"/>
      <x:c r="CKP60" s="291"/>
      <x:c r="CKQ60" s="291"/>
      <x:c r="CKR60" s="291"/>
      <x:c r="CKS60" s="291"/>
      <x:c r="CKT60" s="291"/>
      <x:c r="CKU60" s="291"/>
      <x:c r="CKV60" s="291"/>
      <x:c r="CKW60" s="291"/>
      <x:c r="CKX60" s="291"/>
      <x:c r="CKY60" s="291"/>
      <x:c r="CKZ60" s="291"/>
      <x:c r="CLA60" s="291"/>
      <x:c r="CLB60" s="291"/>
      <x:c r="CLC60" s="291"/>
      <x:c r="CLD60" s="291"/>
      <x:c r="CLE60" s="291"/>
      <x:c r="CLF60" s="291"/>
      <x:c r="CLG60" s="291"/>
      <x:c r="CLH60" s="291"/>
      <x:c r="CLI60" s="291"/>
      <x:c r="CLJ60" s="291"/>
      <x:c r="CLK60" s="291"/>
      <x:c r="CLL60" s="291"/>
      <x:c r="CLM60" s="291"/>
      <x:c r="CLN60" s="291"/>
      <x:c r="CLO60" s="291"/>
      <x:c r="CLP60" s="291"/>
      <x:c r="CLQ60" s="291"/>
      <x:c r="CLR60" s="291"/>
      <x:c r="CLS60" s="291"/>
      <x:c r="CLT60" s="291"/>
      <x:c r="CLU60" s="291"/>
      <x:c r="CLV60" s="291"/>
      <x:c r="CLW60" s="291"/>
      <x:c r="CLX60" s="291"/>
      <x:c r="CLY60" s="291"/>
      <x:c r="CLZ60" s="291"/>
      <x:c r="CMA60" s="291"/>
      <x:c r="CMB60" s="291"/>
      <x:c r="CMC60" s="291"/>
      <x:c r="CMD60" s="291"/>
      <x:c r="CME60" s="291"/>
      <x:c r="CMF60" s="291"/>
      <x:c r="CMG60" s="291"/>
      <x:c r="CMH60" s="291"/>
      <x:c r="CMI60" s="291"/>
      <x:c r="CMJ60" s="291"/>
      <x:c r="CMK60" s="291"/>
      <x:c r="CML60" s="291"/>
      <x:c r="CMM60" s="291"/>
      <x:c r="CMN60" s="291"/>
      <x:c r="CMO60" s="291"/>
      <x:c r="CMP60" s="291"/>
      <x:c r="CMQ60" s="291"/>
      <x:c r="CMR60" s="291"/>
      <x:c r="CMS60" s="291"/>
      <x:c r="CMT60" s="291"/>
      <x:c r="CMU60" s="291"/>
      <x:c r="CMV60" s="291"/>
      <x:c r="CMW60" s="291"/>
      <x:c r="CMX60" s="291"/>
      <x:c r="CMY60" s="291"/>
      <x:c r="CMZ60" s="291"/>
      <x:c r="CNA60" s="291"/>
      <x:c r="CNB60" s="291"/>
      <x:c r="CNC60" s="291"/>
      <x:c r="CND60" s="291"/>
      <x:c r="CNE60" s="291"/>
      <x:c r="CNF60" s="291"/>
      <x:c r="CNG60" s="291"/>
      <x:c r="CNH60" s="291"/>
      <x:c r="CNI60" s="291"/>
      <x:c r="CNJ60" s="291"/>
      <x:c r="CNK60" s="291"/>
      <x:c r="CNL60" s="291"/>
      <x:c r="CNM60" s="291"/>
      <x:c r="CNN60" s="291"/>
      <x:c r="CNO60" s="291"/>
      <x:c r="CNP60" s="291"/>
      <x:c r="CNQ60" s="291"/>
      <x:c r="CNR60" s="291"/>
      <x:c r="CNS60" s="291"/>
      <x:c r="CNT60" s="291"/>
      <x:c r="CNU60" s="291"/>
      <x:c r="CNV60" s="291"/>
      <x:c r="CNW60" s="291"/>
      <x:c r="CNX60" s="291"/>
      <x:c r="CNY60" s="291"/>
      <x:c r="CNZ60" s="291"/>
      <x:c r="COA60" s="291"/>
      <x:c r="COB60" s="291"/>
      <x:c r="COC60" s="291"/>
      <x:c r="COD60" s="291"/>
      <x:c r="COE60" s="291"/>
      <x:c r="COF60" s="291"/>
      <x:c r="COG60" s="291"/>
      <x:c r="COH60" s="291"/>
      <x:c r="COI60" s="291"/>
      <x:c r="COJ60" s="291"/>
      <x:c r="COK60" s="291"/>
      <x:c r="COL60" s="291"/>
      <x:c r="COM60" s="291"/>
      <x:c r="CON60" s="291"/>
      <x:c r="COO60" s="291"/>
      <x:c r="COP60" s="291"/>
      <x:c r="COQ60" s="291"/>
      <x:c r="COR60" s="291"/>
      <x:c r="COS60" s="291"/>
      <x:c r="COT60" s="291"/>
      <x:c r="COU60" s="291"/>
      <x:c r="COV60" s="291"/>
      <x:c r="COW60" s="291"/>
      <x:c r="COX60" s="291"/>
      <x:c r="COY60" s="291"/>
      <x:c r="COZ60" s="291"/>
      <x:c r="CPA60" s="291"/>
      <x:c r="CPB60" s="291"/>
      <x:c r="CPC60" s="291"/>
      <x:c r="CPD60" s="291"/>
      <x:c r="CPE60" s="291"/>
      <x:c r="CPF60" s="291"/>
      <x:c r="CPG60" s="291"/>
      <x:c r="CPH60" s="291"/>
      <x:c r="CPI60" s="291"/>
      <x:c r="CPJ60" s="291"/>
      <x:c r="CPK60" s="291"/>
      <x:c r="CPL60" s="291"/>
      <x:c r="CPM60" s="291"/>
      <x:c r="CPN60" s="291"/>
      <x:c r="CPO60" s="291"/>
      <x:c r="CPP60" s="291"/>
      <x:c r="CPQ60" s="291"/>
      <x:c r="CPR60" s="291"/>
      <x:c r="CPS60" s="291"/>
      <x:c r="CPT60" s="291"/>
      <x:c r="CPU60" s="291"/>
      <x:c r="CPV60" s="291"/>
      <x:c r="CPW60" s="291"/>
      <x:c r="CPX60" s="291"/>
      <x:c r="CPY60" s="291"/>
      <x:c r="CPZ60" s="291"/>
      <x:c r="CQA60" s="291"/>
      <x:c r="CQB60" s="291"/>
      <x:c r="CQC60" s="291"/>
      <x:c r="CQD60" s="291"/>
      <x:c r="CQE60" s="291"/>
      <x:c r="CQF60" s="291"/>
      <x:c r="CQG60" s="291"/>
      <x:c r="CQH60" s="291"/>
      <x:c r="CQI60" s="291"/>
      <x:c r="CQJ60" s="291"/>
      <x:c r="CQK60" s="291"/>
      <x:c r="CQL60" s="291"/>
      <x:c r="CQM60" s="291"/>
      <x:c r="CQN60" s="291"/>
      <x:c r="CQO60" s="291"/>
      <x:c r="CQP60" s="291"/>
      <x:c r="CQQ60" s="291"/>
      <x:c r="CQR60" s="291"/>
      <x:c r="CQS60" s="291"/>
      <x:c r="CQT60" s="291"/>
      <x:c r="CQU60" s="291"/>
      <x:c r="CQV60" s="291"/>
      <x:c r="CQW60" s="291"/>
      <x:c r="CQX60" s="291"/>
      <x:c r="CQY60" s="291"/>
      <x:c r="CQZ60" s="291"/>
      <x:c r="CRA60" s="291"/>
      <x:c r="CRB60" s="291"/>
      <x:c r="CRC60" s="291"/>
      <x:c r="CRD60" s="291"/>
      <x:c r="CRE60" s="291"/>
      <x:c r="CRF60" s="291"/>
      <x:c r="CRG60" s="291"/>
      <x:c r="CRH60" s="291"/>
      <x:c r="CRI60" s="291"/>
      <x:c r="CRJ60" s="291"/>
      <x:c r="CRK60" s="291"/>
      <x:c r="CRL60" s="291"/>
      <x:c r="CRM60" s="291"/>
      <x:c r="CRN60" s="291"/>
      <x:c r="CRO60" s="291"/>
      <x:c r="CRP60" s="291"/>
      <x:c r="CRQ60" s="291"/>
      <x:c r="CRR60" s="291"/>
      <x:c r="CRS60" s="291"/>
      <x:c r="CRT60" s="291"/>
      <x:c r="CRU60" s="291"/>
      <x:c r="CRV60" s="291"/>
      <x:c r="CRW60" s="291"/>
      <x:c r="CRX60" s="291"/>
      <x:c r="CRY60" s="291"/>
      <x:c r="CRZ60" s="291"/>
      <x:c r="CSA60" s="291"/>
      <x:c r="CSB60" s="291"/>
      <x:c r="CSC60" s="291"/>
      <x:c r="CSD60" s="291"/>
      <x:c r="CSE60" s="291"/>
      <x:c r="CSF60" s="291"/>
      <x:c r="CSG60" s="291"/>
      <x:c r="CSH60" s="291"/>
      <x:c r="CSI60" s="291"/>
      <x:c r="CSJ60" s="291"/>
      <x:c r="CSK60" s="291"/>
      <x:c r="CSL60" s="291"/>
      <x:c r="CSM60" s="291"/>
      <x:c r="CSN60" s="291"/>
      <x:c r="CSO60" s="291"/>
      <x:c r="CSP60" s="291"/>
      <x:c r="CSQ60" s="291"/>
      <x:c r="CSR60" s="291"/>
      <x:c r="CSS60" s="291"/>
      <x:c r="CST60" s="291"/>
      <x:c r="CSU60" s="291"/>
      <x:c r="CSV60" s="291"/>
      <x:c r="CSW60" s="291"/>
      <x:c r="CSX60" s="291"/>
      <x:c r="CSY60" s="291"/>
      <x:c r="CSZ60" s="291"/>
      <x:c r="CTA60" s="291"/>
      <x:c r="CTB60" s="291"/>
      <x:c r="CTC60" s="291"/>
      <x:c r="CTD60" s="291"/>
      <x:c r="CTE60" s="291"/>
      <x:c r="CTF60" s="291"/>
      <x:c r="CTG60" s="291"/>
      <x:c r="CTH60" s="291"/>
      <x:c r="CTI60" s="291"/>
      <x:c r="CTJ60" s="291"/>
      <x:c r="CTK60" s="291"/>
      <x:c r="CTL60" s="291"/>
      <x:c r="CTM60" s="291"/>
      <x:c r="CTN60" s="291"/>
      <x:c r="CTO60" s="291"/>
      <x:c r="CTP60" s="291"/>
      <x:c r="CTQ60" s="291"/>
      <x:c r="CTR60" s="291"/>
      <x:c r="CTS60" s="291"/>
      <x:c r="CTT60" s="291"/>
      <x:c r="CTU60" s="291"/>
      <x:c r="CTV60" s="291"/>
      <x:c r="CTW60" s="291"/>
      <x:c r="CTX60" s="291"/>
      <x:c r="CTY60" s="291"/>
      <x:c r="CTZ60" s="291"/>
      <x:c r="CUA60" s="291"/>
      <x:c r="CUB60" s="291"/>
      <x:c r="CUC60" s="291"/>
      <x:c r="CUD60" s="291"/>
      <x:c r="CUE60" s="291"/>
      <x:c r="CUF60" s="291"/>
      <x:c r="CUG60" s="291"/>
      <x:c r="CUH60" s="291"/>
      <x:c r="CUI60" s="291"/>
      <x:c r="CUJ60" s="291"/>
      <x:c r="CUK60" s="291"/>
      <x:c r="CUL60" s="291"/>
      <x:c r="CUM60" s="291"/>
      <x:c r="CUN60" s="291"/>
      <x:c r="CUO60" s="291"/>
      <x:c r="CUP60" s="291"/>
      <x:c r="CUQ60" s="291"/>
      <x:c r="CUR60" s="291"/>
      <x:c r="CUS60" s="291"/>
      <x:c r="CUT60" s="291"/>
      <x:c r="CUU60" s="291"/>
      <x:c r="CUV60" s="291"/>
      <x:c r="CUW60" s="291"/>
      <x:c r="CUX60" s="291"/>
      <x:c r="CUY60" s="291"/>
      <x:c r="CUZ60" s="291"/>
      <x:c r="CVA60" s="291"/>
      <x:c r="CVB60" s="291"/>
      <x:c r="CVC60" s="291"/>
      <x:c r="CVD60" s="291"/>
      <x:c r="CVE60" s="291"/>
      <x:c r="CVF60" s="291"/>
      <x:c r="CVG60" s="291"/>
      <x:c r="CVH60" s="291"/>
      <x:c r="CVI60" s="291"/>
      <x:c r="CVJ60" s="291"/>
      <x:c r="CVK60" s="291"/>
      <x:c r="CVL60" s="291"/>
      <x:c r="CVM60" s="291"/>
      <x:c r="CVN60" s="291"/>
      <x:c r="CVO60" s="291"/>
      <x:c r="CVP60" s="291"/>
      <x:c r="CVQ60" s="291"/>
      <x:c r="CVR60" s="291"/>
      <x:c r="CVS60" s="291"/>
      <x:c r="CVT60" s="291"/>
      <x:c r="CVU60" s="291"/>
      <x:c r="CVV60" s="291"/>
      <x:c r="CVW60" s="291"/>
      <x:c r="CVX60" s="291"/>
      <x:c r="CVY60" s="291"/>
      <x:c r="CVZ60" s="291"/>
      <x:c r="CWA60" s="291"/>
      <x:c r="CWB60" s="291"/>
      <x:c r="CWC60" s="291"/>
      <x:c r="CWD60" s="291"/>
      <x:c r="CWE60" s="291"/>
      <x:c r="CWF60" s="291"/>
      <x:c r="CWG60" s="291"/>
      <x:c r="CWH60" s="291"/>
      <x:c r="CWI60" s="291"/>
      <x:c r="CWJ60" s="291"/>
      <x:c r="CWK60" s="291"/>
      <x:c r="CWL60" s="291"/>
      <x:c r="CWM60" s="291"/>
      <x:c r="CWN60" s="291"/>
      <x:c r="CWO60" s="291"/>
      <x:c r="CWP60" s="291"/>
      <x:c r="CWQ60" s="291"/>
      <x:c r="CWR60" s="291"/>
      <x:c r="CWS60" s="291"/>
      <x:c r="CWT60" s="291"/>
      <x:c r="CWU60" s="291"/>
      <x:c r="CWV60" s="291"/>
      <x:c r="CWW60" s="291"/>
      <x:c r="CWX60" s="291"/>
      <x:c r="CWY60" s="291"/>
      <x:c r="CWZ60" s="291"/>
      <x:c r="CXA60" s="291"/>
      <x:c r="CXB60" s="291"/>
      <x:c r="CXC60" s="291"/>
      <x:c r="CXD60" s="291"/>
      <x:c r="CXE60" s="291"/>
      <x:c r="CXF60" s="291"/>
      <x:c r="CXG60" s="291"/>
      <x:c r="CXH60" s="291"/>
      <x:c r="CXI60" s="291"/>
      <x:c r="CXJ60" s="291"/>
      <x:c r="CXK60" s="291"/>
      <x:c r="CXL60" s="291"/>
      <x:c r="CXM60" s="291"/>
      <x:c r="CXN60" s="291"/>
      <x:c r="CXO60" s="291"/>
      <x:c r="CXP60" s="291"/>
      <x:c r="CXQ60" s="291"/>
      <x:c r="CXR60" s="291"/>
      <x:c r="CXS60" s="291"/>
      <x:c r="CXT60" s="291"/>
      <x:c r="CXU60" s="291"/>
      <x:c r="CXV60" s="291"/>
      <x:c r="CXW60" s="291"/>
      <x:c r="CXX60" s="291"/>
      <x:c r="CXY60" s="291"/>
      <x:c r="CXZ60" s="291"/>
      <x:c r="CYA60" s="291"/>
      <x:c r="CYB60" s="291"/>
      <x:c r="CYC60" s="291"/>
      <x:c r="CYD60" s="291"/>
      <x:c r="CYE60" s="291"/>
      <x:c r="CYF60" s="291"/>
      <x:c r="CYG60" s="291"/>
      <x:c r="CYH60" s="291"/>
      <x:c r="CYI60" s="291"/>
      <x:c r="CYJ60" s="291"/>
      <x:c r="CYK60" s="291"/>
      <x:c r="CYL60" s="291"/>
      <x:c r="CYM60" s="291"/>
      <x:c r="CYN60" s="291"/>
      <x:c r="CYO60" s="291"/>
      <x:c r="CYP60" s="291"/>
      <x:c r="CYQ60" s="291"/>
      <x:c r="CYR60" s="291"/>
      <x:c r="CYS60" s="291"/>
      <x:c r="CYT60" s="291"/>
      <x:c r="CYU60" s="291"/>
      <x:c r="CYV60" s="291"/>
      <x:c r="CYW60" s="291"/>
      <x:c r="CYX60" s="291"/>
      <x:c r="CYY60" s="291"/>
      <x:c r="CYZ60" s="291"/>
      <x:c r="CZA60" s="291"/>
      <x:c r="CZB60" s="291"/>
      <x:c r="CZC60" s="291"/>
      <x:c r="CZD60" s="291"/>
      <x:c r="CZE60" s="291"/>
      <x:c r="CZF60" s="291"/>
      <x:c r="CZG60" s="291"/>
      <x:c r="CZH60" s="291"/>
      <x:c r="CZI60" s="291"/>
      <x:c r="CZJ60" s="291"/>
      <x:c r="CZK60" s="291"/>
      <x:c r="CZL60" s="291"/>
      <x:c r="CZM60" s="291"/>
      <x:c r="CZN60" s="291"/>
      <x:c r="CZO60" s="291"/>
      <x:c r="CZP60" s="291"/>
      <x:c r="CZQ60" s="291"/>
      <x:c r="CZR60" s="291"/>
      <x:c r="CZS60" s="291"/>
      <x:c r="CZT60" s="291"/>
      <x:c r="CZU60" s="291"/>
      <x:c r="CZV60" s="291"/>
      <x:c r="CZW60" s="291"/>
      <x:c r="CZX60" s="291"/>
      <x:c r="CZY60" s="291"/>
      <x:c r="CZZ60" s="291"/>
      <x:c r="DAA60" s="291"/>
      <x:c r="DAB60" s="291"/>
      <x:c r="DAC60" s="291"/>
      <x:c r="DAD60" s="291"/>
      <x:c r="DAE60" s="291"/>
      <x:c r="DAF60" s="291"/>
      <x:c r="DAG60" s="291"/>
      <x:c r="DAH60" s="291"/>
      <x:c r="DAI60" s="291"/>
      <x:c r="DAJ60" s="291"/>
      <x:c r="DAK60" s="291"/>
      <x:c r="DAL60" s="291"/>
      <x:c r="DAM60" s="291"/>
      <x:c r="DAN60" s="291"/>
      <x:c r="DAO60" s="291"/>
      <x:c r="DAP60" s="291"/>
      <x:c r="DAQ60" s="291"/>
      <x:c r="DAR60" s="291"/>
      <x:c r="DAS60" s="291"/>
      <x:c r="DAT60" s="291"/>
      <x:c r="DAU60" s="291"/>
      <x:c r="DAV60" s="291"/>
      <x:c r="DAW60" s="291"/>
      <x:c r="DAX60" s="291"/>
      <x:c r="DAY60" s="291"/>
      <x:c r="DAZ60" s="291"/>
      <x:c r="DBA60" s="291"/>
      <x:c r="DBB60" s="291"/>
      <x:c r="DBC60" s="291"/>
      <x:c r="DBD60" s="291"/>
      <x:c r="DBE60" s="291"/>
      <x:c r="DBF60" s="291"/>
      <x:c r="DBG60" s="291"/>
      <x:c r="DBH60" s="291"/>
      <x:c r="DBI60" s="291"/>
      <x:c r="DBJ60" s="291"/>
      <x:c r="DBK60" s="291"/>
      <x:c r="DBL60" s="291"/>
      <x:c r="DBM60" s="291"/>
      <x:c r="DBN60" s="291"/>
      <x:c r="DBO60" s="291"/>
      <x:c r="DBP60" s="291"/>
      <x:c r="DBQ60" s="291"/>
      <x:c r="DBR60" s="291"/>
      <x:c r="DBS60" s="291"/>
      <x:c r="DBT60" s="291"/>
      <x:c r="DBU60" s="291"/>
      <x:c r="DBV60" s="291"/>
      <x:c r="DBW60" s="291"/>
      <x:c r="DBX60" s="291"/>
      <x:c r="DBY60" s="291"/>
      <x:c r="DBZ60" s="291"/>
      <x:c r="DCA60" s="291"/>
      <x:c r="DCB60" s="291"/>
      <x:c r="DCC60" s="291"/>
      <x:c r="DCD60" s="291"/>
      <x:c r="DCE60" s="291"/>
      <x:c r="DCF60" s="291"/>
      <x:c r="DCG60" s="291"/>
      <x:c r="DCH60" s="291"/>
      <x:c r="DCI60" s="291"/>
      <x:c r="DCJ60" s="291"/>
      <x:c r="DCK60" s="291"/>
      <x:c r="DCL60" s="291"/>
      <x:c r="DCM60" s="291"/>
      <x:c r="DCN60" s="291"/>
      <x:c r="DCO60" s="291"/>
      <x:c r="DCP60" s="291"/>
      <x:c r="DCQ60" s="291"/>
      <x:c r="DCR60" s="291"/>
      <x:c r="DCS60" s="291"/>
      <x:c r="DCT60" s="291"/>
      <x:c r="DCU60" s="291"/>
      <x:c r="DCV60" s="291"/>
      <x:c r="DCW60" s="291"/>
      <x:c r="DCX60" s="291"/>
      <x:c r="DCY60" s="291"/>
      <x:c r="DCZ60" s="291"/>
      <x:c r="DDA60" s="291"/>
      <x:c r="DDB60" s="291"/>
      <x:c r="DDC60" s="291"/>
      <x:c r="DDD60" s="291"/>
      <x:c r="DDE60" s="291"/>
      <x:c r="DDF60" s="291"/>
      <x:c r="DDG60" s="291"/>
      <x:c r="DDH60" s="291"/>
      <x:c r="DDI60" s="291"/>
      <x:c r="DDJ60" s="291"/>
      <x:c r="DDK60" s="291"/>
      <x:c r="DDL60" s="291"/>
      <x:c r="DDM60" s="291"/>
      <x:c r="DDN60" s="291"/>
      <x:c r="DDO60" s="291"/>
      <x:c r="DDP60" s="291"/>
      <x:c r="DDQ60" s="291"/>
      <x:c r="DDR60" s="291"/>
      <x:c r="DDS60" s="291"/>
      <x:c r="DDT60" s="291"/>
      <x:c r="DDU60" s="291"/>
      <x:c r="DDV60" s="291"/>
      <x:c r="DDW60" s="291"/>
      <x:c r="DDX60" s="291"/>
      <x:c r="DDY60" s="291"/>
      <x:c r="DDZ60" s="291"/>
      <x:c r="DEA60" s="291"/>
      <x:c r="DEB60" s="291"/>
      <x:c r="DEC60" s="291"/>
      <x:c r="DED60" s="291"/>
      <x:c r="DEE60" s="291"/>
      <x:c r="DEF60" s="291"/>
      <x:c r="DEG60" s="291"/>
      <x:c r="DEH60" s="291"/>
      <x:c r="DEI60" s="291"/>
      <x:c r="DEJ60" s="291"/>
      <x:c r="DEK60" s="291"/>
      <x:c r="DEL60" s="291"/>
      <x:c r="DEM60" s="291"/>
      <x:c r="DEN60" s="291"/>
      <x:c r="DEO60" s="291"/>
      <x:c r="DEP60" s="291"/>
      <x:c r="DEQ60" s="291"/>
      <x:c r="DER60" s="291"/>
      <x:c r="DES60" s="291"/>
      <x:c r="DET60" s="291"/>
      <x:c r="DEU60" s="291"/>
      <x:c r="DEV60" s="291"/>
      <x:c r="DEW60" s="291"/>
      <x:c r="DEX60" s="291"/>
      <x:c r="DEY60" s="291"/>
      <x:c r="DEZ60" s="291"/>
      <x:c r="DFA60" s="291"/>
      <x:c r="DFB60" s="291"/>
      <x:c r="DFC60" s="291"/>
      <x:c r="DFD60" s="291"/>
      <x:c r="DFE60" s="291"/>
      <x:c r="DFF60" s="291"/>
      <x:c r="DFG60" s="291"/>
      <x:c r="DFH60" s="291"/>
      <x:c r="DFI60" s="291"/>
      <x:c r="DFJ60" s="291"/>
      <x:c r="DFK60" s="291"/>
      <x:c r="DFL60" s="291"/>
      <x:c r="DFM60" s="291"/>
      <x:c r="DFN60" s="291"/>
      <x:c r="DFO60" s="291"/>
      <x:c r="DFP60" s="291"/>
      <x:c r="DFQ60" s="291"/>
      <x:c r="DFR60" s="291"/>
      <x:c r="DFS60" s="291"/>
      <x:c r="DFT60" s="291"/>
      <x:c r="DFU60" s="291"/>
      <x:c r="DFV60" s="291"/>
      <x:c r="DFW60" s="291"/>
      <x:c r="DFX60" s="291"/>
      <x:c r="DFY60" s="291"/>
      <x:c r="DFZ60" s="291"/>
      <x:c r="DGA60" s="291"/>
      <x:c r="DGB60" s="291"/>
      <x:c r="DGC60" s="291"/>
      <x:c r="DGD60" s="291"/>
      <x:c r="DGE60" s="291"/>
      <x:c r="DGF60" s="291"/>
      <x:c r="DGG60" s="291"/>
      <x:c r="DGH60" s="291"/>
      <x:c r="DGI60" s="291"/>
      <x:c r="DGJ60" s="291"/>
      <x:c r="DGK60" s="291"/>
      <x:c r="DGL60" s="291"/>
      <x:c r="DGM60" s="291"/>
      <x:c r="DGN60" s="291"/>
      <x:c r="DGO60" s="291"/>
      <x:c r="DGP60" s="291"/>
      <x:c r="DGQ60" s="291"/>
      <x:c r="DGR60" s="291"/>
      <x:c r="DGS60" s="291"/>
      <x:c r="DGT60" s="291"/>
      <x:c r="DGU60" s="291"/>
      <x:c r="DGV60" s="291"/>
      <x:c r="DGW60" s="291"/>
      <x:c r="DGX60" s="291"/>
      <x:c r="DGY60" s="291"/>
      <x:c r="DGZ60" s="291"/>
      <x:c r="DHA60" s="291"/>
      <x:c r="DHB60" s="291"/>
      <x:c r="DHC60" s="291"/>
      <x:c r="DHD60" s="291"/>
      <x:c r="DHE60" s="291"/>
      <x:c r="DHF60" s="291"/>
      <x:c r="DHG60" s="291"/>
      <x:c r="DHH60" s="291"/>
      <x:c r="DHI60" s="291"/>
      <x:c r="DHJ60" s="291"/>
      <x:c r="DHK60" s="291"/>
      <x:c r="DHL60" s="291"/>
      <x:c r="DHM60" s="291"/>
      <x:c r="DHN60" s="291"/>
      <x:c r="DHO60" s="291"/>
      <x:c r="DHP60" s="291"/>
      <x:c r="DHQ60" s="291"/>
      <x:c r="DHR60" s="291"/>
      <x:c r="DHS60" s="291"/>
      <x:c r="DHT60" s="291"/>
      <x:c r="DHU60" s="291"/>
      <x:c r="DHV60" s="291"/>
      <x:c r="DHW60" s="291"/>
      <x:c r="DHX60" s="291"/>
      <x:c r="DHY60" s="291"/>
      <x:c r="DHZ60" s="291"/>
      <x:c r="DIA60" s="291"/>
      <x:c r="DIB60" s="291"/>
      <x:c r="DIC60" s="291"/>
      <x:c r="DID60" s="291"/>
      <x:c r="DIE60" s="291"/>
      <x:c r="DIF60" s="291"/>
      <x:c r="DIG60" s="291"/>
      <x:c r="DIH60" s="291"/>
      <x:c r="DII60" s="291"/>
      <x:c r="DIJ60" s="291"/>
      <x:c r="DIK60" s="291"/>
      <x:c r="DIL60" s="291"/>
      <x:c r="DIM60" s="291"/>
      <x:c r="DIN60" s="291"/>
      <x:c r="DIO60" s="291"/>
      <x:c r="DIP60" s="291"/>
      <x:c r="DIQ60" s="291"/>
      <x:c r="DIR60" s="291"/>
      <x:c r="DIS60" s="291"/>
      <x:c r="DIT60" s="291"/>
      <x:c r="DIU60" s="291"/>
      <x:c r="DIV60" s="291"/>
      <x:c r="DIW60" s="291"/>
      <x:c r="DIX60" s="291"/>
      <x:c r="DIY60" s="291"/>
      <x:c r="DIZ60" s="291"/>
      <x:c r="DJA60" s="291"/>
      <x:c r="DJB60" s="291"/>
      <x:c r="DJC60" s="291"/>
      <x:c r="DJD60" s="291"/>
      <x:c r="DJE60" s="291"/>
      <x:c r="DJF60" s="291"/>
      <x:c r="DJG60" s="291"/>
      <x:c r="DJH60" s="291"/>
      <x:c r="DJI60" s="291"/>
      <x:c r="DJJ60" s="291"/>
      <x:c r="DJK60" s="291"/>
      <x:c r="DJL60" s="291"/>
      <x:c r="DJM60" s="291"/>
      <x:c r="DJN60" s="291"/>
      <x:c r="DJO60" s="291"/>
      <x:c r="DJP60" s="291"/>
      <x:c r="DJQ60" s="291"/>
      <x:c r="DJR60" s="291"/>
      <x:c r="DJS60" s="291"/>
      <x:c r="DJT60" s="291"/>
      <x:c r="DJU60" s="291"/>
      <x:c r="DJV60" s="291"/>
      <x:c r="DJW60" s="291"/>
      <x:c r="DJX60" s="291"/>
      <x:c r="DJY60" s="291"/>
      <x:c r="DJZ60" s="291"/>
      <x:c r="DKA60" s="291"/>
      <x:c r="DKB60" s="291"/>
      <x:c r="DKC60" s="291"/>
      <x:c r="DKD60" s="291"/>
      <x:c r="DKE60" s="291"/>
      <x:c r="DKF60" s="291"/>
      <x:c r="DKG60" s="291"/>
      <x:c r="DKH60" s="291"/>
      <x:c r="DKI60" s="291"/>
      <x:c r="DKJ60" s="291"/>
      <x:c r="DKK60" s="291"/>
      <x:c r="DKL60" s="291"/>
      <x:c r="DKM60" s="291"/>
      <x:c r="DKN60" s="291"/>
      <x:c r="DKO60" s="291"/>
      <x:c r="DKP60" s="291"/>
      <x:c r="DKQ60" s="291"/>
      <x:c r="DKR60" s="291"/>
      <x:c r="DKS60" s="291"/>
      <x:c r="DKT60" s="291"/>
      <x:c r="DKU60" s="291"/>
      <x:c r="DKV60" s="291"/>
      <x:c r="DKW60" s="291"/>
      <x:c r="DKX60" s="291"/>
      <x:c r="DKY60" s="291"/>
      <x:c r="DKZ60" s="291"/>
      <x:c r="DLA60" s="291"/>
      <x:c r="DLB60" s="291"/>
      <x:c r="DLC60" s="291"/>
      <x:c r="DLD60" s="291"/>
      <x:c r="DLE60" s="291"/>
      <x:c r="DLF60" s="291"/>
      <x:c r="DLG60" s="291"/>
      <x:c r="DLH60" s="291"/>
      <x:c r="DLI60" s="291"/>
      <x:c r="DLJ60" s="291"/>
      <x:c r="DLK60" s="291"/>
      <x:c r="DLL60" s="291"/>
      <x:c r="DLM60" s="291"/>
      <x:c r="DLN60" s="291"/>
      <x:c r="DLO60" s="291"/>
      <x:c r="DLP60" s="291"/>
      <x:c r="DLQ60" s="291"/>
      <x:c r="DLR60" s="291"/>
      <x:c r="DLS60" s="291"/>
      <x:c r="DLT60" s="291"/>
      <x:c r="DLU60" s="291"/>
      <x:c r="DLV60" s="291"/>
      <x:c r="DLW60" s="291"/>
      <x:c r="DLX60" s="291"/>
      <x:c r="DLY60" s="291"/>
      <x:c r="DLZ60" s="291"/>
      <x:c r="DMA60" s="291"/>
      <x:c r="DMB60" s="291"/>
      <x:c r="DMC60" s="291"/>
      <x:c r="DMD60" s="291"/>
      <x:c r="DME60" s="291"/>
      <x:c r="DMF60" s="291"/>
      <x:c r="DMG60" s="291"/>
      <x:c r="DMH60" s="291"/>
      <x:c r="DMI60" s="291"/>
      <x:c r="DMJ60" s="291"/>
      <x:c r="DMK60" s="291"/>
      <x:c r="DML60" s="291"/>
      <x:c r="DMM60" s="291"/>
      <x:c r="DMN60" s="291"/>
      <x:c r="DMO60" s="291"/>
      <x:c r="DMP60" s="291"/>
      <x:c r="DMQ60" s="291"/>
      <x:c r="DMR60" s="291"/>
      <x:c r="DMS60" s="291"/>
      <x:c r="DMT60" s="291"/>
      <x:c r="DMU60" s="291"/>
      <x:c r="DMV60" s="291"/>
      <x:c r="DMW60" s="291"/>
      <x:c r="DMX60" s="291"/>
      <x:c r="DMY60" s="291"/>
      <x:c r="DMZ60" s="291"/>
      <x:c r="DNA60" s="291"/>
      <x:c r="DNB60" s="291"/>
      <x:c r="DNC60" s="291"/>
      <x:c r="DND60" s="291"/>
      <x:c r="DNE60" s="291"/>
      <x:c r="DNF60" s="291"/>
      <x:c r="DNG60" s="291"/>
      <x:c r="DNH60" s="291"/>
      <x:c r="DNI60" s="291"/>
      <x:c r="DNJ60" s="291"/>
      <x:c r="DNK60" s="291"/>
      <x:c r="DNL60" s="291"/>
      <x:c r="DNM60" s="291"/>
      <x:c r="DNN60" s="291"/>
      <x:c r="DNO60" s="291"/>
      <x:c r="DNP60" s="291"/>
      <x:c r="DNQ60" s="291"/>
      <x:c r="DNR60" s="291"/>
      <x:c r="DNS60" s="291"/>
      <x:c r="DNT60" s="291"/>
      <x:c r="DNU60" s="291"/>
      <x:c r="DNV60" s="291"/>
      <x:c r="DNW60" s="291"/>
      <x:c r="DNX60" s="291"/>
      <x:c r="DNY60" s="291"/>
      <x:c r="DNZ60" s="291"/>
      <x:c r="DOA60" s="291"/>
      <x:c r="DOB60" s="291"/>
      <x:c r="DOC60" s="291"/>
      <x:c r="DOD60" s="291"/>
      <x:c r="DOE60" s="291"/>
      <x:c r="DOF60" s="291"/>
      <x:c r="DOG60" s="291"/>
      <x:c r="DOH60" s="291"/>
      <x:c r="DOI60" s="291"/>
      <x:c r="DOJ60" s="291"/>
      <x:c r="DOK60" s="291"/>
      <x:c r="DOL60" s="291"/>
      <x:c r="DOM60" s="291"/>
      <x:c r="DON60" s="291"/>
      <x:c r="DOO60" s="291"/>
      <x:c r="DOP60" s="291"/>
      <x:c r="DOQ60" s="291"/>
      <x:c r="DOR60" s="291"/>
      <x:c r="DOS60" s="291"/>
      <x:c r="DOT60" s="291"/>
      <x:c r="DOU60" s="291"/>
      <x:c r="DOV60" s="291"/>
      <x:c r="DOW60" s="291"/>
      <x:c r="DOX60" s="291"/>
      <x:c r="DOY60" s="291"/>
      <x:c r="DOZ60" s="291"/>
      <x:c r="DPA60" s="291"/>
      <x:c r="DPB60" s="291"/>
      <x:c r="DPC60" s="291"/>
      <x:c r="DPD60" s="291"/>
      <x:c r="DPE60" s="291"/>
      <x:c r="DPF60" s="291"/>
      <x:c r="DPG60" s="291"/>
      <x:c r="DPH60" s="291"/>
      <x:c r="DPI60" s="291"/>
      <x:c r="DPJ60" s="291"/>
      <x:c r="DPK60" s="291"/>
      <x:c r="DPL60" s="291"/>
      <x:c r="DPM60" s="291"/>
      <x:c r="DPN60" s="291"/>
      <x:c r="DPO60" s="291"/>
      <x:c r="DPP60" s="291"/>
      <x:c r="DPQ60" s="291"/>
      <x:c r="DPR60" s="291"/>
      <x:c r="DPS60" s="291"/>
      <x:c r="DPT60" s="291"/>
      <x:c r="DPU60" s="291"/>
      <x:c r="DPV60" s="291"/>
      <x:c r="DPW60" s="291"/>
      <x:c r="DPX60" s="291"/>
      <x:c r="DPY60" s="291"/>
      <x:c r="DPZ60" s="291"/>
      <x:c r="DQA60" s="291"/>
      <x:c r="DQB60" s="291"/>
      <x:c r="DQC60" s="291"/>
      <x:c r="DQD60" s="291"/>
      <x:c r="DQE60" s="291"/>
      <x:c r="DQF60" s="291"/>
      <x:c r="DQG60" s="291"/>
      <x:c r="DQH60" s="291"/>
      <x:c r="DQI60" s="291"/>
      <x:c r="DQJ60" s="291"/>
      <x:c r="DQK60" s="291"/>
      <x:c r="DQL60" s="291"/>
      <x:c r="DQM60" s="291"/>
      <x:c r="DQN60" s="291"/>
      <x:c r="DQO60" s="291"/>
      <x:c r="DQP60" s="291"/>
      <x:c r="DQQ60" s="291"/>
      <x:c r="DQR60" s="291"/>
      <x:c r="DQS60" s="291"/>
      <x:c r="DQT60" s="291"/>
      <x:c r="DQU60" s="291"/>
      <x:c r="DQV60" s="291"/>
      <x:c r="DQW60" s="291"/>
      <x:c r="DQX60" s="291"/>
      <x:c r="DQY60" s="291"/>
      <x:c r="DQZ60" s="291"/>
      <x:c r="DRA60" s="291"/>
      <x:c r="DRB60" s="291"/>
      <x:c r="DRC60" s="291"/>
      <x:c r="DRD60" s="291"/>
      <x:c r="DRE60" s="291"/>
      <x:c r="DRF60" s="291"/>
      <x:c r="DRG60" s="291"/>
      <x:c r="DRH60" s="291"/>
      <x:c r="DRI60" s="291"/>
      <x:c r="DRJ60" s="291"/>
      <x:c r="DRK60" s="291"/>
      <x:c r="DRL60" s="291"/>
      <x:c r="DRM60" s="291"/>
      <x:c r="DRN60" s="291"/>
      <x:c r="DRO60" s="291"/>
      <x:c r="DRP60" s="291"/>
      <x:c r="DRQ60" s="291"/>
      <x:c r="DRR60" s="291"/>
      <x:c r="DRS60" s="291"/>
      <x:c r="DRT60" s="291"/>
      <x:c r="DRU60" s="291"/>
      <x:c r="DRV60" s="291"/>
      <x:c r="DRW60" s="291"/>
      <x:c r="DRX60" s="291"/>
      <x:c r="DRY60" s="291"/>
      <x:c r="DRZ60" s="291"/>
      <x:c r="DSA60" s="291"/>
      <x:c r="DSB60" s="291"/>
      <x:c r="DSC60" s="291"/>
      <x:c r="DSD60" s="291"/>
      <x:c r="DSE60" s="291"/>
      <x:c r="DSF60" s="291"/>
      <x:c r="DSG60" s="291"/>
      <x:c r="DSH60" s="291"/>
      <x:c r="DSI60" s="291"/>
      <x:c r="DSJ60" s="291"/>
      <x:c r="DSK60" s="291"/>
      <x:c r="DSL60" s="291"/>
      <x:c r="DSM60" s="291"/>
      <x:c r="DSN60" s="291"/>
      <x:c r="DSO60" s="291"/>
      <x:c r="DSP60" s="291"/>
      <x:c r="DSQ60" s="291"/>
      <x:c r="DSR60" s="291"/>
      <x:c r="DSS60" s="291"/>
      <x:c r="DST60" s="291"/>
      <x:c r="DSU60" s="291"/>
      <x:c r="DSV60" s="291"/>
      <x:c r="DSW60" s="291"/>
      <x:c r="DSX60" s="291"/>
      <x:c r="DSY60" s="291"/>
      <x:c r="DSZ60" s="291"/>
      <x:c r="DTA60" s="291"/>
      <x:c r="DTB60" s="291"/>
      <x:c r="DTC60" s="291"/>
      <x:c r="DTD60" s="291"/>
      <x:c r="DTE60" s="291"/>
      <x:c r="DTF60" s="291"/>
      <x:c r="DTG60" s="291"/>
      <x:c r="DTH60" s="291"/>
      <x:c r="DTI60" s="291"/>
      <x:c r="DTJ60" s="291"/>
      <x:c r="DTK60" s="291"/>
      <x:c r="DTL60" s="291"/>
      <x:c r="DTM60" s="291"/>
      <x:c r="DTN60" s="291"/>
      <x:c r="DTO60" s="291"/>
      <x:c r="DTP60" s="291"/>
      <x:c r="DTQ60" s="291"/>
      <x:c r="DTR60" s="291"/>
      <x:c r="DTS60" s="291"/>
      <x:c r="DTT60" s="291"/>
      <x:c r="DTU60" s="291"/>
      <x:c r="DTV60" s="291"/>
      <x:c r="DTW60" s="291"/>
      <x:c r="DTX60" s="291"/>
      <x:c r="DTY60" s="291"/>
      <x:c r="DTZ60" s="291"/>
      <x:c r="DUA60" s="291"/>
      <x:c r="DUB60" s="291"/>
      <x:c r="DUC60" s="291"/>
      <x:c r="DUD60" s="291"/>
      <x:c r="DUE60" s="291"/>
      <x:c r="DUF60" s="291"/>
      <x:c r="DUG60" s="291"/>
      <x:c r="DUH60" s="291"/>
      <x:c r="DUI60" s="291"/>
      <x:c r="DUJ60" s="291"/>
      <x:c r="DUK60" s="291"/>
      <x:c r="DUL60" s="291"/>
      <x:c r="DUM60" s="291"/>
      <x:c r="DUN60" s="291"/>
      <x:c r="DUO60" s="291"/>
      <x:c r="DUP60" s="291"/>
      <x:c r="DUQ60" s="291"/>
      <x:c r="DUR60" s="291"/>
      <x:c r="DUS60" s="291"/>
      <x:c r="DUT60" s="291"/>
      <x:c r="DUU60" s="291"/>
      <x:c r="DUV60" s="291"/>
      <x:c r="DUW60" s="291"/>
      <x:c r="DUX60" s="291"/>
      <x:c r="DUY60" s="291"/>
      <x:c r="DUZ60" s="291"/>
      <x:c r="DVA60" s="291"/>
      <x:c r="DVB60" s="291"/>
      <x:c r="DVC60" s="291"/>
      <x:c r="DVD60" s="291"/>
      <x:c r="DVE60" s="291"/>
      <x:c r="DVF60" s="291"/>
      <x:c r="DVG60" s="291"/>
      <x:c r="DVH60" s="291"/>
      <x:c r="DVI60" s="291"/>
      <x:c r="DVJ60" s="291"/>
      <x:c r="DVK60" s="291"/>
      <x:c r="DVL60" s="291"/>
      <x:c r="DVM60" s="291"/>
      <x:c r="DVN60" s="291"/>
      <x:c r="DVO60" s="291"/>
      <x:c r="DVP60" s="291"/>
      <x:c r="DVQ60" s="291"/>
      <x:c r="DVR60" s="291"/>
      <x:c r="DVS60" s="291"/>
      <x:c r="DVT60" s="291"/>
      <x:c r="DVU60" s="291"/>
      <x:c r="DVV60" s="291"/>
      <x:c r="DVW60" s="291"/>
      <x:c r="DVX60" s="291"/>
      <x:c r="DVY60" s="291"/>
      <x:c r="DVZ60" s="291"/>
      <x:c r="DWA60" s="291"/>
      <x:c r="DWB60" s="291"/>
      <x:c r="DWC60" s="291"/>
      <x:c r="DWD60" s="291"/>
      <x:c r="DWE60" s="291"/>
      <x:c r="DWF60" s="291"/>
      <x:c r="DWG60" s="291"/>
      <x:c r="DWH60" s="291"/>
      <x:c r="DWI60" s="291"/>
      <x:c r="DWJ60" s="291"/>
      <x:c r="DWK60" s="291"/>
      <x:c r="DWL60" s="291"/>
      <x:c r="DWM60" s="291"/>
      <x:c r="DWN60" s="291"/>
      <x:c r="DWO60" s="291"/>
      <x:c r="DWP60" s="291"/>
      <x:c r="DWQ60" s="291"/>
      <x:c r="DWR60" s="291"/>
      <x:c r="DWS60" s="291"/>
      <x:c r="DWT60" s="291"/>
      <x:c r="DWU60" s="291"/>
      <x:c r="DWV60" s="291"/>
      <x:c r="DWW60" s="291"/>
      <x:c r="DWX60" s="291"/>
      <x:c r="DWY60" s="291"/>
      <x:c r="DWZ60" s="291"/>
      <x:c r="DXA60" s="291"/>
      <x:c r="DXB60" s="291"/>
      <x:c r="DXC60" s="291"/>
      <x:c r="DXD60" s="291"/>
      <x:c r="DXE60" s="291"/>
      <x:c r="DXF60" s="291"/>
      <x:c r="DXG60" s="291"/>
      <x:c r="DXH60" s="291"/>
      <x:c r="DXI60" s="291"/>
      <x:c r="DXJ60" s="291"/>
      <x:c r="DXK60" s="291"/>
      <x:c r="DXL60" s="291"/>
      <x:c r="DXM60" s="291"/>
      <x:c r="DXN60" s="291"/>
      <x:c r="DXO60" s="291"/>
      <x:c r="DXP60" s="291"/>
      <x:c r="DXQ60" s="291"/>
      <x:c r="DXR60" s="291"/>
      <x:c r="DXS60" s="291"/>
      <x:c r="DXT60" s="291"/>
      <x:c r="DXU60" s="291"/>
      <x:c r="DXV60" s="291"/>
      <x:c r="DXW60" s="291"/>
      <x:c r="DXX60" s="291"/>
      <x:c r="DXY60" s="291"/>
      <x:c r="DXZ60" s="291"/>
      <x:c r="DYA60" s="291"/>
      <x:c r="DYB60" s="291"/>
      <x:c r="DYC60" s="291"/>
      <x:c r="DYD60" s="291"/>
      <x:c r="DYE60" s="291"/>
      <x:c r="DYF60" s="291"/>
      <x:c r="DYG60" s="291"/>
      <x:c r="DYH60" s="291"/>
      <x:c r="DYI60" s="291"/>
      <x:c r="DYJ60" s="291"/>
      <x:c r="DYK60" s="291"/>
      <x:c r="DYL60" s="291"/>
      <x:c r="DYM60" s="291"/>
      <x:c r="DYN60" s="291"/>
      <x:c r="DYO60" s="291"/>
      <x:c r="DYP60" s="291"/>
      <x:c r="DYQ60" s="291"/>
      <x:c r="DYR60" s="291"/>
      <x:c r="DYS60" s="291"/>
      <x:c r="DYT60" s="291"/>
      <x:c r="DYU60" s="291"/>
      <x:c r="DYV60" s="291"/>
      <x:c r="DYW60" s="291"/>
      <x:c r="DYX60" s="291"/>
      <x:c r="DYY60" s="291"/>
      <x:c r="DYZ60" s="291"/>
      <x:c r="DZA60" s="291"/>
      <x:c r="DZB60" s="291"/>
      <x:c r="DZC60" s="291"/>
      <x:c r="DZD60" s="291"/>
      <x:c r="DZE60" s="291"/>
      <x:c r="DZF60" s="291"/>
      <x:c r="DZG60" s="291"/>
      <x:c r="DZH60" s="291"/>
      <x:c r="DZI60" s="291"/>
      <x:c r="DZJ60" s="291"/>
      <x:c r="DZK60" s="291"/>
      <x:c r="DZL60" s="291"/>
      <x:c r="DZM60" s="291"/>
      <x:c r="DZN60" s="291"/>
      <x:c r="DZO60" s="291"/>
      <x:c r="DZP60" s="291"/>
      <x:c r="DZQ60" s="291"/>
      <x:c r="DZR60" s="291"/>
      <x:c r="DZS60" s="291"/>
      <x:c r="DZT60" s="291"/>
      <x:c r="DZU60" s="291"/>
      <x:c r="DZV60" s="291"/>
      <x:c r="DZW60" s="291"/>
      <x:c r="DZX60" s="291"/>
      <x:c r="DZY60" s="291"/>
      <x:c r="DZZ60" s="291"/>
      <x:c r="EAA60" s="291"/>
      <x:c r="EAB60" s="291"/>
      <x:c r="EAC60" s="291"/>
      <x:c r="EAD60" s="291"/>
      <x:c r="EAE60" s="291"/>
      <x:c r="EAF60" s="291"/>
      <x:c r="EAG60" s="291"/>
      <x:c r="EAH60" s="291"/>
      <x:c r="EAI60" s="291"/>
      <x:c r="EAJ60" s="291"/>
      <x:c r="EAK60" s="291"/>
      <x:c r="EAL60" s="291"/>
      <x:c r="EAM60" s="291"/>
      <x:c r="EAN60" s="291"/>
      <x:c r="EAO60" s="291"/>
      <x:c r="EAP60" s="291"/>
      <x:c r="EAQ60" s="291"/>
      <x:c r="EAR60" s="291"/>
      <x:c r="EAS60" s="291"/>
      <x:c r="EAT60" s="291"/>
      <x:c r="EAU60" s="291"/>
      <x:c r="EAV60" s="291"/>
      <x:c r="EAW60" s="291"/>
      <x:c r="EAX60" s="291"/>
      <x:c r="EAY60" s="291"/>
      <x:c r="EAZ60" s="291"/>
      <x:c r="EBA60" s="291"/>
      <x:c r="EBB60" s="291"/>
      <x:c r="EBC60" s="291"/>
      <x:c r="EBD60" s="291"/>
      <x:c r="EBE60" s="291"/>
      <x:c r="EBF60" s="291"/>
      <x:c r="EBG60" s="291"/>
      <x:c r="EBH60" s="291"/>
      <x:c r="EBI60" s="291"/>
      <x:c r="EBJ60" s="291"/>
      <x:c r="EBK60" s="291"/>
      <x:c r="EBL60" s="291"/>
      <x:c r="EBM60" s="291"/>
      <x:c r="EBN60" s="291"/>
      <x:c r="EBO60" s="291"/>
      <x:c r="EBP60" s="291"/>
      <x:c r="EBQ60" s="291"/>
      <x:c r="EBR60" s="291"/>
      <x:c r="EBS60" s="291"/>
      <x:c r="EBT60" s="291"/>
      <x:c r="EBU60" s="291"/>
      <x:c r="EBV60" s="291"/>
      <x:c r="EBW60" s="291"/>
      <x:c r="EBX60" s="291"/>
      <x:c r="EBY60" s="291"/>
      <x:c r="EBZ60" s="291"/>
      <x:c r="ECA60" s="291"/>
      <x:c r="ECB60" s="291"/>
      <x:c r="ECC60" s="291"/>
      <x:c r="ECD60" s="291"/>
      <x:c r="ECE60" s="291"/>
      <x:c r="ECF60" s="291"/>
      <x:c r="ECG60" s="291"/>
      <x:c r="ECH60" s="291"/>
      <x:c r="ECI60" s="291"/>
      <x:c r="ECJ60" s="291"/>
      <x:c r="ECK60" s="291"/>
      <x:c r="ECL60" s="291"/>
      <x:c r="ECM60" s="291"/>
      <x:c r="ECN60" s="291"/>
      <x:c r="ECO60" s="291"/>
      <x:c r="ECP60" s="291"/>
      <x:c r="ECQ60" s="291"/>
      <x:c r="ECR60" s="291"/>
      <x:c r="ECS60" s="291"/>
      <x:c r="ECT60" s="291"/>
      <x:c r="ECU60" s="291"/>
      <x:c r="ECV60" s="291"/>
      <x:c r="ECW60" s="291"/>
      <x:c r="ECX60" s="291"/>
      <x:c r="ECY60" s="291"/>
      <x:c r="ECZ60" s="291"/>
      <x:c r="EDA60" s="291"/>
      <x:c r="EDB60" s="291"/>
      <x:c r="EDC60" s="291"/>
      <x:c r="EDD60" s="291"/>
      <x:c r="EDE60" s="291"/>
      <x:c r="EDF60" s="291"/>
      <x:c r="EDG60" s="291"/>
      <x:c r="EDH60" s="291"/>
      <x:c r="EDI60" s="291"/>
      <x:c r="EDJ60" s="291"/>
      <x:c r="EDK60" s="291"/>
      <x:c r="EDL60" s="291"/>
      <x:c r="EDM60" s="291"/>
      <x:c r="EDN60" s="291"/>
      <x:c r="EDO60" s="291"/>
      <x:c r="EDP60" s="291"/>
      <x:c r="EDQ60" s="291"/>
      <x:c r="EDR60" s="291"/>
      <x:c r="EDS60" s="291"/>
      <x:c r="EDT60" s="291"/>
      <x:c r="EDU60" s="291"/>
      <x:c r="EDV60" s="291"/>
      <x:c r="EDW60" s="291"/>
      <x:c r="EDX60" s="291"/>
      <x:c r="EDY60" s="291"/>
      <x:c r="EDZ60" s="291"/>
      <x:c r="EEA60" s="291"/>
      <x:c r="EEB60" s="291"/>
      <x:c r="EEC60" s="291"/>
      <x:c r="EED60" s="291"/>
      <x:c r="EEE60" s="291"/>
      <x:c r="EEF60" s="291"/>
      <x:c r="EEG60" s="291"/>
      <x:c r="EEH60" s="291"/>
      <x:c r="EEI60" s="291"/>
      <x:c r="EEJ60" s="291"/>
      <x:c r="EEK60" s="291"/>
      <x:c r="EEL60" s="291"/>
      <x:c r="EEM60" s="291"/>
      <x:c r="EEN60" s="291"/>
      <x:c r="EEO60" s="291"/>
      <x:c r="EEP60" s="291"/>
      <x:c r="EEQ60" s="291"/>
      <x:c r="EER60" s="291"/>
      <x:c r="EES60" s="291"/>
      <x:c r="EET60" s="291"/>
      <x:c r="EEU60" s="291"/>
      <x:c r="EEV60" s="291"/>
      <x:c r="EEW60" s="291"/>
      <x:c r="EEX60" s="291"/>
      <x:c r="EEY60" s="291"/>
      <x:c r="EEZ60" s="291"/>
      <x:c r="EFA60" s="291"/>
      <x:c r="EFB60" s="291"/>
      <x:c r="EFC60" s="291"/>
      <x:c r="EFD60" s="291"/>
      <x:c r="EFE60" s="291"/>
      <x:c r="EFF60" s="291"/>
      <x:c r="EFG60" s="291"/>
      <x:c r="EFH60" s="291"/>
      <x:c r="EFI60" s="291"/>
      <x:c r="EFJ60" s="291"/>
      <x:c r="EFK60" s="291"/>
      <x:c r="EFL60" s="291"/>
      <x:c r="EFM60" s="291"/>
      <x:c r="EFN60" s="291"/>
      <x:c r="EFO60" s="291"/>
      <x:c r="EFP60" s="291"/>
      <x:c r="EFQ60" s="291"/>
      <x:c r="EFR60" s="291"/>
      <x:c r="EFS60" s="291"/>
      <x:c r="EFT60" s="291"/>
      <x:c r="EFU60" s="291"/>
      <x:c r="EFV60" s="291"/>
      <x:c r="EFW60" s="291"/>
      <x:c r="EFX60" s="291"/>
      <x:c r="EFY60" s="291"/>
      <x:c r="EFZ60" s="291"/>
      <x:c r="EGA60" s="291"/>
      <x:c r="EGB60" s="291"/>
      <x:c r="EGC60" s="291"/>
      <x:c r="EGD60" s="291"/>
      <x:c r="EGE60" s="291"/>
      <x:c r="EGF60" s="291"/>
      <x:c r="EGG60" s="291"/>
      <x:c r="EGH60" s="291"/>
      <x:c r="EGI60" s="291"/>
      <x:c r="EGJ60" s="291"/>
      <x:c r="EGK60" s="291"/>
      <x:c r="EGL60" s="291"/>
      <x:c r="EGM60" s="291"/>
      <x:c r="EGN60" s="291"/>
      <x:c r="EGO60" s="291"/>
      <x:c r="EGP60" s="291"/>
      <x:c r="EGQ60" s="291"/>
      <x:c r="EGR60" s="291"/>
      <x:c r="EGS60" s="291"/>
      <x:c r="EGT60" s="291"/>
      <x:c r="EGU60" s="291"/>
      <x:c r="EGV60" s="291"/>
      <x:c r="EGW60" s="291"/>
      <x:c r="EGX60" s="291"/>
      <x:c r="EGY60" s="291"/>
      <x:c r="EGZ60" s="291"/>
      <x:c r="EHA60" s="291"/>
      <x:c r="EHB60" s="291"/>
      <x:c r="EHC60" s="291"/>
      <x:c r="EHD60" s="291"/>
      <x:c r="EHE60" s="291"/>
      <x:c r="EHF60" s="291"/>
      <x:c r="EHG60" s="291"/>
      <x:c r="EHH60" s="291"/>
      <x:c r="EHI60" s="291"/>
      <x:c r="EHJ60" s="291"/>
      <x:c r="EHK60" s="291"/>
      <x:c r="EHL60" s="291"/>
      <x:c r="EHM60" s="291"/>
      <x:c r="EHN60" s="291"/>
      <x:c r="EHO60" s="291"/>
      <x:c r="EHP60" s="291"/>
      <x:c r="EHQ60" s="291"/>
      <x:c r="EHR60" s="291"/>
      <x:c r="EHS60" s="291"/>
      <x:c r="EHT60" s="291"/>
      <x:c r="EHU60" s="291"/>
      <x:c r="EHV60" s="291"/>
      <x:c r="EHW60" s="291"/>
      <x:c r="EHX60" s="291"/>
      <x:c r="EHY60" s="291"/>
      <x:c r="EHZ60" s="291"/>
      <x:c r="EIA60" s="291"/>
      <x:c r="EIB60" s="291"/>
      <x:c r="EIC60" s="291"/>
      <x:c r="EID60" s="291"/>
      <x:c r="EIE60" s="291"/>
      <x:c r="EIF60" s="291"/>
      <x:c r="EIG60" s="291"/>
      <x:c r="EIH60" s="291"/>
      <x:c r="EII60" s="291"/>
      <x:c r="EIJ60" s="291"/>
      <x:c r="EIK60" s="291"/>
      <x:c r="EIL60" s="291"/>
      <x:c r="EIM60" s="291"/>
      <x:c r="EIN60" s="291"/>
      <x:c r="EIO60" s="291"/>
      <x:c r="EIP60" s="291"/>
      <x:c r="EIQ60" s="291"/>
      <x:c r="EIR60" s="291"/>
      <x:c r="EIS60" s="291"/>
      <x:c r="EIT60" s="291"/>
      <x:c r="EIU60" s="291"/>
      <x:c r="EIV60" s="291"/>
      <x:c r="EIW60" s="291"/>
      <x:c r="EIX60" s="291"/>
      <x:c r="EIY60" s="291"/>
      <x:c r="EIZ60" s="291"/>
      <x:c r="EJA60" s="291"/>
      <x:c r="EJB60" s="291"/>
      <x:c r="EJC60" s="291"/>
      <x:c r="EJD60" s="291"/>
      <x:c r="EJE60" s="291"/>
      <x:c r="EJF60" s="291"/>
      <x:c r="EJG60" s="291"/>
      <x:c r="EJH60" s="291"/>
      <x:c r="EJI60" s="291"/>
      <x:c r="EJJ60" s="291"/>
      <x:c r="EJK60" s="291"/>
      <x:c r="EJL60" s="291"/>
      <x:c r="EJM60" s="291"/>
      <x:c r="EJN60" s="291"/>
      <x:c r="EJO60" s="291"/>
      <x:c r="EJP60" s="291"/>
      <x:c r="EJQ60" s="291"/>
      <x:c r="EJR60" s="291"/>
      <x:c r="EJS60" s="291"/>
      <x:c r="EJT60" s="291"/>
      <x:c r="EJU60" s="291"/>
      <x:c r="EJV60" s="291"/>
      <x:c r="EJW60" s="291"/>
      <x:c r="EJX60" s="291"/>
      <x:c r="EJY60" s="291"/>
      <x:c r="EJZ60" s="291"/>
      <x:c r="EKA60" s="291"/>
      <x:c r="EKB60" s="291"/>
      <x:c r="EKC60" s="291"/>
      <x:c r="EKD60" s="291"/>
      <x:c r="EKE60" s="291"/>
      <x:c r="EKF60" s="291"/>
      <x:c r="EKG60" s="291"/>
      <x:c r="EKH60" s="291"/>
      <x:c r="EKI60" s="291"/>
      <x:c r="EKJ60" s="291"/>
      <x:c r="EKK60" s="291"/>
      <x:c r="EKL60" s="291"/>
      <x:c r="EKM60" s="291"/>
      <x:c r="EKN60" s="291"/>
      <x:c r="EKO60" s="291"/>
      <x:c r="EKP60" s="291"/>
      <x:c r="EKQ60" s="291"/>
      <x:c r="EKR60" s="291"/>
      <x:c r="EKS60" s="291"/>
      <x:c r="EKT60" s="291"/>
      <x:c r="EKU60" s="291"/>
      <x:c r="EKV60" s="291"/>
      <x:c r="EKW60" s="291"/>
      <x:c r="EKX60" s="291"/>
      <x:c r="EKY60" s="291"/>
      <x:c r="EKZ60" s="291"/>
      <x:c r="ELA60" s="291"/>
      <x:c r="ELB60" s="291"/>
      <x:c r="ELC60" s="291"/>
      <x:c r="ELD60" s="291"/>
      <x:c r="ELE60" s="291"/>
      <x:c r="ELF60" s="291"/>
      <x:c r="ELG60" s="291"/>
      <x:c r="ELH60" s="291"/>
      <x:c r="ELI60" s="291"/>
      <x:c r="ELJ60" s="291"/>
      <x:c r="ELK60" s="291"/>
      <x:c r="ELL60" s="291"/>
      <x:c r="ELM60" s="291"/>
      <x:c r="ELN60" s="291"/>
      <x:c r="ELO60" s="291"/>
      <x:c r="ELP60" s="291"/>
      <x:c r="ELQ60" s="291"/>
      <x:c r="ELR60" s="291"/>
      <x:c r="ELS60" s="291"/>
      <x:c r="ELT60" s="291"/>
      <x:c r="ELU60" s="291"/>
      <x:c r="ELV60" s="291"/>
      <x:c r="ELW60" s="291"/>
      <x:c r="ELX60" s="291"/>
      <x:c r="ELY60" s="291"/>
      <x:c r="ELZ60" s="291"/>
      <x:c r="EMA60" s="291"/>
      <x:c r="EMB60" s="291"/>
      <x:c r="EMC60" s="291"/>
      <x:c r="EMD60" s="291"/>
      <x:c r="EME60" s="291"/>
      <x:c r="EMF60" s="291"/>
      <x:c r="EMG60" s="291"/>
      <x:c r="EMH60" s="291"/>
      <x:c r="EMI60" s="291"/>
      <x:c r="EMJ60" s="291"/>
      <x:c r="EMK60" s="291"/>
      <x:c r="EML60" s="291"/>
      <x:c r="EMM60" s="291"/>
      <x:c r="EMN60" s="291"/>
      <x:c r="EMO60" s="291"/>
      <x:c r="EMP60" s="291"/>
      <x:c r="EMQ60" s="291"/>
      <x:c r="EMR60" s="291"/>
      <x:c r="EMS60" s="291"/>
      <x:c r="EMT60" s="291"/>
      <x:c r="EMU60" s="291"/>
      <x:c r="EMV60" s="291"/>
      <x:c r="EMW60" s="291"/>
      <x:c r="EMX60" s="291"/>
      <x:c r="EMY60" s="291"/>
      <x:c r="EMZ60" s="291"/>
      <x:c r="ENA60" s="291"/>
      <x:c r="ENB60" s="291"/>
      <x:c r="ENC60" s="291"/>
      <x:c r="END60" s="291"/>
      <x:c r="ENE60" s="291"/>
      <x:c r="ENF60" s="291"/>
      <x:c r="ENG60" s="291"/>
      <x:c r="ENH60" s="291"/>
      <x:c r="ENI60" s="291"/>
      <x:c r="ENJ60" s="291"/>
      <x:c r="ENK60" s="291"/>
      <x:c r="ENL60" s="291"/>
      <x:c r="ENM60" s="291"/>
      <x:c r="ENN60" s="291"/>
      <x:c r="ENO60" s="291"/>
      <x:c r="ENP60" s="291"/>
      <x:c r="ENQ60" s="291"/>
      <x:c r="ENR60" s="291"/>
      <x:c r="ENS60" s="291"/>
      <x:c r="ENT60" s="291"/>
      <x:c r="ENU60" s="291"/>
      <x:c r="ENV60" s="291"/>
      <x:c r="ENW60" s="291"/>
      <x:c r="ENX60" s="291"/>
      <x:c r="ENY60" s="291"/>
      <x:c r="ENZ60" s="291"/>
      <x:c r="EOA60" s="291"/>
      <x:c r="EOB60" s="291"/>
      <x:c r="EOC60" s="291"/>
      <x:c r="EOD60" s="291"/>
      <x:c r="EOE60" s="291"/>
      <x:c r="EOF60" s="291"/>
      <x:c r="EOG60" s="291"/>
      <x:c r="EOH60" s="291"/>
      <x:c r="EOI60" s="291"/>
      <x:c r="EOJ60" s="291"/>
      <x:c r="EOK60" s="291"/>
      <x:c r="EOL60" s="291"/>
      <x:c r="EOM60" s="291"/>
      <x:c r="EON60" s="291"/>
      <x:c r="EOO60" s="291"/>
      <x:c r="EOP60" s="291"/>
      <x:c r="EOQ60" s="291"/>
      <x:c r="EOR60" s="291"/>
      <x:c r="EOS60" s="291"/>
      <x:c r="EOT60" s="291"/>
      <x:c r="EOU60" s="291"/>
      <x:c r="EOV60" s="291"/>
      <x:c r="EOW60" s="291"/>
      <x:c r="EOX60" s="291"/>
      <x:c r="EOY60" s="291"/>
      <x:c r="EOZ60" s="291"/>
      <x:c r="EPA60" s="291"/>
      <x:c r="EPB60" s="291"/>
      <x:c r="EPC60" s="291"/>
      <x:c r="EPD60" s="291"/>
      <x:c r="EPE60" s="291"/>
      <x:c r="EPF60" s="291"/>
      <x:c r="EPG60" s="291"/>
      <x:c r="EPH60" s="291"/>
      <x:c r="EPI60" s="291"/>
      <x:c r="EPJ60" s="291"/>
      <x:c r="EPK60" s="291"/>
      <x:c r="EPL60" s="291"/>
      <x:c r="EPM60" s="291"/>
      <x:c r="EPN60" s="291"/>
      <x:c r="EPO60" s="291"/>
      <x:c r="EPP60" s="291"/>
      <x:c r="EPQ60" s="291"/>
      <x:c r="EPR60" s="291"/>
      <x:c r="EPS60" s="291"/>
      <x:c r="EPT60" s="291"/>
      <x:c r="EPU60" s="291"/>
      <x:c r="EPV60" s="291"/>
      <x:c r="EPW60" s="291"/>
      <x:c r="EPX60" s="291"/>
      <x:c r="EPY60" s="291"/>
      <x:c r="EPZ60" s="291"/>
      <x:c r="EQA60" s="291"/>
      <x:c r="EQB60" s="291"/>
      <x:c r="EQC60" s="291"/>
      <x:c r="EQD60" s="291"/>
      <x:c r="EQE60" s="291"/>
      <x:c r="EQF60" s="291"/>
      <x:c r="EQG60" s="291"/>
      <x:c r="EQH60" s="291"/>
      <x:c r="EQI60" s="291"/>
      <x:c r="EQJ60" s="291"/>
      <x:c r="EQK60" s="291"/>
      <x:c r="EQL60" s="291"/>
      <x:c r="EQM60" s="291"/>
      <x:c r="EQN60" s="291"/>
      <x:c r="EQO60" s="291"/>
      <x:c r="EQP60" s="291"/>
      <x:c r="EQQ60" s="291"/>
      <x:c r="EQR60" s="291"/>
      <x:c r="EQS60" s="291"/>
      <x:c r="EQT60" s="291"/>
      <x:c r="EQU60" s="291"/>
      <x:c r="EQV60" s="291"/>
      <x:c r="EQW60" s="291"/>
      <x:c r="EQX60" s="291"/>
      <x:c r="EQY60" s="291"/>
      <x:c r="EQZ60" s="291"/>
      <x:c r="ERA60" s="291"/>
      <x:c r="ERB60" s="291"/>
      <x:c r="ERC60" s="291"/>
      <x:c r="ERD60" s="291"/>
      <x:c r="ERE60" s="291"/>
      <x:c r="ERF60" s="291"/>
      <x:c r="ERG60" s="291"/>
      <x:c r="ERH60" s="291"/>
      <x:c r="ERI60" s="291"/>
      <x:c r="ERJ60" s="291"/>
      <x:c r="ERK60" s="291"/>
      <x:c r="ERL60" s="291"/>
      <x:c r="ERM60" s="291"/>
      <x:c r="ERN60" s="291"/>
      <x:c r="ERO60" s="291"/>
      <x:c r="ERP60" s="291"/>
      <x:c r="ERQ60" s="291"/>
      <x:c r="ERR60" s="291"/>
      <x:c r="ERS60" s="291"/>
      <x:c r="ERT60" s="291"/>
      <x:c r="ERU60" s="291"/>
      <x:c r="ERV60" s="291"/>
      <x:c r="ERW60" s="291"/>
      <x:c r="ERX60" s="291"/>
      <x:c r="ERY60" s="291"/>
      <x:c r="ERZ60" s="291"/>
      <x:c r="ESA60" s="291"/>
      <x:c r="ESB60" s="291"/>
      <x:c r="ESC60" s="291"/>
      <x:c r="ESD60" s="291"/>
      <x:c r="ESE60" s="291"/>
      <x:c r="ESF60" s="291"/>
      <x:c r="ESG60" s="291"/>
      <x:c r="ESH60" s="291"/>
      <x:c r="ESI60" s="291"/>
      <x:c r="ESJ60" s="291"/>
      <x:c r="ESK60" s="291"/>
      <x:c r="ESL60" s="291"/>
      <x:c r="ESM60" s="291"/>
      <x:c r="ESN60" s="291"/>
      <x:c r="ESO60" s="291"/>
      <x:c r="ESP60" s="291"/>
      <x:c r="ESQ60" s="291"/>
      <x:c r="ESR60" s="291"/>
      <x:c r="ESS60" s="291"/>
      <x:c r="EST60" s="291"/>
      <x:c r="ESU60" s="291"/>
      <x:c r="ESV60" s="291"/>
      <x:c r="ESW60" s="291"/>
      <x:c r="ESX60" s="291"/>
      <x:c r="ESY60" s="291"/>
      <x:c r="ESZ60" s="291"/>
      <x:c r="ETA60" s="291"/>
      <x:c r="ETB60" s="291"/>
      <x:c r="ETC60" s="291"/>
      <x:c r="ETD60" s="291"/>
      <x:c r="ETE60" s="291"/>
      <x:c r="ETF60" s="291"/>
      <x:c r="ETG60" s="291"/>
      <x:c r="ETH60" s="291"/>
      <x:c r="ETI60" s="291"/>
      <x:c r="ETJ60" s="291"/>
      <x:c r="ETK60" s="291"/>
      <x:c r="ETL60" s="291"/>
      <x:c r="ETM60" s="291"/>
      <x:c r="ETN60" s="291"/>
      <x:c r="ETO60" s="291"/>
      <x:c r="ETP60" s="291"/>
      <x:c r="ETQ60" s="291"/>
      <x:c r="ETR60" s="291"/>
      <x:c r="ETS60" s="291"/>
      <x:c r="ETT60" s="291"/>
      <x:c r="ETU60" s="291"/>
      <x:c r="ETV60" s="291"/>
      <x:c r="ETW60" s="291"/>
      <x:c r="ETX60" s="291"/>
      <x:c r="ETY60" s="291"/>
      <x:c r="ETZ60" s="291"/>
      <x:c r="EUA60" s="291"/>
      <x:c r="EUB60" s="291"/>
      <x:c r="EUC60" s="291"/>
      <x:c r="EUD60" s="291"/>
      <x:c r="EUE60" s="291"/>
      <x:c r="EUF60" s="291"/>
      <x:c r="EUG60" s="291"/>
      <x:c r="EUH60" s="291"/>
      <x:c r="EUI60" s="291"/>
      <x:c r="EUJ60" s="291"/>
      <x:c r="EUK60" s="291"/>
      <x:c r="EUL60" s="291"/>
      <x:c r="EUM60" s="291"/>
      <x:c r="EUN60" s="291"/>
      <x:c r="EUO60" s="291"/>
      <x:c r="EUP60" s="291"/>
      <x:c r="EUQ60" s="291"/>
      <x:c r="EUR60" s="291"/>
      <x:c r="EUS60" s="291"/>
      <x:c r="EUT60" s="291"/>
      <x:c r="EUU60" s="291"/>
      <x:c r="EUV60" s="291"/>
      <x:c r="EUW60" s="291"/>
      <x:c r="EUX60" s="291"/>
      <x:c r="EUY60" s="291"/>
      <x:c r="EUZ60" s="291"/>
      <x:c r="EVA60" s="291"/>
      <x:c r="EVB60" s="291"/>
      <x:c r="EVC60" s="291"/>
      <x:c r="EVD60" s="291"/>
      <x:c r="EVE60" s="291"/>
      <x:c r="EVF60" s="291"/>
      <x:c r="EVG60" s="291"/>
      <x:c r="EVH60" s="291"/>
      <x:c r="EVI60" s="291"/>
      <x:c r="EVJ60" s="291"/>
      <x:c r="EVK60" s="291"/>
      <x:c r="EVL60" s="291"/>
      <x:c r="EVM60" s="291"/>
      <x:c r="EVN60" s="291"/>
      <x:c r="EVO60" s="291"/>
      <x:c r="EVP60" s="291"/>
      <x:c r="EVQ60" s="291"/>
      <x:c r="EVR60" s="291"/>
      <x:c r="EVS60" s="291"/>
      <x:c r="EVT60" s="291"/>
      <x:c r="EVU60" s="291"/>
      <x:c r="EVV60" s="291"/>
      <x:c r="EVW60" s="291"/>
      <x:c r="EVX60" s="291"/>
      <x:c r="EVY60" s="291"/>
      <x:c r="EVZ60" s="291"/>
      <x:c r="EWA60" s="291"/>
      <x:c r="EWB60" s="291"/>
      <x:c r="EWC60" s="291"/>
      <x:c r="EWD60" s="291"/>
      <x:c r="EWE60" s="291"/>
      <x:c r="EWF60" s="291"/>
      <x:c r="EWG60" s="291"/>
      <x:c r="EWH60" s="291"/>
      <x:c r="EWI60" s="291"/>
      <x:c r="EWJ60" s="291"/>
      <x:c r="EWK60" s="291"/>
      <x:c r="EWL60" s="291"/>
      <x:c r="EWM60" s="291"/>
      <x:c r="EWN60" s="291"/>
      <x:c r="EWO60" s="291"/>
      <x:c r="EWP60" s="291"/>
      <x:c r="EWQ60" s="291"/>
      <x:c r="EWR60" s="291"/>
      <x:c r="EWS60" s="291"/>
      <x:c r="EWT60" s="291"/>
      <x:c r="EWU60" s="291"/>
      <x:c r="EWV60" s="291"/>
      <x:c r="EWW60" s="291"/>
      <x:c r="EWX60" s="291"/>
      <x:c r="EWY60" s="291"/>
      <x:c r="EWZ60" s="291"/>
      <x:c r="EXA60" s="291"/>
      <x:c r="EXB60" s="291"/>
      <x:c r="EXC60" s="291"/>
      <x:c r="EXD60" s="291"/>
      <x:c r="EXE60" s="291"/>
      <x:c r="EXF60" s="291"/>
      <x:c r="EXG60" s="291"/>
      <x:c r="EXH60" s="291"/>
      <x:c r="EXI60" s="291"/>
      <x:c r="EXJ60" s="291"/>
      <x:c r="EXK60" s="291"/>
      <x:c r="EXL60" s="291"/>
      <x:c r="EXM60" s="291"/>
      <x:c r="EXN60" s="291"/>
      <x:c r="EXO60" s="291"/>
      <x:c r="EXP60" s="291"/>
      <x:c r="EXQ60" s="291"/>
      <x:c r="EXR60" s="291"/>
      <x:c r="EXS60" s="291"/>
      <x:c r="EXT60" s="291"/>
      <x:c r="EXU60" s="291"/>
      <x:c r="EXV60" s="291"/>
      <x:c r="EXW60" s="291"/>
      <x:c r="EXX60" s="291"/>
      <x:c r="EXY60" s="291"/>
      <x:c r="EXZ60" s="291"/>
      <x:c r="EYA60" s="291"/>
      <x:c r="EYB60" s="291"/>
      <x:c r="EYC60" s="291"/>
      <x:c r="EYD60" s="291"/>
      <x:c r="EYE60" s="291"/>
      <x:c r="EYF60" s="291"/>
      <x:c r="EYG60" s="291"/>
      <x:c r="EYH60" s="291"/>
      <x:c r="EYI60" s="291"/>
      <x:c r="EYJ60" s="291"/>
      <x:c r="EYK60" s="291"/>
      <x:c r="EYL60" s="291"/>
      <x:c r="EYM60" s="291"/>
      <x:c r="EYN60" s="291"/>
      <x:c r="EYO60" s="291"/>
      <x:c r="EYP60" s="291"/>
      <x:c r="EYQ60" s="291"/>
      <x:c r="EYR60" s="291"/>
      <x:c r="EYS60" s="291"/>
      <x:c r="EYT60" s="291"/>
      <x:c r="EYU60" s="291"/>
      <x:c r="EYV60" s="291"/>
      <x:c r="EYW60" s="291"/>
      <x:c r="EYX60" s="291"/>
      <x:c r="EYY60" s="291"/>
      <x:c r="EYZ60" s="291"/>
      <x:c r="EZA60" s="291"/>
      <x:c r="EZB60" s="291"/>
      <x:c r="EZC60" s="291"/>
      <x:c r="EZD60" s="291"/>
      <x:c r="EZE60" s="291"/>
      <x:c r="EZF60" s="291"/>
      <x:c r="EZG60" s="291"/>
      <x:c r="EZH60" s="291"/>
      <x:c r="EZI60" s="291"/>
      <x:c r="EZJ60" s="291"/>
      <x:c r="EZK60" s="291"/>
      <x:c r="EZL60" s="291"/>
      <x:c r="EZM60" s="291"/>
      <x:c r="EZN60" s="291"/>
      <x:c r="EZO60" s="291"/>
      <x:c r="EZP60" s="291"/>
      <x:c r="EZQ60" s="291"/>
      <x:c r="EZR60" s="291"/>
      <x:c r="EZS60" s="291"/>
      <x:c r="EZT60" s="291"/>
      <x:c r="EZU60" s="291"/>
      <x:c r="EZV60" s="291"/>
      <x:c r="EZW60" s="291"/>
      <x:c r="EZX60" s="291"/>
      <x:c r="EZY60" s="291"/>
      <x:c r="EZZ60" s="291"/>
      <x:c r="FAA60" s="291"/>
      <x:c r="FAB60" s="291"/>
      <x:c r="FAC60" s="291"/>
      <x:c r="FAD60" s="291"/>
      <x:c r="FAE60" s="291"/>
      <x:c r="FAF60" s="291"/>
      <x:c r="FAG60" s="291"/>
      <x:c r="FAH60" s="291"/>
      <x:c r="FAI60" s="291"/>
      <x:c r="FAJ60" s="291"/>
      <x:c r="FAK60" s="291"/>
      <x:c r="FAL60" s="291"/>
      <x:c r="FAM60" s="291"/>
      <x:c r="FAN60" s="291"/>
      <x:c r="FAO60" s="291"/>
      <x:c r="FAP60" s="291"/>
      <x:c r="FAQ60" s="291"/>
      <x:c r="FAR60" s="291"/>
      <x:c r="FAS60" s="291"/>
      <x:c r="FAT60" s="291"/>
      <x:c r="FAU60" s="291"/>
      <x:c r="FAV60" s="291"/>
      <x:c r="FAW60" s="291"/>
      <x:c r="FAX60" s="291"/>
      <x:c r="FAY60" s="291"/>
      <x:c r="FAZ60" s="291"/>
      <x:c r="FBA60" s="291"/>
      <x:c r="FBB60" s="291"/>
      <x:c r="FBC60" s="291"/>
      <x:c r="FBD60" s="291"/>
      <x:c r="FBE60" s="291"/>
      <x:c r="FBF60" s="291"/>
      <x:c r="FBG60" s="291"/>
      <x:c r="FBH60" s="291"/>
      <x:c r="FBI60" s="291"/>
      <x:c r="FBJ60" s="291"/>
      <x:c r="FBK60" s="291"/>
      <x:c r="FBL60" s="291"/>
      <x:c r="FBM60" s="291"/>
      <x:c r="FBN60" s="291"/>
      <x:c r="FBO60" s="291"/>
      <x:c r="FBP60" s="291"/>
      <x:c r="FBQ60" s="291"/>
      <x:c r="FBR60" s="291"/>
      <x:c r="FBS60" s="291"/>
      <x:c r="FBT60" s="291"/>
      <x:c r="FBU60" s="291"/>
      <x:c r="FBV60" s="291"/>
      <x:c r="FBW60" s="291"/>
      <x:c r="FBX60" s="291"/>
      <x:c r="FBY60" s="291"/>
      <x:c r="FBZ60" s="291"/>
      <x:c r="FCA60" s="291"/>
      <x:c r="FCB60" s="291"/>
      <x:c r="FCC60" s="291"/>
      <x:c r="FCD60" s="291"/>
      <x:c r="FCE60" s="291"/>
      <x:c r="FCF60" s="291"/>
      <x:c r="FCG60" s="291"/>
      <x:c r="FCH60" s="291"/>
      <x:c r="FCI60" s="291"/>
      <x:c r="FCJ60" s="291"/>
      <x:c r="FCK60" s="291"/>
      <x:c r="FCL60" s="291"/>
      <x:c r="FCM60" s="291"/>
      <x:c r="FCN60" s="291"/>
      <x:c r="FCO60" s="291"/>
      <x:c r="FCP60" s="291"/>
      <x:c r="FCQ60" s="291"/>
      <x:c r="FCR60" s="291"/>
      <x:c r="FCS60" s="291"/>
      <x:c r="FCT60" s="291"/>
      <x:c r="FCU60" s="291"/>
      <x:c r="FCV60" s="291"/>
      <x:c r="FCW60" s="291"/>
      <x:c r="FCX60" s="291"/>
      <x:c r="FCY60" s="291"/>
      <x:c r="FCZ60" s="291"/>
      <x:c r="FDA60" s="291"/>
      <x:c r="FDB60" s="291"/>
      <x:c r="FDC60" s="291"/>
      <x:c r="FDD60" s="291"/>
      <x:c r="FDE60" s="291"/>
      <x:c r="FDF60" s="291"/>
      <x:c r="FDG60" s="291"/>
      <x:c r="FDH60" s="291"/>
      <x:c r="FDI60" s="291"/>
      <x:c r="FDJ60" s="291"/>
      <x:c r="FDK60" s="291"/>
      <x:c r="FDL60" s="291"/>
      <x:c r="FDM60" s="291"/>
      <x:c r="FDN60" s="291"/>
      <x:c r="FDO60" s="291"/>
      <x:c r="FDP60" s="291"/>
      <x:c r="FDQ60" s="291"/>
      <x:c r="FDR60" s="291"/>
      <x:c r="FDS60" s="291"/>
      <x:c r="FDT60" s="291"/>
      <x:c r="FDU60" s="291"/>
      <x:c r="FDV60" s="291"/>
      <x:c r="FDW60" s="291"/>
      <x:c r="FDX60" s="291"/>
      <x:c r="FDY60" s="291"/>
      <x:c r="FDZ60" s="291"/>
      <x:c r="FEA60" s="291"/>
      <x:c r="FEB60" s="291"/>
      <x:c r="FEC60" s="291"/>
      <x:c r="FED60" s="291"/>
      <x:c r="FEE60" s="291"/>
      <x:c r="FEF60" s="291"/>
      <x:c r="FEG60" s="291"/>
      <x:c r="FEH60" s="291"/>
      <x:c r="FEI60" s="291"/>
      <x:c r="FEJ60" s="291"/>
      <x:c r="FEK60" s="291"/>
      <x:c r="FEL60" s="291"/>
      <x:c r="FEM60" s="291"/>
      <x:c r="FEN60" s="291"/>
      <x:c r="FEO60" s="291"/>
      <x:c r="FEP60" s="291"/>
      <x:c r="FEQ60" s="291"/>
      <x:c r="FER60" s="291"/>
      <x:c r="FES60" s="291"/>
      <x:c r="FET60" s="291"/>
      <x:c r="FEU60" s="291"/>
      <x:c r="FEV60" s="291"/>
      <x:c r="FEW60" s="291"/>
      <x:c r="FEX60" s="291"/>
      <x:c r="FEY60" s="291"/>
      <x:c r="FEZ60" s="291"/>
      <x:c r="FFA60" s="291"/>
      <x:c r="FFB60" s="291"/>
      <x:c r="FFC60" s="291"/>
      <x:c r="FFD60" s="291"/>
      <x:c r="FFE60" s="291"/>
      <x:c r="FFF60" s="291"/>
      <x:c r="FFG60" s="291"/>
      <x:c r="FFH60" s="291"/>
      <x:c r="FFI60" s="291"/>
      <x:c r="FFJ60" s="291"/>
      <x:c r="FFK60" s="291"/>
      <x:c r="FFL60" s="291"/>
      <x:c r="FFM60" s="291"/>
      <x:c r="FFN60" s="291"/>
      <x:c r="FFO60" s="291"/>
      <x:c r="FFP60" s="291"/>
      <x:c r="FFQ60" s="291"/>
      <x:c r="FFR60" s="291"/>
      <x:c r="FFS60" s="291"/>
      <x:c r="FFT60" s="291"/>
      <x:c r="FFU60" s="291"/>
      <x:c r="FFV60" s="291"/>
      <x:c r="FFW60" s="291"/>
      <x:c r="FFX60" s="291"/>
      <x:c r="FFY60" s="291"/>
      <x:c r="FFZ60" s="291"/>
      <x:c r="FGA60" s="291"/>
      <x:c r="FGB60" s="291"/>
      <x:c r="FGC60" s="291"/>
      <x:c r="FGD60" s="291"/>
      <x:c r="FGE60" s="291"/>
      <x:c r="FGF60" s="291"/>
      <x:c r="FGG60" s="291"/>
      <x:c r="FGH60" s="291"/>
      <x:c r="FGI60" s="291"/>
      <x:c r="FGJ60" s="291"/>
      <x:c r="FGK60" s="291"/>
      <x:c r="FGL60" s="291"/>
      <x:c r="FGM60" s="291"/>
      <x:c r="FGN60" s="291"/>
      <x:c r="FGO60" s="291"/>
      <x:c r="FGP60" s="291"/>
      <x:c r="FGQ60" s="291"/>
      <x:c r="FGR60" s="291"/>
      <x:c r="FGS60" s="291"/>
      <x:c r="FGT60" s="291"/>
      <x:c r="FGU60" s="291"/>
      <x:c r="FGV60" s="291"/>
      <x:c r="FGW60" s="291"/>
      <x:c r="FGX60" s="291"/>
      <x:c r="FGY60" s="291"/>
      <x:c r="FGZ60" s="291"/>
      <x:c r="FHA60" s="291"/>
      <x:c r="FHB60" s="291"/>
      <x:c r="FHC60" s="291"/>
      <x:c r="FHD60" s="291"/>
      <x:c r="FHE60" s="291"/>
      <x:c r="FHF60" s="291"/>
      <x:c r="FHG60" s="291"/>
      <x:c r="FHH60" s="291"/>
      <x:c r="FHI60" s="291"/>
      <x:c r="FHJ60" s="291"/>
      <x:c r="FHK60" s="291"/>
      <x:c r="FHL60" s="291"/>
      <x:c r="FHM60" s="291"/>
      <x:c r="FHN60" s="291"/>
      <x:c r="FHO60" s="291"/>
      <x:c r="FHP60" s="291"/>
      <x:c r="FHQ60" s="291"/>
      <x:c r="FHR60" s="291"/>
      <x:c r="FHS60" s="291"/>
      <x:c r="FHT60" s="291"/>
      <x:c r="FHU60" s="291"/>
      <x:c r="FHV60" s="291"/>
      <x:c r="FHW60" s="291"/>
      <x:c r="FHX60" s="291"/>
      <x:c r="FHY60" s="291"/>
      <x:c r="FHZ60" s="291"/>
      <x:c r="FIA60" s="291"/>
      <x:c r="FIB60" s="291"/>
      <x:c r="FIC60" s="291"/>
      <x:c r="FID60" s="291"/>
      <x:c r="FIE60" s="291"/>
      <x:c r="FIF60" s="291"/>
      <x:c r="FIG60" s="291"/>
      <x:c r="FIH60" s="291"/>
      <x:c r="FII60" s="291"/>
      <x:c r="FIJ60" s="291"/>
      <x:c r="FIK60" s="291"/>
      <x:c r="FIL60" s="291"/>
      <x:c r="FIM60" s="291"/>
      <x:c r="FIN60" s="291"/>
      <x:c r="FIO60" s="291"/>
      <x:c r="FIP60" s="291"/>
      <x:c r="FIQ60" s="291"/>
      <x:c r="FIR60" s="291"/>
      <x:c r="FIS60" s="291"/>
      <x:c r="FIT60" s="291"/>
      <x:c r="FIU60" s="291"/>
      <x:c r="FIV60" s="291"/>
      <x:c r="FIW60" s="291"/>
      <x:c r="FIX60" s="291"/>
      <x:c r="FIY60" s="291"/>
      <x:c r="FIZ60" s="291"/>
      <x:c r="FJA60" s="291"/>
      <x:c r="FJB60" s="291"/>
      <x:c r="FJC60" s="291"/>
      <x:c r="FJD60" s="291"/>
      <x:c r="FJE60" s="291"/>
      <x:c r="FJF60" s="291"/>
      <x:c r="FJG60" s="291"/>
      <x:c r="FJH60" s="291"/>
      <x:c r="FJI60" s="291"/>
      <x:c r="FJJ60" s="291"/>
      <x:c r="FJK60" s="291"/>
      <x:c r="FJL60" s="291"/>
      <x:c r="FJM60" s="291"/>
      <x:c r="FJN60" s="291"/>
      <x:c r="FJO60" s="291"/>
      <x:c r="FJP60" s="291"/>
      <x:c r="FJQ60" s="291"/>
      <x:c r="FJR60" s="291"/>
      <x:c r="FJS60" s="291"/>
      <x:c r="FJT60" s="291"/>
      <x:c r="FJU60" s="291"/>
      <x:c r="FJV60" s="291"/>
      <x:c r="FJW60" s="291"/>
      <x:c r="FJX60" s="291"/>
      <x:c r="FJY60" s="291"/>
      <x:c r="FJZ60" s="291"/>
      <x:c r="FKA60" s="291"/>
      <x:c r="FKB60" s="291"/>
      <x:c r="FKC60" s="291"/>
      <x:c r="FKD60" s="291"/>
      <x:c r="FKE60" s="291"/>
      <x:c r="FKF60" s="291"/>
      <x:c r="FKG60" s="291"/>
      <x:c r="FKH60" s="291"/>
      <x:c r="FKI60" s="291"/>
      <x:c r="FKJ60" s="291"/>
      <x:c r="FKK60" s="291"/>
      <x:c r="FKL60" s="291"/>
      <x:c r="FKM60" s="291"/>
      <x:c r="FKN60" s="291"/>
      <x:c r="FKO60" s="291"/>
      <x:c r="FKP60" s="291"/>
      <x:c r="FKQ60" s="291"/>
      <x:c r="FKR60" s="291"/>
      <x:c r="FKS60" s="291"/>
      <x:c r="FKT60" s="291"/>
      <x:c r="FKU60" s="291"/>
      <x:c r="FKV60" s="291"/>
      <x:c r="FKW60" s="291"/>
      <x:c r="FKX60" s="291"/>
      <x:c r="FKY60" s="291"/>
      <x:c r="FKZ60" s="291"/>
      <x:c r="FLA60" s="291"/>
      <x:c r="FLB60" s="291"/>
      <x:c r="FLC60" s="291"/>
      <x:c r="FLD60" s="291"/>
      <x:c r="FLE60" s="291"/>
      <x:c r="FLF60" s="291"/>
      <x:c r="FLG60" s="291"/>
      <x:c r="FLH60" s="291"/>
      <x:c r="FLI60" s="291"/>
      <x:c r="FLJ60" s="291"/>
      <x:c r="FLK60" s="291"/>
      <x:c r="FLL60" s="291"/>
      <x:c r="FLM60" s="291"/>
      <x:c r="FLN60" s="291"/>
      <x:c r="FLO60" s="291"/>
      <x:c r="FLP60" s="291"/>
      <x:c r="FLQ60" s="291"/>
      <x:c r="FLR60" s="291"/>
      <x:c r="FLS60" s="291"/>
      <x:c r="FLT60" s="291"/>
      <x:c r="FLU60" s="291"/>
      <x:c r="FLV60" s="291"/>
      <x:c r="FLW60" s="291"/>
      <x:c r="FLX60" s="291"/>
      <x:c r="FLY60" s="291"/>
      <x:c r="FLZ60" s="291"/>
      <x:c r="FMA60" s="291"/>
      <x:c r="FMB60" s="291"/>
      <x:c r="FMC60" s="291"/>
      <x:c r="FMD60" s="291"/>
      <x:c r="FME60" s="291"/>
      <x:c r="FMF60" s="291"/>
      <x:c r="FMG60" s="291"/>
      <x:c r="FMH60" s="291"/>
      <x:c r="FMI60" s="291"/>
      <x:c r="FMJ60" s="291"/>
      <x:c r="FMK60" s="291"/>
      <x:c r="FML60" s="291"/>
      <x:c r="FMM60" s="291"/>
      <x:c r="FMN60" s="291"/>
      <x:c r="FMO60" s="291"/>
      <x:c r="FMP60" s="291"/>
      <x:c r="FMQ60" s="291"/>
      <x:c r="FMR60" s="291"/>
      <x:c r="FMS60" s="291"/>
      <x:c r="FMT60" s="291"/>
      <x:c r="FMU60" s="291"/>
      <x:c r="FMV60" s="291"/>
      <x:c r="FMW60" s="291"/>
      <x:c r="FMX60" s="291"/>
      <x:c r="FMY60" s="291"/>
      <x:c r="FMZ60" s="291"/>
      <x:c r="FNA60" s="291"/>
      <x:c r="FNB60" s="291"/>
      <x:c r="FNC60" s="291"/>
      <x:c r="FND60" s="291"/>
      <x:c r="FNE60" s="291"/>
      <x:c r="FNF60" s="291"/>
      <x:c r="FNG60" s="291"/>
      <x:c r="FNH60" s="291"/>
      <x:c r="FNI60" s="291"/>
      <x:c r="FNJ60" s="291"/>
      <x:c r="FNK60" s="291"/>
      <x:c r="FNL60" s="291"/>
      <x:c r="FNM60" s="291"/>
      <x:c r="FNN60" s="291"/>
      <x:c r="FNO60" s="291"/>
      <x:c r="FNP60" s="291"/>
      <x:c r="FNQ60" s="291"/>
      <x:c r="FNR60" s="291"/>
      <x:c r="FNS60" s="291"/>
      <x:c r="FNT60" s="291"/>
      <x:c r="FNU60" s="291"/>
      <x:c r="FNV60" s="291"/>
      <x:c r="FNW60" s="291"/>
      <x:c r="FNX60" s="291"/>
      <x:c r="FNY60" s="291"/>
      <x:c r="FNZ60" s="291"/>
      <x:c r="FOA60" s="291"/>
      <x:c r="FOB60" s="291"/>
      <x:c r="FOC60" s="291"/>
      <x:c r="FOD60" s="291"/>
      <x:c r="FOE60" s="291"/>
      <x:c r="FOF60" s="291"/>
      <x:c r="FOG60" s="291"/>
      <x:c r="FOH60" s="291"/>
      <x:c r="FOI60" s="291"/>
      <x:c r="FOJ60" s="291"/>
      <x:c r="FOK60" s="291"/>
      <x:c r="FOL60" s="291"/>
      <x:c r="FOM60" s="291"/>
      <x:c r="FON60" s="291"/>
      <x:c r="FOO60" s="291"/>
      <x:c r="FOP60" s="291"/>
      <x:c r="FOQ60" s="291"/>
      <x:c r="FOR60" s="291"/>
      <x:c r="FOS60" s="291"/>
      <x:c r="FOT60" s="291"/>
      <x:c r="FOU60" s="291"/>
      <x:c r="FOV60" s="291"/>
      <x:c r="FOW60" s="291"/>
      <x:c r="FOX60" s="291"/>
      <x:c r="FOY60" s="291"/>
      <x:c r="FOZ60" s="291"/>
      <x:c r="FPA60" s="291"/>
      <x:c r="FPB60" s="291"/>
      <x:c r="FPC60" s="291"/>
      <x:c r="FPD60" s="291"/>
      <x:c r="FPE60" s="291"/>
      <x:c r="FPF60" s="291"/>
      <x:c r="FPG60" s="291"/>
      <x:c r="FPH60" s="291"/>
      <x:c r="FPI60" s="291"/>
      <x:c r="FPJ60" s="291"/>
      <x:c r="FPK60" s="291"/>
      <x:c r="FPL60" s="291"/>
      <x:c r="FPM60" s="291"/>
      <x:c r="FPN60" s="291"/>
      <x:c r="FPO60" s="291"/>
      <x:c r="FPP60" s="291"/>
      <x:c r="FPQ60" s="291"/>
      <x:c r="FPR60" s="291"/>
      <x:c r="FPS60" s="291"/>
      <x:c r="FPT60" s="291"/>
      <x:c r="FPU60" s="291"/>
      <x:c r="FPV60" s="291"/>
      <x:c r="FPW60" s="291"/>
      <x:c r="FPX60" s="291"/>
      <x:c r="FPY60" s="291"/>
      <x:c r="FPZ60" s="291"/>
      <x:c r="FQA60" s="291"/>
      <x:c r="FQB60" s="291"/>
      <x:c r="FQC60" s="291"/>
      <x:c r="FQD60" s="291"/>
      <x:c r="FQE60" s="291"/>
      <x:c r="FQF60" s="291"/>
      <x:c r="FQG60" s="291"/>
      <x:c r="FQH60" s="291"/>
      <x:c r="FQI60" s="291"/>
      <x:c r="FQJ60" s="291"/>
      <x:c r="FQK60" s="291"/>
      <x:c r="FQL60" s="291"/>
      <x:c r="FQM60" s="291"/>
      <x:c r="FQN60" s="291"/>
      <x:c r="FQO60" s="291"/>
      <x:c r="FQP60" s="291"/>
      <x:c r="FQQ60" s="291"/>
      <x:c r="FQR60" s="291"/>
      <x:c r="FQS60" s="291"/>
      <x:c r="FQT60" s="291"/>
      <x:c r="FQU60" s="291"/>
      <x:c r="FQV60" s="291"/>
      <x:c r="FQW60" s="291"/>
      <x:c r="FQX60" s="291"/>
      <x:c r="FQY60" s="291"/>
      <x:c r="FQZ60" s="291"/>
      <x:c r="FRA60" s="291"/>
      <x:c r="FRB60" s="291"/>
      <x:c r="FRC60" s="291"/>
      <x:c r="FRD60" s="291"/>
      <x:c r="FRE60" s="291"/>
      <x:c r="FRF60" s="291"/>
      <x:c r="FRG60" s="291"/>
      <x:c r="FRH60" s="291"/>
      <x:c r="FRI60" s="291"/>
      <x:c r="FRJ60" s="291"/>
      <x:c r="FRK60" s="291"/>
      <x:c r="FRL60" s="291"/>
      <x:c r="FRM60" s="291"/>
      <x:c r="FRN60" s="291"/>
      <x:c r="FRO60" s="291"/>
      <x:c r="FRP60" s="291"/>
      <x:c r="FRQ60" s="291"/>
      <x:c r="FRR60" s="291"/>
      <x:c r="FRS60" s="291"/>
      <x:c r="FRT60" s="291"/>
      <x:c r="FRU60" s="291"/>
      <x:c r="FRV60" s="291"/>
      <x:c r="FRW60" s="291"/>
      <x:c r="FRX60" s="291"/>
      <x:c r="FRY60" s="291"/>
      <x:c r="FRZ60" s="291"/>
      <x:c r="FSA60" s="291"/>
      <x:c r="FSB60" s="291"/>
      <x:c r="FSC60" s="291"/>
      <x:c r="FSD60" s="291"/>
      <x:c r="FSE60" s="291"/>
      <x:c r="FSF60" s="291"/>
      <x:c r="FSG60" s="291"/>
      <x:c r="FSH60" s="291"/>
      <x:c r="FSI60" s="291"/>
      <x:c r="FSJ60" s="291"/>
      <x:c r="FSK60" s="291"/>
      <x:c r="FSL60" s="291"/>
      <x:c r="FSM60" s="291"/>
      <x:c r="FSN60" s="291"/>
      <x:c r="FSO60" s="291"/>
      <x:c r="FSP60" s="291"/>
      <x:c r="FSQ60" s="291"/>
      <x:c r="FSR60" s="291"/>
      <x:c r="FSS60" s="291"/>
      <x:c r="FST60" s="291"/>
      <x:c r="FSU60" s="291"/>
      <x:c r="FSV60" s="291"/>
      <x:c r="FSW60" s="291"/>
      <x:c r="FSX60" s="291"/>
      <x:c r="FSY60" s="291"/>
      <x:c r="FSZ60" s="291"/>
      <x:c r="FTA60" s="291"/>
      <x:c r="FTB60" s="291"/>
      <x:c r="FTC60" s="291"/>
      <x:c r="FTD60" s="291"/>
      <x:c r="FTE60" s="291"/>
      <x:c r="FTF60" s="291"/>
      <x:c r="FTG60" s="291"/>
      <x:c r="FTH60" s="291"/>
      <x:c r="FTI60" s="291"/>
      <x:c r="FTJ60" s="291"/>
      <x:c r="FTK60" s="291"/>
      <x:c r="FTL60" s="291"/>
      <x:c r="FTM60" s="291"/>
      <x:c r="FTN60" s="291"/>
      <x:c r="FTO60" s="291"/>
      <x:c r="FTP60" s="291"/>
      <x:c r="FTQ60" s="291"/>
      <x:c r="FTR60" s="291"/>
      <x:c r="FTS60" s="291"/>
      <x:c r="FTT60" s="291"/>
      <x:c r="FTU60" s="291"/>
      <x:c r="FTV60" s="291"/>
      <x:c r="FTW60" s="291"/>
      <x:c r="FTX60" s="291"/>
      <x:c r="FTY60" s="291"/>
      <x:c r="FTZ60" s="291"/>
      <x:c r="FUA60" s="291"/>
      <x:c r="FUB60" s="291"/>
      <x:c r="FUC60" s="291"/>
      <x:c r="FUD60" s="291"/>
      <x:c r="FUE60" s="291"/>
      <x:c r="FUF60" s="291"/>
      <x:c r="FUG60" s="291"/>
      <x:c r="FUH60" s="291"/>
      <x:c r="FUI60" s="291"/>
      <x:c r="FUJ60" s="291"/>
      <x:c r="FUK60" s="291"/>
      <x:c r="FUL60" s="291"/>
      <x:c r="FUM60" s="291"/>
      <x:c r="FUN60" s="291"/>
      <x:c r="FUO60" s="291"/>
      <x:c r="FUP60" s="291"/>
      <x:c r="FUQ60" s="291"/>
      <x:c r="FUR60" s="291"/>
      <x:c r="FUS60" s="291"/>
      <x:c r="FUT60" s="291"/>
      <x:c r="FUU60" s="291"/>
      <x:c r="FUV60" s="291"/>
      <x:c r="FUW60" s="291"/>
      <x:c r="FUX60" s="291"/>
      <x:c r="FUY60" s="291"/>
      <x:c r="FUZ60" s="291"/>
      <x:c r="FVA60" s="291"/>
      <x:c r="FVB60" s="291"/>
      <x:c r="FVC60" s="291"/>
      <x:c r="FVD60" s="291"/>
      <x:c r="FVE60" s="291"/>
      <x:c r="FVF60" s="291"/>
      <x:c r="FVG60" s="291"/>
      <x:c r="FVH60" s="291"/>
      <x:c r="FVI60" s="291"/>
      <x:c r="FVJ60" s="291"/>
      <x:c r="FVK60" s="291"/>
      <x:c r="FVL60" s="291"/>
      <x:c r="FVM60" s="291"/>
      <x:c r="FVN60" s="291"/>
      <x:c r="FVO60" s="291"/>
      <x:c r="FVP60" s="291"/>
      <x:c r="FVQ60" s="291"/>
      <x:c r="FVR60" s="291"/>
      <x:c r="FVS60" s="291"/>
      <x:c r="FVT60" s="291"/>
      <x:c r="FVU60" s="291"/>
      <x:c r="FVV60" s="291"/>
      <x:c r="FVW60" s="291"/>
      <x:c r="FVX60" s="291"/>
      <x:c r="FVY60" s="291"/>
      <x:c r="FVZ60" s="291"/>
      <x:c r="FWA60" s="291"/>
      <x:c r="FWB60" s="291"/>
      <x:c r="FWC60" s="291"/>
      <x:c r="FWD60" s="291"/>
      <x:c r="FWE60" s="291"/>
      <x:c r="FWF60" s="291"/>
      <x:c r="FWG60" s="291"/>
      <x:c r="FWH60" s="291"/>
      <x:c r="FWI60" s="291"/>
      <x:c r="FWJ60" s="291"/>
      <x:c r="FWK60" s="291"/>
      <x:c r="FWL60" s="291"/>
      <x:c r="FWM60" s="291"/>
      <x:c r="FWN60" s="291"/>
      <x:c r="FWO60" s="291"/>
      <x:c r="FWP60" s="291"/>
      <x:c r="FWQ60" s="291"/>
      <x:c r="FWR60" s="291"/>
      <x:c r="FWS60" s="291"/>
      <x:c r="FWT60" s="291"/>
      <x:c r="FWU60" s="291"/>
      <x:c r="FWV60" s="291"/>
      <x:c r="FWW60" s="291"/>
      <x:c r="FWX60" s="291"/>
      <x:c r="FWY60" s="291"/>
      <x:c r="FWZ60" s="291"/>
      <x:c r="FXA60" s="291"/>
      <x:c r="FXB60" s="291"/>
      <x:c r="FXC60" s="291"/>
      <x:c r="FXD60" s="291"/>
      <x:c r="FXE60" s="291"/>
      <x:c r="FXF60" s="291"/>
      <x:c r="FXG60" s="291"/>
      <x:c r="FXH60" s="291"/>
      <x:c r="FXI60" s="291"/>
      <x:c r="FXJ60" s="291"/>
      <x:c r="FXK60" s="291"/>
      <x:c r="FXL60" s="291"/>
      <x:c r="FXM60" s="291"/>
      <x:c r="FXN60" s="291"/>
      <x:c r="FXO60" s="291"/>
      <x:c r="FXP60" s="291"/>
      <x:c r="FXQ60" s="291"/>
      <x:c r="FXR60" s="291"/>
      <x:c r="FXS60" s="291"/>
      <x:c r="FXT60" s="291"/>
      <x:c r="FXU60" s="291"/>
      <x:c r="FXV60" s="291"/>
      <x:c r="FXW60" s="291"/>
      <x:c r="FXX60" s="291"/>
      <x:c r="FXY60" s="291"/>
      <x:c r="FXZ60" s="291"/>
      <x:c r="FYA60" s="291"/>
      <x:c r="FYB60" s="291"/>
      <x:c r="FYC60" s="291"/>
      <x:c r="FYD60" s="291"/>
      <x:c r="FYE60" s="291"/>
      <x:c r="FYF60" s="291"/>
      <x:c r="FYG60" s="291"/>
      <x:c r="FYH60" s="291"/>
      <x:c r="FYI60" s="291"/>
      <x:c r="FYJ60" s="291"/>
      <x:c r="FYK60" s="291"/>
      <x:c r="FYL60" s="291"/>
      <x:c r="FYM60" s="291"/>
      <x:c r="FYN60" s="291"/>
      <x:c r="FYO60" s="291"/>
      <x:c r="FYP60" s="291"/>
      <x:c r="FYQ60" s="291"/>
      <x:c r="FYR60" s="291"/>
      <x:c r="FYS60" s="291"/>
      <x:c r="FYT60" s="291"/>
      <x:c r="FYU60" s="291"/>
      <x:c r="FYV60" s="291"/>
      <x:c r="FYW60" s="291"/>
      <x:c r="FYX60" s="291"/>
      <x:c r="FYY60" s="291"/>
      <x:c r="FYZ60" s="291"/>
      <x:c r="FZA60" s="291"/>
      <x:c r="FZB60" s="291"/>
      <x:c r="FZC60" s="291"/>
      <x:c r="FZD60" s="291"/>
      <x:c r="FZE60" s="291"/>
      <x:c r="FZF60" s="291"/>
      <x:c r="FZG60" s="291"/>
      <x:c r="FZH60" s="291"/>
      <x:c r="FZI60" s="291"/>
      <x:c r="FZJ60" s="291"/>
      <x:c r="FZK60" s="291"/>
      <x:c r="FZL60" s="291"/>
      <x:c r="FZM60" s="291"/>
      <x:c r="FZN60" s="291"/>
      <x:c r="FZO60" s="291"/>
      <x:c r="FZP60" s="291"/>
      <x:c r="FZQ60" s="291"/>
      <x:c r="FZR60" s="291"/>
      <x:c r="FZS60" s="291"/>
      <x:c r="FZT60" s="291"/>
      <x:c r="FZU60" s="291"/>
      <x:c r="FZV60" s="291"/>
      <x:c r="FZW60" s="291"/>
      <x:c r="FZX60" s="291"/>
      <x:c r="FZY60" s="291"/>
      <x:c r="FZZ60" s="291"/>
      <x:c r="GAA60" s="291"/>
      <x:c r="GAB60" s="291"/>
      <x:c r="GAC60" s="291"/>
      <x:c r="GAD60" s="291"/>
      <x:c r="GAE60" s="291"/>
      <x:c r="GAF60" s="291"/>
      <x:c r="GAG60" s="291"/>
      <x:c r="GAH60" s="291"/>
      <x:c r="GAI60" s="291"/>
      <x:c r="GAJ60" s="291"/>
      <x:c r="GAK60" s="291"/>
      <x:c r="GAL60" s="291"/>
      <x:c r="GAM60" s="291"/>
      <x:c r="GAN60" s="291"/>
      <x:c r="GAO60" s="291"/>
      <x:c r="GAP60" s="291"/>
      <x:c r="GAQ60" s="291"/>
      <x:c r="GAR60" s="291"/>
      <x:c r="GAS60" s="291"/>
      <x:c r="GAT60" s="291"/>
      <x:c r="GAU60" s="291"/>
      <x:c r="GAV60" s="291"/>
      <x:c r="GAW60" s="291"/>
      <x:c r="GAX60" s="291"/>
      <x:c r="GAY60" s="291"/>
      <x:c r="GAZ60" s="291"/>
      <x:c r="GBA60" s="291"/>
      <x:c r="GBB60" s="291"/>
      <x:c r="GBC60" s="291"/>
      <x:c r="GBD60" s="291"/>
      <x:c r="GBE60" s="291"/>
      <x:c r="GBF60" s="291"/>
      <x:c r="GBG60" s="291"/>
      <x:c r="GBH60" s="291"/>
      <x:c r="GBI60" s="291"/>
      <x:c r="GBJ60" s="291"/>
      <x:c r="GBK60" s="291"/>
      <x:c r="GBL60" s="291"/>
      <x:c r="GBM60" s="291"/>
      <x:c r="GBN60" s="291"/>
      <x:c r="GBO60" s="291"/>
      <x:c r="GBP60" s="291"/>
      <x:c r="GBQ60" s="291"/>
      <x:c r="GBR60" s="291"/>
      <x:c r="GBS60" s="291"/>
      <x:c r="GBT60" s="291"/>
      <x:c r="GBU60" s="291"/>
      <x:c r="GBV60" s="291"/>
      <x:c r="GBW60" s="291"/>
      <x:c r="GBX60" s="291"/>
      <x:c r="GBY60" s="291"/>
      <x:c r="GBZ60" s="291"/>
      <x:c r="GCA60" s="291"/>
      <x:c r="GCB60" s="291"/>
      <x:c r="GCC60" s="291"/>
      <x:c r="GCD60" s="291"/>
      <x:c r="GCE60" s="291"/>
      <x:c r="GCF60" s="291"/>
      <x:c r="GCG60" s="291"/>
      <x:c r="GCH60" s="291"/>
      <x:c r="GCI60" s="291"/>
      <x:c r="GCJ60" s="291"/>
      <x:c r="GCK60" s="291"/>
      <x:c r="GCL60" s="291"/>
      <x:c r="GCM60" s="291"/>
      <x:c r="GCN60" s="291"/>
      <x:c r="GCO60" s="291"/>
      <x:c r="GCP60" s="291"/>
      <x:c r="GCQ60" s="291"/>
      <x:c r="GCR60" s="291"/>
      <x:c r="GCS60" s="291"/>
      <x:c r="GCT60" s="291"/>
      <x:c r="GCU60" s="291"/>
      <x:c r="GCV60" s="291"/>
      <x:c r="GCW60" s="291"/>
      <x:c r="GCX60" s="291"/>
      <x:c r="GCY60" s="291"/>
      <x:c r="GCZ60" s="291"/>
      <x:c r="GDA60" s="291"/>
      <x:c r="GDB60" s="291"/>
      <x:c r="GDC60" s="291"/>
      <x:c r="GDD60" s="291"/>
      <x:c r="GDE60" s="291"/>
      <x:c r="GDF60" s="291"/>
      <x:c r="GDG60" s="291"/>
      <x:c r="GDH60" s="291"/>
      <x:c r="GDI60" s="291"/>
      <x:c r="GDJ60" s="291"/>
      <x:c r="GDK60" s="291"/>
      <x:c r="GDL60" s="291"/>
      <x:c r="GDM60" s="291"/>
      <x:c r="GDN60" s="291"/>
      <x:c r="GDO60" s="291"/>
      <x:c r="GDP60" s="291"/>
      <x:c r="GDQ60" s="291"/>
      <x:c r="GDR60" s="291"/>
      <x:c r="GDS60" s="291"/>
      <x:c r="GDT60" s="291"/>
      <x:c r="GDU60" s="291"/>
      <x:c r="GDV60" s="291"/>
      <x:c r="GDW60" s="291"/>
      <x:c r="GDX60" s="291"/>
      <x:c r="GDY60" s="291"/>
      <x:c r="GDZ60" s="291"/>
      <x:c r="GEA60" s="291"/>
      <x:c r="GEB60" s="291"/>
      <x:c r="GEC60" s="291"/>
      <x:c r="GED60" s="291"/>
      <x:c r="GEE60" s="291"/>
      <x:c r="GEF60" s="291"/>
      <x:c r="GEG60" s="291"/>
      <x:c r="GEH60" s="291"/>
      <x:c r="GEI60" s="291"/>
      <x:c r="GEJ60" s="291"/>
      <x:c r="GEK60" s="291"/>
      <x:c r="GEL60" s="291"/>
      <x:c r="GEM60" s="291"/>
      <x:c r="GEN60" s="291"/>
      <x:c r="GEO60" s="291"/>
      <x:c r="GEP60" s="291"/>
      <x:c r="GEQ60" s="291"/>
      <x:c r="GER60" s="291"/>
      <x:c r="GES60" s="291"/>
      <x:c r="GET60" s="291"/>
      <x:c r="GEU60" s="291"/>
      <x:c r="GEV60" s="291"/>
      <x:c r="GEW60" s="291"/>
      <x:c r="GEX60" s="291"/>
      <x:c r="GEY60" s="291"/>
      <x:c r="GEZ60" s="291"/>
      <x:c r="GFA60" s="291"/>
      <x:c r="GFB60" s="291"/>
      <x:c r="GFC60" s="291"/>
      <x:c r="GFD60" s="291"/>
      <x:c r="GFE60" s="291"/>
      <x:c r="GFF60" s="291"/>
      <x:c r="GFG60" s="291"/>
      <x:c r="GFH60" s="291"/>
      <x:c r="GFI60" s="291"/>
      <x:c r="GFJ60" s="291"/>
      <x:c r="GFK60" s="291"/>
      <x:c r="GFL60" s="291"/>
      <x:c r="GFM60" s="291"/>
      <x:c r="GFN60" s="291"/>
      <x:c r="GFO60" s="291"/>
      <x:c r="GFP60" s="291"/>
      <x:c r="GFQ60" s="291"/>
      <x:c r="GFR60" s="291"/>
      <x:c r="GFS60" s="291"/>
      <x:c r="GFT60" s="291"/>
      <x:c r="GFU60" s="291"/>
      <x:c r="GFV60" s="291"/>
      <x:c r="GFW60" s="291"/>
      <x:c r="GFX60" s="291"/>
      <x:c r="GFY60" s="291"/>
      <x:c r="GFZ60" s="291"/>
      <x:c r="GGA60" s="291"/>
      <x:c r="GGB60" s="291"/>
      <x:c r="GGC60" s="291"/>
      <x:c r="GGD60" s="291"/>
      <x:c r="GGE60" s="291"/>
      <x:c r="GGF60" s="291"/>
      <x:c r="GGG60" s="291"/>
      <x:c r="GGH60" s="291"/>
      <x:c r="GGI60" s="291"/>
      <x:c r="GGJ60" s="291"/>
      <x:c r="GGK60" s="291"/>
      <x:c r="GGL60" s="291"/>
      <x:c r="GGM60" s="291"/>
      <x:c r="GGN60" s="291"/>
      <x:c r="GGO60" s="291"/>
      <x:c r="GGP60" s="291"/>
      <x:c r="GGQ60" s="291"/>
      <x:c r="GGR60" s="291"/>
      <x:c r="GGS60" s="291"/>
      <x:c r="GGT60" s="291"/>
      <x:c r="GGU60" s="291"/>
      <x:c r="GGV60" s="291"/>
      <x:c r="GGW60" s="291"/>
      <x:c r="GGX60" s="291"/>
      <x:c r="GGY60" s="291"/>
      <x:c r="GGZ60" s="291"/>
      <x:c r="GHA60" s="291"/>
      <x:c r="GHB60" s="291"/>
      <x:c r="GHC60" s="291"/>
      <x:c r="GHD60" s="291"/>
      <x:c r="GHE60" s="291"/>
      <x:c r="GHF60" s="291"/>
      <x:c r="GHG60" s="291"/>
      <x:c r="GHH60" s="291"/>
      <x:c r="GHI60" s="291"/>
      <x:c r="GHJ60" s="291"/>
      <x:c r="GHK60" s="291"/>
      <x:c r="GHL60" s="291"/>
      <x:c r="GHM60" s="291"/>
      <x:c r="GHN60" s="291"/>
      <x:c r="GHO60" s="291"/>
      <x:c r="GHP60" s="291"/>
      <x:c r="GHQ60" s="291"/>
      <x:c r="GHR60" s="291"/>
      <x:c r="GHS60" s="291"/>
      <x:c r="GHT60" s="291"/>
      <x:c r="GHU60" s="291"/>
      <x:c r="GHV60" s="291"/>
      <x:c r="GHW60" s="291"/>
      <x:c r="GHX60" s="291"/>
      <x:c r="GHY60" s="291"/>
      <x:c r="GHZ60" s="291"/>
      <x:c r="GIA60" s="291"/>
      <x:c r="GIB60" s="291"/>
      <x:c r="GIC60" s="291"/>
      <x:c r="GID60" s="291"/>
      <x:c r="GIE60" s="291"/>
      <x:c r="GIF60" s="291"/>
      <x:c r="GIG60" s="291"/>
      <x:c r="GIH60" s="291"/>
      <x:c r="GII60" s="291"/>
      <x:c r="GIJ60" s="291"/>
      <x:c r="GIK60" s="291"/>
      <x:c r="GIL60" s="291"/>
      <x:c r="GIM60" s="291"/>
      <x:c r="GIN60" s="291"/>
      <x:c r="GIO60" s="291"/>
      <x:c r="GIP60" s="291"/>
      <x:c r="GIQ60" s="291"/>
      <x:c r="GIR60" s="291"/>
      <x:c r="GIS60" s="291"/>
      <x:c r="GIT60" s="291"/>
      <x:c r="GIU60" s="291"/>
      <x:c r="GIV60" s="291"/>
      <x:c r="GIW60" s="291"/>
      <x:c r="GIX60" s="291"/>
      <x:c r="GIY60" s="291"/>
      <x:c r="GIZ60" s="291"/>
      <x:c r="GJA60" s="291"/>
      <x:c r="GJB60" s="291"/>
      <x:c r="GJC60" s="291"/>
      <x:c r="GJD60" s="291"/>
      <x:c r="GJE60" s="291"/>
      <x:c r="GJF60" s="291"/>
      <x:c r="GJG60" s="291"/>
      <x:c r="GJH60" s="291"/>
      <x:c r="GJI60" s="291"/>
      <x:c r="GJJ60" s="291"/>
      <x:c r="GJK60" s="291"/>
      <x:c r="GJL60" s="291"/>
      <x:c r="GJM60" s="291"/>
      <x:c r="GJN60" s="291"/>
      <x:c r="GJO60" s="291"/>
      <x:c r="GJP60" s="291"/>
      <x:c r="GJQ60" s="291"/>
      <x:c r="GJR60" s="291"/>
      <x:c r="GJS60" s="291"/>
      <x:c r="GJT60" s="291"/>
      <x:c r="GJU60" s="291"/>
      <x:c r="GJV60" s="291"/>
      <x:c r="GJW60" s="291"/>
      <x:c r="GJX60" s="291"/>
      <x:c r="GJY60" s="291"/>
      <x:c r="GJZ60" s="291"/>
      <x:c r="GKA60" s="291"/>
      <x:c r="GKB60" s="291"/>
      <x:c r="GKC60" s="291"/>
      <x:c r="GKD60" s="291"/>
      <x:c r="GKE60" s="291"/>
      <x:c r="GKF60" s="291"/>
      <x:c r="GKG60" s="291"/>
      <x:c r="GKH60" s="291"/>
      <x:c r="GKI60" s="291"/>
      <x:c r="GKJ60" s="291"/>
      <x:c r="GKK60" s="291"/>
      <x:c r="GKL60" s="291"/>
      <x:c r="GKM60" s="291"/>
      <x:c r="GKN60" s="291"/>
      <x:c r="GKO60" s="291"/>
      <x:c r="GKP60" s="291"/>
      <x:c r="GKQ60" s="291"/>
      <x:c r="GKR60" s="291"/>
      <x:c r="GKS60" s="291"/>
      <x:c r="GKT60" s="291"/>
      <x:c r="GKU60" s="291"/>
      <x:c r="GKV60" s="291"/>
      <x:c r="GKW60" s="291"/>
      <x:c r="GKX60" s="291"/>
      <x:c r="GKY60" s="291"/>
      <x:c r="GKZ60" s="291"/>
      <x:c r="GLA60" s="291"/>
      <x:c r="GLB60" s="291"/>
      <x:c r="GLC60" s="291"/>
      <x:c r="GLD60" s="291"/>
      <x:c r="GLE60" s="291"/>
      <x:c r="GLF60" s="291"/>
      <x:c r="GLG60" s="291"/>
      <x:c r="GLH60" s="291"/>
      <x:c r="GLI60" s="291"/>
      <x:c r="GLJ60" s="291"/>
      <x:c r="GLK60" s="291"/>
      <x:c r="GLL60" s="291"/>
      <x:c r="GLM60" s="291"/>
      <x:c r="GLN60" s="291"/>
      <x:c r="GLO60" s="291"/>
      <x:c r="GLP60" s="291"/>
      <x:c r="GLQ60" s="291"/>
      <x:c r="GLR60" s="291"/>
      <x:c r="GLS60" s="291"/>
      <x:c r="GLT60" s="291"/>
      <x:c r="GLU60" s="291"/>
      <x:c r="GLV60" s="291"/>
      <x:c r="GLW60" s="291"/>
      <x:c r="GLX60" s="291"/>
      <x:c r="GLY60" s="291"/>
      <x:c r="GLZ60" s="291"/>
      <x:c r="GMA60" s="291"/>
      <x:c r="GMB60" s="291"/>
      <x:c r="GMC60" s="291"/>
      <x:c r="GMD60" s="291"/>
      <x:c r="GME60" s="291"/>
      <x:c r="GMF60" s="291"/>
      <x:c r="GMG60" s="291"/>
      <x:c r="GMH60" s="291"/>
      <x:c r="GMI60" s="291"/>
      <x:c r="GMJ60" s="291"/>
      <x:c r="GMK60" s="291"/>
      <x:c r="GML60" s="291"/>
      <x:c r="GMM60" s="291"/>
      <x:c r="GMN60" s="291"/>
      <x:c r="GMO60" s="291"/>
      <x:c r="GMP60" s="291"/>
      <x:c r="GMQ60" s="291"/>
      <x:c r="GMR60" s="291"/>
      <x:c r="GMS60" s="291"/>
      <x:c r="GMT60" s="291"/>
      <x:c r="GMU60" s="291"/>
      <x:c r="GMV60" s="291"/>
      <x:c r="GMW60" s="291"/>
      <x:c r="GMX60" s="291"/>
      <x:c r="GMY60" s="291"/>
      <x:c r="GMZ60" s="291"/>
      <x:c r="GNA60" s="291"/>
      <x:c r="GNB60" s="291"/>
      <x:c r="GNC60" s="291"/>
      <x:c r="GND60" s="291"/>
      <x:c r="GNE60" s="291"/>
      <x:c r="GNF60" s="291"/>
      <x:c r="GNG60" s="291"/>
      <x:c r="GNH60" s="291"/>
      <x:c r="GNI60" s="291"/>
      <x:c r="GNJ60" s="291"/>
      <x:c r="GNK60" s="291"/>
      <x:c r="GNL60" s="291"/>
      <x:c r="GNM60" s="291"/>
      <x:c r="GNN60" s="291"/>
      <x:c r="GNO60" s="291"/>
      <x:c r="GNP60" s="291"/>
      <x:c r="GNQ60" s="291"/>
      <x:c r="GNR60" s="291"/>
      <x:c r="GNS60" s="291"/>
      <x:c r="GNT60" s="291"/>
      <x:c r="GNU60" s="291"/>
      <x:c r="GNV60" s="291"/>
      <x:c r="GNW60" s="291"/>
      <x:c r="GNX60" s="291"/>
      <x:c r="GNY60" s="291"/>
      <x:c r="GNZ60" s="291"/>
      <x:c r="GOA60" s="291"/>
      <x:c r="GOB60" s="291"/>
      <x:c r="GOC60" s="291"/>
      <x:c r="GOD60" s="291"/>
      <x:c r="GOE60" s="291"/>
      <x:c r="GOF60" s="291"/>
      <x:c r="GOG60" s="291"/>
      <x:c r="GOH60" s="291"/>
      <x:c r="GOI60" s="291"/>
      <x:c r="GOJ60" s="291"/>
      <x:c r="GOK60" s="291"/>
      <x:c r="GOL60" s="291"/>
      <x:c r="GOM60" s="291"/>
      <x:c r="GON60" s="291"/>
      <x:c r="GOO60" s="291"/>
      <x:c r="GOP60" s="291"/>
      <x:c r="GOQ60" s="291"/>
      <x:c r="GOR60" s="291"/>
      <x:c r="GOS60" s="291"/>
      <x:c r="GOT60" s="291"/>
      <x:c r="GOU60" s="291"/>
      <x:c r="GOV60" s="291"/>
      <x:c r="GOW60" s="291"/>
      <x:c r="GOX60" s="291"/>
      <x:c r="GOY60" s="291"/>
      <x:c r="GOZ60" s="291"/>
      <x:c r="GPA60" s="291"/>
      <x:c r="GPB60" s="291"/>
      <x:c r="GPC60" s="291"/>
      <x:c r="GPD60" s="291"/>
      <x:c r="GPE60" s="291"/>
      <x:c r="GPF60" s="291"/>
      <x:c r="GPG60" s="291"/>
      <x:c r="GPH60" s="291"/>
      <x:c r="GPI60" s="291"/>
      <x:c r="GPJ60" s="291"/>
      <x:c r="GPK60" s="291"/>
      <x:c r="GPL60" s="291"/>
      <x:c r="GPM60" s="291"/>
      <x:c r="GPN60" s="291"/>
      <x:c r="GPO60" s="291"/>
      <x:c r="GPP60" s="291"/>
      <x:c r="GPQ60" s="291"/>
      <x:c r="GPR60" s="291"/>
      <x:c r="GPS60" s="291"/>
      <x:c r="GPT60" s="291"/>
      <x:c r="GPU60" s="291"/>
      <x:c r="GPV60" s="291"/>
      <x:c r="GPW60" s="291"/>
      <x:c r="GPX60" s="291"/>
      <x:c r="GPY60" s="291"/>
      <x:c r="GPZ60" s="291"/>
      <x:c r="GQA60" s="291"/>
      <x:c r="GQB60" s="291"/>
      <x:c r="GQC60" s="291"/>
      <x:c r="GQD60" s="291"/>
      <x:c r="GQE60" s="291"/>
      <x:c r="GQF60" s="291"/>
      <x:c r="GQG60" s="291"/>
      <x:c r="GQH60" s="291"/>
      <x:c r="GQI60" s="291"/>
      <x:c r="GQJ60" s="291"/>
      <x:c r="GQK60" s="291"/>
      <x:c r="GQL60" s="291"/>
      <x:c r="GQM60" s="291"/>
      <x:c r="GQN60" s="291"/>
      <x:c r="GQO60" s="291"/>
      <x:c r="GQP60" s="291"/>
      <x:c r="GQQ60" s="291"/>
      <x:c r="GQR60" s="291"/>
      <x:c r="GQS60" s="291"/>
      <x:c r="GQT60" s="291"/>
      <x:c r="GQU60" s="291"/>
      <x:c r="GQV60" s="291"/>
      <x:c r="GQW60" s="291"/>
      <x:c r="GQX60" s="291"/>
      <x:c r="GQY60" s="291"/>
      <x:c r="GQZ60" s="291"/>
      <x:c r="GRA60" s="291"/>
      <x:c r="GRB60" s="291"/>
      <x:c r="GRC60" s="291"/>
      <x:c r="GRD60" s="291"/>
      <x:c r="GRE60" s="291"/>
      <x:c r="GRF60" s="291"/>
      <x:c r="GRG60" s="291"/>
      <x:c r="GRH60" s="291"/>
      <x:c r="GRI60" s="291"/>
      <x:c r="GRJ60" s="291"/>
      <x:c r="GRK60" s="291"/>
      <x:c r="GRL60" s="291"/>
      <x:c r="GRM60" s="291"/>
      <x:c r="GRN60" s="291"/>
      <x:c r="GRO60" s="291"/>
      <x:c r="GRP60" s="291"/>
      <x:c r="GRQ60" s="291"/>
      <x:c r="GRR60" s="291"/>
      <x:c r="GRS60" s="291"/>
      <x:c r="GRT60" s="291"/>
      <x:c r="GRU60" s="291"/>
      <x:c r="GRV60" s="291"/>
      <x:c r="GRW60" s="291"/>
      <x:c r="GRX60" s="291"/>
      <x:c r="GRY60" s="291"/>
      <x:c r="GRZ60" s="291"/>
      <x:c r="GSA60" s="291"/>
      <x:c r="GSB60" s="291"/>
      <x:c r="GSC60" s="291"/>
      <x:c r="GSD60" s="291"/>
      <x:c r="GSE60" s="291"/>
      <x:c r="GSF60" s="291"/>
      <x:c r="GSG60" s="291"/>
      <x:c r="GSH60" s="291"/>
      <x:c r="GSI60" s="291"/>
      <x:c r="GSJ60" s="291"/>
      <x:c r="GSK60" s="291"/>
      <x:c r="GSL60" s="291"/>
      <x:c r="GSM60" s="291"/>
      <x:c r="GSN60" s="291"/>
      <x:c r="GSO60" s="291"/>
      <x:c r="GSP60" s="291"/>
      <x:c r="GSQ60" s="291"/>
      <x:c r="GSR60" s="291"/>
      <x:c r="GSS60" s="291"/>
      <x:c r="GST60" s="291"/>
      <x:c r="GSU60" s="291"/>
      <x:c r="GSV60" s="291"/>
      <x:c r="GSW60" s="291"/>
      <x:c r="GSX60" s="291"/>
      <x:c r="GSY60" s="291"/>
      <x:c r="GSZ60" s="291"/>
      <x:c r="GTA60" s="291"/>
      <x:c r="GTB60" s="291"/>
      <x:c r="GTC60" s="291"/>
      <x:c r="GTD60" s="291"/>
      <x:c r="GTE60" s="291"/>
      <x:c r="GTF60" s="291"/>
      <x:c r="GTG60" s="291"/>
      <x:c r="GTH60" s="291"/>
      <x:c r="GTI60" s="291"/>
      <x:c r="GTJ60" s="291"/>
      <x:c r="GTK60" s="291"/>
      <x:c r="GTL60" s="291"/>
      <x:c r="GTM60" s="291"/>
      <x:c r="GTN60" s="291"/>
      <x:c r="GTO60" s="291"/>
      <x:c r="GTP60" s="291"/>
      <x:c r="GTQ60" s="291"/>
      <x:c r="GTR60" s="291"/>
      <x:c r="GTS60" s="291"/>
      <x:c r="GTT60" s="291"/>
      <x:c r="GTU60" s="291"/>
      <x:c r="GTV60" s="291"/>
      <x:c r="GTW60" s="291"/>
      <x:c r="GTX60" s="291"/>
      <x:c r="GTY60" s="291"/>
      <x:c r="GTZ60" s="291"/>
      <x:c r="GUA60" s="291"/>
      <x:c r="GUB60" s="291"/>
      <x:c r="GUC60" s="291"/>
      <x:c r="GUD60" s="291"/>
      <x:c r="GUE60" s="291"/>
      <x:c r="GUF60" s="291"/>
      <x:c r="GUG60" s="291"/>
      <x:c r="GUH60" s="291"/>
      <x:c r="GUI60" s="291"/>
      <x:c r="GUJ60" s="291"/>
      <x:c r="GUK60" s="291"/>
      <x:c r="GUL60" s="291"/>
      <x:c r="GUM60" s="291"/>
      <x:c r="GUN60" s="291"/>
      <x:c r="GUO60" s="291"/>
      <x:c r="GUP60" s="291"/>
      <x:c r="GUQ60" s="291"/>
      <x:c r="GUR60" s="291"/>
      <x:c r="GUS60" s="291"/>
      <x:c r="GUT60" s="291"/>
      <x:c r="GUU60" s="291"/>
      <x:c r="GUV60" s="291"/>
      <x:c r="GUW60" s="291"/>
      <x:c r="GUX60" s="291"/>
      <x:c r="GUY60" s="291"/>
      <x:c r="GUZ60" s="291"/>
      <x:c r="GVA60" s="291"/>
      <x:c r="GVB60" s="291"/>
      <x:c r="GVC60" s="291"/>
      <x:c r="GVD60" s="291"/>
      <x:c r="GVE60" s="291"/>
      <x:c r="GVF60" s="291"/>
      <x:c r="GVG60" s="291"/>
      <x:c r="GVH60" s="291"/>
      <x:c r="GVI60" s="291"/>
      <x:c r="GVJ60" s="291"/>
      <x:c r="GVK60" s="291"/>
      <x:c r="GVL60" s="291"/>
      <x:c r="GVM60" s="291"/>
      <x:c r="GVN60" s="291"/>
      <x:c r="GVO60" s="291"/>
      <x:c r="GVP60" s="291"/>
      <x:c r="GVQ60" s="291"/>
      <x:c r="GVR60" s="291"/>
      <x:c r="GVS60" s="291"/>
      <x:c r="GVT60" s="291"/>
      <x:c r="GVU60" s="291"/>
      <x:c r="GVV60" s="291"/>
      <x:c r="GVW60" s="291"/>
      <x:c r="GVX60" s="291"/>
      <x:c r="GVY60" s="291"/>
      <x:c r="GVZ60" s="291"/>
      <x:c r="GWA60" s="291"/>
      <x:c r="GWB60" s="291"/>
      <x:c r="GWC60" s="291"/>
      <x:c r="GWD60" s="291"/>
      <x:c r="GWE60" s="291"/>
      <x:c r="GWF60" s="291"/>
      <x:c r="GWG60" s="291"/>
      <x:c r="GWH60" s="291"/>
      <x:c r="GWI60" s="291"/>
      <x:c r="GWJ60" s="291"/>
      <x:c r="GWK60" s="291"/>
      <x:c r="GWL60" s="291"/>
      <x:c r="GWM60" s="291"/>
      <x:c r="GWN60" s="291"/>
      <x:c r="GWO60" s="291"/>
      <x:c r="GWP60" s="291"/>
      <x:c r="GWQ60" s="291"/>
      <x:c r="GWR60" s="291"/>
      <x:c r="GWS60" s="291"/>
      <x:c r="GWT60" s="291"/>
      <x:c r="GWU60" s="291"/>
      <x:c r="GWV60" s="291"/>
      <x:c r="GWW60" s="291"/>
      <x:c r="GWX60" s="291"/>
      <x:c r="GWY60" s="291"/>
      <x:c r="GWZ60" s="291"/>
      <x:c r="GXA60" s="291"/>
      <x:c r="GXB60" s="291"/>
      <x:c r="GXC60" s="291"/>
      <x:c r="GXD60" s="291"/>
      <x:c r="GXE60" s="291"/>
      <x:c r="GXF60" s="291"/>
      <x:c r="GXG60" s="291"/>
      <x:c r="GXH60" s="291"/>
      <x:c r="GXI60" s="291"/>
      <x:c r="GXJ60" s="291"/>
      <x:c r="GXK60" s="291"/>
      <x:c r="GXL60" s="291"/>
      <x:c r="GXM60" s="291"/>
      <x:c r="GXN60" s="291"/>
      <x:c r="GXO60" s="291"/>
      <x:c r="GXP60" s="291"/>
      <x:c r="GXQ60" s="291"/>
      <x:c r="GXR60" s="291"/>
      <x:c r="GXS60" s="291"/>
      <x:c r="GXT60" s="291"/>
      <x:c r="GXU60" s="291"/>
      <x:c r="GXV60" s="291"/>
      <x:c r="GXW60" s="291"/>
      <x:c r="GXX60" s="291"/>
      <x:c r="GXY60" s="291"/>
      <x:c r="GXZ60" s="291"/>
      <x:c r="GYA60" s="291"/>
      <x:c r="GYB60" s="291"/>
      <x:c r="GYC60" s="291"/>
      <x:c r="GYD60" s="291"/>
      <x:c r="GYE60" s="291"/>
      <x:c r="GYF60" s="291"/>
      <x:c r="GYG60" s="291"/>
      <x:c r="GYH60" s="291"/>
      <x:c r="GYI60" s="291"/>
      <x:c r="GYJ60" s="291"/>
      <x:c r="GYK60" s="291"/>
      <x:c r="GYL60" s="291"/>
      <x:c r="GYM60" s="291"/>
      <x:c r="GYN60" s="291"/>
      <x:c r="GYO60" s="291"/>
      <x:c r="GYP60" s="291"/>
      <x:c r="GYQ60" s="291"/>
      <x:c r="GYR60" s="291"/>
      <x:c r="GYS60" s="291"/>
      <x:c r="GYT60" s="291"/>
      <x:c r="GYU60" s="291"/>
      <x:c r="GYV60" s="291"/>
      <x:c r="GYW60" s="291"/>
      <x:c r="GYX60" s="291"/>
      <x:c r="GYY60" s="291"/>
      <x:c r="GYZ60" s="291"/>
      <x:c r="GZA60" s="291"/>
      <x:c r="GZB60" s="291"/>
      <x:c r="GZC60" s="291"/>
      <x:c r="GZD60" s="291"/>
      <x:c r="GZE60" s="291"/>
      <x:c r="GZF60" s="291"/>
      <x:c r="GZG60" s="291"/>
      <x:c r="GZH60" s="291"/>
      <x:c r="GZI60" s="291"/>
      <x:c r="GZJ60" s="291"/>
      <x:c r="GZK60" s="291"/>
      <x:c r="GZL60" s="291"/>
      <x:c r="GZM60" s="291"/>
      <x:c r="GZN60" s="291"/>
      <x:c r="GZO60" s="291"/>
      <x:c r="GZP60" s="291"/>
      <x:c r="GZQ60" s="291"/>
      <x:c r="GZR60" s="291"/>
      <x:c r="GZS60" s="291"/>
      <x:c r="GZT60" s="291"/>
      <x:c r="GZU60" s="291"/>
      <x:c r="GZV60" s="291"/>
      <x:c r="GZW60" s="291"/>
      <x:c r="GZX60" s="291"/>
      <x:c r="GZY60" s="291"/>
      <x:c r="GZZ60" s="291"/>
      <x:c r="HAA60" s="291"/>
      <x:c r="HAB60" s="291"/>
      <x:c r="HAC60" s="291"/>
      <x:c r="HAD60" s="291"/>
      <x:c r="HAE60" s="291"/>
      <x:c r="HAF60" s="291"/>
      <x:c r="HAG60" s="291"/>
      <x:c r="HAH60" s="291"/>
      <x:c r="HAI60" s="291"/>
      <x:c r="HAJ60" s="291"/>
      <x:c r="HAK60" s="291"/>
      <x:c r="HAL60" s="291"/>
      <x:c r="HAM60" s="291"/>
      <x:c r="HAN60" s="291"/>
      <x:c r="HAO60" s="291"/>
      <x:c r="HAP60" s="291"/>
      <x:c r="HAQ60" s="291"/>
      <x:c r="HAR60" s="291"/>
      <x:c r="HAS60" s="291"/>
      <x:c r="HAT60" s="291"/>
      <x:c r="HAU60" s="291"/>
      <x:c r="HAV60" s="291"/>
      <x:c r="HAW60" s="291"/>
      <x:c r="HAX60" s="291"/>
      <x:c r="HAY60" s="291"/>
      <x:c r="HAZ60" s="291"/>
      <x:c r="HBA60" s="291"/>
      <x:c r="HBB60" s="291"/>
      <x:c r="HBC60" s="291"/>
      <x:c r="HBD60" s="291"/>
      <x:c r="HBE60" s="291"/>
      <x:c r="HBF60" s="291"/>
      <x:c r="HBG60" s="291"/>
      <x:c r="HBH60" s="291"/>
      <x:c r="HBI60" s="291"/>
      <x:c r="HBJ60" s="291"/>
      <x:c r="HBK60" s="291"/>
      <x:c r="HBL60" s="291"/>
      <x:c r="HBM60" s="291"/>
      <x:c r="HBN60" s="291"/>
      <x:c r="HBO60" s="291"/>
      <x:c r="HBP60" s="291"/>
      <x:c r="HBQ60" s="291"/>
      <x:c r="HBR60" s="291"/>
      <x:c r="HBS60" s="291"/>
      <x:c r="HBT60" s="291"/>
      <x:c r="HBU60" s="291"/>
      <x:c r="HBV60" s="291"/>
      <x:c r="HBW60" s="291"/>
      <x:c r="HBX60" s="291"/>
      <x:c r="HBY60" s="291"/>
      <x:c r="HBZ60" s="291"/>
      <x:c r="HCA60" s="291"/>
      <x:c r="HCB60" s="291"/>
      <x:c r="HCC60" s="291"/>
      <x:c r="HCD60" s="291"/>
      <x:c r="HCE60" s="291"/>
      <x:c r="HCF60" s="291"/>
      <x:c r="HCG60" s="291"/>
      <x:c r="HCH60" s="291"/>
      <x:c r="HCI60" s="291"/>
      <x:c r="HCJ60" s="291"/>
      <x:c r="HCK60" s="291"/>
      <x:c r="HCL60" s="291"/>
      <x:c r="HCM60" s="291"/>
      <x:c r="HCN60" s="291"/>
      <x:c r="HCO60" s="291"/>
      <x:c r="HCP60" s="291"/>
      <x:c r="HCQ60" s="291"/>
      <x:c r="HCR60" s="291"/>
      <x:c r="HCS60" s="291"/>
      <x:c r="HCT60" s="291"/>
      <x:c r="HCU60" s="291"/>
      <x:c r="HCV60" s="291"/>
      <x:c r="HCW60" s="291"/>
      <x:c r="HCX60" s="291"/>
      <x:c r="HCY60" s="291"/>
      <x:c r="HCZ60" s="291"/>
      <x:c r="HDA60" s="291"/>
      <x:c r="HDB60" s="291"/>
      <x:c r="HDC60" s="291"/>
      <x:c r="HDD60" s="291"/>
      <x:c r="HDE60" s="291"/>
      <x:c r="HDF60" s="291"/>
      <x:c r="HDG60" s="291"/>
      <x:c r="HDH60" s="291"/>
      <x:c r="HDI60" s="291"/>
      <x:c r="HDJ60" s="291"/>
      <x:c r="HDK60" s="291"/>
      <x:c r="HDL60" s="291"/>
      <x:c r="HDM60" s="291"/>
      <x:c r="HDN60" s="291"/>
      <x:c r="HDO60" s="291"/>
      <x:c r="HDP60" s="291"/>
      <x:c r="HDQ60" s="291"/>
      <x:c r="HDR60" s="291"/>
      <x:c r="HDS60" s="291"/>
      <x:c r="HDT60" s="291"/>
      <x:c r="HDU60" s="291"/>
      <x:c r="HDV60" s="291"/>
      <x:c r="HDW60" s="291"/>
      <x:c r="HDX60" s="291"/>
      <x:c r="HDY60" s="291"/>
      <x:c r="HDZ60" s="291"/>
      <x:c r="HEA60" s="291"/>
      <x:c r="HEB60" s="291"/>
      <x:c r="HEC60" s="291"/>
      <x:c r="HED60" s="291"/>
      <x:c r="HEE60" s="291"/>
      <x:c r="HEF60" s="291"/>
      <x:c r="HEG60" s="291"/>
      <x:c r="HEH60" s="291"/>
      <x:c r="HEI60" s="291"/>
      <x:c r="HEJ60" s="291"/>
      <x:c r="HEK60" s="291"/>
      <x:c r="HEL60" s="291"/>
      <x:c r="HEM60" s="291"/>
      <x:c r="HEN60" s="291"/>
      <x:c r="HEO60" s="291"/>
      <x:c r="HEP60" s="291"/>
      <x:c r="HEQ60" s="291"/>
      <x:c r="HER60" s="291"/>
      <x:c r="HES60" s="291"/>
      <x:c r="HET60" s="291"/>
      <x:c r="HEU60" s="291"/>
      <x:c r="HEV60" s="291"/>
      <x:c r="HEW60" s="291"/>
      <x:c r="HEX60" s="291"/>
      <x:c r="HEY60" s="291"/>
      <x:c r="HEZ60" s="291"/>
      <x:c r="HFA60" s="291"/>
      <x:c r="HFB60" s="291"/>
      <x:c r="HFC60" s="291"/>
      <x:c r="HFD60" s="291"/>
      <x:c r="HFE60" s="291"/>
      <x:c r="HFF60" s="291"/>
      <x:c r="HFG60" s="291"/>
      <x:c r="HFH60" s="291"/>
      <x:c r="HFI60" s="291"/>
      <x:c r="HFJ60" s="291"/>
      <x:c r="HFK60" s="291"/>
      <x:c r="HFL60" s="291"/>
      <x:c r="HFM60" s="291"/>
      <x:c r="HFN60" s="291"/>
      <x:c r="HFO60" s="291"/>
      <x:c r="HFP60" s="291"/>
      <x:c r="HFQ60" s="291"/>
      <x:c r="HFR60" s="291"/>
      <x:c r="HFS60" s="291"/>
      <x:c r="HFT60" s="291"/>
      <x:c r="HFU60" s="291"/>
      <x:c r="HFV60" s="291"/>
      <x:c r="HFW60" s="291"/>
      <x:c r="HFX60" s="291"/>
      <x:c r="HFY60" s="291"/>
      <x:c r="HFZ60" s="291"/>
      <x:c r="HGA60" s="291"/>
      <x:c r="HGB60" s="291"/>
      <x:c r="HGC60" s="291"/>
      <x:c r="HGD60" s="291"/>
      <x:c r="HGE60" s="291"/>
      <x:c r="HGF60" s="291"/>
      <x:c r="HGG60" s="291"/>
      <x:c r="HGH60" s="291"/>
      <x:c r="HGI60" s="291"/>
      <x:c r="HGJ60" s="291"/>
      <x:c r="HGK60" s="291"/>
      <x:c r="HGL60" s="291"/>
      <x:c r="HGM60" s="291"/>
      <x:c r="HGN60" s="291"/>
      <x:c r="HGO60" s="291"/>
      <x:c r="HGP60" s="291"/>
      <x:c r="HGQ60" s="291"/>
      <x:c r="HGR60" s="291"/>
      <x:c r="HGS60" s="291"/>
      <x:c r="HGT60" s="291"/>
      <x:c r="HGU60" s="291"/>
      <x:c r="HGV60" s="291"/>
      <x:c r="HGW60" s="291"/>
      <x:c r="HGX60" s="291"/>
      <x:c r="HGY60" s="291"/>
      <x:c r="HGZ60" s="291"/>
      <x:c r="HHA60" s="291"/>
      <x:c r="HHB60" s="291"/>
      <x:c r="HHC60" s="291"/>
      <x:c r="HHD60" s="291"/>
      <x:c r="HHE60" s="291"/>
      <x:c r="HHF60" s="291"/>
      <x:c r="HHG60" s="291"/>
      <x:c r="HHH60" s="291"/>
      <x:c r="HHI60" s="291"/>
      <x:c r="HHJ60" s="291"/>
      <x:c r="HHK60" s="291"/>
      <x:c r="HHL60" s="291"/>
      <x:c r="HHM60" s="291"/>
      <x:c r="HHN60" s="291"/>
      <x:c r="HHO60" s="291"/>
      <x:c r="HHP60" s="291"/>
      <x:c r="HHQ60" s="291"/>
      <x:c r="HHR60" s="291"/>
      <x:c r="HHS60" s="291"/>
      <x:c r="HHT60" s="291"/>
      <x:c r="HHU60" s="291"/>
      <x:c r="HHV60" s="291"/>
      <x:c r="HHW60" s="291"/>
      <x:c r="HHX60" s="291"/>
      <x:c r="HHY60" s="291"/>
      <x:c r="HHZ60" s="291"/>
      <x:c r="HIA60" s="291"/>
      <x:c r="HIB60" s="291"/>
      <x:c r="HIC60" s="291"/>
      <x:c r="HID60" s="291"/>
      <x:c r="HIE60" s="291"/>
      <x:c r="HIF60" s="291"/>
      <x:c r="HIG60" s="291"/>
      <x:c r="HIH60" s="291"/>
      <x:c r="HII60" s="291"/>
      <x:c r="HIJ60" s="291"/>
      <x:c r="HIK60" s="291"/>
      <x:c r="HIL60" s="291"/>
      <x:c r="HIM60" s="291"/>
      <x:c r="HIN60" s="291"/>
      <x:c r="HIO60" s="291"/>
      <x:c r="HIP60" s="291"/>
      <x:c r="HIQ60" s="291"/>
      <x:c r="HIR60" s="291"/>
      <x:c r="HIS60" s="291"/>
      <x:c r="HIT60" s="291"/>
      <x:c r="HIU60" s="291"/>
      <x:c r="HIV60" s="291"/>
      <x:c r="HIW60" s="291"/>
      <x:c r="HIX60" s="291"/>
      <x:c r="HIY60" s="291"/>
      <x:c r="HIZ60" s="291"/>
      <x:c r="HJA60" s="291"/>
      <x:c r="HJB60" s="291"/>
      <x:c r="HJC60" s="291"/>
      <x:c r="HJD60" s="291"/>
      <x:c r="HJE60" s="291"/>
      <x:c r="HJF60" s="291"/>
      <x:c r="HJG60" s="291"/>
      <x:c r="HJH60" s="291"/>
      <x:c r="HJI60" s="291"/>
      <x:c r="HJJ60" s="291"/>
      <x:c r="HJK60" s="291"/>
      <x:c r="HJL60" s="291"/>
      <x:c r="HJM60" s="291"/>
      <x:c r="HJN60" s="291"/>
      <x:c r="HJO60" s="291"/>
      <x:c r="HJP60" s="291"/>
      <x:c r="HJQ60" s="291"/>
      <x:c r="HJR60" s="291"/>
      <x:c r="HJS60" s="291"/>
      <x:c r="HJT60" s="291"/>
      <x:c r="HJU60" s="291"/>
      <x:c r="HJV60" s="291"/>
      <x:c r="HJW60" s="291"/>
      <x:c r="HJX60" s="291"/>
      <x:c r="HJY60" s="291"/>
      <x:c r="HJZ60" s="291"/>
      <x:c r="HKA60" s="291"/>
      <x:c r="HKB60" s="291"/>
      <x:c r="HKC60" s="291"/>
      <x:c r="HKD60" s="291"/>
      <x:c r="HKE60" s="291"/>
      <x:c r="HKF60" s="291"/>
      <x:c r="HKG60" s="291"/>
      <x:c r="HKH60" s="291"/>
      <x:c r="HKI60" s="291"/>
      <x:c r="HKJ60" s="291"/>
      <x:c r="HKK60" s="291"/>
      <x:c r="HKL60" s="291"/>
      <x:c r="HKM60" s="291"/>
      <x:c r="HKN60" s="291"/>
      <x:c r="HKO60" s="291"/>
      <x:c r="HKP60" s="291"/>
      <x:c r="HKQ60" s="291"/>
      <x:c r="HKR60" s="291"/>
      <x:c r="HKS60" s="291"/>
      <x:c r="HKT60" s="291"/>
      <x:c r="HKU60" s="291"/>
      <x:c r="HKV60" s="291"/>
      <x:c r="HKW60" s="291"/>
      <x:c r="HKX60" s="291"/>
      <x:c r="HKY60" s="291"/>
      <x:c r="HKZ60" s="291"/>
      <x:c r="HLA60" s="291"/>
      <x:c r="HLB60" s="291"/>
      <x:c r="HLC60" s="291"/>
      <x:c r="HLD60" s="291"/>
      <x:c r="HLE60" s="291"/>
      <x:c r="HLF60" s="291"/>
      <x:c r="HLG60" s="291"/>
      <x:c r="HLH60" s="291"/>
      <x:c r="HLI60" s="291"/>
      <x:c r="HLJ60" s="291"/>
      <x:c r="HLK60" s="291"/>
      <x:c r="HLL60" s="291"/>
      <x:c r="HLM60" s="291"/>
      <x:c r="HLN60" s="291"/>
      <x:c r="HLO60" s="291"/>
      <x:c r="HLP60" s="291"/>
      <x:c r="HLQ60" s="291"/>
      <x:c r="HLR60" s="291"/>
      <x:c r="HLS60" s="291"/>
      <x:c r="HLT60" s="291"/>
      <x:c r="HLU60" s="291"/>
      <x:c r="HLV60" s="291"/>
      <x:c r="HLW60" s="291"/>
      <x:c r="HLX60" s="291"/>
      <x:c r="HLY60" s="291"/>
      <x:c r="HLZ60" s="291"/>
      <x:c r="HMA60" s="291"/>
      <x:c r="HMB60" s="291"/>
      <x:c r="HMC60" s="291"/>
      <x:c r="HMD60" s="291"/>
      <x:c r="HME60" s="291"/>
      <x:c r="HMF60" s="291"/>
      <x:c r="HMG60" s="291"/>
      <x:c r="HMH60" s="291"/>
      <x:c r="HMI60" s="291"/>
      <x:c r="HMJ60" s="291"/>
      <x:c r="HMK60" s="291"/>
      <x:c r="HML60" s="291"/>
      <x:c r="HMM60" s="291"/>
      <x:c r="HMN60" s="291"/>
      <x:c r="HMO60" s="291"/>
      <x:c r="HMP60" s="291"/>
      <x:c r="HMQ60" s="291"/>
      <x:c r="HMR60" s="291"/>
      <x:c r="HMS60" s="291"/>
      <x:c r="HMT60" s="291"/>
      <x:c r="HMU60" s="291"/>
      <x:c r="HMV60" s="291"/>
      <x:c r="HMW60" s="291"/>
      <x:c r="HMX60" s="291"/>
      <x:c r="HMY60" s="291"/>
      <x:c r="HMZ60" s="291"/>
      <x:c r="HNA60" s="291"/>
      <x:c r="HNB60" s="291"/>
      <x:c r="HNC60" s="291"/>
      <x:c r="HND60" s="291"/>
      <x:c r="HNE60" s="291"/>
      <x:c r="HNF60" s="291"/>
      <x:c r="HNG60" s="291"/>
      <x:c r="HNH60" s="291"/>
      <x:c r="HNI60" s="291"/>
      <x:c r="HNJ60" s="291"/>
      <x:c r="HNK60" s="291"/>
      <x:c r="HNL60" s="291"/>
      <x:c r="HNM60" s="291"/>
      <x:c r="HNN60" s="291"/>
      <x:c r="HNO60" s="291"/>
      <x:c r="HNP60" s="291"/>
      <x:c r="HNQ60" s="291"/>
      <x:c r="HNR60" s="291"/>
      <x:c r="HNS60" s="291"/>
      <x:c r="HNT60" s="291"/>
      <x:c r="HNU60" s="291"/>
      <x:c r="HNV60" s="291"/>
      <x:c r="HNW60" s="291"/>
      <x:c r="HNX60" s="291"/>
      <x:c r="HNY60" s="291"/>
      <x:c r="HNZ60" s="291"/>
      <x:c r="HOA60" s="291"/>
      <x:c r="HOB60" s="291"/>
      <x:c r="HOC60" s="291"/>
      <x:c r="HOD60" s="291"/>
      <x:c r="HOE60" s="291"/>
      <x:c r="HOF60" s="291"/>
      <x:c r="HOG60" s="291"/>
      <x:c r="HOH60" s="291"/>
      <x:c r="HOI60" s="291"/>
      <x:c r="HOJ60" s="291"/>
      <x:c r="HOK60" s="291"/>
      <x:c r="HOL60" s="291"/>
      <x:c r="HOM60" s="291"/>
      <x:c r="HON60" s="291"/>
      <x:c r="HOO60" s="291"/>
      <x:c r="HOP60" s="291"/>
      <x:c r="HOQ60" s="291"/>
      <x:c r="HOR60" s="291"/>
      <x:c r="HOS60" s="291"/>
      <x:c r="HOT60" s="291"/>
      <x:c r="HOU60" s="291"/>
      <x:c r="HOV60" s="291"/>
      <x:c r="HOW60" s="291"/>
      <x:c r="HOX60" s="291"/>
      <x:c r="HOY60" s="291"/>
      <x:c r="HOZ60" s="291"/>
      <x:c r="HPA60" s="291"/>
      <x:c r="HPB60" s="291"/>
      <x:c r="HPC60" s="291"/>
      <x:c r="HPD60" s="291"/>
      <x:c r="HPE60" s="291"/>
      <x:c r="HPF60" s="291"/>
      <x:c r="HPG60" s="291"/>
      <x:c r="HPH60" s="291"/>
      <x:c r="HPI60" s="291"/>
      <x:c r="HPJ60" s="291"/>
      <x:c r="HPK60" s="291"/>
      <x:c r="HPL60" s="291"/>
      <x:c r="HPM60" s="291"/>
      <x:c r="HPN60" s="291"/>
      <x:c r="HPO60" s="291"/>
      <x:c r="HPP60" s="291"/>
      <x:c r="HPQ60" s="291"/>
      <x:c r="HPR60" s="291"/>
      <x:c r="HPS60" s="291"/>
      <x:c r="HPT60" s="291"/>
      <x:c r="HPU60" s="291"/>
      <x:c r="HPV60" s="291"/>
      <x:c r="HPW60" s="291"/>
      <x:c r="HPX60" s="291"/>
      <x:c r="HPY60" s="291"/>
      <x:c r="HPZ60" s="291"/>
      <x:c r="HQA60" s="291"/>
      <x:c r="HQB60" s="291"/>
      <x:c r="HQC60" s="291"/>
      <x:c r="HQD60" s="291"/>
      <x:c r="HQE60" s="291"/>
      <x:c r="HQF60" s="291"/>
      <x:c r="HQG60" s="291"/>
      <x:c r="HQH60" s="291"/>
      <x:c r="HQI60" s="291"/>
      <x:c r="HQJ60" s="291"/>
      <x:c r="HQK60" s="291"/>
      <x:c r="HQL60" s="291"/>
      <x:c r="HQM60" s="291"/>
      <x:c r="HQN60" s="291"/>
      <x:c r="HQO60" s="291"/>
      <x:c r="HQP60" s="291"/>
      <x:c r="HQQ60" s="291"/>
      <x:c r="HQR60" s="291"/>
      <x:c r="HQS60" s="291"/>
      <x:c r="HQT60" s="291"/>
      <x:c r="HQU60" s="291"/>
      <x:c r="HQV60" s="291"/>
      <x:c r="HQW60" s="291"/>
      <x:c r="HQX60" s="291"/>
      <x:c r="HQY60" s="291"/>
      <x:c r="HQZ60" s="291"/>
      <x:c r="HRA60" s="291"/>
      <x:c r="HRB60" s="291"/>
      <x:c r="HRC60" s="291"/>
      <x:c r="HRD60" s="291"/>
      <x:c r="HRE60" s="291"/>
      <x:c r="HRF60" s="291"/>
      <x:c r="HRG60" s="291"/>
      <x:c r="HRH60" s="291"/>
      <x:c r="HRI60" s="291"/>
      <x:c r="HRJ60" s="291"/>
      <x:c r="HRK60" s="291"/>
      <x:c r="HRL60" s="291"/>
      <x:c r="HRM60" s="291"/>
      <x:c r="HRN60" s="291"/>
      <x:c r="HRO60" s="291"/>
      <x:c r="HRP60" s="291"/>
      <x:c r="HRQ60" s="291"/>
      <x:c r="HRR60" s="291"/>
      <x:c r="HRS60" s="291"/>
      <x:c r="HRT60" s="291"/>
      <x:c r="HRU60" s="291"/>
      <x:c r="HRV60" s="291"/>
      <x:c r="HRW60" s="291"/>
      <x:c r="HRX60" s="291"/>
      <x:c r="HRY60" s="291"/>
      <x:c r="HRZ60" s="291"/>
      <x:c r="HSA60" s="291"/>
      <x:c r="HSB60" s="291"/>
      <x:c r="HSC60" s="291"/>
      <x:c r="HSD60" s="291"/>
      <x:c r="HSE60" s="291"/>
      <x:c r="HSF60" s="291"/>
      <x:c r="HSG60" s="291"/>
      <x:c r="HSH60" s="291"/>
      <x:c r="HSI60" s="291"/>
      <x:c r="HSJ60" s="291"/>
      <x:c r="HSK60" s="291"/>
      <x:c r="HSL60" s="291"/>
      <x:c r="HSM60" s="291"/>
      <x:c r="HSN60" s="291"/>
      <x:c r="HSO60" s="291"/>
      <x:c r="HSP60" s="291"/>
      <x:c r="HSQ60" s="291"/>
      <x:c r="HSR60" s="291"/>
      <x:c r="HSS60" s="291"/>
      <x:c r="HST60" s="291"/>
      <x:c r="HSU60" s="291"/>
      <x:c r="HSV60" s="291"/>
      <x:c r="HSW60" s="291"/>
      <x:c r="HSX60" s="291"/>
      <x:c r="HSY60" s="291"/>
      <x:c r="HSZ60" s="291"/>
      <x:c r="HTA60" s="291"/>
      <x:c r="HTB60" s="291"/>
      <x:c r="HTC60" s="291"/>
      <x:c r="HTD60" s="291"/>
      <x:c r="HTE60" s="291"/>
      <x:c r="HTF60" s="291"/>
      <x:c r="HTG60" s="291"/>
      <x:c r="HTH60" s="291"/>
      <x:c r="HTI60" s="291"/>
      <x:c r="HTJ60" s="291"/>
      <x:c r="HTK60" s="291"/>
      <x:c r="HTL60" s="291"/>
      <x:c r="HTM60" s="291"/>
      <x:c r="HTN60" s="291"/>
      <x:c r="HTO60" s="291"/>
      <x:c r="HTP60" s="291"/>
      <x:c r="HTQ60" s="291"/>
      <x:c r="HTR60" s="291"/>
      <x:c r="HTS60" s="291"/>
      <x:c r="HTT60" s="291"/>
      <x:c r="HTU60" s="291"/>
      <x:c r="HTV60" s="291"/>
      <x:c r="HTW60" s="291"/>
      <x:c r="HTX60" s="291"/>
      <x:c r="HTY60" s="291"/>
      <x:c r="HTZ60" s="291"/>
      <x:c r="HUA60" s="291"/>
      <x:c r="HUB60" s="291"/>
      <x:c r="HUC60" s="291"/>
      <x:c r="HUD60" s="291"/>
      <x:c r="HUE60" s="291"/>
      <x:c r="HUF60" s="291"/>
      <x:c r="HUG60" s="291"/>
      <x:c r="HUH60" s="291"/>
      <x:c r="HUI60" s="291"/>
      <x:c r="HUJ60" s="291"/>
      <x:c r="HUK60" s="291"/>
      <x:c r="HUL60" s="291"/>
      <x:c r="HUM60" s="291"/>
      <x:c r="HUN60" s="291"/>
      <x:c r="HUO60" s="291"/>
      <x:c r="HUP60" s="291"/>
      <x:c r="HUQ60" s="291"/>
      <x:c r="HUR60" s="291"/>
      <x:c r="HUS60" s="291"/>
      <x:c r="HUT60" s="291"/>
      <x:c r="HUU60" s="291"/>
      <x:c r="HUV60" s="291"/>
      <x:c r="HUW60" s="291"/>
      <x:c r="HUX60" s="291"/>
      <x:c r="HUY60" s="291"/>
      <x:c r="HUZ60" s="291"/>
      <x:c r="HVA60" s="291"/>
      <x:c r="HVB60" s="291"/>
      <x:c r="HVC60" s="291"/>
      <x:c r="HVD60" s="291"/>
      <x:c r="HVE60" s="291"/>
      <x:c r="HVF60" s="291"/>
      <x:c r="HVG60" s="291"/>
      <x:c r="HVH60" s="291"/>
      <x:c r="HVI60" s="291"/>
      <x:c r="HVJ60" s="291"/>
      <x:c r="HVK60" s="291"/>
      <x:c r="HVL60" s="291"/>
      <x:c r="HVM60" s="291"/>
      <x:c r="HVN60" s="291"/>
      <x:c r="HVO60" s="291"/>
      <x:c r="HVP60" s="291"/>
      <x:c r="HVQ60" s="291"/>
      <x:c r="HVR60" s="291"/>
      <x:c r="HVS60" s="291"/>
      <x:c r="HVT60" s="291"/>
      <x:c r="HVU60" s="291"/>
      <x:c r="HVV60" s="291"/>
      <x:c r="HVW60" s="291"/>
      <x:c r="HVX60" s="291"/>
      <x:c r="HVY60" s="291"/>
      <x:c r="HVZ60" s="291"/>
      <x:c r="HWA60" s="291"/>
      <x:c r="HWB60" s="291"/>
      <x:c r="HWC60" s="291"/>
      <x:c r="HWD60" s="291"/>
      <x:c r="HWE60" s="291"/>
      <x:c r="HWF60" s="291"/>
      <x:c r="HWG60" s="291"/>
      <x:c r="HWH60" s="291"/>
      <x:c r="HWI60" s="291"/>
      <x:c r="HWJ60" s="291"/>
      <x:c r="HWK60" s="291"/>
      <x:c r="HWL60" s="291"/>
      <x:c r="HWM60" s="291"/>
      <x:c r="HWN60" s="291"/>
      <x:c r="HWO60" s="291"/>
      <x:c r="HWP60" s="291"/>
      <x:c r="HWQ60" s="291"/>
      <x:c r="HWR60" s="291"/>
      <x:c r="HWS60" s="291"/>
      <x:c r="HWT60" s="291"/>
      <x:c r="HWU60" s="291"/>
      <x:c r="HWV60" s="291"/>
      <x:c r="HWW60" s="291"/>
      <x:c r="HWX60" s="291"/>
      <x:c r="HWY60" s="291"/>
      <x:c r="HWZ60" s="291"/>
      <x:c r="HXA60" s="291"/>
      <x:c r="HXB60" s="291"/>
      <x:c r="HXC60" s="291"/>
      <x:c r="HXD60" s="291"/>
      <x:c r="HXE60" s="291"/>
      <x:c r="HXF60" s="291"/>
      <x:c r="HXG60" s="291"/>
      <x:c r="HXH60" s="291"/>
      <x:c r="HXI60" s="291"/>
      <x:c r="HXJ60" s="291"/>
      <x:c r="HXK60" s="291"/>
      <x:c r="HXL60" s="291"/>
      <x:c r="HXM60" s="291"/>
      <x:c r="HXN60" s="291"/>
      <x:c r="HXO60" s="291"/>
      <x:c r="HXP60" s="291"/>
      <x:c r="HXQ60" s="291"/>
      <x:c r="HXR60" s="291"/>
      <x:c r="HXS60" s="291"/>
      <x:c r="HXT60" s="291"/>
      <x:c r="HXU60" s="291"/>
      <x:c r="HXV60" s="291"/>
      <x:c r="HXW60" s="291"/>
      <x:c r="HXX60" s="291"/>
      <x:c r="HXY60" s="291"/>
      <x:c r="HXZ60" s="291"/>
      <x:c r="HYA60" s="291"/>
      <x:c r="HYB60" s="291"/>
      <x:c r="HYC60" s="291"/>
      <x:c r="HYD60" s="291"/>
      <x:c r="HYE60" s="291"/>
      <x:c r="HYF60" s="291"/>
      <x:c r="HYG60" s="291"/>
      <x:c r="HYH60" s="291"/>
      <x:c r="HYI60" s="291"/>
      <x:c r="HYJ60" s="291"/>
      <x:c r="HYK60" s="291"/>
      <x:c r="HYL60" s="291"/>
      <x:c r="HYM60" s="291"/>
      <x:c r="HYN60" s="291"/>
      <x:c r="HYO60" s="291"/>
      <x:c r="HYP60" s="291"/>
      <x:c r="HYQ60" s="291"/>
      <x:c r="HYR60" s="291"/>
      <x:c r="HYS60" s="291"/>
      <x:c r="HYT60" s="291"/>
      <x:c r="HYU60" s="291"/>
      <x:c r="HYV60" s="291"/>
      <x:c r="HYW60" s="291"/>
      <x:c r="HYX60" s="291"/>
      <x:c r="HYY60" s="291"/>
      <x:c r="HYZ60" s="291"/>
      <x:c r="HZA60" s="291"/>
      <x:c r="HZB60" s="291"/>
      <x:c r="HZC60" s="291"/>
      <x:c r="HZD60" s="291"/>
      <x:c r="HZE60" s="291"/>
      <x:c r="HZF60" s="291"/>
      <x:c r="HZG60" s="291"/>
      <x:c r="HZH60" s="291"/>
      <x:c r="HZI60" s="291"/>
      <x:c r="HZJ60" s="291"/>
      <x:c r="HZK60" s="291"/>
      <x:c r="HZL60" s="291"/>
      <x:c r="HZM60" s="291"/>
      <x:c r="HZN60" s="291"/>
      <x:c r="HZO60" s="291"/>
      <x:c r="HZP60" s="291"/>
      <x:c r="HZQ60" s="291"/>
      <x:c r="HZR60" s="291"/>
      <x:c r="HZS60" s="291"/>
      <x:c r="HZT60" s="291"/>
      <x:c r="HZU60" s="291"/>
      <x:c r="HZV60" s="291"/>
      <x:c r="HZW60" s="291"/>
      <x:c r="HZX60" s="291"/>
      <x:c r="HZY60" s="291"/>
      <x:c r="HZZ60" s="291"/>
      <x:c r="IAA60" s="291"/>
      <x:c r="IAB60" s="291"/>
      <x:c r="IAC60" s="291"/>
      <x:c r="IAD60" s="291"/>
      <x:c r="IAE60" s="291"/>
      <x:c r="IAF60" s="291"/>
      <x:c r="IAG60" s="291"/>
      <x:c r="IAH60" s="291"/>
      <x:c r="IAI60" s="291"/>
      <x:c r="IAJ60" s="291"/>
      <x:c r="IAK60" s="291"/>
      <x:c r="IAL60" s="291"/>
      <x:c r="IAM60" s="291"/>
      <x:c r="IAN60" s="291"/>
      <x:c r="IAO60" s="291"/>
      <x:c r="IAP60" s="291"/>
      <x:c r="IAQ60" s="291"/>
      <x:c r="IAR60" s="291"/>
      <x:c r="IAS60" s="291"/>
      <x:c r="IAT60" s="291"/>
      <x:c r="IAU60" s="291"/>
      <x:c r="IAV60" s="291"/>
      <x:c r="IAW60" s="291"/>
      <x:c r="IAX60" s="291"/>
      <x:c r="IAY60" s="291"/>
      <x:c r="IAZ60" s="291"/>
      <x:c r="IBA60" s="291"/>
      <x:c r="IBB60" s="291"/>
      <x:c r="IBC60" s="291"/>
      <x:c r="IBD60" s="291"/>
      <x:c r="IBE60" s="291"/>
      <x:c r="IBF60" s="291"/>
      <x:c r="IBG60" s="291"/>
      <x:c r="IBH60" s="291"/>
      <x:c r="IBI60" s="291"/>
      <x:c r="IBJ60" s="291"/>
      <x:c r="IBK60" s="291"/>
      <x:c r="IBL60" s="291"/>
      <x:c r="IBM60" s="291"/>
      <x:c r="IBN60" s="291"/>
      <x:c r="IBO60" s="291"/>
      <x:c r="IBP60" s="291"/>
      <x:c r="IBQ60" s="291"/>
      <x:c r="IBR60" s="291"/>
      <x:c r="IBS60" s="291"/>
      <x:c r="IBT60" s="291"/>
      <x:c r="IBU60" s="291"/>
      <x:c r="IBV60" s="291"/>
      <x:c r="IBW60" s="291"/>
      <x:c r="IBX60" s="291"/>
      <x:c r="IBY60" s="291"/>
      <x:c r="IBZ60" s="291"/>
      <x:c r="ICA60" s="291"/>
      <x:c r="ICB60" s="291"/>
      <x:c r="ICC60" s="291"/>
      <x:c r="ICD60" s="291"/>
      <x:c r="ICE60" s="291"/>
      <x:c r="ICF60" s="291"/>
      <x:c r="ICG60" s="291"/>
      <x:c r="ICH60" s="291"/>
      <x:c r="ICI60" s="291"/>
      <x:c r="ICJ60" s="291"/>
      <x:c r="ICK60" s="291"/>
      <x:c r="ICL60" s="291"/>
      <x:c r="ICM60" s="291"/>
      <x:c r="ICN60" s="291"/>
      <x:c r="ICO60" s="291"/>
      <x:c r="ICP60" s="291"/>
      <x:c r="ICQ60" s="291"/>
      <x:c r="ICR60" s="291"/>
      <x:c r="ICS60" s="291"/>
      <x:c r="ICT60" s="291"/>
      <x:c r="ICU60" s="291"/>
      <x:c r="ICV60" s="291"/>
      <x:c r="ICW60" s="291"/>
      <x:c r="ICX60" s="291"/>
      <x:c r="ICY60" s="291"/>
      <x:c r="ICZ60" s="291"/>
      <x:c r="IDA60" s="291"/>
      <x:c r="IDB60" s="291"/>
      <x:c r="IDC60" s="291"/>
      <x:c r="IDD60" s="291"/>
      <x:c r="IDE60" s="291"/>
      <x:c r="IDF60" s="291"/>
      <x:c r="IDG60" s="291"/>
      <x:c r="IDH60" s="291"/>
      <x:c r="IDI60" s="291"/>
      <x:c r="IDJ60" s="291"/>
      <x:c r="IDK60" s="291"/>
      <x:c r="IDL60" s="291"/>
      <x:c r="IDM60" s="291"/>
      <x:c r="IDN60" s="291"/>
      <x:c r="IDO60" s="291"/>
      <x:c r="IDP60" s="291"/>
      <x:c r="IDQ60" s="291"/>
      <x:c r="IDR60" s="291"/>
      <x:c r="IDS60" s="291"/>
      <x:c r="IDT60" s="291"/>
      <x:c r="IDU60" s="291"/>
      <x:c r="IDV60" s="291"/>
      <x:c r="IDW60" s="291"/>
      <x:c r="IDX60" s="291"/>
      <x:c r="IDY60" s="291"/>
      <x:c r="IDZ60" s="291"/>
      <x:c r="IEA60" s="291"/>
      <x:c r="IEB60" s="291"/>
      <x:c r="IEC60" s="291"/>
      <x:c r="IED60" s="291"/>
      <x:c r="IEE60" s="291"/>
      <x:c r="IEF60" s="291"/>
      <x:c r="IEG60" s="291"/>
      <x:c r="IEH60" s="291"/>
      <x:c r="IEI60" s="291"/>
      <x:c r="IEJ60" s="291"/>
      <x:c r="IEK60" s="291"/>
      <x:c r="IEL60" s="291"/>
      <x:c r="IEM60" s="291"/>
      <x:c r="IEN60" s="291"/>
      <x:c r="IEO60" s="291"/>
      <x:c r="IEP60" s="291"/>
      <x:c r="IEQ60" s="291"/>
      <x:c r="IER60" s="291"/>
      <x:c r="IES60" s="291"/>
      <x:c r="IET60" s="291"/>
      <x:c r="IEU60" s="291"/>
      <x:c r="IEV60" s="291"/>
      <x:c r="IEW60" s="291"/>
      <x:c r="IEX60" s="291"/>
      <x:c r="IEY60" s="291"/>
      <x:c r="IEZ60" s="291"/>
      <x:c r="IFA60" s="291"/>
      <x:c r="IFB60" s="291"/>
      <x:c r="IFC60" s="291"/>
      <x:c r="IFD60" s="291"/>
      <x:c r="IFE60" s="291"/>
      <x:c r="IFF60" s="291"/>
      <x:c r="IFG60" s="291"/>
      <x:c r="IFH60" s="291"/>
      <x:c r="IFI60" s="291"/>
      <x:c r="IFJ60" s="291"/>
      <x:c r="IFK60" s="291"/>
      <x:c r="IFL60" s="291"/>
      <x:c r="IFM60" s="291"/>
      <x:c r="IFN60" s="291"/>
      <x:c r="IFO60" s="291"/>
      <x:c r="IFP60" s="291"/>
      <x:c r="IFQ60" s="291"/>
      <x:c r="IFR60" s="291"/>
      <x:c r="IFS60" s="291"/>
      <x:c r="IFT60" s="291"/>
      <x:c r="IFU60" s="291"/>
      <x:c r="IFV60" s="291"/>
      <x:c r="IFW60" s="291"/>
      <x:c r="IFX60" s="291"/>
      <x:c r="IFY60" s="291"/>
      <x:c r="IFZ60" s="291"/>
      <x:c r="IGA60" s="291"/>
      <x:c r="IGB60" s="291"/>
      <x:c r="IGC60" s="291"/>
      <x:c r="IGD60" s="291"/>
      <x:c r="IGE60" s="291"/>
      <x:c r="IGF60" s="291"/>
      <x:c r="IGG60" s="291"/>
      <x:c r="IGH60" s="291"/>
      <x:c r="IGI60" s="291"/>
      <x:c r="IGJ60" s="291"/>
      <x:c r="IGK60" s="291"/>
      <x:c r="IGL60" s="291"/>
      <x:c r="IGM60" s="291"/>
      <x:c r="IGN60" s="291"/>
      <x:c r="IGO60" s="291"/>
      <x:c r="IGP60" s="291"/>
      <x:c r="IGQ60" s="291"/>
      <x:c r="IGR60" s="291"/>
      <x:c r="IGS60" s="291"/>
      <x:c r="IGT60" s="291"/>
      <x:c r="IGU60" s="291"/>
      <x:c r="IGV60" s="291"/>
      <x:c r="IGW60" s="291"/>
      <x:c r="IGX60" s="291"/>
      <x:c r="IGY60" s="291"/>
      <x:c r="IGZ60" s="291"/>
      <x:c r="IHA60" s="291"/>
      <x:c r="IHB60" s="291"/>
      <x:c r="IHC60" s="291"/>
      <x:c r="IHD60" s="291"/>
      <x:c r="IHE60" s="291"/>
      <x:c r="IHF60" s="291"/>
      <x:c r="IHG60" s="291"/>
      <x:c r="IHH60" s="291"/>
      <x:c r="IHI60" s="291"/>
      <x:c r="IHJ60" s="291"/>
      <x:c r="IHK60" s="291"/>
      <x:c r="IHL60" s="291"/>
      <x:c r="IHM60" s="291"/>
      <x:c r="IHN60" s="291"/>
      <x:c r="IHO60" s="291"/>
      <x:c r="IHP60" s="291"/>
      <x:c r="IHQ60" s="291"/>
      <x:c r="IHR60" s="291"/>
      <x:c r="IHS60" s="291"/>
      <x:c r="IHT60" s="291"/>
      <x:c r="IHU60" s="291"/>
      <x:c r="IHV60" s="291"/>
      <x:c r="IHW60" s="291"/>
      <x:c r="IHX60" s="291"/>
      <x:c r="IHY60" s="291"/>
      <x:c r="IHZ60" s="291"/>
      <x:c r="IIA60" s="291"/>
      <x:c r="IIB60" s="291"/>
      <x:c r="IIC60" s="291"/>
      <x:c r="IID60" s="291"/>
      <x:c r="IIE60" s="291"/>
      <x:c r="IIF60" s="291"/>
      <x:c r="IIG60" s="291"/>
      <x:c r="IIH60" s="291"/>
      <x:c r="III60" s="291"/>
      <x:c r="IIJ60" s="291"/>
      <x:c r="IIK60" s="291"/>
      <x:c r="IIL60" s="291"/>
      <x:c r="IIM60" s="291"/>
      <x:c r="IIN60" s="291"/>
      <x:c r="IIO60" s="291"/>
      <x:c r="IIP60" s="291"/>
      <x:c r="IIQ60" s="291"/>
      <x:c r="IIR60" s="291"/>
      <x:c r="IIS60" s="291"/>
      <x:c r="IIT60" s="291"/>
      <x:c r="IIU60" s="291"/>
      <x:c r="IIV60" s="291"/>
      <x:c r="IIW60" s="291"/>
      <x:c r="IIX60" s="291"/>
      <x:c r="IIY60" s="291"/>
      <x:c r="IIZ60" s="291"/>
      <x:c r="IJA60" s="291"/>
      <x:c r="IJB60" s="291"/>
      <x:c r="IJC60" s="291"/>
      <x:c r="IJD60" s="291"/>
      <x:c r="IJE60" s="291"/>
      <x:c r="IJF60" s="291"/>
      <x:c r="IJG60" s="291"/>
      <x:c r="IJH60" s="291"/>
      <x:c r="IJI60" s="291"/>
      <x:c r="IJJ60" s="291"/>
      <x:c r="IJK60" s="291"/>
      <x:c r="IJL60" s="291"/>
      <x:c r="IJM60" s="291"/>
      <x:c r="IJN60" s="291"/>
      <x:c r="IJO60" s="291"/>
      <x:c r="IJP60" s="291"/>
      <x:c r="IJQ60" s="291"/>
      <x:c r="IJR60" s="291"/>
      <x:c r="IJS60" s="291"/>
      <x:c r="IJT60" s="291"/>
      <x:c r="IJU60" s="291"/>
      <x:c r="IJV60" s="291"/>
      <x:c r="IJW60" s="291"/>
      <x:c r="IJX60" s="291"/>
      <x:c r="IJY60" s="291"/>
      <x:c r="IJZ60" s="291"/>
      <x:c r="IKA60" s="291"/>
      <x:c r="IKB60" s="291"/>
      <x:c r="IKC60" s="291"/>
      <x:c r="IKD60" s="291"/>
      <x:c r="IKE60" s="291"/>
      <x:c r="IKF60" s="291"/>
      <x:c r="IKG60" s="291"/>
      <x:c r="IKH60" s="291"/>
      <x:c r="IKI60" s="291"/>
      <x:c r="IKJ60" s="291"/>
      <x:c r="IKK60" s="291"/>
      <x:c r="IKL60" s="291"/>
      <x:c r="IKM60" s="291"/>
      <x:c r="IKN60" s="291"/>
      <x:c r="IKO60" s="291"/>
      <x:c r="IKP60" s="291"/>
      <x:c r="IKQ60" s="291"/>
      <x:c r="IKR60" s="291"/>
      <x:c r="IKS60" s="291"/>
      <x:c r="IKT60" s="291"/>
      <x:c r="IKU60" s="291"/>
      <x:c r="IKV60" s="291"/>
      <x:c r="IKW60" s="291"/>
      <x:c r="IKX60" s="291"/>
      <x:c r="IKY60" s="291"/>
      <x:c r="IKZ60" s="291"/>
      <x:c r="ILA60" s="291"/>
      <x:c r="ILB60" s="291"/>
      <x:c r="ILC60" s="291"/>
      <x:c r="ILD60" s="291"/>
      <x:c r="ILE60" s="291"/>
      <x:c r="ILF60" s="291"/>
      <x:c r="ILG60" s="291"/>
      <x:c r="ILH60" s="291"/>
      <x:c r="ILI60" s="291"/>
      <x:c r="ILJ60" s="291"/>
      <x:c r="ILK60" s="291"/>
      <x:c r="ILL60" s="291"/>
      <x:c r="ILM60" s="291"/>
      <x:c r="ILN60" s="291"/>
      <x:c r="ILO60" s="291"/>
      <x:c r="ILP60" s="291"/>
      <x:c r="ILQ60" s="291"/>
      <x:c r="ILR60" s="291"/>
      <x:c r="ILS60" s="291"/>
      <x:c r="ILT60" s="291"/>
      <x:c r="ILU60" s="291"/>
      <x:c r="ILV60" s="291"/>
      <x:c r="ILW60" s="291"/>
      <x:c r="ILX60" s="291"/>
      <x:c r="ILY60" s="291"/>
      <x:c r="ILZ60" s="291"/>
      <x:c r="IMA60" s="291"/>
      <x:c r="IMB60" s="291"/>
      <x:c r="IMC60" s="291"/>
      <x:c r="IMD60" s="291"/>
      <x:c r="IME60" s="291"/>
      <x:c r="IMF60" s="291"/>
      <x:c r="IMG60" s="291"/>
      <x:c r="IMH60" s="291"/>
      <x:c r="IMI60" s="291"/>
      <x:c r="IMJ60" s="291"/>
      <x:c r="IMK60" s="291"/>
      <x:c r="IML60" s="291"/>
      <x:c r="IMM60" s="291"/>
      <x:c r="IMN60" s="291"/>
      <x:c r="IMO60" s="291"/>
      <x:c r="IMP60" s="291"/>
      <x:c r="IMQ60" s="291"/>
      <x:c r="IMR60" s="291"/>
      <x:c r="IMS60" s="291"/>
      <x:c r="IMT60" s="291"/>
      <x:c r="IMU60" s="291"/>
      <x:c r="IMV60" s="291"/>
      <x:c r="IMW60" s="291"/>
      <x:c r="IMX60" s="291"/>
      <x:c r="IMY60" s="291"/>
      <x:c r="IMZ60" s="291"/>
      <x:c r="INA60" s="291"/>
      <x:c r="INB60" s="291"/>
      <x:c r="INC60" s="291"/>
      <x:c r="IND60" s="291"/>
      <x:c r="INE60" s="291"/>
      <x:c r="INF60" s="291"/>
      <x:c r="ING60" s="291"/>
      <x:c r="INH60" s="291"/>
      <x:c r="INI60" s="291"/>
      <x:c r="INJ60" s="291"/>
      <x:c r="INK60" s="291"/>
      <x:c r="INL60" s="291"/>
      <x:c r="INM60" s="291"/>
      <x:c r="INN60" s="291"/>
      <x:c r="INO60" s="291"/>
      <x:c r="INP60" s="291"/>
      <x:c r="INQ60" s="291"/>
      <x:c r="INR60" s="291"/>
      <x:c r="INS60" s="291"/>
      <x:c r="INT60" s="291"/>
      <x:c r="INU60" s="291"/>
      <x:c r="INV60" s="291"/>
      <x:c r="INW60" s="291"/>
      <x:c r="INX60" s="291"/>
      <x:c r="INY60" s="291"/>
      <x:c r="INZ60" s="291"/>
      <x:c r="IOA60" s="291"/>
      <x:c r="IOB60" s="291"/>
      <x:c r="IOC60" s="291"/>
      <x:c r="IOD60" s="291"/>
      <x:c r="IOE60" s="291"/>
      <x:c r="IOF60" s="291"/>
      <x:c r="IOG60" s="291"/>
      <x:c r="IOH60" s="291"/>
      <x:c r="IOI60" s="291"/>
      <x:c r="IOJ60" s="291"/>
      <x:c r="IOK60" s="291"/>
      <x:c r="IOL60" s="291"/>
      <x:c r="IOM60" s="291"/>
      <x:c r="ION60" s="291"/>
      <x:c r="IOO60" s="291"/>
      <x:c r="IOP60" s="291"/>
      <x:c r="IOQ60" s="291"/>
      <x:c r="IOR60" s="291"/>
      <x:c r="IOS60" s="291"/>
      <x:c r="IOT60" s="291"/>
      <x:c r="IOU60" s="291"/>
      <x:c r="IOV60" s="291"/>
      <x:c r="IOW60" s="291"/>
      <x:c r="IOX60" s="291"/>
      <x:c r="IOY60" s="291"/>
      <x:c r="IOZ60" s="291"/>
      <x:c r="IPA60" s="291"/>
      <x:c r="IPB60" s="291"/>
      <x:c r="IPC60" s="291"/>
      <x:c r="IPD60" s="291"/>
      <x:c r="IPE60" s="291"/>
      <x:c r="IPF60" s="291"/>
      <x:c r="IPG60" s="291"/>
      <x:c r="IPH60" s="291"/>
      <x:c r="IPI60" s="291"/>
      <x:c r="IPJ60" s="291"/>
      <x:c r="IPK60" s="291"/>
      <x:c r="IPL60" s="291"/>
      <x:c r="IPM60" s="291"/>
      <x:c r="IPN60" s="291"/>
      <x:c r="IPO60" s="291"/>
      <x:c r="IPP60" s="291"/>
      <x:c r="IPQ60" s="291"/>
      <x:c r="IPR60" s="291"/>
      <x:c r="IPS60" s="291"/>
      <x:c r="IPT60" s="291"/>
      <x:c r="IPU60" s="291"/>
      <x:c r="IPV60" s="291"/>
      <x:c r="IPW60" s="291"/>
      <x:c r="IPX60" s="291"/>
      <x:c r="IPY60" s="291"/>
      <x:c r="IPZ60" s="291"/>
      <x:c r="IQA60" s="291"/>
      <x:c r="IQB60" s="291"/>
      <x:c r="IQC60" s="291"/>
      <x:c r="IQD60" s="291"/>
      <x:c r="IQE60" s="291"/>
      <x:c r="IQF60" s="291"/>
      <x:c r="IQG60" s="291"/>
      <x:c r="IQH60" s="291"/>
      <x:c r="IQI60" s="291"/>
      <x:c r="IQJ60" s="291"/>
      <x:c r="IQK60" s="291"/>
      <x:c r="IQL60" s="291"/>
      <x:c r="IQM60" s="291"/>
      <x:c r="IQN60" s="291"/>
      <x:c r="IQO60" s="291"/>
      <x:c r="IQP60" s="291"/>
      <x:c r="IQQ60" s="291"/>
      <x:c r="IQR60" s="291"/>
      <x:c r="IQS60" s="291"/>
      <x:c r="IQT60" s="291"/>
      <x:c r="IQU60" s="291"/>
      <x:c r="IQV60" s="291"/>
      <x:c r="IQW60" s="291"/>
      <x:c r="IQX60" s="291"/>
      <x:c r="IQY60" s="291"/>
      <x:c r="IQZ60" s="291"/>
      <x:c r="IRA60" s="291"/>
      <x:c r="IRB60" s="291"/>
      <x:c r="IRC60" s="291"/>
      <x:c r="IRD60" s="291"/>
      <x:c r="IRE60" s="291"/>
      <x:c r="IRF60" s="291"/>
      <x:c r="IRG60" s="291"/>
      <x:c r="IRH60" s="291"/>
      <x:c r="IRI60" s="291"/>
      <x:c r="IRJ60" s="291"/>
      <x:c r="IRK60" s="291"/>
      <x:c r="IRL60" s="291"/>
      <x:c r="IRM60" s="291"/>
      <x:c r="IRN60" s="291"/>
      <x:c r="IRO60" s="291"/>
      <x:c r="IRP60" s="291"/>
      <x:c r="IRQ60" s="291"/>
      <x:c r="IRR60" s="291"/>
      <x:c r="IRS60" s="291"/>
      <x:c r="IRT60" s="291"/>
      <x:c r="IRU60" s="291"/>
      <x:c r="IRV60" s="291"/>
      <x:c r="IRW60" s="291"/>
      <x:c r="IRX60" s="291"/>
      <x:c r="IRY60" s="291"/>
      <x:c r="IRZ60" s="291"/>
      <x:c r="ISA60" s="291"/>
      <x:c r="ISB60" s="291"/>
      <x:c r="ISC60" s="291"/>
      <x:c r="ISD60" s="291"/>
      <x:c r="ISE60" s="291"/>
      <x:c r="ISF60" s="291"/>
      <x:c r="ISG60" s="291"/>
      <x:c r="ISH60" s="291"/>
      <x:c r="ISI60" s="291"/>
      <x:c r="ISJ60" s="291"/>
      <x:c r="ISK60" s="291"/>
      <x:c r="ISL60" s="291"/>
      <x:c r="ISM60" s="291"/>
      <x:c r="ISN60" s="291"/>
      <x:c r="ISO60" s="291"/>
      <x:c r="ISP60" s="291"/>
      <x:c r="ISQ60" s="291"/>
      <x:c r="ISR60" s="291"/>
      <x:c r="ISS60" s="291"/>
      <x:c r="IST60" s="291"/>
      <x:c r="ISU60" s="291"/>
      <x:c r="ISV60" s="291"/>
      <x:c r="ISW60" s="291"/>
      <x:c r="ISX60" s="291"/>
      <x:c r="ISY60" s="291"/>
      <x:c r="ISZ60" s="291"/>
      <x:c r="ITA60" s="291"/>
      <x:c r="ITB60" s="291"/>
      <x:c r="ITC60" s="291"/>
      <x:c r="ITD60" s="291"/>
      <x:c r="ITE60" s="291"/>
      <x:c r="ITF60" s="291"/>
      <x:c r="ITG60" s="291"/>
      <x:c r="ITH60" s="291"/>
      <x:c r="ITI60" s="291"/>
      <x:c r="ITJ60" s="291"/>
      <x:c r="ITK60" s="291"/>
      <x:c r="ITL60" s="291"/>
      <x:c r="ITM60" s="291"/>
      <x:c r="ITN60" s="291"/>
      <x:c r="ITO60" s="291"/>
      <x:c r="ITP60" s="291"/>
      <x:c r="ITQ60" s="291"/>
      <x:c r="ITR60" s="291"/>
      <x:c r="ITS60" s="291"/>
      <x:c r="ITT60" s="291"/>
      <x:c r="ITU60" s="291"/>
      <x:c r="ITV60" s="291"/>
      <x:c r="ITW60" s="291"/>
      <x:c r="ITX60" s="291"/>
      <x:c r="ITY60" s="291"/>
      <x:c r="ITZ60" s="291"/>
      <x:c r="IUA60" s="291"/>
      <x:c r="IUB60" s="291"/>
      <x:c r="IUC60" s="291"/>
      <x:c r="IUD60" s="291"/>
      <x:c r="IUE60" s="291"/>
      <x:c r="IUF60" s="291"/>
      <x:c r="IUG60" s="291"/>
      <x:c r="IUH60" s="291"/>
      <x:c r="IUI60" s="291"/>
      <x:c r="IUJ60" s="291"/>
      <x:c r="IUK60" s="291"/>
      <x:c r="IUL60" s="291"/>
      <x:c r="IUM60" s="291"/>
      <x:c r="IUN60" s="291"/>
      <x:c r="IUO60" s="291"/>
      <x:c r="IUP60" s="291"/>
      <x:c r="IUQ60" s="291"/>
      <x:c r="IUR60" s="291"/>
      <x:c r="IUS60" s="291"/>
      <x:c r="IUT60" s="291"/>
      <x:c r="IUU60" s="291"/>
      <x:c r="IUV60" s="291"/>
      <x:c r="IUW60" s="291"/>
      <x:c r="IUX60" s="291"/>
      <x:c r="IUY60" s="291"/>
      <x:c r="IUZ60" s="291"/>
      <x:c r="IVA60" s="291"/>
      <x:c r="IVB60" s="291"/>
      <x:c r="IVC60" s="291"/>
      <x:c r="IVD60" s="291"/>
      <x:c r="IVE60" s="291"/>
      <x:c r="IVF60" s="291"/>
      <x:c r="IVG60" s="291"/>
      <x:c r="IVH60" s="291"/>
      <x:c r="IVI60" s="291"/>
      <x:c r="IVJ60" s="291"/>
      <x:c r="IVK60" s="291"/>
      <x:c r="IVL60" s="291"/>
      <x:c r="IVM60" s="291"/>
      <x:c r="IVN60" s="291"/>
      <x:c r="IVO60" s="291"/>
      <x:c r="IVP60" s="291"/>
      <x:c r="IVQ60" s="291"/>
      <x:c r="IVR60" s="291"/>
      <x:c r="IVS60" s="291"/>
      <x:c r="IVT60" s="291"/>
      <x:c r="IVU60" s="291"/>
      <x:c r="IVV60" s="291"/>
      <x:c r="IVW60" s="291"/>
      <x:c r="IVX60" s="291"/>
      <x:c r="IVY60" s="291"/>
      <x:c r="IVZ60" s="291"/>
      <x:c r="IWA60" s="291"/>
      <x:c r="IWB60" s="291"/>
      <x:c r="IWC60" s="291"/>
      <x:c r="IWD60" s="291"/>
      <x:c r="IWE60" s="291"/>
      <x:c r="IWF60" s="291"/>
      <x:c r="IWG60" s="291"/>
      <x:c r="IWH60" s="291"/>
      <x:c r="IWI60" s="291"/>
      <x:c r="IWJ60" s="291"/>
      <x:c r="IWK60" s="291"/>
      <x:c r="IWL60" s="291"/>
      <x:c r="IWM60" s="291"/>
      <x:c r="IWN60" s="291"/>
      <x:c r="IWO60" s="291"/>
      <x:c r="IWP60" s="291"/>
      <x:c r="IWQ60" s="291"/>
      <x:c r="IWR60" s="291"/>
      <x:c r="IWS60" s="291"/>
      <x:c r="IWT60" s="291"/>
      <x:c r="IWU60" s="291"/>
      <x:c r="IWV60" s="291"/>
      <x:c r="IWW60" s="291"/>
      <x:c r="IWX60" s="291"/>
      <x:c r="IWY60" s="291"/>
      <x:c r="IWZ60" s="291"/>
      <x:c r="IXA60" s="291"/>
      <x:c r="IXB60" s="291"/>
      <x:c r="IXC60" s="291"/>
      <x:c r="IXD60" s="291"/>
      <x:c r="IXE60" s="291"/>
      <x:c r="IXF60" s="291"/>
      <x:c r="IXG60" s="291"/>
      <x:c r="IXH60" s="291"/>
      <x:c r="IXI60" s="291"/>
      <x:c r="IXJ60" s="291"/>
      <x:c r="IXK60" s="291"/>
      <x:c r="IXL60" s="291"/>
      <x:c r="IXM60" s="291"/>
      <x:c r="IXN60" s="291"/>
      <x:c r="IXO60" s="291"/>
      <x:c r="IXP60" s="291"/>
      <x:c r="IXQ60" s="291"/>
      <x:c r="IXR60" s="291"/>
      <x:c r="IXS60" s="291"/>
      <x:c r="IXT60" s="291"/>
      <x:c r="IXU60" s="291"/>
      <x:c r="IXV60" s="291"/>
      <x:c r="IXW60" s="291"/>
      <x:c r="IXX60" s="291"/>
      <x:c r="IXY60" s="291"/>
      <x:c r="IXZ60" s="291"/>
      <x:c r="IYA60" s="291"/>
      <x:c r="IYB60" s="291"/>
      <x:c r="IYC60" s="291"/>
      <x:c r="IYD60" s="291"/>
      <x:c r="IYE60" s="291"/>
      <x:c r="IYF60" s="291"/>
      <x:c r="IYG60" s="291"/>
      <x:c r="IYH60" s="291"/>
      <x:c r="IYI60" s="291"/>
      <x:c r="IYJ60" s="291"/>
      <x:c r="IYK60" s="291"/>
      <x:c r="IYL60" s="291"/>
      <x:c r="IYM60" s="291"/>
      <x:c r="IYN60" s="291"/>
      <x:c r="IYO60" s="291"/>
      <x:c r="IYP60" s="291"/>
      <x:c r="IYQ60" s="291"/>
      <x:c r="IYR60" s="291"/>
      <x:c r="IYS60" s="291"/>
      <x:c r="IYT60" s="291"/>
      <x:c r="IYU60" s="291"/>
      <x:c r="IYV60" s="291"/>
      <x:c r="IYW60" s="291"/>
      <x:c r="IYX60" s="291"/>
      <x:c r="IYY60" s="291"/>
      <x:c r="IYZ60" s="291"/>
      <x:c r="IZA60" s="291"/>
      <x:c r="IZB60" s="291"/>
      <x:c r="IZC60" s="291"/>
      <x:c r="IZD60" s="291"/>
      <x:c r="IZE60" s="291"/>
      <x:c r="IZF60" s="291"/>
      <x:c r="IZG60" s="291"/>
      <x:c r="IZH60" s="291"/>
      <x:c r="IZI60" s="291"/>
      <x:c r="IZJ60" s="291"/>
      <x:c r="IZK60" s="291"/>
      <x:c r="IZL60" s="291"/>
      <x:c r="IZM60" s="291"/>
      <x:c r="IZN60" s="291"/>
      <x:c r="IZO60" s="291"/>
      <x:c r="IZP60" s="291"/>
      <x:c r="IZQ60" s="291"/>
      <x:c r="IZR60" s="291"/>
      <x:c r="IZS60" s="291"/>
      <x:c r="IZT60" s="291"/>
      <x:c r="IZU60" s="291"/>
      <x:c r="IZV60" s="291"/>
      <x:c r="IZW60" s="291"/>
      <x:c r="IZX60" s="291"/>
      <x:c r="IZY60" s="291"/>
      <x:c r="IZZ60" s="291"/>
      <x:c r="JAA60" s="291"/>
      <x:c r="JAB60" s="291"/>
      <x:c r="JAC60" s="291"/>
      <x:c r="JAD60" s="291"/>
      <x:c r="JAE60" s="291"/>
      <x:c r="JAF60" s="291"/>
      <x:c r="JAG60" s="291"/>
      <x:c r="JAH60" s="291"/>
      <x:c r="JAI60" s="291"/>
      <x:c r="JAJ60" s="291"/>
      <x:c r="JAK60" s="291"/>
      <x:c r="JAL60" s="291"/>
      <x:c r="JAM60" s="291"/>
      <x:c r="JAN60" s="291"/>
      <x:c r="JAO60" s="291"/>
      <x:c r="JAP60" s="291"/>
      <x:c r="JAQ60" s="291"/>
      <x:c r="JAR60" s="291"/>
      <x:c r="JAS60" s="291"/>
      <x:c r="JAT60" s="291"/>
      <x:c r="JAU60" s="291"/>
      <x:c r="JAV60" s="291"/>
      <x:c r="JAW60" s="291"/>
      <x:c r="JAX60" s="291"/>
      <x:c r="JAY60" s="291"/>
      <x:c r="JAZ60" s="291"/>
      <x:c r="JBA60" s="291"/>
      <x:c r="JBB60" s="291"/>
      <x:c r="JBC60" s="291"/>
      <x:c r="JBD60" s="291"/>
      <x:c r="JBE60" s="291"/>
      <x:c r="JBF60" s="291"/>
      <x:c r="JBG60" s="291"/>
      <x:c r="JBH60" s="291"/>
      <x:c r="JBI60" s="291"/>
      <x:c r="JBJ60" s="291"/>
      <x:c r="JBK60" s="291"/>
      <x:c r="JBL60" s="291"/>
      <x:c r="JBM60" s="291"/>
      <x:c r="JBN60" s="291"/>
      <x:c r="JBO60" s="291"/>
      <x:c r="JBP60" s="291"/>
      <x:c r="JBQ60" s="291"/>
      <x:c r="JBR60" s="291"/>
      <x:c r="JBS60" s="291"/>
      <x:c r="JBT60" s="291"/>
      <x:c r="JBU60" s="291"/>
      <x:c r="JBV60" s="291"/>
      <x:c r="JBW60" s="291"/>
      <x:c r="JBX60" s="291"/>
      <x:c r="JBY60" s="291"/>
      <x:c r="JBZ60" s="291"/>
      <x:c r="JCA60" s="291"/>
      <x:c r="JCB60" s="291"/>
      <x:c r="JCC60" s="291"/>
      <x:c r="JCD60" s="291"/>
      <x:c r="JCE60" s="291"/>
      <x:c r="JCF60" s="291"/>
      <x:c r="JCG60" s="291"/>
      <x:c r="JCH60" s="291"/>
      <x:c r="JCI60" s="291"/>
      <x:c r="JCJ60" s="291"/>
      <x:c r="JCK60" s="291"/>
      <x:c r="JCL60" s="291"/>
      <x:c r="JCM60" s="291"/>
      <x:c r="JCN60" s="291"/>
      <x:c r="JCO60" s="291"/>
      <x:c r="JCP60" s="291"/>
      <x:c r="JCQ60" s="291"/>
      <x:c r="JCR60" s="291"/>
      <x:c r="JCS60" s="291"/>
      <x:c r="JCT60" s="291"/>
      <x:c r="JCU60" s="291"/>
      <x:c r="JCV60" s="291"/>
      <x:c r="JCW60" s="291"/>
      <x:c r="JCX60" s="291"/>
      <x:c r="JCY60" s="291"/>
      <x:c r="JCZ60" s="291"/>
      <x:c r="JDA60" s="291"/>
      <x:c r="JDB60" s="291"/>
      <x:c r="JDC60" s="291"/>
      <x:c r="JDD60" s="291"/>
      <x:c r="JDE60" s="291"/>
      <x:c r="JDF60" s="291"/>
      <x:c r="JDG60" s="291"/>
      <x:c r="JDH60" s="291"/>
      <x:c r="JDI60" s="291"/>
      <x:c r="JDJ60" s="291"/>
      <x:c r="JDK60" s="291"/>
      <x:c r="JDL60" s="291"/>
      <x:c r="JDM60" s="291"/>
      <x:c r="JDN60" s="291"/>
      <x:c r="JDO60" s="291"/>
      <x:c r="JDP60" s="291"/>
      <x:c r="JDQ60" s="291"/>
      <x:c r="JDR60" s="291"/>
      <x:c r="JDS60" s="291"/>
      <x:c r="JDT60" s="291"/>
      <x:c r="JDU60" s="291"/>
      <x:c r="JDV60" s="291"/>
      <x:c r="JDW60" s="291"/>
      <x:c r="JDX60" s="291"/>
      <x:c r="JDY60" s="291"/>
      <x:c r="JDZ60" s="291"/>
      <x:c r="JEA60" s="291"/>
      <x:c r="JEB60" s="291"/>
      <x:c r="JEC60" s="291"/>
      <x:c r="JED60" s="291"/>
      <x:c r="JEE60" s="291"/>
      <x:c r="JEF60" s="291"/>
      <x:c r="JEG60" s="291"/>
      <x:c r="JEH60" s="291"/>
      <x:c r="JEI60" s="291"/>
      <x:c r="JEJ60" s="291"/>
      <x:c r="JEK60" s="291"/>
      <x:c r="JEL60" s="291"/>
      <x:c r="JEM60" s="291"/>
      <x:c r="JEN60" s="291"/>
      <x:c r="JEO60" s="291"/>
      <x:c r="JEP60" s="291"/>
      <x:c r="JEQ60" s="291"/>
      <x:c r="JER60" s="291"/>
      <x:c r="JES60" s="291"/>
      <x:c r="JET60" s="291"/>
      <x:c r="JEU60" s="291"/>
      <x:c r="JEV60" s="291"/>
      <x:c r="JEW60" s="291"/>
      <x:c r="JEX60" s="291"/>
      <x:c r="JEY60" s="291"/>
      <x:c r="JEZ60" s="291"/>
      <x:c r="JFA60" s="291"/>
      <x:c r="JFB60" s="291"/>
      <x:c r="JFC60" s="291"/>
      <x:c r="JFD60" s="291"/>
      <x:c r="JFE60" s="291"/>
      <x:c r="JFF60" s="291"/>
      <x:c r="JFG60" s="291"/>
      <x:c r="JFH60" s="291"/>
      <x:c r="JFI60" s="291"/>
      <x:c r="JFJ60" s="291"/>
      <x:c r="JFK60" s="291"/>
      <x:c r="JFL60" s="291"/>
      <x:c r="JFM60" s="291"/>
      <x:c r="JFN60" s="291"/>
      <x:c r="JFO60" s="291"/>
      <x:c r="JFP60" s="291"/>
      <x:c r="JFQ60" s="291"/>
      <x:c r="JFR60" s="291"/>
      <x:c r="JFS60" s="291"/>
      <x:c r="JFT60" s="291"/>
      <x:c r="JFU60" s="291"/>
      <x:c r="JFV60" s="291"/>
      <x:c r="JFW60" s="291"/>
      <x:c r="JFX60" s="291"/>
      <x:c r="JFY60" s="291"/>
      <x:c r="JFZ60" s="291"/>
      <x:c r="JGA60" s="291"/>
      <x:c r="JGB60" s="291"/>
      <x:c r="JGC60" s="291"/>
      <x:c r="JGD60" s="291"/>
      <x:c r="JGE60" s="291"/>
      <x:c r="JGF60" s="291"/>
      <x:c r="JGG60" s="291"/>
      <x:c r="JGH60" s="291"/>
      <x:c r="JGI60" s="291"/>
      <x:c r="JGJ60" s="291"/>
      <x:c r="JGK60" s="291"/>
      <x:c r="JGL60" s="291"/>
      <x:c r="JGM60" s="291"/>
      <x:c r="JGN60" s="291"/>
      <x:c r="JGO60" s="291"/>
      <x:c r="JGP60" s="291"/>
      <x:c r="JGQ60" s="291"/>
      <x:c r="JGR60" s="291"/>
      <x:c r="JGS60" s="291"/>
      <x:c r="JGT60" s="291"/>
      <x:c r="JGU60" s="291"/>
      <x:c r="JGV60" s="291"/>
      <x:c r="JGW60" s="291"/>
      <x:c r="JGX60" s="291"/>
      <x:c r="JGY60" s="291"/>
      <x:c r="JGZ60" s="291"/>
      <x:c r="JHA60" s="291"/>
      <x:c r="JHB60" s="291"/>
      <x:c r="JHC60" s="291"/>
      <x:c r="JHD60" s="291"/>
      <x:c r="JHE60" s="291"/>
      <x:c r="JHF60" s="291"/>
      <x:c r="JHG60" s="291"/>
      <x:c r="JHH60" s="291"/>
      <x:c r="JHI60" s="291"/>
      <x:c r="JHJ60" s="291"/>
      <x:c r="JHK60" s="291"/>
      <x:c r="JHL60" s="291"/>
      <x:c r="JHM60" s="291"/>
      <x:c r="JHN60" s="291"/>
      <x:c r="JHO60" s="291"/>
      <x:c r="JHP60" s="291"/>
      <x:c r="JHQ60" s="291"/>
      <x:c r="JHR60" s="291"/>
      <x:c r="JHS60" s="291"/>
      <x:c r="JHT60" s="291"/>
      <x:c r="JHU60" s="291"/>
      <x:c r="JHV60" s="291"/>
      <x:c r="JHW60" s="291"/>
      <x:c r="JHX60" s="291"/>
      <x:c r="JHY60" s="291"/>
      <x:c r="JHZ60" s="291"/>
      <x:c r="JIA60" s="291"/>
      <x:c r="JIB60" s="291"/>
      <x:c r="JIC60" s="291"/>
      <x:c r="JID60" s="291"/>
      <x:c r="JIE60" s="291"/>
      <x:c r="JIF60" s="291"/>
      <x:c r="JIG60" s="291"/>
      <x:c r="JIH60" s="291"/>
      <x:c r="JII60" s="291"/>
      <x:c r="JIJ60" s="291"/>
      <x:c r="JIK60" s="291"/>
      <x:c r="JIL60" s="291"/>
      <x:c r="JIM60" s="291"/>
      <x:c r="JIN60" s="291"/>
      <x:c r="JIO60" s="291"/>
      <x:c r="JIP60" s="291"/>
      <x:c r="JIQ60" s="291"/>
      <x:c r="JIR60" s="291"/>
      <x:c r="JIS60" s="291"/>
      <x:c r="JIT60" s="291"/>
      <x:c r="JIU60" s="291"/>
      <x:c r="JIV60" s="291"/>
      <x:c r="JIW60" s="291"/>
      <x:c r="JIX60" s="291"/>
      <x:c r="JIY60" s="291"/>
      <x:c r="JIZ60" s="291"/>
      <x:c r="JJA60" s="291"/>
      <x:c r="JJB60" s="291"/>
      <x:c r="JJC60" s="291"/>
      <x:c r="JJD60" s="291"/>
      <x:c r="JJE60" s="291"/>
      <x:c r="JJF60" s="291"/>
      <x:c r="JJG60" s="291"/>
      <x:c r="JJH60" s="291"/>
      <x:c r="JJI60" s="291"/>
      <x:c r="JJJ60" s="291"/>
      <x:c r="JJK60" s="291"/>
      <x:c r="JJL60" s="291"/>
      <x:c r="JJM60" s="291"/>
      <x:c r="JJN60" s="291"/>
      <x:c r="JJO60" s="291"/>
      <x:c r="JJP60" s="291"/>
      <x:c r="JJQ60" s="291"/>
      <x:c r="JJR60" s="291"/>
      <x:c r="JJS60" s="291"/>
      <x:c r="JJT60" s="291"/>
      <x:c r="JJU60" s="291"/>
      <x:c r="JJV60" s="291"/>
      <x:c r="JJW60" s="291"/>
      <x:c r="JJX60" s="291"/>
      <x:c r="JJY60" s="291"/>
      <x:c r="JJZ60" s="291"/>
      <x:c r="JKA60" s="291"/>
      <x:c r="JKB60" s="291"/>
      <x:c r="JKC60" s="291"/>
      <x:c r="JKD60" s="291"/>
      <x:c r="JKE60" s="291"/>
      <x:c r="JKF60" s="291"/>
      <x:c r="JKG60" s="291"/>
      <x:c r="JKH60" s="291"/>
      <x:c r="JKI60" s="291"/>
      <x:c r="JKJ60" s="291"/>
      <x:c r="JKK60" s="291"/>
      <x:c r="JKL60" s="291"/>
      <x:c r="JKM60" s="291"/>
      <x:c r="JKN60" s="291"/>
      <x:c r="JKO60" s="291"/>
      <x:c r="JKP60" s="291"/>
      <x:c r="JKQ60" s="291"/>
      <x:c r="JKR60" s="291"/>
      <x:c r="JKS60" s="291"/>
      <x:c r="JKT60" s="291"/>
      <x:c r="JKU60" s="291"/>
      <x:c r="JKV60" s="291"/>
      <x:c r="JKW60" s="291"/>
      <x:c r="JKX60" s="291"/>
      <x:c r="JKY60" s="291"/>
      <x:c r="JKZ60" s="291"/>
      <x:c r="JLA60" s="291"/>
      <x:c r="JLB60" s="291"/>
      <x:c r="JLC60" s="291"/>
      <x:c r="JLD60" s="291"/>
      <x:c r="JLE60" s="291"/>
      <x:c r="JLF60" s="291"/>
      <x:c r="JLG60" s="291"/>
      <x:c r="JLH60" s="291"/>
      <x:c r="JLI60" s="291"/>
      <x:c r="JLJ60" s="291"/>
      <x:c r="JLK60" s="291"/>
      <x:c r="JLL60" s="291"/>
      <x:c r="JLM60" s="291"/>
      <x:c r="JLN60" s="291"/>
      <x:c r="JLO60" s="291"/>
      <x:c r="JLP60" s="291"/>
      <x:c r="JLQ60" s="291"/>
      <x:c r="JLR60" s="291"/>
      <x:c r="JLS60" s="291"/>
      <x:c r="JLT60" s="291"/>
      <x:c r="JLU60" s="291"/>
      <x:c r="JLV60" s="291"/>
      <x:c r="JLW60" s="291"/>
      <x:c r="JLX60" s="291"/>
      <x:c r="JLY60" s="291"/>
      <x:c r="JLZ60" s="291"/>
      <x:c r="JMA60" s="291"/>
      <x:c r="JMB60" s="291"/>
      <x:c r="JMC60" s="291"/>
      <x:c r="JMD60" s="291"/>
      <x:c r="JME60" s="291"/>
      <x:c r="JMF60" s="291"/>
      <x:c r="JMG60" s="291"/>
      <x:c r="JMH60" s="291"/>
      <x:c r="JMI60" s="291"/>
      <x:c r="JMJ60" s="291"/>
      <x:c r="JMK60" s="291"/>
      <x:c r="JML60" s="291"/>
      <x:c r="JMM60" s="291"/>
      <x:c r="JMN60" s="291"/>
      <x:c r="JMO60" s="291"/>
      <x:c r="JMP60" s="291"/>
      <x:c r="JMQ60" s="291"/>
      <x:c r="JMR60" s="291"/>
      <x:c r="JMS60" s="291"/>
      <x:c r="JMT60" s="291"/>
      <x:c r="JMU60" s="291"/>
      <x:c r="JMV60" s="291"/>
      <x:c r="JMW60" s="291"/>
      <x:c r="JMX60" s="291"/>
      <x:c r="JMY60" s="291"/>
      <x:c r="JMZ60" s="291"/>
      <x:c r="JNA60" s="291"/>
      <x:c r="JNB60" s="291"/>
      <x:c r="JNC60" s="291"/>
      <x:c r="JND60" s="291"/>
      <x:c r="JNE60" s="291"/>
      <x:c r="JNF60" s="291"/>
      <x:c r="JNG60" s="291"/>
      <x:c r="JNH60" s="291"/>
      <x:c r="JNI60" s="291"/>
      <x:c r="JNJ60" s="291"/>
      <x:c r="JNK60" s="291"/>
      <x:c r="JNL60" s="291"/>
      <x:c r="JNM60" s="291"/>
      <x:c r="JNN60" s="291"/>
      <x:c r="JNO60" s="291"/>
      <x:c r="JNP60" s="291"/>
      <x:c r="JNQ60" s="291"/>
      <x:c r="JNR60" s="291"/>
      <x:c r="JNS60" s="291"/>
      <x:c r="JNT60" s="291"/>
      <x:c r="JNU60" s="291"/>
      <x:c r="JNV60" s="291"/>
      <x:c r="JNW60" s="291"/>
      <x:c r="JNX60" s="291"/>
      <x:c r="JNY60" s="291"/>
      <x:c r="JNZ60" s="291"/>
      <x:c r="JOA60" s="291"/>
      <x:c r="JOB60" s="291"/>
      <x:c r="JOC60" s="291"/>
      <x:c r="JOD60" s="291"/>
      <x:c r="JOE60" s="291"/>
      <x:c r="JOF60" s="291"/>
      <x:c r="JOG60" s="291"/>
      <x:c r="JOH60" s="291"/>
      <x:c r="JOI60" s="291"/>
      <x:c r="JOJ60" s="291"/>
      <x:c r="JOK60" s="291"/>
      <x:c r="JOL60" s="291"/>
      <x:c r="JOM60" s="291"/>
      <x:c r="JON60" s="291"/>
      <x:c r="JOO60" s="291"/>
      <x:c r="JOP60" s="291"/>
      <x:c r="JOQ60" s="291"/>
      <x:c r="JOR60" s="291"/>
      <x:c r="JOS60" s="291"/>
      <x:c r="JOT60" s="291"/>
      <x:c r="JOU60" s="291"/>
      <x:c r="JOV60" s="291"/>
      <x:c r="JOW60" s="291"/>
      <x:c r="JOX60" s="291"/>
      <x:c r="JOY60" s="291"/>
      <x:c r="JOZ60" s="291"/>
      <x:c r="JPA60" s="291"/>
      <x:c r="JPB60" s="291"/>
      <x:c r="JPC60" s="291"/>
      <x:c r="JPD60" s="291"/>
      <x:c r="JPE60" s="291"/>
      <x:c r="JPF60" s="291"/>
      <x:c r="JPG60" s="291"/>
      <x:c r="JPH60" s="291"/>
      <x:c r="JPI60" s="291"/>
      <x:c r="JPJ60" s="291"/>
      <x:c r="JPK60" s="291"/>
      <x:c r="JPL60" s="291"/>
      <x:c r="JPM60" s="291"/>
      <x:c r="JPN60" s="291"/>
      <x:c r="JPO60" s="291"/>
      <x:c r="JPP60" s="291"/>
      <x:c r="JPQ60" s="291"/>
      <x:c r="JPR60" s="291"/>
      <x:c r="JPS60" s="291"/>
      <x:c r="JPT60" s="291"/>
      <x:c r="JPU60" s="291"/>
      <x:c r="JPV60" s="291"/>
      <x:c r="JPW60" s="291"/>
      <x:c r="JPX60" s="291"/>
      <x:c r="JPY60" s="291"/>
      <x:c r="JPZ60" s="291"/>
      <x:c r="JQA60" s="291"/>
      <x:c r="JQB60" s="291"/>
      <x:c r="JQC60" s="291"/>
      <x:c r="JQD60" s="291"/>
      <x:c r="JQE60" s="291"/>
      <x:c r="JQF60" s="291"/>
      <x:c r="JQG60" s="291"/>
      <x:c r="JQH60" s="291"/>
      <x:c r="JQI60" s="291"/>
      <x:c r="JQJ60" s="291"/>
      <x:c r="JQK60" s="291"/>
      <x:c r="JQL60" s="291"/>
      <x:c r="JQM60" s="291"/>
      <x:c r="JQN60" s="291"/>
      <x:c r="JQO60" s="291"/>
      <x:c r="JQP60" s="291"/>
      <x:c r="JQQ60" s="291"/>
      <x:c r="JQR60" s="291"/>
      <x:c r="JQS60" s="291"/>
      <x:c r="JQT60" s="291"/>
      <x:c r="JQU60" s="291"/>
      <x:c r="JQV60" s="291"/>
      <x:c r="JQW60" s="291"/>
      <x:c r="JQX60" s="291"/>
      <x:c r="JQY60" s="291"/>
      <x:c r="JQZ60" s="291"/>
      <x:c r="JRA60" s="291"/>
      <x:c r="JRB60" s="291"/>
      <x:c r="JRC60" s="291"/>
      <x:c r="JRD60" s="291"/>
      <x:c r="JRE60" s="291"/>
      <x:c r="JRF60" s="291"/>
      <x:c r="JRG60" s="291"/>
      <x:c r="JRH60" s="291"/>
      <x:c r="JRI60" s="291"/>
      <x:c r="JRJ60" s="291"/>
      <x:c r="JRK60" s="291"/>
      <x:c r="JRL60" s="291"/>
      <x:c r="JRM60" s="291"/>
      <x:c r="JRN60" s="291"/>
      <x:c r="JRO60" s="291"/>
      <x:c r="JRP60" s="291"/>
      <x:c r="JRQ60" s="291"/>
      <x:c r="JRR60" s="291"/>
      <x:c r="JRS60" s="291"/>
      <x:c r="JRT60" s="291"/>
      <x:c r="JRU60" s="291"/>
      <x:c r="JRV60" s="291"/>
      <x:c r="JRW60" s="291"/>
      <x:c r="JRX60" s="291"/>
      <x:c r="JRY60" s="291"/>
      <x:c r="JRZ60" s="291"/>
      <x:c r="JSA60" s="291"/>
      <x:c r="JSB60" s="291"/>
      <x:c r="JSC60" s="291"/>
      <x:c r="JSD60" s="291"/>
      <x:c r="JSE60" s="291"/>
      <x:c r="JSF60" s="291"/>
      <x:c r="JSG60" s="291"/>
      <x:c r="JSH60" s="291"/>
      <x:c r="JSI60" s="291"/>
      <x:c r="JSJ60" s="291"/>
      <x:c r="JSK60" s="291"/>
      <x:c r="JSL60" s="291"/>
      <x:c r="JSM60" s="291"/>
      <x:c r="JSN60" s="291"/>
      <x:c r="JSO60" s="291"/>
      <x:c r="JSP60" s="291"/>
      <x:c r="JSQ60" s="291"/>
      <x:c r="JSR60" s="291"/>
      <x:c r="JSS60" s="291"/>
      <x:c r="JST60" s="291"/>
      <x:c r="JSU60" s="291"/>
      <x:c r="JSV60" s="291"/>
      <x:c r="JSW60" s="291"/>
      <x:c r="JSX60" s="291"/>
      <x:c r="JSY60" s="291"/>
      <x:c r="JSZ60" s="291"/>
      <x:c r="JTA60" s="291"/>
      <x:c r="JTB60" s="291"/>
      <x:c r="JTC60" s="291"/>
      <x:c r="JTD60" s="291"/>
      <x:c r="JTE60" s="291"/>
      <x:c r="JTF60" s="291"/>
      <x:c r="JTG60" s="291"/>
      <x:c r="JTH60" s="291"/>
      <x:c r="JTI60" s="291"/>
      <x:c r="JTJ60" s="291"/>
      <x:c r="JTK60" s="291"/>
      <x:c r="JTL60" s="291"/>
      <x:c r="JTM60" s="291"/>
      <x:c r="JTN60" s="291"/>
      <x:c r="JTO60" s="291"/>
      <x:c r="JTP60" s="291"/>
      <x:c r="JTQ60" s="291"/>
      <x:c r="JTR60" s="291"/>
      <x:c r="JTS60" s="291"/>
      <x:c r="JTT60" s="291"/>
      <x:c r="JTU60" s="291"/>
      <x:c r="JTV60" s="291"/>
      <x:c r="JTW60" s="291"/>
      <x:c r="JTX60" s="291"/>
      <x:c r="JTY60" s="291"/>
      <x:c r="JTZ60" s="291"/>
      <x:c r="JUA60" s="291"/>
      <x:c r="JUB60" s="291"/>
      <x:c r="JUC60" s="291"/>
      <x:c r="JUD60" s="291"/>
      <x:c r="JUE60" s="291"/>
      <x:c r="JUF60" s="291"/>
      <x:c r="JUG60" s="291"/>
      <x:c r="JUH60" s="291"/>
      <x:c r="JUI60" s="291"/>
      <x:c r="JUJ60" s="291"/>
      <x:c r="JUK60" s="291"/>
      <x:c r="JUL60" s="291"/>
      <x:c r="JUM60" s="291"/>
      <x:c r="JUN60" s="291"/>
      <x:c r="JUO60" s="291"/>
      <x:c r="JUP60" s="291"/>
      <x:c r="JUQ60" s="291"/>
      <x:c r="JUR60" s="291"/>
      <x:c r="JUS60" s="291"/>
      <x:c r="JUT60" s="291"/>
      <x:c r="JUU60" s="291"/>
      <x:c r="JUV60" s="291"/>
      <x:c r="JUW60" s="291"/>
      <x:c r="JUX60" s="291"/>
      <x:c r="JUY60" s="291"/>
      <x:c r="JUZ60" s="291"/>
      <x:c r="JVA60" s="291"/>
      <x:c r="JVB60" s="291"/>
      <x:c r="JVC60" s="291"/>
      <x:c r="JVD60" s="291"/>
      <x:c r="JVE60" s="291"/>
      <x:c r="JVF60" s="291"/>
      <x:c r="JVG60" s="291"/>
      <x:c r="JVH60" s="291"/>
      <x:c r="JVI60" s="291"/>
      <x:c r="JVJ60" s="291"/>
      <x:c r="JVK60" s="291"/>
      <x:c r="JVL60" s="291"/>
      <x:c r="JVM60" s="291"/>
      <x:c r="JVN60" s="291"/>
      <x:c r="JVO60" s="291"/>
      <x:c r="JVP60" s="291"/>
      <x:c r="JVQ60" s="291"/>
      <x:c r="JVR60" s="291"/>
      <x:c r="JVS60" s="291"/>
      <x:c r="JVT60" s="291"/>
      <x:c r="JVU60" s="291"/>
      <x:c r="JVV60" s="291"/>
      <x:c r="JVW60" s="291"/>
      <x:c r="JVX60" s="291"/>
      <x:c r="JVY60" s="291"/>
      <x:c r="JVZ60" s="291"/>
      <x:c r="JWA60" s="291"/>
      <x:c r="JWB60" s="291"/>
      <x:c r="JWC60" s="291"/>
      <x:c r="JWD60" s="291"/>
      <x:c r="JWE60" s="291"/>
      <x:c r="JWF60" s="291"/>
      <x:c r="JWG60" s="291"/>
      <x:c r="JWH60" s="291"/>
      <x:c r="JWI60" s="291"/>
      <x:c r="JWJ60" s="291"/>
      <x:c r="JWK60" s="291"/>
      <x:c r="JWL60" s="291"/>
      <x:c r="JWM60" s="291"/>
      <x:c r="JWN60" s="291"/>
      <x:c r="JWO60" s="291"/>
      <x:c r="JWP60" s="291"/>
      <x:c r="JWQ60" s="291"/>
      <x:c r="JWR60" s="291"/>
      <x:c r="JWS60" s="291"/>
      <x:c r="JWT60" s="291"/>
      <x:c r="JWU60" s="291"/>
      <x:c r="JWV60" s="291"/>
      <x:c r="JWW60" s="291"/>
      <x:c r="JWX60" s="291"/>
      <x:c r="JWY60" s="291"/>
      <x:c r="JWZ60" s="291"/>
      <x:c r="JXA60" s="291"/>
      <x:c r="JXB60" s="291"/>
      <x:c r="JXC60" s="291"/>
      <x:c r="JXD60" s="291"/>
      <x:c r="JXE60" s="291"/>
      <x:c r="JXF60" s="291"/>
      <x:c r="JXG60" s="291"/>
      <x:c r="JXH60" s="291"/>
      <x:c r="JXI60" s="291"/>
      <x:c r="JXJ60" s="291"/>
      <x:c r="JXK60" s="291"/>
      <x:c r="JXL60" s="291"/>
      <x:c r="JXM60" s="291"/>
      <x:c r="JXN60" s="291"/>
      <x:c r="JXO60" s="291"/>
      <x:c r="JXP60" s="291"/>
      <x:c r="JXQ60" s="291"/>
      <x:c r="JXR60" s="291"/>
      <x:c r="JXS60" s="291"/>
      <x:c r="JXT60" s="291"/>
      <x:c r="JXU60" s="291"/>
      <x:c r="JXV60" s="291"/>
      <x:c r="JXW60" s="291"/>
      <x:c r="JXX60" s="291"/>
      <x:c r="JXY60" s="291"/>
      <x:c r="JXZ60" s="291"/>
      <x:c r="JYA60" s="291"/>
      <x:c r="JYB60" s="291"/>
      <x:c r="JYC60" s="291"/>
      <x:c r="JYD60" s="291"/>
      <x:c r="JYE60" s="291"/>
      <x:c r="JYF60" s="291"/>
      <x:c r="JYG60" s="291"/>
      <x:c r="JYH60" s="291"/>
      <x:c r="JYI60" s="291"/>
      <x:c r="JYJ60" s="291"/>
      <x:c r="JYK60" s="291"/>
      <x:c r="JYL60" s="291"/>
      <x:c r="JYM60" s="291"/>
      <x:c r="JYN60" s="291"/>
      <x:c r="JYO60" s="291"/>
      <x:c r="JYP60" s="291"/>
      <x:c r="JYQ60" s="291"/>
      <x:c r="JYR60" s="291"/>
      <x:c r="JYS60" s="291"/>
      <x:c r="JYT60" s="291"/>
      <x:c r="JYU60" s="291"/>
      <x:c r="JYV60" s="291"/>
      <x:c r="JYW60" s="291"/>
      <x:c r="JYX60" s="291"/>
      <x:c r="JYY60" s="291"/>
      <x:c r="JYZ60" s="291"/>
      <x:c r="JZA60" s="291"/>
      <x:c r="JZB60" s="291"/>
      <x:c r="JZC60" s="291"/>
      <x:c r="JZD60" s="291"/>
      <x:c r="JZE60" s="291"/>
      <x:c r="JZF60" s="291"/>
      <x:c r="JZG60" s="291"/>
      <x:c r="JZH60" s="291"/>
      <x:c r="JZI60" s="291"/>
      <x:c r="JZJ60" s="291"/>
      <x:c r="JZK60" s="291"/>
      <x:c r="JZL60" s="291"/>
      <x:c r="JZM60" s="291"/>
      <x:c r="JZN60" s="291"/>
      <x:c r="JZO60" s="291"/>
      <x:c r="JZP60" s="291"/>
      <x:c r="JZQ60" s="291"/>
      <x:c r="JZR60" s="291"/>
      <x:c r="JZS60" s="291"/>
      <x:c r="JZT60" s="291"/>
      <x:c r="JZU60" s="291"/>
      <x:c r="JZV60" s="291"/>
      <x:c r="JZW60" s="291"/>
      <x:c r="JZX60" s="291"/>
      <x:c r="JZY60" s="291"/>
      <x:c r="JZZ60" s="291"/>
      <x:c r="KAA60" s="291"/>
      <x:c r="KAB60" s="291"/>
      <x:c r="KAC60" s="291"/>
      <x:c r="KAD60" s="291"/>
      <x:c r="KAE60" s="291"/>
      <x:c r="KAF60" s="291"/>
      <x:c r="KAG60" s="291"/>
      <x:c r="KAH60" s="291"/>
      <x:c r="KAI60" s="291"/>
      <x:c r="KAJ60" s="291"/>
      <x:c r="KAK60" s="291"/>
      <x:c r="KAL60" s="291"/>
      <x:c r="KAM60" s="291"/>
      <x:c r="KAN60" s="291"/>
      <x:c r="KAO60" s="291"/>
      <x:c r="KAP60" s="291"/>
      <x:c r="KAQ60" s="291"/>
      <x:c r="KAR60" s="291"/>
      <x:c r="KAS60" s="291"/>
      <x:c r="KAT60" s="291"/>
      <x:c r="KAU60" s="291"/>
      <x:c r="KAV60" s="291"/>
      <x:c r="KAW60" s="291"/>
      <x:c r="KAX60" s="291"/>
      <x:c r="KAY60" s="291"/>
      <x:c r="KAZ60" s="291"/>
      <x:c r="KBA60" s="291"/>
      <x:c r="KBB60" s="291"/>
      <x:c r="KBC60" s="291"/>
      <x:c r="KBD60" s="291"/>
      <x:c r="KBE60" s="291"/>
      <x:c r="KBF60" s="291"/>
      <x:c r="KBG60" s="291"/>
      <x:c r="KBH60" s="291"/>
      <x:c r="KBI60" s="291"/>
      <x:c r="KBJ60" s="291"/>
      <x:c r="KBK60" s="291"/>
      <x:c r="KBL60" s="291"/>
      <x:c r="KBM60" s="291"/>
      <x:c r="KBN60" s="291"/>
      <x:c r="KBO60" s="291"/>
      <x:c r="KBP60" s="291"/>
      <x:c r="KBQ60" s="291"/>
      <x:c r="KBR60" s="291"/>
      <x:c r="KBS60" s="291"/>
      <x:c r="KBT60" s="291"/>
      <x:c r="KBU60" s="291"/>
      <x:c r="KBV60" s="291"/>
      <x:c r="KBW60" s="291"/>
      <x:c r="KBX60" s="291"/>
      <x:c r="KBY60" s="291"/>
      <x:c r="KBZ60" s="291"/>
      <x:c r="KCA60" s="291"/>
      <x:c r="KCB60" s="291"/>
      <x:c r="KCC60" s="291"/>
      <x:c r="KCD60" s="291"/>
      <x:c r="KCE60" s="291"/>
      <x:c r="KCF60" s="291"/>
      <x:c r="KCG60" s="291"/>
      <x:c r="KCH60" s="291"/>
      <x:c r="KCI60" s="291"/>
      <x:c r="KCJ60" s="291"/>
      <x:c r="KCK60" s="291"/>
      <x:c r="KCL60" s="291"/>
      <x:c r="KCM60" s="291"/>
      <x:c r="KCN60" s="291"/>
      <x:c r="KCO60" s="291"/>
      <x:c r="KCP60" s="291"/>
      <x:c r="KCQ60" s="291"/>
      <x:c r="KCR60" s="291"/>
      <x:c r="KCS60" s="291"/>
      <x:c r="KCT60" s="291"/>
      <x:c r="KCU60" s="291"/>
      <x:c r="KCV60" s="291"/>
      <x:c r="KCW60" s="291"/>
      <x:c r="KCX60" s="291"/>
      <x:c r="KCY60" s="291"/>
      <x:c r="KCZ60" s="291"/>
      <x:c r="KDA60" s="291"/>
      <x:c r="KDB60" s="291"/>
      <x:c r="KDC60" s="291"/>
      <x:c r="KDD60" s="291"/>
      <x:c r="KDE60" s="291"/>
      <x:c r="KDF60" s="291"/>
      <x:c r="KDG60" s="291"/>
      <x:c r="KDH60" s="291"/>
      <x:c r="KDI60" s="291"/>
      <x:c r="KDJ60" s="291"/>
      <x:c r="KDK60" s="291"/>
      <x:c r="KDL60" s="291"/>
      <x:c r="KDM60" s="291"/>
      <x:c r="KDN60" s="291"/>
      <x:c r="KDO60" s="291"/>
      <x:c r="KDP60" s="291"/>
      <x:c r="KDQ60" s="291"/>
      <x:c r="KDR60" s="291"/>
      <x:c r="KDS60" s="291"/>
      <x:c r="KDT60" s="291"/>
      <x:c r="KDU60" s="291"/>
      <x:c r="KDV60" s="291"/>
      <x:c r="KDW60" s="291"/>
      <x:c r="KDX60" s="291"/>
      <x:c r="KDY60" s="291"/>
      <x:c r="KDZ60" s="291"/>
      <x:c r="KEA60" s="291"/>
      <x:c r="KEB60" s="291"/>
      <x:c r="KEC60" s="291"/>
      <x:c r="KED60" s="291"/>
      <x:c r="KEE60" s="291"/>
      <x:c r="KEF60" s="291"/>
      <x:c r="KEG60" s="291"/>
      <x:c r="KEH60" s="291"/>
      <x:c r="KEI60" s="291"/>
      <x:c r="KEJ60" s="291"/>
      <x:c r="KEK60" s="291"/>
      <x:c r="KEL60" s="291"/>
      <x:c r="KEM60" s="291"/>
      <x:c r="KEN60" s="291"/>
      <x:c r="KEO60" s="291"/>
      <x:c r="KEP60" s="291"/>
      <x:c r="KEQ60" s="291"/>
      <x:c r="KER60" s="291"/>
      <x:c r="KES60" s="291"/>
      <x:c r="KET60" s="291"/>
      <x:c r="KEU60" s="291"/>
      <x:c r="KEV60" s="291"/>
      <x:c r="KEW60" s="291"/>
      <x:c r="KEX60" s="291"/>
      <x:c r="KEY60" s="291"/>
      <x:c r="KEZ60" s="291"/>
      <x:c r="KFA60" s="291"/>
      <x:c r="KFB60" s="291"/>
      <x:c r="KFC60" s="291"/>
      <x:c r="KFD60" s="291"/>
      <x:c r="KFE60" s="291"/>
      <x:c r="KFF60" s="291"/>
      <x:c r="KFG60" s="291"/>
      <x:c r="KFH60" s="291"/>
      <x:c r="KFI60" s="291"/>
      <x:c r="KFJ60" s="291"/>
      <x:c r="KFK60" s="291"/>
      <x:c r="KFL60" s="291"/>
      <x:c r="KFM60" s="291"/>
      <x:c r="KFN60" s="291"/>
      <x:c r="KFO60" s="291"/>
      <x:c r="KFP60" s="291"/>
      <x:c r="KFQ60" s="291"/>
      <x:c r="KFR60" s="291"/>
      <x:c r="KFS60" s="291"/>
      <x:c r="KFT60" s="291"/>
      <x:c r="KFU60" s="291"/>
      <x:c r="KFV60" s="291"/>
      <x:c r="KFW60" s="291"/>
      <x:c r="KFX60" s="291"/>
      <x:c r="KFY60" s="291"/>
      <x:c r="KFZ60" s="291"/>
      <x:c r="KGA60" s="291"/>
      <x:c r="KGB60" s="291"/>
      <x:c r="KGC60" s="291"/>
      <x:c r="KGD60" s="291"/>
      <x:c r="KGE60" s="291"/>
      <x:c r="KGF60" s="291"/>
      <x:c r="KGG60" s="291"/>
      <x:c r="KGH60" s="291"/>
      <x:c r="KGI60" s="291"/>
      <x:c r="KGJ60" s="291"/>
      <x:c r="KGK60" s="291"/>
      <x:c r="KGL60" s="291"/>
      <x:c r="KGM60" s="291"/>
      <x:c r="KGN60" s="291"/>
      <x:c r="KGO60" s="291"/>
      <x:c r="KGP60" s="291"/>
      <x:c r="KGQ60" s="291"/>
      <x:c r="KGR60" s="291"/>
      <x:c r="KGS60" s="291"/>
      <x:c r="KGT60" s="291"/>
      <x:c r="KGU60" s="291"/>
      <x:c r="KGV60" s="291"/>
      <x:c r="KGW60" s="291"/>
      <x:c r="KGX60" s="291"/>
      <x:c r="KGY60" s="291"/>
      <x:c r="KGZ60" s="291"/>
      <x:c r="KHA60" s="291"/>
      <x:c r="KHB60" s="291"/>
      <x:c r="KHC60" s="291"/>
      <x:c r="KHD60" s="291"/>
      <x:c r="KHE60" s="291"/>
      <x:c r="KHF60" s="291"/>
      <x:c r="KHG60" s="291"/>
      <x:c r="KHH60" s="291"/>
      <x:c r="KHI60" s="291"/>
      <x:c r="KHJ60" s="291"/>
      <x:c r="KHK60" s="291"/>
      <x:c r="KHL60" s="291"/>
      <x:c r="KHM60" s="291"/>
      <x:c r="KHN60" s="291"/>
      <x:c r="KHO60" s="291"/>
      <x:c r="KHP60" s="291"/>
      <x:c r="KHQ60" s="291"/>
      <x:c r="KHR60" s="291"/>
      <x:c r="KHS60" s="291"/>
      <x:c r="KHT60" s="291"/>
      <x:c r="KHU60" s="291"/>
      <x:c r="KHV60" s="291"/>
      <x:c r="KHW60" s="291"/>
      <x:c r="KHX60" s="291"/>
      <x:c r="KHY60" s="291"/>
      <x:c r="KHZ60" s="291"/>
      <x:c r="KIA60" s="291"/>
      <x:c r="KIB60" s="291"/>
      <x:c r="KIC60" s="291"/>
      <x:c r="KID60" s="291"/>
      <x:c r="KIE60" s="291"/>
      <x:c r="KIF60" s="291"/>
      <x:c r="KIG60" s="291"/>
      <x:c r="KIH60" s="291"/>
      <x:c r="KII60" s="291"/>
      <x:c r="KIJ60" s="291"/>
      <x:c r="KIK60" s="291"/>
      <x:c r="KIL60" s="291"/>
      <x:c r="KIM60" s="291"/>
      <x:c r="KIN60" s="291"/>
      <x:c r="KIO60" s="291"/>
      <x:c r="KIP60" s="291"/>
      <x:c r="KIQ60" s="291"/>
      <x:c r="KIR60" s="291"/>
      <x:c r="KIS60" s="291"/>
      <x:c r="KIT60" s="291"/>
      <x:c r="KIU60" s="291"/>
      <x:c r="KIV60" s="291"/>
      <x:c r="KIW60" s="291"/>
      <x:c r="KIX60" s="291"/>
      <x:c r="KIY60" s="291"/>
      <x:c r="KIZ60" s="291"/>
      <x:c r="KJA60" s="291"/>
      <x:c r="KJB60" s="291"/>
      <x:c r="KJC60" s="291"/>
      <x:c r="KJD60" s="291"/>
      <x:c r="KJE60" s="291"/>
      <x:c r="KJF60" s="291"/>
      <x:c r="KJG60" s="291"/>
      <x:c r="KJH60" s="291"/>
      <x:c r="KJI60" s="291"/>
      <x:c r="KJJ60" s="291"/>
      <x:c r="KJK60" s="291"/>
      <x:c r="KJL60" s="291"/>
      <x:c r="KJM60" s="291"/>
      <x:c r="KJN60" s="291"/>
      <x:c r="KJO60" s="291"/>
      <x:c r="KJP60" s="291"/>
      <x:c r="KJQ60" s="291"/>
      <x:c r="KJR60" s="291"/>
      <x:c r="KJS60" s="291"/>
      <x:c r="KJT60" s="291"/>
      <x:c r="KJU60" s="291"/>
      <x:c r="KJV60" s="291"/>
      <x:c r="KJW60" s="291"/>
      <x:c r="KJX60" s="291"/>
      <x:c r="KJY60" s="291"/>
      <x:c r="KJZ60" s="291"/>
      <x:c r="KKA60" s="291"/>
      <x:c r="KKB60" s="291"/>
      <x:c r="KKC60" s="291"/>
      <x:c r="KKD60" s="291"/>
      <x:c r="KKE60" s="291"/>
      <x:c r="KKF60" s="291"/>
      <x:c r="KKG60" s="291"/>
      <x:c r="KKH60" s="291"/>
      <x:c r="KKI60" s="291"/>
      <x:c r="KKJ60" s="291"/>
      <x:c r="KKK60" s="291"/>
      <x:c r="KKL60" s="291"/>
      <x:c r="KKM60" s="291"/>
      <x:c r="KKN60" s="291"/>
      <x:c r="KKO60" s="291"/>
      <x:c r="KKP60" s="291"/>
      <x:c r="KKQ60" s="291"/>
      <x:c r="KKR60" s="291"/>
      <x:c r="KKS60" s="291"/>
      <x:c r="KKT60" s="291"/>
      <x:c r="KKU60" s="291"/>
      <x:c r="KKV60" s="291"/>
      <x:c r="KKW60" s="291"/>
      <x:c r="KKX60" s="291"/>
      <x:c r="KKY60" s="291"/>
      <x:c r="KKZ60" s="291"/>
      <x:c r="KLA60" s="291"/>
      <x:c r="KLB60" s="291"/>
      <x:c r="KLC60" s="291"/>
      <x:c r="KLD60" s="291"/>
      <x:c r="KLE60" s="291"/>
      <x:c r="KLF60" s="291"/>
      <x:c r="KLG60" s="291"/>
      <x:c r="KLH60" s="291"/>
      <x:c r="KLI60" s="291"/>
      <x:c r="KLJ60" s="291"/>
      <x:c r="KLK60" s="291"/>
      <x:c r="KLL60" s="291"/>
      <x:c r="KLM60" s="291"/>
      <x:c r="KLN60" s="291"/>
      <x:c r="KLO60" s="291"/>
      <x:c r="KLP60" s="291"/>
      <x:c r="KLQ60" s="291"/>
      <x:c r="KLR60" s="291"/>
      <x:c r="KLS60" s="291"/>
      <x:c r="KLT60" s="291"/>
      <x:c r="KLU60" s="291"/>
      <x:c r="KLV60" s="291"/>
      <x:c r="KLW60" s="291"/>
      <x:c r="KLX60" s="291"/>
      <x:c r="KLY60" s="291"/>
      <x:c r="KLZ60" s="291"/>
      <x:c r="KMA60" s="291"/>
      <x:c r="KMB60" s="291"/>
      <x:c r="KMC60" s="291"/>
      <x:c r="KMD60" s="291"/>
      <x:c r="KME60" s="291"/>
      <x:c r="KMF60" s="291"/>
      <x:c r="KMG60" s="291"/>
      <x:c r="KMH60" s="291"/>
      <x:c r="KMI60" s="291"/>
      <x:c r="KMJ60" s="291"/>
      <x:c r="KMK60" s="291"/>
      <x:c r="KML60" s="291"/>
      <x:c r="KMM60" s="291"/>
      <x:c r="KMN60" s="291"/>
      <x:c r="KMO60" s="291"/>
      <x:c r="KMP60" s="291"/>
      <x:c r="KMQ60" s="291"/>
      <x:c r="KMR60" s="291"/>
      <x:c r="KMS60" s="291"/>
      <x:c r="KMT60" s="291"/>
      <x:c r="KMU60" s="291"/>
      <x:c r="KMV60" s="291"/>
      <x:c r="KMW60" s="291"/>
      <x:c r="KMX60" s="291"/>
      <x:c r="KMY60" s="291"/>
      <x:c r="KMZ60" s="291"/>
      <x:c r="KNA60" s="291"/>
      <x:c r="KNB60" s="291"/>
      <x:c r="KNC60" s="291"/>
      <x:c r="KND60" s="291"/>
      <x:c r="KNE60" s="291"/>
      <x:c r="KNF60" s="291"/>
      <x:c r="KNG60" s="291"/>
      <x:c r="KNH60" s="291"/>
      <x:c r="KNI60" s="291"/>
      <x:c r="KNJ60" s="291"/>
      <x:c r="KNK60" s="291"/>
      <x:c r="KNL60" s="291"/>
      <x:c r="KNM60" s="291"/>
      <x:c r="KNN60" s="291"/>
      <x:c r="KNO60" s="291"/>
      <x:c r="KNP60" s="291"/>
      <x:c r="KNQ60" s="291"/>
      <x:c r="KNR60" s="291"/>
      <x:c r="KNS60" s="291"/>
      <x:c r="KNT60" s="291"/>
      <x:c r="KNU60" s="291"/>
      <x:c r="KNV60" s="291"/>
      <x:c r="KNW60" s="291"/>
      <x:c r="KNX60" s="291"/>
      <x:c r="KNY60" s="291"/>
      <x:c r="KNZ60" s="291"/>
      <x:c r="KOA60" s="291"/>
      <x:c r="KOB60" s="291"/>
      <x:c r="KOC60" s="291"/>
      <x:c r="KOD60" s="291"/>
      <x:c r="KOE60" s="291"/>
      <x:c r="KOF60" s="291"/>
      <x:c r="KOG60" s="291"/>
      <x:c r="KOH60" s="291"/>
      <x:c r="KOI60" s="291"/>
      <x:c r="KOJ60" s="291"/>
      <x:c r="KOK60" s="291"/>
      <x:c r="KOL60" s="291"/>
      <x:c r="KOM60" s="291"/>
      <x:c r="KON60" s="291"/>
      <x:c r="KOO60" s="291"/>
      <x:c r="KOP60" s="291"/>
      <x:c r="KOQ60" s="291"/>
      <x:c r="KOR60" s="291"/>
      <x:c r="KOS60" s="291"/>
      <x:c r="KOT60" s="291"/>
      <x:c r="KOU60" s="291"/>
      <x:c r="KOV60" s="291"/>
      <x:c r="KOW60" s="291"/>
      <x:c r="KOX60" s="291"/>
      <x:c r="KOY60" s="291"/>
      <x:c r="KOZ60" s="291"/>
      <x:c r="KPA60" s="291"/>
      <x:c r="KPB60" s="291"/>
      <x:c r="KPC60" s="291"/>
      <x:c r="KPD60" s="291"/>
      <x:c r="KPE60" s="291"/>
      <x:c r="KPF60" s="291"/>
      <x:c r="KPG60" s="291"/>
      <x:c r="KPH60" s="291"/>
      <x:c r="KPI60" s="291"/>
      <x:c r="KPJ60" s="291"/>
      <x:c r="KPK60" s="291"/>
      <x:c r="KPL60" s="291"/>
      <x:c r="KPM60" s="291"/>
      <x:c r="KPN60" s="291"/>
      <x:c r="KPO60" s="291"/>
      <x:c r="KPP60" s="291"/>
      <x:c r="KPQ60" s="291"/>
      <x:c r="KPR60" s="291"/>
      <x:c r="KPS60" s="291"/>
      <x:c r="KPT60" s="291"/>
      <x:c r="KPU60" s="291"/>
      <x:c r="KPV60" s="291"/>
      <x:c r="KPW60" s="291"/>
      <x:c r="KPX60" s="291"/>
      <x:c r="KPY60" s="291"/>
      <x:c r="KPZ60" s="291"/>
      <x:c r="KQA60" s="291"/>
      <x:c r="KQB60" s="291"/>
      <x:c r="KQC60" s="291"/>
      <x:c r="KQD60" s="291"/>
      <x:c r="KQE60" s="291"/>
      <x:c r="KQF60" s="291"/>
      <x:c r="KQG60" s="291"/>
      <x:c r="KQH60" s="291"/>
      <x:c r="KQI60" s="291"/>
      <x:c r="KQJ60" s="291"/>
      <x:c r="KQK60" s="291"/>
      <x:c r="KQL60" s="291"/>
      <x:c r="KQM60" s="291"/>
      <x:c r="KQN60" s="291"/>
      <x:c r="KQO60" s="291"/>
      <x:c r="KQP60" s="291"/>
      <x:c r="KQQ60" s="291"/>
      <x:c r="KQR60" s="291"/>
      <x:c r="KQS60" s="291"/>
      <x:c r="KQT60" s="291"/>
      <x:c r="KQU60" s="291"/>
      <x:c r="KQV60" s="291"/>
      <x:c r="KQW60" s="291"/>
      <x:c r="KQX60" s="291"/>
      <x:c r="KQY60" s="291"/>
      <x:c r="KQZ60" s="291"/>
      <x:c r="KRA60" s="291"/>
      <x:c r="KRB60" s="291"/>
      <x:c r="KRC60" s="291"/>
      <x:c r="KRD60" s="291"/>
      <x:c r="KRE60" s="291"/>
      <x:c r="KRF60" s="291"/>
      <x:c r="KRG60" s="291"/>
      <x:c r="KRH60" s="291"/>
      <x:c r="KRI60" s="291"/>
      <x:c r="KRJ60" s="291"/>
      <x:c r="KRK60" s="291"/>
      <x:c r="KRL60" s="291"/>
      <x:c r="KRM60" s="291"/>
      <x:c r="KRN60" s="291"/>
      <x:c r="KRO60" s="291"/>
      <x:c r="KRP60" s="291"/>
      <x:c r="KRQ60" s="291"/>
      <x:c r="KRR60" s="291"/>
      <x:c r="KRS60" s="291"/>
      <x:c r="KRT60" s="291"/>
      <x:c r="KRU60" s="291"/>
      <x:c r="KRV60" s="291"/>
      <x:c r="KRW60" s="291"/>
      <x:c r="KRX60" s="291"/>
      <x:c r="KRY60" s="291"/>
      <x:c r="KRZ60" s="291"/>
      <x:c r="KSA60" s="291"/>
      <x:c r="KSB60" s="291"/>
      <x:c r="KSC60" s="291"/>
      <x:c r="KSD60" s="291"/>
      <x:c r="KSE60" s="291"/>
      <x:c r="KSF60" s="291"/>
      <x:c r="KSG60" s="291"/>
      <x:c r="KSH60" s="291"/>
      <x:c r="KSI60" s="291"/>
      <x:c r="KSJ60" s="291"/>
      <x:c r="KSK60" s="291"/>
      <x:c r="KSL60" s="291"/>
      <x:c r="KSM60" s="291"/>
      <x:c r="KSN60" s="291"/>
      <x:c r="KSO60" s="291"/>
      <x:c r="KSP60" s="291"/>
      <x:c r="KSQ60" s="291"/>
      <x:c r="KSR60" s="291"/>
      <x:c r="KSS60" s="291"/>
      <x:c r="KST60" s="291"/>
      <x:c r="KSU60" s="291"/>
      <x:c r="KSV60" s="291"/>
      <x:c r="KSW60" s="291"/>
      <x:c r="KSX60" s="291"/>
      <x:c r="KSY60" s="291"/>
      <x:c r="KSZ60" s="291"/>
      <x:c r="KTA60" s="291"/>
      <x:c r="KTB60" s="291"/>
      <x:c r="KTC60" s="291"/>
      <x:c r="KTD60" s="291"/>
      <x:c r="KTE60" s="291"/>
      <x:c r="KTF60" s="291"/>
      <x:c r="KTG60" s="291"/>
      <x:c r="KTH60" s="291"/>
      <x:c r="KTI60" s="291"/>
      <x:c r="KTJ60" s="291"/>
      <x:c r="KTK60" s="291"/>
      <x:c r="KTL60" s="291"/>
      <x:c r="KTM60" s="291"/>
      <x:c r="KTN60" s="291"/>
      <x:c r="KTO60" s="291"/>
      <x:c r="KTP60" s="291"/>
      <x:c r="KTQ60" s="291"/>
      <x:c r="KTR60" s="291"/>
      <x:c r="KTS60" s="291"/>
      <x:c r="KTT60" s="291"/>
      <x:c r="KTU60" s="291"/>
      <x:c r="KTV60" s="291"/>
      <x:c r="KTW60" s="291"/>
      <x:c r="KTX60" s="291"/>
      <x:c r="KTY60" s="291"/>
      <x:c r="KTZ60" s="291"/>
      <x:c r="KUA60" s="291"/>
      <x:c r="KUB60" s="291"/>
      <x:c r="KUC60" s="291"/>
      <x:c r="KUD60" s="291"/>
      <x:c r="KUE60" s="291"/>
      <x:c r="KUF60" s="291"/>
      <x:c r="KUG60" s="291"/>
      <x:c r="KUH60" s="291"/>
      <x:c r="KUI60" s="291"/>
      <x:c r="KUJ60" s="291"/>
      <x:c r="KUK60" s="291"/>
      <x:c r="KUL60" s="291"/>
      <x:c r="KUM60" s="291"/>
      <x:c r="KUN60" s="291"/>
      <x:c r="KUO60" s="291"/>
      <x:c r="KUP60" s="291"/>
      <x:c r="KUQ60" s="291"/>
      <x:c r="KUR60" s="291"/>
      <x:c r="KUS60" s="291"/>
      <x:c r="KUT60" s="291"/>
      <x:c r="KUU60" s="291"/>
      <x:c r="KUV60" s="291"/>
      <x:c r="KUW60" s="291"/>
      <x:c r="KUX60" s="291"/>
      <x:c r="KUY60" s="291"/>
      <x:c r="KUZ60" s="291"/>
      <x:c r="KVA60" s="291"/>
      <x:c r="KVB60" s="291"/>
      <x:c r="KVC60" s="291"/>
      <x:c r="KVD60" s="291"/>
      <x:c r="KVE60" s="291"/>
      <x:c r="KVF60" s="291"/>
      <x:c r="KVG60" s="291"/>
      <x:c r="KVH60" s="291"/>
      <x:c r="KVI60" s="291"/>
      <x:c r="KVJ60" s="291"/>
      <x:c r="KVK60" s="291"/>
      <x:c r="KVL60" s="291"/>
      <x:c r="KVM60" s="291"/>
      <x:c r="KVN60" s="291"/>
      <x:c r="KVO60" s="291"/>
      <x:c r="KVP60" s="291"/>
      <x:c r="KVQ60" s="291"/>
      <x:c r="KVR60" s="291"/>
      <x:c r="KVS60" s="291"/>
      <x:c r="KVT60" s="291"/>
      <x:c r="KVU60" s="291"/>
      <x:c r="KVV60" s="291"/>
      <x:c r="KVW60" s="291"/>
      <x:c r="KVX60" s="291"/>
      <x:c r="KVY60" s="291"/>
      <x:c r="KVZ60" s="291"/>
      <x:c r="KWA60" s="291"/>
      <x:c r="KWB60" s="291"/>
      <x:c r="KWC60" s="291"/>
      <x:c r="KWD60" s="291"/>
      <x:c r="KWE60" s="291"/>
      <x:c r="KWF60" s="291"/>
      <x:c r="KWG60" s="291"/>
      <x:c r="KWH60" s="291"/>
      <x:c r="KWI60" s="291"/>
      <x:c r="KWJ60" s="291"/>
      <x:c r="KWK60" s="291"/>
      <x:c r="KWL60" s="291"/>
      <x:c r="KWM60" s="291"/>
      <x:c r="KWN60" s="291"/>
      <x:c r="KWO60" s="291"/>
      <x:c r="KWP60" s="291"/>
      <x:c r="KWQ60" s="291"/>
      <x:c r="KWR60" s="291"/>
      <x:c r="KWS60" s="291"/>
      <x:c r="KWT60" s="291"/>
      <x:c r="KWU60" s="291"/>
      <x:c r="KWV60" s="291"/>
      <x:c r="KWW60" s="291"/>
      <x:c r="KWX60" s="291"/>
      <x:c r="KWY60" s="291"/>
      <x:c r="KWZ60" s="291"/>
      <x:c r="KXA60" s="291"/>
      <x:c r="KXB60" s="291"/>
      <x:c r="KXC60" s="291"/>
      <x:c r="KXD60" s="291"/>
      <x:c r="KXE60" s="291"/>
      <x:c r="KXF60" s="291"/>
      <x:c r="KXG60" s="291"/>
      <x:c r="KXH60" s="291"/>
      <x:c r="KXI60" s="291"/>
      <x:c r="KXJ60" s="291"/>
      <x:c r="KXK60" s="291"/>
      <x:c r="KXL60" s="291"/>
      <x:c r="KXM60" s="291"/>
      <x:c r="KXN60" s="291"/>
      <x:c r="KXO60" s="291"/>
      <x:c r="KXP60" s="291"/>
      <x:c r="KXQ60" s="291"/>
      <x:c r="KXR60" s="291"/>
      <x:c r="KXS60" s="291"/>
      <x:c r="KXT60" s="291"/>
      <x:c r="KXU60" s="291"/>
      <x:c r="KXV60" s="291"/>
      <x:c r="KXW60" s="291"/>
      <x:c r="KXX60" s="291"/>
      <x:c r="KXY60" s="291"/>
      <x:c r="KXZ60" s="291"/>
      <x:c r="KYA60" s="291"/>
      <x:c r="KYB60" s="291"/>
      <x:c r="KYC60" s="291"/>
      <x:c r="KYD60" s="291"/>
      <x:c r="KYE60" s="291"/>
      <x:c r="KYF60" s="291"/>
      <x:c r="KYG60" s="291"/>
      <x:c r="KYH60" s="291"/>
      <x:c r="KYI60" s="291"/>
      <x:c r="KYJ60" s="291"/>
      <x:c r="KYK60" s="291"/>
      <x:c r="KYL60" s="291"/>
      <x:c r="KYM60" s="291"/>
      <x:c r="KYN60" s="291"/>
      <x:c r="KYO60" s="291"/>
      <x:c r="KYP60" s="291"/>
      <x:c r="KYQ60" s="291"/>
      <x:c r="KYR60" s="291"/>
      <x:c r="KYS60" s="291"/>
      <x:c r="KYT60" s="291"/>
      <x:c r="KYU60" s="291"/>
      <x:c r="KYV60" s="291"/>
      <x:c r="KYW60" s="291"/>
      <x:c r="KYX60" s="291"/>
      <x:c r="KYY60" s="291"/>
      <x:c r="KYZ60" s="291"/>
      <x:c r="KZA60" s="291"/>
      <x:c r="KZB60" s="291"/>
      <x:c r="KZC60" s="291"/>
      <x:c r="KZD60" s="291"/>
      <x:c r="KZE60" s="291"/>
      <x:c r="KZF60" s="291"/>
      <x:c r="KZG60" s="291"/>
      <x:c r="KZH60" s="291"/>
      <x:c r="KZI60" s="291"/>
      <x:c r="KZJ60" s="291"/>
      <x:c r="KZK60" s="291"/>
      <x:c r="KZL60" s="291"/>
      <x:c r="KZM60" s="291"/>
      <x:c r="KZN60" s="291"/>
      <x:c r="KZO60" s="291"/>
      <x:c r="KZP60" s="291"/>
      <x:c r="KZQ60" s="291"/>
      <x:c r="KZR60" s="291"/>
      <x:c r="KZS60" s="291"/>
      <x:c r="KZT60" s="291"/>
      <x:c r="KZU60" s="291"/>
      <x:c r="KZV60" s="291"/>
      <x:c r="KZW60" s="291"/>
      <x:c r="KZX60" s="291"/>
      <x:c r="KZY60" s="291"/>
      <x:c r="KZZ60" s="291"/>
      <x:c r="LAA60" s="291"/>
      <x:c r="LAB60" s="291"/>
      <x:c r="LAC60" s="291"/>
      <x:c r="LAD60" s="291"/>
      <x:c r="LAE60" s="291"/>
      <x:c r="LAF60" s="291"/>
      <x:c r="LAG60" s="291"/>
      <x:c r="LAH60" s="291"/>
      <x:c r="LAI60" s="291"/>
      <x:c r="LAJ60" s="291"/>
      <x:c r="LAK60" s="291"/>
      <x:c r="LAL60" s="291"/>
      <x:c r="LAM60" s="291"/>
      <x:c r="LAN60" s="291"/>
      <x:c r="LAO60" s="291"/>
      <x:c r="LAP60" s="291"/>
      <x:c r="LAQ60" s="291"/>
      <x:c r="LAR60" s="291"/>
      <x:c r="LAS60" s="291"/>
      <x:c r="LAT60" s="291"/>
      <x:c r="LAU60" s="291"/>
      <x:c r="LAV60" s="291"/>
      <x:c r="LAW60" s="291"/>
      <x:c r="LAX60" s="291"/>
      <x:c r="LAY60" s="291"/>
      <x:c r="LAZ60" s="291"/>
      <x:c r="LBA60" s="291"/>
      <x:c r="LBB60" s="291"/>
      <x:c r="LBC60" s="291"/>
      <x:c r="LBD60" s="291"/>
      <x:c r="LBE60" s="291"/>
      <x:c r="LBF60" s="291"/>
      <x:c r="LBG60" s="291"/>
      <x:c r="LBH60" s="291"/>
      <x:c r="LBI60" s="291"/>
      <x:c r="LBJ60" s="291"/>
      <x:c r="LBK60" s="291"/>
      <x:c r="LBL60" s="291"/>
      <x:c r="LBM60" s="291"/>
      <x:c r="LBN60" s="291"/>
      <x:c r="LBO60" s="291"/>
      <x:c r="LBP60" s="291"/>
      <x:c r="LBQ60" s="291"/>
      <x:c r="LBR60" s="291"/>
      <x:c r="LBS60" s="291"/>
      <x:c r="LBT60" s="291"/>
      <x:c r="LBU60" s="291"/>
      <x:c r="LBV60" s="291"/>
      <x:c r="LBW60" s="291"/>
      <x:c r="LBX60" s="291"/>
      <x:c r="LBY60" s="291"/>
      <x:c r="LBZ60" s="291"/>
      <x:c r="LCA60" s="291"/>
      <x:c r="LCB60" s="291"/>
      <x:c r="LCC60" s="291"/>
      <x:c r="LCD60" s="291"/>
      <x:c r="LCE60" s="291"/>
      <x:c r="LCF60" s="291"/>
      <x:c r="LCG60" s="291"/>
      <x:c r="LCH60" s="291"/>
      <x:c r="LCI60" s="291"/>
      <x:c r="LCJ60" s="291"/>
      <x:c r="LCK60" s="291"/>
      <x:c r="LCL60" s="291"/>
      <x:c r="LCM60" s="291"/>
      <x:c r="LCN60" s="291"/>
      <x:c r="LCO60" s="291"/>
      <x:c r="LCP60" s="291"/>
      <x:c r="LCQ60" s="291"/>
      <x:c r="LCR60" s="291"/>
      <x:c r="LCS60" s="291"/>
      <x:c r="LCT60" s="291"/>
      <x:c r="LCU60" s="291"/>
      <x:c r="LCV60" s="291"/>
      <x:c r="LCW60" s="291"/>
      <x:c r="LCX60" s="291"/>
      <x:c r="LCY60" s="291"/>
      <x:c r="LCZ60" s="291"/>
      <x:c r="LDA60" s="291"/>
      <x:c r="LDB60" s="291"/>
      <x:c r="LDC60" s="291"/>
      <x:c r="LDD60" s="291"/>
      <x:c r="LDE60" s="291"/>
      <x:c r="LDF60" s="291"/>
      <x:c r="LDG60" s="291"/>
      <x:c r="LDH60" s="291"/>
      <x:c r="LDI60" s="291"/>
      <x:c r="LDJ60" s="291"/>
      <x:c r="LDK60" s="291"/>
      <x:c r="LDL60" s="291"/>
      <x:c r="LDM60" s="291"/>
      <x:c r="LDN60" s="291"/>
      <x:c r="LDO60" s="291"/>
      <x:c r="LDP60" s="291"/>
      <x:c r="LDQ60" s="291"/>
      <x:c r="LDR60" s="291"/>
      <x:c r="LDS60" s="291"/>
      <x:c r="LDT60" s="291"/>
      <x:c r="LDU60" s="291"/>
      <x:c r="LDV60" s="291"/>
      <x:c r="LDW60" s="291"/>
      <x:c r="LDX60" s="291"/>
      <x:c r="LDY60" s="291"/>
      <x:c r="LDZ60" s="291"/>
      <x:c r="LEA60" s="291"/>
      <x:c r="LEB60" s="291"/>
      <x:c r="LEC60" s="291"/>
      <x:c r="LED60" s="291"/>
      <x:c r="LEE60" s="291"/>
      <x:c r="LEF60" s="291"/>
      <x:c r="LEG60" s="291"/>
      <x:c r="LEH60" s="291"/>
      <x:c r="LEI60" s="291"/>
      <x:c r="LEJ60" s="291"/>
      <x:c r="LEK60" s="291"/>
      <x:c r="LEL60" s="291"/>
      <x:c r="LEM60" s="291"/>
      <x:c r="LEN60" s="291"/>
      <x:c r="LEO60" s="291"/>
      <x:c r="LEP60" s="291"/>
      <x:c r="LEQ60" s="291"/>
      <x:c r="LER60" s="291"/>
      <x:c r="LES60" s="291"/>
      <x:c r="LET60" s="291"/>
      <x:c r="LEU60" s="291"/>
      <x:c r="LEV60" s="291"/>
      <x:c r="LEW60" s="291"/>
      <x:c r="LEX60" s="291"/>
      <x:c r="LEY60" s="291"/>
      <x:c r="LEZ60" s="291"/>
      <x:c r="LFA60" s="291"/>
      <x:c r="LFB60" s="291"/>
      <x:c r="LFC60" s="291"/>
      <x:c r="LFD60" s="291"/>
      <x:c r="LFE60" s="291"/>
      <x:c r="LFF60" s="291"/>
      <x:c r="LFG60" s="291"/>
      <x:c r="LFH60" s="291"/>
      <x:c r="LFI60" s="291"/>
      <x:c r="LFJ60" s="291"/>
      <x:c r="LFK60" s="291"/>
      <x:c r="LFL60" s="291"/>
      <x:c r="LFM60" s="291"/>
      <x:c r="LFN60" s="291"/>
      <x:c r="LFO60" s="291"/>
      <x:c r="LFP60" s="291"/>
      <x:c r="LFQ60" s="291"/>
      <x:c r="LFR60" s="291"/>
      <x:c r="LFS60" s="291"/>
      <x:c r="LFT60" s="291"/>
      <x:c r="LFU60" s="291"/>
      <x:c r="LFV60" s="291"/>
      <x:c r="LFW60" s="291"/>
      <x:c r="LFX60" s="291"/>
      <x:c r="LFY60" s="291"/>
      <x:c r="LFZ60" s="291"/>
      <x:c r="LGA60" s="291"/>
      <x:c r="LGB60" s="291"/>
      <x:c r="LGC60" s="291"/>
      <x:c r="LGD60" s="291"/>
      <x:c r="LGE60" s="291"/>
      <x:c r="LGF60" s="291"/>
      <x:c r="LGG60" s="291"/>
      <x:c r="LGH60" s="291"/>
      <x:c r="LGI60" s="291"/>
      <x:c r="LGJ60" s="291"/>
      <x:c r="LGK60" s="291"/>
      <x:c r="LGL60" s="291"/>
      <x:c r="LGM60" s="291"/>
      <x:c r="LGN60" s="291"/>
      <x:c r="LGO60" s="291"/>
      <x:c r="LGP60" s="291"/>
      <x:c r="LGQ60" s="291"/>
      <x:c r="LGR60" s="291"/>
      <x:c r="LGS60" s="291"/>
      <x:c r="LGT60" s="291"/>
      <x:c r="LGU60" s="291"/>
      <x:c r="LGV60" s="291"/>
      <x:c r="LGW60" s="291"/>
      <x:c r="LGX60" s="291"/>
      <x:c r="LGY60" s="291"/>
      <x:c r="LGZ60" s="291"/>
      <x:c r="LHA60" s="291"/>
      <x:c r="LHB60" s="291"/>
      <x:c r="LHC60" s="291"/>
      <x:c r="LHD60" s="291"/>
      <x:c r="LHE60" s="291"/>
      <x:c r="LHF60" s="291"/>
      <x:c r="LHG60" s="291"/>
      <x:c r="LHH60" s="291"/>
      <x:c r="LHI60" s="291"/>
      <x:c r="LHJ60" s="291"/>
      <x:c r="LHK60" s="291"/>
      <x:c r="LHL60" s="291"/>
      <x:c r="LHM60" s="291"/>
      <x:c r="LHN60" s="291"/>
      <x:c r="LHO60" s="291"/>
      <x:c r="LHP60" s="291"/>
      <x:c r="LHQ60" s="291"/>
      <x:c r="LHR60" s="291"/>
      <x:c r="LHS60" s="291"/>
      <x:c r="LHT60" s="291"/>
      <x:c r="LHU60" s="291"/>
      <x:c r="LHV60" s="291"/>
      <x:c r="LHW60" s="291"/>
      <x:c r="LHX60" s="291"/>
      <x:c r="LHY60" s="291"/>
      <x:c r="LHZ60" s="291"/>
      <x:c r="LIA60" s="291"/>
      <x:c r="LIB60" s="291"/>
      <x:c r="LIC60" s="291"/>
      <x:c r="LID60" s="291"/>
      <x:c r="LIE60" s="291"/>
      <x:c r="LIF60" s="291"/>
      <x:c r="LIG60" s="291"/>
      <x:c r="LIH60" s="291"/>
      <x:c r="LII60" s="291"/>
      <x:c r="LIJ60" s="291"/>
      <x:c r="LIK60" s="291"/>
      <x:c r="LIL60" s="291"/>
      <x:c r="LIM60" s="291"/>
      <x:c r="LIN60" s="291"/>
      <x:c r="LIO60" s="291"/>
      <x:c r="LIP60" s="291"/>
      <x:c r="LIQ60" s="291"/>
      <x:c r="LIR60" s="291"/>
      <x:c r="LIS60" s="291"/>
      <x:c r="LIT60" s="291"/>
      <x:c r="LIU60" s="291"/>
      <x:c r="LIV60" s="291"/>
      <x:c r="LIW60" s="291"/>
      <x:c r="LIX60" s="291"/>
      <x:c r="LIY60" s="291"/>
      <x:c r="LIZ60" s="291"/>
      <x:c r="LJA60" s="291"/>
      <x:c r="LJB60" s="291"/>
      <x:c r="LJC60" s="291"/>
      <x:c r="LJD60" s="291"/>
      <x:c r="LJE60" s="291"/>
      <x:c r="LJF60" s="291"/>
      <x:c r="LJG60" s="291"/>
      <x:c r="LJH60" s="291"/>
      <x:c r="LJI60" s="291"/>
      <x:c r="LJJ60" s="291"/>
      <x:c r="LJK60" s="291"/>
      <x:c r="LJL60" s="291"/>
      <x:c r="LJM60" s="291"/>
      <x:c r="LJN60" s="291"/>
      <x:c r="LJO60" s="291"/>
      <x:c r="LJP60" s="291"/>
      <x:c r="LJQ60" s="291"/>
      <x:c r="LJR60" s="291"/>
      <x:c r="LJS60" s="291"/>
      <x:c r="LJT60" s="291"/>
      <x:c r="LJU60" s="291"/>
      <x:c r="LJV60" s="291"/>
      <x:c r="LJW60" s="291"/>
      <x:c r="LJX60" s="291"/>
      <x:c r="LJY60" s="291"/>
      <x:c r="LJZ60" s="291"/>
      <x:c r="LKA60" s="291"/>
      <x:c r="LKB60" s="291"/>
      <x:c r="LKC60" s="291"/>
      <x:c r="LKD60" s="291"/>
      <x:c r="LKE60" s="291"/>
      <x:c r="LKF60" s="291"/>
      <x:c r="LKG60" s="291"/>
      <x:c r="LKH60" s="291"/>
      <x:c r="LKI60" s="291"/>
      <x:c r="LKJ60" s="291"/>
      <x:c r="LKK60" s="291"/>
      <x:c r="LKL60" s="291"/>
      <x:c r="LKM60" s="291"/>
      <x:c r="LKN60" s="291"/>
      <x:c r="LKO60" s="291"/>
      <x:c r="LKP60" s="291"/>
      <x:c r="LKQ60" s="291"/>
      <x:c r="LKR60" s="291"/>
      <x:c r="LKS60" s="291"/>
      <x:c r="LKT60" s="291"/>
      <x:c r="LKU60" s="291"/>
      <x:c r="LKV60" s="291"/>
      <x:c r="LKW60" s="291"/>
      <x:c r="LKX60" s="291"/>
      <x:c r="LKY60" s="291"/>
      <x:c r="LKZ60" s="291"/>
      <x:c r="LLA60" s="291"/>
      <x:c r="LLB60" s="291"/>
      <x:c r="LLC60" s="291"/>
      <x:c r="LLD60" s="291"/>
      <x:c r="LLE60" s="291"/>
      <x:c r="LLF60" s="291"/>
      <x:c r="LLG60" s="291"/>
      <x:c r="LLH60" s="291"/>
      <x:c r="LLI60" s="291"/>
      <x:c r="LLJ60" s="291"/>
      <x:c r="LLK60" s="291"/>
      <x:c r="LLL60" s="291"/>
      <x:c r="LLM60" s="291"/>
      <x:c r="LLN60" s="291"/>
      <x:c r="LLO60" s="291"/>
      <x:c r="LLP60" s="291"/>
      <x:c r="LLQ60" s="291"/>
      <x:c r="LLR60" s="291"/>
      <x:c r="LLS60" s="291"/>
      <x:c r="LLT60" s="291"/>
      <x:c r="LLU60" s="291"/>
      <x:c r="LLV60" s="291"/>
      <x:c r="LLW60" s="291"/>
      <x:c r="LLX60" s="291"/>
      <x:c r="LLY60" s="291"/>
      <x:c r="LLZ60" s="291"/>
      <x:c r="LMA60" s="291"/>
      <x:c r="LMB60" s="291"/>
      <x:c r="LMC60" s="291"/>
      <x:c r="LMD60" s="291"/>
      <x:c r="LME60" s="291"/>
      <x:c r="LMF60" s="291"/>
      <x:c r="LMG60" s="291"/>
      <x:c r="LMH60" s="291"/>
      <x:c r="LMI60" s="291"/>
      <x:c r="LMJ60" s="291"/>
      <x:c r="LMK60" s="291"/>
      <x:c r="LML60" s="291"/>
      <x:c r="LMM60" s="291"/>
      <x:c r="LMN60" s="291"/>
      <x:c r="LMO60" s="291"/>
      <x:c r="LMP60" s="291"/>
      <x:c r="LMQ60" s="291"/>
      <x:c r="LMR60" s="291"/>
      <x:c r="LMS60" s="291"/>
      <x:c r="LMT60" s="291"/>
      <x:c r="LMU60" s="291"/>
      <x:c r="LMV60" s="291"/>
      <x:c r="LMW60" s="291"/>
      <x:c r="LMX60" s="291"/>
      <x:c r="LMY60" s="291"/>
      <x:c r="LMZ60" s="291"/>
      <x:c r="LNA60" s="291"/>
      <x:c r="LNB60" s="291"/>
      <x:c r="LNC60" s="291"/>
      <x:c r="LND60" s="291"/>
      <x:c r="LNE60" s="291"/>
      <x:c r="LNF60" s="291"/>
      <x:c r="LNG60" s="291"/>
      <x:c r="LNH60" s="291"/>
      <x:c r="LNI60" s="291"/>
      <x:c r="LNJ60" s="291"/>
      <x:c r="LNK60" s="291"/>
      <x:c r="LNL60" s="291"/>
      <x:c r="LNM60" s="291"/>
      <x:c r="LNN60" s="291"/>
      <x:c r="LNO60" s="291"/>
      <x:c r="LNP60" s="291"/>
      <x:c r="LNQ60" s="291"/>
      <x:c r="LNR60" s="291"/>
      <x:c r="LNS60" s="291"/>
      <x:c r="LNT60" s="291"/>
      <x:c r="LNU60" s="291"/>
      <x:c r="LNV60" s="291"/>
      <x:c r="LNW60" s="291"/>
      <x:c r="LNX60" s="291"/>
      <x:c r="LNY60" s="291"/>
      <x:c r="LNZ60" s="291"/>
      <x:c r="LOA60" s="291"/>
      <x:c r="LOB60" s="291"/>
      <x:c r="LOC60" s="291"/>
      <x:c r="LOD60" s="291"/>
      <x:c r="LOE60" s="291"/>
      <x:c r="LOF60" s="291"/>
      <x:c r="LOG60" s="291"/>
      <x:c r="LOH60" s="291"/>
      <x:c r="LOI60" s="291"/>
      <x:c r="LOJ60" s="291"/>
      <x:c r="LOK60" s="291"/>
      <x:c r="LOL60" s="291"/>
      <x:c r="LOM60" s="291"/>
      <x:c r="LON60" s="291"/>
      <x:c r="LOO60" s="291"/>
      <x:c r="LOP60" s="291"/>
      <x:c r="LOQ60" s="291"/>
      <x:c r="LOR60" s="291"/>
      <x:c r="LOS60" s="291"/>
      <x:c r="LOT60" s="291"/>
      <x:c r="LOU60" s="291"/>
      <x:c r="LOV60" s="291"/>
      <x:c r="LOW60" s="291"/>
      <x:c r="LOX60" s="291"/>
      <x:c r="LOY60" s="291"/>
      <x:c r="LOZ60" s="291"/>
      <x:c r="LPA60" s="291"/>
      <x:c r="LPB60" s="291"/>
      <x:c r="LPC60" s="291"/>
      <x:c r="LPD60" s="291"/>
      <x:c r="LPE60" s="291"/>
      <x:c r="LPF60" s="291"/>
      <x:c r="LPG60" s="291"/>
      <x:c r="LPH60" s="291"/>
      <x:c r="LPI60" s="291"/>
      <x:c r="LPJ60" s="291"/>
      <x:c r="LPK60" s="291"/>
      <x:c r="LPL60" s="291"/>
      <x:c r="LPM60" s="291"/>
      <x:c r="LPN60" s="291"/>
      <x:c r="LPO60" s="291"/>
      <x:c r="LPP60" s="291"/>
      <x:c r="LPQ60" s="291"/>
      <x:c r="LPR60" s="291"/>
      <x:c r="LPS60" s="291"/>
      <x:c r="LPT60" s="291"/>
      <x:c r="LPU60" s="291"/>
      <x:c r="LPV60" s="291"/>
      <x:c r="LPW60" s="291"/>
      <x:c r="LPX60" s="291"/>
      <x:c r="LPY60" s="291"/>
      <x:c r="LPZ60" s="291"/>
      <x:c r="LQA60" s="291"/>
      <x:c r="LQB60" s="291"/>
      <x:c r="LQC60" s="291"/>
      <x:c r="LQD60" s="291"/>
      <x:c r="LQE60" s="291"/>
      <x:c r="LQF60" s="291"/>
      <x:c r="LQG60" s="291"/>
      <x:c r="LQH60" s="291"/>
      <x:c r="LQI60" s="291"/>
      <x:c r="LQJ60" s="291"/>
      <x:c r="LQK60" s="291"/>
      <x:c r="LQL60" s="291"/>
      <x:c r="LQM60" s="291"/>
      <x:c r="LQN60" s="291"/>
      <x:c r="LQO60" s="291"/>
      <x:c r="LQP60" s="291"/>
      <x:c r="LQQ60" s="291"/>
      <x:c r="LQR60" s="291"/>
      <x:c r="LQS60" s="291"/>
      <x:c r="LQT60" s="291"/>
      <x:c r="LQU60" s="291"/>
      <x:c r="LQV60" s="291"/>
      <x:c r="LQW60" s="291"/>
      <x:c r="LQX60" s="291"/>
      <x:c r="LQY60" s="291"/>
      <x:c r="LQZ60" s="291"/>
      <x:c r="LRA60" s="291"/>
      <x:c r="LRB60" s="291"/>
      <x:c r="LRC60" s="291"/>
      <x:c r="LRD60" s="291"/>
      <x:c r="LRE60" s="291"/>
      <x:c r="LRF60" s="291"/>
      <x:c r="LRG60" s="291"/>
      <x:c r="LRH60" s="291"/>
      <x:c r="LRI60" s="291"/>
      <x:c r="LRJ60" s="291"/>
      <x:c r="LRK60" s="291"/>
      <x:c r="LRL60" s="291"/>
      <x:c r="LRM60" s="291"/>
      <x:c r="LRN60" s="291"/>
      <x:c r="LRO60" s="291"/>
      <x:c r="LRP60" s="291"/>
      <x:c r="LRQ60" s="291"/>
      <x:c r="LRR60" s="291"/>
      <x:c r="LRS60" s="291"/>
      <x:c r="LRT60" s="291"/>
      <x:c r="LRU60" s="291"/>
      <x:c r="LRV60" s="291"/>
      <x:c r="LRW60" s="291"/>
      <x:c r="LRX60" s="291"/>
      <x:c r="LRY60" s="291"/>
      <x:c r="LRZ60" s="291"/>
      <x:c r="LSA60" s="291"/>
      <x:c r="LSB60" s="291"/>
      <x:c r="LSC60" s="291"/>
      <x:c r="LSD60" s="291"/>
      <x:c r="LSE60" s="291"/>
      <x:c r="LSF60" s="291"/>
      <x:c r="LSG60" s="291"/>
      <x:c r="LSH60" s="291"/>
      <x:c r="LSI60" s="291"/>
      <x:c r="LSJ60" s="291"/>
      <x:c r="LSK60" s="291"/>
      <x:c r="LSL60" s="291"/>
      <x:c r="LSM60" s="291"/>
      <x:c r="LSN60" s="291"/>
      <x:c r="LSO60" s="291"/>
      <x:c r="LSP60" s="291"/>
      <x:c r="LSQ60" s="291"/>
      <x:c r="LSR60" s="291"/>
      <x:c r="LSS60" s="291"/>
      <x:c r="LST60" s="291"/>
      <x:c r="LSU60" s="291"/>
      <x:c r="LSV60" s="291"/>
      <x:c r="LSW60" s="291"/>
      <x:c r="LSX60" s="291"/>
      <x:c r="LSY60" s="291"/>
      <x:c r="LSZ60" s="291"/>
      <x:c r="LTA60" s="291"/>
      <x:c r="LTB60" s="291"/>
      <x:c r="LTC60" s="291"/>
      <x:c r="LTD60" s="291"/>
      <x:c r="LTE60" s="291"/>
      <x:c r="LTF60" s="291"/>
      <x:c r="LTG60" s="291"/>
      <x:c r="LTH60" s="291"/>
      <x:c r="LTI60" s="291"/>
      <x:c r="LTJ60" s="291"/>
      <x:c r="LTK60" s="291"/>
      <x:c r="LTL60" s="291"/>
      <x:c r="LTM60" s="291"/>
      <x:c r="LTN60" s="291"/>
      <x:c r="LTO60" s="291"/>
      <x:c r="LTP60" s="291"/>
      <x:c r="LTQ60" s="291"/>
      <x:c r="LTR60" s="291"/>
      <x:c r="LTS60" s="291"/>
      <x:c r="LTT60" s="291"/>
      <x:c r="LTU60" s="291"/>
      <x:c r="LTV60" s="291"/>
      <x:c r="LTW60" s="291"/>
      <x:c r="LTX60" s="291"/>
      <x:c r="LTY60" s="291"/>
      <x:c r="LTZ60" s="291"/>
      <x:c r="LUA60" s="291"/>
      <x:c r="LUB60" s="291"/>
      <x:c r="LUC60" s="291"/>
      <x:c r="LUD60" s="291"/>
      <x:c r="LUE60" s="291"/>
      <x:c r="LUF60" s="291"/>
      <x:c r="LUG60" s="291"/>
      <x:c r="LUH60" s="291"/>
      <x:c r="LUI60" s="291"/>
      <x:c r="LUJ60" s="291"/>
      <x:c r="LUK60" s="291"/>
      <x:c r="LUL60" s="291"/>
      <x:c r="LUM60" s="291"/>
      <x:c r="LUN60" s="291"/>
      <x:c r="LUO60" s="291"/>
      <x:c r="LUP60" s="291"/>
      <x:c r="LUQ60" s="291"/>
      <x:c r="LUR60" s="291"/>
      <x:c r="LUS60" s="291"/>
      <x:c r="LUT60" s="291"/>
      <x:c r="LUU60" s="291"/>
      <x:c r="LUV60" s="291"/>
      <x:c r="LUW60" s="291"/>
      <x:c r="LUX60" s="291"/>
      <x:c r="LUY60" s="291"/>
      <x:c r="LUZ60" s="291"/>
      <x:c r="LVA60" s="291"/>
      <x:c r="LVB60" s="291"/>
      <x:c r="LVC60" s="291"/>
      <x:c r="LVD60" s="291"/>
      <x:c r="LVE60" s="291"/>
      <x:c r="LVF60" s="291"/>
      <x:c r="LVG60" s="291"/>
      <x:c r="LVH60" s="291"/>
      <x:c r="LVI60" s="291"/>
      <x:c r="LVJ60" s="291"/>
      <x:c r="LVK60" s="291"/>
      <x:c r="LVL60" s="291"/>
      <x:c r="LVM60" s="291"/>
      <x:c r="LVN60" s="291"/>
      <x:c r="LVO60" s="291"/>
      <x:c r="LVP60" s="291"/>
      <x:c r="LVQ60" s="291"/>
      <x:c r="LVR60" s="291"/>
      <x:c r="LVS60" s="291"/>
      <x:c r="LVT60" s="291"/>
      <x:c r="LVU60" s="291"/>
      <x:c r="LVV60" s="291"/>
      <x:c r="LVW60" s="291"/>
      <x:c r="LVX60" s="291"/>
      <x:c r="LVY60" s="291"/>
      <x:c r="LVZ60" s="291"/>
      <x:c r="LWA60" s="291"/>
      <x:c r="LWB60" s="291"/>
      <x:c r="LWC60" s="291"/>
      <x:c r="LWD60" s="291"/>
      <x:c r="LWE60" s="291"/>
      <x:c r="LWF60" s="291"/>
      <x:c r="LWG60" s="291"/>
      <x:c r="LWH60" s="291"/>
      <x:c r="LWI60" s="291"/>
      <x:c r="LWJ60" s="291"/>
      <x:c r="LWK60" s="291"/>
      <x:c r="LWL60" s="291"/>
      <x:c r="LWM60" s="291"/>
      <x:c r="LWN60" s="291"/>
      <x:c r="LWO60" s="291"/>
      <x:c r="LWP60" s="291"/>
      <x:c r="LWQ60" s="291"/>
      <x:c r="LWR60" s="291"/>
      <x:c r="LWS60" s="291"/>
      <x:c r="LWT60" s="291"/>
      <x:c r="LWU60" s="291"/>
      <x:c r="LWV60" s="291"/>
      <x:c r="LWW60" s="291"/>
      <x:c r="LWX60" s="291"/>
      <x:c r="LWY60" s="291"/>
      <x:c r="LWZ60" s="291"/>
      <x:c r="LXA60" s="291"/>
      <x:c r="LXB60" s="291"/>
      <x:c r="LXC60" s="291"/>
      <x:c r="LXD60" s="291"/>
      <x:c r="LXE60" s="291"/>
      <x:c r="LXF60" s="291"/>
      <x:c r="LXG60" s="291"/>
      <x:c r="LXH60" s="291"/>
      <x:c r="LXI60" s="291"/>
      <x:c r="LXJ60" s="291"/>
      <x:c r="LXK60" s="291"/>
      <x:c r="LXL60" s="291"/>
      <x:c r="LXM60" s="291"/>
      <x:c r="LXN60" s="291"/>
      <x:c r="LXO60" s="291"/>
      <x:c r="LXP60" s="291"/>
      <x:c r="LXQ60" s="291"/>
      <x:c r="LXR60" s="291"/>
      <x:c r="LXS60" s="291"/>
      <x:c r="LXT60" s="291"/>
      <x:c r="LXU60" s="291"/>
      <x:c r="LXV60" s="291"/>
      <x:c r="LXW60" s="291"/>
      <x:c r="LXX60" s="291"/>
      <x:c r="LXY60" s="291"/>
      <x:c r="LXZ60" s="291"/>
      <x:c r="LYA60" s="291"/>
      <x:c r="LYB60" s="291"/>
      <x:c r="LYC60" s="291"/>
      <x:c r="LYD60" s="291"/>
      <x:c r="LYE60" s="291"/>
      <x:c r="LYF60" s="291"/>
      <x:c r="LYG60" s="291"/>
      <x:c r="LYH60" s="291"/>
      <x:c r="LYI60" s="291"/>
      <x:c r="LYJ60" s="291"/>
      <x:c r="LYK60" s="291"/>
      <x:c r="LYL60" s="291"/>
      <x:c r="LYM60" s="291"/>
      <x:c r="LYN60" s="291"/>
      <x:c r="LYO60" s="291"/>
      <x:c r="LYP60" s="291"/>
      <x:c r="LYQ60" s="291"/>
      <x:c r="LYR60" s="291"/>
      <x:c r="LYS60" s="291"/>
      <x:c r="LYT60" s="291"/>
      <x:c r="LYU60" s="291"/>
      <x:c r="LYV60" s="291"/>
      <x:c r="LYW60" s="291"/>
      <x:c r="LYX60" s="291"/>
      <x:c r="LYY60" s="291"/>
      <x:c r="LYZ60" s="291"/>
      <x:c r="LZA60" s="291"/>
      <x:c r="LZB60" s="291"/>
      <x:c r="LZC60" s="291"/>
      <x:c r="LZD60" s="291"/>
      <x:c r="LZE60" s="291"/>
      <x:c r="LZF60" s="291"/>
      <x:c r="LZG60" s="291"/>
      <x:c r="LZH60" s="291"/>
      <x:c r="LZI60" s="291"/>
      <x:c r="LZJ60" s="291"/>
      <x:c r="LZK60" s="291"/>
      <x:c r="LZL60" s="291"/>
      <x:c r="LZM60" s="291"/>
      <x:c r="LZN60" s="291"/>
      <x:c r="LZO60" s="291"/>
      <x:c r="LZP60" s="291"/>
      <x:c r="LZQ60" s="291"/>
      <x:c r="LZR60" s="291"/>
      <x:c r="LZS60" s="291"/>
      <x:c r="LZT60" s="291"/>
      <x:c r="LZU60" s="291"/>
      <x:c r="LZV60" s="291"/>
      <x:c r="LZW60" s="291"/>
      <x:c r="LZX60" s="291"/>
      <x:c r="LZY60" s="291"/>
      <x:c r="LZZ60" s="291"/>
      <x:c r="MAA60" s="291"/>
      <x:c r="MAB60" s="291"/>
      <x:c r="MAC60" s="291"/>
      <x:c r="MAD60" s="291"/>
      <x:c r="MAE60" s="291"/>
      <x:c r="MAF60" s="291"/>
      <x:c r="MAG60" s="291"/>
      <x:c r="MAH60" s="291"/>
      <x:c r="MAI60" s="291"/>
      <x:c r="MAJ60" s="291"/>
      <x:c r="MAK60" s="291"/>
      <x:c r="MAL60" s="291"/>
      <x:c r="MAM60" s="291"/>
      <x:c r="MAN60" s="291"/>
      <x:c r="MAO60" s="291"/>
      <x:c r="MAP60" s="291"/>
      <x:c r="MAQ60" s="291"/>
      <x:c r="MAR60" s="291"/>
      <x:c r="MAS60" s="291"/>
      <x:c r="MAT60" s="291"/>
      <x:c r="MAU60" s="291"/>
      <x:c r="MAV60" s="291"/>
      <x:c r="MAW60" s="291"/>
      <x:c r="MAX60" s="291"/>
      <x:c r="MAY60" s="291"/>
      <x:c r="MAZ60" s="291"/>
      <x:c r="MBA60" s="291"/>
      <x:c r="MBB60" s="291"/>
      <x:c r="MBC60" s="291"/>
      <x:c r="MBD60" s="291"/>
      <x:c r="MBE60" s="291"/>
      <x:c r="MBF60" s="291"/>
      <x:c r="MBG60" s="291"/>
      <x:c r="MBH60" s="291"/>
      <x:c r="MBI60" s="291"/>
      <x:c r="MBJ60" s="291"/>
      <x:c r="MBK60" s="291"/>
      <x:c r="MBL60" s="291"/>
      <x:c r="MBM60" s="291"/>
      <x:c r="MBN60" s="291"/>
      <x:c r="MBO60" s="291"/>
      <x:c r="MBP60" s="291"/>
      <x:c r="MBQ60" s="291"/>
      <x:c r="MBR60" s="291"/>
      <x:c r="MBS60" s="291"/>
      <x:c r="MBT60" s="291"/>
      <x:c r="MBU60" s="291"/>
      <x:c r="MBV60" s="291"/>
      <x:c r="MBW60" s="291"/>
      <x:c r="MBX60" s="291"/>
      <x:c r="MBY60" s="291"/>
      <x:c r="MBZ60" s="291"/>
      <x:c r="MCA60" s="291"/>
      <x:c r="MCB60" s="291"/>
      <x:c r="MCC60" s="291"/>
      <x:c r="MCD60" s="291"/>
      <x:c r="MCE60" s="291"/>
      <x:c r="MCF60" s="291"/>
      <x:c r="MCG60" s="291"/>
      <x:c r="MCH60" s="291"/>
      <x:c r="MCI60" s="291"/>
      <x:c r="MCJ60" s="291"/>
      <x:c r="MCK60" s="291"/>
      <x:c r="MCL60" s="291"/>
      <x:c r="MCM60" s="291"/>
      <x:c r="MCN60" s="291"/>
      <x:c r="MCO60" s="291"/>
      <x:c r="MCP60" s="291"/>
      <x:c r="MCQ60" s="291"/>
      <x:c r="MCR60" s="291"/>
      <x:c r="MCS60" s="291"/>
      <x:c r="MCT60" s="291"/>
      <x:c r="MCU60" s="291"/>
      <x:c r="MCV60" s="291"/>
      <x:c r="MCW60" s="291"/>
      <x:c r="MCX60" s="291"/>
      <x:c r="MCY60" s="291"/>
      <x:c r="MCZ60" s="291"/>
      <x:c r="MDA60" s="291"/>
      <x:c r="MDB60" s="291"/>
      <x:c r="MDC60" s="291"/>
      <x:c r="MDD60" s="291"/>
      <x:c r="MDE60" s="291"/>
      <x:c r="MDF60" s="291"/>
      <x:c r="MDG60" s="291"/>
      <x:c r="MDH60" s="291"/>
      <x:c r="MDI60" s="291"/>
      <x:c r="MDJ60" s="291"/>
      <x:c r="MDK60" s="291"/>
      <x:c r="MDL60" s="291"/>
      <x:c r="MDM60" s="291"/>
      <x:c r="MDN60" s="291"/>
      <x:c r="MDO60" s="291"/>
      <x:c r="MDP60" s="291"/>
      <x:c r="MDQ60" s="291"/>
      <x:c r="MDR60" s="291"/>
      <x:c r="MDS60" s="291"/>
      <x:c r="MDT60" s="291"/>
      <x:c r="MDU60" s="291"/>
      <x:c r="MDV60" s="291"/>
      <x:c r="MDW60" s="291"/>
      <x:c r="MDX60" s="291"/>
      <x:c r="MDY60" s="291"/>
      <x:c r="MDZ60" s="291"/>
      <x:c r="MEA60" s="291"/>
      <x:c r="MEB60" s="291"/>
      <x:c r="MEC60" s="291"/>
      <x:c r="MED60" s="291"/>
      <x:c r="MEE60" s="291"/>
      <x:c r="MEF60" s="291"/>
      <x:c r="MEG60" s="291"/>
      <x:c r="MEH60" s="291"/>
      <x:c r="MEI60" s="291"/>
      <x:c r="MEJ60" s="291"/>
      <x:c r="MEK60" s="291"/>
      <x:c r="MEL60" s="291"/>
      <x:c r="MEM60" s="291"/>
      <x:c r="MEN60" s="291"/>
      <x:c r="MEO60" s="291"/>
      <x:c r="MEP60" s="291"/>
      <x:c r="MEQ60" s="291"/>
      <x:c r="MER60" s="291"/>
      <x:c r="MES60" s="291"/>
      <x:c r="MET60" s="291"/>
      <x:c r="MEU60" s="291"/>
      <x:c r="MEV60" s="291"/>
      <x:c r="MEW60" s="291"/>
      <x:c r="MEX60" s="291"/>
      <x:c r="MEY60" s="291"/>
      <x:c r="MEZ60" s="291"/>
      <x:c r="MFA60" s="291"/>
      <x:c r="MFB60" s="291"/>
      <x:c r="MFC60" s="291"/>
      <x:c r="MFD60" s="291"/>
      <x:c r="MFE60" s="291"/>
      <x:c r="MFF60" s="291"/>
      <x:c r="MFG60" s="291"/>
      <x:c r="MFH60" s="291"/>
      <x:c r="MFI60" s="291"/>
      <x:c r="MFJ60" s="291"/>
      <x:c r="MFK60" s="291"/>
      <x:c r="MFL60" s="291"/>
      <x:c r="MFM60" s="291"/>
      <x:c r="MFN60" s="291"/>
      <x:c r="MFO60" s="291"/>
      <x:c r="MFP60" s="291"/>
      <x:c r="MFQ60" s="291"/>
      <x:c r="MFR60" s="291"/>
      <x:c r="MFS60" s="291"/>
      <x:c r="MFT60" s="291"/>
      <x:c r="MFU60" s="291"/>
      <x:c r="MFV60" s="291"/>
      <x:c r="MFW60" s="291"/>
      <x:c r="MFX60" s="291"/>
      <x:c r="MFY60" s="291"/>
      <x:c r="MFZ60" s="291"/>
      <x:c r="MGA60" s="291"/>
      <x:c r="MGB60" s="291"/>
      <x:c r="MGC60" s="291"/>
      <x:c r="MGD60" s="291"/>
      <x:c r="MGE60" s="291"/>
      <x:c r="MGF60" s="291"/>
      <x:c r="MGG60" s="291"/>
      <x:c r="MGH60" s="291"/>
      <x:c r="MGI60" s="291"/>
      <x:c r="MGJ60" s="291"/>
      <x:c r="MGK60" s="291"/>
      <x:c r="MGL60" s="291"/>
      <x:c r="MGM60" s="291"/>
      <x:c r="MGN60" s="291"/>
      <x:c r="MGO60" s="291"/>
      <x:c r="MGP60" s="291"/>
      <x:c r="MGQ60" s="291"/>
      <x:c r="MGR60" s="291"/>
      <x:c r="MGS60" s="291"/>
      <x:c r="MGT60" s="291"/>
      <x:c r="MGU60" s="291"/>
      <x:c r="MGV60" s="291"/>
      <x:c r="MGW60" s="291"/>
      <x:c r="MGX60" s="291"/>
      <x:c r="MGY60" s="291"/>
      <x:c r="MGZ60" s="291"/>
      <x:c r="MHA60" s="291"/>
      <x:c r="MHB60" s="291"/>
      <x:c r="MHC60" s="291"/>
      <x:c r="MHD60" s="291"/>
      <x:c r="MHE60" s="291"/>
      <x:c r="MHF60" s="291"/>
      <x:c r="MHG60" s="291"/>
      <x:c r="MHH60" s="291"/>
      <x:c r="MHI60" s="291"/>
      <x:c r="MHJ60" s="291"/>
      <x:c r="MHK60" s="291"/>
      <x:c r="MHL60" s="291"/>
      <x:c r="MHM60" s="291"/>
      <x:c r="MHN60" s="291"/>
      <x:c r="MHO60" s="291"/>
      <x:c r="MHP60" s="291"/>
      <x:c r="MHQ60" s="291"/>
      <x:c r="MHR60" s="291"/>
      <x:c r="MHS60" s="291"/>
      <x:c r="MHT60" s="291"/>
      <x:c r="MHU60" s="291"/>
      <x:c r="MHV60" s="291"/>
      <x:c r="MHW60" s="291"/>
      <x:c r="MHX60" s="291"/>
      <x:c r="MHY60" s="291"/>
      <x:c r="MHZ60" s="291"/>
      <x:c r="MIA60" s="291"/>
      <x:c r="MIB60" s="291"/>
      <x:c r="MIC60" s="291"/>
      <x:c r="MID60" s="291"/>
      <x:c r="MIE60" s="291"/>
      <x:c r="MIF60" s="291"/>
      <x:c r="MIG60" s="291"/>
      <x:c r="MIH60" s="291"/>
      <x:c r="MII60" s="291"/>
      <x:c r="MIJ60" s="291"/>
      <x:c r="MIK60" s="291"/>
      <x:c r="MIL60" s="291"/>
      <x:c r="MIM60" s="291"/>
      <x:c r="MIN60" s="291"/>
      <x:c r="MIO60" s="291"/>
      <x:c r="MIP60" s="291"/>
      <x:c r="MIQ60" s="291"/>
      <x:c r="MIR60" s="291"/>
      <x:c r="MIS60" s="291"/>
      <x:c r="MIT60" s="291"/>
      <x:c r="MIU60" s="291"/>
      <x:c r="MIV60" s="291"/>
      <x:c r="MIW60" s="291"/>
      <x:c r="MIX60" s="291"/>
      <x:c r="MIY60" s="291"/>
      <x:c r="MIZ60" s="291"/>
      <x:c r="MJA60" s="291"/>
      <x:c r="MJB60" s="291"/>
      <x:c r="MJC60" s="291"/>
      <x:c r="MJD60" s="291"/>
      <x:c r="MJE60" s="291"/>
      <x:c r="MJF60" s="291"/>
      <x:c r="MJG60" s="291"/>
      <x:c r="MJH60" s="291"/>
      <x:c r="MJI60" s="291"/>
      <x:c r="MJJ60" s="291"/>
      <x:c r="MJK60" s="291"/>
      <x:c r="MJL60" s="291"/>
      <x:c r="MJM60" s="291"/>
      <x:c r="MJN60" s="291"/>
      <x:c r="MJO60" s="291"/>
      <x:c r="MJP60" s="291"/>
      <x:c r="MJQ60" s="291"/>
      <x:c r="MJR60" s="291"/>
      <x:c r="MJS60" s="291"/>
      <x:c r="MJT60" s="291"/>
      <x:c r="MJU60" s="291"/>
      <x:c r="MJV60" s="291"/>
      <x:c r="MJW60" s="291"/>
      <x:c r="MJX60" s="291"/>
      <x:c r="MJY60" s="291"/>
      <x:c r="MJZ60" s="291"/>
      <x:c r="MKA60" s="291"/>
      <x:c r="MKB60" s="291"/>
      <x:c r="MKC60" s="291"/>
      <x:c r="MKD60" s="291"/>
      <x:c r="MKE60" s="291"/>
      <x:c r="MKF60" s="291"/>
      <x:c r="MKG60" s="291"/>
      <x:c r="MKH60" s="291"/>
      <x:c r="MKI60" s="291"/>
      <x:c r="MKJ60" s="291"/>
      <x:c r="MKK60" s="291"/>
      <x:c r="MKL60" s="291"/>
      <x:c r="MKM60" s="291"/>
      <x:c r="MKN60" s="291"/>
      <x:c r="MKO60" s="291"/>
      <x:c r="MKP60" s="291"/>
      <x:c r="MKQ60" s="291"/>
      <x:c r="MKR60" s="291"/>
      <x:c r="MKS60" s="291"/>
      <x:c r="MKT60" s="291"/>
      <x:c r="MKU60" s="291"/>
      <x:c r="MKV60" s="291"/>
      <x:c r="MKW60" s="291"/>
      <x:c r="MKX60" s="291"/>
      <x:c r="MKY60" s="291"/>
      <x:c r="MKZ60" s="291"/>
      <x:c r="MLA60" s="291"/>
      <x:c r="MLB60" s="291"/>
      <x:c r="MLC60" s="291"/>
      <x:c r="MLD60" s="291"/>
      <x:c r="MLE60" s="291"/>
      <x:c r="MLF60" s="291"/>
      <x:c r="MLG60" s="291"/>
      <x:c r="MLH60" s="291"/>
      <x:c r="MLI60" s="291"/>
      <x:c r="MLJ60" s="291"/>
      <x:c r="MLK60" s="291"/>
      <x:c r="MLL60" s="291"/>
      <x:c r="MLM60" s="291"/>
      <x:c r="MLN60" s="291"/>
      <x:c r="MLO60" s="291"/>
      <x:c r="MLP60" s="291"/>
      <x:c r="MLQ60" s="291"/>
      <x:c r="MLR60" s="291"/>
      <x:c r="MLS60" s="291"/>
      <x:c r="MLT60" s="291"/>
      <x:c r="MLU60" s="291"/>
      <x:c r="MLV60" s="291"/>
      <x:c r="MLW60" s="291"/>
      <x:c r="MLX60" s="291"/>
      <x:c r="MLY60" s="291"/>
      <x:c r="MLZ60" s="291"/>
      <x:c r="MMA60" s="291"/>
      <x:c r="MMB60" s="291"/>
      <x:c r="MMC60" s="291"/>
      <x:c r="MMD60" s="291"/>
      <x:c r="MME60" s="291"/>
      <x:c r="MMF60" s="291"/>
      <x:c r="MMG60" s="291"/>
      <x:c r="MMH60" s="291"/>
      <x:c r="MMI60" s="291"/>
      <x:c r="MMJ60" s="291"/>
      <x:c r="MMK60" s="291"/>
      <x:c r="MML60" s="291"/>
      <x:c r="MMM60" s="291"/>
      <x:c r="MMN60" s="291"/>
      <x:c r="MMO60" s="291"/>
      <x:c r="MMP60" s="291"/>
      <x:c r="MMQ60" s="291"/>
      <x:c r="MMR60" s="291"/>
      <x:c r="MMS60" s="291"/>
      <x:c r="MMT60" s="291"/>
      <x:c r="MMU60" s="291"/>
      <x:c r="MMV60" s="291"/>
      <x:c r="MMW60" s="291"/>
      <x:c r="MMX60" s="291"/>
      <x:c r="MMY60" s="291"/>
      <x:c r="MMZ60" s="291"/>
      <x:c r="MNA60" s="291"/>
      <x:c r="MNB60" s="291"/>
      <x:c r="MNC60" s="291"/>
      <x:c r="MND60" s="291"/>
      <x:c r="MNE60" s="291"/>
      <x:c r="MNF60" s="291"/>
      <x:c r="MNG60" s="291"/>
      <x:c r="MNH60" s="291"/>
      <x:c r="MNI60" s="291"/>
      <x:c r="MNJ60" s="291"/>
      <x:c r="MNK60" s="291"/>
      <x:c r="MNL60" s="291"/>
      <x:c r="MNM60" s="291"/>
      <x:c r="MNN60" s="291"/>
      <x:c r="MNO60" s="291"/>
      <x:c r="MNP60" s="291"/>
      <x:c r="MNQ60" s="291"/>
      <x:c r="MNR60" s="291"/>
      <x:c r="MNS60" s="291"/>
      <x:c r="MNT60" s="291"/>
      <x:c r="MNU60" s="291"/>
      <x:c r="MNV60" s="291"/>
      <x:c r="MNW60" s="291"/>
      <x:c r="MNX60" s="291"/>
      <x:c r="MNY60" s="291"/>
      <x:c r="MNZ60" s="291"/>
      <x:c r="MOA60" s="291"/>
      <x:c r="MOB60" s="291"/>
      <x:c r="MOC60" s="291"/>
      <x:c r="MOD60" s="291"/>
      <x:c r="MOE60" s="291"/>
      <x:c r="MOF60" s="291"/>
      <x:c r="MOG60" s="291"/>
      <x:c r="MOH60" s="291"/>
      <x:c r="MOI60" s="291"/>
      <x:c r="MOJ60" s="291"/>
      <x:c r="MOK60" s="291"/>
      <x:c r="MOL60" s="291"/>
      <x:c r="MOM60" s="291"/>
      <x:c r="MON60" s="291"/>
      <x:c r="MOO60" s="291"/>
      <x:c r="MOP60" s="291"/>
      <x:c r="MOQ60" s="291"/>
      <x:c r="MOR60" s="291"/>
      <x:c r="MOS60" s="291"/>
      <x:c r="MOT60" s="291"/>
      <x:c r="MOU60" s="291"/>
      <x:c r="MOV60" s="291"/>
      <x:c r="MOW60" s="291"/>
      <x:c r="MOX60" s="291"/>
      <x:c r="MOY60" s="291"/>
      <x:c r="MOZ60" s="291"/>
      <x:c r="MPA60" s="291"/>
      <x:c r="MPB60" s="291"/>
      <x:c r="MPC60" s="291"/>
      <x:c r="MPD60" s="291"/>
      <x:c r="MPE60" s="291"/>
      <x:c r="MPF60" s="291"/>
      <x:c r="MPG60" s="291"/>
      <x:c r="MPH60" s="291"/>
      <x:c r="MPI60" s="291"/>
      <x:c r="MPJ60" s="291"/>
      <x:c r="MPK60" s="291"/>
      <x:c r="MPL60" s="291"/>
      <x:c r="MPM60" s="291"/>
      <x:c r="MPN60" s="291"/>
      <x:c r="MPO60" s="291"/>
      <x:c r="MPP60" s="291"/>
      <x:c r="MPQ60" s="291"/>
      <x:c r="MPR60" s="291"/>
      <x:c r="MPS60" s="291"/>
      <x:c r="MPT60" s="291"/>
      <x:c r="MPU60" s="291"/>
      <x:c r="MPV60" s="291"/>
      <x:c r="MPW60" s="291"/>
      <x:c r="MPX60" s="291"/>
      <x:c r="MPY60" s="291"/>
      <x:c r="MPZ60" s="291"/>
      <x:c r="MQA60" s="291"/>
      <x:c r="MQB60" s="291"/>
      <x:c r="MQC60" s="291"/>
      <x:c r="MQD60" s="291"/>
      <x:c r="MQE60" s="291"/>
      <x:c r="MQF60" s="291"/>
      <x:c r="MQG60" s="291"/>
      <x:c r="MQH60" s="291"/>
      <x:c r="MQI60" s="291"/>
      <x:c r="MQJ60" s="291"/>
      <x:c r="MQK60" s="291"/>
      <x:c r="MQL60" s="291"/>
      <x:c r="MQM60" s="291"/>
      <x:c r="MQN60" s="291"/>
      <x:c r="MQO60" s="291"/>
      <x:c r="MQP60" s="291"/>
      <x:c r="MQQ60" s="291"/>
      <x:c r="MQR60" s="291"/>
      <x:c r="MQS60" s="291"/>
      <x:c r="MQT60" s="291"/>
      <x:c r="MQU60" s="291"/>
      <x:c r="MQV60" s="291"/>
      <x:c r="MQW60" s="291"/>
      <x:c r="MQX60" s="291"/>
      <x:c r="MQY60" s="291"/>
      <x:c r="MQZ60" s="291"/>
      <x:c r="MRA60" s="291"/>
      <x:c r="MRB60" s="291"/>
      <x:c r="MRC60" s="291"/>
      <x:c r="MRD60" s="291"/>
      <x:c r="MRE60" s="291"/>
      <x:c r="MRF60" s="291"/>
      <x:c r="MRG60" s="291"/>
      <x:c r="MRH60" s="291"/>
      <x:c r="MRI60" s="291"/>
      <x:c r="MRJ60" s="291"/>
      <x:c r="MRK60" s="291"/>
      <x:c r="MRL60" s="291"/>
      <x:c r="MRM60" s="291"/>
      <x:c r="MRN60" s="291"/>
      <x:c r="MRO60" s="291"/>
      <x:c r="MRP60" s="291"/>
      <x:c r="MRQ60" s="291"/>
      <x:c r="MRR60" s="291"/>
      <x:c r="MRS60" s="291"/>
      <x:c r="MRT60" s="291"/>
      <x:c r="MRU60" s="291"/>
      <x:c r="MRV60" s="291"/>
      <x:c r="MRW60" s="291"/>
      <x:c r="MRX60" s="291"/>
      <x:c r="MRY60" s="291"/>
      <x:c r="MRZ60" s="291"/>
      <x:c r="MSA60" s="291"/>
      <x:c r="MSB60" s="291"/>
      <x:c r="MSC60" s="291"/>
      <x:c r="MSD60" s="291"/>
      <x:c r="MSE60" s="291"/>
      <x:c r="MSF60" s="291"/>
      <x:c r="MSG60" s="291"/>
      <x:c r="MSH60" s="291"/>
      <x:c r="MSI60" s="291"/>
      <x:c r="MSJ60" s="291"/>
      <x:c r="MSK60" s="291"/>
      <x:c r="MSL60" s="291"/>
      <x:c r="MSM60" s="291"/>
      <x:c r="MSN60" s="291"/>
      <x:c r="MSO60" s="291"/>
      <x:c r="MSP60" s="291"/>
      <x:c r="MSQ60" s="291"/>
      <x:c r="MSR60" s="291"/>
      <x:c r="MSS60" s="291"/>
      <x:c r="MST60" s="291"/>
      <x:c r="MSU60" s="291"/>
      <x:c r="MSV60" s="291"/>
      <x:c r="MSW60" s="291"/>
      <x:c r="MSX60" s="291"/>
      <x:c r="MSY60" s="291"/>
      <x:c r="MSZ60" s="291"/>
      <x:c r="MTA60" s="291"/>
      <x:c r="MTB60" s="291"/>
      <x:c r="MTC60" s="291"/>
      <x:c r="MTD60" s="291"/>
      <x:c r="MTE60" s="291"/>
      <x:c r="MTF60" s="291"/>
      <x:c r="MTG60" s="291"/>
      <x:c r="MTH60" s="291"/>
      <x:c r="MTI60" s="291"/>
      <x:c r="MTJ60" s="291"/>
      <x:c r="MTK60" s="291"/>
      <x:c r="MTL60" s="291"/>
      <x:c r="MTM60" s="291"/>
      <x:c r="MTN60" s="291"/>
      <x:c r="MTO60" s="291"/>
      <x:c r="MTP60" s="291"/>
      <x:c r="MTQ60" s="291"/>
      <x:c r="MTR60" s="291"/>
      <x:c r="MTS60" s="291"/>
      <x:c r="MTT60" s="291"/>
      <x:c r="MTU60" s="291"/>
      <x:c r="MTV60" s="291"/>
      <x:c r="MTW60" s="291"/>
      <x:c r="MTX60" s="291"/>
      <x:c r="MTY60" s="291"/>
      <x:c r="MTZ60" s="291"/>
      <x:c r="MUA60" s="291"/>
      <x:c r="MUB60" s="291"/>
      <x:c r="MUC60" s="291"/>
      <x:c r="MUD60" s="291"/>
      <x:c r="MUE60" s="291"/>
      <x:c r="MUF60" s="291"/>
      <x:c r="MUG60" s="291"/>
      <x:c r="MUH60" s="291"/>
      <x:c r="MUI60" s="291"/>
      <x:c r="MUJ60" s="291"/>
      <x:c r="MUK60" s="291"/>
      <x:c r="MUL60" s="291"/>
      <x:c r="MUM60" s="291"/>
      <x:c r="MUN60" s="291"/>
      <x:c r="MUO60" s="291"/>
      <x:c r="MUP60" s="291"/>
      <x:c r="MUQ60" s="291"/>
      <x:c r="MUR60" s="291"/>
      <x:c r="MUS60" s="291"/>
      <x:c r="MUT60" s="291"/>
      <x:c r="MUU60" s="291"/>
      <x:c r="MUV60" s="291"/>
      <x:c r="MUW60" s="291"/>
      <x:c r="MUX60" s="291"/>
      <x:c r="MUY60" s="291"/>
      <x:c r="MUZ60" s="291"/>
      <x:c r="MVA60" s="291"/>
      <x:c r="MVB60" s="291"/>
      <x:c r="MVC60" s="291"/>
      <x:c r="MVD60" s="291"/>
      <x:c r="MVE60" s="291"/>
      <x:c r="MVF60" s="291"/>
      <x:c r="MVG60" s="291"/>
      <x:c r="MVH60" s="291"/>
      <x:c r="MVI60" s="291"/>
      <x:c r="MVJ60" s="291"/>
      <x:c r="MVK60" s="291"/>
      <x:c r="MVL60" s="291"/>
      <x:c r="MVM60" s="291"/>
      <x:c r="MVN60" s="291"/>
      <x:c r="MVO60" s="291"/>
      <x:c r="MVP60" s="291"/>
      <x:c r="MVQ60" s="291"/>
      <x:c r="MVR60" s="291"/>
      <x:c r="MVS60" s="291"/>
      <x:c r="MVT60" s="291"/>
      <x:c r="MVU60" s="291"/>
      <x:c r="MVV60" s="291"/>
      <x:c r="MVW60" s="291"/>
      <x:c r="MVX60" s="291"/>
      <x:c r="MVY60" s="291"/>
      <x:c r="MVZ60" s="291"/>
      <x:c r="MWA60" s="291"/>
      <x:c r="MWB60" s="291"/>
      <x:c r="MWC60" s="291"/>
      <x:c r="MWD60" s="291"/>
      <x:c r="MWE60" s="291"/>
      <x:c r="MWF60" s="291"/>
      <x:c r="MWG60" s="291"/>
      <x:c r="MWH60" s="291"/>
      <x:c r="MWI60" s="291"/>
      <x:c r="MWJ60" s="291"/>
      <x:c r="MWK60" s="291"/>
      <x:c r="MWL60" s="291"/>
      <x:c r="MWM60" s="291"/>
      <x:c r="MWN60" s="291"/>
      <x:c r="MWO60" s="291"/>
      <x:c r="MWP60" s="291"/>
      <x:c r="MWQ60" s="291"/>
      <x:c r="MWR60" s="291"/>
      <x:c r="MWS60" s="291"/>
      <x:c r="MWT60" s="291"/>
      <x:c r="MWU60" s="291"/>
      <x:c r="MWV60" s="291"/>
      <x:c r="MWW60" s="291"/>
      <x:c r="MWX60" s="291"/>
      <x:c r="MWY60" s="291"/>
      <x:c r="MWZ60" s="291"/>
      <x:c r="MXA60" s="291"/>
      <x:c r="MXB60" s="291"/>
      <x:c r="MXC60" s="291"/>
      <x:c r="MXD60" s="291"/>
      <x:c r="MXE60" s="291"/>
      <x:c r="MXF60" s="291"/>
      <x:c r="MXG60" s="291"/>
      <x:c r="MXH60" s="291"/>
      <x:c r="MXI60" s="291"/>
      <x:c r="MXJ60" s="291"/>
      <x:c r="MXK60" s="291"/>
      <x:c r="MXL60" s="291"/>
      <x:c r="MXM60" s="291"/>
      <x:c r="MXN60" s="291"/>
      <x:c r="MXO60" s="291"/>
      <x:c r="MXP60" s="291"/>
      <x:c r="MXQ60" s="291"/>
      <x:c r="MXR60" s="291"/>
      <x:c r="MXS60" s="291"/>
      <x:c r="MXT60" s="291"/>
      <x:c r="MXU60" s="291"/>
      <x:c r="MXV60" s="291"/>
      <x:c r="MXW60" s="291"/>
      <x:c r="MXX60" s="291"/>
      <x:c r="MXY60" s="291"/>
      <x:c r="MXZ60" s="291"/>
      <x:c r="MYA60" s="291"/>
      <x:c r="MYB60" s="291"/>
      <x:c r="MYC60" s="291"/>
      <x:c r="MYD60" s="291"/>
      <x:c r="MYE60" s="291"/>
      <x:c r="MYF60" s="291"/>
      <x:c r="MYG60" s="291"/>
      <x:c r="MYH60" s="291"/>
      <x:c r="MYI60" s="291"/>
      <x:c r="MYJ60" s="291"/>
      <x:c r="MYK60" s="291"/>
      <x:c r="MYL60" s="291"/>
      <x:c r="MYM60" s="291"/>
      <x:c r="MYN60" s="291"/>
      <x:c r="MYO60" s="291"/>
      <x:c r="MYP60" s="291"/>
      <x:c r="MYQ60" s="291"/>
      <x:c r="MYR60" s="291"/>
      <x:c r="MYS60" s="291"/>
      <x:c r="MYT60" s="291"/>
      <x:c r="MYU60" s="291"/>
      <x:c r="MYV60" s="291"/>
      <x:c r="MYW60" s="291"/>
      <x:c r="MYX60" s="291"/>
      <x:c r="MYY60" s="291"/>
      <x:c r="MYZ60" s="291"/>
      <x:c r="MZA60" s="291"/>
      <x:c r="MZB60" s="291"/>
      <x:c r="MZC60" s="291"/>
      <x:c r="MZD60" s="291"/>
      <x:c r="MZE60" s="291"/>
      <x:c r="MZF60" s="291"/>
      <x:c r="MZG60" s="291"/>
      <x:c r="MZH60" s="291"/>
      <x:c r="MZI60" s="291"/>
      <x:c r="MZJ60" s="291"/>
      <x:c r="MZK60" s="291"/>
      <x:c r="MZL60" s="291"/>
      <x:c r="MZM60" s="291"/>
      <x:c r="MZN60" s="291"/>
      <x:c r="MZO60" s="291"/>
      <x:c r="MZP60" s="291"/>
      <x:c r="MZQ60" s="291"/>
      <x:c r="MZR60" s="291"/>
      <x:c r="MZS60" s="291"/>
      <x:c r="MZT60" s="291"/>
      <x:c r="MZU60" s="291"/>
      <x:c r="MZV60" s="291"/>
      <x:c r="MZW60" s="291"/>
      <x:c r="MZX60" s="291"/>
      <x:c r="MZY60" s="291"/>
      <x:c r="MZZ60" s="291"/>
      <x:c r="NAA60" s="291"/>
      <x:c r="NAB60" s="291"/>
      <x:c r="NAC60" s="291"/>
      <x:c r="NAD60" s="291"/>
      <x:c r="NAE60" s="291"/>
      <x:c r="NAF60" s="291"/>
      <x:c r="NAG60" s="291"/>
      <x:c r="NAH60" s="291"/>
      <x:c r="NAI60" s="291"/>
      <x:c r="NAJ60" s="291"/>
      <x:c r="NAK60" s="291"/>
      <x:c r="NAL60" s="291"/>
      <x:c r="NAM60" s="291"/>
      <x:c r="NAN60" s="291"/>
      <x:c r="NAO60" s="291"/>
      <x:c r="NAP60" s="291"/>
      <x:c r="NAQ60" s="291"/>
      <x:c r="NAR60" s="291"/>
      <x:c r="NAS60" s="291"/>
      <x:c r="NAT60" s="291"/>
      <x:c r="NAU60" s="291"/>
      <x:c r="NAV60" s="291"/>
      <x:c r="NAW60" s="291"/>
      <x:c r="NAX60" s="291"/>
      <x:c r="NAY60" s="291"/>
      <x:c r="NAZ60" s="291"/>
      <x:c r="NBA60" s="291"/>
      <x:c r="NBB60" s="291"/>
      <x:c r="NBC60" s="291"/>
      <x:c r="NBD60" s="291"/>
      <x:c r="NBE60" s="291"/>
      <x:c r="NBF60" s="291"/>
      <x:c r="NBG60" s="291"/>
      <x:c r="NBH60" s="291"/>
      <x:c r="NBI60" s="291"/>
      <x:c r="NBJ60" s="291"/>
      <x:c r="NBK60" s="291"/>
      <x:c r="NBL60" s="291"/>
      <x:c r="NBM60" s="291"/>
      <x:c r="NBN60" s="291"/>
      <x:c r="NBO60" s="291"/>
      <x:c r="NBP60" s="291"/>
      <x:c r="NBQ60" s="291"/>
      <x:c r="NBR60" s="291"/>
      <x:c r="NBS60" s="291"/>
      <x:c r="NBT60" s="291"/>
      <x:c r="NBU60" s="291"/>
      <x:c r="NBV60" s="291"/>
      <x:c r="NBW60" s="291"/>
      <x:c r="NBX60" s="291"/>
      <x:c r="NBY60" s="291"/>
      <x:c r="NBZ60" s="291"/>
      <x:c r="NCA60" s="291"/>
      <x:c r="NCB60" s="291"/>
      <x:c r="NCC60" s="291"/>
      <x:c r="NCD60" s="291"/>
      <x:c r="NCE60" s="291"/>
      <x:c r="NCF60" s="291"/>
      <x:c r="NCG60" s="291"/>
      <x:c r="NCH60" s="291"/>
      <x:c r="NCI60" s="291"/>
      <x:c r="NCJ60" s="291"/>
      <x:c r="NCK60" s="291"/>
      <x:c r="NCL60" s="291"/>
      <x:c r="NCM60" s="291"/>
      <x:c r="NCN60" s="291"/>
      <x:c r="NCO60" s="291"/>
      <x:c r="NCP60" s="291"/>
      <x:c r="NCQ60" s="291"/>
      <x:c r="NCR60" s="291"/>
      <x:c r="NCS60" s="291"/>
      <x:c r="NCT60" s="291"/>
      <x:c r="NCU60" s="291"/>
      <x:c r="NCV60" s="291"/>
      <x:c r="NCW60" s="291"/>
      <x:c r="NCX60" s="291"/>
      <x:c r="NCY60" s="291"/>
      <x:c r="NCZ60" s="291"/>
      <x:c r="NDA60" s="291"/>
      <x:c r="NDB60" s="291"/>
      <x:c r="NDC60" s="291"/>
      <x:c r="NDD60" s="291"/>
      <x:c r="NDE60" s="291"/>
      <x:c r="NDF60" s="291"/>
      <x:c r="NDG60" s="291"/>
      <x:c r="NDH60" s="291"/>
      <x:c r="NDI60" s="291"/>
      <x:c r="NDJ60" s="291"/>
      <x:c r="NDK60" s="291"/>
      <x:c r="NDL60" s="291"/>
      <x:c r="NDM60" s="291"/>
      <x:c r="NDN60" s="291"/>
      <x:c r="NDO60" s="291"/>
      <x:c r="NDP60" s="291"/>
      <x:c r="NDQ60" s="291"/>
      <x:c r="NDR60" s="291"/>
      <x:c r="NDS60" s="291"/>
      <x:c r="NDT60" s="291"/>
      <x:c r="NDU60" s="291"/>
      <x:c r="NDV60" s="291"/>
      <x:c r="NDW60" s="291"/>
      <x:c r="NDX60" s="291"/>
      <x:c r="NDY60" s="291"/>
      <x:c r="NDZ60" s="291"/>
      <x:c r="NEA60" s="291"/>
      <x:c r="NEB60" s="291"/>
      <x:c r="NEC60" s="291"/>
      <x:c r="NED60" s="291"/>
      <x:c r="NEE60" s="291"/>
      <x:c r="NEF60" s="291"/>
      <x:c r="NEG60" s="291"/>
      <x:c r="NEH60" s="291"/>
      <x:c r="NEI60" s="291"/>
      <x:c r="NEJ60" s="291"/>
      <x:c r="NEK60" s="291"/>
      <x:c r="NEL60" s="291"/>
      <x:c r="NEM60" s="291"/>
      <x:c r="NEN60" s="291"/>
      <x:c r="NEO60" s="291"/>
      <x:c r="NEP60" s="291"/>
      <x:c r="NEQ60" s="291"/>
      <x:c r="NER60" s="291"/>
      <x:c r="NES60" s="291"/>
      <x:c r="NET60" s="291"/>
      <x:c r="NEU60" s="291"/>
      <x:c r="NEV60" s="291"/>
      <x:c r="NEW60" s="291"/>
      <x:c r="NEX60" s="291"/>
      <x:c r="NEY60" s="291"/>
      <x:c r="NEZ60" s="291"/>
      <x:c r="NFA60" s="291"/>
      <x:c r="NFB60" s="291"/>
      <x:c r="NFC60" s="291"/>
      <x:c r="NFD60" s="291"/>
      <x:c r="NFE60" s="291"/>
      <x:c r="NFF60" s="291"/>
      <x:c r="NFG60" s="291"/>
      <x:c r="NFH60" s="291"/>
      <x:c r="NFI60" s="291"/>
      <x:c r="NFJ60" s="291"/>
      <x:c r="NFK60" s="291"/>
      <x:c r="NFL60" s="291"/>
      <x:c r="NFM60" s="291"/>
      <x:c r="NFN60" s="291"/>
      <x:c r="NFO60" s="291"/>
      <x:c r="NFP60" s="291"/>
      <x:c r="NFQ60" s="291"/>
      <x:c r="NFR60" s="291"/>
      <x:c r="NFS60" s="291"/>
      <x:c r="NFT60" s="291"/>
      <x:c r="NFU60" s="291"/>
      <x:c r="NFV60" s="291"/>
      <x:c r="NFW60" s="291"/>
      <x:c r="NFX60" s="291"/>
      <x:c r="NFY60" s="291"/>
      <x:c r="NFZ60" s="291"/>
      <x:c r="NGA60" s="291"/>
      <x:c r="NGB60" s="291"/>
      <x:c r="NGC60" s="291"/>
      <x:c r="NGD60" s="291"/>
      <x:c r="NGE60" s="291"/>
      <x:c r="NGF60" s="291"/>
      <x:c r="NGG60" s="291"/>
      <x:c r="NGH60" s="291"/>
      <x:c r="NGI60" s="291"/>
      <x:c r="NGJ60" s="291"/>
      <x:c r="NGK60" s="291"/>
      <x:c r="NGL60" s="291"/>
      <x:c r="NGM60" s="291"/>
      <x:c r="NGN60" s="291"/>
      <x:c r="NGO60" s="291"/>
      <x:c r="NGP60" s="291"/>
      <x:c r="NGQ60" s="291"/>
      <x:c r="NGR60" s="291"/>
      <x:c r="NGS60" s="291"/>
      <x:c r="NGT60" s="291"/>
      <x:c r="NGU60" s="291"/>
      <x:c r="NGV60" s="291"/>
      <x:c r="NGW60" s="291"/>
      <x:c r="NGX60" s="291"/>
      <x:c r="NGY60" s="291"/>
      <x:c r="NGZ60" s="291"/>
      <x:c r="NHA60" s="291"/>
      <x:c r="NHB60" s="291"/>
      <x:c r="NHC60" s="291"/>
      <x:c r="NHD60" s="291"/>
      <x:c r="NHE60" s="291"/>
      <x:c r="NHF60" s="291"/>
      <x:c r="NHG60" s="291"/>
      <x:c r="NHH60" s="291"/>
      <x:c r="NHI60" s="291"/>
      <x:c r="NHJ60" s="291"/>
      <x:c r="NHK60" s="291"/>
      <x:c r="NHL60" s="291"/>
      <x:c r="NHM60" s="291"/>
      <x:c r="NHN60" s="291"/>
      <x:c r="NHO60" s="291"/>
      <x:c r="NHP60" s="291"/>
      <x:c r="NHQ60" s="291"/>
      <x:c r="NHR60" s="291"/>
      <x:c r="NHS60" s="291"/>
      <x:c r="NHT60" s="291"/>
      <x:c r="NHU60" s="291"/>
      <x:c r="NHV60" s="291"/>
      <x:c r="NHW60" s="291"/>
      <x:c r="NHX60" s="291"/>
      <x:c r="NHY60" s="291"/>
      <x:c r="NHZ60" s="291"/>
      <x:c r="NIA60" s="291"/>
      <x:c r="NIB60" s="291"/>
      <x:c r="NIC60" s="291"/>
      <x:c r="NID60" s="291"/>
      <x:c r="NIE60" s="291"/>
      <x:c r="NIF60" s="291"/>
      <x:c r="NIG60" s="291"/>
      <x:c r="NIH60" s="291"/>
      <x:c r="NII60" s="291"/>
      <x:c r="NIJ60" s="291"/>
      <x:c r="NIK60" s="291"/>
      <x:c r="NIL60" s="291"/>
      <x:c r="NIM60" s="291"/>
      <x:c r="NIN60" s="291"/>
      <x:c r="NIO60" s="291"/>
      <x:c r="NIP60" s="291"/>
      <x:c r="NIQ60" s="291"/>
      <x:c r="NIR60" s="291"/>
      <x:c r="NIS60" s="291"/>
      <x:c r="NIT60" s="291"/>
      <x:c r="NIU60" s="291"/>
      <x:c r="NIV60" s="291"/>
      <x:c r="NIW60" s="291"/>
      <x:c r="NIX60" s="291"/>
      <x:c r="NIY60" s="291"/>
      <x:c r="NIZ60" s="291"/>
      <x:c r="NJA60" s="291"/>
      <x:c r="NJB60" s="291"/>
      <x:c r="NJC60" s="291"/>
      <x:c r="NJD60" s="291"/>
      <x:c r="NJE60" s="291"/>
      <x:c r="NJF60" s="291"/>
      <x:c r="NJG60" s="291"/>
      <x:c r="NJH60" s="291"/>
      <x:c r="NJI60" s="291"/>
      <x:c r="NJJ60" s="291"/>
      <x:c r="NJK60" s="291"/>
      <x:c r="NJL60" s="291"/>
      <x:c r="NJM60" s="291"/>
      <x:c r="NJN60" s="291"/>
      <x:c r="NJO60" s="291"/>
      <x:c r="NJP60" s="291"/>
      <x:c r="NJQ60" s="291"/>
      <x:c r="NJR60" s="291"/>
      <x:c r="NJS60" s="291"/>
      <x:c r="NJT60" s="291"/>
      <x:c r="NJU60" s="291"/>
      <x:c r="NJV60" s="291"/>
      <x:c r="NJW60" s="291"/>
      <x:c r="NJX60" s="291"/>
      <x:c r="NJY60" s="291"/>
      <x:c r="NJZ60" s="291"/>
      <x:c r="NKA60" s="291"/>
      <x:c r="NKB60" s="291"/>
      <x:c r="NKC60" s="291"/>
      <x:c r="NKD60" s="291"/>
      <x:c r="NKE60" s="291"/>
      <x:c r="NKF60" s="291"/>
      <x:c r="NKG60" s="291"/>
      <x:c r="NKH60" s="291"/>
      <x:c r="NKI60" s="291"/>
      <x:c r="NKJ60" s="291"/>
      <x:c r="NKK60" s="291"/>
      <x:c r="NKL60" s="291"/>
      <x:c r="NKM60" s="291"/>
      <x:c r="NKN60" s="291"/>
      <x:c r="NKO60" s="291"/>
      <x:c r="NKP60" s="291"/>
      <x:c r="NKQ60" s="291"/>
      <x:c r="NKR60" s="291"/>
      <x:c r="NKS60" s="291"/>
      <x:c r="NKT60" s="291"/>
      <x:c r="NKU60" s="291"/>
      <x:c r="NKV60" s="291"/>
      <x:c r="NKW60" s="291"/>
      <x:c r="NKX60" s="291"/>
      <x:c r="NKY60" s="291"/>
      <x:c r="NKZ60" s="291"/>
      <x:c r="NLA60" s="291"/>
      <x:c r="NLB60" s="291"/>
      <x:c r="NLC60" s="291"/>
      <x:c r="NLD60" s="291"/>
      <x:c r="NLE60" s="291"/>
      <x:c r="NLF60" s="291"/>
      <x:c r="NLG60" s="291"/>
      <x:c r="NLH60" s="291"/>
      <x:c r="NLI60" s="291"/>
      <x:c r="NLJ60" s="291"/>
      <x:c r="NLK60" s="291"/>
      <x:c r="NLL60" s="291"/>
      <x:c r="NLM60" s="291"/>
      <x:c r="NLN60" s="291"/>
      <x:c r="NLO60" s="291"/>
      <x:c r="NLP60" s="291"/>
      <x:c r="NLQ60" s="291"/>
      <x:c r="NLR60" s="291"/>
      <x:c r="NLS60" s="291"/>
      <x:c r="NLT60" s="291"/>
      <x:c r="NLU60" s="291"/>
      <x:c r="NLV60" s="291"/>
      <x:c r="NLW60" s="291"/>
      <x:c r="NLX60" s="291"/>
      <x:c r="NLY60" s="291"/>
      <x:c r="NLZ60" s="291"/>
      <x:c r="NMA60" s="291"/>
      <x:c r="NMB60" s="291"/>
      <x:c r="NMC60" s="291"/>
      <x:c r="NMD60" s="291"/>
      <x:c r="NME60" s="291"/>
      <x:c r="NMF60" s="291"/>
      <x:c r="NMG60" s="291"/>
      <x:c r="NMH60" s="291"/>
      <x:c r="NMI60" s="291"/>
      <x:c r="NMJ60" s="291"/>
      <x:c r="NMK60" s="291"/>
      <x:c r="NML60" s="291"/>
      <x:c r="NMM60" s="291"/>
      <x:c r="NMN60" s="291"/>
      <x:c r="NMO60" s="291"/>
      <x:c r="NMP60" s="291"/>
      <x:c r="NMQ60" s="291"/>
      <x:c r="NMR60" s="291"/>
      <x:c r="NMS60" s="291"/>
      <x:c r="NMT60" s="291"/>
      <x:c r="NMU60" s="291"/>
      <x:c r="NMV60" s="291"/>
      <x:c r="NMW60" s="291"/>
      <x:c r="NMX60" s="291"/>
      <x:c r="NMY60" s="291"/>
      <x:c r="NMZ60" s="291"/>
      <x:c r="NNA60" s="291"/>
      <x:c r="NNB60" s="291"/>
      <x:c r="NNC60" s="291"/>
      <x:c r="NND60" s="291"/>
      <x:c r="NNE60" s="291"/>
      <x:c r="NNF60" s="291"/>
      <x:c r="NNG60" s="291"/>
      <x:c r="NNH60" s="291"/>
      <x:c r="NNI60" s="291"/>
      <x:c r="NNJ60" s="291"/>
      <x:c r="NNK60" s="291"/>
      <x:c r="NNL60" s="291"/>
      <x:c r="NNM60" s="291"/>
      <x:c r="NNN60" s="291"/>
      <x:c r="NNO60" s="291"/>
      <x:c r="NNP60" s="291"/>
      <x:c r="NNQ60" s="291"/>
      <x:c r="NNR60" s="291"/>
      <x:c r="NNS60" s="291"/>
      <x:c r="NNT60" s="291"/>
      <x:c r="NNU60" s="291"/>
      <x:c r="NNV60" s="291"/>
      <x:c r="NNW60" s="291"/>
      <x:c r="NNX60" s="291"/>
      <x:c r="NNY60" s="291"/>
      <x:c r="NNZ60" s="291"/>
      <x:c r="NOA60" s="291"/>
      <x:c r="NOB60" s="291"/>
      <x:c r="NOC60" s="291"/>
      <x:c r="NOD60" s="291"/>
      <x:c r="NOE60" s="291"/>
      <x:c r="NOF60" s="291"/>
      <x:c r="NOG60" s="291"/>
      <x:c r="NOH60" s="291"/>
      <x:c r="NOI60" s="291"/>
      <x:c r="NOJ60" s="291"/>
      <x:c r="NOK60" s="291"/>
      <x:c r="NOL60" s="291"/>
      <x:c r="NOM60" s="291"/>
      <x:c r="NON60" s="291"/>
      <x:c r="NOO60" s="291"/>
      <x:c r="NOP60" s="291"/>
      <x:c r="NOQ60" s="291"/>
      <x:c r="NOR60" s="291"/>
      <x:c r="NOS60" s="291"/>
      <x:c r="NOT60" s="291"/>
      <x:c r="NOU60" s="291"/>
      <x:c r="NOV60" s="291"/>
      <x:c r="NOW60" s="291"/>
      <x:c r="NOX60" s="291"/>
      <x:c r="NOY60" s="291"/>
      <x:c r="NOZ60" s="291"/>
      <x:c r="NPA60" s="291"/>
      <x:c r="NPB60" s="291"/>
      <x:c r="NPC60" s="291"/>
      <x:c r="NPD60" s="291"/>
      <x:c r="NPE60" s="291"/>
      <x:c r="NPF60" s="291"/>
      <x:c r="NPG60" s="291"/>
      <x:c r="NPH60" s="291"/>
      <x:c r="NPI60" s="291"/>
      <x:c r="NPJ60" s="291"/>
      <x:c r="NPK60" s="291"/>
      <x:c r="NPL60" s="291"/>
      <x:c r="NPM60" s="291"/>
      <x:c r="NPN60" s="291"/>
      <x:c r="NPO60" s="291"/>
      <x:c r="NPP60" s="291"/>
      <x:c r="NPQ60" s="291"/>
      <x:c r="NPR60" s="291"/>
      <x:c r="NPS60" s="291"/>
      <x:c r="NPT60" s="291"/>
      <x:c r="NPU60" s="291"/>
      <x:c r="NPV60" s="291"/>
      <x:c r="NPW60" s="291"/>
      <x:c r="NPX60" s="291"/>
      <x:c r="NPY60" s="291"/>
      <x:c r="NPZ60" s="291"/>
      <x:c r="NQA60" s="291"/>
      <x:c r="NQB60" s="291"/>
      <x:c r="NQC60" s="291"/>
      <x:c r="NQD60" s="291"/>
      <x:c r="NQE60" s="291"/>
      <x:c r="NQF60" s="291"/>
      <x:c r="NQG60" s="291"/>
      <x:c r="NQH60" s="291"/>
      <x:c r="NQI60" s="291"/>
      <x:c r="NQJ60" s="291"/>
      <x:c r="NQK60" s="291"/>
      <x:c r="NQL60" s="291"/>
      <x:c r="NQM60" s="291"/>
      <x:c r="NQN60" s="291"/>
      <x:c r="NQO60" s="291"/>
      <x:c r="NQP60" s="291"/>
      <x:c r="NQQ60" s="291"/>
      <x:c r="NQR60" s="291"/>
      <x:c r="NQS60" s="291"/>
      <x:c r="NQT60" s="291"/>
      <x:c r="NQU60" s="291"/>
      <x:c r="NQV60" s="291"/>
      <x:c r="NQW60" s="291"/>
      <x:c r="NQX60" s="291"/>
      <x:c r="NQY60" s="291"/>
      <x:c r="NQZ60" s="291"/>
      <x:c r="NRA60" s="291"/>
      <x:c r="NRB60" s="291"/>
      <x:c r="NRC60" s="291"/>
      <x:c r="NRD60" s="291"/>
      <x:c r="NRE60" s="291"/>
      <x:c r="NRF60" s="291"/>
      <x:c r="NRG60" s="291"/>
      <x:c r="NRH60" s="291"/>
      <x:c r="NRI60" s="291"/>
      <x:c r="NRJ60" s="291"/>
      <x:c r="NRK60" s="291"/>
      <x:c r="NRL60" s="291"/>
      <x:c r="NRM60" s="291"/>
      <x:c r="NRN60" s="291"/>
      <x:c r="NRO60" s="291"/>
      <x:c r="NRP60" s="291"/>
      <x:c r="NRQ60" s="291"/>
      <x:c r="NRR60" s="291"/>
      <x:c r="NRS60" s="291"/>
      <x:c r="NRT60" s="291"/>
      <x:c r="NRU60" s="291"/>
      <x:c r="NRV60" s="291"/>
      <x:c r="NRW60" s="291"/>
      <x:c r="NRX60" s="291"/>
      <x:c r="NRY60" s="291"/>
      <x:c r="NRZ60" s="291"/>
      <x:c r="NSA60" s="291"/>
      <x:c r="NSB60" s="291"/>
      <x:c r="NSC60" s="291"/>
      <x:c r="NSD60" s="291"/>
      <x:c r="NSE60" s="291"/>
      <x:c r="NSF60" s="291"/>
      <x:c r="NSG60" s="291"/>
      <x:c r="NSH60" s="291"/>
      <x:c r="NSI60" s="291"/>
      <x:c r="NSJ60" s="291"/>
      <x:c r="NSK60" s="291"/>
      <x:c r="NSL60" s="291"/>
      <x:c r="NSM60" s="291"/>
      <x:c r="NSN60" s="291"/>
      <x:c r="NSO60" s="291"/>
      <x:c r="NSP60" s="291"/>
      <x:c r="NSQ60" s="291"/>
      <x:c r="NSR60" s="291"/>
      <x:c r="NSS60" s="291"/>
      <x:c r="NST60" s="291"/>
      <x:c r="NSU60" s="291"/>
      <x:c r="NSV60" s="291"/>
      <x:c r="NSW60" s="291"/>
      <x:c r="NSX60" s="291"/>
      <x:c r="NSY60" s="291"/>
      <x:c r="NSZ60" s="291"/>
      <x:c r="NTA60" s="291"/>
      <x:c r="NTB60" s="291"/>
      <x:c r="NTC60" s="291"/>
      <x:c r="NTD60" s="291"/>
      <x:c r="NTE60" s="291"/>
      <x:c r="NTF60" s="291"/>
      <x:c r="NTG60" s="291"/>
      <x:c r="NTH60" s="291"/>
      <x:c r="NTI60" s="291"/>
      <x:c r="NTJ60" s="291"/>
      <x:c r="NTK60" s="291"/>
      <x:c r="NTL60" s="291"/>
      <x:c r="NTM60" s="291"/>
      <x:c r="NTN60" s="291"/>
      <x:c r="NTO60" s="291"/>
      <x:c r="NTP60" s="291"/>
      <x:c r="NTQ60" s="291"/>
      <x:c r="NTR60" s="291"/>
      <x:c r="NTS60" s="291"/>
      <x:c r="NTT60" s="291"/>
      <x:c r="NTU60" s="291"/>
      <x:c r="NTV60" s="291"/>
      <x:c r="NTW60" s="291"/>
      <x:c r="NTX60" s="291"/>
      <x:c r="NTY60" s="291"/>
      <x:c r="NTZ60" s="291"/>
      <x:c r="NUA60" s="291"/>
      <x:c r="NUB60" s="291"/>
      <x:c r="NUC60" s="291"/>
      <x:c r="NUD60" s="291"/>
      <x:c r="NUE60" s="291"/>
      <x:c r="NUF60" s="291"/>
      <x:c r="NUG60" s="291"/>
      <x:c r="NUH60" s="291"/>
      <x:c r="NUI60" s="291"/>
      <x:c r="NUJ60" s="291"/>
      <x:c r="NUK60" s="291"/>
      <x:c r="NUL60" s="291"/>
      <x:c r="NUM60" s="291"/>
      <x:c r="NUN60" s="291"/>
      <x:c r="NUO60" s="291"/>
      <x:c r="NUP60" s="291"/>
      <x:c r="NUQ60" s="291"/>
      <x:c r="NUR60" s="291"/>
      <x:c r="NUS60" s="291"/>
      <x:c r="NUT60" s="291"/>
      <x:c r="NUU60" s="291"/>
      <x:c r="NUV60" s="291"/>
      <x:c r="NUW60" s="291"/>
      <x:c r="NUX60" s="291"/>
      <x:c r="NUY60" s="291"/>
      <x:c r="NUZ60" s="291"/>
      <x:c r="NVA60" s="291"/>
      <x:c r="NVB60" s="291"/>
      <x:c r="NVC60" s="291"/>
      <x:c r="NVD60" s="291"/>
      <x:c r="NVE60" s="291"/>
      <x:c r="NVF60" s="291"/>
      <x:c r="NVG60" s="291"/>
      <x:c r="NVH60" s="291"/>
      <x:c r="NVI60" s="291"/>
      <x:c r="NVJ60" s="291"/>
      <x:c r="NVK60" s="291"/>
      <x:c r="NVL60" s="291"/>
      <x:c r="NVM60" s="291"/>
      <x:c r="NVN60" s="291"/>
      <x:c r="NVO60" s="291"/>
      <x:c r="NVP60" s="291"/>
      <x:c r="NVQ60" s="291"/>
      <x:c r="NVR60" s="291"/>
      <x:c r="NVS60" s="291"/>
      <x:c r="NVT60" s="291"/>
      <x:c r="NVU60" s="291"/>
      <x:c r="NVV60" s="291"/>
      <x:c r="NVW60" s="291"/>
      <x:c r="NVX60" s="291"/>
      <x:c r="NVY60" s="291"/>
      <x:c r="NVZ60" s="291"/>
      <x:c r="NWA60" s="291"/>
      <x:c r="NWB60" s="291"/>
      <x:c r="NWC60" s="291"/>
      <x:c r="NWD60" s="291"/>
      <x:c r="NWE60" s="291"/>
      <x:c r="NWF60" s="291"/>
      <x:c r="NWG60" s="291"/>
      <x:c r="NWH60" s="291"/>
      <x:c r="NWI60" s="291"/>
      <x:c r="NWJ60" s="291"/>
      <x:c r="NWK60" s="291"/>
      <x:c r="NWL60" s="291"/>
      <x:c r="NWM60" s="291"/>
      <x:c r="NWN60" s="291"/>
      <x:c r="NWO60" s="291"/>
      <x:c r="NWP60" s="291"/>
      <x:c r="NWQ60" s="291"/>
      <x:c r="NWR60" s="291"/>
      <x:c r="NWS60" s="291"/>
      <x:c r="NWT60" s="291"/>
      <x:c r="NWU60" s="291"/>
      <x:c r="NWV60" s="291"/>
      <x:c r="NWW60" s="291"/>
      <x:c r="NWX60" s="291"/>
      <x:c r="NWY60" s="291"/>
      <x:c r="NWZ60" s="291"/>
      <x:c r="NXA60" s="291"/>
      <x:c r="NXB60" s="291"/>
      <x:c r="NXC60" s="291"/>
      <x:c r="NXD60" s="291"/>
      <x:c r="NXE60" s="291"/>
      <x:c r="NXF60" s="291"/>
      <x:c r="NXG60" s="291"/>
      <x:c r="NXH60" s="291"/>
      <x:c r="NXI60" s="291"/>
      <x:c r="NXJ60" s="291"/>
      <x:c r="NXK60" s="291"/>
      <x:c r="NXL60" s="291"/>
      <x:c r="NXM60" s="291"/>
      <x:c r="NXN60" s="291"/>
      <x:c r="NXO60" s="291"/>
      <x:c r="NXP60" s="291"/>
      <x:c r="NXQ60" s="291"/>
      <x:c r="NXR60" s="291"/>
      <x:c r="NXS60" s="291"/>
      <x:c r="NXT60" s="291"/>
      <x:c r="NXU60" s="291"/>
      <x:c r="NXV60" s="291"/>
      <x:c r="NXW60" s="291"/>
      <x:c r="NXX60" s="291"/>
      <x:c r="NXY60" s="291"/>
      <x:c r="NXZ60" s="291"/>
      <x:c r="NYA60" s="291"/>
      <x:c r="NYB60" s="291"/>
      <x:c r="NYC60" s="291"/>
      <x:c r="NYD60" s="291"/>
      <x:c r="NYE60" s="291"/>
      <x:c r="NYF60" s="291"/>
      <x:c r="NYG60" s="291"/>
      <x:c r="NYH60" s="291"/>
      <x:c r="NYI60" s="291"/>
      <x:c r="NYJ60" s="291"/>
      <x:c r="NYK60" s="291"/>
      <x:c r="NYL60" s="291"/>
      <x:c r="NYM60" s="291"/>
      <x:c r="NYN60" s="291"/>
      <x:c r="NYO60" s="291"/>
      <x:c r="NYP60" s="291"/>
      <x:c r="NYQ60" s="291"/>
      <x:c r="NYR60" s="291"/>
      <x:c r="NYS60" s="291"/>
      <x:c r="NYT60" s="291"/>
      <x:c r="NYU60" s="291"/>
      <x:c r="NYV60" s="291"/>
      <x:c r="NYW60" s="291"/>
      <x:c r="NYX60" s="291"/>
      <x:c r="NYY60" s="291"/>
      <x:c r="NYZ60" s="291"/>
      <x:c r="NZA60" s="291"/>
      <x:c r="NZB60" s="291"/>
      <x:c r="NZC60" s="291"/>
      <x:c r="NZD60" s="291"/>
      <x:c r="NZE60" s="291"/>
      <x:c r="NZF60" s="291"/>
      <x:c r="NZG60" s="291"/>
      <x:c r="NZH60" s="291"/>
      <x:c r="NZI60" s="291"/>
      <x:c r="NZJ60" s="291"/>
      <x:c r="NZK60" s="291"/>
      <x:c r="NZL60" s="291"/>
      <x:c r="NZM60" s="291"/>
      <x:c r="NZN60" s="291"/>
      <x:c r="NZO60" s="291"/>
      <x:c r="NZP60" s="291"/>
      <x:c r="NZQ60" s="291"/>
      <x:c r="NZR60" s="291"/>
      <x:c r="NZS60" s="291"/>
      <x:c r="NZT60" s="291"/>
      <x:c r="NZU60" s="291"/>
      <x:c r="NZV60" s="291"/>
      <x:c r="NZW60" s="291"/>
      <x:c r="NZX60" s="291"/>
      <x:c r="NZY60" s="291"/>
      <x:c r="NZZ60" s="291"/>
      <x:c r="OAA60" s="291"/>
      <x:c r="OAB60" s="291"/>
      <x:c r="OAC60" s="291"/>
      <x:c r="OAD60" s="291"/>
      <x:c r="OAE60" s="291"/>
      <x:c r="OAF60" s="291"/>
      <x:c r="OAG60" s="291"/>
      <x:c r="OAH60" s="291"/>
      <x:c r="OAI60" s="291"/>
      <x:c r="OAJ60" s="291"/>
      <x:c r="OAK60" s="291"/>
      <x:c r="OAL60" s="291"/>
      <x:c r="OAM60" s="291"/>
      <x:c r="OAN60" s="291"/>
      <x:c r="OAO60" s="291"/>
      <x:c r="OAP60" s="291"/>
      <x:c r="OAQ60" s="291"/>
      <x:c r="OAR60" s="291"/>
      <x:c r="OAS60" s="291"/>
      <x:c r="OAT60" s="291"/>
      <x:c r="OAU60" s="291"/>
      <x:c r="OAV60" s="291"/>
      <x:c r="OAW60" s="291"/>
      <x:c r="OAX60" s="291"/>
      <x:c r="OAY60" s="291"/>
      <x:c r="OAZ60" s="291"/>
      <x:c r="OBA60" s="291"/>
      <x:c r="OBB60" s="291"/>
      <x:c r="OBC60" s="291"/>
      <x:c r="OBD60" s="291"/>
      <x:c r="OBE60" s="291"/>
      <x:c r="OBF60" s="291"/>
      <x:c r="OBG60" s="291"/>
      <x:c r="OBH60" s="291"/>
      <x:c r="OBI60" s="291"/>
      <x:c r="OBJ60" s="291"/>
      <x:c r="OBK60" s="291"/>
      <x:c r="OBL60" s="291"/>
      <x:c r="OBM60" s="291"/>
      <x:c r="OBN60" s="291"/>
      <x:c r="OBO60" s="291"/>
      <x:c r="OBP60" s="291"/>
      <x:c r="OBQ60" s="291"/>
      <x:c r="OBR60" s="291"/>
      <x:c r="OBS60" s="291"/>
      <x:c r="OBT60" s="291"/>
      <x:c r="OBU60" s="291"/>
      <x:c r="OBV60" s="291"/>
      <x:c r="OBW60" s="291"/>
      <x:c r="OBX60" s="291"/>
      <x:c r="OBY60" s="291"/>
      <x:c r="OBZ60" s="291"/>
      <x:c r="OCA60" s="291"/>
      <x:c r="OCB60" s="291"/>
      <x:c r="OCC60" s="291"/>
      <x:c r="OCD60" s="291"/>
      <x:c r="OCE60" s="291"/>
      <x:c r="OCF60" s="291"/>
      <x:c r="OCG60" s="291"/>
      <x:c r="OCH60" s="291"/>
      <x:c r="OCI60" s="291"/>
      <x:c r="OCJ60" s="291"/>
      <x:c r="OCK60" s="291"/>
      <x:c r="OCL60" s="291"/>
      <x:c r="OCM60" s="291"/>
      <x:c r="OCN60" s="291"/>
      <x:c r="OCO60" s="291"/>
      <x:c r="OCP60" s="291"/>
      <x:c r="OCQ60" s="291"/>
      <x:c r="OCR60" s="291"/>
      <x:c r="OCS60" s="291"/>
      <x:c r="OCT60" s="291"/>
      <x:c r="OCU60" s="291"/>
      <x:c r="OCV60" s="291"/>
      <x:c r="OCW60" s="291"/>
      <x:c r="OCX60" s="291"/>
      <x:c r="OCY60" s="291"/>
      <x:c r="OCZ60" s="291"/>
      <x:c r="ODA60" s="291"/>
      <x:c r="ODB60" s="291"/>
      <x:c r="ODC60" s="291"/>
      <x:c r="ODD60" s="291"/>
      <x:c r="ODE60" s="291"/>
      <x:c r="ODF60" s="291"/>
      <x:c r="ODG60" s="291"/>
      <x:c r="ODH60" s="291"/>
      <x:c r="ODI60" s="291"/>
      <x:c r="ODJ60" s="291"/>
      <x:c r="ODK60" s="291"/>
      <x:c r="ODL60" s="291"/>
      <x:c r="ODM60" s="291"/>
      <x:c r="ODN60" s="291"/>
      <x:c r="ODO60" s="291"/>
      <x:c r="ODP60" s="291"/>
      <x:c r="ODQ60" s="291"/>
      <x:c r="ODR60" s="291"/>
      <x:c r="ODS60" s="291"/>
      <x:c r="ODT60" s="291"/>
      <x:c r="ODU60" s="291"/>
      <x:c r="ODV60" s="291"/>
      <x:c r="ODW60" s="291"/>
      <x:c r="ODX60" s="291"/>
      <x:c r="ODY60" s="291"/>
      <x:c r="ODZ60" s="291"/>
      <x:c r="OEA60" s="291"/>
      <x:c r="OEB60" s="291"/>
      <x:c r="OEC60" s="291"/>
      <x:c r="OED60" s="291"/>
      <x:c r="OEE60" s="291"/>
      <x:c r="OEF60" s="291"/>
      <x:c r="OEG60" s="291"/>
      <x:c r="OEH60" s="291"/>
      <x:c r="OEI60" s="291"/>
      <x:c r="OEJ60" s="291"/>
      <x:c r="OEK60" s="291"/>
      <x:c r="OEL60" s="291"/>
      <x:c r="OEM60" s="291"/>
      <x:c r="OEN60" s="291"/>
      <x:c r="OEO60" s="291"/>
      <x:c r="OEP60" s="291"/>
      <x:c r="OEQ60" s="291"/>
      <x:c r="OER60" s="291"/>
      <x:c r="OES60" s="291"/>
      <x:c r="OET60" s="291"/>
      <x:c r="OEU60" s="291"/>
      <x:c r="OEV60" s="291"/>
      <x:c r="OEW60" s="291"/>
      <x:c r="OEX60" s="291"/>
      <x:c r="OEY60" s="291"/>
      <x:c r="OEZ60" s="291"/>
      <x:c r="OFA60" s="291"/>
      <x:c r="OFB60" s="291"/>
      <x:c r="OFC60" s="291"/>
      <x:c r="OFD60" s="291"/>
      <x:c r="OFE60" s="291"/>
      <x:c r="OFF60" s="291"/>
      <x:c r="OFG60" s="291"/>
      <x:c r="OFH60" s="291"/>
      <x:c r="OFI60" s="291"/>
      <x:c r="OFJ60" s="291"/>
      <x:c r="OFK60" s="291"/>
      <x:c r="OFL60" s="291"/>
      <x:c r="OFM60" s="291"/>
      <x:c r="OFN60" s="291"/>
      <x:c r="OFO60" s="291"/>
      <x:c r="OFP60" s="291"/>
      <x:c r="OFQ60" s="291"/>
      <x:c r="OFR60" s="291"/>
      <x:c r="OFS60" s="291"/>
      <x:c r="OFT60" s="291"/>
      <x:c r="OFU60" s="291"/>
      <x:c r="OFV60" s="291"/>
      <x:c r="OFW60" s="291"/>
      <x:c r="OFX60" s="291"/>
      <x:c r="OFY60" s="291"/>
      <x:c r="OFZ60" s="291"/>
      <x:c r="OGA60" s="291"/>
      <x:c r="OGB60" s="291"/>
      <x:c r="OGC60" s="291"/>
      <x:c r="OGD60" s="291"/>
      <x:c r="OGE60" s="291"/>
      <x:c r="OGF60" s="291"/>
      <x:c r="OGG60" s="291"/>
      <x:c r="OGH60" s="291"/>
      <x:c r="OGI60" s="291"/>
      <x:c r="OGJ60" s="291"/>
      <x:c r="OGK60" s="291"/>
      <x:c r="OGL60" s="291"/>
      <x:c r="OGM60" s="291"/>
      <x:c r="OGN60" s="291"/>
      <x:c r="OGO60" s="291"/>
      <x:c r="OGP60" s="291"/>
      <x:c r="OGQ60" s="291"/>
      <x:c r="OGR60" s="291"/>
      <x:c r="OGS60" s="291"/>
      <x:c r="OGT60" s="291"/>
      <x:c r="OGU60" s="291"/>
      <x:c r="OGV60" s="291"/>
      <x:c r="OGW60" s="291"/>
      <x:c r="OGX60" s="291"/>
      <x:c r="OGY60" s="291"/>
      <x:c r="OGZ60" s="291"/>
      <x:c r="OHA60" s="291"/>
      <x:c r="OHB60" s="291"/>
      <x:c r="OHC60" s="291"/>
      <x:c r="OHD60" s="291"/>
      <x:c r="OHE60" s="291"/>
      <x:c r="OHF60" s="291"/>
      <x:c r="OHG60" s="291"/>
      <x:c r="OHH60" s="291"/>
      <x:c r="OHI60" s="291"/>
      <x:c r="OHJ60" s="291"/>
      <x:c r="OHK60" s="291"/>
      <x:c r="OHL60" s="291"/>
      <x:c r="OHM60" s="291"/>
      <x:c r="OHN60" s="291"/>
      <x:c r="OHO60" s="291"/>
      <x:c r="OHP60" s="291"/>
      <x:c r="OHQ60" s="291"/>
      <x:c r="OHR60" s="291"/>
      <x:c r="OHS60" s="291"/>
      <x:c r="OHT60" s="291"/>
      <x:c r="OHU60" s="291"/>
      <x:c r="OHV60" s="291"/>
      <x:c r="OHW60" s="291"/>
      <x:c r="OHX60" s="291"/>
      <x:c r="OHY60" s="291"/>
      <x:c r="OHZ60" s="291"/>
      <x:c r="OIA60" s="291"/>
      <x:c r="OIB60" s="291"/>
      <x:c r="OIC60" s="291"/>
      <x:c r="OID60" s="291"/>
      <x:c r="OIE60" s="291"/>
      <x:c r="OIF60" s="291"/>
      <x:c r="OIG60" s="291"/>
      <x:c r="OIH60" s="291"/>
      <x:c r="OII60" s="291"/>
      <x:c r="OIJ60" s="291"/>
      <x:c r="OIK60" s="291"/>
      <x:c r="OIL60" s="291"/>
      <x:c r="OIM60" s="291"/>
      <x:c r="OIN60" s="291"/>
      <x:c r="OIO60" s="291"/>
      <x:c r="OIP60" s="291"/>
      <x:c r="OIQ60" s="291"/>
      <x:c r="OIR60" s="291"/>
      <x:c r="OIS60" s="291"/>
      <x:c r="OIT60" s="291"/>
      <x:c r="OIU60" s="291"/>
      <x:c r="OIV60" s="291"/>
      <x:c r="OIW60" s="291"/>
      <x:c r="OIX60" s="291"/>
      <x:c r="OIY60" s="291"/>
      <x:c r="OIZ60" s="291"/>
      <x:c r="OJA60" s="291"/>
      <x:c r="OJB60" s="291"/>
      <x:c r="OJC60" s="291"/>
      <x:c r="OJD60" s="291"/>
      <x:c r="OJE60" s="291"/>
      <x:c r="OJF60" s="291"/>
      <x:c r="OJG60" s="291"/>
      <x:c r="OJH60" s="291"/>
      <x:c r="OJI60" s="291"/>
      <x:c r="OJJ60" s="291"/>
      <x:c r="OJK60" s="291"/>
      <x:c r="OJL60" s="291"/>
      <x:c r="OJM60" s="291"/>
      <x:c r="OJN60" s="291"/>
      <x:c r="OJO60" s="291"/>
      <x:c r="OJP60" s="291"/>
      <x:c r="OJQ60" s="291"/>
      <x:c r="OJR60" s="291"/>
      <x:c r="OJS60" s="291"/>
      <x:c r="OJT60" s="291"/>
      <x:c r="OJU60" s="291"/>
      <x:c r="OJV60" s="291"/>
      <x:c r="OJW60" s="291"/>
      <x:c r="OJX60" s="291"/>
      <x:c r="OJY60" s="291"/>
      <x:c r="OJZ60" s="291"/>
      <x:c r="OKA60" s="291"/>
      <x:c r="OKB60" s="291"/>
      <x:c r="OKC60" s="291"/>
      <x:c r="OKD60" s="291"/>
      <x:c r="OKE60" s="291"/>
      <x:c r="OKF60" s="291"/>
      <x:c r="OKG60" s="291"/>
      <x:c r="OKH60" s="291"/>
      <x:c r="OKI60" s="291"/>
      <x:c r="OKJ60" s="291"/>
      <x:c r="OKK60" s="291"/>
      <x:c r="OKL60" s="291"/>
      <x:c r="OKM60" s="291"/>
      <x:c r="OKN60" s="291"/>
      <x:c r="OKO60" s="291"/>
      <x:c r="OKP60" s="291"/>
      <x:c r="OKQ60" s="291"/>
      <x:c r="OKR60" s="291"/>
      <x:c r="OKS60" s="291"/>
      <x:c r="OKT60" s="291"/>
      <x:c r="OKU60" s="291"/>
      <x:c r="OKV60" s="291"/>
      <x:c r="OKW60" s="291"/>
      <x:c r="OKX60" s="291"/>
      <x:c r="OKY60" s="291"/>
      <x:c r="OKZ60" s="291"/>
      <x:c r="OLA60" s="291"/>
      <x:c r="OLB60" s="291"/>
      <x:c r="OLC60" s="291"/>
      <x:c r="OLD60" s="291"/>
      <x:c r="OLE60" s="291"/>
      <x:c r="OLF60" s="291"/>
      <x:c r="OLG60" s="291"/>
      <x:c r="OLH60" s="291"/>
      <x:c r="OLI60" s="291"/>
      <x:c r="OLJ60" s="291"/>
      <x:c r="OLK60" s="291"/>
      <x:c r="OLL60" s="291"/>
      <x:c r="OLM60" s="291"/>
      <x:c r="OLN60" s="291"/>
      <x:c r="OLO60" s="291"/>
      <x:c r="OLP60" s="291"/>
      <x:c r="OLQ60" s="291"/>
      <x:c r="OLR60" s="291"/>
      <x:c r="OLS60" s="291"/>
      <x:c r="OLT60" s="291"/>
      <x:c r="OLU60" s="291"/>
      <x:c r="OLV60" s="291"/>
      <x:c r="OLW60" s="291"/>
      <x:c r="OLX60" s="291"/>
      <x:c r="OLY60" s="291"/>
      <x:c r="OLZ60" s="291"/>
      <x:c r="OMA60" s="291"/>
      <x:c r="OMB60" s="291"/>
      <x:c r="OMC60" s="291"/>
      <x:c r="OMD60" s="291"/>
      <x:c r="OME60" s="291"/>
      <x:c r="OMF60" s="291"/>
      <x:c r="OMG60" s="291"/>
      <x:c r="OMH60" s="291"/>
      <x:c r="OMI60" s="291"/>
      <x:c r="OMJ60" s="291"/>
      <x:c r="OMK60" s="291"/>
      <x:c r="OML60" s="291"/>
      <x:c r="OMM60" s="291"/>
      <x:c r="OMN60" s="291"/>
      <x:c r="OMO60" s="291"/>
      <x:c r="OMP60" s="291"/>
      <x:c r="OMQ60" s="291"/>
      <x:c r="OMR60" s="291"/>
      <x:c r="OMS60" s="291"/>
      <x:c r="OMT60" s="291"/>
      <x:c r="OMU60" s="291"/>
      <x:c r="OMV60" s="291"/>
      <x:c r="OMW60" s="291"/>
      <x:c r="OMX60" s="291"/>
      <x:c r="OMY60" s="291"/>
      <x:c r="OMZ60" s="291"/>
      <x:c r="ONA60" s="291"/>
      <x:c r="ONB60" s="291"/>
      <x:c r="ONC60" s="291"/>
      <x:c r="OND60" s="291"/>
      <x:c r="ONE60" s="291"/>
      <x:c r="ONF60" s="291"/>
      <x:c r="ONG60" s="291"/>
      <x:c r="ONH60" s="291"/>
      <x:c r="ONI60" s="291"/>
      <x:c r="ONJ60" s="291"/>
      <x:c r="ONK60" s="291"/>
      <x:c r="ONL60" s="291"/>
      <x:c r="ONM60" s="291"/>
      <x:c r="ONN60" s="291"/>
      <x:c r="ONO60" s="291"/>
      <x:c r="ONP60" s="291"/>
      <x:c r="ONQ60" s="291"/>
      <x:c r="ONR60" s="291"/>
      <x:c r="ONS60" s="291"/>
      <x:c r="ONT60" s="291"/>
      <x:c r="ONU60" s="291"/>
      <x:c r="ONV60" s="291"/>
      <x:c r="ONW60" s="291"/>
      <x:c r="ONX60" s="291"/>
      <x:c r="ONY60" s="291"/>
      <x:c r="ONZ60" s="291"/>
      <x:c r="OOA60" s="291"/>
      <x:c r="OOB60" s="291"/>
      <x:c r="OOC60" s="291"/>
      <x:c r="OOD60" s="291"/>
      <x:c r="OOE60" s="291"/>
      <x:c r="OOF60" s="291"/>
      <x:c r="OOG60" s="291"/>
      <x:c r="OOH60" s="291"/>
      <x:c r="OOI60" s="291"/>
      <x:c r="OOJ60" s="291"/>
      <x:c r="OOK60" s="291"/>
      <x:c r="OOL60" s="291"/>
      <x:c r="OOM60" s="291"/>
      <x:c r="OON60" s="291"/>
      <x:c r="OOO60" s="291"/>
      <x:c r="OOP60" s="291"/>
      <x:c r="OOQ60" s="291"/>
      <x:c r="OOR60" s="291"/>
      <x:c r="OOS60" s="291"/>
      <x:c r="OOT60" s="291"/>
      <x:c r="OOU60" s="291"/>
      <x:c r="OOV60" s="291"/>
      <x:c r="OOW60" s="291"/>
      <x:c r="OOX60" s="291"/>
      <x:c r="OOY60" s="291"/>
      <x:c r="OOZ60" s="291"/>
      <x:c r="OPA60" s="291"/>
      <x:c r="OPB60" s="291"/>
      <x:c r="OPC60" s="291"/>
      <x:c r="OPD60" s="291"/>
      <x:c r="OPE60" s="291"/>
      <x:c r="OPF60" s="291"/>
      <x:c r="OPG60" s="291"/>
      <x:c r="OPH60" s="291"/>
      <x:c r="OPI60" s="291"/>
      <x:c r="OPJ60" s="291"/>
      <x:c r="OPK60" s="291"/>
      <x:c r="OPL60" s="291"/>
      <x:c r="OPM60" s="291"/>
      <x:c r="OPN60" s="291"/>
      <x:c r="OPO60" s="291"/>
      <x:c r="OPP60" s="291"/>
      <x:c r="OPQ60" s="291"/>
      <x:c r="OPR60" s="291"/>
      <x:c r="OPS60" s="291"/>
      <x:c r="OPT60" s="291"/>
      <x:c r="OPU60" s="291"/>
      <x:c r="OPV60" s="291"/>
      <x:c r="OPW60" s="291"/>
      <x:c r="OPX60" s="291"/>
      <x:c r="OPY60" s="291"/>
      <x:c r="OPZ60" s="291"/>
      <x:c r="OQA60" s="291"/>
      <x:c r="OQB60" s="291"/>
      <x:c r="OQC60" s="291"/>
      <x:c r="OQD60" s="291"/>
      <x:c r="OQE60" s="291"/>
      <x:c r="OQF60" s="291"/>
      <x:c r="OQG60" s="291"/>
      <x:c r="OQH60" s="291"/>
      <x:c r="OQI60" s="291"/>
      <x:c r="OQJ60" s="291"/>
      <x:c r="OQK60" s="291"/>
      <x:c r="OQL60" s="291"/>
      <x:c r="OQM60" s="291"/>
      <x:c r="OQN60" s="291"/>
      <x:c r="OQO60" s="291"/>
      <x:c r="OQP60" s="291"/>
      <x:c r="OQQ60" s="291"/>
      <x:c r="OQR60" s="291"/>
      <x:c r="OQS60" s="291"/>
      <x:c r="OQT60" s="291"/>
      <x:c r="OQU60" s="291"/>
      <x:c r="OQV60" s="291"/>
      <x:c r="OQW60" s="291"/>
      <x:c r="OQX60" s="291"/>
      <x:c r="OQY60" s="291"/>
      <x:c r="OQZ60" s="291"/>
      <x:c r="ORA60" s="291"/>
      <x:c r="ORB60" s="291"/>
      <x:c r="ORC60" s="291"/>
      <x:c r="ORD60" s="291"/>
      <x:c r="ORE60" s="291"/>
      <x:c r="ORF60" s="291"/>
      <x:c r="ORG60" s="291"/>
      <x:c r="ORH60" s="291"/>
      <x:c r="ORI60" s="291"/>
      <x:c r="ORJ60" s="291"/>
      <x:c r="ORK60" s="291"/>
      <x:c r="ORL60" s="291"/>
      <x:c r="ORM60" s="291"/>
      <x:c r="ORN60" s="291"/>
      <x:c r="ORO60" s="291"/>
      <x:c r="ORP60" s="291"/>
      <x:c r="ORQ60" s="291"/>
      <x:c r="ORR60" s="291"/>
      <x:c r="ORS60" s="291"/>
      <x:c r="ORT60" s="291"/>
      <x:c r="ORU60" s="291"/>
      <x:c r="ORV60" s="291"/>
      <x:c r="ORW60" s="291"/>
      <x:c r="ORX60" s="291"/>
      <x:c r="ORY60" s="291"/>
      <x:c r="ORZ60" s="291"/>
      <x:c r="OSA60" s="291"/>
      <x:c r="OSB60" s="291"/>
      <x:c r="OSC60" s="291"/>
      <x:c r="OSD60" s="291"/>
      <x:c r="OSE60" s="291"/>
      <x:c r="OSF60" s="291"/>
      <x:c r="OSG60" s="291"/>
      <x:c r="OSH60" s="291"/>
      <x:c r="OSI60" s="291"/>
      <x:c r="OSJ60" s="291"/>
      <x:c r="OSK60" s="291"/>
      <x:c r="OSL60" s="291"/>
      <x:c r="OSM60" s="291"/>
      <x:c r="OSN60" s="291"/>
      <x:c r="OSO60" s="291"/>
      <x:c r="OSP60" s="291"/>
      <x:c r="OSQ60" s="291"/>
      <x:c r="OSR60" s="291"/>
      <x:c r="OSS60" s="291"/>
      <x:c r="OST60" s="291"/>
      <x:c r="OSU60" s="291"/>
      <x:c r="OSV60" s="291"/>
      <x:c r="OSW60" s="291"/>
      <x:c r="OSX60" s="291"/>
      <x:c r="OSY60" s="291"/>
      <x:c r="OSZ60" s="291"/>
      <x:c r="OTA60" s="291"/>
      <x:c r="OTB60" s="291"/>
      <x:c r="OTC60" s="291"/>
      <x:c r="OTD60" s="291"/>
      <x:c r="OTE60" s="291"/>
      <x:c r="OTF60" s="291"/>
      <x:c r="OTG60" s="291"/>
      <x:c r="OTH60" s="291"/>
      <x:c r="OTI60" s="291"/>
      <x:c r="OTJ60" s="291"/>
      <x:c r="OTK60" s="291"/>
      <x:c r="OTL60" s="291"/>
      <x:c r="OTM60" s="291"/>
      <x:c r="OTN60" s="291"/>
      <x:c r="OTO60" s="291"/>
      <x:c r="OTP60" s="291"/>
      <x:c r="OTQ60" s="291"/>
      <x:c r="OTR60" s="291"/>
      <x:c r="OTS60" s="291"/>
      <x:c r="OTT60" s="291"/>
      <x:c r="OTU60" s="291"/>
      <x:c r="OTV60" s="291"/>
      <x:c r="OTW60" s="291"/>
      <x:c r="OTX60" s="291"/>
      <x:c r="OTY60" s="291"/>
      <x:c r="OTZ60" s="291"/>
      <x:c r="OUA60" s="291"/>
      <x:c r="OUB60" s="291"/>
      <x:c r="OUC60" s="291"/>
      <x:c r="OUD60" s="291"/>
      <x:c r="OUE60" s="291"/>
      <x:c r="OUF60" s="291"/>
      <x:c r="OUG60" s="291"/>
      <x:c r="OUH60" s="291"/>
      <x:c r="OUI60" s="291"/>
      <x:c r="OUJ60" s="291"/>
      <x:c r="OUK60" s="291"/>
      <x:c r="OUL60" s="291"/>
      <x:c r="OUM60" s="291"/>
      <x:c r="OUN60" s="291"/>
      <x:c r="OUO60" s="291"/>
      <x:c r="OUP60" s="291"/>
      <x:c r="OUQ60" s="291"/>
      <x:c r="OUR60" s="291"/>
      <x:c r="OUS60" s="291"/>
      <x:c r="OUT60" s="291"/>
      <x:c r="OUU60" s="291"/>
      <x:c r="OUV60" s="291"/>
      <x:c r="OUW60" s="291"/>
      <x:c r="OUX60" s="291"/>
      <x:c r="OUY60" s="291"/>
      <x:c r="OUZ60" s="291"/>
      <x:c r="OVA60" s="291"/>
      <x:c r="OVB60" s="291"/>
      <x:c r="OVC60" s="291"/>
      <x:c r="OVD60" s="291"/>
      <x:c r="OVE60" s="291"/>
      <x:c r="OVF60" s="291"/>
      <x:c r="OVG60" s="291"/>
      <x:c r="OVH60" s="291"/>
      <x:c r="OVI60" s="291"/>
      <x:c r="OVJ60" s="291"/>
      <x:c r="OVK60" s="291"/>
      <x:c r="OVL60" s="291"/>
      <x:c r="OVM60" s="291"/>
      <x:c r="OVN60" s="291"/>
      <x:c r="OVO60" s="291"/>
      <x:c r="OVP60" s="291"/>
      <x:c r="OVQ60" s="291"/>
      <x:c r="OVR60" s="291"/>
      <x:c r="OVS60" s="291"/>
      <x:c r="OVT60" s="291"/>
      <x:c r="OVU60" s="291"/>
      <x:c r="OVV60" s="291"/>
      <x:c r="OVW60" s="291"/>
      <x:c r="OVX60" s="291"/>
      <x:c r="OVY60" s="291"/>
      <x:c r="OVZ60" s="291"/>
      <x:c r="OWA60" s="291"/>
      <x:c r="OWB60" s="291"/>
      <x:c r="OWC60" s="291"/>
      <x:c r="OWD60" s="291"/>
      <x:c r="OWE60" s="291"/>
      <x:c r="OWF60" s="291"/>
      <x:c r="OWG60" s="291"/>
      <x:c r="OWH60" s="291"/>
      <x:c r="OWI60" s="291"/>
      <x:c r="OWJ60" s="291"/>
      <x:c r="OWK60" s="291"/>
      <x:c r="OWL60" s="291"/>
      <x:c r="OWM60" s="291"/>
      <x:c r="OWN60" s="291"/>
      <x:c r="OWO60" s="291"/>
      <x:c r="OWP60" s="291"/>
      <x:c r="OWQ60" s="291"/>
      <x:c r="OWR60" s="291"/>
      <x:c r="OWS60" s="291"/>
      <x:c r="OWT60" s="291"/>
      <x:c r="OWU60" s="291"/>
      <x:c r="OWV60" s="291"/>
      <x:c r="OWW60" s="291"/>
      <x:c r="OWX60" s="291"/>
      <x:c r="OWY60" s="291"/>
      <x:c r="OWZ60" s="291"/>
      <x:c r="OXA60" s="291"/>
      <x:c r="OXB60" s="291"/>
      <x:c r="OXC60" s="291"/>
      <x:c r="OXD60" s="291"/>
      <x:c r="OXE60" s="291"/>
      <x:c r="OXF60" s="291"/>
      <x:c r="OXG60" s="291"/>
      <x:c r="OXH60" s="291"/>
      <x:c r="OXI60" s="291"/>
      <x:c r="OXJ60" s="291"/>
      <x:c r="OXK60" s="291"/>
      <x:c r="OXL60" s="291"/>
      <x:c r="OXM60" s="291"/>
      <x:c r="OXN60" s="291"/>
      <x:c r="OXO60" s="291"/>
      <x:c r="OXP60" s="291"/>
      <x:c r="OXQ60" s="291"/>
      <x:c r="OXR60" s="291"/>
      <x:c r="OXS60" s="291"/>
      <x:c r="OXT60" s="291"/>
      <x:c r="OXU60" s="291"/>
      <x:c r="OXV60" s="291"/>
      <x:c r="OXW60" s="291"/>
      <x:c r="OXX60" s="291"/>
      <x:c r="OXY60" s="291"/>
      <x:c r="OXZ60" s="291"/>
      <x:c r="OYA60" s="291"/>
      <x:c r="OYB60" s="291"/>
      <x:c r="OYC60" s="291"/>
      <x:c r="OYD60" s="291"/>
      <x:c r="OYE60" s="291"/>
      <x:c r="OYF60" s="291"/>
      <x:c r="OYG60" s="291"/>
      <x:c r="OYH60" s="291"/>
      <x:c r="OYI60" s="291"/>
      <x:c r="OYJ60" s="291"/>
      <x:c r="OYK60" s="291"/>
      <x:c r="OYL60" s="291"/>
      <x:c r="OYM60" s="291"/>
      <x:c r="OYN60" s="291"/>
      <x:c r="OYO60" s="291"/>
      <x:c r="OYP60" s="291"/>
      <x:c r="OYQ60" s="291"/>
      <x:c r="OYR60" s="291"/>
      <x:c r="OYS60" s="291"/>
      <x:c r="OYT60" s="291"/>
      <x:c r="OYU60" s="291"/>
      <x:c r="OYV60" s="291"/>
      <x:c r="OYW60" s="291"/>
      <x:c r="OYX60" s="291"/>
      <x:c r="OYY60" s="291"/>
      <x:c r="OYZ60" s="291"/>
      <x:c r="OZA60" s="291"/>
      <x:c r="OZB60" s="291"/>
      <x:c r="OZC60" s="291"/>
      <x:c r="OZD60" s="291"/>
      <x:c r="OZE60" s="291"/>
      <x:c r="OZF60" s="291"/>
      <x:c r="OZG60" s="291"/>
      <x:c r="OZH60" s="291"/>
      <x:c r="OZI60" s="291"/>
      <x:c r="OZJ60" s="291"/>
      <x:c r="OZK60" s="291"/>
      <x:c r="OZL60" s="291"/>
      <x:c r="OZM60" s="291"/>
      <x:c r="OZN60" s="291"/>
      <x:c r="OZO60" s="291"/>
      <x:c r="OZP60" s="291"/>
      <x:c r="OZQ60" s="291"/>
      <x:c r="OZR60" s="291"/>
      <x:c r="OZS60" s="291"/>
      <x:c r="OZT60" s="291"/>
      <x:c r="OZU60" s="291"/>
      <x:c r="OZV60" s="291"/>
      <x:c r="OZW60" s="291"/>
      <x:c r="OZX60" s="291"/>
      <x:c r="OZY60" s="291"/>
      <x:c r="OZZ60" s="291"/>
      <x:c r="PAA60" s="291"/>
      <x:c r="PAB60" s="291"/>
      <x:c r="PAC60" s="291"/>
      <x:c r="PAD60" s="291"/>
      <x:c r="PAE60" s="291"/>
      <x:c r="PAF60" s="291"/>
      <x:c r="PAG60" s="291"/>
      <x:c r="PAH60" s="291"/>
      <x:c r="PAI60" s="291"/>
      <x:c r="PAJ60" s="291"/>
      <x:c r="PAK60" s="291"/>
      <x:c r="PAL60" s="291"/>
      <x:c r="PAM60" s="291"/>
      <x:c r="PAN60" s="291"/>
      <x:c r="PAO60" s="291"/>
      <x:c r="PAP60" s="291"/>
      <x:c r="PAQ60" s="291"/>
      <x:c r="PAR60" s="291"/>
      <x:c r="PAS60" s="291"/>
      <x:c r="PAT60" s="291"/>
      <x:c r="PAU60" s="291"/>
      <x:c r="PAV60" s="291"/>
      <x:c r="PAW60" s="291"/>
      <x:c r="PAX60" s="291"/>
      <x:c r="PAY60" s="291"/>
      <x:c r="PAZ60" s="291"/>
      <x:c r="PBA60" s="291"/>
      <x:c r="PBB60" s="291"/>
      <x:c r="PBC60" s="291"/>
      <x:c r="PBD60" s="291"/>
      <x:c r="PBE60" s="291"/>
      <x:c r="PBF60" s="291"/>
      <x:c r="PBG60" s="291"/>
      <x:c r="PBH60" s="291"/>
      <x:c r="PBI60" s="291"/>
      <x:c r="PBJ60" s="291"/>
      <x:c r="PBK60" s="291"/>
      <x:c r="PBL60" s="291"/>
      <x:c r="PBM60" s="291"/>
      <x:c r="PBN60" s="291"/>
      <x:c r="PBO60" s="291"/>
      <x:c r="PBP60" s="291"/>
      <x:c r="PBQ60" s="291"/>
      <x:c r="PBR60" s="291"/>
      <x:c r="PBS60" s="291"/>
      <x:c r="PBT60" s="291"/>
      <x:c r="PBU60" s="291"/>
      <x:c r="PBV60" s="291"/>
      <x:c r="PBW60" s="291"/>
      <x:c r="PBX60" s="291"/>
      <x:c r="PBY60" s="291"/>
      <x:c r="PBZ60" s="291"/>
      <x:c r="PCA60" s="291"/>
      <x:c r="PCB60" s="291"/>
      <x:c r="PCC60" s="291"/>
      <x:c r="PCD60" s="291"/>
      <x:c r="PCE60" s="291"/>
      <x:c r="PCF60" s="291"/>
      <x:c r="PCG60" s="291"/>
      <x:c r="PCH60" s="291"/>
      <x:c r="PCI60" s="291"/>
      <x:c r="PCJ60" s="291"/>
      <x:c r="PCK60" s="291"/>
      <x:c r="PCL60" s="291"/>
      <x:c r="PCM60" s="291"/>
      <x:c r="PCN60" s="291"/>
      <x:c r="PCO60" s="291"/>
      <x:c r="PCP60" s="291"/>
      <x:c r="PCQ60" s="291"/>
      <x:c r="PCR60" s="291"/>
      <x:c r="PCS60" s="291"/>
      <x:c r="PCT60" s="291"/>
      <x:c r="PCU60" s="291"/>
      <x:c r="PCV60" s="291"/>
      <x:c r="PCW60" s="291"/>
      <x:c r="PCX60" s="291"/>
      <x:c r="PCY60" s="291"/>
      <x:c r="PCZ60" s="291"/>
      <x:c r="PDA60" s="291"/>
      <x:c r="PDB60" s="291"/>
      <x:c r="PDC60" s="291"/>
      <x:c r="PDD60" s="291"/>
      <x:c r="PDE60" s="291"/>
      <x:c r="PDF60" s="291"/>
      <x:c r="PDG60" s="291"/>
      <x:c r="PDH60" s="291"/>
      <x:c r="PDI60" s="291"/>
      <x:c r="PDJ60" s="291"/>
      <x:c r="PDK60" s="291"/>
      <x:c r="PDL60" s="291"/>
      <x:c r="PDM60" s="291"/>
      <x:c r="PDN60" s="291"/>
      <x:c r="PDO60" s="291"/>
      <x:c r="PDP60" s="291"/>
      <x:c r="PDQ60" s="291"/>
      <x:c r="PDR60" s="291"/>
      <x:c r="PDS60" s="291"/>
      <x:c r="PDT60" s="291"/>
      <x:c r="PDU60" s="291"/>
      <x:c r="PDV60" s="291"/>
      <x:c r="PDW60" s="291"/>
      <x:c r="PDX60" s="291"/>
      <x:c r="PDY60" s="291"/>
      <x:c r="PDZ60" s="291"/>
      <x:c r="PEA60" s="291"/>
      <x:c r="PEB60" s="291"/>
      <x:c r="PEC60" s="291"/>
      <x:c r="PED60" s="291"/>
      <x:c r="PEE60" s="291"/>
      <x:c r="PEF60" s="291"/>
      <x:c r="PEG60" s="291"/>
      <x:c r="PEH60" s="291"/>
      <x:c r="PEI60" s="291"/>
      <x:c r="PEJ60" s="291"/>
      <x:c r="PEK60" s="291"/>
      <x:c r="PEL60" s="291"/>
      <x:c r="PEM60" s="291"/>
      <x:c r="PEN60" s="291"/>
      <x:c r="PEO60" s="291"/>
      <x:c r="PEP60" s="291"/>
      <x:c r="PEQ60" s="291"/>
      <x:c r="PER60" s="291"/>
      <x:c r="PES60" s="291"/>
      <x:c r="PET60" s="291"/>
      <x:c r="PEU60" s="291"/>
      <x:c r="PEV60" s="291"/>
      <x:c r="PEW60" s="291"/>
      <x:c r="PEX60" s="291"/>
      <x:c r="PEY60" s="291"/>
      <x:c r="PEZ60" s="291"/>
      <x:c r="PFA60" s="291"/>
      <x:c r="PFB60" s="291"/>
      <x:c r="PFC60" s="291"/>
      <x:c r="PFD60" s="291"/>
      <x:c r="PFE60" s="291"/>
      <x:c r="PFF60" s="291"/>
      <x:c r="PFG60" s="291"/>
      <x:c r="PFH60" s="291"/>
      <x:c r="PFI60" s="291"/>
      <x:c r="PFJ60" s="291"/>
      <x:c r="PFK60" s="291"/>
      <x:c r="PFL60" s="291"/>
      <x:c r="PFM60" s="291"/>
      <x:c r="PFN60" s="291"/>
      <x:c r="PFO60" s="291"/>
      <x:c r="PFP60" s="291"/>
      <x:c r="PFQ60" s="291"/>
      <x:c r="PFR60" s="291"/>
      <x:c r="PFS60" s="291"/>
      <x:c r="PFT60" s="291"/>
      <x:c r="PFU60" s="291"/>
      <x:c r="PFV60" s="291"/>
      <x:c r="PFW60" s="291"/>
      <x:c r="PFX60" s="291"/>
      <x:c r="PFY60" s="291"/>
      <x:c r="PFZ60" s="291"/>
      <x:c r="PGA60" s="291"/>
      <x:c r="PGB60" s="291"/>
      <x:c r="PGC60" s="291"/>
      <x:c r="PGD60" s="291"/>
      <x:c r="PGE60" s="291"/>
      <x:c r="PGF60" s="291"/>
      <x:c r="PGG60" s="291"/>
      <x:c r="PGH60" s="291"/>
      <x:c r="PGI60" s="291"/>
      <x:c r="PGJ60" s="291"/>
      <x:c r="PGK60" s="291"/>
      <x:c r="PGL60" s="291"/>
      <x:c r="PGM60" s="291"/>
      <x:c r="PGN60" s="291"/>
      <x:c r="PGO60" s="291"/>
      <x:c r="PGP60" s="291"/>
      <x:c r="PGQ60" s="291"/>
      <x:c r="PGR60" s="291"/>
      <x:c r="PGS60" s="291"/>
      <x:c r="PGT60" s="291"/>
      <x:c r="PGU60" s="291"/>
      <x:c r="PGV60" s="291"/>
      <x:c r="PGW60" s="291"/>
      <x:c r="PGX60" s="291"/>
      <x:c r="PGY60" s="291"/>
      <x:c r="PGZ60" s="291"/>
      <x:c r="PHA60" s="291"/>
      <x:c r="PHB60" s="291"/>
      <x:c r="PHC60" s="291"/>
      <x:c r="PHD60" s="291"/>
      <x:c r="PHE60" s="291"/>
      <x:c r="PHF60" s="291"/>
      <x:c r="PHG60" s="291"/>
      <x:c r="PHH60" s="291"/>
      <x:c r="PHI60" s="291"/>
      <x:c r="PHJ60" s="291"/>
      <x:c r="PHK60" s="291"/>
      <x:c r="PHL60" s="291"/>
      <x:c r="PHM60" s="291"/>
      <x:c r="PHN60" s="291"/>
      <x:c r="PHO60" s="291"/>
      <x:c r="PHP60" s="291"/>
      <x:c r="PHQ60" s="291"/>
      <x:c r="PHR60" s="291"/>
      <x:c r="PHS60" s="291"/>
      <x:c r="PHT60" s="291"/>
      <x:c r="PHU60" s="291"/>
      <x:c r="PHV60" s="291"/>
      <x:c r="PHW60" s="291"/>
      <x:c r="PHX60" s="291"/>
      <x:c r="PHY60" s="291"/>
      <x:c r="PHZ60" s="291"/>
      <x:c r="PIA60" s="291"/>
      <x:c r="PIB60" s="291"/>
      <x:c r="PIC60" s="291"/>
      <x:c r="PID60" s="291"/>
      <x:c r="PIE60" s="291"/>
      <x:c r="PIF60" s="291"/>
      <x:c r="PIG60" s="291"/>
      <x:c r="PIH60" s="291"/>
      <x:c r="PII60" s="291"/>
      <x:c r="PIJ60" s="291"/>
      <x:c r="PIK60" s="291"/>
      <x:c r="PIL60" s="291"/>
      <x:c r="PIM60" s="291"/>
      <x:c r="PIN60" s="291"/>
      <x:c r="PIO60" s="291"/>
      <x:c r="PIP60" s="291"/>
      <x:c r="PIQ60" s="291"/>
      <x:c r="PIR60" s="291"/>
      <x:c r="PIS60" s="291"/>
      <x:c r="PIT60" s="291"/>
      <x:c r="PIU60" s="291"/>
      <x:c r="PIV60" s="291"/>
      <x:c r="PIW60" s="291"/>
      <x:c r="PIX60" s="291"/>
      <x:c r="PIY60" s="291"/>
      <x:c r="PIZ60" s="291"/>
      <x:c r="PJA60" s="291"/>
      <x:c r="PJB60" s="291"/>
      <x:c r="PJC60" s="291"/>
      <x:c r="PJD60" s="291"/>
      <x:c r="PJE60" s="291"/>
      <x:c r="PJF60" s="291"/>
      <x:c r="PJG60" s="291"/>
      <x:c r="PJH60" s="291"/>
      <x:c r="PJI60" s="291"/>
      <x:c r="PJJ60" s="291"/>
      <x:c r="PJK60" s="291"/>
      <x:c r="PJL60" s="291"/>
      <x:c r="PJM60" s="291"/>
      <x:c r="PJN60" s="291"/>
      <x:c r="PJO60" s="291"/>
      <x:c r="PJP60" s="291"/>
      <x:c r="PJQ60" s="291"/>
      <x:c r="PJR60" s="291"/>
      <x:c r="PJS60" s="291"/>
      <x:c r="PJT60" s="291"/>
      <x:c r="PJU60" s="291"/>
      <x:c r="PJV60" s="291"/>
      <x:c r="PJW60" s="291"/>
      <x:c r="PJX60" s="291"/>
      <x:c r="PJY60" s="291"/>
      <x:c r="PJZ60" s="291"/>
      <x:c r="PKA60" s="291"/>
      <x:c r="PKB60" s="291"/>
      <x:c r="PKC60" s="291"/>
      <x:c r="PKD60" s="291"/>
      <x:c r="PKE60" s="291"/>
      <x:c r="PKF60" s="291"/>
      <x:c r="PKG60" s="291"/>
      <x:c r="PKH60" s="291"/>
      <x:c r="PKI60" s="291"/>
      <x:c r="PKJ60" s="291"/>
      <x:c r="PKK60" s="291"/>
      <x:c r="PKL60" s="291"/>
      <x:c r="PKM60" s="291"/>
      <x:c r="PKN60" s="291"/>
      <x:c r="PKO60" s="291"/>
      <x:c r="PKP60" s="291"/>
      <x:c r="PKQ60" s="291"/>
      <x:c r="PKR60" s="291"/>
      <x:c r="PKS60" s="291"/>
      <x:c r="PKT60" s="291"/>
      <x:c r="PKU60" s="291"/>
      <x:c r="PKV60" s="291"/>
      <x:c r="PKW60" s="291"/>
      <x:c r="PKX60" s="291"/>
      <x:c r="PKY60" s="291"/>
      <x:c r="PKZ60" s="291"/>
      <x:c r="PLA60" s="291"/>
      <x:c r="PLB60" s="291"/>
      <x:c r="PLC60" s="291"/>
      <x:c r="PLD60" s="291"/>
      <x:c r="PLE60" s="291"/>
      <x:c r="PLF60" s="291"/>
      <x:c r="PLG60" s="291"/>
      <x:c r="PLH60" s="291"/>
      <x:c r="PLI60" s="291"/>
      <x:c r="PLJ60" s="291"/>
      <x:c r="PLK60" s="291"/>
      <x:c r="PLL60" s="291"/>
      <x:c r="PLM60" s="291"/>
      <x:c r="PLN60" s="291"/>
      <x:c r="PLO60" s="291"/>
      <x:c r="PLP60" s="291"/>
      <x:c r="PLQ60" s="291"/>
      <x:c r="PLR60" s="291"/>
      <x:c r="PLS60" s="291"/>
      <x:c r="PLT60" s="291"/>
      <x:c r="PLU60" s="291"/>
      <x:c r="PLV60" s="291"/>
      <x:c r="PLW60" s="291"/>
      <x:c r="PLX60" s="291"/>
      <x:c r="PLY60" s="291"/>
      <x:c r="PLZ60" s="291"/>
      <x:c r="PMA60" s="291"/>
      <x:c r="PMB60" s="291"/>
      <x:c r="PMC60" s="291"/>
      <x:c r="PMD60" s="291"/>
      <x:c r="PME60" s="291"/>
      <x:c r="PMF60" s="291"/>
      <x:c r="PMG60" s="291"/>
      <x:c r="PMH60" s="291"/>
      <x:c r="PMI60" s="291"/>
      <x:c r="PMJ60" s="291"/>
      <x:c r="PMK60" s="291"/>
      <x:c r="PML60" s="291"/>
      <x:c r="PMM60" s="291"/>
      <x:c r="PMN60" s="291"/>
      <x:c r="PMO60" s="291"/>
      <x:c r="PMP60" s="291"/>
      <x:c r="PMQ60" s="291"/>
      <x:c r="PMR60" s="291"/>
      <x:c r="PMS60" s="291"/>
      <x:c r="PMT60" s="291"/>
      <x:c r="PMU60" s="291"/>
      <x:c r="PMV60" s="291"/>
      <x:c r="PMW60" s="291"/>
      <x:c r="PMX60" s="291"/>
      <x:c r="PMY60" s="291"/>
      <x:c r="PMZ60" s="291"/>
      <x:c r="PNA60" s="291"/>
      <x:c r="PNB60" s="291"/>
      <x:c r="PNC60" s="291"/>
      <x:c r="PND60" s="291"/>
      <x:c r="PNE60" s="291"/>
      <x:c r="PNF60" s="291"/>
      <x:c r="PNG60" s="291"/>
      <x:c r="PNH60" s="291"/>
      <x:c r="PNI60" s="291"/>
      <x:c r="PNJ60" s="291"/>
      <x:c r="PNK60" s="291"/>
      <x:c r="PNL60" s="291"/>
      <x:c r="PNM60" s="291"/>
      <x:c r="PNN60" s="291"/>
      <x:c r="PNO60" s="291"/>
      <x:c r="PNP60" s="291"/>
      <x:c r="PNQ60" s="291"/>
      <x:c r="PNR60" s="291"/>
      <x:c r="PNS60" s="291"/>
      <x:c r="PNT60" s="291"/>
      <x:c r="PNU60" s="291"/>
      <x:c r="PNV60" s="291"/>
      <x:c r="PNW60" s="291"/>
      <x:c r="PNX60" s="291"/>
      <x:c r="PNY60" s="291"/>
      <x:c r="PNZ60" s="291"/>
      <x:c r="POA60" s="291"/>
      <x:c r="POB60" s="291"/>
      <x:c r="POC60" s="291"/>
      <x:c r="POD60" s="291"/>
      <x:c r="POE60" s="291"/>
      <x:c r="POF60" s="291"/>
      <x:c r="POG60" s="291"/>
      <x:c r="POH60" s="291"/>
      <x:c r="POI60" s="291"/>
      <x:c r="POJ60" s="291"/>
      <x:c r="POK60" s="291"/>
      <x:c r="POL60" s="291"/>
      <x:c r="POM60" s="291"/>
      <x:c r="PON60" s="291"/>
      <x:c r="POO60" s="291"/>
      <x:c r="POP60" s="291"/>
      <x:c r="POQ60" s="291"/>
      <x:c r="POR60" s="291"/>
      <x:c r="POS60" s="291"/>
      <x:c r="POT60" s="291"/>
      <x:c r="POU60" s="291"/>
      <x:c r="POV60" s="291"/>
      <x:c r="POW60" s="291"/>
      <x:c r="POX60" s="291"/>
      <x:c r="POY60" s="291"/>
      <x:c r="POZ60" s="291"/>
      <x:c r="PPA60" s="291"/>
      <x:c r="PPB60" s="291"/>
      <x:c r="PPC60" s="291"/>
      <x:c r="PPD60" s="291"/>
      <x:c r="PPE60" s="291"/>
      <x:c r="PPF60" s="291"/>
      <x:c r="PPG60" s="291"/>
      <x:c r="PPH60" s="291"/>
      <x:c r="PPI60" s="291"/>
      <x:c r="PPJ60" s="291"/>
      <x:c r="PPK60" s="291"/>
      <x:c r="PPL60" s="291"/>
      <x:c r="PPM60" s="291"/>
      <x:c r="PPN60" s="291"/>
      <x:c r="PPO60" s="291"/>
      <x:c r="PPP60" s="291"/>
      <x:c r="PPQ60" s="291"/>
      <x:c r="PPR60" s="291"/>
      <x:c r="PPS60" s="291"/>
      <x:c r="PPT60" s="291"/>
      <x:c r="PPU60" s="291"/>
      <x:c r="PPV60" s="291"/>
      <x:c r="PPW60" s="291"/>
      <x:c r="PPX60" s="291"/>
      <x:c r="PPY60" s="291"/>
      <x:c r="PPZ60" s="291"/>
      <x:c r="PQA60" s="291"/>
      <x:c r="PQB60" s="291"/>
      <x:c r="PQC60" s="291"/>
      <x:c r="PQD60" s="291"/>
      <x:c r="PQE60" s="291"/>
      <x:c r="PQF60" s="291"/>
      <x:c r="PQG60" s="291"/>
      <x:c r="PQH60" s="291"/>
      <x:c r="PQI60" s="291"/>
      <x:c r="PQJ60" s="291"/>
      <x:c r="PQK60" s="291"/>
      <x:c r="PQL60" s="291"/>
      <x:c r="PQM60" s="291"/>
      <x:c r="PQN60" s="291"/>
      <x:c r="PQO60" s="291"/>
      <x:c r="PQP60" s="291"/>
      <x:c r="PQQ60" s="291"/>
      <x:c r="PQR60" s="291"/>
      <x:c r="PQS60" s="291"/>
      <x:c r="PQT60" s="291"/>
      <x:c r="PQU60" s="291"/>
      <x:c r="PQV60" s="291"/>
      <x:c r="PQW60" s="291"/>
      <x:c r="PQX60" s="291"/>
      <x:c r="PQY60" s="291"/>
      <x:c r="PQZ60" s="291"/>
      <x:c r="PRA60" s="291"/>
      <x:c r="PRB60" s="291"/>
      <x:c r="PRC60" s="291"/>
      <x:c r="PRD60" s="291"/>
      <x:c r="PRE60" s="291"/>
      <x:c r="PRF60" s="291"/>
      <x:c r="PRG60" s="291"/>
      <x:c r="PRH60" s="291"/>
      <x:c r="PRI60" s="291"/>
      <x:c r="PRJ60" s="291"/>
      <x:c r="PRK60" s="291"/>
      <x:c r="PRL60" s="291"/>
      <x:c r="PRM60" s="291"/>
      <x:c r="PRN60" s="291"/>
      <x:c r="PRO60" s="291"/>
      <x:c r="PRP60" s="291"/>
      <x:c r="PRQ60" s="291"/>
      <x:c r="PRR60" s="291"/>
      <x:c r="PRS60" s="291"/>
      <x:c r="PRT60" s="291"/>
      <x:c r="PRU60" s="291"/>
      <x:c r="PRV60" s="291"/>
      <x:c r="PRW60" s="291"/>
      <x:c r="PRX60" s="291"/>
      <x:c r="PRY60" s="291"/>
      <x:c r="PRZ60" s="291"/>
      <x:c r="PSA60" s="291"/>
      <x:c r="PSB60" s="291"/>
      <x:c r="PSC60" s="291"/>
      <x:c r="PSD60" s="291"/>
      <x:c r="PSE60" s="291"/>
      <x:c r="PSF60" s="291"/>
      <x:c r="PSG60" s="291"/>
      <x:c r="PSH60" s="291"/>
      <x:c r="PSI60" s="291"/>
      <x:c r="PSJ60" s="291"/>
      <x:c r="PSK60" s="291"/>
      <x:c r="PSL60" s="291"/>
      <x:c r="PSM60" s="291"/>
      <x:c r="PSN60" s="291"/>
      <x:c r="PSO60" s="291"/>
      <x:c r="PSP60" s="291"/>
      <x:c r="PSQ60" s="291"/>
      <x:c r="PSR60" s="291"/>
      <x:c r="PSS60" s="291"/>
      <x:c r="PST60" s="291"/>
      <x:c r="PSU60" s="291"/>
      <x:c r="PSV60" s="291"/>
      <x:c r="PSW60" s="291"/>
      <x:c r="PSX60" s="291"/>
      <x:c r="PSY60" s="291"/>
      <x:c r="PSZ60" s="291"/>
      <x:c r="PTA60" s="291"/>
      <x:c r="PTB60" s="291"/>
      <x:c r="PTC60" s="291"/>
      <x:c r="PTD60" s="291"/>
      <x:c r="PTE60" s="291"/>
      <x:c r="PTF60" s="291"/>
      <x:c r="PTG60" s="291"/>
      <x:c r="PTH60" s="291"/>
      <x:c r="PTI60" s="291"/>
      <x:c r="PTJ60" s="291"/>
      <x:c r="PTK60" s="291"/>
      <x:c r="PTL60" s="291"/>
      <x:c r="PTM60" s="291"/>
      <x:c r="PTN60" s="291"/>
      <x:c r="PTO60" s="291"/>
      <x:c r="PTP60" s="291"/>
      <x:c r="PTQ60" s="291"/>
      <x:c r="PTR60" s="291"/>
      <x:c r="PTS60" s="291"/>
      <x:c r="PTT60" s="291"/>
      <x:c r="PTU60" s="291"/>
      <x:c r="PTV60" s="291"/>
      <x:c r="PTW60" s="291"/>
      <x:c r="PTX60" s="291"/>
      <x:c r="PTY60" s="291"/>
      <x:c r="PTZ60" s="291"/>
      <x:c r="PUA60" s="291"/>
      <x:c r="PUB60" s="291"/>
      <x:c r="PUC60" s="291"/>
      <x:c r="PUD60" s="291"/>
      <x:c r="PUE60" s="291"/>
      <x:c r="PUF60" s="291"/>
      <x:c r="PUG60" s="291"/>
      <x:c r="PUH60" s="291"/>
      <x:c r="PUI60" s="291"/>
      <x:c r="PUJ60" s="291"/>
      <x:c r="PUK60" s="291"/>
      <x:c r="PUL60" s="291"/>
      <x:c r="PUM60" s="291"/>
      <x:c r="PUN60" s="291"/>
      <x:c r="PUO60" s="291"/>
      <x:c r="PUP60" s="291"/>
      <x:c r="PUQ60" s="291"/>
      <x:c r="PUR60" s="291"/>
      <x:c r="PUS60" s="291"/>
      <x:c r="PUT60" s="291"/>
      <x:c r="PUU60" s="291"/>
      <x:c r="PUV60" s="291"/>
      <x:c r="PUW60" s="291"/>
      <x:c r="PUX60" s="291"/>
      <x:c r="PUY60" s="291"/>
      <x:c r="PUZ60" s="291"/>
      <x:c r="PVA60" s="291"/>
      <x:c r="PVB60" s="291"/>
      <x:c r="PVC60" s="291"/>
      <x:c r="PVD60" s="291"/>
      <x:c r="PVE60" s="291"/>
      <x:c r="PVF60" s="291"/>
      <x:c r="PVG60" s="291"/>
      <x:c r="PVH60" s="291"/>
      <x:c r="PVI60" s="291"/>
      <x:c r="PVJ60" s="291"/>
      <x:c r="PVK60" s="291"/>
      <x:c r="PVL60" s="291"/>
      <x:c r="PVM60" s="291"/>
      <x:c r="PVN60" s="291"/>
      <x:c r="PVO60" s="291"/>
      <x:c r="PVP60" s="291"/>
      <x:c r="PVQ60" s="291"/>
      <x:c r="PVR60" s="291"/>
      <x:c r="PVS60" s="291"/>
      <x:c r="PVT60" s="291"/>
      <x:c r="PVU60" s="291"/>
      <x:c r="PVV60" s="291"/>
      <x:c r="PVW60" s="291"/>
      <x:c r="PVX60" s="291"/>
      <x:c r="PVY60" s="291"/>
      <x:c r="PVZ60" s="291"/>
      <x:c r="PWA60" s="291"/>
      <x:c r="PWB60" s="291"/>
      <x:c r="PWC60" s="291"/>
      <x:c r="PWD60" s="291"/>
      <x:c r="PWE60" s="291"/>
      <x:c r="PWF60" s="291"/>
      <x:c r="PWG60" s="291"/>
      <x:c r="PWH60" s="291"/>
      <x:c r="PWI60" s="291"/>
      <x:c r="PWJ60" s="291"/>
      <x:c r="PWK60" s="291"/>
      <x:c r="PWL60" s="291"/>
      <x:c r="PWM60" s="291"/>
      <x:c r="PWN60" s="291"/>
      <x:c r="PWO60" s="291"/>
      <x:c r="PWP60" s="291"/>
      <x:c r="PWQ60" s="291"/>
      <x:c r="PWR60" s="291"/>
      <x:c r="PWS60" s="291"/>
      <x:c r="PWT60" s="291"/>
      <x:c r="PWU60" s="291"/>
      <x:c r="PWV60" s="291"/>
      <x:c r="PWW60" s="291"/>
      <x:c r="PWX60" s="291"/>
      <x:c r="PWY60" s="291"/>
      <x:c r="PWZ60" s="291"/>
      <x:c r="PXA60" s="291"/>
      <x:c r="PXB60" s="291"/>
      <x:c r="PXC60" s="291"/>
      <x:c r="PXD60" s="291"/>
      <x:c r="PXE60" s="291"/>
      <x:c r="PXF60" s="291"/>
      <x:c r="PXG60" s="291"/>
      <x:c r="PXH60" s="291"/>
      <x:c r="PXI60" s="291"/>
      <x:c r="PXJ60" s="291"/>
      <x:c r="PXK60" s="291"/>
      <x:c r="PXL60" s="291"/>
      <x:c r="PXM60" s="291"/>
      <x:c r="PXN60" s="291"/>
      <x:c r="PXO60" s="291"/>
      <x:c r="PXP60" s="291"/>
      <x:c r="PXQ60" s="291"/>
      <x:c r="PXR60" s="291"/>
      <x:c r="PXS60" s="291"/>
      <x:c r="PXT60" s="291"/>
      <x:c r="PXU60" s="291"/>
      <x:c r="PXV60" s="291"/>
      <x:c r="PXW60" s="291"/>
      <x:c r="PXX60" s="291"/>
      <x:c r="PXY60" s="291"/>
      <x:c r="PXZ60" s="291"/>
      <x:c r="PYA60" s="291"/>
      <x:c r="PYB60" s="291"/>
      <x:c r="PYC60" s="291"/>
      <x:c r="PYD60" s="291"/>
      <x:c r="PYE60" s="291"/>
      <x:c r="PYF60" s="291"/>
      <x:c r="PYG60" s="291"/>
      <x:c r="PYH60" s="291"/>
      <x:c r="PYI60" s="291"/>
      <x:c r="PYJ60" s="291"/>
      <x:c r="PYK60" s="291"/>
      <x:c r="PYL60" s="291"/>
      <x:c r="PYM60" s="291"/>
      <x:c r="PYN60" s="291"/>
      <x:c r="PYO60" s="291"/>
      <x:c r="PYP60" s="291"/>
      <x:c r="PYQ60" s="291"/>
      <x:c r="PYR60" s="291"/>
      <x:c r="PYS60" s="291"/>
      <x:c r="PYT60" s="291"/>
      <x:c r="PYU60" s="291"/>
      <x:c r="PYV60" s="291"/>
      <x:c r="PYW60" s="291"/>
      <x:c r="PYX60" s="291"/>
      <x:c r="PYY60" s="291"/>
      <x:c r="PYZ60" s="291"/>
      <x:c r="PZA60" s="291"/>
      <x:c r="PZB60" s="291"/>
      <x:c r="PZC60" s="291"/>
      <x:c r="PZD60" s="291"/>
      <x:c r="PZE60" s="291"/>
      <x:c r="PZF60" s="291"/>
      <x:c r="PZG60" s="291"/>
      <x:c r="PZH60" s="291"/>
      <x:c r="PZI60" s="291"/>
      <x:c r="PZJ60" s="291"/>
      <x:c r="PZK60" s="291"/>
      <x:c r="PZL60" s="291"/>
      <x:c r="PZM60" s="291"/>
      <x:c r="PZN60" s="291"/>
      <x:c r="PZO60" s="291"/>
      <x:c r="PZP60" s="291"/>
      <x:c r="PZQ60" s="291"/>
      <x:c r="PZR60" s="291"/>
      <x:c r="PZS60" s="291"/>
      <x:c r="PZT60" s="291"/>
      <x:c r="PZU60" s="291"/>
      <x:c r="PZV60" s="291"/>
      <x:c r="PZW60" s="291"/>
      <x:c r="PZX60" s="291"/>
      <x:c r="PZY60" s="291"/>
      <x:c r="PZZ60" s="291"/>
      <x:c r="QAA60" s="291"/>
      <x:c r="QAB60" s="291"/>
      <x:c r="QAC60" s="291"/>
      <x:c r="QAD60" s="291"/>
      <x:c r="QAE60" s="291"/>
      <x:c r="QAF60" s="291"/>
      <x:c r="QAG60" s="291"/>
      <x:c r="QAH60" s="291"/>
      <x:c r="QAI60" s="291"/>
      <x:c r="QAJ60" s="291"/>
      <x:c r="QAK60" s="291"/>
      <x:c r="QAL60" s="291"/>
      <x:c r="QAM60" s="291"/>
      <x:c r="QAN60" s="291"/>
      <x:c r="QAO60" s="291"/>
      <x:c r="QAP60" s="291"/>
      <x:c r="QAQ60" s="291"/>
      <x:c r="QAR60" s="291"/>
      <x:c r="QAS60" s="291"/>
      <x:c r="QAT60" s="291"/>
      <x:c r="QAU60" s="291"/>
      <x:c r="QAV60" s="291"/>
      <x:c r="QAW60" s="291"/>
      <x:c r="QAX60" s="291"/>
      <x:c r="QAY60" s="291"/>
      <x:c r="QAZ60" s="291"/>
      <x:c r="QBA60" s="291"/>
      <x:c r="QBB60" s="291"/>
      <x:c r="QBC60" s="291"/>
      <x:c r="QBD60" s="291"/>
      <x:c r="QBE60" s="291"/>
      <x:c r="QBF60" s="291"/>
      <x:c r="QBG60" s="291"/>
      <x:c r="QBH60" s="291"/>
      <x:c r="QBI60" s="291"/>
      <x:c r="QBJ60" s="291"/>
      <x:c r="QBK60" s="291"/>
      <x:c r="QBL60" s="291"/>
      <x:c r="QBM60" s="291"/>
      <x:c r="QBN60" s="291"/>
      <x:c r="QBO60" s="291"/>
      <x:c r="QBP60" s="291"/>
      <x:c r="QBQ60" s="291"/>
      <x:c r="QBR60" s="291"/>
      <x:c r="QBS60" s="291"/>
      <x:c r="QBT60" s="291"/>
      <x:c r="QBU60" s="291"/>
      <x:c r="QBV60" s="291"/>
      <x:c r="QBW60" s="291"/>
      <x:c r="QBX60" s="291"/>
      <x:c r="QBY60" s="291"/>
      <x:c r="QBZ60" s="291"/>
      <x:c r="QCA60" s="291"/>
      <x:c r="QCB60" s="291"/>
      <x:c r="QCC60" s="291"/>
      <x:c r="QCD60" s="291"/>
      <x:c r="QCE60" s="291"/>
      <x:c r="QCF60" s="291"/>
      <x:c r="QCG60" s="291"/>
      <x:c r="QCH60" s="291"/>
      <x:c r="QCI60" s="291"/>
      <x:c r="QCJ60" s="291"/>
      <x:c r="QCK60" s="291"/>
      <x:c r="QCL60" s="291"/>
      <x:c r="QCM60" s="291"/>
      <x:c r="QCN60" s="291"/>
      <x:c r="QCO60" s="291"/>
      <x:c r="QCP60" s="291"/>
      <x:c r="QCQ60" s="291"/>
      <x:c r="QCR60" s="291"/>
      <x:c r="QCS60" s="291"/>
      <x:c r="QCT60" s="291"/>
      <x:c r="QCU60" s="291"/>
      <x:c r="QCV60" s="291"/>
      <x:c r="QCW60" s="291"/>
      <x:c r="QCX60" s="291"/>
      <x:c r="QCY60" s="291"/>
      <x:c r="QCZ60" s="291"/>
      <x:c r="QDA60" s="291"/>
      <x:c r="QDB60" s="291"/>
      <x:c r="QDC60" s="291"/>
      <x:c r="QDD60" s="291"/>
      <x:c r="QDE60" s="291"/>
      <x:c r="QDF60" s="291"/>
      <x:c r="QDG60" s="291"/>
      <x:c r="QDH60" s="291"/>
      <x:c r="QDI60" s="291"/>
      <x:c r="QDJ60" s="291"/>
      <x:c r="QDK60" s="291"/>
      <x:c r="QDL60" s="291"/>
      <x:c r="QDM60" s="291"/>
      <x:c r="QDN60" s="291"/>
      <x:c r="QDO60" s="291"/>
      <x:c r="QDP60" s="291"/>
      <x:c r="QDQ60" s="291"/>
      <x:c r="QDR60" s="291"/>
      <x:c r="QDS60" s="291"/>
      <x:c r="QDT60" s="291"/>
      <x:c r="QDU60" s="291"/>
      <x:c r="QDV60" s="291"/>
      <x:c r="QDW60" s="291"/>
      <x:c r="QDX60" s="291"/>
      <x:c r="QDY60" s="291"/>
      <x:c r="QDZ60" s="291"/>
      <x:c r="QEA60" s="291"/>
      <x:c r="QEB60" s="291"/>
      <x:c r="QEC60" s="291"/>
      <x:c r="QED60" s="291"/>
      <x:c r="QEE60" s="291"/>
      <x:c r="QEF60" s="291"/>
      <x:c r="QEG60" s="291"/>
      <x:c r="QEH60" s="291"/>
      <x:c r="QEI60" s="291"/>
      <x:c r="QEJ60" s="291"/>
      <x:c r="QEK60" s="291"/>
      <x:c r="QEL60" s="291"/>
      <x:c r="QEM60" s="291"/>
      <x:c r="QEN60" s="291"/>
      <x:c r="QEO60" s="291"/>
      <x:c r="QEP60" s="291"/>
      <x:c r="QEQ60" s="291"/>
      <x:c r="QER60" s="291"/>
      <x:c r="QES60" s="291"/>
      <x:c r="QET60" s="291"/>
      <x:c r="QEU60" s="291"/>
      <x:c r="QEV60" s="291"/>
      <x:c r="QEW60" s="291"/>
      <x:c r="QEX60" s="291"/>
      <x:c r="QEY60" s="291"/>
      <x:c r="QEZ60" s="291"/>
      <x:c r="QFA60" s="291"/>
      <x:c r="QFB60" s="291"/>
      <x:c r="QFC60" s="291"/>
      <x:c r="QFD60" s="291"/>
      <x:c r="QFE60" s="291"/>
      <x:c r="QFF60" s="291"/>
      <x:c r="QFG60" s="291"/>
      <x:c r="QFH60" s="291"/>
      <x:c r="QFI60" s="291"/>
      <x:c r="QFJ60" s="291"/>
      <x:c r="QFK60" s="291"/>
      <x:c r="QFL60" s="291"/>
      <x:c r="QFM60" s="291"/>
      <x:c r="QFN60" s="291"/>
      <x:c r="QFO60" s="291"/>
      <x:c r="QFP60" s="291"/>
      <x:c r="QFQ60" s="291"/>
      <x:c r="QFR60" s="291"/>
      <x:c r="QFS60" s="291"/>
      <x:c r="QFT60" s="291"/>
      <x:c r="QFU60" s="291"/>
      <x:c r="QFV60" s="291"/>
      <x:c r="QFW60" s="291"/>
      <x:c r="QFX60" s="291"/>
      <x:c r="QFY60" s="291"/>
      <x:c r="QFZ60" s="291"/>
      <x:c r="QGA60" s="291"/>
      <x:c r="QGB60" s="291"/>
      <x:c r="QGC60" s="291"/>
      <x:c r="QGD60" s="291"/>
      <x:c r="QGE60" s="291"/>
      <x:c r="QGF60" s="291"/>
      <x:c r="QGG60" s="291"/>
      <x:c r="QGH60" s="291"/>
      <x:c r="QGI60" s="291"/>
      <x:c r="QGJ60" s="291"/>
      <x:c r="QGK60" s="291"/>
      <x:c r="QGL60" s="291"/>
      <x:c r="QGM60" s="291"/>
      <x:c r="QGN60" s="291"/>
      <x:c r="QGO60" s="291"/>
      <x:c r="QGP60" s="291"/>
      <x:c r="QGQ60" s="291"/>
      <x:c r="QGR60" s="291"/>
      <x:c r="QGS60" s="291"/>
      <x:c r="QGT60" s="291"/>
      <x:c r="QGU60" s="291"/>
      <x:c r="QGV60" s="291"/>
      <x:c r="QGW60" s="291"/>
      <x:c r="QGX60" s="291"/>
      <x:c r="QGY60" s="291"/>
      <x:c r="QGZ60" s="291"/>
      <x:c r="QHA60" s="291"/>
      <x:c r="QHB60" s="291"/>
      <x:c r="QHC60" s="291"/>
      <x:c r="QHD60" s="291"/>
      <x:c r="QHE60" s="291"/>
      <x:c r="QHF60" s="291"/>
      <x:c r="QHG60" s="291"/>
      <x:c r="QHH60" s="291"/>
      <x:c r="QHI60" s="291"/>
      <x:c r="QHJ60" s="291"/>
      <x:c r="QHK60" s="291"/>
      <x:c r="QHL60" s="291"/>
      <x:c r="QHM60" s="291"/>
      <x:c r="QHN60" s="291"/>
      <x:c r="QHO60" s="291"/>
      <x:c r="QHP60" s="291"/>
      <x:c r="QHQ60" s="291"/>
      <x:c r="QHR60" s="291"/>
      <x:c r="QHS60" s="291"/>
      <x:c r="QHT60" s="291"/>
      <x:c r="QHU60" s="291"/>
      <x:c r="QHV60" s="291"/>
      <x:c r="QHW60" s="291"/>
      <x:c r="QHX60" s="291"/>
      <x:c r="QHY60" s="291"/>
      <x:c r="QHZ60" s="291"/>
      <x:c r="QIA60" s="291"/>
      <x:c r="QIB60" s="291"/>
      <x:c r="QIC60" s="291"/>
      <x:c r="QID60" s="291"/>
      <x:c r="QIE60" s="291"/>
      <x:c r="QIF60" s="291"/>
      <x:c r="QIG60" s="291"/>
      <x:c r="QIH60" s="291"/>
      <x:c r="QII60" s="291"/>
      <x:c r="QIJ60" s="291"/>
      <x:c r="QIK60" s="291"/>
      <x:c r="QIL60" s="291"/>
      <x:c r="QIM60" s="291"/>
      <x:c r="QIN60" s="291"/>
      <x:c r="QIO60" s="291"/>
      <x:c r="QIP60" s="291"/>
      <x:c r="QIQ60" s="291"/>
      <x:c r="QIR60" s="291"/>
      <x:c r="QIS60" s="291"/>
      <x:c r="QIT60" s="291"/>
      <x:c r="QIU60" s="291"/>
      <x:c r="QIV60" s="291"/>
      <x:c r="QIW60" s="291"/>
      <x:c r="QIX60" s="291"/>
      <x:c r="QIY60" s="291"/>
      <x:c r="QIZ60" s="291"/>
      <x:c r="QJA60" s="291"/>
      <x:c r="QJB60" s="291"/>
      <x:c r="QJC60" s="291"/>
      <x:c r="QJD60" s="291"/>
      <x:c r="QJE60" s="291"/>
      <x:c r="QJF60" s="291"/>
      <x:c r="QJG60" s="291"/>
      <x:c r="QJH60" s="291"/>
      <x:c r="QJI60" s="291"/>
      <x:c r="QJJ60" s="291"/>
      <x:c r="QJK60" s="291"/>
      <x:c r="QJL60" s="291"/>
      <x:c r="QJM60" s="291"/>
      <x:c r="QJN60" s="291"/>
      <x:c r="QJO60" s="291"/>
      <x:c r="QJP60" s="291"/>
      <x:c r="QJQ60" s="291"/>
      <x:c r="QJR60" s="291"/>
      <x:c r="QJS60" s="291"/>
      <x:c r="QJT60" s="291"/>
      <x:c r="QJU60" s="291"/>
      <x:c r="QJV60" s="291"/>
      <x:c r="QJW60" s="291"/>
      <x:c r="QJX60" s="291"/>
      <x:c r="QJY60" s="291"/>
      <x:c r="QJZ60" s="291"/>
      <x:c r="QKA60" s="291"/>
      <x:c r="QKB60" s="291"/>
      <x:c r="QKC60" s="291"/>
      <x:c r="QKD60" s="291"/>
      <x:c r="QKE60" s="291"/>
      <x:c r="QKF60" s="291"/>
      <x:c r="QKG60" s="291"/>
      <x:c r="QKH60" s="291"/>
      <x:c r="QKI60" s="291"/>
      <x:c r="QKJ60" s="291"/>
      <x:c r="QKK60" s="291"/>
      <x:c r="QKL60" s="291"/>
      <x:c r="QKM60" s="291"/>
      <x:c r="QKN60" s="291"/>
      <x:c r="QKO60" s="291"/>
      <x:c r="QKP60" s="291"/>
      <x:c r="QKQ60" s="291"/>
      <x:c r="QKR60" s="291"/>
      <x:c r="QKS60" s="291"/>
      <x:c r="QKT60" s="291"/>
      <x:c r="QKU60" s="291"/>
      <x:c r="QKV60" s="291"/>
      <x:c r="QKW60" s="291"/>
      <x:c r="QKX60" s="291"/>
      <x:c r="QKY60" s="291"/>
      <x:c r="QKZ60" s="291"/>
      <x:c r="QLA60" s="291"/>
      <x:c r="QLB60" s="291"/>
      <x:c r="QLC60" s="291"/>
      <x:c r="QLD60" s="291"/>
      <x:c r="QLE60" s="291"/>
      <x:c r="QLF60" s="291"/>
      <x:c r="QLG60" s="291"/>
      <x:c r="QLH60" s="291"/>
      <x:c r="QLI60" s="291"/>
      <x:c r="QLJ60" s="291"/>
      <x:c r="QLK60" s="291"/>
      <x:c r="QLL60" s="291"/>
      <x:c r="QLM60" s="291"/>
      <x:c r="QLN60" s="291"/>
      <x:c r="QLO60" s="291"/>
      <x:c r="QLP60" s="291"/>
      <x:c r="QLQ60" s="291"/>
      <x:c r="QLR60" s="291"/>
      <x:c r="QLS60" s="291"/>
      <x:c r="QLT60" s="291"/>
      <x:c r="QLU60" s="291"/>
      <x:c r="QLV60" s="291"/>
      <x:c r="QLW60" s="291"/>
      <x:c r="QLX60" s="291"/>
      <x:c r="QLY60" s="291"/>
      <x:c r="QLZ60" s="291"/>
      <x:c r="QMA60" s="291"/>
      <x:c r="QMB60" s="291"/>
      <x:c r="QMC60" s="291"/>
      <x:c r="QMD60" s="291"/>
      <x:c r="QME60" s="291"/>
      <x:c r="QMF60" s="291"/>
      <x:c r="QMG60" s="291"/>
      <x:c r="QMH60" s="291"/>
      <x:c r="QMI60" s="291"/>
      <x:c r="QMJ60" s="291"/>
      <x:c r="QMK60" s="291"/>
      <x:c r="QML60" s="291"/>
      <x:c r="QMM60" s="291"/>
      <x:c r="QMN60" s="291"/>
      <x:c r="QMO60" s="291"/>
      <x:c r="QMP60" s="291"/>
      <x:c r="QMQ60" s="291"/>
      <x:c r="QMR60" s="291"/>
      <x:c r="QMS60" s="291"/>
      <x:c r="QMT60" s="291"/>
      <x:c r="QMU60" s="291"/>
      <x:c r="QMV60" s="291"/>
      <x:c r="QMW60" s="291"/>
      <x:c r="QMX60" s="291"/>
      <x:c r="QMY60" s="291"/>
      <x:c r="QMZ60" s="291"/>
      <x:c r="QNA60" s="291"/>
      <x:c r="QNB60" s="291"/>
      <x:c r="QNC60" s="291"/>
      <x:c r="QND60" s="291"/>
      <x:c r="QNE60" s="291"/>
      <x:c r="QNF60" s="291"/>
      <x:c r="QNG60" s="291"/>
      <x:c r="QNH60" s="291"/>
      <x:c r="QNI60" s="291"/>
      <x:c r="QNJ60" s="291"/>
      <x:c r="QNK60" s="291"/>
      <x:c r="QNL60" s="291"/>
      <x:c r="QNM60" s="291"/>
      <x:c r="QNN60" s="291"/>
      <x:c r="QNO60" s="291"/>
      <x:c r="QNP60" s="291"/>
      <x:c r="QNQ60" s="291"/>
      <x:c r="QNR60" s="291"/>
      <x:c r="QNS60" s="291"/>
      <x:c r="QNT60" s="291"/>
      <x:c r="QNU60" s="291"/>
      <x:c r="QNV60" s="291"/>
      <x:c r="QNW60" s="291"/>
      <x:c r="QNX60" s="291"/>
      <x:c r="QNY60" s="291"/>
      <x:c r="QNZ60" s="291"/>
      <x:c r="QOA60" s="291"/>
      <x:c r="QOB60" s="291"/>
      <x:c r="QOC60" s="291"/>
      <x:c r="QOD60" s="291"/>
      <x:c r="QOE60" s="291"/>
      <x:c r="QOF60" s="291"/>
      <x:c r="QOG60" s="291"/>
      <x:c r="QOH60" s="291"/>
      <x:c r="QOI60" s="291"/>
      <x:c r="QOJ60" s="291"/>
      <x:c r="QOK60" s="291"/>
      <x:c r="QOL60" s="291"/>
      <x:c r="QOM60" s="291"/>
      <x:c r="QON60" s="291"/>
      <x:c r="QOO60" s="291"/>
      <x:c r="QOP60" s="291"/>
      <x:c r="QOQ60" s="291"/>
      <x:c r="QOR60" s="291"/>
      <x:c r="QOS60" s="291"/>
      <x:c r="QOT60" s="291"/>
      <x:c r="QOU60" s="291"/>
      <x:c r="QOV60" s="291"/>
      <x:c r="QOW60" s="291"/>
      <x:c r="QOX60" s="291"/>
      <x:c r="QOY60" s="291"/>
      <x:c r="QOZ60" s="291"/>
      <x:c r="QPA60" s="291"/>
      <x:c r="QPB60" s="291"/>
      <x:c r="QPC60" s="291"/>
      <x:c r="QPD60" s="291"/>
      <x:c r="QPE60" s="291"/>
      <x:c r="QPF60" s="291"/>
      <x:c r="QPG60" s="291"/>
      <x:c r="QPH60" s="291"/>
      <x:c r="QPI60" s="291"/>
      <x:c r="QPJ60" s="291"/>
      <x:c r="QPK60" s="291"/>
      <x:c r="QPL60" s="291"/>
      <x:c r="QPM60" s="291"/>
      <x:c r="QPN60" s="291"/>
      <x:c r="QPO60" s="291"/>
      <x:c r="QPP60" s="291"/>
      <x:c r="QPQ60" s="291"/>
      <x:c r="QPR60" s="291"/>
      <x:c r="QPS60" s="291"/>
      <x:c r="QPT60" s="291"/>
      <x:c r="QPU60" s="291"/>
      <x:c r="QPV60" s="291"/>
      <x:c r="QPW60" s="291"/>
      <x:c r="QPX60" s="291"/>
      <x:c r="QPY60" s="291"/>
      <x:c r="QPZ60" s="291"/>
      <x:c r="QQA60" s="291"/>
      <x:c r="QQB60" s="291"/>
      <x:c r="QQC60" s="291"/>
      <x:c r="QQD60" s="291"/>
      <x:c r="QQE60" s="291"/>
      <x:c r="QQF60" s="291"/>
      <x:c r="QQG60" s="291"/>
      <x:c r="QQH60" s="291"/>
      <x:c r="QQI60" s="291"/>
      <x:c r="QQJ60" s="291"/>
      <x:c r="QQK60" s="291"/>
      <x:c r="QQL60" s="291"/>
      <x:c r="QQM60" s="291"/>
      <x:c r="QQN60" s="291"/>
      <x:c r="QQO60" s="291"/>
      <x:c r="QQP60" s="291"/>
      <x:c r="QQQ60" s="291"/>
      <x:c r="QQR60" s="291"/>
      <x:c r="QQS60" s="291"/>
      <x:c r="QQT60" s="291"/>
      <x:c r="QQU60" s="291"/>
      <x:c r="QQV60" s="291"/>
      <x:c r="QQW60" s="291"/>
      <x:c r="QQX60" s="291"/>
      <x:c r="QQY60" s="291"/>
      <x:c r="QQZ60" s="291"/>
      <x:c r="QRA60" s="291"/>
      <x:c r="QRB60" s="291"/>
      <x:c r="QRC60" s="291"/>
      <x:c r="QRD60" s="291"/>
      <x:c r="QRE60" s="291"/>
      <x:c r="QRF60" s="291"/>
      <x:c r="QRG60" s="291"/>
      <x:c r="QRH60" s="291"/>
      <x:c r="QRI60" s="291"/>
      <x:c r="QRJ60" s="291"/>
      <x:c r="QRK60" s="291"/>
      <x:c r="QRL60" s="291"/>
      <x:c r="QRM60" s="291"/>
      <x:c r="QRN60" s="291"/>
      <x:c r="QRO60" s="291"/>
      <x:c r="QRP60" s="291"/>
      <x:c r="QRQ60" s="291"/>
      <x:c r="QRR60" s="291"/>
      <x:c r="QRS60" s="291"/>
      <x:c r="QRT60" s="291"/>
      <x:c r="QRU60" s="291"/>
      <x:c r="QRV60" s="291"/>
      <x:c r="QRW60" s="291"/>
      <x:c r="QRX60" s="291"/>
      <x:c r="QRY60" s="291"/>
      <x:c r="QRZ60" s="291"/>
      <x:c r="QSA60" s="291"/>
      <x:c r="QSB60" s="291"/>
      <x:c r="QSC60" s="291"/>
      <x:c r="QSD60" s="291"/>
      <x:c r="QSE60" s="291"/>
      <x:c r="QSF60" s="291"/>
      <x:c r="QSG60" s="291"/>
      <x:c r="QSH60" s="291"/>
      <x:c r="QSI60" s="291"/>
      <x:c r="QSJ60" s="291"/>
      <x:c r="QSK60" s="291"/>
      <x:c r="QSL60" s="291"/>
      <x:c r="QSM60" s="291"/>
      <x:c r="QSN60" s="291"/>
      <x:c r="QSO60" s="291"/>
      <x:c r="QSP60" s="291"/>
      <x:c r="QSQ60" s="291"/>
      <x:c r="QSR60" s="291"/>
      <x:c r="QSS60" s="291"/>
      <x:c r="QST60" s="291"/>
      <x:c r="QSU60" s="291"/>
      <x:c r="QSV60" s="291"/>
      <x:c r="QSW60" s="291"/>
      <x:c r="QSX60" s="291"/>
      <x:c r="QSY60" s="291"/>
      <x:c r="QSZ60" s="291"/>
      <x:c r="QTA60" s="291"/>
      <x:c r="QTB60" s="291"/>
      <x:c r="QTC60" s="291"/>
      <x:c r="QTD60" s="291"/>
      <x:c r="QTE60" s="291"/>
      <x:c r="QTF60" s="291"/>
      <x:c r="QTG60" s="291"/>
      <x:c r="QTH60" s="291"/>
      <x:c r="QTI60" s="291"/>
      <x:c r="QTJ60" s="291"/>
      <x:c r="QTK60" s="291"/>
      <x:c r="QTL60" s="291"/>
      <x:c r="QTM60" s="291"/>
      <x:c r="QTN60" s="291"/>
      <x:c r="QTO60" s="291"/>
      <x:c r="QTP60" s="291"/>
      <x:c r="QTQ60" s="291"/>
      <x:c r="QTR60" s="291"/>
      <x:c r="QTS60" s="291"/>
      <x:c r="QTT60" s="291"/>
      <x:c r="QTU60" s="291"/>
      <x:c r="QTV60" s="291"/>
      <x:c r="QTW60" s="291"/>
      <x:c r="QTX60" s="291"/>
      <x:c r="QTY60" s="291"/>
      <x:c r="QTZ60" s="291"/>
      <x:c r="QUA60" s="291"/>
      <x:c r="QUB60" s="291"/>
      <x:c r="QUC60" s="291"/>
      <x:c r="QUD60" s="291"/>
      <x:c r="QUE60" s="291"/>
      <x:c r="QUF60" s="291"/>
      <x:c r="QUG60" s="291"/>
      <x:c r="QUH60" s="291"/>
      <x:c r="QUI60" s="291"/>
      <x:c r="QUJ60" s="291"/>
      <x:c r="QUK60" s="291"/>
      <x:c r="QUL60" s="291"/>
      <x:c r="QUM60" s="291"/>
      <x:c r="QUN60" s="291"/>
      <x:c r="QUO60" s="291"/>
      <x:c r="QUP60" s="291"/>
      <x:c r="QUQ60" s="291"/>
      <x:c r="QUR60" s="291"/>
      <x:c r="QUS60" s="291"/>
      <x:c r="QUT60" s="291"/>
      <x:c r="QUU60" s="291"/>
      <x:c r="QUV60" s="291"/>
      <x:c r="QUW60" s="291"/>
      <x:c r="QUX60" s="291"/>
      <x:c r="QUY60" s="291"/>
      <x:c r="QUZ60" s="291"/>
      <x:c r="QVA60" s="291"/>
      <x:c r="QVB60" s="291"/>
      <x:c r="QVC60" s="291"/>
      <x:c r="QVD60" s="291"/>
      <x:c r="QVE60" s="291"/>
      <x:c r="QVF60" s="291"/>
      <x:c r="QVG60" s="291"/>
      <x:c r="QVH60" s="291"/>
      <x:c r="QVI60" s="291"/>
      <x:c r="QVJ60" s="291"/>
      <x:c r="QVK60" s="291"/>
      <x:c r="QVL60" s="291"/>
      <x:c r="QVM60" s="291"/>
      <x:c r="QVN60" s="291"/>
      <x:c r="QVO60" s="291"/>
      <x:c r="QVP60" s="291"/>
      <x:c r="QVQ60" s="291"/>
      <x:c r="QVR60" s="291"/>
      <x:c r="QVS60" s="291"/>
      <x:c r="QVT60" s="291"/>
      <x:c r="QVU60" s="291"/>
      <x:c r="QVV60" s="291"/>
      <x:c r="QVW60" s="291"/>
      <x:c r="QVX60" s="291"/>
      <x:c r="QVY60" s="291"/>
      <x:c r="QVZ60" s="291"/>
      <x:c r="QWA60" s="291"/>
      <x:c r="QWB60" s="291"/>
      <x:c r="QWC60" s="291"/>
      <x:c r="QWD60" s="291"/>
      <x:c r="QWE60" s="291"/>
      <x:c r="QWF60" s="291"/>
      <x:c r="QWG60" s="291"/>
      <x:c r="QWH60" s="291"/>
      <x:c r="QWI60" s="291"/>
      <x:c r="QWJ60" s="291"/>
      <x:c r="QWK60" s="291"/>
      <x:c r="QWL60" s="291"/>
      <x:c r="QWM60" s="291"/>
      <x:c r="QWN60" s="291"/>
      <x:c r="QWO60" s="291"/>
      <x:c r="QWP60" s="291"/>
      <x:c r="QWQ60" s="291"/>
      <x:c r="QWR60" s="291"/>
      <x:c r="QWS60" s="291"/>
      <x:c r="QWT60" s="291"/>
      <x:c r="QWU60" s="291"/>
      <x:c r="QWV60" s="291"/>
      <x:c r="QWW60" s="291"/>
      <x:c r="QWX60" s="291"/>
      <x:c r="QWY60" s="291"/>
      <x:c r="QWZ60" s="291"/>
      <x:c r="QXA60" s="291"/>
      <x:c r="QXB60" s="291"/>
      <x:c r="QXC60" s="291"/>
      <x:c r="QXD60" s="291"/>
      <x:c r="QXE60" s="291"/>
      <x:c r="QXF60" s="291"/>
      <x:c r="QXG60" s="291"/>
      <x:c r="QXH60" s="291"/>
      <x:c r="QXI60" s="291"/>
      <x:c r="QXJ60" s="291"/>
      <x:c r="QXK60" s="291"/>
      <x:c r="QXL60" s="291"/>
      <x:c r="QXM60" s="291"/>
      <x:c r="QXN60" s="291"/>
      <x:c r="QXO60" s="291"/>
      <x:c r="QXP60" s="291"/>
      <x:c r="QXQ60" s="291"/>
      <x:c r="QXR60" s="291"/>
      <x:c r="QXS60" s="291"/>
      <x:c r="QXT60" s="291"/>
      <x:c r="QXU60" s="291"/>
      <x:c r="QXV60" s="291"/>
      <x:c r="QXW60" s="291"/>
      <x:c r="QXX60" s="291"/>
      <x:c r="QXY60" s="291"/>
      <x:c r="QXZ60" s="291"/>
      <x:c r="QYA60" s="291"/>
      <x:c r="QYB60" s="291"/>
      <x:c r="QYC60" s="291"/>
      <x:c r="QYD60" s="291"/>
      <x:c r="QYE60" s="291"/>
      <x:c r="QYF60" s="291"/>
      <x:c r="QYG60" s="291"/>
      <x:c r="QYH60" s="291"/>
      <x:c r="QYI60" s="291"/>
      <x:c r="QYJ60" s="291"/>
      <x:c r="QYK60" s="291"/>
      <x:c r="QYL60" s="291"/>
      <x:c r="QYM60" s="291"/>
      <x:c r="QYN60" s="291"/>
      <x:c r="QYO60" s="291"/>
      <x:c r="QYP60" s="291"/>
      <x:c r="QYQ60" s="291"/>
      <x:c r="QYR60" s="291"/>
      <x:c r="QYS60" s="291"/>
      <x:c r="QYT60" s="291"/>
      <x:c r="QYU60" s="291"/>
      <x:c r="QYV60" s="291"/>
      <x:c r="QYW60" s="291"/>
      <x:c r="QYX60" s="291"/>
      <x:c r="QYY60" s="291"/>
      <x:c r="QYZ60" s="291"/>
      <x:c r="QZA60" s="291"/>
      <x:c r="QZB60" s="291"/>
      <x:c r="QZC60" s="291"/>
      <x:c r="QZD60" s="291"/>
      <x:c r="QZE60" s="291"/>
      <x:c r="QZF60" s="291"/>
      <x:c r="QZG60" s="291"/>
      <x:c r="QZH60" s="291"/>
      <x:c r="QZI60" s="291"/>
      <x:c r="QZJ60" s="291"/>
      <x:c r="QZK60" s="291"/>
      <x:c r="QZL60" s="291"/>
      <x:c r="QZM60" s="291"/>
      <x:c r="QZN60" s="291"/>
      <x:c r="QZO60" s="291"/>
      <x:c r="QZP60" s="291"/>
      <x:c r="QZQ60" s="291"/>
      <x:c r="QZR60" s="291"/>
      <x:c r="QZS60" s="291"/>
      <x:c r="QZT60" s="291"/>
      <x:c r="QZU60" s="291"/>
      <x:c r="QZV60" s="291"/>
      <x:c r="QZW60" s="291"/>
      <x:c r="QZX60" s="291"/>
      <x:c r="QZY60" s="291"/>
      <x:c r="QZZ60" s="291"/>
      <x:c r="RAA60" s="291"/>
      <x:c r="RAB60" s="291"/>
      <x:c r="RAC60" s="291"/>
      <x:c r="RAD60" s="291"/>
      <x:c r="RAE60" s="291"/>
      <x:c r="RAF60" s="291"/>
      <x:c r="RAG60" s="291"/>
      <x:c r="RAH60" s="291"/>
      <x:c r="RAI60" s="291"/>
      <x:c r="RAJ60" s="291"/>
      <x:c r="RAK60" s="291"/>
      <x:c r="RAL60" s="291"/>
      <x:c r="RAM60" s="291"/>
      <x:c r="RAN60" s="291"/>
      <x:c r="RAO60" s="291"/>
      <x:c r="RAP60" s="291"/>
      <x:c r="RAQ60" s="291"/>
      <x:c r="RAR60" s="291"/>
      <x:c r="RAS60" s="291"/>
      <x:c r="RAT60" s="291"/>
      <x:c r="RAU60" s="291"/>
      <x:c r="RAV60" s="291"/>
      <x:c r="RAW60" s="291"/>
      <x:c r="RAX60" s="291"/>
      <x:c r="RAY60" s="291"/>
      <x:c r="RAZ60" s="291"/>
      <x:c r="RBA60" s="291"/>
      <x:c r="RBB60" s="291"/>
      <x:c r="RBC60" s="291"/>
      <x:c r="RBD60" s="291"/>
      <x:c r="RBE60" s="291"/>
      <x:c r="RBF60" s="291"/>
      <x:c r="RBG60" s="291"/>
      <x:c r="RBH60" s="291"/>
      <x:c r="RBI60" s="291"/>
      <x:c r="RBJ60" s="291"/>
      <x:c r="RBK60" s="291"/>
      <x:c r="RBL60" s="291"/>
      <x:c r="RBM60" s="291"/>
      <x:c r="RBN60" s="291"/>
      <x:c r="RBO60" s="291"/>
      <x:c r="RBP60" s="291"/>
      <x:c r="RBQ60" s="291"/>
      <x:c r="RBR60" s="291"/>
      <x:c r="RBS60" s="291"/>
      <x:c r="RBT60" s="291"/>
      <x:c r="RBU60" s="291"/>
      <x:c r="RBV60" s="291"/>
      <x:c r="RBW60" s="291"/>
      <x:c r="RBX60" s="291"/>
      <x:c r="RBY60" s="291"/>
      <x:c r="RBZ60" s="291"/>
      <x:c r="RCA60" s="291"/>
      <x:c r="RCB60" s="291"/>
      <x:c r="RCC60" s="291"/>
      <x:c r="RCD60" s="291"/>
      <x:c r="RCE60" s="291"/>
      <x:c r="RCF60" s="291"/>
      <x:c r="RCG60" s="291"/>
      <x:c r="RCH60" s="291"/>
      <x:c r="RCI60" s="291"/>
      <x:c r="RCJ60" s="291"/>
      <x:c r="RCK60" s="291"/>
      <x:c r="RCL60" s="291"/>
      <x:c r="RCM60" s="291"/>
      <x:c r="RCN60" s="291"/>
      <x:c r="RCO60" s="291"/>
      <x:c r="RCP60" s="291"/>
      <x:c r="RCQ60" s="291"/>
      <x:c r="RCR60" s="291"/>
      <x:c r="RCS60" s="291"/>
      <x:c r="RCT60" s="291"/>
      <x:c r="RCU60" s="291"/>
      <x:c r="RCV60" s="291"/>
      <x:c r="RCW60" s="291"/>
      <x:c r="RCX60" s="291"/>
      <x:c r="RCY60" s="291"/>
      <x:c r="RCZ60" s="291"/>
      <x:c r="RDA60" s="291"/>
      <x:c r="RDB60" s="291"/>
      <x:c r="RDC60" s="291"/>
      <x:c r="RDD60" s="291"/>
      <x:c r="RDE60" s="291"/>
      <x:c r="RDF60" s="291"/>
      <x:c r="RDG60" s="291"/>
      <x:c r="RDH60" s="291"/>
      <x:c r="RDI60" s="291"/>
      <x:c r="RDJ60" s="291"/>
      <x:c r="RDK60" s="291"/>
      <x:c r="RDL60" s="291"/>
      <x:c r="RDM60" s="291"/>
      <x:c r="RDN60" s="291"/>
      <x:c r="RDO60" s="291"/>
      <x:c r="RDP60" s="291"/>
      <x:c r="RDQ60" s="291"/>
      <x:c r="RDR60" s="291"/>
      <x:c r="RDS60" s="291"/>
      <x:c r="RDT60" s="291"/>
      <x:c r="RDU60" s="291"/>
      <x:c r="RDV60" s="291"/>
      <x:c r="RDW60" s="291"/>
      <x:c r="RDX60" s="291"/>
      <x:c r="RDY60" s="291"/>
      <x:c r="RDZ60" s="291"/>
      <x:c r="REA60" s="291"/>
      <x:c r="REB60" s="291"/>
      <x:c r="REC60" s="291"/>
      <x:c r="RED60" s="291"/>
      <x:c r="REE60" s="291"/>
      <x:c r="REF60" s="291"/>
      <x:c r="REG60" s="291"/>
      <x:c r="REH60" s="291"/>
      <x:c r="REI60" s="291"/>
      <x:c r="REJ60" s="291"/>
      <x:c r="REK60" s="291"/>
      <x:c r="REL60" s="291"/>
      <x:c r="REM60" s="291"/>
      <x:c r="REN60" s="291"/>
      <x:c r="REO60" s="291"/>
      <x:c r="REP60" s="291"/>
      <x:c r="REQ60" s="291"/>
      <x:c r="RER60" s="291"/>
      <x:c r="RES60" s="291"/>
      <x:c r="RET60" s="291"/>
      <x:c r="REU60" s="291"/>
      <x:c r="REV60" s="291"/>
      <x:c r="REW60" s="291"/>
      <x:c r="REX60" s="291"/>
      <x:c r="REY60" s="291"/>
      <x:c r="REZ60" s="291"/>
      <x:c r="RFA60" s="291"/>
      <x:c r="RFB60" s="291"/>
      <x:c r="RFC60" s="291"/>
      <x:c r="RFD60" s="291"/>
      <x:c r="RFE60" s="291"/>
      <x:c r="RFF60" s="291"/>
      <x:c r="RFG60" s="291"/>
      <x:c r="RFH60" s="291"/>
      <x:c r="RFI60" s="291"/>
      <x:c r="RFJ60" s="291"/>
      <x:c r="RFK60" s="291"/>
      <x:c r="RFL60" s="291"/>
      <x:c r="RFM60" s="291"/>
      <x:c r="RFN60" s="291"/>
      <x:c r="RFO60" s="291"/>
      <x:c r="RFP60" s="291"/>
      <x:c r="RFQ60" s="291"/>
      <x:c r="RFR60" s="291"/>
      <x:c r="RFS60" s="291"/>
      <x:c r="RFT60" s="291"/>
      <x:c r="RFU60" s="291"/>
      <x:c r="RFV60" s="291"/>
      <x:c r="RFW60" s="291"/>
      <x:c r="RFX60" s="291"/>
      <x:c r="RFY60" s="291"/>
      <x:c r="RFZ60" s="291"/>
      <x:c r="RGA60" s="291"/>
      <x:c r="RGB60" s="291"/>
      <x:c r="RGC60" s="291"/>
      <x:c r="RGD60" s="291"/>
      <x:c r="RGE60" s="291"/>
      <x:c r="RGF60" s="291"/>
      <x:c r="RGG60" s="291"/>
      <x:c r="RGH60" s="291"/>
      <x:c r="RGI60" s="291"/>
      <x:c r="RGJ60" s="291"/>
      <x:c r="RGK60" s="291"/>
      <x:c r="RGL60" s="291"/>
      <x:c r="RGM60" s="291"/>
      <x:c r="RGN60" s="291"/>
      <x:c r="RGO60" s="291"/>
      <x:c r="RGP60" s="291"/>
      <x:c r="RGQ60" s="291"/>
      <x:c r="RGR60" s="291"/>
      <x:c r="RGS60" s="291"/>
      <x:c r="RGT60" s="291"/>
      <x:c r="RGU60" s="291"/>
      <x:c r="RGV60" s="291"/>
      <x:c r="RGW60" s="291"/>
      <x:c r="RGX60" s="291"/>
      <x:c r="RGY60" s="291"/>
      <x:c r="RGZ60" s="291"/>
      <x:c r="RHA60" s="291"/>
      <x:c r="RHB60" s="291"/>
      <x:c r="RHC60" s="291"/>
      <x:c r="RHD60" s="291"/>
      <x:c r="RHE60" s="291"/>
      <x:c r="RHF60" s="291"/>
      <x:c r="RHG60" s="291"/>
      <x:c r="RHH60" s="291"/>
      <x:c r="RHI60" s="291"/>
      <x:c r="RHJ60" s="291"/>
      <x:c r="RHK60" s="291"/>
      <x:c r="RHL60" s="291"/>
      <x:c r="RHM60" s="291"/>
      <x:c r="RHN60" s="291"/>
      <x:c r="RHO60" s="291"/>
      <x:c r="RHP60" s="291"/>
      <x:c r="RHQ60" s="291"/>
      <x:c r="RHR60" s="291"/>
      <x:c r="RHS60" s="291"/>
      <x:c r="RHT60" s="291"/>
      <x:c r="RHU60" s="291"/>
      <x:c r="RHV60" s="291"/>
      <x:c r="RHW60" s="291"/>
      <x:c r="RHX60" s="291"/>
      <x:c r="RHY60" s="291"/>
      <x:c r="RHZ60" s="291"/>
      <x:c r="RIA60" s="291"/>
      <x:c r="RIB60" s="291"/>
      <x:c r="RIC60" s="291"/>
      <x:c r="RID60" s="291"/>
      <x:c r="RIE60" s="291"/>
      <x:c r="RIF60" s="291"/>
      <x:c r="RIG60" s="291"/>
      <x:c r="RIH60" s="291"/>
      <x:c r="RII60" s="291"/>
      <x:c r="RIJ60" s="291"/>
      <x:c r="RIK60" s="291"/>
      <x:c r="RIL60" s="291"/>
      <x:c r="RIM60" s="291"/>
      <x:c r="RIN60" s="291"/>
      <x:c r="RIO60" s="291"/>
      <x:c r="RIP60" s="291"/>
      <x:c r="RIQ60" s="291"/>
      <x:c r="RIR60" s="291"/>
      <x:c r="RIS60" s="291"/>
      <x:c r="RIT60" s="291"/>
      <x:c r="RIU60" s="291"/>
      <x:c r="RIV60" s="291"/>
      <x:c r="RIW60" s="291"/>
      <x:c r="RIX60" s="291"/>
      <x:c r="RIY60" s="291"/>
      <x:c r="RIZ60" s="291"/>
      <x:c r="RJA60" s="291"/>
      <x:c r="RJB60" s="291"/>
      <x:c r="RJC60" s="291"/>
      <x:c r="RJD60" s="291"/>
      <x:c r="RJE60" s="291"/>
      <x:c r="RJF60" s="291"/>
      <x:c r="RJG60" s="291"/>
      <x:c r="RJH60" s="291"/>
      <x:c r="RJI60" s="291"/>
      <x:c r="RJJ60" s="291"/>
      <x:c r="RJK60" s="291"/>
      <x:c r="RJL60" s="291"/>
      <x:c r="RJM60" s="291"/>
      <x:c r="RJN60" s="291"/>
      <x:c r="RJO60" s="291"/>
      <x:c r="RJP60" s="291"/>
      <x:c r="RJQ60" s="291"/>
      <x:c r="RJR60" s="291"/>
      <x:c r="RJS60" s="291"/>
      <x:c r="RJT60" s="291"/>
      <x:c r="RJU60" s="291"/>
      <x:c r="RJV60" s="291"/>
      <x:c r="RJW60" s="291"/>
      <x:c r="RJX60" s="291"/>
      <x:c r="RJY60" s="291"/>
      <x:c r="RJZ60" s="291"/>
      <x:c r="RKA60" s="291"/>
      <x:c r="RKB60" s="291"/>
      <x:c r="RKC60" s="291"/>
      <x:c r="RKD60" s="291"/>
      <x:c r="RKE60" s="291"/>
      <x:c r="RKF60" s="291"/>
      <x:c r="RKG60" s="291"/>
      <x:c r="RKH60" s="291"/>
      <x:c r="RKI60" s="291"/>
      <x:c r="RKJ60" s="291"/>
      <x:c r="RKK60" s="291"/>
      <x:c r="RKL60" s="291"/>
      <x:c r="RKM60" s="291"/>
      <x:c r="RKN60" s="291"/>
      <x:c r="RKO60" s="291"/>
      <x:c r="RKP60" s="291"/>
      <x:c r="RKQ60" s="291"/>
      <x:c r="RKR60" s="291"/>
      <x:c r="RKS60" s="291"/>
      <x:c r="RKT60" s="291"/>
      <x:c r="RKU60" s="291"/>
      <x:c r="RKV60" s="291"/>
      <x:c r="RKW60" s="291"/>
      <x:c r="RKX60" s="291"/>
      <x:c r="RKY60" s="291"/>
      <x:c r="RKZ60" s="291"/>
      <x:c r="RLA60" s="291"/>
      <x:c r="RLB60" s="291"/>
      <x:c r="RLC60" s="291"/>
      <x:c r="RLD60" s="291"/>
      <x:c r="RLE60" s="291"/>
      <x:c r="RLF60" s="291"/>
      <x:c r="RLG60" s="291"/>
      <x:c r="RLH60" s="291"/>
      <x:c r="RLI60" s="291"/>
      <x:c r="RLJ60" s="291"/>
      <x:c r="RLK60" s="291"/>
      <x:c r="RLL60" s="291"/>
      <x:c r="RLM60" s="291"/>
      <x:c r="RLN60" s="291"/>
      <x:c r="RLO60" s="291"/>
      <x:c r="RLP60" s="291"/>
      <x:c r="RLQ60" s="291"/>
      <x:c r="RLR60" s="291"/>
      <x:c r="RLS60" s="291"/>
      <x:c r="RLT60" s="291"/>
      <x:c r="RLU60" s="291"/>
      <x:c r="RLV60" s="291"/>
      <x:c r="RLW60" s="291"/>
      <x:c r="RLX60" s="291"/>
      <x:c r="RLY60" s="291"/>
      <x:c r="RLZ60" s="291"/>
      <x:c r="RMA60" s="291"/>
      <x:c r="RMB60" s="291"/>
      <x:c r="RMC60" s="291"/>
      <x:c r="RMD60" s="291"/>
      <x:c r="RME60" s="291"/>
      <x:c r="RMF60" s="291"/>
      <x:c r="RMG60" s="291"/>
      <x:c r="RMH60" s="291"/>
      <x:c r="RMI60" s="291"/>
      <x:c r="RMJ60" s="291"/>
      <x:c r="RMK60" s="291"/>
      <x:c r="RML60" s="291"/>
      <x:c r="RMM60" s="291"/>
      <x:c r="RMN60" s="291"/>
      <x:c r="RMO60" s="291"/>
      <x:c r="RMP60" s="291"/>
      <x:c r="RMQ60" s="291"/>
      <x:c r="RMR60" s="291"/>
      <x:c r="RMS60" s="291"/>
      <x:c r="RMT60" s="291"/>
      <x:c r="RMU60" s="291"/>
      <x:c r="RMV60" s="291"/>
      <x:c r="RMW60" s="291"/>
      <x:c r="RMX60" s="291"/>
      <x:c r="RMY60" s="291"/>
      <x:c r="RMZ60" s="291"/>
      <x:c r="RNA60" s="291"/>
      <x:c r="RNB60" s="291"/>
      <x:c r="RNC60" s="291"/>
      <x:c r="RND60" s="291"/>
      <x:c r="RNE60" s="291"/>
      <x:c r="RNF60" s="291"/>
      <x:c r="RNG60" s="291"/>
      <x:c r="RNH60" s="291"/>
      <x:c r="RNI60" s="291"/>
      <x:c r="RNJ60" s="291"/>
      <x:c r="RNK60" s="291"/>
      <x:c r="RNL60" s="291"/>
      <x:c r="RNM60" s="291"/>
      <x:c r="RNN60" s="291"/>
      <x:c r="RNO60" s="291"/>
      <x:c r="RNP60" s="291"/>
      <x:c r="RNQ60" s="291"/>
      <x:c r="RNR60" s="291"/>
      <x:c r="RNS60" s="291"/>
      <x:c r="RNT60" s="291"/>
      <x:c r="RNU60" s="291"/>
      <x:c r="RNV60" s="291"/>
      <x:c r="RNW60" s="291"/>
      <x:c r="RNX60" s="291"/>
      <x:c r="RNY60" s="291"/>
      <x:c r="RNZ60" s="291"/>
      <x:c r="ROA60" s="291"/>
      <x:c r="ROB60" s="291"/>
      <x:c r="ROC60" s="291"/>
      <x:c r="ROD60" s="291"/>
      <x:c r="ROE60" s="291"/>
      <x:c r="ROF60" s="291"/>
      <x:c r="ROG60" s="291"/>
      <x:c r="ROH60" s="291"/>
      <x:c r="ROI60" s="291"/>
      <x:c r="ROJ60" s="291"/>
      <x:c r="ROK60" s="291"/>
      <x:c r="ROL60" s="291"/>
      <x:c r="ROM60" s="291"/>
      <x:c r="RON60" s="291"/>
      <x:c r="ROO60" s="291"/>
      <x:c r="ROP60" s="291"/>
      <x:c r="ROQ60" s="291"/>
      <x:c r="ROR60" s="291"/>
      <x:c r="ROS60" s="291"/>
      <x:c r="ROT60" s="291"/>
      <x:c r="ROU60" s="291"/>
      <x:c r="ROV60" s="291"/>
      <x:c r="ROW60" s="291"/>
      <x:c r="ROX60" s="291"/>
      <x:c r="ROY60" s="291"/>
      <x:c r="ROZ60" s="291"/>
      <x:c r="RPA60" s="291"/>
      <x:c r="RPB60" s="291"/>
      <x:c r="RPC60" s="291"/>
      <x:c r="RPD60" s="291"/>
      <x:c r="RPE60" s="291"/>
      <x:c r="RPF60" s="291"/>
      <x:c r="RPG60" s="291"/>
      <x:c r="RPH60" s="291"/>
      <x:c r="RPI60" s="291"/>
      <x:c r="RPJ60" s="291"/>
      <x:c r="RPK60" s="291"/>
      <x:c r="RPL60" s="291"/>
      <x:c r="RPM60" s="291"/>
      <x:c r="RPN60" s="291"/>
      <x:c r="RPO60" s="291"/>
      <x:c r="RPP60" s="291"/>
      <x:c r="RPQ60" s="291"/>
      <x:c r="RPR60" s="291"/>
      <x:c r="RPS60" s="291"/>
      <x:c r="RPT60" s="291"/>
      <x:c r="RPU60" s="291"/>
      <x:c r="RPV60" s="291"/>
      <x:c r="RPW60" s="291"/>
      <x:c r="RPX60" s="291"/>
      <x:c r="RPY60" s="291"/>
      <x:c r="RPZ60" s="291"/>
      <x:c r="RQA60" s="291"/>
      <x:c r="RQB60" s="291"/>
      <x:c r="RQC60" s="291"/>
      <x:c r="RQD60" s="291"/>
      <x:c r="RQE60" s="291"/>
      <x:c r="RQF60" s="291"/>
      <x:c r="RQG60" s="291"/>
      <x:c r="RQH60" s="291"/>
      <x:c r="RQI60" s="291"/>
      <x:c r="RQJ60" s="291"/>
      <x:c r="RQK60" s="291"/>
      <x:c r="RQL60" s="291"/>
      <x:c r="RQM60" s="291"/>
      <x:c r="RQN60" s="291"/>
      <x:c r="RQO60" s="291"/>
      <x:c r="RQP60" s="291"/>
      <x:c r="RQQ60" s="291"/>
      <x:c r="RQR60" s="291"/>
      <x:c r="RQS60" s="291"/>
      <x:c r="RQT60" s="291"/>
      <x:c r="RQU60" s="291"/>
      <x:c r="RQV60" s="291"/>
      <x:c r="RQW60" s="291"/>
      <x:c r="RQX60" s="291"/>
      <x:c r="RQY60" s="291"/>
      <x:c r="RQZ60" s="291"/>
      <x:c r="RRA60" s="291"/>
      <x:c r="RRB60" s="291"/>
      <x:c r="RRC60" s="291"/>
      <x:c r="RRD60" s="291"/>
      <x:c r="RRE60" s="291"/>
      <x:c r="RRF60" s="291"/>
      <x:c r="RRG60" s="291"/>
      <x:c r="RRH60" s="291"/>
      <x:c r="RRI60" s="291"/>
      <x:c r="RRJ60" s="291"/>
      <x:c r="RRK60" s="291"/>
      <x:c r="RRL60" s="291"/>
      <x:c r="RRM60" s="291"/>
      <x:c r="RRN60" s="291"/>
      <x:c r="RRO60" s="291"/>
      <x:c r="RRP60" s="291"/>
      <x:c r="RRQ60" s="291"/>
      <x:c r="RRR60" s="291"/>
      <x:c r="RRS60" s="291"/>
      <x:c r="RRT60" s="291"/>
      <x:c r="RRU60" s="291"/>
      <x:c r="RRV60" s="291"/>
      <x:c r="RRW60" s="291"/>
      <x:c r="RRX60" s="291"/>
      <x:c r="RRY60" s="291"/>
      <x:c r="RRZ60" s="291"/>
      <x:c r="RSA60" s="291"/>
      <x:c r="RSB60" s="291"/>
      <x:c r="RSC60" s="291"/>
      <x:c r="RSD60" s="291"/>
      <x:c r="RSE60" s="291"/>
      <x:c r="RSF60" s="291"/>
      <x:c r="RSG60" s="291"/>
      <x:c r="RSH60" s="291"/>
      <x:c r="RSI60" s="291"/>
      <x:c r="RSJ60" s="291"/>
      <x:c r="RSK60" s="291"/>
      <x:c r="RSL60" s="291"/>
      <x:c r="RSM60" s="291"/>
      <x:c r="RSN60" s="291"/>
      <x:c r="RSO60" s="291"/>
      <x:c r="RSP60" s="291"/>
      <x:c r="RSQ60" s="291"/>
      <x:c r="RSR60" s="291"/>
      <x:c r="RSS60" s="291"/>
      <x:c r="RST60" s="291"/>
      <x:c r="RSU60" s="291"/>
      <x:c r="RSV60" s="291"/>
      <x:c r="RSW60" s="291"/>
      <x:c r="RSX60" s="291"/>
      <x:c r="RSY60" s="291"/>
      <x:c r="RSZ60" s="291"/>
      <x:c r="RTA60" s="291"/>
      <x:c r="RTB60" s="291"/>
      <x:c r="RTC60" s="291"/>
      <x:c r="RTD60" s="291"/>
      <x:c r="RTE60" s="291"/>
      <x:c r="RTF60" s="291"/>
      <x:c r="RTG60" s="291"/>
      <x:c r="RTH60" s="291"/>
      <x:c r="RTI60" s="291"/>
      <x:c r="RTJ60" s="291"/>
      <x:c r="RTK60" s="291"/>
      <x:c r="RTL60" s="291"/>
      <x:c r="RTM60" s="291"/>
      <x:c r="RTN60" s="291"/>
      <x:c r="RTO60" s="291"/>
      <x:c r="RTP60" s="291"/>
      <x:c r="RTQ60" s="291"/>
      <x:c r="RTR60" s="291"/>
      <x:c r="RTS60" s="291"/>
      <x:c r="RTT60" s="291"/>
      <x:c r="RTU60" s="291"/>
      <x:c r="RTV60" s="291"/>
      <x:c r="RTW60" s="291"/>
      <x:c r="RTX60" s="291"/>
      <x:c r="RTY60" s="291"/>
      <x:c r="RTZ60" s="291"/>
      <x:c r="RUA60" s="291"/>
      <x:c r="RUB60" s="291"/>
      <x:c r="RUC60" s="291"/>
      <x:c r="RUD60" s="291"/>
      <x:c r="RUE60" s="291"/>
      <x:c r="RUF60" s="291"/>
      <x:c r="RUG60" s="291"/>
      <x:c r="RUH60" s="291"/>
      <x:c r="RUI60" s="291"/>
      <x:c r="RUJ60" s="291"/>
      <x:c r="RUK60" s="291"/>
      <x:c r="RUL60" s="291"/>
      <x:c r="RUM60" s="291"/>
      <x:c r="RUN60" s="291"/>
      <x:c r="RUO60" s="291"/>
      <x:c r="RUP60" s="291"/>
      <x:c r="RUQ60" s="291"/>
      <x:c r="RUR60" s="291"/>
      <x:c r="RUS60" s="291"/>
      <x:c r="RUT60" s="291"/>
      <x:c r="RUU60" s="291"/>
      <x:c r="RUV60" s="291"/>
      <x:c r="RUW60" s="291"/>
      <x:c r="RUX60" s="291"/>
      <x:c r="RUY60" s="291"/>
      <x:c r="RUZ60" s="291"/>
      <x:c r="RVA60" s="291"/>
      <x:c r="RVB60" s="291"/>
      <x:c r="RVC60" s="291"/>
      <x:c r="RVD60" s="291"/>
      <x:c r="RVE60" s="291"/>
      <x:c r="RVF60" s="291"/>
      <x:c r="RVG60" s="291"/>
      <x:c r="RVH60" s="291"/>
      <x:c r="RVI60" s="291"/>
      <x:c r="RVJ60" s="291"/>
      <x:c r="RVK60" s="291"/>
      <x:c r="RVL60" s="291"/>
      <x:c r="RVM60" s="291"/>
      <x:c r="RVN60" s="291"/>
      <x:c r="RVO60" s="291"/>
      <x:c r="RVP60" s="291"/>
      <x:c r="RVQ60" s="291"/>
      <x:c r="RVR60" s="291"/>
      <x:c r="RVS60" s="291"/>
      <x:c r="RVT60" s="291"/>
      <x:c r="RVU60" s="291"/>
      <x:c r="RVV60" s="291"/>
      <x:c r="RVW60" s="291"/>
      <x:c r="RVX60" s="291"/>
      <x:c r="RVY60" s="291"/>
      <x:c r="RVZ60" s="291"/>
      <x:c r="RWA60" s="291"/>
      <x:c r="RWB60" s="291"/>
      <x:c r="RWC60" s="291"/>
      <x:c r="RWD60" s="291"/>
      <x:c r="RWE60" s="291"/>
      <x:c r="RWF60" s="291"/>
      <x:c r="RWG60" s="291"/>
      <x:c r="RWH60" s="291"/>
      <x:c r="RWI60" s="291"/>
      <x:c r="RWJ60" s="291"/>
      <x:c r="RWK60" s="291"/>
      <x:c r="RWL60" s="291"/>
      <x:c r="RWM60" s="291"/>
      <x:c r="RWN60" s="291"/>
      <x:c r="RWO60" s="291"/>
      <x:c r="RWP60" s="291"/>
      <x:c r="RWQ60" s="291"/>
      <x:c r="RWR60" s="291"/>
      <x:c r="RWS60" s="291"/>
      <x:c r="RWT60" s="291"/>
      <x:c r="RWU60" s="291"/>
      <x:c r="RWV60" s="291"/>
      <x:c r="RWW60" s="291"/>
      <x:c r="RWX60" s="291"/>
      <x:c r="RWY60" s="291"/>
      <x:c r="RWZ60" s="291"/>
      <x:c r="RXA60" s="291"/>
      <x:c r="RXB60" s="291"/>
      <x:c r="RXC60" s="291"/>
      <x:c r="RXD60" s="291"/>
      <x:c r="RXE60" s="291"/>
      <x:c r="RXF60" s="291"/>
      <x:c r="RXG60" s="291"/>
      <x:c r="RXH60" s="291"/>
      <x:c r="RXI60" s="291"/>
      <x:c r="RXJ60" s="291"/>
      <x:c r="RXK60" s="291"/>
      <x:c r="RXL60" s="291"/>
      <x:c r="RXM60" s="291"/>
      <x:c r="RXN60" s="291"/>
      <x:c r="RXO60" s="291"/>
      <x:c r="RXP60" s="291"/>
      <x:c r="RXQ60" s="291"/>
      <x:c r="RXR60" s="291"/>
      <x:c r="RXS60" s="291"/>
      <x:c r="RXT60" s="291"/>
      <x:c r="RXU60" s="291"/>
      <x:c r="RXV60" s="291"/>
      <x:c r="RXW60" s="291"/>
      <x:c r="RXX60" s="291"/>
      <x:c r="RXY60" s="291"/>
      <x:c r="RXZ60" s="291"/>
      <x:c r="RYA60" s="291"/>
      <x:c r="RYB60" s="291"/>
      <x:c r="RYC60" s="291"/>
      <x:c r="RYD60" s="291"/>
      <x:c r="RYE60" s="291"/>
      <x:c r="RYF60" s="291"/>
      <x:c r="RYG60" s="291"/>
      <x:c r="RYH60" s="291"/>
      <x:c r="RYI60" s="291"/>
      <x:c r="RYJ60" s="291"/>
      <x:c r="RYK60" s="291"/>
      <x:c r="RYL60" s="291"/>
      <x:c r="RYM60" s="291"/>
      <x:c r="RYN60" s="291"/>
      <x:c r="RYO60" s="291"/>
      <x:c r="RYP60" s="291"/>
      <x:c r="RYQ60" s="291"/>
      <x:c r="RYR60" s="291"/>
      <x:c r="RYS60" s="291"/>
      <x:c r="RYT60" s="291"/>
      <x:c r="RYU60" s="291"/>
      <x:c r="RYV60" s="291"/>
      <x:c r="RYW60" s="291"/>
      <x:c r="RYX60" s="291"/>
      <x:c r="RYY60" s="291"/>
      <x:c r="RYZ60" s="291"/>
      <x:c r="RZA60" s="291"/>
      <x:c r="RZB60" s="291"/>
      <x:c r="RZC60" s="291"/>
      <x:c r="RZD60" s="291"/>
      <x:c r="RZE60" s="291"/>
      <x:c r="RZF60" s="291"/>
      <x:c r="RZG60" s="291"/>
      <x:c r="RZH60" s="291"/>
      <x:c r="RZI60" s="291"/>
      <x:c r="RZJ60" s="291"/>
      <x:c r="RZK60" s="291"/>
      <x:c r="RZL60" s="291"/>
      <x:c r="RZM60" s="291"/>
      <x:c r="RZN60" s="291"/>
      <x:c r="RZO60" s="291"/>
      <x:c r="RZP60" s="291"/>
      <x:c r="RZQ60" s="291"/>
      <x:c r="RZR60" s="291"/>
      <x:c r="RZS60" s="291"/>
      <x:c r="RZT60" s="291"/>
      <x:c r="RZU60" s="291"/>
      <x:c r="RZV60" s="291"/>
      <x:c r="RZW60" s="291"/>
      <x:c r="RZX60" s="291"/>
      <x:c r="RZY60" s="291"/>
      <x:c r="RZZ60" s="291"/>
      <x:c r="SAA60" s="291"/>
      <x:c r="SAB60" s="291"/>
      <x:c r="SAC60" s="291"/>
      <x:c r="SAD60" s="291"/>
      <x:c r="SAE60" s="291"/>
      <x:c r="SAF60" s="291"/>
      <x:c r="SAG60" s="291"/>
      <x:c r="SAH60" s="291"/>
      <x:c r="SAI60" s="291"/>
      <x:c r="SAJ60" s="291"/>
      <x:c r="SAK60" s="291"/>
      <x:c r="SAL60" s="291"/>
      <x:c r="SAM60" s="291"/>
      <x:c r="SAN60" s="291"/>
      <x:c r="SAO60" s="291"/>
      <x:c r="SAP60" s="291"/>
      <x:c r="SAQ60" s="291"/>
      <x:c r="SAR60" s="291"/>
      <x:c r="SAS60" s="291"/>
      <x:c r="SAT60" s="291"/>
      <x:c r="SAU60" s="291"/>
      <x:c r="SAV60" s="291"/>
      <x:c r="SAW60" s="291"/>
      <x:c r="SAX60" s="291"/>
      <x:c r="SAY60" s="291"/>
      <x:c r="SAZ60" s="291"/>
      <x:c r="SBA60" s="291"/>
      <x:c r="SBB60" s="291"/>
      <x:c r="SBC60" s="291"/>
      <x:c r="SBD60" s="291"/>
      <x:c r="SBE60" s="291"/>
      <x:c r="SBF60" s="291"/>
      <x:c r="SBG60" s="291"/>
      <x:c r="SBH60" s="291"/>
      <x:c r="SBI60" s="291"/>
      <x:c r="SBJ60" s="291"/>
      <x:c r="SBK60" s="291"/>
      <x:c r="SBL60" s="291"/>
      <x:c r="SBM60" s="291"/>
      <x:c r="SBN60" s="291"/>
      <x:c r="SBO60" s="291"/>
      <x:c r="SBP60" s="291"/>
      <x:c r="SBQ60" s="291"/>
      <x:c r="SBR60" s="291"/>
      <x:c r="SBS60" s="291"/>
      <x:c r="SBT60" s="291"/>
      <x:c r="SBU60" s="291"/>
      <x:c r="SBV60" s="291"/>
      <x:c r="SBW60" s="291"/>
      <x:c r="SBX60" s="291"/>
      <x:c r="SBY60" s="291"/>
      <x:c r="SBZ60" s="291"/>
      <x:c r="SCA60" s="291"/>
      <x:c r="SCB60" s="291"/>
      <x:c r="SCC60" s="291"/>
      <x:c r="SCD60" s="291"/>
      <x:c r="SCE60" s="291"/>
      <x:c r="SCF60" s="291"/>
      <x:c r="SCG60" s="291"/>
      <x:c r="SCH60" s="291"/>
      <x:c r="SCI60" s="291"/>
      <x:c r="SCJ60" s="291"/>
      <x:c r="SCK60" s="291"/>
      <x:c r="SCL60" s="291"/>
      <x:c r="SCM60" s="291"/>
      <x:c r="SCN60" s="291"/>
      <x:c r="SCO60" s="291"/>
      <x:c r="SCP60" s="291"/>
      <x:c r="SCQ60" s="291"/>
      <x:c r="SCR60" s="291"/>
      <x:c r="SCS60" s="291"/>
      <x:c r="SCT60" s="291"/>
      <x:c r="SCU60" s="291"/>
      <x:c r="SCV60" s="291"/>
      <x:c r="SCW60" s="291"/>
      <x:c r="SCX60" s="291"/>
      <x:c r="SCY60" s="291"/>
      <x:c r="SCZ60" s="291"/>
      <x:c r="SDA60" s="291"/>
      <x:c r="SDB60" s="291"/>
      <x:c r="SDC60" s="291"/>
      <x:c r="SDD60" s="291"/>
      <x:c r="SDE60" s="291"/>
      <x:c r="SDF60" s="291"/>
      <x:c r="SDG60" s="291"/>
      <x:c r="SDH60" s="291"/>
      <x:c r="SDI60" s="291"/>
      <x:c r="SDJ60" s="291"/>
      <x:c r="SDK60" s="291"/>
      <x:c r="SDL60" s="291"/>
      <x:c r="SDM60" s="291"/>
      <x:c r="SDN60" s="291"/>
      <x:c r="SDO60" s="291"/>
      <x:c r="SDP60" s="291"/>
      <x:c r="SDQ60" s="291"/>
      <x:c r="SDR60" s="291"/>
      <x:c r="SDS60" s="291"/>
      <x:c r="SDT60" s="291"/>
      <x:c r="SDU60" s="291"/>
      <x:c r="SDV60" s="291"/>
      <x:c r="SDW60" s="291"/>
      <x:c r="SDX60" s="291"/>
      <x:c r="SDY60" s="291"/>
      <x:c r="SDZ60" s="291"/>
      <x:c r="SEA60" s="291"/>
      <x:c r="SEB60" s="291"/>
      <x:c r="SEC60" s="291"/>
      <x:c r="SED60" s="291"/>
      <x:c r="SEE60" s="291"/>
      <x:c r="SEF60" s="291"/>
      <x:c r="SEG60" s="291"/>
      <x:c r="SEH60" s="291"/>
      <x:c r="SEI60" s="291"/>
      <x:c r="SEJ60" s="291"/>
      <x:c r="SEK60" s="291"/>
      <x:c r="SEL60" s="291"/>
      <x:c r="SEM60" s="291"/>
      <x:c r="SEN60" s="291"/>
      <x:c r="SEO60" s="291"/>
      <x:c r="SEP60" s="291"/>
      <x:c r="SEQ60" s="291"/>
      <x:c r="SER60" s="291"/>
      <x:c r="SES60" s="291"/>
      <x:c r="SET60" s="291"/>
      <x:c r="SEU60" s="291"/>
      <x:c r="SEV60" s="291"/>
      <x:c r="SEW60" s="291"/>
      <x:c r="SEX60" s="291"/>
      <x:c r="SEY60" s="291"/>
      <x:c r="SEZ60" s="291"/>
      <x:c r="SFA60" s="291"/>
      <x:c r="SFB60" s="291"/>
      <x:c r="SFC60" s="291"/>
      <x:c r="SFD60" s="291"/>
      <x:c r="SFE60" s="291"/>
      <x:c r="SFF60" s="291"/>
      <x:c r="SFG60" s="291"/>
      <x:c r="SFH60" s="291"/>
      <x:c r="SFI60" s="291"/>
      <x:c r="SFJ60" s="291"/>
      <x:c r="SFK60" s="291"/>
      <x:c r="SFL60" s="291"/>
      <x:c r="SFM60" s="291"/>
      <x:c r="SFN60" s="291"/>
      <x:c r="SFO60" s="291"/>
      <x:c r="SFP60" s="291"/>
      <x:c r="SFQ60" s="291"/>
      <x:c r="SFR60" s="291"/>
      <x:c r="SFS60" s="291"/>
      <x:c r="SFT60" s="291"/>
      <x:c r="SFU60" s="291"/>
      <x:c r="SFV60" s="291"/>
      <x:c r="SFW60" s="291"/>
      <x:c r="SFX60" s="291"/>
      <x:c r="SFY60" s="291"/>
      <x:c r="SFZ60" s="291"/>
      <x:c r="SGA60" s="291"/>
      <x:c r="SGB60" s="291"/>
      <x:c r="SGC60" s="291"/>
      <x:c r="SGD60" s="291"/>
      <x:c r="SGE60" s="291"/>
      <x:c r="SGF60" s="291"/>
      <x:c r="SGG60" s="291"/>
      <x:c r="SGH60" s="291"/>
      <x:c r="SGI60" s="291"/>
      <x:c r="SGJ60" s="291"/>
      <x:c r="SGK60" s="291"/>
      <x:c r="SGL60" s="291"/>
      <x:c r="SGM60" s="291"/>
      <x:c r="SGN60" s="291"/>
      <x:c r="SGO60" s="291"/>
      <x:c r="SGP60" s="291"/>
      <x:c r="SGQ60" s="291"/>
      <x:c r="SGR60" s="291"/>
      <x:c r="SGS60" s="291"/>
      <x:c r="SGT60" s="291"/>
      <x:c r="SGU60" s="291"/>
      <x:c r="SGV60" s="291"/>
      <x:c r="SGW60" s="291"/>
      <x:c r="SGX60" s="291"/>
      <x:c r="SGY60" s="291"/>
      <x:c r="SGZ60" s="291"/>
      <x:c r="SHA60" s="291"/>
      <x:c r="SHB60" s="291"/>
      <x:c r="SHC60" s="291"/>
      <x:c r="SHD60" s="291"/>
      <x:c r="SHE60" s="291"/>
      <x:c r="SHF60" s="291"/>
      <x:c r="SHG60" s="291"/>
      <x:c r="SHH60" s="291"/>
      <x:c r="SHI60" s="291"/>
      <x:c r="SHJ60" s="291"/>
      <x:c r="SHK60" s="291"/>
      <x:c r="SHL60" s="291"/>
      <x:c r="SHM60" s="291"/>
      <x:c r="SHN60" s="291"/>
      <x:c r="SHO60" s="291"/>
      <x:c r="SHP60" s="291"/>
      <x:c r="SHQ60" s="291"/>
      <x:c r="SHR60" s="291"/>
      <x:c r="SHS60" s="291"/>
      <x:c r="SHT60" s="291"/>
      <x:c r="SHU60" s="291"/>
      <x:c r="SHV60" s="291"/>
      <x:c r="SHW60" s="291"/>
      <x:c r="SHX60" s="291"/>
      <x:c r="SHY60" s="291"/>
      <x:c r="SHZ60" s="291"/>
      <x:c r="SIA60" s="291"/>
      <x:c r="SIB60" s="291"/>
      <x:c r="SIC60" s="291"/>
      <x:c r="SID60" s="291"/>
      <x:c r="SIE60" s="291"/>
      <x:c r="SIF60" s="291"/>
      <x:c r="SIG60" s="291"/>
      <x:c r="SIH60" s="291"/>
      <x:c r="SII60" s="291"/>
      <x:c r="SIJ60" s="291"/>
      <x:c r="SIK60" s="291"/>
      <x:c r="SIL60" s="291"/>
      <x:c r="SIM60" s="291"/>
      <x:c r="SIN60" s="291"/>
      <x:c r="SIO60" s="291"/>
      <x:c r="SIP60" s="291"/>
      <x:c r="SIQ60" s="291"/>
      <x:c r="SIR60" s="291"/>
      <x:c r="SIS60" s="291"/>
      <x:c r="SIT60" s="291"/>
      <x:c r="SIU60" s="291"/>
      <x:c r="SIV60" s="291"/>
      <x:c r="SIW60" s="291"/>
      <x:c r="SIX60" s="291"/>
      <x:c r="SIY60" s="291"/>
      <x:c r="SIZ60" s="291"/>
      <x:c r="SJA60" s="291"/>
      <x:c r="SJB60" s="291"/>
      <x:c r="SJC60" s="291"/>
      <x:c r="SJD60" s="291"/>
      <x:c r="SJE60" s="291"/>
      <x:c r="SJF60" s="291"/>
      <x:c r="SJG60" s="291"/>
      <x:c r="SJH60" s="291"/>
      <x:c r="SJI60" s="291"/>
      <x:c r="SJJ60" s="291"/>
      <x:c r="SJK60" s="291"/>
      <x:c r="SJL60" s="291"/>
      <x:c r="SJM60" s="291"/>
      <x:c r="SJN60" s="291"/>
      <x:c r="SJO60" s="291"/>
      <x:c r="SJP60" s="291"/>
      <x:c r="SJQ60" s="291"/>
      <x:c r="SJR60" s="291"/>
      <x:c r="SJS60" s="291"/>
      <x:c r="SJT60" s="291"/>
      <x:c r="SJU60" s="291"/>
      <x:c r="SJV60" s="291"/>
      <x:c r="SJW60" s="291"/>
      <x:c r="SJX60" s="291"/>
      <x:c r="SJY60" s="291"/>
      <x:c r="SJZ60" s="291"/>
      <x:c r="SKA60" s="291"/>
      <x:c r="SKB60" s="291"/>
      <x:c r="SKC60" s="291"/>
      <x:c r="SKD60" s="291"/>
      <x:c r="SKE60" s="291"/>
      <x:c r="SKF60" s="291"/>
      <x:c r="SKG60" s="291"/>
      <x:c r="SKH60" s="291"/>
      <x:c r="SKI60" s="291"/>
      <x:c r="SKJ60" s="291"/>
      <x:c r="SKK60" s="291"/>
      <x:c r="SKL60" s="291"/>
      <x:c r="SKM60" s="291"/>
      <x:c r="SKN60" s="291"/>
      <x:c r="SKO60" s="291"/>
      <x:c r="SKP60" s="291"/>
      <x:c r="SKQ60" s="291"/>
      <x:c r="SKR60" s="291"/>
      <x:c r="SKS60" s="291"/>
      <x:c r="SKT60" s="291"/>
      <x:c r="SKU60" s="291"/>
      <x:c r="SKV60" s="291"/>
      <x:c r="SKW60" s="291"/>
      <x:c r="SKX60" s="291"/>
      <x:c r="SKY60" s="291"/>
      <x:c r="SKZ60" s="291"/>
      <x:c r="SLA60" s="291"/>
      <x:c r="SLB60" s="291"/>
      <x:c r="SLC60" s="291"/>
      <x:c r="SLD60" s="291"/>
      <x:c r="SLE60" s="291"/>
      <x:c r="SLF60" s="291"/>
      <x:c r="SLG60" s="291"/>
      <x:c r="SLH60" s="291"/>
      <x:c r="SLI60" s="291"/>
      <x:c r="SLJ60" s="291"/>
      <x:c r="SLK60" s="291"/>
      <x:c r="SLL60" s="291"/>
      <x:c r="SLM60" s="291"/>
      <x:c r="SLN60" s="291"/>
      <x:c r="SLO60" s="291"/>
      <x:c r="SLP60" s="291"/>
      <x:c r="SLQ60" s="291"/>
      <x:c r="SLR60" s="291"/>
      <x:c r="SLS60" s="291"/>
      <x:c r="SLT60" s="291"/>
      <x:c r="SLU60" s="291"/>
      <x:c r="SLV60" s="291"/>
      <x:c r="SLW60" s="291"/>
      <x:c r="SLX60" s="291"/>
      <x:c r="SLY60" s="291"/>
      <x:c r="SLZ60" s="291"/>
      <x:c r="SMA60" s="291"/>
      <x:c r="SMB60" s="291"/>
      <x:c r="SMC60" s="291"/>
      <x:c r="SMD60" s="291"/>
      <x:c r="SME60" s="291"/>
      <x:c r="SMF60" s="291"/>
      <x:c r="SMG60" s="291"/>
      <x:c r="SMH60" s="291"/>
      <x:c r="SMI60" s="291"/>
      <x:c r="SMJ60" s="291"/>
      <x:c r="SMK60" s="291"/>
      <x:c r="SML60" s="291"/>
      <x:c r="SMM60" s="291"/>
      <x:c r="SMN60" s="291"/>
      <x:c r="SMO60" s="291"/>
      <x:c r="SMP60" s="291"/>
      <x:c r="SMQ60" s="291"/>
      <x:c r="SMR60" s="291"/>
      <x:c r="SMS60" s="291"/>
      <x:c r="SMT60" s="291"/>
      <x:c r="SMU60" s="291"/>
      <x:c r="SMV60" s="291"/>
      <x:c r="SMW60" s="291"/>
      <x:c r="SMX60" s="291"/>
      <x:c r="SMY60" s="291"/>
      <x:c r="SMZ60" s="291"/>
      <x:c r="SNA60" s="291"/>
      <x:c r="SNB60" s="291"/>
      <x:c r="SNC60" s="291"/>
      <x:c r="SND60" s="291"/>
      <x:c r="SNE60" s="291"/>
      <x:c r="SNF60" s="291"/>
      <x:c r="SNG60" s="291"/>
      <x:c r="SNH60" s="291"/>
      <x:c r="SNI60" s="291"/>
      <x:c r="SNJ60" s="291"/>
      <x:c r="SNK60" s="291"/>
      <x:c r="SNL60" s="291"/>
      <x:c r="SNM60" s="291"/>
      <x:c r="SNN60" s="291"/>
      <x:c r="SNO60" s="291"/>
      <x:c r="SNP60" s="291"/>
      <x:c r="SNQ60" s="291"/>
      <x:c r="SNR60" s="291"/>
      <x:c r="SNS60" s="291"/>
      <x:c r="SNT60" s="291"/>
      <x:c r="SNU60" s="291"/>
      <x:c r="SNV60" s="291"/>
      <x:c r="SNW60" s="291"/>
      <x:c r="SNX60" s="291"/>
      <x:c r="SNY60" s="291"/>
      <x:c r="SNZ60" s="291"/>
      <x:c r="SOA60" s="291"/>
      <x:c r="SOB60" s="291"/>
      <x:c r="SOC60" s="291"/>
      <x:c r="SOD60" s="291"/>
      <x:c r="SOE60" s="291"/>
      <x:c r="SOF60" s="291"/>
      <x:c r="SOG60" s="291"/>
      <x:c r="SOH60" s="291"/>
      <x:c r="SOI60" s="291"/>
      <x:c r="SOJ60" s="291"/>
      <x:c r="SOK60" s="291"/>
      <x:c r="SOL60" s="291"/>
      <x:c r="SOM60" s="291"/>
      <x:c r="SON60" s="291"/>
      <x:c r="SOO60" s="291"/>
      <x:c r="SOP60" s="291"/>
      <x:c r="SOQ60" s="291"/>
      <x:c r="SOR60" s="291"/>
      <x:c r="SOS60" s="291"/>
      <x:c r="SOT60" s="291"/>
      <x:c r="SOU60" s="291"/>
      <x:c r="SOV60" s="291"/>
      <x:c r="SOW60" s="291"/>
      <x:c r="SOX60" s="291"/>
      <x:c r="SOY60" s="291"/>
      <x:c r="SOZ60" s="291"/>
      <x:c r="SPA60" s="291"/>
      <x:c r="SPB60" s="291"/>
      <x:c r="SPC60" s="291"/>
      <x:c r="SPD60" s="291"/>
      <x:c r="SPE60" s="291"/>
      <x:c r="SPF60" s="291"/>
      <x:c r="SPG60" s="291"/>
      <x:c r="SPH60" s="291"/>
      <x:c r="SPI60" s="291"/>
      <x:c r="SPJ60" s="291"/>
      <x:c r="SPK60" s="291"/>
      <x:c r="SPL60" s="291"/>
      <x:c r="SPM60" s="291"/>
      <x:c r="SPN60" s="291"/>
      <x:c r="SPO60" s="291"/>
      <x:c r="SPP60" s="291"/>
      <x:c r="SPQ60" s="291"/>
      <x:c r="SPR60" s="291"/>
      <x:c r="SPS60" s="291"/>
      <x:c r="SPT60" s="291"/>
      <x:c r="SPU60" s="291"/>
      <x:c r="SPV60" s="291"/>
      <x:c r="SPW60" s="291"/>
      <x:c r="SPX60" s="291"/>
      <x:c r="SPY60" s="291"/>
      <x:c r="SPZ60" s="291"/>
      <x:c r="SQA60" s="291"/>
      <x:c r="SQB60" s="291"/>
      <x:c r="SQC60" s="291"/>
      <x:c r="SQD60" s="291"/>
      <x:c r="SQE60" s="291"/>
      <x:c r="SQF60" s="291"/>
      <x:c r="SQG60" s="291"/>
      <x:c r="SQH60" s="291"/>
      <x:c r="SQI60" s="291"/>
      <x:c r="SQJ60" s="291"/>
      <x:c r="SQK60" s="291"/>
      <x:c r="SQL60" s="291"/>
      <x:c r="SQM60" s="291"/>
      <x:c r="SQN60" s="291"/>
      <x:c r="SQO60" s="291"/>
      <x:c r="SQP60" s="291"/>
      <x:c r="SQQ60" s="291"/>
      <x:c r="SQR60" s="291"/>
      <x:c r="SQS60" s="291"/>
      <x:c r="SQT60" s="291"/>
      <x:c r="SQU60" s="291"/>
      <x:c r="SQV60" s="291"/>
      <x:c r="SQW60" s="291"/>
      <x:c r="SQX60" s="291"/>
      <x:c r="SQY60" s="291"/>
      <x:c r="SQZ60" s="291"/>
      <x:c r="SRA60" s="291"/>
      <x:c r="SRB60" s="291"/>
      <x:c r="SRC60" s="291"/>
      <x:c r="SRD60" s="291"/>
      <x:c r="SRE60" s="291"/>
      <x:c r="SRF60" s="291"/>
      <x:c r="SRG60" s="291"/>
      <x:c r="SRH60" s="291"/>
      <x:c r="SRI60" s="291"/>
      <x:c r="SRJ60" s="291"/>
      <x:c r="SRK60" s="291"/>
      <x:c r="SRL60" s="291"/>
      <x:c r="SRM60" s="291"/>
      <x:c r="SRN60" s="291"/>
      <x:c r="SRO60" s="291"/>
      <x:c r="SRP60" s="291"/>
      <x:c r="SRQ60" s="291"/>
      <x:c r="SRR60" s="291"/>
      <x:c r="SRS60" s="291"/>
      <x:c r="SRT60" s="291"/>
      <x:c r="SRU60" s="291"/>
      <x:c r="SRV60" s="291"/>
      <x:c r="SRW60" s="291"/>
      <x:c r="SRX60" s="291"/>
      <x:c r="SRY60" s="291"/>
      <x:c r="SRZ60" s="291"/>
      <x:c r="SSA60" s="291"/>
      <x:c r="SSB60" s="291"/>
      <x:c r="SSC60" s="291"/>
      <x:c r="SSD60" s="291"/>
      <x:c r="SSE60" s="291"/>
      <x:c r="SSF60" s="291"/>
      <x:c r="SSG60" s="291"/>
      <x:c r="SSH60" s="291"/>
      <x:c r="SSI60" s="291"/>
      <x:c r="SSJ60" s="291"/>
      <x:c r="SSK60" s="291"/>
      <x:c r="SSL60" s="291"/>
      <x:c r="SSM60" s="291"/>
      <x:c r="SSN60" s="291"/>
      <x:c r="SSO60" s="291"/>
      <x:c r="SSP60" s="291"/>
      <x:c r="SSQ60" s="291"/>
      <x:c r="SSR60" s="291"/>
      <x:c r="SSS60" s="291"/>
      <x:c r="SST60" s="291"/>
      <x:c r="SSU60" s="291"/>
      <x:c r="SSV60" s="291"/>
      <x:c r="SSW60" s="291"/>
      <x:c r="SSX60" s="291"/>
      <x:c r="SSY60" s="291"/>
      <x:c r="SSZ60" s="291"/>
      <x:c r="STA60" s="291"/>
      <x:c r="STB60" s="291"/>
      <x:c r="STC60" s="291"/>
      <x:c r="STD60" s="291"/>
      <x:c r="STE60" s="291"/>
      <x:c r="STF60" s="291"/>
      <x:c r="STG60" s="291"/>
      <x:c r="STH60" s="291"/>
      <x:c r="STI60" s="291"/>
      <x:c r="STJ60" s="291"/>
      <x:c r="STK60" s="291"/>
      <x:c r="STL60" s="291"/>
      <x:c r="STM60" s="291"/>
      <x:c r="STN60" s="291"/>
      <x:c r="STO60" s="291"/>
      <x:c r="STP60" s="291"/>
      <x:c r="STQ60" s="291"/>
      <x:c r="STR60" s="291"/>
      <x:c r="STS60" s="291"/>
      <x:c r="STT60" s="291"/>
      <x:c r="STU60" s="291"/>
      <x:c r="STV60" s="291"/>
      <x:c r="STW60" s="291"/>
      <x:c r="STX60" s="291"/>
      <x:c r="STY60" s="291"/>
      <x:c r="STZ60" s="291"/>
      <x:c r="SUA60" s="291"/>
      <x:c r="SUB60" s="291"/>
      <x:c r="SUC60" s="291"/>
      <x:c r="SUD60" s="291"/>
      <x:c r="SUE60" s="291"/>
      <x:c r="SUF60" s="291"/>
      <x:c r="SUG60" s="291"/>
      <x:c r="SUH60" s="291"/>
      <x:c r="SUI60" s="291"/>
      <x:c r="SUJ60" s="291"/>
      <x:c r="SUK60" s="291"/>
      <x:c r="SUL60" s="291"/>
      <x:c r="SUM60" s="291"/>
      <x:c r="SUN60" s="291"/>
      <x:c r="SUO60" s="291"/>
      <x:c r="SUP60" s="291"/>
      <x:c r="SUQ60" s="291"/>
      <x:c r="SUR60" s="291"/>
      <x:c r="SUS60" s="291"/>
      <x:c r="SUT60" s="291"/>
      <x:c r="SUU60" s="291"/>
      <x:c r="SUV60" s="291"/>
      <x:c r="SUW60" s="291"/>
      <x:c r="SUX60" s="291"/>
      <x:c r="SUY60" s="291"/>
      <x:c r="SUZ60" s="291"/>
      <x:c r="SVA60" s="291"/>
      <x:c r="SVB60" s="291"/>
      <x:c r="SVC60" s="291"/>
      <x:c r="SVD60" s="291"/>
      <x:c r="SVE60" s="291"/>
      <x:c r="SVF60" s="291"/>
      <x:c r="SVG60" s="291"/>
      <x:c r="SVH60" s="291"/>
      <x:c r="SVI60" s="291"/>
      <x:c r="SVJ60" s="291"/>
      <x:c r="SVK60" s="291"/>
      <x:c r="SVL60" s="291"/>
      <x:c r="SVM60" s="291"/>
      <x:c r="SVN60" s="291"/>
      <x:c r="SVO60" s="291"/>
      <x:c r="SVP60" s="291"/>
      <x:c r="SVQ60" s="291"/>
      <x:c r="SVR60" s="291"/>
      <x:c r="SVS60" s="291"/>
      <x:c r="SVT60" s="291"/>
      <x:c r="SVU60" s="291"/>
      <x:c r="SVV60" s="291"/>
      <x:c r="SVW60" s="291"/>
      <x:c r="SVX60" s="291"/>
      <x:c r="SVY60" s="291"/>
      <x:c r="SVZ60" s="291"/>
      <x:c r="SWA60" s="291"/>
      <x:c r="SWB60" s="291"/>
      <x:c r="SWC60" s="291"/>
      <x:c r="SWD60" s="291"/>
      <x:c r="SWE60" s="291"/>
      <x:c r="SWF60" s="291"/>
      <x:c r="SWG60" s="291"/>
      <x:c r="SWH60" s="291"/>
      <x:c r="SWI60" s="291"/>
      <x:c r="SWJ60" s="291"/>
      <x:c r="SWK60" s="291"/>
      <x:c r="SWL60" s="291"/>
      <x:c r="SWM60" s="291"/>
      <x:c r="SWN60" s="291"/>
      <x:c r="SWO60" s="291"/>
      <x:c r="SWP60" s="291"/>
      <x:c r="SWQ60" s="291"/>
      <x:c r="SWR60" s="291"/>
      <x:c r="SWS60" s="291"/>
      <x:c r="SWT60" s="291"/>
      <x:c r="SWU60" s="291"/>
      <x:c r="SWV60" s="291"/>
      <x:c r="SWW60" s="291"/>
      <x:c r="SWX60" s="291"/>
      <x:c r="SWY60" s="291"/>
      <x:c r="SWZ60" s="291"/>
      <x:c r="SXA60" s="291"/>
      <x:c r="SXB60" s="291"/>
      <x:c r="SXC60" s="291"/>
      <x:c r="SXD60" s="291"/>
      <x:c r="SXE60" s="291"/>
      <x:c r="SXF60" s="291"/>
      <x:c r="SXG60" s="291"/>
      <x:c r="SXH60" s="291"/>
      <x:c r="SXI60" s="291"/>
      <x:c r="SXJ60" s="291"/>
      <x:c r="SXK60" s="291"/>
      <x:c r="SXL60" s="291"/>
      <x:c r="SXM60" s="291"/>
      <x:c r="SXN60" s="291"/>
      <x:c r="SXO60" s="291"/>
      <x:c r="SXP60" s="291"/>
      <x:c r="SXQ60" s="291"/>
      <x:c r="SXR60" s="291"/>
      <x:c r="SXS60" s="291"/>
      <x:c r="SXT60" s="291"/>
      <x:c r="SXU60" s="291"/>
      <x:c r="SXV60" s="291"/>
      <x:c r="SXW60" s="291"/>
      <x:c r="SXX60" s="291"/>
      <x:c r="SXY60" s="291"/>
      <x:c r="SXZ60" s="291"/>
      <x:c r="SYA60" s="291"/>
      <x:c r="SYB60" s="291"/>
      <x:c r="SYC60" s="291"/>
      <x:c r="SYD60" s="291"/>
      <x:c r="SYE60" s="291"/>
      <x:c r="SYF60" s="291"/>
      <x:c r="SYG60" s="291"/>
      <x:c r="SYH60" s="291"/>
      <x:c r="SYI60" s="291"/>
      <x:c r="SYJ60" s="291"/>
      <x:c r="SYK60" s="291"/>
      <x:c r="SYL60" s="291"/>
      <x:c r="SYM60" s="291"/>
      <x:c r="SYN60" s="291"/>
      <x:c r="SYO60" s="291"/>
      <x:c r="SYP60" s="291"/>
      <x:c r="SYQ60" s="291"/>
      <x:c r="SYR60" s="291"/>
      <x:c r="SYS60" s="291"/>
      <x:c r="SYT60" s="291"/>
      <x:c r="SYU60" s="291"/>
      <x:c r="SYV60" s="291"/>
      <x:c r="SYW60" s="291"/>
      <x:c r="SYX60" s="291"/>
      <x:c r="SYY60" s="291"/>
      <x:c r="SYZ60" s="291"/>
      <x:c r="SZA60" s="291"/>
      <x:c r="SZB60" s="291"/>
      <x:c r="SZC60" s="291"/>
      <x:c r="SZD60" s="291"/>
      <x:c r="SZE60" s="291"/>
      <x:c r="SZF60" s="291"/>
      <x:c r="SZG60" s="291"/>
      <x:c r="SZH60" s="291"/>
      <x:c r="SZI60" s="291"/>
      <x:c r="SZJ60" s="291"/>
      <x:c r="SZK60" s="291"/>
      <x:c r="SZL60" s="291"/>
      <x:c r="SZM60" s="291"/>
      <x:c r="SZN60" s="291"/>
      <x:c r="SZO60" s="291"/>
      <x:c r="SZP60" s="291"/>
      <x:c r="SZQ60" s="291"/>
      <x:c r="SZR60" s="291"/>
      <x:c r="SZS60" s="291"/>
      <x:c r="SZT60" s="291"/>
      <x:c r="SZU60" s="291"/>
      <x:c r="SZV60" s="291"/>
      <x:c r="SZW60" s="291"/>
      <x:c r="SZX60" s="291"/>
      <x:c r="SZY60" s="291"/>
      <x:c r="SZZ60" s="291"/>
      <x:c r="TAA60" s="291"/>
      <x:c r="TAB60" s="291"/>
      <x:c r="TAC60" s="291"/>
      <x:c r="TAD60" s="291"/>
      <x:c r="TAE60" s="291"/>
      <x:c r="TAF60" s="291"/>
      <x:c r="TAG60" s="291"/>
      <x:c r="TAH60" s="291"/>
      <x:c r="TAI60" s="291"/>
      <x:c r="TAJ60" s="291"/>
      <x:c r="TAK60" s="291"/>
      <x:c r="TAL60" s="291"/>
      <x:c r="TAM60" s="291"/>
      <x:c r="TAN60" s="291"/>
      <x:c r="TAO60" s="291"/>
      <x:c r="TAP60" s="291"/>
      <x:c r="TAQ60" s="291"/>
      <x:c r="TAR60" s="291"/>
      <x:c r="TAS60" s="291"/>
      <x:c r="TAT60" s="291"/>
      <x:c r="TAU60" s="291"/>
      <x:c r="TAV60" s="291"/>
      <x:c r="TAW60" s="291"/>
      <x:c r="TAX60" s="291"/>
      <x:c r="TAY60" s="291"/>
      <x:c r="TAZ60" s="291"/>
      <x:c r="TBA60" s="291"/>
      <x:c r="TBB60" s="291"/>
      <x:c r="TBC60" s="291"/>
      <x:c r="TBD60" s="291"/>
      <x:c r="TBE60" s="291"/>
      <x:c r="TBF60" s="291"/>
      <x:c r="TBG60" s="291"/>
      <x:c r="TBH60" s="291"/>
      <x:c r="TBI60" s="291"/>
      <x:c r="TBJ60" s="291"/>
      <x:c r="TBK60" s="291"/>
      <x:c r="TBL60" s="291"/>
      <x:c r="TBM60" s="291"/>
      <x:c r="TBN60" s="291"/>
      <x:c r="TBO60" s="291"/>
      <x:c r="TBP60" s="291"/>
      <x:c r="TBQ60" s="291"/>
      <x:c r="TBR60" s="291"/>
      <x:c r="TBS60" s="291"/>
      <x:c r="TBT60" s="291"/>
      <x:c r="TBU60" s="291"/>
      <x:c r="TBV60" s="291"/>
      <x:c r="TBW60" s="291"/>
      <x:c r="TBX60" s="291"/>
      <x:c r="TBY60" s="291"/>
      <x:c r="TBZ60" s="291"/>
      <x:c r="TCA60" s="291"/>
      <x:c r="TCB60" s="291"/>
      <x:c r="TCC60" s="291"/>
      <x:c r="TCD60" s="291"/>
      <x:c r="TCE60" s="291"/>
      <x:c r="TCF60" s="291"/>
      <x:c r="TCG60" s="291"/>
      <x:c r="TCH60" s="291"/>
      <x:c r="TCI60" s="291"/>
      <x:c r="TCJ60" s="291"/>
      <x:c r="TCK60" s="291"/>
      <x:c r="TCL60" s="291"/>
      <x:c r="TCM60" s="291"/>
      <x:c r="TCN60" s="291"/>
      <x:c r="TCO60" s="291"/>
      <x:c r="TCP60" s="291"/>
      <x:c r="TCQ60" s="291"/>
      <x:c r="TCR60" s="291"/>
      <x:c r="TCS60" s="291"/>
      <x:c r="TCT60" s="291"/>
      <x:c r="TCU60" s="291"/>
      <x:c r="TCV60" s="291"/>
      <x:c r="TCW60" s="291"/>
      <x:c r="TCX60" s="291"/>
      <x:c r="TCY60" s="291"/>
      <x:c r="TCZ60" s="291"/>
      <x:c r="TDA60" s="291"/>
      <x:c r="TDB60" s="291"/>
      <x:c r="TDC60" s="291"/>
      <x:c r="TDD60" s="291"/>
      <x:c r="TDE60" s="291"/>
      <x:c r="TDF60" s="291"/>
      <x:c r="TDG60" s="291"/>
      <x:c r="TDH60" s="291"/>
      <x:c r="TDI60" s="291"/>
      <x:c r="TDJ60" s="291"/>
      <x:c r="TDK60" s="291"/>
      <x:c r="TDL60" s="291"/>
      <x:c r="TDM60" s="291"/>
      <x:c r="TDN60" s="291"/>
      <x:c r="TDO60" s="291"/>
      <x:c r="TDP60" s="291"/>
      <x:c r="TDQ60" s="291"/>
      <x:c r="TDR60" s="291"/>
      <x:c r="TDS60" s="291"/>
      <x:c r="TDT60" s="291"/>
      <x:c r="TDU60" s="291"/>
      <x:c r="TDV60" s="291"/>
      <x:c r="TDW60" s="291"/>
      <x:c r="TDX60" s="291"/>
      <x:c r="TDY60" s="291"/>
      <x:c r="TDZ60" s="291"/>
      <x:c r="TEA60" s="291"/>
      <x:c r="TEB60" s="291"/>
      <x:c r="TEC60" s="291"/>
      <x:c r="TED60" s="291"/>
      <x:c r="TEE60" s="291"/>
      <x:c r="TEF60" s="291"/>
      <x:c r="TEG60" s="291"/>
      <x:c r="TEH60" s="291"/>
      <x:c r="TEI60" s="291"/>
      <x:c r="TEJ60" s="291"/>
      <x:c r="TEK60" s="291"/>
      <x:c r="TEL60" s="291"/>
      <x:c r="TEM60" s="291"/>
      <x:c r="TEN60" s="291"/>
      <x:c r="TEO60" s="291"/>
      <x:c r="TEP60" s="291"/>
      <x:c r="TEQ60" s="291"/>
      <x:c r="TER60" s="291"/>
      <x:c r="TES60" s="291"/>
      <x:c r="TET60" s="291"/>
      <x:c r="TEU60" s="291"/>
      <x:c r="TEV60" s="291"/>
      <x:c r="TEW60" s="291"/>
      <x:c r="TEX60" s="291"/>
      <x:c r="TEY60" s="291"/>
      <x:c r="TEZ60" s="291"/>
      <x:c r="TFA60" s="291"/>
      <x:c r="TFB60" s="291"/>
      <x:c r="TFC60" s="291"/>
      <x:c r="TFD60" s="291"/>
      <x:c r="TFE60" s="291"/>
      <x:c r="TFF60" s="291"/>
      <x:c r="TFG60" s="291"/>
      <x:c r="TFH60" s="291"/>
      <x:c r="TFI60" s="291"/>
      <x:c r="TFJ60" s="291"/>
      <x:c r="TFK60" s="291"/>
      <x:c r="TFL60" s="291"/>
      <x:c r="TFM60" s="291"/>
      <x:c r="TFN60" s="291"/>
      <x:c r="TFO60" s="291"/>
      <x:c r="TFP60" s="291"/>
      <x:c r="TFQ60" s="291"/>
      <x:c r="TFR60" s="291"/>
      <x:c r="TFS60" s="291"/>
      <x:c r="TFT60" s="291"/>
      <x:c r="TFU60" s="291"/>
      <x:c r="TFV60" s="291"/>
      <x:c r="TFW60" s="291"/>
      <x:c r="TFX60" s="291"/>
      <x:c r="TFY60" s="291"/>
      <x:c r="TFZ60" s="291"/>
      <x:c r="TGA60" s="291"/>
      <x:c r="TGB60" s="291"/>
      <x:c r="TGC60" s="291"/>
      <x:c r="TGD60" s="291"/>
      <x:c r="TGE60" s="291"/>
      <x:c r="TGF60" s="291"/>
      <x:c r="TGG60" s="291"/>
      <x:c r="TGH60" s="291"/>
      <x:c r="TGI60" s="291"/>
      <x:c r="TGJ60" s="291"/>
      <x:c r="TGK60" s="291"/>
      <x:c r="TGL60" s="291"/>
      <x:c r="TGM60" s="291"/>
      <x:c r="TGN60" s="291"/>
      <x:c r="TGO60" s="291"/>
      <x:c r="TGP60" s="291"/>
      <x:c r="TGQ60" s="291"/>
      <x:c r="TGR60" s="291"/>
      <x:c r="TGS60" s="291"/>
      <x:c r="TGT60" s="291"/>
      <x:c r="TGU60" s="291"/>
      <x:c r="TGV60" s="291"/>
      <x:c r="TGW60" s="291"/>
      <x:c r="TGX60" s="291"/>
      <x:c r="TGY60" s="291"/>
      <x:c r="TGZ60" s="291"/>
      <x:c r="THA60" s="291"/>
      <x:c r="THB60" s="291"/>
      <x:c r="THC60" s="291"/>
      <x:c r="THD60" s="291"/>
      <x:c r="THE60" s="291"/>
      <x:c r="THF60" s="291"/>
      <x:c r="THG60" s="291"/>
      <x:c r="THH60" s="291"/>
      <x:c r="THI60" s="291"/>
      <x:c r="THJ60" s="291"/>
      <x:c r="THK60" s="291"/>
      <x:c r="THL60" s="291"/>
      <x:c r="THM60" s="291"/>
      <x:c r="THN60" s="291"/>
      <x:c r="THO60" s="291"/>
      <x:c r="THP60" s="291"/>
      <x:c r="THQ60" s="291"/>
      <x:c r="THR60" s="291"/>
      <x:c r="THS60" s="291"/>
      <x:c r="THT60" s="291"/>
      <x:c r="THU60" s="291"/>
      <x:c r="THV60" s="291"/>
      <x:c r="THW60" s="291"/>
      <x:c r="THX60" s="291"/>
      <x:c r="THY60" s="291"/>
      <x:c r="THZ60" s="291"/>
      <x:c r="TIA60" s="291"/>
      <x:c r="TIB60" s="291"/>
      <x:c r="TIC60" s="291"/>
      <x:c r="TID60" s="291"/>
      <x:c r="TIE60" s="291"/>
      <x:c r="TIF60" s="291"/>
      <x:c r="TIG60" s="291"/>
      <x:c r="TIH60" s="291"/>
      <x:c r="TII60" s="291"/>
      <x:c r="TIJ60" s="291"/>
      <x:c r="TIK60" s="291"/>
      <x:c r="TIL60" s="291"/>
      <x:c r="TIM60" s="291"/>
      <x:c r="TIN60" s="291"/>
      <x:c r="TIO60" s="291"/>
      <x:c r="TIP60" s="291"/>
      <x:c r="TIQ60" s="291"/>
      <x:c r="TIR60" s="291"/>
      <x:c r="TIS60" s="291"/>
      <x:c r="TIT60" s="291"/>
      <x:c r="TIU60" s="291"/>
      <x:c r="TIV60" s="291"/>
      <x:c r="TIW60" s="291"/>
      <x:c r="TIX60" s="291"/>
      <x:c r="TIY60" s="291"/>
      <x:c r="TIZ60" s="291"/>
      <x:c r="TJA60" s="291"/>
      <x:c r="TJB60" s="291"/>
      <x:c r="TJC60" s="291"/>
      <x:c r="TJD60" s="291"/>
      <x:c r="TJE60" s="291"/>
      <x:c r="TJF60" s="291"/>
      <x:c r="TJG60" s="291"/>
      <x:c r="TJH60" s="291"/>
      <x:c r="TJI60" s="291"/>
      <x:c r="TJJ60" s="291"/>
      <x:c r="TJK60" s="291"/>
      <x:c r="TJL60" s="291"/>
      <x:c r="TJM60" s="291"/>
      <x:c r="TJN60" s="291"/>
      <x:c r="TJO60" s="291"/>
      <x:c r="TJP60" s="291"/>
      <x:c r="TJQ60" s="291"/>
      <x:c r="TJR60" s="291"/>
      <x:c r="TJS60" s="291"/>
      <x:c r="TJT60" s="291"/>
      <x:c r="TJU60" s="291"/>
      <x:c r="TJV60" s="291"/>
      <x:c r="TJW60" s="291"/>
      <x:c r="TJX60" s="291"/>
      <x:c r="TJY60" s="291"/>
      <x:c r="TJZ60" s="291"/>
      <x:c r="TKA60" s="291"/>
      <x:c r="TKB60" s="291"/>
      <x:c r="TKC60" s="291"/>
      <x:c r="TKD60" s="291"/>
      <x:c r="TKE60" s="291"/>
      <x:c r="TKF60" s="291"/>
      <x:c r="TKG60" s="291"/>
      <x:c r="TKH60" s="291"/>
      <x:c r="TKI60" s="291"/>
      <x:c r="TKJ60" s="291"/>
      <x:c r="TKK60" s="291"/>
      <x:c r="TKL60" s="291"/>
      <x:c r="TKM60" s="291"/>
      <x:c r="TKN60" s="291"/>
      <x:c r="TKO60" s="291"/>
      <x:c r="TKP60" s="291"/>
      <x:c r="TKQ60" s="291"/>
      <x:c r="TKR60" s="291"/>
      <x:c r="TKS60" s="291"/>
      <x:c r="TKT60" s="291"/>
      <x:c r="TKU60" s="291"/>
      <x:c r="TKV60" s="291"/>
      <x:c r="TKW60" s="291"/>
      <x:c r="TKX60" s="291"/>
      <x:c r="TKY60" s="291"/>
      <x:c r="TKZ60" s="291"/>
      <x:c r="TLA60" s="291"/>
      <x:c r="TLB60" s="291"/>
      <x:c r="TLC60" s="291"/>
      <x:c r="TLD60" s="291"/>
      <x:c r="TLE60" s="291"/>
      <x:c r="TLF60" s="291"/>
      <x:c r="TLG60" s="291"/>
      <x:c r="TLH60" s="291"/>
      <x:c r="TLI60" s="291"/>
      <x:c r="TLJ60" s="291"/>
      <x:c r="TLK60" s="291"/>
      <x:c r="TLL60" s="291"/>
      <x:c r="TLM60" s="291"/>
      <x:c r="TLN60" s="291"/>
      <x:c r="TLO60" s="291"/>
      <x:c r="TLP60" s="291"/>
      <x:c r="TLQ60" s="291"/>
      <x:c r="TLR60" s="291"/>
      <x:c r="TLS60" s="291"/>
      <x:c r="TLT60" s="291"/>
      <x:c r="TLU60" s="291"/>
      <x:c r="TLV60" s="291"/>
      <x:c r="TLW60" s="291"/>
      <x:c r="TLX60" s="291"/>
      <x:c r="TLY60" s="291"/>
      <x:c r="TLZ60" s="291"/>
      <x:c r="TMA60" s="291"/>
      <x:c r="TMB60" s="291"/>
      <x:c r="TMC60" s="291"/>
      <x:c r="TMD60" s="291"/>
      <x:c r="TME60" s="291"/>
      <x:c r="TMF60" s="291"/>
      <x:c r="TMG60" s="291"/>
      <x:c r="TMH60" s="291"/>
      <x:c r="TMI60" s="291"/>
      <x:c r="TMJ60" s="291"/>
      <x:c r="TMK60" s="291"/>
      <x:c r="TML60" s="291"/>
      <x:c r="TMM60" s="291"/>
      <x:c r="TMN60" s="291"/>
      <x:c r="TMO60" s="291"/>
      <x:c r="TMP60" s="291"/>
      <x:c r="TMQ60" s="291"/>
      <x:c r="TMR60" s="291"/>
      <x:c r="TMS60" s="291"/>
      <x:c r="TMT60" s="291"/>
      <x:c r="TMU60" s="291"/>
      <x:c r="TMV60" s="291"/>
      <x:c r="TMW60" s="291"/>
      <x:c r="TMX60" s="291"/>
      <x:c r="TMY60" s="291"/>
      <x:c r="TMZ60" s="291"/>
      <x:c r="TNA60" s="291"/>
      <x:c r="TNB60" s="291"/>
      <x:c r="TNC60" s="291"/>
      <x:c r="TND60" s="291"/>
      <x:c r="TNE60" s="291"/>
      <x:c r="TNF60" s="291"/>
      <x:c r="TNG60" s="291"/>
      <x:c r="TNH60" s="291"/>
      <x:c r="TNI60" s="291"/>
      <x:c r="TNJ60" s="291"/>
      <x:c r="TNK60" s="291"/>
      <x:c r="TNL60" s="291"/>
      <x:c r="TNM60" s="291"/>
      <x:c r="TNN60" s="291"/>
      <x:c r="TNO60" s="291"/>
      <x:c r="TNP60" s="291"/>
      <x:c r="TNQ60" s="291"/>
      <x:c r="TNR60" s="291"/>
      <x:c r="TNS60" s="291"/>
      <x:c r="TNT60" s="291"/>
      <x:c r="TNU60" s="291"/>
      <x:c r="TNV60" s="291"/>
      <x:c r="TNW60" s="291"/>
      <x:c r="TNX60" s="291"/>
      <x:c r="TNY60" s="291"/>
      <x:c r="TNZ60" s="291"/>
      <x:c r="TOA60" s="291"/>
      <x:c r="TOB60" s="291"/>
      <x:c r="TOC60" s="291"/>
      <x:c r="TOD60" s="291"/>
      <x:c r="TOE60" s="291"/>
      <x:c r="TOF60" s="291"/>
      <x:c r="TOG60" s="291"/>
      <x:c r="TOH60" s="291"/>
      <x:c r="TOI60" s="291"/>
      <x:c r="TOJ60" s="291"/>
      <x:c r="TOK60" s="291"/>
      <x:c r="TOL60" s="291"/>
      <x:c r="TOM60" s="291"/>
      <x:c r="TON60" s="291"/>
      <x:c r="TOO60" s="291"/>
      <x:c r="TOP60" s="291"/>
      <x:c r="TOQ60" s="291"/>
      <x:c r="TOR60" s="291"/>
      <x:c r="TOS60" s="291"/>
      <x:c r="TOT60" s="291"/>
      <x:c r="TOU60" s="291"/>
      <x:c r="TOV60" s="291"/>
      <x:c r="TOW60" s="291"/>
      <x:c r="TOX60" s="291"/>
      <x:c r="TOY60" s="291"/>
      <x:c r="TOZ60" s="291"/>
      <x:c r="TPA60" s="291"/>
      <x:c r="TPB60" s="291"/>
      <x:c r="TPC60" s="291"/>
      <x:c r="TPD60" s="291"/>
      <x:c r="TPE60" s="291"/>
      <x:c r="TPF60" s="291"/>
      <x:c r="TPG60" s="291"/>
      <x:c r="TPH60" s="291"/>
      <x:c r="TPI60" s="291"/>
      <x:c r="TPJ60" s="291"/>
      <x:c r="TPK60" s="291"/>
      <x:c r="TPL60" s="291"/>
      <x:c r="TPM60" s="291"/>
      <x:c r="TPN60" s="291"/>
      <x:c r="TPO60" s="291"/>
      <x:c r="TPP60" s="291"/>
      <x:c r="TPQ60" s="291"/>
      <x:c r="TPR60" s="291"/>
      <x:c r="TPS60" s="291"/>
      <x:c r="TPT60" s="291"/>
      <x:c r="TPU60" s="291"/>
      <x:c r="TPV60" s="291"/>
      <x:c r="TPW60" s="291"/>
      <x:c r="TPX60" s="291"/>
      <x:c r="TPY60" s="291"/>
      <x:c r="TPZ60" s="291"/>
      <x:c r="TQA60" s="291"/>
      <x:c r="TQB60" s="291"/>
      <x:c r="TQC60" s="291"/>
      <x:c r="TQD60" s="291"/>
      <x:c r="TQE60" s="291"/>
      <x:c r="TQF60" s="291"/>
      <x:c r="TQG60" s="291"/>
      <x:c r="TQH60" s="291"/>
      <x:c r="TQI60" s="291"/>
      <x:c r="TQJ60" s="291"/>
      <x:c r="TQK60" s="291"/>
      <x:c r="TQL60" s="291"/>
      <x:c r="TQM60" s="291"/>
      <x:c r="TQN60" s="291"/>
      <x:c r="TQO60" s="291"/>
      <x:c r="TQP60" s="291"/>
      <x:c r="TQQ60" s="291"/>
      <x:c r="TQR60" s="291"/>
      <x:c r="TQS60" s="291"/>
      <x:c r="TQT60" s="291"/>
      <x:c r="TQU60" s="291"/>
      <x:c r="TQV60" s="291"/>
      <x:c r="TQW60" s="291"/>
      <x:c r="TQX60" s="291"/>
      <x:c r="TQY60" s="291"/>
      <x:c r="TQZ60" s="291"/>
      <x:c r="TRA60" s="291"/>
      <x:c r="TRB60" s="291"/>
      <x:c r="TRC60" s="291"/>
      <x:c r="TRD60" s="291"/>
      <x:c r="TRE60" s="291"/>
      <x:c r="TRF60" s="291"/>
      <x:c r="TRG60" s="291"/>
      <x:c r="TRH60" s="291"/>
      <x:c r="TRI60" s="291"/>
      <x:c r="TRJ60" s="291"/>
      <x:c r="TRK60" s="291"/>
      <x:c r="TRL60" s="291"/>
      <x:c r="TRM60" s="291"/>
      <x:c r="TRN60" s="291"/>
      <x:c r="TRO60" s="291"/>
      <x:c r="TRP60" s="291"/>
      <x:c r="TRQ60" s="291"/>
      <x:c r="TRR60" s="291"/>
      <x:c r="TRS60" s="291"/>
      <x:c r="TRT60" s="291"/>
      <x:c r="TRU60" s="291"/>
      <x:c r="TRV60" s="291"/>
      <x:c r="TRW60" s="291"/>
      <x:c r="TRX60" s="291"/>
      <x:c r="TRY60" s="291"/>
      <x:c r="TRZ60" s="291"/>
      <x:c r="TSA60" s="291"/>
      <x:c r="TSB60" s="291"/>
      <x:c r="TSC60" s="291"/>
      <x:c r="TSD60" s="291"/>
      <x:c r="TSE60" s="291"/>
      <x:c r="TSF60" s="291"/>
      <x:c r="TSG60" s="291"/>
      <x:c r="TSH60" s="291"/>
      <x:c r="TSI60" s="291"/>
      <x:c r="TSJ60" s="291"/>
      <x:c r="TSK60" s="291"/>
      <x:c r="TSL60" s="291"/>
      <x:c r="TSM60" s="291"/>
      <x:c r="TSN60" s="291"/>
      <x:c r="TSO60" s="291"/>
      <x:c r="TSP60" s="291"/>
      <x:c r="TSQ60" s="291"/>
      <x:c r="TSR60" s="291"/>
      <x:c r="TSS60" s="291"/>
      <x:c r="TST60" s="291"/>
      <x:c r="TSU60" s="291"/>
      <x:c r="TSV60" s="291"/>
      <x:c r="TSW60" s="291"/>
      <x:c r="TSX60" s="291"/>
      <x:c r="TSY60" s="291"/>
      <x:c r="TSZ60" s="291"/>
      <x:c r="TTA60" s="291"/>
      <x:c r="TTB60" s="291"/>
      <x:c r="TTC60" s="291"/>
      <x:c r="TTD60" s="291"/>
      <x:c r="TTE60" s="291"/>
      <x:c r="TTF60" s="291"/>
      <x:c r="TTG60" s="291"/>
      <x:c r="TTH60" s="291"/>
      <x:c r="TTI60" s="291"/>
      <x:c r="TTJ60" s="291"/>
      <x:c r="TTK60" s="291"/>
      <x:c r="TTL60" s="291"/>
      <x:c r="TTM60" s="291"/>
      <x:c r="TTN60" s="291"/>
      <x:c r="TTO60" s="291"/>
      <x:c r="TTP60" s="291"/>
      <x:c r="TTQ60" s="291"/>
      <x:c r="TTR60" s="291"/>
      <x:c r="TTS60" s="291"/>
      <x:c r="TTT60" s="291"/>
      <x:c r="TTU60" s="291"/>
      <x:c r="TTV60" s="291"/>
      <x:c r="TTW60" s="291"/>
      <x:c r="TTX60" s="291"/>
      <x:c r="TTY60" s="291"/>
      <x:c r="TTZ60" s="291"/>
      <x:c r="TUA60" s="291"/>
      <x:c r="TUB60" s="291"/>
      <x:c r="TUC60" s="291"/>
      <x:c r="TUD60" s="291"/>
      <x:c r="TUE60" s="291"/>
      <x:c r="TUF60" s="291"/>
      <x:c r="TUG60" s="291"/>
      <x:c r="TUH60" s="291"/>
      <x:c r="TUI60" s="291"/>
      <x:c r="TUJ60" s="291"/>
      <x:c r="TUK60" s="291"/>
      <x:c r="TUL60" s="291"/>
      <x:c r="TUM60" s="291"/>
      <x:c r="TUN60" s="291"/>
      <x:c r="TUO60" s="291"/>
      <x:c r="TUP60" s="291"/>
      <x:c r="TUQ60" s="291"/>
      <x:c r="TUR60" s="291"/>
      <x:c r="TUS60" s="291"/>
      <x:c r="TUT60" s="291"/>
      <x:c r="TUU60" s="291"/>
      <x:c r="TUV60" s="291"/>
      <x:c r="TUW60" s="291"/>
      <x:c r="TUX60" s="291"/>
      <x:c r="TUY60" s="291"/>
      <x:c r="TUZ60" s="291"/>
      <x:c r="TVA60" s="291"/>
      <x:c r="TVB60" s="291"/>
      <x:c r="TVC60" s="291"/>
      <x:c r="TVD60" s="291"/>
      <x:c r="TVE60" s="291"/>
      <x:c r="TVF60" s="291"/>
      <x:c r="TVG60" s="291"/>
      <x:c r="TVH60" s="291"/>
      <x:c r="TVI60" s="291"/>
      <x:c r="TVJ60" s="291"/>
      <x:c r="TVK60" s="291"/>
      <x:c r="TVL60" s="291"/>
      <x:c r="TVM60" s="291"/>
      <x:c r="TVN60" s="291"/>
      <x:c r="TVO60" s="291"/>
      <x:c r="TVP60" s="291"/>
      <x:c r="TVQ60" s="291"/>
      <x:c r="TVR60" s="291"/>
      <x:c r="TVS60" s="291"/>
      <x:c r="TVT60" s="291"/>
      <x:c r="TVU60" s="291"/>
      <x:c r="TVV60" s="291"/>
      <x:c r="TVW60" s="291"/>
      <x:c r="TVX60" s="291"/>
      <x:c r="TVY60" s="291"/>
      <x:c r="TVZ60" s="291"/>
      <x:c r="TWA60" s="291"/>
      <x:c r="TWB60" s="291"/>
      <x:c r="TWC60" s="291"/>
      <x:c r="TWD60" s="291"/>
      <x:c r="TWE60" s="291"/>
      <x:c r="TWF60" s="291"/>
      <x:c r="TWG60" s="291"/>
      <x:c r="TWH60" s="291"/>
      <x:c r="TWI60" s="291"/>
      <x:c r="TWJ60" s="291"/>
      <x:c r="TWK60" s="291"/>
      <x:c r="TWL60" s="291"/>
      <x:c r="TWM60" s="291"/>
      <x:c r="TWN60" s="291"/>
      <x:c r="TWO60" s="291"/>
      <x:c r="TWP60" s="291"/>
      <x:c r="TWQ60" s="291"/>
      <x:c r="TWR60" s="291"/>
      <x:c r="TWS60" s="291"/>
      <x:c r="TWT60" s="291"/>
      <x:c r="TWU60" s="291"/>
      <x:c r="TWV60" s="291"/>
      <x:c r="TWW60" s="291"/>
      <x:c r="TWX60" s="291"/>
      <x:c r="TWY60" s="291"/>
      <x:c r="TWZ60" s="291"/>
      <x:c r="TXA60" s="291"/>
      <x:c r="TXB60" s="291"/>
      <x:c r="TXC60" s="291"/>
      <x:c r="TXD60" s="291"/>
      <x:c r="TXE60" s="291"/>
      <x:c r="TXF60" s="291"/>
      <x:c r="TXG60" s="291"/>
      <x:c r="TXH60" s="291"/>
      <x:c r="TXI60" s="291"/>
      <x:c r="TXJ60" s="291"/>
      <x:c r="TXK60" s="291"/>
      <x:c r="TXL60" s="291"/>
      <x:c r="TXM60" s="291"/>
      <x:c r="TXN60" s="291"/>
      <x:c r="TXO60" s="291"/>
      <x:c r="TXP60" s="291"/>
      <x:c r="TXQ60" s="291"/>
      <x:c r="TXR60" s="291"/>
      <x:c r="TXS60" s="291"/>
      <x:c r="TXT60" s="291"/>
      <x:c r="TXU60" s="291"/>
      <x:c r="TXV60" s="291"/>
      <x:c r="TXW60" s="291"/>
      <x:c r="TXX60" s="291"/>
      <x:c r="TXY60" s="291"/>
      <x:c r="TXZ60" s="291"/>
      <x:c r="TYA60" s="291"/>
      <x:c r="TYB60" s="291"/>
      <x:c r="TYC60" s="291"/>
      <x:c r="TYD60" s="291"/>
      <x:c r="TYE60" s="291"/>
      <x:c r="TYF60" s="291"/>
      <x:c r="TYG60" s="291"/>
      <x:c r="TYH60" s="291"/>
      <x:c r="TYI60" s="291"/>
      <x:c r="TYJ60" s="291"/>
      <x:c r="TYK60" s="291"/>
      <x:c r="TYL60" s="291"/>
      <x:c r="TYM60" s="291"/>
      <x:c r="TYN60" s="291"/>
      <x:c r="TYO60" s="291"/>
      <x:c r="TYP60" s="291"/>
      <x:c r="TYQ60" s="291"/>
      <x:c r="TYR60" s="291"/>
      <x:c r="TYS60" s="291"/>
      <x:c r="TYT60" s="291"/>
      <x:c r="TYU60" s="291"/>
      <x:c r="TYV60" s="291"/>
      <x:c r="TYW60" s="291"/>
      <x:c r="TYX60" s="291"/>
      <x:c r="TYY60" s="291"/>
      <x:c r="TYZ60" s="291"/>
      <x:c r="TZA60" s="291"/>
      <x:c r="TZB60" s="291"/>
      <x:c r="TZC60" s="291"/>
      <x:c r="TZD60" s="291"/>
      <x:c r="TZE60" s="291"/>
      <x:c r="TZF60" s="291"/>
      <x:c r="TZG60" s="291"/>
      <x:c r="TZH60" s="291"/>
      <x:c r="TZI60" s="291"/>
      <x:c r="TZJ60" s="291"/>
      <x:c r="TZK60" s="291"/>
      <x:c r="TZL60" s="291"/>
      <x:c r="TZM60" s="291"/>
      <x:c r="TZN60" s="291"/>
      <x:c r="TZO60" s="291"/>
      <x:c r="TZP60" s="291"/>
      <x:c r="TZQ60" s="291"/>
      <x:c r="TZR60" s="291"/>
      <x:c r="TZS60" s="291"/>
      <x:c r="TZT60" s="291"/>
      <x:c r="TZU60" s="291"/>
      <x:c r="TZV60" s="291"/>
      <x:c r="TZW60" s="291"/>
      <x:c r="TZX60" s="291"/>
      <x:c r="TZY60" s="291"/>
      <x:c r="TZZ60" s="291"/>
      <x:c r="UAA60" s="291"/>
      <x:c r="UAB60" s="291"/>
      <x:c r="UAC60" s="291"/>
      <x:c r="UAD60" s="291"/>
      <x:c r="UAE60" s="291"/>
      <x:c r="UAF60" s="291"/>
      <x:c r="UAG60" s="291"/>
      <x:c r="UAH60" s="291"/>
      <x:c r="UAI60" s="291"/>
      <x:c r="UAJ60" s="291"/>
      <x:c r="UAK60" s="291"/>
      <x:c r="UAL60" s="291"/>
      <x:c r="UAM60" s="291"/>
      <x:c r="UAN60" s="291"/>
      <x:c r="UAO60" s="291"/>
      <x:c r="UAP60" s="291"/>
      <x:c r="UAQ60" s="291"/>
      <x:c r="UAR60" s="291"/>
      <x:c r="UAS60" s="291"/>
      <x:c r="UAT60" s="291"/>
      <x:c r="UAU60" s="291"/>
      <x:c r="UAV60" s="291"/>
      <x:c r="UAW60" s="291"/>
      <x:c r="UAX60" s="291"/>
      <x:c r="UAY60" s="291"/>
      <x:c r="UAZ60" s="291"/>
      <x:c r="UBA60" s="291"/>
      <x:c r="UBB60" s="291"/>
      <x:c r="UBC60" s="291"/>
      <x:c r="UBD60" s="291"/>
      <x:c r="UBE60" s="291"/>
      <x:c r="UBF60" s="291"/>
      <x:c r="UBG60" s="291"/>
      <x:c r="UBH60" s="291"/>
      <x:c r="UBI60" s="291"/>
      <x:c r="UBJ60" s="291"/>
      <x:c r="UBK60" s="291"/>
      <x:c r="UBL60" s="291"/>
      <x:c r="UBM60" s="291"/>
      <x:c r="UBN60" s="291"/>
      <x:c r="UBO60" s="291"/>
      <x:c r="UBP60" s="291"/>
      <x:c r="UBQ60" s="291"/>
      <x:c r="UBR60" s="291"/>
      <x:c r="UBS60" s="291"/>
      <x:c r="UBT60" s="291"/>
      <x:c r="UBU60" s="291"/>
      <x:c r="UBV60" s="291"/>
      <x:c r="UBW60" s="291"/>
      <x:c r="UBX60" s="291"/>
      <x:c r="UBY60" s="291"/>
      <x:c r="UBZ60" s="291"/>
      <x:c r="UCA60" s="291"/>
      <x:c r="UCB60" s="291"/>
      <x:c r="UCC60" s="291"/>
      <x:c r="UCD60" s="291"/>
      <x:c r="UCE60" s="291"/>
      <x:c r="UCF60" s="291"/>
      <x:c r="UCG60" s="291"/>
      <x:c r="UCH60" s="291"/>
      <x:c r="UCI60" s="291"/>
      <x:c r="UCJ60" s="291"/>
      <x:c r="UCK60" s="291"/>
      <x:c r="UCL60" s="291"/>
      <x:c r="UCM60" s="291"/>
      <x:c r="UCN60" s="291"/>
      <x:c r="UCO60" s="291"/>
      <x:c r="UCP60" s="291"/>
      <x:c r="UCQ60" s="291"/>
      <x:c r="UCR60" s="291"/>
      <x:c r="UCS60" s="291"/>
      <x:c r="UCT60" s="291"/>
      <x:c r="UCU60" s="291"/>
      <x:c r="UCV60" s="291"/>
      <x:c r="UCW60" s="291"/>
      <x:c r="UCX60" s="291"/>
      <x:c r="UCY60" s="291"/>
      <x:c r="UCZ60" s="291"/>
      <x:c r="UDA60" s="291"/>
      <x:c r="UDB60" s="291"/>
      <x:c r="UDC60" s="291"/>
      <x:c r="UDD60" s="291"/>
      <x:c r="UDE60" s="291"/>
      <x:c r="UDF60" s="291"/>
      <x:c r="UDG60" s="291"/>
      <x:c r="UDH60" s="291"/>
      <x:c r="UDI60" s="291"/>
      <x:c r="UDJ60" s="291"/>
      <x:c r="UDK60" s="291"/>
      <x:c r="UDL60" s="291"/>
      <x:c r="UDM60" s="291"/>
      <x:c r="UDN60" s="291"/>
      <x:c r="UDO60" s="291"/>
      <x:c r="UDP60" s="291"/>
      <x:c r="UDQ60" s="291"/>
      <x:c r="UDR60" s="291"/>
      <x:c r="UDS60" s="291"/>
      <x:c r="UDT60" s="291"/>
      <x:c r="UDU60" s="291"/>
      <x:c r="UDV60" s="291"/>
      <x:c r="UDW60" s="291"/>
      <x:c r="UDX60" s="291"/>
      <x:c r="UDY60" s="291"/>
      <x:c r="UDZ60" s="291"/>
      <x:c r="UEA60" s="291"/>
      <x:c r="UEB60" s="291"/>
      <x:c r="UEC60" s="291"/>
      <x:c r="UED60" s="291"/>
      <x:c r="UEE60" s="291"/>
      <x:c r="UEF60" s="291"/>
      <x:c r="UEG60" s="291"/>
      <x:c r="UEH60" s="291"/>
      <x:c r="UEI60" s="291"/>
      <x:c r="UEJ60" s="291"/>
      <x:c r="UEK60" s="291"/>
      <x:c r="UEL60" s="291"/>
      <x:c r="UEM60" s="291"/>
      <x:c r="UEN60" s="291"/>
      <x:c r="UEO60" s="291"/>
      <x:c r="UEP60" s="291"/>
      <x:c r="UEQ60" s="291"/>
      <x:c r="UER60" s="291"/>
      <x:c r="UES60" s="291"/>
      <x:c r="UET60" s="291"/>
      <x:c r="UEU60" s="291"/>
      <x:c r="UEV60" s="291"/>
      <x:c r="UEW60" s="291"/>
      <x:c r="UEX60" s="291"/>
      <x:c r="UEY60" s="291"/>
      <x:c r="UEZ60" s="291"/>
      <x:c r="UFA60" s="291"/>
      <x:c r="UFB60" s="291"/>
      <x:c r="UFC60" s="291"/>
      <x:c r="UFD60" s="291"/>
      <x:c r="UFE60" s="291"/>
      <x:c r="UFF60" s="291"/>
      <x:c r="UFG60" s="291"/>
      <x:c r="UFH60" s="291"/>
      <x:c r="UFI60" s="291"/>
      <x:c r="UFJ60" s="291"/>
      <x:c r="UFK60" s="291"/>
      <x:c r="UFL60" s="291"/>
      <x:c r="UFM60" s="291"/>
      <x:c r="UFN60" s="291"/>
      <x:c r="UFO60" s="291"/>
      <x:c r="UFP60" s="291"/>
      <x:c r="UFQ60" s="291"/>
      <x:c r="UFR60" s="291"/>
      <x:c r="UFS60" s="291"/>
      <x:c r="UFT60" s="291"/>
      <x:c r="UFU60" s="291"/>
      <x:c r="UFV60" s="291"/>
      <x:c r="UFW60" s="291"/>
      <x:c r="UFX60" s="291"/>
      <x:c r="UFY60" s="291"/>
      <x:c r="UFZ60" s="291"/>
      <x:c r="UGA60" s="291"/>
      <x:c r="UGB60" s="291"/>
      <x:c r="UGC60" s="291"/>
      <x:c r="UGD60" s="291"/>
      <x:c r="UGE60" s="291"/>
      <x:c r="UGF60" s="291"/>
      <x:c r="UGG60" s="291"/>
      <x:c r="UGH60" s="291"/>
      <x:c r="UGI60" s="291"/>
      <x:c r="UGJ60" s="291"/>
      <x:c r="UGK60" s="291"/>
      <x:c r="UGL60" s="291"/>
      <x:c r="UGM60" s="291"/>
      <x:c r="UGN60" s="291"/>
      <x:c r="UGO60" s="291"/>
      <x:c r="UGP60" s="291"/>
      <x:c r="UGQ60" s="291"/>
      <x:c r="UGR60" s="291"/>
      <x:c r="UGS60" s="291"/>
      <x:c r="UGT60" s="291"/>
      <x:c r="UGU60" s="291"/>
      <x:c r="UGV60" s="291"/>
      <x:c r="UGW60" s="291"/>
      <x:c r="UGX60" s="291"/>
      <x:c r="UGY60" s="291"/>
      <x:c r="UGZ60" s="291"/>
      <x:c r="UHA60" s="291"/>
      <x:c r="UHB60" s="291"/>
      <x:c r="UHC60" s="291"/>
      <x:c r="UHD60" s="291"/>
      <x:c r="UHE60" s="291"/>
      <x:c r="UHF60" s="291"/>
      <x:c r="UHG60" s="291"/>
      <x:c r="UHH60" s="291"/>
      <x:c r="UHI60" s="291"/>
      <x:c r="UHJ60" s="291"/>
      <x:c r="UHK60" s="291"/>
      <x:c r="UHL60" s="291"/>
      <x:c r="UHM60" s="291"/>
      <x:c r="UHN60" s="291"/>
      <x:c r="UHO60" s="291"/>
      <x:c r="UHP60" s="291"/>
      <x:c r="UHQ60" s="291"/>
      <x:c r="UHR60" s="291"/>
      <x:c r="UHS60" s="291"/>
      <x:c r="UHT60" s="291"/>
      <x:c r="UHU60" s="291"/>
      <x:c r="UHV60" s="291"/>
      <x:c r="UHW60" s="291"/>
      <x:c r="UHX60" s="291"/>
      <x:c r="UHY60" s="291"/>
      <x:c r="UHZ60" s="291"/>
      <x:c r="UIA60" s="291"/>
      <x:c r="UIB60" s="291"/>
      <x:c r="UIC60" s="291"/>
      <x:c r="UID60" s="291"/>
      <x:c r="UIE60" s="291"/>
      <x:c r="UIF60" s="291"/>
      <x:c r="UIG60" s="291"/>
      <x:c r="UIH60" s="291"/>
      <x:c r="UII60" s="291"/>
      <x:c r="UIJ60" s="291"/>
      <x:c r="UIK60" s="291"/>
      <x:c r="UIL60" s="291"/>
      <x:c r="UIM60" s="291"/>
      <x:c r="UIN60" s="291"/>
      <x:c r="UIO60" s="291"/>
      <x:c r="UIP60" s="291"/>
      <x:c r="UIQ60" s="291"/>
      <x:c r="UIR60" s="291"/>
      <x:c r="UIS60" s="291"/>
      <x:c r="UIT60" s="291"/>
      <x:c r="UIU60" s="291"/>
      <x:c r="UIV60" s="291"/>
      <x:c r="UIW60" s="291"/>
      <x:c r="UIX60" s="291"/>
      <x:c r="UIY60" s="291"/>
      <x:c r="UIZ60" s="291"/>
      <x:c r="UJA60" s="291"/>
      <x:c r="UJB60" s="291"/>
      <x:c r="UJC60" s="291"/>
      <x:c r="UJD60" s="291"/>
      <x:c r="UJE60" s="291"/>
      <x:c r="UJF60" s="291"/>
      <x:c r="UJG60" s="291"/>
      <x:c r="UJH60" s="291"/>
      <x:c r="UJI60" s="291"/>
      <x:c r="UJJ60" s="291"/>
      <x:c r="UJK60" s="291"/>
      <x:c r="UJL60" s="291"/>
      <x:c r="UJM60" s="291"/>
      <x:c r="UJN60" s="291"/>
      <x:c r="UJO60" s="291"/>
      <x:c r="UJP60" s="291"/>
      <x:c r="UJQ60" s="291"/>
      <x:c r="UJR60" s="291"/>
      <x:c r="UJS60" s="291"/>
      <x:c r="UJT60" s="291"/>
      <x:c r="UJU60" s="291"/>
      <x:c r="UJV60" s="291"/>
      <x:c r="UJW60" s="291"/>
      <x:c r="UJX60" s="291"/>
      <x:c r="UJY60" s="291"/>
      <x:c r="UJZ60" s="291"/>
      <x:c r="UKA60" s="291"/>
      <x:c r="UKB60" s="291"/>
      <x:c r="UKC60" s="291"/>
      <x:c r="UKD60" s="291"/>
      <x:c r="UKE60" s="291"/>
      <x:c r="UKF60" s="291"/>
      <x:c r="UKG60" s="291"/>
      <x:c r="UKH60" s="291"/>
      <x:c r="UKI60" s="291"/>
      <x:c r="UKJ60" s="291"/>
      <x:c r="UKK60" s="291"/>
      <x:c r="UKL60" s="291"/>
      <x:c r="UKM60" s="291"/>
      <x:c r="UKN60" s="291"/>
      <x:c r="UKO60" s="291"/>
      <x:c r="UKP60" s="291"/>
      <x:c r="UKQ60" s="291"/>
      <x:c r="UKR60" s="291"/>
      <x:c r="UKS60" s="291"/>
      <x:c r="UKT60" s="291"/>
      <x:c r="UKU60" s="291"/>
      <x:c r="UKV60" s="291"/>
      <x:c r="UKW60" s="291"/>
      <x:c r="UKX60" s="291"/>
      <x:c r="UKY60" s="291"/>
      <x:c r="UKZ60" s="291"/>
      <x:c r="ULA60" s="291"/>
      <x:c r="ULB60" s="291"/>
      <x:c r="ULC60" s="291"/>
      <x:c r="ULD60" s="291"/>
      <x:c r="ULE60" s="291"/>
      <x:c r="ULF60" s="291"/>
      <x:c r="ULG60" s="291"/>
      <x:c r="ULH60" s="291"/>
      <x:c r="ULI60" s="291"/>
      <x:c r="ULJ60" s="291"/>
      <x:c r="ULK60" s="291"/>
      <x:c r="ULL60" s="291"/>
      <x:c r="ULM60" s="291"/>
      <x:c r="ULN60" s="291"/>
      <x:c r="ULO60" s="291"/>
      <x:c r="ULP60" s="291"/>
      <x:c r="ULQ60" s="291"/>
      <x:c r="ULR60" s="291"/>
      <x:c r="ULS60" s="291"/>
      <x:c r="ULT60" s="291"/>
      <x:c r="ULU60" s="291"/>
      <x:c r="ULV60" s="291"/>
      <x:c r="ULW60" s="291"/>
      <x:c r="ULX60" s="291"/>
      <x:c r="ULY60" s="291"/>
      <x:c r="ULZ60" s="291"/>
      <x:c r="UMA60" s="291"/>
      <x:c r="UMB60" s="291"/>
      <x:c r="UMC60" s="291"/>
      <x:c r="UMD60" s="291"/>
      <x:c r="UME60" s="291"/>
      <x:c r="UMF60" s="291"/>
      <x:c r="UMG60" s="291"/>
      <x:c r="UMH60" s="291"/>
      <x:c r="UMI60" s="291"/>
      <x:c r="UMJ60" s="291"/>
      <x:c r="UMK60" s="291"/>
      <x:c r="UML60" s="291"/>
      <x:c r="UMM60" s="291"/>
      <x:c r="UMN60" s="291"/>
      <x:c r="UMO60" s="291"/>
      <x:c r="UMP60" s="291"/>
      <x:c r="UMQ60" s="291"/>
      <x:c r="UMR60" s="291"/>
      <x:c r="UMS60" s="291"/>
      <x:c r="UMT60" s="291"/>
      <x:c r="UMU60" s="291"/>
      <x:c r="UMV60" s="291"/>
      <x:c r="UMW60" s="291"/>
      <x:c r="UMX60" s="291"/>
      <x:c r="UMY60" s="291"/>
      <x:c r="UMZ60" s="291"/>
      <x:c r="UNA60" s="291"/>
      <x:c r="UNB60" s="291"/>
      <x:c r="UNC60" s="291"/>
      <x:c r="UND60" s="291"/>
      <x:c r="UNE60" s="291"/>
      <x:c r="UNF60" s="291"/>
      <x:c r="UNG60" s="291"/>
      <x:c r="UNH60" s="291"/>
      <x:c r="UNI60" s="291"/>
      <x:c r="UNJ60" s="291"/>
      <x:c r="UNK60" s="291"/>
      <x:c r="UNL60" s="291"/>
      <x:c r="UNM60" s="291"/>
      <x:c r="UNN60" s="291"/>
      <x:c r="UNO60" s="291"/>
      <x:c r="UNP60" s="291"/>
      <x:c r="UNQ60" s="291"/>
      <x:c r="UNR60" s="291"/>
      <x:c r="UNS60" s="291"/>
      <x:c r="UNT60" s="291"/>
      <x:c r="UNU60" s="291"/>
      <x:c r="UNV60" s="291"/>
      <x:c r="UNW60" s="291"/>
      <x:c r="UNX60" s="291"/>
      <x:c r="UNY60" s="291"/>
      <x:c r="UNZ60" s="291"/>
      <x:c r="UOA60" s="291"/>
      <x:c r="UOB60" s="291"/>
      <x:c r="UOC60" s="291"/>
      <x:c r="UOD60" s="291"/>
      <x:c r="UOE60" s="291"/>
      <x:c r="UOF60" s="291"/>
      <x:c r="UOG60" s="291"/>
      <x:c r="UOH60" s="291"/>
      <x:c r="UOI60" s="291"/>
      <x:c r="UOJ60" s="291"/>
      <x:c r="UOK60" s="291"/>
      <x:c r="UOL60" s="291"/>
      <x:c r="UOM60" s="291"/>
      <x:c r="UON60" s="291"/>
      <x:c r="UOO60" s="291"/>
      <x:c r="UOP60" s="291"/>
      <x:c r="UOQ60" s="291"/>
      <x:c r="UOR60" s="291"/>
      <x:c r="UOS60" s="291"/>
      <x:c r="UOT60" s="291"/>
      <x:c r="UOU60" s="291"/>
      <x:c r="UOV60" s="291"/>
      <x:c r="UOW60" s="291"/>
      <x:c r="UOX60" s="291"/>
      <x:c r="UOY60" s="291"/>
      <x:c r="UOZ60" s="291"/>
      <x:c r="UPA60" s="291"/>
      <x:c r="UPB60" s="291"/>
      <x:c r="UPC60" s="291"/>
      <x:c r="UPD60" s="291"/>
      <x:c r="UPE60" s="291"/>
      <x:c r="UPF60" s="291"/>
      <x:c r="UPG60" s="291"/>
      <x:c r="UPH60" s="291"/>
      <x:c r="UPI60" s="291"/>
      <x:c r="UPJ60" s="291"/>
      <x:c r="UPK60" s="291"/>
      <x:c r="UPL60" s="291"/>
      <x:c r="UPM60" s="291"/>
      <x:c r="UPN60" s="291"/>
      <x:c r="UPO60" s="291"/>
      <x:c r="UPP60" s="291"/>
      <x:c r="UPQ60" s="291"/>
      <x:c r="UPR60" s="291"/>
      <x:c r="UPS60" s="291"/>
      <x:c r="UPT60" s="291"/>
      <x:c r="UPU60" s="291"/>
      <x:c r="UPV60" s="291"/>
      <x:c r="UPW60" s="291"/>
      <x:c r="UPX60" s="291"/>
      <x:c r="UPY60" s="291"/>
      <x:c r="UPZ60" s="291"/>
      <x:c r="UQA60" s="291"/>
      <x:c r="UQB60" s="291"/>
      <x:c r="UQC60" s="291"/>
      <x:c r="UQD60" s="291"/>
      <x:c r="UQE60" s="291"/>
      <x:c r="UQF60" s="291"/>
      <x:c r="UQG60" s="291"/>
      <x:c r="UQH60" s="291"/>
      <x:c r="UQI60" s="291"/>
      <x:c r="UQJ60" s="291"/>
      <x:c r="UQK60" s="291"/>
      <x:c r="UQL60" s="291"/>
      <x:c r="UQM60" s="291"/>
      <x:c r="UQN60" s="291"/>
      <x:c r="UQO60" s="291"/>
      <x:c r="UQP60" s="291"/>
      <x:c r="UQQ60" s="291"/>
      <x:c r="UQR60" s="291"/>
      <x:c r="UQS60" s="291"/>
      <x:c r="UQT60" s="291"/>
      <x:c r="UQU60" s="291"/>
      <x:c r="UQV60" s="291"/>
      <x:c r="UQW60" s="291"/>
      <x:c r="UQX60" s="291"/>
      <x:c r="UQY60" s="291"/>
      <x:c r="UQZ60" s="291"/>
      <x:c r="URA60" s="291"/>
      <x:c r="URB60" s="291"/>
      <x:c r="URC60" s="291"/>
      <x:c r="URD60" s="291"/>
      <x:c r="URE60" s="291"/>
      <x:c r="URF60" s="291"/>
      <x:c r="URG60" s="291"/>
      <x:c r="URH60" s="291"/>
      <x:c r="URI60" s="291"/>
      <x:c r="URJ60" s="291"/>
      <x:c r="URK60" s="291"/>
      <x:c r="URL60" s="291"/>
      <x:c r="URM60" s="291"/>
      <x:c r="URN60" s="291"/>
      <x:c r="URO60" s="291"/>
      <x:c r="URP60" s="291"/>
      <x:c r="URQ60" s="291"/>
      <x:c r="URR60" s="291"/>
      <x:c r="URS60" s="291"/>
      <x:c r="URT60" s="291"/>
      <x:c r="URU60" s="291"/>
      <x:c r="URV60" s="291"/>
      <x:c r="URW60" s="291"/>
      <x:c r="URX60" s="291"/>
      <x:c r="URY60" s="291"/>
      <x:c r="URZ60" s="291"/>
      <x:c r="USA60" s="291"/>
      <x:c r="USB60" s="291"/>
      <x:c r="USC60" s="291"/>
      <x:c r="USD60" s="291"/>
      <x:c r="USE60" s="291"/>
      <x:c r="USF60" s="291"/>
      <x:c r="USG60" s="291"/>
      <x:c r="USH60" s="291"/>
      <x:c r="USI60" s="291"/>
      <x:c r="USJ60" s="291"/>
      <x:c r="USK60" s="291"/>
      <x:c r="USL60" s="291"/>
      <x:c r="USM60" s="291"/>
      <x:c r="USN60" s="291"/>
      <x:c r="USO60" s="291"/>
      <x:c r="USP60" s="291"/>
      <x:c r="USQ60" s="291"/>
      <x:c r="USR60" s="291"/>
      <x:c r="USS60" s="291"/>
      <x:c r="UST60" s="291"/>
      <x:c r="USU60" s="291"/>
      <x:c r="USV60" s="291"/>
      <x:c r="USW60" s="291"/>
      <x:c r="USX60" s="291"/>
      <x:c r="USY60" s="291"/>
      <x:c r="USZ60" s="291"/>
      <x:c r="UTA60" s="291"/>
      <x:c r="UTB60" s="291"/>
      <x:c r="UTC60" s="291"/>
      <x:c r="UTD60" s="291"/>
      <x:c r="UTE60" s="291"/>
      <x:c r="UTF60" s="291"/>
      <x:c r="UTG60" s="291"/>
      <x:c r="UTH60" s="291"/>
      <x:c r="UTI60" s="291"/>
      <x:c r="UTJ60" s="291"/>
      <x:c r="UTK60" s="291"/>
      <x:c r="UTL60" s="291"/>
      <x:c r="UTM60" s="291"/>
      <x:c r="UTN60" s="291"/>
      <x:c r="UTO60" s="291"/>
      <x:c r="UTP60" s="291"/>
      <x:c r="UTQ60" s="291"/>
      <x:c r="UTR60" s="291"/>
      <x:c r="UTS60" s="291"/>
      <x:c r="UTT60" s="291"/>
      <x:c r="UTU60" s="291"/>
      <x:c r="UTV60" s="291"/>
      <x:c r="UTW60" s="291"/>
      <x:c r="UTX60" s="291"/>
      <x:c r="UTY60" s="291"/>
      <x:c r="UTZ60" s="291"/>
      <x:c r="UUA60" s="291"/>
      <x:c r="UUB60" s="291"/>
      <x:c r="UUC60" s="291"/>
      <x:c r="UUD60" s="291"/>
      <x:c r="UUE60" s="291"/>
      <x:c r="UUF60" s="291"/>
      <x:c r="UUG60" s="291"/>
      <x:c r="UUH60" s="291"/>
      <x:c r="UUI60" s="291"/>
      <x:c r="UUJ60" s="291"/>
      <x:c r="UUK60" s="291"/>
      <x:c r="UUL60" s="291"/>
      <x:c r="UUM60" s="291"/>
      <x:c r="UUN60" s="291"/>
      <x:c r="UUO60" s="291"/>
      <x:c r="UUP60" s="291"/>
      <x:c r="UUQ60" s="291"/>
      <x:c r="UUR60" s="291"/>
      <x:c r="UUS60" s="291"/>
      <x:c r="UUT60" s="291"/>
      <x:c r="UUU60" s="291"/>
      <x:c r="UUV60" s="291"/>
      <x:c r="UUW60" s="291"/>
      <x:c r="UUX60" s="291"/>
      <x:c r="UUY60" s="291"/>
      <x:c r="UUZ60" s="291"/>
      <x:c r="UVA60" s="291"/>
      <x:c r="UVB60" s="291"/>
      <x:c r="UVC60" s="291"/>
      <x:c r="UVD60" s="291"/>
      <x:c r="UVE60" s="291"/>
      <x:c r="UVF60" s="291"/>
      <x:c r="UVG60" s="291"/>
      <x:c r="UVH60" s="291"/>
      <x:c r="UVI60" s="291"/>
      <x:c r="UVJ60" s="291"/>
      <x:c r="UVK60" s="291"/>
      <x:c r="UVL60" s="291"/>
      <x:c r="UVM60" s="291"/>
      <x:c r="UVN60" s="291"/>
      <x:c r="UVO60" s="291"/>
      <x:c r="UVP60" s="291"/>
      <x:c r="UVQ60" s="291"/>
      <x:c r="UVR60" s="291"/>
      <x:c r="UVS60" s="291"/>
      <x:c r="UVT60" s="291"/>
      <x:c r="UVU60" s="291"/>
      <x:c r="UVV60" s="291"/>
      <x:c r="UVW60" s="291"/>
      <x:c r="UVX60" s="291"/>
      <x:c r="UVY60" s="291"/>
      <x:c r="UVZ60" s="291"/>
      <x:c r="UWA60" s="291"/>
      <x:c r="UWB60" s="291"/>
      <x:c r="UWC60" s="291"/>
      <x:c r="UWD60" s="291"/>
      <x:c r="UWE60" s="291"/>
      <x:c r="UWF60" s="291"/>
      <x:c r="UWG60" s="291"/>
      <x:c r="UWH60" s="291"/>
      <x:c r="UWI60" s="291"/>
      <x:c r="UWJ60" s="291"/>
      <x:c r="UWK60" s="291"/>
      <x:c r="UWL60" s="291"/>
      <x:c r="UWM60" s="291"/>
      <x:c r="UWN60" s="291"/>
      <x:c r="UWO60" s="291"/>
      <x:c r="UWP60" s="291"/>
      <x:c r="UWQ60" s="291"/>
      <x:c r="UWR60" s="291"/>
      <x:c r="UWS60" s="291"/>
      <x:c r="UWT60" s="291"/>
      <x:c r="UWU60" s="291"/>
      <x:c r="UWV60" s="291"/>
      <x:c r="UWW60" s="291"/>
      <x:c r="UWX60" s="291"/>
      <x:c r="UWY60" s="291"/>
      <x:c r="UWZ60" s="291"/>
      <x:c r="UXA60" s="291"/>
      <x:c r="UXB60" s="291"/>
      <x:c r="UXC60" s="291"/>
      <x:c r="UXD60" s="291"/>
      <x:c r="UXE60" s="291"/>
      <x:c r="UXF60" s="291"/>
      <x:c r="UXG60" s="291"/>
      <x:c r="UXH60" s="291"/>
      <x:c r="UXI60" s="291"/>
      <x:c r="UXJ60" s="291"/>
      <x:c r="UXK60" s="291"/>
      <x:c r="UXL60" s="291"/>
      <x:c r="UXM60" s="291"/>
      <x:c r="UXN60" s="291"/>
      <x:c r="UXO60" s="291"/>
      <x:c r="UXP60" s="291"/>
      <x:c r="UXQ60" s="291"/>
      <x:c r="UXR60" s="291"/>
      <x:c r="UXS60" s="291"/>
      <x:c r="UXT60" s="291"/>
      <x:c r="UXU60" s="291"/>
      <x:c r="UXV60" s="291"/>
      <x:c r="UXW60" s="291"/>
      <x:c r="UXX60" s="291"/>
      <x:c r="UXY60" s="291"/>
      <x:c r="UXZ60" s="291"/>
      <x:c r="UYA60" s="291"/>
      <x:c r="UYB60" s="291"/>
      <x:c r="UYC60" s="291"/>
      <x:c r="UYD60" s="291"/>
      <x:c r="UYE60" s="291"/>
      <x:c r="UYF60" s="291"/>
      <x:c r="UYG60" s="291"/>
      <x:c r="UYH60" s="291"/>
      <x:c r="UYI60" s="291"/>
      <x:c r="UYJ60" s="291"/>
      <x:c r="UYK60" s="291"/>
      <x:c r="UYL60" s="291"/>
      <x:c r="UYM60" s="291"/>
      <x:c r="UYN60" s="291"/>
      <x:c r="UYO60" s="291"/>
      <x:c r="UYP60" s="291"/>
      <x:c r="UYQ60" s="291"/>
      <x:c r="UYR60" s="291"/>
      <x:c r="UYS60" s="291"/>
      <x:c r="UYT60" s="291"/>
      <x:c r="UYU60" s="291"/>
      <x:c r="UYV60" s="291"/>
      <x:c r="UYW60" s="291"/>
      <x:c r="UYX60" s="291"/>
      <x:c r="UYY60" s="291"/>
      <x:c r="UYZ60" s="291"/>
      <x:c r="UZA60" s="291"/>
      <x:c r="UZB60" s="291"/>
      <x:c r="UZC60" s="291"/>
      <x:c r="UZD60" s="291"/>
      <x:c r="UZE60" s="291"/>
      <x:c r="UZF60" s="291"/>
      <x:c r="UZG60" s="291"/>
      <x:c r="UZH60" s="291"/>
      <x:c r="UZI60" s="291"/>
      <x:c r="UZJ60" s="291"/>
      <x:c r="UZK60" s="291"/>
      <x:c r="UZL60" s="291"/>
      <x:c r="UZM60" s="291"/>
      <x:c r="UZN60" s="291"/>
      <x:c r="UZO60" s="291"/>
      <x:c r="UZP60" s="291"/>
      <x:c r="UZQ60" s="291"/>
      <x:c r="UZR60" s="291"/>
      <x:c r="UZS60" s="291"/>
      <x:c r="UZT60" s="291"/>
      <x:c r="UZU60" s="291"/>
      <x:c r="UZV60" s="291"/>
      <x:c r="UZW60" s="291"/>
      <x:c r="UZX60" s="291"/>
      <x:c r="UZY60" s="291"/>
      <x:c r="UZZ60" s="291"/>
      <x:c r="VAA60" s="291"/>
      <x:c r="VAB60" s="291"/>
      <x:c r="VAC60" s="291"/>
      <x:c r="VAD60" s="291"/>
      <x:c r="VAE60" s="291"/>
      <x:c r="VAF60" s="291"/>
      <x:c r="VAG60" s="291"/>
      <x:c r="VAH60" s="291"/>
      <x:c r="VAI60" s="291"/>
      <x:c r="VAJ60" s="291"/>
      <x:c r="VAK60" s="291"/>
      <x:c r="VAL60" s="291"/>
      <x:c r="VAM60" s="291"/>
      <x:c r="VAN60" s="291"/>
      <x:c r="VAO60" s="291"/>
      <x:c r="VAP60" s="291"/>
      <x:c r="VAQ60" s="291"/>
      <x:c r="VAR60" s="291"/>
      <x:c r="VAS60" s="291"/>
      <x:c r="VAT60" s="291"/>
      <x:c r="VAU60" s="291"/>
      <x:c r="VAV60" s="291"/>
      <x:c r="VAW60" s="291"/>
      <x:c r="VAX60" s="291"/>
      <x:c r="VAY60" s="291"/>
      <x:c r="VAZ60" s="291"/>
      <x:c r="VBA60" s="291"/>
      <x:c r="VBB60" s="291"/>
      <x:c r="VBC60" s="291"/>
      <x:c r="VBD60" s="291"/>
      <x:c r="VBE60" s="291"/>
      <x:c r="VBF60" s="291"/>
      <x:c r="VBG60" s="291"/>
      <x:c r="VBH60" s="291"/>
      <x:c r="VBI60" s="291"/>
      <x:c r="VBJ60" s="291"/>
      <x:c r="VBK60" s="291"/>
      <x:c r="VBL60" s="291"/>
      <x:c r="VBM60" s="291"/>
      <x:c r="VBN60" s="291"/>
      <x:c r="VBO60" s="291"/>
      <x:c r="VBP60" s="291"/>
      <x:c r="VBQ60" s="291"/>
      <x:c r="VBR60" s="291"/>
      <x:c r="VBS60" s="291"/>
      <x:c r="VBT60" s="291"/>
      <x:c r="VBU60" s="291"/>
      <x:c r="VBV60" s="291"/>
      <x:c r="VBW60" s="291"/>
      <x:c r="VBX60" s="291"/>
      <x:c r="VBY60" s="291"/>
      <x:c r="VBZ60" s="291"/>
      <x:c r="VCA60" s="291"/>
      <x:c r="VCB60" s="291"/>
      <x:c r="VCC60" s="291"/>
      <x:c r="VCD60" s="291"/>
      <x:c r="VCE60" s="291"/>
      <x:c r="VCF60" s="291"/>
      <x:c r="VCG60" s="291"/>
      <x:c r="VCH60" s="291"/>
      <x:c r="VCI60" s="291"/>
      <x:c r="VCJ60" s="291"/>
      <x:c r="VCK60" s="291"/>
      <x:c r="VCL60" s="291"/>
      <x:c r="VCM60" s="291"/>
      <x:c r="VCN60" s="291"/>
      <x:c r="VCO60" s="291"/>
      <x:c r="VCP60" s="291"/>
      <x:c r="VCQ60" s="291"/>
      <x:c r="VCR60" s="291"/>
      <x:c r="VCS60" s="291"/>
      <x:c r="VCT60" s="291"/>
      <x:c r="VCU60" s="291"/>
      <x:c r="VCV60" s="291"/>
      <x:c r="VCW60" s="291"/>
      <x:c r="VCX60" s="291"/>
      <x:c r="VCY60" s="291"/>
      <x:c r="VCZ60" s="291"/>
      <x:c r="VDA60" s="291"/>
      <x:c r="VDB60" s="291"/>
      <x:c r="VDC60" s="291"/>
      <x:c r="VDD60" s="291"/>
      <x:c r="VDE60" s="291"/>
      <x:c r="VDF60" s="291"/>
      <x:c r="VDG60" s="291"/>
      <x:c r="VDH60" s="291"/>
      <x:c r="VDI60" s="291"/>
      <x:c r="VDJ60" s="291"/>
      <x:c r="VDK60" s="291"/>
      <x:c r="VDL60" s="291"/>
      <x:c r="VDM60" s="291"/>
      <x:c r="VDN60" s="291"/>
      <x:c r="VDO60" s="291"/>
      <x:c r="VDP60" s="291"/>
      <x:c r="VDQ60" s="291"/>
      <x:c r="VDR60" s="291"/>
      <x:c r="VDS60" s="291"/>
      <x:c r="VDT60" s="291"/>
      <x:c r="VDU60" s="291"/>
      <x:c r="VDV60" s="291"/>
      <x:c r="VDW60" s="291"/>
      <x:c r="VDX60" s="291"/>
      <x:c r="VDY60" s="291"/>
      <x:c r="VDZ60" s="291"/>
      <x:c r="VEA60" s="291"/>
      <x:c r="VEB60" s="291"/>
      <x:c r="VEC60" s="291"/>
      <x:c r="VED60" s="291"/>
      <x:c r="VEE60" s="291"/>
      <x:c r="VEF60" s="291"/>
      <x:c r="VEG60" s="291"/>
      <x:c r="VEH60" s="291"/>
      <x:c r="VEI60" s="291"/>
      <x:c r="VEJ60" s="291"/>
      <x:c r="VEK60" s="291"/>
      <x:c r="VEL60" s="291"/>
      <x:c r="VEM60" s="291"/>
      <x:c r="VEN60" s="291"/>
      <x:c r="VEO60" s="291"/>
      <x:c r="VEP60" s="291"/>
      <x:c r="VEQ60" s="291"/>
      <x:c r="VER60" s="291"/>
      <x:c r="VES60" s="291"/>
      <x:c r="VET60" s="291"/>
      <x:c r="VEU60" s="291"/>
      <x:c r="VEV60" s="291"/>
      <x:c r="VEW60" s="291"/>
      <x:c r="VEX60" s="291"/>
      <x:c r="VEY60" s="291"/>
      <x:c r="VEZ60" s="291"/>
      <x:c r="VFA60" s="291"/>
      <x:c r="VFB60" s="291"/>
      <x:c r="VFC60" s="291"/>
      <x:c r="VFD60" s="291"/>
      <x:c r="VFE60" s="291"/>
      <x:c r="VFF60" s="291"/>
      <x:c r="VFG60" s="291"/>
      <x:c r="VFH60" s="291"/>
      <x:c r="VFI60" s="291"/>
      <x:c r="VFJ60" s="291"/>
      <x:c r="VFK60" s="291"/>
      <x:c r="VFL60" s="291"/>
      <x:c r="VFM60" s="291"/>
      <x:c r="VFN60" s="291"/>
      <x:c r="VFO60" s="291"/>
      <x:c r="VFP60" s="291"/>
      <x:c r="VFQ60" s="291"/>
      <x:c r="VFR60" s="291"/>
      <x:c r="VFS60" s="291"/>
      <x:c r="VFT60" s="291"/>
      <x:c r="VFU60" s="291"/>
      <x:c r="VFV60" s="291"/>
      <x:c r="VFW60" s="291"/>
      <x:c r="VFX60" s="291"/>
      <x:c r="VFY60" s="291"/>
      <x:c r="VFZ60" s="291"/>
      <x:c r="VGA60" s="291"/>
      <x:c r="VGB60" s="291"/>
      <x:c r="VGC60" s="291"/>
      <x:c r="VGD60" s="291"/>
      <x:c r="VGE60" s="291"/>
      <x:c r="VGF60" s="291"/>
      <x:c r="VGG60" s="291"/>
      <x:c r="VGH60" s="291"/>
      <x:c r="VGI60" s="291"/>
      <x:c r="VGJ60" s="291"/>
      <x:c r="VGK60" s="291"/>
      <x:c r="VGL60" s="291"/>
      <x:c r="VGM60" s="291"/>
      <x:c r="VGN60" s="291"/>
      <x:c r="VGO60" s="291"/>
      <x:c r="VGP60" s="291"/>
      <x:c r="VGQ60" s="291"/>
      <x:c r="VGR60" s="291"/>
      <x:c r="VGS60" s="291"/>
      <x:c r="VGT60" s="291"/>
      <x:c r="VGU60" s="291"/>
      <x:c r="VGV60" s="291"/>
      <x:c r="VGW60" s="291"/>
      <x:c r="VGX60" s="291"/>
      <x:c r="VGY60" s="291"/>
      <x:c r="VGZ60" s="291"/>
      <x:c r="VHA60" s="291"/>
      <x:c r="VHB60" s="291"/>
      <x:c r="VHC60" s="291"/>
      <x:c r="VHD60" s="291"/>
      <x:c r="VHE60" s="291"/>
      <x:c r="VHF60" s="291"/>
      <x:c r="VHG60" s="291"/>
      <x:c r="VHH60" s="291"/>
      <x:c r="VHI60" s="291"/>
      <x:c r="VHJ60" s="291"/>
      <x:c r="VHK60" s="291"/>
      <x:c r="VHL60" s="291"/>
      <x:c r="VHM60" s="291"/>
      <x:c r="VHN60" s="291"/>
      <x:c r="VHO60" s="291"/>
      <x:c r="VHP60" s="291"/>
      <x:c r="VHQ60" s="291"/>
      <x:c r="VHR60" s="291"/>
      <x:c r="VHS60" s="291"/>
      <x:c r="VHT60" s="291"/>
      <x:c r="VHU60" s="291"/>
      <x:c r="VHV60" s="291"/>
      <x:c r="VHW60" s="291"/>
      <x:c r="VHX60" s="291"/>
      <x:c r="VHY60" s="291"/>
      <x:c r="VHZ60" s="291"/>
      <x:c r="VIA60" s="291"/>
      <x:c r="VIB60" s="291"/>
      <x:c r="VIC60" s="291"/>
      <x:c r="VID60" s="291"/>
      <x:c r="VIE60" s="291"/>
      <x:c r="VIF60" s="291"/>
      <x:c r="VIG60" s="291"/>
      <x:c r="VIH60" s="291"/>
      <x:c r="VII60" s="291"/>
      <x:c r="VIJ60" s="291"/>
      <x:c r="VIK60" s="291"/>
      <x:c r="VIL60" s="291"/>
      <x:c r="VIM60" s="291"/>
      <x:c r="VIN60" s="291"/>
      <x:c r="VIO60" s="291"/>
      <x:c r="VIP60" s="291"/>
      <x:c r="VIQ60" s="291"/>
      <x:c r="VIR60" s="291"/>
      <x:c r="VIS60" s="291"/>
      <x:c r="VIT60" s="291"/>
      <x:c r="VIU60" s="291"/>
      <x:c r="VIV60" s="291"/>
      <x:c r="VIW60" s="291"/>
      <x:c r="VIX60" s="291"/>
      <x:c r="VIY60" s="291"/>
      <x:c r="VIZ60" s="291"/>
      <x:c r="VJA60" s="291"/>
      <x:c r="VJB60" s="291"/>
      <x:c r="VJC60" s="291"/>
      <x:c r="VJD60" s="291"/>
      <x:c r="VJE60" s="291"/>
      <x:c r="VJF60" s="291"/>
      <x:c r="VJG60" s="291"/>
      <x:c r="VJH60" s="291"/>
      <x:c r="VJI60" s="291"/>
      <x:c r="VJJ60" s="291"/>
      <x:c r="VJK60" s="291"/>
      <x:c r="VJL60" s="291"/>
      <x:c r="VJM60" s="291"/>
      <x:c r="VJN60" s="291"/>
      <x:c r="VJO60" s="291"/>
      <x:c r="VJP60" s="291"/>
      <x:c r="VJQ60" s="291"/>
      <x:c r="VJR60" s="291"/>
      <x:c r="VJS60" s="291"/>
      <x:c r="VJT60" s="291"/>
      <x:c r="VJU60" s="291"/>
      <x:c r="VJV60" s="291"/>
      <x:c r="VJW60" s="291"/>
      <x:c r="VJX60" s="291"/>
      <x:c r="VJY60" s="291"/>
      <x:c r="VJZ60" s="291"/>
      <x:c r="VKA60" s="291"/>
      <x:c r="VKB60" s="291"/>
      <x:c r="VKC60" s="291"/>
      <x:c r="VKD60" s="291"/>
      <x:c r="VKE60" s="291"/>
      <x:c r="VKF60" s="291"/>
      <x:c r="VKG60" s="291"/>
      <x:c r="VKH60" s="291"/>
      <x:c r="VKI60" s="291"/>
      <x:c r="VKJ60" s="291"/>
      <x:c r="VKK60" s="291"/>
      <x:c r="VKL60" s="291"/>
      <x:c r="VKM60" s="291"/>
      <x:c r="VKN60" s="291"/>
      <x:c r="VKO60" s="291"/>
      <x:c r="VKP60" s="291"/>
      <x:c r="VKQ60" s="291"/>
      <x:c r="VKR60" s="291"/>
      <x:c r="VKS60" s="291"/>
      <x:c r="VKT60" s="291"/>
      <x:c r="VKU60" s="291"/>
      <x:c r="VKV60" s="291"/>
      <x:c r="VKW60" s="291"/>
      <x:c r="VKX60" s="291"/>
      <x:c r="VKY60" s="291"/>
      <x:c r="VKZ60" s="291"/>
      <x:c r="VLA60" s="291"/>
      <x:c r="VLB60" s="291"/>
      <x:c r="VLC60" s="291"/>
      <x:c r="VLD60" s="291"/>
      <x:c r="VLE60" s="291"/>
      <x:c r="VLF60" s="291"/>
      <x:c r="VLG60" s="291"/>
      <x:c r="VLH60" s="291"/>
      <x:c r="VLI60" s="291"/>
      <x:c r="VLJ60" s="291"/>
      <x:c r="VLK60" s="291"/>
      <x:c r="VLL60" s="291"/>
      <x:c r="VLM60" s="291"/>
      <x:c r="VLN60" s="291"/>
      <x:c r="VLO60" s="291"/>
      <x:c r="VLP60" s="291"/>
      <x:c r="VLQ60" s="291"/>
      <x:c r="VLR60" s="291"/>
      <x:c r="VLS60" s="291"/>
      <x:c r="VLT60" s="291"/>
      <x:c r="VLU60" s="291"/>
      <x:c r="VLV60" s="291"/>
      <x:c r="VLW60" s="291"/>
      <x:c r="VLX60" s="291"/>
      <x:c r="VLY60" s="291"/>
      <x:c r="VLZ60" s="291"/>
      <x:c r="VMA60" s="291"/>
      <x:c r="VMB60" s="291"/>
      <x:c r="VMC60" s="291"/>
      <x:c r="VMD60" s="291"/>
      <x:c r="VME60" s="291"/>
      <x:c r="VMF60" s="291"/>
      <x:c r="VMG60" s="291"/>
      <x:c r="VMH60" s="291"/>
      <x:c r="VMI60" s="291"/>
      <x:c r="VMJ60" s="291"/>
      <x:c r="VMK60" s="291"/>
      <x:c r="VML60" s="291"/>
      <x:c r="VMM60" s="291"/>
      <x:c r="VMN60" s="291"/>
      <x:c r="VMO60" s="291"/>
      <x:c r="VMP60" s="291"/>
      <x:c r="VMQ60" s="291"/>
      <x:c r="VMR60" s="291"/>
      <x:c r="VMS60" s="291"/>
      <x:c r="VMT60" s="291"/>
      <x:c r="VMU60" s="291"/>
      <x:c r="VMV60" s="291"/>
      <x:c r="VMW60" s="291"/>
      <x:c r="VMX60" s="291"/>
      <x:c r="VMY60" s="291"/>
      <x:c r="VMZ60" s="291"/>
      <x:c r="VNA60" s="291"/>
      <x:c r="VNB60" s="291"/>
      <x:c r="VNC60" s="291"/>
      <x:c r="VND60" s="291"/>
      <x:c r="VNE60" s="291"/>
      <x:c r="VNF60" s="291"/>
      <x:c r="VNG60" s="291"/>
      <x:c r="VNH60" s="291"/>
      <x:c r="VNI60" s="291"/>
      <x:c r="VNJ60" s="291"/>
      <x:c r="VNK60" s="291"/>
      <x:c r="VNL60" s="291"/>
      <x:c r="VNM60" s="291"/>
      <x:c r="VNN60" s="291"/>
      <x:c r="VNO60" s="291"/>
      <x:c r="VNP60" s="291"/>
      <x:c r="VNQ60" s="291"/>
      <x:c r="VNR60" s="291"/>
      <x:c r="VNS60" s="291"/>
      <x:c r="VNT60" s="291"/>
      <x:c r="VNU60" s="291"/>
      <x:c r="VNV60" s="291"/>
      <x:c r="VNW60" s="291"/>
      <x:c r="VNX60" s="291"/>
      <x:c r="VNY60" s="291"/>
      <x:c r="VNZ60" s="291"/>
      <x:c r="VOA60" s="291"/>
      <x:c r="VOB60" s="291"/>
      <x:c r="VOC60" s="291"/>
      <x:c r="VOD60" s="291"/>
      <x:c r="VOE60" s="291"/>
      <x:c r="VOF60" s="291"/>
      <x:c r="VOG60" s="291"/>
      <x:c r="VOH60" s="291"/>
      <x:c r="VOI60" s="291"/>
      <x:c r="VOJ60" s="291"/>
      <x:c r="VOK60" s="291"/>
      <x:c r="VOL60" s="291"/>
      <x:c r="VOM60" s="291"/>
      <x:c r="VON60" s="291"/>
      <x:c r="VOO60" s="291"/>
      <x:c r="VOP60" s="291"/>
      <x:c r="VOQ60" s="291"/>
      <x:c r="VOR60" s="291"/>
      <x:c r="VOS60" s="291"/>
      <x:c r="VOT60" s="291"/>
      <x:c r="VOU60" s="291"/>
      <x:c r="VOV60" s="291"/>
      <x:c r="VOW60" s="291"/>
      <x:c r="VOX60" s="291"/>
      <x:c r="VOY60" s="291"/>
      <x:c r="VOZ60" s="291"/>
      <x:c r="VPA60" s="291"/>
      <x:c r="VPB60" s="291"/>
      <x:c r="VPC60" s="291"/>
      <x:c r="VPD60" s="291"/>
      <x:c r="VPE60" s="291"/>
      <x:c r="VPF60" s="291"/>
      <x:c r="VPG60" s="291"/>
      <x:c r="VPH60" s="291"/>
      <x:c r="VPI60" s="291"/>
      <x:c r="VPJ60" s="291"/>
      <x:c r="VPK60" s="291"/>
      <x:c r="VPL60" s="291"/>
      <x:c r="VPM60" s="291"/>
      <x:c r="VPN60" s="291"/>
      <x:c r="VPO60" s="291"/>
      <x:c r="VPP60" s="291"/>
      <x:c r="VPQ60" s="291"/>
      <x:c r="VPR60" s="291"/>
      <x:c r="VPS60" s="291"/>
      <x:c r="VPT60" s="291"/>
      <x:c r="VPU60" s="291"/>
      <x:c r="VPV60" s="291"/>
      <x:c r="VPW60" s="291"/>
      <x:c r="VPX60" s="291"/>
      <x:c r="VPY60" s="291"/>
      <x:c r="VPZ60" s="291"/>
      <x:c r="VQA60" s="291"/>
      <x:c r="VQB60" s="291"/>
      <x:c r="VQC60" s="291"/>
      <x:c r="VQD60" s="291"/>
      <x:c r="VQE60" s="291"/>
      <x:c r="VQF60" s="291"/>
      <x:c r="VQG60" s="291"/>
      <x:c r="VQH60" s="291"/>
      <x:c r="VQI60" s="291"/>
      <x:c r="VQJ60" s="291"/>
      <x:c r="VQK60" s="291"/>
      <x:c r="VQL60" s="291"/>
      <x:c r="VQM60" s="291"/>
      <x:c r="VQN60" s="291"/>
      <x:c r="VQO60" s="291"/>
      <x:c r="VQP60" s="291"/>
      <x:c r="VQQ60" s="291"/>
      <x:c r="VQR60" s="291"/>
      <x:c r="VQS60" s="291"/>
      <x:c r="VQT60" s="291"/>
      <x:c r="VQU60" s="291"/>
      <x:c r="VQV60" s="291"/>
      <x:c r="VQW60" s="291"/>
      <x:c r="VQX60" s="291"/>
      <x:c r="VQY60" s="291"/>
      <x:c r="VQZ60" s="291"/>
      <x:c r="VRA60" s="291"/>
      <x:c r="VRB60" s="291"/>
      <x:c r="VRC60" s="291"/>
      <x:c r="VRD60" s="291"/>
      <x:c r="VRE60" s="291"/>
      <x:c r="VRF60" s="291"/>
      <x:c r="VRG60" s="291"/>
      <x:c r="VRH60" s="291"/>
      <x:c r="VRI60" s="291"/>
      <x:c r="VRJ60" s="291"/>
      <x:c r="VRK60" s="291"/>
      <x:c r="VRL60" s="291"/>
      <x:c r="VRM60" s="291"/>
      <x:c r="VRN60" s="291"/>
      <x:c r="VRO60" s="291"/>
      <x:c r="VRP60" s="291"/>
      <x:c r="VRQ60" s="291"/>
      <x:c r="VRR60" s="291"/>
      <x:c r="VRS60" s="291"/>
      <x:c r="VRT60" s="291"/>
      <x:c r="VRU60" s="291"/>
      <x:c r="VRV60" s="291"/>
      <x:c r="VRW60" s="291"/>
      <x:c r="VRX60" s="291"/>
      <x:c r="VRY60" s="291"/>
      <x:c r="VRZ60" s="291"/>
      <x:c r="VSA60" s="291"/>
      <x:c r="VSB60" s="291"/>
      <x:c r="VSC60" s="291"/>
      <x:c r="VSD60" s="291"/>
      <x:c r="VSE60" s="291"/>
      <x:c r="VSF60" s="291"/>
      <x:c r="VSG60" s="291"/>
      <x:c r="VSH60" s="291"/>
      <x:c r="VSI60" s="291"/>
      <x:c r="VSJ60" s="291"/>
      <x:c r="VSK60" s="291"/>
      <x:c r="VSL60" s="291"/>
      <x:c r="VSM60" s="291"/>
      <x:c r="VSN60" s="291"/>
      <x:c r="VSO60" s="291"/>
      <x:c r="VSP60" s="291"/>
      <x:c r="VSQ60" s="291"/>
      <x:c r="VSR60" s="291"/>
      <x:c r="VSS60" s="291"/>
      <x:c r="VST60" s="291"/>
      <x:c r="VSU60" s="291"/>
      <x:c r="VSV60" s="291"/>
      <x:c r="VSW60" s="291"/>
      <x:c r="VSX60" s="291"/>
      <x:c r="VSY60" s="291"/>
      <x:c r="VSZ60" s="291"/>
      <x:c r="VTA60" s="291"/>
      <x:c r="VTB60" s="291"/>
      <x:c r="VTC60" s="291"/>
      <x:c r="VTD60" s="291"/>
      <x:c r="VTE60" s="291"/>
      <x:c r="VTF60" s="291"/>
      <x:c r="VTG60" s="291"/>
      <x:c r="VTH60" s="291"/>
      <x:c r="VTI60" s="291"/>
      <x:c r="VTJ60" s="291"/>
      <x:c r="VTK60" s="291"/>
      <x:c r="VTL60" s="291"/>
      <x:c r="VTM60" s="291"/>
      <x:c r="VTN60" s="291"/>
      <x:c r="VTO60" s="291"/>
      <x:c r="VTP60" s="291"/>
      <x:c r="VTQ60" s="291"/>
      <x:c r="VTR60" s="291"/>
      <x:c r="VTS60" s="291"/>
      <x:c r="VTT60" s="291"/>
      <x:c r="VTU60" s="291"/>
      <x:c r="VTV60" s="291"/>
      <x:c r="VTW60" s="291"/>
      <x:c r="VTX60" s="291"/>
      <x:c r="VTY60" s="291"/>
      <x:c r="VTZ60" s="291"/>
      <x:c r="VUA60" s="291"/>
      <x:c r="VUB60" s="291"/>
      <x:c r="VUC60" s="291"/>
      <x:c r="VUD60" s="291"/>
      <x:c r="VUE60" s="291"/>
      <x:c r="VUF60" s="291"/>
      <x:c r="VUG60" s="291"/>
      <x:c r="VUH60" s="291"/>
      <x:c r="VUI60" s="291"/>
      <x:c r="VUJ60" s="291"/>
      <x:c r="VUK60" s="291"/>
      <x:c r="VUL60" s="291"/>
      <x:c r="VUM60" s="291"/>
      <x:c r="VUN60" s="291"/>
      <x:c r="VUO60" s="291"/>
      <x:c r="VUP60" s="291"/>
      <x:c r="VUQ60" s="291"/>
      <x:c r="VUR60" s="291"/>
      <x:c r="VUS60" s="291"/>
      <x:c r="VUT60" s="291"/>
      <x:c r="VUU60" s="291"/>
      <x:c r="VUV60" s="291"/>
      <x:c r="VUW60" s="291"/>
      <x:c r="VUX60" s="291"/>
      <x:c r="VUY60" s="291"/>
      <x:c r="VUZ60" s="291"/>
      <x:c r="VVA60" s="291"/>
      <x:c r="VVB60" s="291"/>
      <x:c r="VVC60" s="291"/>
      <x:c r="VVD60" s="291"/>
      <x:c r="VVE60" s="291"/>
      <x:c r="VVF60" s="291"/>
      <x:c r="VVG60" s="291"/>
      <x:c r="VVH60" s="291"/>
      <x:c r="VVI60" s="291"/>
      <x:c r="VVJ60" s="291"/>
      <x:c r="VVK60" s="291"/>
      <x:c r="VVL60" s="291"/>
      <x:c r="VVM60" s="291"/>
      <x:c r="VVN60" s="291"/>
      <x:c r="VVO60" s="291"/>
      <x:c r="VVP60" s="291"/>
      <x:c r="VVQ60" s="291"/>
      <x:c r="VVR60" s="291"/>
      <x:c r="VVS60" s="291"/>
      <x:c r="VVT60" s="291"/>
      <x:c r="VVU60" s="291"/>
      <x:c r="VVV60" s="291"/>
      <x:c r="VVW60" s="291"/>
      <x:c r="VVX60" s="291"/>
      <x:c r="VVY60" s="291"/>
      <x:c r="VVZ60" s="291"/>
      <x:c r="VWA60" s="291"/>
      <x:c r="VWB60" s="291"/>
      <x:c r="VWC60" s="291"/>
      <x:c r="VWD60" s="291"/>
      <x:c r="VWE60" s="291"/>
      <x:c r="VWF60" s="291"/>
      <x:c r="VWG60" s="291"/>
      <x:c r="VWH60" s="291"/>
      <x:c r="VWI60" s="291"/>
      <x:c r="VWJ60" s="291"/>
      <x:c r="VWK60" s="291"/>
      <x:c r="VWL60" s="291"/>
      <x:c r="VWM60" s="291"/>
      <x:c r="VWN60" s="291"/>
      <x:c r="VWO60" s="291"/>
      <x:c r="VWP60" s="291"/>
      <x:c r="VWQ60" s="291"/>
      <x:c r="VWR60" s="291"/>
      <x:c r="VWS60" s="291"/>
      <x:c r="VWT60" s="291"/>
      <x:c r="VWU60" s="291"/>
      <x:c r="VWV60" s="291"/>
      <x:c r="VWW60" s="291"/>
      <x:c r="VWX60" s="291"/>
      <x:c r="VWY60" s="291"/>
      <x:c r="VWZ60" s="291"/>
      <x:c r="VXA60" s="291"/>
      <x:c r="VXB60" s="291"/>
      <x:c r="VXC60" s="291"/>
      <x:c r="VXD60" s="291"/>
      <x:c r="VXE60" s="291"/>
      <x:c r="VXF60" s="291"/>
      <x:c r="VXG60" s="291"/>
      <x:c r="VXH60" s="291"/>
      <x:c r="VXI60" s="291"/>
      <x:c r="VXJ60" s="291"/>
      <x:c r="VXK60" s="291"/>
      <x:c r="VXL60" s="291"/>
      <x:c r="VXM60" s="291"/>
      <x:c r="VXN60" s="291"/>
      <x:c r="VXO60" s="291"/>
      <x:c r="VXP60" s="291"/>
      <x:c r="VXQ60" s="291"/>
      <x:c r="VXR60" s="291"/>
      <x:c r="VXS60" s="291"/>
      <x:c r="VXT60" s="291"/>
      <x:c r="VXU60" s="291"/>
      <x:c r="VXV60" s="291"/>
      <x:c r="VXW60" s="291"/>
      <x:c r="VXX60" s="291"/>
      <x:c r="VXY60" s="291"/>
      <x:c r="VXZ60" s="291"/>
      <x:c r="VYA60" s="291"/>
      <x:c r="VYB60" s="291"/>
      <x:c r="VYC60" s="291"/>
      <x:c r="VYD60" s="291"/>
      <x:c r="VYE60" s="291"/>
      <x:c r="VYF60" s="291"/>
      <x:c r="VYG60" s="291"/>
      <x:c r="VYH60" s="291"/>
      <x:c r="VYI60" s="291"/>
      <x:c r="VYJ60" s="291"/>
      <x:c r="VYK60" s="291"/>
      <x:c r="VYL60" s="291"/>
      <x:c r="VYM60" s="291"/>
      <x:c r="VYN60" s="291"/>
      <x:c r="VYO60" s="291"/>
      <x:c r="VYP60" s="291"/>
      <x:c r="VYQ60" s="291"/>
      <x:c r="VYR60" s="291"/>
      <x:c r="VYS60" s="291"/>
      <x:c r="VYT60" s="291"/>
      <x:c r="VYU60" s="291"/>
      <x:c r="VYV60" s="291"/>
      <x:c r="VYW60" s="291"/>
      <x:c r="VYX60" s="291"/>
      <x:c r="VYY60" s="291"/>
      <x:c r="VYZ60" s="291"/>
      <x:c r="VZA60" s="291"/>
      <x:c r="VZB60" s="291"/>
      <x:c r="VZC60" s="291"/>
      <x:c r="VZD60" s="291"/>
      <x:c r="VZE60" s="291"/>
      <x:c r="VZF60" s="291"/>
      <x:c r="VZG60" s="291"/>
      <x:c r="VZH60" s="291"/>
      <x:c r="VZI60" s="291"/>
      <x:c r="VZJ60" s="291"/>
      <x:c r="VZK60" s="291"/>
      <x:c r="VZL60" s="291"/>
      <x:c r="VZM60" s="291"/>
      <x:c r="VZN60" s="291"/>
      <x:c r="VZO60" s="291"/>
      <x:c r="VZP60" s="291"/>
      <x:c r="VZQ60" s="291"/>
      <x:c r="VZR60" s="291"/>
      <x:c r="VZS60" s="291"/>
      <x:c r="VZT60" s="291"/>
      <x:c r="VZU60" s="291"/>
      <x:c r="VZV60" s="291"/>
      <x:c r="VZW60" s="291"/>
      <x:c r="VZX60" s="291"/>
      <x:c r="VZY60" s="291"/>
      <x:c r="VZZ60" s="291"/>
      <x:c r="WAA60" s="291"/>
      <x:c r="WAB60" s="291"/>
      <x:c r="WAC60" s="291"/>
      <x:c r="WAD60" s="291"/>
      <x:c r="WAE60" s="291"/>
      <x:c r="WAF60" s="291"/>
      <x:c r="WAG60" s="291"/>
      <x:c r="WAH60" s="291"/>
      <x:c r="WAI60" s="291"/>
      <x:c r="WAJ60" s="291"/>
      <x:c r="WAK60" s="291"/>
      <x:c r="WAL60" s="291"/>
      <x:c r="WAM60" s="291"/>
      <x:c r="WAN60" s="291"/>
      <x:c r="WAO60" s="291"/>
      <x:c r="WAP60" s="291"/>
      <x:c r="WAQ60" s="291"/>
      <x:c r="WAR60" s="291"/>
      <x:c r="WAS60" s="291"/>
      <x:c r="WAT60" s="291"/>
      <x:c r="WAU60" s="291"/>
      <x:c r="WAV60" s="291"/>
      <x:c r="WAW60" s="291"/>
      <x:c r="WAX60" s="291"/>
      <x:c r="WAY60" s="291"/>
      <x:c r="WAZ60" s="291"/>
      <x:c r="WBA60" s="291"/>
      <x:c r="WBB60" s="291"/>
      <x:c r="WBC60" s="291"/>
      <x:c r="WBD60" s="291"/>
      <x:c r="WBE60" s="291"/>
      <x:c r="WBF60" s="291"/>
      <x:c r="WBG60" s="291"/>
      <x:c r="WBH60" s="291"/>
      <x:c r="WBI60" s="291"/>
      <x:c r="WBJ60" s="291"/>
      <x:c r="WBK60" s="291"/>
      <x:c r="WBL60" s="291"/>
      <x:c r="WBM60" s="291"/>
      <x:c r="WBN60" s="291"/>
      <x:c r="WBO60" s="291"/>
      <x:c r="WBP60" s="291"/>
      <x:c r="WBQ60" s="291"/>
      <x:c r="WBR60" s="291"/>
      <x:c r="WBS60" s="291"/>
      <x:c r="WBT60" s="291"/>
      <x:c r="WBU60" s="291"/>
      <x:c r="WBV60" s="291"/>
      <x:c r="WBW60" s="291"/>
      <x:c r="WBX60" s="291"/>
      <x:c r="WBY60" s="291"/>
      <x:c r="WBZ60" s="291"/>
      <x:c r="WCA60" s="291"/>
      <x:c r="WCB60" s="291"/>
      <x:c r="WCC60" s="291"/>
      <x:c r="WCD60" s="291"/>
      <x:c r="WCE60" s="291"/>
      <x:c r="WCF60" s="291"/>
      <x:c r="WCG60" s="291"/>
      <x:c r="WCH60" s="291"/>
      <x:c r="WCI60" s="291"/>
      <x:c r="WCJ60" s="291"/>
      <x:c r="WCK60" s="291"/>
      <x:c r="WCL60" s="291"/>
      <x:c r="WCM60" s="291"/>
      <x:c r="WCN60" s="291"/>
      <x:c r="WCO60" s="291"/>
      <x:c r="WCP60" s="291"/>
      <x:c r="WCQ60" s="291"/>
      <x:c r="WCR60" s="291"/>
      <x:c r="WCS60" s="291"/>
      <x:c r="WCT60" s="291"/>
      <x:c r="WCU60" s="291"/>
      <x:c r="WCV60" s="291"/>
      <x:c r="WCW60" s="291"/>
      <x:c r="WCX60" s="291"/>
      <x:c r="WCY60" s="291"/>
      <x:c r="WCZ60" s="291"/>
      <x:c r="WDA60" s="291"/>
      <x:c r="WDB60" s="291"/>
      <x:c r="WDC60" s="291"/>
      <x:c r="WDD60" s="291"/>
      <x:c r="WDE60" s="291"/>
      <x:c r="WDF60" s="291"/>
      <x:c r="WDG60" s="291"/>
      <x:c r="WDH60" s="291"/>
      <x:c r="WDI60" s="291"/>
      <x:c r="WDJ60" s="291"/>
      <x:c r="WDK60" s="291"/>
      <x:c r="WDL60" s="291"/>
      <x:c r="WDM60" s="291"/>
      <x:c r="WDN60" s="291"/>
      <x:c r="WDO60" s="291"/>
      <x:c r="WDP60" s="291"/>
      <x:c r="WDQ60" s="291"/>
      <x:c r="WDR60" s="291"/>
      <x:c r="WDS60" s="291"/>
      <x:c r="WDT60" s="291"/>
      <x:c r="WDU60" s="291"/>
      <x:c r="WDV60" s="291"/>
      <x:c r="WDW60" s="291"/>
      <x:c r="WDX60" s="291"/>
      <x:c r="WDY60" s="291"/>
      <x:c r="WDZ60" s="291"/>
      <x:c r="WEA60" s="291"/>
      <x:c r="WEB60" s="291"/>
      <x:c r="WEC60" s="291"/>
      <x:c r="WED60" s="291"/>
      <x:c r="WEE60" s="291"/>
      <x:c r="WEF60" s="291"/>
      <x:c r="WEG60" s="291"/>
      <x:c r="WEH60" s="291"/>
      <x:c r="WEI60" s="291"/>
      <x:c r="WEJ60" s="291"/>
      <x:c r="WEK60" s="291"/>
      <x:c r="WEL60" s="291"/>
      <x:c r="WEM60" s="291"/>
      <x:c r="WEN60" s="291"/>
      <x:c r="WEO60" s="291"/>
      <x:c r="WEP60" s="291"/>
      <x:c r="WEQ60" s="291"/>
      <x:c r="WER60" s="291"/>
      <x:c r="WES60" s="291"/>
      <x:c r="WET60" s="291"/>
      <x:c r="WEU60" s="291"/>
      <x:c r="WEV60" s="291"/>
      <x:c r="WEW60" s="291"/>
      <x:c r="WEX60" s="291"/>
      <x:c r="WEY60" s="291"/>
      <x:c r="WEZ60" s="291"/>
      <x:c r="WFA60" s="291"/>
      <x:c r="WFB60" s="291"/>
      <x:c r="WFC60" s="291"/>
      <x:c r="WFD60" s="291"/>
      <x:c r="WFE60" s="291"/>
      <x:c r="WFF60" s="291"/>
      <x:c r="WFG60" s="291"/>
      <x:c r="WFH60" s="291"/>
      <x:c r="WFI60" s="291"/>
      <x:c r="WFJ60" s="291"/>
      <x:c r="WFK60" s="291"/>
      <x:c r="WFL60" s="291"/>
      <x:c r="WFM60" s="291"/>
      <x:c r="WFN60" s="291"/>
      <x:c r="WFO60" s="291"/>
      <x:c r="WFP60" s="291"/>
      <x:c r="WFQ60" s="291"/>
      <x:c r="WFR60" s="291"/>
      <x:c r="WFS60" s="291"/>
      <x:c r="WFT60" s="291"/>
      <x:c r="WFU60" s="291"/>
      <x:c r="WFV60" s="291"/>
      <x:c r="WFW60" s="291"/>
      <x:c r="WFX60" s="291"/>
      <x:c r="WFY60" s="291"/>
      <x:c r="WFZ60" s="291"/>
      <x:c r="WGA60" s="291"/>
      <x:c r="WGB60" s="291"/>
      <x:c r="WGC60" s="291"/>
      <x:c r="WGD60" s="291"/>
      <x:c r="WGE60" s="291"/>
      <x:c r="WGF60" s="291"/>
      <x:c r="WGG60" s="291"/>
      <x:c r="WGH60" s="291"/>
      <x:c r="WGI60" s="291"/>
      <x:c r="WGJ60" s="291"/>
      <x:c r="WGK60" s="291"/>
      <x:c r="WGL60" s="291"/>
      <x:c r="WGM60" s="291"/>
      <x:c r="WGN60" s="291"/>
      <x:c r="WGO60" s="291"/>
      <x:c r="WGP60" s="291"/>
      <x:c r="WGQ60" s="291"/>
      <x:c r="WGR60" s="291"/>
      <x:c r="WGS60" s="291"/>
      <x:c r="WGT60" s="291"/>
      <x:c r="WGU60" s="291"/>
      <x:c r="WGV60" s="291"/>
      <x:c r="WGW60" s="291"/>
      <x:c r="WGX60" s="291"/>
      <x:c r="WGY60" s="291"/>
      <x:c r="WGZ60" s="291"/>
      <x:c r="WHA60" s="291"/>
      <x:c r="WHB60" s="291"/>
      <x:c r="WHC60" s="291"/>
      <x:c r="WHD60" s="291"/>
      <x:c r="WHE60" s="291"/>
      <x:c r="WHF60" s="291"/>
      <x:c r="WHG60" s="291"/>
      <x:c r="WHH60" s="291"/>
      <x:c r="WHI60" s="291"/>
      <x:c r="WHJ60" s="291"/>
      <x:c r="WHK60" s="291"/>
      <x:c r="WHL60" s="291"/>
      <x:c r="WHM60" s="291"/>
      <x:c r="WHN60" s="291"/>
      <x:c r="WHO60" s="291"/>
      <x:c r="WHP60" s="291"/>
      <x:c r="WHQ60" s="291"/>
      <x:c r="WHR60" s="291"/>
      <x:c r="WHS60" s="291"/>
      <x:c r="WHT60" s="291"/>
      <x:c r="WHU60" s="291"/>
      <x:c r="WHV60" s="291"/>
      <x:c r="WHW60" s="291"/>
      <x:c r="WHX60" s="291"/>
      <x:c r="WHY60" s="291"/>
      <x:c r="WHZ60" s="291"/>
      <x:c r="WIA60" s="291"/>
      <x:c r="WIB60" s="291"/>
      <x:c r="WIC60" s="291"/>
      <x:c r="WID60" s="291"/>
      <x:c r="WIE60" s="291"/>
      <x:c r="WIF60" s="291"/>
      <x:c r="WIG60" s="291"/>
      <x:c r="WIH60" s="291"/>
      <x:c r="WII60" s="291"/>
      <x:c r="WIJ60" s="291"/>
      <x:c r="WIK60" s="291"/>
      <x:c r="WIL60" s="291"/>
      <x:c r="WIM60" s="291"/>
      <x:c r="WIN60" s="291"/>
      <x:c r="WIO60" s="291"/>
      <x:c r="WIP60" s="291"/>
      <x:c r="WIQ60" s="291"/>
      <x:c r="WIR60" s="291"/>
      <x:c r="WIS60" s="291"/>
      <x:c r="WIT60" s="291"/>
      <x:c r="WIU60" s="291"/>
      <x:c r="WIV60" s="291"/>
      <x:c r="WIW60" s="291"/>
      <x:c r="WIX60" s="291"/>
      <x:c r="WIY60" s="291"/>
      <x:c r="WIZ60" s="291"/>
      <x:c r="WJA60" s="291"/>
      <x:c r="WJB60" s="291"/>
      <x:c r="WJC60" s="291"/>
      <x:c r="WJD60" s="291"/>
      <x:c r="WJE60" s="291"/>
      <x:c r="WJF60" s="291"/>
      <x:c r="WJG60" s="291"/>
      <x:c r="WJH60" s="291"/>
      <x:c r="WJI60" s="291"/>
      <x:c r="WJJ60" s="291"/>
      <x:c r="WJK60" s="291"/>
      <x:c r="WJL60" s="291"/>
      <x:c r="WJM60" s="291"/>
      <x:c r="WJN60" s="291"/>
      <x:c r="WJO60" s="291"/>
      <x:c r="WJP60" s="291"/>
      <x:c r="WJQ60" s="291"/>
      <x:c r="WJR60" s="291"/>
      <x:c r="WJS60" s="291"/>
      <x:c r="WJT60" s="291"/>
      <x:c r="WJU60" s="291"/>
      <x:c r="WJV60" s="291"/>
      <x:c r="WJW60" s="291"/>
      <x:c r="WJX60" s="291"/>
      <x:c r="WJY60" s="291"/>
      <x:c r="WJZ60" s="291"/>
      <x:c r="WKA60" s="291"/>
      <x:c r="WKB60" s="291"/>
      <x:c r="WKC60" s="291"/>
      <x:c r="WKD60" s="291"/>
      <x:c r="WKE60" s="291"/>
      <x:c r="WKF60" s="291"/>
      <x:c r="WKG60" s="291"/>
      <x:c r="WKH60" s="291"/>
      <x:c r="WKI60" s="291"/>
      <x:c r="WKJ60" s="291"/>
      <x:c r="WKK60" s="291"/>
      <x:c r="WKL60" s="291"/>
      <x:c r="WKM60" s="291"/>
      <x:c r="WKN60" s="291"/>
      <x:c r="WKO60" s="291"/>
      <x:c r="WKP60" s="291"/>
      <x:c r="WKQ60" s="291"/>
      <x:c r="WKR60" s="291"/>
      <x:c r="WKS60" s="291"/>
      <x:c r="WKT60" s="291"/>
      <x:c r="WKU60" s="291"/>
      <x:c r="WKV60" s="291"/>
      <x:c r="WKW60" s="291"/>
      <x:c r="WKX60" s="291"/>
      <x:c r="WKY60" s="291"/>
      <x:c r="WKZ60" s="291"/>
      <x:c r="WLA60" s="291"/>
      <x:c r="WLB60" s="291"/>
      <x:c r="WLC60" s="291"/>
      <x:c r="WLD60" s="291"/>
      <x:c r="WLE60" s="291"/>
      <x:c r="WLF60" s="291"/>
      <x:c r="WLG60" s="291"/>
      <x:c r="WLH60" s="291"/>
      <x:c r="WLI60" s="291"/>
      <x:c r="WLJ60" s="291"/>
      <x:c r="WLK60" s="291"/>
      <x:c r="WLL60" s="291"/>
      <x:c r="WLM60" s="291"/>
      <x:c r="WLN60" s="291"/>
      <x:c r="WLO60" s="291"/>
      <x:c r="WLP60" s="291"/>
      <x:c r="WLQ60" s="291"/>
      <x:c r="WLR60" s="291"/>
      <x:c r="WLS60" s="291"/>
      <x:c r="WLT60" s="291"/>
      <x:c r="WLU60" s="291"/>
      <x:c r="WLV60" s="291"/>
      <x:c r="WLW60" s="291"/>
      <x:c r="WLX60" s="291"/>
      <x:c r="WLY60" s="291"/>
      <x:c r="WLZ60" s="291"/>
      <x:c r="WMA60" s="291"/>
      <x:c r="WMB60" s="291"/>
      <x:c r="WMC60" s="291"/>
      <x:c r="WMD60" s="291"/>
      <x:c r="WME60" s="291"/>
      <x:c r="WMF60" s="291"/>
      <x:c r="WMG60" s="291"/>
      <x:c r="WMH60" s="291"/>
      <x:c r="WMI60" s="291"/>
      <x:c r="WMJ60" s="291"/>
      <x:c r="WMK60" s="291"/>
      <x:c r="WML60" s="291"/>
      <x:c r="WMM60" s="291"/>
      <x:c r="WMN60" s="291"/>
      <x:c r="WMO60" s="291"/>
      <x:c r="WMP60" s="291"/>
      <x:c r="WMQ60" s="291"/>
      <x:c r="WMR60" s="291"/>
      <x:c r="WMS60" s="291"/>
      <x:c r="WMT60" s="291"/>
      <x:c r="WMU60" s="291"/>
      <x:c r="WMV60" s="291"/>
      <x:c r="WMW60" s="291"/>
      <x:c r="WMX60" s="291"/>
      <x:c r="WMY60" s="291"/>
      <x:c r="WMZ60" s="291"/>
      <x:c r="WNA60" s="291"/>
      <x:c r="WNB60" s="291"/>
      <x:c r="WNC60" s="291"/>
      <x:c r="WND60" s="291"/>
      <x:c r="WNE60" s="291"/>
      <x:c r="WNF60" s="291"/>
      <x:c r="WNG60" s="291"/>
      <x:c r="WNH60" s="291"/>
      <x:c r="WNI60" s="291"/>
      <x:c r="WNJ60" s="291"/>
      <x:c r="WNK60" s="291"/>
      <x:c r="WNL60" s="291"/>
      <x:c r="WNM60" s="291"/>
      <x:c r="WNN60" s="291"/>
      <x:c r="WNO60" s="291"/>
      <x:c r="WNP60" s="291"/>
      <x:c r="WNQ60" s="291"/>
      <x:c r="WNR60" s="291"/>
      <x:c r="WNS60" s="291"/>
      <x:c r="WNT60" s="291"/>
      <x:c r="WNU60" s="291"/>
      <x:c r="WNV60" s="291"/>
      <x:c r="WNW60" s="291"/>
      <x:c r="WNX60" s="291"/>
      <x:c r="WNY60" s="291"/>
      <x:c r="WNZ60" s="291"/>
      <x:c r="WOA60" s="291"/>
      <x:c r="WOB60" s="291"/>
      <x:c r="WOC60" s="291"/>
      <x:c r="WOD60" s="291"/>
      <x:c r="WOE60" s="291"/>
      <x:c r="WOF60" s="291"/>
      <x:c r="WOG60" s="291"/>
      <x:c r="WOH60" s="291"/>
      <x:c r="WOI60" s="291"/>
      <x:c r="WOJ60" s="291"/>
      <x:c r="WOK60" s="291"/>
      <x:c r="WOL60" s="291"/>
      <x:c r="WOM60" s="291"/>
      <x:c r="WON60" s="291"/>
      <x:c r="WOO60" s="291"/>
      <x:c r="WOP60" s="291"/>
      <x:c r="WOQ60" s="291"/>
      <x:c r="WOR60" s="291"/>
      <x:c r="WOS60" s="291"/>
      <x:c r="WOT60" s="291"/>
      <x:c r="WOU60" s="291"/>
      <x:c r="WOV60" s="291"/>
      <x:c r="WOW60" s="291"/>
      <x:c r="WOX60" s="291"/>
      <x:c r="WOY60" s="291"/>
      <x:c r="WOZ60" s="291"/>
      <x:c r="WPA60" s="291"/>
      <x:c r="WPB60" s="291"/>
      <x:c r="WPC60" s="291"/>
      <x:c r="WPD60" s="291"/>
      <x:c r="WPE60" s="291"/>
      <x:c r="WPF60" s="291"/>
      <x:c r="WPG60" s="291"/>
      <x:c r="WPH60" s="291"/>
      <x:c r="WPI60" s="291"/>
      <x:c r="WPJ60" s="291"/>
      <x:c r="WPK60" s="291"/>
      <x:c r="WPL60" s="291"/>
      <x:c r="WPM60" s="291"/>
      <x:c r="WPN60" s="291"/>
      <x:c r="WPO60" s="291"/>
      <x:c r="WPP60" s="291"/>
      <x:c r="WPQ60" s="291"/>
      <x:c r="WPR60" s="291"/>
      <x:c r="WPS60" s="291"/>
      <x:c r="WPT60" s="291"/>
      <x:c r="WPU60" s="291"/>
      <x:c r="WPV60" s="291"/>
      <x:c r="WPW60" s="291"/>
      <x:c r="WPX60" s="291"/>
      <x:c r="WPY60" s="291"/>
      <x:c r="WPZ60" s="291"/>
      <x:c r="WQA60" s="291"/>
      <x:c r="WQB60" s="291"/>
      <x:c r="WQC60" s="291"/>
      <x:c r="WQD60" s="291"/>
      <x:c r="WQE60" s="291"/>
      <x:c r="WQF60" s="291"/>
      <x:c r="WQG60" s="291"/>
      <x:c r="WQH60" s="291"/>
      <x:c r="WQI60" s="291"/>
      <x:c r="WQJ60" s="291"/>
      <x:c r="WQK60" s="291"/>
      <x:c r="WQL60" s="291"/>
      <x:c r="WQM60" s="291"/>
      <x:c r="WQN60" s="291"/>
      <x:c r="WQO60" s="291"/>
      <x:c r="WQP60" s="291"/>
      <x:c r="WQQ60" s="291"/>
      <x:c r="WQR60" s="291"/>
      <x:c r="WQS60" s="291"/>
      <x:c r="WQT60" s="291"/>
      <x:c r="WQU60" s="291"/>
      <x:c r="WQV60" s="291"/>
      <x:c r="WQW60" s="291"/>
      <x:c r="WQX60" s="291"/>
      <x:c r="WQY60" s="291"/>
      <x:c r="WQZ60" s="291"/>
      <x:c r="WRA60" s="291"/>
      <x:c r="WRB60" s="291"/>
      <x:c r="WRC60" s="291"/>
      <x:c r="WRD60" s="291"/>
      <x:c r="WRE60" s="291"/>
      <x:c r="WRF60" s="291"/>
      <x:c r="WRG60" s="291"/>
      <x:c r="WRH60" s="291"/>
      <x:c r="WRI60" s="291"/>
      <x:c r="WRJ60" s="291"/>
      <x:c r="WRK60" s="291"/>
      <x:c r="WRL60" s="291"/>
      <x:c r="WRM60" s="291"/>
      <x:c r="WRN60" s="291"/>
      <x:c r="WRO60" s="291"/>
      <x:c r="WRP60" s="291"/>
      <x:c r="WRQ60" s="291"/>
      <x:c r="WRR60" s="291"/>
      <x:c r="WRS60" s="291"/>
      <x:c r="WRT60" s="291"/>
      <x:c r="WRU60" s="291"/>
      <x:c r="WRV60" s="291"/>
      <x:c r="WRW60" s="291"/>
      <x:c r="WRX60" s="291"/>
      <x:c r="WRY60" s="291"/>
      <x:c r="WRZ60" s="291"/>
      <x:c r="WSA60" s="291"/>
      <x:c r="WSB60" s="291"/>
      <x:c r="WSC60" s="291"/>
      <x:c r="WSD60" s="291"/>
      <x:c r="WSE60" s="291"/>
      <x:c r="WSF60" s="291"/>
      <x:c r="WSG60" s="291"/>
      <x:c r="WSH60" s="291"/>
      <x:c r="WSI60" s="291"/>
      <x:c r="WSJ60" s="291"/>
      <x:c r="WSK60" s="291"/>
      <x:c r="WSL60" s="291"/>
      <x:c r="WSM60" s="291"/>
      <x:c r="WSN60" s="291"/>
      <x:c r="WSO60" s="291"/>
      <x:c r="WSP60" s="291"/>
      <x:c r="WSQ60" s="291"/>
      <x:c r="WSR60" s="291"/>
      <x:c r="WSS60" s="291"/>
      <x:c r="WST60" s="291"/>
      <x:c r="WSU60" s="291"/>
      <x:c r="WSV60" s="291"/>
      <x:c r="WSW60" s="291"/>
      <x:c r="WSX60" s="291"/>
      <x:c r="WSY60" s="291"/>
      <x:c r="WSZ60" s="291"/>
      <x:c r="WTA60" s="291"/>
      <x:c r="WTB60" s="291"/>
      <x:c r="WTC60" s="291"/>
      <x:c r="WTD60" s="291"/>
      <x:c r="WTE60" s="291"/>
      <x:c r="WTF60" s="291"/>
      <x:c r="WTG60" s="291"/>
      <x:c r="WTH60" s="291"/>
      <x:c r="WTI60" s="291"/>
      <x:c r="WTJ60" s="291"/>
      <x:c r="WTK60" s="291"/>
      <x:c r="WTL60" s="291"/>
      <x:c r="WTM60" s="291"/>
      <x:c r="WTN60" s="291"/>
      <x:c r="WTO60" s="291"/>
      <x:c r="WTP60" s="291"/>
      <x:c r="WTQ60" s="291"/>
      <x:c r="WTR60" s="291"/>
      <x:c r="WTS60" s="291"/>
      <x:c r="WTT60" s="291"/>
      <x:c r="WTU60" s="291"/>
      <x:c r="WTV60" s="291"/>
      <x:c r="WTW60" s="291"/>
      <x:c r="WTX60" s="291"/>
      <x:c r="WTY60" s="291"/>
      <x:c r="WTZ60" s="291"/>
      <x:c r="WUA60" s="291"/>
      <x:c r="WUB60" s="291"/>
      <x:c r="WUC60" s="291"/>
      <x:c r="WUD60" s="291"/>
      <x:c r="WUE60" s="291"/>
      <x:c r="WUF60" s="291"/>
      <x:c r="WUG60" s="291"/>
      <x:c r="WUH60" s="291"/>
      <x:c r="WUI60" s="291"/>
      <x:c r="WUJ60" s="291"/>
      <x:c r="WUK60" s="291"/>
      <x:c r="WUL60" s="291"/>
      <x:c r="WUM60" s="291"/>
      <x:c r="WUN60" s="291"/>
      <x:c r="WUO60" s="291"/>
      <x:c r="WUP60" s="291"/>
      <x:c r="WUQ60" s="291"/>
      <x:c r="WUR60" s="291"/>
      <x:c r="WUS60" s="291"/>
      <x:c r="WUT60" s="291"/>
      <x:c r="WUU60" s="291"/>
      <x:c r="WUV60" s="291"/>
      <x:c r="WUW60" s="291"/>
      <x:c r="WUX60" s="291"/>
      <x:c r="WUY60" s="291"/>
      <x:c r="WUZ60" s="291"/>
      <x:c r="WVA60" s="291"/>
      <x:c r="WVB60" s="291"/>
      <x:c r="WVC60" s="291"/>
      <x:c r="WVD60" s="291"/>
      <x:c r="WVE60" s="291"/>
      <x:c r="WVF60" s="291"/>
      <x:c r="WVG60" s="291"/>
      <x:c r="WVH60" s="291"/>
      <x:c r="WVI60" s="291"/>
      <x:c r="WVJ60" s="291"/>
      <x:c r="WVK60" s="291"/>
      <x:c r="WVL60" s="291"/>
      <x:c r="WVM60" s="291"/>
      <x:c r="WVN60" s="291"/>
      <x:c r="WVO60" s="291"/>
      <x:c r="WVP60" s="291"/>
      <x:c r="WVQ60" s="291"/>
      <x:c r="WVR60" s="291"/>
      <x:c r="WVS60" s="291"/>
      <x:c r="WVT60" s="291"/>
      <x:c r="WVU60" s="291"/>
      <x:c r="WVV60" s="291"/>
      <x:c r="WVW60" s="291"/>
      <x:c r="WVX60" s="291"/>
      <x:c r="WVY60" s="291"/>
      <x:c r="WVZ60" s="291"/>
      <x:c r="WWA60" s="291"/>
      <x:c r="WWB60" s="291"/>
      <x:c r="WWC60" s="291"/>
      <x:c r="WWD60" s="291"/>
      <x:c r="WWE60" s="291"/>
      <x:c r="WWF60" s="291"/>
      <x:c r="WWG60" s="291"/>
      <x:c r="WWH60" s="291"/>
      <x:c r="WWI60" s="291"/>
      <x:c r="WWJ60" s="291"/>
      <x:c r="WWK60" s="291"/>
      <x:c r="WWL60" s="291"/>
      <x:c r="WWM60" s="291"/>
      <x:c r="WWN60" s="291"/>
      <x:c r="WWO60" s="291"/>
      <x:c r="WWP60" s="291"/>
      <x:c r="WWQ60" s="291"/>
      <x:c r="WWR60" s="291"/>
      <x:c r="WWS60" s="291"/>
      <x:c r="WWT60" s="291"/>
      <x:c r="WWU60" s="291"/>
      <x:c r="WWV60" s="291"/>
      <x:c r="WWW60" s="291"/>
      <x:c r="WWX60" s="291"/>
      <x:c r="WWY60" s="291"/>
      <x:c r="WWZ60" s="291"/>
      <x:c r="WXA60" s="291"/>
      <x:c r="WXB60" s="291"/>
      <x:c r="WXC60" s="291"/>
      <x:c r="WXD60" s="291"/>
      <x:c r="WXE60" s="291"/>
      <x:c r="WXF60" s="291"/>
      <x:c r="WXG60" s="291"/>
      <x:c r="WXH60" s="291"/>
      <x:c r="WXI60" s="291"/>
      <x:c r="WXJ60" s="291"/>
      <x:c r="WXK60" s="291"/>
      <x:c r="WXL60" s="291"/>
      <x:c r="WXM60" s="291"/>
      <x:c r="WXN60" s="291"/>
      <x:c r="WXO60" s="291"/>
      <x:c r="WXP60" s="291"/>
      <x:c r="WXQ60" s="291"/>
      <x:c r="WXR60" s="291"/>
      <x:c r="WXS60" s="291"/>
      <x:c r="WXT60" s="291"/>
      <x:c r="WXU60" s="291"/>
      <x:c r="WXV60" s="291"/>
      <x:c r="WXW60" s="291"/>
      <x:c r="WXX60" s="291"/>
      <x:c r="WXY60" s="291"/>
      <x:c r="WXZ60" s="291"/>
      <x:c r="WYA60" s="291"/>
      <x:c r="WYB60" s="291"/>
      <x:c r="WYC60" s="291"/>
      <x:c r="WYD60" s="291"/>
      <x:c r="WYE60" s="291"/>
      <x:c r="WYF60" s="291"/>
      <x:c r="WYG60" s="291"/>
      <x:c r="WYH60" s="291"/>
      <x:c r="WYI60" s="291"/>
      <x:c r="WYJ60" s="291"/>
      <x:c r="WYK60" s="291"/>
      <x:c r="WYL60" s="291"/>
      <x:c r="WYM60" s="291"/>
      <x:c r="WYN60" s="291"/>
      <x:c r="WYO60" s="291"/>
      <x:c r="WYP60" s="291"/>
      <x:c r="WYQ60" s="291"/>
      <x:c r="WYR60" s="291"/>
      <x:c r="WYS60" s="291"/>
      <x:c r="WYT60" s="291"/>
      <x:c r="WYU60" s="291"/>
      <x:c r="WYV60" s="291"/>
      <x:c r="WYW60" s="291"/>
      <x:c r="WYX60" s="291"/>
      <x:c r="WYY60" s="291"/>
      <x:c r="WYZ60" s="291"/>
      <x:c r="WZA60" s="291"/>
      <x:c r="WZB60" s="291"/>
      <x:c r="WZC60" s="291"/>
      <x:c r="WZD60" s="291"/>
      <x:c r="WZE60" s="291"/>
      <x:c r="WZF60" s="291"/>
      <x:c r="WZG60" s="291"/>
      <x:c r="WZH60" s="291"/>
      <x:c r="WZI60" s="291"/>
      <x:c r="WZJ60" s="291"/>
      <x:c r="WZK60" s="291"/>
      <x:c r="WZL60" s="291"/>
      <x:c r="WZM60" s="291"/>
      <x:c r="WZN60" s="291"/>
      <x:c r="WZO60" s="291"/>
      <x:c r="WZP60" s="291"/>
      <x:c r="WZQ60" s="291"/>
      <x:c r="WZR60" s="291"/>
      <x:c r="WZS60" s="291"/>
      <x:c r="WZT60" s="291"/>
      <x:c r="WZU60" s="291"/>
      <x:c r="WZV60" s="291"/>
      <x:c r="WZW60" s="291"/>
      <x:c r="WZX60" s="291"/>
      <x:c r="WZY60" s="291"/>
      <x:c r="WZZ60" s="291"/>
      <x:c r="XAA60" s="291"/>
      <x:c r="XAB60" s="291"/>
      <x:c r="XAC60" s="291"/>
      <x:c r="XAD60" s="291"/>
      <x:c r="XAE60" s="291"/>
      <x:c r="XAF60" s="291"/>
      <x:c r="XAG60" s="291"/>
      <x:c r="XAH60" s="291"/>
      <x:c r="XAI60" s="291"/>
      <x:c r="XAJ60" s="291"/>
      <x:c r="XAK60" s="291"/>
      <x:c r="XAL60" s="291"/>
      <x:c r="XAM60" s="291"/>
      <x:c r="XAN60" s="291"/>
      <x:c r="XAO60" s="291"/>
      <x:c r="XAP60" s="291"/>
      <x:c r="XAQ60" s="291"/>
      <x:c r="XAR60" s="291"/>
      <x:c r="XAS60" s="291"/>
      <x:c r="XAT60" s="291"/>
      <x:c r="XAU60" s="291"/>
      <x:c r="XAV60" s="291"/>
      <x:c r="XAW60" s="291"/>
      <x:c r="XAX60" s="291"/>
      <x:c r="XAY60" s="291"/>
      <x:c r="XAZ60" s="291"/>
      <x:c r="XBA60" s="291"/>
      <x:c r="XBB60" s="291"/>
      <x:c r="XBC60" s="291"/>
      <x:c r="XBD60" s="291"/>
      <x:c r="XBE60" s="291"/>
      <x:c r="XBF60" s="291"/>
      <x:c r="XBG60" s="291"/>
      <x:c r="XBH60" s="291"/>
      <x:c r="XBI60" s="291"/>
      <x:c r="XBJ60" s="291"/>
      <x:c r="XBK60" s="291"/>
      <x:c r="XBL60" s="291"/>
      <x:c r="XBM60" s="291"/>
      <x:c r="XBN60" s="291"/>
      <x:c r="XBO60" s="291"/>
      <x:c r="XBP60" s="291"/>
      <x:c r="XBQ60" s="291"/>
      <x:c r="XBR60" s="291"/>
      <x:c r="XBS60" s="291"/>
      <x:c r="XBT60" s="291"/>
      <x:c r="XBU60" s="291"/>
      <x:c r="XBV60" s="291"/>
      <x:c r="XBW60" s="291"/>
      <x:c r="XBX60" s="291"/>
      <x:c r="XBY60" s="291"/>
      <x:c r="XBZ60" s="291"/>
      <x:c r="XCA60" s="291"/>
      <x:c r="XCB60" s="291"/>
      <x:c r="XCC60" s="291"/>
      <x:c r="XCD60" s="291"/>
      <x:c r="XCE60" s="291"/>
      <x:c r="XCF60" s="291"/>
      <x:c r="XCG60" s="291"/>
      <x:c r="XCH60" s="291"/>
      <x:c r="XCI60" s="291"/>
      <x:c r="XCJ60" s="291"/>
      <x:c r="XCK60" s="291"/>
      <x:c r="XCL60" s="291"/>
      <x:c r="XCM60" s="291"/>
      <x:c r="XCN60" s="291"/>
      <x:c r="XCO60" s="291"/>
      <x:c r="XCP60" s="291"/>
      <x:c r="XCQ60" s="291"/>
      <x:c r="XCR60" s="291"/>
      <x:c r="XCS60" s="291"/>
      <x:c r="XCT60" s="291"/>
      <x:c r="XCU60" s="291"/>
      <x:c r="XCV60" s="291"/>
      <x:c r="XCW60" s="291"/>
      <x:c r="XCX60" s="291"/>
      <x:c r="XCY60" s="291"/>
      <x:c r="XCZ60" s="291"/>
      <x:c r="XDA60" s="291"/>
      <x:c r="XDB60" s="291"/>
      <x:c r="XDC60" s="291"/>
      <x:c r="XDD60" s="291"/>
      <x:c r="XDE60" s="291"/>
      <x:c r="XDF60" s="291"/>
      <x:c r="XDG60" s="291"/>
      <x:c r="XDH60" s="291"/>
      <x:c r="XDI60" s="291"/>
      <x:c r="XDJ60" s="291"/>
      <x:c r="XDK60" s="291"/>
      <x:c r="XDL60" s="291"/>
      <x:c r="XDM60" s="291"/>
      <x:c r="XDN60" s="291"/>
      <x:c r="XDO60" s="291"/>
      <x:c r="XDP60" s="291"/>
      <x:c r="XDQ60" s="291"/>
      <x:c r="XDR60" s="291"/>
      <x:c r="XDS60" s="291"/>
      <x:c r="XDT60" s="291"/>
      <x:c r="XDU60" s="291"/>
      <x:c r="XDV60" s="291"/>
      <x:c r="XDW60" s="291"/>
      <x:c r="XDX60" s="291"/>
      <x:c r="XDY60" s="291"/>
      <x:c r="XDZ60" s="291"/>
      <x:c r="XEA60" s="291"/>
      <x:c r="XEB60" s="291"/>
      <x:c r="XEC60" s="291"/>
      <x:c r="XED60" s="291"/>
      <x:c r="XEE60" s="291"/>
      <x:c r="XEF60" s="291"/>
      <x:c r="XEG60" s="291"/>
      <x:c r="XEH60" s="291"/>
      <x:c r="XEI60" s="291"/>
      <x:c r="XEJ60" s="291"/>
      <x:c r="XEK60" s="291"/>
      <x:c r="XEL60" s="291"/>
      <x:c r="XEM60" s="291"/>
      <x:c r="XEN60" s="291"/>
      <x:c r="XEO60" s="291"/>
      <x:c r="XEP60" s="291"/>
      <x:c r="XEQ60" s="291"/>
      <x:c r="XER60" s="291"/>
      <x:c r="XES60" s="291"/>
      <x:c r="XET60" s="291"/>
      <x:c r="XEU60" s="291"/>
      <x:c r="XEV60" s="291"/>
      <x:c r="XEW60" s="291"/>
      <x:c r="XEX60" s="291"/>
      <x:c r="XEY60" s="291"/>
      <x:c r="XEZ60" s="291"/>
      <x:c r="XFA60" s="291"/>
      <x:c r="XFB60" s="291"/>
      <x:c r="XFC60" s="291"/>
    </x:row>
    <x:row r="61" spans="1:16383" ht="117.75" customHeight="1" s="125" customFormat="1" x14ac:dyDescent="0.25">
      <x:c r="A61" s="60"/>
      <x:c r="B61" s="123" t="s">
        <x:v>295</x:v>
      </x:c>
      <x:c r="C61" s="124" t="s">
        <x:v>296</x:v>
      </x:c>
      <x:c r="D61" s="106"/>
      <x:c r="E61" s="107"/>
      <x:c r="F61" s="106"/>
      <x:c r="G61" s="108"/>
      <x:c r="H61" s="106"/>
      <x:c r="I61" s="107"/>
      <x:c r="J61" s="106"/>
      <x:c r="K61" s="108"/>
      <x:c r="L61" s="60"/>
      <x:c r="M61" s="108"/>
      <x:c r="N61" s="60"/>
      <x:c r="O61" s="108"/>
      <x:c r="P61" s="108"/>
      <x:c r="Q61" s="108"/>
      <x:c r="R61" s="108"/>
      <x:c r="S61" s="21"/>
      <x:c r="T61" s="108">
        <x:v>0.95</x:v>
      </x:c>
      <x:c r="U61" s="100"/>
      <x:c r="V61" s="100"/>
      <x:c r="W61" s="290"/>
      <x:c r="X61" s="291"/>
      <x:c r="Y61" s="291"/>
      <x:c r="Z61" s="291"/>
      <x:c r="AA61" s="291"/>
      <x:c r="AB61" s="291"/>
      <x:c r="AC61" s="291"/>
      <x:c r="AD61" s="291"/>
      <x:c r="AE61" s="291"/>
      <x:c r="AF61" s="291"/>
      <x:c r="AG61" s="291"/>
      <x:c r="AH61" s="291"/>
      <x:c r="AI61" s="291"/>
      <x:c r="AJ61" s="291"/>
      <x:c r="AK61" s="291"/>
      <x:c r="AL61" s="291"/>
      <x:c r="AM61" s="291"/>
      <x:c r="AN61" s="291"/>
      <x:c r="AO61" s="291"/>
      <x:c r="AP61" s="291"/>
      <x:c r="AQ61" s="291"/>
      <x:c r="AR61" s="291"/>
      <x:c r="AS61" s="291"/>
      <x:c r="AT61" s="291"/>
      <x:c r="AU61" s="291"/>
      <x:c r="AV61" s="291"/>
      <x:c r="AW61" s="291"/>
      <x:c r="AX61" s="291"/>
      <x:c r="AY61" s="291"/>
      <x:c r="AZ61" s="291"/>
      <x:c r="BA61" s="291"/>
      <x:c r="BB61" s="291"/>
      <x:c r="BC61" s="291"/>
      <x:c r="BD61" s="291"/>
      <x:c r="BE61" s="291"/>
      <x:c r="BF61" s="291"/>
      <x:c r="BG61" s="291"/>
      <x:c r="BH61" s="291"/>
      <x:c r="BI61" s="291"/>
      <x:c r="BJ61" s="291"/>
      <x:c r="BK61" s="291"/>
      <x:c r="BL61" s="291"/>
      <x:c r="BM61" s="291"/>
      <x:c r="BN61" s="291"/>
      <x:c r="BO61" s="291"/>
      <x:c r="BP61" s="291"/>
      <x:c r="BQ61" s="291"/>
      <x:c r="BR61" s="291"/>
      <x:c r="BS61" s="291"/>
      <x:c r="BT61" s="291"/>
      <x:c r="BU61" s="291"/>
      <x:c r="BV61" s="291"/>
      <x:c r="BW61" s="291"/>
      <x:c r="BX61" s="291"/>
      <x:c r="BY61" s="291"/>
      <x:c r="BZ61" s="291"/>
      <x:c r="CA61" s="291"/>
      <x:c r="CB61" s="291"/>
      <x:c r="CC61" s="291"/>
      <x:c r="CD61" s="291"/>
      <x:c r="CE61" s="291"/>
      <x:c r="CF61" s="291"/>
      <x:c r="CG61" s="291"/>
      <x:c r="CH61" s="291"/>
      <x:c r="CI61" s="291"/>
      <x:c r="CJ61" s="291"/>
      <x:c r="CK61" s="291"/>
      <x:c r="CL61" s="291"/>
      <x:c r="CM61" s="291"/>
      <x:c r="CN61" s="291"/>
      <x:c r="CO61" s="291"/>
      <x:c r="CP61" s="291"/>
      <x:c r="CQ61" s="291"/>
      <x:c r="CR61" s="291"/>
      <x:c r="CS61" s="291"/>
      <x:c r="CT61" s="291"/>
      <x:c r="CU61" s="291"/>
      <x:c r="CV61" s="291"/>
      <x:c r="CW61" s="291"/>
      <x:c r="CX61" s="291"/>
      <x:c r="CY61" s="291"/>
      <x:c r="CZ61" s="291"/>
      <x:c r="DA61" s="291"/>
      <x:c r="DB61" s="291"/>
      <x:c r="DC61" s="291"/>
      <x:c r="DD61" s="291"/>
      <x:c r="DE61" s="291"/>
      <x:c r="DF61" s="291"/>
      <x:c r="DG61" s="291"/>
      <x:c r="DH61" s="291"/>
      <x:c r="DI61" s="291"/>
      <x:c r="DJ61" s="291"/>
      <x:c r="DK61" s="291"/>
      <x:c r="DL61" s="291"/>
      <x:c r="DM61" s="291"/>
      <x:c r="DN61" s="291"/>
      <x:c r="DO61" s="291"/>
      <x:c r="DP61" s="291"/>
      <x:c r="DQ61" s="291"/>
      <x:c r="DR61" s="291"/>
      <x:c r="DS61" s="291"/>
      <x:c r="DT61" s="291"/>
      <x:c r="DU61" s="291"/>
      <x:c r="DV61" s="291"/>
      <x:c r="DW61" s="291"/>
      <x:c r="DX61" s="291"/>
      <x:c r="DY61" s="291"/>
      <x:c r="DZ61" s="291"/>
      <x:c r="EA61" s="291"/>
      <x:c r="EB61" s="291"/>
      <x:c r="EC61" s="291"/>
      <x:c r="ED61" s="291"/>
      <x:c r="EE61" s="291"/>
      <x:c r="EF61" s="291"/>
      <x:c r="EG61" s="291"/>
      <x:c r="EH61" s="291"/>
      <x:c r="EI61" s="291"/>
      <x:c r="EJ61" s="291"/>
      <x:c r="EK61" s="291"/>
      <x:c r="EL61" s="291"/>
      <x:c r="EM61" s="291"/>
      <x:c r="EN61" s="291"/>
      <x:c r="EO61" s="291"/>
      <x:c r="EP61" s="291"/>
      <x:c r="EQ61" s="291"/>
      <x:c r="ER61" s="291"/>
      <x:c r="ES61" s="291"/>
      <x:c r="ET61" s="291"/>
      <x:c r="EU61" s="291"/>
      <x:c r="EV61" s="291"/>
      <x:c r="EW61" s="291"/>
      <x:c r="EX61" s="291"/>
      <x:c r="EY61" s="291"/>
      <x:c r="EZ61" s="291"/>
      <x:c r="FA61" s="291"/>
      <x:c r="FB61" s="291"/>
      <x:c r="FC61" s="291"/>
      <x:c r="FD61" s="291"/>
      <x:c r="FE61" s="291"/>
      <x:c r="FF61" s="291"/>
      <x:c r="FG61" s="291"/>
      <x:c r="FH61" s="291"/>
      <x:c r="FI61" s="291"/>
      <x:c r="FJ61" s="291"/>
      <x:c r="FK61" s="291"/>
      <x:c r="FL61" s="291"/>
      <x:c r="FM61" s="291"/>
      <x:c r="FN61" s="291"/>
      <x:c r="FO61" s="291"/>
      <x:c r="FP61" s="291"/>
      <x:c r="FQ61" s="291"/>
      <x:c r="FR61" s="291"/>
      <x:c r="FS61" s="291"/>
      <x:c r="FT61" s="291"/>
      <x:c r="FU61" s="291"/>
      <x:c r="FV61" s="291"/>
      <x:c r="FW61" s="291"/>
      <x:c r="FX61" s="291"/>
      <x:c r="FY61" s="291"/>
      <x:c r="FZ61" s="291"/>
      <x:c r="GA61" s="291"/>
      <x:c r="GB61" s="291"/>
      <x:c r="GC61" s="291"/>
      <x:c r="GD61" s="291"/>
      <x:c r="GE61" s="291"/>
      <x:c r="GF61" s="291"/>
      <x:c r="GG61" s="291"/>
      <x:c r="GH61" s="291"/>
      <x:c r="GI61" s="291"/>
      <x:c r="GJ61" s="291"/>
      <x:c r="GK61" s="291"/>
      <x:c r="GL61" s="291"/>
      <x:c r="GM61" s="291"/>
      <x:c r="GN61" s="291"/>
      <x:c r="GO61" s="291"/>
      <x:c r="GP61" s="291"/>
      <x:c r="GQ61" s="291"/>
      <x:c r="GR61" s="291"/>
      <x:c r="GS61" s="291"/>
      <x:c r="GT61" s="291"/>
      <x:c r="GU61" s="291"/>
      <x:c r="GV61" s="291"/>
      <x:c r="GW61" s="291"/>
      <x:c r="GX61" s="291"/>
      <x:c r="GY61" s="291"/>
      <x:c r="GZ61" s="291"/>
      <x:c r="HA61" s="291"/>
      <x:c r="HB61" s="291"/>
      <x:c r="HC61" s="291"/>
      <x:c r="HD61" s="291"/>
      <x:c r="HE61" s="291"/>
      <x:c r="HF61" s="291"/>
      <x:c r="HG61" s="291"/>
      <x:c r="HH61" s="291"/>
      <x:c r="HI61" s="291"/>
      <x:c r="HJ61" s="291"/>
      <x:c r="HK61" s="291"/>
      <x:c r="HL61" s="291"/>
      <x:c r="HM61" s="291"/>
      <x:c r="HN61" s="291"/>
      <x:c r="HO61" s="291"/>
      <x:c r="HP61" s="291"/>
      <x:c r="HQ61" s="291"/>
      <x:c r="HR61" s="291"/>
      <x:c r="HS61" s="291"/>
      <x:c r="HT61" s="291"/>
      <x:c r="HU61" s="291"/>
      <x:c r="HV61" s="291"/>
      <x:c r="HW61" s="291"/>
      <x:c r="HX61" s="291"/>
      <x:c r="HY61" s="291"/>
      <x:c r="HZ61" s="291"/>
      <x:c r="IA61" s="291"/>
      <x:c r="IB61" s="291"/>
      <x:c r="IC61" s="291"/>
      <x:c r="ID61" s="291"/>
      <x:c r="IE61" s="291"/>
      <x:c r="IF61" s="291"/>
      <x:c r="IG61" s="291"/>
      <x:c r="IH61" s="291"/>
      <x:c r="II61" s="291"/>
      <x:c r="IJ61" s="291"/>
      <x:c r="IK61" s="291"/>
      <x:c r="IL61" s="291"/>
      <x:c r="IM61" s="291"/>
      <x:c r="IN61" s="291"/>
      <x:c r="IO61" s="291"/>
      <x:c r="IP61" s="291"/>
      <x:c r="IQ61" s="291"/>
      <x:c r="IR61" s="291"/>
      <x:c r="IS61" s="291"/>
      <x:c r="IT61" s="291"/>
      <x:c r="IU61" s="291"/>
      <x:c r="IV61" s="291"/>
      <x:c r="IW61" s="291"/>
      <x:c r="IX61" s="291"/>
      <x:c r="IY61" s="291"/>
      <x:c r="IZ61" s="291"/>
      <x:c r="JA61" s="291"/>
      <x:c r="JB61" s="291"/>
      <x:c r="JC61" s="291"/>
      <x:c r="JD61" s="291"/>
      <x:c r="JE61" s="291"/>
      <x:c r="JF61" s="291"/>
      <x:c r="JG61" s="291"/>
      <x:c r="JH61" s="291"/>
      <x:c r="JI61" s="291"/>
      <x:c r="JJ61" s="291"/>
      <x:c r="JK61" s="291"/>
      <x:c r="JL61" s="291"/>
      <x:c r="JM61" s="291"/>
      <x:c r="JN61" s="291"/>
      <x:c r="JO61" s="291"/>
      <x:c r="JP61" s="291"/>
      <x:c r="JQ61" s="291"/>
      <x:c r="JR61" s="291"/>
      <x:c r="JS61" s="291"/>
      <x:c r="JT61" s="291"/>
      <x:c r="JU61" s="291"/>
      <x:c r="JV61" s="291"/>
      <x:c r="JW61" s="291"/>
      <x:c r="JX61" s="291"/>
      <x:c r="JY61" s="291"/>
      <x:c r="JZ61" s="291"/>
      <x:c r="KA61" s="291"/>
      <x:c r="KB61" s="291"/>
      <x:c r="KC61" s="291"/>
      <x:c r="KD61" s="291"/>
      <x:c r="KE61" s="291"/>
      <x:c r="KF61" s="291"/>
      <x:c r="KG61" s="291"/>
      <x:c r="KH61" s="291"/>
      <x:c r="KI61" s="291"/>
      <x:c r="KJ61" s="291"/>
      <x:c r="KK61" s="291"/>
      <x:c r="KL61" s="291"/>
      <x:c r="KM61" s="291"/>
      <x:c r="KN61" s="291"/>
      <x:c r="KO61" s="291"/>
      <x:c r="KP61" s="291"/>
      <x:c r="KQ61" s="291"/>
      <x:c r="KR61" s="291"/>
      <x:c r="KS61" s="291"/>
      <x:c r="KT61" s="291"/>
      <x:c r="KU61" s="291"/>
      <x:c r="KV61" s="291"/>
      <x:c r="KW61" s="291"/>
      <x:c r="KX61" s="291"/>
      <x:c r="KY61" s="291"/>
      <x:c r="KZ61" s="291"/>
      <x:c r="LA61" s="291"/>
      <x:c r="LB61" s="291"/>
      <x:c r="LC61" s="291"/>
      <x:c r="LD61" s="291"/>
      <x:c r="LE61" s="291"/>
      <x:c r="LF61" s="291"/>
      <x:c r="LG61" s="291"/>
      <x:c r="LH61" s="291"/>
      <x:c r="LI61" s="291"/>
      <x:c r="LJ61" s="291"/>
      <x:c r="LK61" s="291"/>
      <x:c r="LL61" s="291"/>
      <x:c r="LM61" s="291"/>
      <x:c r="LN61" s="291"/>
      <x:c r="LO61" s="291"/>
      <x:c r="LP61" s="291"/>
      <x:c r="LQ61" s="291"/>
      <x:c r="LR61" s="291"/>
      <x:c r="LS61" s="291"/>
      <x:c r="LT61" s="291"/>
      <x:c r="LU61" s="291"/>
      <x:c r="LV61" s="291"/>
      <x:c r="LW61" s="291"/>
      <x:c r="LX61" s="291"/>
      <x:c r="LY61" s="291"/>
      <x:c r="LZ61" s="291"/>
      <x:c r="MA61" s="291"/>
      <x:c r="MB61" s="291"/>
      <x:c r="MC61" s="291"/>
      <x:c r="MD61" s="291"/>
      <x:c r="ME61" s="291"/>
      <x:c r="MF61" s="291"/>
      <x:c r="MG61" s="291"/>
      <x:c r="MH61" s="291"/>
      <x:c r="MI61" s="291"/>
      <x:c r="MJ61" s="291"/>
      <x:c r="MK61" s="291"/>
      <x:c r="ML61" s="291"/>
      <x:c r="MM61" s="291"/>
      <x:c r="MN61" s="291"/>
      <x:c r="MO61" s="291"/>
      <x:c r="MP61" s="291"/>
      <x:c r="MQ61" s="291"/>
      <x:c r="MR61" s="291"/>
      <x:c r="MS61" s="291"/>
      <x:c r="MT61" s="291"/>
      <x:c r="MU61" s="291"/>
      <x:c r="MV61" s="291"/>
      <x:c r="MW61" s="291"/>
      <x:c r="MX61" s="291"/>
      <x:c r="MY61" s="291"/>
      <x:c r="MZ61" s="291"/>
      <x:c r="NA61" s="291"/>
      <x:c r="NB61" s="291"/>
      <x:c r="NC61" s="291"/>
      <x:c r="ND61" s="291"/>
      <x:c r="NE61" s="291"/>
      <x:c r="NF61" s="291"/>
      <x:c r="NG61" s="291"/>
      <x:c r="NH61" s="291"/>
      <x:c r="NI61" s="291"/>
      <x:c r="NJ61" s="291"/>
      <x:c r="NK61" s="291"/>
      <x:c r="NL61" s="291"/>
      <x:c r="NM61" s="291"/>
      <x:c r="NN61" s="291"/>
      <x:c r="NO61" s="291"/>
      <x:c r="NP61" s="291"/>
      <x:c r="NQ61" s="291"/>
      <x:c r="NR61" s="291"/>
      <x:c r="NS61" s="291"/>
      <x:c r="NT61" s="291"/>
      <x:c r="NU61" s="291"/>
      <x:c r="NV61" s="291"/>
      <x:c r="NW61" s="291"/>
      <x:c r="NX61" s="291"/>
      <x:c r="NY61" s="291"/>
      <x:c r="NZ61" s="291"/>
      <x:c r="OA61" s="291"/>
      <x:c r="OB61" s="291"/>
      <x:c r="OC61" s="291"/>
      <x:c r="OD61" s="291"/>
      <x:c r="OE61" s="291"/>
      <x:c r="OF61" s="291"/>
      <x:c r="OG61" s="291"/>
      <x:c r="OH61" s="291"/>
      <x:c r="OI61" s="291"/>
      <x:c r="OJ61" s="291"/>
      <x:c r="OK61" s="291"/>
      <x:c r="OL61" s="291"/>
      <x:c r="OM61" s="291"/>
      <x:c r="ON61" s="291"/>
      <x:c r="OO61" s="291"/>
      <x:c r="OP61" s="291"/>
      <x:c r="OQ61" s="291"/>
      <x:c r="OR61" s="291"/>
      <x:c r="OS61" s="291"/>
      <x:c r="OT61" s="291"/>
      <x:c r="OU61" s="291"/>
      <x:c r="OV61" s="291"/>
      <x:c r="OW61" s="291"/>
      <x:c r="OX61" s="291"/>
      <x:c r="OY61" s="291"/>
      <x:c r="OZ61" s="291"/>
      <x:c r="PA61" s="291"/>
      <x:c r="PB61" s="291"/>
      <x:c r="PC61" s="291"/>
      <x:c r="PD61" s="291"/>
      <x:c r="PE61" s="291"/>
      <x:c r="PF61" s="291"/>
      <x:c r="PG61" s="291"/>
      <x:c r="PH61" s="291"/>
      <x:c r="PI61" s="291"/>
      <x:c r="PJ61" s="291"/>
      <x:c r="PK61" s="291"/>
      <x:c r="PL61" s="291"/>
      <x:c r="PM61" s="291"/>
      <x:c r="PN61" s="291"/>
      <x:c r="PO61" s="291"/>
      <x:c r="PP61" s="291"/>
      <x:c r="PQ61" s="291"/>
      <x:c r="PR61" s="291"/>
      <x:c r="PS61" s="291"/>
      <x:c r="PT61" s="291"/>
      <x:c r="PU61" s="291"/>
      <x:c r="PV61" s="291"/>
      <x:c r="PW61" s="291"/>
      <x:c r="PX61" s="291"/>
      <x:c r="PY61" s="291"/>
      <x:c r="PZ61" s="291"/>
      <x:c r="QA61" s="291"/>
      <x:c r="QB61" s="291"/>
      <x:c r="QC61" s="291"/>
      <x:c r="QD61" s="291"/>
      <x:c r="QE61" s="291"/>
      <x:c r="QF61" s="291"/>
      <x:c r="QG61" s="291"/>
      <x:c r="QH61" s="291"/>
      <x:c r="QI61" s="291"/>
      <x:c r="QJ61" s="291"/>
      <x:c r="QK61" s="291"/>
      <x:c r="QL61" s="291"/>
      <x:c r="QM61" s="291"/>
      <x:c r="QN61" s="291"/>
      <x:c r="QO61" s="291"/>
      <x:c r="QP61" s="291"/>
      <x:c r="QQ61" s="291"/>
      <x:c r="QR61" s="291"/>
      <x:c r="QS61" s="291"/>
      <x:c r="QT61" s="291"/>
      <x:c r="QU61" s="291"/>
      <x:c r="QV61" s="291"/>
      <x:c r="QW61" s="291"/>
      <x:c r="QX61" s="291"/>
      <x:c r="QY61" s="291"/>
      <x:c r="QZ61" s="291"/>
      <x:c r="RA61" s="291"/>
      <x:c r="RB61" s="291"/>
      <x:c r="RC61" s="291"/>
      <x:c r="RD61" s="291"/>
      <x:c r="RE61" s="291"/>
      <x:c r="RF61" s="291"/>
      <x:c r="RG61" s="291"/>
      <x:c r="RH61" s="291"/>
      <x:c r="RI61" s="291"/>
      <x:c r="RJ61" s="291"/>
      <x:c r="RK61" s="291"/>
      <x:c r="RL61" s="291"/>
      <x:c r="RM61" s="291"/>
      <x:c r="RN61" s="291"/>
      <x:c r="RO61" s="291"/>
      <x:c r="RP61" s="291"/>
      <x:c r="RQ61" s="291"/>
      <x:c r="RR61" s="291"/>
      <x:c r="RS61" s="291"/>
      <x:c r="RT61" s="291"/>
      <x:c r="RU61" s="291"/>
      <x:c r="RV61" s="291"/>
      <x:c r="RW61" s="291"/>
      <x:c r="RX61" s="291"/>
      <x:c r="RY61" s="291"/>
      <x:c r="RZ61" s="291"/>
      <x:c r="SA61" s="291"/>
      <x:c r="SB61" s="291"/>
      <x:c r="SC61" s="291"/>
      <x:c r="SD61" s="291"/>
      <x:c r="SE61" s="291"/>
      <x:c r="SF61" s="291"/>
      <x:c r="SG61" s="291"/>
      <x:c r="SH61" s="291"/>
      <x:c r="SI61" s="291"/>
      <x:c r="SJ61" s="291"/>
      <x:c r="SK61" s="291"/>
      <x:c r="SL61" s="291"/>
      <x:c r="SM61" s="291"/>
      <x:c r="SN61" s="291"/>
      <x:c r="SO61" s="291"/>
      <x:c r="SP61" s="291"/>
      <x:c r="SQ61" s="291"/>
      <x:c r="SR61" s="291"/>
      <x:c r="SS61" s="291"/>
      <x:c r="ST61" s="291"/>
      <x:c r="SU61" s="291"/>
      <x:c r="SV61" s="291"/>
      <x:c r="SW61" s="291"/>
      <x:c r="SX61" s="291"/>
      <x:c r="SY61" s="291"/>
      <x:c r="SZ61" s="291"/>
      <x:c r="TA61" s="291"/>
      <x:c r="TB61" s="291"/>
      <x:c r="TC61" s="291"/>
      <x:c r="TD61" s="291"/>
      <x:c r="TE61" s="291"/>
      <x:c r="TF61" s="291"/>
      <x:c r="TG61" s="291"/>
      <x:c r="TH61" s="291"/>
      <x:c r="TI61" s="291"/>
      <x:c r="TJ61" s="291"/>
      <x:c r="TK61" s="291"/>
      <x:c r="TL61" s="291"/>
      <x:c r="TM61" s="291"/>
      <x:c r="TN61" s="291"/>
      <x:c r="TO61" s="291"/>
      <x:c r="TP61" s="291"/>
      <x:c r="TQ61" s="291"/>
      <x:c r="TR61" s="291"/>
      <x:c r="TS61" s="291"/>
      <x:c r="TT61" s="291"/>
      <x:c r="TU61" s="291"/>
      <x:c r="TV61" s="291"/>
      <x:c r="TW61" s="291"/>
      <x:c r="TX61" s="291"/>
      <x:c r="TY61" s="291"/>
      <x:c r="TZ61" s="291"/>
      <x:c r="UA61" s="291"/>
      <x:c r="UB61" s="291"/>
      <x:c r="UC61" s="291"/>
      <x:c r="UD61" s="291"/>
      <x:c r="UE61" s="291"/>
      <x:c r="UF61" s="291"/>
      <x:c r="UG61" s="291"/>
      <x:c r="UH61" s="291"/>
      <x:c r="UI61" s="291"/>
      <x:c r="UJ61" s="291"/>
      <x:c r="UK61" s="291"/>
      <x:c r="UL61" s="291"/>
      <x:c r="UM61" s="291"/>
      <x:c r="UN61" s="291"/>
      <x:c r="UO61" s="291"/>
      <x:c r="UP61" s="291"/>
      <x:c r="UQ61" s="291"/>
      <x:c r="UR61" s="291"/>
      <x:c r="US61" s="291"/>
      <x:c r="UT61" s="291"/>
      <x:c r="UU61" s="291"/>
      <x:c r="UV61" s="291"/>
      <x:c r="UW61" s="291"/>
      <x:c r="UX61" s="291"/>
      <x:c r="UY61" s="291"/>
      <x:c r="UZ61" s="291"/>
      <x:c r="VA61" s="291"/>
      <x:c r="VB61" s="291"/>
      <x:c r="VC61" s="291"/>
      <x:c r="VD61" s="291"/>
      <x:c r="VE61" s="291"/>
      <x:c r="VF61" s="291"/>
      <x:c r="VG61" s="291"/>
      <x:c r="VH61" s="291"/>
      <x:c r="VI61" s="291"/>
      <x:c r="VJ61" s="291"/>
      <x:c r="VK61" s="291"/>
      <x:c r="VL61" s="291"/>
      <x:c r="VM61" s="291"/>
      <x:c r="VN61" s="291"/>
      <x:c r="VO61" s="291"/>
      <x:c r="VP61" s="291"/>
      <x:c r="VQ61" s="291"/>
      <x:c r="VR61" s="291"/>
      <x:c r="VS61" s="291"/>
      <x:c r="VT61" s="291"/>
      <x:c r="VU61" s="291"/>
      <x:c r="VV61" s="291"/>
      <x:c r="VW61" s="291"/>
      <x:c r="VX61" s="291"/>
      <x:c r="VY61" s="291"/>
      <x:c r="VZ61" s="291"/>
      <x:c r="WA61" s="291"/>
      <x:c r="WB61" s="291"/>
      <x:c r="WC61" s="291"/>
      <x:c r="WD61" s="291"/>
      <x:c r="WE61" s="291"/>
      <x:c r="WF61" s="291"/>
      <x:c r="WG61" s="291"/>
      <x:c r="WH61" s="291"/>
      <x:c r="WI61" s="291"/>
      <x:c r="WJ61" s="291"/>
      <x:c r="WK61" s="291"/>
      <x:c r="WL61" s="291"/>
      <x:c r="WM61" s="291"/>
      <x:c r="WN61" s="291"/>
      <x:c r="WO61" s="291"/>
      <x:c r="WP61" s="291"/>
      <x:c r="WQ61" s="291"/>
      <x:c r="WR61" s="291"/>
      <x:c r="WS61" s="291"/>
      <x:c r="WT61" s="291"/>
      <x:c r="WU61" s="291"/>
      <x:c r="WV61" s="291"/>
      <x:c r="WW61" s="291"/>
      <x:c r="WX61" s="291"/>
      <x:c r="WY61" s="291"/>
      <x:c r="WZ61" s="291"/>
      <x:c r="XA61" s="291"/>
      <x:c r="XB61" s="291"/>
      <x:c r="XC61" s="291"/>
      <x:c r="XD61" s="291"/>
      <x:c r="XE61" s="291"/>
      <x:c r="XF61" s="291"/>
      <x:c r="XG61" s="291"/>
      <x:c r="XH61" s="291"/>
      <x:c r="XI61" s="291"/>
      <x:c r="XJ61" s="291"/>
      <x:c r="XK61" s="291"/>
      <x:c r="XL61" s="291"/>
      <x:c r="XM61" s="291"/>
      <x:c r="XN61" s="291"/>
      <x:c r="XO61" s="291"/>
      <x:c r="XP61" s="291"/>
      <x:c r="XQ61" s="291"/>
      <x:c r="XR61" s="291"/>
      <x:c r="XS61" s="291"/>
      <x:c r="XT61" s="291"/>
      <x:c r="XU61" s="291"/>
      <x:c r="XV61" s="291"/>
      <x:c r="XW61" s="291"/>
      <x:c r="XX61" s="291"/>
      <x:c r="XY61" s="291"/>
      <x:c r="XZ61" s="291"/>
      <x:c r="YA61" s="291"/>
      <x:c r="YB61" s="291"/>
      <x:c r="YC61" s="291"/>
      <x:c r="YD61" s="291"/>
      <x:c r="YE61" s="291"/>
      <x:c r="YF61" s="291"/>
      <x:c r="YG61" s="291"/>
      <x:c r="YH61" s="291"/>
      <x:c r="YI61" s="291"/>
      <x:c r="YJ61" s="291"/>
      <x:c r="YK61" s="291"/>
      <x:c r="YL61" s="291"/>
      <x:c r="YM61" s="291"/>
      <x:c r="YN61" s="291"/>
      <x:c r="YO61" s="291"/>
      <x:c r="YP61" s="291"/>
      <x:c r="YQ61" s="291"/>
      <x:c r="YR61" s="291"/>
      <x:c r="YS61" s="291"/>
      <x:c r="YT61" s="291"/>
      <x:c r="YU61" s="291"/>
      <x:c r="YV61" s="291"/>
      <x:c r="YW61" s="291"/>
      <x:c r="YX61" s="291"/>
      <x:c r="YY61" s="291"/>
      <x:c r="YZ61" s="291"/>
      <x:c r="ZA61" s="291"/>
      <x:c r="ZB61" s="291"/>
      <x:c r="ZC61" s="291"/>
      <x:c r="ZD61" s="291"/>
      <x:c r="ZE61" s="291"/>
      <x:c r="ZF61" s="291"/>
      <x:c r="ZG61" s="291"/>
      <x:c r="ZH61" s="291"/>
      <x:c r="ZI61" s="291"/>
      <x:c r="ZJ61" s="291"/>
      <x:c r="ZK61" s="291"/>
      <x:c r="ZL61" s="291"/>
      <x:c r="ZM61" s="291"/>
      <x:c r="ZN61" s="291"/>
      <x:c r="ZO61" s="291"/>
      <x:c r="ZP61" s="291"/>
      <x:c r="ZQ61" s="291"/>
      <x:c r="ZR61" s="291"/>
      <x:c r="ZS61" s="291"/>
      <x:c r="ZT61" s="291"/>
      <x:c r="ZU61" s="291"/>
      <x:c r="ZV61" s="291"/>
      <x:c r="ZW61" s="291"/>
      <x:c r="ZX61" s="291"/>
      <x:c r="ZY61" s="291"/>
      <x:c r="ZZ61" s="291"/>
      <x:c r="AAA61" s="291"/>
      <x:c r="AAB61" s="291"/>
      <x:c r="AAC61" s="291"/>
      <x:c r="AAD61" s="291"/>
      <x:c r="AAE61" s="291"/>
      <x:c r="AAF61" s="291"/>
      <x:c r="AAG61" s="291"/>
      <x:c r="AAH61" s="291"/>
      <x:c r="AAI61" s="291"/>
      <x:c r="AAJ61" s="291"/>
      <x:c r="AAK61" s="291"/>
      <x:c r="AAL61" s="291"/>
      <x:c r="AAM61" s="291"/>
      <x:c r="AAN61" s="291"/>
      <x:c r="AAO61" s="291"/>
      <x:c r="AAP61" s="291"/>
      <x:c r="AAQ61" s="291"/>
      <x:c r="AAR61" s="291"/>
      <x:c r="AAS61" s="291"/>
      <x:c r="AAT61" s="291"/>
      <x:c r="AAU61" s="291"/>
      <x:c r="AAV61" s="291"/>
      <x:c r="AAW61" s="291"/>
      <x:c r="AAX61" s="291"/>
      <x:c r="AAY61" s="291"/>
      <x:c r="AAZ61" s="291"/>
      <x:c r="ABA61" s="291"/>
      <x:c r="ABB61" s="291"/>
      <x:c r="ABC61" s="291"/>
      <x:c r="ABD61" s="291"/>
      <x:c r="ABE61" s="291"/>
      <x:c r="ABF61" s="291"/>
      <x:c r="ABG61" s="291"/>
      <x:c r="ABH61" s="291"/>
      <x:c r="ABI61" s="291"/>
      <x:c r="ABJ61" s="291"/>
      <x:c r="ABK61" s="291"/>
      <x:c r="ABL61" s="291"/>
      <x:c r="ABM61" s="291"/>
      <x:c r="ABN61" s="291"/>
      <x:c r="ABO61" s="291"/>
      <x:c r="ABP61" s="291"/>
      <x:c r="ABQ61" s="291"/>
      <x:c r="ABR61" s="291"/>
      <x:c r="ABS61" s="291"/>
      <x:c r="ABT61" s="291"/>
      <x:c r="ABU61" s="291"/>
      <x:c r="ABV61" s="291"/>
      <x:c r="ABW61" s="291"/>
      <x:c r="ABX61" s="291"/>
      <x:c r="ABY61" s="291"/>
      <x:c r="ABZ61" s="291"/>
      <x:c r="ACA61" s="291"/>
      <x:c r="ACB61" s="291"/>
      <x:c r="ACC61" s="291"/>
      <x:c r="ACD61" s="291"/>
      <x:c r="ACE61" s="291"/>
      <x:c r="ACF61" s="291"/>
      <x:c r="ACG61" s="291"/>
      <x:c r="ACH61" s="291"/>
      <x:c r="ACI61" s="291"/>
      <x:c r="ACJ61" s="291"/>
      <x:c r="ACK61" s="291"/>
      <x:c r="ACL61" s="291"/>
      <x:c r="ACM61" s="291"/>
      <x:c r="ACN61" s="291"/>
      <x:c r="ACO61" s="291"/>
      <x:c r="ACP61" s="291"/>
      <x:c r="ACQ61" s="291"/>
      <x:c r="ACR61" s="291"/>
      <x:c r="ACS61" s="291"/>
      <x:c r="ACT61" s="291"/>
      <x:c r="ACU61" s="291"/>
      <x:c r="ACV61" s="291"/>
      <x:c r="ACW61" s="291"/>
      <x:c r="ACX61" s="291"/>
      <x:c r="ACY61" s="291"/>
      <x:c r="ACZ61" s="291"/>
      <x:c r="ADA61" s="291"/>
      <x:c r="ADB61" s="291"/>
      <x:c r="ADC61" s="291"/>
      <x:c r="ADD61" s="291"/>
      <x:c r="ADE61" s="291"/>
      <x:c r="ADF61" s="291"/>
      <x:c r="ADG61" s="291"/>
      <x:c r="ADH61" s="291"/>
      <x:c r="ADI61" s="291"/>
      <x:c r="ADJ61" s="291"/>
      <x:c r="ADK61" s="291"/>
      <x:c r="ADL61" s="291"/>
      <x:c r="ADM61" s="291"/>
      <x:c r="ADN61" s="291"/>
      <x:c r="ADO61" s="291"/>
      <x:c r="ADP61" s="291"/>
      <x:c r="ADQ61" s="291"/>
      <x:c r="ADR61" s="291"/>
      <x:c r="ADS61" s="291"/>
      <x:c r="ADT61" s="291"/>
      <x:c r="ADU61" s="291"/>
      <x:c r="ADV61" s="291"/>
      <x:c r="ADW61" s="291"/>
      <x:c r="ADX61" s="291"/>
      <x:c r="ADY61" s="291"/>
      <x:c r="ADZ61" s="291"/>
      <x:c r="AEA61" s="291"/>
      <x:c r="AEB61" s="291"/>
      <x:c r="AEC61" s="291"/>
      <x:c r="AED61" s="291"/>
      <x:c r="AEE61" s="291"/>
      <x:c r="AEF61" s="291"/>
      <x:c r="AEG61" s="291"/>
      <x:c r="AEH61" s="291"/>
      <x:c r="AEI61" s="291"/>
      <x:c r="AEJ61" s="291"/>
      <x:c r="AEK61" s="291"/>
      <x:c r="AEL61" s="291"/>
      <x:c r="AEM61" s="291"/>
      <x:c r="AEN61" s="291"/>
      <x:c r="AEO61" s="291"/>
      <x:c r="AEP61" s="291"/>
      <x:c r="AEQ61" s="291"/>
      <x:c r="AER61" s="291"/>
      <x:c r="AES61" s="291"/>
      <x:c r="AET61" s="291"/>
      <x:c r="AEU61" s="291"/>
      <x:c r="AEV61" s="291"/>
      <x:c r="AEW61" s="291"/>
      <x:c r="AEX61" s="291"/>
      <x:c r="AEY61" s="291"/>
      <x:c r="AEZ61" s="291"/>
      <x:c r="AFA61" s="291"/>
      <x:c r="AFB61" s="291"/>
      <x:c r="AFC61" s="291"/>
      <x:c r="AFD61" s="291"/>
      <x:c r="AFE61" s="291"/>
      <x:c r="AFF61" s="291"/>
      <x:c r="AFG61" s="291"/>
      <x:c r="AFH61" s="291"/>
      <x:c r="AFI61" s="291"/>
      <x:c r="AFJ61" s="291"/>
      <x:c r="AFK61" s="291"/>
      <x:c r="AFL61" s="291"/>
      <x:c r="AFM61" s="291"/>
      <x:c r="AFN61" s="291"/>
      <x:c r="AFO61" s="291"/>
      <x:c r="AFP61" s="291"/>
      <x:c r="AFQ61" s="291"/>
      <x:c r="AFR61" s="291"/>
      <x:c r="AFS61" s="291"/>
      <x:c r="AFT61" s="291"/>
      <x:c r="AFU61" s="291"/>
      <x:c r="AFV61" s="291"/>
      <x:c r="AFW61" s="291"/>
      <x:c r="AFX61" s="291"/>
      <x:c r="AFY61" s="291"/>
      <x:c r="AFZ61" s="291"/>
      <x:c r="AGA61" s="291"/>
      <x:c r="AGB61" s="291"/>
      <x:c r="AGC61" s="291"/>
      <x:c r="AGD61" s="291"/>
      <x:c r="AGE61" s="291"/>
      <x:c r="AGF61" s="291"/>
      <x:c r="AGG61" s="291"/>
      <x:c r="AGH61" s="291"/>
      <x:c r="AGI61" s="291"/>
      <x:c r="AGJ61" s="291"/>
      <x:c r="AGK61" s="291"/>
      <x:c r="AGL61" s="291"/>
      <x:c r="AGM61" s="291"/>
      <x:c r="AGN61" s="291"/>
      <x:c r="AGO61" s="291"/>
      <x:c r="AGP61" s="291"/>
      <x:c r="AGQ61" s="291"/>
      <x:c r="AGR61" s="291"/>
      <x:c r="AGS61" s="291"/>
      <x:c r="AGT61" s="291"/>
      <x:c r="AGU61" s="291"/>
      <x:c r="AGV61" s="291"/>
      <x:c r="AGW61" s="291"/>
      <x:c r="AGX61" s="291"/>
      <x:c r="AGY61" s="291"/>
      <x:c r="AGZ61" s="291"/>
      <x:c r="AHA61" s="291"/>
      <x:c r="AHB61" s="291"/>
      <x:c r="AHC61" s="291"/>
      <x:c r="AHD61" s="291"/>
      <x:c r="AHE61" s="291"/>
      <x:c r="AHF61" s="291"/>
      <x:c r="AHG61" s="291"/>
      <x:c r="AHH61" s="291"/>
      <x:c r="AHI61" s="291"/>
      <x:c r="AHJ61" s="291"/>
      <x:c r="AHK61" s="291"/>
      <x:c r="AHL61" s="291"/>
      <x:c r="AHM61" s="291"/>
      <x:c r="AHN61" s="291"/>
      <x:c r="AHO61" s="291"/>
      <x:c r="AHP61" s="291"/>
      <x:c r="AHQ61" s="291"/>
      <x:c r="AHR61" s="291"/>
      <x:c r="AHS61" s="291"/>
      <x:c r="AHT61" s="291"/>
      <x:c r="AHU61" s="291"/>
      <x:c r="AHV61" s="291"/>
      <x:c r="AHW61" s="291"/>
      <x:c r="AHX61" s="291"/>
      <x:c r="AHY61" s="291"/>
      <x:c r="AHZ61" s="291"/>
      <x:c r="AIA61" s="291"/>
      <x:c r="AIB61" s="291"/>
      <x:c r="AIC61" s="291"/>
      <x:c r="AID61" s="291"/>
      <x:c r="AIE61" s="291"/>
      <x:c r="AIF61" s="291"/>
      <x:c r="AIG61" s="291"/>
      <x:c r="AIH61" s="291"/>
      <x:c r="AII61" s="291"/>
      <x:c r="AIJ61" s="291"/>
      <x:c r="AIK61" s="291"/>
      <x:c r="AIL61" s="291"/>
      <x:c r="AIM61" s="291"/>
      <x:c r="AIN61" s="291"/>
      <x:c r="AIO61" s="291"/>
      <x:c r="AIP61" s="291"/>
      <x:c r="AIQ61" s="291"/>
      <x:c r="AIR61" s="291"/>
      <x:c r="AIS61" s="291"/>
      <x:c r="AIT61" s="291"/>
      <x:c r="AIU61" s="291"/>
      <x:c r="AIV61" s="291"/>
      <x:c r="AIW61" s="291"/>
      <x:c r="AIX61" s="291"/>
      <x:c r="AIY61" s="291"/>
      <x:c r="AIZ61" s="291"/>
      <x:c r="AJA61" s="291"/>
      <x:c r="AJB61" s="291"/>
      <x:c r="AJC61" s="291"/>
      <x:c r="AJD61" s="291"/>
      <x:c r="AJE61" s="291"/>
      <x:c r="AJF61" s="291"/>
      <x:c r="AJG61" s="291"/>
      <x:c r="AJH61" s="291"/>
      <x:c r="AJI61" s="291"/>
      <x:c r="AJJ61" s="291"/>
      <x:c r="AJK61" s="291"/>
      <x:c r="AJL61" s="291"/>
      <x:c r="AJM61" s="291"/>
      <x:c r="AJN61" s="291"/>
      <x:c r="AJO61" s="291"/>
      <x:c r="AJP61" s="291"/>
      <x:c r="AJQ61" s="291"/>
      <x:c r="AJR61" s="291"/>
      <x:c r="AJS61" s="291"/>
      <x:c r="AJT61" s="291"/>
      <x:c r="AJU61" s="291"/>
      <x:c r="AJV61" s="291"/>
      <x:c r="AJW61" s="291"/>
      <x:c r="AJX61" s="291"/>
      <x:c r="AJY61" s="291"/>
      <x:c r="AJZ61" s="291"/>
      <x:c r="AKA61" s="291"/>
      <x:c r="AKB61" s="291"/>
      <x:c r="AKC61" s="291"/>
      <x:c r="AKD61" s="291"/>
      <x:c r="AKE61" s="291"/>
      <x:c r="AKF61" s="291"/>
      <x:c r="AKG61" s="291"/>
      <x:c r="AKH61" s="291"/>
      <x:c r="AKI61" s="291"/>
      <x:c r="AKJ61" s="291"/>
      <x:c r="AKK61" s="291"/>
      <x:c r="AKL61" s="291"/>
      <x:c r="AKM61" s="291"/>
      <x:c r="AKN61" s="291"/>
      <x:c r="AKO61" s="291"/>
      <x:c r="AKP61" s="291"/>
      <x:c r="AKQ61" s="291"/>
      <x:c r="AKR61" s="291"/>
      <x:c r="AKS61" s="291"/>
      <x:c r="AKT61" s="291"/>
      <x:c r="AKU61" s="291"/>
      <x:c r="AKV61" s="291"/>
      <x:c r="AKW61" s="291"/>
      <x:c r="AKX61" s="291"/>
      <x:c r="AKY61" s="291"/>
      <x:c r="AKZ61" s="291"/>
      <x:c r="ALA61" s="291"/>
      <x:c r="ALB61" s="291"/>
      <x:c r="ALC61" s="291"/>
      <x:c r="ALD61" s="291"/>
      <x:c r="ALE61" s="291"/>
      <x:c r="ALF61" s="291"/>
      <x:c r="ALG61" s="291"/>
      <x:c r="ALH61" s="291"/>
      <x:c r="ALI61" s="291"/>
      <x:c r="ALJ61" s="291"/>
      <x:c r="ALK61" s="291"/>
      <x:c r="ALL61" s="291"/>
      <x:c r="ALM61" s="291"/>
      <x:c r="ALN61" s="291"/>
      <x:c r="ALO61" s="291"/>
      <x:c r="ALP61" s="291"/>
      <x:c r="ALQ61" s="291"/>
      <x:c r="ALR61" s="291"/>
      <x:c r="ALS61" s="291"/>
      <x:c r="ALT61" s="291"/>
      <x:c r="ALU61" s="291"/>
      <x:c r="ALV61" s="291"/>
      <x:c r="ALW61" s="291"/>
      <x:c r="ALX61" s="291"/>
      <x:c r="ALY61" s="291"/>
      <x:c r="ALZ61" s="291"/>
      <x:c r="AMA61" s="291"/>
      <x:c r="AMB61" s="291"/>
      <x:c r="AMC61" s="291"/>
      <x:c r="AMD61" s="291"/>
      <x:c r="AME61" s="291"/>
      <x:c r="AMF61" s="291"/>
      <x:c r="AMG61" s="291"/>
      <x:c r="AMH61" s="291"/>
      <x:c r="AMI61" s="291"/>
      <x:c r="AMJ61" s="291"/>
      <x:c r="AMK61" s="291"/>
      <x:c r="AML61" s="291"/>
      <x:c r="AMM61" s="291"/>
      <x:c r="AMN61" s="291"/>
      <x:c r="AMO61" s="291"/>
      <x:c r="AMP61" s="291"/>
      <x:c r="AMQ61" s="291"/>
      <x:c r="AMR61" s="291"/>
      <x:c r="AMS61" s="291"/>
      <x:c r="AMT61" s="291"/>
      <x:c r="AMU61" s="291"/>
      <x:c r="AMV61" s="291"/>
      <x:c r="AMW61" s="291"/>
      <x:c r="AMX61" s="291"/>
      <x:c r="AMY61" s="291"/>
      <x:c r="AMZ61" s="291"/>
      <x:c r="ANA61" s="291"/>
      <x:c r="ANB61" s="291"/>
      <x:c r="ANC61" s="291"/>
      <x:c r="AND61" s="291"/>
      <x:c r="ANE61" s="291"/>
      <x:c r="ANF61" s="291"/>
      <x:c r="ANG61" s="291"/>
      <x:c r="ANH61" s="291"/>
      <x:c r="ANI61" s="291"/>
      <x:c r="ANJ61" s="291"/>
      <x:c r="ANK61" s="291"/>
      <x:c r="ANL61" s="291"/>
      <x:c r="ANM61" s="291"/>
      <x:c r="ANN61" s="291"/>
      <x:c r="ANO61" s="291"/>
      <x:c r="ANP61" s="291"/>
      <x:c r="ANQ61" s="291"/>
      <x:c r="ANR61" s="291"/>
      <x:c r="ANS61" s="291"/>
      <x:c r="ANT61" s="291"/>
      <x:c r="ANU61" s="291"/>
      <x:c r="ANV61" s="291"/>
      <x:c r="ANW61" s="291"/>
      <x:c r="ANX61" s="291"/>
      <x:c r="ANY61" s="291"/>
      <x:c r="ANZ61" s="291"/>
      <x:c r="AOA61" s="291"/>
      <x:c r="AOB61" s="291"/>
      <x:c r="AOC61" s="291"/>
      <x:c r="AOD61" s="291"/>
      <x:c r="AOE61" s="291"/>
      <x:c r="AOF61" s="291"/>
      <x:c r="AOG61" s="291"/>
      <x:c r="AOH61" s="291"/>
      <x:c r="AOI61" s="291"/>
      <x:c r="AOJ61" s="291"/>
      <x:c r="AOK61" s="291"/>
      <x:c r="AOL61" s="291"/>
      <x:c r="AOM61" s="291"/>
      <x:c r="AON61" s="291"/>
      <x:c r="AOO61" s="291"/>
      <x:c r="AOP61" s="291"/>
      <x:c r="AOQ61" s="291"/>
      <x:c r="AOR61" s="291"/>
      <x:c r="AOS61" s="291"/>
      <x:c r="AOT61" s="291"/>
      <x:c r="AOU61" s="291"/>
      <x:c r="AOV61" s="291"/>
      <x:c r="AOW61" s="291"/>
      <x:c r="AOX61" s="291"/>
      <x:c r="AOY61" s="291"/>
      <x:c r="AOZ61" s="291"/>
      <x:c r="APA61" s="291"/>
      <x:c r="APB61" s="291"/>
      <x:c r="APC61" s="291"/>
      <x:c r="APD61" s="291"/>
      <x:c r="APE61" s="291"/>
      <x:c r="APF61" s="291"/>
      <x:c r="APG61" s="291"/>
      <x:c r="APH61" s="291"/>
      <x:c r="API61" s="291"/>
      <x:c r="APJ61" s="291"/>
      <x:c r="APK61" s="291"/>
      <x:c r="APL61" s="291"/>
      <x:c r="APM61" s="291"/>
      <x:c r="APN61" s="291"/>
      <x:c r="APO61" s="291"/>
      <x:c r="APP61" s="291"/>
      <x:c r="APQ61" s="291"/>
      <x:c r="APR61" s="291"/>
      <x:c r="APS61" s="291"/>
      <x:c r="APT61" s="291"/>
      <x:c r="APU61" s="291"/>
      <x:c r="APV61" s="291"/>
      <x:c r="APW61" s="291"/>
      <x:c r="APX61" s="291"/>
      <x:c r="APY61" s="291"/>
      <x:c r="APZ61" s="291"/>
      <x:c r="AQA61" s="291"/>
      <x:c r="AQB61" s="291"/>
      <x:c r="AQC61" s="291"/>
      <x:c r="AQD61" s="291"/>
      <x:c r="AQE61" s="291"/>
      <x:c r="AQF61" s="291"/>
      <x:c r="AQG61" s="291"/>
      <x:c r="AQH61" s="291"/>
      <x:c r="AQI61" s="291"/>
      <x:c r="AQJ61" s="291"/>
      <x:c r="AQK61" s="291"/>
      <x:c r="AQL61" s="291"/>
      <x:c r="AQM61" s="291"/>
      <x:c r="AQN61" s="291"/>
      <x:c r="AQO61" s="291"/>
      <x:c r="AQP61" s="291"/>
      <x:c r="AQQ61" s="291"/>
      <x:c r="AQR61" s="291"/>
      <x:c r="AQS61" s="291"/>
      <x:c r="AQT61" s="291"/>
      <x:c r="AQU61" s="291"/>
      <x:c r="AQV61" s="291"/>
      <x:c r="AQW61" s="291"/>
      <x:c r="AQX61" s="291"/>
      <x:c r="AQY61" s="291"/>
      <x:c r="AQZ61" s="291"/>
      <x:c r="ARA61" s="291"/>
      <x:c r="ARB61" s="291"/>
      <x:c r="ARC61" s="291"/>
      <x:c r="ARD61" s="291"/>
      <x:c r="ARE61" s="291"/>
      <x:c r="ARF61" s="291"/>
      <x:c r="ARG61" s="291"/>
      <x:c r="ARH61" s="291"/>
      <x:c r="ARI61" s="291"/>
      <x:c r="ARJ61" s="291"/>
      <x:c r="ARK61" s="291"/>
      <x:c r="ARL61" s="291"/>
      <x:c r="ARM61" s="291"/>
      <x:c r="ARN61" s="291"/>
      <x:c r="ARO61" s="291"/>
      <x:c r="ARP61" s="291"/>
      <x:c r="ARQ61" s="291"/>
      <x:c r="ARR61" s="291"/>
      <x:c r="ARS61" s="291"/>
      <x:c r="ART61" s="291"/>
      <x:c r="ARU61" s="291"/>
      <x:c r="ARV61" s="291"/>
      <x:c r="ARW61" s="291"/>
      <x:c r="ARX61" s="291"/>
      <x:c r="ARY61" s="291"/>
      <x:c r="ARZ61" s="291"/>
      <x:c r="ASA61" s="291"/>
      <x:c r="ASB61" s="291"/>
      <x:c r="ASC61" s="291"/>
      <x:c r="ASD61" s="291"/>
      <x:c r="ASE61" s="291"/>
      <x:c r="ASF61" s="291"/>
      <x:c r="ASG61" s="291"/>
      <x:c r="ASH61" s="291"/>
      <x:c r="ASI61" s="291"/>
      <x:c r="ASJ61" s="291"/>
      <x:c r="ASK61" s="291"/>
      <x:c r="ASL61" s="291"/>
      <x:c r="ASM61" s="291"/>
      <x:c r="ASN61" s="291"/>
      <x:c r="ASO61" s="291"/>
      <x:c r="ASP61" s="291"/>
      <x:c r="ASQ61" s="291"/>
      <x:c r="ASR61" s="291"/>
      <x:c r="ASS61" s="291"/>
      <x:c r="AST61" s="291"/>
      <x:c r="ASU61" s="291"/>
      <x:c r="ASV61" s="291"/>
      <x:c r="ASW61" s="291"/>
      <x:c r="ASX61" s="291"/>
      <x:c r="ASY61" s="291"/>
      <x:c r="ASZ61" s="291"/>
      <x:c r="ATA61" s="291"/>
      <x:c r="ATB61" s="291"/>
      <x:c r="ATC61" s="291"/>
      <x:c r="ATD61" s="291"/>
      <x:c r="ATE61" s="291"/>
      <x:c r="ATF61" s="291"/>
      <x:c r="ATG61" s="291"/>
      <x:c r="ATH61" s="291"/>
      <x:c r="ATI61" s="291"/>
      <x:c r="ATJ61" s="291"/>
      <x:c r="ATK61" s="291"/>
      <x:c r="ATL61" s="291"/>
      <x:c r="ATM61" s="291"/>
      <x:c r="ATN61" s="291"/>
      <x:c r="ATO61" s="291"/>
      <x:c r="ATP61" s="291"/>
      <x:c r="ATQ61" s="291"/>
      <x:c r="ATR61" s="291"/>
      <x:c r="ATS61" s="291"/>
      <x:c r="ATT61" s="291"/>
      <x:c r="ATU61" s="291"/>
      <x:c r="ATV61" s="291"/>
      <x:c r="ATW61" s="291"/>
      <x:c r="ATX61" s="291"/>
      <x:c r="ATY61" s="291"/>
      <x:c r="ATZ61" s="291"/>
      <x:c r="AUA61" s="291"/>
      <x:c r="AUB61" s="291"/>
      <x:c r="AUC61" s="291"/>
      <x:c r="AUD61" s="291"/>
      <x:c r="AUE61" s="291"/>
      <x:c r="AUF61" s="291"/>
      <x:c r="AUG61" s="291"/>
      <x:c r="AUH61" s="291"/>
      <x:c r="AUI61" s="291"/>
      <x:c r="AUJ61" s="291"/>
      <x:c r="AUK61" s="291"/>
      <x:c r="AUL61" s="291"/>
      <x:c r="AUM61" s="291"/>
      <x:c r="AUN61" s="291"/>
      <x:c r="AUO61" s="291"/>
      <x:c r="AUP61" s="291"/>
      <x:c r="AUQ61" s="291"/>
      <x:c r="AUR61" s="291"/>
      <x:c r="AUS61" s="291"/>
      <x:c r="AUT61" s="291"/>
      <x:c r="AUU61" s="291"/>
      <x:c r="AUV61" s="291"/>
      <x:c r="AUW61" s="291"/>
      <x:c r="AUX61" s="291"/>
      <x:c r="AUY61" s="291"/>
      <x:c r="AUZ61" s="291"/>
      <x:c r="AVA61" s="291"/>
      <x:c r="AVB61" s="291"/>
      <x:c r="AVC61" s="291"/>
      <x:c r="AVD61" s="291"/>
      <x:c r="AVE61" s="291"/>
      <x:c r="AVF61" s="291"/>
      <x:c r="AVG61" s="291"/>
      <x:c r="AVH61" s="291"/>
      <x:c r="AVI61" s="291"/>
      <x:c r="AVJ61" s="291"/>
      <x:c r="AVK61" s="291"/>
      <x:c r="AVL61" s="291"/>
      <x:c r="AVM61" s="291"/>
      <x:c r="AVN61" s="291"/>
      <x:c r="AVO61" s="291"/>
      <x:c r="AVP61" s="291"/>
      <x:c r="AVQ61" s="291"/>
      <x:c r="AVR61" s="291"/>
      <x:c r="AVS61" s="291"/>
      <x:c r="AVT61" s="291"/>
      <x:c r="AVU61" s="291"/>
      <x:c r="AVV61" s="291"/>
      <x:c r="AVW61" s="291"/>
      <x:c r="AVX61" s="291"/>
      <x:c r="AVY61" s="291"/>
      <x:c r="AVZ61" s="291"/>
      <x:c r="AWA61" s="291"/>
      <x:c r="AWB61" s="291"/>
      <x:c r="AWC61" s="291"/>
      <x:c r="AWD61" s="291"/>
      <x:c r="AWE61" s="291"/>
      <x:c r="AWF61" s="291"/>
      <x:c r="AWG61" s="291"/>
      <x:c r="AWH61" s="291"/>
      <x:c r="AWI61" s="291"/>
      <x:c r="AWJ61" s="291"/>
      <x:c r="AWK61" s="291"/>
      <x:c r="AWL61" s="291"/>
      <x:c r="AWM61" s="291"/>
      <x:c r="AWN61" s="291"/>
      <x:c r="AWO61" s="291"/>
      <x:c r="AWP61" s="291"/>
      <x:c r="AWQ61" s="291"/>
      <x:c r="AWR61" s="291"/>
      <x:c r="AWS61" s="291"/>
      <x:c r="AWT61" s="291"/>
      <x:c r="AWU61" s="291"/>
      <x:c r="AWV61" s="291"/>
      <x:c r="AWW61" s="291"/>
      <x:c r="AWX61" s="291"/>
      <x:c r="AWY61" s="291"/>
      <x:c r="AWZ61" s="291"/>
      <x:c r="AXA61" s="291"/>
      <x:c r="AXB61" s="291"/>
      <x:c r="AXC61" s="291"/>
      <x:c r="AXD61" s="291"/>
      <x:c r="AXE61" s="291"/>
      <x:c r="AXF61" s="291"/>
      <x:c r="AXG61" s="291"/>
      <x:c r="AXH61" s="291"/>
      <x:c r="AXI61" s="291"/>
      <x:c r="AXJ61" s="291"/>
      <x:c r="AXK61" s="291"/>
      <x:c r="AXL61" s="291"/>
      <x:c r="AXM61" s="291"/>
      <x:c r="AXN61" s="291"/>
      <x:c r="AXO61" s="291"/>
      <x:c r="AXP61" s="291"/>
      <x:c r="AXQ61" s="291"/>
      <x:c r="AXR61" s="291"/>
      <x:c r="AXS61" s="291"/>
      <x:c r="AXT61" s="291"/>
      <x:c r="AXU61" s="291"/>
      <x:c r="AXV61" s="291"/>
      <x:c r="AXW61" s="291"/>
      <x:c r="AXX61" s="291"/>
      <x:c r="AXY61" s="291"/>
      <x:c r="AXZ61" s="291"/>
      <x:c r="AYA61" s="291"/>
      <x:c r="AYB61" s="291"/>
      <x:c r="AYC61" s="291"/>
      <x:c r="AYD61" s="291"/>
      <x:c r="AYE61" s="291"/>
      <x:c r="AYF61" s="291"/>
      <x:c r="AYG61" s="291"/>
      <x:c r="AYH61" s="291"/>
      <x:c r="AYI61" s="291"/>
      <x:c r="AYJ61" s="291"/>
      <x:c r="AYK61" s="291"/>
      <x:c r="AYL61" s="291"/>
      <x:c r="AYM61" s="291"/>
      <x:c r="AYN61" s="291"/>
      <x:c r="AYO61" s="291"/>
      <x:c r="AYP61" s="291"/>
      <x:c r="AYQ61" s="291"/>
      <x:c r="AYR61" s="291"/>
      <x:c r="AYS61" s="291"/>
      <x:c r="AYT61" s="291"/>
      <x:c r="AYU61" s="291"/>
      <x:c r="AYV61" s="291"/>
      <x:c r="AYW61" s="291"/>
      <x:c r="AYX61" s="291"/>
      <x:c r="AYY61" s="291"/>
      <x:c r="AYZ61" s="291"/>
      <x:c r="AZA61" s="291"/>
      <x:c r="AZB61" s="291"/>
      <x:c r="AZC61" s="291"/>
      <x:c r="AZD61" s="291"/>
      <x:c r="AZE61" s="291"/>
      <x:c r="AZF61" s="291"/>
      <x:c r="AZG61" s="291"/>
      <x:c r="AZH61" s="291"/>
      <x:c r="AZI61" s="291"/>
      <x:c r="AZJ61" s="291"/>
      <x:c r="AZK61" s="291"/>
      <x:c r="AZL61" s="291"/>
      <x:c r="AZM61" s="291"/>
      <x:c r="AZN61" s="291"/>
      <x:c r="AZO61" s="291"/>
      <x:c r="AZP61" s="291"/>
      <x:c r="AZQ61" s="291"/>
      <x:c r="AZR61" s="291"/>
      <x:c r="AZS61" s="291"/>
      <x:c r="AZT61" s="291"/>
      <x:c r="AZU61" s="291"/>
      <x:c r="AZV61" s="291"/>
      <x:c r="AZW61" s="291"/>
      <x:c r="AZX61" s="291"/>
      <x:c r="AZY61" s="291"/>
      <x:c r="AZZ61" s="291"/>
      <x:c r="BAA61" s="291"/>
      <x:c r="BAB61" s="291"/>
      <x:c r="BAC61" s="291"/>
      <x:c r="BAD61" s="291"/>
      <x:c r="BAE61" s="291"/>
      <x:c r="BAF61" s="291"/>
      <x:c r="BAG61" s="291"/>
      <x:c r="BAH61" s="291"/>
      <x:c r="BAI61" s="291"/>
      <x:c r="BAJ61" s="291"/>
      <x:c r="BAK61" s="291"/>
      <x:c r="BAL61" s="291"/>
      <x:c r="BAM61" s="291"/>
      <x:c r="BAN61" s="291"/>
      <x:c r="BAO61" s="291"/>
      <x:c r="BAP61" s="291"/>
      <x:c r="BAQ61" s="291"/>
      <x:c r="BAR61" s="291"/>
      <x:c r="BAS61" s="291"/>
      <x:c r="BAT61" s="291"/>
      <x:c r="BAU61" s="291"/>
      <x:c r="BAV61" s="291"/>
      <x:c r="BAW61" s="291"/>
      <x:c r="BAX61" s="291"/>
      <x:c r="BAY61" s="291"/>
      <x:c r="BAZ61" s="291"/>
      <x:c r="BBA61" s="291"/>
      <x:c r="BBB61" s="291"/>
      <x:c r="BBC61" s="291"/>
      <x:c r="BBD61" s="291"/>
      <x:c r="BBE61" s="291"/>
      <x:c r="BBF61" s="291"/>
      <x:c r="BBG61" s="291"/>
      <x:c r="BBH61" s="291"/>
      <x:c r="BBI61" s="291"/>
      <x:c r="BBJ61" s="291"/>
      <x:c r="BBK61" s="291"/>
      <x:c r="BBL61" s="291"/>
      <x:c r="BBM61" s="291"/>
      <x:c r="BBN61" s="291"/>
      <x:c r="BBO61" s="291"/>
      <x:c r="BBP61" s="291"/>
      <x:c r="BBQ61" s="291"/>
      <x:c r="BBR61" s="291"/>
      <x:c r="BBS61" s="291"/>
      <x:c r="BBT61" s="291"/>
      <x:c r="BBU61" s="291"/>
      <x:c r="BBV61" s="291"/>
      <x:c r="BBW61" s="291"/>
      <x:c r="BBX61" s="291"/>
      <x:c r="BBY61" s="291"/>
      <x:c r="BBZ61" s="291"/>
      <x:c r="BCA61" s="291"/>
      <x:c r="BCB61" s="291"/>
      <x:c r="BCC61" s="291"/>
      <x:c r="BCD61" s="291"/>
      <x:c r="BCE61" s="291"/>
      <x:c r="BCF61" s="291"/>
      <x:c r="BCG61" s="291"/>
      <x:c r="BCH61" s="291"/>
      <x:c r="BCI61" s="291"/>
      <x:c r="BCJ61" s="291"/>
      <x:c r="BCK61" s="291"/>
      <x:c r="BCL61" s="291"/>
      <x:c r="BCM61" s="291"/>
      <x:c r="BCN61" s="291"/>
      <x:c r="BCO61" s="291"/>
      <x:c r="BCP61" s="291"/>
      <x:c r="BCQ61" s="291"/>
      <x:c r="BCR61" s="291"/>
      <x:c r="BCS61" s="291"/>
      <x:c r="BCT61" s="291"/>
      <x:c r="BCU61" s="291"/>
      <x:c r="BCV61" s="291"/>
      <x:c r="BCW61" s="291"/>
      <x:c r="BCX61" s="291"/>
      <x:c r="BCY61" s="291"/>
      <x:c r="BCZ61" s="291"/>
      <x:c r="BDA61" s="291"/>
      <x:c r="BDB61" s="291"/>
      <x:c r="BDC61" s="291"/>
      <x:c r="BDD61" s="291"/>
      <x:c r="BDE61" s="291"/>
      <x:c r="BDF61" s="291"/>
      <x:c r="BDG61" s="291"/>
      <x:c r="BDH61" s="291"/>
      <x:c r="BDI61" s="291"/>
      <x:c r="BDJ61" s="291"/>
      <x:c r="BDK61" s="291"/>
      <x:c r="BDL61" s="291"/>
      <x:c r="BDM61" s="291"/>
      <x:c r="BDN61" s="291"/>
      <x:c r="BDO61" s="291"/>
      <x:c r="BDP61" s="291"/>
      <x:c r="BDQ61" s="291"/>
      <x:c r="BDR61" s="291"/>
      <x:c r="BDS61" s="291"/>
      <x:c r="BDT61" s="291"/>
      <x:c r="BDU61" s="291"/>
      <x:c r="BDV61" s="291"/>
      <x:c r="BDW61" s="291"/>
      <x:c r="BDX61" s="291"/>
      <x:c r="BDY61" s="291"/>
      <x:c r="BDZ61" s="291"/>
      <x:c r="BEA61" s="291"/>
      <x:c r="BEB61" s="291"/>
      <x:c r="BEC61" s="291"/>
      <x:c r="BED61" s="291"/>
      <x:c r="BEE61" s="291"/>
      <x:c r="BEF61" s="291"/>
      <x:c r="BEG61" s="291"/>
      <x:c r="BEH61" s="291"/>
      <x:c r="BEI61" s="291"/>
      <x:c r="BEJ61" s="291"/>
      <x:c r="BEK61" s="291"/>
      <x:c r="BEL61" s="291"/>
      <x:c r="BEM61" s="291"/>
      <x:c r="BEN61" s="291"/>
      <x:c r="BEO61" s="291"/>
      <x:c r="BEP61" s="291"/>
      <x:c r="BEQ61" s="291"/>
      <x:c r="BER61" s="291"/>
      <x:c r="BES61" s="291"/>
      <x:c r="BET61" s="291"/>
      <x:c r="BEU61" s="291"/>
      <x:c r="BEV61" s="291"/>
      <x:c r="BEW61" s="291"/>
      <x:c r="BEX61" s="291"/>
      <x:c r="BEY61" s="291"/>
      <x:c r="BEZ61" s="291"/>
      <x:c r="BFA61" s="291"/>
      <x:c r="BFB61" s="291"/>
      <x:c r="BFC61" s="291"/>
      <x:c r="BFD61" s="291"/>
      <x:c r="BFE61" s="291"/>
      <x:c r="BFF61" s="291"/>
      <x:c r="BFG61" s="291"/>
      <x:c r="BFH61" s="291"/>
      <x:c r="BFI61" s="291"/>
      <x:c r="BFJ61" s="291"/>
      <x:c r="BFK61" s="291"/>
      <x:c r="BFL61" s="291"/>
      <x:c r="BFM61" s="291"/>
      <x:c r="BFN61" s="291"/>
      <x:c r="BFO61" s="291"/>
      <x:c r="BFP61" s="291"/>
      <x:c r="BFQ61" s="291"/>
      <x:c r="BFR61" s="291"/>
      <x:c r="BFS61" s="291"/>
      <x:c r="BFT61" s="291"/>
      <x:c r="BFU61" s="291"/>
      <x:c r="BFV61" s="291"/>
      <x:c r="BFW61" s="291"/>
      <x:c r="BFX61" s="291"/>
      <x:c r="BFY61" s="291"/>
      <x:c r="BFZ61" s="291"/>
      <x:c r="BGA61" s="291"/>
      <x:c r="BGB61" s="291"/>
      <x:c r="BGC61" s="291"/>
      <x:c r="BGD61" s="291"/>
      <x:c r="BGE61" s="291"/>
      <x:c r="BGF61" s="291"/>
      <x:c r="BGG61" s="291"/>
      <x:c r="BGH61" s="291"/>
      <x:c r="BGI61" s="291"/>
      <x:c r="BGJ61" s="291"/>
      <x:c r="BGK61" s="291"/>
      <x:c r="BGL61" s="291"/>
      <x:c r="BGM61" s="291"/>
      <x:c r="BGN61" s="291"/>
      <x:c r="BGO61" s="291"/>
      <x:c r="BGP61" s="291"/>
      <x:c r="BGQ61" s="291"/>
      <x:c r="BGR61" s="291"/>
      <x:c r="BGS61" s="291"/>
      <x:c r="BGT61" s="291"/>
      <x:c r="BGU61" s="291"/>
      <x:c r="BGV61" s="291"/>
      <x:c r="BGW61" s="291"/>
      <x:c r="BGX61" s="291"/>
      <x:c r="BGY61" s="291"/>
      <x:c r="BGZ61" s="291"/>
      <x:c r="BHA61" s="291"/>
      <x:c r="BHB61" s="291"/>
      <x:c r="BHC61" s="291"/>
      <x:c r="BHD61" s="291"/>
      <x:c r="BHE61" s="291"/>
      <x:c r="BHF61" s="291"/>
      <x:c r="BHG61" s="291"/>
      <x:c r="BHH61" s="291"/>
      <x:c r="BHI61" s="291"/>
      <x:c r="BHJ61" s="291"/>
      <x:c r="BHK61" s="291"/>
      <x:c r="BHL61" s="291"/>
      <x:c r="BHM61" s="291"/>
      <x:c r="BHN61" s="291"/>
      <x:c r="BHO61" s="291"/>
      <x:c r="BHP61" s="291"/>
      <x:c r="BHQ61" s="291"/>
      <x:c r="BHR61" s="291"/>
      <x:c r="BHS61" s="291"/>
      <x:c r="BHT61" s="291"/>
      <x:c r="BHU61" s="291"/>
      <x:c r="BHV61" s="291"/>
      <x:c r="BHW61" s="291"/>
      <x:c r="BHX61" s="291"/>
      <x:c r="BHY61" s="291"/>
      <x:c r="BHZ61" s="291"/>
      <x:c r="BIA61" s="291"/>
      <x:c r="BIB61" s="291"/>
      <x:c r="BIC61" s="291"/>
      <x:c r="BID61" s="291"/>
      <x:c r="BIE61" s="291"/>
      <x:c r="BIF61" s="291"/>
      <x:c r="BIG61" s="291"/>
      <x:c r="BIH61" s="291"/>
      <x:c r="BII61" s="291"/>
      <x:c r="BIJ61" s="291"/>
      <x:c r="BIK61" s="291"/>
      <x:c r="BIL61" s="291"/>
      <x:c r="BIM61" s="291"/>
      <x:c r="BIN61" s="291"/>
      <x:c r="BIO61" s="291"/>
      <x:c r="BIP61" s="291"/>
      <x:c r="BIQ61" s="291"/>
      <x:c r="BIR61" s="291"/>
      <x:c r="BIS61" s="291"/>
      <x:c r="BIT61" s="291"/>
      <x:c r="BIU61" s="291"/>
      <x:c r="BIV61" s="291"/>
      <x:c r="BIW61" s="291"/>
      <x:c r="BIX61" s="291"/>
      <x:c r="BIY61" s="291"/>
      <x:c r="BIZ61" s="291"/>
      <x:c r="BJA61" s="291"/>
      <x:c r="BJB61" s="291"/>
      <x:c r="BJC61" s="291"/>
      <x:c r="BJD61" s="291"/>
      <x:c r="BJE61" s="291"/>
      <x:c r="BJF61" s="291"/>
      <x:c r="BJG61" s="291"/>
      <x:c r="BJH61" s="291"/>
      <x:c r="BJI61" s="291"/>
      <x:c r="BJJ61" s="291"/>
      <x:c r="BJK61" s="291"/>
      <x:c r="BJL61" s="291"/>
      <x:c r="BJM61" s="291"/>
      <x:c r="BJN61" s="291"/>
      <x:c r="BJO61" s="291"/>
      <x:c r="BJP61" s="291"/>
      <x:c r="BJQ61" s="291"/>
      <x:c r="BJR61" s="291"/>
      <x:c r="BJS61" s="291"/>
      <x:c r="BJT61" s="291"/>
      <x:c r="BJU61" s="291"/>
      <x:c r="BJV61" s="291"/>
      <x:c r="BJW61" s="291"/>
      <x:c r="BJX61" s="291"/>
      <x:c r="BJY61" s="291"/>
      <x:c r="BJZ61" s="291"/>
      <x:c r="BKA61" s="291"/>
      <x:c r="BKB61" s="291"/>
      <x:c r="BKC61" s="291"/>
      <x:c r="BKD61" s="291"/>
      <x:c r="BKE61" s="291"/>
      <x:c r="BKF61" s="291"/>
      <x:c r="BKG61" s="291"/>
      <x:c r="BKH61" s="291"/>
      <x:c r="BKI61" s="291"/>
      <x:c r="BKJ61" s="291"/>
      <x:c r="BKK61" s="291"/>
      <x:c r="BKL61" s="291"/>
      <x:c r="BKM61" s="291"/>
      <x:c r="BKN61" s="291"/>
      <x:c r="BKO61" s="291"/>
      <x:c r="BKP61" s="291"/>
      <x:c r="BKQ61" s="291"/>
      <x:c r="BKR61" s="291"/>
      <x:c r="BKS61" s="291"/>
      <x:c r="BKT61" s="291"/>
      <x:c r="BKU61" s="291"/>
      <x:c r="BKV61" s="291"/>
      <x:c r="BKW61" s="291"/>
      <x:c r="BKX61" s="291"/>
      <x:c r="BKY61" s="291"/>
      <x:c r="BKZ61" s="291"/>
      <x:c r="BLA61" s="291"/>
      <x:c r="BLB61" s="291"/>
      <x:c r="BLC61" s="291"/>
      <x:c r="BLD61" s="291"/>
      <x:c r="BLE61" s="291"/>
      <x:c r="BLF61" s="291"/>
      <x:c r="BLG61" s="291"/>
      <x:c r="BLH61" s="291"/>
      <x:c r="BLI61" s="291"/>
      <x:c r="BLJ61" s="291"/>
      <x:c r="BLK61" s="291"/>
      <x:c r="BLL61" s="291"/>
      <x:c r="BLM61" s="291"/>
      <x:c r="BLN61" s="291"/>
      <x:c r="BLO61" s="291"/>
      <x:c r="BLP61" s="291"/>
      <x:c r="BLQ61" s="291"/>
      <x:c r="BLR61" s="291"/>
      <x:c r="BLS61" s="291"/>
      <x:c r="BLT61" s="291"/>
      <x:c r="BLU61" s="291"/>
      <x:c r="BLV61" s="291"/>
      <x:c r="BLW61" s="291"/>
      <x:c r="BLX61" s="291"/>
      <x:c r="BLY61" s="291"/>
      <x:c r="BLZ61" s="291"/>
      <x:c r="BMA61" s="291"/>
      <x:c r="BMB61" s="291"/>
      <x:c r="BMC61" s="291"/>
      <x:c r="BMD61" s="291"/>
      <x:c r="BME61" s="291"/>
      <x:c r="BMF61" s="291"/>
      <x:c r="BMG61" s="291"/>
      <x:c r="BMH61" s="291"/>
      <x:c r="BMI61" s="291"/>
      <x:c r="BMJ61" s="291"/>
      <x:c r="BMK61" s="291"/>
      <x:c r="BML61" s="291"/>
      <x:c r="BMM61" s="291"/>
      <x:c r="BMN61" s="291"/>
      <x:c r="BMO61" s="291"/>
      <x:c r="BMP61" s="291"/>
      <x:c r="BMQ61" s="291"/>
      <x:c r="BMR61" s="291"/>
      <x:c r="BMS61" s="291"/>
      <x:c r="BMT61" s="291"/>
      <x:c r="BMU61" s="291"/>
      <x:c r="BMV61" s="291"/>
      <x:c r="BMW61" s="291"/>
      <x:c r="BMX61" s="291"/>
      <x:c r="BMY61" s="291"/>
      <x:c r="BMZ61" s="291"/>
      <x:c r="BNA61" s="291"/>
      <x:c r="BNB61" s="291"/>
      <x:c r="BNC61" s="291"/>
      <x:c r="BND61" s="291"/>
      <x:c r="BNE61" s="291"/>
      <x:c r="BNF61" s="291"/>
      <x:c r="BNG61" s="291"/>
      <x:c r="BNH61" s="291"/>
      <x:c r="BNI61" s="291"/>
      <x:c r="BNJ61" s="291"/>
      <x:c r="BNK61" s="291"/>
      <x:c r="BNL61" s="291"/>
      <x:c r="BNM61" s="291"/>
      <x:c r="BNN61" s="291"/>
      <x:c r="BNO61" s="291"/>
      <x:c r="BNP61" s="291"/>
      <x:c r="BNQ61" s="291"/>
      <x:c r="BNR61" s="291"/>
      <x:c r="BNS61" s="291"/>
      <x:c r="BNT61" s="291"/>
      <x:c r="BNU61" s="291"/>
      <x:c r="BNV61" s="291"/>
      <x:c r="BNW61" s="291"/>
      <x:c r="BNX61" s="291"/>
      <x:c r="BNY61" s="291"/>
      <x:c r="BNZ61" s="291"/>
      <x:c r="BOA61" s="291"/>
      <x:c r="BOB61" s="291"/>
      <x:c r="BOC61" s="291"/>
      <x:c r="BOD61" s="291"/>
      <x:c r="BOE61" s="291"/>
      <x:c r="BOF61" s="291"/>
      <x:c r="BOG61" s="291"/>
      <x:c r="BOH61" s="291"/>
      <x:c r="BOI61" s="291"/>
      <x:c r="BOJ61" s="291"/>
      <x:c r="BOK61" s="291"/>
      <x:c r="BOL61" s="291"/>
      <x:c r="BOM61" s="291"/>
      <x:c r="BON61" s="291"/>
      <x:c r="BOO61" s="291"/>
      <x:c r="BOP61" s="291"/>
      <x:c r="BOQ61" s="291"/>
      <x:c r="BOR61" s="291"/>
      <x:c r="BOS61" s="291"/>
      <x:c r="BOT61" s="291"/>
      <x:c r="BOU61" s="291"/>
      <x:c r="BOV61" s="291"/>
      <x:c r="BOW61" s="291"/>
      <x:c r="BOX61" s="291"/>
      <x:c r="BOY61" s="291"/>
      <x:c r="BOZ61" s="291"/>
      <x:c r="BPA61" s="291"/>
      <x:c r="BPB61" s="291"/>
      <x:c r="BPC61" s="291"/>
      <x:c r="BPD61" s="291"/>
      <x:c r="BPE61" s="291"/>
      <x:c r="BPF61" s="291"/>
      <x:c r="BPG61" s="291"/>
      <x:c r="BPH61" s="291"/>
      <x:c r="BPI61" s="291"/>
      <x:c r="BPJ61" s="291"/>
      <x:c r="BPK61" s="291"/>
      <x:c r="BPL61" s="291"/>
      <x:c r="BPM61" s="291"/>
      <x:c r="BPN61" s="291"/>
      <x:c r="BPO61" s="291"/>
      <x:c r="BPP61" s="291"/>
      <x:c r="BPQ61" s="291"/>
      <x:c r="BPR61" s="291"/>
      <x:c r="BPS61" s="291"/>
      <x:c r="BPT61" s="291"/>
      <x:c r="BPU61" s="291"/>
      <x:c r="BPV61" s="291"/>
      <x:c r="BPW61" s="291"/>
      <x:c r="BPX61" s="291"/>
      <x:c r="BPY61" s="291"/>
      <x:c r="BPZ61" s="291"/>
      <x:c r="BQA61" s="291"/>
      <x:c r="BQB61" s="291"/>
      <x:c r="BQC61" s="291"/>
      <x:c r="BQD61" s="291"/>
      <x:c r="BQE61" s="291"/>
      <x:c r="BQF61" s="291"/>
      <x:c r="BQG61" s="291"/>
      <x:c r="BQH61" s="291"/>
      <x:c r="BQI61" s="291"/>
      <x:c r="BQJ61" s="291"/>
      <x:c r="BQK61" s="291"/>
      <x:c r="BQL61" s="291"/>
      <x:c r="BQM61" s="291"/>
      <x:c r="BQN61" s="291"/>
      <x:c r="BQO61" s="291"/>
      <x:c r="BQP61" s="291"/>
      <x:c r="BQQ61" s="291"/>
      <x:c r="BQR61" s="291"/>
      <x:c r="BQS61" s="291"/>
      <x:c r="BQT61" s="291"/>
      <x:c r="BQU61" s="291"/>
      <x:c r="BQV61" s="291"/>
      <x:c r="BQW61" s="291"/>
      <x:c r="BQX61" s="291"/>
      <x:c r="BQY61" s="291"/>
      <x:c r="BQZ61" s="291"/>
      <x:c r="BRA61" s="291"/>
      <x:c r="BRB61" s="291"/>
      <x:c r="BRC61" s="291"/>
      <x:c r="BRD61" s="291"/>
      <x:c r="BRE61" s="291"/>
      <x:c r="BRF61" s="291"/>
      <x:c r="BRG61" s="291"/>
      <x:c r="BRH61" s="291"/>
      <x:c r="BRI61" s="291"/>
      <x:c r="BRJ61" s="291"/>
      <x:c r="BRK61" s="291"/>
      <x:c r="BRL61" s="291"/>
      <x:c r="BRM61" s="291"/>
      <x:c r="BRN61" s="291"/>
      <x:c r="BRO61" s="291"/>
      <x:c r="BRP61" s="291"/>
      <x:c r="BRQ61" s="291"/>
      <x:c r="BRR61" s="291"/>
      <x:c r="BRS61" s="291"/>
      <x:c r="BRT61" s="291"/>
      <x:c r="BRU61" s="291"/>
      <x:c r="BRV61" s="291"/>
      <x:c r="BRW61" s="291"/>
      <x:c r="BRX61" s="291"/>
      <x:c r="BRY61" s="291"/>
      <x:c r="BRZ61" s="291"/>
      <x:c r="BSA61" s="291"/>
      <x:c r="BSB61" s="291"/>
      <x:c r="BSC61" s="291"/>
      <x:c r="BSD61" s="291"/>
      <x:c r="BSE61" s="291"/>
      <x:c r="BSF61" s="291"/>
      <x:c r="BSG61" s="291"/>
      <x:c r="BSH61" s="291"/>
      <x:c r="BSI61" s="291"/>
      <x:c r="BSJ61" s="291"/>
      <x:c r="BSK61" s="291"/>
      <x:c r="BSL61" s="291"/>
      <x:c r="BSM61" s="291"/>
      <x:c r="BSN61" s="291"/>
      <x:c r="BSO61" s="291"/>
      <x:c r="BSP61" s="291"/>
      <x:c r="BSQ61" s="291"/>
      <x:c r="BSR61" s="291"/>
      <x:c r="BSS61" s="291"/>
      <x:c r="BST61" s="291"/>
      <x:c r="BSU61" s="291"/>
      <x:c r="BSV61" s="291"/>
      <x:c r="BSW61" s="291"/>
      <x:c r="BSX61" s="291"/>
      <x:c r="BSY61" s="291"/>
      <x:c r="BSZ61" s="291"/>
      <x:c r="BTA61" s="291"/>
      <x:c r="BTB61" s="291"/>
      <x:c r="BTC61" s="291"/>
      <x:c r="BTD61" s="291"/>
      <x:c r="BTE61" s="291"/>
      <x:c r="BTF61" s="291"/>
      <x:c r="BTG61" s="291"/>
      <x:c r="BTH61" s="291"/>
      <x:c r="BTI61" s="291"/>
      <x:c r="BTJ61" s="291"/>
      <x:c r="BTK61" s="291"/>
      <x:c r="BTL61" s="291"/>
      <x:c r="BTM61" s="291"/>
      <x:c r="BTN61" s="291"/>
      <x:c r="BTO61" s="291"/>
      <x:c r="BTP61" s="291"/>
      <x:c r="BTQ61" s="291"/>
      <x:c r="BTR61" s="291"/>
      <x:c r="BTS61" s="291"/>
      <x:c r="BTT61" s="291"/>
      <x:c r="BTU61" s="291"/>
      <x:c r="BTV61" s="291"/>
      <x:c r="BTW61" s="291"/>
      <x:c r="BTX61" s="291"/>
      <x:c r="BTY61" s="291"/>
      <x:c r="BTZ61" s="291"/>
      <x:c r="BUA61" s="291"/>
      <x:c r="BUB61" s="291"/>
      <x:c r="BUC61" s="291"/>
      <x:c r="BUD61" s="291"/>
      <x:c r="BUE61" s="291"/>
      <x:c r="BUF61" s="291"/>
      <x:c r="BUG61" s="291"/>
      <x:c r="BUH61" s="291"/>
      <x:c r="BUI61" s="291"/>
      <x:c r="BUJ61" s="291"/>
      <x:c r="BUK61" s="291"/>
      <x:c r="BUL61" s="291"/>
      <x:c r="BUM61" s="291"/>
      <x:c r="BUN61" s="291"/>
      <x:c r="BUO61" s="291"/>
      <x:c r="BUP61" s="291"/>
      <x:c r="BUQ61" s="291"/>
      <x:c r="BUR61" s="291"/>
      <x:c r="BUS61" s="291"/>
      <x:c r="BUT61" s="291"/>
      <x:c r="BUU61" s="291"/>
      <x:c r="BUV61" s="291"/>
      <x:c r="BUW61" s="291"/>
      <x:c r="BUX61" s="291"/>
      <x:c r="BUY61" s="291"/>
      <x:c r="BUZ61" s="291"/>
      <x:c r="BVA61" s="291"/>
      <x:c r="BVB61" s="291"/>
      <x:c r="BVC61" s="291"/>
      <x:c r="BVD61" s="291"/>
      <x:c r="BVE61" s="291"/>
      <x:c r="BVF61" s="291"/>
      <x:c r="BVG61" s="291"/>
      <x:c r="BVH61" s="291"/>
      <x:c r="BVI61" s="291"/>
      <x:c r="BVJ61" s="291"/>
      <x:c r="BVK61" s="291"/>
      <x:c r="BVL61" s="291"/>
      <x:c r="BVM61" s="291"/>
      <x:c r="BVN61" s="291"/>
      <x:c r="BVO61" s="291"/>
      <x:c r="BVP61" s="291"/>
      <x:c r="BVQ61" s="291"/>
      <x:c r="BVR61" s="291"/>
      <x:c r="BVS61" s="291"/>
      <x:c r="BVT61" s="291"/>
      <x:c r="BVU61" s="291"/>
      <x:c r="BVV61" s="291"/>
      <x:c r="BVW61" s="291"/>
      <x:c r="BVX61" s="291"/>
      <x:c r="BVY61" s="291"/>
      <x:c r="BVZ61" s="291"/>
      <x:c r="BWA61" s="291"/>
      <x:c r="BWB61" s="291"/>
      <x:c r="BWC61" s="291"/>
      <x:c r="BWD61" s="291"/>
      <x:c r="BWE61" s="291"/>
      <x:c r="BWF61" s="291"/>
      <x:c r="BWG61" s="291"/>
      <x:c r="BWH61" s="291"/>
      <x:c r="BWI61" s="291"/>
      <x:c r="BWJ61" s="291"/>
      <x:c r="BWK61" s="291"/>
      <x:c r="BWL61" s="291"/>
      <x:c r="BWM61" s="291"/>
      <x:c r="BWN61" s="291"/>
      <x:c r="BWO61" s="291"/>
      <x:c r="BWP61" s="291"/>
      <x:c r="BWQ61" s="291"/>
      <x:c r="BWR61" s="291"/>
      <x:c r="BWS61" s="291"/>
      <x:c r="BWT61" s="291"/>
      <x:c r="BWU61" s="291"/>
      <x:c r="BWV61" s="291"/>
      <x:c r="BWW61" s="291"/>
      <x:c r="BWX61" s="291"/>
      <x:c r="BWY61" s="291"/>
      <x:c r="BWZ61" s="291"/>
      <x:c r="BXA61" s="291"/>
      <x:c r="BXB61" s="291"/>
      <x:c r="BXC61" s="291"/>
      <x:c r="BXD61" s="291"/>
      <x:c r="BXE61" s="291"/>
      <x:c r="BXF61" s="291"/>
      <x:c r="BXG61" s="291"/>
      <x:c r="BXH61" s="291"/>
      <x:c r="BXI61" s="291"/>
      <x:c r="BXJ61" s="291"/>
      <x:c r="BXK61" s="291"/>
      <x:c r="BXL61" s="291"/>
      <x:c r="BXM61" s="291"/>
      <x:c r="BXN61" s="291"/>
      <x:c r="BXO61" s="291"/>
      <x:c r="BXP61" s="291"/>
      <x:c r="BXQ61" s="291"/>
      <x:c r="BXR61" s="291"/>
      <x:c r="BXS61" s="291"/>
      <x:c r="BXT61" s="291"/>
      <x:c r="BXU61" s="291"/>
      <x:c r="BXV61" s="291"/>
      <x:c r="BXW61" s="291"/>
      <x:c r="BXX61" s="291"/>
      <x:c r="BXY61" s="291"/>
      <x:c r="BXZ61" s="291"/>
      <x:c r="BYA61" s="291"/>
      <x:c r="BYB61" s="291"/>
      <x:c r="BYC61" s="291"/>
      <x:c r="BYD61" s="291"/>
      <x:c r="BYE61" s="291"/>
      <x:c r="BYF61" s="291"/>
      <x:c r="BYG61" s="291"/>
      <x:c r="BYH61" s="291"/>
      <x:c r="BYI61" s="291"/>
      <x:c r="BYJ61" s="291"/>
      <x:c r="BYK61" s="291"/>
      <x:c r="BYL61" s="291"/>
      <x:c r="BYM61" s="291"/>
      <x:c r="BYN61" s="291"/>
      <x:c r="BYO61" s="291"/>
      <x:c r="BYP61" s="291"/>
      <x:c r="BYQ61" s="291"/>
      <x:c r="BYR61" s="291"/>
      <x:c r="BYS61" s="291"/>
      <x:c r="BYT61" s="291"/>
      <x:c r="BYU61" s="291"/>
      <x:c r="BYV61" s="291"/>
      <x:c r="BYW61" s="291"/>
      <x:c r="BYX61" s="291"/>
      <x:c r="BYY61" s="291"/>
      <x:c r="BYZ61" s="291"/>
      <x:c r="BZA61" s="291"/>
      <x:c r="BZB61" s="291"/>
      <x:c r="BZC61" s="291"/>
      <x:c r="BZD61" s="291"/>
      <x:c r="BZE61" s="291"/>
      <x:c r="BZF61" s="291"/>
      <x:c r="BZG61" s="291"/>
      <x:c r="BZH61" s="291"/>
      <x:c r="BZI61" s="291"/>
      <x:c r="BZJ61" s="291"/>
      <x:c r="BZK61" s="291"/>
      <x:c r="BZL61" s="291"/>
      <x:c r="BZM61" s="291"/>
      <x:c r="BZN61" s="291"/>
      <x:c r="BZO61" s="291"/>
      <x:c r="BZP61" s="291"/>
      <x:c r="BZQ61" s="291"/>
      <x:c r="BZR61" s="291"/>
      <x:c r="BZS61" s="291"/>
      <x:c r="BZT61" s="291"/>
      <x:c r="BZU61" s="291"/>
      <x:c r="BZV61" s="291"/>
      <x:c r="BZW61" s="291"/>
      <x:c r="BZX61" s="291"/>
      <x:c r="BZY61" s="291"/>
      <x:c r="BZZ61" s="291"/>
      <x:c r="CAA61" s="291"/>
      <x:c r="CAB61" s="291"/>
      <x:c r="CAC61" s="291"/>
      <x:c r="CAD61" s="291"/>
      <x:c r="CAE61" s="291"/>
      <x:c r="CAF61" s="291"/>
      <x:c r="CAG61" s="291"/>
      <x:c r="CAH61" s="291"/>
      <x:c r="CAI61" s="291"/>
      <x:c r="CAJ61" s="291"/>
      <x:c r="CAK61" s="291"/>
      <x:c r="CAL61" s="291"/>
      <x:c r="CAM61" s="291"/>
      <x:c r="CAN61" s="291"/>
      <x:c r="CAO61" s="291"/>
      <x:c r="CAP61" s="291"/>
      <x:c r="CAQ61" s="291"/>
      <x:c r="CAR61" s="291"/>
      <x:c r="CAS61" s="291"/>
      <x:c r="CAT61" s="291"/>
      <x:c r="CAU61" s="291"/>
      <x:c r="CAV61" s="291"/>
      <x:c r="CAW61" s="291"/>
      <x:c r="CAX61" s="291"/>
      <x:c r="CAY61" s="291"/>
      <x:c r="CAZ61" s="291"/>
      <x:c r="CBA61" s="291"/>
      <x:c r="CBB61" s="291"/>
      <x:c r="CBC61" s="291"/>
      <x:c r="CBD61" s="291"/>
      <x:c r="CBE61" s="291"/>
      <x:c r="CBF61" s="291"/>
      <x:c r="CBG61" s="291"/>
      <x:c r="CBH61" s="291"/>
      <x:c r="CBI61" s="291"/>
      <x:c r="CBJ61" s="291"/>
      <x:c r="CBK61" s="291"/>
      <x:c r="CBL61" s="291"/>
      <x:c r="CBM61" s="291"/>
      <x:c r="CBN61" s="291"/>
      <x:c r="CBO61" s="291"/>
      <x:c r="CBP61" s="291"/>
      <x:c r="CBQ61" s="291"/>
      <x:c r="CBR61" s="291"/>
      <x:c r="CBS61" s="291"/>
      <x:c r="CBT61" s="291"/>
      <x:c r="CBU61" s="291"/>
      <x:c r="CBV61" s="291"/>
      <x:c r="CBW61" s="291"/>
      <x:c r="CBX61" s="291"/>
      <x:c r="CBY61" s="291"/>
      <x:c r="CBZ61" s="291"/>
      <x:c r="CCA61" s="291"/>
      <x:c r="CCB61" s="291"/>
      <x:c r="CCC61" s="291"/>
      <x:c r="CCD61" s="291"/>
      <x:c r="CCE61" s="291"/>
      <x:c r="CCF61" s="291"/>
      <x:c r="CCG61" s="291"/>
      <x:c r="CCH61" s="291"/>
      <x:c r="CCI61" s="291"/>
      <x:c r="CCJ61" s="291"/>
      <x:c r="CCK61" s="291"/>
      <x:c r="CCL61" s="291"/>
      <x:c r="CCM61" s="291"/>
      <x:c r="CCN61" s="291"/>
      <x:c r="CCO61" s="291"/>
      <x:c r="CCP61" s="291"/>
      <x:c r="CCQ61" s="291"/>
      <x:c r="CCR61" s="291"/>
      <x:c r="CCS61" s="291"/>
      <x:c r="CCT61" s="291"/>
      <x:c r="CCU61" s="291"/>
      <x:c r="CCV61" s="291"/>
      <x:c r="CCW61" s="291"/>
      <x:c r="CCX61" s="291"/>
      <x:c r="CCY61" s="291"/>
      <x:c r="CCZ61" s="291"/>
      <x:c r="CDA61" s="291"/>
      <x:c r="CDB61" s="291"/>
      <x:c r="CDC61" s="291"/>
      <x:c r="CDD61" s="291"/>
      <x:c r="CDE61" s="291"/>
      <x:c r="CDF61" s="291"/>
      <x:c r="CDG61" s="291"/>
      <x:c r="CDH61" s="291"/>
      <x:c r="CDI61" s="291"/>
      <x:c r="CDJ61" s="291"/>
      <x:c r="CDK61" s="291"/>
      <x:c r="CDL61" s="291"/>
      <x:c r="CDM61" s="291"/>
      <x:c r="CDN61" s="291"/>
      <x:c r="CDO61" s="291"/>
      <x:c r="CDP61" s="291"/>
      <x:c r="CDQ61" s="291"/>
      <x:c r="CDR61" s="291"/>
      <x:c r="CDS61" s="291"/>
      <x:c r="CDT61" s="291"/>
      <x:c r="CDU61" s="291"/>
      <x:c r="CDV61" s="291"/>
      <x:c r="CDW61" s="291"/>
      <x:c r="CDX61" s="291"/>
      <x:c r="CDY61" s="291"/>
      <x:c r="CDZ61" s="291"/>
      <x:c r="CEA61" s="291"/>
      <x:c r="CEB61" s="291"/>
      <x:c r="CEC61" s="291"/>
      <x:c r="CED61" s="291"/>
      <x:c r="CEE61" s="291"/>
      <x:c r="CEF61" s="291"/>
      <x:c r="CEG61" s="291"/>
      <x:c r="CEH61" s="291"/>
      <x:c r="CEI61" s="291"/>
      <x:c r="CEJ61" s="291"/>
      <x:c r="CEK61" s="291"/>
      <x:c r="CEL61" s="291"/>
      <x:c r="CEM61" s="291"/>
      <x:c r="CEN61" s="291"/>
      <x:c r="CEO61" s="291"/>
      <x:c r="CEP61" s="291"/>
      <x:c r="CEQ61" s="291"/>
      <x:c r="CER61" s="291"/>
      <x:c r="CES61" s="291"/>
      <x:c r="CET61" s="291"/>
      <x:c r="CEU61" s="291"/>
      <x:c r="CEV61" s="291"/>
      <x:c r="CEW61" s="291"/>
      <x:c r="CEX61" s="291"/>
      <x:c r="CEY61" s="291"/>
      <x:c r="CEZ61" s="291"/>
      <x:c r="CFA61" s="291"/>
      <x:c r="CFB61" s="291"/>
      <x:c r="CFC61" s="291"/>
      <x:c r="CFD61" s="291"/>
      <x:c r="CFE61" s="291"/>
      <x:c r="CFF61" s="291"/>
      <x:c r="CFG61" s="291"/>
      <x:c r="CFH61" s="291"/>
      <x:c r="CFI61" s="291"/>
      <x:c r="CFJ61" s="291"/>
      <x:c r="CFK61" s="291"/>
      <x:c r="CFL61" s="291"/>
      <x:c r="CFM61" s="291"/>
      <x:c r="CFN61" s="291"/>
      <x:c r="CFO61" s="291"/>
      <x:c r="CFP61" s="291"/>
      <x:c r="CFQ61" s="291"/>
      <x:c r="CFR61" s="291"/>
      <x:c r="CFS61" s="291"/>
      <x:c r="CFT61" s="291"/>
      <x:c r="CFU61" s="291"/>
      <x:c r="CFV61" s="291"/>
      <x:c r="CFW61" s="291"/>
      <x:c r="CFX61" s="291"/>
      <x:c r="CFY61" s="291"/>
      <x:c r="CFZ61" s="291"/>
      <x:c r="CGA61" s="291"/>
      <x:c r="CGB61" s="291"/>
      <x:c r="CGC61" s="291"/>
      <x:c r="CGD61" s="291"/>
      <x:c r="CGE61" s="291"/>
      <x:c r="CGF61" s="291"/>
      <x:c r="CGG61" s="291"/>
      <x:c r="CGH61" s="291"/>
      <x:c r="CGI61" s="291"/>
      <x:c r="CGJ61" s="291"/>
      <x:c r="CGK61" s="291"/>
      <x:c r="CGL61" s="291"/>
      <x:c r="CGM61" s="291"/>
      <x:c r="CGN61" s="291"/>
      <x:c r="CGO61" s="291"/>
      <x:c r="CGP61" s="291"/>
      <x:c r="CGQ61" s="291"/>
      <x:c r="CGR61" s="291"/>
      <x:c r="CGS61" s="291"/>
      <x:c r="CGT61" s="291"/>
      <x:c r="CGU61" s="291"/>
      <x:c r="CGV61" s="291"/>
      <x:c r="CGW61" s="291"/>
      <x:c r="CGX61" s="291"/>
      <x:c r="CGY61" s="291"/>
      <x:c r="CGZ61" s="291"/>
      <x:c r="CHA61" s="291"/>
      <x:c r="CHB61" s="291"/>
      <x:c r="CHC61" s="291"/>
      <x:c r="CHD61" s="291"/>
      <x:c r="CHE61" s="291"/>
      <x:c r="CHF61" s="291"/>
      <x:c r="CHG61" s="291"/>
      <x:c r="CHH61" s="291"/>
      <x:c r="CHI61" s="291"/>
      <x:c r="CHJ61" s="291"/>
      <x:c r="CHK61" s="291"/>
      <x:c r="CHL61" s="291"/>
      <x:c r="CHM61" s="291"/>
      <x:c r="CHN61" s="291"/>
      <x:c r="CHO61" s="291"/>
      <x:c r="CHP61" s="291"/>
      <x:c r="CHQ61" s="291"/>
      <x:c r="CHR61" s="291"/>
      <x:c r="CHS61" s="291"/>
      <x:c r="CHT61" s="291"/>
      <x:c r="CHU61" s="291"/>
      <x:c r="CHV61" s="291"/>
      <x:c r="CHW61" s="291"/>
      <x:c r="CHX61" s="291"/>
      <x:c r="CHY61" s="291"/>
      <x:c r="CHZ61" s="291"/>
      <x:c r="CIA61" s="291"/>
      <x:c r="CIB61" s="291"/>
      <x:c r="CIC61" s="291"/>
      <x:c r="CID61" s="291"/>
      <x:c r="CIE61" s="291"/>
      <x:c r="CIF61" s="291"/>
      <x:c r="CIG61" s="291"/>
      <x:c r="CIH61" s="291"/>
      <x:c r="CII61" s="291"/>
      <x:c r="CIJ61" s="291"/>
      <x:c r="CIK61" s="291"/>
      <x:c r="CIL61" s="291"/>
      <x:c r="CIM61" s="291"/>
      <x:c r="CIN61" s="291"/>
      <x:c r="CIO61" s="291"/>
      <x:c r="CIP61" s="291"/>
      <x:c r="CIQ61" s="291"/>
      <x:c r="CIR61" s="291"/>
      <x:c r="CIS61" s="291"/>
      <x:c r="CIT61" s="291"/>
      <x:c r="CIU61" s="291"/>
      <x:c r="CIV61" s="291"/>
      <x:c r="CIW61" s="291"/>
      <x:c r="CIX61" s="291"/>
      <x:c r="CIY61" s="291"/>
      <x:c r="CIZ61" s="291"/>
      <x:c r="CJA61" s="291"/>
      <x:c r="CJB61" s="291"/>
      <x:c r="CJC61" s="291"/>
      <x:c r="CJD61" s="291"/>
      <x:c r="CJE61" s="291"/>
      <x:c r="CJF61" s="291"/>
      <x:c r="CJG61" s="291"/>
      <x:c r="CJH61" s="291"/>
      <x:c r="CJI61" s="291"/>
      <x:c r="CJJ61" s="291"/>
      <x:c r="CJK61" s="291"/>
      <x:c r="CJL61" s="291"/>
      <x:c r="CJM61" s="291"/>
      <x:c r="CJN61" s="291"/>
      <x:c r="CJO61" s="291"/>
      <x:c r="CJP61" s="291"/>
      <x:c r="CJQ61" s="291"/>
      <x:c r="CJR61" s="291"/>
      <x:c r="CJS61" s="291"/>
      <x:c r="CJT61" s="291"/>
      <x:c r="CJU61" s="291"/>
      <x:c r="CJV61" s="291"/>
      <x:c r="CJW61" s="291"/>
      <x:c r="CJX61" s="291"/>
      <x:c r="CJY61" s="291"/>
      <x:c r="CJZ61" s="291"/>
      <x:c r="CKA61" s="291"/>
      <x:c r="CKB61" s="291"/>
      <x:c r="CKC61" s="291"/>
      <x:c r="CKD61" s="291"/>
      <x:c r="CKE61" s="291"/>
      <x:c r="CKF61" s="291"/>
      <x:c r="CKG61" s="291"/>
      <x:c r="CKH61" s="291"/>
      <x:c r="CKI61" s="291"/>
      <x:c r="CKJ61" s="291"/>
      <x:c r="CKK61" s="291"/>
      <x:c r="CKL61" s="291"/>
      <x:c r="CKM61" s="291"/>
      <x:c r="CKN61" s="291"/>
      <x:c r="CKO61" s="291"/>
      <x:c r="CKP61" s="291"/>
      <x:c r="CKQ61" s="291"/>
      <x:c r="CKR61" s="291"/>
      <x:c r="CKS61" s="291"/>
      <x:c r="CKT61" s="291"/>
      <x:c r="CKU61" s="291"/>
      <x:c r="CKV61" s="291"/>
      <x:c r="CKW61" s="291"/>
      <x:c r="CKX61" s="291"/>
      <x:c r="CKY61" s="291"/>
      <x:c r="CKZ61" s="291"/>
      <x:c r="CLA61" s="291"/>
      <x:c r="CLB61" s="291"/>
      <x:c r="CLC61" s="291"/>
      <x:c r="CLD61" s="291"/>
      <x:c r="CLE61" s="291"/>
      <x:c r="CLF61" s="291"/>
      <x:c r="CLG61" s="291"/>
      <x:c r="CLH61" s="291"/>
      <x:c r="CLI61" s="291"/>
      <x:c r="CLJ61" s="291"/>
      <x:c r="CLK61" s="291"/>
      <x:c r="CLL61" s="291"/>
      <x:c r="CLM61" s="291"/>
      <x:c r="CLN61" s="291"/>
      <x:c r="CLO61" s="291"/>
      <x:c r="CLP61" s="291"/>
      <x:c r="CLQ61" s="291"/>
      <x:c r="CLR61" s="291"/>
      <x:c r="CLS61" s="291"/>
      <x:c r="CLT61" s="291"/>
      <x:c r="CLU61" s="291"/>
      <x:c r="CLV61" s="291"/>
      <x:c r="CLW61" s="291"/>
      <x:c r="CLX61" s="291"/>
      <x:c r="CLY61" s="291"/>
      <x:c r="CLZ61" s="291"/>
      <x:c r="CMA61" s="291"/>
      <x:c r="CMB61" s="291"/>
      <x:c r="CMC61" s="291"/>
      <x:c r="CMD61" s="291"/>
      <x:c r="CME61" s="291"/>
      <x:c r="CMF61" s="291"/>
      <x:c r="CMG61" s="291"/>
      <x:c r="CMH61" s="291"/>
      <x:c r="CMI61" s="291"/>
      <x:c r="CMJ61" s="291"/>
      <x:c r="CMK61" s="291"/>
      <x:c r="CML61" s="291"/>
      <x:c r="CMM61" s="291"/>
      <x:c r="CMN61" s="291"/>
      <x:c r="CMO61" s="291"/>
      <x:c r="CMP61" s="291"/>
      <x:c r="CMQ61" s="291"/>
      <x:c r="CMR61" s="291"/>
      <x:c r="CMS61" s="291"/>
      <x:c r="CMT61" s="291"/>
      <x:c r="CMU61" s="291"/>
      <x:c r="CMV61" s="291"/>
      <x:c r="CMW61" s="291"/>
      <x:c r="CMX61" s="291"/>
      <x:c r="CMY61" s="291"/>
      <x:c r="CMZ61" s="291"/>
      <x:c r="CNA61" s="291"/>
      <x:c r="CNB61" s="291"/>
      <x:c r="CNC61" s="291"/>
      <x:c r="CND61" s="291"/>
      <x:c r="CNE61" s="291"/>
      <x:c r="CNF61" s="291"/>
      <x:c r="CNG61" s="291"/>
      <x:c r="CNH61" s="291"/>
      <x:c r="CNI61" s="291"/>
      <x:c r="CNJ61" s="291"/>
      <x:c r="CNK61" s="291"/>
      <x:c r="CNL61" s="291"/>
      <x:c r="CNM61" s="291"/>
      <x:c r="CNN61" s="291"/>
      <x:c r="CNO61" s="291"/>
      <x:c r="CNP61" s="291"/>
      <x:c r="CNQ61" s="291"/>
      <x:c r="CNR61" s="291"/>
      <x:c r="CNS61" s="291"/>
      <x:c r="CNT61" s="291"/>
      <x:c r="CNU61" s="291"/>
      <x:c r="CNV61" s="291"/>
      <x:c r="CNW61" s="291"/>
      <x:c r="CNX61" s="291"/>
      <x:c r="CNY61" s="291"/>
      <x:c r="CNZ61" s="291"/>
      <x:c r="COA61" s="291"/>
      <x:c r="COB61" s="291"/>
      <x:c r="COC61" s="291"/>
      <x:c r="COD61" s="291"/>
      <x:c r="COE61" s="291"/>
      <x:c r="COF61" s="291"/>
      <x:c r="COG61" s="291"/>
      <x:c r="COH61" s="291"/>
      <x:c r="COI61" s="291"/>
      <x:c r="COJ61" s="291"/>
      <x:c r="COK61" s="291"/>
      <x:c r="COL61" s="291"/>
      <x:c r="COM61" s="291"/>
      <x:c r="CON61" s="291"/>
      <x:c r="COO61" s="291"/>
      <x:c r="COP61" s="291"/>
      <x:c r="COQ61" s="291"/>
      <x:c r="COR61" s="291"/>
      <x:c r="COS61" s="291"/>
      <x:c r="COT61" s="291"/>
      <x:c r="COU61" s="291"/>
      <x:c r="COV61" s="291"/>
      <x:c r="COW61" s="291"/>
      <x:c r="COX61" s="291"/>
      <x:c r="COY61" s="291"/>
      <x:c r="COZ61" s="291"/>
      <x:c r="CPA61" s="291"/>
      <x:c r="CPB61" s="291"/>
      <x:c r="CPC61" s="291"/>
      <x:c r="CPD61" s="291"/>
      <x:c r="CPE61" s="291"/>
      <x:c r="CPF61" s="291"/>
      <x:c r="CPG61" s="291"/>
      <x:c r="CPH61" s="291"/>
      <x:c r="CPI61" s="291"/>
      <x:c r="CPJ61" s="291"/>
      <x:c r="CPK61" s="291"/>
      <x:c r="CPL61" s="291"/>
      <x:c r="CPM61" s="291"/>
      <x:c r="CPN61" s="291"/>
      <x:c r="CPO61" s="291"/>
      <x:c r="CPP61" s="291"/>
      <x:c r="CPQ61" s="291"/>
      <x:c r="CPR61" s="291"/>
      <x:c r="CPS61" s="291"/>
      <x:c r="CPT61" s="291"/>
      <x:c r="CPU61" s="291"/>
      <x:c r="CPV61" s="291"/>
      <x:c r="CPW61" s="291"/>
      <x:c r="CPX61" s="291"/>
      <x:c r="CPY61" s="291"/>
      <x:c r="CPZ61" s="291"/>
      <x:c r="CQA61" s="291"/>
      <x:c r="CQB61" s="291"/>
      <x:c r="CQC61" s="291"/>
      <x:c r="CQD61" s="291"/>
      <x:c r="CQE61" s="291"/>
      <x:c r="CQF61" s="291"/>
      <x:c r="CQG61" s="291"/>
      <x:c r="CQH61" s="291"/>
      <x:c r="CQI61" s="291"/>
      <x:c r="CQJ61" s="291"/>
      <x:c r="CQK61" s="291"/>
      <x:c r="CQL61" s="291"/>
      <x:c r="CQM61" s="291"/>
      <x:c r="CQN61" s="291"/>
      <x:c r="CQO61" s="291"/>
      <x:c r="CQP61" s="291"/>
      <x:c r="CQQ61" s="291"/>
      <x:c r="CQR61" s="291"/>
      <x:c r="CQS61" s="291"/>
      <x:c r="CQT61" s="291"/>
      <x:c r="CQU61" s="291"/>
      <x:c r="CQV61" s="291"/>
      <x:c r="CQW61" s="291"/>
      <x:c r="CQX61" s="291"/>
      <x:c r="CQY61" s="291"/>
      <x:c r="CQZ61" s="291"/>
      <x:c r="CRA61" s="291"/>
      <x:c r="CRB61" s="291"/>
      <x:c r="CRC61" s="291"/>
      <x:c r="CRD61" s="291"/>
      <x:c r="CRE61" s="291"/>
      <x:c r="CRF61" s="291"/>
      <x:c r="CRG61" s="291"/>
      <x:c r="CRH61" s="291"/>
      <x:c r="CRI61" s="291"/>
      <x:c r="CRJ61" s="291"/>
      <x:c r="CRK61" s="291"/>
      <x:c r="CRL61" s="291"/>
      <x:c r="CRM61" s="291"/>
      <x:c r="CRN61" s="291"/>
      <x:c r="CRO61" s="291"/>
      <x:c r="CRP61" s="291"/>
      <x:c r="CRQ61" s="291"/>
      <x:c r="CRR61" s="291"/>
      <x:c r="CRS61" s="291"/>
      <x:c r="CRT61" s="291"/>
      <x:c r="CRU61" s="291"/>
      <x:c r="CRV61" s="291"/>
      <x:c r="CRW61" s="291"/>
      <x:c r="CRX61" s="291"/>
      <x:c r="CRY61" s="291"/>
      <x:c r="CRZ61" s="291"/>
      <x:c r="CSA61" s="291"/>
      <x:c r="CSB61" s="291"/>
      <x:c r="CSC61" s="291"/>
      <x:c r="CSD61" s="291"/>
      <x:c r="CSE61" s="291"/>
      <x:c r="CSF61" s="291"/>
      <x:c r="CSG61" s="291"/>
      <x:c r="CSH61" s="291"/>
      <x:c r="CSI61" s="291"/>
      <x:c r="CSJ61" s="291"/>
      <x:c r="CSK61" s="291"/>
      <x:c r="CSL61" s="291"/>
      <x:c r="CSM61" s="291"/>
      <x:c r="CSN61" s="291"/>
      <x:c r="CSO61" s="291"/>
      <x:c r="CSP61" s="291"/>
      <x:c r="CSQ61" s="291"/>
      <x:c r="CSR61" s="291"/>
      <x:c r="CSS61" s="291"/>
      <x:c r="CST61" s="291"/>
      <x:c r="CSU61" s="291"/>
      <x:c r="CSV61" s="291"/>
      <x:c r="CSW61" s="291"/>
      <x:c r="CSX61" s="291"/>
      <x:c r="CSY61" s="291"/>
      <x:c r="CSZ61" s="291"/>
      <x:c r="CTA61" s="291"/>
      <x:c r="CTB61" s="291"/>
      <x:c r="CTC61" s="291"/>
      <x:c r="CTD61" s="291"/>
      <x:c r="CTE61" s="291"/>
      <x:c r="CTF61" s="291"/>
      <x:c r="CTG61" s="291"/>
      <x:c r="CTH61" s="291"/>
      <x:c r="CTI61" s="291"/>
      <x:c r="CTJ61" s="291"/>
      <x:c r="CTK61" s="291"/>
      <x:c r="CTL61" s="291"/>
      <x:c r="CTM61" s="291"/>
      <x:c r="CTN61" s="291"/>
      <x:c r="CTO61" s="291"/>
      <x:c r="CTP61" s="291"/>
      <x:c r="CTQ61" s="291"/>
      <x:c r="CTR61" s="291"/>
      <x:c r="CTS61" s="291"/>
      <x:c r="CTT61" s="291"/>
      <x:c r="CTU61" s="291"/>
      <x:c r="CTV61" s="291"/>
      <x:c r="CTW61" s="291"/>
      <x:c r="CTX61" s="291"/>
      <x:c r="CTY61" s="291"/>
      <x:c r="CTZ61" s="291"/>
      <x:c r="CUA61" s="291"/>
      <x:c r="CUB61" s="291"/>
      <x:c r="CUC61" s="291"/>
      <x:c r="CUD61" s="291"/>
      <x:c r="CUE61" s="291"/>
      <x:c r="CUF61" s="291"/>
      <x:c r="CUG61" s="291"/>
      <x:c r="CUH61" s="291"/>
      <x:c r="CUI61" s="291"/>
      <x:c r="CUJ61" s="291"/>
      <x:c r="CUK61" s="291"/>
      <x:c r="CUL61" s="291"/>
      <x:c r="CUM61" s="291"/>
      <x:c r="CUN61" s="291"/>
      <x:c r="CUO61" s="291"/>
      <x:c r="CUP61" s="291"/>
      <x:c r="CUQ61" s="291"/>
      <x:c r="CUR61" s="291"/>
      <x:c r="CUS61" s="291"/>
      <x:c r="CUT61" s="291"/>
      <x:c r="CUU61" s="291"/>
      <x:c r="CUV61" s="291"/>
      <x:c r="CUW61" s="291"/>
      <x:c r="CUX61" s="291"/>
      <x:c r="CUY61" s="291"/>
      <x:c r="CUZ61" s="291"/>
      <x:c r="CVA61" s="291"/>
      <x:c r="CVB61" s="291"/>
      <x:c r="CVC61" s="291"/>
      <x:c r="CVD61" s="291"/>
      <x:c r="CVE61" s="291"/>
      <x:c r="CVF61" s="291"/>
      <x:c r="CVG61" s="291"/>
      <x:c r="CVH61" s="291"/>
      <x:c r="CVI61" s="291"/>
      <x:c r="CVJ61" s="291"/>
      <x:c r="CVK61" s="291"/>
      <x:c r="CVL61" s="291"/>
      <x:c r="CVM61" s="291"/>
      <x:c r="CVN61" s="291"/>
      <x:c r="CVO61" s="291"/>
      <x:c r="CVP61" s="291"/>
      <x:c r="CVQ61" s="291"/>
      <x:c r="CVR61" s="291"/>
      <x:c r="CVS61" s="291"/>
      <x:c r="CVT61" s="291"/>
      <x:c r="CVU61" s="291"/>
      <x:c r="CVV61" s="291"/>
      <x:c r="CVW61" s="291"/>
      <x:c r="CVX61" s="291"/>
      <x:c r="CVY61" s="291"/>
      <x:c r="CVZ61" s="291"/>
      <x:c r="CWA61" s="291"/>
      <x:c r="CWB61" s="291"/>
      <x:c r="CWC61" s="291"/>
      <x:c r="CWD61" s="291"/>
      <x:c r="CWE61" s="291"/>
      <x:c r="CWF61" s="291"/>
      <x:c r="CWG61" s="291"/>
      <x:c r="CWH61" s="291"/>
      <x:c r="CWI61" s="291"/>
      <x:c r="CWJ61" s="291"/>
      <x:c r="CWK61" s="291"/>
      <x:c r="CWL61" s="291"/>
      <x:c r="CWM61" s="291"/>
      <x:c r="CWN61" s="291"/>
      <x:c r="CWO61" s="291"/>
      <x:c r="CWP61" s="291"/>
      <x:c r="CWQ61" s="291"/>
      <x:c r="CWR61" s="291"/>
      <x:c r="CWS61" s="291"/>
      <x:c r="CWT61" s="291"/>
      <x:c r="CWU61" s="291"/>
      <x:c r="CWV61" s="291"/>
      <x:c r="CWW61" s="291"/>
      <x:c r="CWX61" s="291"/>
      <x:c r="CWY61" s="291"/>
      <x:c r="CWZ61" s="291"/>
      <x:c r="CXA61" s="291"/>
      <x:c r="CXB61" s="291"/>
      <x:c r="CXC61" s="291"/>
      <x:c r="CXD61" s="291"/>
      <x:c r="CXE61" s="291"/>
      <x:c r="CXF61" s="291"/>
      <x:c r="CXG61" s="291"/>
      <x:c r="CXH61" s="291"/>
      <x:c r="CXI61" s="291"/>
      <x:c r="CXJ61" s="291"/>
      <x:c r="CXK61" s="291"/>
      <x:c r="CXL61" s="291"/>
      <x:c r="CXM61" s="291"/>
      <x:c r="CXN61" s="291"/>
      <x:c r="CXO61" s="291"/>
      <x:c r="CXP61" s="291"/>
      <x:c r="CXQ61" s="291"/>
      <x:c r="CXR61" s="291"/>
      <x:c r="CXS61" s="291"/>
      <x:c r="CXT61" s="291"/>
      <x:c r="CXU61" s="291"/>
      <x:c r="CXV61" s="291"/>
      <x:c r="CXW61" s="291"/>
      <x:c r="CXX61" s="291"/>
      <x:c r="CXY61" s="291"/>
      <x:c r="CXZ61" s="291"/>
      <x:c r="CYA61" s="291"/>
      <x:c r="CYB61" s="291"/>
      <x:c r="CYC61" s="291"/>
      <x:c r="CYD61" s="291"/>
      <x:c r="CYE61" s="291"/>
      <x:c r="CYF61" s="291"/>
      <x:c r="CYG61" s="291"/>
      <x:c r="CYH61" s="291"/>
      <x:c r="CYI61" s="291"/>
      <x:c r="CYJ61" s="291"/>
      <x:c r="CYK61" s="291"/>
      <x:c r="CYL61" s="291"/>
      <x:c r="CYM61" s="291"/>
      <x:c r="CYN61" s="291"/>
      <x:c r="CYO61" s="291"/>
      <x:c r="CYP61" s="291"/>
      <x:c r="CYQ61" s="291"/>
      <x:c r="CYR61" s="291"/>
      <x:c r="CYS61" s="291"/>
      <x:c r="CYT61" s="291"/>
      <x:c r="CYU61" s="291"/>
      <x:c r="CYV61" s="291"/>
      <x:c r="CYW61" s="291"/>
      <x:c r="CYX61" s="291"/>
      <x:c r="CYY61" s="291"/>
      <x:c r="CYZ61" s="291"/>
      <x:c r="CZA61" s="291"/>
      <x:c r="CZB61" s="291"/>
      <x:c r="CZC61" s="291"/>
      <x:c r="CZD61" s="291"/>
      <x:c r="CZE61" s="291"/>
      <x:c r="CZF61" s="291"/>
      <x:c r="CZG61" s="291"/>
      <x:c r="CZH61" s="291"/>
      <x:c r="CZI61" s="291"/>
      <x:c r="CZJ61" s="291"/>
      <x:c r="CZK61" s="291"/>
      <x:c r="CZL61" s="291"/>
      <x:c r="CZM61" s="291"/>
      <x:c r="CZN61" s="291"/>
      <x:c r="CZO61" s="291"/>
      <x:c r="CZP61" s="291"/>
      <x:c r="CZQ61" s="291"/>
      <x:c r="CZR61" s="291"/>
      <x:c r="CZS61" s="291"/>
      <x:c r="CZT61" s="291"/>
      <x:c r="CZU61" s="291"/>
      <x:c r="CZV61" s="291"/>
      <x:c r="CZW61" s="291"/>
      <x:c r="CZX61" s="291"/>
      <x:c r="CZY61" s="291"/>
      <x:c r="CZZ61" s="291"/>
      <x:c r="DAA61" s="291"/>
      <x:c r="DAB61" s="291"/>
      <x:c r="DAC61" s="291"/>
      <x:c r="DAD61" s="291"/>
      <x:c r="DAE61" s="291"/>
      <x:c r="DAF61" s="291"/>
      <x:c r="DAG61" s="291"/>
      <x:c r="DAH61" s="291"/>
      <x:c r="DAI61" s="291"/>
      <x:c r="DAJ61" s="291"/>
      <x:c r="DAK61" s="291"/>
      <x:c r="DAL61" s="291"/>
      <x:c r="DAM61" s="291"/>
      <x:c r="DAN61" s="291"/>
      <x:c r="DAO61" s="291"/>
      <x:c r="DAP61" s="291"/>
      <x:c r="DAQ61" s="291"/>
      <x:c r="DAR61" s="291"/>
      <x:c r="DAS61" s="291"/>
      <x:c r="DAT61" s="291"/>
      <x:c r="DAU61" s="291"/>
      <x:c r="DAV61" s="291"/>
      <x:c r="DAW61" s="291"/>
      <x:c r="DAX61" s="291"/>
      <x:c r="DAY61" s="291"/>
      <x:c r="DAZ61" s="291"/>
      <x:c r="DBA61" s="291"/>
      <x:c r="DBB61" s="291"/>
      <x:c r="DBC61" s="291"/>
      <x:c r="DBD61" s="291"/>
      <x:c r="DBE61" s="291"/>
      <x:c r="DBF61" s="291"/>
      <x:c r="DBG61" s="291"/>
      <x:c r="DBH61" s="291"/>
      <x:c r="DBI61" s="291"/>
      <x:c r="DBJ61" s="291"/>
      <x:c r="DBK61" s="291"/>
      <x:c r="DBL61" s="291"/>
      <x:c r="DBM61" s="291"/>
      <x:c r="DBN61" s="291"/>
      <x:c r="DBO61" s="291"/>
      <x:c r="DBP61" s="291"/>
      <x:c r="DBQ61" s="291"/>
      <x:c r="DBR61" s="291"/>
      <x:c r="DBS61" s="291"/>
      <x:c r="DBT61" s="291"/>
      <x:c r="DBU61" s="291"/>
      <x:c r="DBV61" s="291"/>
      <x:c r="DBW61" s="291"/>
      <x:c r="DBX61" s="291"/>
      <x:c r="DBY61" s="291"/>
      <x:c r="DBZ61" s="291"/>
      <x:c r="DCA61" s="291"/>
      <x:c r="DCB61" s="291"/>
      <x:c r="DCC61" s="291"/>
      <x:c r="DCD61" s="291"/>
      <x:c r="DCE61" s="291"/>
      <x:c r="DCF61" s="291"/>
      <x:c r="DCG61" s="291"/>
      <x:c r="DCH61" s="291"/>
      <x:c r="DCI61" s="291"/>
      <x:c r="DCJ61" s="291"/>
      <x:c r="DCK61" s="291"/>
      <x:c r="DCL61" s="291"/>
      <x:c r="DCM61" s="291"/>
      <x:c r="DCN61" s="291"/>
      <x:c r="DCO61" s="291"/>
      <x:c r="DCP61" s="291"/>
      <x:c r="DCQ61" s="291"/>
      <x:c r="DCR61" s="291"/>
      <x:c r="DCS61" s="291"/>
      <x:c r="DCT61" s="291"/>
      <x:c r="DCU61" s="291"/>
      <x:c r="DCV61" s="291"/>
      <x:c r="DCW61" s="291"/>
      <x:c r="DCX61" s="291"/>
      <x:c r="DCY61" s="291"/>
      <x:c r="DCZ61" s="291"/>
      <x:c r="DDA61" s="291"/>
      <x:c r="DDB61" s="291"/>
      <x:c r="DDC61" s="291"/>
      <x:c r="DDD61" s="291"/>
      <x:c r="DDE61" s="291"/>
      <x:c r="DDF61" s="291"/>
      <x:c r="DDG61" s="291"/>
      <x:c r="DDH61" s="291"/>
      <x:c r="DDI61" s="291"/>
      <x:c r="DDJ61" s="291"/>
      <x:c r="DDK61" s="291"/>
      <x:c r="DDL61" s="291"/>
      <x:c r="DDM61" s="291"/>
      <x:c r="DDN61" s="291"/>
      <x:c r="DDO61" s="291"/>
      <x:c r="DDP61" s="291"/>
      <x:c r="DDQ61" s="291"/>
      <x:c r="DDR61" s="291"/>
      <x:c r="DDS61" s="291"/>
      <x:c r="DDT61" s="291"/>
      <x:c r="DDU61" s="291"/>
      <x:c r="DDV61" s="291"/>
      <x:c r="DDW61" s="291"/>
      <x:c r="DDX61" s="291"/>
      <x:c r="DDY61" s="291"/>
      <x:c r="DDZ61" s="291"/>
      <x:c r="DEA61" s="291"/>
      <x:c r="DEB61" s="291"/>
      <x:c r="DEC61" s="291"/>
      <x:c r="DED61" s="291"/>
      <x:c r="DEE61" s="291"/>
      <x:c r="DEF61" s="291"/>
      <x:c r="DEG61" s="291"/>
      <x:c r="DEH61" s="291"/>
      <x:c r="DEI61" s="291"/>
      <x:c r="DEJ61" s="291"/>
      <x:c r="DEK61" s="291"/>
      <x:c r="DEL61" s="291"/>
      <x:c r="DEM61" s="291"/>
      <x:c r="DEN61" s="291"/>
      <x:c r="DEO61" s="291"/>
      <x:c r="DEP61" s="291"/>
      <x:c r="DEQ61" s="291"/>
      <x:c r="DER61" s="291"/>
      <x:c r="DES61" s="291"/>
      <x:c r="DET61" s="291"/>
      <x:c r="DEU61" s="291"/>
      <x:c r="DEV61" s="291"/>
      <x:c r="DEW61" s="291"/>
      <x:c r="DEX61" s="291"/>
      <x:c r="DEY61" s="291"/>
      <x:c r="DEZ61" s="291"/>
      <x:c r="DFA61" s="291"/>
      <x:c r="DFB61" s="291"/>
      <x:c r="DFC61" s="291"/>
      <x:c r="DFD61" s="291"/>
      <x:c r="DFE61" s="291"/>
      <x:c r="DFF61" s="291"/>
      <x:c r="DFG61" s="291"/>
      <x:c r="DFH61" s="291"/>
      <x:c r="DFI61" s="291"/>
      <x:c r="DFJ61" s="291"/>
      <x:c r="DFK61" s="291"/>
      <x:c r="DFL61" s="291"/>
      <x:c r="DFM61" s="291"/>
      <x:c r="DFN61" s="291"/>
      <x:c r="DFO61" s="291"/>
      <x:c r="DFP61" s="291"/>
      <x:c r="DFQ61" s="291"/>
      <x:c r="DFR61" s="291"/>
      <x:c r="DFS61" s="291"/>
      <x:c r="DFT61" s="291"/>
      <x:c r="DFU61" s="291"/>
      <x:c r="DFV61" s="291"/>
      <x:c r="DFW61" s="291"/>
      <x:c r="DFX61" s="291"/>
      <x:c r="DFY61" s="291"/>
      <x:c r="DFZ61" s="291"/>
      <x:c r="DGA61" s="291"/>
      <x:c r="DGB61" s="291"/>
      <x:c r="DGC61" s="291"/>
      <x:c r="DGD61" s="291"/>
      <x:c r="DGE61" s="291"/>
      <x:c r="DGF61" s="291"/>
      <x:c r="DGG61" s="291"/>
      <x:c r="DGH61" s="291"/>
      <x:c r="DGI61" s="291"/>
      <x:c r="DGJ61" s="291"/>
      <x:c r="DGK61" s="291"/>
      <x:c r="DGL61" s="291"/>
      <x:c r="DGM61" s="291"/>
      <x:c r="DGN61" s="291"/>
      <x:c r="DGO61" s="291"/>
      <x:c r="DGP61" s="291"/>
      <x:c r="DGQ61" s="291"/>
      <x:c r="DGR61" s="291"/>
      <x:c r="DGS61" s="291"/>
      <x:c r="DGT61" s="291"/>
      <x:c r="DGU61" s="291"/>
      <x:c r="DGV61" s="291"/>
      <x:c r="DGW61" s="291"/>
      <x:c r="DGX61" s="291"/>
      <x:c r="DGY61" s="291"/>
      <x:c r="DGZ61" s="291"/>
      <x:c r="DHA61" s="291"/>
      <x:c r="DHB61" s="291"/>
      <x:c r="DHC61" s="291"/>
      <x:c r="DHD61" s="291"/>
      <x:c r="DHE61" s="291"/>
      <x:c r="DHF61" s="291"/>
      <x:c r="DHG61" s="291"/>
      <x:c r="DHH61" s="291"/>
      <x:c r="DHI61" s="291"/>
      <x:c r="DHJ61" s="291"/>
      <x:c r="DHK61" s="291"/>
      <x:c r="DHL61" s="291"/>
      <x:c r="DHM61" s="291"/>
      <x:c r="DHN61" s="291"/>
      <x:c r="DHO61" s="291"/>
      <x:c r="DHP61" s="291"/>
      <x:c r="DHQ61" s="291"/>
      <x:c r="DHR61" s="291"/>
      <x:c r="DHS61" s="291"/>
      <x:c r="DHT61" s="291"/>
      <x:c r="DHU61" s="291"/>
      <x:c r="DHV61" s="291"/>
      <x:c r="DHW61" s="291"/>
      <x:c r="DHX61" s="291"/>
      <x:c r="DHY61" s="291"/>
      <x:c r="DHZ61" s="291"/>
      <x:c r="DIA61" s="291"/>
      <x:c r="DIB61" s="291"/>
      <x:c r="DIC61" s="291"/>
      <x:c r="DID61" s="291"/>
      <x:c r="DIE61" s="291"/>
      <x:c r="DIF61" s="291"/>
      <x:c r="DIG61" s="291"/>
      <x:c r="DIH61" s="291"/>
      <x:c r="DII61" s="291"/>
      <x:c r="DIJ61" s="291"/>
      <x:c r="DIK61" s="291"/>
      <x:c r="DIL61" s="291"/>
      <x:c r="DIM61" s="291"/>
      <x:c r="DIN61" s="291"/>
      <x:c r="DIO61" s="291"/>
      <x:c r="DIP61" s="291"/>
      <x:c r="DIQ61" s="291"/>
      <x:c r="DIR61" s="291"/>
      <x:c r="DIS61" s="291"/>
      <x:c r="DIT61" s="291"/>
      <x:c r="DIU61" s="291"/>
      <x:c r="DIV61" s="291"/>
      <x:c r="DIW61" s="291"/>
      <x:c r="DIX61" s="291"/>
      <x:c r="DIY61" s="291"/>
      <x:c r="DIZ61" s="291"/>
      <x:c r="DJA61" s="291"/>
      <x:c r="DJB61" s="291"/>
      <x:c r="DJC61" s="291"/>
      <x:c r="DJD61" s="291"/>
      <x:c r="DJE61" s="291"/>
      <x:c r="DJF61" s="291"/>
      <x:c r="DJG61" s="291"/>
      <x:c r="DJH61" s="291"/>
      <x:c r="DJI61" s="291"/>
      <x:c r="DJJ61" s="291"/>
      <x:c r="DJK61" s="291"/>
      <x:c r="DJL61" s="291"/>
      <x:c r="DJM61" s="291"/>
      <x:c r="DJN61" s="291"/>
      <x:c r="DJO61" s="291"/>
      <x:c r="DJP61" s="291"/>
      <x:c r="DJQ61" s="291"/>
      <x:c r="DJR61" s="291"/>
      <x:c r="DJS61" s="291"/>
      <x:c r="DJT61" s="291"/>
      <x:c r="DJU61" s="291"/>
      <x:c r="DJV61" s="291"/>
      <x:c r="DJW61" s="291"/>
      <x:c r="DJX61" s="291"/>
      <x:c r="DJY61" s="291"/>
      <x:c r="DJZ61" s="291"/>
      <x:c r="DKA61" s="291"/>
      <x:c r="DKB61" s="291"/>
      <x:c r="DKC61" s="291"/>
      <x:c r="DKD61" s="291"/>
      <x:c r="DKE61" s="291"/>
      <x:c r="DKF61" s="291"/>
      <x:c r="DKG61" s="291"/>
      <x:c r="DKH61" s="291"/>
      <x:c r="DKI61" s="291"/>
      <x:c r="DKJ61" s="291"/>
      <x:c r="DKK61" s="291"/>
      <x:c r="DKL61" s="291"/>
      <x:c r="DKM61" s="291"/>
      <x:c r="DKN61" s="291"/>
      <x:c r="DKO61" s="291"/>
      <x:c r="DKP61" s="291"/>
      <x:c r="DKQ61" s="291"/>
      <x:c r="DKR61" s="291"/>
      <x:c r="DKS61" s="291"/>
      <x:c r="DKT61" s="291"/>
      <x:c r="DKU61" s="291"/>
      <x:c r="DKV61" s="291"/>
      <x:c r="DKW61" s="291"/>
      <x:c r="DKX61" s="291"/>
      <x:c r="DKY61" s="291"/>
      <x:c r="DKZ61" s="291"/>
      <x:c r="DLA61" s="291"/>
      <x:c r="DLB61" s="291"/>
      <x:c r="DLC61" s="291"/>
      <x:c r="DLD61" s="291"/>
      <x:c r="DLE61" s="291"/>
      <x:c r="DLF61" s="291"/>
      <x:c r="DLG61" s="291"/>
      <x:c r="DLH61" s="291"/>
      <x:c r="DLI61" s="291"/>
      <x:c r="DLJ61" s="291"/>
      <x:c r="DLK61" s="291"/>
      <x:c r="DLL61" s="291"/>
      <x:c r="DLM61" s="291"/>
      <x:c r="DLN61" s="291"/>
      <x:c r="DLO61" s="291"/>
      <x:c r="DLP61" s="291"/>
      <x:c r="DLQ61" s="291"/>
      <x:c r="DLR61" s="291"/>
      <x:c r="DLS61" s="291"/>
      <x:c r="DLT61" s="291"/>
      <x:c r="DLU61" s="291"/>
      <x:c r="DLV61" s="291"/>
      <x:c r="DLW61" s="291"/>
      <x:c r="DLX61" s="291"/>
      <x:c r="DLY61" s="291"/>
      <x:c r="DLZ61" s="291"/>
      <x:c r="DMA61" s="291"/>
      <x:c r="DMB61" s="291"/>
      <x:c r="DMC61" s="291"/>
      <x:c r="DMD61" s="291"/>
      <x:c r="DME61" s="291"/>
      <x:c r="DMF61" s="291"/>
      <x:c r="DMG61" s="291"/>
      <x:c r="DMH61" s="291"/>
      <x:c r="DMI61" s="291"/>
      <x:c r="DMJ61" s="291"/>
      <x:c r="DMK61" s="291"/>
      <x:c r="DML61" s="291"/>
      <x:c r="DMM61" s="291"/>
      <x:c r="DMN61" s="291"/>
      <x:c r="DMO61" s="291"/>
      <x:c r="DMP61" s="291"/>
      <x:c r="DMQ61" s="291"/>
      <x:c r="DMR61" s="291"/>
      <x:c r="DMS61" s="291"/>
      <x:c r="DMT61" s="291"/>
      <x:c r="DMU61" s="291"/>
      <x:c r="DMV61" s="291"/>
      <x:c r="DMW61" s="291"/>
      <x:c r="DMX61" s="291"/>
      <x:c r="DMY61" s="291"/>
      <x:c r="DMZ61" s="291"/>
      <x:c r="DNA61" s="291"/>
      <x:c r="DNB61" s="291"/>
      <x:c r="DNC61" s="291"/>
      <x:c r="DND61" s="291"/>
      <x:c r="DNE61" s="291"/>
      <x:c r="DNF61" s="291"/>
      <x:c r="DNG61" s="291"/>
      <x:c r="DNH61" s="291"/>
      <x:c r="DNI61" s="291"/>
      <x:c r="DNJ61" s="291"/>
      <x:c r="DNK61" s="291"/>
      <x:c r="DNL61" s="291"/>
      <x:c r="DNM61" s="291"/>
      <x:c r="DNN61" s="291"/>
      <x:c r="DNO61" s="291"/>
      <x:c r="DNP61" s="291"/>
      <x:c r="DNQ61" s="291"/>
      <x:c r="DNR61" s="291"/>
      <x:c r="DNS61" s="291"/>
      <x:c r="DNT61" s="291"/>
      <x:c r="DNU61" s="291"/>
      <x:c r="DNV61" s="291"/>
      <x:c r="DNW61" s="291"/>
      <x:c r="DNX61" s="291"/>
      <x:c r="DNY61" s="291"/>
      <x:c r="DNZ61" s="291"/>
      <x:c r="DOA61" s="291"/>
      <x:c r="DOB61" s="291"/>
      <x:c r="DOC61" s="291"/>
      <x:c r="DOD61" s="291"/>
      <x:c r="DOE61" s="291"/>
      <x:c r="DOF61" s="291"/>
      <x:c r="DOG61" s="291"/>
      <x:c r="DOH61" s="291"/>
      <x:c r="DOI61" s="291"/>
      <x:c r="DOJ61" s="291"/>
      <x:c r="DOK61" s="291"/>
      <x:c r="DOL61" s="291"/>
      <x:c r="DOM61" s="291"/>
      <x:c r="DON61" s="291"/>
      <x:c r="DOO61" s="291"/>
      <x:c r="DOP61" s="291"/>
      <x:c r="DOQ61" s="291"/>
      <x:c r="DOR61" s="291"/>
      <x:c r="DOS61" s="291"/>
      <x:c r="DOT61" s="291"/>
      <x:c r="DOU61" s="291"/>
      <x:c r="DOV61" s="291"/>
      <x:c r="DOW61" s="291"/>
      <x:c r="DOX61" s="291"/>
      <x:c r="DOY61" s="291"/>
      <x:c r="DOZ61" s="291"/>
      <x:c r="DPA61" s="291"/>
      <x:c r="DPB61" s="291"/>
      <x:c r="DPC61" s="291"/>
      <x:c r="DPD61" s="291"/>
      <x:c r="DPE61" s="291"/>
      <x:c r="DPF61" s="291"/>
      <x:c r="DPG61" s="291"/>
      <x:c r="DPH61" s="291"/>
      <x:c r="DPI61" s="291"/>
      <x:c r="DPJ61" s="291"/>
      <x:c r="DPK61" s="291"/>
      <x:c r="DPL61" s="291"/>
      <x:c r="DPM61" s="291"/>
      <x:c r="DPN61" s="291"/>
      <x:c r="DPO61" s="291"/>
      <x:c r="DPP61" s="291"/>
      <x:c r="DPQ61" s="291"/>
      <x:c r="DPR61" s="291"/>
      <x:c r="DPS61" s="291"/>
      <x:c r="DPT61" s="291"/>
      <x:c r="DPU61" s="291"/>
      <x:c r="DPV61" s="291"/>
      <x:c r="DPW61" s="291"/>
      <x:c r="DPX61" s="291"/>
      <x:c r="DPY61" s="291"/>
      <x:c r="DPZ61" s="291"/>
      <x:c r="DQA61" s="291"/>
      <x:c r="DQB61" s="291"/>
      <x:c r="DQC61" s="291"/>
      <x:c r="DQD61" s="291"/>
      <x:c r="DQE61" s="291"/>
      <x:c r="DQF61" s="291"/>
      <x:c r="DQG61" s="291"/>
      <x:c r="DQH61" s="291"/>
      <x:c r="DQI61" s="291"/>
      <x:c r="DQJ61" s="291"/>
      <x:c r="DQK61" s="291"/>
      <x:c r="DQL61" s="291"/>
      <x:c r="DQM61" s="291"/>
      <x:c r="DQN61" s="291"/>
      <x:c r="DQO61" s="291"/>
      <x:c r="DQP61" s="291"/>
      <x:c r="DQQ61" s="291"/>
      <x:c r="DQR61" s="291"/>
      <x:c r="DQS61" s="291"/>
      <x:c r="DQT61" s="291"/>
      <x:c r="DQU61" s="291"/>
      <x:c r="DQV61" s="291"/>
      <x:c r="DQW61" s="291"/>
      <x:c r="DQX61" s="291"/>
      <x:c r="DQY61" s="291"/>
      <x:c r="DQZ61" s="291"/>
      <x:c r="DRA61" s="291"/>
      <x:c r="DRB61" s="291"/>
      <x:c r="DRC61" s="291"/>
      <x:c r="DRD61" s="291"/>
      <x:c r="DRE61" s="291"/>
      <x:c r="DRF61" s="291"/>
      <x:c r="DRG61" s="291"/>
      <x:c r="DRH61" s="291"/>
      <x:c r="DRI61" s="291"/>
      <x:c r="DRJ61" s="291"/>
      <x:c r="DRK61" s="291"/>
      <x:c r="DRL61" s="291"/>
      <x:c r="DRM61" s="291"/>
      <x:c r="DRN61" s="291"/>
      <x:c r="DRO61" s="291"/>
      <x:c r="DRP61" s="291"/>
      <x:c r="DRQ61" s="291"/>
      <x:c r="DRR61" s="291"/>
      <x:c r="DRS61" s="291"/>
      <x:c r="DRT61" s="291"/>
      <x:c r="DRU61" s="291"/>
      <x:c r="DRV61" s="291"/>
      <x:c r="DRW61" s="291"/>
      <x:c r="DRX61" s="291"/>
      <x:c r="DRY61" s="291"/>
      <x:c r="DRZ61" s="291"/>
      <x:c r="DSA61" s="291"/>
      <x:c r="DSB61" s="291"/>
      <x:c r="DSC61" s="291"/>
      <x:c r="DSD61" s="291"/>
      <x:c r="DSE61" s="291"/>
      <x:c r="DSF61" s="291"/>
      <x:c r="DSG61" s="291"/>
      <x:c r="DSH61" s="291"/>
      <x:c r="DSI61" s="291"/>
      <x:c r="DSJ61" s="291"/>
      <x:c r="DSK61" s="291"/>
      <x:c r="DSL61" s="291"/>
      <x:c r="DSM61" s="291"/>
      <x:c r="DSN61" s="291"/>
      <x:c r="DSO61" s="291"/>
      <x:c r="DSP61" s="291"/>
      <x:c r="DSQ61" s="291"/>
      <x:c r="DSR61" s="291"/>
      <x:c r="DSS61" s="291"/>
      <x:c r="DST61" s="291"/>
      <x:c r="DSU61" s="291"/>
      <x:c r="DSV61" s="291"/>
      <x:c r="DSW61" s="291"/>
      <x:c r="DSX61" s="291"/>
      <x:c r="DSY61" s="291"/>
      <x:c r="DSZ61" s="291"/>
      <x:c r="DTA61" s="291"/>
      <x:c r="DTB61" s="291"/>
      <x:c r="DTC61" s="291"/>
      <x:c r="DTD61" s="291"/>
      <x:c r="DTE61" s="291"/>
      <x:c r="DTF61" s="291"/>
      <x:c r="DTG61" s="291"/>
      <x:c r="DTH61" s="291"/>
      <x:c r="DTI61" s="291"/>
      <x:c r="DTJ61" s="291"/>
      <x:c r="DTK61" s="291"/>
      <x:c r="DTL61" s="291"/>
      <x:c r="DTM61" s="291"/>
      <x:c r="DTN61" s="291"/>
      <x:c r="DTO61" s="291"/>
      <x:c r="DTP61" s="291"/>
      <x:c r="DTQ61" s="291"/>
      <x:c r="DTR61" s="291"/>
      <x:c r="DTS61" s="291"/>
      <x:c r="DTT61" s="291"/>
      <x:c r="DTU61" s="291"/>
      <x:c r="DTV61" s="291"/>
      <x:c r="DTW61" s="291"/>
      <x:c r="DTX61" s="291"/>
      <x:c r="DTY61" s="291"/>
      <x:c r="DTZ61" s="291"/>
      <x:c r="DUA61" s="291"/>
      <x:c r="DUB61" s="291"/>
      <x:c r="DUC61" s="291"/>
      <x:c r="DUD61" s="291"/>
      <x:c r="DUE61" s="291"/>
      <x:c r="DUF61" s="291"/>
      <x:c r="DUG61" s="291"/>
      <x:c r="DUH61" s="291"/>
      <x:c r="DUI61" s="291"/>
      <x:c r="DUJ61" s="291"/>
      <x:c r="DUK61" s="291"/>
      <x:c r="DUL61" s="291"/>
      <x:c r="DUM61" s="291"/>
      <x:c r="DUN61" s="291"/>
      <x:c r="DUO61" s="291"/>
      <x:c r="DUP61" s="291"/>
      <x:c r="DUQ61" s="291"/>
      <x:c r="DUR61" s="291"/>
      <x:c r="DUS61" s="291"/>
      <x:c r="DUT61" s="291"/>
      <x:c r="DUU61" s="291"/>
      <x:c r="DUV61" s="291"/>
      <x:c r="DUW61" s="291"/>
      <x:c r="DUX61" s="291"/>
      <x:c r="DUY61" s="291"/>
      <x:c r="DUZ61" s="291"/>
      <x:c r="DVA61" s="291"/>
      <x:c r="DVB61" s="291"/>
      <x:c r="DVC61" s="291"/>
      <x:c r="DVD61" s="291"/>
      <x:c r="DVE61" s="291"/>
      <x:c r="DVF61" s="291"/>
      <x:c r="DVG61" s="291"/>
      <x:c r="DVH61" s="291"/>
      <x:c r="DVI61" s="291"/>
      <x:c r="DVJ61" s="291"/>
      <x:c r="DVK61" s="291"/>
      <x:c r="DVL61" s="291"/>
      <x:c r="DVM61" s="291"/>
      <x:c r="DVN61" s="291"/>
      <x:c r="DVO61" s="291"/>
      <x:c r="DVP61" s="291"/>
      <x:c r="DVQ61" s="291"/>
      <x:c r="DVR61" s="291"/>
      <x:c r="DVS61" s="291"/>
      <x:c r="DVT61" s="291"/>
      <x:c r="DVU61" s="291"/>
      <x:c r="DVV61" s="291"/>
      <x:c r="DVW61" s="291"/>
      <x:c r="DVX61" s="291"/>
      <x:c r="DVY61" s="291"/>
      <x:c r="DVZ61" s="291"/>
      <x:c r="DWA61" s="291"/>
      <x:c r="DWB61" s="291"/>
      <x:c r="DWC61" s="291"/>
      <x:c r="DWD61" s="291"/>
      <x:c r="DWE61" s="291"/>
      <x:c r="DWF61" s="291"/>
      <x:c r="DWG61" s="291"/>
      <x:c r="DWH61" s="291"/>
      <x:c r="DWI61" s="291"/>
      <x:c r="DWJ61" s="291"/>
      <x:c r="DWK61" s="291"/>
      <x:c r="DWL61" s="291"/>
      <x:c r="DWM61" s="291"/>
      <x:c r="DWN61" s="291"/>
      <x:c r="DWO61" s="291"/>
      <x:c r="DWP61" s="291"/>
      <x:c r="DWQ61" s="291"/>
      <x:c r="DWR61" s="291"/>
      <x:c r="DWS61" s="291"/>
      <x:c r="DWT61" s="291"/>
      <x:c r="DWU61" s="291"/>
      <x:c r="DWV61" s="291"/>
      <x:c r="DWW61" s="291"/>
      <x:c r="DWX61" s="291"/>
      <x:c r="DWY61" s="291"/>
      <x:c r="DWZ61" s="291"/>
      <x:c r="DXA61" s="291"/>
      <x:c r="DXB61" s="291"/>
      <x:c r="DXC61" s="291"/>
      <x:c r="DXD61" s="291"/>
      <x:c r="DXE61" s="291"/>
      <x:c r="DXF61" s="291"/>
      <x:c r="DXG61" s="291"/>
      <x:c r="DXH61" s="291"/>
      <x:c r="DXI61" s="291"/>
      <x:c r="DXJ61" s="291"/>
      <x:c r="DXK61" s="291"/>
      <x:c r="DXL61" s="291"/>
      <x:c r="DXM61" s="291"/>
      <x:c r="DXN61" s="291"/>
      <x:c r="DXO61" s="291"/>
      <x:c r="DXP61" s="291"/>
      <x:c r="DXQ61" s="291"/>
      <x:c r="DXR61" s="291"/>
      <x:c r="DXS61" s="291"/>
      <x:c r="DXT61" s="291"/>
      <x:c r="DXU61" s="291"/>
      <x:c r="DXV61" s="291"/>
      <x:c r="DXW61" s="291"/>
      <x:c r="DXX61" s="291"/>
      <x:c r="DXY61" s="291"/>
      <x:c r="DXZ61" s="291"/>
      <x:c r="DYA61" s="291"/>
      <x:c r="DYB61" s="291"/>
      <x:c r="DYC61" s="291"/>
      <x:c r="DYD61" s="291"/>
      <x:c r="DYE61" s="291"/>
      <x:c r="DYF61" s="291"/>
      <x:c r="DYG61" s="291"/>
      <x:c r="DYH61" s="291"/>
      <x:c r="DYI61" s="291"/>
      <x:c r="DYJ61" s="291"/>
      <x:c r="DYK61" s="291"/>
      <x:c r="DYL61" s="291"/>
      <x:c r="DYM61" s="291"/>
      <x:c r="DYN61" s="291"/>
      <x:c r="DYO61" s="291"/>
      <x:c r="DYP61" s="291"/>
      <x:c r="DYQ61" s="291"/>
      <x:c r="DYR61" s="291"/>
      <x:c r="DYS61" s="291"/>
      <x:c r="DYT61" s="291"/>
      <x:c r="DYU61" s="291"/>
      <x:c r="DYV61" s="291"/>
      <x:c r="DYW61" s="291"/>
      <x:c r="DYX61" s="291"/>
      <x:c r="DYY61" s="291"/>
      <x:c r="DYZ61" s="291"/>
      <x:c r="DZA61" s="291"/>
      <x:c r="DZB61" s="291"/>
      <x:c r="DZC61" s="291"/>
      <x:c r="DZD61" s="291"/>
      <x:c r="DZE61" s="291"/>
      <x:c r="DZF61" s="291"/>
      <x:c r="DZG61" s="291"/>
      <x:c r="DZH61" s="291"/>
      <x:c r="DZI61" s="291"/>
      <x:c r="DZJ61" s="291"/>
      <x:c r="DZK61" s="291"/>
      <x:c r="DZL61" s="291"/>
      <x:c r="DZM61" s="291"/>
      <x:c r="DZN61" s="291"/>
      <x:c r="DZO61" s="291"/>
      <x:c r="DZP61" s="291"/>
      <x:c r="DZQ61" s="291"/>
      <x:c r="DZR61" s="291"/>
      <x:c r="DZS61" s="291"/>
      <x:c r="DZT61" s="291"/>
      <x:c r="DZU61" s="291"/>
      <x:c r="DZV61" s="291"/>
      <x:c r="DZW61" s="291"/>
      <x:c r="DZX61" s="291"/>
      <x:c r="DZY61" s="291"/>
      <x:c r="DZZ61" s="291"/>
      <x:c r="EAA61" s="291"/>
      <x:c r="EAB61" s="291"/>
      <x:c r="EAC61" s="291"/>
      <x:c r="EAD61" s="291"/>
      <x:c r="EAE61" s="291"/>
      <x:c r="EAF61" s="291"/>
      <x:c r="EAG61" s="291"/>
      <x:c r="EAH61" s="291"/>
      <x:c r="EAI61" s="291"/>
      <x:c r="EAJ61" s="291"/>
      <x:c r="EAK61" s="291"/>
      <x:c r="EAL61" s="291"/>
      <x:c r="EAM61" s="291"/>
      <x:c r="EAN61" s="291"/>
      <x:c r="EAO61" s="291"/>
      <x:c r="EAP61" s="291"/>
      <x:c r="EAQ61" s="291"/>
      <x:c r="EAR61" s="291"/>
      <x:c r="EAS61" s="291"/>
      <x:c r="EAT61" s="291"/>
      <x:c r="EAU61" s="291"/>
      <x:c r="EAV61" s="291"/>
      <x:c r="EAW61" s="291"/>
      <x:c r="EAX61" s="291"/>
      <x:c r="EAY61" s="291"/>
      <x:c r="EAZ61" s="291"/>
      <x:c r="EBA61" s="291"/>
      <x:c r="EBB61" s="291"/>
      <x:c r="EBC61" s="291"/>
      <x:c r="EBD61" s="291"/>
      <x:c r="EBE61" s="291"/>
      <x:c r="EBF61" s="291"/>
      <x:c r="EBG61" s="291"/>
      <x:c r="EBH61" s="291"/>
      <x:c r="EBI61" s="291"/>
      <x:c r="EBJ61" s="291"/>
      <x:c r="EBK61" s="291"/>
      <x:c r="EBL61" s="291"/>
      <x:c r="EBM61" s="291"/>
      <x:c r="EBN61" s="291"/>
      <x:c r="EBO61" s="291"/>
      <x:c r="EBP61" s="291"/>
      <x:c r="EBQ61" s="291"/>
      <x:c r="EBR61" s="291"/>
      <x:c r="EBS61" s="291"/>
      <x:c r="EBT61" s="291"/>
      <x:c r="EBU61" s="291"/>
      <x:c r="EBV61" s="291"/>
      <x:c r="EBW61" s="291"/>
      <x:c r="EBX61" s="291"/>
      <x:c r="EBY61" s="291"/>
      <x:c r="EBZ61" s="291"/>
      <x:c r="ECA61" s="291"/>
      <x:c r="ECB61" s="291"/>
      <x:c r="ECC61" s="291"/>
      <x:c r="ECD61" s="291"/>
      <x:c r="ECE61" s="291"/>
      <x:c r="ECF61" s="291"/>
      <x:c r="ECG61" s="291"/>
      <x:c r="ECH61" s="291"/>
      <x:c r="ECI61" s="291"/>
      <x:c r="ECJ61" s="291"/>
      <x:c r="ECK61" s="291"/>
      <x:c r="ECL61" s="291"/>
      <x:c r="ECM61" s="291"/>
      <x:c r="ECN61" s="291"/>
      <x:c r="ECO61" s="291"/>
      <x:c r="ECP61" s="291"/>
      <x:c r="ECQ61" s="291"/>
      <x:c r="ECR61" s="291"/>
      <x:c r="ECS61" s="291"/>
      <x:c r="ECT61" s="291"/>
      <x:c r="ECU61" s="291"/>
      <x:c r="ECV61" s="291"/>
      <x:c r="ECW61" s="291"/>
      <x:c r="ECX61" s="291"/>
      <x:c r="ECY61" s="291"/>
      <x:c r="ECZ61" s="291"/>
      <x:c r="EDA61" s="291"/>
      <x:c r="EDB61" s="291"/>
      <x:c r="EDC61" s="291"/>
      <x:c r="EDD61" s="291"/>
      <x:c r="EDE61" s="291"/>
      <x:c r="EDF61" s="291"/>
      <x:c r="EDG61" s="291"/>
      <x:c r="EDH61" s="291"/>
      <x:c r="EDI61" s="291"/>
      <x:c r="EDJ61" s="291"/>
      <x:c r="EDK61" s="291"/>
      <x:c r="EDL61" s="291"/>
      <x:c r="EDM61" s="291"/>
      <x:c r="EDN61" s="291"/>
      <x:c r="EDO61" s="291"/>
      <x:c r="EDP61" s="291"/>
      <x:c r="EDQ61" s="291"/>
      <x:c r="EDR61" s="291"/>
      <x:c r="EDS61" s="291"/>
      <x:c r="EDT61" s="291"/>
      <x:c r="EDU61" s="291"/>
      <x:c r="EDV61" s="291"/>
      <x:c r="EDW61" s="291"/>
      <x:c r="EDX61" s="291"/>
      <x:c r="EDY61" s="291"/>
      <x:c r="EDZ61" s="291"/>
      <x:c r="EEA61" s="291"/>
      <x:c r="EEB61" s="291"/>
      <x:c r="EEC61" s="291"/>
      <x:c r="EED61" s="291"/>
      <x:c r="EEE61" s="291"/>
      <x:c r="EEF61" s="291"/>
      <x:c r="EEG61" s="291"/>
      <x:c r="EEH61" s="291"/>
      <x:c r="EEI61" s="291"/>
      <x:c r="EEJ61" s="291"/>
      <x:c r="EEK61" s="291"/>
      <x:c r="EEL61" s="291"/>
      <x:c r="EEM61" s="291"/>
      <x:c r="EEN61" s="291"/>
      <x:c r="EEO61" s="291"/>
      <x:c r="EEP61" s="291"/>
      <x:c r="EEQ61" s="291"/>
      <x:c r="EER61" s="291"/>
      <x:c r="EES61" s="291"/>
      <x:c r="EET61" s="291"/>
      <x:c r="EEU61" s="291"/>
      <x:c r="EEV61" s="291"/>
      <x:c r="EEW61" s="291"/>
      <x:c r="EEX61" s="291"/>
      <x:c r="EEY61" s="291"/>
      <x:c r="EEZ61" s="291"/>
      <x:c r="EFA61" s="291"/>
      <x:c r="EFB61" s="291"/>
      <x:c r="EFC61" s="291"/>
      <x:c r="EFD61" s="291"/>
      <x:c r="EFE61" s="291"/>
      <x:c r="EFF61" s="291"/>
      <x:c r="EFG61" s="291"/>
      <x:c r="EFH61" s="291"/>
      <x:c r="EFI61" s="291"/>
      <x:c r="EFJ61" s="291"/>
      <x:c r="EFK61" s="291"/>
      <x:c r="EFL61" s="291"/>
      <x:c r="EFM61" s="291"/>
      <x:c r="EFN61" s="291"/>
      <x:c r="EFO61" s="291"/>
      <x:c r="EFP61" s="291"/>
      <x:c r="EFQ61" s="291"/>
      <x:c r="EFR61" s="291"/>
      <x:c r="EFS61" s="291"/>
      <x:c r="EFT61" s="291"/>
      <x:c r="EFU61" s="291"/>
      <x:c r="EFV61" s="291"/>
      <x:c r="EFW61" s="291"/>
      <x:c r="EFX61" s="291"/>
      <x:c r="EFY61" s="291"/>
      <x:c r="EFZ61" s="291"/>
      <x:c r="EGA61" s="291"/>
      <x:c r="EGB61" s="291"/>
      <x:c r="EGC61" s="291"/>
      <x:c r="EGD61" s="291"/>
      <x:c r="EGE61" s="291"/>
      <x:c r="EGF61" s="291"/>
      <x:c r="EGG61" s="291"/>
      <x:c r="EGH61" s="291"/>
      <x:c r="EGI61" s="291"/>
      <x:c r="EGJ61" s="291"/>
      <x:c r="EGK61" s="291"/>
      <x:c r="EGL61" s="291"/>
      <x:c r="EGM61" s="291"/>
      <x:c r="EGN61" s="291"/>
      <x:c r="EGO61" s="291"/>
      <x:c r="EGP61" s="291"/>
      <x:c r="EGQ61" s="291"/>
      <x:c r="EGR61" s="291"/>
      <x:c r="EGS61" s="291"/>
      <x:c r="EGT61" s="291"/>
      <x:c r="EGU61" s="291"/>
      <x:c r="EGV61" s="291"/>
      <x:c r="EGW61" s="291"/>
      <x:c r="EGX61" s="291"/>
      <x:c r="EGY61" s="291"/>
      <x:c r="EGZ61" s="291"/>
      <x:c r="EHA61" s="291"/>
      <x:c r="EHB61" s="291"/>
      <x:c r="EHC61" s="291"/>
      <x:c r="EHD61" s="291"/>
      <x:c r="EHE61" s="291"/>
      <x:c r="EHF61" s="291"/>
      <x:c r="EHG61" s="291"/>
      <x:c r="EHH61" s="291"/>
      <x:c r="EHI61" s="291"/>
      <x:c r="EHJ61" s="291"/>
      <x:c r="EHK61" s="291"/>
      <x:c r="EHL61" s="291"/>
      <x:c r="EHM61" s="291"/>
      <x:c r="EHN61" s="291"/>
      <x:c r="EHO61" s="291"/>
      <x:c r="EHP61" s="291"/>
      <x:c r="EHQ61" s="291"/>
      <x:c r="EHR61" s="291"/>
      <x:c r="EHS61" s="291"/>
      <x:c r="EHT61" s="291"/>
      <x:c r="EHU61" s="291"/>
      <x:c r="EHV61" s="291"/>
      <x:c r="EHW61" s="291"/>
      <x:c r="EHX61" s="291"/>
      <x:c r="EHY61" s="291"/>
      <x:c r="EHZ61" s="291"/>
      <x:c r="EIA61" s="291"/>
      <x:c r="EIB61" s="291"/>
      <x:c r="EIC61" s="291"/>
      <x:c r="EID61" s="291"/>
      <x:c r="EIE61" s="291"/>
      <x:c r="EIF61" s="291"/>
      <x:c r="EIG61" s="291"/>
      <x:c r="EIH61" s="291"/>
      <x:c r="EII61" s="291"/>
      <x:c r="EIJ61" s="291"/>
      <x:c r="EIK61" s="291"/>
      <x:c r="EIL61" s="291"/>
      <x:c r="EIM61" s="291"/>
      <x:c r="EIN61" s="291"/>
      <x:c r="EIO61" s="291"/>
      <x:c r="EIP61" s="291"/>
      <x:c r="EIQ61" s="291"/>
      <x:c r="EIR61" s="291"/>
      <x:c r="EIS61" s="291"/>
      <x:c r="EIT61" s="291"/>
      <x:c r="EIU61" s="291"/>
      <x:c r="EIV61" s="291"/>
      <x:c r="EIW61" s="291"/>
      <x:c r="EIX61" s="291"/>
      <x:c r="EIY61" s="291"/>
      <x:c r="EIZ61" s="291"/>
      <x:c r="EJA61" s="291"/>
      <x:c r="EJB61" s="291"/>
      <x:c r="EJC61" s="291"/>
      <x:c r="EJD61" s="291"/>
      <x:c r="EJE61" s="291"/>
      <x:c r="EJF61" s="291"/>
      <x:c r="EJG61" s="291"/>
      <x:c r="EJH61" s="291"/>
      <x:c r="EJI61" s="291"/>
      <x:c r="EJJ61" s="291"/>
      <x:c r="EJK61" s="291"/>
      <x:c r="EJL61" s="291"/>
      <x:c r="EJM61" s="291"/>
      <x:c r="EJN61" s="291"/>
      <x:c r="EJO61" s="291"/>
      <x:c r="EJP61" s="291"/>
      <x:c r="EJQ61" s="291"/>
      <x:c r="EJR61" s="291"/>
      <x:c r="EJS61" s="291"/>
      <x:c r="EJT61" s="291"/>
      <x:c r="EJU61" s="291"/>
      <x:c r="EJV61" s="291"/>
      <x:c r="EJW61" s="291"/>
      <x:c r="EJX61" s="291"/>
      <x:c r="EJY61" s="291"/>
      <x:c r="EJZ61" s="291"/>
      <x:c r="EKA61" s="291"/>
      <x:c r="EKB61" s="291"/>
      <x:c r="EKC61" s="291"/>
      <x:c r="EKD61" s="291"/>
      <x:c r="EKE61" s="291"/>
      <x:c r="EKF61" s="291"/>
      <x:c r="EKG61" s="291"/>
      <x:c r="EKH61" s="291"/>
      <x:c r="EKI61" s="291"/>
      <x:c r="EKJ61" s="291"/>
      <x:c r="EKK61" s="291"/>
      <x:c r="EKL61" s="291"/>
      <x:c r="EKM61" s="291"/>
      <x:c r="EKN61" s="291"/>
      <x:c r="EKO61" s="291"/>
      <x:c r="EKP61" s="291"/>
      <x:c r="EKQ61" s="291"/>
      <x:c r="EKR61" s="291"/>
      <x:c r="EKS61" s="291"/>
      <x:c r="EKT61" s="291"/>
      <x:c r="EKU61" s="291"/>
      <x:c r="EKV61" s="291"/>
      <x:c r="EKW61" s="291"/>
      <x:c r="EKX61" s="291"/>
      <x:c r="EKY61" s="291"/>
      <x:c r="EKZ61" s="291"/>
      <x:c r="ELA61" s="291"/>
      <x:c r="ELB61" s="291"/>
      <x:c r="ELC61" s="291"/>
      <x:c r="ELD61" s="291"/>
      <x:c r="ELE61" s="291"/>
      <x:c r="ELF61" s="291"/>
      <x:c r="ELG61" s="291"/>
      <x:c r="ELH61" s="291"/>
      <x:c r="ELI61" s="291"/>
      <x:c r="ELJ61" s="291"/>
      <x:c r="ELK61" s="291"/>
      <x:c r="ELL61" s="291"/>
      <x:c r="ELM61" s="291"/>
      <x:c r="ELN61" s="291"/>
      <x:c r="ELO61" s="291"/>
      <x:c r="ELP61" s="291"/>
      <x:c r="ELQ61" s="291"/>
      <x:c r="ELR61" s="291"/>
      <x:c r="ELS61" s="291"/>
      <x:c r="ELT61" s="291"/>
      <x:c r="ELU61" s="291"/>
      <x:c r="ELV61" s="291"/>
      <x:c r="ELW61" s="291"/>
      <x:c r="ELX61" s="291"/>
      <x:c r="ELY61" s="291"/>
      <x:c r="ELZ61" s="291"/>
      <x:c r="EMA61" s="291"/>
      <x:c r="EMB61" s="291"/>
      <x:c r="EMC61" s="291"/>
      <x:c r="EMD61" s="291"/>
      <x:c r="EME61" s="291"/>
      <x:c r="EMF61" s="291"/>
      <x:c r="EMG61" s="291"/>
      <x:c r="EMH61" s="291"/>
      <x:c r="EMI61" s="291"/>
      <x:c r="EMJ61" s="291"/>
      <x:c r="EMK61" s="291"/>
      <x:c r="EML61" s="291"/>
      <x:c r="EMM61" s="291"/>
      <x:c r="EMN61" s="291"/>
      <x:c r="EMO61" s="291"/>
      <x:c r="EMP61" s="291"/>
      <x:c r="EMQ61" s="291"/>
      <x:c r="EMR61" s="291"/>
      <x:c r="EMS61" s="291"/>
      <x:c r="EMT61" s="291"/>
      <x:c r="EMU61" s="291"/>
      <x:c r="EMV61" s="291"/>
      <x:c r="EMW61" s="291"/>
      <x:c r="EMX61" s="291"/>
      <x:c r="EMY61" s="291"/>
      <x:c r="EMZ61" s="291"/>
      <x:c r="ENA61" s="291"/>
      <x:c r="ENB61" s="291"/>
      <x:c r="ENC61" s="291"/>
      <x:c r="END61" s="291"/>
      <x:c r="ENE61" s="291"/>
      <x:c r="ENF61" s="291"/>
      <x:c r="ENG61" s="291"/>
      <x:c r="ENH61" s="291"/>
      <x:c r="ENI61" s="291"/>
      <x:c r="ENJ61" s="291"/>
      <x:c r="ENK61" s="291"/>
      <x:c r="ENL61" s="291"/>
      <x:c r="ENM61" s="291"/>
      <x:c r="ENN61" s="291"/>
      <x:c r="ENO61" s="291"/>
      <x:c r="ENP61" s="291"/>
      <x:c r="ENQ61" s="291"/>
      <x:c r="ENR61" s="291"/>
      <x:c r="ENS61" s="291"/>
      <x:c r="ENT61" s="291"/>
      <x:c r="ENU61" s="291"/>
      <x:c r="ENV61" s="291"/>
      <x:c r="ENW61" s="291"/>
      <x:c r="ENX61" s="291"/>
      <x:c r="ENY61" s="291"/>
      <x:c r="ENZ61" s="291"/>
      <x:c r="EOA61" s="291"/>
      <x:c r="EOB61" s="291"/>
      <x:c r="EOC61" s="291"/>
      <x:c r="EOD61" s="291"/>
      <x:c r="EOE61" s="291"/>
      <x:c r="EOF61" s="291"/>
      <x:c r="EOG61" s="291"/>
      <x:c r="EOH61" s="291"/>
      <x:c r="EOI61" s="291"/>
      <x:c r="EOJ61" s="291"/>
      <x:c r="EOK61" s="291"/>
      <x:c r="EOL61" s="291"/>
      <x:c r="EOM61" s="291"/>
      <x:c r="EON61" s="291"/>
      <x:c r="EOO61" s="291"/>
      <x:c r="EOP61" s="291"/>
      <x:c r="EOQ61" s="291"/>
      <x:c r="EOR61" s="291"/>
      <x:c r="EOS61" s="291"/>
      <x:c r="EOT61" s="291"/>
      <x:c r="EOU61" s="291"/>
      <x:c r="EOV61" s="291"/>
      <x:c r="EOW61" s="291"/>
      <x:c r="EOX61" s="291"/>
      <x:c r="EOY61" s="291"/>
      <x:c r="EOZ61" s="291"/>
      <x:c r="EPA61" s="291"/>
      <x:c r="EPB61" s="291"/>
      <x:c r="EPC61" s="291"/>
      <x:c r="EPD61" s="291"/>
      <x:c r="EPE61" s="291"/>
      <x:c r="EPF61" s="291"/>
      <x:c r="EPG61" s="291"/>
      <x:c r="EPH61" s="291"/>
      <x:c r="EPI61" s="291"/>
      <x:c r="EPJ61" s="291"/>
      <x:c r="EPK61" s="291"/>
      <x:c r="EPL61" s="291"/>
      <x:c r="EPM61" s="291"/>
      <x:c r="EPN61" s="291"/>
      <x:c r="EPO61" s="291"/>
      <x:c r="EPP61" s="291"/>
      <x:c r="EPQ61" s="291"/>
      <x:c r="EPR61" s="291"/>
      <x:c r="EPS61" s="291"/>
      <x:c r="EPT61" s="291"/>
      <x:c r="EPU61" s="291"/>
      <x:c r="EPV61" s="291"/>
      <x:c r="EPW61" s="291"/>
      <x:c r="EPX61" s="291"/>
      <x:c r="EPY61" s="291"/>
      <x:c r="EPZ61" s="291"/>
      <x:c r="EQA61" s="291"/>
      <x:c r="EQB61" s="291"/>
      <x:c r="EQC61" s="291"/>
      <x:c r="EQD61" s="291"/>
      <x:c r="EQE61" s="291"/>
      <x:c r="EQF61" s="291"/>
      <x:c r="EQG61" s="291"/>
      <x:c r="EQH61" s="291"/>
      <x:c r="EQI61" s="291"/>
      <x:c r="EQJ61" s="291"/>
      <x:c r="EQK61" s="291"/>
      <x:c r="EQL61" s="291"/>
      <x:c r="EQM61" s="291"/>
      <x:c r="EQN61" s="291"/>
      <x:c r="EQO61" s="291"/>
      <x:c r="EQP61" s="291"/>
      <x:c r="EQQ61" s="291"/>
      <x:c r="EQR61" s="291"/>
      <x:c r="EQS61" s="291"/>
      <x:c r="EQT61" s="291"/>
      <x:c r="EQU61" s="291"/>
      <x:c r="EQV61" s="291"/>
      <x:c r="EQW61" s="291"/>
      <x:c r="EQX61" s="291"/>
      <x:c r="EQY61" s="291"/>
      <x:c r="EQZ61" s="291"/>
      <x:c r="ERA61" s="291"/>
      <x:c r="ERB61" s="291"/>
      <x:c r="ERC61" s="291"/>
      <x:c r="ERD61" s="291"/>
      <x:c r="ERE61" s="291"/>
      <x:c r="ERF61" s="291"/>
      <x:c r="ERG61" s="291"/>
      <x:c r="ERH61" s="291"/>
      <x:c r="ERI61" s="291"/>
      <x:c r="ERJ61" s="291"/>
      <x:c r="ERK61" s="291"/>
      <x:c r="ERL61" s="291"/>
      <x:c r="ERM61" s="291"/>
      <x:c r="ERN61" s="291"/>
      <x:c r="ERO61" s="291"/>
      <x:c r="ERP61" s="291"/>
      <x:c r="ERQ61" s="291"/>
      <x:c r="ERR61" s="291"/>
      <x:c r="ERS61" s="291"/>
      <x:c r="ERT61" s="291"/>
      <x:c r="ERU61" s="291"/>
      <x:c r="ERV61" s="291"/>
      <x:c r="ERW61" s="291"/>
      <x:c r="ERX61" s="291"/>
      <x:c r="ERY61" s="291"/>
      <x:c r="ERZ61" s="291"/>
      <x:c r="ESA61" s="291"/>
      <x:c r="ESB61" s="291"/>
      <x:c r="ESC61" s="291"/>
      <x:c r="ESD61" s="291"/>
      <x:c r="ESE61" s="291"/>
      <x:c r="ESF61" s="291"/>
      <x:c r="ESG61" s="291"/>
      <x:c r="ESH61" s="291"/>
      <x:c r="ESI61" s="291"/>
      <x:c r="ESJ61" s="291"/>
      <x:c r="ESK61" s="291"/>
      <x:c r="ESL61" s="291"/>
      <x:c r="ESM61" s="291"/>
      <x:c r="ESN61" s="291"/>
      <x:c r="ESO61" s="291"/>
      <x:c r="ESP61" s="291"/>
      <x:c r="ESQ61" s="291"/>
      <x:c r="ESR61" s="291"/>
      <x:c r="ESS61" s="291"/>
      <x:c r="EST61" s="291"/>
      <x:c r="ESU61" s="291"/>
      <x:c r="ESV61" s="291"/>
      <x:c r="ESW61" s="291"/>
      <x:c r="ESX61" s="291"/>
      <x:c r="ESY61" s="291"/>
      <x:c r="ESZ61" s="291"/>
      <x:c r="ETA61" s="291"/>
      <x:c r="ETB61" s="291"/>
      <x:c r="ETC61" s="291"/>
      <x:c r="ETD61" s="291"/>
      <x:c r="ETE61" s="291"/>
      <x:c r="ETF61" s="291"/>
      <x:c r="ETG61" s="291"/>
      <x:c r="ETH61" s="291"/>
      <x:c r="ETI61" s="291"/>
      <x:c r="ETJ61" s="291"/>
      <x:c r="ETK61" s="291"/>
      <x:c r="ETL61" s="291"/>
      <x:c r="ETM61" s="291"/>
      <x:c r="ETN61" s="291"/>
      <x:c r="ETO61" s="291"/>
      <x:c r="ETP61" s="291"/>
      <x:c r="ETQ61" s="291"/>
      <x:c r="ETR61" s="291"/>
      <x:c r="ETS61" s="291"/>
      <x:c r="ETT61" s="291"/>
      <x:c r="ETU61" s="291"/>
      <x:c r="ETV61" s="291"/>
      <x:c r="ETW61" s="291"/>
      <x:c r="ETX61" s="291"/>
      <x:c r="ETY61" s="291"/>
      <x:c r="ETZ61" s="291"/>
      <x:c r="EUA61" s="291"/>
      <x:c r="EUB61" s="291"/>
      <x:c r="EUC61" s="291"/>
      <x:c r="EUD61" s="291"/>
      <x:c r="EUE61" s="291"/>
      <x:c r="EUF61" s="291"/>
      <x:c r="EUG61" s="291"/>
      <x:c r="EUH61" s="291"/>
      <x:c r="EUI61" s="291"/>
      <x:c r="EUJ61" s="291"/>
      <x:c r="EUK61" s="291"/>
      <x:c r="EUL61" s="291"/>
      <x:c r="EUM61" s="291"/>
      <x:c r="EUN61" s="291"/>
      <x:c r="EUO61" s="291"/>
      <x:c r="EUP61" s="291"/>
      <x:c r="EUQ61" s="291"/>
      <x:c r="EUR61" s="291"/>
      <x:c r="EUS61" s="291"/>
      <x:c r="EUT61" s="291"/>
      <x:c r="EUU61" s="291"/>
      <x:c r="EUV61" s="291"/>
      <x:c r="EUW61" s="291"/>
      <x:c r="EUX61" s="291"/>
      <x:c r="EUY61" s="291"/>
      <x:c r="EUZ61" s="291"/>
      <x:c r="EVA61" s="291"/>
      <x:c r="EVB61" s="291"/>
      <x:c r="EVC61" s="291"/>
      <x:c r="EVD61" s="291"/>
      <x:c r="EVE61" s="291"/>
      <x:c r="EVF61" s="291"/>
      <x:c r="EVG61" s="291"/>
      <x:c r="EVH61" s="291"/>
      <x:c r="EVI61" s="291"/>
      <x:c r="EVJ61" s="291"/>
      <x:c r="EVK61" s="291"/>
      <x:c r="EVL61" s="291"/>
      <x:c r="EVM61" s="291"/>
      <x:c r="EVN61" s="291"/>
      <x:c r="EVO61" s="291"/>
      <x:c r="EVP61" s="291"/>
      <x:c r="EVQ61" s="291"/>
      <x:c r="EVR61" s="291"/>
      <x:c r="EVS61" s="291"/>
      <x:c r="EVT61" s="291"/>
      <x:c r="EVU61" s="291"/>
      <x:c r="EVV61" s="291"/>
      <x:c r="EVW61" s="291"/>
      <x:c r="EVX61" s="291"/>
      <x:c r="EVY61" s="291"/>
      <x:c r="EVZ61" s="291"/>
      <x:c r="EWA61" s="291"/>
      <x:c r="EWB61" s="291"/>
      <x:c r="EWC61" s="291"/>
      <x:c r="EWD61" s="291"/>
      <x:c r="EWE61" s="291"/>
      <x:c r="EWF61" s="291"/>
      <x:c r="EWG61" s="291"/>
      <x:c r="EWH61" s="291"/>
      <x:c r="EWI61" s="291"/>
      <x:c r="EWJ61" s="291"/>
      <x:c r="EWK61" s="291"/>
      <x:c r="EWL61" s="291"/>
      <x:c r="EWM61" s="291"/>
      <x:c r="EWN61" s="291"/>
      <x:c r="EWO61" s="291"/>
      <x:c r="EWP61" s="291"/>
      <x:c r="EWQ61" s="291"/>
      <x:c r="EWR61" s="291"/>
      <x:c r="EWS61" s="291"/>
      <x:c r="EWT61" s="291"/>
      <x:c r="EWU61" s="291"/>
      <x:c r="EWV61" s="291"/>
      <x:c r="EWW61" s="291"/>
      <x:c r="EWX61" s="291"/>
      <x:c r="EWY61" s="291"/>
      <x:c r="EWZ61" s="291"/>
      <x:c r="EXA61" s="291"/>
      <x:c r="EXB61" s="291"/>
      <x:c r="EXC61" s="291"/>
      <x:c r="EXD61" s="291"/>
      <x:c r="EXE61" s="291"/>
      <x:c r="EXF61" s="291"/>
      <x:c r="EXG61" s="291"/>
      <x:c r="EXH61" s="291"/>
      <x:c r="EXI61" s="291"/>
      <x:c r="EXJ61" s="291"/>
      <x:c r="EXK61" s="291"/>
      <x:c r="EXL61" s="291"/>
      <x:c r="EXM61" s="291"/>
      <x:c r="EXN61" s="291"/>
      <x:c r="EXO61" s="291"/>
      <x:c r="EXP61" s="291"/>
      <x:c r="EXQ61" s="291"/>
      <x:c r="EXR61" s="291"/>
      <x:c r="EXS61" s="291"/>
      <x:c r="EXT61" s="291"/>
      <x:c r="EXU61" s="291"/>
      <x:c r="EXV61" s="291"/>
      <x:c r="EXW61" s="291"/>
      <x:c r="EXX61" s="291"/>
      <x:c r="EXY61" s="291"/>
      <x:c r="EXZ61" s="291"/>
      <x:c r="EYA61" s="291"/>
      <x:c r="EYB61" s="291"/>
      <x:c r="EYC61" s="291"/>
      <x:c r="EYD61" s="291"/>
      <x:c r="EYE61" s="291"/>
      <x:c r="EYF61" s="291"/>
      <x:c r="EYG61" s="291"/>
      <x:c r="EYH61" s="291"/>
      <x:c r="EYI61" s="291"/>
      <x:c r="EYJ61" s="291"/>
      <x:c r="EYK61" s="291"/>
      <x:c r="EYL61" s="291"/>
      <x:c r="EYM61" s="291"/>
      <x:c r="EYN61" s="291"/>
      <x:c r="EYO61" s="291"/>
      <x:c r="EYP61" s="291"/>
      <x:c r="EYQ61" s="291"/>
      <x:c r="EYR61" s="291"/>
      <x:c r="EYS61" s="291"/>
      <x:c r="EYT61" s="291"/>
      <x:c r="EYU61" s="291"/>
      <x:c r="EYV61" s="291"/>
      <x:c r="EYW61" s="291"/>
      <x:c r="EYX61" s="291"/>
      <x:c r="EYY61" s="291"/>
      <x:c r="EYZ61" s="291"/>
      <x:c r="EZA61" s="291"/>
      <x:c r="EZB61" s="291"/>
      <x:c r="EZC61" s="291"/>
      <x:c r="EZD61" s="291"/>
      <x:c r="EZE61" s="291"/>
      <x:c r="EZF61" s="291"/>
      <x:c r="EZG61" s="291"/>
      <x:c r="EZH61" s="291"/>
      <x:c r="EZI61" s="291"/>
      <x:c r="EZJ61" s="291"/>
      <x:c r="EZK61" s="291"/>
      <x:c r="EZL61" s="291"/>
      <x:c r="EZM61" s="291"/>
      <x:c r="EZN61" s="291"/>
      <x:c r="EZO61" s="291"/>
      <x:c r="EZP61" s="291"/>
      <x:c r="EZQ61" s="291"/>
      <x:c r="EZR61" s="291"/>
      <x:c r="EZS61" s="291"/>
      <x:c r="EZT61" s="291"/>
      <x:c r="EZU61" s="291"/>
      <x:c r="EZV61" s="291"/>
      <x:c r="EZW61" s="291"/>
      <x:c r="EZX61" s="291"/>
      <x:c r="EZY61" s="291"/>
      <x:c r="EZZ61" s="291"/>
      <x:c r="FAA61" s="291"/>
      <x:c r="FAB61" s="291"/>
      <x:c r="FAC61" s="291"/>
      <x:c r="FAD61" s="291"/>
      <x:c r="FAE61" s="291"/>
      <x:c r="FAF61" s="291"/>
      <x:c r="FAG61" s="291"/>
      <x:c r="FAH61" s="291"/>
      <x:c r="FAI61" s="291"/>
      <x:c r="FAJ61" s="291"/>
      <x:c r="FAK61" s="291"/>
      <x:c r="FAL61" s="291"/>
      <x:c r="FAM61" s="291"/>
      <x:c r="FAN61" s="291"/>
      <x:c r="FAO61" s="291"/>
      <x:c r="FAP61" s="291"/>
      <x:c r="FAQ61" s="291"/>
      <x:c r="FAR61" s="291"/>
      <x:c r="FAS61" s="291"/>
      <x:c r="FAT61" s="291"/>
      <x:c r="FAU61" s="291"/>
      <x:c r="FAV61" s="291"/>
      <x:c r="FAW61" s="291"/>
      <x:c r="FAX61" s="291"/>
      <x:c r="FAY61" s="291"/>
      <x:c r="FAZ61" s="291"/>
      <x:c r="FBA61" s="291"/>
      <x:c r="FBB61" s="291"/>
      <x:c r="FBC61" s="291"/>
      <x:c r="FBD61" s="291"/>
      <x:c r="FBE61" s="291"/>
      <x:c r="FBF61" s="291"/>
      <x:c r="FBG61" s="291"/>
      <x:c r="FBH61" s="291"/>
      <x:c r="FBI61" s="291"/>
      <x:c r="FBJ61" s="291"/>
      <x:c r="FBK61" s="291"/>
      <x:c r="FBL61" s="291"/>
      <x:c r="FBM61" s="291"/>
      <x:c r="FBN61" s="291"/>
      <x:c r="FBO61" s="291"/>
      <x:c r="FBP61" s="291"/>
      <x:c r="FBQ61" s="291"/>
      <x:c r="FBR61" s="291"/>
      <x:c r="FBS61" s="291"/>
      <x:c r="FBT61" s="291"/>
      <x:c r="FBU61" s="291"/>
      <x:c r="FBV61" s="291"/>
      <x:c r="FBW61" s="291"/>
      <x:c r="FBX61" s="291"/>
      <x:c r="FBY61" s="291"/>
      <x:c r="FBZ61" s="291"/>
      <x:c r="FCA61" s="291"/>
      <x:c r="FCB61" s="291"/>
      <x:c r="FCC61" s="291"/>
      <x:c r="FCD61" s="291"/>
      <x:c r="FCE61" s="291"/>
      <x:c r="FCF61" s="291"/>
      <x:c r="FCG61" s="291"/>
      <x:c r="FCH61" s="291"/>
      <x:c r="FCI61" s="291"/>
      <x:c r="FCJ61" s="291"/>
      <x:c r="FCK61" s="291"/>
      <x:c r="FCL61" s="291"/>
      <x:c r="FCM61" s="291"/>
      <x:c r="FCN61" s="291"/>
      <x:c r="FCO61" s="291"/>
      <x:c r="FCP61" s="291"/>
      <x:c r="FCQ61" s="291"/>
      <x:c r="FCR61" s="291"/>
      <x:c r="FCS61" s="291"/>
      <x:c r="FCT61" s="291"/>
      <x:c r="FCU61" s="291"/>
      <x:c r="FCV61" s="291"/>
      <x:c r="FCW61" s="291"/>
      <x:c r="FCX61" s="291"/>
      <x:c r="FCY61" s="291"/>
      <x:c r="FCZ61" s="291"/>
      <x:c r="FDA61" s="291"/>
      <x:c r="FDB61" s="291"/>
      <x:c r="FDC61" s="291"/>
      <x:c r="FDD61" s="291"/>
      <x:c r="FDE61" s="291"/>
      <x:c r="FDF61" s="291"/>
      <x:c r="FDG61" s="291"/>
      <x:c r="FDH61" s="291"/>
      <x:c r="FDI61" s="291"/>
      <x:c r="FDJ61" s="291"/>
      <x:c r="FDK61" s="291"/>
      <x:c r="FDL61" s="291"/>
      <x:c r="FDM61" s="291"/>
      <x:c r="FDN61" s="291"/>
      <x:c r="FDO61" s="291"/>
      <x:c r="FDP61" s="291"/>
      <x:c r="FDQ61" s="291"/>
      <x:c r="FDR61" s="291"/>
      <x:c r="FDS61" s="291"/>
      <x:c r="FDT61" s="291"/>
      <x:c r="FDU61" s="291"/>
      <x:c r="FDV61" s="291"/>
      <x:c r="FDW61" s="291"/>
      <x:c r="FDX61" s="291"/>
      <x:c r="FDY61" s="291"/>
      <x:c r="FDZ61" s="291"/>
      <x:c r="FEA61" s="291"/>
      <x:c r="FEB61" s="291"/>
      <x:c r="FEC61" s="291"/>
      <x:c r="FED61" s="291"/>
      <x:c r="FEE61" s="291"/>
      <x:c r="FEF61" s="291"/>
      <x:c r="FEG61" s="291"/>
      <x:c r="FEH61" s="291"/>
      <x:c r="FEI61" s="291"/>
      <x:c r="FEJ61" s="291"/>
      <x:c r="FEK61" s="291"/>
      <x:c r="FEL61" s="291"/>
      <x:c r="FEM61" s="291"/>
      <x:c r="FEN61" s="291"/>
      <x:c r="FEO61" s="291"/>
      <x:c r="FEP61" s="291"/>
      <x:c r="FEQ61" s="291"/>
      <x:c r="FER61" s="291"/>
      <x:c r="FES61" s="291"/>
      <x:c r="FET61" s="291"/>
      <x:c r="FEU61" s="291"/>
      <x:c r="FEV61" s="291"/>
      <x:c r="FEW61" s="291"/>
      <x:c r="FEX61" s="291"/>
      <x:c r="FEY61" s="291"/>
      <x:c r="FEZ61" s="291"/>
      <x:c r="FFA61" s="291"/>
      <x:c r="FFB61" s="291"/>
      <x:c r="FFC61" s="291"/>
      <x:c r="FFD61" s="291"/>
      <x:c r="FFE61" s="291"/>
      <x:c r="FFF61" s="291"/>
      <x:c r="FFG61" s="291"/>
      <x:c r="FFH61" s="291"/>
      <x:c r="FFI61" s="291"/>
      <x:c r="FFJ61" s="291"/>
      <x:c r="FFK61" s="291"/>
      <x:c r="FFL61" s="291"/>
      <x:c r="FFM61" s="291"/>
      <x:c r="FFN61" s="291"/>
      <x:c r="FFO61" s="291"/>
      <x:c r="FFP61" s="291"/>
      <x:c r="FFQ61" s="291"/>
      <x:c r="FFR61" s="291"/>
      <x:c r="FFS61" s="291"/>
      <x:c r="FFT61" s="291"/>
      <x:c r="FFU61" s="291"/>
      <x:c r="FFV61" s="291"/>
      <x:c r="FFW61" s="291"/>
      <x:c r="FFX61" s="291"/>
      <x:c r="FFY61" s="291"/>
      <x:c r="FFZ61" s="291"/>
      <x:c r="FGA61" s="291"/>
      <x:c r="FGB61" s="291"/>
      <x:c r="FGC61" s="291"/>
      <x:c r="FGD61" s="291"/>
      <x:c r="FGE61" s="291"/>
      <x:c r="FGF61" s="291"/>
      <x:c r="FGG61" s="291"/>
      <x:c r="FGH61" s="291"/>
      <x:c r="FGI61" s="291"/>
      <x:c r="FGJ61" s="291"/>
      <x:c r="FGK61" s="291"/>
      <x:c r="FGL61" s="291"/>
      <x:c r="FGM61" s="291"/>
      <x:c r="FGN61" s="291"/>
      <x:c r="FGO61" s="291"/>
      <x:c r="FGP61" s="291"/>
      <x:c r="FGQ61" s="291"/>
      <x:c r="FGR61" s="291"/>
      <x:c r="FGS61" s="291"/>
      <x:c r="FGT61" s="291"/>
      <x:c r="FGU61" s="291"/>
      <x:c r="FGV61" s="291"/>
      <x:c r="FGW61" s="291"/>
      <x:c r="FGX61" s="291"/>
      <x:c r="FGY61" s="291"/>
      <x:c r="FGZ61" s="291"/>
      <x:c r="FHA61" s="291"/>
      <x:c r="FHB61" s="291"/>
      <x:c r="FHC61" s="291"/>
      <x:c r="FHD61" s="291"/>
      <x:c r="FHE61" s="291"/>
      <x:c r="FHF61" s="291"/>
      <x:c r="FHG61" s="291"/>
      <x:c r="FHH61" s="291"/>
      <x:c r="FHI61" s="291"/>
      <x:c r="FHJ61" s="291"/>
      <x:c r="FHK61" s="291"/>
      <x:c r="FHL61" s="291"/>
      <x:c r="FHM61" s="291"/>
      <x:c r="FHN61" s="291"/>
      <x:c r="FHO61" s="291"/>
      <x:c r="FHP61" s="291"/>
      <x:c r="FHQ61" s="291"/>
      <x:c r="FHR61" s="291"/>
      <x:c r="FHS61" s="291"/>
      <x:c r="FHT61" s="291"/>
      <x:c r="FHU61" s="291"/>
      <x:c r="FHV61" s="291"/>
      <x:c r="FHW61" s="291"/>
      <x:c r="FHX61" s="291"/>
      <x:c r="FHY61" s="291"/>
      <x:c r="FHZ61" s="291"/>
      <x:c r="FIA61" s="291"/>
      <x:c r="FIB61" s="291"/>
      <x:c r="FIC61" s="291"/>
      <x:c r="FID61" s="291"/>
      <x:c r="FIE61" s="291"/>
      <x:c r="FIF61" s="291"/>
      <x:c r="FIG61" s="291"/>
      <x:c r="FIH61" s="291"/>
      <x:c r="FII61" s="291"/>
      <x:c r="FIJ61" s="291"/>
      <x:c r="FIK61" s="291"/>
      <x:c r="FIL61" s="291"/>
      <x:c r="FIM61" s="291"/>
      <x:c r="FIN61" s="291"/>
      <x:c r="FIO61" s="291"/>
      <x:c r="FIP61" s="291"/>
      <x:c r="FIQ61" s="291"/>
      <x:c r="FIR61" s="291"/>
      <x:c r="FIS61" s="291"/>
      <x:c r="FIT61" s="291"/>
      <x:c r="FIU61" s="291"/>
      <x:c r="FIV61" s="291"/>
      <x:c r="FIW61" s="291"/>
      <x:c r="FIX61" s="291"/>
      <x:c r="FIY61" s="291"/>
      <x:c r="FIZ61" s="291"/>
      <x:c r="FJA61" s="291"/>
      <x:c r="FJB61" s="291"/>
      <x:c r="FJC61" s="291"/>
      <x:c r="FJD61" s="291"/>
      <x:c r="FJE61" s="291"/>
      <x:c r="FJF61" s="291"/>
      <x:c r="FJG61" s="291"/>
      <x:c r="FJH61" s="291"/>
      <x:c r="FJI61" s="291"/>
      <x:c r="FJJ61" s="291"/>
      <x:c r="FJK61" s="291"/>
      <x:c r="FJL61" s="291"/>
      <x:c r="FJM61" s="291"/>
      <x:c r="FJN61" s="291"/>
      <x:c r="FJO61" s="291"/>
      <x:c r="FJP61" s="291"/>
      <x:c r="FJQ61" s="291"/>
      <x:c r="FJR61" s="291"/>
      <x:c r="FJS61" s="291"/>
      <x:c r="FJT61" s="291"/>
      <x:c r="FJU61" s="291"/>
      <x:c r="FJV61" s="291"/>
      <x:c r="FJW61" s="291"/>
      <x:c r="FJX61" s="291"/>
      <x:c r="FJY61" s="291"/>
      <x:c r="FJZ61" s="291"/>
      <x:c r="FKA61" s="291"/>
      <x:c r="FKB61" s="291"/>
      <x:c r="FKC61" s="291"/>
      <x:c r="FKD61" s="291"/>
      <x:c r="FKE61" s="291"/>
      <x:c r="FKF61" s="291"/>
      <x:c r="FKG61" s="291"/>
      <x:c r="FKH61" s="291"/>
      <x:c r="FKI61" s="291"/>
      <x:c r="FKJ61" s="291"/>
      <x:c r="FKK61" s="291"/>
      <x:c r="FKL61" s="291"/>
      <x:c r="FKM61" s="291"/>
      <x:c r="FKN61" s="291"/>
      <x:c r="FKO61" s="291"/>
      <x:c r="FKP61" s="291"/>
      <x:c r="FKQ61" s="291"/>
      <x:c r="FKR61" s="291"/>
      <x:c r="FKS61" s="291"/>
      <x:c r="FKT61" s="291"/>
      <x:c r="FKU61" s="291"/>
      <x:c r="FKV61" s="291"/>
      <x:c r="FKW61" s="291"/>
      <x:c r="FKX61" s="291"/>
      <x:c r="FKY61" s="291"/>
      <x:c r="FKZ61" s="291"/>
      <x:c r="FLA61" s="291"/>
      <x:c r="FLB61" s="291"/>
      <x:c r="FLC61" s="291"/>
      <x:c r="FLD61" s="291"/>
      <x:c r="FLE61" s="291"/>
      <x:c r="FLF61" s="291"/>
      <x:c r="FLG61" s="291"/>
      <x:c r="FLH61" s="291"/>
      <x:c r="FLI61" s="291"/>
      <x:c r="FLJ61" s="291"/>
      <x:c r="FLK61" s="291"/>
      <x:c r="FLL61" s="291"/>
      <x:c r="FLM61" s="291"/>
      <x:c r="FLN61" s="291"/>
      <x:c r="FLO61" s="291"/>
      <x:c r="FLP61" s="291"/>
      <x:c r="FLQ61" s="291"/>
      <x:c r="FLR61" s="291"/>
      <x:c r="FLS61" s="291"/>
      <x:c r="FLT61" s="291"/>
      <x:c r="FLU61" s="291"/>
      <x:c r="FLV61" s="291"/>
      <x:c r="FLW61" s="291"/>
      <x:c r="FLX61" s="291"/>
      <x:c r="FLY61" s="291"/>
      <x:c r="FLZ61" s="291"/>
      <x:c r="FMA61" s="291"/>
      <x:c r="FMB61" s="291"/>
      <x:c r="FMC61" s="291"/>
      <x:c r="FMD61" s="291"/>
      <x:c r="FME61" s="291"/>
      <x:c r="FMF61" s="291"/>
      <x:c r="FMG61" s="291"/>
      <x:c r="FMH61" s="291"/>
      <x:c r="FMI61" s="291"/>
      <x:c r="FMJ61" s="291"/>
      <x:c r="FMK61" s="291"/>
      <x:c r="FML61" s="291"/>
      <x:c r="FMM61" s="291"/>
      <x:c r="FMN61" s="291"/>
      <x:c r="FMO61" s="291"/>
      <x:c r="FMP61" s="291"/>
      <x:c r="FMQ61" s="291"/>
      <x:c r="FMR61" s="291"/>
      <x:c r="FMS61" s="291"/>
      <x:c r="FMT61" s="291"/>
      <x:c r="FMU61" s="291"/>
      <x:c r="FMV61" s="291"/>
      <x:c r="FMW61" s="291"/>
      <x:c r="FMX61" s="291"/>
      <x:c r="FMY61" s="291"/>
      <x:c r="FMZ61" s="291"/>
      <x:c r="FNA61" s="291"/>
      <x:c r="FNB61" s="291"/>
      <x:c r="FNC61" s="291"/>
      <x:c r="FND61" s="291"/>
      <x:c r="FNE61" s="291"/>
      <x:c r="FNF61" s="291"/>
      <x:c r="FNG61" s="291"/>
      <x:c r="FNH61" s="291"/>
      <x:c r="FNI61" s="291"/>
      <x:c r="FNJ61" s="291"/>
      <x:c r="FNK61" s="291"/>
      <x:c r="FNL61" s="291"/>
      <x:c r="FNM61" s="291"/>
      <x:c r="FNN61" s="291"/>
      <x:c r="FNO61" s="291"/>
      <x:c r="FNP61" s="291"/>
      <x:c r="FNQ61" s="291"/>
      <x:c r="FNR61" s="291"/>
      <x:c r="FNS61" s="291"/>
      <x:c r="FNT61" s="291"/>
      <x:c r="FNU61" s="291"/>
      <x:c r="FNV61" s="291"/>
      <x:c r="FNW61" s="291"/>
      <x:c r="FNX61" s="291"/>
      <x:c r="FNY61" s="291"/>
      <x:c r="FNZ61" s="291"/>
      <x:c r="FOA61" s="291"/>
      <x:c r="FOB61" s="291"/>
      <x:c r="FOC61" s="291"/>
      <x:c r="FOD61" s="291"/>
      <x:c r="FOE61" s="291"/>
      <x:c r="FOF61" s="291"/>
      <x:c r="FOG61" s="291"/>
      <x:c r="FOH61" s="291"/>
      <x:c r="FOI61" s="291"/>
      <x:c r="FOJ61" s="291"/>
      <x:c r="FOK61" s="291"/>
      <x:c r="FOL61" s="291"/>
      <x:c r="FOM61" s="291"/>
      <x:c r="FON61" s="291"/>
      <x:c r="FOO61" s="291"/>
      <x:c r="FOP61" s="291"/>
      <x:c r="FOQ61" s="291"/>
      <x:c r="FOR61" s="291"/>
      <x:c r="FOS61" s="291"/>
      <x:c r="FOT61" s="291"/>
      <x:c r="FOU61" s="291"/>
      <x:c r="FOV61" s="291"/>
      <x:c r="FOW61" s="291"/>
      <x:c r="FOX61" s="291"/>
      <x:c r="FOY61" s="291"/>
      <x:c r="FOZ61" s="291"/>
      <x:c r="FPA61" s="291"/>
      <x:c r="FPB61" s="291"/>
      <x:c r="FPC61" s="291"/>
      <x:c r="FPD61" s="291"/>
      <x:c r="FPE61" s="291"/>
      <x:c r="FPF61" s="291"/>
      <x:c r="FPG61" s="291"/>
      <x:c r="FPH61" s="291"/>
      <x:c r="FPI61" s="291"/>
      <x:c r="FPJ61" s="291"/>
      <x:c r="FPK61" s="291"/>
      <x:c r="FPL61" s="291"/>
      <x:c r="FPM61" s="291"/>
      <x:c r="FPN61" s="291"/>
      <x:c r="FPO61" s="291"/>
      <x:c r="FPP61" s="291"/>
      <x:c r="FPQ61" s="291"/>
      <x:c r="FPR61" s="291"/>
      <x:c r="FPS61" s="291"/>
      <x:c r="FPT61" s="291"/>
      <x:c r="FPU61" s="291"/>
      <x:c r="FPV61" s="291"/>
      <x:c r="FPW61" s="291"/>
      <x:c r="FPX61" s="291"/>
      <x:c r="FPY61" s="291"/>
      <x:c r="FPZ61" s="291"/>
      <x:c r="FQA61" s="291"/>
      <x:c r="FQB61" s="291"/>
      <x:c r="FQC61" s="291"/>
      <x:c r="FQD61" s="291"/>
      <x:c r="FQE61" s="291"/>
      <x:c r="FQF61" s="291"/>
      <x:c r="FQG61" s="291"/>
      <x:c r="FQH61" s="291"/>
      <x:c r="FQI61" s="291"/>
      <x:c r="FQJ61" s="291"/>
      <x:c r="FQK61" s="291"/>
      <x:c r="FQL61" s="291"/>
      <x:c r="FQM61" s="291"/>
      <x:c r="FQN61" s="291"/>
      <x:c r="FQO61" s="291"/>
      <x:c r="FQP61" s="291"/>
      <x:c r="FQQ61" s="291"/>
      <x:c r="FQR61" s="291"/>
      <x:c r="FQS61" s="291"/>
      <x:c r="FQT61" s="291"/>
      <x:c r="FQU61" s="291"/>
      <x:c r="FQV61" s="291"/>
      <x:c r="FQW61" s="291"/>
      <x:c r="FQX61" s="291"/>
      <x:c r="FQY61" s="291"/>
      <x:c r="FQZ61" s="291"/>
      <x:c r="FRA61" s="291"/>
      <x:c r="FRB61" s="291"/>
      <x:c r="FRC61" s="291"/>
      <x:c r="FRD61" s="291"/>
      <x:c r="FRE61" s="291"/>
      <x:c r="FRF61" s="291"/>
      <x:c r="FRG61" s="291"/>
      <x:c r="FRH61" s="291"/>
      <x:c r="FRI61" s="291"/>
      <x:c r="FRJ61" s="291"/>
      <x:c r="FRK61" s="291"/>
      <x:c r="FRL61" s="291"/>
      <x:c r="FRM61" s="291"/>
      <x:c r="FRN61" s="291"/>
      <x:c r="FRO61" s="291"/>
      <x:c r="FRP61" s="291"/>
      <x:c r="FRQ61" s="291"/>
      <x:c r="FRR61" s="291"/>
      <x:c r="FRS61" s="291"/>
      <x:c r="FRT61" s="291"/>
      <x:c r="FRU61" s="291"/>
      <x:c r="FRV61" s="291"/>
      <x:c r="FRW61" s="291"/>
      <x:c r="FRX61" s="291"/>
      <x:c r="FRY61" s="291"/>
      <x:c r="FRZ61" s="291"/>
      <x:c r="FSA61" s="291"/>
      <x:c r="FSB61" s="291"/>
      <x:c r="FSC61" s="291"/>
      <x:c r="FSD61" s="291"/>
      <x:c r="FSE61" s="291"/>
      <x:c r="FSF61" s="291"/>
      <x:c r="FSG61" s="291"/>
      <x:c r="FSH61" s="291"/>
      <x:c r="FSI61" s="291"/>
      <x:c r="FSJ61" s="291"/>
      <x:c r="FSK61" s="291"/>
      <x:c r="FSL61" s="291"/>
      <x:c r="FSM61" s="291"/>
      <x:c r="FSN61" s="291"/>
      <x:c r="FSO61" s="291"/>
      <x:c r="FSP61" s="291"/>
      <x:c r="FSQ61" s="291"/>
      <x:c r="FSR61" s="291"/>
      <x:c r="FSS61" s="291"/>
      <x:c r="FST61" s="291"/>
      <x:c r="FSU61" s="291"/>
      <x:c r="FSV61" s="291"/>
      <x:c r="FSW61" s="291"/>
      <x:c r="FSX61" s="291"/>
      <x:c r="FSY61" s="291"/>
      <x:c r="FSZ61" s="291"/>
      <x:c r="FTA61" s="291"/>
      <x:c r="FTB61" s="291"/>
      <x:c r="FTC61" s="291"/>
      <x:c r="FTD61" s="291"/>
      <x:c r="FTE61" s="291"/>
      <x:c r="FTF61" s="291"/>
      <x:c r="FTG61" s="291"/>
      <x:c r="FTH61" s="291"/>
      <x:c r="FTI61" s="291"/>
      <x:c r="FTJ61" s="291"/>
      <x:c r="FTK61" s="291"/>
      <x:c r="FTL61" s="291"/>
      <x:c r="FTM61" s="291"/>
      <x:c r="FTN61" s="291"/>
      <x:c r="FTO61" s="291"/>
      <x:c r="FTP61" s="291"/>
      <x:c r="FTQ61" s="291"/>
      <x:c r="FTR61" s="291"/>
      <x:c r="FTS61" s="291"/>
      <x:c r="FTT61" s="291"/>
      <x:c r="FTU61" s="291"/>
      <x:c r="FTV61" s="291"/>
      <x:c r="FTW61" s="291"/>
      <x:c r="FTX61" s="291"/>
      <x:c r="FTY61" s="291"/>
      <x:c r="FTZ61" s="291"/>
      <x:c r="FUA61" s="291"/>
      <x:c r="FUB61" s="291"/>
      <x:c r="FUC61" s="291"/>
      <x:c r="FUD61" s="291"/>
      <x:c r="FUE61" s="291"/>
      <x:c r="FUF61" s="291"/>
      <x:c r="FUG61" s="291"/>
      <x:c r="FUH61" s="291"/>
      <x:c r="FUI61" s="291"/>
      <x:c r="FUJ61" s="291"/>
      <x:c r="FUK61" s="291"/>
      <x:c r="FUL61" s="291"/>
      <x:c r="FUM61" s="291"/>
      <x:c r="FUN61" s="291"/>
      <x:c r="FUO61" s="291"/>
      <x:c r="FUP61" s="291"/>
      <x:c r="FUQ61" s="291"/>
      <x:c r="FUR61" s="291"/>
      <x:c r="FUS61" s="291"/>
      <x:c r="FUT61" s="291"/>
      <x:c r="FUU61" s="291"/>
      <x:c r="FUV61" s="291"/>
      <x:c r="FUW61" s="291"/>
      <x:c r="FUX61" s="291"/>
      <x:c r="FUY61" s="291"/>
      <x:c r="FUZ61" s="291"/>
      <x:c r="FVA61" s="291"/>
      <x:c r="FVB61" s="291"/>
      <x:c r="FVC61" s="291"/>
      <x:c r="FVD61" s="291"/>
      <x:c r="FVE61" s="291"/>
      <x:c r="FVF61" s="291"/>
      <x:c r="FVG61" s="291"/>
      <x:c r="FVH61" s="291"/>
      <x:c r="FVI61" s="291"/>
      <x:c r="FVJ61" s="291"/>
      <x:c r="FVK61" s="291"/>
      <x:c r="FVL61" s="291"/>
      <x:c r="FVM61" s="291"/>
      <x:c r="FVN61" s="291"/>
      <x:c r="FVO61" s="291"/>
      <x:c r="FVP61" s="291"/>
      <x:c r="FVQ61" s="291"/>
      <x:c r="FVR61" s="291"/>
      <x:c r="FVS61" s="291"/>
      <x:c r="FVT61" s="291"/>
      <x:c r="FVU61" s="291"/>
      <x:c r="FVV61" s="291"/>
      <x:c r="FVW61" s="291"/>
      <x:c r="FVX61" s="291"/>
      <x:c r="FVY61" s="291"/>
      <x:c r="FVZ61" s="291"/>
      <x:c r="FWA61" s="291"/>
      <x:c r="FWB61" s="291"/>
      <x:c r="FWC61" s="291"/>
      <x:c r="FWD61" s="291"/>
      <x:c r="FWE61" s="291"/>
      <x:c r="FWF61" s="291"/>
      <x:c r="FWG61" s="291"/>
      <x:c r="FWH61" s="291"/>
      <x:c r="FWI61" s="291"/>
      <x:c r="FWJ61" s="291"/>
      <x:c r="FWK61" s="291"/>
      <x:c r="FWL61" s="291"/>
      <x:c r="FWM61" s="291"/>
      <x:c r="FWN61" s="291"/>
      <x:c r="FWO61" s="291"/>
      <x:c r="FWP61" s="291"/>
      <x:c r="FWQ61" s="291"/>
      <x:c r="FWR61" s="291"/>
      <x:c r="FWS61" s="291"/>
      <x:c r="FWT61" s="291"/>
      <x:c r="FWU61" s="291"/>
      <x:c r="FWV61" s="291"/>
      <x:c r="FWW61" s="291"/>
      <x:c r="FWX61" s="291"/>
      <x:c r="FWY61" s="291"/>
      <x:c r="FWZ61" s="291"/>
      <x:c r="FXA61" s="291"/>
      <x:c r="FXB61" s="291"/>
      <x:c r="FXC61" s="291"/>
      <x:c r="FXD61" s="291"/>
      <x:c r="FXE61" s="291"/>
      <x:c r="FXF61" s="291"/>
      <x:c r="FXG61" s="291"/>
      <x:c r="FXH61" s="291"/>
      <x:c r="FXI61" s="291"/>
      <x:c r="FXJ61" s="291"/>
      <x:c r="FXK61" s="291"/>
      <x:c r="FXL61" s="291"/>
      <x:c r="FXM61" s="291"/>
      <x:c r="FXN61" s="291"/>
      <x:c r="FXO61" s="291"/>
      <x:c r="FXP61" s="291"/>
      <x:c r="FXQ61" s="291"/>
      <x:c r="FXR61" s="291"/>
      <x:c r="FXS61" s="291"/>
      <x:c r="FXT61" s="291"/>
      <x:c r="FXU61" s="291"/>
      <x:c r="FXV61" s="291"/>
      <x:c r="FXW61" s="291"/>
      <x:c r="FXX61" s="291"/>
      <x:c r="FXY61" s="291"/>
      <x:c r="FXZ61" s="291"/>
      <x:c r="FYA61" s="291"/>
      <x:c r="FYB61" s="291"/>
      <x:c r="FYC61" s="291"/>
      <x:c r="FYD61" s="291"/>
      <x:c r="FYE61" s="291"/>
      <x:c r="FYF61" s="291"/>
      <x:c r="FYG61" s="291"/>
      <x:c r="FYH61" s="291"/>
      <x:c r="FYI61" s="291"/>
      <x:c r="FYJ61" s="291"/>
      <x:c r="FYK61" s="291"/>
      <x:c r="FYL61" s="291"/>
      <x:c r="FYM61" s="291"/>
      <x:c r="FYN61" s="291"/>
      <x:c r="FYO61" s="291"/>
      <x:c r="FYP61" s="291"/>
      <x:c r="FYQ61" s="291"/>
      <x:c r="FYR61" s="291"/>
      <x:c r="FYS61" s="291"/>
      <x:c r="FYT61" s="291"/>
      <x:c r="FYU61" s="291"/>
      <x:c r="FYV61" s="291"/>
      <x:c r="FYW61" s="291"/>
      <x:c r="FYX61" s="291"/>
      <x:c r="FYY61" s="291"/>
      <x:c r="FYZ61" s="291"/>
      <x:c r="FZA61" s="291"/>
      <x:c r="FZB61" s="291"/>
      <x:c r="FZC61" s="291"/>
      <x:c r="FZD61" s="291"/>
      <x:c r="FZE61" s="291"/>
      <x:c r="FZF61" s="291"/>
      <x:c r="FZG61" s="291"/>
      <x:c r="FZH61" s="291"/>
      <x:c r="FZI61" s="291"/>
      <x:c r="FZJ61" s="291"/>
      <x:c r="FZK61" s="291"/>
      <x:c r="FZL61" s="291"/>
      <x:c r="FZM61" s="291"/>
      <x:c r="FZN61" s="291"/>
      <x:c r="FZO61" s="291"/>
      <x:c r="FZP61" s="291"/>
      <x:c r="FZQ61" s="291"/>
      <x:c r="FZR61" s="291"/>
      <x:c r="FZS61" s="291"/>
      <x:c r="FZT61" s="291"/>
      <x:c r="FZU61" s="291"/>
      <x:c r="FZV61" s="291"/>
      <x:c r="FZW61" s="291"/>
      <x:c r="FZX61" s="291"/>
      <x:c r="FZY61" s="291"/>
      <x:c r="FZZ61" s="291"/>
      <x:c r="GAA61" s="291"/>
      <x:c r="GAB61" s="291"/>
      <x:c r="GAC61" s="291"/>
      <x:c r="GAD61" s="291"/>
      <x:c r="GAE61" s="291"/>
      <x:c r="GAF61" s="291"/>
      <x:c r="GAG61" s="291"/>
      <x:c r="GAH61" s="291"/>
      <x:c r="GAI61" s="291"/>
      <x:c r="GAJ61" s="291"/>
      <x:c r="GAK61" s="291"/>
      <x:c r="GAL61" s="291"/>
      <x:c r="GAM61" s="291"/>
      <x:c r="GAN61" s="291"/>
      <x:c r="GAO61" s="291"/>
      <x:c r="GAP61" s="291"/>
      <x:c r="GAQ61" s="291"/>
      <x:c r="GAR61" s="291"/>
      <x:c r="GAS61" s="291"/>
      <x:c r="GAT61" s="291"/>
      <x:c r="GAU61" s="291"/>
      <x:c r="GAV61" s="291"/>
      <x:c r="GAW61" s="291"/>
      <x:c r="GAX61" s="291"/>
      <x:c r="GAY61" s="291"/>
      <x:c r="GAZ61" s="291"/>
      <x:c r="GBA61" s="291"/>
      <x:c r="GBB61" s="291"/>
      <x:c r="GBC61" s="291"/>
      <x:c r="GBD61" s="291"/>
      <x:c r="GBE61" s="291"/>
      <x:c r="GBF61" s="291"/>
      <x:c r="GBG61" s="291"/>
      <x:c r="GBH61" s="291"/>
      <x:c r="GBI61" s="291"/>
      <x:c r="GBJ61" s="291"/>
      <x:c r="GBK61" s="291"/>
      <x:c r="GBL61" s="291"/>
      <x:c r="GBM61" s="291"/>
      <x:c r="GBN61" s="291"/>
      <x:c r="GBO61" s="291"/>
      <x:c r="GBP61" s="291"/>
      <x:c r="GBQ61" s="291"/>
      <x:c r="GBR61" s="291"/>
      <x:c r="GBS61" s="291"/>
      <x:c r="GBT61" s="291"/>
      <x:c r="GBU61" s="291"/>
      <x:c r="GBV61" s="291"/>
      <x:c r="GBW61" s="291"/>
      <x:c r="GBX61" s="291"/>
      <x:c r="GBY61" s="291"/>
      <x:c r="GBZ61" s="291"/>
      <x:c r="GCA61" s="291"/>
      <x:c r="GCB61" s="291"/>
      <x:c r="GCC61" s="291"/>
      <x:c r="GCD61" s="291"/>
      <x:c r="GCE61" s="291"/>
      <x:c r="GCF61" s="291"/>
      <x:c r="GCG61" s="291"/>
      <x:c r="GCH61" s="291"/>
      <x:c r="GCI61" s="291"/>
      <x:c r="GCJ61" s="291"/>
      <x:c r="GCK61" s="291"/>
      <x:c r="GCL61" s="291"/>
      <x:c r="GCM61" s="291"/>
      <x:c r="GCN61" s="291"/>
      <x:c r="GCO61" s="291"/>
      <x:c r="GCP61" s="291"/>
      <x:c r="GCQ61" s="291"/>
      <x:c r="GCR61" s="291"/>
      <x:c r="GCS61" s="291"/>
      <x:c r="GCT61" s="291"/>
      <x:c r="GCU61" s="291"/>
      <x:c r="GCV61" s="291"/>
      <x:c r="GCW61" s="291"/>
      <x:c r="GCX61" s="291"/>
      <x:c r="GCY61" s="291"/>
      <x:c r="GCZ61" s="291"/>
      <x:c r="GDA61" s="291"/>
      <x:c r="GDB61" s="291"/>
      <x:c r="GDC61" s="291"/>
      <x:c r="GDD61" s="291"/>
      <x:c r="GDE61" s="291"/>
      <x:c r="GDF61" s="291"/>
      <x:c r="GDG61" s="291"/>
      <x:c r="GDH61" s="291"/>
      <x:c r="GDI61" s="291"/>
      <x:c r="GDJ61" s="291"/>
      <x:c r="GDK61" s="291"/>
      <x:c r="GDL61" s="291"/>
      <x:c r="GDM61" s="291"/>
      <x:c r="GDN61" s="291"/>
      <x:c r="GDO61" s="291"/>
      <x:c r="GDP61" s="291"/>
      <x:c r="GDQ61" s="291"/>
      <x:c r="GDR61" s="291"/>
      <x:c r="GDS61" s="291"/>
      <x:c r="GDT61" s="291"/>
      <x:c r="GDU61" s="291"/>
      <x:c r="GDV61" s="291"/>
      <x:c r="GDW61" s="291"/>
      <x:c r="GDX61" s="291"/>
      <x:c r="GDY61" s="291"/>
      <x:c r="GDZ61" s="291"/>
      <x:c r="GEA61" s="291"/>
      <x:c r="GEB61" s="291"/>
      <x:c r="GEC61" s="291"/>
      <x:c r="GED61" s="291"/>
      <x:c r="GEE61" s="291"/>
      <x:c r="GEF61" s="291"/>
      <x:c r="GEG61" s="291"/>
      <x:c r="GEH61" s="291"/>
      <x:c r="GEI61" s="291"/>
      <x:c r="GEJ61" s="291"/>
      <x:c r="GEK61" s="291"/>
      <x:c r="GEL61" s="291"/>
      <x:c r="GEM61" s="291"/>
      <x:c r="GEN61" s="291"/>
      <x:c r="GEO61" s="291"/>
      <x:c r="GEP61" s="291"/>
      <x:c r="GEQ61" s="291"/>
      <x:c r="GER61" s="291"/>
      <x:c r="GES61" s="291"/>
      <x:c r="GET61" s="291"/>
      <x:c r="GEU61" s="291"/>
      <x:c r="GEV61" s="291"/>
      <x:c r="GEW61" s="291"/>
      <x:c r="GEX61" s="291"/>
      <x:c r="GEY61" s="291"/>
      <x:c r="GEZ61" s="291"/>
      <x:c r="GFA61" s="291"/>
      <x:c r="GFB61" s="291"/>
      <x:c r="GFC61" s="291"/>
      <x:c r="GFD61" s="291"/>
      <x:c r="GFE61" s="291"/>
      <x:c r="GFF61" s="291"/>
      <x:c r="GFG61" s="291"/>
      <x:c r="GFH61" s="291"/>
      <x:c r="GFI61" s="291"/>
      <x:c r="GFJ61" s="291"/>
      <x:c r="GFK61" s="291"/>
      <x:c r="GFL61" s="291"/>
      <x:c r="GFM61" s="291"/>
      <x:c r="GFN61" s="291"/>
      <x:c r="GFO61" s="291"/>
      <x:c r="GFP61" s="291"/>
      <x:c r="GFQ61" s="291"/>
      <x:c r="GFR61" s="291"/>
      <x:c r="GFS61" s="291"/>
      <x:c r="GFT61" s="291"/>
      <x:c r="GFU61" s="291"/>
      <x:c r="GFV61" s="291"/>
      <x:c r="GFW61" s="291"/>
      <x:c r="GFX61" s="291"/>
      <x:c r="GFY61" s="291"/>
      <x:c r="GFZ61" s="291"/>
      <x:c r="GGA61" s="291"/>
      <x:c r="GGB61" s="291"/>
      <x:c r="GGC61" s="291"/>
      <x:c r="GGD61" s="291"/>
      <x:c r="GGE61" s="291"/>
      <x:c r="GGF61" s="291"/>
      <x:c r="GGG61" s="291"/>
      <x:c r="GGH61" s="291"/>
      <x:c r="GGI61" s="291"/>
      <x:c r="GGJ61" s="291"/>
      <x:c r="GGK61" s="291"/>
      <x:c r="GGL61" s="291"/>
      <x:c r="GGM61" s="291"/>
      <x:c r="GGN61" s="291"/>
      <x:c r="GGO61" s="291"/>
      <x:c r="GGP61" s="291"/>
      <x:c r="GGQ61" s="291"/>
      <x:c r="GGR61" s="291"/>
      <x:c r="GGS61" s="291"/>
      <x:c r="GGT61" s="291"/>
      <x:c r="GGU61" s="291"/>
      <x:c r="GGV61" s="291"/>
      <x:c r="GGW61" s="291"/>
      <x:c r="GGX61" s="291"/>
      <x:c r="GGY61" s="291"/>
      <x:c r="GGZ61" s="291"/>
      <x:c r="GHA61" s="291"/>
      <x:c r="GHB61" s="291"/>
      <x:c r="GHC61" s="291"/>
      <x:c r="GHD61" s="291"/>
      <x:c r="GHE61" s="291"/>
      <x:c r="GHF61" s="291"/>
      <x:c r="GHG61" s="291"/>
      <x:c r="GHH61" s="291"/>
      <x:c r="GHI61" s="291"/>
      <x:c r="GHJ61" s="291"/>
      <x:c r="GHK61" s="291"/>
      <x:c r="GHL61" s="291"/>
      <x:c r="GHM61" s="291"/>
      <x:c r="GHN61" s="291"/>
      <x:c r="GHO61" s="291"/>
      <x:c r="GHP61" s="291"/>
      <x:c r="GHQ61" s="291"/>
      <x:c r="GHR61" s="291"/>
      <x:c r="GHS61" s="291"/>
      <x:c r="GHT61" s="291"/>
      <x:c r="GHU61" s="291"/>
      <x:c r="GHV61" s="291"/>
      <x:c r="GHW61" s="291"/>
      <x:c r="GHX61" s="291"/>
      <x:c r="GHY61" s="291"/>
      <x:c r="GHZ61" s="291"/>
      <x:c r="GIA61" s="291"/>
      <x:c r="GIB61" s="291"/>
      <x:c r="GIC61" s="291"/>
      <x:c r="GID61" s="291"/>
      <x:c r="GIE61" s="291"/>
      <x:c r="GIF61" s="291"/>
      <x:c r="GIG61" s="291"/>
      <x:c r="GIH61" s="291"/>
      <x:c r="GII61" s="291"/>
      <x:c r="GIJ61" s="291"/>
      <x:c r="GIK61" s="291"/>
      <x:c r="GIL61" s="291"/>
      <x:c r="GIM61" s="291"/>
      <x:c r="GIN61" s="291"/>
      <x:c r="GIO61" s="291"/>
      <x:c r="GIP61" s="291"/>
      <x:c r="GIQ61" s="291"/>
      <x:c r="GIR61" s="291"/>
      <x:c r="GIS61" s="291"/>
      <x:c r="GIT61" s="291"/>
      <x:c r="GIU61" s="291"/>
      <x:c r="GIV61" s="291"/>
      <x:c r="GIW61" s="291"/>
      <x:c r="GIX61" s="291"/>
      <x:c r="GIY61" s="291"/>
      <x:c r="GIZ61" s="291"/>
      <x:c r="GJA61" s="291"/>
      <x:c r="GJB61" s="291"/>
      <x:c r="GJC61" s="291"/>
      <x:c r="GJD61" s="291"/>
      <x:c r="GJE61" s="291"/>
      <x:c r="GJF61" s="291"/>
      <x:c r="GJG61" s="291"/>
      <x:c r="GJH61" s="291"/>
      <x:c r="GJI61" s="291"/>
      <x:c r="GJJ61" s="291"/>
      <x:c r="GJK61" s="291"/>
      <x:c r="GJL61" s="291"/>
      <x:c r="GJM61" s="291"/>
      <x:c r="GJN61" s="291"/>
      <x:c r="GJO61" s="291"/>
      <x:c r="GJP61" s="291"/>
      <x:c r="GJQ61" s="291"/>
      <x:c r="GJR61" s="291"/>
      <x:c r="GJS61" s="291"/>
      <x:c r="GJT61" s="291"/>
      <x:c r="GJU61" s="291"/>
      <x:c r="GJV61" s="291"/>
      <x:c r="GJW61" s="291"/>
      <x:c r="GJX61" s="291"/>
      <x:c r="GJY61" s="291"/>
      <x:c r="GJZ61" s="291"/>
      <x:c r="GKA61" s="291"/>
      <x:c r="GKB61" s="291"/>
      <x:c r="GKC61" s="291"/>
      <x:c r="GKD61" s="291"/>
      <x:c r="GKE61" s="291"/>
      <x:c r="GKF61" s="291"/>
      <x:c r="GKG61" s="291"/>
      <x:c r="GKH61" s="291"/>
      <x:c r="GKI61" s="291"/>
      <x:c r="GKJ61" s="291"/>
      <x:c r="GKK61" s="291"/>
      <x:c r="GKL61" s="291"/>
      <x:c r="GKM61" s="291"/>
      <x:c r="GKN61" s="291"/>
      <x:c r="GKO61" s="291"/>
      <x:c r="GKP61" s="291"/>
      <x:c r="GKQ61" s="291"/>
      <x:c r="GKR61" s="291"/>
      <x:c r="GKS61" s="291"/>
      <x:c r="GKT61" s="291"/>
      <x:c r="GKU61" s="291"/>
      <x:c r="GKV61" s="291"/>
      <x:c r="GKW61" s="291"/>
      <x:c r="GKX61" s="291"/>
      <x:c r="GKY61" s="291"/>
      <x:c r="GKZ61" s="291"/>
      <x:c r="GLA61" s="291"/>
      <x:c r="GLB61" s="291"/>
      <x:c r="GLC61" s="291"/>
      <x:c r="GLD61" s="291"/>
      <x:c r="GLE61" s="291"/>
      <x:c r="GLF61" s="291"/>
      <x:c r="GLG61" s="291"/>
      <x:c r="GLH61" s="291"/>
      <x:c r="GLI61" s="291"/>
      <x:c r="GLJ61" s="291"/>
      <x:c r="GLK61" s="291"/>
      <x:c r="GLL61" s="291"/>
      <x:c r="GLM61" s="291"/>
      <x:c r="GLN61" s="291"/>
      <x:c r="GLO61" s="291"/>
      <x:c r="GLP61" s="291"/>
      <x:c r="GLQ61" s="291"/>
      <x:c r="GLR61" s="291"/>
      <x:c r="GLS61" s="291"/>
      <x:c r="GLT61" s="291"/>
      <x:c r="GLU61" s="291"/>
      <x:c r="GLV61" s="291"/>
      <x:c r="GLW61" s="291"/>
      <x:c r="GLX61" s="291"/>
      <x:c r="GLY61" s="291"/>
      <x:c r="GLZ61" s="291"/>
      <x:c r="GMA61" s="291"/>
      <x:c r="GMB61" s="291"/>
      <x:c r="GMC61" s="291"/>
      <x:c r="GMD61" s="291"/>
      <x:c r="GME61" s="291"/>
      <x:c r="GMF61" s="291"/>
      <x:c r="GMG61" s="291"/>
      <x:c r="GMH61" s="291"/>
      <x:c r="GMI61" s="291"/>
      <x:c r="GMJ61" s="291"/>
      <x:c r="GMK61" s="291"/>
      <x:c r="GML61" s="291"/>
      <x:c r="GMM61" s="291"/>
      <x:c r="GMN61" s="291"/>
      <x:c r="GMO61" s="291"/>
      <x:c r="GMP61" s="291"/>
      <x:c r="GMQ61" s="291"/>
      <x:c r="GMR61" s="291"/>
      <x:c r="GMS61" s="291"/>
      <x:c r="GMT61" s="291"/>
      <x:c r="GMU61" s="291"/>
      <x:c r="GMV61" s="291"/>
      <x:c r="GMW61" s="291"/>
      <x:c r="GMX61" s="291"/>
      <x:c r="GMY61" s="291"/>
      <x:c r="GMZ61" s="291"/>
      <x:c r="GNA61" s="291"/>
      <x:c r="GNB61" s="291"/>
      <x:c r="GNC61" s="291"/>
      <x:c r="GND61" s="291"/>
      <x:c r="GNE61" s="291"/>
      <x:c r="GNF61" s="291"/>
      <x:c r="GNG61" s="291"/>
      <x:c r="GNH61" s="291"/>
      <x:c r="GNI61" s="291"/>
      <x:c r="GNJ61" s="291"/>
      <x:c r="GNK61" s="291"/>
      <x:c r="GNL61" s="291"/>
      <x:c r="GNM61" s="291"/>
      <x:c r="GNN61" s="291"/>
      <x:c r="GNO61" s="291"/>
      <x:c r="GNP61" s="291"/>
      <x:c r="GNQ61" s="291"/>
      <x:c r="GNR61" s="291"/>
      <x:c r="GNS61" s="291"/>
      <x:c r="GNT61" s="291"/>
      <x:c r="GNU61" s="291"/>
      <x:c r="GNV61" s="291"/>
      <x:c r="GNW61" s="291"/>
      <x:c r="GNX61" s="291"/>
      <x:c r="GNY61" s="291"/>
      <x:c r="GNZ61" s="291"/>
      <x:c r="GOA61" s="291"/>
      <x:c r="GOB61" s="291"/>
      <x:c r="GOC61" s="291"/>
      <x:c r="GOD61" s="291"/>
      <x:c r="GOE61" s="291"/>
      <x:c r="GOF61" s="291"/>
      <x:c r="GOG61" s="291"/>
      <x:c r="GOH61" s="291"/>
      <x:c r="GOI61" s="291"/>
      <x:c r="GOJ61" s="291"/>
      <x:c r="GOK61" s="291"/>
      <x:c r="GOL61" s="291"/>
      <x:c r="GOM61" s="291"/>
      <x:c r="GON61" s="291"/>
      <x:c r="GOO61" s="291"/>
      <x:c r="GOP61" s="291"/>
      <x:c r="GOQ61" s="291"/>
      <x:c r="GOR61" s="291"/>
      <x:c r="GOS61" s="291"/>
      <x:c r="GOT61" s="291"/>
      <x:c r="GOU61" s="291"/>
      <x:c r="GOV61" s="291"/>
      <x:c r="GOW61" s="291"/>
      <x:c r="GOX61" s="291"/>
      <x:c r="GOY61" s="291"/>
      <x:c r="GOZ61" s="291"/>
      <x:c r="GPA61" s="291"/>
      <x:c r="GPB61" s="291"/>
      <x:c r="GPC61" s="291"/>
      <x:c r="GPD61" s="291"/>
      <x:c r="GPE61" s="291"/>
      <x:c r="GPF61" s="291"/>
      <x:c r="GPG61" s="291"/>
      <x:c r="GPH61" s="291"/>
      <x:c r="GPI61" s="291"/>
      <x:c r="GPJ61" s="291"/>
      <x:c r="GPK61" s="291"/>
      <x:c r="GPL61" s="291"/>
      <x:c r="GPM61" s="291"/>
      <x:c r="GPN61" s="291"/>
      <x:c r="GPO61" s="291"/>
      <x:c r="GPP61" s="291"/>
      <x:c r="GPQ61" s="291"/>
      <x:c r="GPR61" s="291"/>
      <x:c r="GPS61" s="291"/>
      <x:c r="GPT61" s="291"/>
      <x:c r="GPU61" s="291"/>
      <x:c r="GPV61" s="291"/>
      <x:c r="GPW61" s="291"/>
      <x:c r="GPX61" s="291"/>
      <x:c r="GPY61" s="291"/>
      <x:c r="GPZ61" s="291"/>
      <x:c r="GQA61" s="291"/>
      <x:c r="GQB61" s="291"/>
      <x:c r="GQC61" s="291"/>
      <x:c r="GQD61" s="291"/>
      <x:c r="GQE61" s="291"/>
      <x:c r="GQF61" s="291"/>
      <x:c r="GQG61" s="291"/>
      <x:c r="GQH61" s="291"/>
      <x:c r="GQI61" s="291"/>
      <x:c r="GQJ61" s="291"/>
      <x:c r="GQK61" s="291"/>
      <x:c r="GQL61" s="291"/>
      <x:c r="GQM61" s="291"/>
      <x:c r="GQN61" s="291"/>
      <x:c r="GQO61" s="291"/>
      <x:c r="GQP61" s="291"/>
      <x:c r="GQQ61" s="291"/>
      <x:c r="GQR61" s="291"/>
      <x:c r="GQS61" s="291"/>
      <x:c r="GQT61" s="291"/>
      <x:c r="GQU61" s="291"/>
      <x:c r="GQV61" s="291"/>
      <x:c r="GQW61" s="291"/>
      <x:c r="GQX61" s="291"/>
      <x:c r="GQY61" s="291"/>
      <x:c r="GQZ61" s="291"/>
      <x:c r="GRA61" s="291"/>
      <x:c r="GRB61" s="291"/>
      <x:c r="GRC61" s="291"/>
      <x:c r="GRD61" s="291"/>
      <x:c r="GRE61" s="291"/>
      <x:c r="GRF61" s="291"/>
      <x:c r="GRG61" s="291"/>
      <x:c r="GRH61" s="291"/>
      <x:c r="GRI61" s="291"/>
      <x:c r="GRJ61" s="291"/>
      <x:c r="GRK61" s="291"/>
      <x:c r="GRL61" s="291"/>
      <x:c r="GRM61" s="291"/>
      <x:c r="GRN61" s="291"/>
      <x:c r="GRO61" s="291"/>
      <x:c r="GRP61" s="291"/>
      <x:c r="GRQ61" s="291"/>
      <x:c r="GRR61" s="291"/>
      <x:c r="GRS61" s="291"/>
      <x:c r="GRT61" s="291"/>
      <x:c r="GRU61" s="291"/>
      <x:c r="GRV61" s="291"/>
      <x:c r="GRW61" s="291"/>
      <x:c r="GRX61" s="291"/>
      <x:c r="GRY61" s="291"/>
      <x:c r="GRZ61" s="291"/>
      <x:c r="GSA61" s="291"/>
      <x:c r="GSB61" s="291"/>
      <x:c r="GSC61" s="291"/>
      <x:c r="GSD61" s="291"/>
      <x:c r="GSE61" s="291"/>
      <x:c r="GSF61" s="291"/>
      <x:c r="GSG61" s="291"/>
      <x:c r="GSH61" s="291"/>
      <x:c r="GSI61" s="291"/>
      <x:c r="GSJ61" s="291"/>
      <x:c r="GSK61" s="291"/>
      <x:c r="GSL61" s="291"/>
      <x:c r="GSM61" s="291"/>
      <x:c r="GSN61" s="291"/>
      <x:c r="GSO61" s="291"/>
      <x:c r="GSP61" s="291"/>
      <x:c r="GSQ61" s="291"/>
      <x:c r="GSR61" s="291"/>
      <x:c r="GSS61" s="291"/>
      <x:c r="GST61" s="291"/>
      <x:c r="GSU61" s="291"/>
      <x:c r="GSV61" s="291"/>
      <x:c r="GSW61" s="291"/>
      <x:c r="GSX61" s="291"/>
      <x:c r="GSY61" s="291"/>
      <x:c r="GSZ61" s="291"/>
      <x:c r="GTA61" s="291"/>
      <x:c r="GTB61" s="291"/>
      <x:c r="GTC61" s="291"/>
      <x:c r="GTD61" s="291"/>
      <x:c r="GTE61" s="291"/>
      <x:c r="GTF61" s="291"/>
      <x:c r="GTG61" s="291"/>
      <x:c r="GTH61" s="291"/>
      <x:c r="GTI61" s="291"/>
      <x:c r="GTJ61" s="291"/>
      <x:c r="GTK61" s="291"/>
      <x:c r="GTL61" s="291"/>
      <x:c r="GTM61" s="291"/>
      <x:c r="GTN61" s="291"/>
      <x:c r="GTO61" s="291"/>
      <x:c r="GTP61" s="291"/>
      <x:c r="GTQ61" s="291"/>
      <x:c r="GTR61" s="291"/>
      <x:c r="GTS61" s="291"/>
      <x:c r="GTT61" s="291"/>
      <x:c r="GTU61" s="291"/>
      <x:c r="GTV61" s="291"/>
      <x:c r="GTW61" s="291"/>
      <x:c r="GTX61" s="291"/>
      <x:c r="GTY61" s="291"/>
      <x:c r="GTZ61" s="291"/>
      <x:c r="GUA61" s="291"/>
      <x:c r="GUB61" s="291"/>
      <x:c r="GUC61" s="291"/>
      <x:c r="GUD61" s="291"/>
      <x:c r="GUE61" s="291"/>
      <x:c r="GUF61" s="291"/>
      <x:c r="GUG61" s="291"/>
      <x:c r="GUH61" s="291"/>
      <x:c r="GUI61" s="291"/>
      <x:c r="GUJ61" s="291"/>
      <x:c r="GUK61" s="291"/>
      <x:c r="GUL61" s="291"/>
      <x:c r="GUM61" s="291"/>
      <x:c r="GUN61" s="291"/>
      <x:c r="GUO61" s="291"/>
      <x:c r="GUP61" s="291"/>
      <x:c r="GUQ61" s="291"/>
      <x:c r="GUR61" s="291"/>
      <x:c r="GUS61" s="291"/>
      <x:c r="GUT61" s="291"/>
      <x:c r="GUU61" s="291"/>
      <x:c r="GUV61" s="291"/>
      <x:c r="GUW61" s="291"/>
      <x:c r="GUX61" s="291"/>
      <x:c r="GUY61" s="291"/>
      <x:c r="GUZ61" s="291"/>
      <x:c r="GVA61" s="291"/>
      <x:c r="GVB61" s="291"/>
      <x:c r="GVC61" s="291"/>
      <x:c r="GVD61" s="291"/>
      <x:c r="GVE61" s="291"/>
      <x:c r="GVF61" s="291"/>
      <x:c r="GVG61" s="291"/>
      <x:c r="GVH61" s="291"/>
      <x:c r="GVI61" s="291"/>
      <x:c r="GVJ61" s="291"/>
      <x:c r="GVK61" s="291"/>
      <x:c r="GVL61" s="291"/>
      <x:c r="GVM61" s="291"/>
      <x:c r="GVN61" s="291"/>
      <x:c r="GVO61" s="291"/>
      <x:c r="GVP61" s="291"/>
      <x:c r="GVQ61" s="291"/>
      <x:c r="GVR61" s="291"/>
      <x:c r="GVS61" s="291"/>
      <x:c r="GVT61" s="291"/>
      <x:c r="GVU61" s="291"/>
      <x:c r="GVV61" s="291"/>
      <x:c r="GVW61" s="291"/>
      <x:c r="GVX61" s="291"/>
      <x:c r="GVY61" s="291"/>
      <x:c r="GVZ61" s="291"/>
      <x:c r="GWA61" s="291"/>
      <x:c r="GWB61" s="291"/>
      <x:c r="GWC61" s="291"/>
      <x:c r="GWD61" s="291"/>
      <x:c r="GWE61" s="291"/>
      <x:c r="GWF61" s="291"/>
      <x:c r="GWG61" s="291"/>
      <x:c r="GWH61" s="291"/>
      <x:c r="GWI61" s="291"/>
      <x:c r="GWJ61" s="291"/>
      <x:c r="GWK61" s="291"/>
      <x:c r="GWL61" s="291"/>
      <x:c r="GWM61" s="291"/>
      <x:c r="GWN61" s="291"/>
      <x:c r="GWO61" s="291"/>
      <x:c r="GWP61" s="291"/>
      <x:c r="GWQ61" s="291"/>
      <x:c r="GWR61" s="291"/>
      <x:c r="GWS61" s="291"/>
      <x:c r="GWT61" s="291"/>
      <x:c r="GWU61" s="291"/>
      <x:c r="GWV61" s="291"/>
      <x:c r="GWW61" s="291"/>
      <x:c r="GWX61" s="291"/>
      <x:c r="GWY61" s="291"/>
      <x:c r="GWZ61" s="291"/>
      <x:c r="GXA61" s="291"/>
      <x:c r="GXB61" s="291"/>
      <x:c r="GXC61" s="291"/>
      <x:c r="GXD61" s="291"/>
      <x:c r="GXE61" s="291"/>
      <x:c r="GXF61" s="291"/>
      <x:c r="GXG61" s="291"/>
      <x:c r="GXH61" s="291"/>
      <x:c r="GXI61" s="291"/>
      <x:c r="GXJ61" s="291"/>
      <x:c r="GXK61" s="291"/>
      <x:c r="GXL61" s="291"/>
      <x:c r="GXM61" s="291"/>
      <x:c r="GXN61" s="291"/>
      <x:c r="GXO61" s="291"/>
      <x:c r="GXP61" s="291"/>
      <x:c r="GXQ61" s="291"/>
      <x:c r="GXR61" s="291"/>
      <x:c r="GXS61" s="291"/>
      <x:c r="GXT61" s="291"/>
      <x:c r="GXU61" s="291"/>
      <x:c r="GXV61" s="291"/>
      <x:c r="GXW61" s="291"/>
      <x:c r="GXX61" s="291"/>
      <x:c r="GXY61" s="291"/>
      <x:c r="GXZ61" s="291"/>
      <x:c r="GYA61" s="291"/>
      <x:c r="GYB61" s="291"/>
      <x:c r="GYC61" s="291"/>
      <x:c r="GYD61" s="291"/>
      <x:c r="GYE61" s="291"/>
      <x:c r="GYF61" s="291"/>
      <x:c r="GYG61" s="291"/>
      <x:c r="GYH61" s="291"/>
      <x:c r="GYI61" s="291"/>
      <x:c r="GYJ61" s="291"/>
      <x:c r="GYK61" s="291"/>
      <x:c r="GYL61" s="291"/>
      <x:c r="GYM61" s="291"/>
      <x:c r="GYN61" s="291"/>
      <x:c r="GYO61" s="291"/>
      <x:c r="GYP61" s="291"/>
      <x:c r="GYQ61" s="291"/>
      <x:c r="GYR61" s="291"/>
      <x:c r="GYS61" s="291"/>
      <x:c r="GYT61" s="291"/>
      <x:c r="GYU61" s="291"/>
      <x:c r="GYV61" s="291"/>
      <x:c r="GYW61" s="291"/>
      <x:c r="GYX61" s="291"/>
      <x:c r="GYY61" s="291"/>
      <x:c r="GYZ61" s="291"/>
      <x:c r="GZA61" s="291"/>
      <x:c r="GZB61" s="291"/>
      <x:c r="GZC61" s="291"/>
      <x:c r="GZD61" s="291"/>
      <x:c r="GZE61" s="291"/>
      <x:c r="GZF61" s="291"/>
      <x:c r="GZG61" s="291"/>
      <x:c r="GZH61" s="291"/>
      <x:c r="GZI61" s="291"/>
      <x:c r="GZJ61" s="291"/>
      <x:c r="GZK61" s="291"/>
      <x:c r="GZL61" s="291"/>
      <x:c r="GZM61" s="291"/>
      <x:c r="GZN61" s="291"/>
      <x:c r="GZO61" s="291"/>
      <x:c r="GZP61" s="291"/>
      <x:c r="GZQ61" s="291"/>
      <x:c r="GZR61" s="291"/>
      <x:c r="GZS61" s="291"/>
      <x:c r="GZT61" s="291"/>
      <x:c r="GZU61" s="291"/>
      <x:c r="GZV61" s="291"/>
      <x:c r="GZW61" s="291"/>
      <x:c r="GZX61" s="291"/>
      <x:c r="GZY61" s="291"/>
      <x:c r="GZZ61" s="291"/>
      <x:c r="HAA61" s="291"/>
      <x:c r="HAB61" s="291"/>
      <x:c r="HAC61" s="291"/>
      <x:c r="HAD61" s="291"/>
      <x:c r="HAE61" s="291"/>
      <x:c r="HAF61" s="291"/>
      <x:c r="HAG61" s="291"/>
      <x:c r="HAH61" s="291"/>
      <x:c r="HAI61" s="291"/>
      <x:c r="HAJ61" s="291"/>
      <x:c r="HAK61" s="291"/>
      <x:c r="HAL61" s="291"/>
      <x:c r="HAM61" s="291"/>
      <x:c r="HAN61" s="291"/>
      <x:c r="HAO61" s="291"/>
      <x:c r="HAP61" s="291"/>
      <x:c r="HAQ61" s="291"/>
      <x:c r="HAR61" s="291"/>
      <x:c r="HAS61" s="291"/>
      <x:c r="HAT61" s="291"/>
      <x:c r="HAU61" s="291"/>
      <x:c r="HAV61" s="291"/>
      <x:c r="HAW61" s="291"/>
      <x:c r="HAX61" s="291"/>
      <x:c r="HAY61" s="291"/>
      <x:c r="HAZ61" s="291"/>
      <x:c r="HBA61" s="291"/>
      <x:c r="HBB61" s="291"/>
      <x:c r="HBC61" s="291"/>
      <x:c r="HBD61" s="291"/>
      <x:c r="HBE61" s="291"/>
      <x:c r="HBF61" s="291"/>
      <x:c r="HBG61" s="291"/>
      <x:c r="HBH61" s="291"/>
      <x:c r="HBI61" s="291"/>
      <x:c r="HBJ61" s="291"/>
      <x:c r="HBK61" s="291"/>
      <x:c r="HBL61" s="291"/>
      <x:c r="HBM61" s="291"/>
      <x:c r="HBN61" s="291"/>
      <x:c r="HBO61" s="291"/>
      <x:c r="HBP61" s="291"/>
      <x:c r="HBQ61" s="291"/>
      <x:c r="HBR61" s="291"/>
      <x:c r="HBS61" s="291"/>
      <x:c r="HBT61" s="291"/>
      <x:c r="HBU61" s="291"/>
      <x:c r="HBV61" s="291"/>
      <x:c r="HBW61" s="291"/>
      <x:c r="HBX61" s="291"/>
      <x:c r="HBY61" s="291"/>
      <x:c r="HBZ61" s="291"/>
      <x:c r="HCA61" s="291"/>
      <x:c r="HCB61" s="291"/>
      <x:c r="HCC61" s="291"/>
      <x:c r="HCD61" s="291"/>
      <x:c r="HCE61" s="291"/>
      <x:c r="HCF61" s="291"/>
      <x:c r="HCG61" s="291"/>
      <x:c r="HCH61" s="291"/>
      <x:c r="HCI61" s="291"/>
      <x:c r="HCJ61" s="291"/>
      <x:c r="HCK61" s="291"/>
      <x:c r="HCL61" s="291"/>
      <x:c r="HCM61" s="291"/>
      <x:c r="HCN61" s="291"/>
      <x:c r="HCO61" s="291"/>
      <x:c r="HCP61" s="291"/>
      <x:c r="HCQ61" s="291"/>
      <x:c r="HCR61" s="291"/>
      <x:c r="HCS61" s="291"/>
      <x:c r="HCT61" s="291"/>
      <x:c r="HCU61" s="291"/>
      <x:c r="HCV61" s="291"/>
      <x:c r="HCW61" s="291"/>
      <x:c r="HCX61" s="291"/>
      <x:c r="HCY61" s="291"/>
      <x:c r="HCZ61" s="291"/>
      <x:c r="HDA61" s="291"/>
      <x:c r="HDB61" s="291"/>
      <x:c r="HDC61" s="291"/>
      <x:c r="HDD61" s="291"/>
      <x:c r="HDE61" s="291"/>
      <x:c r="HDF61" s="291"/>
      <x:c r="HDG61" s="291"/>
      <x:c r="HDH61" s="291"/>
      <x:c r="HDI61" s="291"/>
      <x:c r="HDJ61" s="291"/>
      <x:c r="HDK61" s="291"/>
      <x:c r="HDL61" s="291"/>
      <x:c r="HDM61" s="291"/>
      <x:c r="HDN61" s="291"/>
      <x:c r="HDO61" s="291"/>
      <x:c r="HDP61" s="291"/>
      <x:c r="HDQ61" s="291"/>
      <x:c r="HDR61" s="291"/>
      <x:c r="HDS61" s="291"/>
      <x:c r="HDT61" s="291"/>
      <x:c r="HDU61" s="291"/>
      <x:c r="HDV61" s="291"/>
      <x:c r="HDW61" s="291"/>
      <x:c r="HDX61" s="291"/>
      <x:c r="HDY61" s="291"/>
      <x:c r="HDZ61" s="291"/>
      <x:c r="HEA61" s="291"/>
      <x:c r="HEB61" s="291"/>
      <x:c r="HEC61" s="291"/>
      <x:c r="HED61" s="291"/>
      <x:c r="HEE61" s="291"/>
      <x:c r="HEF61" s="291"/>
      <x:c r="HEG61" s="291"/>
      <x:c r="HEH61" s="291"/>
      <x:c r="HEI61" s="291"/>
      <x:c r="HEJ61" s="291"/>
      <x:c r="HEK61" s="291"/>
      <x:c r="HEL61" s="291"/>
      <x:c r="HEM61" s="291"/>
      <x:c r="HEN61" s="291"/>
      <x:c r="HEO61" s="291"/>
      <x:c r="HEP61" s="291"/>
      <x:c r="HEQ61" s="291"/>
      <x:c r="HER61" s="291"/>
      <x:c r="HES61" s="291"/>
      <x:c r="HET61" s="291"/>
      <x:c r="HEU61" s="291"/>
      <x:c r="HEV61" s="291"/>
      <x:c r="HEW61" s="291"/>
      <x:c r="HEX61" s="291"/>
      <x:c r="HEY61" s="291"/>
      <x:c r="HEZ61" s="291"/>
      <x:c r="HFA61" s="291"/>
      <x:c r="HFB61" s="291"/>
      <x:c r="HFC61" s="291"/>
      <x:c r="HFD61" s="291"/>
      <x:c r="HFE61" s="291"/>
      <x:c r="HFF61" s="291"/>
      <x:c r="HFG61" s="291"/>
      <x:c r="HFH61" s="291"/>
      <x:c r="HFI61" s="291"/>
      <x:c r="HFJ61" s="291"/>
      <x:c r="HFK61" s="291"/>
      <x:c r="HFL61" s="291"/>
      <x:c r="HFM61" s="291"/>
      <x:c r="HFN61" s="291"/>
      <x:c r="HFO61" s="291"/>
      <x:c r="HFP61" s="291"/>
      <x:c r="HFQ61" s="291"/>
      <x:c r="HFR61" s="291"/>
      <x:c r="HFS61" s="291"/>
      <x:c r="HFT61" s="291"/>
      <x:c r="HFU61" s="291"/>
      <x:c r="HFV61" s="291"/>
      <x:c r="HFW61" s="291"/>
      <x:c r="HFX61" s="291"/>
      <x:c r="HFY61" s="291"/>
      <x:c r="HFZ61" s="291"/>
      <x:c r="HGA61" s="291"/>
      <x:c r="HGB61" s="291"/>
      <x:c r="HGC61" s="291"/>
      <x:c r="HGD61" s="291"/>
      <x:c r="HGE61" s="291"/>
      <x:c r="HGF61" s="291"/>
      <x:c r="HGG61" s="291"/>
      <x:c r="HGH61" s="291"/>
      <x:c r="HGI61" s="291"/>
      <x:c r="HGJ61" s="291"/>
      <x:c r="HGK61" s="291"/>
      <x:c r="HGL61" s="291"/>
      <x:c r="HGM61" s="291"/>
      <x:c r="HGN61" s="291"/>
      <x:c r="HGO61" s="291"/>
      <x:c r="HGP61" s="291"/>
      <x:c r="HGQ61" s="291"/>
      <x:c r="HGR61" s="291"/>
      <x:c r="HGS61" s="291"/>
      <x:c r="HGT61" s="291"/>
      <x:c r="HGU61" s="291"/>
      <x:c r="HGV61" s="291"/>
      <x:c r="HGW61" s="291"/>
      <x:c r="HGX61" s="291"/>
      <x:c r="HGY61" s="291"/>
      <x:c r="HGZ61" s="291"/>
      <x:c r="HHA61" s="291"/>
      <x:c r="HHB61" s="291"/>
      <x:c r="HHC61" s="291"/>
      <x:c r="HHD61" s="291"/>
      <x:c r="HHE61" s="291"/>
      <x:c r="HHF61" s="291"/>
      <x:c r="HHG61" s="291"/>
      <x:c r="HHH61" s="291"/>
      <x:c r="HHI61" s="291"/>
      <x:c r="HHJ61" s="291"/>
      <x:c r="HHK61" s="291"/>
      <x:c r="HHL61" s="291"/>
      <x:c r="HHM61" s="291"/>
      <x:c r="HHN61" s="291"/>
      <x:c r="HHO61" s="291"/>
      <x:c r="HHP61" s="291"/>
      <x:c r="HHQ61" s="291"/>
      <x:c r="HHR61" s="291"/>
      <x:c r="HHS61" s="291"/>
      <x:c r="HHT61" s="291"/>
      <x:c r="HHU61" s="291"/>
      <x:c r="HHV61" s="291"/>
      <x:c r="HHW61" s="291"/>
      <x:c r="HHX61" s="291"/>
      <x:c r="HHY61" s="291"/>
      <x:c r="HHZ61" s="291"/>
      <x:c r="HIA61" s="291"/>
      <x:c r="HIB61" s="291"/>
      <x:c r="HIC61" s="291"/>
      <x:c r="HID61" s="291"/>
      <x:c r="HIE61" s="291"/>
      <x:c r="HIF61" s="291"/>
      <x:c r="HIG61" s="291"/>
      <x:c r="HIH61" s="291"/>
      <x:c r="HII61" s="291"/>
      <x:c r="HIJ61" s="291"/>
      <x:c r="HIK61" s="291"/>
      <x:c r="HIL61" s="291"/>
      <x:c r="HIM61" s="291"/>
      <x:c r="HIN61" s="291"/>
      <x:c r="HIO61" s="291"/>
      <x:c r="HIP61" s="291"/>
      <x:c r="HIQ61" s="291"/>
      <x:c r="HIR61" s="291"/>
      <x:c r="HIS61" s="291"/>
      <x:c r="HIT61" s="291"/>
      <x:c r="HIU61" s="291"/>
      <x:c r="HIV61" s="291"/>
      <x:c r="HIW61" s="291"/>
      <x:c r="HIX61" s="291"/>
      <x:c r="HIY61" s="291"/>
      <x:c r="HIZ61" s="291"/>
      <x:c r="HJA61" s="291"/>
      <x:c r="HJB61" s="291"/>
      <x:c r="HJC61" s="291"/>
      <x:c r="HJD61" s="291"/>
      <x:c r="HJE61" s="291"/>
      <x:c r="HJF61" s="291"/>
      <x:c r="HJG61" s="291"/>
      <x:c r="HJH61" s="291"/>
      <x:c r="HJI61" s="291"/>
      <x:c r="HJJ61" s="291"/>
      <x:c r="HJK61" s="291"/>
      <x:c r="HJL61" s="291"/>
      <x:c r="HJM61" s="291"/>
      <x:c r="HJN61" s="291"/>
      <x:c r="HJO61" s="291"/>
      <x:c r="HJP61" s="291"/>
      <x:c r="HJQ61" s="291"/>
      <x:c r="HJR61" s="291"/>
      <x:c r="HJS61" s="291"/>
      <x:c r="HJT61" s="291"/>
      <x:c r="HJU61" s="291"/>
      <x:c r="HJV61" s="291"/>
      <x:c r="HJW61" s="291"/>
      <x:c r="HJX61" s="291"/>
      <x:c r="HJY61" s="291"/>
      <x:c r="HJZ61" s="291"/>
      <x:c r="HKA61" s="291"/>
      <x:c r="HKB61" s="291"/>
      <x:c r="HKC61" s="291"/>
      <x:c r="HKD61" s="291"/>
      <x:c r="HKE61" s="291"/>
      <x:c r="HKF61" s="291"/>
      <x:c r="HKG61" s="291"/>
      <x:c r="HKH61" s="291"/>
      <x:c r="HKI61" s="291"/>
      <x:c r="HKJ61" s="291"/>
      <x:c r="HKK61" s="291"/>
      <x:c r="HKL61" s="291"/>
      <x:c r="HKM61" s="291"/>
      <x:c r="HKN61" s="291"/>
      <x:c r="HKO61" s="291"/>
      <x:c r="HKP61" s="291"/>
      <x:c r="HKQ61" s="291"/>
      <x:c r="HKR61" s="291"/>
      <x:c r="HKS61" s="291"/>
      <x:c r="HKT61" s="291"/>
      <x:c r="HKU61" s="291"/>
      <x:c r="HKV61" s="291"/>
      <x:c r="HKW61" s="291"/>
      <x:c r="HKX61" s="291"/>
      <x:c r="HKY61" s="291"/>
      <x:c r="HKZ61" s="291"/>
      <x:c r="HLA61" s="291"/>
      <x:c r="HLB61" s="291"/>
      <x:c r="HLC61" s="291"/>
      <x:c r="HLD61" s="291"/>
      <x:c r="HLE61" s="291"/>
      <x:c r="HLF61" s="291"/>
      <x:c r="HLG61" s="291"/>
      <x:c r="HLH61" s="291"/>
      <x:c r="HLI61" s="291"/>
      <x:c r="HLJ61" s="291"/>
      <x:c r="HLK61" s="291"/>
      <x:c r="HLL61" s="291"/>
      <x:c r="HLM61" s="291"/>
      <x:c r="HLN61" s="291"/>
      <x:c r="HLO61" s="291"/>
      <x:c r="HLP61" s="291"/>
      <x:c r="HLQ61" s="291"/>
      <x:c r="HLR61" s="291"/>
      <x:c r="HLS61" s="291"/>
      <x:c r="HLT61" s="291"/>
      <x:c r="HLU61" s="291"/>
      <x:c r="HLV61" s="291"/>
      <x:c r="HLW61" s="291"/>
      <x:c r="HLX61" s="291"/>
      <x:c r="HLY61" s="291"/>
      <x:c r="HLZ61" s="291"/>
      <x:c r="HMA61" s="291"/>
      <x:c r="HMB61" s="291"/>
      <x:c r="HMC61" s="291"/>
      <x:c r="HMD61" s="291"/>
      <x:c r="HME61" s="291"/>
      <x:c r="HMF61" s="291"/>
      <x:c r="HMG61" s="291"/>
      <x:c r="HMH61" s="291"/>
      <x:c r="HMI61" s="291"/>
      <x:c r="HMJ61" s="291"/>
      <x:c r="HMK61" s="291"/>
      <x:c r="HML61" s="291"/>
      <x:c r="HMM61" s="291"/>
      <x:c r="HMN61" s="291"/>
      <x:c r="HMO61" s="291"/>
      <x:c r="HMP61" s="291"/>
      <x:c r="HMQ61" s="291"/>
      <x:c r="HMR61" s="291"/>
      <x:c r="HMS61" s="291"/>
      <x:c r="HMT61" s="291"/>
      <x:c r="HMU61" s="291"/>
      <x:c r="HMV61" s="291"/>
      <x:c r="HMW61" s="291"/>
      <x:c r="HMX61" s="291"/>
      <x:c r="HMY61" s="291"/>
      <x:c r="HMZ61" s="291"/>
      <x:c r="HNA61" s="291"/>
      <x:c r="HNB61" s="291"/>
      <x:c r="HNC61" s="291"/>
      <x:c r="HND61" s="291"/>
      <x:c r="HNE61" s="291"/>
      <x:c r="HNF61" s="291"/>
      <x:c r="HNG61" s="291"/>
      <x:c r="HNH61" s="291"/>
      <x:c r="HNI61" s="291"/>
      <x:c r="HNJ61" s="291"/>
      <x:c r="HNK61" s="291"/>
      <x:c r="HNL61" s="291"/>
      <x:c r="HNM61" s="291"/>
      <x:c r="HNN61" s="291"/>
      <x:c r="HNO61" s="291"/>
      <x:c r="HNP61" s="291"/>
      <x:c r="HNQ61" s="291"/>
      <x:c r="HNR61" s="291"/>
      <x:c r="HNS61" s="291"/>
      <x:c r="HNT61" s="291"/>
      <x:c r="HNU61" s="291"/>
      <x:c r="HNV61" s="291"/>
      <x:c r="HNW61" s="291"/>
      <x:c r="HNX61" s="291"/>
      <x:c r="HNY61" s="291"/>
      <x:c r="HNZ61" s="291"/>
      <x:c r="HOA61" s="291"/>
      <x:c r="HOB61" s="291"/>
      <x:c r="HOC61" s="291"/>
      <x:c r="HOD61" s="291"/>
      <x:c r="HOE61" s="291"/>
      <x:c r="HOF61" s="291"/>
      <x:c r="HOG61" s="291"/>
      <x:c r="HOH61" s="291"/>
      <x:c r="HOI61" s="291"/>
      <x:c r="HOJ61" s="291"/>
      <x:c r="HOK61" s="291"/>
      <x:c r="HOL61" s="291"/>
      <x:c r="HOM61" s="291"/>
      <x:c r="HON61" s="291"/>
      <x:c r="HOO61" s="291"/>
      <x:c r="HOP61" s="291"/>
      <x:c r="HOQ61" s="291"/>
      <x:c r="HOR61" s="291"/>
      <x:c r="HOS61" s="291"/>
      <x:c r="HOT61" s="291"/>
      <x:c r="HOU61" s="291"/>
      <x:c r="HOV61" s="291"/>
      <x:c r="HOW61" s="291"/>
      <x:c r="HOX61" s="291"/>
      <x:c r="HOY61" s="291"/>
      <x:c r="HOZ61" s="291"/>
      <x:c r="HPA61" s="291"/>
      <x:c r="HPB61" s="291"/>
      <x:c r="HPC61" s="291"/>
      <x:c r="HPD61" s="291"/>
      <x:c r="HPE61" s="291"/>
      <x:c r="HPF61" s="291"/>
      <x:c r="HPG61" s="291"/>
      <x:c r="HPH61" s="291"/>
      <x:c r="HPI61" s="291"/>
      <x:c r="HPJ61" s="291"/>
      <x:c r="HPK61" s="291"/>
      <x:c r="HPL61" s="291"/>
      <x:c r="HPM61" s="291"/>
      <x:c r="HPN61" s="291"/>
      <x:c r="HPO61" s="291"/>
      <x:c r="HPP61" s="291"/>
      <x:c r="HPQ61" s="291"/>
      <x:c r="HPR61" s="291"/>
      <x:c r="HPS61" s="291"/>
      <x:c r="HPT61" s="291"/>
      <x:c r="HPU61" s="291"/>
      <x:c r="HPV61" s="291"/>
      <x:c r="HPW61" s="291"/>
      <x:c r="HPX61" s="291"/>
      <x:c r="HPY61" s="291"/>
      <x:c r="HPZ61" s="291"/>
      <x:c r="HQA61" s="291"/>
      <x:c r="HQB61" s="291"/>
      <x:c r="HQC61" s="291"/>
      <x:c r="HQD61" s="291"/>
      <x:c r="HQE61" s="291"/>
      <x:c r="HQF61" s="291"/>
      <x:c r="HQG61" s="291"/>
      <x:c r="HQH61" s="291"/>
      <x:c r="HQI61" s="291"/>
      <x:c r="HQJ61" s="291"/>
      <x:c r="HQK61" s="291"/>
      <x:c r="HQL61" s="291"/>
      <x:c r="HQM61" s="291"/>
      <x:c r="HQN61" s="291"/>
      <x:c r="HQO61" s="291"/>
      <x:c r="HQP61" s="291"/>
      <x:c r="HQQ61" s="291"/>
      <x:c r="HQR61" s="291"/>
      <x:c r="HQS61" s="291"/>
      <x:c r="HQT61" s="291"/>
      <x:c r="HQU61" s="291"/>
      <x:c r="HQV61" s="291"/>
      <x:c r="HQW61" s="291"/>
      <x:c r="HQX61" s="291"/>
      <x:c r="HQY61" s="291"/>
      <x:c r="HQZ61" s="291"/>
      <x:c r="HRA61" s="291"/>
      <x:c r="HRB61" s="291"/>
      <x:c r="HRC61" s="291"/>
      <x:c r="HRD61" s="291"/>
      <x:c r="HRE61" s="291"/>
      <x:c r="HRF61" s="291"/>
      <x:c r="HRG61" s="291"/>
      <x:c r="HRH61" s="291"/>
      <x:c r="HRI61" s="291"/>
      <x:c r="HRJ61" s="291"/>
      <x:c r="HRK61" s="291"/>
      <x:c r="HRL61" s="291"/>
      <x:c r="HRM61" s="291"/>
      <x:c r="HRN61" s="291"/>
      <x:c r="HRO61" s="291"/>
      <x:c r="HRP61" s="291"/>
      <x:c r="HRQ61" s="291"/>
      <x:c r="HRR61" s="291"/>
      <x:c r="HRS61" s="291"/>
      <x:c r="HRT61" s="291"/>
      <x:c r="HRU61" s="291"/>
      <x:c r="HRV61" s="291"/>
      <x:c r="HRW61" s="291"/>
      <x:c r="HRX61" s="291"/>
      <x:c r="HRY61" s="291"/>
      <x:c r="HRZ61" s="291"/>
      <x:c r="HSA61" s="291"/>
      <x:c r="HSB61" s="291"/>
      <x:c r="HSC61" s="291"/>
      <x:c r="HSD61" s="291"/>
      <x:c r="HSE61" s="291"/>
      <x:c r="HSF61" s="291"/>
      <x:c r="HSG61" s="291"/>
      <x:c r="HSH61" s="291"/>
      <x:c r="HSI61" s="291"/>
      <x:c r="HSJ61" s="291"/>
      <x:c r="HSK61" s="291"/>
      <x:c r="HSL61" s="291"/>
      <x:c r="HSM61" s="291"/>
      <x:c r="HSN61" s="291"/>
      <x:c r="HSO61" s="291"/>
      <x:c r="HSP61" s="291"/>
      <x:c r="HSQ61" s="291"/>
      <x:c r="HSR61" s="291"/>
      <x:c r="HSS61" s="291"/>
      <x:c r="HST61" s="291"/>
      <x:c r="HSU61" s="291"/>
      <x:c r="HSV61" s="291"/>
      <x:c r="HSW61" s="291"/>
      <x:c r="HSX61" s="291"/>
      <x:c r="HSY61" s="291"/>
      <x:c r="HSZ61" s="291"/>
      <x:c r="HTA61" s="291"/>
      <x:c r="HTB61" s="291"/>
      <x:c r="HTC61" s="291"/>
      <x:c r="HTD61" s="291"/>
      <x:c r="HTE61" s="291"/>
      <x:c r="HTF61" s="291"/>
      <x:c r="HTG61" s="291"/>
      <x:c r="HTH61" s="291"/>
      <x:c r="HTI61" s="291"/>
      <x:c r="HTJ61" s="291"/>
      <x:c r="HTK61" s="291"/>
      <x:c r="HTL61" s="291"/>
      <x:c r="HTM61" s="291"/>
      <x:c r="HTN61" s="291"/>
      <x:c r="HTO61" s="291"/>
      <x:c r="HTP61" s="291"/>
      <x:c r="HTQ61" s="291"/>
      <x:c r="HTR61" s="291"/>
      <x:c r="HTS61" s="291"/>
      <x:c r="HTT61" s="291"/>
      <x:c r="HTU61" s="291"/>
      <x:c r="HTV61" s="291"/>
      <x:c r="HTW61" s="291"/>
      <x:c r="HTX61" s="291"/>
      <x:c r="HTY61" s="291"/>
      <x:c r="HTZ61" s="291"/>
      <x:c r="HUA61" s="291"/>
      <x:c r="HUB61" s="291"/>
      <x:c r="HUC61" s="291"/>
      <x:c r="HUD61" s="291"/>
      <x:c r="HUE61" s="291"/>
      <x:c r="HUF61" s="291"/>
      <x:c r="HUG61" s="291"/>
      <x:c r="HUH61" s="291"/>
      <x:c r="HUI61" s="291"/>
      <x:c r="HUJ61" s="291"/>
      <x:c r="HUK61" s="291"/>
      <x:c r="HUL61" s="291"/>
      <x:c r="HUM61" s="291"/>
      <x:c r="HUN61" s="291"/>
      <x:c r="HUO61" s="291"/>
      <x:c r="HUP61" s="291"/>
      <x:c r="HUQ61" s="291"/>
      <x:c r="HUR61" s="291"/>
      <x:c r="HUS61" s="291"/>
      <x:c r="HUT61" s="291"/>
      <x:c r="HUU61" s="291"/>
      <x:c r="HUV61" s="291"/>
      <x:c r="HUW61" s="291"/>
      <x:c r="HUX61" s="291"/>
      <x:c r="HUY61" s="291"/>
      <x:c r="HUZ61" s="291"/>
      <x:c r="HVA61" s="291"/>
      <x:c r="HVB61" s="291"/>
      <x:c r="HVC61" s="291"/>
      <x:c r="HVD61" s="291"/>
      <x:c r="HVE61" s="291"/>
      <x:c r="HVF61" s="291"/>
      <x:c r="HVG61" s="291"/>
      <x:c r="HVH61" s="291"/>
      <x:c r="HVI61" s="291"/>
      <x:c r="HVJ61" s="291"/>
      <x:c r="HVK61" s="291"/>
      <x:c r="HVL61" s="291"/>
      <x:c r="HVM61" s="291"/>
      <x:c r="HVN61" s="291"/>
      <x:c r="HVO61" s="291"/>
      <x:c r="HVP61" s="291"/>
      <x:c r="HVQ61" s="291"/>
      <x:c r="HVR61" s="291"/>
      <x:c r="HVS61" s="291"/>
      <x:c r="HVT61" s="291"/>
      <x:c r="HVU61" s="291"/>
      <x:c r="HVV61" s="291"/>
      <x:c r="HVW61" s="291"/>
      <x:c r="HVX61" s="291"/>
      <x:c r="HVY61" s="291"/>
      <x:c r="HVZ61" s="291"/>
      <x:c r="HWA61" s="291"/>
      <x:c r="HWB61" s="291"/>
      <x:c r="HWC61" s="291"/>
      <x:c r="HWD61" s="291"/>
      <x:c r="HWE61" s="291"/>
      <x:c r="HWF61" s="291"/>
      <x:c r="HWG61" s="291"/>
      <x:c r="HWH61" s="291"/>
      <x:c r="HWI61" s="291"/>
      <x:c r="HWJ61" s="291"/>
      <x:c r="HWK61" s="291"/>
      <x:c r="HWL61" s="291"/>
      <x:c r="HWM61" s="291"/>
      <x:c r="HWN61" s="291"/>
      <x:c r="HWO61" s="291"/>
      <x:c r="HWP61" s="291"/>
      <x:c r="HWQ61" s="291"/>
      <x:c r="HWR61" s="291"/>
      <x:c r="HWS61" s="291"/>
      <x:c r="HWT61" s="291"/>
      <x:c r="HWU61" s="291"/>
      <x:c r="HWV61" s="291"/>
      <x:c r="HWW61" s="291"/>
      <x:c r="HWX61" s="291"/>
      <x:c r="HWY61" s="291"/>
      <x:c r="HWZ61" s="291"/>
      <x:c r="HXA61" s="291"/>
      <x:c r="HXB61" s="291"/>
      <x:c r="HXC61" s="291"/>
      <x:c r="HXD61" s="291"/>
      <x:c r="HXE61" s="291"/>
      <x:c r="HXF61" s="291"/>
      <x:c r="HXG61" s="291"/>
      <x:c r="HXH61" s="291"/>
      <x:c r="HXI61" s="291"/>
      <x:c r="HXJ61" s="291"/>
      <x:c r="HXK61" s="291"/>
      <x:c r="HXL61" s="291"/>
      <x:c r="HXM61" s="291"/>
      <x:c r="HXN61" s="291"/>
      <x:c r="HXO61" s="291"/>
      <x:c r="HXP61" s="291"/>
      <x:c r="HXQ61" s="291"/>
      <x:c r="HXR61" s="291"/>
      <x:c r="HXS61" s="291"/>
      <x:c r="HXT61" s="291"/>
      <x:c r="HXU61" s="291"/>
      <x:c r="HXV61" s="291"/>
      <x:c r="HXW61" s="291"/>
      <x:c r="HXX61" s="291"/>
      <x:c r="HXY61" s="291"/>
      <x:c r="HXZ61" s="291"/>
      <x:c r="HYA61" s="291"/>
      <x:c r="HYB61" s="291"/>
      <x:c r="HYC61" s="291"/>
      <x:c r="HYD61" s="291"/>
      <x:c r="HYE61" s="291"/>
      <x:c r="HYF61" s="291"/>
      <x:c r="HYG61" s="291"/>
      <x:c r="HYH61" s="291"/>
      <x:c r="HYI61" s="291"/>
      <x:c r="HYJ61" s="291"/>
      <x:c r="HYK61" s="291"/>
      <x:c r="HYL61" s="291"/>
      <x:c r="HYM61" s="291"/>
      <x:c r="HYN61" s="291"/>
      <x:c r="HYO61" s="291"/>
      <x:c r="HYP61" s="291"/>
      <x:c r="HYQ61" s="291"/>
      <x:c r="HYR61" s="291"/>
      <x:c r="HYS61" s="291"/>
      <x:c r="HYT61" s="291"/>
      <x:c r="HYU61" s="291"/>
      <x:c r="HYV61" s="291"/>
      <x:c r="HYW61" s="291"/>
      <x:c r="HYX61" s="291"/>
      <x:c r="HYY61" s="291"/>
      <x:c r="HYZ61" s="291"/>
      <x:c r="HZA61" s="291"/>
      <x:c r="HZB61" s="291"/>
      <x:c r="HZC61" s="291"/>
      <x:c r="HZD61" s="291"/>
      <x:c r="HZE61" s="291"/>
      <x:c r="HZF61" s="291"/>
      <x:c r="HZG61" s="291"/>
      <x:c r="HZH61" s="291"/>
      <x:c r="HZI61" s="291"/>
      <x:c r="HZJ61" s="291"/>
      <x:c r="HZK61" s="291"/>
      <x:c r="HZL61" s="291"/>
      <x:c r="HZM61" s="291"/>
      <x:c r="HZN61" s="291"/>
      <x:c r="HZO61" s="291"/>
      <x:c r="HZP61" s="291"/>
      <x:c r="HZQ61" s="291"/>
      <x:c r="HZR61" s="291"/>
      <x:c r="HZS61" s="291"/>
      <x:c r="HZT61" s="291"/>
      <x:c r="HZU61" s="291"/>
      <x:c r="HZV61" s="291"/>
      <x:c r="HZW61" s="291"/>
      <x:c r="HZX61" s="291"/>
      <x:c r="HZY61" s="291"/>
      <x:c r="HZZ61" s="291"/>
      <x:c r="IAA61" s="291"/>
      <x:c r="IAB61" s="291"/>
      <x:c r="IAC61" s="291"/>
      <x:c r="IAD61" s="291"/>
      <x:c r="IAE61" s="291"/>
      <x:c r="IAF61" s="291"/>
      <x:c r="IAG61" s="291"/>
      <x:c r="IAH61" s="291"/>
      <x:c r="IAI61" s="291"/>
      <x:c r="IAJ61" s="291"/>
      <x:c r="IAK61" s="291"/>
      <x:c r="IAL61" s="291"/>
      <x:c r="IAM61" s="291"/>
      <x:c r="IAN61" s="291"/>
      <x:c r="IAO61" s="291"/>
      <x:c r="IAP61" s="291"/>
      <x:c r="IAQ61" s="291"/>
      <x:c r="IAR61" s="291"/>
      <x:c r="IAS61" s="291"/>
      <x:c r="IAT61" s="291"/>
      <x:c r="IAU61" s="291"/>
      <x:c r="IAV61" s="291"/>
      <x:c r="IAW61" s="291"/>
      <x:c r="IAX61" s="291"/>
      <x:c r="IAY61" s="291"/>
      <x:c r="IAZ61" s="291"/>
      <x:c r="IBA61" s="291"/>
      <x:c r="IBB61" s="291"/>
      <x:c r="IBC61" s="291"/>
      <x:c r="IBD61" s="291"/>
      <x:c r="IBE61" s="291"/>
      <x:c r="IBF61" s="291"/>
      <x:c r="IBG61" s="291"/>
      <x:c r="IBH61" s="291"/>
      <x:c r="IBI61" s="291"/>
      <x:c r="IBJ61" s="291"/>
      <x:c r="IBK61" s="291"/>
      <x:c r="IBL61" s="291"/>
      <x:c r="IBM61" s="291"/>
      <x:c r="IBN61" s="291"/>
      <x:c r="IBO61" s="291"/>
      <x:c r="IBP61" s="291"/>
      <x:c r="IBQ61" s="291"/>
      <x:c r="IBR61" s="291"/>
      <x:c r="IBS61" s="291"/>
      <x:c r="IBT61" s="291"/>
      <x:c r="IBU61" s="291"/>
      <x:c r="IBV61" s="291"/>
      <x:c r="IBW61" s="291"/>
      <x:c r="IBX61" s="291"/>
      <x:c r="IBY61" s="291"/>
      <x:c r="IBZ61" s="291"/>
      <x:c r="ICA61" s="291"/>
      <x:c r="ICB61" s="291"/>
      <x:c r="ICC61" s="291"/>
      <x:c r="ICD61" s="291"/>
      <x:c r="ICE61" s="291"/>
      <x:c r="ICF61" s="291"/>
      <x:c r="ICG61" s="291"/>
      <x:c r="ICH61" s="291"/>
      <x:c r="ICI61" s="291"/>
      <x:c r="ICJ61" s="291"/>
      <x:c r="ICK61" s="291"/>
      <x:c r="ICL61" s="291"/>
      <x:c r="ICM61" s="291"/>
      <x:c r="ICN61" s="291"/>
      <x:c r="ICO61" s="291"/>
      <x:c r="ICP61" s="291"/>
      <x:c r="ICQ61" s="291"/>
      <x:c r="ICR61" s="291"/>
      <x:c r="ICS61" s="291"/>
      <x:c r="ICT61" s="291"/>
      <x:c r="ICU61" s="291"/>
      <x:c r="ICV61" s="291"/>
      <x:c r="ICW61" s="291"/>
      <x:c r="ICX61" s="291"/>
      <x:c r="ICY61" s="291"/>
      <x:c r="ICZ61" s="291"/>
      <x:c r="IDA61" s="291"/>
      <x:c r="IDB61" s="291"/>
      <x:c r="IDC61" s="291"/>
      <x:c r="IDD61" s="291"/>
      <x:c r="IDE61" s="291"/>
      <x:c r="IDF61" s="291"/>
      <x:c r="IDG61" s="291"/>
      <x:c r="IDH61" s="291"/>
      <x:c r="IDI61" s="291"/>
      <x:c r="IDJ61" s="291"/>
      <x:c r="IDK61" s="291"/>
      <x:c r="IDL61" s="291"/>
      <x:c r="IDM61" s="291"/>
      <x:c r="IDN61" s="291"/>
      <x:c r="IDO61" s="291"/>
      <x:c r="IDP61" s="291"/>
      <x:c r="IDQ61" s="291"/>
      <x:c r="IDR61" s="291"/>
      <x:c r="IDS61" s="291"/>
      <x:c r="IDT61" s="291"/>
      <x:c r="IDU61" s="291"/>
      <x:c r="IDV61" s="291"/>
      <x:c r="IDW61" s="291"/>
      <x:c r="IDX61" s="291"/>
      <x:c r="IDY61" s="291"/>
      <x:c r="IDZ61" s="291"/>
      <x:c r="IEA61" s="291"/>
      <x:c r="IEB61" s="291"/>
      <x:c r="IEC61" s="291"/>
      <x:c r="IED61" s="291"/>
      <x:c r="IEE61" s="291"/>
      <x:c r="IEF61" s="291"/>
      <x:c r="IEG61" s="291"/>
      <x:c r="IEH61" s="291"/>
      <x:c r="IEI61" s="291"/>
      <x:c r="IEJ61" s="291"/>
      <x:c r="IEK61" s="291"/>
      <x:c r="IEL61" s="291"/>
      <x:c r="IEM61" s="291"/>
      <x:c r="IEN61" s="291"/>
      <x:c r="IEO61" s="291"/>
      <x:c r="IEP61" s="291"/>
      <x:c r="IEQ61" s="291"/>
      <x:c r="IER61" s="291"/>
      <x:c r="IES61" s="291"/>
      <x:c r="IET61" s="291"/>
      <x:c r="IEU61" s="291"/>
      <x:c r="IEV61" s="291"/>
      <x:c r="IEW61" s="291"/>
      <x:c r="IEX61" s="291"/>
      <x:c r="IEY61" s="291"/>
      <x:c r="IEZ61" s="291"/>
      <x:c r="IFA61" s="291"/>
      <x:c r="IFB61" s="291"/>
      <x:c r="IFC61" s="291"/>
      <x:c r="IFD61" s="291"/>
      <x:c r="IFE61" s="291"/>
      <x:c r="IFF61" s="291"/>
      <x:c r="IFG61" s="291"/>
      <x:c r="IFH61" s="291"/>
      <x:c r="IFI61" s="291"/>
      <x:c r="IFJ61" s="291"/>
      <x:c r="IFK61" s="291"/>
      <x:c r="IFL61" s="291"/>
      <x:c r="IFM61" s="291"/>
      <x:c r="IFN61" s="291"/>
      <x:c r="IFO61" s="291"/>
      <x:c r="IFP61" s="291"/>
      <x:c r="IFQ61" s="291"/>
      <x:c r="IFR61" s="291"/>
      <x:c r="IFS61" s="291"/>
      <x:c r="IFT61" s="291"/>
      <x:c r="IFU61" s="291"/>
      <x:c r="IFV61" s="291"/>
      <x:c r="IFW61" s="291"/>
      <x:c r="IFX61" s="291"/>
      <x:c r="IFY61" s="291"/>
      <x:c r="IFZ61" s="291"/>
      <x:c r="IGA61" s="291"/>
      <x:c r="IGB61" s="291"/>
      <x:c r="IGC61" s="291"/>
      <x:c r="IGD61" s="291"/>
      <x:c r="IGE61" s="291"/>
      <x:c r="IGF61" s="291"/>
      <x:c r="IGG61" s="291"/>
      <x:c r="IGH61" s="291"/>
      <x:c r="IGI61" s="291"/>
      <x:c r="IGJ61" s="291"/>
      <x:c r="IGK61" s="291"/>
      <x:c r="IGL61" s="291"/>
      <x:c r="IGM61" s="291"/>
      <x:c r="IGN61" s="291"/>
      <x:c r="IGO61" s="291"/>
      <x:c r="IGP61" s="291"/>
      <x:c r="IGQ61" s="291"/>
      <x:c r="IGR61" s="291"/>
      <x:c r="IGS61" s="291"/>
      <x:c r="IGT61" s="291"/>
      <x:c r="IGU61" s="291"/>
      <x:c r="IGV61" s="291"/>
      <x:c r="IGW61" s="291"/>
      <x:c r="IGX61" s="291"/>
      <x:c r="IGY61" s="291"/>
      <x:c r="IGZ61" s="291"/>
      <x:c r="IHA61" s="291"/>
      <x:c r="IHB61" s="291"/>
      <x:c r="IHC61" s="291"/>
      <x:c r="IHD61" s="291"/>
      <x:c r="IHE61" s="291"/>
      <x:c r="IHF61" s="291"/>
      <x:c r="IHG61" s="291"/>
      <x:c r="IHH61" s="291"/>
      <x:c r="IHI61" s="291"/>
      <x:c r="IHJ61" s="291"/>
      <x:c r="IHK61" s="291"/>
      <x:c r="IHL61" s="291"/>
      <x:c r="IHM61" s="291"/>
      <x:c r="IHN61" s="291"/>
      <x:c r="IHO61" s="291"/>
      <x:c r="IHP61" s="291"/>
      <x:c r="IHQ61" s="291"/>
      <x:c r="IHR61" s="291"/>
      <x:c r="IHS61" s="291"/>
      <x:c r="IHT61" s="291"/>
      <x:c r="IHU61" s="291"/>
      <x:c r="IHV61" s="291"/>
      <x:c r="IHW61" s="291"/>
      <x:c r="IHX61" s="291"/>
      <x:c r="IHY61" s="291"/>
      <x:c r="IHZ61" s="291"/>
      <x:c r="IIA61" s="291"/>
      <x:c r="IIB61" s="291"/>
      <x:c r="IIC61" s="291"/>
      <x:c r="IID61" s="291"/>
      <x:c r="IIE61" s="291"/>
      <x:c r="IIF61" s="291"/>
      <x:c r="IIG61" s="291"/>
      <x:c r="IIH61" s="291"/>
      <x:c r="III61" s="291"/>
      <x:c r="IIJ61" s="291"/>
      <x:c r="IIK61" s="291"/>
      <x:c r="IIL61" s="291"/>
      <x:c r="IIM61" s="291"/>
      <x:c r="IIN61" s="291"/>
      <x:c r="IIO61" s="291"/>
      <x:c r="IIP61" s="291"/>
      <x:c r="IIQ61" s="291"/>
      <x:c r="IIR61" s="291"/>
      <x:c r="IIS61" s="291"/>
      <x:c r="IIT61" s="291"/>
      <x:c r="IIU61" s="291"/>
      <x:c r="IIV61" s="291"/>
      <x:c r="IIW61" s="291"/>
      <x:c r="IIX61" s="291"/>
      <x:c r="IIY61" s="291"/>
      <x:c r="IIZ61" s="291"/>
      <x:c r="IJA61" s="291"/>
      <x:c r="IJB61" s="291"/>
      <x:c r="IJC61" s="291"/>
      <x:c r="IJD61" s="291"/>
      <x:c r="IJE61" s="291"/>
      <x:c r="IJF61" s="291"/>
      <x:c r="IJG61" s="291"/>
      <x:c r="IJH61" s="291"/>
      <x:c r="IJI61" s="291"/>
      <x:c r="IJJ61" s="291"/>
      <x:c r="IJK61" s="291"/>
      <x:c r="IJL61" s="291"/>
      <x:c r="IJM61" s="291"/>
      <x:c r="IJN61" s="291"/>
      <x:c r="IJO61" s="291"/>
      <x:c r="IJP61" s="291"/>
      <x:c r="IJQ61" s="291"/>
      <x:c r="IJR61" s="291"/>
      <x:c r="IJS61" s="291"/>
      <x:c r="IJT61" s="291"/>
      <x:c r="IJU61" s="291"/>
      <x:c r="IJV61" s="291"/>
      <x:c r="IJW61" s="291"/>
      <x:c r="IJX61" s="291"/>
      <x:c r="IJY61" s="291"/>
      <x:c r="IJZ61" s="291"/>
      <x:c r="IKA61" s="291"/>
      <x:c r="IKB61" s="291"/>
      <x:c r="IKC61" s="291"/>
      <x:c r="IKD61" s="291"/>
      <x:c r="IKE61" s="291"/>
      <x:c r="IKF61" s="291"/>
      <x:c r="IKG61" s="291"/>
      <x:c r="IKH61" s="291"/>
      <x:c r="IKI61" s="291"/>
      <x:c r="IKJ61" s="291"/>
      <x:c r="IKK61" s="291"/>
      <x:c r="IKL61" s="291"/>
      <x:c r="IKM61" s="291"/>
      <x:c r="IKN61" s="291"/>
      <x:c r="IKO61" s="291"/>
      <x:c r="IKP61" s="291"/>
      <x:c r="IKQ61" s="291"/>
      <x:c r="IKR61" s="291"/>
      <x:c r="IKS61" s="291"/>
      <x:c r="IKT61" s="291"/>
      <x:c r="IKU61" s="291"/>
      <x:c r="IKV61" s="291"/>
      <x:c r="IKW61" s="291"/>
      <x:c r="IKX61" s="291"/>
      <x:c r="IKY61" s="291"/>
      <x:c r="IKZ61" s="291"/>
      <x:c r="ILA61" s="291"/>
      <x:c r="ILB61" s="291"/>
      <x:c r="ILC61" s="291"/>
      <x:c r="ILD61" s="291"/>
      <x:c r="ILE61" s="291"/>
      <x:c r="ILF61" s="291"/>
      <x:c r="ILG61" s="291"/>
      <x:c r="ILH61" s="291"/>
      <x:c r="ILI61" s="291"/>
      <x:c r="ILJ61" s="291"/>
      <x:c r="ILK61" s="291"/>
      <x:c r="ILL61" s="291"/>
      <x:c r="ILM61" s="291"/>
      <x:c r="ILN61" s="291"/>
      <x:c r="ILO61" s="291"/>
      <x:c r="ILP61" s="291"/>
      <x:c r="ILQ61" s="291"/>
      <x:c r="ILR61" s="291"/>
      <x:c r="ILS61" s="291"/>
      <x:c r="ILT61" s="291"/>
      <x:c r="ILU61" s="291"/>
      <x:c r="ILV61" s="291"/>
      <x:c r="ILW61" s="291"/>
      <x:c r="ILX61" s="291"/>
      <x:c r="ILY61" s="291"/>
      <x:c r="ILZ61" s="291"/>
      <x:c r="IMA61" s="291"/>
      <x:c r="IMB61" s="291"/>
      <x:c r="IMC61" s="291"/>
      <x:c r="IMD61" s="291"/>
      <x:c r="IME61" s="291"/>
      <x:c r="IMF61" s="291"/>
      <x:c r="IMG61" s="291"/>
      <x:c r="IMH61" s="291"/>
      <x:c r="IMI61" s="291"/>
      <x:c r="IMJ61" s="291"/>
      <x:c r="IMK61" s="291"/>
      <x:c r="IML61" s="291"/>
      <x:c r="IMM61" s="291"/>
      <x:c r="IMN61" s="291"/>
      <x:c r="IMO61" s="291"/>
      <x:c r="IMP61" s="291"/>
      <x:c r="IMQ61" s="291"/>
      <x:c r="IMR61" s="291"/>
      <x:c r="IMS61" s="291"/>
      <x:c r="IMT61" s="291"/>
      <x:c r="IMU61" s="291"/>
      <x:c r="IMV61" s="291"/>
      <x:c r="IMW61" s="291"/>
      <x:c r="IMX61" s="291"/>
      <x:c r="IMY61" s="291"/>
      <x:c r="IMZ61" s="291"/>
      <x:c r="INA61" s="291"/>
      <x:c r="INB61" s="291"/>
      <x:c r="INC61" s="291"/>
      <x:c r="IND61" s="291"/>
      <x:c r="INE61" s="291"/>
      <x:c r="INF61" s="291"/>
      <x:c r="ING61" s="291"/>
      <x:c r="INH61" s="291"/>
      <x:c r="INI61" s="291"/>
      <x:c r="INJ61" s="291"/>
      <x:c r="INK61" s="291"/>
      <x:c r="INL61" s="291"/>
      <x:c r="INM61" s="291"/>
      <x:c r="INN61" s="291"/>
      <x:c r="INO61" s="291"/>
      <x:c r="INP61" s="291"/>
      <x:c r="INQ61" s="291"/>
      <x:c r="INR61" s="291"/>
      <x:c r="INS61" s="291"/>
      <x:c r="INT61" s="291"/>
      <x:c r="INU61" s="291"/>
      <x:c r="INV61" s="291"/>
      <x:c r="INW61" s="291"/>
      <x:c r="INX61" s="291"/>
      <x:c r="INY61" s="291"/>
      <x:c r="INZ61" s="291"/>
      <x:c r="IOA61" s="291"/>
      <x:c r="IOB61" s="291"/>
      <x:c r="IOC61" s="291"/>
      <x:c r="IOD61" s="291"/>
      <x:c r="IOE61" s="291"/>
      <x:c r="IOF61" s="291"/>
      <x:c r="IOG61" s="291"/>
      <x:c r="IOH61" s="291"/>
      <x:c r="IOI61" s="291"/>
      <x:c r="IOJ61" s="291"/>
      <x:c r="IOK61" s="291"/>
      <x:c r="IOL61" s="291"/>
      <x:c r="IOM61" s="291"/>
      <x:c r="ION61" s="291"/>
      <x:c r="IOO61" s="291"/>
      <x:c r="IOP61" s="291"/>
      <x:c r="IOQ61" s="291"/>
      <x:c r="IOR61" s="291"/>
      <x:c r="IOS61" s="291"/>
      <x:c r="IOT61" s="291"/>
      <x:c r="IOU61" s="291"/>
      <x:c r="IOV61" s="291"/>
      <x:c r="IOW61" s="291"/>
      <x:c r="IOX61" s="291"/>
      <x:c r="IOY61" s="291"/>
      <x:c r="IOZ61" s="291"/>
      <x:c r="IPA61" s="291"/>
      <x:c r="IPB61" s="291"/>
      <x:c r="IPC61" s="291"/>
      <x:c r="IPD61" s="291"/>
      <x:c r="IPE61" s="291"/>
      <x:c r="IPF61" s="291"/>
      <x:c r="IPG61" s="291"/>
      <x:c r="IPH61" s="291"/>
      <x:c r="IPI61" s="291"/>
      <x:c r="IPJ61" s="291"/>
      <x:c r="IPK61" s="291"/>
      <x:c r="IPL61" s="291"/>
      <x:c r="IPM61" s="291"/>
      <x:c r="IPN61" s="291"/>
      <x:c r="IPO61" s="291"/>
      <x:c r="IPP61" s="291"/>
      <x:c r="IPQ61" s="291"/>
      <x:c r="IPR61" s="291"/>
      <x:c r="IPS61" s="291"/>
      <x:c r="IPT61" s="291"/>
      <x:c r="IPU61" s="291"/>
      <x:c r="IPV61" s="291"/>
      <x:c r="IPW61" s="291"/>
      <x:c r="IPX61" s="291"/>
      <x:c r="IPY61" s="291"/>
      <x:c r="IPZ61" s="291"/>
      <x:c r="IQA61" s="291"/>
      <x:c r="IQB61" s="291"/>
      <x:c r="IQC61" s="291"/>
      <x:c r="IQD61" s="291"/>
      <x:c r="IQE61" s="291"/>
      <x:c r="IQF61" s="291"/>
      <x:c r="IQG61" s="291"/>
      <x:c r="IQH61" s="291"/>
      <x:c r="IQI61" s="291"/>
      <x:c r="IQJ61" s="291"/>
      <x:c r="IQK61" s="291"/>
      <x:c r="IQL61" s="291"/>
      <x:c r="IQM61" s="291"/>
      <x:c r="IQN61" s="291"/>
      <x:c r="IQO61" s="291"/>
      <x:c r="IQP61" s="291"/>
      <x:c r="IQQ61" s="291"/>
      <x:c r="IQR61" s="291"/>
      <x:c r="IQS61" s="291"/>
      <x:c r="IQT61" s="291"/>
      <x:c r="IQU61" s="291"/>
      <x:c r="IQV61" s="291"/>
      <x:c r="IQW61" s="291"/>
      <x:c r="IQX61" s="291"/>
      <x:c r="IQY61" s="291"/>
      <x:c r="IQZ61" s="291"/>
      <x:c r="IRA61" s="291"/>
      <x:c r="IRB61" s="291"/>
      <x:c r="IRC61" s="291"/>
      <x:c r="IRD61" s="291"/>
      <x:c r="IRE61" s="291"/>
      <x:c r="IRF61" s="291"/>
      <x:c r="IRG61" s="291"/>
      <x:c r="IRH61" s="291"/>
      <x:c r="IRI61" s="291"/>
      <x:c r="IRJ61" s="291"/>
      <x:c r="IRK61" s="291"/>
      <x:c r="IRL61" s="291"/>
      <x:c r="IRM61" s="291"/>
      <x:c r="IRN61" s="291"/>
      <x:c r="IRO61" s="291"/>
      <x:c r="IRP61" s="291"/>
      <x:c r="IRQ61" s="291"/>
      <x:c r="IRR61" s="291"/>
      <x:c r="IRS61" s="291"/>
      <x:c r="IRT61" s="291"/>
      <x:c r="IRU61" s="291"/>
      <x:c r="IRV61" s="291"/>
      <x:c r="IRW61" s="291"/>
      <x:c r="IRX61" s="291"/>
      <x:c r="IRY61" s="291"/>
      <x:c r="IRZ61" s="291"/>
      <x:c r="ISA61" s="291"/>
      <x:c r="ISB61" s="291"/>
      <x:c r="ISC61" s="291"/>
      <x:c r="ISD61" s="291"/>
      <x:c r="ISE61" s="291"/>
      <x:c r="ISF61" s="291"/>
      <x:c r="ISG61" s="291"/>
      <x:c r="ISH61" s="291"/>
      <x:c r="ISI61" s="291"/>
      <x:c r="ISJ61" s="291"/>
      <x:c r="ISK61" s="291"/>
      <x:c r="ISL61" s="291"/>
      <x:c r="ISM61" s="291"/>
      <x:c r="ISN61" s="291"/>
      <x:c r="ISO61" s="291"/>
      <x:c r="ISP61" s="291"/>
      <x:c r="ISQ61" s="291"/>
      <x:c r="ISR61" s="291"/>
      <x:c r="ISS61" s="291"/>
      <x:c r="IST61" s="291"/>
      <x:c r="ISU61" s="291"/>
      <x:c r="ISV61" s="291"/>
      <x:c r="ISW61" s="291"/>
      <x:c r="ISX61" s="291"/>
      <x:c r="ISY61" s="291"/>
      <x:c r="ISZ61" s="291"/>
      <x:c r="ITA61" s="291"/>
      <x:c r="ITB61" s="291"/>
      <x:c r="ITC61" s="291"/>
      <x:c r="ITD61" s="291"/>
      <x:c r="ITE61" s="291"/>
      <x:c r="ITF61" s="291"/>
      <x:c r="ITG61" s="291"/>
      <x:c r="ITH61" s="291"/>
      <x:c r="ITI61" s="291"/>
      <x:c r="ITJ61" s="291"/>
      <x:c r="ITK61" s="291"/>
      <x:c r="ITL61" s="291"/>
      <x:c r="ITM61" s="291"/>
      <x:c r="ITN61" s="291"/>
      <x:c r="ITO61" s="291"/>
      <x:c r="ITP61" s="291"/>
      <x:c r="ITQ61" s="291"/>
      <x:c r="ITR61" s="291"/>
      <x:c r="ITS61" s="291"/>
      <x:c r="ITT61" s="291"/>
      <x:c r="ITU61" s="291"/>
      <x:c r="ITV61" s="291"/>
      <x:c r="ITW61" s="291"/>
      <x:c r="ITX61" s="291"/>
      <x:c r="ITY61" s="291"/>
      <x:c r="ITZ61" s="291"/>
      <x:c r="IUA61" s="291"/>
      <x:c r="IUB61" s="291"/>
      <x:c r="IUC61" s="291"/>
      <x:c r="IUD61" s="291"/>
      <x:c r="IUE61" s="291"/>
      <x:c r="IUF61" s="291"/>
      <x:c r="IUG61" s="291"/>
      <x:c r="IUH61" s="291"/>
      <x:c r="IUI61" s="291"/>
      <x:c r="IUJ61" s="291"/>
      <x:c r="IUK61" s="291"/>
      <x:c r="IUL61" s="291"/>
      <x:c r="IUM61" s="291"/>
      <x:c r="IUN61" s="291"/>
      <x:c r="IUO61" s="291"/>
      <x:c r="IUP61" s="291"/>
      <x:c r="IUQ61" s="291"/>
      <x:c r="IUR61" s="291"/>
      <x:c r="IUS61" s="291"/>
      <x:c r="IUT61" s="291"/>
      <x:c r="IUU61" s="291"/>
      <x:c r="IUV61" s="291"/>
      <x:c r="IUW61" s="291"/>
      <x:c r="IUX61" s="291"/>
      <x:c r="IUY61" s="291"/>
      <x:c r="IUZ61" s="291"/>
      <x:c r="IVA61" s="291"/>
      <x:c r="IVB61" s="291"/>
      <x:c r="IVC61" s="291"/>
      <x:c r="IVD61" s="291"/>
      <x:c r="IVE61" s="291"/>
      <x:c r="IVF61" s="291"/>
      <x:c r="IVG61" s="291"/>
      <x:c r="IVH61" s="291"/>
      <x:c r="IVI61" s="291"/>
      <x:c r="IVJ61" s="291"/>
      <x:c r="IVK61" s="291"/>
      <x:c r="IVL61" s="291"/>
      <x:c r="IVM61" s="291"/>
      <x:c r="IVN61" s="291"/>
      <x:c r="IVO61" s="291"/>
      <x:c r="IVP61" s="291"/>
      <x:c r="IVQ61" s="291"/>
      <x:c r="IVR61" s="291"/>
      <x:c r="IVS61" s="291"/>
      <x:c r="IVT61" s="291"/>
      <x:c r="IVU61" s="291"/>
      <x:c r="IVV61" s="291"/>
      <x:c r="IVW61" s="291"/>
      <x:c r="IVX61" s="291"/>
      <x:c r="IVY61" s="291"/>
      <x:c r="IVZ61" s="291"/>
      <x:c r="IWA61" s="291"/>
      <x:c r="IWB61" s="291"/>
      <x:c r="IWC61" s="291"/>
      <x:c r="IWD61" s="291"/>
      <x:c r="IWE61" s="291"/>
      <x:c r="IWF61" s="291"/>
      <x:c r="IWG61" s="291"/>
      <x:c r="IWH61" s="291"/>
      <x:c r="IWI61" s="291"/>
      <x:c r="IWJ61" s="291"/>
      <x:c r="IWK61" s="291"/>
      <x:c r="IWL61" s="291"/>
      <x:c r="IWM61" s="291"/>
      <x:c r="IWN61" s="291"/>
      <x:c r="IWO61" s="291"/>
      <x:c r="IWP61" s="291"/>
      <x:c r="IWQ61" s="291"/>
      <x:c r="IWR61" s="291"/>
      <x:c r="IWS61" s="291"/>
      <x:c r="IWT61" s="291"/>
      <x:c r="IWU61" s="291"/>
      <x:c r="IWV61" s="291"/>
      <x:c r="IWW61" s="291"/>
      <x:c r="IWX61" s="291"/>
      <x:c r="IWY61" s="291"/>
      <x:c r="IWZ61" s="291"/>
      <x:c r="IXA61" s="291"/>
      <x:c r="IXB61" s="291"/>
      <x:c r="IXC61" s="291"/>
      <x:c r="IXD61" s="291"/>
      <x:c r="IXE61" s="291"/>
      <x:c r="IXF61" s="291"/>
      <x:c r="IXG61" s="291"/>
      <x:c r="IXH61" s="291"/>
      <x:c r="IXI61" s="291"/>
      <x:c r="IXJ61" s="291"/>
      <x:c r="IXK61" s="291"/>
      <x:c r="IXL61" s="291"/>
      <x:c r="IXM61" s="291"/>
      <x:c r="IXN61" s="291"/>
      <x:c r="IXO61" s="291"/>
      <x:c r="IXP61" s="291"/>
      <x:c r="IXQ61" s="291"/>
      <x:c r="IXR61" s="291"/>
      <x:c r="IXS61" s="291"/>
      <x:c r="IXT61" s="291"/>
      <x:c r="IXU61" s="291"/>
      <x:c r="IXV61" s="291"/>
      <x:c r="IXW61" s="291"/>
      <x:c r="IXX61" s="291"/>
      <x:c r="IXY61" s="291"/>
      <x:c r="IXZ61" s="291"/>
      <x:c r="IYA61" s="291"/>
      <x:c r="IYB61" s="291"/>
      <x:c r="IYC61" s="291"/>
      <x:c r="IYD61" s="291"/>
      <x:c r="IYE61" s="291"/>
      <x:c r="IYF61" s="291"/>
      <x:c r="IYG61" s="291"/>
      <x:c r="IYH61" s="291"/>
      <x:c r="IYI61" s="291"/>
      <x:c r="IYJ61" s="291"/>
      <x:c r="IYK61" s="291"/>
      <x:c r="IYL61" s="291"/>
      <x:c r="IYM61" s="291"/>
      <x:c r="IYN61" s="291"/>
      <x:c r="IYO61" s="291"/>
      <x:c r="IYP61" s="291"/>
      <x:c r="IYQ61" s="291"/>
      <x:c r="IYR61" s="291"/>
      <x:c r="IYS61" s="291"/>
      <x:c r="IYT61" s="291"/>
      <x:c r="IYU61" s="291"/>
      <x:c r="IYV61" s="291"/>
      <x:c r="IYW61" s="291"/>
      <x:c r="IYX61" s="291"/>
      <x:c r="IYY61" s="291"/>
      <x:c r="IYZ61" s="291"/>
      <x:c r="IZA61" s="291"/>
      <x:c r="IZB61" s="291"/>
      <x:c r="IZC61" s="291"/>
      <x:c r="IZD61" s="291"/>
      <x:c r="IZE61" s="291"/>
      <x:c r="IZF61" s="291"/>
      <x:c r="IZG61" s="291"/>
      <x:c r="IZH61" s="291"/>
      <x:c r="IZI61" s="291"/>
      <x:c r="IZJ61" s="291"/>
      <x:c r="IZK61" s="291"/>
      <x:c r="IZL61" s="291"/>
      <x:c r="IZM61" s="291"/>
      <x:c r="IZN61" s="291"/>
      <x:c r="IZO61" s="291"/>
      <x:c r="IZP61" s="291"/>
      <x:c r="IZQ61" s="291"/>
      <x:c r="IZR61" s="291"/>
      <x:c r="IZS61" s="291"/>
      <x:c r="IZT61" s="291"/>
      <x:c r="IZU61" s="291"/>
      <x:c r="IZV61" s="291"/>
      <x:c r="IZW61" s="291"/>
      <x:c r="IZX61" s="291"/>
      <x:c r="IZY61" s="291"/>
      <x:c r="IZZ61" s="291"/>
      <x:c r="JAA61" s="291"/>
      <x:c r="JAB61" s="291"/>
      <x:c r="JAC61" s="291"/>
      <x:c r="JAD61" s="291"/>
      <x:c r="JAE61" s="291"/>
      <x:c r="JAF61" s="291"/>
      <x:c r="JAG61" s="291"/>
      <x:c r="JAH61" s="291"/>
      <x:c r="JAI61" s="291"/>
      <x:c r="JAJ61" s="291"/>
      <x:c r="JAK61" s="291"/>
      <x:c r="JAL61" s="291"/>
      <x:c r="JAM61" s="291"/>
      <x:c r="JAN61" s="291"/>
      <x:c r="JAO61" s="291"/>
      <x:c r="JAP61" s="291"/>
      <x:c r="JAQ61" s="291"/>
      <x:c r="JAR61" s="291"/>
      <x:c r="JAS61" s="291"/>
      <x:c r="JAT61" s="291"/>
      <x:c r="JAU61" s="291"/>
      <x:c r="JAV61" s="291"/>
      <x:c r="JAW61" s="291"/>
      <x:c r="JAX61" s="291"/>
      <x:c r="JAY61" s="291"/>
      <x:c r="JAZ61" s="291"/>
      <x:c r="JBA61" s="291"/>
      <x:c r="JBB61" s="291"/>
      <x:c r="JBC61" s="291"/>
      <x:c r="JBD61" s="291"/>
      <x:c r="JBE61" s="291"/>
      <x:c r="JBF61" s="291"/>
      <x:c r="JBG61" s="291"/>
      <x:c r="JBH61" s="291"/>
      <x:c r="JBI61" s="291"/>
      <x:c r="JBJ61" s="291"/>
      <x:c r="JBK61" s="291"/>
      <x:c r="JBL61" s="291"/>
      <x:c r="JBM61" s="291"/>
      <x:c r="JBN61" s="291"/>
      <x:c r="JBO61" s="291"/>
      <x:c r="JBP61" s="291"/>
      <x:c r="JBQ61" s="291"/>
      <x:c r="JBR61" s="291"/>
      <x:c r="JBS61" s="291"/>
      <x:c r="JBT61" s="291"/>
      <x:c r="JBU61" s="291"/>
      <x:c r="JBV61" s="291"/>
      <x:c r="JBW61" s="291"/>
      <x:c r="JBX61" s="291"/>
      <x:c r="JBY61" s="291"/>
      <x:c r="JBZ61" s="291"/>
      <x:c r="JCA61" s="291"/>
      <x:c r="JCB61" s="291"/>
      <x:c r="JCC61" s="291"/>
      <x:c r="JCD61" s="291"/>
      <x:c r="JCE61" s="291"/>
      <x:c r="JCF61" s="291"/>
      <x:c r="JCG61" s="291"/>
      <x:c r="JCH61" s="291"/>
      <x:c r="JCI61" s="291"/>
      <x:c r="JCJ61" s="291"/>
      <x:c r="JCK61" s="291"/>
      <x:c r="JCL61" s="291"/>
      <x:c r="JCM61" s="291"/>
      <x:c r="JCN61" s="291"/>
      <x:c r="JCO61" s="291"/>
      <x:c r="JCP61" s="291"/>
      <x:c r="JCQ61" s="291"/>
      <x:c r="JCR61" s="291"/>
      <x:c r="JCS61" s="291"/>
      <x:c r="JCT61" s="291"/>
      <x:c r="JCU61" s="291"/>
      <x:c r="JCV61" s="291"/>
      <x:c r="JCW61" s="291"/>
      <x:c r="JCX61" s="291"/>
      <x:c r="JCY61" s="291"/>
      <x:c r="JCZ61" s="291"/>
      <x:c r="JDA61" s="291"/>
      <x:c r="JDB61" s="291"/>
      <x:c r="JDC61" s="291"/>
      <x:c r="JDD61" s="291"/>
      <x:c r="JDE61" s="291"/>
      <x:c r="JDF61" s="291"/>
      <x:c r="JDG61" s="291"/>
      <x:c r="JDH61" s="291"/>
      <x:c r="JDI61" s="291"/>
      <x:c r="JDJ61" s="291"/>
      <x:c r="JDK61" s="291"/>
      <x:c r="JDL61" s="291"/>
      <x:c r="JDM61" s="291"/>
      <x:c r="JDN61" s="291"/>
      <x:c r="JDO61" s="291"/>
      <x:c r="JDP61" s="291"/>
      <x:c r="JDQ61" s="291"/>
      <x:c r="JDR61" s="291"/>
      <x:c r="JDS61" s="291"/>
      <x:c r="JDT61" s="291"/>
      <x:c r="JDU61" s="291"/>
      <x:c r="JDV61" s="291"/>
      <x:c r="JDW61" s="291"/>
      <x:c r="JDX61" s="291"/>
      <x:c r="JDY61" s="291"/>
      <x:c r="JDZ61" s="291"/>
      <x:c r="JEA61" s="291"/>
      <x:c r="JEB61" s="291"/>
      <x:c r="JEC61" s="291"/>
      <x:c r="JED61" s="291"/>
      <x:c r="JEE61" s="291"/>
      <x:c r="JEF61" s="291"/>
      <x:c r="JEG61" s="291"/>
      <x:c r="JEH61" s="291"/>
      <x:c r="JEI61" s="291"/>
      <x:c r="JEJ61" s="291"/>
      <x:c r="JEK61" s="291"/>
      <x:c r="JEL61" s="291"/>
      <x:c r="JEM61" s="291"/>
      <x:c r="JEN61" s="291"/>
      <x:c r="JEO61" s="291"/>
      <x:c r="JEP61" s="291"/>
      <x:c r="JEQ61" s="291"/>
      <x:c r="JER61" s="291"/>
      <x:c r="JES61" s="291"/>
      <x:c r="JET61" s="291"/>
      <x:c r="JEU61" s="291"/>
      <x:c r="JEV61" s="291"/>
      <x:c r="JEW61" s="291"/>
      <x:c r="JEX61" s="291"/>
      <x:c r="JEY61" s="291"/>
      <x:c r="JEZ61" s="291"/>
      <x:c r="JFA61" s="291"/>
      <x:c r="JFB61" s="291"/>
      <x:c r="JFC61" s="291"/>
      <x:c r="JFD61" s="291"/>
      <x:c r="JFE61" s="291"/>
      <x:c r="JFF61" s="291"/>
      <x:c r="JFG61" s="291"/>
      <x:c r="JFH61" s="291"/>
      <x:c r="JFI61" s="291"/>
      <x:c r="JFJ61" s="291"/>
      <x:c r="JFK61" s="291"/>
      <x:c r="JFL61" s="291"/>
      <x:c r="JFM61" s="291"/>
      <x:c r="JFN61" s="291"/>
      <x:c r="JFO61" s="291"/>
      <x:c r="JFP61" s="291"/>
      <x:c r="JFQ61" s="291"/>
      <x:c r="JFR61" s="291"/>
      <x:c r="JFS61" s="291"/>
      <x:c r="JFT61" s="291"/>
      <x:c r="JFU61" s="291"/>
      <x:c r="JFV61" s="291"/>
      <x:c r="JFW61" s="291"/>
      <x:c r="JFX61" s="291"/>
      <x:c r="JFY61" s="291"/>
      <x:c r="JFZ61" s="291"/>
      <x:c r="JGA61" s="291"/>
      <x:c r="JGB61" s="291"/>
      <x:c r="JGC61" s="291"/>
      <x:c r="JGD61" s="291"/>
      <x:c r="JGE61" s="291"/>
      <x:c r="JGF61" s="291"/>
      <x:c r="JGG61" s="291"/>
      <x:c r="JGH61" s="291"/>
      <x:c r="JGI61" s="291"/>
      <x:c r="JGJ61" s="291"/>
      <x:c r="JGK61" s="291"/>
      <x:c r="JGL61" s="291"/>
      <x:c r="JGM61" s="291"/>
      <x:c r="JGN61" s="291"/>
      <x:c r="JGO61" s="291"/>
      <x:c r="JGP61" s="291"/>
      <x:c r="JGQ61" s="291"/>
      <x:c r="JGR61" s="291"/>
      <x:c r="JGS61" s="291"/>
      <x:c r="JGT61" s="291"/>
      <x:c r="JGU61" s="291"/>
      <x:c r="JGV61" s="291"/>
      <x:c r="JGW61" s="291"/>
      <x:c r="JGX61" s="291"/>
      <x:c r="JGY61" s="291"/>
      <x:c r="JGZ61" s="291"/>
      <x:c r="JHA61" s="291"/>
      <x:c r="JHB61" s="291"/>
      <x:c r="JHC61" s="291"/>
      <x:c r="JHD61" s="291"/>
      <x:c r="JHE61" s="291"/>
      <x:c r="JHF61" s="291"/>
      <x:c r="JHG61" s="291"/>
      <x:c r="JHH61" s="291"/>
      <x:c r="JHI61" s="291"/>
      <x:c r="JHJ61" s="291"/>
      <x:c r="JHK61" s="291"/>
      <x:c r="JHL61" s="291"/>
      <x:c r="JHM61" s="291"/>
      <x:c r="JHN61" s="291"/>
      <x:c r="JHO61" s="291"/>
      <x:c r="JHP61" s="291"/>
      <x:c r="JHQ61" s="291"/>
      <x:c r="JHR61" s="291"/>
      <x:c r="JHS61" s="291"/>
      <x:c r="JHT61" s="291"/>
      <x:c r="JHU61" s="291"/>
      <x:c r="JHV61" s="291"/>
      <x:c r="JHW61" s="291"/>
      <x:c r="JHX61" s="291"/>
      <x:c r="JHY61" s="291"/>
      <x:c r="JHZ61" s="291"/>
      <x:c r="JIA61" s="291"/>
      <x:c r="JIB61" s="291"/>
      <x:c r="JIC61" s="291"/>
      <x:c r="JID61" s="291"/>
      <x:c r="JIE61" s="291"/>
      <x:c r="JIF61" s="291"/>
      <x:c r="JIG61" s="291"/>
      <x:c r="JIH61" s="291"/>
      <x:c r="JII61" s="291"/>
      <x:c r="JIJ61" s="291"/>
      <x:c r="JIK61" s="291"/>
      <x:c r="JIL61" s="291"/>
      <x:c r="JIM61" s="291"/>
      <x:c r="JIN61" s="291"/>
      <x:c r="JIO61" s="291"/>
      <x:c r="JIP61" s="291"/>
      <x:c r="JIQ61" s="291"/>
      <x:c r="JIR61" s="291"/>
      <x:c r="JIS61" s="291"/>
      <x:c r="JIT61" s="291"/>
      <x:c r="JIU61" s="291"/>
      <x:c r="JIV61" s="291"/>
      <x:c r="JIW61" s="291"/>
      <x:c r="JIX61" s="291"/>
      <x:c r="JIY61" s="291"/>
      <x:c r="JIZ61" s="291"/>
      <x:c r="JJA61" s="291"/>
      <x:c r="JJB61" s="291"/>
      <x:c r="JJC61" s="291"/>
      <x:c r="JJD61" s="291"/>
      <x:c r="JJE61" s="291"/>
      <x:c r="JJF61" s="291"/>
      <x:c r="JJG61" s="291"/>
      <x:c r="JJH61" s="291"/>
      <x:c r="JJI61" s="291"/>
      <x:c r="JJJ61" s="291"/>
      <x:c r="JJK61" s="291"/>
      <x:c r="JJL61" s="291"/>
      <x:c r="JJM61" s="291"/>
      <x:c r="JJN61" s="291"/>
      <x:c r="JJO61" s="291"/>
      <x:c r="JJP61" s="291"/>
      <x:c r="JJQ61" s="291"/>
      <x:c r="JJR61" s="291"/>
      <x:c r="JJS61" s="291"/>
      <x:c r="JJT61" s="291"/>
      <x:c r="JJU61" s="291"/>
      <x:c r="JJV61" s="291"/>
      <x:c r="JJW61" s="291"/>
      <x:c r="JJX61" s="291"/>
      <x:c r="JJY61" s="291"/>
      <x:c r="JJZ61" s="291"/>
      <x:c r="JKA61" s="291"/>
      <x:c r="JKB61" s="291"/>
      <x:c r="JKC61" s="291"/>
      <x:c r="JKD61" s="291"/>
      <x:c r="JKE61" s="291"/>
      <x:c r="JKF61" s="291"/>
      <x:c r="JKG61" s="291"/>
      <x:c r="JKH61" s="291"/>
      <x:c r="JKI61" s="291"/>
      <x:c r="JKJ61" s="291"/>
      <x:c r="JKK61" s="291"/>
      <x:c r="JKL61" s="291"/>
      <x:c r="JKM61" s="291"/>
      <x:c r="JKN61" s="291"/>
      <x:c r="JKO61" s="291"/>
      <x:c r="JKP61" s="291"/>
      <x:c r="JKQ61" s="291"/>
      <x:c r="JKR61" s="291"/>
      <x:c r="JKS61" s="291"/>
      <x:c r="JKT61" s="291"/>
      <x:c r="JKU61" s="291"/>
      <x:c r="JKV61" s="291"/>
      <x:c r="JKW61" s="291"/>
      <x:c r="JKX61" s="291"/>
      <x:c r="JKY61" s="291"/>
      <x:c r="JKZ61" s="291"/>
      <x:c r="JLA61" s="291"/>
      <x:c r="JLB61" s="291"/>
      <x:c r="JLC61" s="291"/>
      <x:c r="JLD61" s="291"/>
      <x:c r="JLE61" s="291"/>
      <x:c r="JLF61" s="291"/>
      <x:c r="JLG61" s="291"/>
      <x:c r="JLH61" s="291"/>
      <x:c r="JLI61" s="291"/>
      <x:c r="JLJ61" s="291"/>
      <x:c r="JLK61" s="291"/>
      <x:c r="JLL61" s="291"/>
      <x:c r="JLM61" s="291"/>
      <x:c r="JLN61" s="291"/>
      <x:c r="JLO61" s="291"/>
      <x:c r="JLP61" s="291"/>
      <x:c r="JLQ61" s="291"/>
      <x:c r="JLR61" s="291"/>
      <x:c r="JLS61" s="291"/>
      <x:c r="JLT61" s="291"/>
      <x:c r="JLU61" s="291"/>
      <x:c r="JLV61" s="291"/>
      <x:c r="JLW61" s="291"/>
      <x:c r="JLX61" s="291"/>
      <x:c r="JLY61" s="291"/>
      <x:c r="JLZ61" s="291"/>
      <x:c r="JMA61" s="291"/>
      <x:c r="JMB61" s="291"/>
      <x:c r="JMC61" s="291"/>
      <x:c r="JMD61" s="291"/>
      <x:c r="JME61" s="291"/>
      <x:c r="JMF61" s="291"/>
      <x:c r="JMG61" s="291"/>
      <x:c r="JMH61" s="291"/>
      <x:c r="JMI61" s="291"/>
      <x:c r="JMJ61" s="291"/>
      <x:c r="JMK61" s="291"/>
      <x:c r="JML61" s="291"/>
      <x:c r="JMM61" s="291"/>
      <x:c r="JMN61" s="291"/>
      <x:c r="JMO61" s="291"/>
      <x:c r="JMP61" s="291"/>
      <x:c r="JMQ61" s="291"/>
      <x:c r="JMR61" s="291"/>
      <x:c r="JMS61" s="291"/>
      <x:c r="JMT61" s="291"/>
      <x:c r="JMU61" s="291"/>
      <x:c r="JMV61" s="291"/>
      <x:c r="JMW61" s="291"/>
      <x:c r="JMX61" s="291"/>
      <x:c r="JMY61" s="291"/>
      <x:c r="JMZ61" s="291"/>
      <x:c r="JNA61" s="291"/>
      <x:c r="JNB61" s="291"/>
      <x:c r="JNC61" s="291"/>
      <x:c r="JND61" s="291"/>
      <x:c r="JNE61" s="291"/>
      <x:c r="JNF61" s="291"/>
      <x:c r="JNG61" s="291"/>
      <x:c r="JNH61" s="291"/>
      <x:c r="JNI61" s="291"/>
      <x:c r="JNJ61" s="291"/>
      <x:c r="JNK61" s="291"/>
      <x:c r="JNL61" s="291"/>
      <x:c r="JNM61" s="291"/>
      <x:c r="JNN61" s="291"/>
      <x:c r="JNO61" s="291"/>
      <x:c r="JNP61" s="291"/>
      <x:c r="JNQ61" s="291"/>
      <x:c r="JNR61" s="291"/>
      <x:c r="JNS61" s="291"/>
      <x:c r="JNT61" s="291"/>
      <x:c r="JNU61" s="291"/>
      <x:c r="JNV61" s="291"/>
      <x:c r="JNW61" s="291"/>
      <x:c r="JNX61" s="291"/>
      <x:c r="JNY61" s="291"/>
      <x:c r="JNZ61" s="291"/>
      <x:c r="JOA61" s="291"/>
      <x:c r="JOB61" s="291"/>
      <x:c r="JOC61" s="291"/>
      <x:c r="JOD61" s="291"/>
      <x:c r="JOE61" s="291"/>
      <x:c r="JOF61" s="291"/>
      <x:c r="JOG61" s="291"/>
      <x:c r="JOH61" s="291"/>
      <x:c r="JOI61" s="291"/>
      <x:c r="JOJ61" s="291"/>
      <x:c r="JOK61" s="291"/>
      <x:c r="JOL61" s="291"/>
      <x:c r="JOM61" s="291"/>
      <x:c r="JON61" s="291"/>
      <x:c r="JOO61" s="291"/>
      <x:c r="JOP61" s="291"/>
      <x:c r="JOQ61" s="291"/>
      <x:c r="JOR61" s="291"/>
      <x:c r="JOS61" s="291"/>
      <x:c r="JOT61" s="291"/>
      <x:c r="JOU61" s="291"/>
      <x:c r="JOV61" s="291"/>
      <x:c r="JOW61" s="291"/>
      <x:c r="JOX61" s="291"/>
      <x:c r="JOY61" s="291"/>
      <x:c r="JOZ61" s="291"/>
      <x:c r="JPA61" s="291"/>
      <x:c r="JPB61" s="291"/>
      <x:c r="JPC61" s="291"/>
      <x:c r="JPD61" s="291"/>
      <x:c r="JPE61" s="291"/>
      <x:c r="JPF61" s="291"/>
      <x:c r="JPG61" s="291"/>
      <x:c r="JPH61" s="291"/>
      <x:c r="JPI61" s="291"/>
      <x:c r="JPJ61" s="291"/>
      <x:c r="JPK61" s="291"/>
      <x:c r="JPL61" s="291"/>
      <x:c r="JPM61" s="291"/>
      <x:c r="JPN61" s="291"/>
      <x:c r="JPO61" s="291"/>
      <x:c r="JPP61" s="291"/>
      <x:c r="JPQ61" s="291"/>
      <x:c r="JPR61" s="291"/>
      <x:c r="JPS61" s="291"/>
      <x:c r="JPT61" s="291"/>
      <x:c r="JPU61" s="291"/>
      <x:c r="JPV61" s="291"/>
      <x:c r="JPW61" s="291"/>
      <x:c r="JPX61" s="291"/>
      <x:c r="JPY61" s="291"/>
      <x:c r="JPZ61" s="291"/>
      <x:c r="JQA61" s="291"/>
      <x:c r="JQB61" s="291"/>
      <x:c r="JQC61" s="291"/>
      <x:c r="JQD61" s="291"/>
      <x:c r="JQE61" s="291"/>
      <x:c r="JQF61" s="291"/>
      <x:c r="JQG61" s="291"/>
      <x:c r="JQH61" s="291"/>
      <x:c r="JQI61" s="291"/>
      <x:c r="JQJ61" s="291"/>
      <x:c r="JQK61" s="291"/>
      <x:c r="JQL61" s="291"/>
      <x:c r="JQM61" s="291"/>
      <x:c r="JQN61" s="291"/>
      <x:c r="JQO61" s="291"/>
      <x:c r="JQP61" s="291"/>
      <x:c r="JQQ61" s="291"/>
      <x:c r="JQR61" s="291"/>
      <x:c r="JQS61" s="291"/>
      <x:c r="JQT61" s="291"/>
      <x:c r="JQU61" s="291"/>
      <x:c r="JQV61" s="291"/>
      <x:c r="JQW61" s="291"/>
      <x:c r="JQX61" s="291"/>
      <x:c r="JQY61" s="291"/>
      <x:c r="JQZ61" s="291"/>
      <x:c r="JRA61" s="291"/>
      <x:c r="JRB61" s="291"/>
      <x:c r="JRC61" s="291"/>
      <x:c r="JRD61" s="291"/>
      <x:c r="JRE61" s="291"/>
      <x:c r="JRF61" s="291"/>
      <x:c r="JRG61" s="291"/>
      <x:c r="JRH61" s="291"/>
      <x:c r="JRI61" s="291"/>
      <x:c r="JRJ61" s="291"/>
      <x:c r="JRK61" s="291"/>
      <x:c r="JRL61" s="291"/>
      <x:c r="JRM61" s="291"/>
      <x:c r="JRN61" s="291"/>
      <x:c r="JRO61" s="291"/>
      <x:c r="JRP61" s="291"/>
      <x:c r="JRQ61" s="291"/>
      <x:c r="JRR61" s="291"/>
      <x:c r="JRS61" s="291"/>
      <x:c r="JRT61" s="291"/>
      <x:c r="JRU61" s="291"/>
      <x:c r="JRV61" s="291"/>
      <x:c r="JRW61" s="291"/>
      <x:c r="JRX61" s="291"/>
      <x:c r="JRY61" s="291"/>
      <x:c r="JRZ61" s="291"/>
      <x:c r="JSA61" s="291"/>
      <x:c r="JSB61" s="291"/>
      <x:c r="JSC61" s="291"/>
      <x:c r="JSD61" s="291"/>
      <x:c r="JSE61" s="291"/>
      <x:c r="JSF61" s="291"/>
      <x:c r="JSG61" s="291"/>
      <x:c r="JSH61" s="291"/>
      <x:c r="JSI61" s="291"/>
      <x:c r="JSJ61" s="291"/>
      <x:c r="JSK61" s="291"/>
      <x:c r="JSL61" s="291"/>
      <x:c r="JSM61" s="291"/>
      <x:c r="JSN61" s="291"/>
      <x:c r="JSO61" s="291"/>
      <x:c r="JSP61" s="291"/>
      <x:c r="JSQ61" s="291"/>
      <x:c r="JSR61" s="291"/>
      <x:c r="JSS61" s="291"/>
      <x:c r="JST61" s="291"/>
      <x:c r="JSU61" s="291"/>
      <x:c r="JSV61" s="291"/>
      <x:c r="JSW61" s="291"/>
      <x:c r="JSX61" s="291"/>
      <x:c r="JSY61" s="291"/>
      <x:c r="JSZ61" s="291"/>
      <x:c r="JTA61" s="291"/>
      <x:c r="JTB61" s="291"/>
      <x:c r="JTC61" s="291"/>
      <x:c r="JTD61" s="291"/>
      <x:c r="JTE61" s="291"/>
      <x:c r="JTF61" s="291"/>
      <x:c r="JTG61" s="291"/>
      <x:c r="JTH61" s="291"/>
      <x:c r="JTI61" s="291"/>
      <x:c r="JTJ61" s="291"/>
      <x:c r="JTK61" s="291"/>
      <x:c r="JTL61" s="291"/>
      <x:c r="JTM61" s="291"/>
      <x:c r="JTN61" s="291"/>
      <x:c r="JTO61" s="291"/>
      <x:c r="JTP61" s="291"/>
      <x:c r="JTQ61" s="291"/>
      <x:c r="JTR61" s="291"/>
      <x:c r="JTS61" s="291"/>
      <x:c r="JTT61" s="291"/>
      <x:c r="JTU61" s="291"/>
      <x:c r="JTV61" s="291"/>
      <x:c r="JTW61" s="291"/>
      <x:c r="JTX61" s="291"/>
      <x:c r="JTY61" s="291"/>
      <x:c r="JTZ61" s="291"/>
      <x:c r="JUA61" s="291"/>
      <x:c r="JUB61" s="291"/>
      <x:c r="JUC61" s="291"/>
      <x:c r="JUD61" s="291"/>
      <x:c r="JUE61" s="291"/>
      <x:c r="JUF61" s="291"/>
      <x:c r="JUG61" s="291"/>
      <x:c r="JUH61" s="291"/>
      <x:c r="JUI61" s="291"/>
      <x:c r="JUJ61" s="291"/>
      <x:c r="JUK61" s="291"/>
      <x:c r="JUL61" s="291"/>
      <x:c r="JUM61" s="291"/>
      <x:c r="JUN61" s="291"/>
      <x:c r="JUO61" s="291"/>
      <x:c r="JUP61" s="291"/>
      <x:c r="JUQ61" s="291"/>
      <x:c r="JUR61" s="291"/>
      <x:c r="JUS61" s="291"/>
      <x:c r="JUT61" s="291"/>
      <x:c r="JUU61" s="291"/>
      <x:c r="JUV61" s="291"/>
      <x:c r="JUW61" s="291"/>
      <x:c r="JUX61" s="291"/>
      <x:c r="JUY61" s="291"/>
      <x:c r="JUZ61" s="291"/>
      <x:c r="JVA61" s="291"/>
      <x:c r="JVB61" s="291"/>
      <x:c r="JVC61" s="291"/>
      <x:c r="JVD61" s="291"/>
      <x:c r="JVE61" s="291"/>
      <x:c r="JVF61" s="291"/>
      <x:c r="JVG61" s="291"/>
      <x:c r="JVH61" s="291"/>
      <x:c r="JVI61" s="291"/>
      <x:c r="JVJ61" s="291"/>
      <x:c r="JVK61" s="291"/>
      <x:c r="JVL61" s="291"/>
      <x:c r="JVM61" s="291"/>
      <x:c r="JVN61" s="291"/>
      <x:c r="JVO61" s="291"/>
      <x:c r="JVP61" s="291"/>
      <x:c r="JVQ61" s="291"/>
      <x:c r="JVR61" s="291"/>
      <x:c r="JVS61" s="291"/>
      <x:c r="JVT61" s="291"/>
      <x:c r="JVU61" s="291"/>
      <x:c r="JVV61" s="291"/>
      <x:c r="JVW61" s="291"/>
      <x:c r="JVX61" s="291"/>
      <x:c r="JVY61" s="291"/>
      <x:c r="JVZ61" s="291"/>
      <x:c r="JWA61" s="291"/>
      <x:c r="JWB61" s="291"/>
      <x:c r="JWC61" s="291"/>
      <x:c r="JWD61" s="291"/>
      <x:c r="JWE61" s="291"/>
      <x:c r="JWF61" s="291"/>
      <x:c r="JWG61" s="291"/>
      <x:c r="JWH61" s="291"/>
      <x:c r="JWI61" s="291"/>
      <x:c r="JWJ61" s="291"/>
      <x:c r="JWK61" s="291"/>
      <x:c r="JWL61" s="291"/>
      <x:c r="JWM61" s="291"/>
      <x:c r="JWN61" s="291"/>
      <x:c r="JWO61" s="291"/>
      <x:c r="JWP61" s="291"/>
      <x:c r="JWQ61" s="291"/>
      <x:c r="JWR61" s="291"/>
      <x:c r="JWS61" s="291"/>
      <x:c r="JWT61" s="291"/>
      <x:c r="JWU61" s="291"/>
      <x:c r="JWV61" s="291"/>
      <x:c r="JWW61" s="291"/>
      <x:c r="JWX61" s="291"/>
      <x:c r="JWY61" s="291"/>
      <x:c r="JWZ61" s="291"/>
      <x:c r="JXA61" s="291"/>
      <x:c r="JXB61" s="291"/>
      <x:c r="JXC61" s="291"/>
      <x:c r="JXD61" s="291"/>
      <x:c r="JXE61" s="291"/>
      <x:c r="JXF61" s="291"/>
      <x:c r="JXG61" s="291"/>
      <x:c r="JXH61" s="291"/>
      <x:c r="JXI61" s="291"/>
      <x:c r="JXJ61" s="291"/>
      <x:c r="JXK61" s="291"/>
      <x:c r="JXL61" s="291"/>
      <x:c r="JXM61" s="291"/>
      <x:c r="JXN61" s="291"/>
      <x:c r="JXO61" s="291"/>
      <x:c r="JXP61" s="291"/>
      <x:c r="JXQ61" s="291"/>
      <x:c r="JXR61" s="291"/>
      <x:c r="JXS61" s="291"/>
      <x:c r="JXT61" s="291"/>
      <x:c r="JXU61" s="291"/>
      <x:c r="JXV61" s="291"/>
      <x:c r="JXW61" s="291"/>
      <x:c r="JXX61" s="291"/>
      <x:c r="JXY61" s="291"/>
      <x:c r="JXZ61" s="291"/>
      <x:c r="JYA61" s="291"/>
      <x:c r="JYB61" s="291"/>
      <x:c r="JYC61" s="291"/>
      <x:c r="JYD61" s="291"/>
      <x:c r="JYE61" s="291"/>
      <x:c r="JYF61" s="291"/>
      <x:c r="JYG61" s="291"/>
      <x:c r="JYH61" s="291"/>
      <x:c r="JYI61" s="291"/>
      <x:c r="JYJ61" s="291"/>
      <x:c r="JYK61" s="291"/>
      <x:c r="JYL61" s="291"/>
      <x:c r="JYM61" s="291"/>
      <x:c r="JYN61" s="291"/>
      <x:c r="JYO61" s="291"/>
      <x:c r="JYP61" s="291"/>
      <x:c r="JYQ61" s="291"/>
      <x:c r="JYR61" s="291"/>
      <x:c r="JYS61" s="291"/>
      <x:c r="JYT61" s="291"/>
      <x:c r="JYU61" s="291"/>
      <x:c r="JYV61" s="291"/>
      <x:c r="JYW61" s="291"/>
      <x:c r="JYX61" s="291"/>
      <x:c r="JYY61" s="291"/>
      <x:c r="JYZ61" s="291"/>
      <x:c r="JZA61" s="291"/>
      <x:c r="JZB61" s="291"/>
      <x:c r="JZC61" s="291"/>
      <x:c r="JZD61" s="291"/>
      <x:c r="JZE61" s="291"/>
      <x:c r="JZF61" s="291"/>
      <x:c r="JZG61" s="291"/>
      <x:c r="JZH61" s="291"/>
      <x:c r="JZI61" s="291"/>
      <x:c r="JZJ61" s="291"/>
      <x:c r="JZK61" s="291"/>
      <x:c r="JZL61" s="291"/>
      <x:c r="JZM61" s="291"/>
      <x:c r="JZN61" s="291"/>
      <x:c r="JZO61" s="291"/>
      <x:c r="JZP61" s="291"/>
      <x:c r="JZQ61" s="291"/>
      <x:c r="JZR61" s="291"/>
      <x:c r="JZS61" s="291"/>
      <x:c r="JZT61" s="291"/>
      <x:c r="JZU61" s="291"/>
      <x:c r="JZV61" s="291"/>
      <x:c r="JZW61" s="291"/>
      <x:c r="JZX61" s="291"/>
      <x:c r="JZY61" s="291"/>
      <x:c r="JZZ61" s="291"/>
      <x:c r="KAA61" s="291"/>
      <x:c r="KAB61" s="291"/>
      <x:c r="KAC61" s="291"/>
      <x:c r="KAD61" s="291"/>
      <x:c r="KAE61" s="291"/>
      <x:c r="KAF61" s="291"/>
      <x:c r="KAG61" s="291"/>
      <x:c r="KAH61" s="291"/>
      <x:c r="KAI61" s="291"/>
      <x:c r="KAJ61" s="291"/>
      <x:c r="KAK61" s="291"/>
      <x:c r="KAL61" s="291"/>
      <x:c r="KAM61" s="291"/>
      <x:c r="KAN61" s="291"/>
      <x:c r="KAO61" s="291"/>
      <x:c r="KAP61" s="291"/>
      <x:c r="KAQ61" s="291"/>
      <x:c r="KAR61" s="291"/>
      <x:c r="KAS61" s="291"/>
      <x:c r="KAT61" s="291"/>
      <x:c r="KAU61" s="291"/>
      <x:c r="KAV61" s="291"/>
      <x:c r="KAW61" s="291"/>
      <x:c r="KAX61" s="291"/>
      <x:c r="KAY61" s="291"/>
      <x:c r="KAZ61" s="291"/>
      <x:c r="KBA61" s="291"/>
      <x:c r="KBB61" s="291"/>
      <x:c r="KBC61" s="291"/>
      <x:c r="KBD61" s="291"/>
      <x:c r="KBE61" s="291"/>
      <x:c r="KBF61" s="291"/>
      <x:c r="KBG61" s="291"/>
      <x:c r="KBH61" s="291"/>
      <x:c r="KBI61" s="291"/>
      <x:c r="KBJ61" s="291"/>
      <x:c r="KBK61" s="291"/>
      <x:c r="KBL61" s="291"/>
      <x:c r="KBM61" s="291"/>
      <x:c r="KBN61" s="291"/>
      <x:c r="KBO61" s="291"/>
      <x:c r="KBP61" s="291"/>
      <x:c r="KBQ61" s="291"/>
      <x:c r="KBR61" s="291"/>
      <x:c r="KBS61" s="291"/>
      <x:c r="KBT61" s="291"/>
      <x:c r="KBU61" s="291"/>
      <x:c r="KBV61" s="291"/>
      <x:c r="KBW61" s="291"/>
      <x:c r="KBX61" s="291"/>
      <x:c r="KBY61" s="291"/>
      <x:c r="KBZ61" s="291"/>
      <x:c r="KCA61" s="291"/>
      <x:c r="KCB61" s="291"/>
      <x:c r="KCC61" s="291"/>
      <x:c r="KCD61" s="291"/>
      <x:c r="KCE61" s="291"/>
      <x:c r="KCF61" s="291"/>
      <x:c r="KCG61" s="291"/>
      <x:c r="KCH61" s="291"/>
      <x:c r="KCI61" s="291"/>
      <x:c r="KCJ61" s="291"/>
      <x:c r="KCK61" s="291"/>
      <x:c r="KCL61" s="291"/>
      <x:c r="KCM61" s="291"/>
      <x:c r="KCN61" s="291"/>
      <x:c r="KCO61" s="291"/>
      <x:c r="KCP61" s="291"/>
      <x:c r="KCQ61" s="291"/>
      <x:c r="KCR61" s="291"/>
      <x:c r="KCS61" s="291"/>
      <x:c r="KCT61" s="291"/>
      <x:c r="KCU61" s="291"/>
      <x:c r="KCV61" s="291"/>
      <x:c r="KCW61" s="291"/>
      <x:c r="KCX61" s="291"/>
      <x:c r="KCY61" s="291"/>
      <x:c r="KCZ61" s="291"/>
      <x:c r="KDA61" s="291"/>
      <x:c r="KDB61" s="291"/>
      <x:c r="KDC61" s="291"/>
      <x:c r="KDD61" s="291"/>
      <x:c r="KDE61" s="291"/>
      <x:c r="KDF61" s="291"/>
      <x:c r="KDG61" s="291"/>
      <x:c r="KDH61" s="291"/>
      <x:c r="KDI61" s="291"/>
      <x:c r="KDJ61" s="291"/>
      <x:c r="KDK61" s="291"/>
      <x:c r="KDL61" s="291"/>
      <x:c r="KDM61" s="291"/>
      <x:c r="KDN61" s="291"/>
      <x:c r="KDO61" s="291"/>
      <x:c r="KDP61" s="291"/>
      <x:c r="KDQ61" s="291"/>
      <x:c r="KDR61" s="291"/>
      <x:c r="KDS61" s="291"/>
      <x:c r="KDT61" s="291"/>
      <x:c r="KDU61" s="291"/>
      <x:c r="KDV61" s="291"/>
      <x:c r="KDW61" s="291"/>
      <x:c r="KDX61" s="291"/>
      <x:c r="KDY61" s="291"/>
      <x:c r="KDZ61" s="291"/>
      <x:c r="KEA61" s="291"/>
      <x:c r="KEB61" s="291"/>
      <x:c r="KEC61" s="291"/>
      <x:c r="KED61" s="291"/>
      <x:c r="KEE61" s="291"/>
      <x:c r="KEF61" s="291"/>
      <x:c r="KEG61" s="291"/>
      <x:c r="KEH61" s="291"/>
      <x:c r="KEI61" s="291"/>
      <x:c r="KEJ61" s="291"/>
      <x:c r="KEK61" s="291"/>
      <x:c r="KEL61" s="291"/>
      <x:c r="KEM61" s="291"/>
      <x:c r="KEN61" s="291"/>
      <x:c r="KEO61" s="291"/>
      <x:c r="KEP61" s="291"/>
      <x:c r="KEQ61" s="291"/>
      <x:c r="KER61" s="291"/>
      <x:c r="KES61" s="291"/>
      <x:c r="KET61" s="291"/>
      <x:c r="KEU61" s="291"/>
      <x:c r="KEV61" s="291"/>
      <x:c r="KEW61" s="291"/>
      <x:c r="KEX61" s="291"/>
      <x:c r="KEY61" s="291"/>
      <x:c r="KEZ61" s="291"/>
      <x:c r="KFA61" s="291"/>
      <x:c r="KFB61" s="291"/>
      <x:c r="KFC61" s="291"/>
      <x:c r="KFD61" s="291"/>
      <x:c r="KFE61" s="291"/>
      <x:c r="KFF61" s="291"/>
      <x:c r="KFG61" s="291"/>
      <x:c r="KFH61" s="291"/>
      <x:c r="KFI61" s="291"/>
      <x:c r="KFJ61" s="291"/>
      <x:c r="KFK61" s="291"/>
      <x:c r="KFL61" s="291"/>
      <x:c r="KFM61" s="291"/>
      <x:c r="KFN61" s="291"/>
      <x:c r="KFO61" s="291"/>
      <x:c r="KFP61" s="291"/>
      <x:c r="KFQ61" s="291"/>
      <x:c r="KFR61" s="291"/>
      <x:c r="KFS61" s="291"/>
      <x:c r="KFT61" s="291"/>
      <x:c r="KFU61" s="291"/>
      <x:c r="KFV61" s="291"/>
      <x:c r="KFW61" s="291"/>
      <x:c r="KFX61" s="291"/>
      <x:c r="KFY61" s="291"/>
      <x:c r="KFZ61" s="291"/>
      <x:c r="KGA61" s="291"/>
      <x:c r="KGB61" s="291"/>
      <x:c r="KGC61" s="291"/>
      <x:c r="KGD61" s="291"/>
      <x:c r="KGE61" s="291"/>
      <x:c r="KGF61" s="291"/>
      <x:c r="KGG61" s="291"/>
      <x:c r="KGH61" s="291"/>
      <x:c r="KGI61" s="291"/>
      <x:c r="KGJ61" s="291"/>
      <x:c r="KGK61" s="291"/>
      <x:c r="KGL61" s="291"/>
      <x:c r="KGM61" s="291"/>
      <x:c r="KGN61" s="291"/>
      <x:c r="KGO61" s="291"/>
      <x:c r="KGP61" s="291"/>
      <x:c r="KGQ61" s="291"/>
      <x:c r="KGR61" s="291"/>
      <x:c r="KGS61" s="291"/>
      <x:c r="KGT61" s="291"/>
      <x:c r="KGU61" s="291"/>
      <x:c r="KGV61" s="291"/>
      <x:c r="KGW61" s="291"/>
      <x:c r="KGX61" s="291"/>
      <x:c r="KGY61" s="291"/>
      <x:c r="KGZ61" s="291"/>
      <x:c r="KHA61" s="291"/>
      <x:c r="KHB61" s="291"/>
      <x:c r="KHC61" s="291"/>
      <x:c r="KHD61" s="291"/>
      <x:c r="KHE61" s="291"/>
      <x:c r="KHF61" s="291"/>
      <x:c r="KHG61" s="291"/>
      <x:c r="KHH61" s="291"/>
      <x:c r="KHI61" s="291"/>
      <x:c r="KHJ61" s="291"/>
      <x:c r="KHK61" s="291"/>
      <x:c r="KHL61" s="291"/>
      <x:c r="KHM61" s="291"/>
      <x:c r="KHN61" s="291"/>
      <x:c r="KHO61" s="291"/>
      <x:c r="KHP61" s="291"/>
      <x:c r="KHQ61" s="291"/>
      <x:c r="KHR61" s="291"/>
      <x:c r="KHS61" s="291"/>
      <x:c r="KHT61" s="291"/>
      <x:c r="KHU61" s="291"/>
      <x:c r="KHV61" s="291"/>
      <x:c r="KHW61" s="291"/>
      <x:c r="KHX61" s="291"/>
      <x:c r="KHY61" s="291"/>
      <x:c r="KHZ61" s="291"/>
      <x:c r="KIA61" s="291"/>
      <x:c r="KIB61" s="291"/>
      <x:c r="KIC61" s="291"/>
      <x:c r="KID61" s="291"/>
      <x:c r="KIE61" s="291"/>
      <x:c r="KIF61" s="291"/>
      <x:c r="KIG61" s="291"/>
      <x:c r="KIH61" s="291"/>
      <x:c r="KII61" s="291"/>
      <x:c r="KIJ61" s="291"/>
      <x:c r="KIK61" s="291"/>
      <x:c r="KIL61" s="291"/>
      <x:c r="KIM61" s="291"/>
      <x:c r="KIN61" s="291"/>
      <x:c r="KIO61" s="291"/>
      <x:c r="KIP61" s="291"/>
      <x:c r="KIQ61" s="291"/>
      <x:c r="KIR61" s="291"/>
      <x:c r="KIS61" s="291"/>
      <x:c r="KIT61" s="291"/>
      <x:c r="KIU61" s="291"/>
      <x:c r="KIV61" s="291"/>
      <x:c r="KIW61" s="291"/>
      <x:c r="KIX61" s="291"/>
      <x:c r="KIY61" s="291"/>
      <x:c r="KIZ61" s="291"/>
      <x:c r="KJA61" s="291"/>
      <x:c r="KJB61" s="291"/>
      <x:c r="KJC61" s="291"/>
      <x:c r="KJD61" s="291"/>
      <x:c r="KJE61" s="291"/>
      <x:c r="KJF61" s="291"/>
      <x:c r="KJG61" s="291"/>
      <x:c r="KJH61" s="291"/>
      <x:c r="KJI61" s="291"/>
      <x:c r="KJJ61" s="291"/>
      <x:c r="KJK61" s="291"/>
      <x:c r="KJL61" s="291"/>
      <x:c r="KJM61" s="291"/>
      <x:c r="KJN61" s="291"/>
      <x:c r="KJO61" s="291"/>
      <x:c r="KJP61" s="291"/>
      <x:c r="KJQ61" s="291"/>
      <x:c r="KJR61" s="291"/>
      <x:c r="KJS61" s="291"/>
      <x:c r="KJT61" s="291"/>
      <x:c r="KJU61" s="291"/>
      <x:c r="KJV61" s="291"/>
      <x:c r="KJW61" s="291"/>
      <x:c r="KJX61" s="291"/>
      <x:c r="KJY61" s="291"/>
      <x:c r="KJZ61" s="291"/>
      <x:c r="KKA61" s="291"/>
      <x:c r="KKB61" s="291"/>
      <x:c r="KKC61" s="291"/>
      <x:c r="KKD61" s="291"/>
      <x:c r="KKE61" s="291"/>
      <x:c r="KKF61" s="291"/>
      <x:c r="KKG61" s="291"/>
      <x:c r="KKH61" s="291"/>
      <x:c r="KKI61" s="291"/>
      <x:c r="KKJ61" s="291"/>
      <x:c r="KKK61" s="291"/>
      <x:c r="KKL61" s="291"/>
      <x:c r="KKM61" s="291"/>
      <x:c r="KKN61" s="291"/>
      <x:c r="KKO61" s="291"/>
      <x:c r="KKP61" s="291"/>
      <x:c r="KKQ61" s="291"/>
      <x:c r="KKR61" s="291"/>
      <x:c r="KKS61" s="291"/>
      <x:c r="KKT61" s="291"/>
      <x:c r="KKU61" s="291"/>
      <x:c r="KKV61" s="291"/>
      <x:c r="KKW61" s="291"/>
      <x:c r="KKX61" s="291"/>
      <x:c r="KKY61" s="291"/>
      <x:c r="KKZ61" s="291"/>
      <x:c r="KLA61" s="291"/>
      <x:c r="KLB61" s="291"/>
      <x:c r="KLC61" s="291"/>
      <x:c r="KLD61" s="291"/>
      <x:c r="KLE61" s="291"/>
      <x:c r="KLF61" s="291"/>
      <x:c r="KLG61" s="291"/>
      <x:c r="KLH61" s="291"/>
      <x:c r="KLI61" s="291"/>
      <x:c r="KLJ61" s="291"/>
      <x:c r="KLK61" s="291"/>
      <x:c r="KLL61" s="291"/>
      <x:c r="KLM61" s="291"/>
      <x:c r="KLN61" s="291"/>
      <x:c r="KLO61" s="291"/>
      <x:c r="KLP61" s="291"/>
      <x:c r="KLQ61" s="291"/>
      <x:c r="KLR61" s="291"/>
      <x:c r="KLS61" s="291"/>
      <x:c r="KLT61" s="291"/>
      <x:c r="KLU61" s="291"/>
      <x:c r="KLV61" s="291"/>
      <x:c r="KLW61" s="291"/>
      <x:c r="KLX61" s="291"/>
      <x:c r="KLY61" s="291"/>
      <x:c r="KLZ61" s="291"/>
      <x:c r="KMA61" s="291"/>
      <x:c r="KMB61" s="291"/>
      <x:c r="KMC61" s="291"/>
      <x:c r="KMD61" s="291"/>
      <x:c r="KME61" s="291"/>
      <x:c r="KMF61" s="291"/>
      <x:c r="KMG61" s="291"/>
      <x:c r="KMH61" s="291"/>
      <x:c r="KMI61" s="291"/>
      <x:c r="KMJ61" s="291"/>
      <x:c r="KMK61" s="291"/>
      <x:c r="KML61" s="291"/>
      <x:c r="KMM61" s="291"/>
      <x:c r="KMN61" s="291"/>
      <x:c r="KMO61" s="291"/>
      <x:c r="KMP61" s="291"/>
      <x:c r="KMQ61" s="291"/>
      <x:c r="KMR61" s="291"/>
      <x:c r="KMS61" s="291"/>
      <x:c r="KMT61" s="291"/>
      <x:c r="KMU61" s="291"/>
      <x:c r="KMV61" s="291"/>
      <x:c r="KMW61" s="291"/>
      <x:c r="KMX61" s="291"/>
      <x:c r="KMY61" s="291"/>
      <x:c r="KMZ61" s="291"/>
      <x:c r="KNA61" s="291"/>
      <x:c r="KNB61" s="291"/>
      <x:c r="KNC61" s="291"/>
      <x:c r="KND61" s="291"/>
      <x:c r="KNE61" s="291"/>
      <x:c r="KNF61" s="291"/>
      <x:c r="KNG61" s="291"/>
      <x:c r="KNH61" s="291"/>
      <x:c r="KNI61" s="291"/>
      <x:c r="KNJ61" s="291"/>
      <x:c r="KNK61" s="291"/>
      <x:c r="KNL61" s="291"/>
      <x:c r="KNM61" s="291"/>
      <x:c r="KNN61" s="291"/>
      <x:c r="KNO61" s="291"/>
      <x:c r="KNP61" s="291"/>
      <x:c r="KNQ61" s="291"/>
      <x:c r="KNR61" s="291"/>
      <x:c r="KNS61" s="291"/>
      <x:c r="KNT61" s="291"/>
      <x:c r="KNU61" s="291"/>
      <x:c r="KNV61" s="291"/>
      <x:c r="KNW61" s="291"/>
      <x:c r="KNX61" s="291"/>
      <x:c r="KNY61" s="291"/>
      <x:c r="KNZ61" s="291"/>
      <x:c r="KOA61" s="291"/>
      <x:c r="KOB61" s="291"/>
      <x:c r="KOC61" s="291"/>
      <x:c r="KOD61" s="291"/>
      <x:c r="KOE61" s="291"/>
      <x:c r="KOF61" s="291"/>
      <x:c r="KOG61" s="291"/>
      <x:c r="KOH61" s="291"/>
      <x:c r="KOI61" s="291"/>
      <x:c r="KOJ61" s="291"/>
      <x:c r="KOK61" s="291"/>
      <x:c r="KOL61" s="291"/>
      <x:c r="KOM61" s="291"/>
      <x:c r="KON61" s="291"/>
      <x:c r="KOO61" s="291"/>
      <x:c r="KOP61" s="291"/>
      <x:c r="KOQ61" s="291"/>
      <x:c r="KOR61" s="291"/>
      <x:c r="KOS61" s="291"/>
      <x:c r="KOT61" s="291"/>
      <x:c r="KOU61" s="291"/>
      <x:c r="KOV61" s="291"/>
      <x:c r="KOW61" s="291"/>
      <x:c r="KOX61" s="291"/>
      <x:c r="KOY61" s="291"/>
      <x:c r="KOZ61" s="291"/>
      <x:c r="KPA61" s="291"/>
      <x:c r="KPB61" s="291"/>
      <x:c r="KPC61" s="291"/>
      <x:c r="KPD61" s="291"/>
      <x:c r="KPE61" s="291"/>
      <x:c r="KPF61" s="291"/>
      <x:c r="KPG61" s="291"/>
      <x:c r="KPH61" s="291"/>
      <x:c r="KPI61" s="291"/>
      <x:c r="KPJ61" s="291"/>
      <x:c r="KPK61" s="291"/>
      <x:c r="KPL61" s="291"/>
      <x:c r="KPM61" s="291"/>
      <x:c r="KPN61" s="291"/>
      <x:c r="KPO61" s="291"/>
      <x:c r="KPP61" s="291"/>
      <x:c r="KPQ61" s="291"/>
      <x:c r="KPR61" s="291"/>
      <x:c r="KPS61" s="291"/>
      <x:c r="KPT61" s="291"/>
      <x:c r="KPU61" s="291"/>
      <x:c r="KPV61" s="291"/>
      <x:c r="KPW61" s="291"/>
      <x:c r="KPX61" s="291"/>
      <x:c r="KPY61" s="291"/>
      <x:c r="KPZ61" s="291"/>
      <x:c r="KQA61" s="291"/>
      <x:c r="KQB61" s="291"/>
      <x:c r="KQC61" s="291"/>
      <x:c r="KQD61" s="291"/>
      <x:c r="KQE61" s="291"/>
      <x:c r="KQF61" s="291"/>
      <x:c r="KQG61" s="291"/>
      <x:c r="KQH61" s="291"/>
      <x:c r="KQI61" s="291"/>
      <x:c r="KQJ61" s="291"/>
      <x:c r="KQK61" s="291"/>
      <x:c r="KQL61" s="291"/>
      <x:c r="KQM61" s="291"/>
      <x:c r="KQN61" s="291"/>
      <x:c r="KQO61" s="291"/>
      <x:c r="KQP61" s="291"/>
      <x:c r="KQQ61" s="291"/>
      <x:c r="KQR61" s="291"/>
      <x:c r="KQS61" s="291"/>
      <x:c r="KQT61" s="291"/>
      <x:c r="KQU61" s="291"/>
      <x:c r="KQV61" s="291"/>
      <x:c r="KQW61" s="291"/>
      <x:c r="KQX61" s="291"/>
      <x:c r="KQY61" s="291"/>
      <x:c r="KQZ61" s="291"/>
      <x:c r="KRA61" s="291"/>
      <x:c r="KRB61" s="291"/>
      <x:c r="KRC61" s="291"/>
      <x:c r="KRD61" s="291"/>
      <x:c r="KRE61" s="291"/>
      <x:c r="KRF61" s="291"/>
      <x:c r="KRG61" s="291"/>
      <x:c r="KRH61" s="291"/>
      <x:c r="KRI61" s="291"/>
      <x:c r="KRJ61" s="291"/>
      <x:c r="KRK61" s="291"/>
      <x:c r="KRL61" s="291"/>
      <x:c r="KRM61" s="291"/>
      <x:c r="KRN61" s="291"/>
      <x:c r="KRO61" s="291"/>
      <x:c r="KRP61" s="291"/>
      <x:c r="KRQ61" s="291"/>
      <x:c r="KRR61" s="291"/>
      <x:c r="KRS61" s="291"/>
      <x:c r="KRT61" s="291"/>
      <x:c r="KRU61" s="291"/>
      <x:c r="KRV61" s="291"/>
      <x:c r="KRW61" s="291"/>
      <x:c r="KRX61" s="291"/>
      <x:c r="KRY61" s="291"/>
      <x:c r="KRZ61" s="291"/>
      <x:c r="KSA61" s="291"/>
      <x:c r="KSB61" s="291"/>
      <x:c r="KSC61" s="291"/>
      <x:c r="KSD61" s="291"/>
      <x:c r="KSE61" s="291"/>
      <x:c r="KSF61" s="291"/>
      <x:c r="KSG61" s="291"/>
      <x:c r="KSH61" s="291"/>
      <x:c r="KSI61" s="291"/>
      <x:c r="KSJ61" s="291"/>
      <x:c r="KSK61" s="291"/>
      <x:c r="KSL61" s="291"/>
      <x:c r="KSM61" s="291"/>
      <x:c r="KSN61" s="291"/>
      <x:c r="KSO61" s="291"/>
      <x:c r="KSP61" s="291"/>
      <x:c r="KSQ61" s="291"/>
      <x:c r="KSR61" s="291"/>
      <x:c r="KSS61" s="291"/>
      <x:c r="KST61" s="291"/>
      <x:c r="KSU61" s="291"/>
      <x:c r="KSV61" s="291"/>
      <x:c r="KSW61" s="291"/>
      <x:c r="KSX61" s="291"/>
      <x:c r="KSY61" s="291"/>
      <x:c r="KSZ61" s="291"/>
      <x:c r="KTA61" s="291"/>
      <x:c r="KTB61" s="291"/>
      <x:c r="KTC61" s="291"/>
      <x:c r="KTD61" s="291"/>
      <x:c r="KTE61" s="291"/>
      <x:c r="KTF61" s="291"/>
      <x:c r="KTG61" s="291"/>
      <x:c r="KTH61" s="291"/>
      <x:c r="KTI61" s="291"/>
      <x:c r="KTJ61" s="291"/>
      <x:c r="KTK61" s="291"/>
      <x:c r="KTL61" s="291"/>
      <x:c r="KTM61" s="291"/>
      <x:c r="KTN61" s="291"/>
      <x:c r="KTO61" s="291"/>
      <x:c r="KTP61" s="291"/>
      <x:c r="KTQ61" s="291"/>
      <x:c r="KTR61" s="291"/>
      <x:c r="KTS61" s="291"/>
      <x:c r="KTT61" s="291"/>
      <x:c r="KTU61" s="291"/>
      <x:c r="KTV61" s="291"/>
      <x:c r="KTW61" s="291"/>
      <x:c r="KTX61" s="291"/>
      <x:c r="KTY61" s="291"/>
      <x:c r="KTZ61" s="291"/>
      <x:c r="KUA61" s="291"/>
      <x:c r="KUB61" s="291"/>
      <x:c r="KUC61" s="291"/>
      <x:c r="KUD61" s="291"/>
      <x:c r="KUE61" s="291"/>
      <x:c r="KUF61" s="291"/>
      <x:c r="KUG61" s="291"/>
      <x:c r="KUH61" s="291"/>
      <x:c r="KUI61" s="291"/>
      <x:c r="KUJ61" s="291"/>
      <x:c r="KUK61" s="291"/>
      <x:c r="KUL61" s="291"/>
      <x:c r="KUM61" s="291"/>
      <x:c r="KUN61" s="291"/>
      <x:c r="KUO61" s="291"/>
      <x:c r="KUP61" s="291"/>
      <x:c r="KUQ61" s="291"/>
      <x:c r="KUR61" s="291"/>
      <x:c r="KUS61" s="291"/>
      <x:c r="KUT61" s="291"/>
      <x:c r="KUU61" s="291"/>
      <x:c r="KUV61" s="291"/>
      <x:c r="KUW61" s="291"/>
      <x:c r="KUX61" s="291"/>
      <x:c r="KUY61" s="291"/>
      <x:c r="KUZ61" s="291"/>
      <x:c r="KVA61" s="291"/>
      <x:c r="KVB61" s="291"/>
      <x:c r="KVC61" s="291"/>
      <x:c r="KVD61" s="291"/>
      <x:c r="KVE61" s="291"/>
      <x:c r="KVF61" s="291"/>
      <x:c r="KVG61" s="291"/>
      <x:c r="KVH61" s="291"/>
      <x:c r="KVI61" s="291"/>
      <x:c r="KVJ61" s="291"/>
      <x:c r="KVK61" s="291"/>
      <x:c r="KVL61" s="291"/>
      <x:c r="KVM61" s="291"/>
      <x:c r="KVN61" s="291"/>
      <x:c r="KVO61" s="291"/>
      <x:c r="KVP61" s="291"/>
      <x:c r="KVQ61" s="291"/>
      <x:c r="KVR61" s="291"/>
      <x:c r="KVS61" s="291"/>
      <x:c r="KVT61" s="291"/>
      <x:c r="KVU61" s="291"/>
      <x:c r="KVV61" s="291"/>
      <x:c r="KVW61" s="291"/>
      <x:c r="KVX61" s="291"/>
      <x:c r="KVY61" s="291"/>
      <x:c r="KVZ61" s="291"/>
      <x:c r="KWA61" s="291"/>
      <x:c r="KWB61" s="291"/>
      <x:c r="KWC61" s="291"/>
      <x:c r="KWD61" s="291"/>
      <x:c r="KWE61" s="291"/>
      <x:c r="KWF61" s="291"/>
      <x:c r="KWG61" s="291"/>
      <x:c r="KWH61" s="291"/>
      <x:c r="KWI61" s="291"/>
      <x:c r="KWJ61" s="291"/>
      <x:c r="KWK61" s="291"/>
      <x:c r="KWL61" s="291"/>
      <x:c r="KWM61" s="291"/>
      <x:c r="KWN61" s="291"/>
      <x:c r="KWO61" s="291"/>
      <x:c r="KWP61" s="291"/>
      <x:c r="KWQ61" s="291"/>
      <x:c r="KWR61" s="291"/>
      <x:c r="KWS61" s="291"/>
      <x:c r="KWT61" s="291"/>
      <x:c r="KWU61" s="291"/>
      <x:c r="KWV61" s="291"/>
      <x:c r="KWW61" s="291"/>
      <x:c r="KWX61" s="291"/>
      <x:c r="KWY61" s="291"/>
      <x:c r="KWZ61" s="291"/>
      <x:c r="KXA61" s="291"/>
      <x:c r="KXB61" s="291"/>
      <x:c r="KXC61" s="291"/>
      <x:c r="KXD61" s="291"/>
      <x:c r="KXE61" s="291"/>
      <x:c r="KXF61" s="291"/>
      <x:c r="KXG61" s="291"/>
      <x:c r="KXH61" s="291"/>
      <x:c r="KXI61" s="291"/>
      <x:c r="KXJ61" s="291"/>
      <x:c r="KXK61" s="291"/>
      <x:c r="KXL61" s="291"/>
      <x:c r="KXM61" s="291"/>
      <x:c r="KXN61" s="291"/>
      <x:c r="KXO61" s="291"/>
      <x:c r="KXP61" s="291"/>
      <x:c r="KXQ61" s="291"/>
      <x:c r="KXR61" s="291"/>
      <x:c r="KXS61" s="291"/>
      <x:c r="KXT61" s="291"/>
      <x:c r="KXU61" s="291"/>
      <x:c r="KXV61" s="291"/>
      <x:c r="KXW61" s="291"/>
      <x:c r="KXX61" s="291"/>
      <x:c r="KXY61" s="291"/>
      <x:c r="KXZ61" s="291"/>
      <x:c r="KYA61" s="291"/>
      <x:c r="KYB61" s="291"/>
      <x:c r="KYC61" s="291"/>
      <x:c r="KYD61" s="291"/>
      <x:c r="KYE61" s="291"/>
      <x:c r="KYF61" s="291"/>
      <x:c r="KYG61" s="291"/>
      <x:c r="KYH61" s="291"/>
      <x:c r="KYI61" s="291"/>
      <x:c r="KYJ61" s="291"/>
      <x:c r="KYK61" s="291"/>
      <x:c r="KYL61" s="291"/>
      <x:c r="KYM61" s="291"/>
      <x:c r="KYN61" s="291"/>
      <x:c r="KYO61" s="291"/>
      <x:c r="KYP61" s="291"/>
      <x:c r="KYQ61" s="291"/>
      <x:c r="KYR61" s="291"/>
      <x:c r="KYS61" s="291"/>
      <x:c r="KYT61" s="291"/>
      <x:c r="KYU61" s="291"/>
      <x:c r="KYV61" s="291"/>
      <x:c r="KYW61" s="291"/>
      <x:c r="KYX61" s="291"/>
      <x:c r="KYY61" s="291"/>
      <x:c r="KYZ61" s="291"/>
      <x:c r="KZA61" s="291"/>
      <x:c r="KZB61" s="291"/>
      <x:c r="KZC61" s="291"/>
      <x:c r="KZD61" s="291"/>
      <x:c r="KZE61" s="291"/>
      <x:c r="KZF61" s="291"/>
      <x:c r="KZG61" s="291"/>
      <x:c r="KZH61" s="291"/>
      <x:c r="KZI61" s="291"/>
      <x:c r="KZJ61" s="291"/>
      <x:c r="KZK61" s="291"/>
      <x:c r="KZL61" s="291"/>
      <x:c r="KZM61" s="291"/>
      <x:c r="KZN61" s="291"/>
      <x:c r="KZO61" s="291"/>
      <x:c r="KZP61" s="291"/>
      <x:c r="KZQ61" s="291"/>
      <x:c r="KZR61" s="291"/>
      <x:c r="KZS61" s="291"/>
      <x:c r="KZT61" s="291"/>
      <x:c r="KZU61" s="291"/>
      <x:c r="KZV61" s="291"/>
      <x:c r="KZW61" s="291"/>
      <x:c r="KZX61" s="291"/>
      <x:c r="KZY61" s="291"/>
      <x:c r="KZZ61" s="291"/>
      <x:c r="LAA61" s="291"/>
      <x:c r="LAB61" s="291"/>
      <x:c r="LAC61" s="291"/>
      <x:c r="LAD61" s="291"/>
      <x:c r="LAE61" s="291"/>
      <x:c r="LAF61" s="291"/>
      <x:c r="LAG61" s="291"/>
      <x:c r="LAH61" s="291"/>
      <x:c r="LAI61" s="291"/>
      <x:c r="LAJ61" s="291"/>
      <x:c r="LAK61" s="291"/>
      <x:c r="LAL61" s="291"/>
      <x:c r="LAM61" s="291"/>
      <x:c r="LAN61" s="291"/>
      <x:c r="LAO61" s="291"/>
      <x:c r="LAP61" s="291"/>
      <x:c r="LAQ61" s="291"/>
      <x:c r="LAR61" s="291"/>
      <x:c r="LAS61" s="291"/>
      <x:c r="LAT61" s="291"/>
      <x:c r="LAU61" s="291"/>
      <x:c r="LAV61" s="291"/>
      <x:c r="LAW61" s="291"/>
      <x:c r="LAX61" s="291"/>
      <x:c r="LAY61" s="291"/>
      <x:c r="LAZ61" s="291"/>
      <x:c r="LBA61" s="291"/>
      <x:c r="LBB61" s="291"/>
      <x:c r="LBC61" s="291"/>
      <x:c r="LBD61" s="291"/>
      <x:c r="LBE61" s="291"/>
      <x:c r="LBF61" s="291"/>
      <x:c r="LBG61" s="291"/>
      <x:c r="LBH61" s="291"/>
      <x:c r="LBI61" s="291"/>
      <x:c r="LBJ61" s="291"/>
      <x:c r="LBK61" s="291"/>
      <x:c r="LBL61" s="291"/>
      <x:c r="LBM61" s="291"/>
      <x:c r="LBN61" s="291"/>
      <x:c r="LBO61" s="291"/>
      <x:c r="LBP61" s="291"/>
      <x:c r="LBQ61" s="291"/>
      <x:c r="LBR61" s="291"/>
      <x:c r="LBS61" s="291"/>
      <x:c r="LBT61" s="291"/>
      <x:c r="LBU61" s="291"/>
      <x:c r="LBV61" s="291"/>
      <x:c r="LBW61" s="291"/>
      <x:c r="LBX61" s="291"/>
      <x:c r="LBY61" s="291"/>
      <x:c r="LBZ61" s="291"/>
      <x:c r="LCA61" s="291"/>
      <x:c r="LCB61" s="291"/>
      <x:c r="LCC61" s="291"/>
      <x:c r="LCD61" s="291"/>
      <x:c r="LCE61" s="291"/>
      <x:c r="LCF61" s="291"/>
      <x:c r="LCG61" s="291"/>
      <x:c r="LCH61" s="291"/>
      <x:c r="LCI61" s="291"/>
      <x:c r="LCJ61" s="291"/>
      <x:c r="LCK61" s="291"/>
      <x:c r="LCL61" s="291"/>
      <x:c r="LCM61" s="291"/>
      <x:c r="LCN61" s="291"/>
      <x:c r="LCO61" s="291"/>
      <x:c r="LCP61" s="291"/>
      <x:c r="LCQ61" s="291"/>
      <x:c r="LCR61" s="291"/>
      <x:c r="LCS61" s="291"/>
      <x:c r="LCT61" s="291"/>
      <x:c r="LCU61" s="291"/>
      <x:c r="LCV61" s="291"/>
      <x:c r="LCW61" s="291"/>
      <x:c r="LCX61" s="291"/>
      <x:c r="LCY61" s="291"/>
      <x:c r="LCZ61" s="291"/>
      <x:c r="LDA61" s="291"/>
      <x:c r="LDB61" s="291"/>
      <x:c r="LDC61" s="291"/>
      <x:c r="LDD61" s="291"/>
      <x:c r="LDE61" s="291"/>
      <x:c r="LDF61" s="291"/>
      <x:c r="LDG61" s="291"/>
      <x:c r="LDH61" s="291"/>
      <x:c r="LDI61" s="291"/>
      <x:c r="LDJ61" s="291"/>
      <x:c r="LDK61" s="291"/>
      <x:c r="LDL61" s="291"/>
      <x:c r="LDM61" s="291"/>
      <x:c r="LDN61" s="291"/>
      <x:c r="LDO61" s="291"/>
      <x:c r="LDP61" s="291"/>
      <x:c r="LDQ61" s="291"/>
      <x:c r="LDR61" s="291"/>
      <x:c r="LDS61" s="291"/>
      <x:c r="LDT61" s="291"/>
      <x:c r="LDU61" s="291"/>
      <x:c r="LDV61" s="291"/>
      <x:c r="LDW61" s="291"/>
      <x:c r="LDX61" s="291"/>
      <x:c r="LDY61" s="291"/>
      <x:c r="LDZ61" s="291"/>
      <x:c r="LEA61" s="291"/>
      <x:c r="LEB61" s="291"/>
      <x:c r="LEC61" s="291"/>
      <x:c r="LED61" s="291"/>
      <x:c r="LEE61" s="291"/>
      <x:c r="LEF61" s="291"/>
      <x:c r="LEG61" s="291"/>
      <x:c r="LEH61" s="291"/>
      <x:c r="LEI61" s="291"/>
      <x:c r="LEJ61" s="291"/>
      <x:c r="LEK61" s="291"/>
      <x:c r="LEL61" s="291"/>
      <x:c r="LEM61" s="291"/>
      <x:c r="LEN61" s="291"/>
      <x:c r="LEO61" s="291"/>
      <x:c r="LEP61" s="291"/>
      <x:c r="LEQ61" s="291"/>
      <x:c r="LER61" s="291"/>
      <x:c r="LES61" s="291"/>
      <x:c r="LET61" s="291"/>
      <x:c r="LEU61" s="291"/>
      <x:c r="LEV61" s="291"/>
      <x:c r="LEW61" s="291"/>
      <x:c r="LEX61" s="291"/>
      <x:c r="LEY61" s="291"/>
      <x:c r="LEZ61" s="291"/>
      <x:c r="LFA61" s="291"/>
      <x:c r="LFB61" s="291"/>
      <x:c r="LFC61" s="291"/>
      <x:c r="LFD61" s="291"/>
      <x:c r="LFE61" s="291"/>
      <x:c r="LFF61" s="291"/>
      <x:c r="LFG61" s="291"/>
      <x:c r="LFH61" s="291"/>
      <x:c r="LFI61" s="291"/>
      <x:c r="LFJ61" s="291"/>
      <x:c r="LFK61" s="291"/>
      <x:c r="LFL61" s="291"/>
      <x:c r="LFM61" s="291"/>
      <x:c r="LFN61" s="291"/>
      <x:c r="LFO61" s="291"/>
      <x:c r="LFP61" s="291"/>
      <x:c r="LFQ61" s="291"/>
      <x:c r="LFR61" s="291"/>
      <x:c r="LFS61" s="291"/>
      <x:c r="LFT61" s="291"/>
      <x:c r="LFU61" s="291"/>
      <x:c r="LFV61" s="291"/>
      <x:c r="LFW61" s="291"/>
      <x:c r="LFX61" s="291"/>
      <x:c r="LFY61" s="291"/>
      <x:c r="LFZ61" s="291"/>
      <x:c r="LGA61" s="291"/>
      <x:c r="LGB61" s="291"/>
      <x:c r="LGC61" s="291"/>
      <x:c r="LGD61" s="291"/>
      <x:c r="LGE61" s="291"/>
      <x:c r="LGF61" s="291"/>
      <x:c r="LGG61" s="291"/>
      <x:c r="LGH61" s="291"/>
      <x:c r="LGI61" s="291"/>
      <x:c r="LGJ61" s="291"/>
      <x:c r="LGK61" s="291"/>
      <x:c r="LGL61" s="291"/>
      <x:c r="LGM61" s="291"/>
      <x:c r="LGN61" s="291"/>
      <x:c r="LGO61" s="291"/>
      <x:c r="LGP61" s="291"/>
      <x:c r="LGQ61" s="291"/>
      <x:c r="LGR61" s="291"/>
      <x:c r="LGS61" s="291"/>
      <x:c r="LGT61" s="291"/>
      <x:c r="LGU61" s="291"/>
      <x:c r="LGV61" s="291"/>
      <x:c r="LGW61" s="291"/>
      <x:c r="LGX61" s="291"/>
      <x:c r="LGY61" s="291"/>
      <x:c r="LGZ61" s="291"/>
      <x:c r="LHA61" s="291"/>
      <x:c r="LHB61" s="291"/>
      <x:c r="LHC61" s="291"/>
      <x:c r="LHD61" s="291"/>
      <x:c r="LHE61" s="291"/>
      <x:c r="LHF61" s="291"/>
      <x:c r="LHG61" s="291"/>
      <x:c r="LHH61" s="291"/>
      <x:c r="LHI61" s="291"/>
      <x:c r="LHJ61" s="291"/>
      <x:c r="LHK61" s="291"/>
      <x:c r="LHL61" s="291"/>
      <x:c r="LHM61" s="291"/>
      <x:c r="LHN61" s="291"/>
      <x:c r="LHO61" s="291"/>
      <x:c r="LHP61" s="291"/>
      <x:c r="LHQ61" s="291"/>
      <x:c r="LHR61" s="291"/>
      <x:c r="LHS61" s="291"/>
      <x:c r="LHT61" s="291"/>
      <x:c r="LHU61" s="291"/>
      <x:c r="LHV61" s="291"/>
      <x:c r="LHW61" s="291"/>
      <x:c r="LHX61" s="291"/>
      <x:c r="LHY61" s="291"/>
      <x:c r="LHZ61" s="291"/>
      <x:c r="LIA61" s="291"/>
      <x:c r="LIB61" s="291"/>
      <x:c r="LIC61" s="291"/>
      <x:c r="LID61" s="291"/>
      <x:c r="LIE61" s="291"/>
      <x:c r="LIF61" s="291"/>
      <x:c r="LIG61" s="291"/>
      <x:c r="LIH61" s="291"/>
      <x:c r="LII61" s="291"/>
      <x:c r="LIJ61" s="291"/>
      <x:c r="LIK61" s="291"/>
      <x:c r="LIL61" s="291"/>
      <x:c r="LIM61" s="291"/>
      <x:c r="LIN61" s="291"/>
      <x:c r="LIO61" s="291"/>
      <x:c r="LIP61" s="291"/>
      <x:c r="LIQ61" s="291"/>
      <x:c r="LIR61" s="291"/>
      <x:c r="LIS61" s="291"/>
      <x:c r="LIT61" s="291"/>
      <x:c r="LIU61" s="291"/>
      <x:c r="LIV61" s="291"/>
      <x:c r="LIW61" s="291"/>
      <x:c r="LIX61" s="291"/>
      <x:c r="LIY61" s="291"/>
      <x:c r="LIZ61" s="291"/>
      <x:c r="LJA61" s="291"/>
      <x:c r="LJB61" s="291"/>
      <x:c r="LJC61" s="291"/>
      <x:c r="LJD61" s="291"/>
      <x:c r="LJE61" s="291"/>
      <x:c r="LJF61" s="291"/>
      <x:c r="LJG61" s="291"/>
      <x:c r="LJH61" s="291"/>
      <x:c r="LJI61" s="291"/>
      <x:c r="LJJ61" s="291"/>
      <x:c r="LJK61" s="291"/>
      <x:c r="LJL61" s="291"/>
      <x:c r="LJM61" s="291"/>
      <x:c r="LJN61" s="291"/>
      <x:c r="LJO61" s="291"/>
      <x:c r="LJP61" s="291"/>
      <x:c r="LJQ61" s="291"/>
      <x:c r="LJR61" s="291"/>
      <x:c r="LJS61" s="291"/>
      <x:c r="LJT61" s="291"/>
      <x:c r="LJU61" s="291"/>
      <x:c r="LJV61" s="291"/>
      <x:c r="LJW61" s="291"/>
      <x:c r="LJX61" s="291"/>
      <x:c r="LJY61" s="291"/>
      <x:c r="LJZ61" s="291"/>
      <x:c r="LKA61" s="291"/>
      <x:c r="LKB61" s="291"/>
      <x:c r="LKC61" s="291"/>
      <x:c r="LKD61" s="291"/>
      <x:c r="LKE61" s="291"/>
      <x:c r="LKF61" s="291"/>
      <x:c r="LKG61" s="291"/>
      <x:c r="LKH61" s="291"/>
      <x:c r="LKI61" s="291"/>
      <x:c r="LKJ61" s="291"/>
      <x:c r="LKK61" s="291"/>
      <x:c r="LKL61" s="291"/>
      <x:c r="LKM61" s="291"/>
      <x:c r="LKN61" s="291"/>
      <x:c r="LKO61" s="291"/>
      <x:c r="LKP61" s="291"/>
      <x:c r="LKQ61" s="291"/>
      <x:c r="LKR61" s="291"/>
      <x:c r="LKS61" s="291"/>
      <x:c r="LKT61" s="291"/>
      <x:c r="LKU61" s="291"/>
      <x:c r="LKV61" s="291"/>
      <x:c r="LKW61" s="291"/>
      <x:c r="LKX61" s="291"/>
      <x:c r="LKY61" s="291"/>
      <x:c r="LKZ61" s="291"/>
      <x:c r="LLA61" s="291"/>
      <x:c r="LLB61" s="291"/>
      <x:c r="LLC61" s="291"/>
      <x:c r="LLD61" s="291"/>
      <x:c r="LLE61" s="291"/>
      <x:c r="LLF61" s="291"/>
      <x:c r="LLG61" s="291"/>
      <x:c r="LLH61" s="291"/>
      <x:c r="LLI61" s="291"/>
      <x:c r="LLJ61" s="291"/>
      <x:c r="LLK61" s="291"/>
      <x:c r="LLL61" s="291"/>
      <x:c r="LLM61" s="291"/>
      <x:c r="LLN61" s="291"/>
      <x:c r="LLO61" s="291"/>
      <x:c r="LLP61" s="291"/>
      <x:c r="LLQ61" s="291"/>
      <x:c r="LLR61" s="291"/>
      <x:c r="LLS61" s="291"/>
      <x:c r="LLT61" s="291"/>
      <x:c r="LLU61" s="291"/>
      <x:c r="LLV61" s="291"/>
      <x:c r="LLW61" s="291"/>
      <x:c r="LLX61" s="291"/>
      <x:c r="LLY61" s="291"/>
      <x:c r="LLZ61" s="291"/>
      <x:c r="LMA61" s="291"/>
      <x:c r="LMB61" s="291"/>
      <x:c r="LMC61" s="291"/>
      <x:c r="LMD61" s="291"/>
      <x:c r="LME61" s="291"/>
      <x:c r="LMF61" s="291"/>
      <x:c r="LMG61" s="291"/>
      <x:c r="LMH61" s="291"/>
      <x:c r="LMI61" s="291"/>
      <x:c r="LMJ61" s="291"/>
      <x:c r="LMK61" s="291"/>
      <x:c r="LML61" s="291"/>
      <x:c r="LMM61" s="291"/>
      <x:c r="LMN61" s="291"/>
      <x:c r="LMO61" s="291"/>
      <x:c r="LMP61" s="291"/>
      <x:c r="LMQ61" s="291"/>
      <x:c r="LMR61" s="291"/>
      <x:c r="LMS61" s="291"/>
      <x:c r="LMT61" s="291"/>
      <x:c r="LMU61" s="291"/>
      <x:c r="LMV61" s="291"/>
      <x:c r="LMW61" s="291"/>
      <x:c r="LMX61" s="291"/>
      <x:c r="LMY61" s="291"/>
      <x:c r="LMZ61" s="291"/>
      <x:c r="LNA61" s="291"/>
      <x:c r="LNB61" s="291"/>
      <x:c r="LNC61" s="291"/>
      <x:c r="LND61" s="291"/>
      <x:c r="LNE61" s="291"/>
      <x:c r="LNF61" s="291"/>
      <x:c r="LNG61" s="291"/>
      <x:c r="LNH61" s="291"/>
      <x:c r="LNI61" s="291"/>
      <x:c r="LNJ61" s="291"/>
      <x:c r="LNK61" s="291"/>
      <x:c r="LNL61" s="291"/>
      <x:c r="LNM61" s="291"/>
      <x:c r="LNN61" s="291"/>
      <x:c r="LNO61" s="291"/>
      <x:c r="LNP61" s="291"/>
      <x:c r="LNQ61" s="291"/>
      <x:c r="LNR61" s="291"/>
      <x:c r="LNS61" s="291"/>
      <x:c r="LNT61" s="291"/>
      <x:c r="LNU61" s="291"/>
      <x:c r="LNV61" s="291"/>
      <x:c r="LNW61" s="291"/>
      <x:c r="LNX61" s="291"/>
      <x:c r="LNY61" s="291"/>
      <x:c r="LNZ61" s="291"/>
      <x:c r="LOA61" s="291"/>
      <x:c r="LOB61" s="291"/>
      <x:c r="LOC61" s="291"/>
      <x:c r="LOD61" s="291"/>
      <x:c r="LOE61" s="291"/>
      <x:c r="LOF61" s="291"/>
      <x:c r="LOG61" s="291"/>
      <x:c r="LOH61" s="291"/>
      <x:c r="LOI61" s="291"/>
      <x:c r="LOJ61" s="291"/>
      <x:c r="LOK61" s="291"/>
      <x:c r="LOL61" s="291"/>
      <x:c r="LOM61" s="291"/>
      <x:c r="LON61" s="291"/>
      <x:c r="LOO61" s="291"/>
      <x:c r="LOP61" s="291"/>
      <x:c r="LOQ61" s="291"/>
      <x:c r="LOR61" s="291"/>
      <x:c r="LOS61" s="291"/>
      <x:c r="LOT61" s="291"/>
      <x:c r="LOU61" s="291"/>
      <x:c r="LOV61" s="291"/>
      <x:c r="LOW61" s="291"/>
      <x:c r="LOX61" s="291"/>
      <x:c r="LOY61" s="291"/>
      <x:c r="LOZ61" s="291"/>
      <x:c r="LPA61" s="291"/>
      <x:c r="LPB61" s="291"/>
      <x:c r="LPC61" s="291"/>
      <x:c r="LPD61" s="291"/>
      <x:c r="LPE61" s="291"/>
      <x:c r="LPF61" s="291"/>
      <x:c r="LPG61" s="291"/>
      <x:c r="LPH61" s="291"/>
      <x:c r="LPI61" s="291"/>
      <x:c r="LPJ61" s="291"/>
      <x:c r="LPK61" s="291"/>
      <x:c r="LPL61" s="291"/>
      <x:c r="LPM61" s="291"/>
      <x:c r="LPN61" s="291"/>
      <x:c r="LPO61" s="291"/>
      <x:c r="LPP61" s="291"/>
      <x:c r="LPQ61" s="291"/>
      <x:c r="LPR61" s="291"/>
      <x:c r="LPS61" s="291"/>
      <x:c r="LPT61" s="291"/>
      <x:c r="LPU61" s="291"/>
      <x:c r="LPV61" s="291"/>
      <x:c r="LPW61" s="291"/>
      <x:c r="LPX61" s="291"/>
      <x:c r="LPY61" s="291"/>
      <x:c r="LPZ61" s="291"/>
      <x:c r="LQA61" s="291"/>
      <x:c r="LQB61" s="291"/>
      <x:c r="LQC61" s="291"/>
      <x:c r="LQD61" s="291"/>
      <x:c r="LQE61" s="291"/>
      <x:c r="LQF61" s="291"/>
      <x:c r="LQG61" s="291"/>
      <x:c r="LQH61" s="291"/>
      <x:c r="LQI61" s="291"/>
      <x:c r="LQJ61" s="291"/>
      <x:c r="LQK61" s="291"/>
      <x:c r="LQL61" s="291"/>
      <x:c r="LQM61" s="291"/>
      <x:c r="LQN61" s="291"/>
      <x:c r="LQO61" s="291"/>
      <x:c r="LQP61" s="291"/>
      <x:c r="LQQ61" s="291"/>
      <x:c r="LQR61" s="291"/>
      <x:c r="LQS61" s="291"/>
      <x:c r="LQT61" s="291"/>
      <x:c r="LQU61" s="291"/>
      <x:c r="LQV61" s="291"/>
      <x:c r="LQW61" s="291"/>
      <x:c r="LQX61" s="291"/>
      <x:c r="LQY61" s="291"/>
      <x:c r="LQZ61" s="291"/>
      <x:c r="LRA61" s="291"/>
      <x:c r="LRB61" s="291"/>
      <x:c r="LRC61" s="291"/>
      <x:c r="LRD61" s="291"/>
      <x:c r="LRE61" s="291"/>
      <x:c r="LRF61" s="291"/>
      <x:c r="LRG61" s="291"/>
      <x:c r="LRH61" s="291"/>
      <x:c r="LRI61" s="291"/>
      <x:c r="LRJ61" s="291"/>
      <x:c r="LRK61" s="291"/>
      <x:c r="LRL61" s="291"/>
      <x:c r="LRM61" s="291"/>
      <x:c r="LRN61" s="291"/>
      <x:c r="LRO61" s="291"/>
      <x:c r="LRP61" s="291"/>
      <x:c r="LRQ61" s="291"/>
      <x:c r="LRR61" s="291"/>
      <x:c r="LRS61" s="291"/>
      <x:c r="LRT61" s="291"/>
      <x:c r="LRU61" s="291"/>
      <x:c r="LRV61" s="291"/>
      <x:c r="LRW61" s="291"/>
      <x:c r="LRX61" s="291"/>
      <x:c r="LRY61" s="291"/>
      <x:c r="LRZ61" s="291"/>
      <x:c r="LSA61" s="291"/>
      <x:c r="LSB61" s="291"/>
      <x:c r="LSC61" s="291"/>
      <x:c r="LSD61" s="291"/>
      <x:c r="LSE61" s="291"/>
      <x:c r="LSF61" s="291"/>
      <x:c r="LSG61" s="291"/>
      <x:c r="LSH61" s="291"/>
      <x:c r="LSI61" s="291"/>
      <x:c r="LSJ61" s="291"/>
      <x:c r="LSK61" s="291"/>
      <x:c r="LSL61" s="291"/>
      <x:c r="LSM61" s="291"/>
      <x:c r="LSN61" s="291"/>
      <x:c r="LSO61" s="291"/>
      <x:c r="LSP61" s="291"/>
      <x:c r="LSQ61" s="291"/>
      <x:c r="LSR61" s="291"/>
      <x:c r="LSS61" s="291"/>
      <x:c r="LST61" s="291"/>
      <x:c r="LSU61" s="291"/>
      <x:c r="LSV61" s="291"/>
      <x:c r="LSW61" s="291"/>
      <x:c r="LSX61" s="291"/>
      <x:c r="LSY61" s="291"/>
      <x:c r="LSZ61" s="291"/>
      <x:c r="LTA61" s="291"/>
      <x:c r="LTB61" s="291"/>
      <x:c r="LTC61" s="291"/>
      <x:c r="LTD61" s="291"/>
      <x:c r="LTE61" s="291"/>
      <x:c r="LTF61" s="291"/>
      <x:c r="LTG61" s="291"/>
      <x:c r="LTH61" s="291"/>
      <x:c r="LTI61" s="291"/>
      <x:c r="LTJ61" s="291"/>
      <x:c r="LTK61" s="291"/>
      <x:c r="LTL61" s="291"/>
      <x:c r="LTM61" s="291"/>
      <x:c r="LTN61" s="291"/>
      <x:c r="LTO61" s="291"/>
      <x:c r="LTP61" s="291"/>
      <x:c r="LTQ61" s="291"/>
      <x:c r="LTR61" s="291"/>
      <x:c r="LTS61" s="291"/>
      <x:c r="LTT61" s="291"/>
      <x:c r="LTU61" s="291"/>
      <x:c r="LTV61" s="291"/>
      <x:c r="LTW61" s="291"/>
      <x:c r="LTX61" s="291"/>
      <x:c r="LTY61" s="291"/>
      <x:c r="LTZ61" s="291"/>
      <x:c r="LUA61" s="291"/>
      <x:c r="LUB61" s="291"/>
      <x:c r="LUC61" s="291"/>
      <x:c r="LUD61" s="291"/>
      <x:c r="LUE61" s="291"/>
      <x:c r="LUF61" s="291"/>
      <x:c r="LUG61" s="291"/>
      <x:c r="LUH61" s="291"/>
      <x:c r="LUI61" s="291"/>
      <x:c r="LUJ61" s="291"/>
      <x:c r="LUK61" s="291"/>
      <x:c r="LUL61" s="291"/>
      <x:c r="LUM61" s="291"/>
      <x:c r="LUN61" s="291"/>
      <x:c r="LUO61" s="291"/>
      <x:c r="LUP61" s="291"/>
      <x:c r="LUQ61" s="291"/>
      <x:c r="LUR61" s="291"/>
      <x:c r="LUS61" s="291"/>
      <x:c r="LUT61" s="291"/>
      <x:c r="LUU61" s="291"/>
      <x:c r="LUV61" s="291"/>
      <x:c r="LUW61" s="291"/>
      <x:c r="LUX61" s="291"/>
      <x:c r="LUY61" s="291"/>
      <x:c r="LUZ61" s="291"/>
      <x:c r="LVA61" s="291"/>
      <x:c r="LVB61" s="291"/>
      <x:c r="LVC61" s="291"/>
      <x:c r="LVD61" s="291"/>
      <x:c r="LVE61" s="291"/>
      <x:c r="LVF61" s="291"/>
      <x:c r="LVG61" s="291"/>
      <x:c r="LVH61" s="291"/>
      <x:c r="LVI61" s="291"/>
      <x:c r="LVJ61" s="291"/>
      <x:c r="LVK61" s="291"/>
      <x:c r="LVL61" s="291"/>
      <x:c r="LVM61" s="291"/>
      <x:c r="LVN61" s="291"/>
      <x:c r="LVO61" s="291"/>
      <x:c r="LVP61" s="291"/>
      <x:c r="LVQ61" s="291"/>
      <x:c r="LVR61" s="291"/>
      <x:c r="LVS61" s="291"/>
      <x:c r="LVT61" s="291"/>
      <x:c r="LVU61" s="291"/>
      <x:c r="LVV61" s="291"/>
      <x:c r="LVW61" s="291"/>
      <x:c r="LVX61" s="291"/>
      <x:c r="LVY61" s="291"/>
      <x:c r="LVZ61" s="291"/>
      <x:c r="LWA61" s="291"/>
      <x:c r="LWB61" s="291"/>
      <x:c r="LWC61" s="291"/>
      <x:c r="LWD61" s="291"/>
      <x:c r="LWE61" s="291"/>
      <x:c r="LWF61" s="291"/>
      <x:c r="LWG61" s="291"/>
      <x:c r="LWH61" s="291"/>
      <x:c r="LWI61" s="291"/>
      <x:c r="LWJ61" s="291"/>
      <x:c r="LWK61" s="291"/>
      <x:c r="LWL61" s="291"/>
      <x:c r="LWM61" s="291"/>
      <x:c r="LWN61" s="291"/>
      <x:c r="LWO61" s="291"/>
      <x:c r="LWP61" s="291"/>
      <x:c r="LWQ61" s="291"/>
      <x:c r="LWR61" s="291"/>
      <x:c r="LWS61" s="291"/>
      <x:c r="LWT61" s="291"/>
      <x:c r="LWU61" s="291"/>
      <x:c r="LWV61" s="291"/>
      <x:c r="LWW61" s="291"/>
      <x:c r="LWX61" s="291"/>
      <x:c r="LWY61" s="291"/>
      <x:c r="LWZ61" s="291"/>
      <x:c r="LXA61" s="291"/>
      <x:c r="LXB61" s="291"/>
      <x:c r="LXC61" s="291"/>
      <x:c r="LXD61" s="291"/>
      <x:c r="LXE61" s="291"/>
      <x:c r="LXF61" s="291"/>
      <x:c r="LXG61" s="291"/>
      <x:c r="LXH61" s="291"/>
      <x:c r="LXI61" s="291"/>
      <x:c r="LXJ61" s="291"/>
      <x:c r="LXK61" s="291"/>
      <x:c r="LXL61" s="291"/>
      <x:c r="LXM61" s="291"/>
      <x:c r="LXN61" s="291"/>
      <x:c r="LXO61" s="291"/>
      <x:c r="LXP61" s="291"/>
      <x:c r="LXQ61" s="291"/>
      <x:c r="LXR61" s="291"/>
      <x:c r="LXS61" s="291"/>
      <x:c r="LXT61" s="291"/>
      <x:c r="LXU61" s="291"/>
      <x:c r="LXV61" s="291"/>
      <x:c r="LXW61" s="291"/>
      <x:c r="LXX61" s="291"/>
      <x:c r="LXY61" s="291"/>
      <x:c r="LXZ61" s="291"/>
      <x:c r="LYA61" s="291"/>
      <x:c r="LYB61" s="291"/>
      <x:c r="LYC61" s="291"/>
      <x:c r="LYD61" s="291"/>
      <x:c r="LYE61" s="291"/>
      <x:c r="LYF61" s="291"/>
      <x:c r="LYG61" s="291"/>
      <x:c r="LYH61" s="291"/>
      <x:c r="LYI61" s="291"/>
      <x:c r="LYJ61" s="291"/>
      <x:c r="LYK61" s="291"/>
      <x:c r="LYL61" s="291"/>
      <x:c r="LYM61" s="291"/>
      <x:c r="LYN61" s="291"/>
      <x:c r="LYO61" s="291"/>
      <x:c r="LYP61" s="291"/>
      <x:c r="LYQ61" s="291"/>
      <x:c r="LYR61" s="291"/>
      <x:c r="LYS61" s="291"/>
      <x:c r="LYT61" s="291"/>
      <x:c r="LYU61" s="291"/>
      <x:c r="LYV61" s="291"/>
      <x:c r="LYW61" s="291"/>
      <x:c r="LYX61" s="291"/>
      <x:c r="LYY61" s="291"/>
      <x:c r="LYZ61" s="291"/>
      <x:c r="LZA61" s="291"/>
      <x:c r="LZB61" s="291"/>
      <x:c r="LZC61" s="291"/>
      <x:c r="LZD61" s="291"/>
      <x:c r="LZE61" s="291"/>
      <x:c r="LZF61" s="291"/>
      <x:c r="LZG61" s="291"/>
      <x:c r="LZH61" s="291"/>
      <x:c r="LZI61" s="291"/>
      <x:c r="LZJ61" s="291"/>
      <x:c r="LZK61" s="291"/>
      <x:c r="LZL61" s="291"/>
      <x:c r="LZM61" s="291"/>
      <x:c r="LZN61" s="291"/>
      <x:c r="LZO61" s="291"/>
      <x:c r="LZP61" s="291"/>
      <x:c r="LZQ61" s="291"/>
      <x:c r="LZR61" s="291"/>
      <x:c r="LZS61" s="291"/>
      <x:c r="LZT61" s="291"/>
      <x:c r="LZU61" s="291"/>
      <x:c r="LZV61" s="291"/>
      <x:c r="LZW61" s="291"/>
      <x:c r="LZX61" s="291"/>
      <x:c r="LZY61" s="291"/>
      <x:c r="LZZ61" s="291"/>
      <x:c r="MAA61" s="291"/>
      <x:c r="MAB61" s="291"/>
      <x:c r="MAC61" s="291"/>
      <x:c r="MAD61" s="291"/>
      <x:c r="MAE61" s="291"/>
      <x:c r="MAF61" s="291"/>
      <x:c r="MAG61" s="291"/>
      <x:c r="MAH61" s="291"/>
      <x:c r="MAI61" s="291"/>
      <x:c r="MAJ61" s="291"/>
      <x:c r="MAK61" s="291"/>
      <x:c r="MAL61" s="291"/>
      <x:c r="MAM61" s="291"/>
      <x:c r="MAN61" s="291"/>
      <x:c r="MAO61" s="291"/>
      <x:c r="MAP61" s="291"/>
      <x:c r="MAQ61" s="291"/>
      <x:c r="MAR61" s="291"/>
      <x:c r="MAS61" s="291"/>
      <x:c r="MAT61" s="291"/>
      <x:c r="MAU61" s="291"/>
      <x:c r="MAV61" s="291"/>
      <x:c r="MAW61" s="291"/>
      <x:c r="MAX61" s="291"/>
      <x:c r="MAY61" s="291"/>
      <x:c r="MAZ61" s="291"/>
      <x:c r="MBA61" s="291"/>
      <x:c r="MBB61" s="291"/>
      <x:c r="MBC61" s="291"/>
      <x:c r="MBD61" s="291"/>
      <x:c r="MBE61" s="291"/>
      <x:c r="MBF61" s="291"/>
      <x:c r="MBG61" s="291"/>
      <x:c r="MBH61" s="291"/>
      <x:c r="MBI61" s="291"/>
      <x:c r="MBJ61" s="291"/>
      <x:c r="MBK61" s="291"/>
      <x:c r="MBL61" s="291"/>
      <x:c r="MBM61" s="291"/>
      <x:c r="MBN61" s="291"/>
      <x:c r="MBO61" s="291"/>
      <x:c r="MBP61" s="291"/>
      <x:c r="MBQ61" s="291"/>
      <x:c r="MBR61" s="291"/>
      <x:c r="MBS61" s="291"/>
      <x:c r="MBT61" s="291"/>
      <x:c r="MBU61" s="291"/>
      <x:c r="MBV61" s="291"/>
      <x:c r="MBW61" s="291"/>
      <x:c r="MBX61" s="291"/>
      <x:c r="MBY61" s="291"/>
      <x:c r="MBZ61" s="291"/>
      <x:c r="MCA61" s="291"/>
      <x:c r="MCB61" s="291"/>
      <x:c r="MCC61" s="291"/>
      <x:c r="MCD61" s="291"/>
      <x:c r="MCE61" s="291"/>
      <x:c r="MCF61" s="291"/>
      <x:c r="MCG61" s="291"/>
      <x:c r="MCH61" s="291"/>
      <x:c r="MCI61" s="291"/>
      <x:c r="MCJ61" s="291"/>
      <x:c r="MCK61" s="291"/>
      <x:c r="MCL61" s="291"/>
      <x:c r="MCM61" s="291"/>
      <x:c r="MCN61" s="291"/>
      <x:c r="MCO61" s="291"/>
      <x:c r="MCP61" s="291"/>
      <x:c r="MCQ61" s="291"/>
      <x:c r="MCR61" s="291"/>
      <x:c r="MCS61" s="291"/>
      <x:c r="MCT61" s="291"/>
      <x:c r="MCU61" s="291"/>
      <x:c r="MCV61" s="291"/>
      <x:c r="MCW61" s="291"/>
      <x:c r="MCX61" s="291"/>
      <x:c r="MCY61" s="291"/>
      <x:c r="MCZ61" s="291"/>
      <x:c r="MDA61" s="291"/>
      <x:c r="MDB61" s="291"/>
      <x:c r="MDC61" s="291"/>
      <x:c r="MDD61" s="291"/>
      <x:c r="MDE61" s="291"/>
      <x:c r="MDF61" s="291"/>
      <x:c r="MDG61" s="291"/>
      <x:c r="MDH61" s="291"/>
      <x:c r="MDI61" s="291"/>
      <x:c r="MDJ61" s="291"/>
      <x:c r="MDK61" s="291"/>
      <x:c r="MDL61" s="291"/>
      <x:c r="MDM61" s="291"/>
      <x:c r="MDN61" s="291"/>
      <x:c r="MDO61" s="291"/>
      <x:c r="MDP61" s="291"/>
      <x:c r="MDQ61" s="291"/>
      <x:c r="MDR61" s="291"/>
      <x:c r="MDS61" s="291"/>
      <x:c r="MDT61" s="291"/>
      <x:c r="MDU61" s="291"/>
      <x:c r="MDV61" s="291"/>
      <x:c r="MDW61" s="291"/>
      <x:c r="MDX61" s="291"/>
      <x:c r="MDY61" s="291"/>
      <x:c r="MDZ61" s="291"/>
      <x:c r="MEA61" s="291"/>
      <x:c r="MEB61" s="291"/>
      <x:c r="MEC61" s="291"/>
      <x:c r="MED61" s="291"/>
      <x:c r="MEE61" s="291"/>
      <x:c r="MEF61" s="291"/>
      <x:c r="MEG61" s="291"/>
      <x:c r="MEH61" s="291"/>
      <x:c r="MEI61" s="291"/>
      <x:c r="MEJ61" s="291"/>
      <x:c r="MEK61" s="291"/>
      <x:c r="MEL61" s="291"/>
      <x:c r="MEM61" s="291"/>
      <x:c r="MEN61" s="291"/>
      <x:c r="MEO61" s="291"/>
      <x:c r="MEP61" s="291"/>
      <x:c r="MEQ61" s="291"/>
      <x:c r="MER61" s="291"/>
      <x:c r="MES61" s="291"/>
      <x:c r="MET61" s="291"/>
      <x:c r="MEU61" s="291"/>
      <x:c r="MEV61" s="291"/>
      <x:c r="MEW61" s="291"/>
      <x:c r="MEX61" s="291"/>
      <x:c r="MEY61" s="291"/>
      <x:c r="MEZ61" s="291"/>
      <x:c r="MFA61" s="291"/>
      <x:c r="MFB61" s="291"/>
      <x:c r="MFC61" s="291"/>
      <x:c r="MFD61" s="291"/>
      <x:c r="MFE61" s="291"/>
      <x:c r="MFF61" s="291"/>
      <x:c r="MFG61" s="291"/>
      <x:c r="MFH61" s="291"/>
      <x:c r="MFI61" s="291"/>
      <x:c r="MFJ61" s="291"/>
      <x:c r="MFK61" s="291"/>
      <x:c r="MFL61" s="291"/>
      <x:c r="MFM61" s="291"/>
      <x:c r="MFN61" s="291"/>
      <x:c r="MFO61" s="291"/>
      <x:c r="MFP61" s="291"/>
      <x:c r="MFQ61" s="291"/>
      <x:c r="MFR61" s="291"/>
      <x:c r="MFS61" s="291"/>
      <x:c r="MFT61" s="291"/>
      <x:c r="MFU61" s="291"/>
      <x:c r="MFV61" s="291"/>
      <x:c r="MFW61" s="291"/>
      <x:c r="MFX61" s="291"/>
      <x:c r="MFY61" s="291"/>
      <x:c r="MFZ61" s="291"/>
      <x:c r="MGA61" s="291"/>
      <x:c r="MGB61" s="291"/>
      <x:c r="MGC61" s="291"/>
      <x:c r="MGD61" s="291"/>
      <x:c r="MGE61" s="291"/>
      <x:c r="MGF61" s="291"/>
      <x:c r="MGG61" s="291"/>
      <x:c r="MGH61" s="291"/>
      <x:c r="MGI61" s="291"/>
      <x:c r="MGJ61" s="291"/>
      <x:c r="MGK61" s="291"/>
      <x:c r="MGL61" s="291"/>
      <x:c r="MGM61" s="291"/>
      <x:c r="MGN61" s="291"/>
      <x:c r="MGO61" s="291"/>
      <x:c r="MGP61" s="291"/>
      <x:c r="MGQ61" s="291"/>
      <x:c r="MGR61" s="291"/>
      <x:c r="MGS61" s="291"/>
      <x:c r="MGT61" s="291"/>
      <x:c r="MGU61" s="291"/>
      <x:c r="MGV61" s="291"/>
      <x:c r="MGW61" s="291"/>
      <x:c r="MGX61" s="291"/>
      <x:c r="MGY61" s="291"/>
      <x:c r="MGZ61" s="291"/>
      <x:c r="MHA61" s="291"/>
      <x:c r="MHB61" s="291"/>
      <x:c r="MHC61" s="291"/>
      <x:c r="MHD61" s="291"/>
      <x:c r="MHE61" s="291"/>
      <x:c r="MHF61" s="291"/>
      <x:c r="MHG61" s="291"/>
      <x:c r="MHH61" s="291"/>
      <x:c r="MHI61" s="291"/>
      <x:c r="MHJ61" s="291"/>
      <x:c r="MHK61" s="291"/>
      <x:c r="MHL61" s="291"/>
      <x:c r="MHM61" s="291"/>
      <x:c r="MHN61" s="291"/>
      <x:c r="MHO61" s="291"/>
      <x:c r="MHP61" s="291"/>
      <x:c r="MHQ61" s="291"/>
      <x:c r="MHR61" s="291"/>
      <x:c r="MHS61" s="291"/>
      <x:c r="MHT61" s="291"/>
      <x:c r="MHU61" s="291"/>
      <x:c r="MHV61" s="291"/>
      <x:c r="MHW61" s="291"/>
      <x:c r="MHX61" s="291"/>
      <x:c r="MHY61" s="291"/>
      <x:c r="MHZ61" s="291"/>
      <x:c r="MIA61" s="291"/>
      <x:c r="MIB61" s="291"/>
      <x:c r="MIC61" s="291"/>
      <x:c r="MID61" s="291"/>
      <x:c r="MIE61" s="291"/>
      <x:c r="MIF61" s="291"/>
      <x:c r="MIG61" s="291"/>
      <x:c r="MIH61" s="291"/>
      <x:c r="MII61" s="291"/>
      <x:c r="MIJ61" s="291"/>
      <x:c r="MIK61" s="291"/>
      <x:c r="MIL61" s="291"/>
      <x:c r="MIM61" s="291"/>
      <x:c r="MIN61" s="291"/>
      <x:c r="MIO61" s="291"/>
      <x:c r="MIP61" s="291"/>
      <x:c r="MIQ61" s="291"/>
      <x:c r="MIR61" s="291"/>
      <x:c r="MIS61" s="291"/>
      <x:c r="MIT61" s="291"/>
      <x:c r="MIU61" s="291"/>
      <x:c r="MIV61" s="291"/>
      <x:c r="MIW61" s="291"/>
      <x:c r="MIX61" s="291"/>
      <x:c r="MIY61" s="291"/>
      <x:c r="MIZ61" s="291"/>
      <x:c r="MJA61" s="291"/>
      <x:c r="MJB61" s="291"/>
      <x:c r="MJC61" s="291"/>
      <x:c r="MJD61" s="291"/>
      <x:c r="MJE61" s="291"/>
      <x:c r="MJF61" s="291"/>
      <x:c r="MJG61" s="291"/>
      <x:c r="MJH61" s="291"/>
      <x:c r="MJI61" s="291"/>
      <x:c r="MJJ61" s="291"/>
      <x:c r="MJK61" s="291"/>
      <x:c r="MJL61" s="291"/>
      <x:c r="MJM61" s="291"/>
      <x:c r="MJN61" s="291"/>
      <x:c r="MJO61" s="291"/>
      <x:c r="MJP61" s="291"/>
      <x:c r="MJQ61" s="291"/>
      <x:c r="MJR61" s="291"/>
      <x:c r="MJS61" s="291"/>
      <x:c r="MJT61" s="291"/>
      <x:c r="MJU61" s="291"/>
      <x:c r="MJV61" s="291"/>
      <x:c r="MJW61" s="291"/>
      <x:c r="MJX61" s="291"/>
      <x:c r="MJY61" s="291"/>
      <x:c r="MJZ61" s="291"/>
      <x:c r="MKA61" s="291"/>
      <x:c r="MKB61" s="291"/>
      <x:c r="MKC61" s="291"/>
      <x:c r="MKD61" s="291"/>
      <x:c r="MKE61" s="291"/>
      <x:c r="MKF61" s="291"/>
      <x:c r="MKG61" s="291"/>
      <x:c r="MKH61" s="291"/>
      <x:c r="MKI61" s="291"/>
      <x:c r="MKJ61" s="291"/>
      <x:c r="MKK61" s="291"/>
      <x:c r="MKL61" s="291"/>
      <x:c r="MKM61" s="291"/>
      <x:c r="MKN61" s="291"/>
      <x:c r="MKO61" s="291"/>
      <x:c r="MKP61" s="291"/>
      <x:c r="MKQ61" s="291"/>
      <x:c r="MKR61" s="291"/>
      <x:c r="MKS61" s="291"/>
      <x:c r="MKT61" s="291"/>
      <x:c r="MKU61" s="291"/>
      <x:c r="MKV61" s="291"/>
      <x:c r="MKW61" s="291"/>
      <x:c r="MKX61" s="291"/>
      <x:c r="MKY61" s="291"/>
      <x:c r="MKZ61" s="291"/>
      <x:c r="MLA61" s="291"/>
      <x:c r="MLB61" s="291"/>
      <x:c r="MLC61" s="291"/>
      <x:c r="MLD61" s="291"/>
      <x:c r="MLE61" s="291"/>
      <x:c r="MLF61" s="291"/>
      <x:c r="MLG61" s="291"/>
      <x:c r="MLH61" s="291"/>
      <x:c r="MLI61" s="291"/>
      <x:c r="MLJ61" s="291"/>
      <x:c r="MLK61" s="291"/>
      <x:c r="MLL61" s="291"/>
      <x:c r="MLM61" s="291"/>
      <x:c r="MLN61" s="291"/>
      <x:c r="MLO61" s="291"/>
      <x:c r="MLP61" s="291"/>
      <x:c r="MLQ61" s="291"/>
      <x:c r="MLR61" s="291"/>
      <x:c r="MLS61" s="291"/>
      <x:c r="MLT61" s="291"/>
      <x:c r="MLU61" s="291"/>
      <x:c r="MLV61" s="291"/>
      <x:c r="MLW61" s="291"/>
      <x:c r="MLX61" s="291"/>
      <x:c r="MLY61" s="291"/>
      <x:c r="MLZ61" s="291"/>
      <x:c r="MMA61" s="291"/>
      <x:c r="MMB61" s="291"/>
      <x:c r="MMC61" s="291"/>
      <x:c r="MMD61" s="291"/>
      <x:c r="MME61" s="291"/>
      <x:c r="MMF61" s="291"/>
      <x:c r="MMG61" s="291"/>
      <x:c r="MMH61" s="291"/>
      <x:c r="MMI61" s="291"/>
      <x:c r="MMJ61" s="291"/>
      <x:c r="MMK61" s="291"/>
      <x:c r="MML61" s="291"/>
      <x:c r="MMM61" s="291"/>
      <x:c r="MMN61" s="291"/>
      <x:c r="MMO61" s="291"/>
      <x:c r="MMP61" s="291"/>
      <x:c r="MMQ61" s="291"/>
      <x:c r="MMR61" s="291"/>
      <x:c r="MMS61" s="291"/>
      <x:c r="MMT61" s="291"/>
      <x:c r="MMU61" s="291"/>
      <x:c r="MMV61" s="291"/>
      <x:c r="MMW61" s="291"/>
      <x:c r="MMX61" s="291"/>
      <x:c r="MMY61" s="291"/>
      <x:c r="MMZ61" s="291"/>
      <x:c r="MNA61" s="291"/>
      <x:c r="MNB61" s="291"/>
      <x:c r="MNC61" s="291"/>
      <x:c r="MND61" s="291"/>
      <x:c r="MNE61" s="291"/>
      <x:c r="MNF61" s="291"/>
      <x:c r="MNG61" s="291"/>
      <x:c r="MNH61" s="291"/>
      <x:c r="MNI61" s="291"/>
      <x:c r="MNJ61" s="291"/>
      <x:c r="MNK61" s="291"/>
      <x:c r="MNL61" s="291"/>
      <x:c r="MNM61" s="291"/>
      <x:c r="MNN61" s="291"/>
      <x:c r="MNO61" s="291"/>
      <x:c r="MNP61" s="291"/>
      <x:c r="MNQ61" s="291"/>
      <x:c r="MNR61" s="291"/>
      <x:c r="MNS61" s="291"/>
      <x:c r="MNT61" s="291"/>
      <x:c r="MNU61" s="291"/>
      <x:c r="MNV61" s="291"/>
      <x:c r="MNW61" s="291"/>
      <x:c r="MNX61" s="291"/>
      <x:c r="MNY61" s="291"/>
      <x:c r="MNZ61" s="291"/>
      <x:c r="MOA61" s="291"/>
      <x:c r="MOB61" s="291"/>
      <x:c r="MOC61" s="291"/>
      <x:c r="MOD61" s="291"/>
      <x:c r="MOE61" s="291"/>
      <x:c r="MOF61" s="291"/>
      <x:c r="MOG61" s="291"/>
      <x:c r="MOH61" s="291"/>
      <x:c r="MOI61" s="291"/>
      <x:c r="MOJ61" s="291"/>
      <x:c r="MOK61" s="291"/>
      <x:c r="MOL61" s="291"/>
      <x:c r="MOM61" s="291"/>
      <x:c r="MON61" s="291"/>
      <x:c r="MOO61" s="291"/>
      <x:c r="MOP61" s="291"/>
      <x:c r="MOQ61" s="291"/>
      <x:c r="MOR61" s="291"/>
      <x:c r="MOS61" s="291"/>
      <x:c r="MOT61" s="291"/>
      <x:c r="MOU61" s="291"/>
      <x:c r="MOV61" s="291"/>
      <x:c r="MOW61" s="291"/>
      <x:c r="MOX61" s="291"/>
      <x:c r="MOY61" s="291"/>
      <x:c r="MOZ61" s="291"/>
      <x:c r="MPA61" s="291"/>
      <x:c r="MPB61" s="291"/>
      <x:c r="MPC61" s="291"/>
      <x:c r="MPD61" s="291"/>
      <x:c r="MPE61" s="291"/>
      <x:c r="MPF61" s="291"/>
      <x:c r="MPG61" s="291"/>
      <x:c r="MPH61" s="291"/>
      <x:c r="MPI61" s="291"/>
      <x:c r="MPJ61" s="291"/>
      <x:c r="MPK61" s="291"/>
      <x:c r="MPL61" s="291"/>
      <x:c r="MPM61" s="291"/>
      <x:c r="MPN61" s="291"/>
      <x:c r="MPO61" s="291"/>
      <x:c r="MPP61" s="291"/>
      <x:c r="MPQ61" s="291"/>
      <x:c r="MPR61" s="291"/>
      <x:c r="MPS61" s="291"/>
      <x:c r="MPT61" s="291"/>
      <x:c r="MPU61" s="291"/>
      <x:c r="MPV61" s="291"/>
      <x:c r="MPW61" s="291"/>
      <x:c r="MPX61" s="291"/>
      <x:c r="MPY61" s="291"/>
      <x:c r="MPZ61" s="291"/>
      <x:c r="MQA61" s="291"/>
      <x:c r="MQB61" s="291"/>
      <x:c r="MQC61" s="291"/>
      <x:c r="MQD61" s="291"/>
      <x:c r="MQE61" s="291"/>
      <x:c r="MQF61" s="291"/>
      <x:c r="MQG61" s="291"/>
      <x:c r="MQH61" s="291"/>
      <x:c r="MQI61" s="291"/>
      <x:c r="MQJ61" s="291"/>
      <x:c r="MQK61" s="291"/>
      <x:c r="MQL61" s="291"/>
      <x:c r="MQM61" s="291"/>
      <x:c r="MQN61" s="291"/>
      <x:c r="MQO61" s="291"/>
      <x:c r="MQP61" s="291"/>
      <x:c r="MQQ61" s="291"/>
      <x:c r="MQR61" s="291"/>
      <x:c r="MQS61" s="291"/>
      <x:c r="MQT61" s="291"/>
      <x:c r="MQU61" s="291"/>
      <x:c r="MQV61" s="291"/>
      <x:c r="MQW61" s="291"/>
      <x:c r="MQX61" s="291"/>
      <x:c r="MQY61" s="291"/>
      <x:c r="MQZ61" s="291"/>
      <x:c r="MRA61" s="291"/>
      <x:c r="MRB61" s="291"/>
      <x:c r="MRC61" s="291"/>
      <x:c r="MRD61" s="291"/>
      <x:c r="MRE61" s="291"/>
      <x:c r="MRF61" s="291"/>
      <x:c r="MRG61" s="291"/>
      <x:c r="MRH61" s="291"/>
      <x:c r="MRI61" s="291"/>
      <x:c r="MRJ61" s="291"/>
      <x:c r="MRK61" s="291"/>
      <x:c r="MRL61" s="291"/>
      <x:c r="MRM61" s="291"/>
      <x:c r="MRN61" s="291"/>
      <x:c r="MRO61" s="291"/>
      <x:c r="MRP61" s="291"/>
      <x:c r="MRQ61" s="291"/>
      <x:c r="MRR61" s="291"/>
      <x:c r="MRS61" s="291"/>
      <x:c r="MRT61" s="291"/>
      <x:c r="MRU61" s="291"/>
      <x:c r="MRV61" s="291"/>
      <x:c r="MRW61" s="291"/>
      <x:c r="MRX61" s="291"/>
      <x:c r="MRY61" s="291"/>
      <x:c r="MRZ61" s="291"/>
      <x:c r="MSA61" s="291"/>
      <x:c r="MSB61" s="291"/>
      <x:c r="MSC61" s="291"/>
      <x:c r="MSD61" s="291"/>
      <x:c r="MSE61" s="291"/>
      <x:c r="MSF61" s="291"/>
      <x:c r="MSG61" s="291"/>
      <x:c r="MSH61" s="291"/>
      <x:c r="MSI61" s="291"/>
      <x:c r="MSJ61" s="291"/>
      <x:c r="MSK61" s="291"/>
      <x:c r="MSL61" s="291"/>
      <x:c r="MSM61" s="291"/>
      <x:c r="MSN61" s="291"/>
      <x:c r="MSO61" s="291"/>
      <x:c r="MSP61" s="291"/>
      <x:c r="MSQ61" s="291"/>
      <x:c r="MSR61" s="291"/>
      <x:c r="MSS61" s="291"/>
      <x:c r="MST61" s="291"/>
      <x:c r="MSU61" s="291"/>
      <x:c r="MSV61" s="291"/>
      <x:c r="MSW61" s="291"/>
      <x:c r="MSX61" s="291"/>
      <x:c r="MSY61" s="291"/>
      <x:c r="MSZ61" s="291"/>
      <x:c r="MTA61" s="291"/>
      <x:c r="MTB61" s="291"/>
      <x:c r="MTC61" s="291"/>
      <x:c r="MTD61" s="291"/>
      <x:c r="MTE61" s="291"/>
      <x:c r="MTF61" s="291"/>
      <x:c r="MTG61" s="291"/>
      <x:c r="MTH61" s="291"/>
      <x:c r="MTI61" s="291"/>
      <x:c r="MTJ61" s="291"/>
      <x:c r="MTK61" s="291"/>
      <x:c r="MTL61" s="291"/>
      <x:c r="MTM61" s="291"/>
      <x:c r="MTN61" s="291"/>
      <x:c r="MTO61" s="291"/>
      <x:c r="MTP61" s="291"/>
      <x:c r="MTQ61" s="291"/>
      <x:c r="MTR61" s="291"/>
      <x:c r="MTS61" s="291"/>
      <x:c r="MTT61" s="291"/>
      <x:c r="MTU61" s="291"/>
      <x:c r="MTV61" s="291"/>
      <x:c r="MTW61" s="291"/>
      <x:c r="MTX61" s="291"/>
      <x:c r="MTY61" s="291"/>
      <x:c r="MTZ61" s="291"/>
      <x:c r="MUA61" s="291"/>
      <x:c r="MUB61" s="291"/>
      <x:c r="MUC61" s="291"/>
      <x:c r="MUD61" s="291"/>
      <x:c r="MUE61" s="291"/>
      <x:c r="MUF61" s="291"/>
      <x:c r="MUG61" s="291"/>
      <x:c r="MUH61" s="291"/>
      <x:c r="MUI61" s="291"/>
      <x:c r="MUJ61" s="291"/>
      <x:c r="MUK61" s="291"/>
      <x:c r="MUL61" s="291"/>
      <x:c r="MUM61" s="291"/>
      <x:c r="MUN61" s="291"/>
      <x:c r="MUO61" s="291"/>
      <x:c r="MUP61" s="291"/>
      <x:c r="MUQ61" s="291"/>
      <x:c r="MUR61" s="291"/>
      <x:c r="MUS61" s="291"/>
      <x:c r="MUT61" s="291"/>
      <x:c r="MUU61" s="291"/>
      <x:c r="MUV61" s="291"/>
      <x:c r="MUW61" s="291"/>
      <x:c r="MUX61" s="291"/>
      <x:c r="MUY61" s="291"/>
      <x:c r="MUZ61" s="291"/>
      <x:c r="MVA61" s="291"/>
      <x:c r="MVB61" s="291"/>
      <x:c r="MVC61" s="291"/>
      <x:c r="MVD61" s="291"/>
      <x:c r="MVE61" s="291"/>
      <x:c r="MVF61" s="291"/>
      <x:c r="MVG61" s="291"/>
      <x:c r="MVH61" s="291"/>
      <x:c r="MVI61" s="291"/>
      <x:c r="MVJ61" s="291"/>
      <x:c r="MVK61" s="291"/>
      <x:c r="MVL61" s="291"/>
      <x:c r="MVM61" s="291"/>
      <x:c r="MVN61" s="291"/>
      <x:c r="MVO61" s="291"/>
      <x:c r="MVP61" s="291"/>
      <x:c r="MVQ61" s="291"/>
      <x:c r="MVR61" s="291"/>
      <x:c r="MVS61" s="291"/>
      <x:c r="MVT61" s="291"/>
      <x:c r="MVU61" s="291"/>
      <x:c r="MVV61" s="291"/>
      <x:c r="MVW61" s="291"/>
      <x:c r="MVX61" s="291"/>
      <x:c r="MVY61" s="291"/>
      <x:c r="MVZ61" s="291"/>
      <x:c r="MWA61" s="291"/>
      <x:c r="MWB61" s="291"/>
      <x:c r="MWC61" s="291"/>
      <x:c r="MWD61" s="291"/>
      <x:c r="MWE61" s="291"/>
      <x:c r="MWF61" s="291"/>
      <x:c r="MWG61" s="291"/>
      <x:c r="MWH61" s="291"/>
      <x:c r="MWI61" s="291"/>
      <x:c r="MWJ61" s="291"/>
      <x:c r="MWK61" s="291"/>
      <x:c r="MWL61" s="291"/>
      <x:c r="MWM61" s="291"/>
      <x:c r="MWN61" s="291"/>
      <x:c r="MWO61" s="291"/>
      <x:c r="MWP61" s="291"/>
      <x:c r="MWQ61" s="291"/>
      <x:c r="MWR61" s="291"/>
      <x:c r="MWS61" s="291"/>
      <x:c r="MWT61" s="291"/>
      <x:c r="MWU61" s="291"/>
      <x:c r="MWV61" s="291"/>
      <x:c r="MWW61" s="291"/>
      <x:c r="MWX61" s="291"/>
      <x:c r="MWY61" s="291"/>
      <x:c r="MWZ61" s="291"/>
      <x:c r="MXA61" s="291"/>
      <x:c r="MXB61" s="291"/>
      <x:c r="MXC61" s="291"/>
      <x:c r="MXD61" s="291"/>
      <x:c r="MXE61" s="291"/>
      <x:c r="MXF61" s="291"/>
      <x:c r="MXG61" s="291"/>
      <x:c r="MXH61" s="291"/>
      <x:c r="MXI61" s="291"/>
      <x:c r="MXJ61" s="291"/>
      <x:c r="MXK61" s="291"/>
      <x:c r="MXL61" s="291"/>
      <x:c r="MXM61" s="291"/>
      <x:c r="MXN61" s="291"/>
      <x:c r="MXO61" s="291"/>
      <x:c r="MXP61" s="291"/>
      <x:c r="MXQ61" s="291"/>
      <x:c r="MXR61" s="291"/>
      <x:c r="MXS61" s="291"/>
      <x:c r="MXT61" s="291"/>
      <x:c r="MXU61" s="291"/>
      <x:c r="MXV61" s="291"/>
      <x:c r="MXW61" s="291"/>
      <x:c r="MXX61" s="291"/>
      <x:c r="MXY61" s="291"/>
      <x:c r="MXZ61" s="291"/>
      <x:c r="MYA61" s="291"/>
      <x:c r="MYB61" s="291"/>
      <x:c r="MYC61" s="291"/>
      <x:c r="MYD61" s="291"/>
      <x:c r="MYE61" s="291"/>
      <x:c r="MYF61" s="291"/>
      <x:c r="MYG61" s="291"/>
      <x:c r="MYH61" s="291"/>
      <x:c r="MYI61" s="291"/>
      <x:c r="MYJ61" s="291"/>
      <x:c r="MYK61" s="291"/>
      <x:c r="MYL61" s="291"/>
      <x:c r="MYM61" s="291"/>
      <x:c r="MYN61" s="291"/>
      <x:c r="MYO61" s="291"/>
      <x:c r="MYP61" s="291"/>
      <x:c r="MYQ61" s="291"/>
      <x:c r="MYR61" s="291"/>
      <x:c r="MYS61" s="291"/>
      <x:c r="MYT61" s="291"/>
      <x:c r="MYU61" s="291"/>
      <x:c r="MYV61" s="291"/>
      <x:c r="MYW61" s="291"/>
      <x:c r="MYX61" s="291"/>
      <x:c r="MYY61" s="291"/>
      <x:c r="MYZ61" s="291"/>
      <x:c r="MZA61" s="291"/>
      <x:c r="MZB61" s="291"/>
      <x:c r="MZC61" s="291"/>
      <x:c r="MZD61" s="291"/>
      <x:c r="MZE61" s="291"/>
      <x:c r="MZF61" s="291"/>
      <x:c r="MZG61" s="291"/>
      <x:c r="MZH61" s="291"/>
      <x:c r="MZI61" s="291"/>
      <x:c r="MZJ61" s="291"/>
      <x:c r="MZK61" s="291"/>
      <x:c r="MZL61" s="291"/>
      <x:c r="MZM61" s="291"/>
      <x:c r="MZN61" s="291"/>
      <x:c r="MZO61" s="291"/>
      <x:c r="MZP61" s="291"/>
      <x:c r="MZQ61" s="291"/>
      <x:c r="MZR61" s="291"/>
      <x:c r="MZS61" s="291"/>
      <x:c r="MZT61" s="291"/>
      <x:c r="MZU61" s="291"/>
      <x:c r="MZV61" s="291"/>
      <x:c r="MZW61" s="291"/>
      <x:c r="MZX61" s="291"/>
      <x:c r="MZY61" s="291"/>
      <x:c r="MZZ61" s="291"/>
      <x:c r="NAA61" s="291"/>
      <x:c r="NAB61" s="291"/>
      <x:c r="NAC61" s="291"/>
      <x:c r="NAD61" s="291"/>
      <x:c r="NAE61" s="291"/>
      <x:c r="NAF61" s="291"/>
      <x:c r="NAG61" s="291"/>
      <x:c r="NAH61" s="291"/>
      <x:c r="NAI61" s="291"/>
      <x:c r="NAJ61" s="291"/>
      <x:c r="NAK61" s="291"/>
      <x:c r="NAL61" s="291"/>
      <x:c r="NAM61" s="291"/>
      <x:c r="NAN61" s="291"/>
      <x:c r="NAO61" s="291"/>
      <x:c r="NAP61" s="291"/>
      <x:c r="NAQ61" s="291"/>
      <x:c r="NAR61" s="291"/>
      <x:c r="NAS61" s="291"/>
      <x:c r="NAT61" s="291"/>
      <x:c r="NAU61" s="291"/>
      <x:c r="NAV61" s="291"/>
      <x:c r="NAW61" s="291"/>
      <x:c r="NAX61" s="291"/>
      <x:c r="NAY61" s="291"/>
      <x:c r="NAZ61" s="291"/>
      <x:c r="NBA61" s="291"/>
      <x:c r="NBB61" s="291"/>
      <x:c r="NBC61" s="291"/>
      <x:c r="NBD61" s="291"/>
      <x:c r="NBE61" s="291"/>
      <x:c r="NBF61" s="291"/>
      <x:c r="NBG61" s="291"/>
      <x:c r="NBH61" s="291"/>
      <x:c r="NBI61" s="291"/>
      <x:c r="NBJ61" s="291"/>
      <x:c r="NBK61" s="291"/>
      <x:c r="NBL61" s="291"/>
      <x:c r="NBM61" s="291"/>
      <x:c r="NBN61" s="291"/>
      <x:c r="NBO61" s="291"/>
      <x:c r="NBP61" s="291"/>
      <x:c r="NBQ61" s="291"/>
      <x:c r="NBR61" s="291"/>
      <x:c r="NBS61" s="291"/>
      <x:c r="NBT61" s="291"/>
      <x:c r="NBU61" s="291"/>
      <x:c r="NBV61" s="291"/>
      <x:c r="NBW61" s="291"/>
      <x:c r="NBX61" s="291"/>
      <x:c r="NBY61" s="291"/>
      <x:c r="NBZ61" s="291"/>
      <x:c r="NCA61" s="291"/>
      <x:c r="NCB61" s="291"/>
      <x:c r="NCC61" s="291"/>
      <x:c r="NCD61" s="291"/>
      <x:c r="NCE61" s="291"/>
      <x:c r="NCF61" s="291"/>
      <x:c r="NCG61" s="291"/>
      <x:c r="NCH61" s="291"/>
      <x:c r="NCI61" s="291"/>
      <x:c r="NCJ61" s="291"/>
      <x:c r="NCK61" s="291"/>
      <x:c r="NCL61" s="291"/>
      <x:c r="NCM61" s="291"/>
      <x:c r="NCN61" s="291"/>
      <x:c r="NCO61" s="291"/>
      <x:c r="NCP61" s="291"/>
      <x:c r="NCQ61" s="291"/>
      <x:c r="NCR61" s="291"/>
      <x:c r="NCS61" s="291"/>
      <x:c r="NCT61" s="291"/>
      <x:c r="NCU61" s="291"/>
      <x:c r="NCV61" s="291"/>
      <x:c r="NCW61" s="291"/>
      <x:c r="NCX61" s="291"/>
      <x:c r="NCY61" s="291"/>
      <x:c r="NCZ61" s="291"/>
      <x:c r="NDA61" s="291"/>
      <x:c r="NDB61" s="291"/>
      <x:c r="NDC61" s="291"/>
      <x:c r="NDD61" s="291"/>
      <x:c r="NDE61" s="291"/>
      <x:c r="NDF61" s="291"/>
      <x:c r="NDG61" s="291"/>
      <x:c r="NDH61" s="291"/>
      <x:c r="NDI61" s="291"/>
      <x:c r="NDJ61" s="291"/>
      <x:c r="NDK61" s="291"/>
      <x:c r="NDL61" s="291"/>
      <x:c r="NDM61" s="291"/>
      <x:c r="NDN61" s="291"/>
      <x:c r="NDO61" s="291"/>
      <x:c r="NDP61" s="291"/>
      <x:c r="NDQ61" s="291"/>
      <x:c r="NDR61" s="291"/>
      <x:c r="NDS61" s="291"/>
      <x:c r="NDT61" s="291"/>
      <x:c r="NDU61" s="291"/>
      <x:c r="NDV61" s="291"/>
      <x:c r="NDW61" s="291"/>
      <x:c r="NDX61" s="291"/>
      <x:c r="NDY61" s="291"/>
      <x:c r="NDZ61" s="291"/>
      <x:c r="NEA61" s="291"/>
      <x:c r="NEB61" s="291"/>
      <x:c r="NEC61" s="291"/>
      <x:c r="NED61" s="291"/>
      <x:c r="NEE61" s="291"/>
      <x:c r="NEF61" s="291"/>
      <x:c r="NEG61" s="291"/>
      <x:c r="NEH61" s="291"/>
      <x:c r="NEI61" s="291"/>
      <x:c r="NEJ61" s="291"/>
      <x:c r="NEK61" s="291"/>
      <x:c r="NEL61" s="291"/>
      <x:c r="NEM61" s="291"/>
      <x:c r="NEN61" s="291"/>
      <x:c r="NEO61" s="291"/>
      <x:c r="NEP61" s="291"/>
      <x:c r="NEQ61" s="291"/>
      <x:c r="NER61" s="291"/>
      <x:c r="NES61" s="291"/>
      <x:c r="NET61" s="291"/>
      <x:c r="NEU61" s="291"/>
      <x:c r="NEV61" s="291"/>
      <x:c r="NEW61" s="291"/>
      <x:c r="NEX61" s="291"/>
      <x:c r="NEY61" s="291"/>
      <x:c r="NEZ61" s="291"/>
      <x:c r="NFA61" s="291"/>
      <x:c r="NFB61" s="291"/>
      <x:c r="NFC61" s="291"/>
      <x:c r="NFD61" s="291"/>
      <x:c r="NFE61" s="291"/>
      <x:c r="NFF61" s="291"/>
      <x:c r="NFG61" s="291"/>
      <x:c r="NFH61" s="291"/>
      <x:c r="NFI61" s="291"/>
      <x:c r="NFJ61" s="291"/>
      <x:c r="NFK61" s="291"/>
      <x:c r="NFL61" s="291"/>
      <x:c r="NFM61" s="291"/>
      <x:c r="NFN61" s="291"/>
      <x:c r="NFO61" s="291"/>
      <x:c r="NFP61" s="291"/>
      <x:c r="NFQ61" s="291"/>
      <x:c r="NFR61" s="291"/>
      <x:c r="NFS61" s="291"/>
      <x:c r="NFT61" s="291"/>
      <x:c r="NFU61" s="291"/>
      <x:c r="NFV61" s="291"/>
      <x:c r="NFW61" s="291"/>
      <x:c r="NFX61" s="291"/>
      <x:c r="NFY61" s="291"/>
      <x:c r="NFZ61" s="291"/>
      <x:c r="NGA61" s="291"/>
      <x:c r="NGB61" s="291"/>
      <x:c r="NGC61" s="291"/>
      <x:c r="NGD61" s="291"/>
      <x:c r="NGE61" s="291"/>
      <x:c r="NGF61" s="291"/>
      <x:c r="NGG61" s="291"/>
      <x:c r="NGH61" s="291"/>
      <x:c r="NGI61" s="291"/>
      <x:c r="NGJ61" s="291"/>
      <x:c r="NGK61" s="291"/>
      <x:c r="NGL61" s="291"/>
      <x:c r="NGM61" s="291"/>
      <x:c r="NGN61" s="291"/>
      <x:c r="NGO61" s="291"/>
      <x:c r="NGP61" s="291"/>
      <x:c r="NGQ61" s="291"/>
      <x:c r="NGR61" s="291"/>
      <x:c r="NGS61" s="291"/>
      <x:c r="NGT61" s="291"/>
      <x:c r="NGU61" s="291"/>
      <x:c r="NGV61" s="291"/>
      <x:c r="NGW61" s="291"/>
      <x:c r="NGX61" s="291"/>
      <x:c r="NGY61" s="291"/>
      <x:c r="NGZ61" s="291"/>
      <x:c r="NHA61" s="291"/>
      <x:c r="NHB61" s="291"/>
      <x:c r="NHC61" s="291"/>
      <x:c r="NHD61" s="291"/>
      <x:c r="NHE61" s="291"/>
      <x:c r="NHF61" s="291"/>
      <x:c r="NHG61" s="291"/>
      <x:c r="NHH61" s="291"/>
      <x:c r="NHI61" s="291"/>
      <x:c r="NHJ61" s="291"/>
      <x:c r="NHK61" s="291"/>
      <x:c r="NHL61" s="291"/>
      <x:c r="NHM61" s="291"/>
      <x:c r="NHN61" s="291"/>
      <x:c r="NHO61" s="291"/>
      <x:c r="NHP61" s="291"/>
      <x:c r="NHQ61" s="291"/>
      <x:c r="NHR61" s="291"/>
      <x:c r="NHS61" s="291"/>
      <x:c r="NHT61" s="291"/>
      <x:c r="NHU61" s="291"/>
      <x:c r="NHV61" s="291"/>
      <x:c r="NHW61" s="291"/>
      <x:c r="NHX61" s="291"/>
      <x:c r="NHY61" s="291"/>
      <x:c r="NHZ61" s="291"/>
      <x:c r="NIA61" s="291"/>
      <x:c r="NIB61" s="291"/>
      <x:c r="NIC61" s="291"/>
      <x:c r="NID61" s="291"/>
      <x:c r="NIE61" s="291"/>
      <x:c r="NIF61" s="291"/>
      <x:c r="NIG61" s="291"/>
      <x:c r="NIH61" s="291"/>
      <x:c r="NII61" s="291"/>
      <x:c r="NIJ61" s="291"/>
      <x:c r="NIK61" s="291"/>
      <x:c r="NIL61" s="291"/>
      <x:c r="NIM61" s="291"/>
      <x:c r="NIN61" s="291"/>
      <x:c r="NIO61" s="291"/>
      <x:c r="NIP61" s="291"/>
      <x:c r="NIQ61" s="291"/>
      <x:c r="NIR61" s="291"/>
      <x:c r="NIS61" s="291"/>
      <x:c r="NIT61" s="291"/>
      <x:c r="NIU61" s="291"/>
      <x:c r="NIV61" s="291"/>
      <x:c r="NIW61" s="291"/>
      <x:c r="NIX61" s="291"/>
      <x:c r="NIY61" s="291"/>
      <x:c r="NIZ61" s="291"/>
      <x:c r="NJA61" s="291"/>
      <x:c r="NJB61" s="291"/>
      <x:c r="NJC61" s="291"/>
      <x:c r="NJD61" s="291"/>
      <x:c r="NJE61" s="291"/>
      <x:c r="NJF61" s="291"/>
      <x:c r="NJG61" s="291"/>
      <x:c r="NJH61" s="291"/>
      <x:c r="NJI61" s="291"/>
      <x:c r="NJJ61" s="291"/>
      <x:c r="NJK61" s="291"/>
      <x:c r="NJL61" s="291"/>
      <x:c r="NJM61" s="291"/>
      <x:c r="NJN61" s="291"/>
      <x:c r="NJO61" s="291"/>
      <x:c r="NJP61" s="291"/>
      <x:c r="NJQ61" s="291"/>
      <x:c r="NJR61" s="291"/>
      <x:c r="NJS61" s="291"/>
      <x:c r="NJT61" s="291"/>
      <x:c r="NJU61" s="291"/>
      <x:c r="NJV61" s="291"/>
      <x:c r="NJW61" s="291"/>
      <x:c r="NJX61" s="291"/>
      <x:c r="NJY61" s="291"/>
      <x:c r="NJZ61" s="291"/>
      <x:c r="NKA61" s="291"/>
      <x:c r="NKB61" s="291"/>
      <x:c r="NKC61" s="291"/>
      <x:c r="NKD61" s="291"/>
      <x:c r="NKE61" s="291"/>
      <x:c r="NKF61" s="291"/>
      <x:c r="NKG61" s="291"/>
      <x:c r="NKH61" s="291"/>
      <x:c r="NKI61" s="291"/>
      <x:c r="NKJ61" s="291"/>
      <x:c r="NKK61" s="291"/>
      <x:c r="NKL61" s="291"/>
      <x:c r="NKM61" s="291"/>
      <x:c r="NKN61" s="291"/>
      <x:c r="NKO61" s="291"/>
      <x:c r="NKP61" s="291"/>
      <x:c r="NKQ61" s="291"/>
      <x:c r="NKR61" s="291"/>
      <x:c r="NKS61" s="291"/>
      <x:c r="NKT61" s="291"/>
      <x:c r="NKU61" s="291"/>
      <x:c r="NKV61" s="291"/>
      <x:c r="NKW61" s="291"/>
      <x:c r="NKX61" s="291"/>
      <x:c r="NKY61" s="291"/>
      <x:c r="NKZ61" s="291"/>
      <x:c r="NLA61" s="291"/>
      <x:c r="NLB61" s="291"/>
      <x:c r="NLC61" s="291"/>
      <x:c r="NLD61" s="291"/>
      <x:c r="NLE61" s="291"/>
      <x:c r="NLF61" s="291"/>
      <x:c r="NLG61" s="291"/>
      <x:c r="NLH61" s="291"/>
      <x:c r="NLI61" s="291"/>
      <x:c r="NLJ61" s="291"/>
      <x:c r="NLK61" s="291"/>
      <x:c r="NLL61" s="291"/>
      <x:c r="NLM61" s="291"/>
      <x:c r="NLN61" s="291"/>
      <x:c r="NLO61" s="291"/>
      <x:c r="NLP61" s="291"/>
      <x:c r="NLQ61" s="291"/>
      <x:c r="NLR61" s="291"/>
      <x:c r="NLS61" s="291"/>
      <x:c r="NLT61" s="291"/>
      <x:c r="NLU61" s="291"/>
      <x:c r="NLV61" s="291"/>
      <x:c r="NLW61" s="291"/>
      <x:c r="NLX61" s="291"/>
      <x:c r="NLY61" s="291"/>
      <x:c r="NLZ61" s="291"/>
      <x:c r="NMA61" s="291"/>
      <x:c r="NMB61" s="291"/>
      <x:c r="NMC61" s="291"/>
      <x:c r="NMD61" s="291"/>
      <x:c r="NME61" s="291"/>
      <x:c r="NMF61" s="291"/>
      <x:c r="NMG61" s="291"/>
      <x:c r="NMH61" s="291"/>
      <x:c r="NMI61" s="291"/>
      <x:c r="NMJ61" s="291"/>
      <x:c r="NMK61" s="291"/>
      <x:c r="NML61" s="291"/>
      <x:c r="NMM61" s="291"/>
      <x:c r="NMN61" s="291"/>
      <x:c r="NMO61" s="291"/>
      <x:c r="NMP61" s="291"/>
      <x:c r="NMQ61" s="291"/>
      <x:c r="NMR61" s="291"/>
      <x:c r="NMS61" s="291"/>
      <x:c r="NMT61" s="291"/>
      <x:c r="NMU61" s="291"/>
      <x:c r="NMV61" s="291"/>
      <x:c r="NMW61" s="291"/>
      <x:c r="NMX61" s="291"/>
      <x:c r="NMY61" s="291"/>
      <x:c r="NMZ61" s="291"/>
      <x:c r="NNA61" s="291"/>
      <x:c r="NNB61" s="291"/>
      <x:c r="NNC61" s="291"/>
      <x:c r="NND61" s="291"/>
      <x:c r="NNE61" s="291"/>
      <x:c r="NNF61" s="291"/>
      <x:c r="NNG61" s="291"/>
      <x:c r="NNH61" s="291"/>
      <x:c r="NNI61" s="291"/>
      <x:c r="NNJ61" s="291"/>
      <x:c r="NNK61" s="291"/>
      <x:c r="NNL61" s="291"/>
      <x:c r="NNM61" s="291"/>
      <x:c r="NNN61" s="291"/>
      <x:c r="NNO61" s="291"/>
      <x:c r="NNP61" s="291"/>
      <x:c r="NNQ61" s="291"/>
      <x:c r="NNR61" s="291"/>
      <x:c r="NNS61" s="291"/>
      <x:c r="NNT61" s="291"/>
      <x:c r="NNU61" s="291"/>
      <x:c r="NNV61" s="291"/>
      <x:c r="NNW61" s="291"/>
      <x:c r="NNX61" s="291"/>
      <x:c r="NNY61" s="291"/>
      <x:c r="NNZ61" s="291"/>
      <x:c r="NOA61" s="291"/>
      <x:c r="NOB61" s="291"/>
      <x:c r="NOC61" s="291"/>
      <x:c r="NOD61" s="291"/>
      <x:c r="NOE61" s="291"/>
      <x:c r="NOF61" s="291"/>
      <x:c r="NOG61" s="291"/>
      <x:c r="NOH61" s="291"/>
      <x:c r="NOI61" s="291"/>
      <x:c r="NOJ61" s="291"/>
      <x:c r="NOK61" s="291"/>
      <x:c r="NOL61" s="291"/>
      <x:c r="NOM61" s="291"/>
      <x:c r="NON61" s="291"/>
      <x:c r="NOO61" s="291"/>
      <x:c r="NOP61" s="291"/>
      <x:c r="NOQ61" s="291"/>
      <x:c r="NOR61" s="291"/>
      <x:c r="NOS61" s="291"/>
      <x:c r="NOT61" s="291"/>
      <x:c r="NOU61" s="291"/>
      <x:c r="NOV61" s="291"/>
      <x:c r="NOW61" s="291"/>
      <x:c r="NOX61" s="291"/>
      <x:c r="NOY61" s="291"/>
      <x:c r="NOZ61" s="291"/>
      <x:c r="NPA61" s="291"/>
      <x:c r="NPB61" s="291"/>
      <x:c r="NPC61" s="291"/>
      <x:c r="NPD61" s="291"/>
      <x:c r="NPE61" s="291"/>
      <x:c r="NPF61" s="291"/>
      <x:c r="NPG61" s="291"/>
      <x:c r="NPH61" s="291"/>
      <x:c r="NPI61" s="291"/>
      <x:c r="NPJ61" s="291"/>
      <x:c r="NPK61" s="291"/>
      <x:c r="NPL61" s="291"/>
      <x:c r="NPM61" s="291"/>
      <x:c r="NPN61" s="291"/>
      <x:c r="NPO61" s="291"/>
      <x:c r="NPP61" s="291"/>
      <x:c r="NPQ61" s="291"/>
      <x:c r="NPR61" s="291"/>
      <x:c r="NPS61" s="291"/>
      <x:c r="NPT61" s="291"/>
      <x:c r="NPU61" s="291"/>
      <x:c r="NPV61" s="291"/>
      <x:c r="NPW61" s="291"/>
      <x:c r="NPX61" s="291"/>
      <x:c r="NPY61" s="291"/>
      <x:c r="NPZ61" s="291"/>
      <x:c r="NQA61" s="291"/>
      <x:c r="NQB61" s="291"/>
      <x:c r="NQC61" s="291"/>
      <x:c r="NQD61" s="291"/>
      <x:c r="NQE61" s="291"/>
      <x:c r="NQF61" s="291"/>
      <x:c r="NQG61" s="291"/>
      <x:c r="NQH61" s="291"/>
      <x:c r="NQI61" s="291"/>
      <x:c r="NQJ61" s="291"/>
      <x:c r="NQK61" s="291"/>
      <x:c r="NQL61" s="291"/>
      <x:c r="NQM61" s="291"/>
      <x:c r="NQN61" s="291"/>
      <x:c r="NQO61" s="291"/>
      <x:c r="NQP61" s="291"/>
      <x:c r="NQQ61" s="291"/>
      <x:c r="NQR61" s="291"/>
      <x:c r="NQS61" s="291"/>
      <x:c r="NQT61" s="291"/>
      <x:c r="NQU61" s="291"/>
      <x:c r="NQV61" s="291"/>
      <x:c r="NQW61" s="291"/>
      <x:c r="NQX61" s="291"/>
      <x:c r="NQY61" s="291"/>
      <x:c r="NQZ61" s="291"/>
      <x:c r="NRA61" s="291"/>
      <x:c r="NRB61" s="291"/>
      <x:c r="NRC61" s="291"/>
      <x:c r="NRD61" s="291"/>
      <x:c r="NRE61" s="291"/>
      <x:c r="NRF61" s="291"/>
      <x:c r="NRG61" s="291"/>
      <x:c r="NRH61" s="291"/>
      <x:c r="NRI61" s="291"/>
      <x:c r="NRJ61" s="291"/>
      <x:c r="NRK61" s="291"/>
      <x:c r="NRL61" s="291"/>
      <x:c r="NRM61" s="291"/>
      <x:c r="NRN61" s="291"/>
      <x:c r="NRO61" s="291"/>
      <x:c r="NRP61" s="291"/>
      <x:c r="NRQ61" s="291"/>
      <x:c r="NRR61" s="291"/>
      <x:c r="NRS61" s="291"/>
      <x:c r="NRT61" s="291"/>
      <x:c r="NRU61" s="291"/>
      <x:c r="NRV61" s="291"/>
      <x:c r="NRW61" s="291"/>
      <x:c r="NRX61" s="291"/>
      <x:c r="NRY61" s="291"/>
      <x:c r="NRZ61" s="291"/>
      <x:c r="NSA61" s="291"/>
      <x:c r="NSB61" s="291"/>
      <x:c r="NSC61" s="291"/>
      <x:c r="NSD61" s="291"/>
      <x:c r="NSE61" s="291"/>
      <x:c r="NSF61" s="291"/>
      <x:c r="NSG61" s="291"/>
      <x:c r="NSH61" s="291"/>
      <x:c r="NSI61" s="291"/>
      <x:c r="NSJ61" s="291"/>
      <x:c r="NSK61" s="291"/>
      <x:c r="NSL61" s="291"/>
      <x:c r="NSM61" s="291"/>
      <x:c r="NSN61" s="291"/>
      <x:c r="NSO61" s="291"/>
      <x:c r="NSP61" s="291"/>
      <x:c r="NSQ61" s="291"/>
      <x:c r="NSR61" s="291"/>
      <x:c r="NSS61" s="291"/>
      <x:c r="NST61" s="291"/>
      <x:c r="NSU61" s="291"/>
      <x:c r="NSV61" s="291"/>
      <x:c r="NSW61" s="291"/>
      <x:c r="NSX61" s="291"/>
      <x:c r="NSY61" s="291"/>
      <x:c r="NSZ61" s="291"/>
      <x:c r="NTA61" s="291"/>
      <x:c r="NTB61" s="291"/>
      <x:c r="NTC61" s="291"/>
      <x:c r="NTD61" s="291"/>
      <x:c r="NTE61" s="291"/>
      <x:c r="NTF61" s="291"/>
      <x:c r="NTG61" s="291"/>
      <x:c r="NTH61" s="291"/>
      <x:c r="NTI61" s="291"/>
      <x:c r="NTJ61" s="291"/>
      <x:c r="NTK61" s="291"/>
      <x:c r="NTL61" s="291"/>
      <x:c r="NTM61" s="291"/>
      <x:c r="NTN61" s="291"/>
      <x:c r="NTO61" s="291"/>
      <x:c r="NTP61" s="291"/>
      <x:c r="NTQ61" s="291"/>
      <x:c r="NTR61" s="291"/>
      <x:c r="NTS61" s="291"/>
      <x:c r="NTT61" s="291"/>
      <x:c r="NTU61" s="291"/>
      <x:c r="NTV61" s="291"/>
      <x:c r="NTW61" s="291"/>
      <x:c r="NTX61" s="291"/>
      <x:c r="NTY61" s="291"/>
      <x:c r="NTZ61" s="291"/>
      <x:c r="NUA61" s="291"/>
      <x:c r="NUB61" s="291"/>
      <x:c r="NUC61" s="291"/>
      <x:c r="NUD61" s="291"/>
      <x:c r="NUE61" s="291"/>
      <x:c r="NUF61" s="291"/>
      <x:c r="NUG61" s="291"/>
      <x:c r="NUH61" s="291"/>
      <x:c r="NUI61" s="291"/>
      <x:c r="NUJ61" s="291"/>
      <x:c r="NUK61" s="291"/>
      <x:c r="NUL61" s="291"/>
      <x:c r="NUM61" s="291"/>
      <x:c r="NUN61" s="291"/>
      <x:c r="NUO61" s="291"/>
      <x:c r="NUP61" s="291"/>
      <x:c r="NUQ61" s="291"/>
      <x:c r="NUR61" s="291"/>
      <x:c r="NUS61" s="291"/>
      <x:c r="NUT61" s="291"/>
      <x:c r="NUU61" s="291"/>
      <x:c r="NUV61" s="291"/>
      <x:c r="NUW61" s="291"/>
      <x:c r="NUX61" s="291"/>
      <x:c r="NUY61" s="291"/>
      <x:c r="NUZ61" s="291"/>
      <x:c r="NVA61" s="291"/>
      <x:c r="NVB61" s="291"/>
      <x:c r="NVC61" s="291"/>
      <x:c r="NVD61" s="291"/>
      <x:c r="NVE61" s="291"/>
      <x:c r="NVF61" s="291"/>
      <x:c r="NVG61" s="291"/>
      <x:c r="NVH61" s="291"/>
      <x:c r="NVI61" s="291"/>
      <x:c r="NVJ61" s="291"/>
      <x:c r="NVK61" s="291"/>
      <x:c r="NVL61" s="291"/>
      <x:c r="NVM61" s="291"/>
      <x:c r="NVN61" s="291"/>
      <x:c r="NVO61" s="291"/>
      <x:c r="NVP61" s="291"/>
      <x:c r="NVQ61" s="291"/>
      <x:c r="NVR61" s="291"/>
      <x:c r="NVS61" s="291"/>
      <x:c r="NVT61" s="291"/>
      <x:c r="NVU61" s="291"/>
      <x:c r="NVV61" s="291"/>
      <x:c r="NVW61" s="291"/>
      <x:c r="NVX61" s="291"/>
      <x:c r="NVY61" s="291"/>
      <x:c r="NVZ61" s="291"/>
      <x:c r="NWA61" s="291"/>
      <x:c r="NWB61" s="291"/>
      <x:c r="NWC61" s="291"/>
      <x:c r="NWD61" s="291"/>
      <x:c r="NWE61" s="291"/>
      <x:c r="NWF61" s="291"/>
      <x:c r="NWG61" s="291"/>
      <x:c r="NWH61" s="291"/>
      <x:c r="NWI61" s="291"/>
      <x:c r="NWJ61" s="291"/>
      <x:c r="NWK61" s="291"/>
      <x:c r="NWL61" s="291"/>
      <x:c r="NWM61" s="291"/>
      <x:c r="NWN61" s="291"/>
      <x:c r="NWO61" s="291"/>
      <x:c r="NWP61" s="291"/>
      <x:c r="NWQ61" s="291"/>
      <x:c r="NWR61" s="291"/>
      <x:c r="NWS61" s="291"/>
      <x:c r="NWT61" s="291"/>
      <x:c r="NWU61" s="291"/>
      <x:c r="NWV61" s="291"/>
      <x:c r="NWW61" s="291"/>
      <x:c r="NWX61" s="291"/>
      <x:c r="NWY61" s="291"/>
      <x:c r="NWZ61" s="291"/>
      <x:c r="NXA61" s="291"/>
      <x:c r="NXB61" s="291"/>
      <x:c r="NXC61" s="291"/>
      <x:c r="NXD61" s="291"/>
      <x:c r="NXE61" s="291"/>
      <x:c r="NXF61" s="291"/>
      <x:c r="NXG61" s="291"/>
      <x:c r="NXH61" s="291"/>
      <x:c r="NXI61" s="291"/>
      <x:c r="NXJ61" s="291"/>
      <x:c r="NXK61" s="291"/>
      <x:c r="NXL61" s="291"/>
      <x:c r="NXM61" s="291"/>
      <x:c r="NXN61" s="291"/>
      <x:c r="NXO61" s="291"/>
      <x:c r="NXP61" s="291"/>
      <x:c r="NXQ61" s="291"/>
      <x:c r="NXR61" s="291"/>
      <x:c r="NXS61" s="291"/>
      <x:c r="NXT61" s="291"/>
      <x:c r="NXU61" s="291"/>
      <x:c r="NXV61" s="291"/>
      <x:c r="NXW61" s="291"/>
      <x:c r="NXX61" s="291"/>
      <x:c r="NXY61" s="291"/>
      <x:c r="NXZ61" s="291"/>
      <x:c r="NYA61" s="291"/>
      <x:c r="NYB61" s="291"/>
      <x:c r="NYC61" s="291"/>
      <x:c r="NYD61" s="291"/>
      <x:c r="NYE61" s="291"/>
      <x:c r="NYF61" s="291"/>
      <x:c r="NYG61" s="291"/>
      <x:c r="NYH61" s="291"/>
      <x:c r="NYI61" s="291"/>
      <x:c r="NYJ61" s="291"/>
      <x:c r="NYK61" s="291"/>
      <x:c r="NYL61" s="291"/>
      <x:c r="NYM61" s="291"/>
      <x:c r="NYN61" s="291"/>
      <x:c r="NYO61" s="291"/>
      <x:c r="NYP61" s="291"/>
      <x:c r="NYQ61" s="291"/>
      <x:c r="NYR61" s="291"/>
      <x:c r="NYS61" s="291"/>
      <x:c r="NYT61" s="291"/>
      <x:c r="NYU61" s="291"/>
      <x:c r="NYV61" s="291"/>
      <x:c r="NYW61" s="291"/>
      <x:c r="NYX61" s="291"/>
      <x:c r="NYY61" s="291"/>
      <x:c r="NYZ61" s="291"/>
      <x:c r="NZA61" s="291"/>
      <x:c r="NZB61" s="291"/>
      <x:c r="NZC61" s="291"/>
      <x:c r="NZD61" s="291"/>
      <x:c r="NZE61" s="291"/>
      <x:c r="NZF61" s="291"/>
      <x:c r="NZG61" s="291"/>
      <x:c r="NZH61" s="291"/>
      <x:c r="NZI61" s="291"/>
      <x:c r="NZJ61" s="291"/>
      <x:c r="NZK61" s="291"/>
      <x:c r="NZL61" s="291"/>
      <x:c r="NZM61" s="291"/>
      <x:c r="NZN61" s="291"/>
      <x:c r="NZO61" s="291"/>
      <x:c r="NZP61" s="291"/>
      <x:c r="NZQ61" s="291"/>
      <x:c r="NZR61" s="291"/>
      <x:c r="NZS61" s="291"/>
      <x:c r="NZT61" s="291"/>
      <x:c r="NZU61" s="291"/>
      <x:c r="NZV61" s="291"/>
      <x:c r="NZW61" s="291"/>
      <x:c r="NZX61" s="291"/>
      <x:c r="NZY61" s="291"/>
      <x:c r="NZZ61" s="291"/>
      <x:c r="OAA61" s="291"/>
      <x:c r="OAB61" s="291"/>
      <x:c r="OAC61" s="291"/>
      <x:c r="OAD61" s="291"/>
      <x:c r="OAE61" s="291"/>
      <x:c r="OAF61" s="291"/>
      <x:c r="OAG61" s="291"/>
      <x:c r="OAH61" s="291"/>
      <x:c r="OAI61" s="291"/>
      <x:c r="OAJ61" s="291"/>
      <x:c r="OAK61" s="291"/>
      <x:c r="OAL61" s="291"/>
      <x:c r="OAM61" s="291"/>
      <x:c r="OAN61" s="291"/>
      <x:c r="OAO61" s="291"/>
      <x:c r="OAP61" s="291"/>
      <x:c r="OAQ61" s="291"/>
      <x:c r="OAR61" s="291"/>
      <x:c r="OAS61" s="291"/>
      <x:c r="OAT61" s="291"/>
      <x:c r="OAU61" s="291"/>
      <x:c r="OAV61" s="291"/>
      <x:c r="OAW61" s="291"/>
      <x:c r="OAX61" s="291"/>
      <x:c r="OAY61" s="291"/>
      <x:c r="OAZ61" s="291"/>
      <x:c r="OBA61" s="291"/>
      <x:c r="OBB61" s="291"/>
      <x:c r="OBC61" s="291"/>
      <x:c r="OBD61" s="291"/>
      <x:c r="OBE61" s="291"/>
      <x:c r="OBF61" s="291"/>
      <x:c r="OBG61" s="291"/>
      <x:c r="OBH61" s="291"/>
      <x:c r="OBI61" s="291"/>
      <x:c r="OBJ61" s="291"/>
      <x:c r="OBK61" s="291"/>
      <x:c r="OBL61" s="291"/>
      <x:c r="OBM61" s="291"/>
      <x:c r="OBN61" s="291"/>
      <x:c r="OBO61" s="291"/>
      <x:c r="OBP61" s="291"/>
      <x:c r="OBQ61" s="291"/>
      <x:c r="OBR61" s="291"/>
      <x:c r="OBS61" s="291"/>
      <x:c r="OBT61" s="291"/>
      <x:c r="OBU61" s="291"/>
      <x:c r="OBV61" s="291"/>
      <x:c r="OBW61" s="291"/>
      <x:c r="OBX61" s="291"/>
      <x:c r="OBY61" s="291"/>
      <x:c r="OBZ61" s="291"/>
      <x:c r="OCA61" s="291"/>
      <x:c r="OCB61" s="291"/>
      <x:c r="OCC61" s="291"/>
      <x:c r="OCD61" s="291"/>
      <x:c r="OCE61" s="291"/>
      <x:c r="OCF61" s="291"/>
      <x:c r="OCG61" s="291"/>
      <x:c r="OCH61" s="291"/>
      <x:c r="OCI61" s="291"/>
      <x:c r="OCJ61" s="291"/>
      <x:c r="OCK61" s="291"/>
      <x:c r="OCL61" s="291"/>
      <x:c r="OCM61" s="291"/>
      <x:c r="OCN61" s="291"/>
      <x:c r="OCO61" s="291"/>
      <x:c r="OCP61" s="291"/>
      <x:c r="OCQ61" s="291"/>
      <x:c r="OCR61" s="291"/>
      <x:c r="OCS61" s="291"/>
      <x:c r="OCT61" s="291"/>
      <x:c r="OCU61" s="291"/>
      <x:c r="OCV61" s="291"/>
      <x:c r="OCW61" s="291"/>
      <x:c r="OCX61" s="291"/>
      <x:c r="OCY61" s="291"/>
      <x:c r="OCZ61" s="291"/>
      <x:c r="ODA61" s="291"/>
      <x:c r="ODB61" s="291"/>
      <x:c r="ODC61" s="291"/>
      <x:c r="ODD61" s="291"/>
      <x:c r="ODE61" s="291"/>
      <x:c r="ODF61" s="291"/>
      <x:c r="ODG61" s="291"/>
      <x:c r="ODH61" s="291"/>
      <x:c r="ODI61" s="291"/>
      <x:c r="ODJ61" s="291"/>
      <x:c r="ODK61" s="291"/>
      <x:c r="ODL61" s="291"/>
      <x:c r="ODM61" s="291"/>
      <x:c r="ODN61" s="291"/>
      <x:c r="ODO61" s="291"/>
      <x:c r="ODP61" s="291"/>
      <x:c r="ODQ61" s="291"/>
      <x:c r="ODR61" s="291"/>
      <x:c r="ODS61" s="291"/>
      <x:c r="ODT61" s="291"/>
      <x:c r="ODU61" s="291"/>
      <x:c r="ODV61" s="291"/>
      <x:c r="ODW61" s="291"/>
      <x:c r="ODX61" s="291"/>
      <x:c r="ODY61" s="291"/>
      <x:c r="ODZ61" s="291"/>
      <x:c r="OEA61" s="291"/>
      <x:c r="OEB61" s="291"/>
      <x:c r="OEC61" s="291"/>
      <x:c r="OED61" s="291"/>
      <x:c r="OEE61" s="291"/>
      <x:c r="OEF61" s="291"/>
      <x:c r="OEG61" s="291"/>
      <x:c r="OEH61" s="291"/>
      <x:c r="OEI61" s="291"/>
      <x:c r="OEJ61" s="291"/>
      <x:c r="OEK61" s="291"/>
      <x:c r="OEL61" s="291"/>
      <x:c r="OEM61" s="291"/>
      <x:c r="OEN61" s="291"/>
      <x:c r="OEO61" s="291"/>
      <x:c r="OEP61" s="291"/>
      <x:c r="OEQ61" s="291"/>
      <x:c r="OER61" s="291"/>
      <x:c r="OES61" s="291"/>
      <x:c r="OET61" s="291"/>
      <x:c r="OEU61" s="291"/>
      <x:c r="OEV61" s="291"/>
      <x:c r="OEW61" s="291"/>
      <x:c r="OEX61" s="291"/>
      <x:c r="OEY61" s="291"/>
      <x:c r="OEZ61" s="291"/>
      <x:c r="OFA61" s="291"/>
      <x:c r="OFB61" s="291"/>
      <x:c r="OFC61" s="291"/>
      <x:c r="OFD61" s="291"/>
      <x:c r="OFE61" s="291"/>
      <x:c r="OFF61" s="291"/>
      <x:c r="OFG61" s="291"/>
      <x:c r="OFH61" s="291"/>
      <x:c r="OFI61" s="291"/>
      <x:c r="OFJ61" s="291"/>
      <x:c r="OFK61" s="291"/>
      <x:c r="OFL61" s="291"/>
      <x:c r="OFM61" s="291"/>
      <x:c r="OFN61" s="291"/>
      <x:c r="OFO61" s="291"/>
      <x:c r="OFP61" s="291"/>
      <x:c r="OFQ61" s="291"/>
      <x:c r="OFR61" s="291"/>
      <x:c r="OFS61" s="291"/>
      <x:c r="OFT61" s="291"/>
      <x:c r="OFU61" s="291"/>
      <x:c r="OFV61" s="291"/>
      <x:c r="OFW61" s="291"/>
      <x:c r="OFX61" s="291"/>
      <x:c r="OFY61" s="291"/>
      <x:c r="OFZ61" s="291"/>
      <x:c r="OGA61" s="291"/>
      <x:c r="OGB61" s="291"/>
      <x:c r="OGC61" s="291"/>
      <x:c r="OGD61" s="291"/>
      <x:c r="OGE61" s="291"/>
      <x:c r="OGF61" s="291"/>
      <x:c r="OGG61" s="291"/>
      <x:c r="OGH61" s="291"/>
      <x:c r="OGI61" s="291"/>
      <x:c r="OGJ61" s="291"/>
      <x:c r="OGK61" s="291"/>
      <x:c r="OGL61" s="291"/>
      <x:c r="OGM61" s="291"/>
      <x:c r="OGN61" s="291"/>
      <x:c r="OGO61" s="291"/>
      <x:c r="OGP61" s="291"/>
      <x:c r="OGQ61" s="291"/>
      <x:c r="OGR61" s="291"/>
      <x:c r="OGS61" s="291"/>
      <x:c r="OGT61" s="291"/>
      <x:c r="OGU61" s="291"/>
      <x:c r="OGV61" s="291"/>
      <x:c r="OGW61" s="291"/>
      <x:c r="OGX61" s="291"/>
      <x:c r="OGY61" s="291"/>
      <x:c r="OGZ61" s="291"/>
      <x:c r="OHA61" s="291"/>
      <x:c r="OHB61" s="291"/>
      <x:c r="OHC61" s="291"/>
      <x:c r="OHD61" s="291"/>
      <x:c r="OHE61" s="291"/>
      <x:c r="OHF61" s="291"/>
      <x:c r="OHG61" s="291"/>
      <x:c r="OHH61" s="291"/>
      <x:c r="OHI61" s="291"/>
      <x:c r="OHJ61" s="291"/>
      <x:c r="OHK61" s="291"/>
      <x:c r="OHL61" s="291"/>
      <x:c r="OHM61" s="291"/>
      <x:c r="OHN61" s="291"/>
      <x:c r="OHO61" s="291"/>
      <x:c r="OHP61" s="291"/>
      <x:c r="OHQ61" s="291"/>
      <x:c r="OHR61" s="291"/>
      <x:c r="OHS61" s="291"/>
      <x:c r="OHT61" s="291"/>
      <x:c r="OHU61" s="291"/>
      <x:c r="OHV61" s="291"/>
      <x:c r="OHW61" s="291"/>
      <x:c r="OHX61" s="291"/>
      <x:c r="OHY61" s="291"/>
      <x:c r="OHZ61" s="291"/>
      <x:c r="OIA61" s="291"/>
      <x:c r="OIB61" s="291"/>
      <x:c r="OIC61" s="291"/>
      <x:c r="OID61" s="291"/>
      <x:c r="OIE61" s="291"/>
      <x:c r="OIF61" s="291"/>
      <x:c r="OIG61" s="291"/>
      <x:c r="OIH61" s="291"/>
      <x:c r="OII61" s="291"/>
      <x:c r="OIJ61" s="291"/>
      <x:c r="OIK61" s="291"/>
      <x:c r="OIL61" s="291"/>
      <x:c r="OIM61" s="291"/>
      <x:c r="OIN61" s="291"/>
      <x:c r="OIO61" s="291"/>
      <x:c r="OIP61" s="291"/>
      <x:c r="OIQ61" s="291"/>
      <x:c r="OIR61" s="291"/>
      <x:c r="OIS61" s="291"/>
      <x:c r="OIT61" s="291"/>
      <x:c r="OIU61" s="291"/>
      <x:c r="OIV61" s="291"/>
      <x:c r="OIW61" s="291"/>
      <x:c r="OIX61" s="291"/>
      <x:c r="OIY61" s="291"/>
      <x:c r="OIZ61" s="291"/>
      <x:c r="OJA61" s="291"/>
      <x:c r="OJB61" s="291"/>
      <x:c r="OJC61" s="291"/>
      <x:c r="OJD61" s="291"/>
      <x:c r="OJE61" s="291"/>
      <x:c r="OJF61" s="291"/>
      <x:c r="OJG61" s="291"/>
      <x:c r="OJH61" s="291"/>
      <x:c r="OJI61" s="291"/>
      <x:c r="OJJ61" s="291"/>
      <x:c r="OJK61" s="291"/>
      <x:c r="OJL61" s="291"/>
      <x:c r="OJM61" s="291"/>
      <x:c r="OJN61" s="291"/>
      <x:c r="OJO61" s="291"/>
      <x:c r="OJP61" s="291"/>
      <x:c r="OJQ61" s="291"/>
      <x:c r="OJR61" s="291"/>
      <x:c r="OJS61" s="291"/>
      <x:c r="OJT61" s="291"/>
      <x:c r="OJU61" s="291"/>
      <x:c r="OJV61" s="291"/>
      <x:c r="OJW61" s="291"/>
      <x:c r="OJX61" s="291"/>
      <x:c r="OJY61" s="291"/>
      <x:c r="OJZ61" s="291"/>
      <x:c r="OKA61" s="291"/>
      <x:c r="OKB61" s="291"/>
      <x:c r="OKC61" s="291"/>
      <x:c r="OKD61" s="291"/>
      <x:c r="OKE61" s="291"/>
      <x:c r="OKF61" s="291"/>
      <x:c r="OKG61" s="291"/>
      <x:c r="OKH61" s="291"/>
      <x:c r="OKI61" s="291"/>
      <x:c r="OKJ61" s="291"/>
      <x:c r="OKK61" s="291"/>
      <x:c r="OKL61" s="291"/>
      <x:c r="OKM61" s="291"/>
      <x:c r="OKN61" s="291"/>
      <x:c r="OKO61" s="291"/>
      <x:c r="OKP61" s="291"/>
      <x:c r="OKQ61" s="291"/>
      <x:c r="OKR61" s="291"/>
      <x:c r="OKS61" s="291"/>
      <x:c r="OKT61" s="291"/>
      <x:c r="OKU61" s="291"/>
      <x:c r="OKV61" s="291"/>
      <x:c r="OKW61" s="291"/>
      <x:c r="OKX61" s="291"/>
      <x:c r="OKY61" s="291"/>
      <x:c r="OKZ61" s="291"/>
      <x:c r="OLA61" s="291"/>
      <x:c r="OLB61" s="291"/>
      <x:c r="OLC61" s="291"/>
      <x:c r="OLD61" s="291"/>
      <x:c r="OLE61" s="291"/>
      <x:c r="OLF61" s="291"/>
      <x:c r="OLG61" s="291"/>
      <x:c r="OLH61" s="291"/>
      <x:c r="OLI61" s="291"/>
      <x:c r="OLJ61" s="291"/>
      <x:c r="OLK61" s="291"/>
      <x:c r="OLL61" s="291"/>
      <x:c r="OLM61" s="291"/>
      <x:c r="OLN61" s="291"/>
      <x:c r="OLO61" s="291"/>
      <x:c r="OLP61" s="291"/>
      <x:c r="OLQ61" s="291"/>
      <x:c r="OLR61" s="291"/>
      <x:c r="OLS61" s="291"/>
      <x:c r="OLT61" s="291"/>
      <x:c r="OLU61" s="291"/>
      <x:c r="OLV61" s="291"/>
      <x:c r="OLW61" s="291"/>
      <x:c r="OLX61" s="291"/>
      <x:c r="OLY61" s="291"/>
      <x:c r="OLZ61" s="291"/>
      <x:c r="OMA61" s="291"/>
      <x:c r="OMB61" s="291"/>
      <x:c r="OMC61" s="291"/>
      <x:c r="OMD61" s="291"/>
      <x:c r="OME61" s="291"/>
      <x:c r="OMF61" s="291"/>
      <x:c r="OMG61" s="291"/>
      <x:c r="OMH61" s="291"/>
      <x:c r="OMI61" s="291"/>
      <x:c r="OMJ61" s="291"/>
      <x:c r="OMK61" s="291"/>
      <x:c r="OML61" s="291"/>
      <x:c r="OMM61" s="291"/>
      <x:c r="OMN61" s="291"/>
      <x:c r="OMO61" s="291"/>
      <x:c r="OMP61" s="291"/>
      <x:c r="OMQ61" s="291"/>
      <x:c r="OMR61" s="291"/>
      <x:c r="OMS61" s="291"/>
      <x:c r="OMT61" s="291"/>
      <x:c r="OMU61" s="291"/>
      <x:c r="OMV61" s="291"/>
      <x:c r="OMW61" s="291"/>
      <x:c r="OMX61" s="291"/>
      <x:c r="OMY61" s="291"/>
      <x:c r="OMZ61" s="291"/>
      <x:c r="ONA61" s="291"/>
      <x:c r="ONB61" s="291"/>
      <x:c r="ONC61" s="291"/>
      <x:c r="OND61" s="291"/>
      <x:c r="ONE61" s="291"/>
      <x:c r="ONF61" s="291"/>
      <x:c r="ONG61" s="291"/>
      <x:c r="ONH61" s="291"/>
      <x:c r="ONI61" s="291"/>
      <x:c r="ONJ61" s="291"/>
      <x:c r="ONK61" s="291"/>
      <x:c r="ONL61" s="291"/>
      <x:c r="ONM61" s="291"/>
      <x:c r="ONN61" s="291"/>
      <x:c r="ONO61" s="291"/>
      <x:c r="ONP61" s="291"/>
      <x:c r="ONQ61" s="291"/>
      <x:c r="ONR61" s="291"/>
      <x:c r="ONS61" s="291"/>
      <x:c r="ONT61" s="291"/>
      <x:c r="ONU61" s="291"/>
      <x:c r="ONV61" s="291"/>
      <x:c r="ONW61" s="291"/>
      <x:c r="ONX61" s="291"/>
      <x:c r="ONY61" s="291"/>
      <x:c r="ONZ61" s="291"/>
      <x:c r="OOA61" s="291"/>
      <x:c r="OOB61" s="291"/>
      <x:c r="OOC61" s="291"/>
      <x:c r="OOD61" s="291"/>
      <x:c r="OOE61" s="291"/>
      <x:c r="OOF61" s="291"/>
      <x:c r="OOG61" s="291"/>
      <x:c r="OOH61" s="291"/>
      <x:c r="OOI61" s="291"/>
      <x:c r="OOJ61" s="291"/>
      <x:c r="OOK61" s="291"/>
      <x:c r="OOL61" s="291"/>
      <x:c r="OOM61" s="291"/>
      <x:c r="OON61" s="291"/>
      <x:c r="OOO61" s="291"/>
      <x:c r="OOP61" s="291"/>
      <x:c r="OOQ61" s="291"/>
      <x:c r="OOR61" s="291"/>
      <x:c r="OOS61" s="291"/>
      <x:c r="OOT61" s="291"/>
      <x:c r="OOU61" s="291"/>
      <x:c r="OOV61" s="291"/>
      <x:c r="OOW61" s="291"/>
      <x:c r="OOX61" s="291"/>
      <x:c r="OOY61" s="291"/>
      <x:c r="OOZ61" s="291"/>
      <x:c r="OPA61" s="291"/>
      <x:c r="OPB61" s="291"/>
      <x:c r="OPC61" s="291"/>
      <x:c r="OPD61" s="291"/>
      <x:c r="OPE61" s="291"/>
      <x:c r="OPF61" s="291"/>
      <x:c r="OPG61" s="291"/>
      <x:c r="OPH61" s="291"/>
      <x:c r="OPI61" s="291"/>
      <x:c r="OPJ61" s="291"/>
      <x:c r="OPK61" s="291"/>
      <x:c r="OPL61" s="291"/>
      <x:c r="OPM61" s="291"/>
      <x:c r="OPN61" s="291"/>
      <x:c r="OPO61" s="291"/>
      <x:c r="OPP61" s="291"/>
      <x:c r="OPQ61" s="291"/>
      <x:c r="OPR61" s="291"/>
      <x:c r="OPS61" s="291"/>
      <x:c r="OPT61" s="291"/>
      <x:c r="OPU61" s="291"/>
      <x:c r="OPV61" s="291"/>
      <x:c r="OPW61" s="291"/>
      <x:c r="OPX61" s="291"/>
      <x:c r="OPY61" s="291"/>
      <x:c r="OPZ61" s="291"/>
      <x:c r="OQA61" s="291"/>
      <x:c r="OQB61" s="291"/>
      <x:c r="OQC61" s="291"/>
      <x:c r="OQD61" s="291"/>
      <x:c r="OQE61" s="291"/>
      <x:c r="OQF61" s="291"/>
      <x:c r="OQG61" s="291"/>
      <x:c r="OQH61" s="291"/>
      <x:c r="OQI61" s="291"/>
      <x:c r="OQJ61" s="291"/>
      <x:c r="OQK61" s="291"/>
      <x:c r="OQL61" s="291"/>
      <x:c r="OQM61" s="291"/>
      <x:c r="OQN61" s="291"/>
      <x:c r="OQO61" s="291"/>
      <x:c r="OQP61" s="291"/>
      <x:c r="OQQ61" s="291"/>
      <x:c r="OQR61" s="291"/>
      <x:c r="OQS61" s="291"/>
      <x:c r="OQT61" s="291"/>
      <x:c r="OQU61" s="291"/>
      <x:c r="OQV61" s="291"/>
      <x:c r="OQW61" s="291"/>
      <x:c r="OQX61" s="291"/>
      <x:c r="OQY61" s="291"/>
      <x:c r="OQZ61" s="291"/>
      <x:c r="ORA61" s="291"/>
      <x:c r="ORB61" s="291"/>
      <x:c r="ORC61" s="291"/>
      <x:c r="ORD61" s="291"/>
      <x:c r="ORE61" s="291"/>
      <x:c r="ORF61" s="291"/>
      <x:c r="ORG61" s="291"/>
      <x:c r="ORH61" s="291"/>
      <x:c r="ORI61" s="291"/>
      <x:c r="ORJ61" s="291"/>
      <x:c r="ORK61" s="291"/>
      <x:c r="ORL61" s="291"/>
      <x:c r="ORM61" s="291"/>
      <x:c r="ORN61" s="291"/>
      <x:c r="ORO61" s="291"/>
      <x:c r="ORP61" s="291"/>
      <x:c r="ORQ61" s="291"/>
      <x:c r="ORR61" s="291"/>
      <x:c r="ORS61" s="291"/>
      <x:c r="ORT61" s="291"/>
      <x:c r="ORU61" s="291"/>
      <x:c r="ORV61" s="291"/>
      <x:c r="ORW61" s="291"/>
      <x:c r="ORX61" s="291"/>
      <x:c r="ORY61" s="291"/>
      <x:c r="ORZ61" s="291"/>
      <x:c r="OSA61" s="291"/>
      <x:c r="OSB61" s="291"/>
      <x:c r="OSC61" s="291"/>
      <x:c r="OSD61" s="291"/>
      <x:c r="OSE61" s="291"/>
      <x:c r="OSF61" s="291"/>
      <x:c r="OSG61" s="291"/>
      <x:c r="OSH61" s="291"/>
      <x:c r="OSI61" s="291"/>
      <x:c r="OSJ61" s="291"/>
      <x:c r="OSK61" s="291"/>
      <x:c r="OSL61" s="291"/>
      <x:c r="OSM61" s="291"/>
      <x:c r="OSN61" s="291"/>
      <x:c r="OSO61" s="291"/>
      <x:c r="OSP61" s="291"/>
      <x:c r="OSQ61" s="291"/>
      <x:c r="OSR61" s="291"/>
      <x:c r="OSS61" s="291"/>
      <x:c r="OST61" s="291"/>
      <x:c r="OSU61" s="291"/>
      <x:c r="OSV61" s="291"/>
      <x:c r="OSW61" s="291"/>
      <x:c r="OSX61" s="291"/>
      <x:c r="OSY61" s="291"/>
      <x:c r="OSZ61" s="291"/>
      <x:c r="OTA61" s="291"/>
      <x:c r="OTB61" s="291"/>
      <x:c r="OTC61" s="291"/>
      <x:c r="OTD61" s="291"/>
      <x:c r="OTE61" s="291"/>
      <x:c r="OTF61" s="291"/>
      <x:c r="OTG61" s="291"/>
      <x:c r="OTH61" s="291"/>
      <x:c r="OTI61" s="291"/>
      <x:c r="OTJ61" s="291"/>
      <x:c r="OTK61" s="291"/>
      <x:c r="OTL61" s="291"/>
      <x:c r="OTM61" s="291"/>
      <x:c r="OTN61" s="291"/>
      <x:c r="OTO61" s="291"/>
      <x:c r="OTP61" s="291"/>
      <x:c r="OTQ61" s="291"/>
      <x:c r="OTR61" s="291"/>
      <x:c r="OTS61" s="291"/>
      <x:c r="OTT61" s="291"/>
      <x:c r="OTU61" s="291"/>
      <x:c r="OTV61" s="291"/>
      <x:c r="OTW61" s="291"/>
      <x:c r="OTX61" s="291"/>
      <x:c r="OTY61" s="291"/>
      <x:c r="OTZ61" s="291"/>
      <x:c r="OUA61" s="291"/>
      <x:c r="OUB61" s="291"/>
      <x:c r="OUC61" s="291"/>
      <x:c r="OUD61" s="291"/>
      <x:c r="OUE61" s="291"/>
      <x:c r="OUF61" s="291"/>
      <x:c r="OUG61" s="291"/>
      <x:c r="OUH61" s="291"/>
      <x:c r="OUI61" s="291"/>
      <x:c r="OUJ61" s="291"/>
      <x:c r="OUK61" s="291"/>
      <x:c r="OUL61" s="291"/>
      <x:c r="OUM61" s="291"/>
      <x:c r="OUN61" s="291"/>
      <x:c r="OUO61" s="291"/>
      <x:c r="OUP61" s="291"/>
      <x:c r="OUQ61" s="291"/>
      <x:c r="OUR61" s="291"/>
      <x:c r="OUS61" s="291"/>
      <x:c r="OUT61" s="291"/>
      <x:c r="OUU61" s="291"/>
      <x:c r="OUV61" s="291"/>
      <x:c r="OUW61" s="291"/>
      <x:c r="OUX61" s="291"/>
      <x:c r="OUY61" s="291"/>
      <x:c r="OUZ61" s="291"/>
      <x:c r="OVA61" s="291"/>
      <x:c r="OVB61" s="291"/>
      <x:c r="OVC61" s="291"/>
      <x:c r="OVD61" s="291"/>
      <x:c r="OVE61" s="291"/>
      <x:c r="OVF61" s="291"/>
      <x:c r="OVG61" s="291"/>
      <x:c r="OVH61" s="291"/>
      <x:c r="OVI61" s="291"/>
      <x:c r="OVJ61" s="291"/>
      <x:c r="OVK61" s="291"/>
      <x:c r="OVL61" s="291"/>
      <x:c r="OVM61" s="291"/>
      <x:c r="OVN61" s="291"/>
      <x:c r="OVO61" s="291"/>
      <x:c r="OVP61" s="291"/>
      <x:c r="OVQ61" s="291"/>
      <x:c r="OVR61" s="291"/>
      <x:c r="OVS61" s="291"/>
      <x:c r="OVT61" s="291"/>
      <x:c r="OVU61" s="291"/>
      <x:c r="OVV61" s="291"/>
      <x:c r="OVW61" s="291"/>
      <x:c r="OVX61" s="291"/>
      <x:c r="OVY61" s="291"/>
      <x:c r="OVZ61" s="291"/>
      <x:c r="OWA61" s="291"/>
      <x:c r="OWB61" s="291"/>
      <x:c r="OWC61" s="291"/>
      <x:c r="OWD61" s="291"/>
      <x:c r="OWE61" s="291"/>
      <x:c r="OWF61" s="291"/>
      <x:c r="OWG61" s="291"/>
      <x:c r="OWH61" s="291"/>
      <x:c r="OWI61" s="291"/>
      <x:c r="OWJ61" s="291"/>
      <x:c r="OWK61" s="291"/>
      <x:c r="OWL61" s="291"/>
      <x:c r="OWM61" s="291"/>
      <x:c r="OWN61" s="291"/>
      <x:c r="OWO61" s="291"/>
      <x:c r="OWP61" s="291"/>
      <x:c r="OWQ61" s="291"/>
      <x:c r="OWR61" s="291"/>
      <x:c r="OWS61" s="291"/>
      <x:c r="OWT61" s="291"/>
      <x:c r="OWU61" s="291"/>
      <x:c r="OWV61" s="291"/>
      <x:c r="OWW61" s="291"/>
      <x:c r="OWX61" s="291"/>
      <x:c r="OWY61" s="291"/>
      <x:c r="OWZ61" s="291"/>
      <x:c r="OXA61" s="291"/>
      <x:c r="OXB61" s="291"/>
      <x:c r="OXC61" s="291"/>
      <x:c r="OXD61" s="291"/>
      <x:c r="OXE61" s="291"/>
      <x:c r="OXF61" s="291"/>
      <x:c r="OXG61" s="291"/>
      <x:c r="OXH61" s="291"/>
      <x:c r="OXI61" s="291"/>
      <x:c r="OXJ61" s="291"/>
      <x:c r="OXK61" s="291"/>
      <x:c r="OXL61" s="291"/>
      <x:c r="OXM61" s="291"/>
      <x:c r="OXN61" s="291"/>
      <x:c r="OXO61" s="291"/>
      <x:c r="OXP61" s="291"/>
      <x:c r="OXQ61" s="291"/>
      <x:c r="OXR61" s="291"/>
      <x:c r="OXS61" s="291"/>
      <x:c r="OXT61" s="291"/>
      <x:c r="OXU61" s="291"/>
      <x:c r="OXV61" s="291"/>
      <x:c r="OXW61" s="291"/>
      <x:c r="OXX61" s="291"/>
      <x:c r="OXY61" s="291"/>
      <x:c r="OXZ61" s="291"/>
      <x:c r="OYA61" s="291"/>
      <x:c r="OYB61" s="291"/>
      <x:c r="OYC61" s="291"/>
      <x:c r="OYD61" s="291"/>
      <x:c r="OYE61" s="291"/>
      <x:c r="OYF61" s="291"/>
      <x:c r="OYG61" s="291"/>
      <x:c r="OYH61" s="291"/>
      <x:c r="OYI61" s="291"/>
      <x:c r="OYJ61" s="291"/>
      <x:c r="OYK61" s="291"/>
      <x:c r="OYL61" s="291"/>
      <x:c r="OYM61" s="291"/>
      <x:c r="OYN61" s="291"/>
      <x:c r="OYO61" s="291"/>
      <x:c r="OYP61" s="291"/>
      <x:c r="OYQ61" s="291"/>
      <x:c r="OYR61" s="291"/>
      <x:c r="OYS61" s="291"/>
      <x:c r="OYT61" s="291"/>
      <x:c r="OYU61" s="291"/>
      <x:c r="OYV61" s="291"/>
      <x:c r="OYW61" s="291"/>
      <x:c r="OYX61" s="291"/>
      <x:c r="OYY61" s="291"/>
      <x:c r="OYZ61" s="291"/>
      <x:c r="OZA61" s="291"/>
      <x:c r="OZB61" s="291"/>
      <x:c r="OZC61" s="291"/>
      <x:c r="OZD61" s="291"/>
      <x:c r="OZE61" s="291"/>
      <x:c r="OZF61" s="291"/>
      <x:c r="OZG61" s="291"/>
      <x:c r="OZH61" s="291"/>
      <x:c r="OZI61" s="291"/>
      <x:c r="OZJ61" s="291"/>
      <x:c r="OZK61" s="291"/>
      <x:c r="OZL61" s="291"/>
      <x:c r="OZM61" s="291"/>
      <x:c r="OZN61" s="291"/>
      <x:c r="OZO61" s="291"/>
      <x:c r="OZP61" s="291"/>
      <x:c r="OZQ61" s="291"/>
      <x:c r="OZR61" s="291"/>
      <x:c r="OZS61" s="291"/>
      <x:c r="OZT61" s="291"/>
      <x:c r="OZU61" s="291"/>
      <x:c r="OZV61" s="291"/>
      <x:c r="OZW61" s="291"/>
      <x:c r="OZX61" s="291"/>
      <x:c r="OZY61" s="291"/>
      <x:c r="OZZ61" s="291"/>
      <x:c r="PAA61" s="291"/>
      <x:c r="PAB61" s="291"/>
      <x:c r="PAC61" s="291"/>
      <x:c r="PAD61" s="291"/>
      <x:c r="PAE61" s="291"/>
      <x:c r="PAF61" s="291"/>
      <x:c r="PAG61" s="291"/>
      <x:c r="PAH61" s="291"/>
      <x:c r="PAI61" s="291"/>
      <x:c r="PAJ61" s="291"/>
      <x:c r="PAK61" s="291"/>
      <x:c r="PAL61" s="291"/>
      <x:c r="PAM61" s="291"/>
      <x:c r="PAN61" s="291"/>
      <x:c r="PAO61" s="291"/>
      <x:c r="PAP61" s="291"/>
      <x:c r="PAQ61" s="291"/>
      <x:c r="PAR61" s="291"/>
      <x:c r="PAS61" s="291"/>
      <x:c r="PAT61" s="291"/>
      <x:c r="PAU61" s="291"/>
      <x:c r="PAV61" s="291"/>
      <x:c r="PAW61" s="291"/>
      <x:c r="PAX61" s="291"/>
      <x:c r="PAY61" s="291"/>
      <x:c r="PAZ61" s="291"/>
      <x:c r="PBA61" s="291"/>
      <x:c r="PBB61" s="291"/>
      <x:c r="PBC61" s="291"/>
      <x:c r="PBD61" s="291"/>
      <x:c r="PBE61" s="291"/>
      <x:c r="PBF61" s="291"/>
      <x:c r="PBG61" s="291"/>
      <x:c r="PBH61" s="291"/>
      <x:c r="PBI61" s="291"/>
      <x:c r="PBJ61" s="291"/>
      <x:c r="PBK61" s="291"/>
      <x:c r="PBL61" s="291"/>
      <x:c r="PBM61" s="291"/>
      <x:c r="PBN61" s="291"/>
      <x:c r="PBO61" s="291"/>
      <x:c r="PBP61" s="291"/>
      <x:c r="PBQ61" s="291"/>
      <x:c r="PBR61" s="291"/>
      <x:c r="PBS61" s="291"/>
      <x:c r="PBT61" s="291"/>
      <x:c r="PBU61" s="291"/>
      <x:c r="PBV61" s="291"/>
      <x:c r="PBW61" s="291"/>
      <x:c r="PBX61" s="291"/>
      <x:c r="PBY61" s="291"/>
      <x:c r="PBZ61" s="291"/>
      <x:c r="PCA61" s="291"/>
      <x:c r="PCB61" s="291"/>
      <x:c r="PCC61" s="291"/>
      <x:c r="PCD61" s="291"/>
      <x:c r="PCE61" s="291"/>
      <x:c r="PCF61" s="291"/>
      <x:c r="PCG61" s="291"/>
      <x:c r="PCH61" s="291"/>
      <x:c r="PCI61" s="291"/>
      <x:c r="PCJ61" s="291"/>
      <x:c r="PCK61" s="291"/>
      <x:c r="PCL61" s="291"/>
      <x:c r="PCM61" s="291"/>
      <x:c r="PCN61" s="291"/>
      <x:c r="PCO61" s="291"/>
      <x:c r="PCP61" s="291"/>
      <x:c r="PCQ61" s="291"/>
      <x:c r="PCR61" s="291"/>
      <x:c r="PCS61" s="291"/>
      <x:c r="PCT61" s="291"/>
      <x:c r="PCU61" s="291"/>
      <x:c r="PCV61" s="291"/>
      <x:c r="PCW61" s="291"/>
      <x:c r="PCX61" s="291"/>
      <x:c r="PCY61" s="291"/>
      <x:c r="PCZ61" s="291"/>
      <x:c r="PDA61" s="291"/>
      <x:c r="PDB61" s="291"/>
      <x:c r="PDC61" s="291"/>
      <x:c r="PDD61" s="291"/>
      <x:c r="PDE61" s="291"/>
      <x:c r="PDF61" s="291"/>
      <x:c r="PDG61" s="291"/>
      <x:c r="PDH61" s="291"/>
      <x:c r="PDI61" s="291"/>
      <x:c r="PDJ61" s="291"/>
      <x:c r="PDK61" s="291"/>
      <x:c r="PDL61" s="291"/>
      <x:c r="PDM61" s="291"/>
      <x:c r="PDN61" s="291"/>
      <x:c r="PDO61" s="291"/>
      <x:c r="PDP61" s="291"/>
      <x:c r="PDQ61" s="291"/>
      <x:c r="PDR61" s="291"/>
      <x:c r="PDS61" s="291"/>
      <x:c r="PDT61" s="291"/>
      <x:c r="PDU61" s="291"/>
      <x:c r="PDV61" s="291"/>
      <x:c r="PDW61" s="291"/>
      <x:c r="PDX61" s="291"/>
      <x:c r="PDY61" s="291"/>
      <x:c r="PDZ61" s="291"/>
      <x:c r="PEA61" s="291"/>
      <x:c r="PEB61" s="291"/>
      <x:c r="PEC61" s="291"/>
      <x:c r="PED61" s="291"/>
      <x:c r="PEE61" s="291"/>
      <x:c r="PEF61" s="291"/>
      <x:c r="PEG61" s="291"/>
      <x:c r="PEH61" s="291"/>
      <x:c r="PEI61" s="291"/>
      <x:c r="PEJ61" s="291"/>
      <x:c r="PEK61" s="291"/>
      <x:c r="PEL61" s="291"/>
      <x:c r="PEM61" s="291"/>
      <x:c r="PEN61" s="291"/>
      <x:c r="PEO61" s="291"/>
      <x:c r="PEP61" s="291"/>
      <x:c r="PEQ61" s="291"/>
      <x:c r="PER61" s="291"/>
      <x:c r="PES61" s="291"/>
      <x:c r="PET61" s="291"/>
      <x:c r="PEU61" s="291"/>
      <x:c r="PEV61" s="291"/>
      <x:c r="PEW61" s="291"/>
      <x:c r="PEX61" s="291"/>
      <x:c r="PEY61" s="291"/>
      <x:c r="PEZ61" s="291"/>
      <x:c r="PFA61" s="291"/>
      <x:c r="PFB61" s="291"/>
      <x:c r="PFC61" s="291"/>
      <x:c r="PFD61" s="291"/>
      <x:c r="PFE61" s="291"/>
      <x:c r="PFF61" s="291"/>
      <x:c r="PFG61" s="291"/>
      <x:c r="PFH61" s="291"/>
      <x:c r="PFI61" s="291"/>
      <x:c r="PFJ61" s="291"/>
      <x:c r="PFK61" s="291"/>
      <x:c r="PFL61" s="291"/>
      <x:c r="PFM61" s="291"/>
      <x:c r="PFN61" s="291"/>
      <x:c r="PFO61" s="291"/>
      <x:c r="PFP61" s="291"/>
      <x:c r="PFQ61" s="291"/>
      <x:c r="PFR61" s="291"/>
      <x:c r="PFS61" s="291"/>
      <x:c r="PFT61" s="291"/>
      <x:c r="PFU61" s="291"/>
      <x:c r="PFV61" s="291"/>
      <x:c r="PFW61" s="291"/>
      <x:c r="PFX61" s="291"/>
      <x:c r="PFY61" s="291"/>
      <x:c r="PFZ61" s="291"/>
      <x:c r="PGA61" s="291"/>
      <x:c r="PGB61" s="291"/>
      <x:c r="PGC61" s="291"/>
      <x:c r="PGD61" s="291"/>
      <x:c r="PGE61" s="291"/>
      <x:c r="PGF61" s="291"/>
      <x:c r="PGG61" s="291"/>
      <x:c r="PGH61" s="291"/>
      <x:c r="PGI61" s="291"/>
      <x:c r="PGJ61" s="291"/>
      <x:c r="PGK61" s="291"/>
      <x:c r="PGL61" s="291"/>
      <x:c r="PGM61" s="291"/>
      <x:c r="PGN61" s="291"/>
      <x:c r="PGO61" s="291"/>
      <x:c r="PGP61" s="291"/>
      <x:c r="PGQ61" s="291"/>
      <x:c r="PGR61" s="291"/>
      <x:c r="PGS61" s="291"/>
      <x:c r="PGT61" s="291"/>
      <x:c r="PGU61" s="291"/>
      <x:c r="PGV61" s="291"/>
      <x:c r="PGW61" s="291"/>
      <x:c r="PGX61" s="291"/>
      <x:c r="PGY61" s="291"/>
      <x:c r="PGZ61" s="291"/>
      <x:c r="PHA61" s="291"/>
      <x:c r="PHB61" s="291"/>
      <x:c r="PHC61" s="291"/>
      <x:c r="PHD61" s="291"/>
      <x:c r="PHE61" s="291"/>
      <x:c r="PHF61" s="291"/>
      <x:c r="PHG61" s="291"/>
      <x:c r="PHH61" s="291"/>
      <x:c r="PHI61" s="291"/>
      <x:c r="PHJ61" s="291"/>
      <x:c r="PHK61" s="291"/>
      <x:c r="PHL61" s="291"/>
      <x:c r="PHM61" s="291"/>
      <x:c r="PHN61" s="291"/>
      <x:c r="PHO61" s="291"/>
      <x:c r="PHP61" s="291"/>
      <x:c r="PHQ61" s="291"/>
      <x:c r="PHR61" s="291"/>
      <x:c r="PHS61" s="291"/>
      <x:c r="PHT61" s="291"/>
      <x:c r="PHU61" s="291"/>
      <x:c r="PHV61" s="291"/>
      <x:c r="PHW61" s="291"/>
      <x:c r="PHX61" s="291"/>
      <x:c r="PHY61" s="291"/>
      <x:c r="PHZ61" s="291"/>
      <x:c r="PIA61" s="291"/>
      <x:c r="PIB61" s="291"/>
      <x:c r="PIC61" s="291"/>
      <x:c r="PID61" s="291"/>
      <x:c r="PIE61" s="291"/>
      <x:c r="PIF61" s="291"/>
      <x:c r="PIG61" s="291"/>
      <x:c r="PIH61" s="291"/>
      <x:c r="PII61" s="291"/>
      <x:c r="PIJ61" s="291"/>
      <x:c r="PIK61" s="291"/>
      <x:c r="PIL61" s="291"/>
      <x:c r="PIM61" s="291"/>
      <x:c r="PIN61" s="291"/>
      <x:c r="PIO61" s="291"/>
      <x:c r="PIP61" s="291"/>
      <x:c r="PIQ61" s="291"/>
      <x:c r="PIR61" s="291"/>
      <x:c r="PIS61" s="291"/>
      <x:c r="PIT61" s="291"/>
      <x:c r="PIU61" s="291"/>
      <x:c r="PIV61" s="291"/>
      <x:c r="PIW61" s="291"/>
      <x:c r="PIX61" s="291"/>
      <x:c r="PIY61" s="291"/>
      <x:c r="PIZ61" s="291"/>
      <x:c r="PJA61" s="291"/>
      <x:c r="PJB61" s="291"/>
      <x:c r="PJC61" s="291"/>
      <x:c r="PJD61" s="291"/>
      <x:c r="PJE61" s="291"/>
      <x:c r="PJF61" s="291"/>
      <x:c r="PJG61" s="291"/>
      <x:c r="PJH61" s="291"/>
      <x:c r="PJI61" s="291"/>
      <x:c r="PJJ61" s="291"/>
      <x:c r="PJK61" s="291"/>
      <x:c r="PJL61" s="291"/>
      <x:c r="PJM61" s="291"/>
      <x:c r="PJN61" s="291"/>
      <x:c r="PJO61" s="291"/>
      <x:c r="PJP61" s="291"/>
      <x:c r="PJQ61" s="291"/>
      <x:c r="PJR61" s="291"/>
      <x:c r="PJS61" s="291"/>
      <x:c r="PJT61" s="291"/>
      <x:c r="PJU61" s="291"/>
      <x:c r="PJV61" s="291"/>
      <x:c r="PJW61" s="291"/>
      <x:c r="PJX61" s="291"/>
      <x:c r="PJY61" s="291"/>
      <x:c r="PJZ61" s="291"/>
      <x:c r="PKA61" s="291"/>
      <x:c r="PKB61" s="291"/>
      <x:c r="PKC61" s="291"/>
      <x:c r="PKD61" s="291"/>
      <x:c r="PKE61" s="291"/>
      <x:c r="PKF61" s="291"/>
      <x:c r="PKG61" s="291"/>
      <x:c r="PKH61" s="291"/>
      <x:c r="PKI61" s="291"/>
      <x:c r="PKJ61" s="291"/>
      <x:c r="PKK61" s="291"/>
      <x:c r="PKL61" s="291"/>
      <x:c r="PKM61" s="291"/>
      <x:c r="PKN61" s="291"/>
      <x:c r="PKO61" s="291"/>
      <x:c r="PKP61" s="291"/>
      <x:c r="PKQ61" s="291"/>
      <x:c r="PKR61" s="291"/>
      <x:c r="PKS61" s="291"/>
      <x:c r="PKT61" s="291"/>
      <x:c r="PKU61" s="291"/>
      <x:c r="PKV61" s="291"/>
      <x:c r="PKW61" s="291"/>
      <x:c r="PKX61" s="291"/>
      <x:c r="PKY61" s="291"/>
      <x:c r="PKZ61" s="291"/>
      <x:c r="PLA61" s="291"/>
      <x:c r="PLB61" s="291"/>
      <x:c r="PLC61" s="291"/>
      <x:c r="PLD61" s="291"/>
      <x:c r="PLE61" s="291"/>
      <x:c r="PLF61" s="291"/>
      <x:c r="PLG61" s="291"/>
      <x:c r="PLH61" s="291"/>
      <x:c r="PLI61" s="291"/>
      <x:c r="PLJ61" s="291"/>
      <x:c r="PLK61" s="291"/>
      <x:c r="PLL61" s="291"/>
      <x:c r="PLM61" s="291"/>
      <x:c r="PLN61" s="291"/>
      <x:c r="PLO61" s="291"/>
      <x:c r="PLP61" s="291"/>
      <x:c r="PLQ61" s="291"/>
      <x:c r="PLR61" s="291"/>
      <x:c r="PLS61" s="291"/>
      <x:c r="PLT61" s="291"/>
      <x:c r="PLU61" s="291"/>
      <x:c r="PLV61" s="291"/>
      <x:c r="PLW61" s="291"/>
      <x:c r="PLX61" s="291"/>
      <x:c r="PLY61" s="291"/>
      <x:c r="PLZ61" s="291"/>
      <x:c r="PMA61" s="291"/>
      <x:c r="PMB61" s="291"/>
      <x:c r="PMC61" s="291"/>
      <x:c r="PMD61" s="291"/>
      <x:c r="PME61" s="291"/>
      <x:c r="PMF61" s="291"/>
      <x:c r="PMG61" s="291"/>
      <x:c r="PMH61" s="291"/>
      <x:c r="PMI61" s="291"/>
      <x:c r="PMJ61" s="291"/>
      <x:c r="PMK61" s="291"/>
      <x:c r="PML61" s="291"/>
      <x:c r="PMM61" s="291"/>
      <x:c r="PMN61" s="291"/>
      <x:c r="PMO61" s="291"/>
      <x:c r="PMP61" s="291"/>
      <x:c r="PMQ61" s="291"/>
      <x:c r="PMR61" s="291"/>
      <x:c r="PMS61" s="291"/>
      <x:c r="PMT61" s="291"/>
      <x:c r="PMU61" s="291"/>
      <x:c r="PMV61" s="291"/>
      <x:c r="PMW61" s="291"/>
      <x:c r="PMX61" s="291"/>
      <x:c r="PMY61" s="291"/>
      <x:c r="PMZ61" s="291"/>
      <x:c r="PNA61" s="291"/>
      <x:c r="PNB61" s="291"/>
      <x:c r="PNC61" s="291"/>
      <x:c r="PND61" s="291"/>
      <x:c r="PNE61" s="291"/>
      <x:c r="PNF61" s="291"/>
      <x:c r="PNG61" s="291"/>
      <x:c r="PNH61" s="291"/>
      <x:c r="PNI61" s="291"/>
      <x:c r="PNJ61" s="291"/>
      <x:c r="PNK61" s="291"/>
      <x:c r="PNL61" s="291"/>
      <x:c r="PNM61" s="291"/>
      <x:c r="PNN61" s="291"/>
      <x:c r="PNO61" s="291"/>
      <x:c r="PNP61" s="291"/>
      <x:c r="PNQ61" s="291"/>
      <x:c r="PNR61" s="291"/>
      <x:c r="PNS61" s="291"/>
      <x:c r="PNT61" s="291"/>
      <x:c r="PNU61" s="291"/>
      <x:c r="PNV61" s="291"/>
      <x:c r="PNW61" s="291"/>
      <x:c r="PNX61" s="291"/>
      <x:c r="PNY61" s="291"/>
      <x:c r="PNZ61" s="291"/>
      <x:c r="POA61" s="291"/>
      <x:c r="POB61" s="291"/>
      <x:c r="POC61" s="291"/>
      <x:c r="POD61" s="291"/>
      <x:c r="POE61" s="291"/>
      <x:c r="POF61" s="291"/>
      <x:c r="POG61" s="291"/>
      <x:c r="POH61" s="291"/>
      <x:c r="POI61" s="291"/>
      <x:c r="POJ61" s="291"/>
      <x:c r="POK61" s="291"/>
      <x:c r="POL61" s="291"/>
      <x:c r="POM61" s="291"/>
      <x:c r="PON61" s="291"/>
      <x:c r="POO61" s="291"/>
      <x:c r="POP61" s="291"/>
      <x:c r="POQ61" s="291"/>
      <x:c r="POR61" s="291"/>
      <x:c r="POS61" s="291"/>
      <x:c r="POT61" s="291"/>
      <x:c r="POU61" s="291"/>
      <x:c r="POV61" s="291"/>
      <x:c r="POW61" s="291"/>
      <x:c r="POX61" s="291"/>
      <x:c r="POY61" s="291"/>
      <x:c r="POZ61" s="291"/>
      <x:c r="PPA61" s="291"/>
      <x:c r="PPB61" s="291"/>
      <x:c r="PPC61" s="291"/>
      <x:c r="PPD61" s="291"/>
      <x:c r="PPE61" s="291"/>
      <x:c r="PPF61" s="291"/>
      <x:c r="PPG61" s="291"/>
      <x:c r="PPH61" s="291"/>
      <x:c r="PPI61" s="291"/>
      <x:c r="PPJ61" s="291"/>
      <x:c r="PPK61" s="291"/>
      <x:c r="PPL61" s="291"/>
      <x:c r="PPM61" s="291"/>
      <x:c r="PPN61" s="291"/>
      <x:c r="PPO61" s="291"/>
      <x:c r="PPP61" s="291"/>
      <x:c r="PPQ61" s="291"/>
      <x:c r="PPR61" s="291"/>
      <x:c r="PPS61" s="291"/>
      <x:c r="PPT61" s="291"/>
      <x:c r="PPU61" s="291"/>
      <x:c r="PPV61" s="291"/>
      <x:c r="PPW61" s="291"/>
      <x:c r="PPX61" s="291"/>
      <x:c r="PPY61" s="291"/>
      <x:c r="PPZ61" s="291"/>
      <x:c r="PQA61" s="291"/>
      <x:c r="PQB61" s="291"/>
      <x:c r="PQC61" s="291"/>
      <x:c r="PQD61" s="291"/>
      <x:c r="PQE61" s="291"/>
      <x:c r="PQF61" s="291"/>
      <x:c r="PQG61" s="291"/>
      <x:c r="PQH61" s="291"/>
      <x:c r="PQI61" s="291"/>
      <x:c r="PQJ61" s="291"/>
      <x:c r="PQK61" s="291"/>
      <x:c r="PQL61" s="291"/>
      <x:c r="PQM61" s="291"/>
      <x:c r="PQN61" s="291"/>
      <x:c r="PQO61" s="291"/>
      <x:c r="PQP61" s="291"/>
      <x:c r="PQQ61" s="291"/>
      <x:c r="PQR61" s="291"/>
      <x:c r="PQS61" s="291"/>
      <x:c r="PQT61" s="291"/>
      <x:c r="PQU61" s="291"/>
      <x:c r="PQV61" s="291"/>
      <x:c r="PQW61" s="291"/>
      <x:c r="PQX61" s="291"/>
      <x:c r="PQY61" s="291"/>
      <x:c r="PQZ61" s="291"/>
      <x:c r="PRA61" s="291"/>
      <x:c r="PRB61" s="291"/>
      <x:c r="PRC61" s="291"/>
      <x:c r="PRD61" s="291"/>
      <x:c r="PRE61" s="291"/>
      <x:c r="PRF61" s="291"/>
      <x:c r="PRG61" s="291"/>
      <x:c r="PRH61" s="291"/>
      <x:c r="PRI61" s="291"/>
      <x:c r="PRJ61" s="291"/>
      <x:c r="PRK61" s="291"/>
      <x:c r="PRL61" s="291"/>
      <x:c r="PRM61" s="291"/>
      <x:c r="PRN61" s="291"/>
      <x:c r="PRO61" s="291"/>
      <x:c r="PRP61" s="291"/>
      <x:c r="PRQ61" s="291"/>
      <x:c r="PRR61" s="291"/>
      <x:c r="PRS61" s="291"/>
      <x:c r="PRT61" s="291"/>
      <x:c r="PRU61" s="291"/>
      <x:c r="PRV61" s="291"/>
      <x:c r="PRW61" s="291"/>
      <x:c r="PRX61" s="291"/>
      <x:c r="PRY61" s="291"/>
      <x:c r="PRZ61" s="291"/>
      <x:c r="PSA61" s="291"/>
      <x:c r="PSB61" s="291"/>
      <x:c r="PSC61" s="291"/>
      <x:c r="PSD61" s="291"/>
      <x:c r="PSE61" s="291"/>
      <x:c r="PSF61" s="291"/>
      <x:c r="PSG61" s="291"/>
      <x:c r="PSH61" s="291"/>
      <x:c r="PSI61" s="291"/>
      <x:c r="PSJ61" s="291"/>
      <x:c r="PSK61" s="291"/>
      <x:c r="PSL61" s="291"/>
      <x:c r="PSM61" s="291"/>
      <x:c r="PSN61" s="291"/>
      <x:c r="PSO61" s="291"/>
      <x:c r="PSP61" s="291"/>
      <x:c r="PSQ61" s="291"/>
      <x:c r="PSR61" s="291"/>
      <x:c r="PSS61" s="291"/>
      <x:c r="PST61" s="291"/>
      <x:c r="PSU61" s="291"/>
      <x:c r="PSV61" s="291"/>
      <x:c r="PSW61" s="291"/>
      <x:c r="PSX61" s="291"/>
      <x:c r="PSY61" s="291"/>
      <x:c r="PSZ61" s="291"/>
      <x:c r="PTA61" s="291"/>
      <x:c r="PTB61" s="291"/>
      <x:c r="PTC61" s="291"/>
      <x:c r="PTD61" s="291"/>
      <x:c r="PTE61" s="291"/>
      <x:c r="PTF61" s="291"/>
      <x:c r="PTG61" s="291"/>
      <x:c r="PTH61" s="291"/>
      <x:c r="PTI61" s="291"/>
      <x:c r="PTJ61" s="291"/>
      <x:c r="PTK61" s="291"/>
      <x:c r="PTL61" s="291"/>
      <x:c r="PTM61" s="291"/>
      <x:c r="PTN61" s="291"/>
      <x:c r="PTO61" s="291"/>
      <x:c r="PTP61" s="291"/>
      <x:c r="PTQ61" s="291"/>
      <x:c r="PTR61" s="291"/>
      <x:c r="PTS61" s="291"/>
      <x:c r="PTT61" s="291"/>
      <x:c r="PTU61" s="291"/>
      <x:c r="PTV61" s="291"/>
      <x:c r="PTW61" s="291"/>
      <x:c r="PTX61" s="291"/>
      <x:c r="PTY61" s="291"/>
      <x:c r="PTZ61" s="291"/>
      <x:c r="PUA61" s="291"/>
      <x:c r="PUB61" s="291"/>
      <x:c r="PUC61" s="291"/>
      <x:c r="PUD61" s="291"/>
      <x:c r="PUE61" s="291"/>
      <x:c r="PUF61" s="291"/>
      <x:c r="PUG61" s="291"/>
      <x:c r="PUH61" s="291"/>
      <x:c r="PUI61" s="291"/>
      <x:c r="PUJ61" s="291"/>
      <x:c r="PUK61" s="291"/>
      <x:c r="PUL61" s="291"/>
      <x:c r="PUM61" s="291"/>
      <x:c r="PUN61" s="291"/>
      <x:c r="PUO61" s="291"/>
      <x:c r="PUP61" s="291"/>
      <x:c r="PUQ61" s="291"/>
      <x:c r="PUR61" s="291"/>
      <x:c r="PUS61" s="291"/>
      <x:c r="PUT61" s="291"/>
      <x:c r="PUU61" s="291"/>
      <x:c r="PUV61" s="291"/>
      <x:c r="PUW61" s="291"/>
      <x:c r="PUX61" s="291"/>
      <x:c r="PUY61" s="291"/>
      <x:c r="PUZ61" s="291"/>
      <x:c r="PVA61" s="291"/>
      <x:c r="PVB61" s="291"/>
      <x:c r="PVC61" s="291"/>
      <x:c r="PVD61" s="291"/>
      <x:c r="PVE61" s="291"/>
      <x:c r="PVF61" s="291"/>
      <x:c r="PVG61" s="291"/>
      <x:c r="PVH61" s="291"/>
      <x:c r="PVI61" s="291"/>
      <x:c r="PVJ61" s="291"/>
      <x:c r="PVK61" s="291"/>
      <x:c r="PVL61" s="291"/>
      <x:c r="PVM61" s="291"/>
      <x:c r="PVN61" s="291"/>
      <x:c r="PVO61" s="291"/>
      <x:c r="PVP61" s="291"/>
      <x:c r="PVQ61" s="291"/>
      <x:c r="PVR61" s="291"/>
      <x:c r="PVS61" s="291"/>
      <x:c r="PVT61" s="291"/>
      <x:c r="PVU61" s="291"/>
      <x:c r="PVV61" s="291"/>
      <x:c r="PVW61" s="291"/>
      <x:c r="PVX61" s="291"/>
      <x:c r="PVY61" s="291"/>
      <x:c r="PVZ61" s="291"/>
      <x:c r="PWA61" s="291"/>
      <x:c r="PWB61" s="291"/>
      <x:c r="PWC61" s="291"/>
      <x:c r="PWD61" s="291"/>
      <x:c r="PWE61" s="291"/>
      <x:c r="PWF61" s="291"/>
      <x:c r="PWG61" s="291"/>
      <x:c r="PWH61" s="291"/>
      <x:c r="PWI61" s="291"/>
      <x:c r="PWJ61" s="291"/>
      <x:c r="PWK61" s="291"/>
      <x:c r="PWL61" s="291"/>
      <x:c r="PWM61" s="291"/>
      <x:c r="PWN61" s="291"/>
      <x:c r="PWO61" s="291"/>
      <x:c r="PWP61" s="291"/>
      <x:c r="PWQ61" s="291"/>
      <x:c r="PWR61" s="291"/>
      <x:c r="PWS61" s="291"/>
      <x:c r="PWT61" s="291"/>
      <x:c r="PWU61" s="291"/>
      <x:c r="PWV61" s="291"/>
      <x:c r="PWW61" s="291"/>
      <x:c r="PWX61" s="291"/>
      <x:c r="PWY61" s="291"/>
      <x:c r="PWZ61" s="291"/>
      <x:c r="PXA61" s="291"/>
      <x:c r="PXB61" s="291"/>
      <x:c r="PXC61" s="291"/>
      <x:c r="PXD61" s="291"/>
      <x:c r="PXE61" s="291"/>
      <x:c r="PXF61" s="291"/>
      <x:c r="PXG61" s="291"/>
      <x:c r="PXH61" s="291"/>
      <x:c r="PXI61" s="291"/>
      <x:c r="PXJ61" s="291"/>
      <x:c r="PXK61" s="291"/>
      <x:c r="PXL61" s="291"/>
      <x:c r="PXM61" s="291"/>
      <x:c r="PXN61" s="291"/>
      <x:c r="PXO61" s="291"/>
      <x:c r="PXP61" s="291"/>
      <x:c r="PXQ61" s="291"/>
      <x:c r="PXR61" s="291"/>
      <x:c r="PXS61" s="291"/>
      <x:c r="PXT61" s="291"/>
      <x:c r="PXU61" s="291"/>
      <x:c r="PXV61" s="291"/>
      <x:c r="PXW61" s="291"/>
      <x:c r="PXX61" s="291"/>
      <x:c r="PXY61" s="291"/>
      <x:c r="PXZ61" s="291"/>
      <x:c r="PYA61" s="291"/>
      <x:c r="PYB61" s="291"/>
      <x:c r="PYC61" s="291"/>
      <x:c r="PYD61" s="291"/>
      <x:c r="PYE61" s="291"/>
      <x:c r="PYF61" s="291"/>
      <x:c r="PYG61" s="291"/>
      <x:c r="PYH61" s="291"/>
      <x:c r="PYI61" s="291"/>
      <x:c r="PYJ61" s="291"/>
      <x:c r="PYK61" s="291"/>
      <x:c r="PYL61" s="291"/>
      <x:c r="PYM61" s="291"/>
      <x:c r="PYN61" s="291"/>
      <x:c r="PYO61" s="291"/>
      <x:c r="PYP61" s="291"/>
      <x:c r="PYQ61" s="291"/>
      <x:c r="PYR61" s="291"/>
      <x:c r="PYS61" s="291"/>
      <x:c r="PYT61" s="291"/>
      <x:c r="PYU61" s="291"/>
      <x:c r="PYV61" s="291"/>
      <x:c r="PYW61" s="291"/>
      <x:c r="PYX61" s="291"/>
      <x:c r="PYY61" s="291"/>
      <x:c r="PYZ61" s="291"/>
      <x:c r="PZA61" s="291"/>
      <x:c r="PZB61" s="291"/>
      <x:c r="PZC61" s="291"/>
      <x:c r="PZD61" s="291"/>
      <x:c r="PZE61" s="291"/>
      <x:c r="PZF61" s="291"/>
      <x:c r="PZG61" s="291"/>
      <x:c r="PZH61" s="291"/>
      <x:c r="PZI61" s="291"/>
      <x:c r="PZJ61" s="291"/>
      <x:c r="PZK61" s="291"/>
      <x:c r="PZL61" s="291"/>
      <x:c r="PZM61" s="291"/>
      <x:c r="PZN61" s="291"/>
      <x:c r="PZO61" s="291"/>
      <x:c r="PZP61" s="291"/>
      <x:c r="PZQ61" s="291"/>
      <x:c r="PZR61" s="291"/>
      <x:c r="PZS61" s="291"/>
      <x:c r="PZT61" s="291"/>
      <x:c r="PZU61" s="291"/>
      <x:c r="PZV61" s="291"/>
      <x:c r="PZW61" s="291"/>
      <x:c r="PZX61" s="291"/>
      <x:c r="PZY61" s="291"/>
      <x:c r="PZZ61" s="291"/>
      <x:c r="QAA61" s="291"/>
      <x:c r="QAB61" s="291"/>
      <x:c r="QAC61" s="291"/>
      <x:c r="QAD61" s="291"/>
      <x:c r="QAE61" s="291"/>
      <x:c r="QAF61" s="291"/>
      <x:c r="QAG61" s="291"/>
      <x:c r="QAH61" s="291"/>
      <x:c r="QAI61" s="291"/>
      <x:c r="QAJ61" s="291"/>
      <x:c r="QAK61" s="291"/>
      <x:c r="QAL61" s="291"/>
      <x:c r="QAM61" s="291"/>
      <x:c r="QAN61" s="291"/>
      <x:c r="QAO61" s="291"/>
      <x:c r="QAP61" s="291"/>
      <x:c r="QAQ61" s="291"/>
      <x:c r="QAR61" s="291"/>
      <x:c r="QAS61" s="291"/>
      <x:c r="QAT61" s="291"/>
      <x:c r="QAU61" s="291"/>
      <x:c r="QAV61" s="291"/>
      <x:c r="QAW61" s="291"/>
      <x:c r="QAX61" s="291"/>
      <x:c r="QAY61" s="291"/>
      <x:c r="QAZ61" s="291"/>
      <x:c r="QBA61" s="291"/>
      <x:c r="QBB61" s="291"/>
      <x:c r="QBC61" s="291"/>
      <x:c r="QBD61" s="291"/>
      <x:c r="QBE61" s="291"/>
      <x:c r="QBF61" s="291"/>
      <x:c r="QBG61" s="291"/>
      <x:c r="QBH61" s="291"/>
      <x:c r="QBI61" s="291"/>
      <x:c r="QBJ61" s="291"/>
      <x:c r="QBK61" s="291"/>
      <x:c r="QBL61" s="291"/>
      <x:c r="QBM61" s="291"/>
      <x:c r="QBN61" s="291"/>
      <x:c r="QBO61" s="291"/>
      <x:c r="QBP61" s="291"/>
      <x:c r="QBQ61" s="291"/>
      <x:c r="QBR61" s="291"/>
      <x:c r="QBS61" s="291"/>
      <x:c r="QBT61" s="291"/>
      <x:c r="QBU61" s="291"/>
      <x:c r="QBV61" s="291"/>
      <x:c r="QBW61" s="291"/>
      <x:c r="QBX61" s="291"/>
      <x:c r="QBY61" s="291"/>
      <x:c r="QBZ61" s="291"/>
      <x:c r="QCA61" s="291"/>
      <x:c r="QCB61" s="291"/>
      <x:c r="QCC61" s="291"/>
      <x:c r="QCD61" s="291"/>
      <x:c r="QCE61" s="291"/>
      <x:c r="QCF61" s="291"/>
      <x:c r="QCG61" s="291"/>
      <x:c r="QCH61" s="291"/>
      <x:c r="QCI61" s="291"/>
      <x:c r="QCJ61" s="291"/>
      <x:c r="QCK61" s="291"/>
      <x:c r="QCL61" s="291"/>
      <x:c r="QCM61" s="291"/>
      <x:c r="QCN61" s="291"/>
      <x:c r="QCO61" s="291"/>
      <x:c r="QCP61" s="291"/>
      <x:c r="QCQ61" s="291"/>
      <x:c r="QCR61" s="291"/>
      <x:c r="QCS61" s="291"/>
      <x:c r="QCT61" s="291"/>
      <x:c r="QCU61" s="291"/>
      <x:c r="QCV61" s="291"/>
      <x:c r="QCW61" s="291"/>
      <x:c r="QCX61" s="291"/>
      <x:c r="QCY61" s="291"/>
      <x:c r="QCZ61" s="291"/>
      <x:c r="QDA61" s="291"/>
      <x:c r="QDB61" s="291"/>
      <x:c r="QDC61" s="291"/>
      <x:c r="QDD61" s="291"/>
      <x:c r="QDE61" s="291"/>
      <x:c r="QDF61" s="291"/>
      <x:c r="QDG61" s="291"/>
      <x:c r="QDH61" s="291"/>
      <x:c r="QDI61" s="291"/>
      <x:c r="QDJ61" s="291"/>
      <x:c r="QDK61" s="291"/>
      <x:c r="QDL61" s="291"/>
      <x:c r="QDM61" s="291"/>
      <x:c r="QDN61" s="291"/>
      <x:c r="QDO61" s="291"/>
      <x:c r="QDP61" s="291"/>
      <x:c r="QDQ61" s="291"/>
      <x:c r="QDR61" s="291"/>
      <x:c r="QDS61" s="291"/>
      <x:c r="QDT61" s="291"/>
      <x:c r="QDU61" s="291"/>
      <x:c r="QDV61" s="291"/>
      <x:c r="QDW61" s="291"/>
      <x:c r="QDX61" s="291"/>
      <x:c r="QDY61" s="291"/>
      <x:c r="QDZ61" s="291"/>
      <x:c r="QEA61" s="291"/>
      <x:c r="QEB61" s="291"/>
      <x:c r="QEC61" s="291"/>
      <x:c r="QED61" s="291"/>
      <x:c r="QEE61" s="291"/>
      <x:c r="QEF61" s="291"/>
      <x:c r="QEG61" s="291"/>
      <x:c r="QEH61" s="291"/>
      <x:c r="QEI61" s="291"/>
      <x:c r="QEJ61" s="291"/>
      <x:c r="QEK61" s="291"/>
      <x:c r="QEL61" s="291"/>
      <x:c r="QEM61" s="291"/>
      <x:c r="QEN61" s="291"/>
      <x:c r="QEO61" s="291"/>
      <x:c r="QEP61" s="291"/>
      <x:c r="QEQ61" s="291"/>
      <x:c r="QER61" s="291"/>
      <x:c r="QES61" s="291"/>
      <x:c r="QET61" s="291"/>
      <x:c r="QEU61" s="291"/>
      <x:c r="QEV61" s="291"/>
      <x:c r="QEW61" s="291"/>
      <x:c r="QEX61" s="291"/>
      <x:c r="QEY61" s="291"/>
      <x:c r="QEZ61" s="291"/>
      <x:c r="QFA61" s="291"/>
      <x:c r="QFB61" s="291"/>
      <x:c r="QFC61" s="291"/>
      <x:c r="QFD61" s="291"/>
      <x:c r="QFE61" s="291"/>
      <x:c r="QFF61" s="291"/>
      <x:c r="QFG61" s="291"/>
      <x:c r="QFH61" s="291"/>
      <x:c r="QFI61" s="291"/>
      <x:c r="QFJ61" s="291"/>
      <x:c r="QFK61" s="291"/>
      <x:c r="QFL61" s="291"/>
      <x:c r="QFM61" s="291"/>
      <x:c r="QFN61" s="291"/>
      <x:c r="QFO61" s="291"/>
      <x:c r="QFP61" s="291"/>
      <x:c r="QFQ61" s="291"/>
      <x:c r="QFR61" s="291"/>
      <x:c r="QFS61" s="291"/>
      <x:c r="QFT61" s="291"/>
      <x:c r="QFU61" s="291"/>
      <x:c r="QFV61" s="291"/>
      <x:c r="QFW61" s="291"/>
      <x:c r="QFX61" s="291"/>
      <x:c r="QFY61" s="291"/>
      <x:c r="QFZ61" s="291"/>
      <x:c r="QGA61" s="291"/>
      <x:c r="QGB61" s="291"/>
      <x:c r="QGC61" s="291"/>
      <x:c r="QGD61" s="291"/>
      <x:c r="QGE61" s="291"/>
      <x:c r="QGF61" s="291"/>
      <x:c r="QGG61" s="291"/>
      <x:c r="QGH61" s="291"/>
      <x:c r="QGI61" s="291"/>
      <x:c r="QGJ61" s="291"/>
      <x:c r="QGK61" s="291"/>
      <x:c r="QGL61" s="291"/>
      <x:c r="QGM61" s="291"/>
      <x:c r="QGN61" s="291"/>
      <x:c r="QGO61" s="291"/>
      <x:c r="QGP61" s="291"/>
      <x:c r="QGQ61" s="291"/>
      <x:c r="QGR61" s="291"/>
      <x:c r="QGS61" s="291"/>
      <x:c r="QGT61" s="291"/>
      <x:c r="QGU61" s="291"/>
      <x:c r="QGV61" s="291"/>
      <x:c r="QGW61" s="291"/>
      <x:c r="QGX61" s="291"/>
      <x:c r="QGY61" s="291"/>
      <x:c r="QGZ61" s="291"/>
      <x:c r="QHA61" s="291"/>
      <x:c r="QHB61" s="291"/>
      <x:c r="QHC61" s="291"/>
      <x:c r="QHD61" s="291"/>
      <x:c r="QHE61" s="291"/>
      <x:c r="QHF61" s="291"/>
      <x:c r="QHG61" s="291"/>
      <x:c r="QHH61" s="291"/>
      <x:c r="QHI61" s="291"/>
      <x:c r="QHJ61" s="291"/>
      <x:c r="QHK61" s="291"/>
      <x:c r="QHL61" s="291"/>
      <x:c r="QHM61" s="291"/>
      <x:c r="QHN61" s="291"/>
      <x:c r="QHO61" s="291"/>
      <x:c r="QHP61" s="291"/>
      <x:c r="QHQ61" s="291"/>
      <x:c r="QHR61" s="291"/>
      <x:c r="QHS61" s="291"/>
      <x:c r="QHT61" s="291"/>
      <x:c r="QHU61" s="291"/>
      <x:c r="QHV61" s="291"/>
      <x:c r="QHW61" s="291"/>
      <x:c r="QHX61" s="291"/>
      <x:c r="QHY61" s="291"/>
      <x:c r="QHZ61" s="291"/>
      <x:c r="QIA61" s="291"/>
      <x:c r="QIB61" s="291"/>
      <x:c r="QIC61" s="291"/>
      <x:c r="QID61" s="291"/>
      <x:c r="QIE61" s="291"/>
      <x:c r="QIF61" s="291"/>
      <x:c r="QIG61" s="291"/>
      <x:c r="QIH61" s="291"/>
      <x:c r="QII61" s="291"/>
      <x:c r="QIJ61" s="291"/>
      <x:c r="QIK61" s="291"/>
      <x:c r="QIL61" s="291"/>
      <x:c r="QIM61" s="291"/>
      <x:c r="QIN61" s="291"/>
      <x:c r="QIO61" s="291"/>
      <x:c r="QIP61" s="291"/>
      <x:c r="QIQ61" s="291"/>
      <x:c r="QIR61" s="291"/>
      <x:c r="QIS61" s="291"/>
      <x:c r="QIT61" s="291"/>
      <x:c r="QIU61" s="291"/>
      <x:c r="QIV61" s="291"/>
      <x:c r="QIW61" s="291"/>
      <x:c r="QIX61" s="291"/>
      <x:c r="QIY61" s="291"/>
      <x:c r="QIZ61" s="291"/>
      <x:c r="QJA61" s="291"/>
      <x:c r="QJB61" s="291"/>
      <x:c r="QJC61" s="291"/>
      <x:c r="QJD61" s="291"/>
      <x:c r="QJE61" s="291"/>
      <x:c r="QJF61" s="291"/>
      <x:c r="QJG61" s="291"/>
      <x:c r="QJH61" s="291"/>
      <x:c r="QJI61" s="291"/>
      <x:c r="QJJ61" s="291"/>
      <x:c r="QJK61" s="291"/>
      <x:c r="QJL61" s="291"/>
      <x:c r="QJM61" s="291"/>
      <x:c r="QJN61" s="291"/>
      <x:c r="QJO61" s="291"/>
      <x:c r="QJP61" s="291"/>
      <x:c r="QJQ61" s="291"/>
      <x:c r="QJR61" s="291"/>
      <x:c r="QJS61" s="291"/>
      <x:c r="QJT61" s="291"/>
      <x:c r="QJU61" s="291"/>
      <x:c r="QJV61" s="291"/>
      <x:c r="QJW61" s="291"/>
      <x:c r="QJX61" s="291"/>
      <x:c r="QJY61" s="291"/>
      <x:c r="QJZ61" s="291"/>
      <x:c r="QKA61" s="291"/>
      <x:c r="QKB61" s="291"/>
      <x:c r="QKC61" s="291"/>
      <x:c r="QKD61" s="291"/>
      <x:c r="QKE61" s="291"/>
      <x:c r="QKF61" s="291"/>
      <x:c r="QKG61" s="291"/>
      <x:c r="QKH61" s="291"/>
      <x:c r="QKI61" s="291"/>
      <x:c r="QKJ61" s="291"/>
      <x:c r="QKK61" s="291"/>
      <x:c r="QKL61" s="291"/>
      <x:c r="QKM61" s="291"/>
      <x:c r="QKN61" s="291"/>
      <x:c r="QKO61" s="291"/>
      <x:c r="QKP61" s="291"/>
      <x:c r="QKQ61" s="291"/>
      <x:c r="QKR61" s="291"/>
      <x:c r="QKS61" s="291"/>
      <x:c r="QKT61" s="291"/>
      <x:c r="QKU61" s="291"/>
      <x:c r="QKV61" s="291"/>
      <x:c r="QKW61" s="291"/>
      <x:c r="QKX61" s="291"/>
      <x:c r="QKY61" s="291"/>
      <x:c r="QKZ61" s="291"/>
      <x:c r="QLA61" s="291"/>
      <x:c r="QLB61" s="291"/>
      <x:c r="QLC61" s="291"/>
      <x:c r="QLD61" s="291"/>
      <x:c r="QLE61" s="291"/>
      <x:c r="QLF61" s="291"/>
      <x:c r="QLG61" s="291"/>
      <x:c r="QLH61" s="291"/>
      <x:c r="QLI61" s="291"/>
      <x:c r="QLJ61" s="291"/>
      <x:c r="QLK61" s="291"/>
      <x:c r="QLL61" s="291"/>
      <x:c r="QLM61" s="291"/>
      <x:c r="QLN61" s="291"/>
      <x:c r="QLO61" s="291"/>
      <x:c r="QLP61" s="291"/>
      <x:c r="QLQ61" s="291"/>
      <x:c r="QLR61" s="291"/>
      <x:c r="QLS61" s="291"/>
      <x:c r="QLT61" s="291"/>
      <x:c r="QLU61" s="291"/>
      <x:c r="QLV61" s="291"/>
      <x:c r="QLW61" s="291"/>
      <x:c r="QLX61" s="291"/>
      <x:c r="QLY61" s="291"/>
      <x:c r="QLZ61" s="291"/>
      <x:c r="QMA61" s="291"/>
      <x:c r="QMB61" s="291"/>
      <x:c r="QMC61" s="291"/>
      <x:c r="QMD61" s="291"/>
      <x:c r="QME61" s="291"/>
      <x:c r="QMF61" s="291"/>
      <x:c r="QMG61" s="291"/>
      <x:c r="QMH61" s="291"/>
      <x:c r="QMI61" s="291"/>
      <x:c r="QMJ61" s="291"/>
      <x:c r="QMK61" s="291"/>
      <x:c r="QML61" s="291"/>
      <x:c r="QMM61" s="291"/>
      <x:c r="QMN61" s="291"/>
      <x:c r="QMO61" s="291"/>
      <x:c r="QMP61" s="291"/>
      <x:c r="QMQ61" s="291"/>
      <x:c r="QMR61" s="291"/>
      <x:c r="QMS61" s="291"/>
      <x:c r="QMT61" s="291"/>
      <x:c r="QMU61" s="291"/>
      <x:c r="QMV61" s="291"/>
      <x:c r="QMW61" s="291"/>
      <x:c r="QMX61" s="291"/>
      <x:c r="QMY61" s="291"/>
      <x:c r="QMZ61" s="291"/>
      <x:c r="QNA61" s="291"/>
      <x:c r="QNB61" s="291"/>
      <x:c r="QNC61" s="291"/>
      <x:c r="QND61" s="291"/>
      <x:c r="QNE61" s="291"/>
      <x:c r="QNF61" s="291"/>
      <x:c r="QNG61" s="291"/>
      <x:c r="QNH61" s="291"/>
      <x:c r="QNI61" s="291"/>
      <x:c r="QNJ61" s="291"/>
      <x:c r="QNK61" s="291"/>
      <x:c r="QNL61" s="291"/>
      <x:c r="QNM61" s="291"/>
      <x:c r="QNN61" s="291"/>
      <x:c r="QNO61" s="291"/>
      <x:c r="QNP61" s="291"/>
      <x:c r="QNQ61" s="291"/>
      <x:c r="QNR61" s="291"/>
      <x:c r="QNS61" s="291"/>
      <x:c r="QNT61" s="291"/>
      <x:c r="QNU61" s="291"/>
      <x:c r="QNV61" s="291"/>
      <x:c r="QNW61" s="291"/>
      <x:c r="QNX61" s="291"/>
      <x:c r="QNY61" s="291"/>
      <x:c r="QNZ61" s="291"/>
      <x:c r="QOA61" s="291"/>
      <x:c r="QOB61" s="291"/>
      <x:c r="QOC61" s="291"/>
      <x:c r="QOD61" s="291"/>
      <x:c r="QOE61" s="291"/>
      <x:c r="QOF61" s="291"/>
      <x:c r="QOG61" s="291"/>
      <x:c r="QOH61" s="291"/>
      <x:c r="QOI61" s="291"/>
      <x:c r="QOJ61" s="291"/>
      <x:c r="QOK61" s="291"/>
      <x:c r="QOL61" s="291"/>
      <x:c r="QOM61" s="291"/>
      <x:c r="QON61" s="291"/>
      <x:c r="QOO61" s="291"/>
      <x:c r="QOP61" s="291"/>
      <x:c r="QOQ61" s="291"/>
      <x:c r="QOR61" s="291"/>
      <x:c r="QOS61" s="291"/>
      <x:c r="QOT61" s="291"/>
      <x:c r="QOU61" s="291"/>
      <x:c r="QOV61" s="291"/>
      <x:c r="QOW61" s="291"/>
      <x:c r="QOX61" s="291"/>
      <x:c r="QOY61" s="291"/>
      <x:c r="QOZ61" s="291"/>
      <x:c r="QPA61" s="291"/>
      <x:c r="QPB61" s="291"/>
      <x:c r="QPC61" s="291"/>
      <x:c r="QPD61" s="291"/>
      <x:c r="QPE61" s="291"/>
      <x:c r="QPF61" s="291"/>
      <x:c r="QPG61" s="291"/>
      <x:c r="QPH61" s="291"/>
      <x:c r="QPI61" s="291"/>
      <x:c r="QPJ61" s="291"/>
      <x:c r="QPK61" s="291"/>
      <x:c r="QPL61" s="291"/>
      <x:c r="QPM61" s="291"/>
      <x:c r="QPN61" s="291"/>
      <x:c r="QPO61" s="291"/>
      <x:c r="QPP61" s="291"/>
      <x:c r="QPQ61" s="291"/>
      <x:c r="QPR61" s="291"/>
      <x:c r="QPS61" s="291"/>
      <x:c r="QPT61" s="291"/>
      <x:c r="QPU61" s="291"/>
      <x:c r="QPV61" s="291"/>
      <x:c r="QPW61" s="291"/>
      <x:c r="QPX61" s="291"/>
      <x:c r="QPY61" s="291"/>
      <x:c r="QPZ61" s="291"/>
      <x:c r="QQA61" s="291"/>
      <x:c r="QQB61" s="291"/>
      <x:c r="QQC61" s="291"/>
      <x:c r="QQD61" s="291"/>
      <x:c r="QQE61" s="291"/>
      <x:c r="QQF61" s="291"/>
      <x:c r="QQG61" s="291"/>
      <x:c r="QQH61" s="291"/>
      <x:c r="QQI61" s="291"/>
      <x:c r="QQJ61" s="291"/>
      <x:c r="QQK61" s="291"/>
      <x:c r="QQL61" s="291"/>
      <x:c r="QQM61" s="291"/>
      <x:c r="QQN61" s="291"/>
      <x:c r="QQO61" s="291"/>
      <x:c r="QQP61" s="291"/>
      <x:c r="QQQ61" s="291"/>
      <x:c r="QQR61" s="291"/>
      <x:c r="QQS61" s="291"/>
      <x:c r="QQT61" s="291"/>
      <x:c r="QQU61" s="291"/>
      <x:c r="QQV61" s="291"/>
      <x:c r="QQW61" s="291"/>
      <x:c r="QQX61" s="291"/>
      <x:c r="QQY61" s="291"/>
      <x:c r="QQZ61" s="291"/>
      <x:c r="QRA61" s="291"/>
      <x:c r="QRB61" s="291"/>
      <x:c r="QRC61" s="291"/>
      <x:c r="QRD61" s="291"/>
      <x:c r="QRE61" s="291"/>
      <x:c r="QRF61" s="291"/>
      <x:c r="QRG61" s="291"/>
      <x:c r="QRH61" s="291"/>
      <x:c r="QRI61" s="291"/>
      <x:c r="QRJ61" s="291"/>
      <x:c r="QRK61" s="291"/>
      <x:c r="QRL61" s="291"/>
      <x:c r="QRM61" s="291"/>
      <x:c r="QRN61" s="291"/>
      <x:c r="QRO61" s="291"/>
      <x:c r="QRP61" s="291"/>
      <x:c r="QRQ61" s="291"/>
      <x:c r="QRR61" s="291"/>
      <x:c r="QRS61" s="291"/>
      <x:c r="QRT61" s="291"/>
      <x:c r="QRU61" s="291"/>
      <x:c r="QRV61" s="291"/>
      <x:c r="QRW61" s="291"/>
      <x:c r="QRX61" s="291"/>
      <x:c r="QRY61" s="291"/>
      <x:c r="QRZ61" s="291"/>
      <x:c r="QSA61" s="291"/>
      <x:c r="QSB61" s="291"/>
      <x:c r="QSC61" s="291"/>
      <x:c r="QSD61" s="291"/>
      <x:c r="QSE61" s="291"/>
      <x:c r="QSF61" s="291"/>
      <x:c r="QSG61" s="291"/>
      <x:c r="QSH61" s="291"/>
      <x:c r="QSI61" s="291"/>
      <x:c r="QSJ61" s="291"/>
      <x:c r="QSK61" s="291"/>
      <x:c r="QSL61" s="291"/>
      <x:c r="QSM61" s="291"/>
      <x:c r="QSN61" s="291"/>
      <x:c r="QSO61" s="291"/>
      <x:c r="QSP61" s="291"/>
      <x:c r="QSQ61" s="291"/>
      <x:c r="QSR61" s="291"/>
      <x:c r="QSS61" s="291"/>
      <x:c r="QST61" s="291"/>
      <x:c r="QSU61" s="291"/>
      <x:c r="QSV61" s="291"/>
      <x:c r="QSW61" s="291"/>
      <x:c r="QSX61" s="291"/>
      <x:c r="QSY61" s="291"/>
      <x:c r="QSZ61" s="291"/>
      <x:c r="QTA61" s="291"/>
      <x:c r="QTB61" s="291"/>
      <x:c r="QTC61" s="291"/>
      <x:c r="QTD61" s="291"/>
      <x:c r="QTE61" s="291"/>
      <x:c r="QTF61" s="291"/>
      <x:c r="QTG61" s="291"/>
      <x:c r="QTH61" s="291"/>
      <x:c r="QTI61" s="291"/>
      <x:c r="QTJ61" s="291"/>
      <x:c r="QTK61" s="291"/>
      <x:c r="QTL61" s="291"/>
      <x:c r="QTM61" s="291"/>
      <x:c r="QTN61" s="291"/>
      <x:c r="QTO61" s="291"/>
      <x:c r="QTP61" s="291"/>
      <x:c r="QTQ61" s="291"/>
      <x:c r="QTR61" s="291"/>
      <x:c r="QTS61" s="291"/>
      <x:c r="QTT61" s="291"/>
      <x:c r="QTU61" s="291"/>
      <x:c r="QTV61" s="291"/>
      <x:c r="QTW61" s="291"/>
      <x:c r="QTX61" s="291"/>
      <x:c r="QTY61" s="291"/>
      <x:c r="QTZ61" s="291"/>
      <x:c r="QUA61" s="291"/>
      <x:c r="QUB61" s="291"/>
      <x:c r="QUC61" s="291"/>
      <x:c r="QUD61" s="291"/>
      <x:c r="QUE61" s="291"/>
      <x:c r="QUF61" s="291"/>
      <x:c r="QUG61" s="291"/>
      <x:c r="QUH61" s="291"/>
      <x:c r="QUI61" s="291"/>
      <x:c r="QUJ61" s="291"/>
      <x:c r="QUK61" s="291"/>
      <x:c r="QUL61" s="291"/>
      <x:c r="QUM61" s="291"/>
      <x:c r="QUN61" s="291"/>
      <x:c r="QUO61" s="291"/>
      <x:c r="QUP61" s="291"/>
      <x:c r="QUQ61" s="291"/>
      <x:c r="QUR61" s="291"/>
      <x:c r="QUS61" s="291"/>
      <x:c r="QUT61" s="291"/>
      <x:c r="QUU61" s="291"/>
      <x:c r="QUV61" s="291"/>
      <x:c r="QUW61" s="291"/>
      <x:c r="QUX61" s="291"/>
      <x:c r="QUY61" s="291"/>
      <x:c r="QUZ61" s="291"/>
      <x:c r="QVA61" s="291"/>
      <x:c r="QVB61" s="291"/>
      <x:c r="QVC61" s="291"/>
      <x:c r="QVD61" s="291"/>
      <x:c r="QVE61" s="291"/>
      <x:c r="QVF61" s="291"/>
      <x:c r="QVG61" s="291"/>
      <x:c r="QVH61" s="291"/>
      <x:c r="QVI61" s="291"/>
      <x:c r="QVJ61" s="291"/>
      <x:c r="QVK61" s="291"/>
      <x:c r="QVL61" s="291"/>
      <x:c r="QVM61" s="291"/>
      <x:c r="QVN61" s="291"/>
      <x:c r="QVO61" s="291"/>
      <x:c r="QVP61" s="291"/>
      <x:c r="QVQ61" s="291"/>
      <x:c r="QVR61" s="291"/>
      <x:c r="QVS61" s="291"/>
      <x:c r="QVT61" s="291"/>
      <x:c r="QVU61" s="291"/>
      <x:c r="QVV61" s="291"/>
      <x:c r="QVW61" s="291"/>
      <x:c r="QVX61" s="291"/>
      <x:c r="QVY61" s="291"/>
      <x:c r="QVZ61" s="291"/>
      <x:c r="QWA61" s="291"/>
      <x:c r="QWB61" s="291"/>
      <x:c r="QWC61" s="291"/>
      <x:c r="QWD61" s="291"/>
      <x:c r="QWE61" s="291"/>
      <x:c r="QWF61" s="291"/>
      <x:c r="QWG61" s="291"/>
      <x:c r="QWH61" s="291"/>
      <x:c r="QWI61" s="291"/>
      <x:c r="QWJ61" s="291"/>
      <x:c r="QWK61" s="291"/>
      <x:c r="QWL61" s="291"/>
      <x:c r="QWM61" s="291"/>
      <x:c r="QWN61" s="291"/>
      <x:c r="QWO61" s="291"/>
      <x:c r="QWP61" s="291"/>
      <x:c r="QWQ61" s="291"/>
      <x:c r="QWR61" s="291"/>
      <x:c r="QWS61" s="291"/>
      <x:c r="QWT61" s="291"/>
      <x:c r="QWU61" s="291"/>
      <x:c r="QWV61" s="291"/>
      <x:c r="QWW61" s="291"/>
      <x:c r="QWX61" s="291"/>
      <x:c r="QWY61" s="291"/>
      <x:c r="QWZ61" s="291"/>
      <x:c r="QXA61" s="291"/>
      <x:c r="QXB61" s="291"/>
      <x:c r="QXC61" s="291"/>
      <x:c r="QXD61" s="291"/>
      <x:c r="QXE61" s="291"/>
      <x:c r="QXF61" s="291"/>
      <x:c r="QXG61" s="291"/>
      <x:c r="QXH61" s="291"/>
      <x:c r="QXI61" s="291"/>
      <x:c r="QXJ61" s="291"/>
      <x:c r="QXK61" s="291"/>
      <x:c r="QXL61" s="291"/>
      <x:c r="QXM61" s="291"/>
      <x:c r="QXN61" s="291"/>
      <x:c r="QXO61" s="291"/>
      <x:c r="QXP61" s="291"/>
      <x:c r="QXQ61" s="291"/>
      <x:c r="QXR61" s="291"/>
      <x:c r="QXS61" s="291"/>
      <x:c r="QXT61" s="291"/>
      <x:c r="QXU61" s="291"/>
      <x:c r="QXV61" s="291"/>
      <x:c r="QXW61" s="291"/>
      <x:c r="QXX61" s="291"/>
      <x:c r="QXY61" s="291"/>
      <x:c r="QXZ61" s="291"/>
      <x:c r="QYA61" s="291"/>
      <x:c r="QYB61" s="291"/>
      <x:c r="QYC61" s="291"/>
      <x:c r="QYD61" s="291"/>
      <x:c r="QYE61" s="291"/>
      <x:c r="QYF61" s="291"/>
      <x:c r="QYG61" s="291"/>
      <x:c r="QYH61" s="291"/>
      <x:c r="QYI61" s="291"/>
      <x:c r="QYJ61" s="291"/>
      <x:c r="QYK61" s="291"/>
      <x:c r="QYL61" s="291"/>
      <x:c r="QYM61" s="291"/>
      <x:c r="QYN61" s="291"/>
      <x:c r="QYO61" s="291"/>
      <x:c r="QYP61" s="291"/>
      <x:c r="QYQ61" s="291"/>
      <x:c r="QYR61" s="291"/>
      <x:c r="QYS61" s="291"/>
      <x:c r="QYT61" s="291"/>
      <x:c r="QYU61" s="291"/>
      <x:c r="QYV61" s="291"/>
      <x:c r="QYW61" s="291"/>
      <x:c r="QYX61" s="291"/>
      <x:c r="QYY61" s="291"/>
      <x:c r="QYZ61" s="291"/>
      <x:c r="QZA61" s="291"/>
      <x:c r="QZB61" s="291"/>
      <x:c r="QZC61" s="291"/>
      <x:c r="QZD61" s="291"/>
      <x:c r="QZE61" s="291"/>
      <x:c r="QZF61" s="291"/>
      <x:c r="QZG61" s="291"/>
      <x:c r="QZH61" s="291"/>
      <x:c r="QZI61" s="291"/>
      <x:c r="QZJ61" s="291"/>
      <x:c r="QZK61" s="291"/>
      <x:c r="QZL61" s="291"/>
      <x:c r="QZM61" s="291"/>
      <x:c r="QZN61" s="291"/>
      <x:c r="QZO61" s="291"/>
      <x:c r="QZP61" s="291"/>
      <x:c r="QZQ61" s="291"/>
      <x:c r="QZR61" s="291"/>
      <x:c r="QZS61" s="291"/>
      <x:c r="QZT61" s="291"/>
      <x:c r="QZU61" s="291"/>
      <x:c r="QZV61" s="291"/>
      <x:c r="QZW61" s="291"/>
      <x:c r="QZX61" s="291"/>
      <x:c r="QZY61" s="291"/>
      <x:c r="QZZ61" s="291"/>
      <x:c r="RAA61" s="291"/>
      <x:c r="RAB61" s="291"/>
      <x:c r="RAC61" s="291"/>
      <x:c r="RAD61" s="291"/>
      <x:c r="RAE61" s="291"/>
      <x:c r="RAF61" s="291"/>
      <x:c r="RAG61" s="291"/>
      <x:c r="RAH61" s="291"/>
      <x:c r="RAI61" s="291"/>
      <x:c r="RAJ61" s="291"/>
      <x:c r="RAK61" s="291"/>
      <x:c r="RAL61" s="291"/>
      <x:c r="RAM61" s="291"/>
      <x:c r="RAN61" s="291"/>
      <x:c r="RAO61" s="291"/>
      <x:c r="RAP61" s="291"/>
      <x:c r="RAQ61" s="291"/>
      <x:c r="RAR61" s="291"/>
      <x:c r="RAS61" s="291"/>
      <x:c r="RAT61" s="291"/>
      <x:c r="RAU61" s="291"/>
      <x:c r="RAV61" s="291"/>
      <x:c r="RAW61" s="291"/>
      <x:c r="RAX61" s="291"/>
      <x:c r="RAY61" s="291"/>
      <x:c r="RAZ61" s="291"/>
      <x:c r="RBA61" s="291"/>
      <x:c r="RBB61" s="291"/>
      <x:c r="RBC61" s="291"/>
      <x:c r="RBD61" s="291"/>
      <x:c r="RBE61" s="291"/>
      <x:c r="RBF61" s="291"/>
      <x:c r="RBG61" s="291"/>
      <x:c r="RBH61" s="291"/>
      <x:c r="RBI61" s="291"/>
      <x:c r="RBJ61" s="291"/>
      <x:c r="RBK61" s="291"/>
      <x:c r="RBL61" s="291"/>
      <x:c r="RBM61" s="291"/>
      <x:c r="RBN61" s="291"/>
      <x:c r="RBO61" s="291"/>
      <x:c r="RBP61" s="291"/>
      <x:c r="RBQ61" s="291"/>
      <x:c r="RBR61" s="291"/>
      <x:c r="RBS61" s="291"/>
      <x:c r="RBT61" s="291"/>
      <x:c r="RBU61" s="291"/>
      <x:c r="RBV61" s="291"/>
      <x:c r="RBW61" s="291"/>
      <x:c r="RBX61" s="291"/>
      <x:c r="RBY61" s="291"/>
      <x:c r="RBZ61" s="291"/>
      <x:c r="RCA61" s="291"/>
      <x:c r="RCB61" s="291"/>
      <x:c r="RCC61" s="291"/>
      <x:c r="RCD61" s="291"/>
      <x:c r="RCE61" s="291"/>
      <x:c r="RCF61" s="291"/>
      <x:c r="RCG61" s="291"/>
      <x:c r="RCH61" s="291"/>
      <x:c r="RCI61" s="291"/>
      <x:c r="RCJ61" s="291"/>
      <x:c r="RCK61" s="291"/>
      <x:c r="RCL61" s="291"/>
      <x:c r="RCM61" s="291"/>
      <x:c r="RCN61" s="291"/>
      <x:c r="RCO61" s="291"/>
      <x:c r="RCP61" s="291"/>
      <x:c r="RCQ61" s="291"/>
      <x:c r="RCR61" s="291"/>
      <x:c r="RCS61" s="291"/>
      <x:c r="RCT61" s="291"/>
      <x:c r="RCU61" s="291"/>
      <x:c r="RCV61" s="291"/>
      <x:c r="RCW61" s="291"/>
      <x:c r="RCX61" s="291"/>
      <x:c r="RCY61" s="291"/>
      <x:c r="RCZ61" s="291"/>
      <x:c r="RDA61" s="291"/>
      <x:c r="RDB61" s="291"/>
      <x:c r="RDC61" s="291"/>
      <x:c r="RDD61" s="291"/>
      <x:c r="RDE61" s="291"/>
      <x:c r="RDF61" s="291"/>
      <x:c r="RDG61" s="291"/>
      <x:c r="RDH61" s="291"/>
      <x:c r="RDI61" s="291"/>
      <x:c r="RDJ61" s="291"/>
      <x:c r="RDK61" s="291"/>
      <x:c r="RDL61" s="291"/>
      <x:c r="RDM61" s="291"/>
      <x:c r="RDN61" s="291"/>
      <x:c r="RDO61" s="291"/>
      <x:c r="RDP61" s="291"/>
      <x:c r="RDQ61" s="291"/>
      <x:c r="RDR61" s="291"/>
      <x:c r="RDS61" s="291"/>
      <x:c r="RDT61" s="291"/>
      <x:c r="RDU61" s="291"/>
      <x:c r="RDV61" s="291"/>
      <x:c r="RDW61" s="291"/>
      <x:c r="RDX61" s="291"/>
      <x:c r="RDY61" s="291"/>
      <x:c r="RDZ61" s="291"/>
      <x:c r="REA61" s="291"/>
      <x:c r="REB61" s="291"/>
      <x:c r="REC61" s="291"/>
      <x:c r="RED61" s="291"/>
      <x:c r="REE61" s="291"/>
      <x:c r="REF61" s="291"/>
      <x:c r="REG61" s="291"/>
      <x:c r="REH61" s="291"/>
      <x:c r="REI61" s="291"/>
      <x:c r="REJ61" s="291"/>
      <x:c r="REK61" s="291"/>
      <x:c r="REL61" s="291"/>
      <x:c r="REM61" s="291"/>
      <x:c r="REN61" s="291"/>
      <x:c r="REO61" s="291"/>
      <x:c r="REP61" s="291"/>
      <x:c r="REQ61" s="291"/>
      <x:c r="RER61" s="291"/>
      <x:c r="RES61" s="291"/>
      <x:c r="RET61" s="291"/>
      <x:c r="REU61" s="291"/>
      <x:c r="REV61" s="291"/>
      <x:c r="REW61" s="291"/>
      <x:c r="REX61" s="291"/>
      <x:c r="REY61" s="291"/>
      <x:c r="REZ61" s="291"/>
      <x:c r="RFA61" s="291"/>
      <x:c r="RFB61" s="291"/>
      <x:c r="RFC61" s="291"/>
      <x:c r="RFD61" s="291"/>
      <x:c r="RFE61" s="291"/>
      <x:c r="RFF61" s="291"/>
      <x:c r="RFG61" s="291"/>
      <x:c r="RFH61" s="291"/>
      <x:c r="RFI61" s="291"/>
      <x:c r="RFJ61" s="291"/>
      <x:c r="RFK61" s="291"/>
      <x:c r="RFL61" s="291"/>
      <x:c r="RFM61" s="291"/>
      <x:c r="RFN61" s="291"/>
      <x:c r="RFO61" s="291"/>
      <x:c r="RFP61" s="291"/>
      <x:c r="RFQ61" s="291"/>
      <x:c r="RFR61" s="291"/>
      <x:c r="RFS61" s="291"/>
      <x:c r="RFT61" s="291"/>
      <x:c r="RFU61" s="291"/>
      <x:c r="RFV61" s="291"/>
      <x:c r="RFW61" s="291"/>
      <x:c r="RFX61" s="291"/>
      <x:c r="RFY61" s="291"/>
      <x:c r="RFZ61" s="291"/>
      <x:c r="RGA61" s="291"/>
      <x:c r="RGB61" s="291"/>
      <x:c r="RGC61" s="291"/>
      <x:c r="RGD61" s="291"/>
      <x:c r="RGE61" s="291"/>
      <x:c r="RGF61" s="291"/>
      <x:c r="RGG61" s="291"/>
      <x:c r="RGH61" s="291"/>
      <x:c r="RGI61" s="291"/>
      <x:c r="RGJ61" s="291"/>
      <x:c r="RGK61" s="291"/>
      <x:c r="RGL61" s="291"/>
      <x:c r="RGM61" s="291"/>
      <x:c r="RGN61" s="291"/>
      <x:c r="RGO61" s="291"/>
      <x:c r="RGP61" s="291"/>
      <x:c r="RGQ61" s="291"/>
      <x:c r="RGR61" s="291"/>
      <x:c r="RGS61" s="291"/>
      <x:c r="RGT61" s="291"/>
      <x:c r="RGU61" s="291"/>
      <x:c r="RGV61" s="291"/>
      <x:c r="RGW61" s="291"/>
      <x:c r="RGX61" s="291"/>
      <x:c r="RGY61" s="291"/>
      <x:c r="RGZ61" s="291"/>
      <x:c r="RHA61" s="291"/>
      <x:c r="RHB61" s="291"/>
      <x:c r="RHC61" s="291"/>
      <x:c r="RHD61" s="291"/>
      <x:c r="RHE61" s="291"/>
      <x:c r="RHF61" s="291"/>
      <x:c r="RHG61" s="291"/>
      <x:c r="RHH61" s="291"/>
      <x:c r="RHI61" s="291"/>
      <x:c r="RHJ61" s="291"/>
      <x:c r="RHK61" s="291"/>
      <x:c r="RHL61" s="291"/>
      <x:c r="RHM61" s="291"/>
      <x:c r="RHN61" s="291"/>
      <x:c r="RHO61" s="291"/>
      <x:c r="RHP61" s="291"/>
      <x:c r="RHQ61" s="291"/>
      <x:c r="RHR61" s="291"/>
      <x:c r="RHS61" s="291"/>
      <x:c r="RHT61" s="291"/>
      <x:c r="RHU61" s="291"/>
      <x:c r="RHV61" s="291"/>
      <x:c r="RHW61" s="291"/>
      <x:c r="RHX61" s="291"/>
      <x:c r="RHY61" s="291"/>
      <x:c r="RHZ61" s="291"/>
      <x:c r="RIA61" s="291"/>
      <x:c r="RIB61" s="291"/>
      <x:c r="RIC61" s="291"/>
      <x:c r="RID61" s="291"/>
      <x:c r="RIE61" s="291"/>
      <x:c r="RIF61" s="291"/>
      <x:c r="RIG61" s="291"/>
      <x:c r="RIH61" s="291"/>
      <x:c r="RII61" s="291"/>
      <x:c r="RIJ61" s="291"/>
      <x:c r="RIK61" s="291"/>
      <x:c r="RIL61" s="291"/>
      <x:c r="RIM61" s="291"/>
      <x:c r="RIN61" s="291"/>
      <x:c r="RIO61" s="291"/>
      <x:c r="RIP61" s="291"/>
      <x:c r="RIQ61" s="291"/>
      <x:c r="RIR61" s="291"/>
      <x:c r="RIS61" s="291"/>
      <x:c r="RIT61" s="291"/>
      <x:c r="RIU61" s="291"/>
      <x:c r="RIV61" s="291"/>
      <x:c r="RIW61" s="291"/>
      <x:c r="RIX61" s="291"/>
      <x:c r="RIY61" s="291"/>
      <x:c r="RIZ61" s="291"/>
      <x:c r="RJA61" s="291"/>
      <x:c r="RJB61" s="291"/>
      <x:c r="RJC61" s="291"/>
      <x:c r="RJD61" s="291"/>
      <x:c r="RJE61" s="291"/>
      <x:c r="RJF61" s="291"/>
      <x:c r="RJG61" s="291"/>
      <x:c r="RJH61" s="291"/>
      <x:c r="RJI61" s="291"/>
      <x:c r="RJJ61" s="291"/>
      <x:c r="RJK61" s="291"/>
      <x:c r="RJL61" s="291"/>
      <x:c r="RJM61" s="291"/>
      <x:c r="RJN61" s="291"/>
      <x:c r="RJO61" s="291"/>
      <x:c r="RJP61" s="291"/>
      <x:c r="RJQ61" s="291"/>
      <x:c r="RJR61" s="291"/>
      <x:c r="RJS61" s="291"/>
      <x:c r="RJT61" s="291"/>
      <x:c r="RJU61" s="291"/>
      <x:c r="RJV61" s="291"/>
      <x:c r="RJW61" s="291"/>
      <x:c r="RJX61" s="291"/>
      <x:c r="RJY61" s="291"/>
      <x:c r="RJZ61" s="291"/>
      <x:c r="RKA61" s="291"/>
      <x:c r="RKB61" s="291"/>
      <x:c r="RKC61" s="291"/>
      <x:c r="RKD61" s="291"/>
      <x:c r="RKE61" s="291"/>
      <x:c r="RKF61" s="291"/>
      <x:c r="RKG61" s="291"/>
      <x:c r="RKH61" s="291"/>
      <x:c r="RKI61" s="291"/>
      <x:c r="RKJ61" s="291"/>
      <x:c r="RKK61" s="291"/>
      <x:c r="RKL61" s="291"/>
      <x:c r="RKM61" s="291"/>
      <x:c r="RKN61" s="291"/>
      <x:c r="RKO61" s="291"/>
      <x:c r="RKP61" s="291"/>
      <x:c r="RKQ61" s="291"/>
      <x:c r="RKR61" s="291"/>
      <x:c r="RKS61" s="291"/>
      <x:c r="RKT61" s="291"/>
      <x:c r="RKU61" s="291"/>
      <x:c r="RKV61" s="291"/>
      <x:c r="RKW61" s="291"/>
      <x:c r="RKX61" s="291"/>
      <x:c r="RKY61" s="291"/>
      <x:c r="RKZ61" s="291"/>
      <x:c r="RLA61" s="291"/>
      <x:c r="RLB61" s="291"/>
      <x:c r="RLC61" s="291"/>
      <x:c r="RLD61" s="291"/>
      <x:c r="RLE61" s="291"/>
      <x:c r="RLF61" s="291"/>
      <x:c r="RLG61" s="291"/>
      <x:c r="RLH61" s="291"/>
      <x:c r="RLI61" s="291"/>
      <x:c r="RLJ61" s="291"/>
      <x:c r="RLK61" s="291"/>
      <x:c r="RLL61" s="291"/>
      <x:c r="RLM61" s="291"/>
      <x:c r="RLN61" s="291"/>
      <x:c r="RLO61" s="291"/>
      <x:c r="RLP61" s="291"/>
      <x:c r="RLQ61" s="291"/>
      <x:c r="RLR61" s="291"/>
      <x:c r="RLS61" s="291"/>
      <x:c r="RLT61" s="291"/>
      <x:c r="RLU61" s="291"/>
      <x:c r="RLV61" s="291"/>
      <x:c r="RLW61" s="291"/>
      <x:c r="RLX61" s="291"/>
      <x:c r="RLY61" s="291"/>
      <x:c r="RLZ61" s="291"/>
      <x:c r="RMA61" s="291"/>
      <x:c r="RMB61" s="291"/>
      <x:c r="RMC61" s="291"/>
      <x:c r="RMD61" s="291"/>
      <x:c r="RME61" s="291"/>
      <x:c r="RMF61" s="291"/>
      <x:c r="RMG61" s="291"/>
      <x:c r="RMH61" s="291"/>
      <x:c r="RMI61" s="291"/>
      <x:c r="RMJ61" s="291"/>
      <x:c r="RMK61" s="291"/>
      <x:c r="RML61" s="291"/>
      <x:c r="RMM61" s="291"/>
      <x:c r="RMN61" s="291"/>
      <x:c r="RMO61" s="291"/>
      <x:c r="RMP61" s="291"/>
      <x:c r="RMQ61" s="291"/>
      <x:c r="RMR61" s="291"/>
      <x:c r="RMS61" s="291"/>
      <x:c r="RMT61" s="291"/>
      <x:c r="RMU61" s="291"/>
      <x:c r="RMV61" s="291"/>
      <x:c r="RMW61" s="291"/>
      <x:c r="RMX61" s="291"/>
      <x:c r="RMY61" s="291"/>
      <x:c r="RMZ61" s="291"/>
      <x:c r="RNA61" s="291"/>
      <x:c r="RNB61" s="291"/>
      <x:c r="RNC61" s="291"/>
      <x:c r="RND61" s="291"/>
      <x:c r="RNE61" s="291"/>
      <x:c r="RNF61" s="291"/>
      <x:c r="RNG61" s="291"/>
      <x:c r="RNH61" s="291"/>
      <x:c r="RNI61" s="291"/>
      <x:c r="RNJ61" s="291"/>
      <x:c r="RNK61" s="291"/>
      <x:c r="RNL61" s="291"/>
      <x:c r="RNM61" s="291"/>
      <x:c r="RNN61" s="291"/>
      <x:c r="RNO61" s="291"/>
      <x:c r="RNP61" s="291"/>
      <x:c r="RNQ61" s="291"/>
      <x:c r="RNR61" s="291"/>
      <x:c r="RNS61" s="291"/>
      <x:c r="RNT61" s="291"/>
      <x:c r="RNU61" s="291"/>
      <x:c r="RNV61" s="291"/>
      <x:c r="RNW61" s="291"/>
      <x:c r="RNX61" s="291"/>
      <x:c r="RNY61" s="291"/>
      <x:c r="RNZ61" s="291"/>
      <x:c r="ROA61" s="291"/>
      <x:c r="ROB61" s="291"/>
      <x:c r="ROC61" s="291"/>
      <x:c r="ROD61" s="291"/>
      <x:c r="ROE61" s="291"/>
      <x:c r="ROF61" s="291"/>
      <x:c r="ROG61" s="291"/>
      <x:c r="ROH61" s="291"/>
      <x:c r="ROI61" s="291"/>
      <x:c r="ROJ61" s="291"/>
      <x:c r="ROK61" s="291"/>
      <x:c r="ROL61" s="291"/>
      <x:c r="ROM61" s="291"/>
      <x:c r="RON61" s="291"/>
      <x:c r="ROO61" s="291"/>
      <x:c r="ROP61" s="291"/>
      <x:c r="ROQ61" s="291"/>
      <x:c r="ROR61" s="291"/>
      <x:c r="ROS61" s="291"/>
      <x:c r="ROT61" s="291"/>
      <x:c r="ROU61" s="291"/>
      <x:c r="ROV61" s="291"/>
      <x:c r="ROW61" s="291"/>
      <x:c r="ROX61" s="291"/>
      <x:c r="ROY61" s="291"/>
      <x:c r="ROZ61" s="291"/>
      <x:c r="RPA61" s="291"/>
      <x:c r="RPB61" s="291"/>
      <x:c r="RPC61" s="291"/>
      <x:c r="RPD61" s="291"/>
      <x:c r="RPE61" s="291"/>
      <x:c r="RPF61" s="291"/>
      <x:c r="RPG61" s="291"/>
      <x:c r="RPH61" s="291"/>
      <x:c r="RPI61" s="291"/>
      <x:c r="RPJ61" s="291"/>
      <x:c r="RPK61" s="291"/>
      <x:c r="RPL61" s="291"/>
      <x:c r="RPM61" s="291"/>
      <x:c r="RPN61" s="291"/>
      <x:c r="RPO61" s="291"/>
      <x:c r="RPP61" s="291"/>
      <x:c r="RPQ61" s="291"/>
      <x:c r="RPR61" s="291"/>
      <x:c r="RPS61" s="291"/>
      <x:c r="RPT61" s="291"/>
      <x:c r="RPU61" s="291"/>
      <x:c r="RPV61" s="291"/>
      <x:c r="RPW61" s="291"/>
      <x:c r="RPX61" s="291"/>
      <x:c r="RPY61" s="291"/>
      <x:c r="RPZ61" s="291"/>
      <x:c r="RQA61" s="291"/>
      <x:c r="RQB61" s="291"/>
      <x:c r="RQC61" s="291"/>
      <x:c r="RQD61" s="291"/>
      <x:c r="RQE61" s="291"/>
      <x:c r="RQF61" s="291"/>
      <x:c r="RQG61" s="291"/>
      <x:c r="RQH61" s="291"/>
      <x:c r="RQI61" s="291"/>
      <x:c r="RQJ61" s="291"/>
      <x:c r="RQK61" s="291"/>
      <x:c r="RQL61" s="291"/>
      <x:c r="RQM61" s="291"/>
      <x:c r="RQN61" s="291"/>
      <x:c r="RQO61" s="291"/>
      <x:c r="RQP61" s="291"/>
      <x:c r="RQQ61" s="291"/>
      <x:c r="RQR61" s="291"/>
      <x:c r="RQS61" s="291"/>
      <x:c r="RQT61" s="291"/>
      <x:c r="RQU61" s="291"/>
      <x:c r="RQV61" s="291"/>
      <x:c r="RQW61" s="291"/>
      <x:c r="RQX61" s="291"/>
      <x:c r="RQY61" s="291"/>
      <x:c r="RQZ61" s="291"/>
      <x:c r="RRA61" s="291"/>
      <x:c r="RRB61" s="291"/>
      <x:c r="RRC61" s="291"/>
      <x:c r="RRD61" s="291"/>
      <x:c r="RRE61" s="291"/>
      <x:c r="RRF61" s="291"/>
      <x:c r="RRG61" s="291"/>
      <x:c r="RRH61" s="291"/>
      <x:c r="RRI61" s="291"/>
      <x:c r="RRJ61" s="291"/>
      <x:c r="RRK61" s="291"/>
      <x:c r="RRL61" s="291"/>
      <x:c r="RRM61" s="291"/>
      <x:c r="RRN61" s="291"/>
      <x:c r="RRO61" s="291"/>
      <x:c r="RRP61" s="291"/>
      <x:c r="RRQ61" s="291"/>
      <x:c r="RRR61" s="291"/>
      <x:c r="RRS61" s="291"/>
      <x:c r="RRT61" s="291"/>
      <x:c r="RRU61" s="291"/>
      <x:c r="RRV61" s="291"/>
      <x:c r="RRW61" s="291"/>
      <x:c r="RRX61" s="291"/>
      <x:c r="RRY61" s="291"/>
      <x:c r="RRZ61" s="291"/>
      <x:c r="RSA61" s="291"/>
      <x:c r="RSB61" s="291"/>
      <x:c r="RSC61" s="291"/>
      <x:c r="RSD61" s="291"/>
      <x:c r="RSE61" s="291"/>
      <x:c r="RSF61" s="291"/>
      <x:c r="RSG61" s="291"/>
      <x:c r="RSH61" s="291"/>
      <x:c r="RSI61" s="291"/>
      <x:c r="RSJ61" s="291"/>
      <x:c r="RSK61" s="291"/>
      <x:c r="RSL61" s="291"/>
      <x:c r="RSM61" s="291"/>
      <x:c r="RSN61" s="291"/>
      <x:c r="RSO61" s="291"/>
      <x:c r="RSP61" s="291"/>
      <x:c r="RSQ61" s="291"/>
      <x:c r="RSR61" s="291"/>
      <x:c r="RSS61" s="291"/>
      <x:c r="RST61" s="291"/>
      <x:c r="RSU61" s="291"/>
      <x:c r="RSV61" s="291"/>
      <x:c r="RSW61" s="291"/>
      <x:c r="RSX61" s="291"/>
      <x:c r="RSY61" s="291"/>
      <x:c r="RSZ61" s="291"/>
      <x:c r="RTA61" s="291"/>
      <x:c r="RTB61" s="291"/>
      <x:c r="RTC61" s="291"/>
      <x:c r="RTD61" s="291"/>
      <x:c r="RTE61" s="291"/>
      <x:c r="RTF61" s="291"/>
      <x:c r="RTG61" s="291"/>
      <x:c r="RTH61" s="291"/>
      <x:c r="RTI61" s="291"/>
      <x:c r="RTJ61" s="291"/>
      <x:c r="RTK61" s="291"/>
      <x:c r="RTL61" s="291"/>
      <x:c r="RTM61" s="291"/>
      <x:c r="RTN61" s="291"/>
      <x:c r="RTO61" s="291"/>
      <x:c r="RTP61" s="291"/>
      <x:c r="RTQ61" s="291"/>
      <x:c r="RTR61" s="291"/>
      <x:c r="RTS61" s="291"/>
      <x:c r="RTT61" s="291"/>
      <x:c r="RTU61" s="291"/>
      <x:c r="RTV61" s="291"/>
      <x:c r="RTW61" s="291"/>
      <x:c r="RTX61" s="291"/>
      <x:c r="RTY61" s="291"/>
      <x:c r="RTZ61" s="291"/>
      <x:c r="RUA61" s="291"/>
      <x:c r="RUB61" s="291"/>
      <x:c r="RUC61" s="291"/>
      <x:c r="RUD61" s="291"/>
      <x:c r="RUE61" s="291"/>
      <x:c r="RUF61" s="291"/>
      <x:c r="RUG61" s="291"/>
      <x:c r="RUH61" s="291"/>
      <x:c r="RUI61" s="291"/>
      <x:c r="RUJ61" s="291"/>
      <x:c r="RUK61" s="291"/>
      <x:c r="RUL61" s="291"/>
      <x:c r="RUM61" s="291"/>
      <x:c r="RUN61" s="291"/>
      <x:c r="RUO61" s="291"/>
      <x:c r="RUP61" s="291"/>
      <x:c r="RUQ61" s="291"/>
      <x:c r="RUR61" s="291"/>
      <x:c r="RUS61" s="291"/>
      <x:c r="RUT61" s="291"/>
      <x:c r="RUU61" s="291"/>
      <x:c r="RUV61" s="291"/>
      <x:c r="RUW61" s="291"/>
      <x:c r="RUX61" s="291"/>
      <x:c r="RUY61" s="291"/>
      <x:c r="RUZ61" s="291"/>
      <x:c r="RVA61" s="291"/>
      <x:c r="RVB61" s="291"/>
      <x:c r="RVC61" s="291"/>
      <x:c r="RVD61" s="291"/>
      <x:c r="RVE61" s="291"/>
      <x:c r="RVF61" s="291"/>
      <x:c r="RVG61" s="291"/>
      <x:c r="RVH61" s="291"/>
      <x:c r="RVI61" s="291"/>
      <x:c r="RVJ61" s="291"/>
      <x:c r="RVK61" s="291"/>
      <x:c r="RVL61" s="291"/>
      <x:c r="RVM61" s="291"/>
      <x:c r="RVN61" s="291"/>
      <x:c r="RVO61" s="291"/>
      <x:c r="RVP61" s="291"/>
      <x:c r="RVQ61" s="291"/>
      <x:c r="RVR61" s="291"/>
      <x:c r="RVS61" s="291"/>
      <x:c r="RVT61" s="291"/>
      <x:c r="RVU61" s="291"/>
      <x:c r="RVV61" s="291"/>
      <x:c r="RVW61" s="291"/>
      <x:c r="RVX61" s="291"/>
      <x:c r="RVY61" s="291"/>
      <x:c r="RVZ61" s="291"/>
      <x:c r="RWA61" s="291"/>
      <x:c r="RWB61" s="291"/>
      <x:c r="RWC61" s="291"/>
      <x:c r="RWD61" s="291"/>
      <x:c r="RWE61" s="291"/>
      <x:c r="RWF61" s="291"/>
      <x:c r="RWG61" s="291"/>
      <x:c r="RWH61" s="291"/>
      <x:c r="RWI61" s="291"/>
      <x:c r="RWJ61" s="291"/>
      <x:c r="RWK61" s="291"/>
      <x:c r="RWL61" s="291"/>
      <x:c r="RWM61" s="291"/>
      <x:c r="RWN61" s="291"/>
      <x:c r="RWO61" s="291"/>
      <x:c r="RWP61" s="291"/>
      <x:c r="RWQ61" s="291"/>
      <x:c r="RWR61" s="291"/>
      <x:c r="RWS61" s="291"/>
      <x:c r="RWT61" s="291"/>
      <x:c r="RWU61" s="291"/>
      <x:c r="RWV61" s="291"/>
      <x:c r="RWW61" s="291"/>
      <x:c r="RWX61" s="291"/>
      <x:c r="RWY61" s="291"/>
      <x:c r="RWZ61" s="291"/>
      <x:c r="RXA61" s="291"/>
      <x:c r="RXB61" s="291"/>
      <x:c r="RXC61" s="291"/>
      <x:c r="RXD61" s="291"/>
      <x:c r="RXE61" s="291"/>
      <x:c r="RXF61" s="291"/>
      <x:c r="RXG61" s="291"/>
      <x:c r="RXH61" s="291"/>
      <x:c r="RXI61" s="291"/>
      <x:c r="RXJ61" s="291"/>
      <x:c r="RXK61" s="291"/>
      <x:c r="RXL61" s="291"/>
      <x:c r="RXM61" s="291"/>
      <x:c r="RXN61" s="291"/>
      <x:c r="RXO61" s="291"/>
      <x:c r="RXP61" s="291"/>
      <x:c r="RXQ61" s="291"/>
      <x:c r="RXR61" s="291"/>
      <x:c r="RXS61" s="291"/>
      <x:c r="RXT61" s="291"/>
      <x:c r="RXU61" s="291"/>
      <x:c r="RXV61" s="291"/>
      <x:c r="RXW61" s="291"/>
      <x:c r="RXX61" s="291"/>
      <x:c r="RXY61" s="291"/>
      <x:c r="RXZ61" s="291"/>
      <x:c r="RYA61" s="291"/>
      <x:c r="RYB61" s="291"/>
      <x:c r="RYC61" s="291"/>
      <x:c r="RYD61" s="291"/>
      <x:c r="RYE61" s="291"/>
      <x:c r="RYF61" s="291"/>
      <x:c r="RYG61" s="291"/>
      <x:c r="RYH61" s="291"/>
      <x:c r="RYI61" s="291"/>
      <x:c r="RYJ61" s="291"/>
      <x:c r="RYK61" s="291"/>
      <x:c r="RYL61" s="291"/>
      <x:c r="RYM61" s="291"/>
      <x:c r="RYN61" s="291"/>
      <x:c r="RYO61" s="291"/>
      <x:c r="RYP61" s="291"/>
      <x:c r="RYQ61" s="291"/>
      <x:c r="RYR61" s="291"/>
      <x:c r="RYS61" s="291"/>
      <x:c r="RYT61" s="291"/>
      <x:c r="RYU61" s="291"/>
      <x:c r="RYV61" s="291"/>
      <x:c r="RYW61" s="291"/>
      <x:c r="RYX61" s="291"/>
      <x:c r="RYY61" s="291"/>
      <x:c r="RYZ61" s="291"/>
      <x:c r="RZA61" s="291"/>
      <x:c r="RZB61" s="291"/>
      <x:c r="RZC61" s="291"/>
      <x:c r="RZD61" s="291"/>
      <x:c r="RZE61" s="291"/>
      <x:c r="RZF61" s="291"/>
      <x:c r="RZG61" s="291"/>
      <x:c r="RZH61" s="291"/>
      <x:c r="RZI61" s="291"/>
      <x:c r="RZJ61" s="291"/>
      <x:c r="RZK61" s="291"/>
      <x:c r="RZL61" s="291"/>
      <x:c r="RZM61" s="291"/>
      <x:c r="RZN61" s="291"/>
      <x:c r="RZO61" s="291"/>
      <x:c r="RZP61" s="291"/>
      <x:c r="RZQ61" s="291"/>
      <x:c r="RZR61" s="291"/>
      <x:c r="RZS61" s="291"/>
      <x:c r="RZT61" s="291"/>
      <x:c r="RZU61" s="291"/>
      <x:c r="RZV61" s="291"/>
      <x:c r="RZW61" s="291"/>
      <x:c r="RZX61" s="291"/>
      <x:c r="RZY61" s="291"/>
      <x:c r="RZZ61" s="291"/>
      <x:c r="SAA61" s="291"/>
      <x:c r="SAB61" s="291"/>
      <x:c r="SAC61" s="291"/>
      <x:c r="SAD61" s="291"/>
      <x:c r="SAE61" s="291"/>
      <x:c r="SAF61" s="291"/>
      <x:c r="SAG61" s="291"/>
      <x:c r="SAH61" s="291"/>
      <x:c r="SAI61" s="291"/>
      <x:c r="SAJ61" s="291"/>
      <x:c r="SAK61" s="291"/>
      <x:c r="SAL61" s="291"/>
      <x:c r="SAM61" s="291"/>
      <x:c r="SAN61" s="291"/>
      <x:c r="SAO61" s="291"/>
      <x:c r="SAP61" s="291"/>
      <x:c r="SAQ61" s="291"/>
      <x:c r="SAR61" s="291"/>
      <x:c r="SAS61" s="291"/>
      <x:c r="SAT61" s="291"/>
      <x:c r="SAU61" s="291"/>
      <x:c r="SAV61" s="291"/>
      <x:c r="SAW61" s="291"/>
      <x:c r="SAX61" s="291"/>
      <x:c r="SAY61" s="291"/>
      <x:c r="SAZ61" s="291"/>
      <x:c r="SBA61" s="291"/>
      <x:c r="SBB61" s="291"/>
      <x:c r="SBC61" s="291"/>
      <x:c r="SBD61" s="291"/>
      <x:c r="SBE61" s="291"/>
      <x:c r="SBF61" s="291"/>
      <x:c r="SBG61" s="291"/>
      <x:c r="SBH61" s="291"/>
      <x:c r="SBI61" s="291"/>
      <x:c r="SBJ61" s="291"/>
      <x:c r="SBK61" s="291"/>
      <x:c r="SBL61" s="291"/>
      <x:c r="SBM61" s="291"/>
      <x:c r="SBN61" s="291"/>
      <x:c r="SBO61" s="291"/>
      <x:c r="SBP61" s="291"/>
      <x:c r="SBQ61" s="291"/>
      <x:c r="SBR61" s="291"/>
      <x:c r="SBS61" s="291"/>
      <x:c r="SBT61" s="291"/>
      <x:c r="SBU61" s="291"/>
      <x:c r="SBV61" s="291"/>
      <x:c r="SBW61" s="291"/>
      <x:c r="SBX61" s="291"/>
      <x:c r="SBY61" s="291"/>
      <x:c r="SBZ61" s="291"/>
      <x:c r="SCA61" s="291"/>
      <x:c r="SCB61" s="291"/>
      <x:c r="SCC61" s="291"/>
      <x:c r="SCD61" s="291"/>
      <x:c r="SCE61" s="291"/>
      <x:c r="SCF61" s="291"/>
      <x:c r="SCG61" s="291"/>
      <x:c r="SCH61" s="291"/>
      <x:c r="SCI61" s="291"/>
      <x:c r="SCJ61" s="291"/>
      <x:c r="SCK61" s="291"/>
      <x:c r="SCL61" s="291"/>
      <x:c r="SCM61" s="291"/>
      <x:c r="SCN61" s="291"/>
      <x:c r="SCO61" s="291"/>
      <x:c r="SCP61" s="291"/>
      <x:c r="SCQ61" s="291"/>
      <x:c r="SCR61" s="291"/>
      <x:c r="SCS61" s="291"/>
      <x:c r="SCT61" s="291"/>
      <x:c r="SCU61" s="291"/>
      <x:c r="SCV61" s="291"/>
      <x:c r="SCW61" s="291"/>
      <x:c r="SCX61" s="291"/>
      <x:c r="SCY61" s="291"/>
      <x:c r="SCZ61" s="291"/>
      <x:c r="SDA61" s="291"/>
      <x:c r="SDB61" s="291"/>
      <x:c r="SDC61" s="291"/>
      <x:c r="SDD61" s="291"/>
      <x:c r="SDE61" s="291"/>
      <x:c r="SDF61" s="291"/>
      <x:c r="SDG61" s="291"/>
      <x:c r="SDH61" s="291"/>
      <x:c r="SDI61" s="291"/>
      <x:c r="SDJ61" s="291"/>
      <x:c r="SDK61" s="291"/>
      <x:c r="SDL61" s="291"/>
      <x:c r="SDM61" s="291"/>
      <x:c r="SDN61" s="291"/>
      <x:c r="SDO61" s="291"/>
      <x:c r="SDP61" s="291"/>
      <x:c r="SDQ61" s="291"/>
      <x:c r="SDR61" s="291"/>
      <x:c r="SDS61" s="291"/>
      <x:c r="SDT61" s="291"/>
      <x:c r="SDU61" s="291"/>
      <x:c r="SDV61" s="291"/>
      <x:c r="SDW61" s="291"/>
      <x:c r="SDX61" s="291"/>
      <x:c r="SDY61" s="291"/>
      <x:c r="SDZ61" s="291"/>
      <x:c r="SEA61" s="291"/>
      <x:c r="SEB61" s="291"/>
      <x:c r="SEC61" s="291"/>
      <x:c r="SED61" s="291"/>
      <x:c r="SEE61" s="291"/>
      <x:c r="SEF61" s="291"/>
      <x:c r="SEG61" s="291"/>
      <x:c r="SEH61" s="291"/>
      <x:c r="SEI61" s="291"/>
      <x:c r="SEJ61" s="291"/>
      <x:c r="SEK61" s="291"/>
      <x:c r="SEL61" s="291"/>
      <x:c r="SEM61" s="291"/>
      <x:c r="SEN61" s="291"/>
      <x:c r="SEO61" s="291"/>
      <x:c r="SEP61" s="291"/>
      <x:c r="SEQ61" s="291"/>
      <x:c r="SER61" s="291"/>
      <x:c r="SES61" s="291"/>
      <x:c r="SET61" s="291"/>
      <x:c r="SEU61" s="291"/>
      <x:c r="SEV61" s="291"/>
      <x:c r="SEW61" s="291"/>
      <x:c r="SEX61" s="291"/>
      <x:c r="SEY61" s="291"/>
      <x:c r="SEZ61" s="291"/>
      <x:c r="SFA61" s="291"/>
      <x:c r="SFB61" s="291"/>
      <x:c r="SFC61" s="291"/>
      <x:c r="SFD61" s="291"/>
      <x:c r="SFE61" s="291"/>
      <x:c r="SFF61" s="291"/>
      <x:c r="SFG61" s="291"/>
      <x:c r="SFH61" s="291"/>
      <x:c r="SFI61" s="291"/>
      <x:c r="SFJ61" s="291"/>
      <x:c r="SFK61" s="291"/>
      <x:c r="SFL61" s="291"/>
      <x:c r="SFM61" s="291"/>
      <x:c r="SFN61" s="291"/>
      <x:c r="SFO61" s="291"/>
      <x:c r="SFP61" s="291"/>
      <x:c r="SFQ61" s="291"/>
      <x:c r="SFR61" s="291"/>
      <x:c r="SFS61" s="291"/>
      <x:c r="SFT61" s="291"/>
      <x:c r="SFU61" s="291"/>
      <x:c r="SFV61" s="291"/>
      <x:c r="SFW61" s="291"/>
      <x:c r="SFX61" s="291"/>
      <x:c r="SFY61" s="291"/>
      <x:c r="SFZ61" s="291"/>
      <x:c r="SGA61" s="291"/>
      <x:c r="SGB61" s="291"/>
      <x:c r="SGC61" s="291"/>
      <x:c r="SGD61" s="291"/>
      <x:c r="SGE61" s="291"/>
      <x:c r="SGF61" s="291"/>
      <x:c r="SGG61" s="291"/>
      <x:c r="SGH61" s="291"/>
      <x:c r="SGI61" s="291"/>
      <x:c r="SGJ61" s="291"/>
      <x:c r="SGK61" s="291"/>
      <x:c r="SGL61" s="291"/>
      <x:c r="SGM61" s="291"/>
      <x:c r="SGN61" s="291"/>
      <x:c r="SGO61" s="291"/>
      <x:c r="SGP61" s="291"/>
      <x:c r="SGQ61" s="291"/>
      <x:c r="SGR61" s="291"/>
      <x:c r="SGS61" s="291"/>
      <x:c r="SGT61" s="291"/>
      <x:c r="SGU61" s="291"/>
      <x:c r="SGV61" s="291"/>
      <x:c r="SGW61" s="291"/>
      <x:c r="SGX61" s="291"/>
      <x:c r="SGY61" s="291"/>
      <x:c r="SGZ61" s="291"/>
      <x:c r="SHA61" s="291"/>
      <x:c r="SHB61" s="291"/>
      <x:c r="SHC61" s="291"/>
      <x:c r="SHD61" s="291"/>
      <x:c r="SHE61" s="291"/>
      <x:c r="SHF61" s="291"/>
      <x:c r="SHG61" s="291"/>
      <x:c r="SHH61" s="291"/>
      <x:c r="SHI61" s="291"/>
      <x:c r="SHJ61" s="291"/>
      <x:c r="SHK61" s="291"/>
      <x:c r="SHL61" s="291"/>
      <x:c r="SHM61" s="291"/>
      <x:c r="SHN61" s="291"/>
      <x:c r="SHO61" s="291"/>
      <x:c r="SHP61" s="291"/>
      <x:c r="SHQ61" s="291"/>
      <x:c r="SHR61" s="291"/>
      <x:c r="SHS61" s="291"/>
      <x:c r="SHT61" s="291"/>
      <x:c r="SHU61" s="291"/>
      <x:c r="SHV61" s="291"/>
      <x:c r="SHW61" s="291"/>
      <x:c r="SHX61" s="291"/>
      <x:c r="SHY61" s="291"/>
      <x:c r="SHZ61" s="291"/>
      <x:c r="SIA61" s="291"/>
      <x:c r="SIB61" s="291"/>
      <x:c r="SIC61" s="291"/>
      <x:c r="SID61" s="291"/>
      <x:c r="SIE61" s="291"/>
      <x:c r="SIF61" s="291"/>
      <x:c r="SIG61" s="291"/>
      <x:c r="SIH61" s="291"/>
      <x:c r="SII61" s="291"/>
      <x:c r="SIJ61" s="291"/>
      <x:c r="SIK61" s="291"/>
      <x:c r="SIL61" s="291"/>
      <x:c r="SIM61" s="291"/>
      <x:c r="SIN61" s="291"/>
      <x:c r="SIO61" s="291"/>
      <x:c r="SIP61" s="291"/>
      <x:c r="SIQ61" s="291"/>
      <x:c r="SIR61" s="291"/>
      <x:c r="SIS61" s="291"/>
      <x:c r="SIT61" s="291"/>
      <x:c r="SIU61" s="291"/>
      <x:c r="SIV61" s="291"/>
      <x:c r="SIW61" s="291"/>
      <x:c r="SIX61" s="291"/>
      <x:c r="SIY61" s="291"/>
      <x:c r="SIZ61" s="291"/>
      <x:c r="SJA61" s="291"/>
      <x:c r="SJB61" s="291"/>
      <x:c r="SJC61" s="291"/>
      <x:c r="SJD61" s="291"/>
      <x:c r="SJE61" s="291"/>
      <x:c r="SJF61" s="291"/>
      <x:c r="SJG61" s="291"/>
      <x:c r="SJH61" s="291"/>
      <x:c r="SJI61" s="291"/>
      <x:c r="SJJ61" s="291"/>
      <x:c r="SJK61" s="291"/>
      <x:c r="SJL61" s="291"/>
      <x:c r="SJM61" s="291"/>
      <x:c r="SJN61" s="291"/>
      <x:c r="SJO61" s="291"/>
      <x:c r="SJP61" s="291"/>
      <x:c r="SJQ61" s="291"/>
      <x:c r="SJR61" s="291"/>
      <x:c r="SJS61" s="291"/>
      <x:c r="SJT61" s="291"/>
      <x:c r="SJU61" s="291"/>
      <x:c r="SJV61" s="291"/>
      <x:c r="SJW61" s="291"/>
      <x:c r="SJX61" s="291"/>
      <x:c r="SJY61" s="291"/>
      <x:c r="SJZ61" s="291"/>
      <x:c r="SKA61" s="291"/>
      <x:c r="SKB61" s="291"/>
      <x:c r="SKC61" s="291"/>
      <x:c r="SKD61" s="291"/>
      <x:c r="SKE61" s="291"/>
      <x:c r="SKF61" s="291"/>
      <x:c r="SKG61" s="291"/>
      <x:c r="SKH61" s="291"/>
      <x:c r="SKI61" s="291"/>
      <x:c r="SKJ61" s="291"/>
      <x:c r="SKK61" s="291"/>
      <x:c r="SKL61" s="291"/>
      <x:c r="SKM61" s="291"/>
      <x:c r="SKN61" s="291"/>
      <x:c r="SKO61" s="291"/>
      <x:c r="SKP61" s="291"/>
      <x:c r="SKQ61" s="291"/>
      <x:c r="SKR61" s="291"/>
      <x:c r="SKS61" s="291"/>
      <x:c r="SKT61" s="291"/>
      <x:c r="SKU61" s="291"/>
      <x:c r="SKV61" s="291"/>
      <x:c r="SKW61" s="291"/>
      <x:c r="SKX61" s="291"/>
      <x:c r="SKY61" s="291"/>
      <x:c r="SKZ61" s="291"/>
      <x:c r="SLA61" s="291"/>
      <x:c r="SLB61" s="291"/>
      <x:c r="SLC61" s="291"/>
      <x:c r="SLD61" s="291"/>
      <x:c r="SLE61" s="291"/>
      <x:c r="SLF61" s="291"/>
      <x:c r="SLG61" s="291"/>
      <x:c r="SLH61" s="291"/>
      <x:c r="SLI61" s="291"/>
      <x:c r="SLJ61" s="291"/>
      <x:c r="SLK61" s="291"/>
      <x:c r="SLL61" s="291"/>
      <x:c r="SLM61" s="291"/>
      <x:c r="SLN61" s="291"/>
      <x:c r="SLO61" s="291"/>
      <x:c r="SLP61" s="291"/>
      <x:c r="SLQ61" s="291"/>
      <x:c r="SLR61" s="291"/>
      <x:c r="SLS61" s="291"/>
      <x:c r="SLT61" s="291"/>
      <x:c r="SLU61" s="291"/>
      <x:c r="SLV61" s="291"/>
      <x:c r="SLW61" s="291"/>
      <x:c r="SLX61" s="291"/>
      <x:c r="SLY61" s="291"/>
      <x:c r="SLZ61" s="291"/>
      <x:c r="SMA61" s="291"/>
      <x:c r="SMB61" s="291"/>
      <x:c r="SMC61" s="291"/>
      <x:c r="SMD61" s="291"/>
      <x:c r="SME61" s="291"/>
      <x:c r="SMF61" s="291"/>
      <x:c r="SMG61" s="291"/>
      <x:c r="SMH61" s="291"/>
      <x:c r="SMI61" s="291"/>
      <x:c r="SMJ61" s="291"/>
      <x:c r="SMK61" s="291"/>
      <x:c r="SML61" s="291"/>
      <x:c r="SMM61" s="291"/>
      <x:c r="SMN61" s="291"/>
      <x:c r="SMO61" s="291"/>
      <x:c r="SMP61" s="291"/>
      <x:c r="SMQ61" s="291"/>
      <x:c r="SMR61" s="291"/>
      <x:c r="SMS61" s="291"/>
      <x:c r="SMT61" s="291"/>
      <x:c r="SMU61" s="291"/>
      <x:c r="SMV61" s="291"/>
      <x:c r="SMW61" s="291"/>
      <x:c r="SMX61" s="291"/>
      <x:c r="SMY61" s="291"/>
      <x:c r="SMZ61" s="291"/>
      <x:c r="SNA61" s="291"/>
      <x:c r="SNB61" s="291"/>
      <x:c r="SNC61" s="291"/>
      <x:c r="SND61" s="291"/>
      <x:c r="SNE61" s="291"/>
      <x:c r="SNF61" s="291"/>
      <x:c r="SNG61" s="291"/>
      <x:c r="SNH61" s="291"/>
      <x:c r="SNI61" s="291"/>
      <x:c r="SNJ61" s="291"/>
      <x:c r="SNK61" s="291"/>
      <x:c r="SNL61" s="291"/>
      <x:c r="SNM61" s="291"/>
      <x:c r="SNN61" s="291"/>
      <x:c r="SNO61" s="291"/>
      <x:c r="SNP61" s="291"/>
      <x:c r="SNQ61" s="291"/>
      <x:c r="SNR61" s="291"/>
      <x:c r="SNS61" s="291"/>
      <x:c r="SNT61" s="291"/>
      <x:c r="SNU61" s="291"/>
      <x:c r="SNV61" s="291"/>
      <x:c r="SNW61" s="291"/>
      <x:c r="SNX61" s="291"/>
      <x:c r="SNY61" s="291"/>
      <x:c r="SNZ61" s="291"/>
      <x:c r="SOA61" s="291"/>
      <x:c r="SOB61" s="291"/>
      <x:c r="SOC61" s="291"/>
      <x:c r="SOD61" s="291"/>
      <x:c r="SOE61" s="291"/>
      <x:c r="SOF61" s="291"/>
      <x:c r="SOG61" s="291"/>
      <x:c r="SOH61" s="291"/>
      <x:c r="SOI61" s="291"/>
      <x:c r="SOJ61" s="291"/>
      <x:c r="SOK61" s="291"/>
      <x:c r="SOL61" s="291"/>
      <x:c r="SOM61" s="291"/>
      <x:c r="SON61" s="291"/>
      <x:c r="SOO61" s="291"/>
      <x:c r="SOP61" s="291"/>
      <x:c r="SOQ61" s="291"/>
      <x:c r="SOR61" s="291"/>
      <x:c r="SOS61" s="291"/>
      <x:c r="SOT61" s="291"/>
      <x:c r="SOU61" s="291"/>
      <x:c r="SOV61" s="291"/>
      <x:c r="SOW61" s="291"/>
      <x:c r="SOX61" s="291"/>
      <x:c r="SOY61" s="291"/>
      <x:c r="SOZ61" s="291"/>
      <x:c r="SPA61" s="291"/>
      <x:c r="SPB61" s="291"/>
      <x:c r="SPC61" s="291"/>
      <x:c r="SPD61" s="291"/>
      <x:c r="SPE61" s="291"/>
      <x:c r="SPF61" s="291"/>
      <x:c r="SPG61" s="291"/>
      <x:c r="SPH61" s="291"/>
      <x:c r="SPI61" s="291"/>
      <x:c r="SPJ61" s="291"/>
      <x:c r="SPK61" s="291"/>
      <x:c r="SPL61" s="291"/>
      <x:c r="SPM61" s="291"/>
      <x:c r="SPN61" s="291"/>
      <x:c r="SPO61" s="291"/>
      <x:c r="SPP61" s="291"/>
      <x:c r="SPQ61" s="291"/>
      <x:c r="SPR61" s="291"/>
      <x:c r="SPS61" s="291"/>
      <x:c r="SPT61" s="291"/>
      <x:c r="SPU61" s="291"/>
      <x:c r="SPV61" s="291"/>
      <x:c r="SPW61" s="291"/>
      <x:c r="SPX61" s="291"/>
      <x:c r="SPY61" s="291"/>
      <x:c r="SPZ61" s="291"/>
      <x:c r="SQA61" s="291"/>
      <x:c r="SQB61" s="291"/>
      <x:c r="SQC61" s="291"/>
      <x:c r="SQD61" s="291"/>
      <x:c r="SQE61" s="291"/>
      <x:c r="SQF61" s="291"/>
      <x:c r="SQG61" s="291"/>
      <x:c r="SQH61" s="291"/>
      <x:c r="SQI61" s="291"/>
      <x:c r="SQJ61" s="291"/>
      <x:c r="SQK61" s="291"/>
      <x:c r="SQL61" s="291"/>
      <x:c r="SQM61" s="291"/>
      <x:c r="SQN61" s="291"/>
      <x:c r="SQO61" s="291"/>
      <x:c r="SQP61" s="291"/>
      <x:c r="SQQ61" s="291"/>
      <x:c r="SQR61" s="291"/>
      <x:c r="SQS61" s="291"/>
      <x:c r="SQT61" s="291"/>
      <x:c r="SQU61" s="291"/>
      <x:c r="SQV61" s="291"/>
      <x:c r="SQW61" s="291"/>
      <x:c r="SQX61" s="291"/>
      <x:c r="SQY61" s="291"/>
      <x:c r="SQZ61" s="291"/>
      <x:c r="SRA61" s="291"/>
      <x:c r="SRB61" s="291"/>
      <x:c r="SRC61" s="291"/>
      <x:c r="SRD61" s="291"/>
      <x:c r="SRE61" s="291"/>
      <x:c r="SRF61" s="291"/>
      <x:c r="SRG61" s="291"/>
      <x:c r="SRH61" s="291"/>
      <x:c r="SRI61" s="291"/>
      <x:c r="SRJ61" s="291"/>
      <x:c r="SRK61" s="291"/>
      <x:c r="SRL61" s="291"/>
      <x:c r="SRM61" s="291"/>
      <x:c r="SRN61" s="291"/>
      <x:c r="SRO61" s="291"/>
      <x:c r="SRP61" s="291"/>
      <x:c r="SRQ61" s="291"/>
      <x:c r="SRR61" s="291"/>
      <x:c r="SRS61" s="291"/>
      <x:c r="SRT61" s="291"/>
      <x:c r="SRU61" s="291"/>
      <x:c r="SRV61" s="291"/>
      <x:c r="SRW61" s="291"/>
      <x:c r="SRX61" s="291"/>
      <x:c r="SRY61" s="291"/>
      <x:c r="SRZ61" s="291"/>
      <x:c r="SSA61" s="291"/>
      <x:c r="SSB61" s="291"/>
      <x:c r="SSC61" s="291"/>
      <x:c r="SSD61" s="291"/>
      <x:c r="SSE61" s="291"/>
      <x:c r="SSF61" s="291"/>
      <x:c r="SSG61" s="291"/>
      <x:c r="SSH61" s="291"/>
      <x:c r="SSI61" s="291"/>
      <x:c r="SSJ61" s="291"/>
      <x:c r="SSK61" s="291"/>
      <x:c r="SSL61" s="291"/>
      <x:c r="SSM61" s="291"/>
      <x:c r="SSN61" s="291"/>
      <x:c r="SSO61" s="291"/>
      <x:c r="SSP61" s="291"/>
      <x:c r="SSQ61" s="291"/>
      <x:c r="SSR61" s="291"/>
      <x:c r="SSS61" s="291"/>
      <x:c r="SST61" s="291"/>
      <x:c r="SSU61" s="291"/>
      <x:c r="SSV61" s="291"/>
      <x:c r="SSW61" s="291"/>
      <x:c r="SSX61" s="291"/>
      <x:c r="SSY61" s="291"/>
      <x:c r="SSZ61" s="291"/>
      <x:c r="STA61" s="291"/>
      <x:c r="STB61" s="291"/>
      <x:c r="STC61" s="291"/>
      <x:c r="STD61" s="291"/>
      <x:c r="STE61" s="291"/>
      <x:c r="STF61" s="291"/>
      <x:c r="STG61" s="291"/>
      <x:c r="STH61" s="291"/>
      <x:c r="STI61" s="291"/>
      <x:c r="STJ61" s="291"/>
      <x:c r="STK61" s="291"/>
      <x:c r="STL61" s="291"/>
      <x:c r="STM61" s="291"/>
      <x:c r="STN61" s="291"/>
      <x:c r="STO61" s="291"/>
      <x:c r="STP61" s="291"/>
      <x:c r="STQ61" s="291"/>
      <x:c r="STR61" s="291"/>
      <x:c r="STS61" s="291"/>
      <x:c r="STT61" s="291"/>
      <x:c r="STU61" s="291"/>
      <x:c r="STV61" s="291"/>
      <x:c r="STW61" s="291"/>
      <x:c r="STX61" s="291"/>
      <x:c r="STY61" s="291"/>
      <x:c r="STZ61" s="291"/>
      <x:c r="SUA61" s="291"/>
      <x:c r="SUB61" s="291"/>
      <x:c r="SUC61" s="291"/>
      <x:c r="SUD61" s="291"/>
      <x:c r="SUE61" s="291"/>
      <x:c r="SUF61" s="291"/>
      <x:c r="SUG61" s="291"/>
      <x:c r="SUH61" s="291"/>
      <x:c r="SUI61" s="291"/>
      <x:c r="SUJ61" s="291"/>
      <x:c r="SUK61" s="291"/>
      <x:c r="SUL61" s="291"/>
      <x:c r="SUM61" s="291"/>
      <x:c r="SUN61" s="291"/>
      <x:c r="SUO61" s="291"/>
      <x:c r="SUP61" s="291"/>
      <x:c r="SUQ61" s="291"/>
      <x:c r="SUR61" s="291"/>
      <x:c r="SUS61" s="291"/>
      <x:c r="SUT61" s="291"/>
      <x:c r="SUU61" s="291"/>
      <x:c r="SUV61" s="291"/>
      <x:c r="SUW61" s="291"/>
      <x:c r="SUX61" s="291"/>
      <x:c r="SUY61" s="291"/>
      <x:c r="SUZ61" s="291"/>
      <x:c r="SVA61" s="291"/>
      <x:c r="SVB61" s="291"/>
      <x:c r="SVC61" s="291"/>
      <x:c r="SVD61" s="291"/>
      <x:c r="SVE61" s="291"/>
      <x:c r="SVF61" s="291"/>
      <x:c r="SVG61" s="291"/>
      <x:c r="SVH61" s="291"/>
      <x:c r="SVI61" s="291"/>
      <x:c r="SVJ61" s="291"/>
      <x:c r="SVK61" s="291"/>
      <x:c r="SVL61" s="291"/>
      <x:c r="SVM61" s="291"/>
      <x:c r="SVN61" s="291"/>
      <x:c r="SVO61" s="291"/>
      <x:c r="SVP61" s="291"/>
      <x:c r="SVQ61" s="291"/>
      <x:c r="SVR61" s="291"/>
      <x:c r="SVS61" s="291"/>
      <x:c r="SVT61" s="291"/>
      <x:c r="SVU61" s="291"/>
      <x:c r="SVV61" s="291"/>
      <x:c r="SVW61" s="291"/>
      <x:c r="SVX61" s="291"/>
      <x:c r="SVY61" s="291"/>
      <x:c r="SVZ61" s="291"/>
      <x:c r="SWA61" s="291"/>
      <x:c r="SWB61" s="291"/>
      <x:c r="SWC61" s="291"/>
      <x:c r="SWD61" s="291"/>
      <x:c r="SWE61" s="291"/>
      <x:c r="SWF61" s="291"/>
      <x:c r="SWG61" s="291"/>
      <x:c r="SWH61" s="291"/>
      <x:c r="SWI61" s="291"/>
      <x:c r="SWJ61" s="291"/>
      <x:c r="SWK61" s="291"/>
      <x:c r="SWL61" s="291"/>
      <x:c r="SWM61" s="291"/>
      <x:c r="SWN61" s="291"/>
      <x:c r="SWO61" s="291"/>
      <x:c r="SWP61" s="291"/>
      <x:c r="SWQ61" s="291"/>
      <x:c r="SWR61" s="291"/>
      <x:c r="SWS61" s="291"/>
      <x:c r="SWT61" s="291"/>
      <x:c r="SWU61" s="291"/>
      <x:c r="SWV61" s="291"/>
      <x:c r="SWW61" s="291"/>
      <x:c r="SWX61" s="291"/>
      <x:c r="SWY61" s="291"/>
      <x:c r="SWZ61" s="291"/>
      <x:c r="SXA61" s="291"/>
      <x:c r="SXB61" s="291"/>
      <x:c r="SXC61" s="291"/>
      <x:c r="SXD61" s="291"/>
      <x:c r="SXE61" s="291"/>
      <x:c r="SXF61" s="291"/>
      <x:c r="SXG61" s="291"/>
      <x:c r="SXH61" s="291"/>
      <x:c r="SXI61" s="291"/>
      <x:c r="SXJ61" s="291"/>
      <x:c r="SXK61" s="291"/>
      <x:c r="SXL61" s="291"/>
      <x:c r="SXM61" s="291"/>
      <x:c r="SXN61" s="291"/>
      <x:c r="SXO61" s="291"/>
      <x:c r="SXP61" s="291"/>
      <x:c r="SXQ61" s="291"/>
      <x:c r="SXR61" s="291"/>
      <x:c r="SXS61" s="291"/>
      <x:c r="SXT61" s="291"/>
      <x:c r="SXU61" s="291"/>
      <x:c r="SXV61" s="291"/>
      <x:c r="SXW61" s="291"/>
      <x:c r="SXX61" s="291"/>
      <x:c r="SXY61" s="291"/>
      <x:c r="SXZ61" s="291"/>
      <x:c r="SYA61" s="291"/>
      <x:c r="SYB61" s="291"/>
      <x:c r="SYC61" s="291"/>
      <x:c r="SYD61" s="291"/>
      <x:c r="SYE61" s="291"/>
      <x:c r="SYF61" s="291"/>
      <x:c r="SYG61" s="291"/>
      <x:c r="SYH61" s="291"/>
      <x:c r="SYI61" s="291"/>
      <x:c r="SYJ61" s="291"/>
      <x:c r="SYK61" s="291"/>
      <x:c r="SYL61" s="291"/>
      <x:c r="SYM61" s="291"/>
      <x:c r="SYN61" s="291"/>
      <x:c r="SYO61" s="291"/>
      <x:c r="SYP61" s="291"/>
      <x:c r="SYQ61" s="291"/>
      <x:c r="SYR61" s="291"/>
      <x:c r="SYS61" s="291"/>
      <x:c r="SYT61" s="291"/>
      <x:c r="SYU61" s="291"/>
      <x:c r="SYV61" s="291"/>
      <x:c r="SYW61" s="291"/>
      <x:c r="SYX61" s="291"/>
      <x:c r="SYY61" s="291"/>
      <x:c r="SYZ61" s="291"/>
      <x:c r="SZA61" s="291"/>
      <x:c r="SZB61" s="291"/>
      <x:c r="SZC61" s="291"/>
      <x:c r="SZD61" s="291"/>
      <x:c r="SZE61" s="291"/>
      <x:c r="SZF61" s="291"/>
      <x:c r="SZG61" s="291"/>
      <x:c r="SZH61" s="291"/>
      <x:c r="SZI61" s="291"/>
      <x:c r="SZJ61" s="291"/>
      <x:c r="SZK61" s="291"/>
      <x:c r="SZL61" s="291"/>
      <x:c r="SZM61" s="291"/>
      <x:c r="SZN61" s="291"/>
      <x:c r="SZO61" s="291"/>
      <x:c r="SZP61" s="291"/>
      <x:c r="SZQ61" s="291"/>
      <x:c r="SZR61" s="291"/>
      <x:c r="SZS61" s="291"/>
      <x:c r="SZT61" s="291"/>
      <x:c r="SZU61" s="291"/>
      <x:c r="SZV61" s="291"/>
      <x:c r="SZW61" s="291"/>
      <x:c r="SZX61" s="291"/>
      <x:c r="SZY61" s="291"/>
      <x:c r="SZZ61" s="291"/>
      <x:c r="TAA61" s="291"/>
      <x:c r="TAB61" s="291"/>
      <x:c r="TAC61" s="291"/>
      <x:c r="TAD61" s="291"/>
      <x:c r="TAE61" s="291"/>
      <x:c r="TAF61" s="291"/>
      <x:c r="TAG61" s="291"/>
      <x:c r="TAH61" s="291"/>
      <x:c r="TAI61" s="291"/>
      <x:c r="TAJ61" s="291"/>
      <x:c r="TAK61" s="291"/>
      <x:c r="TAL61" s="291"/>
      <x:c r="TAM61" s="291"/>
      <x:c r="TAN61" s="291"/>
      <x:c r="TAO61" s="291"/>
      <x:c r="TAP61" s="291"/>
      <x:c r="TAQ61" s="291"/>
      <x:c r="TAR61" s="291"/>
      <x:c r="TAS61" s="291"/>
      <x:c r="TAT61" s="291"/>
      <x:c r="TAU61" s="291"/>
      <x:c r="TAV61" s="291"/>
      <x:c r="TAW61" s="291"/>
      <x:c r="TAX61" s="291"/>
      <x:c r="TAY61" s="291"/>
      <x:c r="TAZ61" s="291"/>
      <x:c r="TBA61" s="291"/>
      <x:c r="TBB61" s="291"/>
      <x:c r="TBC61" s="291"/>
      <x:c r="TBD61" s="291"/>
      <x:c r="TBE61" s="291"/>
      <x:c r="TBF61" s="291"/>
      <x:c r="TBG61" s="291"/>
      <x:c r="TBH61" s="291"/>
      <x:c r="TBI61" s="291"/>
      <x:c r="TBJ61" s="291"/>
      <x:c r="TBK61" s="291"/>
      <x:c r="TBL61" s="291"/>
      <x:c r="TBM61" s="291"/>
      <x:c r="TBN61" s="291"/>
      <x:c r="TBO61" s="291"/>
      <x:c r="TBP61" s="291"/>
      <x:c r="TBQ61" s="291"/>
      <x:c r="TBR61" s="291"/>
      <x:c r="TBS61" s="291"/>
      <x:c r="TBT61" s="291"/>
      <x:c r="TBU61" s="291"/>
      <x:c r="TBV61" s="291"/>
      <x:c r="TBW61" s="291"/>
      <x:c r="TBX61" s="291"/>
      <x:c r="TBY61" s="291"/>
      <x:c r="TBZ61" s="291"/>
      <x:c r="TCA61" s="291"/>
      <x:c r="TCB61" s="291"/>
      <x:c r="TCC61" s="291"/>
      <x:c r="TCD61" s="291"/>
      <x:c r="TCE61" s="291"/>
      <x:c r="TCF61" s="291"/>
      <x:c r="TCG61" s="291"/>
      <x:c r="TCH61" s="291"/>
      <x:c r="TCI61" s="291"/>
      <x:c r="TCJ61" s="291"/>
      <x:c r="TCK61" s="291"/>
      <x:c r="TCL61" s="291"/>
      <x:c r="TCM61" s="291"/>
      <x:c r="TCN61" s="291"/>
      <x:c r="TCO61" s="291"/>
      <x:c r="TCP61" s="291"/>
      <x:c r="TCQ61" s="291"/>
      <x:c r="TCR61" s="291"/>
      <x:c r="TCS61" s="291"/>
      <x:c r="TCT61" s="291"/>
      <x:c r="TCU61" s="291"/>
      <x:c r="TCV61" s="291"/>
      <x:c r="TCW61" s="291"/>
      <x:c r="TCX61" s="291"/>
      <x:c r="TCY61" s="291"/>
      <x:c r="TCZ61" s="291"/>
      <x:c r="TDA61" s="291"/>
      <x:c r="TDB61" s="291"/>
      <x:c r="TDC61" s="291"/>
      <x:c r="TDD61" s="291"/>
      <x:c r="TDE61" s="291"/>
      <x:c r="TDF61" s="291"/>
      <x:c r="TDG61" s="291"/>
      <x:c r="TDH61" s="291"/>
      <x:c r="TDI61" s="291"/>
      <x:c r="TDJ61" s="291"/>
      <x:c r="TDK61" s="291"/>
      <x:c r="TDL61" s="291"/>
      <x:c r="TDM61" s="291"/>
      <x:c r="TDN61" s="291"/>
      <x:c r="TDO61" s="291"/>
      <x:c r="TDP61" s="291"/>
      <x:c r="TDQ61" s="291"/>
      <x:c r="TDR61" s="291"/>
      <x:c r="TDS61" s="291"/>
      <x:c r="TDT61" s="291"/>
      <x:c r="TDU61" s="291"/>
      <x:c r="TDV61" s="291"/>
      <x:c r="TDW61" s="291"/>
      <x:c r="TDX61" s="291"/>
      <x:c r="TDY61" s="291"/>
      <x:c r="TDZ61" s="291"/>
      <x:c r="TEA61" s="291"/>
      <x:c r="TEB61" s="291"/>
      <x:c r="TEC61" s="291"/>
      <x:c r="TED61" s="291"/>
      <x:c r="TEE61" s="291"/>
      <x:c r="TEF61" s="291"/>
      <x:c r="TEG61" s="291"/>
      <x:c r="TEH61" s="291"/>
      <x:c r="TEI61" s="291"/>
      <x:c r="TEJ61" s="291"/>
      <x:c r="TEK61" s="291"/>
      <x:c r="TEL61" s="291"/>
      <x:c r="TEM61" s="291"/>
      <x:c r="TEN61" s="291"/>
      <x:c r="TEO61" s="291"/>
      <x:c r="TEP61" s="291"/>
      <x:c r="TEQ61" s="291"/>
      <x:c r="TER61" s="291"/>
      <x:c r="TES61" s="291"/>
      <x:c r="TET61" s="291"/>
      <x:c r="TEU61" s="291"/>
      <x:c r="TEV61" s="291"/>
      <x:c r="TEW61" s="291"/>
      <x:c r="TEX61" s="291"/>
      <x:c r="TEY61" s="291"/>
      <x:c r="TEZ61" s="291"/>
      <x:c r="TFA61" s="291"/>
      <x:c r="TFB61" s="291"/>
      <x:c r="TFC61" s="291"/>
      <x:c r="TFD61" s="291"/>
      <x:c r="TFE61" s="291"/>
      <x:c r="TFF61" s="291"/>
      <x:c r="TFG61" s="291"/>
      <x:c r="TFH61" s="291"/>
      <x:c r="TFI61" s="291"/>
      <x:c r="TFJ61" s="291"/>
      <x:c r="TFK61" s="291"/>
      <x:c r="TFL61" s="291"/>
      <x:c r="TFM61" s="291"/>
      <x:c r="TFN61" s="291"/>
      <x:c r="TFO61" s="291"/>
      <x:c r="TFP61" s="291"/>
      <x:c r="TFQ61" s="291"/>
      <x:c r="TFR61" s="291"/>
      <x:c r="TFS61" s="291"/>
      <x:c r="TFT61" s="291"/>
      <x:c r="TFU61" s="291"/>
      <x:c r="TFV61" s="291"/>
      <x:c r="TFW61" s="291"/>
      <x:c r="TFX61" s="291"/>
      <x:c r="TFY61" s="291"/>
      <x:c r="TFZ61" s="291"/>
      <x:c r="TGA61" s="291"/>
      <x:c r="TGB61" s="291"/>
      <x:c r="TGC61" s="291"/>
      <x:c r="TGD61" s="291"/>
      <x:c r="TGE61" s="291"/>
      <x:c r="TGF61" s="291"/>
      <x:c r="TGG61" s="291"/>
      <x:c r="TGH61" s="291"/>
      <x:c r="TGI61" s="291"/>
      <x:c r="TGJ61" s="291"/>
      <x:c r="TGK61" s="291"/>
      <x:c r="TGL61" s="291"/>
      <x:c r="TGM61" s="291"/>
      <x:c r="TGN61" s="291"/>
      <x:c r="TGO61" s="291"/>
      <x:c r="TGP61" s="291"/>
      <x:c r="TGQ61" s="291"/>
      <x:c r="TGR61" s="291"/>
      <x:c r="TGS61" s="291"/>
      <x:c r="TGT61" s="291"/>
      <x:c r="TGU61" s="291"/>
      <x:c r="TGV61" s="291"/>
      <x:c r="TGW61" s="291"/>
      <x:c r="TGX61" s="291"/>
      <x:c r="TGY61" s="291"/>
      <x:c r="TGZ61" s="291"/>
      <x:c r="THA61" s="291"/>
      <x:c r="THB61" s="291"/>
      <x:c r="THC61" s="291"/>
      <x:c r="THD61" s="291"/>
      <x:c r="THE61" s="291"/>
      <x:c r="THF61" s="291"/>
      <x:c r="THG61" s="291"/>
      <x:c r="THH61" s="291"/>
      <x:c r="THI61" s="291"/>
      <x:c r="THJ61" s="291"/>
      <x:c r="THK61" s="291"/>
      <x:c r="THL61" s="291"/>
      <x:c r="THM61" s="291"/>
      <x:c r="THN61" s="291"/>
      <x:c r="THO61" s="291"/>
      <x:c r="THP61" s="291"/>
      <x:c r="THQ61" s="291"/>
      <x:c r="THR61" s="291"/>
      <x:c r="THS61" s="291"/>
      <x:c r="THT61" s="291"/>
      <x:c r="THU61" s="291"/>
      <x:c r="THV61" s="291"/>
      <x:c r="THW61" s="291"/>
      <x:c r="THX61" s="291"/>
      <x:c r="THY61" s="291"/>
      <x:c r="THZ61" s="291"/>
      <x:c r="TIA61" s="291"/>
      <x:c r="TIB61" s="291"/>
      <x:c r="TIC61" s="291"/>
      <x:c r="TID61" s="291"/>
      <x:c r="TIE61" s="291"/>
      <x:c r="TIF61" s="291"/>
      <x:c r="TIG61" s="291"/>
      <x:c r="TIH61" s="291"/>
      <x:c r="TII61" s="291"/>
      <x:c r="TIJ61" s="291"/>
      <x:c r="TIK61" s="291"/>
      <x:c r="TIL61" s="291"/>
      <x:c r="TIM61" s="291"/>
      <x:c r="TIN61" s="291"/>
      <x:c r="TIO61" s="291"/>
      <x:c r="TIP61" s="291"/>
      <x:c r="TIQ61" s="291"/>
      <x:c r="TIR61" s="291"/>
      <x:c r="TIS61" s="291"/>
      <x:c r="TIT61" s="291"/>
      <x:c r="TIU61" s="291"/>
      <x:c r="TIV61" s="291"/>
      <x:c r="TIW61" s="291"/>
      <x:c r="TIX61" s="291"/>
      <x:c r="TIY61" s="291"/>
      <x:c r="TIZ61" s="291"/>
      <x:c r="TJA61" s="291"/>
      <x:c r="TJB61" s="291"/>
      <x:c r="TJC61" s="291"/>
      <x:c r="TJD61" s="291"/>
      <x:c r="TJE61" s="291"/>
      <x:c r="TJF61" s="291"/>
      <x:c r="TJG61" s="291"/>
      <x:c r="TJH61" s="291"/>
      <x:c r="TJI61" s="291"/>
      <x:c r="TJJ61" s="291"/>
      <x:c r="TJK61" s="291"/>
      <x:c r="TJL61" s="291"/>
      <x:c r="TJM61" s="291"/>
      <x:c r="TJN61" s="291"/>
      <x:c r="TJO61" s="291"/>
      <x:c r="TJP61" s="291"/>
      <x:c r="TJQ61" s="291"/>
      <x:c r="TJR61" s="291"/>
      <x:c r="TJS61" s="291"/>
      <x:c r="TJT61" s="291"/>
      <x:c r="TJU61" s="291"/>
      <x:c r="TJV61" s="291"/>
      <x:c r="TJW61" s="291"/>
      <x:c r="TJX61" s="291"/>
      <x:c r="TJY61" s="291"/>
      <x:c r="TJZ61" s="291"/>
      <x:c r="TKA61" s="291"/>
      <x:c r="TKB61" s="291"/>
      <x:c r="TKC61" s="291"/>
      <x:c r="TKD61" s="291"/>
      <x:c r="TKE61" s="291"/>
      <x:c r="TKF61" s="291"/>
      <x:c r="TKG61" s="291"/>
      <x:c r="TKH61" s="291"/>
      <x:c r="TKI61" s="291"/>
      <x:c r="TKJ61" s="291"/>
      <x:c r="TKK61" s="291"/>
      <x:c r="TKL61" s="291"/>
      <x:c r="TKM61" s="291"/>
      <x:c r="TKN61" s="291"/>
      <x:c r="TKO61" s="291"/>
      <x:c r="TKP61" s="291"/>
      <x:c r="TKQ61" s="291"/>
      <x:c r="TKR61" s="291"/>
      <x:c r="TKS61" s="291"/>
      <x:c r="TKT61" s="291"/>
      <x:c r="TKU61" s="291"/>
      <x:c r="TKV61" s="291"/>
      <x:c r="TKW61" s="291"/>
      <x:c r="TKX61" s="291"/>
      <x:c r="TKY61" s="291"/>
      <x:c r="TKZ61" s="291"/>
      <x:c r="TLA61" s="291"/>
      <x:c r="TLB61" s="291"/>
      <x:c r="TLC61" s="291"/>
      <x:c r="TLD61" s="291"/>
      <x:c r="TLE61" s="291"/>
      <x:c r="TLF61" s="291"/>
      <x:c r="TLG61" s="291"/>
      <x:c r="TLH61" s="291"/>
      <x:c r="TLI61" s="291"/>
      <x:c r="TLJ61" s="291"/>
      <x:c r="TLK61" s="291"/>
      <x:c r="TLL61" s="291"/>
      <x:c r="TLM61" s="291"/>
      <x:c r="TLN61" s="291"/>
      <x:c r="TLO61" s="291"/>
      <x:c r="TLP61" s="291"/>
      <x:c r="TLQ61" s="291"/>
      <x:c r="TLR61" s="291"/>
      <x:c r="TLS61" s="291"/>
      <x:c r="TLT61" s="291"/>
      <x:c r="TLU61" s="291"/>
      <x:c r="TLV61" s="291"/>
      <x:c r="TLW61" s="291"/>
      <x:c r="TLX61" s="291"/>
      <x:c r="TLY61" s="291"/>
      <x:c r="TLZ61" s="291"/>
      <x:c r="TMA61" s="291"/>
      <x:c r="TMB61" s="291"/>
      <x:c r="TMC61" s="291"/>
      <x:c r="TMD61" s="291"/>
      <x:c r="TME61" s="291"/>
      <x:c r="TMF61" s="291"/>
      <x:c r="TMG61" s="291"/>
      <x:c r="TMH61" s="291"/>
      <x:c r="TMI61" s="291"/>
      <x:c r="TMJ61" s="291"/>
      <x:c r="TMK61" s="291"/>
      <x:c r="TML61" s="291"/>
      <x:c r="TMM61" s="291"/>
      <x:c r="TMN61" s="291"/>
      <x:c r="TMO61" s="291"/>
      <x:c r="TMP61" s="291"/>
      <x:c r="TMQ61" s="291"/>
      <x:c r="TMR61" s="291"/>
      <x:c r="TMS61" s="291"/>
      <x:c r="TMT61" s="291"/>
      <x:c r="TMU61" s="291"/>
      <x:c r="TMV61" s="291"/>
      <x:c r="TMW61" s="291"/>
      <x:c r="TMX61" s="291"/>
      <x:c r="TMY61" s="291"/>
      <x:c r="TMZ61" s="291"/>
      <x:c r="TNA61" s="291"/>
      <x:c r="TNB61" s="291"/>
      <x:c r="TNC61" s="291"/>
      <x:c r="TND61" s="291"/>
      <x:c r="TNE61" s="291"/>
      <x:c r="TNF61" s="291"/>
      <x:c r="TNG61" s="291"/>
      <x:c r="TNH61" s="291"/>
      <x:c r="TNI61" s="291"/>
      <x:c r="TNJ61" s="291"/>
      <x:c r="TNK61" s="291"/>
      <x:c r="TNL61" s="291"/>
      <x:c r="TNM61" s="291"/>
      <x:c r="TNN61" s="291"/>
      <x:c r="TNO61" s="291"/>
      <x:c r="TNP61" s="291"/>
      <x:c r="TNQ61" s="291"/>
      <x:c r="TNR61" s="291"/>
      <x:c r="TNS61" s="291"/>
      <x:c r="TNT61" s="291"/>
      <x:c r="TNU61" s="291"/>
      <x:c r="TNV61" s="291"/>
      <x:c r="TNW61" s="291"/>
      <x:c r="TNX61" s="291"/>
      <x:c r="TNY61" s="291"/>
      <x:c r="TNZ61" s="291"/>
      <x:c r="TOA61" s="291"/>
      <x:c r="TOB61" s="291"/>
      <x:c r="TOC61" s="291"/>
      <x:c r="TOD61" s="291"/>
      <x:c r="TOE61" s="291"/>
      <x:c r="TOF61" s="291"/>
      <x:c r="TOG61" s="291"/>
      <x:c r="TOH61" s="291"/>
      <x:c r="TOI61" s="291"/>
      <x:c r="TOJ61" s="291"/>
      <x:c r="TOK61" s="291"/>
      <x:c r="TOL61" s="291"/>
      <x:c r="TOM61" s="291"/>
      <x:c r="TON61" s="291"/>
      <x:c r="TOO61" s="291"/>
      <x:c r="TOP61" s="291"/>
      <x:c r="TOQ61" s="291"/>
      <x:c r="TOR61" s="291"/>
      <x:c r="TOS61" s="291"/>
      <x:c r="TOT61" s="291"/>
      <x:c r="TOU61" s="291"/>
      <x:c r="TOV61" s="291"/>
      <x:c r="TOW61" s="291"/>
      <x:c r="TOX61" s="291"/>
      <x:c r="TOY61" s="291"/>
      <x:c r="TOZ61" s="291"/>
      <x:c r="TPA61" s="291"/>
      <x:c r="TPB61" s="291"/>
      <x:c r="TPC61" s="291"/>
      <x:c r="TPD61" s="291"/>
      <x:c r="TPE61" s="291"/>
      <x:c r="TPF61" s="291"/>
      <x:c r="TPG61" s="291"/>
      <x:c r="TPH61" s="291"/>
      <x:c r="TPI61" s="291"/>
      <x:c r="TPJ61" s="291"/>
      <x:c r="TPK61" s="291"/>
      <x:c r="TPL61" s="291"/>
      <x:c r="TPM61" s="291"/>
      <x:c r="TPN61" s="291"/>
      <x:c r="TPO61" s="291"/>
      <x:c r="TPP61" s="291"/>
      <x:c r="TPQ61" s="291"/>
      <x:c r="TPR61" s="291"/>
      <x:c r="TPS61" s="291"/>
      <x:c r="TPT61" s="291"/>
      <x:c r="TPU61" s="291"/>
      <x:c r="TPV61" s="291"/>
      <x:c r="TPW61" s="291"/>
      <x:c r="TPX61" s="291"/>
      <x:c r="TPY61" s="291"/>
      <x:c r="TPZ61" s="291"/>
      <x:c r="TQA61" s="291"/>
      <x:c r="TQB61" s="291"/>
      <x:c r="TQC61" s="291"/>
      <x:c r="TQD61" s="291"/>
      <x:c r="TQE61" s="291"/>
      <x:c r="TQF61" s="291"/>
      <x:c r="TQG61" s="291"/>
      <x:c r="TQH61" s="291"/>
      <x:c r="TQI61" s="291"/>
      <x:c r="TQJ61" s="291"/>
      <x:c r="TQK61" s="291"/>
      <x:c r="TQL61" s="291"/>
      <x:c r="TQM61" s="291"/>
      <x:c r="TQN61" s="291"/>
      <x:c r="TQO61" s="291"/>
      <x:c r="TQP61" s="291"/>
      <x:c r="TQQ61" s="291"/>
      <x:c r="TQR61" s="291"/>
      <x:c r="TQS61" s="291"/>
      <x:c r="TQT61" s="291"/>
      <x:c r="TQU61" s="291"/>
      <x:c r="TQV61" s="291"/>
      <x:c r="TQW61" s="291"/>
      <x:c r="TQX61" s="291"/>
      <x:c r="TQY61" s="291"/>
      <x:c r="TQZ61" s="291"/>
      <x:c r="TRA61" s="291"/>
      <x:c r="TRB61" s="291"/>
      <x:c r="TRC61" s="291"/>
      <x:c r="TRD61" s="291"/>
      <x:c r="TRE61" s="291"/>
      <x:c r="TRF61" s="291"/>
      <x:c r="TRG61" s="291"/>
      <x:c r="TRH61" s="291"/>
      <x:c r="TRI61" s="291"/>
      <x:c r="TRJ61" s="291"/>
      <x:c r="TRK61" s="291"/>
      <x:c r="TRL61" s="291"/>
      <x:c r="TRM61" s="291"/>
      <x:c r="TRN61" s="291"/>
      <x:c r="TRO61" s="291"/>
      <x:c r="TRP61" s="291"/>
      <x:c r="TRQ61" s="291"/>
      <x:c r="TRR61" s="291"/>
      <x:c r="TRS61" s="291"/>
      <x:c r="TRT61" s="291"/>
      <x:c r="TRU61" s="291"/>
      <x:c r="TRV61" s="291"/>
      <x:c r="TRW61" s="291"/>
      <x:c r="TRX61" s="291"/>
      <x:c r="TRY61" s="291"/>
      <x:c r="TRZ61" s="291"/>
      <x:c r="TSA61" s="291"/>
      <x:c r="TSB61" s="291"/>
      <x:c r="TSC61" s="291"/>
      <x:c r="TSD61" s="291"/>
      <x:c r="TSE61" s="291"/>
      <x:c r="TSF61" s="291"/>
      <x:c r="TSG61" s="291"/>
      <x:c r="TSH61" s="291"/>
      <x:c r="TSI61" s="291"/>
      <x:c r="TSJ61" s="291"/>
      <x:c r="TSK61" s="291"/>
      <x:c r="TSL61" s="291"/>
      <x:c r="TSM61" s="291"/>
      <x:c r="TSN61" s="291"/>
      <x:c r="TSO61" s="291"/>
      <x:c r="TSP61" s="291"/>
      <x:c r="TSQ61" s="291"/>
      <x:c r="TSR61" s="291"/>
      <x:c r="TSS61" s="291"/>
      <x:c r="TST61" s="291"/>
      <x:c r="TSU61" s="291"/>
      <x:c r="TSV61" s="291"/>
      <x:c r="TSW61" s="291"/>
      <x:c r="TSX61" s="291"/>
      <x:c r="TSY61" s="291"/>
      <x:c r="TSZ61" s="291"/>
      <x:c r="TTA61" s="291"/>
      <x:c r="TTB61" s="291"/>
      <x:c r="TTC61" s="291"/>
      <x:c r="TTD61" s="291"/>
      <x:c r="TTE61" s="291"/>
      <x:c r="TTF61" s="291"/>
      <x:c r="TTG61" s="291"/>
      <x:c r="TTH61" s="291"/>
      <x:c r="TTI61" s="291"/>
      <x:c r="TTJ61" s="291"/>
      <x:c r="TTK61" s="291"/>
      <x:c r="TTL61" s="291"/>
      <x:c r="TTM61" s="291"/>
      <x:c r="TTN61" s="291"/>
      <x:c r="TTO61" s="291"/>
      <x:c r="TTP61" s="291"/>
      <x:c r="TTQ61" s="291"/>
      <x:c r="TTR61" s="291"/>
      <x:c r="TTS61" s="291"/>
      <x:c r="TTT61" s="291"/>
      <x:c r="TTU61" s="291"/>
      <x:c r="TTV61" s="291"/>
      <x:c r="TTW61" s="291"/>
      <x:c r="TTX61" s="291"/>
      <x:c r="TTY61" s="291"/>
      <x:c r="TTZ61" s="291"/>
      <x:c r="TUA61" s="291"/>
      <x:c r="TUB61" s="291"/>
      <x:c r="TUC61" s="291"/>
      <x:c r="TUD61" s="291"/>
      <x:c r="TUE61" s="291"/>
      <x:c r="TUF61" s="291"/>
      <x:c r="TUG61" s="291"/>
      <x:c r="TUH61" s="291"/>
      <x:c r="TUI61" s="291"/>
      <x:c r="TUJ61" s="291"/>
      <x:c r="TUK61" s="291"/>
      <x:c r="TUL61" s="291"/>
      <x:c r="TUM61" s="291"/>
      <x:c r="TUN61" s="291"/>
      <x:c r="TUO61" s="291"/>
      <x:c r="TUP61" s="291"/>
      <x:c r="TUQ61" s="291"/>
      <x:c r="TUR61" s="291"/>
      <x:c r="TUS61" s="291"/>
      <x:c r="TUT61" s="291"/>
      <x:c r="TUU61" s="291"/>
      <x:c r="TUV61" s="291"/>
      <x:c r="TUW61" s="291"/>
      <x:c r="TUX61" s="291"/>
      <x:c r="TUY61" s="291"/>
      <x:c r="TUZ61" s="291"/>
      <x:c r="TVA61" s="291"/>
      <x:c r="TVB61" s="291"/>
      <x:c r="TVC61" s="291"/>
      <x:c r="TVD61" s="291"/>
      <x:c r="TVE61" s="291"/>
      <x:c r="TVF61" s="291"/>
      <x:c r="TVG61" s="291"/>
      <x:c r="TVH61" s="291"/>
      <x:c r="TVI61" s="291"/>
      <x:c r="TVJ61" s="291"/>
      <x:c r="TVK61" s="291"/>
      <x:c r="TVL61" s="291"/>
      <x:c r="TVM61" s="291"/>
      <x:c r="TVN61" s="291"/>
      <x:c r="TVO61" s="291"/>
      <x:c r="TVP61" s="291"/>
      <x:c r="TVQ61" s="291"/>
      <x:c r="TVR61" s="291"/>
      <x:c r="TVS61" s="291"/>
      <x:c r="TVT61" s="291"/>
      <x:c r="TVU61" s="291"/>
      <x:c r="TVV61" s="291"/>
      <x:c r="TVW61" s="291"/>
      <x:c r="TVX61" s="291"/>
      <x:c r="TVY61" s="291"/>
      <x:c r="TVZ61" s="291"/>
      <x:c r="TWA61" s="291"/>
      <x:c r="TWB61" s="291"/>
      <x:c r="TWC61" s="291"/>
      <x:c r="TWD61" s="291"/>
      <x:c r="TWE61" s="291"/>
      <x:c r="TWF61" s="291"/>
      <x:c r="TWG61" s="291"/>
      <x:c r="TWH61" s="291"/>
      <x:c r="TWI61" s="291"/>
      <x:c r="TWJ61" s="291"/>
      <x:c r="TWK61" s="291"/>
      <x:c r="TWL61" s="291"/>
      <x:c r="TWM61" s="291"/>
      <x:c r="TWN61" s="291"/>
      <x:c r="TWO61" s="291"/>
      <x:c r="TWP61" s="291"/>
      <x:c r="TWQ61" s="291"/>
      <x:c r="TWR61" s="291"/>
      <x:c r="TWS61" s="291"/>
      <x:c r="TWT61" s="291"/>
      <x:c r="TWU61" s="291"/>
      <x:c r="TWV61" s="291"/>
      <x:c r="TWW61" s="291"/>
      <x:c r="TWX61" s="291"/>
      <x:c r="TWY61" s="291"/>
      <x:c r="TWZ61" s="291"/>
      <x:c r="TXA61" s="291"/>
      <x:c r="TXB61" s="291"/>
      <x:c r="TXC61" s="291"/>
      <x:c r="TXD61" s="291"/>
      <x:c r="TXE61" s="291"/>
      <x:c r="TXF61" s="291"/>
      <x:c r="TXG61" s="291"/>
      <x:c r="TXH61" s="291"/>
      <x:c r="TXI61" s="291"/>
      <x:c r="TXJ61" s="291"/>
      <x:c r="TXK61" s="291"/>
      <x:c r="TXL61" s="291"/>
      <x:c r="TXM61" s="291"/>
      <x:c r="TXN61" s="291"/>
      <x:c r="TXO61" s="291"/>
      <x:c r="TXP61" s="291"/>
      <x:c r="TXQ61" s="291"/>
      <x:c r="TXR61" s="291"/>
      <x:c r="TXS61" s="291"/>
      <x:c r="TXT61" s="291"/>
      <x:c r="TXU61" s="291"/>
      <x:c r="TXV61" s="291"/>
      <x:c r="TXW61" s="291"/>
      <x:c r="TXX61" s="291"/>
      <x:c r="TXY61" s="291"/>
      <x:c r="TXZ61" s="291"/>
      <x:c r="TYA61" s="291"/>
      <x:c r="TYB61" s="291"/>
      <x:c r="TYC61" s="291"/>
      <x:c r="TYD61" s="291"/>
      <x:c r="TYE61" s="291"/>
      <x:c r="TYF61" s="291"/>
      <x:c r="TYG61" s="291"/>
      <x:c r="TYH61" s="291"/>
      <x:c r="TYI61" s="291"/>
      <x:c r="TYJ61" s="291"/>
      <x:c r="TYK61" s="291"/>
      <x:c r="TYL61" s="291"/>
      <x:c r="TYM61" s="291"/>
      <x:c r="TYN61" s="291"/>
      <x:c r="TYO61" s="291"/>
      <x:c r="TYP61" s="291"/>
      <x:c r="TYQ61" s="291"/>
      <x:c r="TYR61" s="291"/>
      <x:c r="TYS61" s="291"/>
      <x:c r="TYT61" s="291"/>
      <x:c r="TYU61" s="291"/>
      <x:c r="TYV61" s="291"/>
      <x:c r="TYW61" s="291"/>
      <x:c r="TYX61" s="291"/>
      <x:c r="TYY61" s="291"/>
      <x:c r="TYZ61" s="291"/>
      <x:c r="TZA61" s="291"/>
      <x:c r="TZB61" s="291"/>
      <x:c r="TZC61" s="291"/>
      <x:c r="TZD61" s="291"/>
      <x:c r="TZE61" s="291"/>
      <x:c r="TZF61" s="291"/>
      <x:c r="TZG61" s="291"/>
      <x:c r="TZH61" s="291"/>
      <x:c r="TZI61" s="291"/>
      <x:c r="TZJ61" s="291"/>
      <x:c r="TZK61" s="291"/>
      <x:c r="TZL61" s="291"/>
      <x:c r="TZM61" s="291"/>
      <x:c r="TZN61" s="291"/>
      <x:c r="TZO61" s="291"/>
      <x:c r="TZP61" s="291"/>
      <x:c r="TZQ61" s="291"/>
      <x:c r="TZR61" s="291"/>
      <x:c r="TZS61" s="291"/>
      <x:c r="TZT61" s="291"/>
      <x:c r="TZU61" s="291"/>
      <x:c r="TZV61" s="291"/>
      <x:c r="TZW61" s="291"/>
      <x:c r="TZX61" s="291"/>
      <x:c r="TZY61" s="291"/>
      <x:c r="TZZ61" s="291"/>
      <x:c r="UAA61" s="291"/>
      <x:c r="UAB61" s="291"/>
      <x:c r="UAC61" s="291"/>
      <x:c r="UAD61" s="291"/>
      <x:c r="UAE61" s="291"/>
      <x:c r="UAF61" s="291"/>
      <x:c r="UAG61" s="291"/>
      <x:c r="UAH61" s="291"/>
      <x:c r="UAI61" s="291"/>
      <x:c r="UAJ61" s="291"/>
      <x:c r="UAK61" s="291"/>
      <x:c r="UAL61" s="291"/>
      <x:c r="UAM61" s="291"/>
      <x:c r="UAN61" s="291"/>
      <x:c r="UAO61" s="291"/>
      <x:c r="UAP61" s="291"/>
      <x:c r="UAQ61" s="291"/>
      <x:c r="UAR61" s="291"/>
      <x:c r="UAS61" s="291"/>
      <x:c r="UAT61" s="291"/>
      <x:c r="UAU61" s="291"/>
      <x:c r="UAV61" s="291"/>
      <x:c r="UAW61" s="291"/>
      <x:c r="UAX61" s="291"/>
      <x:c r="UAY61" s="291"/>
      <x:c r="UAZ61" s="291"/>
      <x:c r="UBA61" s="291"/>
      <x:c r="UBB61" s="291"/>
      <x:c r="UBC61" s="291"/>
      <x:c r="UBD61" s="291"/>
      <x:c r="UBE61" s="291"/>
      <x:c r="UBF61" s="291"/>
      <x:c r="UBG61" s="291"/>
      <x:c r="UBH61" s="291"/>
      <x:c r="UBI61" s="291"/>
      <x:c r="UBJ61" s="291"/>
      <x:c r="UBK61" s="291"/>
      <x:c r="UBL61" s="291"/>
      <x:c r="UBM61" s="291"/>
      <x:c r="UBN61" s="291"/>
      <x:c r="UBO61" s="291"/>
      <x:c r="UBP61" s="291"/>
      <x:c r="UBQ61" s="291"/>
      <x:c r="UBR61" s="291"/>
      <x:c r="UBS61" s="291"/>
      <x:c r="UBT61" s="291"/>
      <x:c r="UBU61" s="291"/>
      <x:c r="UBV61" s="291"/>
      <x:c r="UBW61" s="291"/>
      <x:c r="UBX61" s="291"/>
      <x:c r="UBY61" s="291"/>
      <x:c r="UBZ61" s="291"/>
      <x:c r="UCA61" s="291"/>
      <x:c r="UCB61" s="291"/>
      <x:c r="UCC61" s="291"/>
      <x:c r="UCD61" s="291"/>
      <x:c r="UCE61" s="291"/>
      <x:c r="UCF61" s="291"/>
      <x:c r="UCG61" s="291"/>
      <x:c r="UCH61" s="291"/>
      <x:c r="UCI61" s="291"/>
      <x:c r="UCJ61" s="291"/>
      <x:c r="UCK61" s="291"/>
      <x:c r="UCL61" s="291"/>
      <x:c r="UCM61" s="291"/>
      <x:c r="UCN61" s="291"/>
      <x:c r="UCO61" s="291"/>
      <x:c r="UCP61" s="291"/>
      <x:c r="UCQ61" s="291"/>
      <x:c r="UCR61" s="291"/>
      <x:c r="UCS61" s="291"/>
      <x:c r="UCT61" s="291"/>
      <x:c r="UCU61" s="291"/>
      <x:c r="UCV61" s="291"/>
      <x:c r="UCW61" s="291"/>
      <x:c r="UCX61" s="291"/>
      <x:c r="UCY61" s="291"/>
      <x:c r="UCZ61" s="291"/>
      <x:c r="UDA61" s="291"/>
      <x:c r="UDB61" s="291"/>
      <x:c r="UDC61" s="291"/>
      <x:c r="UDD61" s="291"/>
      <x:c r="UDE61" s="291"/>
      <x:c r="UDF61" s="291"/>
      <x:c r="UDG61" s="291"/>
      <x:c r="UDH61" s="291"/>
      <x:c r="UDI61" s="291"/>
      <x:c r="UDJ61" s="291"/>
      <x:c r="UDK61" s="291"/>
      <x:c r="UDL61" s="291"/>
      <x:c r="UDM61" s="291"/>
      <x:c r="UDN61" s="291"/>
      <x:c r="UDO61" s="291"/>
      <x:c r="UDP61" s="291"/>
      <x:c r="UDQ61" s="291"/>
      <x:c r="UDR61" s="291"/>
      <x:c r="UDS61" s="291"/>
      <x:c r="UDT61" s="291"/>
      <x:c r="UDU61" s="291"/>
      <x:c r="UDV61" s="291"/>
      <x:c r="UDW61" s="291"/>
      <x:c r="UDX61" s="291"/>
      <x:c r="UDY61" s="291"/>
      <x:c r="UDZ61" s="291"/>
      <x:c r="UEA61" s="291"/>
      <x:c r="UEB61" s="291"/>
      <x:c r="UEC61" s="291"/>
      <x:c r="UED61" s="291"/>
      <x:c r="UEE61" s="291"/>
      <x:c r="UEF61" s="291"/>
      <x:c r="UEG61" s="291"/>
      <x:c r="UEH61" s="291"/>
      <x:c r="UEI61" s="291"/>
      <x:c r="UEJ61" s="291"/>
      <x:c r="UEK61" s="291"/>
      <x:c r="UEL61" s="291"/>
      <x:c r="UEM61" s="291"/>
      <x:c r="UEN61" s="291"/>
      <x:c r="UEO61" s="291"/>
      <x:c r="UEP61" s="291"/>
      <x:c r="UEQ61" s="291"/>
      <x:c r="UER61" s="291"/>
      <x:c r="UES61" s="291"/>
      <x:c r="UET61" s="291"/>
      <x:c r="UEU61" s="291"/>
      <x:c r="UEV61" s="291"/>
      <x:c r="UEW61" s="291"/>
      <x:c r="UEX61" s="291"/>
      <x:c r="UEY61" s="291"/>
      <x:c r="UEZ61" s="291"/>
      <x:c r="UFA61" s="291"/>
      <x:c r="UFB61" s="291"/>
      <x:c r="UFC61" s="291"/>
      <x:c r="UFD61" s="291"/>
      <x:c r="UFE61" s="291"/>
      <x:c r="UFF61" s="291"/>
      <x:c r="UFG61" s="291"/>
      <x:c r="UFH61" s="291"/>
      <x:c r="UFI61" s="291"/>
      <x:c r="UFJ61" s="291"/>
      <x:c r="UFK61" s="291"/>
      <x:c r="UFL61" s="291"/>
      <x:c r="UFM61" s="291"/>
      <x:c r="UFN61" s="291"/>
      <x:c r="UFO61" s="291"/>
      <x:c r="UFP61" s="291"/>
      <x:c r="UFQ61" s="291"/>
      <x:c r="UFR61" s="291"/>
      <x:c r="UFS61" s="291"/>
      <x:c r="UFT61" s="291"/>
      <x:c r="UFU61" s="291"/>
      <x:c r="UFV61" s="291"/>
      <x:c r="UFW61" s="291"/>
      <x:c r="UFX61" s="291"/>
      <x:c r="UFY61" s="291"/>
      <x:c r="UFZ61" s="291"/>
      <x:c r="UGA61" s="291"/>
      <x:c r="UGB61" s="291"/>
      <x:c r="UGC61" s="291"/>
      <x:c r="UGD61" s="291"/>
      <x:c r="UGE61" s="291"/>
      <x:c r="UGF61" s="291"/>
      <x:c r="UGG61" s="291"/>
      <x:c r="UGH61" s="291"/>
      <x:c r="UGI61" s="291"/>
      <x:c r="UGJ61" s="291"/>
      <x:c r="UGK61" s="291"/>
      <x:c r="UGL61" s="291"/>
      <x:c r="UGM61" s="291"/>
      <x:c r="UGN61" s="291"/>
      <x:c r="UGO61" s="291"/>
      <x:c r="UGP61" s="291"/>
      <x:c r="UGQ61" s="291"/>
      <x:c r="UGR61" s="291"/>
      <x:c r="UGS61" s="291"/>
      <x:c r="UGT61" s="291"/>
      <x:c r="UGU61" s="291"/>
      <x:c r="UGV61" s="291"/>
      <x:c r="UGW61" s="291"/>
      <x:c r="UGX61" s="291"/>
      <x:c r="UGY61" s="291"/>
      <x:c r="UGZ61" s="291"/>
      <x:c r="UHA61" s="291"/>
      <x:c r="UHB61" s="291"/>
      <x:c r="UHC61" s="291"/>
      <x:c r="UHD61" s="291"/>
      <x:c r="UHE61" s="291"/>
      <x:c r="UHF61" s="291"/>
      <x:c r="UHG61" s="291"/>
      <x:c r="UHH61" s="291"/>
      <x:c r="UHI61" s="291"/>
      <x:c r="UHJ61" s="291"/>
      <x:c r="UHK61" s="291"/>
      <x:c r="UHL61" s="291"/>
      <x:c r="UHM61" s="291"/>
      <x:c r="UHN61" s="291"/>
      <x:c r="UHO61" s="291"/>
      <x:c r="UHP61" s="291"/>
      <x:c r="UHQ61" s="291"/>
      <x:c r="UHR61" s="291"/>
      <x:c r="UHS61" s="291"/>
      <x:c r="UHT61" s="291"/>
      <x:c r="UHU61" s="291"/>
      <x:c r="UHV61" s="291"/>
      <x:c r="UHW61" s="291"/>
      <x:c r="UHX61" s="291"/>
      <x:c r="UHY61" s="291"/>
      <x:c r="UHZ61" s="291"/>
      <x:c r="UIA61" s="291"/>
      <x:c r="UIB61" s="291"/>
      <x:c r="UIC61" s="291"/>
      <x:c r="UID61" s="291"/>
      <x:c r="UIE61" s="291"/>
      <x:c r="UIF61" s="291"/>
      <x:c r="UIG61" s="291"/>
      <x:c r="UIH61" s="291"/>
      <x:c r="UII61" s="291"/>
      <x:c r="UIJ61" s="291"/>
      <x:c r="UIK61" s="291"/>
      <x:c r="UIL61" s="291"/>
      <x:c r="UIM61" s="291"/>
      <x:c r="UIN61" s="291"/>
      <x:c r="UIO61" s="291"/>
      <x:c r="UIP61" s="291"/>
      <x:c r="UIQ61" s="291"/>
      <x:c r="UIR61" s="291"/>
      <x:c r="UIS61" s="291"/>
      <x:c r="UIT61" s="291"/>
      <x:c r="UIU61" s="291"/>
      <x:c r="UIV61" s="291"/>
      <x:c r="UIW61" s="291"/>
      <x:c r="UIX61" s="291"/>
      <x:c r="UIY61" s="291"/>
      <x:c r="UIZ61" s="291"/>
      <x:c r="UJA61" s="291"/>
      <x:c r="UJB61" s="291"/>
      <x:c r="UJC61" s="291"/>
      <x:c r="UJD61" s="291"/>
      <x:c r="UJE61" s="291"/>
      <x:c r="UJF61" s="291"/>
      <x:c r="UJG61" s="291"/>
      <x:c r="UJH61" s="291"/>
      <x:c r="UJI61" s="291"/>
      <x:c r="UJJ61" s="291"/>
      <x:c r="UJK61" s="291"/>
      <x:c r="UJL61" s="291"/>
      <x:c r="UJM61" s="291"/>
      <x:c r="UJN61" s="291"/>
      <x:c r="UJO61" s="291"/>
      <x:c r="UJP61" s="291"/>
      <x:c r="UJQ61" s="291"/>
      <x:c r="UJR61" s="291"/>
      <x:c r="UJS61" s="291"/>
      <x:c r="UJT61" s="291"/>
      <x:c r="UJU61" s="291"/>
      <x:c r="UJV61" s="291"/>
      <x:c r="UJW61" s="291"/>
      <x:c r="UJX61" s="291"/>
      <x:c r="UJY61" s="291"/>
      <x:c r="UJZ61" s="291"/>
      <x:c r="UKA61" s="291"/>
      <x:c r="UKB61" s="291"/>
      <x:c r="UKC61" s="291"/>
      <x:c r="UKD61" s="291"/>
      <x:c r="UKE61" s="291"/>
      <x:c r="UKF61" s="291"/>
      <x:c r="UKG61" s="291"/>
      <x:c r="UKH61" s="291"/>
      <x:c r="UKI61" s="291"/>
      <x:c r="UKJ61" s="291"/>
      <x:c r="UKK61" s="291"/>
      <x:c r="UKL61" s="291"/>
      <x:c r="UKM61" s="291"/>
      <x:c r="UKN61" s="291"/>
      <x:c r="UKO61" s="291"/>
      <x:c r="UKP61" s="291"/>
      <x:c r="UKQ61" s="291"/>
      <x:c r="UKR61" s="291"/>
      <x:c r="UKS61" s="291"/>
      <x:c r="UKT61" s="291"/>
      <x:c r="UKU61" s="291"/>
      <x:c r="UKV61" s="291"/>
      <x:c r="UKW61" s="291"/>
      <x:c r="UKX61" s="291"/>
      <x:c r="UKY61" s="291"/>
      <x:c r="UKZ61" s="291"/>
      <x:c r="ULA61" s="291"/>
      <x:c r="ULB61" s="291"/>
      <x:c r="ULC61" s="291"/>
      <x:c r="ULD61" s="291"/>
      <x:c r="ULE61" s="291"/>
      <x:c r="ULF61" s="291"/>
      <x:c r="ULG61" s="291"/>
      <x:c r="ULH61" s="291"/>
      <x:c r="ULI61" s="291"/>
      <x:c r="ULJ61" s="291"/>
      <x:c r="ULK61" s="291"/>
      <x:c r="ULL61" s="291"/>
      <x:c r="ULM61" s="291"/>
      <x:c r="ULN61" s="291"/>
      <x:c r="ULO61" s="291"/>
      <x:c r="ULP61" s="291"/>
      <x:c r="ULQ61" s="291"/>
      <x:c r="ULR61" s="291"/>
      <x:c r="ULS61" s="291"/>
      <x:c r="ULT61" s="291"/>
      <x:c r="ULU61" s="291"/>
      <x:c r="ULV61" s="291"/>
      <x:c r="ULW61" s="291"/>
      <x:c r="ULX61" s="291"/>
      <x:c r="ULY61" s="291"/>
      <x:c r="ULZ61" s="291"/>
      <x:c r="UMA61" s="291"/>
      <x:c r="UMB61" s="291"/>
      <x:c r="UMC61" s="291"/>
      <x:c r="UMD61" s="291"/>
      <x:c r="UME61" s="291"/>
      <x:c r="UMF61" s="291"/>
      <x:c r="UMG61" s="291"/>
      <x:c r="UMH61" s="291"/>
      <x:c r="UMI61" s="291"/>
      <x:c r="UMJ61" s="291"/>
      <x:c r="UMK61" s="291"/>
      <x:c r="UML61" s="291"/>
      <x:c r="UMM61" s="291"/>
      <x:c r="UMN61" s="291"/>
      <x:c r="UMO61" s="291"/>
      <x:c r="UMP61" s="291"/>
      <x:c r="UMQ61" s="291"/>
      <x:c r="UMR61" s="291"/>
      <x:c r="UMS61" s="291"/>
      <x:c r="UMT61" s="291"/>
      <x:c r="UMU61" s="291"/>
      <x:c r="UMV61" s="291"/>
      <x:c r="UMW61" s="291"/>
      <x:c r="UMX61" s="291"/>
      <x:c r="UMY61" s="291"/>
      <x:c r="UMZ61" s="291"/>
      <x:c r="UNA61" s="291"/>
      <x:c r="UNB61" s="291"/>
      <x:c r="UNC61" s="291"/>
      <x:c r="UND61" s="291"/>
      <x:c r="UNE61" s="291"/>
      <x:c r="UNF61" s="291"/>
      <x:c r="UNG61" s="291"/>
      <x:c r="UNH61" s="291"/>
      <x:c r="UNI61" s="291"/>
      <x:c r="UNJ61" s="291"/>
      <x:c r="UNK61" s="291"/>
      <x:c r="UNL61" s="291"/>
      <x:c r="UNM61" s="291"/>
      <x:c r="UNN61" s="291"/>
      <x:c r="UNO61" s="291"/>
      <x:c r="UNP61" s="291"/>
      <x:c r="UNQ61" s="291"/>
      <x:c r="UNR61" s="291"/>
      <x:c r="UNS61" s="291"/>
      <x:c r="UNT61" s="291"/>
      <x:c r="UNU61" s="291"/>
      <x:c r="UNV61" s="291"/>
      <x:c r="UNW61" s="291"/>
      <x:c r="UNX61" s="291"/>
      <x:c r="UNY61" s="291"/>
      <x:c r="UNZ61" s="291"/>
      <x:c r="UOA61" s="291"/>
      <x:c r="UOB61" s="291"/>
      <x:c r="UOC61" s="291"/>
      <x:c r="UOD61" s="291"/>
      <x:c r="UOE61" s="291"/>
      <x:c r="UOF61" s="291"/>
      <x:c r="UOG61" s="291"/>
      <x:c r="UOH61" s="291"/>
      <x:c r="UOI61" s="291"/>
      <x:c r="UOJ61" s="291"/>
      <x:c r="UOK61" s="291"/>
      <x:c r="UOL61" s="291"/>
      <x:c r="UOM61" s="291"/>
      <x:c r="UON61" s="291"/>
      <x:c r="UOO61" s="291"/>
      <x:c r="UOP61" s="291"/>
      <x:c r="UOQ61" s="291"/>
      <x:c r="UOR61" s="291"/>
      <x:c r="UOS61" s="291"/>
      <x:c r="UOT61" s="291"/>
      <x:c r="UOU61" s="291"/>
      <x:c r="UOV61" s="291"/>
      <x:c r="UOW61" s="291"/>
      <x:c r="UOX61" s="291"/>
      <x:c r="UOY61" s="291"/>
      <x:c r="UOZ61" s="291"/>
      <x:c r="UPA61" s="291"/>
      <x:c r="UPB61" s="291"/>
      <x:c r="UPC61" s="291"/>
      <x:c r="UPD61" s="291"/>
      <x:c r="UPE61" s="291"/>
      <x:c r="UPF61" s="291"/>
      <x:c r="UPG61" s="291"/>
      <x:c r="UPH61" s="291"/>
      <x:c r="UPI61" s="291"/>
      <x:c r="UPJ61" s="291"/>
      <x:c r="UPK61" s="291"/>
      <x:c r="UPL61" s="291"/>
      <x:c r="UPM61" s="291"/>
      <x:c r="UPN61" s="291"/>
      <x:c r="UPO61" s="291"/>
      <x:c r="UPP61" s="291"/>
      <x:c r="UPQ61" s="291"/>
      <x:c r="UPR61" s="291"/>
      <x:c r="UPS61" s="291"/>
      <x:c r="UPT61" s="291"/>
      <x:c r="UPU61" s="291"/>
      <x:c r="UPV61" s="291"/>
      <x:c r="UPW61" s="291"/>
      <x:c r="UPX61" s="291"/>
      <x:c r="UPY61" s="291"/>
      <x:c r="UPZ61" s="291"/>
      <x:c r="UQA61" s="291"/>
      <x:c r="UQB61" s="291"/>
      <x:c r="UQC61" s="291"/>
      <x:c r="UQD61" s="291"/>
      <x:c r="UQE61" s="291"/>
      <x:c r="UQF61" s="291"/>
      <x:c r="UQG61" s="291"/>
      <x:c r="UQH61" s="291"/>
      <x:c r="UQI61" s="291"/>
      <x:c r="UQJ61" s="291"/>
      <x:c r="UQK61" s="291"/>
      <x:c r="UQL61" s="291"/>
      <x:c r="UQM61" s="291"/>
      <x:c r="UQN61" s="291"/>
      <x:c r="UQO61" s="291"/>
      <x:c r="UQP61" s="291"/>
      <x:c r="UQQ61" s="291"/>
      <x:c r="UQR61" s="291"/>
      <x:c r="UQS61" s="291"/>
      <x:c r="UQT61" s="291"/>
      <x:c r="UQU61" s="291"/>
      <x:c r="UQV61" s="291"/>
      <x:c r="UQW61" s="291"/>
      <x:c r="UQX61" s="291"/>
      <x:c r="UQY61" s="291"/>
      <x:c r="UQZ61" s="291"/>
      <x:c r="URA61" s="291"/>
      <x:c r="URB61" s="291"/>
      <x:c r="URC61" s="291"/>
      <x:c r="URD61" s="291"/>
      <x:c r="URE61" s="291"/>
      <x:c r="URF61" s="291"/>
      <x:c r="URG61" s="291"/>
      <x:c r="URH61" s="291"/>
      <x:c r="URI61" s="291"/>
      <x:c r="URJ61" s="291"/>
      <x:c r="URK61" s="291"/>
      <x:c r="URL61" s="291"/>
      <x:c r="URM61" s="291"/>
      <x:c r="URN61" s="291"/>
      <x:c r="URO61" s="291"/>
      <x:c r="URP61" s="291"/>
      <x:c r="URQ61" s="291"/>
      <x:c r="URR61" s="291"/>
      <x:c r="URS61" s="291"/>
      <x:c r="URT61" s="291"/>
      <x:c r="URU61" s="291"/>
      <x:c r="URV61" s="291"/>
      <x:c r="URW61" s="291"/>
      <x:c r="URX61" s="291"/>
      <x:c r="URY61" s="291"/>
      <x:c r="URZ61" s="291"/>
      <x:c r="USA61" s="291"/>
      <x:c r="USB61" s="291"/>
      <x:c r="USC61" s="291"/>
      <x:c r="USD61" s="291"/>
      <x:c r="USE61" s="291"/>
      <x:c r="USF61" s="291"/>
      <x:c r="USG61" s="291"/>
      <x:c r="USH61" s="291"/>
      <x:c r="USI61" s="291"/>
      <x:c r="USJ61" s="291"/>
      <x:c r="USK61" s="291"/>
      <x:c r="USL61" s="291"/>
      <x:c r="USM61" s="291"/>
      <x:c r="USN61" s="291"/>
      <x:c r="USO61" s="291"/>
      <x:c r="USP61" s="291"/>
      <x:c r="USQ61" s="291"/>
      <x:c r="USR61" s="291"/>
      <x:c r="USS61" s="291"/>
      <x:c r="UST61" s="291"/>
      <x:c r="USU61" s="291"/>
      <x:c r="USV61" s="291"/>
      <x:c r="USW61" s="291"/>
      <x:c r="USX61" s="291"/>
      <x:c r="USY61" s="291"/>
      <x:c r="USZ61" s="291"/>
      <x:c r="UTA61" s="291"/>
      <x:c r="UTB61" s="291"/>
      <x:c r="UTC61" s="291"/>
      <x:c r="UTD61" s="291"/>
      <x:c r="UTE61" s="291"/>
      <x:c r="UTF61" s="291"/>
      <x:c r="UTG61" s="291"/>
      <x:c r="UTH61" s="291"/>
      <x:c r="UTI61" s="291"/>
      <x:c r="UTJ61" s="291"/>
      <x:c r="UTK61" s="291"/>
      <x:c r="UTL61" s="291"/>
      <x:c r="UTM61" s="291"/>
      <x:c r="UTN61" s="291"/>
      <x:c r="UTO61" s="291"/>
      <x:c r="UTP61" s="291"/>
      <x:c r="UTQ61" s="291"/>
      <x:c r="UTR61" s="291"/>
      <x:c r="UTS61" s="291"/>
      <x:c r="UTT61" s="291"/>
      <x:c r="UTU61" s="291"/>
      <x:c r="UTV61" s="291"/>
      <x:c r="UTW61" s="291"/>
      <x:c r="UTX61" s="291"/>
      <x:c r="UTY61" s="291"/>
      <x:c r="UTZ61" s="291"/>
      <x:c r="UUA61" s="291"/>
      <x:c r="UUB61" s="291"/>
      <x:c r="UUC61" s="291"/>
      <x:c r="UUD61" s="291"/>
      <x:c r="UUE61" s="291"/>
      <x:c r="UUF61" s="291"/>
      <x:c r="UUG61" s="291"/>
      <x:c r="UUH61" s="291"/>
      <x:c r="UUI61" s="291"/>
      <x:c r="UUJ61" s="291"/>
      <x:c r="UUK61" s="291"/>
      <x:c r="UUL61" s="291"/>
      <x:c r="UUM61" s="291"/>
      <x:c r="UUN61" s="291"/>
      <x:c r="UUO61" s="291"/>
      <x:c r="UUP61" s="291"/>
      <x:c r="UUQ61" s="291"/>
      <x:c r="UUR61" s="291"/>
      <x:c r="UUS61" s="291"/>
      <x:c r="UUT61" s="291"/>
      <x:c r="UUU61" s="291"/>
      <x:c r="UUV61" s="291"/>
      <x:c r="UUW61" s="291"/>
      <x:c r="UUX61" s="291"/>
      <x:c r="UUY61" s="291"/>
      <x:c r="UUZ61" s="291"/>
      <x:c r="UVA61" s="291"/>
      <x:c r="UVB61" s="291"/>
      <x:c r="UVC61" s="291"/>
      <x:c r="UVD61" s="291"/>
      <x:c r="UVE61" s="291"/>
      <x:c r="UVF61" s="291"/>
      <x:c r="UVG61" s="291"/>
      <x:c r="UVH61" s="291"/>
      <x:c r="UVI61" s="291"/>
      <x:c r="UVJ61" s="291"/>
      <x:c r="UVK61" s="291"/>
      <x:c r="UVL61" s="291"/>
      <x:c r="UVM61" s="291"/>
      <x:c r="UVN61" s="291"/>
      <x:c r="UVO61" s="291"/>
      <x:c r="UVP61" s="291"/>
      <x:c r="UVQ61" s="291"/>
      <x:c r="UVR61" s="291"/>
      <x:c r="UVS61" s="291"/>
      <x:c r="UVT61" s="291"/>
      <x:c r="UVU61" s="291"/>
      <x:c r="UVV61" s="291"/>
      <x:c r="UVW61" s="291"/>
      <x:c r="UVX61" s="291"/>
      <x:c r="UVY61" s="291"/>
      <x:c r="UVZ61" s="291"/>
      <x:c r="UWA61" s="291"/>
      <x:c r="UWB61" s="291"/>
      <x:c r="UWC61" s="291"/>
      <x:c r="UWD61" s="291"/>
      <x:c r="UWE61" s="291"/>
      <x:c r="UWF61" s="291"/>
      <x:c r="UWG61" s="291"/>
      <x:c r="UWH61" s="291"/>
      <x:c r="UWI61" s="291"/>
      <x:c r="UWJ61" s="291"/>
      <x:c r="UWK61" s="291"/>
      <x:c r="UWL61" s="291"/>
      <x:c r="UWM61" s="291"/>
      <x:c r="UWN61" s="291"/>
      <x:c r="UWO61" s="291"/>
      <x:c r="UWP61" s="291"/>
      <x:c r="UWQ61" s="291"/>
      <x:c r="UWR61" s="291"/>
      <x:c r="UWS61" s="291"/>
      <x:c r="UWT61" s="291"/>
      <x:c r="UWU61" s="291"/>
      <x:c r="UWV61" s="291"/>
      <x:c r="UWW61" s="291"/>
      <x:c r="UWX61" s="291"/>
      <x:c r="UWY61" s="291"/>
      <x:c r="UWZ61" s="291"/>
      <x:c r="UXA61" s="291"/>
      <x:c r="UXB61" s="291"/>
      <x:c r="UXC61" s="291"/>
      <x:c r="UXD61" s="291"/>
      <x:c r="UXE61" s="291"/>
      <x:c r="UXF61" s="291"/>
      <x:c r="UXG61" s="291"/>
      <x:c r="UXH61" s="291"/>
      <x:c r="UXI61" s="291"/>
      <x:c r="UXJ61" s="291"/>
      <x:c r="UXK61" s="291"/>
      <x:c r="UXL61" s="291"/>
      <x:c r="UXM61" s="291"/>
      <x:c r="UXN61" s="291"/>
      <x:c r="UXO61" s="291"/>
      <x:c r="UXP61" s="291"/>
      <x:c r="UXQ61" s="291"/>
      <x:c r="UXR61" s="291"/>
      <x:c r="UXS61" s="291"/>
      <x:c r="UXT61" s="291"/>
      <x:c r="UXU61" s="291"/>
      <x:c r="UXV61" s="291"/>
      <x:c r="UXW61" s="291"/>
      <x:c r="UXX61" s="291"/>
      <x:c r="UXY61" s="291"/>
      <x:c r="UXZ61" s="291"/>
      <x:c r="UYA61" s="291"/>
      <x:c r="UYB61" s="291"/>
      <x:c r="UYC61" s="291"/>
      <x:c r="UYD61" s="291"/>
      <x:c r="UYE61" s="291"/>
      <x:c r="UYF61" s="291"/>
      <x:c r="UYG61" s="291"/>
      <x:c r="UYH61" s="291"/>
      <x:c r="UYI61" s="291"/>
      <x:c r="UYJ61" s="291"/>
      <x:c r="UYK61" s="291"/>
      <x:c r="UYL61" s="291"/>
      <x:c r="UYM61" s="291"/>
      <x:c r="UYN61" s="291"/>
      <x:c r="UYO61" s="291"/>
      <x:c r="UYP61" s="291"/>
      <x:c r="UYQ61" s="291"/>
      <x:c r="UYR61" s="291"/>
      <x:c r="UYS61" s="291"/>
      <x:c r="UYT61" s="291"/>
      <x:c r="UYU61" s="291"/>
      <x:c r="UYV61" s="291"/>
      <x:c r="UYW61" s="291"/>
      <x:c r="UYX61" s="291"/>
      <x:c r="UYY61" s="291"/>
      <x:c r="UYZ61" s="291"/>
      <x:c r="UZA61" s="291"/>
      <x:c r="UZB61" s="291"/>
      <x:c r="UZC61" s="291"/>
      <x:c r="UZD61" s="291"/>
      <x:c r="UZE61" s="291"/>
      <x:c r="UZF61" s="291"/>
      <x:c r="UZG61" s="291"/>
      <x:c r="UZH61" s="291"/>
      <x:c r="UZI61" s="291"/>
      <x:c r="UZJ61" s="291"/>
      <x:c r="UZK61" s="291"/>
      <x:c r="UZL61" s="291"/>
      <x:c r="UZM61" s="291"/>
      <x:c r="UZN61" s="291"/>
      <x:c r="UZO61" s="291"/>
      <x:c r="UZP61" s="291"/>
      <x:c r="UZQ61" s="291"/>
      <x:c r="UZR61" s="291"/>
      <x:c r="UZS61" s="291"/>
      <x:c r="UZT61" s="291"/>
      <x:c r="UZU61" s="291"/>
      <x:c r="UZV61" s="291"/>
      <x:c r="UZW61" s="291"/>
      <x:c r="UZX61" s="291"/>
      <x:c r="UZY61" s="291"/>
      <x:c r="UZZ61" s="291"/>
      <x:c r="VAA61" s="291"/>
      <x:c r="VAB61" s="291"/>
      <x:c r="VAC61" s="291"/>
      <x:c r="VAD61" s="291"/>
      <x:c r="VAE61" s="291"/>
      <x:c r="VAF61" s="291"/>
      <x:c r="VAG61" s="291"/>
      <x:c r="VAH61" s="291"/>
      <x:c r="VAI61" s="291"/>
      <x:c r="VAJ61" s="291"/>
      <x:c r="VAK61" s="291"/>
      <x:c r="VAL61" s="291"/>
      <x:c r="VAM61" s="291"/>
      <x:c r="VAN61" s="291"/>
      <x:c r="VAO61" s="291"/>
      <x:c r="VAP61" s="291"/>
      <x:c r="VAQ61" s="291"/>
      <x:c r="VAR61" s="291"/>
      <x:c r="VAS61" s="291"/>
      <x:c r="VAT61" s="291"/>
      <x:c r="VAU61" s="291"/>
      <x:c r="VAV61" s="291"/>
      <x:c r="VAW61" s="291"/>
      <x:c r="VAX61" s="291"/>
      <x:c r="VAY61" s="291"/>
      <x:c r="VAZ61" s="291"/>
      <x:c r="VBA61" s="291"/>
      <x:c r="VBB61" s="291"/>
      <x:c r="VBC61" s="291"/>
      <x:c r="VBD61" s="291"/>
      <x:c r="VBE61" s="291"/>
      <x:c r="VBF61" s="291"/>
      <x:c r="VBG61" s="291"/>
      <x:c r="VBH61" s="291"/>
      <x:c r="VBI61" s="291"/>
      <x:c r="VBJ61" s="291"/>
      <x:c r="VBK61" s="291"/>
      <x:c r="VBL61" s="291"/>
      <x:c r="VBM61" s="291"/>
      <x:c r="VBN61" s="291"/>
      <x:c r="VBO61" s="291"/>
      <x:c r="VBP61" s="291"/>
      <x:c r="VBQ61" s="291"/>
      <x:c r="VBR61" s="291"/>
      <x:c r="VBS61" s="291"/>
      <x:c r="VBT61" s="291"/>
      <x:c r="VBU61" s="291"/>
      <x:c r="VBV61" s="291"/>
      <x:c r="VBW61" s="291"/>
      <x:c r="VBX61" s="291"/>
      <x:c r="VBY61" s="291"/>
      <x:c r="VBZ61" s="291"/>
      <x:c r="VCA61" s="291"/>
      <x:c r="VCB61" s="291"/>
      <x:c r="VCC61" s="291"/>
      <x:c r="VCD61" s="291"/>
      <x:c r="VCE61" s="291"/>
      <x:c r="VCF61" s="291"/>
      <x:c r="VCG61" s="291"/>
      <x:c r="VCH61" s="291"/>
      <x:c r="VCI61" s="291"/>
      <x:c r="VCJ61" s="291"/>
      <x:c r="VCK61" s="291"/>
      <x:c r="VCL61" s="291"/>
      <x:c r="VCM61" s="291"/>
      <x:c r="VCN61" s="291"/>
      <x:c r="VCO61" s="291"/>
      <x:c r="VCP61" s="291"/>
      <x:c r="VCQ61" s="291"/>
      <x:c r="VCR61" s="291"/>
      <x:c r="VCS61" s="291"/>
      <x:c r="VCT61" s="291"/>
      <x:c r="VCU61" s="291"/>
      <x:c r="VCV61" s="291"/>
      <x:c r="VCW61" s="291"/>
      <x:c r="VCX61" s="291"/>
      <x:c r="VCY61" s="291"/>
      <x:c r="VCZ61" s="291"/>
      <x:c r="VDA61" s="291"/>
      <x:c r="VDB61" s="291"/>
      <x:c r="VDC61" s="291"/>
      <x:c r="VDD61" s="291"/>
      <x:c r="VDE61" s="291"/>
      <x:c r="VDF61" s="291"/>
      <x:c r="VDG61" s="291"/>
      <x:c r="VDH61" s="291"/>
      <x:c r="VDI61" s="291"/>
      <x:c r="VDJ61" s="291"/>
      <x:c r="VDK61" s="291"/>
      <x:c r="VDL61" s="291"/>
      <x:c r="VDM61" s="291"/>
      <x:c r="VDN61" s="291"/>
      <x:c r="VDO61" s="291"/>
      <x:c r="VDP61" s="291"/>
      <x:c r="VDQ61" s="291"/>
      <x:c r="VDR61" s="291"/>
      <x:c r="VDS61" s="291"/>
      <x:c r="VDT61" s="291"/>
      <x:c r="VDU61" s="291"/>
      <x:c r="VDV61" s="291"/>
      <x:c r="VDW61" s="291"/>
      <x:c r="VDX61" s="291"/>
      <x:c r="VDY61" s="291"/>
      <x:c r="VDZ61" s="291"/>
      <x:c r="VEA61" s="291"/>
      <x:c r="VEB61" s="291"/>
      <x:c r="VEC61" s="291"/>
      <x:c r="VED61" s="291"/>
      <x:c r="VEE61" s="291"/>
      <x:c r="VEF61" s="291"/>
      <x:c r="VEG61" s="291"/>
      <x:c r="VEH61" s="291"/>
      <x:c r="VEI61" s="291"/>
      <x:c r="VEJ61" s="291"/>
      <x:c r="VEK61" s="291"/>
      <x:c r="VEL61" s="291"/>
      <x:c r="VEM61" s="291"/>
      <x:c r="VEN61" s="291"/>
      <x:c r="VEO61" s="291"/>
      <x:c r="VEP61" s="291"/>
      <x:c r="VEQ61" s="291"/>
      <x:c r="VER61" s="291"/>
      <x:c r="VES61" s="291"/>
      <x:c r="VET61" s="291"/>
      <x:c r="VEU61" s="291"/>
      <x:c r="VEV61" s="291"/>
      <x:c r="VEW61" s="291"/>
      <x:c r="VEX61" s="291"/>
      <x:c r="VEY61" s="291"/>
      <x:c r="VEZ61" s="291"/>
      <x:c r="VFA61" s="291"/>
      <x:c r="VFB61" s="291"/>
      <x:c r="VFC61" s="291"/>
      <x:c r="VFD61" s="291"/>
      <x:c r="VFE61" s="291"/>
      <x:c r="VFF61" s="291"/>
      <x:c r="VFG61" s="291"/>
      <x:c r="VFH61" s="291"/>
      <x:c r="VFI61" s="291"/>
      <x:c r="VFJ61" s="291"/>
      <x:c r="VFK61" s="291"/>
      <x:c r="VFL61" s="291"/>
      <x:c r="VFM61" s="291"/>
      <x:c r="VFN61" s="291"/>
      <x:c r="VFO61" s="291"/>
      <x:c r="VFP61" s="291"/>
      <x:c r="VFQ61" s="291"/>
      <x:c r="VFR61" s="291"/>
      <x:c r="VFS61" s="291"/>
      <x:c r="VFT61" s="291"/>
      <x:c r="VFU61" s="291"/>
      <x:c r="VFV61" s="291"/>
      <x:c r="VFW61" s="291"/>
      <x:c r="VFX61" s="291"/>
      <x:c r="VFY61" s="291"/>
      <x:c r="VFZ61" s="291"/>
      <x:c r="VGA61" s="291"/>
      <x:c r="VGB61" s="291"/>
      <x:c r="VGC61" s="291"/>
      <x:c r="VGD61" s="291"/>
      <x:c r="VGE61" s="291"/>
      <x:c r="VGF61" s="291"/>
      <x:c r="VGG61" s="291"/>
      <x:c r="VGH61" s="291"/>
      <x:c r="VGI61" s="291"/>
      <x:c r="VGJ61" s="291"/>
      <x:c r="VGK61" s="291"/>
      <x:c r="VGL61" s="291"/>
      <x:c r="VGM61" s="291"/>
      <x:c r="VGN61" s="291"/>
      <x:c r="VGO61" s="291"/>
      <x:c r="VGP61" s="291"/>
      <x:c r="VGQ61" s="291"/>
      <x:c r="VGR61" s="291"/>
      <x:c r="VGS61" s="291"/>
      <x:c r="VGT61" s="291"/>
      <x:c r="VGU61" s="291"/>
      <x:c r="VGV61" s="291"/>
      <x:c r="VGW61" s="291"/>
      <x:c r="VGX61" s="291"/>
      <x:c r="VGY61" s="291"/>
      <x:c r="VGZ61" s="291"/>
      <x:c r="VHA61" s="291"/>
      <x:c r="VHB61" s="291"/>
      <x:c r="VHC61" s="291"/>
      <x:c r="VHD61" s="291"/>
      <x:c r="VHE61" s="291"/>
      <x:c r="VHF61" s="291"/>
      <x:c r="VHG61" s="291"/>
      <x:c r="VHH61" s="291"/>
      <x:c r="VHI61" s="291"/>
      <x:c r="VHJ61" s="291"/>
      <x:c r="VHK61" s="291"/>
      <x:c r="VHL61" s="291"/>
      <x:c r="VHM61" s="291"/>
      <x:c r="VHN61" s="291"/>
      <x:c r="VHO61" s="291"/>
      <x:c r="VHP61" s="291"/>
      <x:c r="VHQ61" s="291"/>
      <x:c r="VHR61" s="291"/>
      <x:c r="VHS61" s="291"/>
      <x:c r="VHT61" s="291"/>
      <x:c r="VHU61" s="291"/>
      <x:c r="VHV61" s="291"/>
      <x:c r="VHW61" s="291"/>
      <x:c r="VHX61" s="291"/>
      <x:c r="VHY61" s="291"/>
      <x:c r="VHZ61" s="291"/>
      <x:c r="VIA61" s="291"/>
      <x:c r="VIB61" s="291"/>
      <x:c r="VIC61" s="291"/>
      <x:c r="VID61" s="291"/>
      <x:c r="VIE61" s="291"/>
      <x:c r="VIF61" s="291"/>
      <x:c r="VIG61" s="291"/>
      <x:c r="VIH61" s="291"/>
      <x:c r="VII61" s="291"/>
      <x:c r="VIJ61" s="291"/>
      <x:c r="VIK61" s="291"/>
      <x:c r="VIL61" s="291"/>
      <x:c r="VIM61" s="291"/>
      <x:c r="VIN61" s="291"/>
      <x:c r="VIO61" s="291"/>
      <x:c r="VIP61" s="291"/>
      <x:c r="VIQ61" s="291"/>
      <x:c r="VIR61" s="291"/>
      <x:c r="VIS61" s="291"/>
      <x:c r="VIT61" s="291"/>
      <x:c r="VIU61" s="291"/>
      <x:c r="VIV61" s="291"/>
      <x:c r="VIW61" s="291"/>
      <x:c r="VIX61" s="291"/>
      <x:c r="VIY61" s="291"/>
      <x:c r="VIZ61" s="291"/>
      <x:c r="VJA61" s="291"/>
      <x:c r="VJB61" s="291"/>
      <x:c r="VJC61" s="291"/>
      <x:c r="VJD61" s="291"/>
      <x:c r="VJE61" s="291"/>
      <x:c r="VJF61" s="291"/>
      <x:c r="VJG61" s="291"/>
      <x:c r="VJH61" s="291"/>
      <x:c r="VJI61" s="291"/>
      <x:c r="VJJ61" s="291"/>
      <x:c r="VJK61" s="291"/>
      <x:c r="VJL61" s="291"/>
      <x:c r="VJM61" s="291"/>
      <x:c r="VJN61" s="291"/>
      <x:c r="VJO61" s="291"/>
      <x:c r="VJP61" s="291"/>
      <x:c r="VJQ61" s="291"/>
      <x:c r="VJR61" s="291"/>
      <x:c r="VJS61" s="291"/>
      <x:c r="VJT61" s="291"/>
      <x:c r="VJU61" s="291"/>
      <x:c r="VJV61" s="291"/>
      <x:c r="VJW61" s="291"/>
      <x:c r="VJX61" s="291"/>
      <x:c r="VJY61" s="291"/>
      <x:c r="VJZ61" s="291"/>
      <x:c r="VKA61" s="291"/>
      <x:c r="VKB61" s="291"/>
      <x:c r="VKC61" s="291"/>
      <x:c r="VKD61" s="291"/>
      <x:c r="VKE61" s="291"/>
      <x:c r="VKF61" s="291"/>
      <x:c r="VKG61" s="291"/>
      <x:c r="VKH61" s="291"/>
      <x:c r="VKI61" s="291"/>
      <x:c r="VKJ61" s="291"/>
      <x:c r="VKK61" s="291"/>
      <x:c r="VKL61" s="291"/>
      <x:c r="VKM61" s="291"/>
      <x:c r="VKN61" s="291"/>
      <x:c r="VKO61" s="291"/>
      <x:c r="VKP61" s="291"/>
      <x:c r="VKQ61" s="291"/>
      <x:c r="VKR61" s="291"/>
      <x:c r="VKS61" s="291"/>
      <x:c r="VKT61" s="291"/>
      <x:c r="VKU61" s="291"/>
      <x:c r="VKV61" s="291"/>
      <x:c r="VKW61" s="291"/>
      <x:c r="VKX61" s="291"/>
      <x:c r="VKY61" s="291"/>
      <x:c r="VKZ61" s="291"/>
      <x:c r="VLA61" s="291"/>
      <x:c r="VLB61" s="291"/>
      <x:c r="VLC61" s="291"/>
      <x:c r="VLD61" s="291"/>
      <x:c r="VLE61" s="291"/>
      <x:c r="VLF61" s="291"/>
      <x:c r="VLG61" s="291"/>
      <x:c r="VLH61" s="291"/>
      <x:c r="VLI61" s="291"/>
      <x:c r="VLJ61" s="291"/>
      <x:c r="VLK61" s="291"/>
      <x:c r="VLL61" s="291"/>
      <x:c r="VLM61" s="291"/>
      <x:c r="VLN61" s="291"/>
      <x:c r="VLO61" s="291"/>
      <x:c r="VLP61" s="291"/>
      <x:c r="VLQ61" s="291"/>
      <x:c r="VLR61" s="291"/>
      <x:c r="VLS61" s="291"/>
      <x:c r="VLT61" s="291"/>
      <x:c r="VLU61" s="291"/>
      <x:c r="VLV61" s="291"/>
      <x:c r="VLW61" s="291"/>
      <x:c r="VLX61" s="291"/>
      <x:c r="VLY61" s="291"/>
      <x:c r="VLZ61" s="291"/>
      <x:c r="VMA61" s="291"/>
      <x:c r="VMB61" s="291"/>
      <x:c r="VMC61" s="291"/>
      <x:c r="VMD61" s="291"/>
      <x:c r="VME61" s="291"/>
      <x:c r="VMF61" s="291"/>
      <x:c r="VMG61" s="291"/>
      <x:c r="VMH61" s="291"/>
      <x:c r="VMI61" s="291"/>
      <x:c r="VMJ61" s="291"/>
      <x:c r="VMK61" s="291"/>
      <x:c r="VML61" s="291"/>
      <x:c r="VMM61" s="291"/>
      <x:c r="VMN61" s="291"/>
      <x:c r="VMO61" s="291"/>
      <x:c r="VMP61" s="291"/>
      <x:c r="VMQ61" s="291"/>
      <x:c r="VMR61" s="291"/>
      <x:c r="VMS61" s="291"/>
      <x:c r="VMT61" s="291"/>
      <x:c r="VMU61" s="291"/>
      <x:c r="VMV61" s="291"/>
      <x:c r="VMW61" s="291"/>
      <x:c r="VMX61" s="291"/>
      <x:c r="VMY61" s="291"/>
      <x:c r="VMZ61" s="291"/>
      <x:c r="VNA61" s="291"/>
      <x:c r="VNB61" s="291"/>
      <x:c r="VNC61" s="291"/>
      <x:c r="VND61" s="291"/>
      <x:c r="VNE61" s="291"/>
      <x:c r="VNF61" s="291"/>
      <x:c r="VNG61" s="291"/>
      <x:c r="VNH61" s="291"/>
      <x:c r="VNI61" s="291"/>
      <x:c r="VNJ61" s="291"/>
      <x:c r="VNK61" s="291"/>
      <x:c r="VNL61" s="291"/>
      <x:c r="VNM61" s="291"/>
      <x:c r="VNN61" s="291"/>
      <x:c r="VNO61" s="291"/>
      <x:c r="VNP61" s="291"/>
      <x:c r="VNQ61" s="291"/>
      <x:c r="VNR61" s="291"/>
      <x:c r="VNS61" s="291"/>
      <x:c r="VNT61" s="291"/>
      <x:c r="VNU61" s="291"/>
      <x:c r="VNV61" s="291"/>
      <x:c r="VNW61" s="291"/>
      <x:c r="VNX61" s="291"/>
      <x:c r="VNY61" s="291"/>
      <x:c r="VNZ61" s="291"/>
      <x:c r="VOA61" s="291"/>
      <x:c r="VOB61" s="291"/>
      <x:c r="VOC61" s="291"/>
      <x:c r="VOD61" s="291"/>
      <x:c r="VOE61" s="291"/>
      <x:c r="VOF61" s="291"/>
      <x:c r="VOG61" s="291"/>
      <x:c r="VOH61" s="291"/>
      <x:c r="VOI61" s="291"/>
      <x:c r="VOJ61" s="291"/>
      <x:c r="VOK61" s="291"/>
      <x:c r="VOL61" s="291"/>
      <x:c r="VOM61" s="291"/>
      <x:c r="VON61" s="291"/>
      <x:c r="VOO61" s="291"/>
      <x:c r="VOP61" s="291"/>
      <x:c r="VOQ61" s="291"/>
      <x:c r="VOR61" s="291"/>
      <x:c r="VOS61" s="291"/>
      <x:c r="VOT61" s="291"/>
      <x:c r="VOU61" s="291"/>
      <x:c r="VOV61" s="291"/>
      <x:c r="VOW61" s="291"/>
      <x:c r="VOX61" s="291"/>
      <x:c r="VOY61" s="291"/>
      <x:c r="VOZ61" s="291"/>
      <x:c r="VPA61" s="291"/>
      <x:c r="VPB61" s="291"/>
      <x:c r="VPC61" s="291"/>
      <x:c r="VPD61" s="291"/>
      <x:c r="VPE61" s="291"/>
      <x:c r="VPF61" s="291"/>
      <x:c r="VPG61" s="291"/>
      <x:c r="VPH61" s="291"/>
      <x:c r="VPI61" s="291"/>
      <x:c r="VPJ61" s="291"/>
      <x:c r="VPK61" s="291"/>
      <x:c r="VPL61" s="291"/>
      <x:c r="VPM61" s="291"/>
      <x:c r="VPN61" s="291"/>
      <x:c r="VPO61" s="291"/>
      <x:c r="VPP61" s="291"/>
      <x:c r="VPQ61" s="291"/>
      <x:c r="VPR61" s="291"/>
      <x:c r="VPS61" s="291"/>
      <x:c r="VPT61" s="291"/>
      <x:c r="VPU61" s="291"/>
      <x:c r="VPV61" s="291"/>
      <x:c r="VPW61" s="291"/>
      <x:c r="VPX61" s="291"/>
      <x:c r="VPY61" s="291"/>
      <x:c r="VPZ61" s="291"/>
      <x:c r="VQA61" s="291"/>
      <x:c r="VQB61" s="291"/>
      <x:c r="VQC61" s="291"/>
      <x:c r="VQD61" s="291"/>
      <x:c r="VQE61" s="291"/>
      <x:c r="VQF61" s="291"/>
      <x:c r="VQG61" s="291"/>
      <x:c r="VQH61" s="291"/>
      <x:c r="VQI61" s="291"/>
      <x:c r="VQJ61" s="291"/>
      <x:c r="VQK61" s="291"/>
      <x:c r="VQL61" s="291"/>
      <x:c r="VQM61" s="291"/>
      <x:c r="VQN61" s="291"/>
      <x:c r="VQO61" s="291"/>
      <x:c r="VQP61" s="291"/>
      <x:c r="VQQ61" s="291"/>
      <x:c r="VQR61" s="291"/>
      <x:c r="VQS61" s="291"/>
      <x:c r="VQT61" s="291"/>
      <x:c r="VQU61" s="291"/>
      <x:c r="VQV61" s="291"/>
      <x:c r="VQW61" s="291"/>
      <x:c r="VQX61" s="291"/>
      <x:c r="VQY61" s="291"/>
      <x:c r="VQZ61" s="291"/>
      <x:c r="VRA61" s="291"/>
      <x:c r="VRB61" s="291"/>
      <x:c r="VRC61" s="291"/>
      <x:c r="VRD61" s="291"/>
      <x:c r="VRE61" s="291"/>
      <x:c r="VRF61" s="291"/>
      <x:c r="VRG61" s="291"/>
      <x:c r="VRH61" s="291"/>
      <x:c r="VRI61" s="291"/>
      <x:c r="VRJ61" s="291"/>
      <x:c r="VRK61" s="291"/>
      <x:c r="VRL61" s="291"/>
      <x:c r="VRM61" s="291"/>
      <x:c r="VRN61" s="291"/>
      <x:c r="VRO61" s="291"/>
      <x:c r="VRP61" s="291"/>
      <x:c r="VRQ61" s="291"/>
      <x:c r="VRR61" s="291"/>
      <x:c r="VRS61" s="291"/>
      <x:c r="VRT61" s="291"/>
      <x:c r="VRU61" s="291"/>
      <x:c r="VRV61" s="291"/>
      <x:c r="VRW61" s="291"/>
      <x:c r="VRX61" s="291"/>
      <x:c r="VRY61" s="291"/>
      <x:c r="VRZ61" s="291"/>
      <x:c r="VSA61" s="291"/>
      <x:c r="VSB61" s="291"/>
      <x:c r="VSC61" s="291"/>
      <x:c r="VSD61" s="291"/>
      <x:c r="VSE61" s="291"/>
      <x:c r="VSF61" s="291"/>
      <x:c r="VSG61" s="291"/>
      <x:c r="VSH61" s="291"/>
      <x:c r="VSI61" s="291"/>
      <x:c r="VSJ61" s="291"/>
      <x:c r="VSK61" s="291"/>
      <x:c r="VSL61" s="291"/>
      <x:c r="VSM61" s="291"/>
      <x:c r="VSN61" s="291"/>
      <x:c r="VSO61" s="291"/>
      <x:c r="VSP61" s="291"/>
      <x:c r="VSQ61" s="291"/>
      <x:c r="VSR61" s="291"/>
      <x:c r="VSS61" s="291"/>
      <x:c r="VST61" s="291"/>
      <x:c r="VSU61" s="291"/>
      <x:c r="VSV61" s="291"/>
      <x:c r="VSW61" s="291"/>
      <x:c r="VSX61" s="291"/>
      <x:c r="VSY61" s="291"/>
      <x:c r="VSZ61" s="291"/>
      <x:c r="VTA61" s="291"/>
      <x:c r="VTB61" s="291"/>
      <x:c r="VTC61" s="291"/>
      <x:c r="VTD61" s="291"/>
      <x:c r="VTE61" s="291"/>
      <x:c r="VTF61" s="291"/>
      <x:c r="VTG61" s="291"/>
      <x:c r="VTH61" s="291"/>
      <x:c r="VTI61" s="291"/>
      <x:c r="VTJ61" s="291"/>
      <x:c r="VTK61" s="291"/>
      <x:c r="VTL61" s="291"/>
      <x:c r="VTM61" s="291"/>
      <x:c r="VTN61" s="291"/>
      <x:c r="VTO61" s="291"/>
      <x:c r="VTP61" s="291"/>
      <x:c r="VTQ61" s="291"/>
      <x:c r="VTR61" s="291"/>
      <x:c r="VTS61" s="291"/>
      <x:c r="VTT61" s="291"/>
      <x:c r="VTU61" s="291"/>
      <x:c r="VTV61" s="291"/>
      <x:c r="VTW61" s="291"/>
      <x:c r="VTX61" s="291"/>
      <x:c r="VTY61" s="291"/>
      <x:c r="VTZ61" s="291"/>
      <x:c r="VUA61" s="291"/>
      <x:c r="VUB61" s="291"/>
      <x:c r="VUC61" s="291"/>
      <x:c r="VUD61" s="291"/>
      <x:c r="VUE61" s="291"/>
      <x:c r="VUF61" s="291"/>
      <x:c r="VUG61" s="291"/>
      <x:c r="VUH61" s="291"/>
      <x:c r="VUI61" s="291"/>
      <x:c r="VUJ61" s="291"/>
      <x:c r="VUK61" s="291"/>
      <x:c r="VUL61" s="291"/>
      <x:c r="VUM61" s="291"/>
      <x:c r="VUN61" s="291"/>
      <x:c r="VUO61" s="291"/>
      <x:c r="VUP61" s="291"/>
      <x:c r="VUQ61" s="291"/>
      <x:c r="VUR61" s="291"/>
      <x:c r="VUS61" s="291"/>
      <x:c r="VUT61" s="291"/>
      <x:c r="VUU61" s="291"/>
      <x:c r="VUV61" s="291"/>
      <x:c r="VUW61" s="291"/>
      <x:c r="VUX61" s="291"/>
      <x:c r="VUY61" s="291"/>
      <x:c r="VUZ61" s="291"/>
      <x:c r="VVA61" s="291"/>
      <x:c r="VVB61" s="291"/>
      <x:c r="VVC61" s="291"/>
      <x:c r="VVD61" s="291"/>
      <x:c r="VVE61" s="291"/>
      <x:c r="VVF61" s="291"/>
      <x:c r="VVG61" s="291"/>
      <x:c r="VVH61" s="291"/>
      <x:c r="VVI61" s="291"/>
      <x:c r="VVJ61" s="291"/>
      <x:c r="VVK61" s="291"/>
      <x:c r="VVL61" s="291"/>
      <x:c r="VVM61" s="291"/>
      <x:c r="VVN61" s="291"/>
      <x:c r="VVO61" s="291"/>
      <x:c r="VVP61" s="291"/>
      <x:c r="VVQ61" s="291"/>
      <x:c r="VVR61" s="291"/>
      <x:c r="VVS61" s="291"/>
      <x:c r="VVT61" s="291"/>
      <x:c r="VVU61" s="291"/>
      <x:c r="VVV61" s="291"/>
      <x:c r="VVW61" s="291"/>
      <x:c r="VVX61" s="291"/>
      <x:c r="VVY61" s="291"/>
      <x:c r="VVZ61" s="291"/>
      <x:c r="VWA61" s="291"/>
      <x:c r="VWB61" s="291"/>
      <x:c r="VWC61" s="291"/>
      <x:c r="VWD61" s="291"/>
      <x:c r="VWE61" s="291"/>
      <x:c r="VWF61" s="291"/>
      <x:c r="VWG61" s="291"/>
      <x:c r="VWH61" s="291"/>
      <x:c r="VWI61" s="291"/>
      <x:c r="VWJ61" s="291"/>
      <x:c r="VWK61" s="291"/>
      <x:c r="VWL61" s="291"/>
      <x:c r="VWM61" s="291"/>
      <x:c r="VWN61" s="291"/>
      <x:c r="VWO61" s="291"/>
      <x:c r="VWP61" s="291"/>
      <x:c r="VWQ61" s="291"/>
      <x:c r="VWR61" s="291"/>
      <x:c r="VWS61" s="291"/>
      <x:c r="VWT61" s="291"/>
      <x:c r="VWU61" s="291"/>
      <x:c r="VWV61" s="291"/>
      <x:c r="VWW61" s="291"/>
      <x:c r="VWX61" s="291"/>
      <x:c r="VWY61" s="291"/>
      <x:c r="VWZ61" s="291"/>
      <x:c r="VXA61" s="291"/>
      <x:c r="VXB61" s="291"/>
      <x:c r="VXC61" s="291"/>
      <x:c r="VXD61" s="291"/>
      <x:c r="VXE61" s="291"/>
      <x:c r="VXF61" s="291"/>
      <x:c r="VXG61" s="291"/>
      <x:c r="VXH61" s="291"/>
      <x:c r="VXI61" s="291"/>
      <x:c r="VXJ61" s="291"/>
      <x:c r="VXK61" s="291"/>
      <x:c r="VXL61" s="291"/>
      <x:c r="VXM61" s="291"/>
      <x:c r="VXN61" s="291"/>
      <x:c r="VXO61" s="291"/>
      <x:c r="VXP61" s="291"/>
      <x:c r="VXQ61" s="291"/>
      <x:c r="VXR61" s="291"/>
      <x:c r="VXS61" s="291"/>
      <x:c r="VXT61" s="291"/>
      <x:c r="VXU61" s="291"/>
      <x:c r="VXV61" s="291"/>
      <x:c r="VXW61" s="291"/>
      <x:c r="VXX61" s="291"/>
      <x:c r="VXY61" s="291"/>
      <x:c r="VXZ61" s="291"/>
      <x:c r="VYA61" s="291"/>
      <x:c r="VYB61" s="291"/>
      <x:c r="VYC61" s="291"/>
      <x:c r="VYD61" s="291"/>
      <x:c r="VYE61" s="291"/>
      <x:c r="VYF61" s="291"/>
      <x:c r="VYG61" s="291"/>
      <x:c r="VYH61" s="291"/>
      <x:c r="VYI61" s="291"/>
      <x:c r="VYJ61" s="291"/>
      <x:c r="VYK61" s="291"/>
      <x:c r="VYL61" s="291"/>
      <x:c r="VYM61" s="291"/>
      <x:c r="VYN61" s="291"/>
      <x:c r="VYO61" s="291"/>
      <x:c r="VYP61" s="291"/>
      <x:c r="VYQ61" s="291"/>
      <x:c r="VYR61" s="291"/>
      <x:c r="VYS61" s="291"/>
      <x:c r="VYT61" s="291"/>
      <x:c r="VYU61" s="291"/>
      <x:c r="VYV61" s="291"/>
      <x:c r="VYW61" s="291"/>
      <x:c r="VYX61" s="291"/>
      <x:c r="VYY61" s="291"/>
      <x:c r="VYZ61" s="291"/>
      <x:c r="VZA61" s="291"/>
      <x:c r="VZB61" s="291"/>
      <x:c r="VZC61" s="291"/>
      <x:c r="VZD61" s="291"/>
      <x:c r="VZE61" s="291"/>
      <x:c r="VZF61" s="291"/>
      <x:c r="VZG61" s="291"/>
      <x:c r="VZH61" s="291"/>
      <x:c r="VZI61" s="291"/>
      <x:c r="VZJ61" s="291"/>
      <x:c r="VZK61" s="291"/>
      <x:c r="VZL61" s="291"/>
      <x:c r="VZM61" s="291"/>
      <x:c r="VZN61" s="291"/>
      <x:c r="VZO61" s="291"/>
      <x:c r="VZP61" s="291"/>
      <x:c r="VZQ61" s="291"/>
      <x:c r="VZR61" s="291"/>
      <x:c r="VZS61" s="291"/>
      <x:c r="VZT61" s="291"/>
      <x:c r="VZU61" s="291"/>
      <x:c r="VZV61" s="291"/>
      <x:c r="VZW61" s="291"/>
      <x:c r="VZX61" s="291"/>
      <x:c r="VZY61" s="291"/>
      <x:c r="VZZ61" s="291"/>
      <x:c r="WAA61" s="291"/>
      <x:c r="WAB61" s="291"/>
      <x:c r="WAC61" s="291"/>
      <x:c r="WAD61" s="291"/>
      <x:c r="WAE61" s="291"/>
      <x:c r="WAF61" s="291"/>
      <x:c r="WAG61" s="291"/>
      <x:c r="WAH61" s="291"/>
      <x:c r="WAI61" s="291"/>
      <x:c r="WAJ61" s="291"/>
      <x:c r="WAK61" s="291"/>
      <x:c r="WAL61" s="291"/>
      <x:c r="WAM61" s="291"/>
      <x:c r="WAN61" s="291"/>
      <x:c r="WAO61" s="291"/>
      <x:c r="WAP61" s="291"/>
      <x:c r="WAQ61" s="291"/>
      <x:c r="WAR61" s="291"/>
      <x:c r="WAS61" s="291"/>
      <x:c r="WAT61" s="291"/>
      <x:c r="WAU61" s="291"/>
      <x:c r="WAV61" s="291"/>
      <x:c r="WAW61" s="291"/>
      <x:c r="WAX61" s="291"/>
      <x:c r="WAY61" s="291"/>
      <x:c r="WAZ61" s="291"/>
      <x:c r="WBA61" s="291"/>
      <x:c r="WBB61" s="291"/>
      <x:c r="WBC61" s="291"/>
      <x:c r="WBD61" s="291"/>
      <x:c r="WBE61" s="291"/>
      <x:c r="WBF61" s="291"/>
      <x:c r="WBG61" s="291"/>
      <x:c r="WBH61" s="291"/>
      <x:c r="WBI61" s="291"/>
      <x:c r="WBJ61" s="291"/>
      <x:c r="WBK61" s="291"/>
      <x:c r="WBL61" s="291"/>
      <x:c r="WBM61" s="291"/>
      <x:c r="WBN61" s="291"/>
      <x:c r="WBO61" s="291"/>
      <x:c r="WBP61" s="291"/>
      <x:c r="WBQ61" s="291"/>
      <x:c r="WBR61" s="291"/>
      <x:c r="WBS61" s="291"/>
      <x:c r="WBT61" s="291"/>
      <x:c r="WBU61" s="291"/>
      <x:c r="WBV61" s="291"/>
      <x:c r="WBW61" s="291"/>
      <x:c r="WBX61" s="291"/>
      <x:c r="WBY61" s="291"/>
      <x:c r="WBZ61" s="291"/>
      <x:c r="WCA61" s="291"/>
      <x:c r="WCB61" s="291"/>
      <x:c r="WCC61" s="291"/>
      <x:c r="WCD61" s="291"/>
      <x:c r="WCE61" s="291"/>
      <x:c r="WCF61" s="291"/>
      <x:c r="WCG61" s="291"/>
      <x:c r="WCH61" s="291"/>
      <x:c r="WCI61" s="291"/>
      <x:c r="WCJ61" s="291"/>
      <x:c r="WCK61" s="291"/>
      <x:c r="WCL61" s="291"/>
      <x:c r="WCM61" s="291"/>
      <x:c r="WCN61" s="291"/>
      <x:c r="WCO61" s="291"/>
      <x:c r="WCP61" s="291"/>
      <x:c r="WCQ61" s="291"/>
      <x:c r="WCR61" s="291"/>
      <x:c r="WCS61" s="291"/>
      <x:c r="WCT61" s="291"/>
      <x:c r="WCU61" s="291"/>
      <x:c r="WCV61" s="291"/>
      <x:c r="WCW61" s="291"/>
      <x:c r="WCX61" s="291"/>
      <x:c r="WCY61" s="291"/>
      <x:c r="WCZ61" s="291"/>
      <x:c r="WDA61" s="291"/>
      <x:c r="WDB61" s="291"/>
      <x:c r="WDC61" s="291"/>
      <x:c r="WDD61" s="291"/>
      <x:c r="WDE61" s="291"/>
      <x:c r="WDF61" s="291"/>
      <x:c r="WDG61" s="291"/>
      <x:c r="WDH61" s="291"/>
      <x:c r="WDI61" s="291"/>
      <x:c r="WDJ61" s="291"/>
      <x:c r="WDK61" s="291"/>
      <x:c r="WDL61" s="291"/>
      <x:c r="WDM61" s="291"/>
      <x:c r="WDN61" s="291"/>
      <x:c r="WDO61" s="291"/>
      <x:c r="WDP61" s="291"/>
      <x:c r="WDQ61" s="291"/>
      <x:c r="WDR61" s="291"/>
      <x:c r="WDS61" s="291"/>
      <x:c r="WDT61" s="291"/>
      <x:c r="WDU61" s="291"/>
      <x:c r="WDV61" s="291"/>
      <x:c r="WDW61" s="291"/>
      <x:c r="WDX61" s="291"/>
      <x:c r="WDY61" s="291"/>
      <x:c r="WDZ61" s="291"/>
      <x:c r="WEA61" s="291"/>
      <x:c r="WEB61" s="291"/>
      <x:c r="WEC61" s="291"/>
      <x:c r="WED61" s="291"/>
      <x:c r="WEE61" s="291"/>
      <x:c r="WEF61" s="291"/>
      <x:c r="WEG61" s="291"/>
      <x:c r="WEH61" s="291"/>
      <x:c r="WEI61" s="291"/>
      <x:c r="WEJ61" s="291"/>
      <x:c r="WEK61" s="291"/>
      <x:c r="WEL61" s="291"/>
      <x:c r="WEM61" s="291"/>
      <x:c r="WEN61" s="291"/>
      <x:c r="WEO61" s="291"/>
      <x:c r="WEP61" s="291"/>
      <x:c r="WEQ61" s="291"/>
      <x:c r="WER61" s="291"/>
      <x:c r="WES61" s="291"/>
      <x:c r="WET61" s="291"/>
      <x:c r="WEU61" s="291"/>
      <x:c r="WEV61" s="291"/>
      <x:c r="WEW61" s="291"/>
      <x:c r="WEX61" s="291"/>
      <x:c r="WEY61" s="291"/>
      <x:c r="WEZ61" s="291"/>
      <x:c r="WFA61" s="291"/>
      <x:c r="WFB61" s="291"/>
      <x:c r="WFC61" s="291"/>
      <x:c r="WFD61" s="291"/>
      <x:c r="WFE61" s="291"/>
      <x:c r="WFF61" s="291"/>
      <x:c r="WFG61" s="291"/>
      <x:c r="WFH61" s="291"/>
      <x:c r="WFI61" s="291"/>
      <x:c r="WFJ61" s="291"/>
      <x:c r="WFK61" s="291"/>
      <x:c r="WFL61" s="291"/>
      <x:c r="WFM61" s="291"/>
      <x:c r="WFN61" s="291"/>
      <x:c r="WFO61" s="291"/>
      <x:c r="WFP61" s="291"/>
      <x:c r="WFQ61" s="291"/>
      <x:c r="WFR61" s="291"/>
      <x:c r="WFS61" s="291"/>
      <x:c r="WFT61" s="291"/>
      <x:c r="WFU61" s="291"/>
      <x:c r="WFV61" s="291"/>
      <x:c r="WFW61" s="291"/>
      <x:c r="WFX61" s="291"/>
      <x:c r="WFY61" s="291"/>
      <x:c r="WFZ61" s="291"/>
      <x:c r="WGA61" s="291"/>
      <x:c r="WGB61" s="291"/>
      <x:c r="WGC61" s="291"/>
      <x:c r="WGD61" s="291"/>
      <x:c r="WGE61" s="291"/>
      <x:c r="WGF61" s="291"/>
      <x:c r="WGG61" s="291"/>
      <x:c r="WGH61" s="291"/>
      <x:c r="WGI61" s="291"/>
      <x:c r="WGJ61" s="291"/>
      <x:c r="WGK61" s="291"/>
      <x:c r="WGL61" s="291"/>
      <x:c r="WGM61" s="291"/>
      <x:c r="WGN61" s="291"/>
      <x:c r="WGO61" s="291"/>
      <x:c r="WGP61" s="291"/>
      <x:c r="WGQ61" s="291"/>
      <x:c r="WGR61" s="291"/>
      <x:c r="WGS61" s="291"/>
      <x:c r="WGT61" s="291"/>
      <x:c r="WGU61" s="291"/>
      <x:c r="WGV61" s="291"/>
      <x:c r="WGW61" s="291"/>
      <x:c r="WGX61" s="291"/>
      <x:c r="WGY61" s="291"/>
      <x:c r="WGZ61" s="291"/>
      <x:c r="WHA61" s="291"/>
      <x:c r="WHB61" s="291"/>
      <x:c r="WHC61" s="291"/>
      <x:c r="WHD61" s="291"/>
      <x:c r="WHE61" s="291"/>
      <x:c r="WHF61" s="291"/>
      <x:c r="WHG61" s="291"/>
      <x:c r="WHH61" s="291"/>
      <x:c r="WHI61" s="291"/>
      <x:c r="WHJ61" s="291"/>
      <x:c r="WHK61" s="291"/>
      <x:c r="WHL61" s="291"/>
      <x:c r="WHM61" s="291"/>
      <x:c r="WHN61" s="291"/>
      <x:c r="WHO61" s="291"/>
      <x:c r="WHP61" s="291"/>
      <x:c r="WHQ61" s="291"/>
      <x:c r="WHR61" s="291"/>
      <x:c r="WHS61" s="291"/>
      <x:c r="WHT61" s="291"/>
      <x:c r="WHU61" s="291"/>
      <x:c r="WHV61" s="291"/>
      <x:c r="WHW61" s="291"/>
      <x:c r="WHX61" s="291"/>
      <x:c r="WHY61" s="291"/>
      <x:c r="WHZ61" s="291"/>
      <x:c r="WIA61" s="291"/>
      <x:c r="WIB61" s="291"/>
      <x:c r="WIC61" s="291"/>
      <x:c r="WID61" s="291"/>
      <x:c r="WIE61" s="291"/>
      <x:c r="WIF61" s="291"/>
      <x:c r="WIG61" s="291"/>
      <x:c r="WIH61" s="291"/>
      <x:c r="WII61" s="291"/>
      <x:c r="WIJ61" s="291"/>
      <x:c r="WIK61" s="291"/>
      <x:c r="WIL61" s="291"/>
      <x:c r="WIM61" s="291"/>
      <x:c r="WIN61" s="291"/>
      <x:c r="WIO61" s="291"/>
      <x:c r="WIP61" s="291"/>
      <x:c r="WIQ61" s="291"/>
      <x:c r="WIR61" s="291"/>
      <x:c r="WIS61" s="291"/>
      <x:c r="WIT61" s="291"/>
      <x:c r="WIU61" s="291"/>
      <x:c r="WIV61" s="291"/>
      <x:c r="WIW61" s="291"/>
      <x:c r="WIX61" s="291"/>
      <x:c r="WIY61" s="291"/>
      <x:c r="WIZ61" s="291"/>
      <x:c r="WJA61" s="291"/>
      <x:c r="WJB61" s="291"/>
      <x:c r="WJC61" s="291"/>
      <x:c r="WJD61" s="291"/>
      <x:c r="WJE61" s="291"/>
      <x:c r="WJF61" s="291"/>
      <x:c r="WJG61" s="291"/>
      <x:c r="WJH61" s="291"/>
      <x:c r="WJI61" s="291"/>
      <x:c r="WJJ61" s="291"/>
      <x:c r="WJK61" s="291"/>
      <x:c r="WJL61" s="291"/>
      <x:c r="WJM61" s="291"/>
      <x:c r="WJN61" s="291"/>
      <x:c r="WJO61" s="291"/>
      <x:c r="WJP61" s="291"/>
      <x:c r="WJQ61" s="291"/>
      <x:c r="WJR61" s="291"/>
      <x:c r="WJS61" s="291"/>
      <x:c r="WJT61" s="291"/>
      <x:c r="WJU61" s="291"/>
      <x:c r="WJV61" s="291"/>
      <x:c r="WJW61" s="291"/>
      <x:c r="WJX61" s="291"/>
      <x:c r="WJY61" s="291"/>
      <x:c r="WJZ61" s="291"/>
      <x:c r="WKA61" s="291"/>
      <x:c r="WKB61" s="291"/>
      <x:c r="WKC61" s="291"/>
      <x:c r="WKD61" s="291"/>
      <x:c r="WKE61" s="291"/>
      <x:c r="WKF61" s="291"/>
      <x:c r="WKG61" s="291"/>
      <x:c r="WKH61" s="291"/>
      <x:c r="WKI61" s="291"/>
      <x:c r="WKJ61" s="291"/>
      <x:c r="WKK61" s="291"/>
      <x:c r="WKL61" s="291"/>
      <x:c r="WKM61" s="291"/>
      <x:c r="WKN61" s="291"/>
      <x:c r="WKO61" s="291"/>
      <x:c r="WKP61" s="291"/>
      <x:c r="WKQ61" s="291"/>
      <x:c r="WKR61" s="291"/>
      <x:c r="WKS61" s="291"/>
      <x:c r="WKT61" s="291"/>
      <x:c r="WKU61" s="291"/>
      <x:c r="WKV61" s="291"/>
      <x:c r="WKW61" s="291"/>
      <x:c r="WKX61" s="291"/>
      <x:c r="WKY61" s="291"/>
      <x:c r="WKZ61" s="291"/>
      <x:c r="WLA61" s="291"/>
      <x:c r="WLB61" s="291"/>
      <x:c r="WLC61" s="291"/>
      <x:c r="WLD61" s="291"/>
      <x:c r="WLE61" s="291"/>
      <x:c r="WLF61" s="291"/>
      <x:c r="WLG61" s="291"/>
      <x:c r="WLH61" s="291"/>
      <x:c r="WLI61" s="291"/>
      <x:c r="WLJ61" s="291"/>
      <x:c r="WLK61" s="291"/>
      <x:c r="WLL61" s="291"/>
      <x:c r="WLM61" s="291"/>
      <x:c r="WLN61" s="291"/>
      <x:c r="WLO61" s="291"/>
      <x:c r="WLP61" s="291"/>
      <x:c r="WLQ61" s="291"/>
      <x:c r="WLR61" s="291"/>
      <x:c r="WLS61" s="291"/>
      <x:c r="WLT61" s="291"/>
      <x:c r="WLU61" s="291"/>
      <x:c r="WLV61" s="291"/>
      <x:c r="WLW61" s="291"/>
      <x:c r="WLX61" s="291"/>
      <x:c r="WLY61" s="291"/>
      <x:c r="WLZ61" s="291"/>
      <x:c r="WMA61" s="291"/>
      <x:c r="WMB61" s="291"/>
      <x:c r="WMC61" s="291"/>
      <x:c r="WMD61" s="291"/>
      <x:c r="WME61" s="291"/>
      <x:c r="WMF61" s="291"/>
      <x:c r="WMG61" s="291"/>
      <x:c r="WMH61" s="291"/>
      <x:c r="WMI61" s="291"/>
      <x:c r="WMJ61" s="291"/>
      <x:c r="WMK61" s="291"/>
      <x:c r="WML61" s="291"/>
      <x:c r="WMM61" s="291"/>
      <x:c r="WMN61" s="291"/>
      <x:c r="WMO61" s="291"/>
      <x:c r="WMP61" s="291"/>
      <x:c r="WMQ61" s="291"/>
      <x:c r="WMR61" s="291"/>
      <x:c r="WMS61" s="291"/>
      <x:c r="WMT61" s="291"/>
      <x:c r="WMU61" s="291"/>
      <x:c r="WMV61" s="291"/>
      <x:c r="WMW61" s="291"/>
      <x:c r="WMX61" s="291"/>
      <x:c r="WMY61" s="291"/>
      <x:c r="WMZ61" s="291"/>
      <x:c r="WNA61" s="291"/>
      <x:c r="WNB61" s="291"/>
      <x:c r="WNC61" s="291"/>
      <x:c r="WND61" s="291"/>
      <x:c r="WNE61" s="291"/>
      <x:c r="WNF61" s="291"/>
      <x:c r="WNG61" s="291"/>
      <x:c r="WNH61" s="291"/>
      <x:c r="WNI61" s="291"/>
      <x:c r="WNJ61" s="291"/>
      <x:c r="WNK61" s="291"/>
      <x:c r="WNL61" s="291"/>
      <x:c r="WNM61" s="291"/>
      <x:c r="WNN61" s="291"/>
      <x:c r="WNO61" s="291"/>
      <x:c r="WNP61" s="291"/>
      <x:c r="WNQ61" s="291"/>
      <x:c r="WNR61" s="291"/>
      <x:c r="WNS61" s="291"/>
      <x:c r="WNT61" s="291"/>
      <x:c r="WNU61" s="291"/>
      <x:c r="WNV61" s="291"/>
      <x:c r="WNW61" s="291"/>
      <x:c r="WNX61" s="291"/>
      <x:c r="WNY61" s="291"/>
      <x:c r="WNZ61" s="291"/>
      <x:c r="WOA61" s="291"/>
      <x:c r="WOB61" s="291"/>
      <x:c r="WOC61" s="291"/>
      <x:c r="WOD61" s="291"/>
      <x:c r="WOE61" s="291"/>
      <x:c r="WOF61" s="291"/>
      <x:c r="WOG61" s="291"/>
      <x:c r="WOH61" s="291"/>
      <x:c r="WOI61" s="291"/>
      <x:c r="WOJ61" s="291"/>
      <x:c r="WOK61" s="291"/>
      <x:c r="WOL61" s="291"/>
      <x:c r="WOM61" s="291"/>
      <x:c r="WON61" s="291"/>
      <x:c r="WOO61" s="291"/>
      <x:c r="WOP61" s="291"/>
      <x:c r="WOQ61" s="291"/>
      <x:c r="WOR61" s="291"/>
      <x:c r="WOS61" s="291"/>
      <x:c r="WOT61" s="291"/>
      <x:c r="WOU61" s="291"/>
      <x:c r="WOV61" s="291"/>
      <x:c r="WOW61" s="291"/>
      <x:c r="WOX61" s="291"/>
      <x:c r="WOY61" s="291"/>
      <x:c r="WOZ61" s="291"/>
      <x:c r="WPA61" s="291"/>
      <x:c r="WPB61" s="291"/>
      <x:c r="WPC61" s="291"/>
      <x:c r="WPD61" s="291"/>
      <x:c r="WPE61" s="291"/>
      <x:c r="WPF61" s="291"/>
      <x:c r="WPG61" s="291"/>
      <x:c r="WPH61" s="291"/>
      <x:c r="WPI61" s="291"/>
      <x:c r="WPJ61" s="291"/>
      <x:c r="WPK61" s="291"/>
      <x:c r="WPL61" s="291"/>
      <x:c r="WPM61" s="291"/>
      <x:c r="WPN61" s="291"/>
      <x:c r="WPO61" s="291"/>
      <x:c r="WPP61" s="291"/>
      <x:c r="WPQ61" s="291"/>
      <x:c r="WPR61" s="291"/>
      <x:c r="WPS61" s="291"/>
      <x:c r="WPT61" s="291"/>
      <x:c r="WPU61" s="291"/>
      <x:c r="WPV61" s="291"/>
      <x:c r="WPW61" s="291"/>
      <x:c r="WPX61" s="291"/>
      <x:c r="WPY61" s="291"/>
      <x:c r="WPZ61" s="291"/>
      <x:c r="WQA61" s="291"/>
      <x:c r="WQB61" s="291"/>
      <x:c r="WQC61" s="291"/>
      <x:c r="WQD61" s="291"/>
      <x:c r="WQE61" s="291"/>
      <x:c r="WQF61" s="291"/>
      <x:c r="WQG61" s="291"/>
      <x:c r="WQH61" s="291"/>
      <x:c r="WQI61" s="291"/>
      <x:c r="WQJ61" s="291"/>
      <x:c r="WQK61" s="291"/>
      <x:c r="WQL61" s="291"/>
      <x:c r="WQM61" s="291"/>
      <x:c r="WQN61" s="291"/>
      <x:c r="WQO61" s="291"/>
      <x:c r="WQP61" s="291"/>
      <x:c r="WQQ61" s="291"/>
      <x:c r="WQR61" s="291"/>
      <x:c r="WQS61" s="291"/>
      <x:c r="WQT61" s="291"/>
      <x:c r="WQU61" s="291"/>
      <x:c r="WQV61" s="291"/>
      <x:c r="WQW61" s="291"/>
      <x:c r="WQX61" s="291"/>
      <x:c r="WQY61" s="291"/>
      <x:c r="WQZ61" s="291"/>
      <x:c r="WRA61" s="291"/>
      <x:c r="WRB61" s="291"/>
      <x:c r="WRC61" s="291"/>
      <x:c r="WRD61" s="291"/>
      <x:c r="WRE61" s="291"/>
      <x:c r="WRF61" s="291"/>
      <x:c r="WRG61" s="291"/>
      <x:c r="WRH61" s="291"/>
      <x:c r="WRI61" s="291"/>
      <x:c r="WRJ61" s="291"/>
      <x:c r="WRK61" s="291"/>
      <x:c r="WRL61" s="291"/>
      <x:c r="WRM61" s="291"/>
      <x:c r="WRN61" s="291"/>
      <x:c r="WRO61" s="291"/>
      <x:c r="WRP61" s="291"/>
      <x:c r="WRQ61" s="291"/>
      <x:c r="WRR61" s="291"/>
      <x:c r="WRS61" s="291"/>
      <x:c r="WRT61" s="291"/>
      <x:c r="WRU61" s="291"/>
      <x:c r="WRV61" s="291"/>
      <x:c r="WRW61" s="291"/>
      <x:c r="WRX61" s="291"/>
      <x:c r="WRY61" s="291"/>
      <x:c r="WRZ61" s="291"/>
      <x:c r="WSA61" s="291"/>
      <x:c r="WSB61" s="291"/>
      <x:c r="WSC61" s="291"/>
      <x:c r="WSD61" s="291"/>
      <x:c r="WSE61" s="291"/>
      <x:c r="WSF61" s="291"/>
      <x:c r="WSG61" s="291"/>
      <x:c r="WSH61" s="291"/>
      <x:c r="WSI61" s="291"/>
      <x:c r="WSJ61" s="291"/>
      <x:c r="WSK61" s="291"/>
      <x:c r="WSL61" s="291"/>
      <x:c r="WSM61" s="291"/>
      <x:c r="WSN61" s="291"/>
      <x:c r="WSO61" s="291"/>
      <x:c r="WSP61" s="291"/>
      <x:c r="WSQ61" s="291"/>
      <x:c r="WSR61" s="291"/>
      <x:c r="WSS61" s="291"/>
      <x:c r="WST61" s="291"/>
      <x:c r="WSU61" s="291"/>
      <x:c r="WSV61" s="291"/>
      <x:c r="WSW61" s="291"/>
      <x:c r="WSX61" s="291"/>
      <x:c r="WSY61" s="291"/>
      <x:c r="WSZ61" s="291"/>
      <x:c r="WTA61" s="291"/>
      <x:c r="WTB61" s="291"/>
      <x:c r="WTC61" s="291"/>
      <x:c r="WTD61" s="291"/>
      <x:c r="WTE61" s="291"/>
      <x:c r="WTF61" s="291"/>
      <x:c r="WTG61" s="291"/>
      <x:c r="WTH61" s="291"/>
      <x:c r="WTI61" s="291"/>
      <x:c r="WTJ61" s="291"/>
      <x:c r="WTK61" s="291"/>
      <x:c r="WTL61" s="291"/>
      <x:c r="WTM61" s="291"/>
      <x:c r="WTN61" s="291"/>
      <x:c r="WTO61" s="291"/>
      <x:c r="WTP61" s="291"/>
      <x:c r="WTQ61" s="291"/>
      <x:c r="WTR61" s="291"/>
      <x:c r="WTS61" s="291"/>
      <x:c r="WTT61" s="291"/>
      <x:c r="WTU61" s="291"/>
      <x:c r="WTV61" s="291"/>
      <x:c r="WTW61" s="291"/>
      <x:c r="WTX61" s="291"/>
      <x:c r="WTY61" s="291"/>
      <x:c r="WTZ61" s="291"/>
      <x:c r="WUA61" s="291"/>
      <x:c r="WUB61" s="291"/>
      <x:c r="WUC61" s="291"/>
      <x:c r="WUD61" s="291"/>
      <x:c r="WUE61" s="291"/>
      <x:c r="WUF61" s="291"/>
      <x:c r="WUG61" s="291"/>
      <x:c r="WUH61" s="291"/>
      <x:c r="WUI61" s="291"/>
      <x:c r="WUJ61" s="291"/>
      <x:c r="WUK61" s="291"/>
      <x:c r="WUL61" s="291"/>
      <x:c r="WUM61" s="291"/>
      <x:c r="WUN61" s="291"/>
      <x:c r="WUO61" s="291"/>
      <x:c r="WUP61" s="291"/>
      <x:c r="WUQ61" s="291"/>
      <x:c r="WUR61" s="291"/>
      <x:c r="WUS61" s="291"/>
      <x:c r="WUT61" s="291"/>
      <x:c r="WUU61" s="291"/>
      <x:c r="WUV61" s="291"/>
      <x:c r="WUW61" s="291"/>
      <x:c r="WUX61" s="291"/>
      <x:c r="WUY61" s="291"/>
      <x:c r="WUZ61" s="291"/>
      <x:c r="WVA61" s="291"/>
      <x:c r="WVB61" s="291"/>
      <x:c r="WVC61" s="291"/>
      <x:c r="WVD61" s="291"/>
      <x:c r="WVE61" s="291"/>
      <x:c r="WVF61" s="291"/>
      <x:c r="WVG61" s="291"/>
      <x:c r="WVH61" s="291"/>
      <x:c r="WVI61" s="291"/>
      <x:c r="WVJ61" s="291"/>
      <x:c r="WVK61" s="291"/>
      <x:c r="WVL61" s="291"/>
      <x:c r="WVM61" s="291"/>
      <x:c r="WVN61" s="291"/>
      <x:c r="WVO61" s="291"/>
      <x:c r="WVP61" s="291"/>
      <x:c r="WVQ61" s="291"/>
      <x:c r="WVR61" s="291"/>
      <x:c r="WVS61" s="291"/>
      <x:c r="WVT61" s="291"/>
      <x:c r="WVU61" s="291"/>
      <x:c r="WVV61" s="291"/>
      <x:c r="WVW61" s="291"/>
      <x:c r="WVX61" s="291"/>
      <x:c r="WVY61" s="291"/>
      <x:c r="WVZ61" s="291"/>
      <x:c r="WWA61" s="291"/>
      <x:c r="WWB61" s="291"/>
      <x:c r="WWC61" s="291"/>
      <x:c r="WWD61" s="291"/>
      <x:c r="WWE61" s="291"/>
      <x:c r="WWF61" s="291"/>
      <x:c r="WWG61" s="291"/>
      <x:c r="WWH61" s="291"/>
      <x:c r="WWI61" s="291"/>
      <x:c r="WWJ61" s="291"/>
      <x:c r="WWK61" s="291"/>
      <x:c r="WWL61" s="291"/>
      <x:c r="WWM61" s="291"/>
      <x:c r="WWN61" s="291"/>
      <x:c r="WWO61" s="291"/>
      <x:c r="WWP61" s="291"/>
      <x:c r="WWQ61" s="291"/>
      <x:c r="WWR61" s="291"/>
      <x:c r="WWS61" s="291"/>
      <x:c r="WWT61" s="291"/>
      <x:c r="WWU61" s="291"/>
      <x:c r="WWV61" s="291"/>
      <x:c r="WWW61" s="291"/>
      <x:c r="WWX61" s="291"/>
      <x:c r="WWY61" s="291"/>
      <x:c r="WWZ61" s="291"/>
      <x:c r="WXA61" s="291"/>
      <x:c r="WXB61" s="291"/>
      <x:c r="WXC61" s="291"/>
      <x:c r="WXD61" s="291"/>
      <x:c r="WXE61" s="291"/>
      <x:c r="WXF61" s="291"/>
      <x:c r="WXG61" s="291"/>
      <x:c r="WXH61" s="291"/>
      <x:c r="WXI61" s="291"/>
      <x:c r="WXJ61" s="291"/>
      <x:c r="WXK61" s="291"/>
      <x:c r="WXL61" s="291"/>
      <x:c r="WXM61" s="291"/>
      <x:c r="WXN61" s="291"/>
      <x:c r="WXO61" s="291"/>
      <x:c r="WXP61" s="291"/>
      <x:c r="WXQ61" s="291"/>
      <x:c r="WXR61" s="291"/>
      <x:c r="WXS61" s="291"/>
      <x:c r="WXT61" s="291"/>
      <x:c r="WXU61" s="291"/>
      <x:c r="WXV61" s="291"/>
      <x:c r="WXW61" s="291"/>
      <x:c r="WXX61" s="291"/>
      <x:c r="WXY61" s="291"/>
      <x:c r="WXZ61" s="291"/>
      <x:c r="WYA61" s="291"/>
      <x:c r="WYB61" s="291"/>
      <x:c r="WYC61" s="291"/>
      <x:c r="WYD61" s="291"/>
      <x:c r="WYE61" s="291"/>
      <x:c r="WYF61" s="291"/>
      <x:c r="WYG61" s="291"/>
      <x:c r="WYH61" s="291"/>
      <x:c r="WYI61" s="291"/>
      <x:c r="WYJ61" s="291"/>
      <x:c r="WYK61" s="291"/>
      <x:c r="WYL61" s="291"/>
      <x:c r="WYM61" s="291"/>
      <x:c r="WYN61" s="291"/>
      <x:c r="WYO61" s="291"/>
      <x:c r="WYP61" s="291"/>
      <x:c r="WYQ61" s="291"/>
      <x:c r="WYR61" s="291"/>
      <x:c r="WYS61" s="291"/>
      <x:c r="WYT61" s="291"/>
      <x:c r="WYU61" s="291"/>
      <x:c r="WYV61" s="291"/>
      <x:c r="WYW61" s="291"/>
      <x:c r="WYX61" s="291"/>
      <x:c r="WYY61" s="291"/>
      <x:c r="WYZ61" s="291"/>
      <x:c r="WZA61" s="291"/>
      <x:c r="WZB61" s="291"/>
      <x:c r="WZC61" s="291"/>
      <x:c r="WZD61" s="291"/>
      <x:c r="WZE61" s="291"/>
      <x:c r="WZF61" s="291"/>
      <x:c r="WZG61" s="291"/>
      <x:c r="WZH61" s="291"/>
      <x:c r="WZI61" s="291"/>
      <x:c r="WZJ61" s="291"/>
      <x:c r="WZK61" s="291"/>
      <x:c r="WZL61" s="291"/>
      <x:c r="WZM61" s="291"/>
      <x:c r="WZN61" s="291"/>
      <x:c r="WZO61" s="291"/>
      <x:c r="WZP61" s="291"/>
      <x:c r="WZQ61" s="291"/>
      <x:c r="WZR61" s="291"/>
      <x:c r="WZS61" s="291"/>
      <x:c r="WZT61" s="291"/>
      <x:c r="WZU61" s="291"/>
      <x:c r="WZV61" s="291"/>
      <x:c r="WZW61" s="291"/>
      <x:c r="WZX61" s="291"/>
      <x:c r="WZY61" s="291"/>
      <x:c r="WZZ61" s="291"/>
      <x:c r="XAA61" s="291"/>
      <x:c r="XAB61" s="291"/>
      <x:c r="XAC61" s="291"/>
      <x:c r="XAD61" s="291"/>
      <x:c r="XAE61" s="291"/>
      <x:c r="XAF61" s="291"/>
      <x:c r="XAG61" s="291"/>
      <x:c r="XAH61" s="291"/>
      <x:c r="XAI61" s="291"/>
      <x:c r="XAJ61" s="291"/>
      <x:c r="XAK61" s="291"/>
      <x:c r="XAL61" s="291"/>
      <x:c r="XAM61" s="291"/>
      <x:c r="XAN61" s="291"/>
      <x:c r="XAO61" s="291"/>
      <x:c r="XAP61" s="291"/>
      <x:c r="XAQ61" s="291"/>
      <x:c r="XAR61" s="291"/>
      <x:c r="XAS61" s="291"/>
      <x:c r="XAT61" s="291"/>
      <x:c r="XAU61" s="291"/>
      <x:c r="XAV61" s="291"/>
      <x:c r="XAW61" s="291"/>
      <x:c r="XAX61" s="291"/>
      <x:c r="XAY61" s="291"/>
      <x:c r="XAZ61" s="291"/>
      <x:c r="XBA61" s="291"/>
      <x:c r="XBB61" s="291"/>
      <x:c r="XBC61" s="291"/>
      <x:c r="XBD61" s="291"/>
      <x:c r="XBE61" s="291"/>
      <x:c r="XBF61" s="291"/>
      <x:c r="XBG61" s="291"/>
      <x:c r="XBH61" s="291"/>
      <x:c r="XBI61" s="291"/>
      <x:c r="XBJ61" s="291"/>
      <x:c r="XBK61" s="291"/>
      <x:c r="XBL61" s="291"/>
      <x:c r="XBM61" s="291"/>
      <x:c r="XBN61" s="291"/>
      <x:c r="XBO61" s="291"/>
      <x:c r="XBP61" s="291"/>
      <x:c r="XBQ61" s="291"/>
      <x:c r="XBR61" s="291"/>
      <x:c r="XBS61" s="291"/>
      <x:c r="XBT61" s="291"/>
      <x:c r="XBU61" s="291"/>
      <x:c r="XBV61" s="291"/>
      <x:c r="XBW61" s="291"/>
      <x:c r="XBX61" s="291"/>
      <x:c r="XBY61" s="291"/>
      <x:c r="XBZ61" s="291"/>
      <x:c r="XCA61" s="291"/>
      <x:c r="XCB61" s="291"/>
      <x:c r="XCC61" s="291"/>
      <x:c r="XCD61" s="291"/>
      <x:c r="XCE61" s="291"/>
      <x:c r="XCF61" s="291"/>
      <x:c r="XCG61" s="291"/>
      <x:c r="XCH61" s="291"/>
      <x:c r="XCI61" s="291"/>
      <x:c r="XCJ61" s="291"/>
      <x:c r="XCK61" s="291"/>
      <x:c r="XCL61" s="291"/>
      <x:c r="XCM61" s="291"/>
      <x:c r="XCN61" s="291"/>
      <x:c r="XCO61" s="291"/>
      <x:c r="XCP61" s="291"/>
      <x:c r="XCQ61" s="291"/>
      <x:c r="XCR61" s="291"/>
      <x:c r="XCS61" s="291"/>
      <x:c r="XCT61" s="291"/>
      <x:c r="XCU61" s="291"/>
      <x:c r="XCV61" s="291"/>
      <x:c r="XCW61" s="291"/>
      <x:c r="XCX61" s="291"/>
      <x:c r="XCY61" s="291"/>
      <x:c r="XCZ61" s="291"/>
      <x:c r="XDA61" s="291"/>
      <x:c r="XDB61" s="291"/>
      <x:c r="XDC61" s="291"/>
      <x:c r="XDD61" s="291"/>
      <x:c r="XDE61" s="291"/>
      <x:c r="XDF61" s="291"/>
      <x:c r="XDG61" s="291"/>
      <x:c r="XDH61" s="291"/>
      <x:c r="XDI61" s="291"/>
      <x:c r="XDJ61" s="291"/>
      <x:c r="XDK61" s="291"/>
      <x:c r="XDL61" s="291"/>
      <x:c r="XDM61" s="291"/>
      <x:c r="XDN61" s="291"/>
      <x:c r="XDO61" s="291"/>
      <x:c r="XDP61" s="291"/>
      <x:c r="XDQ61" s="291"/>
      <x:c r="XDR61" s="291"/>
      <x:c r="XDS61" s="291"/>
      <x:c r="XDT61" s="291"/>
      <x:c r="XDU61" s="291"/>
      <x:c r="XDV61" s="291"/>
      <x:c r="XDW61" s="291"/>
      <x:c r="XDX61" s="291"/>
      <x:c r="XDY61" s="291"/>
      <x:c r="XDZ61" s="291"/>
      <x:c r="XEA61" s="291"/>
      <x:c r="XEB61" s="291"/>
      <x:c r="XEC61" s="291"/>
      <x:c r="XED61" s="291"/>
      <x:c r="XEE61" s="291"/>
      <x:c r="XEF61" s="291"/>
      <x:c r="XEG61" s="291"/>
      <x:c r="XEH61" s="291"/>
      <x:c r="XEI61" s="291"/>
      <x:c r="XEJ61" s="291"/>
      <x:c r="XEK61" s="291"/>
      <x:c r="XEL61" s="291"/>
      <x:c r="XEM61" s="291"/>
      <x:c r="XEN61" s="291"/>
      <x:c r="XEO61" s="291"/>
      <x:c r="XEP61" s="291"/>
      <x:c r="XEQ61" s="291"/>
      <x:c r="XER61" s="291"/>
      <x:c r="XES61" s="291"/>
      <x:c r="XET61" s="291"/>
      <x:c r="XEU61" s="291"/>
      <x:c r="XEV61" s="291"/>
      <x:c r="XEW61" s="291"/>
      <x:c r="XEX61" s="291"/>
      <x:c r="XEY61" s="291"/>
      <x:c r="XEZ61" s="291"/>
      <x:c r="XFA61" s="291"/>
      <x:c r="XFB61" s="291"/>
      <x:c r="XFC61" s="291"/>
    </x:row>
    <x:row r="62" spans="1:16383" ht="117.75" customHeight="1" s="125" customFormat="1" x14ac:dyDescent="0.25">
      <x:c r="A62" s="60" t="s">
        <x:v>231</x:v>
      </x:c>
      <x:c r="B62" s="123" t="s">
        <x:v>297</x:v>
      </x:c>
      <x:c r="C62" s="124" t="s">
        <x:v>298</x:v>
      </x:c>
      <x:c r="D62" s="106"/>
      <x:c r="E62" s="107"/>
      <x:c r="F62" s="106"/>
      <x:c r="G62" s="108"/>
      <x:c r="H62" s="106"/>
      <x:c r="I62" s="107"/>
      <x:c r="J62" s="106"/>
      <x:c r="K62" s="108"/>
      <x:c r="L62" s="60"/>
      <x:c r="M62" s="108"/>
      <x:c r="N62" s="60"/>
      <x:c r="O62" s="108"/>
      <x:c r="P62" s="108"/>
      <x:c r="Q62" s="108"/>
      <x:c r="R62" s="108"/>
      <x:c r="S62" s="78"/>
      <x:c r="T62" s="108">
        <x:v>0.9</x:v>
      </x:c>
      <x:c r="U62" s="100"/>
      <x:c r="V62" s="100"/>
      <x:c r="W62" s="290"/>
      <x:c r="X62" s="291"/>
      <x:c r="Y62" s="291"/>
      <x:c r="Z62" s="291"/>
      <x:c r="AA62" s="291"/>
      <x:c r="AB62" s="291"/>
      <x:c r="AC62" s="291"/>
      <x:c r="AD62" s="291"/>
      <x:c r="AE62" s="291"/>
      <x:c r="AF62" s="291"/>
      <x:c r="AG62" s="291"/>
      <x:c r="AH62" s="291"/>
      <x:c r="AI62" s="291"/>
      <x:c r="AJ62" s="291"/>
      <x:c r="AK62" s="291"/>
      <x:c r="AL62" s="291"/>
      <x:c r="AM62" s="291"/>
      <x:c r="AN62" s="291"/>
      <x:c r="AO62" s="291"/>
      <x:c r="AP62" s="291"/>
      <x:c r="AQ62" s="291"/>
      <x:c r="AR62" s="291"/>
      <x:c r="AS62" s="291"/>
      <x:c r="AT62" s="291"/>
      <x:c r="AU62" s="291"/>
      <x:c r="AV62" s="291"/>
      <x:c r="AW62" s="291"/>
      <x:c r="AX62" s="291"/>
      <x:c r="AY62" s="291"/>
      <x:c r="AZ62" s="291"/>
      <x:c r="BA62" s="291"/>
      <x:c r="BB62" s="291"/>
      <x:c r="BC62" s="291"/>
      <x:c r="BD62" s="291"/>
      <x:c r="BE62" s="291"/>
      <x:c r="BF62" s="291"/>
      <x:c r="BG62" s="291"/>
      <x:c r="BH62" s="291"/>
      <x:c r="BI62" s="291"/>
      <x:c r="BJ62" s="291"/>
      <x:c r="BK62" s="291"/>
      <x:c r="BL62" s="291"/>
      <x:c r="BM62" s="291"/>
      <x:c r="BN62" s="291"/>
      <x:c r="BO62" s="291"/>
      <x:c r="BP62" s="291"/>
      <x:c r="BQ62" s="291"/>
      <x:c r="BR62" s="291"/>
      <x:c r="BS62" s="291"/>
      <x:c r="BT62" s="291"/>
      <x:c r="BU62" s="291"/>
      <x:c r="BV62" s="291"/>
      <x:c r="BW62" s="291"/>
      <x:c r="BX62" s="291"/>
      <x:c r="BY62" s="291"/>
      <x:c r="BZ62" s="291"/>
      <x:c r="CA62" s="291"/>
      <x:c r="CB62" s="291"/>
      <x:c r="CC62" s="291"/>
      <x:c r="CD62" s="291"/>
      <x:c r="CE62" s="291"/>
      <x:c r="CF62" s="291"/>
      <x:c r="CG62" s="291"/>
      <x:c r="CH62" s="291"/>
      <x:c r="CI62" s="291"/>
      <x:c r="CJ62" s="291"/>
      <x:c r="CK62" s="291"/>
      <x:c r="CL62" s="291"/>
      <x:c r="CM62" s="291"/>
      <x:c r="CN62" s="291"/>
      <x:c r="CO62" s="291"/>
      <x:c r="CP62" s="291"/>
      <x:c r="CQ62" s="291"/>
      <x:c r="CR62" s="291"/>
      <x:c r="CS62" s="291"/>
      <x:c r="CT62" s="291"/>
      <x:c r="CU62" s="291"/>
      <x:c r="CV62" s="291"/>
      <x:c r="CW62" s="291"/>
      <x:c r="CX62" s="291"/>
      <x:c r="CY62" s="291"/>
      <x:c r="CZ62" s="291"/>
      <x:c r="DA62" s="291"/>
      <x:c r="DB62" s="291"/>
      <x:c r="DC62" s="291"/>
      <x:c r="DD62" s="291"/>
      <x:c r="DE62" s="291"/>
      <x:c r="DF62" s="291"/>
      <x:c r="DG62" s="291"/>
      <x:c r="DH62" s="291"/>
      <x:c r="DI62" s="291"/>
      <x:c r="DJ62" s="291"/>
      <x:c r="DK62" s="291"/>
      <x:c r="DL62" s="291"/>
      <x:c r="DM62" s="291"/>
      <x:c r="DN62" s="291"/>
      <x:c r="DO62" s="291"/>
      <x:c r="DP62" s="291"/>
      <x:c r="DQ62" s="291"/>
      <x:c r="DR62" s="291"/>
      <x:c r="DS62" s="291"/>
      <x:c r="DT62" s="291"/>
      <x:c r="DU62" s="291"/>
      <x:c r="DV62" s="291"/>
      <x:c r="DW62" s="291"/>
      <x:c r="DX62" s="291"/>
      <x:c r="DY62" s="291"/>
      <x:c r="DZ62" s="291"/>
      <x:c r="EA62" s="291"/>
      <x:c r="EB62" s="291"/>
      <x:c r="EC62" s="291"/>
      <x:c r="ED62" s="291"/>
      <x:c r="EE62" s="291"/>
      <x:c r="EF62" s="291"/>
      <x:c r="EG62" s="291"/>
      <x:c r="EH62" s="291"/>
      <x:c r="EI62" s="291"/>
      <x:c r="EJ62" s="291"/>
      <x:c r="EK62" s="291"/>
      <x:c r="EL62" s="291"/>
      <x:c r="EM62" s="291"/>
      <x:c r="EN62" s="291"/>
      <x:c r="EO62" s="291"/>
      <x:c r="EP62" s="291"/>
      <x:c r="EQ62" s="291"/>
      <x:c r="ER62" s="291"/>
      <x:c r="ES62" s="291"/>
      <x:c r="ET62" s="291"/>
      <x:c r="EU62" s="291"/>
      <x:c r="EV62" s="291"/>
      <x:c r="EW62" s="291"/>
      <x:c r="EX62" s="291"/>
      <x:c r="EY62" s="291"/>
      <x:c r="EZ62" s="291"/>
      <x:c r="FA62" s="291"/>
      <x:c r="FB62" s="291"/>
      <x:c r="FC62" s="291"/>
      <x:c r="FD62" s="291"/>
      <x:c r="FE62" s="291"/>
      <x:c r="FF62" s="291"/>
      <x:c r="FG62" s="291"/>
      <x:c r="FH62" s="291"/>
      <x:c r="FI62" s="291"/>
      <x:c r="FJ62" s="291"/>
      <x:c r="FK62" s="291"/>
      <x:c r="FL62" s="291"/>
      <x:c r="FM62" s="291"/>
      <x:c r="FN62" s="291"/>
      <x:c r="FO62" s="291"/>
      <x:c r="FP62" s="291"/>
      <x:c r="FQ62" s="291"/>
      <x:c r="FR62" s="291"/>
      <x:c r="FS62" s="291"/>
      <x:c r="FT62" s="291"/>
      <x:c r="FU62" s="291"/>
      <x:c r="FV62" s="291"/>
      <x:c r="FW62" s="291"/>
      <x:c r="FX62" s="291"/>
      <x:c r="FY62" s="291"/>
      <x:c r="FZ62" s="291"/>
      <x:c r="GA62" s="291"/>
      <x:c r="GB62" s="291"/>
      <x:c r="GC62" s="291"/>
      <x:c r="GD62" s="291"/>
      <x:c r="GE62" s="291"/>
      <x:c r="GF62" s="291"/>
      <x:c r="GG62" s="291"/>
      <x:c r="GH62" s="291"/>
      <x:c r="GI62" s="291"/>
      <x:c r="GJ62" s="291"/>
      <x:c r="GK62" s="291"/>
      <x:c r="GL62" s="291"/>
      <x:c r="GM62" s="291"/>
      <x:c r="GN62" s="291"/>
      <x:c r="GO62" s="291"/>
      <x:c r="GP62" s="291"/>
      <x:c r="GQ62" s="291"/>
      <x:c r="GR62" s="291"/>
      <x:c r="GS62" s="291"/>
      <x:c r="GT62" s="291"/>
      <x:c r="GU62" s="291"/>
      <x:c r="GV62" s="291"/>
      <x:c r="GW62" s="291"/>
      <x:c r="GX62" s="291"/>
      <x:c r="GY62" s="291"/>
      <x:c r="GZ62" s="291"/>
      <x:c r="HA62" s="291"/>
      <x:c r="HB62" s="291"/>
      <x:c r="HC62" s="291"/>
      <x:c r="HD62" s="291"/>
      <x:c r="HE62" s="291"/>
      <x:c r="HF62" s="291"/>
      <x:c r="HG62" s="291"/>
      <x:c r="HH62" s="291"/>
      <x:c r="HI62" s="291"/>
      <x:c r="HJ62" s="291"/>
      <x:c r="HK62" s="291"/>
      <x:c r="HL62" s="291"/>
      <x:c r="HM62" s="291"/>
      <x:c r="HN62" s="291"/>
      <x:c r="HO62" s="291"/>
      <x:c r="HP62" s="291"/>
      <x:c r="HQ62" s="291"/>
      <x:c r="HR62" s="291"/>
      <x:c r="HS62" s="291"/>
      <x:c r="HT62" s="291"/>
      <x:c r="HU62" s="291"/>
      <x:c r="HV62" s="291"/>
      <x:c r="HW62" s="291"/>
      <x:c r="HX62" s="291"/>
      <x:c r="HY62" s="291"/>
      <x:c r="HZ62" s="291"/>
      <x:c r="IA62" s="291"/>
      <x:c r="IB62" s="291"/>
      <x:c r="IC62" s="291"/>
      <x:c r="ID62" s="291"/>
      <x:c r="IE62" s="291"/>
      <x:c r="IF62" s="291"/>
      <x:c r="IG62" s="291"/>
      <x:c r="IH62" s="291"/>
      <x:c r="II62" s="291"/>
      <x:c r="IJ62" s="291"/>
      <x:c r="IK62" s="291"/>
      <x:c r="IL62" s="291"/>
      <x:c r="IM62" s="291"/>
      <x:c r="IN62" s="291"/>
      <x:c r="IO62" s="291"/>
      <x:c r="IP62" s="291"/>
      <x:c r="IQ62" s="291"/>
      <x:c r="IR62" s="291"/>
      <x:c r="IS62" s="291"/>
      <x:c r="IT62" s="291"/>
      <x:c r="IU62" s="291"/>
      <x:c r="IV62" s="291"/>
      <x:c r="IW62" s="291"/>
      <x:c r="IX62" s="291"/>
      <x:c r="IY62" s="291"/>
      <x:c r="IZ62" s="291"/>
      <x:c r="JA62" s="291"/>
      <x:c r="JB62" s="291"/>
      <x:c r="JC62" s="291"/>
      <x:c r="JD62" s="291"/>
      <x:c r="JE62" s="291"/>
      <x:c r="JF62" s="291"/>
      <x:c r="JG62" s="291"/>
      <x:c r="JH62" s="291"/>
      <x:c r="JI62" s="291"/>
      <x:c r="JJ62" s="291"/>
      <x:c r="JK62" s="291"/>
      <x:c r="JL62" s="291"/>
      <x:c r="JM62" s="291"/>
      <x:c r="JN62" s="291"/>
      <x:c r="JO62" s="291"/>
      <x:c r="JP62" s="291"/>
      <x:c r="JQ62" s="291"/>
      <x:c r="JR62" s="291"/>
      <x:c r="JS62" s="291"/>
      <x:c r="JT62" s="291"/>
      <x:c r="JU62" s="291"/>
      <x:c r="JV62" s="291"/>
      <x:c r="JW62" s="291"/>
      <x:c r="JX62" s="291"/>
      <x:c r="JY62" s="291"/>
      <x:c r="JZ62" s="291"/>
      <x:c r="KA62" s="291"/>
      <x:c r="KB62" s="291"/>
      <x:c r="KC62" s="291"/>
      <x:c r="KD62" s="291"/>
      <x:c r="KE62" s="291"/>
      <x:c r="KF62" s="291"/>
      <x:c r="KG62" s="291"/>
      <x:c r="KH62" s="291"/>
      <x:c r="KI62" s="291"/>
      <x:c r="KJ62" s="291"/>
      <x:c r="KK62" s="291"/>
      <x:c r="KL62" s="291"/>
      <x:c r="KM62" s="291"/>
      <x:c r="KN62" s="291"/>
      <x:c r="KO62" s="291"/>
      <x:c r="KP62" s="291"/>
      <x:c r="KQ62" s="291"/>
      <x:c r="KR62" s="291"/>
      <x:c r="KS62" s="291"/>
      <x:c r="KT62" s="291"/>
      <x:c r="KU62" s="291"/>
      <x:c r="KV62" s="291"/>
      <x:c r="KW62" s="291"/>
      <x:c r="KX62" s="291"/>
      <x:c r="KY62" s="291"/>
      <x:c r="KZ62" s="291"/>
      <x:c r="LA62" s="291"/>
      <x:c r="LB62" s="291"/>
      <x:c r="LC62" s="291"/>
      <x:c r="LD62" s="291"/>
      <x:c r="LE62" s="291"/>
      <x:c r="LF62" s="291"/>
      <x:c r="LG62" s="291"/>
      <x:c r="LH62" s="291"/>
      <x:c r="LI62" s="291"/>
      <x:c r="LJ62" s="291"/>
      <x:c r="LK62" s="291"/>
      <x:c r="LL62" s="291"/>
      <x:c r="LM62" s="291"/>
      <x:c r="LN62" s="291"/>
      <x:c r="LO62" s="291"/>
      <x:c r="LP62" s="291"/>
      <x:c r="LQ62" s="291"/>
      <x:c r="LR62" s="291"/>
      <x:c r="LS62" s="291"/>
      <x:c r="LT62" s="291"/>
      <x:c r="LU62" s="291"/>
      <x:c r="LV62" s="291"/>
      <x:c r="LW62" s="291"/>
      <x:c r="LX62" s="291"/>
      <x:c r="LY62" s="291"/>
      <x:c r="LZ62" s="291"/>
      <x:c r="MA62" s="291"/>
      <x:c r="MB62" s="291"/>
      <x:c r="MC62" s="291"/>
      <x:c r="MD62" s="291"/>
      <x:c r="ME62" s="291"/>
      <x:c r="MF62" s="291"/>
      <x:c r="MG62" s="291"/>
      <x:c r="MH62" s="291"/>
      <x:c r="MI62" s="291"/>
      <x:c r="MJ62" s="291"/>
      <x:c r="MK62" s="291"/>
      <x:c r="ML62" s="291"/>
      <x:c r="MM62" s="291"/>
      <x:c r="MN62" s="291"/>
      <x:c r="MO62" s="291"/>
      <x:c r="MP62" s="291"/>
      <x:c r="MQ62" s="291"/>
      <x:c r="MR62" s="291"/>
      <x:c r="MS62" s="291"/>
      <x:c r="MT62" s="291"/>
      <x:c r="MU62" s="291"/>
      <x:c r="MV62" s="291"/>
      <x:c r="MW62" s="291"/>
      <x:c r="MX62" s="291"/>
      <x:c r="MY62" s="291"/>
      <x:c r="MZ62" s="291"/>
      <x:c r="NA62" s="291"/>
      <x:c r="NB62" s="291"/>
      <x:c r="NC62" s="291"/>
      <x:c r="ND62" s="291"/>
      <x:c r="NE62" s="291"/>
      <x:c r="NF62" s="291"/>
      <x:c r="NG62" s="291"/>
      <x:c r="NH62" s="291"/>
      <x:c r="NI62" s="291"/>
      <x:c r="NJ62" s="291"/>
      <x:c r="NK62" s="291"/>
      <x:c r="NL62" s="291"/>
      <x:c r="NM62" s="291"/>
      <x:c r="NN62" s="291"/>
      <x:c r="NO62" s="291"/>
      <x:c r="NP62" s="291"/>
      <x:c r="NQ62" s="291"/>
      <x:c r="NR62" s="291"/>
      <x:c r="NS62" s="291"/>
      <x:c r="NT62" s="291"/>
      <x:c r="NU62" s="291"/>
      <x:c r="NV62" s="291"/>
      <x:c r="NW62" s="291"/>
      <x:c r="NX62" s="291"/>
      <x:c r="NY62" s="291"/>
      <x:c r="NZ62" s="291"/>
      <x:c r="OA62" s="291"/>
      <x:c r="OB62" s="291"/>
      <x:c r="OC62" s="291"/>
      <x:c r="OD62" s="291"/>
      <x:c r="OE62" s="291"/>
      <x:c r="OF62" s="291"/>
      <x:c r="OG62" s="291"/>
      <x:c r="OH62" s="291"/>
      <x:c r="OI62" s="291"/>
      <x:c r="OJ62" s="291"/>
      <x:c r="OK62" s="291"/>
      <x:c r="OL62" s="291"/>
      <x:c r="OM62" s="291"/>
      <x:c r="ON62" s="291"/>
      <x:c r="OO62" s="291"/>
      <x:c r="OP62" s="291"/>
      <x:c r="OQ62" s="291"/>
      <x:c r="OR62" s="291"/>
      <x:c r="OS62" s="291"/>
      <x:c r="OT62" s="291"/>
      <x:c r="OU62" s="291"/>
      <x:c r="OV62" s="291"/>
      <x:c r="OW62" s="291"/>
      <x:c r="OX62" s="291"/>
      <x:c r="OY62" s="291"/>
      <x:c r="OZ62" s="291"/>
      <x:c r="PA62" s="291"/>
      <x:c r="PB62" s="291"/>
      <x:c r="PC62" s="291"/>
      <x:c r="PD62" s="291"/>
      <x:c r="PE62" s="291"/>
      <x:c r="PF62" s="291"/>
      <x:c r="PG62" s="291"/>
      <x:c r="PH62" s="291"/>
      <x:c r="PI62" s="291"/>
      <x:c r="PJ62" s="291"/>
      <x:c r="PK62" s="291"/>
      <x:c r="PL62" s="291"/>
      <x:c r="PM62" s="291"/>
      <x:c r="PN62" s="291"/>
      <x:c r="PO62" s="291"/>
      <x:c r="PP62" s="291"/>
      <x:c r="PQ62" s="291"/>
      <x:c r="PR62" s="291"/>
      <x:c r="PS62" s="291"/>
      <x:c r="PT62" s="291"/>
      <x:c r="PU62" s="291"/>
      <x:c r="PV62" s="291"/>
      <x:c r="PW62" s="291"/>
      <x:c r="PX62" s="291"/>
      <x:c r="PY62" s="291"/>
      <x:c r="PZ62" s="291"/>
      <x:c r="QA62" s="291"/>
      <x:c r="QB62" s="291"/>
      <x:c r="QC62" s="291"/>
      <x:c r="QD62" s="291"/>
      <x:c r="QE62" s="291"/>
      <x:c r="QF62" s="291"/>
      <x:c r="QG62" s="291"/>
      <x:c r="QH62" s="291"/>
      <x:c r="QI62" s="291"/>
      <x:c r="QJ62" s="291"/>
      <x:c r="QK62" s="291"/>
      <x:c r="QL62" s="291"/>
      <x:c r="QM62" s="291"/>
      <x:c r="QN62" s="291"/>
      <x:c r="QO62" s="291"/>
      <x:c r="QP62" s="291"/>
      <x:c r="QQ62" s="291"/>
      <x:c r="QR62" s="291"/>
      <x:c r="QS62" s="291"/>
      <x:c r="QT62" s="291"/>
      <x:c r="QU62" s="291"/>
      <x:c r="QV62" s="291"/>
      <x:c r="QW62" s="291"/>
      <x:c r="QX62" s="291"/>
      <x:c r="QY62" s="291"/>
      <x:c r="QZ62" s="291"/>
      <x:c r="RA62" s="291"/>
      <x:c r="RB62" s="291"/>
      <x:c r="RC62" s="291"/>
      <x:c r="RD62" s="291"/>
      <x:c r="RE62" s="291"/>
      <x:c r="RF62" s="291"/>
      <x:c r="RG62" s="291"/>
      <x:c r="RH62" s="291"/>
      <x:c r="RI62" s="291"/>
      <x:c r="RJ62" s="291"/>
      <x:c r="RK62" s="291"/>
      <x:c r="RL62" s="291"/>
      <x:c r="RM62" s="291"/>
      <x:c r="RN62" s="291"/>
      <x:c r="RO62" s="291"/>
      <x:c r="RP62" s="291"/>
      <x:c r="RQ62" s="291"/>
      <x:c r="RR62" s="291"/>
      <x:c r="RS62" s="291"/>
      <x:c r="RT62" s="291"/>
      <x:c r="RU62" s="291"/>
      <x:c r="RV62" s="291"/>
      <x:c r="RW62" s="291"/>
      <x:c r="RX62" s="291"/>
      <x:c r="RY62" s="291"/>
      <x:c r="RZ62" s="291"/>
      <x:c r="SA62" s="291"/>
      <x:c r="SB62" s="291"/>
      <x:c r="SC62" s="291"/>
      <x:c r="SD62" s="291"/>
      <x:c r="SE62" s="291"/>
      <x:c r="SF62" s="291"/>
      <x:c r="SG62" s="291"/>
      <x:c r="SH62" s="291"/>
      <x:c r="SI62" s="291"/>
      <x:c r="SJ62" s="291"/>
      <x:c r="SK62" s="291"/>
      <x:c r="SL62" s="291"/>
      <x:c r="SM62" s="291"/>
      <x:c r="SN62" s="291"/>
      <x:c r="SO62" s="291"/>
      <x:c r="SP62" s="291"/>
      <x:c r="SQ62" s="291"/>
      <x:c r="SR62" s="291"/>
      <x:c r="SS62" s="291"/>
      <x:c r="ST62" s="291"/>
      <x:c r="SU62" s="291"/>
      <x:c r="SV62" s="291"/>
      <x:c r="SW62" s="291"/>
      <x:c r="SX62" s="291"/>
      <x:c r="SY62" s="291"/>
      <x:c r="SZ62" s="291"/>
      <x:c r="TA62" s="291"/>
      <x:c r="TB62" s="291"/>
      <x:c r="TC62" s="291"/>
      <x:c r="TD62" s="291"/>
      <x:c r="TE62" s="291"/>
      <x:c r="TF62" s="291"/>
      <x:c r="TG62" s="291"/>
      <x:c r="TH62" s="291"/>
      <x:c r="TI62" s="291"/>
      <x:c r="TJ62" s="291"/>
      <x:c r="TK62" s="291"/>
      <x:c r="TL62" s="291"/>
      <x:c r="TM62" s="291"/>
      <x:c r="TN62" s="291"/>
      <x:c r="TO62" s="291"/>
      <x:c r="TP62" s="291"/>
      <x:c r="TQ62" s="291"/>
      <x:c r="TR62" s="291"/>
      <x:c r="TS62" s="291"/>
      <x:c r="TT62" s="291"/>
      <x:c r="TU62" s="291"/>
      <x:c r="TV62" s="291"/>
      <x:c r="TW62" s="291"/>
      <x:c r="TX62" s="291"/>
      <x:c r="TY62" s="291"/>
      <x:c r="TZ62" s="291"/>
      <x:c r="UA62" s="291"/>
      <x:c r="UB62" s="291"/>
      <x:c r="UC62" s="291"/>
      <x:c r="UD62" s="291"/>
      <x:c r="UE62" s="291"/>
      <x:c r="UF62" s="291"/>
      <x:c r="UG62" s="291"/>
      <x:c r="UH62" s="291"/>
      <x:c r="UI62" s="291"/>
      <x:c r="UJ62" s="291"/>
      <x:c r="UK62" s="291"/>
      <x:c r="UL62" s="291"/>
      <x:c r="UM62" s="291"/>
      <x:c r="UN62" s="291"/>
      <x:c r="UO62" s="291"/>
      <x:c r="UP62" s="291"/>
      <x:c r="UQ62" s="291"/>
      <x:c r="UR62" s="291"/>
      <x:c r="US62" s="291"/>
      <x:c r="UT62" s="291"/>
      <x:c r="UU62" s="291"/>
      <x:c r="UV62" s="291"/>
      <x:c r="UW62" s="291"/>
      <x:c r="UX62" s="291"/>
      <x:c r="UY62" s="291"/>
      <x:c r="UZ62" s="291"/>
      <x:c r="VA62" s="291"/>
      <x:c r="VB62" s="291"/>
      <x:c r="VC62" s="291"/>
      <x:c r="VD62" s="291"/>
      <x:c r="VE62" s="291"/>
      <x:c r="VF62" s="291"/>
      <x:c r="VG62" s="291"/>
      <x:c r="VH62" s="291"/>
      <x:c r="VI62" s="291"/>
      <x:c r="VJ62" s="291"/>
      <x:c r="VK62" s="291"/>
      <x:c r="VL62" s="291"/>
      <x:c r="VM62" s="291"/>
      <x:c r="VN62" s="291"/>
      <x:c r="VO62" s="291"/>
      <x:c r="VP62" s="291"/>
      <x:c r="VQ62" s="291"/>
      <x:c r="VR62" s="291"/>
      <x:c r="VS62" s="291"/>
      <x:c r="VT62" s="291"/>
      <x:c r="VU62" s="291"/>
      <x:c r="VV62" s="291"/>
      <x:c r="VW62" s="291"/>
      <x:c r="VX62" s="291"/>
      <x:c r="VY62" s="291"/>
      <x:c r="VZ62" s="291"/>
      <x:c r="WA62" s="291"/>
      <x:c r="WB62" s="291"/>
      <x:c r="WC62" s="291"/>
      <x:c r="WD62" s="291"/>
      <x:c r="WE62" s="291"/>
      <x:c r="WF62" s="291"/>
      <x:c r="WG62" s="291"/>
      <x:c r="WH62" s="291"/>
      <x:c r="WI62" s="291"/>
      <x:c r="WJ62" s="291"/>
      <x:c r="WK62" s="291"/>
      <x:c r="WL62" s="291"/>
      <x:c r="WM62" s="291"/>
      <x:c r="WN62" s="291"/>
      <x:c r="WO62" s="291"/>
      <x:c r="WP62" s="291"/>
      <x:c r="WQ62" s="291"/>
      <x:c r="WR62" s="291"/>
      <x:c r="WS62" s="291"/>
      <x:c r="WT62" s="291"/>
      <x:c r="WU62" s="291"/>
      <x:c r="WV62" s="291"/>
      <x:c r="WW62" s="291"/>
      <x:c r="WX62" s="291"/>
      <x:c r="WY62" s="291"/>
      <x:c r="WZ62" s="291"/>
      <x:c r="XA62" s="291"/>
      <x:c r="XB62" s="291"/>
      <x:c r="XC62" s="291"/>
      <x:c r="XD62" s="291"/>
      <x:c r="XE62" s="291"/>
      <x:c r="XF62" s="291"/>
      <x:c r="XG62" s="291"/>
      <x:c r="XH62" s="291"/>
      <x:c r="XI62" s="291"/>
      <x:c r="XJ62" s="291"/>
      <x:c r="XK62" s="291"/>
      <x:c r="XL62" s="291"/>
      <x:c r="XM62" s="291"/>
      <x:c r="XN62" s="291"/>
      <x:c r="XO62" s="291"/>
      <x:c r="XP62" s="291"/>
      <x:c r="XQ62" s="291"/>
      <x:c r="XR62" s="291"/>
      <x:c r="XS62" s="291"/>
      <x:c r="XT62" s="291"/>
      <x:c r="XU62" s="291"/>
      <x:c r="XV62" s="291"/>
      <x:c r="XW62" s="291"/>
      <x:c r="XX62" s="291"/>
      <x:c r="XY62" s="291"/>
      <x:c r="XZ62" s="291"/>
      <x:c r="YA62" s="291"/>
      <x:c r="YB62" s="291"/>
      <x:c r="YC62" s="291"/>
      <x:c r="YD62" s="291"/>
      <x:c r="YE62" s="291"/>
      <x:c r="YF62" s="291"/>
      <x:c r="YG62" s="291"/>
      <x:c r="YH62" s="291"/>
      <x:c r="YI62" s="291"/>
      <x:c r="YJ62" s="291"/>
      <x:c r="YK62" s="291"/>
      <x:c r="YL62" s="291"/>
      <x:c r="YM62" s="291"/>
      <x:c r="YN62" s="291"/>
      <x:c r="YO62" s="291"/>
      <x:c r="YP62" s="291"/>
      <x:c r="YQ62" s="291"/>
      <x:c r="YR62" s="291"/>
      <x:c r="YS62" s="291"/>
      <x:c r="YT62" s="291"/>
      <x:c r="YU62" s="291"/>
      <x:c r="YV62" s="291"/>
      <x:c r="YW62" s="291"/>
      <x:c r="YX62" s="291"/>
      <x:c r="YY62" s="291"/>
      <x:c r="YZ62" s="291"/>
      <x:c r="ZA62" s="291"/>
      <x:c r="ZB62" s="291"/>
      <x:c r="ZC62" s="291"/>
      <x:c r="ZD62" s="291"/>
      <x:c r="ZE62" s="291"/>
      <x:c r="ZF62" s="291"/>
      <x:c r="ZG62" s="291"/>
      <x:c r="ZH62" s="291"/>
      <x:c r="ZI62" s="291"/>
      <x:c r="ZJ62" s="291"/>
      <x:c r="ZK62" s="291"/>
      <x:c r="ZL62" s="291"/>
      <x:c r="ZM62" s="291"/>
      <x:c r="ZN62" s="291"/>
      <x:c r="ZO62" s="291"/>
      <x:c r="ZP62" s="291"/>
      <x:c r="ZQ62" s="291"/>
      <x:c r="ZR62" s="291"/>
      <x:c r="ZS62" s="291"/>
      <x:c r="ZT62" s="291"/>
      <x:c r="ZU62" s="291"/>
      <x:c r="ZV62" s="291"/>
      <x:c r="ZW62" s="291"/>
      <x:c r="ZX62" s="291"/>
      <x:c r="ZY62" s="291"/>
      <x:c r="ZZ62" s="291"/>
      <x:c r="AAA62" s="291"/>
      <x:c r="AAB62" s="291"/>
      <x:c r="AAC62" s="291"/>
      <x:c r="AAD62" s="291"/>
      <x:c r="AAE62" s="291"/>
      <x:c r="AAF62" s="291"/>
      <x:c r="AAG62" s="291"/>
      <x:c r="AAH62" s="291"/>
      <x:c r="AAI62" s="291"/>
      <x:c r="AAJ62" s="291"/>
      <x:c r="AAK62" s="291"/>
      <x:c r="AAL62" s="291"/>
      <x:c r="AAM62" s="291"/>
      <x:c r="AAN62" s="291"/>
      <x:c r="AAO62" s="291"/>
      <x:c r="AAP62" s="291"/>
      <x:c r="AAQ62" s="291"/>
      <x:c r="AAR62" s="291"/>
      <x:c r="AAS62" s="291"/>
      <x:c r="AAT62" s="291"/>
      <x:c r="AAU62" s="291"/>
      <x:c r="AAV62" s="291"/>
      <x:c r="AAW62" s="291"/>
      <x:c r="AAX62" s="291"/>
      <x:c r="AAY62" s="291"/>
      <x:c r="AAZ62" s="291"/>
      <x:c r="ABA62" s="291"/>
      <x:c r="ABB62" s="291"/>
      <x:c r="ABC62" s="291"/>
      <x:c r="ABD62" s="291"/>
      <x:c r="ABE62" s="291"/>
      <x:c r="ABF62" s="291"/>
      <x:c r="ABG62" s="291"/>
      <x:c r="ABH62" s="291"/>
      <x:c r="ABI62" s="291"/>
      <x:c r="ABJ62" s="291"/>
      <x:c r="ABK62" s="291"/>
      <x:c r="ABL62" s="291"/>
      <x:c r="ABM62" s="291"/>
      <x:c r="ABN62" s="291"/>
      <x:c r="ABO62" s="291"/>
      <x:c r="ABP62" s="291"/>
      <x:c r="ABQ62" s="291"/>
      <x:c r="ABR62" s="291"/>
      <x:c r="ABS62" s="291"/>
      <x:c r="ABT62" s="291"/>
      <x:c r="ABU62" s="291"/>
      <x:c r="ABV62" s="291"/>
      <x:c r="ABW62" s="291"/>
      <x:c r="ABX62" s="291"/>
      <x:c r="ABY62" s="291"/>
      <x:c r="ABZ62" s="291"/>
      <x:c r="ACA62" s="291"/>
      <x:c r="ACB62" s="291"/>
      <x:c r="ACC62" s="291"/>
      <x:c r="ACD62" s="291"/>
      <x:c r="ACE62" s="291"/>
      <x:c r="ACF62" s="291"/>
      <x:c r="ACG62" s="291"/>
      <x:c r="ACH62" s="291"/>
      <x:c r="ACI62" s="291"/>
      <x:c r="ACJ62" s="291"/>
      <x:c r="ACK62" s="291"/>
      <x:c r="ACL62" s="291"/>
      <x:c r="ACM62" s="291"/>
      <x:c r="ACN62" s="291"/>
      <x:c r="ACO62" s="291"/>
      <x:c r="ACP62" s="291"/>
      <x:c r="ACQ62" s="291"/>
      <x:c r="ACR62" s="291"/>
      <x:c r="ACS62" s="291"/>
      <x:c r="ACT62" s="291"/>
      <x:c r="ACU62" s="291"/>
      <x:c r="ACV62" s="291"/>
      <x:c r="ACW62" s="291"/>
      <x:c r="ACX62" s="291"/>
      <x:c r="ACY62" s="291"/>
      <x:c r="ACZ62" s="291"/>
      <x:c r="ADA62" s="291"/>
      <x:c r="ADB62" s="291"/>
      <x:c r="ADC62" s="291"/>
      <x:c r="ADD62" s="291"/>
      <x:c r="ADE62" s="291"/>
      <x:c r="ADF62" s="291"/>
      <x:c r="ADG62" s="291"/>
      <x:c r="ADH62" s="291"/>
      <x:c r="ADI62" s="291"/>
      <x:c r="ADJ62" s="291"/>
      <x:c r="ADK62" s="291"/>
      <x:c r="ADL62" s="291"/>
      <x:c r="ADM62" s="291"/>
      <x:c r="ADN62" s="291"/>
      <x:c r="ADO62" s="291"/>
      <x:c r="ADP62" s="291"/>
      <x:c r="ADQ62" s="291"/>
      <x:c r="ADR62" s="291"/>
      <x:c r="ADS62" s="291"/>
      <x:c r="ADT62" s="291"/>
      <x:c r="ADU62" s="291"/>
      <x:c r="ADV62" s="291"/>
      <x:c r="ADW62" s="291"/>
      <x:c r="ADX62" s="291"/>
      <x:c r="ADY62" s="291"/>
      <x:c r="ADZ62" s="291"/>
      <x:c r="AEA62" s="291"/>
      <x:c r="AEB62" s="291"/>
      <x:c r="AEC62" s="291"/>
      <x:c r="AED62" s="291"/>
      <x:c r="AEE62" s="291"/>
      <x:c r="AEF62" s="291"/>
      <x:c r="AEG62" s="291"/>
      <x:c r="AEH62" s="291"/>
      <x:c r="AEI62" s="291"/>
      <x:c r="AEJ62" s="291"/>
      <x:c r="AEK62" s="291"/>
      <x:c r="AEL62" s="291"/>
      <x:c r="AEM62" s="291"/>
      <x:c r="AEN62" s="291"/>
      <x:c r="AEO62" s="291"/>
      <x:c r="AEP62" s="291"/>
      <x:c r="AEQ62" s="291"/>
      <x:c r="AER62" s="291"/>
      <x:c r="AES62" s="291"/>
      <x:c r="AET62" s="291"/>
      <x:c r="AEU62" s="291"/>
      <x:c r="AEV62" s="291"/>
      <x:c r="AEW62" s="291"/>
      <x:c r="AEX62" s="291"/>
      <x:c r="AEY62" s="291"/>
      <x:c r="AEZ62" s="291"/>
      <x:c r="AFA62" s="291"/>
      <x:c r="AFB62" s="291"/>
      <x:c r="AFC62" s="291"/>
      <x:c r="AFD62" s="291"/>
      <x:c r="AFE62" s="291"/>
      <x:c r="AFF62" s="291"/>
      <x:c r="AFG62" s="291"/>
      <x:c r="AFH62" s="291"/>
      <x:c r="AFI62" s="291"/>
      <x:c r="AFJ62" s="291"/>
      <x:c r="AFK62" s="291"/>
      <x:c r="AFL62" s="291"/>
      <x:c r="AFM62" s="291"/>
      <x:c r="AFN62" s="291"/>
      <x:c r="AFO62" s="291"/>
      <x:c r="AFP62" s="291"/>
      <x:c r="AFQ62" s="291"/>
      <x:c r="AFR62" s="291"/>
      <x:c r="AFS62" s="291"/>
      <x:c r="AFT62" s="291"/>
      <x:c r="AFU62" s="291"/>
      <x:c r="AFV62" s="291"/>
      <x:c r="AFW62" s="291"/>
      <x:c r="AFX62" s="291"/>
      <x:c r="AFY62" s="291"/>
      <x:c r="AFZ62" s="291"/>
      <x:c r="AGA62" s="291"/>
      <x:c r="AGB62" s="291"/>
      <x:c r="AGC62" s="291"/>
      <x:c r="AGD62" s="291"/>
      <x:c r="AGE62" s="291"/>
      <x:c r="AGF62" s="291"/>
      <x:c r="AGG62" s="291"/>
      <x:c r="AGH62" s="291"/>
      <x:c r="AGI62" s="291"/>
      <x:c r="AGJ62" s="291"/>
      <x:c r="AGK62" s="291"/>
      <x:c r="AGL62" s="291"/>
      <x:c r="AGM62" s="291"/>
      <x:c r="AGN62" s="291"/>
      <x:c r="AGO62" s="291"/>
      <x:c r="AGP62" s="291"/>
      <x:c r="AGQ62" s="291"/>
      <x:c r="AGR62" s="291"/>
      <x:c r="AGS62" s="291"/>
      <x:c r="AGT62" s="291"/>
      <x:c r="AGU62" s="291"/>
      <x:c r="AGV62" s="291"/>
      <x:c r="AGW62" s="291"/>
      <x:c r="AGX62" s="291"/>
      <x:c r="AGY62" s="291"/>
      <x:c r="AGZ62" s="291"/>
      <x:c r="AHA62" s="291"/>
      <x:c r="AHB62" s="291"/>
      <x:c r="AHC62" s="291"/>
      <x:c r="AHD62" s="291"/>
      <x:c r="AHE62" s="291"/>
      <x:c r="AHF62" s="291"/>
      <x:c r="AHG62" s="291"/>
      <x:c r="AHH62" s="291"/>
      <x:c r="AHI62" s="291"/>
      <x:c r="AHJ62" s="291"/>
      <x:c r="AHK62" s="291"/>
      <x:c r="AHL62" s="291"/>
      <x:c r="AHM62" s="291"/>
      <x:c r="AHN62" s="291"/>
      <x:c r="AHO62" s="291"/>
      <x:c r="AHP62" s="291"/>
      <x:c r="AHQ62" s="291"/>
      <x:c r="AHR62" s="291"/>
      <x:c r="AHS62" s="291"/>
      <x:c r="AHT62" s="291"/>
      <x:c r="AHU62" s="291"/>
      <x:c r="AHV62" s="291"/>
      <x:c r="AHW62" s="291"/>
      <x:c r="AHX62" s="291"/>
      <x:c r="AHY62" s="291"/>
      <x:c r="AHZ62" s="291"/>
      <x:c r="AIA62" s="291"/>
      <x:c r="AIB62" s="291"/>
      <x:c r="AIC62" s="291"/>
      <x:c r="AID62" s="291"/>
      <x:c r="AIE62" s="291"/>
      <x:c r="AIF62" s="291"/>
      <x:c r="AIG62" s="291"/>
      <x:c r="AIH62" s="291"/>
      <x:c r="AII62" s="291"/>
      <x:c r="AIJ62" s="291"/>
      <x:c r="AIK62" s="291"/>
      <x:c r="AIL62" s="291"/>
      <x:c r="AIM62" s="291"/>
      <x:c r="AIN62" s="291"/>
      <x:c r="AIO62" s="291"/>
      <x:c r="AIP62" s="291"/>
      <x:c r="AIQ62" s="291"/>
      <x:c r="AIR62" s="291"/>
      <x:c r="AIS62" s="291"/>
      <x:c r="AIT62" s="291"/>
      <x:c r="AIU62" s="291"/>
      <x:c r="AIV62" s="291"/>
      <x:c r="AIW62" s="291"/>
      <x:c r="AIX62" s="291"/>
      <x:c r="AIY62" s="291"/>
      <x:c r="AIZ62" s="291"/>
      <x:c r="AJA62" s="291"/>
      <x:c r="AJB62" s="291"/>
      <x:c r="AJC62" s="291"/>
      <x:c r="AJD62" s="291"/>
      <x:c r="AJE62" s="291"/>
      <x:c r="AJF62" s="291"/>
      <x:c r="AJG62" s="291"/>
      <x:c r="AJH62" s="291"/>
      <x:c r="AJI62" s="291"/>
      <x:c r="AJJ62" s="291"/>
      <x:c r="AJK62" s="291"/>
      <x:c r="AJL62" s="291"/>
      <x:c r="AJM62" s="291"/>
      <x:c r="AJN62" s="291"/>
      <x:c r="AJO62" s="291"/>
      <x:c r="AJP62" s="291"/>
      <x:c r="AJQ62" s="291"/>
      <x:c r="AJR62" s="291"/>
      <x:c r="AJS62" s="291"/>
      <x:c r="AJT62" s="291"/>
      <x:c r="AJU62" s="291"/>
      <x:c r="AJV62" s="291"/>
      <x:c r="AJW62" s="291"/>
      <x:c r="AJX62" s="291"/>
      <x:c r="AJY62" s="291"/>
      <x:c r="AJZ62" s="291"/>
      <x:c r="AKA62" s="291"/>
      <x:c r="AKB62" s="291"/>
      <x:c r="AKC62" s="291"/>
      <x:c r="AKD62" s="291"/>
      <x:c r="AKE62" s="291"/>
      <x:c r="AKF62" s="291"/>
      <x:c r="AKG62" s="291"/>
      <x:c r="AKH62" s="291"/>
      <x:c r="AKI62" s="291"/>
      <x:c r="AKJ62" s="291"/>
      <x:c r="AKK62" s="291"/>
      <x:c r="AKL62" s="291"/>
      <x:c r="AKM62" s="291"/>
      <x:c r="AKN62" s="291"/>
      <x:c r="AKO62" s="291"/>
      <x:c r="AKP62" s="291"/>
      <x:c r="AKQ62" s="291"/>
      <x:c r="AKR62" s="291"/>
      <x:c r="AKS62" s="291"/>
      <x:c r="AKT62" s="291"/>
      <x:c r="AKU62" s="291"/>
      <x:c r="AKV62" s="291"/>
      <x:c r="AKW62" s="291"/>
      <x:c r="AKX62" s="291"/>
      <x:c r="AKY62" s="291"/>
      <x:c r="AKZ62" s="291"/>
      <x:c r="ALA62" s="291"/>
      <x:c r="ALB62" s="291"/>
      <x:c r="ALC62" s="291"/>
      <x:c r="ALD62" s="291"/>
      <x:c r="ALE62" s="291"/>
      <x:c r="ALF62" s="291"/>
      <x:c r="ALG62" s="291"/>
      <x:c r="ALH62" s="291"/>
      <x:c r="ALI62" s="291"/>
      <x:c r="ALJ62" s="291"/>
      <x:c r="ALK62" s="291"/>
      <x:c r="ALL62" s="291"/>
      <x:c r="ALM62" s="291"/>
      <x:c r="ALN62" s="291"/>
      <x:c r="ALO62" s="291"/>
      <x:c r="ALP62" s="291"/>
      <x:c r="ALQ62" s="291"/>
      <x:c r="ALR62" s="291"/>
      <x:c r="ALS62" s="291"/>
      <x:c r="ALT62" s="291"/>
      <x:c r="ALU62" s="291"/>
      <x:c r="ALV62" s="291"/>
      <x:c r="ALW62" s="291"/>
      <x:c r="ALX62" s="291"/>
      <x:c r="ALY62" s="291"/>
      <x:c r="ALZ62" s="291"/>
      <x:c r="AMA62" s="291"/>
      <x:c r="AMB62" s="291"/>
      <x:c r="AMC62" s="291"/>
      <x:c r="AMD62" s="291"/>
      <x:c r="AME62" s="291"/>
      <x:c r="AMF62" s="291"/>
      <x:c r="AMG62" s="291"/>
      <x:c r="AMH62" s="291"/>
      <x:c r="AMI62" s="291"/>
      <x:c r="AMJ62" s="291"/>
      <x:c r="AMK62" s="291"/>
      <x:c r="AML62" s="291"/>
      <x:c r="AMM62" s="291"/>
      <x:c r="AMN62" s="291"/>
      <x:c r="AMO62" s="291"/>
      <x:c r="AMP62" s="291"/>
      <x:c r="AMQ62" s="291"/>
      <x:c r="AMR62" s="291"/>
      <x:c r="AMS62" s="291"/>
      <x:c r="AMT62" s="291"/>
      <x:c r="AMU62" s="291"/>
      <x:c r="AMV62" s="291"/>
      <x:c r="AMW62" s="291"/>
      <x:c r="AMX62" s="291"/>
      <x:c r="AMY62" s="291"/>
      <x:c r="AMZ62" s="291"/>
      <x:c r="ANA62" s="291"/>
      <x:c r="ANB62" s="291"/>
      <x:c r="ANC62" s="291"/>
      <x:c r="AND62" s="291"/>
      <x:c r="ANE62" s="291"/>
      <x:c r="ANF62" s="291"/>
      <x:c r="ANG62" s="291"/>
      <x:c r="ANH62" s="291"/>
      <x:c r="ANI62" s="291"/>
      <x:c r="ANJ62" s="291"/>
      <x:c r="ANK62" s="291"/>
      <x:c r="ANL62" s="291"/>
      <x:c r="ANM62" s="291"/>
      <x:c r="ANN62" s="291"/>
      <x:c r="ANO62" s="291"/>
      <x:c r="ANP62" s="291"/>
      <x:c r="ANQ62" s="291"/>
      <x:c r="ANR62" s="291"/>
      <x:c r="ANS62" s="291"/>
      <x:c r="ANT62" s="291"/>
      <x:c r="ANU62" s="291"/>
      <x:c r="ANV62" s="291"/>
      <x:c r="ANW62" s="291"/>
      <x:c r="ANX62" s="291"/>
      <x:c r="ANY62" s="291"/>
      <x:c r="ANZ62" s="291"/>
      <x:c r="AOA62" s="291"/>
      <x:c r="AOB62" s="291"/>
      <x:c r="AOC62" s="291"/>
      <x:c r="AOD62" s="291"/>
      <x:c r="AOE62" s="291"/>
      <x:c r="AOF62" s="291"/>
      <x:c r="AOG62" s="291"/>
      <x:c r="AOH62" s="291"/>
      <x:c r="AOI62" s="291"/>
      <x:c r="AOJ62" s="291"/>
      <x:c r="AOK62" s="291"/>
      <x:c r="AOL62" s="291"/>
      <x:c r="AOM62" s="291"/>
      <x:c r="AON62" s="291"/>
      <x:c r="AOO62" s="291"/>
      <x:c r="AOP62" s="291"/>
      <x:c r="AOQ62" s="291"/>
      <x:c r="AOR62" s="291"/>
      <x:c r="AOS62" s="291"/>
      <x:c r="AOT62" s="291"/>
      <x:c r="AOU62" s="291"/>
      <x:c r="AOV62" s="291"/>
      <x:c r="AOW62" s="291"/>
      <x:c r="AOX62" s="291"/>
      <x:c r="AOY62" s="291"/>
      <x:c r="AOZ62" s="291"/>
      <x:c r="APA62" s="291"/>
      <x:c r="APB62" s="291"/>
      <x:c r="APC62" s="291"/>
      <x:c r="APD62" s="291"/>
      <x:c r="APE62" s="291"/>
      <x:c r="APF62" s="291"/>
      <x:c r="APG62" s="291"/>
      <x:c r="APH62" s="291"/>
      <x:c r="API62" s="291"/>
      <x:c r="APJ62" s="291"/>
      <x:c r="APK62" s="291"/>
      <x:c r="APL62" s="291"/>
      <x:c r="APM62" s="291"/>
      <x:c r="APN62" s="291"/>
      <x:c r="APO62" s="291"/>
      <x:c r="APP62" s="291"/>
      <x:c r="APQ62" s="291"/>
      <x:c r="APR62" s="291"/>
      <x:c r="APS62" s="291"/>
      <x:c r="APT62" s="291"/>
      <x:c r="APU62" s="291"/>
      <x:c r="APV62" s="291"/>
      <x:c r="APW62" s="291"/>
      <x:c r="APX62" s="291"/>
      <x:c r="APY62" s="291"/>
      <x:c r="APZ62" s="291"/>
      <x:c r="AQA62" s="291"/>
      <x:c r="AQB62" s="291"/>
      <x:c r="AQC62" s="291"/>
      <x:c r="AQD62" s="291"/>
      <x:c r="AQE62" s="291"/>
      <x:c r="AQF62" s="291"/>
      <x:c r="AQG62" s="291"/>
      <x:c r="AQH62" s="291"/>
      <x:c r="AQI62" s="291"/>
      <x:c r="AQJ62" s="291"/>
      <x:c r="AQK62" s="291"/>
      <x:c r="AQL62" s="291"/>
      <x:c r="AQM62" s="291"/>
      <x:c r="AQN62" s="291"/>
      <x:c r="AQO62" s="291"/>
      <x:c r="AQP62" s="291"/>
      <x:c r="AQQ62" s="291"/>
      <x:c r="AQR62" s="291"/>
      <x:c r="AQS62" s="291"/>
      <x:c r="AQT62" s="291"/>
      <x:c r="AQU62" s="291"/>
      <x:c r="AQV62" s="291"/>
      <x:c r="AQW62" s="291"/>
      <x:c r="AQX62" s="291"/>
      <x:c r="AQY62" s="291"/>
      <x:c r="AQZ62" s="291"/>
      <x:c r="ARA62" s="291"/>
      <x:c r="ARB62" s="291"/>
      <x:c r="ARC62" s="291"/>
      <x:c r="ARD62" s="291"/>
      <x:c r="ARE62" s="291"/>
      <x:c r="ARF62" s="291"/>
      <x:c r="ARG62" s="291"/>
      <x:c r="ARH62" s="291"/>
      <x:c r="ARI62" s="291"/>
      <x:c r="ARJ62" s="291"/>
      <x:c r="ARK62" s="291"/>
      <x:c r="ARL62" s="291"/>
      <x:c r="ARM62" s="291"/>
      <x:c r="ARN62" s="291"/>
      <x:c r="ARO62" s="291"/>
      <x:c r="ARP62" s="291"/>
      <x:c r="ARQ62" s="291"/>
      <x:c r="ARR62" s="291"/>
      <x:c r="ARS62" s="291"/>
      <x:c r="ART62" s="291"/>
      <x:c r="ARU62" s="291"/>
      <x:c r="ARV62" s="291"/>
      <x:c r="ARW62" s="291"/>
      <x:c r="ARX62" s="291"/>
      <x:c r="ARY62" s="291"/>
      <x:c r="ARZ62" s="291"/>
      <x:c r="ASA62" s="291"/>
      <x:c r="ASB62" s="291"/>
      <x:c r="ASC62" s="291"/>
      <x:c r="ASD62" s="291"/>
      <x:c r="ASE62" s="291"/>
      <x:c r="ASF62" s="291"/>
      <x:c r="ASG62" s="291"/>
      <x:c r="ASH62" s="291"/>
      <x:c r="ASI62" s="291"/>
      <x:c r="ASJ62" s="291"/>
      <x:c r="ASK62" s="291"/>
      <x:c r="ASL62" s="291"/>
      <x:c r="ASM62" s="291"/>
      <x:c r="ASN62" s="291"/>
      <x:c r="ASO62" s="291"/>
      <x:c r="ASP62" s="291"/>
      <x:c r="ASQ62" s="291"/>
      <x:c r="ASR62" s="291"/>
      <x:c r="ASS62" s="291"/>
      <x:c r="AST62" s="291"/>
      <x:c r="ASU62" s="291"/>
      <x:c r="ASV62" s="291"/>
      <x:c r="ASW62" s="291"/>
      <x:c r="ASX62" s="291"/>
      <x:c r="ASY62" s="291"/>
      <x:c r="ASZ62" s="291"/>
      <x:c r="ATA62" s="291"/>
      <x:c r="ATB62" s="291"/>
      <x:c r="ATC62" s="291"/>
      <x:c r="ATD62" s="291"/>
      <x:c r="ATE62" s="291"/>
      <x:c r="ATF62" s="291"/>
      <x:c r="ATG62" s="291"/>
      <x:c r="ATH62" s="291"/>
      <x:c r="ATI62" s="291"/>
      <x:c r="ATJ62" s="291"/>
      <x:c r="ATK62" s="291"/>
      <x:c r="ATL62" s="291"/>
      <x:c r="ATM62" s="291"/>
      <x:c r="ATN62" s="291"/>
      <x:c r="ATO62" s="291"/>
      <x:c r="ATP62" s="291"/>
      <x:c r="ATQ62" s="291"/>
      <x:c r="ATR62" s="291"/>
      <x:c r="ATS62" s="291"/>
      <x:c r="ATT62" s="291"/>
      <x:c r="ATU62" s="291"/>
      <x:c r="ATV62" s="291"/>
      <x:c r="ATW62" s="291"/>
      <x:c r="ATX62" s="291"/>
      <x:c r="ATY62" s="291"/>
      <x:c r="ATZ62" s="291"/>
      <x:c r="AUA62" s="291"/>
      <x:c r="AUB62" s="291"/>
      <x:c r="AUC62" s="291"/>
      <x:c r="AUD62" s="291"/>
      <x:c r="AUE62" s="291"/>
      <x:c r="AUF62" s="291"/>
      <x:c r="AUG62" s="291"/>
      <x:c r="AUH62" s="291"/>
      <x:c r="AUI62" s="291"/>
      <x:c r="AUJ62" s="291"/>
      <x:c r="AUK62" s="291"/>
      <x:c r="AUL62" s="291"/>
      <x:c r="AUM62" s="291"/>
      <x:c r="AUN62" s="291"/>
      <x:c r="AUO62" s="291"/>
      <x:c r="AUP62" s="291"/>
      <x:c r="AUQ62" s="291"/>
      <x:c r="AUR62" s="291"/>
      <x:c r="AUS62" s="291"/>
      <x:c r="AUT62" s="291"/>
      <x:c r="AUU62" s="291"/>
      <x:c r="AUV62" s="291"/>
      <x:c r="AUW62" s="291"/>
      <x:c r="AUX62" s="291"/>
      <x:c r="AUY62" s="291"/>
      <x:c r="AUZ62" s="291"/>
      <x:c r="AVA62" s="291"/>
      <x:c r="AVB62" s="291"/>
      <x:c r="AVC62" s="291"/>
      <x:c r="AVD62" s="291"/>
      <x:c r="AVE62" s="291"/>
      <x:c r="AVF62" s="291"/>
      <x:c r="AVG62" s="291"/>
      <x:c r="AVH62" s="291"/>
      <x:c r="AVI62" s="291"/>
      <x:c r="AVJ62" s="291"/>
      <x:c r="AVK62" s="291"/>
      <x:c r="AVL62" s="291"/>
      <x:c r="AVM62" s="291"/>
      <x:c r="AVN62" s="291"/>
      <x:c r="AVO62" s="291"/>
      <x:c r="AVP62" s="291"/>
      <x:c r="AVQ62" s="291"/>
      <x:c r="AVR62" s="291"/>
      <x:c r="AVS62" s="291"/>
      <x:c r="AVT62" s="291"/>
      <x:c r="AVU62" s="291"/>
      <x:c r="AVV62" s="291"/>
      <x:c r="AVW62" s="291"/>
      <x:c r="AVX62" s="291"/>
      <x:c r="AVY62" s="291"/>
      <x:c r="AVZ62" s="291"/>
      <x:c r="AWA62" s="291"/>
      <x:c r="AWB62" s="291"/>
      <x:c r="AWC62" s="291"/>
      <x:c r="AWD62" s="291"/>
      <x:c r="AWE62" s="291"/>
      <x:c r="AWF62" s="291"/>
      <x:c r="AWG62" s="291"/>
      <x:c r="AWH62" s="291"/>
      <x:c r="AWI62" s="291"/>
      <x:c r="AWJ62" s="291"/>
      <x:c r="AWK62" s="291"/>
      <x:c r="AWL62" s="291"/>
      <x:c r="AWM62" s="291"/>
      <x:c r="AWN62" s="291"/>
      <x:c r="AWO62" s="291"/>
      <x:c r="AWP62" s="291"/>
      <x:c r="AWQ62" s="291"/>
      <x:c r="AWR62" s="291"/>
      <x:c r="AWS62" s="291"/>
      <x:c r="AWT62" s="291"/>
      <x:c r="AWU62" s="291"/>
      <x:c r="AWV62" s="291"/>
      <x:c r="AWW62" s="291"/>
      <x:c r="AWX62" s="291"/>
      <x:c r="AWY62" s="291"/>
      <x:c r="AWZ62" s="291"/>
      <x:c r="AXA62" s="291"/>
      <x:c r="AXB62" s="291"/>
      <x:c r="AXC62" s="291"/>
      <x:c r="AXD62" s="291"/>
      <x:c r="AXE62" s="291"/>
      <x:c r="AXF62" s="291"/>
      <x:c r="AXG62" s="291"/>
      <x:c r="AXH62" s="291"/>
      <x:c r="AXI62" s="291"/>
      <x:c r="AXJ62" s="291"/>
      <x:c r="AXK62" s="291"/>
      <x:c r="AXL62" s="291"/>
      <x:c r="AXM62" s="291"/>
      <x:c r="AXN62" s="291"/>
      <x:c r="AXO62" s="291"/>
      <x:c r="AXP62" s="291"/>
      <x:c r="AXQ62" s="291"/>
      <x:c r="AXR62" s="291"/>
      <x:c r="AXS62" s="291"/>
      <x:c r="AXT62" s="291"/>
      <x:c r="AXU62" s="291"/>
      <x:c r="AXV62" s="291"/>
      <x:c r="AXW62" s="291"/>
      <x:c r="AXX62" s="291"/>
      <x:c r="AXY62" s="291"/>
      <x:c r="AXZ62" s="291"/>
      <x:c r="AYA62" s="291"/>
      <x:c r="AYB62" s="291"/>
      <x:c r="AYC62" s="291"/>
      <x:c r="AYD62" s="291"/>
      <x:c r="AYE62" s="291"/>
      <x:c r="AYF62" s="291"/>
      <x:c r="AYG62" s="291"/>
      <x:c r="AYH62" s="291"/>
      <x:c r="AYI62" s="291"/>
      <x:c r="AYJ62" s="291"/>
      <x:c r="AYK62" s="291"/>
      <x:c r="AYL62" s="291"/>
      <x:c r="AYM62" s="291"/>
      <x:c r="AYN62" s="291"/>
      <x:c r="AYO62" s="291"/>
      <x:c r="AYP62" s="291"/>
      <x:c r="AYQ62" s="291"/>
      <x:c r="AYR62" s="291"/>
      <x:c r="AYS62" s="291"/>
      <x:c r="AYT62" s="291"/>
      <x:c r="AYU62" s="291"/>
      <x:c r="AYV62" s="291"/>
      <x:c r="AYW62" s="291"/>
      <x:c r="AYX62" s="291"/>
      <x:c r="AYY62" s="291"/>
      <x:c r="AYZ62" s="291"/>
      <x:c r="AZA62" s="291"/>
      <x:c r="AZB62" s="291"/>
      <x:c r="AZC62" s="291"/>
      <x:c r="AZD62" s="291"/>
      <x:c r="AZE62" s="291"/>
      <x:c r="AZF62" s="291"/>
      <x:c r="AZG62" s="291"/>
      <x:c r="AZH62" s="291"/>
      <x:c r="AZI62" s="291"/>
      <x:c r="AZJ62" s="291"/>
      <x:c r="AZK62" s="291"/>
      <x:c r="AZL62" s="291"/>
      <x:c r="AZM62" s="291"/>
      <x:c r="AZN62" s="291"/>
      <x:c r="AZO62" s="291"/>
      <x:c r="AZP62" s="291"/>
      <x:c r="AZQ62" s="291"/>
      <x:c r="AZR62" s="291"/>
      <x:c r="AZS62" s="291"/>
      <x:c r="AZT62" s="291"/>
      <x:c r="AZU62" s="291"/>
      <x:c r="AZV62" s="291"/>
      <x:c r="AZW62" s="291"/>
      <x:c r="AZX62" s="291"/>
      <x:c r="AZY62" s="291"/>
      <x:c r="AZZ62" s="291"/>
      <x:c r="BAA62" s="291"/>
      <x:c r="BAB62" s="291"/>
      <x:c r="BAC62" s="291"/>
      <x:c r="BAD62" s="291"/>
      <x:c r="BAE62" s="291"/>
      <x:c r="BAF62" s="291"/>
      <x:c r="BAG62" s="291"/>
      <x:c r="BAH62" s="291"/>
      <x:c r="BAI62" s="291"/>
      <x:c r="BAJ62" s="291"/>
      <x:c r="BAK62" s="291"/>
      <x:c r="BAL62" s="291"/>
      <x:c r="BAM62" s="291"/>
      <x:c r="BAN62" s="291"/>
      <x:c r="BAO62" s="291"/>
      <x:c r="BAP62" s="291"/>
      <x:c r="BAQ62" s="291"/>
      <x:c r="BAR62" s="291"/>
      <x:c r="BAS62" s="291"/>
      <x:c r="BAT62" s="291"/>
      <x:c r="BAU62" s="291"/>
      <x:c r="BAV62" s="291"/>
      <x:c r="BAW62" s="291"/>
      <x:c r="BAX62" s="291"/>
      <x:c r="BAY62" s="291"/>
      <x:c r="BAZ62" s="291"/>
      <x:c r="BBA62" s="291"/>
      <x:c r="BBB62" s="291"/>
      <x:c r="BBC62" s="291"/>
      <x:c r="BBD62" s="291"/>
      <x:c r="BBE62" s="291"/>
      <x:c r="BBF62" s="291"/>
      <x:c r="BBG62" s="291"/>
      <x:c r="BBH62" s="291"/>
      <x:c r="BBI62" s="291"/>
      <x:c r="BBJ62" s="291"/>
      <x:c r="BBK62" s="291"/>
      <x:c r="BBL62" s="291"/>
      <x:c r="BBM62" s="291"/>
      <x:c r="BBN62" s="291"/>
      <x:c r="BBO62" s="291"/>
      <x:c r="BBP62" s="291"/>
      <x:c r="BBQ62" s="291"/>
      <x:c r="BBR62" s="291"/>
      <x:c r="BBS62" s="291"/>
      <x:c r="BBT62" s="291"/>
      <x:c r="BBU62" s="291"/>
      <x:c r="BBV62" s="291"/>
      <x:c r="BBW62" s="291"/>
      <x:c r="BBX62" s="291"/>
      <x:c r="BBY62" s="291"/>
      <x:c r="BBZ62" s="291"/>
      <x:c r="BCA62" s="291"/>
      <x:c r="BCB62" s="291"/>
      <x:c r="BCC62" s="291"/>
      <x:c r="BCD62" s="291"/>
      <x:c r="BCE62" s="291"/>
      <x:c r="BCF62" s="291"/>
      <x:c r="BCG62" s="291"/>
      <x:c r="BCH62" s="291"/>
      <x:c r="BCI62" s="291"/>
      <x:c r="BCJ62" s="291"/>
      <x:c r="BCK62" s="291"/>
      <x:c r="BCL62" s="291"/>
      <x:c r="BCM62" s="291"/>
      <x:c r="BCN62" s="291"/>
      <x:c r="BCO62" s="291"/>
      <x:c r="BCP62" s="291"/>
      <x:c r="BCQ62" s="291"/>
      <x:c r="BCR62" s="291"/>
      <x:c r="BCS62" s="291"/>
      <x:c r="BCT62" s="291"/>
      <x:c r="BCU62" s="291"/>
      <x:c r="BCV62" s="291"/>
      <x:c r="BCW62" s="291"/>
      <x:c r="BCX62" s="291"/>
      <x:c r="BCY62" s="291"/>
      <x:c r="BCZ62" s="291"/>
      <x:c r="BDA62" s="291"/>
      <x:c r="BDB62" s="291"/>
      <x:c r="BDC62" s="291"/>
      <x:c r="BDD62" s="291"/>
      <x:c r="BDE62" s="291"/>
      <x:c r="BDF62" s="291"/>
      <x:c r="BDG62" s="291"/>
      <x:c r="BDH62" s="291"/>
      <x:c r="BDI62" s="291"/>
      <x:c r="BDJ62" s="291"/>
      <x:c r="BDK62" s="291"/>
      <x:c r="BDL62" s="291"/>
      <x:c r="BDM62" s="291"/>
      <x:c r="BDN62" s="291"/>
      <x:c r="BDO62" s="291"/>
      <x:c r="BDP62" s="291"/>
      <x:c r="BDQ62" s="291"/>
      <x:c r="BDR62" s="291"/>
      <x:c r="BDS62" s="291"/>
      <x:c r="BDT62" s="291"/>
      <x:c r="BDU62" s="291"/>
      <x:c r="BDV62" s="291"/>
      <x:c r="BDW62" s="291"/>
      <x:c r="BDX62" s="291"/>
      <x:c r="BDY62" s="291"/>
      <x:c r="BDZ62" s="291"/>
      <x:c r="BEA62" s="291"/>
      <x:c r="BEB62" s="291"/>
      <x:c r="BEC62" s="291"/>
      <x:c r="BED62" s="291"/>
      <x:c r="BEE62" s="291"/>
      <x:c r="BEF62" s="291"/>
      <x:c r="BEG62" s="291"/>
      <x:c r="BEH62" s="291"/>
      <x:c r="BEI62" s="291"/>
      <x:c r="BEJ62" s="291"/>
      <x:c r="BEK62" s="291"/>
      <x:c r="BEL62" s="291"/>
      <x:c r="BEM62" s="291"/>
      <x:c r="BEN62" s="291"/>
      <x:c r="BEO62" s="291"/>
      <x:c r="BEP62" s="291"/>
      <x:c r="BEQ62" s="291"/>
      <x:c r="BER62" s="291"/>
      <x:c r="BES62" s="291"/>
      <x:c r="BET62" s="291"/>
      <x:c r="BEU62" s="291"/>
      <x:c r="BEV62" s="291"/>
      <x:c r="BEW62" s="291"/>
      <x:c r="BEX62" s="291"/>
      <x:c r="BEY62" s="291"/>
      <x:c r="BEZ62" s="291"/>
      <x:c r="BFA62" s="291"/>
      <x:c r="BFB62" s="291"/>
      <x:c r="BFC62" s="291"/>
      <x:c r="BFD62" s="291"/>
      <x:c r="BFE62" s="291"/>
      <x:c r="BFF62" s="291"/>
      <x:c r="BFG62" s="291"/>
      <x:c r="BFH62" s="291"/>
      <x:c r="BFI62" s="291"/>
      <x:c r="BFJ62" s="291"/>
      <x:c r="BFK62" s="291"/>
      <x:c r="BFL62" s="291"/>
      <x:c r="BFM62" s="291"/>
      <x:c r="BFN62" s="291"/>
      <x:c r="BFO62" s="291"/>
      <x:c r="BFP62" s="291"/>
      <x:c r="BFQ62" s="291"/>
      <x:c r="BFR62" s="291"/>
      <x:c r="BFS62" s="291"/>
      <x:c r="BFT62" s="291"/>
      <x:c r="BFU62" s="291"/>
      <x:c r="BFV62" s="291"/>
      <x:c r="BFW62" s="291"/>
      <x:c r="BFX62" s="291"/>
      <x:c r="BFY62" s="291"/>
      <x:c r="BFZ62" s="291"/>
      <x:c r="BGA62" s="291"/>
      <x:c r="BGB62" s="291"/>
      <x:c r="BGC62" s="291"/>
      <x:c r="BGD62" s="291"/>
      <x:c r="BGE62" s="291"/>
      <x:c r="BGF62" s="291"/>
      <x:c r="BGG62" s="291"/>
      <x:c r="BGH62" s="291"/>
      <x:c r="BGI62" s="291"/>
      <x:c r="BGJ62" s="291"/>
      <x:c r="BGK62" s="291"/>
      <x:c r="BGL62" s="291"/>
      <x:c r="BGM62" s="291"/>
      <x:c r="BGN62" s="291"/>
      <x:c r="BGO62" s="291"/>
      <x:c r="BGP62" s="291"/>
      <x:c r="BGQ62" s="291"/>
      <x:c r="BGR62" s="291"/>
      <x:c r="BGS62" s="291"/>
      <x:c r="BGT62" s="291"/>
      <x:c r="BGU62" s="291"/>
      <x:c r="BGV62" s="291"/>
      <x:c r="BGW62" s="291"/>
      <x:c r="BGX62" s="291"/>
      <x:c r="BGY62" s="291"/>
      <x:c r="BGZ62" s="291"/>
      <x:c r="BHA62" s="291"/>
      <x:c r="BHB62" s="291"/>
      <x:c r="BHC62" s="291"/>
      <x:c r="BHD62" s="291"/>
      <x:c r="BHE62" s="291"/>
      <x:c r="BHF62" s="291"/>
      <x:c r="BHG62" s="291"/>
      <x:c r="BHH62" s="291"/>
      <x:c r="BHI62" s="291"/>
      <x:c r="BHJ62" s="291"/>
      <x:c r="BHK62" s="291"/>
      <x:c r="BHL62" s="291"/>
      <x:c r="BHM62" s="291"/>
      <x:c r="BHN62" s="291"/>
      <x:c r="BHO62" s="291"/>
      <x:c r="BHP62" s="291"/>
      <x:c r="BHQ62" s="291"/>
      <x:c r="BHR62" s="291"/>
      <x:c r="BHS62" s="291"/>
      <x:c r="BHT62" s="291"/>
      <x:c r="BHU62" s="291"/>
      <x:c r="BHV62" s="291"/>
      <x:c r="BHW62" s="291"/>
      <x:c r="BHX62" s="291"/>
      <x:c r="BHY62" s="291"/>
      <x:c r="BHZ62" s="291"/>
      <x:c r="BIA62" s="291"/>
      <x:c r="BIB62" s="291"/>
      <x:c r="BIC62" s="291"/>
      <x:c r="BID62" s="291"/>
      <x:c r="BIE62" s="291"/>
      <x:c r="BIF62" s="291"/>
      <x:c r="BIG62" s="291"/>
      <x:c r="BIH62" s="291"/>
      <x:c r="BII62" s="291"/>
      <x:c r="BIJ62" s="291"/>
      <x:c r="BIK62" s="291"/>
      <x:c r="BIL62" s="291"/>
      <x:c r="BIM62" s="291"/>
      <x:c r="BIN62" s="291"/>
      <x:c r="BIO62" s="291"/>
      <x:c r="BIP62" s="291"/>
      <x:c r="BIQ62" s="291"/>
      <x:c r="BIR62" s="291"/>
      <x:c r="BIS62" s="291"/>
      <x:c r="BIT62" s="291"/>
      <x:c r="BIU62" s="291"/>
      <x:c r="BIV62" s="291"/>
      <x:c r="BIW62" s="291"/>
      <x:c r="BIX62" s="291"/>
      <x:c r="BIY62" s="291"/>
      <x:c r="BIZ62" s="291"/>
      <x:c r="BJA62" s="291"/>
      <x:c r="BJB62" s="291"/>
      <x:c r="BJC62" s="291"/>
      <x:c r="BJD62" s="291"/>
      <x:c r="BJE62" s="291"/>
      <x:c r="BJF62" s="291"/>
      <x:c r="BJG62" s="291"/>
      <x:c r="BJH62" s="291"/>
      <x:c r="BJI62" s="291"/>
      <x:c r="BJJ62" s="291"/>
      <x:c r="BJK62" s="291"/>
      <x:c r="BJL62" s="291"/>
      <x:c r="BJM62" s="291"/>
      <x:c r="BJN62" s="291"/>
      <x:c r="BJO62" s="291"/>
      <x:c r="BJP62" s="291"/>
      <x:c r="BJQ62" s="291"/>
      <x:c r="BJR62" s="291"/>
      <x:c r="BJS62" s="291"/>
      <x:c r="BJT62" s="291"/>
      <x:c r="BJU62" s="291"/>
      <x:c r="BJV62" s="291"/>
      <x:c r="BJW62" s="291"/>
      <x:c r="BJX62" s="291"/>
      <x:c r="BJY62" s="291"/>
      <x:c r="BJZ62" s="291"/>
      <x:c r="BKA62" s="291"/>
      <x:c r="BKB62" s="291"/>
      <x:c r="BKC62" s="291"/>
      <x:c r="BKD62" s="291"/>
      <x:c r="BKE62" s="291"/>
      <x:c r="BKF62" s="291"/>
      <x:c r="BKG62" s="291"/>
      <x:c r="BKH62" s="291"/>
      <x:c r="BKI62" s="291"/>
      <x:c r="BKJ62" s="291"/>
      <x:c r="BKK62" s="291"/>
      <x:c r="BKL62" s="291"/>
      <x:c r="BKM62" s="291"/>
      <x:c r="BKN62" s="291"/>
      <x:c r="BKO62" s="291"/>
      <x:c r="BKP62" s="291"/>
      <x:c r="BKQ62" s="291"/>
      <x:c r="BKR62" s="291"/>
      <x:c r="BKS62" s="291"/>
      <x:c r="BKT62" s="291"/>
      <x:c r="BKU62" s="291"/>
      <x:c r="BKV62" s="291"/>
      <x:c r="BKW62" s="291"/>
      <x:c r="BKX62" s="291"/>
      <x:c r="BKY62" s="291"/>
      <x:c r="BKZ62" s="291"/>
      <x:c r="BLA62" s="291"/>
      <x:c r="BLB62" s="291"/>
      <x:c r="BLC62" s="291"/>
      <x:c r="BLD62" s="291"/>
      <x:c r="BLE62" s="291"/>
      <x:c r="BLF62" s="291"/>
      <x:c r="BLG62" s="291"/>
      <x:c r="BLH62" s="291"/>
      <x:c r="BLI62" s="291"/>
      <x:c r="BLJ62" s="291"/>
      <x:c r="BLK62" s="291"/>
      <x:c r="BLL62" s="291"/>
      <x:c r="BLM62" s="291"/>
      <x:c r="BLN62" s="291"/>
      <x:c r="BLO62" s="291"/>
      <x:c r="BLP62" s="291"/>
      <x:c r="BLQ62" s="291"/>
      <x:c r="BLR62" s="291"/>
      <x:c r="BLS62" s="291"/>
      <x:c r="BLT62" s="291"/>
      <x:c r="BLU62" s="291"/>
      <x:c r="BLV62" s="291"/>
      <x:c r="BLW62" s="291"/>
      <x:c r="BLX62" s="291"/>
      <x:c r="BLY62" s="291"/>
      <x:c r="BLZ62" s="291"/>
      <x:c r="BMA62" s="291"/>
      <x:c r="BMB62" s="291"/>
      <x:c r="BMC62" s="291"/>
      <x:c r="BMD62" s="291"/>
      <x:c r="BME62" s="291"/>
      <x:c r="BMF62" s="291"/>
      <x:c r="BMG62" s="291"/>
      <x:c r="BMH62" s="291"/>
      <x:c r="BMI62" s="291"/>
      <x:c r="BMJ62" s="291"/>
      <x:c r="BMK62" s="291"/>
      <x:c r="BML62" s="291"/>
      <x:c r="BMM62" s="291"/>
      <x:c r="BMN62" s="291"/>
      <x:c r="BMO62" s="291"/>
      <x:c r="BMP62" s="291"/>
      <x:c r="BMQ62" s="291"/>
      <x:c r="BMR62" s="291"/>
      <x:c r="BMS62" s="291"/>
      <x:c r="BMT62" s="291"/>
      <x:c r="BMU62" s="291"/>
      <x:c r="BMV62" s="291"/>
      <x:c r="BMW62" s="291"/>
      <x:c r="BMX62" s="291"/>
      <x:c r="BMY62" s="291"/>
      <x:c r="BMZ62" s="291"/>
      <x:c r="BNA62" s="291"/>
      <x:c r="BNB62" s="291"/>
      <x:c r="BNC62" s="291"/>
      <x:c r="BND62" s="291"/>
      <x:c r="BNE62" s="291"/>
      <x:c r="BNF62" s="291"/>
      <x:c r="BNG62" s="291"/>
      <x:c r="BNH62" s="291"/>
      <x:c r="BNI62" s="291"/>
      <x:c r="BNJ62" s="291"/>
      <x:c r="BNK62" s="291"/>
      <x:c r="BNL62" s="291"/>
      <x:c r="BNM62" s="291"/>
      <x:c r="BNN62" s="291"/>
      <x:c r="BNO62" s="291"/>
      <x:c r="BNP62" s="291"/>
      <x:c r="BNQ62" s="291"/>
      <x:c r="BNR62" s="291"/>
      <x:c r="BNS62" s="291"/>
      <x:c r="BNT62" s="291"/>
      <x:c r="BNU62" s="291"/>
      <x:c r="BNV62" s="291"/>
      <x:c r="BNW62" s="291"/>
      <x:c r="BNX62" s="291"/>
      <x:c r="BNY62" s="291"/>
      <x:c r="BNZ62" s="291"/>
      <x:c r="BOA62" s="291"/>
      <x:c r="BOB62" s="291"/>
      <x:c r="BOC62" s="291"/>
      <x:c r="BOD62" s="291"/>
      <x:c r="BOE62" s="291"/>
      <x:c r="BOF62" s="291"/>
      <x:c r="BOG62" s="291"/>
      <x:c r="BOH62" s="291"/>
      <x:c r="BOI62" s="291"/>
      <x:c r="BOJ62" s="291"/>
      <x:c r="BOK62" s="291"/>
      <x:c r="BOL62" s="291"/>
      <x:c r="BOM62" s="291"/>
      <x:c r="BON62" s="291"/>
      <x:c r="BOO62" s="291"/>
      <x:c r="BOP62" s="291"/>
      <x:c r="BOQ62" s="291"/>
      <x:c r="BOR62" s="291"/>
      <x:c r="BOS62" s="291"/>
      <x:c r="BOT62" s="291"/>
      <x:c r="BOU62" s="291"/>
      <x:c r="BOV62" s="291"/>
      <x:c r="BOW62" s="291"/>
      <x:c r="BOX62" s="291"/>
      <x:c r="BOY62" s="291"/>
      <x:c r="BOZ62" s="291"/>
      <x:c r="BPA62" s="291"/>
      <x:c r="BPB62" s="291"/>
      <x:c r="BPC62" s="291"/>
      <x:c r="BPD62" s="291"/>
      <x:c r="BPE62" s="291"/>
      <x:c r="BPF62" s="291"/>
      <x:c r="BPG62" s="291"/>
      <x:c r="BPH62" s="291"/>
      <x:c r="BPI62" s="291"/>
      <x:c r="BPJ62" s="291"/>
      <x:c r="BPK62" s="291"/>
      <x:c r="BPL62" s="291"/>
      <x:c r="BPM62" s="291"/>
      <x:c r="BPN62" s="291"/>
      <x:c r="BPO62" s="291"/>
      <x:c r="BPP62" s="291"/>
      <x:c r="BPQ62" s="291"/>
      <x:c r="BPR62" s="291"/>
      <x:c r="BPS62" s="291"/>
      <x:c r="BPT62" s="291"/>
      <x:c r="BPU62" s="291"/>
      <x:c r="BPV62" s="291"/>
      <x:c r="BPW62" s="291"/>
      <x:c r="BPX62" s="291"/>
      <x:c r="BPY62" s="291"/>
      <x:c r="BPZ62" s="291"/>
      <x:c r="BQA62" s="291"/>
      <x:c r="BQB62" s="291"/>
      <x:c r="BQC62" s="291"/>
      <x:c r="BQD62" s="291"/>
      <x:c r="BQE62" s="291"/>
      <x:c r="BQF62" s="291"/>
      <x:c r="BQG62" s="291"/>
      <x:c r="BQH62" s="291"/>
      <x:c r="BQI62" s="291"/>
      <x:c r="BQJ62" s="291"/>
      <x:c r="BQK62" s="291"/>
      <x:c r="BQL62" s="291"/>
      <x:c r="BQM62" s="291"/>
      <x:c r="BQN62" s="291"/>
      <x:c r="BQO62" s="291"/>
      <x:c r="BQP62" s="291"/>
      <x:c r="BQQ62" s="291"/>
      <x:c r="BQR62" s="291"/>
      <x:c r="BQS62" s="291"/>
      <x:c r="BQT62" s="291"/>
      <x:c r="BQU62" s="291"/>
      <x:c r="BQV62" s="291"/>
      <x:c r="BQW62" s="291"/>
      <x:c r="BQX62" s="291"/>
      <x:c r="BQY62" s="291"/>
      <x:c r="BQZ62" s="291"/>
      <x:c r="BRA62" s="291"/>
      <x:c r="BRB62" s="291"/>
      <x:c r="BRC62" s="291"/>
      <x:c r="BRD62" s="291"/>
      <x:c r="BRE62" s="291"/>
      <x:c r="BRF62" s="291"/>
      <x:c r="BRG62" s="291"/>
      <x:c r="BRH62" s="291"/>
      <x:c r="BRI62" s="291"/>
      <x:c r="BRJ62" s="291"/>
      <x:c r="BRK62" s="291"/>
      <x:c r="BRL62" s="291"/>
      <x:c r="BRM62" s="291"/>
      <x:c r="BRN62" s="291"/>
      <x:c r="BRO62" s="291"/>
      <x:c r="BRP62" s="291"/>
      <x:c r="BRQ62" s="291"/>
      <x:c r="BRR62" s="291"/>
      <x:c r="BRS62" s="291"/>
      <x:c r="BRT62" s="291"/>
      <x:c r="BRU62" s="291"/>
      <x:c r="BRV62" s="291"/>
      <x:c r="BRW62" s="291"/>
      <x:c r="BRX62" s="291"/>
      <x:c r="BRY62" s="291"/>
      <x:c r="BRZ62" s="291"/>
      <x:c r="BSA62" s="291"/>
      <x:c r="BSB62" s="291"/>
      <x:c r="BSC62" s="291"/>
      <x:c r="BSD62" s="291"/>
      <x:c r="BSE62" s="291"/>
      <x:c r="BSF62" s="291"/>
      <x:c r="BSG62" s="291"/>
      <x:c r="BSH62" s="291"/>
      <x:c r="BSI62" s="291"/>
      <x:c r="BSJ62" s="291"/>
      <x:c r="BSK62" s="291"/>
      <x:c r="BSL62" s="291"/>
      <x:c r="BSM62" s="291"/>
      <x:c r="BSN62" s="291"/>
      <x:c r="BSO62" s="291"/>
      <x:c r="BSP62" s="291"/>
      <x:c r="BSQ62" s="291"/>
      <x:c r="BSR62" s="291"/>
      <x:c r="BSS62" s="291"/>
      <x:c r="BST62" s="291"/>
      <x:c r="BSU62" s="291"/>
      <x:c r="BSV62" s="291"/>
      <x:c r="BSW62" s="291"/>
      <x:c r="BSX62" s="291"/>
      <x:c r="BSY62" s="291"/>
      <x:c r="BSZ62" s="291"/>
      <x:c r="BTA62" s="291"/>
      <x:c r="BTB62" s="291"/>
      <x:c r="BTC62" s="291"/>
      <x:c r="BTD62" s="291"/>
      <x:c r="BTE62" s="291"/>
      <x:c r="BTF62" s="291"/>
      <x:c r="BTG62" s="291"/>
      <x:c r="BTH62" s="291"/>
      <x:c r="BTI62" s="291"/>
      <x:c r="BTJ62" s="291"/>
      <x:c r="BTK62" s="291"/>
      <x:c r="BTL62" s="291"/>
      <x:c r="BTM62" s="291"/>
      <x:c r="BTN62" s="291"/>
      <x:c r="BTO62" s="291"/>
      <x:c r="BTP62" s="291"/>
      <x:c r="BTQ62" s="291"/>
      <x:c r="BTR62" s="291"/>
      <x:c r="BTS62" s="291"/>
      <x:c r="BTT62" s="291"/>
      <x:c r="BTU62" s="291"/>
      <x:c r="BTV62" s="291"/>
      <x:c r="BTW62" s="291"/>
      <x:c r="BTX62" s="291"/>
      <x:c r="BTY62" s="291"/>
      <x:c r="BTZ62" s="291"/>
      <x:c r="BUA62" s="291"/>
      <x:c r="BUB62" s="291"/>
      <x:c r="BUC62" s="291"/>
      <x:c r="BUD62" s="291"/>
      <x:c r="BUE62" s="291"/>
      <x:c r="BUF62" s="291"/>
      <x:c r="BUG62" s="291"/>
      <x:c r="BUH62" s="291"/>
      <x:c r="BUI62" s="291"/>
      <x:c r="BUJ62" s="291"/>
      <x:c r="BUK62" s="291"/>
      <x:c r="BUL62" s="291"/>
      <x:c r="BUM62" s="291"/>
      <x:c r="BUN62" s="291"/>
      <x:c r="BUO62" s="291"/>
      <x:c r="BUP62" s="291"/>
      <x:c r="BUQ62" s="291"/>
      <x:c r="BUR62" s="291"/>
      <x:c r="BUS62" s="291"/>
      <x:c r="BUT62" s="291"/>
      <x:c r="BUU62" s="291"/>
      <x:c r="BUV62" s="291"/>
      <x:c r="BUW62" s="291"/>
      <x:c r="BUX62" s="291"/>
      <x:c r="BUY62" s="291"/>
      <x:c r="BUZ62" s="291"/>
      <x:c r="BVA62" s="291"/>
      <x:c r="BVB62" s="291"/>
      <x:c r="BVC62" s="291"/>
      <x:c r="BVD62" s="291"/>
      <x:c r="BVE62" s="291"/>
      <x:c r="BVF62" s="291"/>
      <x:c r="BVG62" s="291"/>
      <x:c r="BVH62" s="291"/>
      <x:c r="BVI62" s="291"/>
      <x:c r="BVJ62" s="291"/>
      <x:c r="BVK62" s="291"/>
      <x:c r="BVL62" s="291"/>
      <x:c r="BVM62" s="291"/>
      <x:c r="BVN62" s="291"/>
      <x:c r="BVO62" s="291"/>
      <x:c r="BVP62" s="291"/>
      <x:c r="BVQ62" s="291"/>
      <x:c r="BVR62" s="291"/>
      <x:c r="BVS62" s="291"/>
      <x:c r="BVT62" s="291"/>
      <x:c r="BVU62" s="291"/>
      <x:c r="BVV62" s="291"/>
      <x:c r="BVW62" s="291"/>
      <x:c r="BVX62" s="291"/>
      <x:c r="BVY62" s="291"/>
      <x:c r="BVZ62" s="291"/>
      <x:c r="BWA62" s="291"/>
      <x:c r="BWB62" s="291"/>
      <x:c r="BWC62" s="291"/>
      <x:c r="BWD62" s="291"/>
      <x:c r="BWE62" s="291"/>
      <x:c r="BWF62" s="291"/>
      <x:c r="BWG62" s="291"/>
      <x:c r="BWH62" s="291"/>
      <x:c r="BWI62" s="291"/>
      <x:c r="BWJ62" s="291"/>
      <x:c r="BWK62" s="291"/>
      <x:c r="BWL62" s="291"/>
      <x:c r="BWM62" s="291"/>
      <x:c r="BWN62" s="291"/>
      <x:c r="BWO62" s="291"/>
      <x:c r="BWP62" s="291"/>
      <x:c r="BWQ62" s="291"/>
      <x:c r="BWR62" s="291"/>
      <x:c r="BWS62" s="291"/>
      <x:c r="BWT62" s="291"/>
      <x:c r="BWU62" s="291"/>
      <x:c r="BWV62" s="291"/>
      <x:c r="BWW62" s="291"/>
      <x:c r="BWX62" s="291"/>
      <x:c r="BWY62" s="291"/>
      <x:c r="BWZ62" s="291"/>
      <x:c r="BXA62" s="291"/>
      <x:c r="BXB62" s="291"/>
      <x:c r="BXC62" s="291"/>
      <x:c r="BXD62" s="291"/>
      <x:c r="BXE62" s="291"/>
      <x:c r="BXF62" s="291"/>
      <x:c r="BXG62" s="291"/>
      <x:c r="BXH62" s="291"/>
      <x:c r="BXI62" s="291"/>
      <x:c r="BXJ62" s="291"/>
      <x:c r="BXK62" s="291"/>
      <x:c r="BXL62" s="291"/>
      <x:c r="BXM62" s="291"/>
      <x:c r="BXN62" s="291"/>
      <x:c r="BXO62" s="291"/>
      <x:c r="BXP62" s="291"/>
      <x:c r="BXQ62" s="291"/>
      <x:c r="BXR62" s="291"/>
      <x:c r="BXS62" s="291"/>
      <x:c r="BXT62" s="291"/>
      <x:c r="BXU62" s="291"/>
      <x:c r="BXV62" s="291"/>
      <x:c r="BXW62" s="291"/>
      <x:c r="BXX62" s="291"/>
      <x:c r="BXY62" s="291"/>
      <x:c r="BXZ62" s="291"/>
      <x:c r="BYA62" s="291"/>
      <x:c r="BYB62" s="291"/>
      <x:c r="BYC62" s="291"/>
      <x:c r="BYD62" s="291"/>
      <x:c r="BYE62" s="291"/>
      <x:c r="BYF62" s="291"/>
      <x:c r="BYG62" s="291"/>
      <x:c r="BYH62" s="291"/>
      <x:c r="BYI62" s="291"/>
      <x:c r="BYJ62" s="291"/>
      <x:c r="BYK62" s="291"/>
      <x:c r="BYL62" s="291"/>
      <x:c r="BYM62" s="291"/>
      <x:c r="BYN62" s="291"/>
      <x:c r="BYO62" s="291"/>
      <x:c r="BYP62" s="291"/>
      <x:c r="BYQ62" s="291"/>
      <x:c r="BYR62" s="291"/>
      <x:c r="BYS62" s="291"/>
      <x:c r="BYT62" s="291"/>
      <x:c r="BYU62" s="291"/>
      <x:c r="BYV62" s="291"/>
      <x:c r="BYW62" s="291"/>
      <x:c r="BYX62" s="291"/>
      <x:c r="BYY62" s="291"/>
      <x:c r="BYZ62" s="291"/>
      <x:c r="BZA62" s="291"/>
      <x:c r="BZB62" s="291"/>
      <x:c r="BZC62" s="291"/>
      <x:c r="BZD62" s="291"/>
      <x:c r="BZE62" s="291"/>
      <x:c r="BZF62" s="291"/>
      <x:c r="BZG62" s="291"/>
      <x:c r="BZH62" s="291"/>
      <x:c r="BZI62" s="291"/>
      <x:c r="BZJ62" s="291"/>
      <x:c r="BZK62" s="291"/>
      <x:c r="BZL62" s="291"/>
      <x:c r="BZM62" s="291"/>
      <x:c r="BZN62" s="291"/>
      <x:c r="BZO62" s="291"/>
      <x:c r="BZP62" s="291"/>
      <x:c r="BZQ62" s="291"/>
      <x:c r="BZR62" s="291"/>
      <x:c r="BZS62" s="291"/>
      <x:c r="BZT62" s="291"/>
      <x:c r="BZU62" s="291"/>
      <x:c r="BZV62" s="291"/>
      <x:c r="BZW62" s="291"/>
      <x:c r="BZX62" s="291"/>
      <x:c r="BZY62" s="291"/>
      <x:c r="BZZ62" s="291"/>
      <x:c r="CAA62" s="291"/>
      <x:c r="CAB62" s="291"/>
      <x:c r="CAC62" s="291"/>
      <x:c r="CAD62" s="291"/>
      <x:c r="CAE62" s="291"/>
      <x:c r="CAF62" s="291"/>
      <x:c r="CAG62" s="291"/>
      <x:c r="CAH62" s="291"/>
      <x:c r="CAI62" s="291"/>
      <x:c r="CAJ62" s="291"/>
      <x:c r="CAK62" s="291"/>
      <x:c r="CAL62" s="291"/>
      <x:c r="CAM62" s="291"/>
      <x:c r="CAN62" s="291"/>
      <x:c r="CAO62" s="291"/>
      <x:c r="CAP62" s="291"/>
      <x:c r="CAQ62" s="291"/>
      <x:c r="CAR62" s="291"/>
      <x:c r="CAS62" s="291"/>
      <x:c r="CAT62" s="291"/>
      <x:c r="CAU62" s="291"/>
      <x:c r="CAV62" s="291"/>
      <x:c r="CAW62" s="291"/>
      <x:c r="CAX62" s="291"/>
      <x:c r="CAY62" s="291"/>
      <x:c r="CAZ62" s="291"/>
      <x:c r="CBA62" s="291"/>
      <x:c r="CBB62" s="291"/>
      <x:c r="CBC62" s="291"/>
      <x:c r="CBD62" s="291"/>
      <x:c r="CBE62" s="291"/>
      <x:c r="CBF62" s="291"/>
      <x:c r="CBG62" s="291"/>
      <x:c r="CBH62" s="291"/>
      <x:c r="CBI62" s="291"/>
      <x:c r="CBJ62" s="291"/>
      <x:c r="CBK62" s="291"/>
      <x:c r="CBL62" s="291"/>
      <x:c r="CBM62" s="291"/>
      <x:c r="CBN62" s="291"/>
      <x:c r="CBO62" s="291"/>
      <x:c r="CBP62" s="291"/>
      <x:c r="CBQ62" s="291"/>
      <x:c r="CBR62" s="291"/>
      <x:c r="CBS62" s="291"/>
      <x:c r="CBT62" s="291"/>
      <x:c r="CBU62" s="291"/>
      <x:c r="CBV62" s="291"/>
      <x:c r="CBW62" s="291"/>
      <x:c r="CBX62" s="291"/>
      <x:c r="CBY62" s="291"/>
      <x:c r="CBZ62" s="291"/>
      <x:c r="CCA62" s="291"/>
      <x:c r="CCB62" s="291"/>
      <x:c r="CCC62" s="291"/>
      <x:c r="CCD62" s="291"/>
      <x:c r="CCE62" s="291"/>
      <x:c r="CCF62" s="291"/>
      <x:c r="CCG62" s="291"/>
      <x:c r="CCH62" s="291"/>
      <x:c r="CCI62" s="291"/>
      <x:c r="CCJ62" s="291"/>
      <x:c r="CCK62" s="291"/>
      <x:c r="CCL62" s="291"/>
      <x:c r="CCM62" s="291"/>
      <x:c r="CCN62" s="291"/>
      <x:c r="CCO62" s="291"/>
      <x:c r="CCP62" s="291"/>
      <x:c r="CCQ62" s="291"/>
      <x:c r="CCR62" s="291"/>
      <x:c r="CCS62" s="291"/>
      <x:c r="CCT62" s="291"/>
      <x:c r="CCU62" s="291"/>
      <x:c r="CCV62" s="291"/>
      <x:c r="CCW62" s="291"/>
      <x:c r="CCX62" s="291"/>
      <x:c r="CCY62" s="291"/>
      <x:c r="CCZ62" s="291"/>
      <x:c r="CDA62" s="291"/>
      <x:c r="CDB62" s="291"/>
      <x:c r="CDC62" s="291"/>
      <x:c r="CDD62" s="291"/>
      <x:c r="CDE62" s="291"/>
      <x:c r="CDF62" s="291"/>
      <x:c r="CDG62" s="291"/>
      <x:c r="CDH62" s="291"/>
      <x:c r="CDI62" s="291"/>
      <x:c r="CDJ62" s="291"/>
      <x:c r="CDK62" s="291"/>
      <x:c r="CDL62" s="291"/>
      <x:c r="CDM62" s="291"/>
      <x:c r="CDN62" s="291"/>
      <x:c r="CDO62" s="291"/>
      <x:c r="CDP62" s="291"/>
      <x:c r="CDQ62" s="291"/>
      <x:c r="CDR62" s="291"/>
      <x:c r="CDS62" s="291"/>
      <x:c r="CDT62" s="291"/>
      <x:c r="CDU62" s="291"/>
      <x:c r="CDV62" s="291"/>
      <x:c r="CDW62" s="291"/>
      <x:c r="CDX62" s="291"/>
      <x:c r="CDY62" s="291"/>
      <x:c r="CDZ62" s="291"/>
      <x:c r="CEA62" s="291"/>
      <x:c r="CEB62" s="291"/>
      <x:c r="CEC62" s="291"/>
      <x:c r="CED62" s="291"/>
      <x:c r="CEE62" s="291"/>
      <x:c r="CEF62" s="291"/>
      <x:c r="CEG62" s="291"/>
      <x:c r="CEH62" s="291"/>
      <x:c r="CEI62" s="291"/>
      <x:c r="CEJ62" s="291"/>
      <x:c r="CEK62" s="291"/>
      <x:c r="CEL62" s="291"/>
      <x:c r="CEM62" s="291"/>
      <x:c r="CEN62" s="291"/>
      <x:c r="CEO62" s="291"/>
      <x:c r="CEP62" s="291"/>
      <x:c r="CEQ62" s="291"/>
      <x:c r="CER62" s="291"/>
      <x:c r="CES62" s="291"/>
      <x:c r="CET62" s="291"/>
      <x:c r="CEU62" s="291"/>
      <x:c r="CEV62" s="291"/>
      <x:c r="CEW62" s="291"/>
      <x:c r="CEX62" s="291"/>
      <x:c r="CEY62" s="291"/>
      <x:c r="CEZ62" s="291"/>
      <x:c r="CFA62" s="291"/>
      <x:c r="CFB62" s="291"/>
      <x:c r="CFC62" s="291"/>
      <x:c r="CFD62" s="291"/>
      <x:c r="CFE62" s="291"/>
      <x:c r="CFF62" s="291"/>
      <x:c r="CFG62" s="291"/>
      <x:c r="CFH62" s="291"/>
      <x:c r="CFI62" s="291"/>
      <x:c r="CFJ62" s="291"/>
      <x:c r="CFK62" s="291"/>
      <x:c r="CFL62" s="291"/>
      <x:c r="CFM62" s="291"/>
      <x:c r="CFN62" s="291"/>
      <x:c r="CFO62" s="291"/>
      <x:c r="CFP62" s="291"/>
      <x:c r="CFQ62" s="291"/>
      <x:c r="CFR62" s="291"/>
      <x:c r="CFS62" s="291"/>
      <x:c r="CFT62" s="291"/>
      <x:c r="CFU62" s="291"/>
      <x:c r="CFV62" s="291"/>
      <x:c r="CFW62" s="291"/>
      <x:c r="CFX62" s="291"/>
      <x:c r="CFY62" s="291"/>
      <x:c r="CFZ62" s="291"/>
      <x:c r="CGA62" s="291"/>
      <x:c r="CGB62" s="291"/>
      <x:c r="CGC62" s="291"/>
      <x:c r="CGD62" s="291"/>
      <x:c r="CGE62" s="291"/>
      <x:c r="CGF62" s="291"/>
      <x:c r="CGG62" s="291"/>
      <x:c r="CGH62" s="291"/>
      <x:c r="CGI62" s="291"/>
      <x:c r="CGJ62" s="291"/>
      <x:c r="CGK62" s="291"/>
      <x:c r="CGL62" s="291"/>
      <x:c r="CGM62" s="291"/>
      <x:c r="CGN62" s="291"/>
      <x:c r="CGO62" s="291"/>
      <x:c r="CGP62" s="291"/>
      <x:c r="CGQ62" s="291"/>
      <x:c r="CGR62" s="291"/>
      <x:c r="CGS62" s="291"/>
      <x:c r="CGT62" s="291"/>
      <x:c r="CGU62" s="291"/>
      <x:c r="CGV62" s="291"/>
      <x:c r="CGW62" s="291"/>
      <x:c r="CGX62" s="291"/>
      <x:c r="CGY62" s="291"/>
      <x:c r="CGZ62" s="291"/>
      <x:c r="CHA62" s="291"/>
      <x:c r="CHB62" s="291"/>
      <x:c r="CHC62" s="291"/>
      <x:c r="CHD62" s="291"/>
      <x:c r="CHE62" s="291"/>
      <x:c r="CHF62" s="291"/>
      <x:c r="CHG62" s="291"/>
      <x:c r="CHH62" s="291"/>
      <x:c r="CHI62" s="291"/>
      <x:c r="CHJ62" s="291"/>
      <x:c r="CHK62" s="291"/>
      <x:c r="CHL62" s="291"/>
      <x:c r="CHM62" s="291"/>
      <x:c r="CHN62" s="291"/>
      <x:c r="CHO62" s="291"/>
      <x:c r="CHP62" s="291"/>
      <x:c r="CHQ62" s="291"/>
      <x:c r="CHR62" s="291"/>
      <x:c r="CHS62" s="291"/>
      <x:c r="CHT62" s="291"/>
      <x:c r="CHU62" s="291"/>
      <x:c r="CHV62" s="291"/>
      <x:c r="CHW62" s="291"/>
      <x:c r="CHX62" s="291"/>
      <x:c r="CHY62" s="291"/>
      <x:c r="CHZ62" s="291"/>
      <x:c r="CIA62" s="291"/>
      <x:c r="CIB62" s="291"/>
      <x:c r="CIC62" s="291"/>
      <x:c r="CID62" s="291"/>
      <x:c r="CIE62" s="291"/>
      <x:c r="CIF62" s="291"/>
      <x:c r="CIG62" s="291"/>
      <x:c r="CIH62" s="291"/>
      <x:c r="CII62" s="291"/>
      <x:c r="CIJ62" s="291"/>
      <x:c r="CIK62" s="291"/>
      <x:c r="CIL62" s="291"/>
      <x:c r="CIM62" s="291"/>
      <x:c r="CIN62" s="291"/>
      <x:c r="CIO62" s="291"/>
      <x:c r="CIP62" s="291"/>
      <x:c r="CIQ62" s="291"/>
      <x:c r="CIR62" s="291"/>
      <x:c r="CIS62" s="291"/>
      <x:c r="CIT62" s="291"/>
      <x:c r="CIU62" s="291"/>
      <x:c r="CIV62" s="291"/>
      <x:c r="CIW62" s="291"/>
      <x:c r="CIX62" s="291"/>
      <x:c r="CIY62" s="291"/>
      <x:c r="CIZ62" s="291"/>
      <x:c r="CJA62" s="291"/>
      <x:c r="CJB62" s="291"/>
      <x:c r="CJC62" s="291"/>
      <x:c r="CJD62" s="291"/>
      <x:c r="CJE62" s="291"/>
      <x:c r="CJF62" s="291"/>
      <x:c r="CJG62" s="291"/>
      <x:c r="CJH62" s="291"/>
      <x:c r="CJI62" s="291"/>
      <x:c r="CJJ62" s="291"/>
      <x:c r="CJK62" s="291"/>
      <x:c r="CJL62" s="291"/>
      <x:c r="CJM62" s="291"/>
      <x:c r="CJN62" s="291"/>
      <x:c r="CJO62" s="291"/>
      <x:c r="CJP62" s="291"/>
      <x:c r="CJQ62" s="291"/>
      <x:c r="CJR62" s="291"/>
      <x:c r="CJS62" s="291"/>
      <x:c r="CJT62" s="291"/>
      <x:c r="CJU62" s="291"/>
      <x:c r="CJV62" s="291"/>
      <x:c r="CJW62" s="291"/>
      <x:c r="CJX62" s="291"/>
      <x:c r="CJY62" s="291"/>
      <x:c r="CJZ62" s="291"/>
      <x:c r="CKA62" s="291"/>
      <x:c r="CKB62" s="291"/>
      <x:c r="CKC62" s="291"/>
      <x:c r="CKD62" s="291"/>
      <x:c r="CKE62" s="291"/>
      <x:c r="CKF62" s="291"/>
      <x:c r="CKG62" s="291"/>
      <x:c r="CKH62" s="291"/>
      <x:c r="CKI62" s="291"/>
      <x:c r="CKJ62" s="291"/>
      <x:c r="CKK62" s="291"/>
      <x:c r="CKL62" s="291"/>
      <x:c r="CKM62" s="291"/>
      <x:c r="CKN62" s="291"/>
      <x:c r="CKO62" s="291"/>
      <x:c r="CKP62" s="291"/>
      <x:c r="CKQ62" s="291"/>
      <x:c r="CKR62" s="291"/>
      <x:c r="CKS62" s="291"/>
      <x:c r="CKT62" s="291"/>
      <x:c r="CKU62" s="291"/>
      <x:c r="CKV62" s="291"/>
      <x:c r="CKW62" s="291"/>
      <x:c r="CKX62" s="291"/>
      <x:c r="CKY62" s="291"/>
      <x:c r="CKZ62" s="291"/>
      <x:c r="CLA62" s="291"/>
      <x:c r="CLB62" s="291"/>
      <x:c r="CLC62" s="291"/>
      <x:c r="CLD62" s="291"/>
      <x:c r="CLE62" s="291"/>
      <x:c r="CLF62" s="291"/>
      <x:c r="CLG62" s="291"/>
      <x:c r="CLH62" s="291"/>
      <x:c r="CLI62" s="291"/>
      <x:c r="CLJ62" s="291"/>
      <x:c r="CLK62" s="291"/>
      <x:c r="CLL62" s="291"/>
      <x:c r="CLM62" s="291"/>
      <x:c r="CLN62" s="291"/>
      <x:c r="CLO62" s="291"/>
      <x:c r="CLP62" s="291"/>
      <x:c r="CLQ62" s="291"/>
      <x:c r="CLR62" s="291"/>
      <x:c r="CLS62" s="291"/>
      <x:c r="CLT62" s="291"/>
      <x:c r="CLU62" s="291"/>
      <x:c r="CLV62" s="291"/>
      <x:c r="CLW62" s="291"/>
      <x:c r="CLX62" s="291"/>
      <x:c r="CLY62" s="291"/>
      <x:c r="CLZ62" s="291"/>
      <x:c r="CMA62" s="291"/>
      <x:c r="CMB62" s="291"/>
      <x:c r="CMC62" s="291"/>
      <x:c r="CMD62" s="291"/>
      <x:c r="CME62" s="291"/>
      <x:c r="CMF62" s="291"/>
      <x:c r="CMG62" s="291"/>
      <x:c r="CMH62" s="291"/>
      <x:c r="CMI62" s="291"/>
      <x:c r="CMJ62" s="291"/>
      <x:c r="CMK62" s="291"/>
      <x:c r="CML62" s="291"/>
      <x:c r="CMM62" s="291"/>
      <x:c r="CMN62" s="291"/>
      <x:c r="CMO62" s="291"/>
      <x:c r="CMP62" s="291"/>
      <x:c r="CMQ62" s="291"/>
      <x:c r="CMR62" s="291"/>
      <x:c r="CMS62" s="291"/>
      <x:c r="CMT62" s="291"/>
      <x:c r="CMU62" s="291"/>
      <x:c r="CMV62" s="291"/>
      <x:c r="CMW62" s="291"/>
      <x:c r="CMX62" s="291"/>
      <x:c r="CMY62" s="291"/>
      <x:c r="CMZ62" s="291"/>
      <x:c r="CNA62" s="291"/>
      <x:c r="CNB62" s="291"/>
      <x:c r="CNC62" s="291"/>
      <x:c r="CND62" s="291"/>
      <x:c r="CNE62" s="291"/>
      <x:c r="CNF62" s="291"/>
      <x:c r="CNG62" s="291"/>
      <x:c r="CNH62" s="291"/>
      <x:c r="CNI62" s="291"/>
      <x:c r="CNJ62" s="291"/>
      <x:c r="CNK62" s="291"/>
      <x:c r="CNL62" s="291"/>
      <x:c r="CNM62" s="291"/>
      <x:c r="CNN62" s="291"/>
      <x:c r="CNO62" s="291"/>
      <x:c r="CNP62" s="291"/>
      <x:c r="CNQ62" s="291"/>
      <x:c r="CNR62" s="291"/>
      <x:c r="CNS62" s="291"/>
      <x:c r="CNT62" s="291"/>
      <x:c r="CNU62" s="291"/>
      <x:c r="CNV62" s="291"/>
      <x:c r="CNW62" s="291"/>
      <x:c r="CNX62" s="291"/>
      <x:c r="CNY62" s="291"/>
      <x:c r="CNZ62" s="291"/>
      <x:c r="COA62" s="291"/>
      <x:c r="COB62" s="291"/>
      <x:c r="COC62" s="291"/>
      <x:c r="COD62" s="291"/>
      <x:c r="COE62" s="291"/>
      <x:c r="COF62" s="291"/>
      <x:c r="COG62" s="291"/>
      <x:c r="COH62" s="291"/>
      <x:c r="COI62" s="291"/>
      <x:c r="COJ62" s="291"/>
      <x:c r="COK62" s="291"/>
      <x:c r="COL62" s="291"/>
      <x:c r="COM62" s="291"/>
      <x:c r="CON62" s="291"/>
      <x:c r="COO62" s="291"/>
      <x:c r="COP62" s="291"/>
      <x:c r="COQ62" s="291"/>
      <x:c r="COR62" s="291"/>
      <x:c r="COS62" s="291"/>
      <x:c r="COT62" s="291"/>
      <x:c r="COU62" s="291"/>
      <x:c r="COV62" s="291"/>
      <x:c r="COW62" s="291"/>
      <x:c r="COX62" s="291"/>
      <x:c r="COY62" s="291"/>
      <x:c r="COZ62" s="291"/>
      <x:c r="CPA62" s="291"/>
      <x:c r="CPB62" s="291"/>
      <x:c r="CPC62" s="291"/>
      <x:c r="CPD62" s="291"/>
      <x:c r="CPE62" s="291"/>
      <x:c r="CPF62" s="291"/>
      <x:c r="CPG62" s="291"/>
      <x:c r="CPH62" s="291"/>
      <x:c r="CPI62" s="291"/>
      <x:c r="CPJ62" s="291"/>
      <x:c r="CPK62" s="291"/>
      <x:c r="CPL62" s="291"/>
      <x:c r="CPM62" s="291"/>
      <x:c r="CPN62" s="291"/>
      <x:c r="CPO62" s="291"/>
      <x:c r="CPP62" s="291"/>
      <x:c r="CPQ62" s="291"/>
      <x:c r="CPR62" s="291"/>
      <x:c r="CPS62" s="291"/>
      <x:c r="CPT62" s="291"/>
      <x:c r="CPU62" s="291"/>
      <x:c r="CPV62" s="291"/>
      <x:c r="CPW62" s="291"/>
      <x:c r="CPX62" s="291"/>
      <x:c r="CPY62" s="291"/>
      <x:c r="CPZ62" s="291"/>
      <x:c r="CQA62" s="291"/>
      <x:c r="CQB62" s="291"/>
      <x:c r="CQC62" s="291"/>
      <x:c r="CQD62" s="291"/>
      <x:c r="CQE62" s="291"/>
      <x:c r="CQF62" s="291"/>
      <x:c r="CQG62" s="291"/>
      <x:c r="CQH62" s="291"/>
      <x:c r="CQI62" s="291"/>
      <x:c r="CQJ62" s="291"/>
      <x:c r="CQK62" s="291"/>
      <x:c r="CQL62" s="291"/>
      <x:c r="CQM62" s="291"/>
      <x:c r="CQN62" s="291"/>
      <x:c r="CQO62" s="291"/>
      <x:c r="CQP62" s="291"/>
      <x:c r="CQQ62" s="291"/>
      <x:c r="CQR62" s="291"/>
      <x:c r="CQS62" s="291"/>
      <x:c r="CQT62" s="291"/>
      <x:c r="CQU62" s="291"/>
      <x:c r="CQV62" s="291"/>
      <x:c r="CQW62" s="291"/>
      <x:c r="CQX62" s="291"/>
      <x:c r="CQY62" s="291"/>
      <x:c r="CQZ62" s="291"/>
      <x:c r="CRA62" s="291"/>
      <x:c r="CRB62" s="291"/>
      <x:c r="CRC62" s="291"/>
      <x:c r="CRD62" s="291"/>
      <x:c r="CRE62" s="291"/>
      <x:c r="CRF62" s="291"/>
      <x:c r="CRG62" s="291"/>
      <x:c r="CRH62" s="291"/>
      <x:c r="CRI62" s="291"/>
      <x:c r="CRJ62" s="291"/>
      <x:c r="CRK62" s="291"/>
      <x:c r="CRL62" s="291"/>
      <x:c r="CRM62" s="291"/>
      <x:c r="CRN62" s="291"/>
      <x:c r="CRO62" s="291"/>
      <x:c r="CRP62" s="291"/>
      <x:c r="CRQ62" s="291"/>
      <x:c r="CRR62" s="291"/>
      <x:c r="CRS62" s="291"/>
      <x:c r="CRT62" s="291"/>
      <x:c r="CRU62" s="291"/>
      <x:c r="CRV62" s="291"/>
      <x:c r="CRW62" s="291"/>
      <x:c r="CRX62" s="291"/>
      <x:c r="CRY62" s="291"/>
      <x:c r="CRZ62" s="291"/>
      <x:c r="CSA62" s="291"/>
      <x:c r="CSB62" s="291"/>
      <x:c r="CSC62" s="291"/>
      <x:c r="CSD62" s="291"/>
      <x:c r="CSE62" s="291"/>
      <x:c r="CSF62" s="291"/>
      <x:c r="CSG62" s="291"/>
      <x:c r="CSH62" s="291"/>
      <x:c r="CSI62" s="291"/>
      <x:c r="CSJ62" s="291"/>
      <x:c r="CSK62" s="291"/>
      <x:c r="CSL62" s="291"/>
      <x:c r="CSM62" s="291"/>
      <x:c r="CSN62" s="291"/>
      <x:c r="CSO62" s="291"/>
      <x:c r="CSP62" s="291"/>
      <x:c r="CSQ62" s="291"/>
      <x:c r="CSR62" s="291"/>
      <x:c r="CSS62" s="291"/>
      <x:c r="CST62" s="291"/>
      <x:c r="CSU62" s="291"/>
      <x:c r="CSV62" s="291"/>
      <x:c r="CSW62" s="291"/>
      <x:c r="CSX62" s="291"/>
      <x:c r="CSY62" s="291"/>
      <x:c r="CSZ62" s="291"/>
      <x:c r="CTA62" s="291"/>
      <x:c r="CTB62" s="291"/>
      <x:c r="CTC62" s="291"/>
      <x:c r="CTD62" s="291"/>
      <x:c r="CTE62" s="291"/>
      <x:c r="CTF62" s="291"/>
      <x:c r="CTG62" s="291"/>
      <x:c r="CTH62" s="291"/>
      <x:c r="CTI62" s="291"/>
      <x:c r="CTJ62" s="291"/>
      <x:c r="CTK62" s="291"/>
      <x:c r="CTL62" s="291"/>
      <x:c r="CTM62" s="291"/>
      <x:c r="CTN62" s="291"/>
      <x:c r="CTO62" s="291"/>
      <x:c r="CTP62" s="291"/>
      <x:c r="CTQ62" s="291"/>
      <x:c r="CTR62" s="291"/>
      <x:c r="CTS62" s="291"/>
      <x:c r="CTT62" s="291"/>
      <x:c r="CTU62" s="291"/>
      <x:c r="CTV62" s="291"/>
      <x:c r="CTW62" s="291"/>
      <x:c r="CTX62" s="291"/>
      <x:c r="CTY62" s="291"/>
      <x:c r="CTZ62" s="291"/>
      <x:c r="CUA62" s="291"/>
      <x:c r="CUB62" s="291"/>
      <x:c r="CUC62" s="291"/>
      <x:c r="CUD62" s="291"/>
      <x:c r="CUE62" s="291"/>
      <x:c r="CUF62" s="291"/>
      <x:c r="CUG62" s="291"/>
      <x:c r="CUH62" s="291"/>
      <x:c r="CUI62" s="291"/>
      <x:c r="CUJ62" s="291"/>
      <x:c r="CUK62" s="291"/>
      <x:c r="CUL62" s="291"/>
      <x:c r="CUM62" s="291"/>
      <x:c r="CUN62" s="291"/>
      <x:c r="CUO62" s="291"/>
      <x:c r="CUP62" s="291"/>
      <x:c r="CUQ62" s="291"/>
      <x:c r="CUR62" s="291"/>
      <x:c r="CUS62" s="291"/>
      <x:c r="CUT62" s="291"/>
      <x:c r="CUU62" s="291"/>
      <x:c r="CUV62" s="291"/>
      <x:c r="CUW62" s="291"/>
      <x:c r="CUX62" s="291"/>
      <x:c r="CUY62" s="291"/>
      <x:c r="CUZ62" s="291"/>
      <x:c r="CVA62" s="291"/>
      <x:c r="CVB62" s="291"/>
      <x:c r="CVC62" s="291"/>
      <x:c r="CVD62" s="291"/>
      <x:c r="CVE62" s="291"/>
      <x:c r="CVF62" s="291"/>
      <x:c r="CVG62" s="291"/>
      <x:c r="CVH62" s="291"/>
      <x:c r="CVI62" s="291"/>
      <x:c r="CVJ62" s="291"/>
      <x:c r="CVK62" s="291"/>
      <x:c r="CVL62" s="291"/>
      <x:c r="CVM62" s="291"/>
      <x:c r="CVN62" s="291"/>
      <x:c r="CVO62" s="291"/>
      <x:c r="CVP62" s="291"/>
      <x:c r="CVQ62" s="291"/>
      <x:c r="CVR62" s="291"/>
      <x:c r="CVS62" s="291"/>
      <x:c r="CVT62" s="291"/>
      <x:c r="CVU62" s="291"/>
      <x:c r="CVV62" s="291"/>
      <x:c r="CVW62" s="291"/>
      <x:c r="CVX62" s="291"/>
      <x:c r="CVY62" s="291"/>
      <x:c r="CVZ62" s="291"/>
      <x:c r="CWA62" s="291"/>
      <x:c r="CWB62" s="291"/>
      <x:c r="CWC62" s="291"/>
      <x:c r="CWD62" s="291"/>
      <x:c r="CWE62" s="291"/>
      <x:c r="CWF62" s="291"/>
      <x:c r="CWG62" s="291"/>
      <x:c r="CWH62" s="291"/>
      <x:c r="CWI62" s="291"/>
      <x:c r="CWJ62" s="291"/>
      <x:c r="CWK62" s="291"/>
      <x:c r="CWL62" s="291"/>
      <x:c r="CWM62" s="291"/>
      <x:c r="CWN62" s="291"/>
      <x:c r="CWO62" s="291"/>
      <x:c r="CWP62" s="291"/>
      <x:c r="CWQ62" s="291"/>
      <x:c r="CWR62" s="291"/>
      <x:c r="CWS62" s="291"/>
      <x:c r="CWT62" s="291"/>
      <x:c r="CWU62" s="291"/>
      <x:c r="CWV62" s="291"/>
      <x:c r="CWW62" s="291"/>
      <x:c r="CWX62" s="291"/>
      <x:c r="CWY62" s="291"/>
      <x:c r="CWZ62" s="291"/>
      <x:c r="CXA62" s="291"/>
      <x:c r="CXB62" s="291"/>
      <x:c r="CXC62" s="291"/>
      <x:c r="CXD62" s="291"/>
      <x:c r="CXE62" s="291"/>
      <x:c r="CXF62" s="291"/>
      <x:c r="CXG62" s="291"/>
      <x:c r="CXH62" s="291"/>
      <x:c r="CXI62" s="291"/>
      <x:c r="CXJ62" s="291"/>
      <x:c r="CXK62" s="291"/>
      <x:c r="CXL62" s="291"/>
      <x:c r="CXM62" s="291"/>
      <x:c r="CXN62" s="291"/>
      <x:c r="CXO62" s="291"/>
      <x:c r="CXP62" s="291"/>
      <x:c r="CXQ62" s="291"/>
      <x:c r="CXR62" s="291"/>
      <x:c r="CXS62" s="291"/>
      <x:c r="CXT62" s="291"/>
      <x:c r="CXU62" s="291"/>
      <x:c r="CXV62" s="291"/>
      <x:c r="CXW62" s="291"/>
      <x:c r="CXX62" s="291"/>
      <x:c r="CXY62" s="291"/>
      <x:c r="CXZ62" s="291"/>
      <x:c r="CYA62" s="291"/>
      <x:c r="CYB62" s="291"/>
      <x:c r="CYC62" s="291"/>
      <x:c r="CYD62" s="291"/>
      <x:c r="CYE62" s="291"/>
      <x:c r="CYF62" s="291"/>
      <x:c r="CYG62" s="291"/>
      <x:c r="CYH62" s="291"/>
      <x:c r="CYI62" s="291"/>
      <x:c r="CYJ62" s="291"/>
      <x:c r="CYK62" s="291"/>
      <x:c r="CYL62" s="291"/>
      <x:c r="CYM62" s="291"/>
      <x:c r="CYN62" s="291"/>
      <x:c r="CYO62" s="291"/>
      <x:c r="CYP62" s="291"/>
      <x:c r="CYQ62" s="291"/>
      <x:c r="CYR62" s="291"/>
      <x:c r="CYS62" s="291"/>
      <x:c r="CYT62" s="291"/>
      <x:c r="CYU62" s="291"/>
      <x:c r="CYV62" s="291"/>
      <x:c r="CYW62" s="291"/>
      <x:c r="CYX62" s="291"/>
      <x:c r="CYY62" s="291"/>
      <x:c r="CYZ62" s="291"/>
      <x:c r="CZA62" s="291"/>
      <x:c r="CZB62" s="291"/>
      <x:c r="CZC62" s="291"/>
      <x:c r="CZD62" s="291"/>
      <x:c r="CZE62" s="291"/>
      <x:c r="CZF62" s="291"/>
      <x:c r="CZG62" s="291"/>
      <x:c r="CZH62" s="291"/>
      <x:c r="CZI62" s="291"/>
      <x:c r="CZJ62" s="291"/>
      <x:c r="CZK62" s="291"/>
      <x:c r="CZL62" s="291"/>
      <x:c r="CZM62" s="291"/>
      <x:c r="CZN62" s="291"/>
      <x:c r="CZO62" s="291"/>
      <x:c r="CZP62" s="291"/>
      <x:c r="CZQ62" s="291"/>
      <x:c r="CZR62" s="291"/>
      <x:c r="CZS62" s="291"/>
      <x:c r="CZT62" s="291"/>
      <x:c r="CZU62" s="291"/>
      <x:c r="CZV62" s="291"/>
      <x:c r="CZW62" s="291"/>
      <x:c r="CZX62" s="291"/>
      <x:c r="CZY62" s="291"/>
      <x:c r="CZZ62" s="291"/>
      <x:c r="DAA62" s="291"/>
      <x:c r="DAB62" s="291"/>
      <x:c r="DAC62" s="291"/>
      <x:c r="DAD62" s="291"/>
      <x:c r="DAE62" s="291"/>
      <x:c r="DAF62" s="291"/>
      <x:c r="DAG62" s="291"/>
      <x:c r="DAH62" s="291"/>
      <x:c r="DAI62" s="291"/>
      <x:c r="DAJ62" s="291"/>
      <x:c r="DAK62" s="291"/>
      <x:c r="DAL62" s="291"/>
      <x:c r="DAM62" s="291"/>
      <x:c r="DAN62" s="291"/>
      <x:c r="DAO62" s="291"/>
      <x:c r="DAP62" s="291"/>
      <x:c r="DAQ62" s="291"/>
      <x:c r="DAR62" s="291"/>
      <x:c r="DAS62" s="291"/>
      <x:c r="DAT62" s="291"/>
      <x:c r="DAU62" s="291"/>
      <x:c r="DAV62" s="291"/>
      <x:c r="DAW62" s="291"/>
      <x:c r="DAX62" s="291"/>
      <x:c r="DAY62" s="291"/>
      <x:c r="DAZ62" s="291"/>
      <x:c r="DBA62" s="291"/>
      <x:c r="DBB62" s="291"/>
      <x:c r="DBC62" s="291"/>
      <x:c r="DBD62" s="291"/>
      <x:c r="DBE62" s="291"/>
      <x:c r="DBF62" s="291"/>
      <x:c r="DBG62" s="291"/>
      <x:c r="DBH62" s="291"/>
      <x:c r="DBI62" s="291"/>
      <x:c r="DBJ62" s="291"/>
      <x:c r="DBK62" s="291"/>
      <x:c r="DBL62" s="291"/>
      <x:c r="DBM62" s="291"/>
      <x:c r="DBN62" s="291"/>
      <x:c r="DBO62" s="291"/>
      <x:c r="DBP62" s="291"/>
      <x:c r="DBQ62" s="291"/>
      <x:c r="DBR62" s="291"/>
      <x:c r="DBS62" s="291"/>
      <x:c r="DBT62" s="291"/>
      <x:c r="DBU62" s="291"/>
      <x:c r="DBV62" s="291"/>
      <x:c r="DBW62" s="291"/>
      <x:c r="DBX62" s="291"/>
      <x:c r="DBY62" s="291"/>
      <x:c r="DBZ62" s="291"/>
      <x:c r="DCA62" s="291"/>
      <x:c r="DCB62" s="291"/>
      <x:c r="DCC62" s="291"/>
      <x:c r="DCD62" s="291"/>
      <x:c r="DCE62" s="291"/>
      <x:c r="DCF62" s="291"/>
      <x:c r="DCG62" s="291"/>
      <x:c r="DCH62" s="291"/>
      <x:c r="DCI62" s="291"/>
      <x:c r="DCJ62" s="291"/>
      <x:c r="DCK62" s="291"/>
      <x:c r="DCL62" s="291"/>
      <x:c r="DCM62" s="291"/>
      <x:c r="DCN62" s="291"/>
      <x:c r="DCO62" s="291"/>
      <x:c r="DCP62" s="291"/>
      <x:c r="DCQ62" s="291"/>
      <x:c r="DCR62" s="291"/>
      <x:c r="DCS62" s="291"/>
      <x:c r="DCT62" s="291"/>
      <x:c r="DCU62" s="291"/>
      <x:c r="DCV62" s="291"/>
      <x:c r="DCW62" s="291"/>
      <x:c r="DCX62" s="291"/>
      <x:c r="DCY62" s="291"/>
      <x:c r="DCZ62" s="291"/>
      <x:c r="DDA62" s="291"/>
      <x:c r="DDB62" s="291"/>
      <x:c r="DDC62" s="291"/>
      <x:c r="DDD62" s="291"/>
      <x:c r="DDE62" s="291"/>
      <x:c r="DDF62" s="291"/>
      <x:c r="DDG62" s="291"/>
      <x:c r="DDH62" s="291"/>
      <x:c r="DDI62" s="291"/>
      <x:c r="DDJ62" s="291"/>
      <x:c r="DDK62" s="291"/>
      <x:c r="DDL62" s="291"/>
      <x:c r="DDM62" s="291"/>
      <x:c r="DDN62" s="291"/>
      <x:c r="DDO62" s="291"/>
      <x:c r="DDP62" s="291"/>
      <x:c r="DDQ62" s="291"/>
      <x:c r="DDR62" s="291"/>
      <x:c r="DDS62" s="291"/>
      <x:c r="DDT62" s="291"/>
      <x:c r="DDU62" s="291"/>
      <x:c r="DDV62" s="291"/>
      <x:c r="DDW62" s="291"/>
      <x:c r="DDX62" s="291"/>
      <x:c r="DDY62" s="291"/>
      <x:c r="DDZ62" s="291"/>
      <x:c r="DEA62" s="291"/>
      <x:c r="DEB62" s="291"/>
      <x:c r="DEC62" s="291"/>
      <x:c r="DED62" s="291"/>
      <x:c r="DEE62" s="291"/>
      <x:c r="DEF62" s="291"/>
      <x:c r="DEG62" s="291"/>
      <x:c r="DEH62" s="291"/>
      <x:c r="DEI62" s="291"/>
      <x:c r="DEJ62" s="291"/>
      <x:c r="DEK62" s="291"/>
      <x:c r="DEL62" s="291"/>
      <x:c r="DEM62" s="291"/>
      <x:c r="DEN62" s="291"/>
      <x:c r="DEO62" s="291"/>
      <x:c r="DEP62" s="291"/>
      <x:c r="DEQ62" s="291"/>
      <x:c r="DER62" s="291"/>
      <x:c r="DES62" s="291"/>
      <x:c r="DET62" s="291"/>
      <x:c r="DEU62" s="291"/>
      <x:c r="DEV62" s="291"/>
      <x:c r="DEW62" s="291"/>
      <x:c r="DEX62" s="291"/>
      <x:c r="DEY62" s="291"/>
      <x:c r="DEZ62" s="291"/>
      <x:c r="DFA62" s="291"/>
      <x:c r="DFB62" s="291"/>
      <x:c r="DFC62" s="291"/>
      <x:c r="DFD62" s="291"/>
      <x:c r="DFE62" s="291"/>
      <x:c r="DFF62" s="291"/>
      <x:c r="DFG62" s="291"/>
      <x:c r="DFH62" s="291"/>
      <x:c r="DFI62" s="291"/>
      <x:c r="DFJ62" s="291"/>
      <x:c r="DFK62" s="291"/>
      <x:c r="DFL62" s="291"/>
      <x:c r="DFM62" s="291"/>
      <x:c r="DFN62" s="291"/>
      <x:c r="DFO62" s="291"/>
      <x:c r="DFP62" s="291"/>
      <x:c r="DFQ62" s="291"/>
      <x:c r="DFR62" s="291"/>
      <x:c r="DFS62" s="291"/>
      <x:c r="DFT62" s="291"/>
      <x:c r="DFU62" s="291"/>
      <x:c r="DFV62" s="291"/>
      <x:c r="DFW62" s="291"/>
      <x:c r="DFX62" s="291"/>
      <x:c r="DFY62" s="291"/>
      <x:c r="DFZ62" s="291"/>
      <x:c r="DGA62" s="291"/>
      <x:c r="DGB62" s="291"/>
      <x:c r="DGC62" s="291"/>
      <x:c r="DGD62" s="291"/>
      <x:c r="DGE62" s="291"/>
      <x:c r="DGF62" s="291"/>
      <x:c r="DGG62" s="291"/>
      <x:c r="DGH62" s="291"/>
      <x:c r="DGI62" s="291"/>
      <x:c r="DGJ62" s="291"/>
      <x:c r="DGK62" s="291"/>
      <x:c r="DGL62" s="291"/>
      <x:c r="DGM62" s="291"/>
      <x:c r="DGN62" s="291"/>
      <x:c r="DGO62" s="291"/>
      <x:c r="DGP62" s="291"/>
      <x:c r="DGQ62" s="291"/>
      <x:c r="DGR62" s="291"/>
      <x:c r="DGS62" s="291"/>
      <x:c r="DGT62" s="291"/>
      <x:c r="DGU62" s="291"/>
      <x:c r="DGV62" s="291"/>
      <x:c r="DGW62" s="291"/>
      <x:c r="DGX62" s="291"/>
      <x:c r="DGY62" s="291"/>
      <x:c r="DGZ62" s="291"/>
      <x:c r="DHA62" s="291"/>
      <x:c r="DHB62" s="291"/>
      <x:c r="DHC62" s="291"/>
      <x:c r="DHD62" s="291"/>
      <x:c r="DHE62" s="291"/>
      <x:c r="DHF62" s="291"/>
      <x:c r="DHG62" s="291"/>
      <x:c r="DHH62" s="291"/>
      <x:c r="DHI62" s="291"/>
      <x:c r="DHJ62" s="291"/>
      <x:c r="DHK62" s="291"/>
      <x:c r="DHL62" s="291"/>
      <x:c r="DHM62" s="291"/>
      <x:c r="DHN62" s="291"/>
      <x:c r="DHO62" s="291"/>
      <x:c r="DHP62" s="291"/>
      <x:c r="DHQ62" s="291"/>
      <x:c r="DHR62" s="291"/>
      <x:c r="DHS62" s="291"/>
      <x:c r="DHT62" s="291"/>
      <x:c r="DHU62" s="291"/>
      <x:c r="DHV62" s="291"/>
      <x:c r="DHW62" s="291"/>
      <x:c r="DHX62" s="291"/>
      <x:c r="DHY62" s="291"/>
      <x:c r="DHZ62" s="291"/>
      <x:c r="DIA62" s="291"/>
      <x:c r="DIB62" s="291"/>
      <x:c r="DIC62" s="291"/>
      <x:c r="DID62" s="291"/>
      <x:c r="DIE62" s="291"/>
      <x:c r="DIF62" s="291"/>
      <x:c r="DIG62" s="291"/>
      <x:c r="DIH62" s="291"/>
      <x:c r="DII62" s="291"/>
      <x:c r="DIJ62" s="291"/>
      <x:c r="DIK62" s="291"/>
      <x:c r="DIL62" s="291"/>
      <x:c r="DIM62" s="291"/>
      <x:c r="DIN62" s="291"/>
      <x:c r="DIO62" s="291"/>
      <x:c r="DIP62" s="291"/>
      <x:c r="DIQ62" s="291"/>
      <x:c r="DIR62" s="291"/>
      <x:c r="DIS62" s="291"/>
      <x:c r="DIT62" s="291"/>
      <x:c r="DIU62" s="291"/>
      <x:c r="DIV62" s="291"/>
      <x:c r="DIW62" s="291"/>
      <x:c r="DIX62" s="291"/>
      <x:c r="DIY62" s="291"/>
      <x:c r="DIZ62" s="291"/>
      <x:c r="DJA62" s="291"/>
      <x:c r="DJB62" s="291"/>
      <x:c r="DJC62" s="291"/>
      <x:c r="DJD62" s="291"/>
      <x:c r="DJE62" s="291"/>
      <x:c r="DJF62" s="291"/>
      <x:c r="DJG62" s="291"/>
      <x:c r="DJH62" s="291"/>
      <x:c r="DJI62" s="291"/>
      <x:c r="DJJ62" s="291"/>
      <x:c r="DJK62" s="291"/>
      <x:c r="DJL62" s="291"/>
      <x:c r="DJM62" s="291"/>
      <x:c r="DJN62" s="291"/>
      <x:c r="DJO62" s="291"/>
      <x:c r="DJP62" s="291"/>
      <x:c r="DJQ62" s="291"/>
      <x:c r="DJR62" s="291"/>
      <x:c r="DJS62" s="291"/>
      <x:c r="DJT62" s="291"/>
      <x:c r="DJU62" s="291"/>
      <x:c r="DJV62" s="291"/>
      <x:c r="DJW62" s="291"/>
      <x:c r="DJX62" s="291"/>
      <x:c r="DJY62" s="291"/>
      <x:c r="DJZ62" s="291"/>
      <x:c r="DKA62" s="291"/>
      <x:c r="DKB62" s="291"/>
      <x:c r="DKC62" s="291"/>
      <x:c r="DKD62" s="291"/>
      <x:c r="DKE62" s="291"/>
      <x:c r="DKF62" s="291"/>
      <x:c r="DKG62" s="291"/>
      <x:c r="DKH62" s="291"/>
      <x:c r="DKI62" s="291"/>
      <x:c r="DKJ62" s="291"/>
      <x:c r="DKK62" s="291"/>
      <x:c r="DKL62" s="291"/>
      <x:c r="DKM62" s="291"/>
      <x:c r="DKN62" s="291"/>
      <x:c r="DKO62" s="291"/>
      <x:c r="DKP62" s="291"/>
      <x:c r="DKQ62" s="291"/>
      <x:c r="DKR62" s="291"/>
      <x:c r="DKS62" s="291"/>
      <x:c r="DKT62" s="291"/>
      <x:c r="DKU62" s="291"/>
      <x:c r="DKV62" s="291"/>
      <x:c r="DKW62" s="291"/>
      <x:c r="DKX62" s="291"/>
      <x:c r="DKY62" s="291"/>
      <x:c r="DKZ62" s="291"/>
      <x:c r="DLA62" s="291"/>
      <x:c r="DLB62" s="291"/>
      <x:c r="DLC62" s="291"/>
      <x:c r="DLD62" s="291"/>
      <x:c r="DLE62" s="291"/>
      <x:c r="DLF62" s="291"/>
      <x:c r="DLG62" s="291"/>
      <x:c r="DLH62" s="291"/>
      <x:c r="DLI62" s="291"/>
      <x:c r="DLJ62" s="291"/>
      <x:c r="DLK62" s="291"/>
      <x:c r="DLL62" s="291"/>
      <x:c r="DLM62" s="291"/>
      <x:c r="DLN62" s="291"/>
      <x:c r="DLO62" s="291"/>
      <x:c r="DLP62" s="291"/>
      <x:c r="DLQ62" s="291"/>
      <x:c r="DLR62" s="291"/>
      <x:c r="DLS62" s="291"/>
      <x:c r="DLT62" s="291"/>
      <x:c r="DLU62" s="291"/>
      <x:c r="DLV62" s="291"/>
      <x:c r="DLW62" s="291"/>
      <x:c r="DLX62" s="291"/>
      <x:c r="DLY62" s="291"/>
      <x:c r="DLZ62" s="291"/>
      <x:c r="DMA62" s="291"/>
      <x:c r="DMB62" s="291"/>
      <x:c r="DMC62" s="291"/>
      <x:c r="DMD62" s="291"/>
      <x:c r="DME62" s="291"/>
      <x:c r="DMF62" s="291"/>
      <x:c r="DMG62" s="291"/>
      <x:c r="DMH62" s="291"/>
      <x:c r="DMI62" s="291"/>
      <x:c r="DMJ62" s="291"/>
      <x:c r="DMK62" s="291"/>
      <x:c r="DML62" s="291"/>
      <x:c r="DMM62" s="291"/>
      <x:c r="DMN62" s="291"/>
      <x:c r="DMO62" s="291"/>
      <x:c r="DMP62" s="291"/>
      <x:c r="DMQ62" s="291"/>
      <x:c r="DMR62" s="291"/>
      <x:c r="DMS62" s="291"/>
      <x:c r="DMT62" s="291"/>
      <x:c r="DMU62" s="291"/>
      <x:c r="DMV62" s="291"/>
      <x:c r="DMW62" s="291"/>
      <x:c r="DMX62" s="291"/>
      <x:c r="DMY62" s="291"/>
      <x:c r="DMZ62" s="291"/>
      <x:c r="DNA62" s="291"/>
      <x:c r="DNB62" s="291"/>
      <x:c r="DNC62" s="291"/>
      <x:c r="DND62" s="291"/>
      <x:c r="DNE62" s="291"/>
      <x:c r="DNF62" s="291"/>
      <x:c r="DNG62" s="291"/>
      <x:c r="DNH62" s="291"/>
      <x:c r="DNI62" s="291"/>
      <x:c r="DNJ62" s="291"/>
      <x:c r="DNK62" s="291"/>
      <x:c r="DNL62" s="291"/>
      <x:c r="DNM62" s="291"/>
      <x:c r="DNN62" s="291"/>
      <x:c r="DNO62" s="291"/>
      <x:c r="DNP62" s="291"/>
      <x:c r="DNQ62" s="291"/>
      <x:c r="DNR62" s="291"/>
      <x:c r="DNS62" s="291"/>
      <x:c r="DNT62" s="291"/>
      <x:c r="DNU62" s="291"/>
      <x:c r="DNV62" s="291"/>
      <x:c r="DNW62" s="291"/>
      <x:c r="DNX62" s="291"/>
      <x:c r="DNY62" s="291"/>
      <x:c r="DNZ62" s="291"/>
      <x:c r="DOA62" s="291"/>
      <x:c r="DOB62" s="291"/>
      <x:c r="DOC62" s="291"/>
      <x:c r="DOD62" s="291"/>
      <x:c r="DOE62" s="291"/>
      <x:c r="DOF62" s="291"/>
      <x:c r="DOG62" s="291"/>
      <x:c r="DOH62" s="291"/>
      <x:c r="DOI62" s="291"/>
      <x:c r="DOJ62" s="291"/>
      <x:c r="DOK62" s="291"/>
      <x:c r="DOL62" s="291"/>
      <x:c r="DOM62" s="291"/>
      <x:c r="DON62" s="291"/>
      <x:c r="DOO62" s="291"/>
      <x:c r="DOP62" s="291"/>
      <x:c r="DOQ62" s="291"/>
      <x:c r="DOR62" s="291"/>
      <x:c r="DOS62" s="291"/>
      <x:c r="DOT62" s="291"/>
      <x:c r="DOU62" s="291"/>
      <x:c r="DOV62" s="291"/>
      <x:c r="DOW62" s="291"/>
      <x:c r="DOX62" s="291"/>
      <x:c r="DOY62" s="291"/>
      <x:c r="DOZ62" s="291"/>
      <x:c r="DPA62" s="291"/>
      <x:c r="DPB62" s="291"/>
      <x:c r="DPC62" s="291"/>
      <x:c r="DPD62" s="291"/>
      <x:c r="DPE62" s="291"/>
      <x:c r="DPF62" s="291"/>
      <x:c r="DPG62" s="291"/>
      <x:c r="DPH62" s="291"/>
      <x:c r="DPI62" s="291"/>
      <x:c r="DPJ62" s="291"/>
      <x:c r="DPK62" s="291"/>
      <x:c r="DPL62" s="291"/>
      <x:c r="DPM62" s="291"/>
      <x:c r="DPN62" s="291"/>
      <x:c r="DPO62" s="291"/>
      <x:c r="DPP62" s="291"/>
      <x:c r="DPQ62" s="291"/>
      <x:c r="DPR62" s="291"/>
      <x:c r="DPS62" s="291"/>
      <x:c r="DPT62" s="291"/>
      <x:c r="DPU62" s="291"/>
      <x:c r="DPV62" s="291"/>
      <x:c r="DPW62" s="291"/>
      <x:c r="DPX62" s="291"/>
      <x:c r="DPY62" s="291"/>
      <x:c r="DPZ62" s="291"/>
      <x:c r="DQA62" s="291"/>
      <x:c r="DQB62" s="291"/>
      <x:c r="DQC62" s="291"/>
      <x:c r="DQD62" s="291"/>
      <x:c r="DQE62" s="291"/>
      <x:c r="DQF62" s="291"/>
      <x:c r="DQG62" s="291"/>
      <x:c r="DQH62" s="291"/>
      <x:c r="DQI62" s="291"/>
      <x:c r="DQJ62" s="291"/>
      <x:c r="DQK62" s="291"/>
      <x:c r="DQL62" s="291"/>
      <x:c r="DQM62" s="291"/>
      <x:c r="DQN62" s="291"/>
      <x:c r="DQO62" s="291"/>
      <x:c r="DQP62" s="291"/>
      <x:c r="DQQ62" s="291"/>
      <x:c r="DQR62" s="291"/>
      <x:c r="DQS62" s="291"/>
      <x:c r="DQT62" s="291"/>
      <x:c r="DQU62" s="291"/>
      <x:c r="DQV62" s="291"/>
      <x:c r="DQW62" s="291"/>
      <x:c r="DQX62" s="291"/>
      <x:c r="DQY62" s="291"/>
      <x:c r="DQZ62" s="291"/>
      <x:c r="DRA62" s="291"/>
      <x:c r="DRB62" s="291"/>
      <x:c r="DRC62" s="291"/>
      <x:c r="DRD62" s="291"/>
      <x:c r="DRE62" s="291"/>
      <x:c r="DRF62" s="291"/>
      <x:c r="DRG62" s="291"/>
      <x:c r="DRH62" s="291"/>
      <x:c r="DRI62" s="291"/>
      <x:c r="DRJ62" s="291"/>
      <x:c r="DRK62" s="291"/>
      <x:c r="DRL62" s="291"/>
      <x:c r="DRM62" s="291"/>
      <x:c r="DRN62" s="291"/>
      <x:c r="DRO62" s="291"/>
      <x:c r="DRP62" s="291"/>
      <x:c r="DRQ62" s="291"/>
      <x:c r="DRR62" s="291"/>
      <x:c r="DRS62" s="291"/>
      <x:c r="DRT62" s="291"/>
      <x:c r="DRU62" s="291"/>
      <x:c r="DRV62" s="291"/>
      <x:c r="DRW62" s="291"/>
      <x:c r="DRX62" s="291"/>
      <x:c r="DRY62" s="291"/>
      <x:c r="DRZ62" s="291"/>
      <x:c r="DSA62" s="291"/>
      <x:c r="DSB62" s="291"/>
      <x:c r="DSC62" s="291"/>
      <x:c r="DSD62" s="291"/>
      <x:c r="DSE62" s="291"/>
      <x:c r="DSF62" s="291"/>
      <x:c r="DSG62" s="291"/>
      <x:c r="DSH62" s="291"/>
      <x:c r="DSI62" s="291"/>
      <x:c r="DSJ62" s="291"/>
      <x:c r="DSK62" s="291"/>
      <x:c r="DSL62" s="291"/>
      <x:c r="DSM62" s="291"/>
      <x:c r="DSN62" s="291"/>
      <x:c r="DSO62" s="291"/>
      <x:c r="DSP62" s="291"/>
      <x:c r="DSQ62" s="291"/>
      <x:c r="DSR62" s="291"/>
      <x:c r="DSS62" s="291"/>
      <x:c r="DST62" s="291"/>
      <x:c r="DSU62" s="291"/>
      <x:c r="DSV62" s="291"/>
      <x:c r="DSW62" s="291"/>
      <x:c r="DSX62" s="291"/>
      <x:c r="DSY62" s="291"/>
      <x:c r="DSZ62" s="291"/>
      <x:c r="DTA62" s="291"/>
      <x:c r="DTB62" s="291"/>
      <x:c r="DTC62" s="291"/>
      <x:c r="DTD62" s="291"/>
      <x:c r="DTE62" s="291"/>
      <x:c r="DTF62" s="291"/>
      <x:c r="DTG62" s="291"/>
      <x:c r="DTH62" s="291"/>
      <x:c r="DTI62" s="291"/>
      <x:c r="DTJ62" s="291"/>
      <x:c r="DTK62" s="291"/>
      <x:c r="DTL62" s="291"/>
      <x:c r="DTM62" s="291"/>
      <x:c r="DTN62" s="291"/>
      <x:c r="DTO62" s="291"/>
      <x:c r="DTP62" s="291"/>
      <x:c r="DTQ62" s="291"/>
      <x:c r="DTR62" s="291"/>
      <x:c r="DTS62" s="291"/>
      <x:c r="DTT62" s="291"/>
      <x:c r="DTU62" s="291"/>
      <x:c r="DTV62" s="291"/>
      <x:c r="DTW62" s="291"/>
      <x:c r="DTX62" s="291"/>
      <x:c r="DTY62" s="291"/>
      <x:c r="DTZ62" s="291"/>
      <x:c r="DUA62" s="291"/>
      <x:c r="DUB62" s="291"/>
      <x:c r="DUC62" s="291"/>
      <x:c r="DUD62" s="291"/>
      <x:c r="DUE62" s="291"/>
      <x:c r="DUF62" s="291"/>
      <x:c r="DUG62" s="291"/>
      <x:c r="DUH62" s="291"/>
      <x:c r="DUI62" s="291"/>
      <x:c r="DUJ62" s="291"/>
      <x:c r="DUK62" s="291"/>
      <x:c r="DUL62" s="291"/>
      <x:c r="DUM62" s="291"/>
      <x:c r="DUN62" s="291"/>
      <x:c r="DUO62" s="291"/>
      <x:c r="DUP62" s="291"/>
      <x:c r="DUQ62" s="291"/>
      <x:c r="DUR62" s="291"/>
      <x:c r="DUS62" s="291"/>
      <x:c r="DUT62" s="291"/>
      <x:c r="DUU62" s="291"/>
      <x:c r="DUV62" s="291"/>
      <x:c r="DUW62" s="291"/>
      <x:c r="DUX62" s="291"/>
      <x:c r="DUY62" s="291"/>
      <x:c r="DUZ62" s="291"/>
      <x:c r="DVA62" s="291"/>
      <x:c r="DVB62" s="291"/>
      <x:c r="DVC62" s="291"/>
      <x:c r="DVD62" s="291"/>
      <x:c r="DVE62" s="291"/>
      <x:c r="DVF62" s="291"/>
      <x:c r="DVG62" s="291"/>
      <x:c r="DVH62" s="291"/>
      <x:c r="DVI62" s="291"/>
      <x:c r="DVJ62" s="291"/>
      <x:c r="DVK62" s="291"/>
      <x:c r="DVL62" s="291"/>
      <x:c r="DVM62" s="291"/>
      <x:c r="DVN62" s="291"/>
      <x:c r="DVO62" s="291"/>
      <x:c r="DVP62" s="291"/>
      <x:c r="DVQ62" s="291"/>
      <x:c r="DVR62" s="291"/>
      <x:c r="DVS62" s="291"/>
      <x:c r="DVT62" s="291"/>
      <x:c r="DVU62" s="291"/>
      <x:c r="DVV62" s="291"/>
      <x:c r="DVW62" s="291"/>
      <x:c r="DVX62" s="291"/>
      <x:c r="DVY62" s="291"/>
      <x:c r="DVZ62" s="291"/>
      <x:c r="DWA62" s="291"/>
      <x:c r="DWB62" s="291"/>
      <x:c r="DWC62" s="291"/>
      <x:c r="DWD62" s="291"/>
      <x:c r="DWE62" s="291"/>
      <x:c r="DWF62" s="291"/>
      <x:c r="DWG62" s="291"/>
      <x:c r="DWH62" s="291"/>
      <x:c r="DWI62" s="291"/>
      <x:c r="DWJ62" s="291"/>
      <x:c r="DWK62" s="291"/>
      <x:c r="DWL62" s="291"/>
      <x:c r="DWM62" s="291"/>
      <x:c r="DWN62" s="291"/>
      <x:c r="DWO62" s="291"/>
      <x:c r="DWP62" s="291"/>
      <x:c r="DWQ62" s="291"/>
      <x:c r="DWR62" s="291"/>
      <x:c r="DWS62" s="291"/>
      <x:c r="DWT62" s="291"/>
      <x:c r="DWU62" s="291"/>
      <x:c r="DWV62" s="291"/>
      <x:c r="DWW62" s="291"/>
      <x:c r="DWX62" s="291"/>
      <x:c r="DWY62" s="291"/>
      <x:c r="DWZ62" s="291"/>
      <x:c r="DXA62" s="291"/>
      <x:c r="DXB62" s="291"/>
      <x:c r="DXC62" s="291"/>
      <x:c r="DXD62" s="291"/>
      <x:c r="DXE62" s="291"/>
      <x:c r="DXF62" s="291"/>
      <x:c r="DXG62" s="291"/>
      <x:c r="DXH62" s="291"/>
      <x:c r="DXI62" s="291"/>
      <x:c r="DXJ62" s="291"/>
      <x:c r="DXK62" s="291"/>
      <x:c r="DXL62" s="291"/>
      <x:c r="DXM62" s="291"/>
      <x:c r="DXN62" s="291"/>
      <x:c r="DXO62" s="291"/>
      <x:c r="DXP62" s="291"/>
      <x:c r="DXQ62" s="291"/>
      <x:c r="DXR62" s="291"/>
      <x:c r="DXS62" s="291"/>
      <x:c r="DXT62" s="291"/>
      <x:c r="DXU62" s="291"/>
      <x:c r="DXV62" s="291"/>
      <x:c r="DXW62" s="291"/>
      <x:c r="DXX62" s="291"/>
      <x:c r="DXY62" s="291"/>
      <x:c r="DXZ62" s="291"/>
      <x:c r="DYA62" s="291"/>
      <x:c r="DYB62" s="291"/>
      <x:c r="DYC62" s="291"/>
      <x:c r="DYD62" s="291"/>
      <x:c r="DYE62" s="291"/>
      <x:c r="DYF62" s="291"/>
      <x:c r="DYG62" s="291"/>
      <x:c r="DYH62" s="291"/>
      <x:c r="DYI62" s="291"/>
      <x:c r="DYJ62" s="291"/>
      <x:c r="DYK62" s="291"/>
      <x:c r="DYL62" s="291"/>
      <x:c r="DYM62" s="291"/>
      <x:c r="DYN62" s="291"/>
      <x:c r="DYO62" s="291"/>
      <x:c r="DYP62" s="291"/>
      <x:c r="DYQ62" s="291"/>
      <x:c r="DYR62" s="291"/>
      <x:c r="DYS62" s="291"/>
      <x:c r="DYT62" s="291"/>
      <x:c r="DYU62" s="291"/>
      <x:c r="DYV62" s="291"/>
      <x:c r="DYW62" s="291"/>
      <x:c r="DYX62" s="291"/>
      <x:c r="DYY62" s="291"/>
      <x:c r="DYZ62" s="291"/>
      <x:c r="DZA62" s="291"/>
      <x:c r="DZB62" s="291"/>
      <x:c r="DZC62" s="291"/>
      <x:c r="DZD62" s="291"/>
      <x:c r="DZE62" s="291"/>
      <x:c r="DZF62" s="291"/>
      <x:c r="DZG62" s="291"/>
      <x:c r="DZH62" s="291"/>
      <x:c r="DZI62" s="291"/>
      <x:c r="DZJ62" s="291"/>
      <x:c r="DZK62" s="291"/>
      <x:c r="DZL62" s="291"/>
      <x:c r="DZM62" s="291"/>
      <x:c r="DZN62" s="291"/>
      <x:c r="DZO62" s="291"/>
      <x:c r="DZP62" s="291"/>
      <x:c r="DZQ62" s="291"/>
      <x:c r="DZR62" s="291"/>
      <x:c r="DZS62" s="291"/>
      <x:c r="DZT62" s="291"/>
      <x:c r="DZU62" s="291"/>
      <x:c r="DZV62" s="291"/>
      <x:c r="DZW62" s="291"/>
      <x:c r="DZX62" s="291"/>
      <x:c r="DZY62" s="291"/>
      <x:c r="DZZ62" s="291"/>
      <x:c r="EAA62" s="291"/>
      <x:c r="EAB62" s="291"/>
      <x:c r="EAC62" s="291"/>
      <x:c r="EAD62" s="291"/>
      <x:c r="EAE62" s="291"/>
      <x:c r="EAF62" s="291"/>
      <x:c r="EAG62" s="291"/>
      <x:c r="EAH62" s="291"/>
      <x:c r="EAI62" s="291"/>
      <x:c r="EAJ62" s="291"/>
      <x:c r="EAK62" s="291"/>
      <x:c r="EAL62" s="291"/>
      <x:c r="EAM62" s="291"/>
      <x:c r="EAN62" s="291"/>
      <x:c r="EAO62" s="291"/>
      <x:c r="EAP62" s="291"/>
      <x:c r="EAQ62" s="291"/>
      <x:c r="EAR62" s="291"/>
      <x:c r="EAS62" s="291"/>
      <x:c r="EAT62" s="291"/>
      <x:c r="EAU62" s="291"/>
      <x:c r="EAV62" s="291"/>
      <x:c r="EAW62" s="291"/>
      <x:c r="EAX62" s="291"/>
      <x:c r="EAY62" s="291"/>
      <x:c r="EAZ62" s="291"/>
      <x:c r="EBA62" s="291"/>
      <x:c r="EBB62" s="291"/>
      <x:c r="EBC62" s="291"/>
      <x:c r="EBD62" s="291"/>
      <x:c r="EBE62" s="291"/>
      <x:c r="EBF62" s="291"/>
      <x:c r="EBG62" s="291"/>
      <x:c r="EBH62" s="291"/>
      <x:c r="EBI62" s="291"/>
      <x:c r="EBJ62" s="291"/>
      <x:c r="EBK62" s="291"/>
      <x:c r="EBL62" s="291"/>
      <x:c r="EBM62" s="291"/>
      <x:c r="EBN62" s="291"/>
      <x:c r="EBO62" s="291"/>
      <x:c r="EBP62" s="291"/>
      <x:c r="EBQ62" s="291"/>
      <x:c r="EBR62" s="291"/>
      <x:c r="EBS62" s="291"/>
      <x:c r="EBT62" s="291"/>
      <x:c r="EBU62" s="291"/>
      <x:c r="EBV62" s="291"/>
      <x:c r="EBW62" s="291"/>
      <x:c r="EBX62" s="291"/>
      <x:c r="EBY62" s="291"/>
      <x:c r="EBZ62" s="291"/>
      <x:c r="ECA62" s="291"/>
      <x:c r="ECB62" s="291"/>
      <x:c r="ECC62" s="291"/>
      <x:c r="ECD62" s="291"/>
      <x:c r="ECE62" s="291"/>
      <x:c r="ECF62" s="291"/>
      <x:c r="ECG62" s="291"/>
      <x:c r="ECH62" s="291"/>
      <x:c r="ECI62" s="291"/>
      <x:c r="ECJ62" s="291"/>
      <x:c r="ECK62" s="291"/>
      <x:c r="ECL62" s="291"/>
      <x:c r="ECM62" s="291"/>
      <x:c r="ECN62" s="291"/>
      <x:c r="ECO62" s="291"/>
      <x:c r="ECP62" s="291"/>
      <x:c r="ECQ62" s="291"/>
      <x:c r="ECR62" s="291"/>
      <x:c r="ECS62" s="291"/>
      <x:c r="ECT62" s="291"/>
      <x:c r="ECU62" s="291"/>
      <x:c r="ECV62" s="291"/>
      <x:c r="ECW62" s="291"/>
      <x:c r="ECX62" s="291"/>
      <x:c r="ECY62" s="291"/>
      <x:c r="ECZ62" s="291"/>
      <x:c r="EDA62" s="291"/>
      <x:c r="EDB62" s="291"/>
      <x:c r="EDC62" s="291"/>
      <x:c r="EDD62" s="291"/>
      <x:c r="EDE62" s="291"/>
      <x:c r="EDF62" s="291"/>
      <x:c r="EDG62" s="291"/>
      <x:c r="EDH62" s="291"/>
      <x:c r="EDI62" s="291"/>
      <x:c r="EDJ62" s="291"/>
      <x:c r="EDK62" s="291"/>
      <x:c r="EDL62" s="291"/>
      <x:c r="EDM62" s="291"/>
      <x:c r="EDN62" s="291"/>
      <x:c r="EDO62" s="291"/>
      <x:c r="EDP62" s="291"/>
      <x:c r="EDQ62" s="291"/>
      <x:c r="EDR62" s="291"/>
      <x:c r="EDS62" s="291"/>
      <x:c r="EDT62" s="291"/>
      <x:c r="EDU62" s="291"/>
      <x:c r="EDV62" s="291"/>
      <x:c r="EDW62" s="291"/>
      <x:c r="EDX62" s="291"/>
      <x:c r="EDY62" s="291"/>
      <x:c r="EDZ62" s="291"/>
      <x:c r="EEA62" s="291"/>
      <x:c r="EEB62" s="291"/>
      <x:c r="EEC62" s="291"/>
      <x:c r="EED62" s="291"/>
      <x:c r="EEE62" s="291"/>
      <x:c r="EEF62" s="291"/>
      <x:c r="EEG62" s="291"/>
      <x:c r="EEH62" s="291"/>
      <x:c r="EEI62" s="291"/>
      <x:c r="EEJ62" s="291"/>
      <x:c r="EEK62" s="291"/>
      <x:c r="EEL62" s="291"/>
      <x:c r="EEM62" s="291"/>
      <x:c r="EEN62" s="291"/>
      <x:c r="EEO62" s="291"/>
      <x:c r="EEP62" s="291"/>
      <x:c r="EEQ62" s="291"/>
      <x:c r="EER62" s="291"/>
      <x:c r="EES62" s="291"/>
      <x:c r="EET62" s="291"/>
      <x:c r="EEU62" s="291"/>
      <x:c r="EEV62" s="291"/>
      <x:c r="EEW62" s="291"/>
      <x:c r="EEX62" s="291"/>
      <x:c r="EEY62" s="291"/>
      <x:c r="EEZ62" s="291"/>
      <x:c r="EFA62" s="291"/>
      <x:c r="EFB62" s="291"/>
      <x:c r="EFC62" s="291"/>
      <x:c r="EFD62" s="291"/>
      <x:c r="EFE62" s="291"/>
      <x:c r="EFF62" s="291"/>
      <x:c r="EFG62" s="291"/>
      <x:c r="EFH62" s="291"/>
      <x:c r="EFI62" s="291"/>
      <x:c r="EFJ62" s="291"/>
      <x:c r="EFK62" s="291"/>
      <x:c r="EFL62" s="291"/>
      <x:c r="EFM62" s="291"/>
      <x:c r="EFN62" s="291"/>
      <x:c r="EFO62" s="291"/>
      <x:c r="EFP62" s="291"/>
      <x:c r="EFQ62" s="291"/>
      <x:c r="EFR62" s="291"/>
      <x:c r="EFS62" s="291"/>
      <x:c r="EFT62" s="291"/>
      <x:c r="EFU62" s="291"/>
      <x:c r="EFV62" s="291"/>
      <x:c r="EFW62" s="291"/>
      <x:c r="EFX62" s="291"/>
      <x:c r="EFY62" s="291"/>
      <x:c r="EFZ62" s="291"/>
      <x:c r="EGA62" s="291"/>
      <x:c r="EGB62" s="291"/>
      <x:c r="EGC62" s="291"/>
      <x:c r="EGD62" s="291"/>
      <x:c r="EGE62" s="291"/>
      <x:c r="EGF62" s="291"/>
      <x:c r="EGG62" s="291"/>
      <x:c r="EGH62" s="291"/>
      <x:c r="EGI62" s="291"/>
      <x:c r="EGJ62" s="291"/>
      <x:c r="EGK62" s="291"/>
      <x:c r="EGL62" s="291"/>
      <x:c r="EGM62" s="291"/>
      <x:c r="EGN62" s="291"/>
      <x:c r="EGO62" s="291"/>
      <x:c r="EGP62" s="291"/>
      <x:c r="EGQ62" s="291"/>
      <x:c r="EGR62" s="291"/>
      <x:c r="EGS62" s="291"/>
      <x:c r="EGT62" s="291"/>
      <x:c r="EGU62" s="291"/>
      <x:c r="EGV62" s="291"/>
      <x:c r="EGW62" s="291"/>
      <x:c r="EGX62" s="291"/>
      <x:c r="EGY62" s="291"/>
      <x:c r="EGZ62" s="291"/>
      <x:c r="EHA62" s="291"/>
      <x:c r="EHB62" s="291"/>
      <x:c r="EHC62" s="291"/>
      <x:c r="EHD62" s="291"/>
      <x:c r="EHE62" s="291"/>
      <x:c r="EHF62" s="291"/>
      <x:c r="EHG62" s="291"/>
      <x:c r="EHH62" s="291"/>
      <x:c r="EHI62" s="291"/>
      <x:c r="EHJ62" s="291"/>
      <x:c r="EHK62" s="291"/>
      <x:c r="EHL62" s="291"/>
      <x:c r="EHM62" s="291"/>
      <x:c r="EHN62" s="291"/>
      <x:c r="EHO62" s="291"/>
      <x:c r="EHP62" s="291"/>
      <x:c r="EHQ62" s="291"/>
      <x:c r="EHR62" s="291"/>
      <x:c r="EHS62" s="291"/>
      <x:c r="EHT62" s="291"/>
      <x:c r="EHU62" s="291"/>
      <x:c r="EHV62" s="291"/>
      <x:c r="EHW62" s="291"/>
      <x:c r="EHX62" s="291"/>
      <x:c r="EHY62" s="291"/>
      <x:c r="EHZ62" s="291"/>
      <x:c r="EIA62" s="291"/>
      <x:c r="EIB62" s="291"/>
      <x:c r="EIC62" s="291"/>
      <x:c r="EID62" s="291"/>
      <x:c r="EIE62" s="291"/>
      <x:c r="EIF62" s="291"/>
      <x:c r="EIG62" s="291"/>
      <x:c r="EIH62" s="291"/>
      <x:c r="EII62" s="291"/>
      <x:c r="EIJ62" s="291"/>
      <x:c r="EIK62" s="291"/>
      <x:c r="EIL62" s="291"/>
      <x:c r="EIM62" s="291"/>
      <x:c r="EIN62" s="291"/>
      <x:c r="EIO62" s="291"/>
      <x:c r="EIP62" s="291"/>
      <x:c r="EIQ62" s="291"/>
      <x:c r="EIR62" s="291"/>
      <x:c r="EIS62" s="291"/>
      <x:c r="EIT62" s="291"/>
      <x:c r="EIU62" s="291"/>
      <x:c r="EIV62" s="291"/>
      <x:c r="EIW62" s="291"/>
      <x:c r="EIX62" s="291"/>
      <x:c r="EIY62" s="291"/>
      <x:c r="EIZ62" s="291"/>
      <x:c r="EJA62" s="291"/>
      <x:c r="EJB62" s="291"/>
      <x:c r="EJC62" s="291"/>
      <x:c r="EJD62" s="291"/>
      <x:c r="EJE62" s="291"/>
      <x:c r="EJF62" s="291"/>
      <x:c r="EJG62" s="291"/>
      <x:c r="EJH62" s="291"/>
      <x:c r="EJI62" s="291"/>
      <x:c r="EJJ62" s="291"/>
      <x:c r="EJK62" s="291"/>
      <x:c r="EJL62" s="291"/>
      <x:c r="EJM62" s="291"/>
      <x:c r="EJN62" s="291"/>
      <x:c r="EJO62" s="291"/>
      <x:c r="EJP62" s="291"/>
      <x:c r="EJQ62" s="291"/>
      <x:c r="EJR62" s="291"/>
      <x:c r="EJS62" s="291"/>
      <x:c r="EJT62" s="291"/>
      <x:c r="EJU62" s="291"/>
      <x:c r="EJV62" s="291"/>
      <x:c r="EJW62" s="291"/>
      <x:c r="EJX62" s="291"/>
      <x:c r="EJY62" s="291"/>
      <x:c r="EJZ62" s="291"/>
      <x:c r="EKA62" s="291"/>
      <x:c r="EKB62" s="291"/>
      <x:c r="EKC62" s="291"/>
      <x:c r="EKD62" s="291"/>
      <x:c r="EKE62" s="291"/>
      <x:c r="EKF62" s="291"/>
      <x:c r="EKG62" s="291"/>
      <x:c r="EKH62" s="291"/>
      <x:c r="EKI62" s="291"/>
      <x:c r="EKJ62" s="291"/>
      <x:c r="EKK62" s="291"/>
      <x:c r="EKL62" s="291"/>
      <x:c r="EKM62" s="291"/>
      <x:c r="EKN62" s="291"/>
      <x:c r="EKO62" s="291"/>
      <x:c r="EKP62" s="291"/>
      <x:c r="EKQ62" s="291"/>
      <x:c r="EKR62" s="291"/>
      <x:c r="EKS62" s="291"/>
      <x:c r="EKT62" s="291"/>
      <x:c r="EKU62" s="291"/>
      <x:c r="EKV62" s="291"/>
      <x:c r="EKW62" s="291"/>
      <x:c r="EKX62" s="291"/>
      <x:c r="EKY62" s="291"/>
      <x:c r="EKZ62" s="291"/>
      <x:c r="ELA62" s="291"/>
      <x:c r="ELB62" s="291"/>
      <x:c r="ELC62" s="291"/>
      <x:c r="ELD62" s="291"/>
      <x:c r="ELE62" s="291"/>
      <x:c r="ELF62" s="291"/>
      <x:c r="ELG62" s="291"/>
      <x:c r="ELH62" s="291"/>
      <x:c r="ELI62" s="291"/>
      <x:c r="ELJ62" s="291"/>
      <x:c r="ELK62" s="291"/>
      <x:c r="ELL62" s="291"/>
      <x:c r="ELM62" s="291"/>
      <x:c r="ELN62" s="291"/>
      <x:c r="ELO62" s="291"/>
      <x:c r="ELP62" s="291"/>
      <x:c r="ELQ62" s="291"/>
      <x:c r="ELR62" s="291"/>
      <x:c r="ELS62" s="291"/>
      <x:c r="ELT62" s="291"/>
      <x:c r="ELU62" s="291"/>
      <x:c r="ELV62" s="291"/>
      <x:c r="ELW62" s="291"/>
      <x:c r="ELX62" s="291"/>
      <x:c r="ELY62" s="291"/>
      <x:c r="ELZ62" s="291"/>
      <x:c r="EMA62" s="291"/>
      <x:c r="EMB62" s="291"/>
      <x:c r="EMC62" s="291"/>
      <x:c r="EMD62" s="291"/>
      <x:c r="EME62" s="291"/>
      <x:c r="EMF62" s="291"/>
      <x:c r="EMG62" s="291"/>
      <x:c r="EMH62" s="291"/>
      <x:c r="EMI62" s="291"/>
      <x:c r="EMJ62" s="291"/>
      <x:c r="EMK62" s="291"/>
      <x:c r="EML62" s="291"/>
      <x:c r="EMM62" s="291"/>
      <x:c r="EMN62" s="291"/>
      <x:c r="EMO62" s="291"/>
      <x:c r="EMP62" s="291"/>
      <x:c r="EMQ62" s="291"/>
      <x:c r="EMR62" s="291"/>
      <x:c r="EMS62" s="291"/>
      <x:c r="EMT62" s="291"/>
      <x:c r="EMU62" s="291"/>
      <x:c r="EMV62" s="291"/>
      <x:c r="EMW62" s="291"/>
      <x:c r="EMX62" s="291"/>
      <x:c r="EMY62" s="291"/>
      <x:c r="EMZ62" s="291"/>
      <x:c r="ENA62" s="291"/>
      <x:c r="ENB62" s="291"/>
      <x:c r="ENC62" s="291"/>
      <x:c r="END62" s="291"/>
      <x:c r="ENE62" s="291"/>
      <x:c r="ENF62" s="291"/>
      <x:c r="ENG62" s="291"/>
      <x:c r="ENH62" s="291"/>
      <x:c r="ENI62" s="291"/>
      <x:c r="ENJ62" s="291"/>
      <x:c r="ENK62" s="291"/>
      <x:c r="ENL62" s="291"/>
      <x:c r="ENM62" s="291"/>
      <x:c r="ENN62" s="291"/>
      <x:c r="ENO62" s="291"/>
      <x:c r="ENP62" s="291"/>
      <x:c r="ENQ62" s="291"/>
      <x:c r="ENR62" s="291"/>
      <x:c r="ENS62" s="291"/>
      <x:c r="ENT62" s="291"/>
      <x:c r="ENU62" s="291"/>
      <x:c r="ENV62" s="291"/>
      <x:c r="ENW62" s="291"/>
      <x:c r="ENX62" s="291"/>
      <x:c r="ENY62" s="291"/>
      <x:c r="ENZ62" s="291"/>
      <x:c r="EOA62" s="291"/>
      <x:c r="EOB62" s="291"/>
      <x:c r="EOC62" s="291"/>
      <x:c r="EOD62" s="291"/>
      <x:c r="EOE62" s="291"/>
      <x:c r="EOF62" s="291"/>
      <x:c r="EOG62" s="291"/>
      <x:c r="EOH62" s="291"/>
      <x:c r="EOI62" s="291"/>
      <x:c r="EOJ62" s="291"/>
      <x:c r="EOK62" s="291"/>
      <x:c r="EOL62" s="291"/>
      <x:c r="EOM62" s="291"/>
      <x:c r="EON62" s="291"/>
      <x:c r="EOO62" s="291"/>
      <x:c r="EOP62" s="291"/>
      <x:c r="EOQ62" s="291"/>
      <x:c r="EOR62" s="291"/>
      <x:c r="EOS62" s="291"/>
      <x:c r="EOT62" s="291"/>
      <x:c r="EOU62" s="291"/>
      <x:c r="EOV62" s="291"/>
      <x:c r="EOW62" s="291"/>
      <x:c r="EOX62" s="291"/>
      <x:c r="EOY62" s="291"/>
      <x:c r="EOZ62" s="291"/>
      <x:c r="EPA62" s="291"/>
      <x:c r="EPB62" s="291"/>
      <x:c r="EPC62" s="291"/>
      <x:c r="EPD62" s="291"/>
      <x:c r="EPE62" s="291"/>
      <x:c r="EPF62" s="291"/>
      <x:c r="EPG62" s="291"/>
      <x:c r="EPH62" s="291"/>
      <x:c r="EPI62" s="291"/>
      <x:c r="EPJ62" s="291"/>
      <x:c r="EPK62" s="291"/>
      <x:c r="EPL62" s="291"/>
      <x:c r="EPM62" s="291"/>
      <x:c r="EPN62" s="291"/>
      <x:c r="EPO62" s="291"/>
      <x:c r="EPP62" s="291"/>
      <x:c r="EPQ62" s="291"/>
      <x:c r="EPR62" s="291"/>
      <x:c r="EPS62" s="291"/>
      <x:c r="EPT62" s="291"/>
      <x:c r="EPU62" s="291"/>
      <x:c r="EPV62" s="291"/>
      <x:c r="EPW62" s="291"/>
      <x:c r="EPX62" s="291"/>
      <x:c r="EPY62" s="291"/>
      <x:c r="EPZ62" s="291"/>
      <x:c r="EQA62" s="291"/>
      <x:c r="EQB62" s="291"/>
      <x:c r="EQC62" s="291"/>
      <x:c r="EQD62" s="291"/>
      <x:c r="EQE62" s="291"/>
      <x:c r="EQF62" s="291"/>
      <x:c r="EQG62" s="291"/>
      <x:c r="EQH62" s="291"/>
      <x:c r="EQI62" s="291"/>
      <x:c r="EQJ62" s="291"/>
      <x:c r="EQK62" s="291"/>
      <x:c r="EQL62" s="291"/>
      <x:c r="EQM62" s="291"/>
      <x:c r="EQN62" s="291"/>
      <x:c r="EQO62" s="291"/>
      <x:c r="EQP62" s="291"/>
      <x:c r="EQQ62" s="291"/>
      <x:c r="EQR62" s="291"/>
      <x:c r="EQS62" s="291"/>
      <x:c r="EQT62" s="291"/>
      <x:c r="EQU62" s="291"/>
      <x:c r="EQV62" s="291"/>
      <x:c r="EQW62" s="291"/>
      <x:c r="EQX62" s="291"/>
      <x:c r="EQY62" s="291"/>
      <x:c r="EQZ62" s="291"/>
      <x:c r="ERA62" s="291"/>
      <x:c r="ERB62" s="291"/>
      <x:c r="ERC62" s="291"/>
      <x:c r="ERD62" s="291"/>
      <x:c r="ERE62" s="291"/>
      <x:c r="ERF62" s="291"/>
      <x:c r="ERG62" s="291"/>
      <x:c r="ERH62" s="291"/>
      <x:c r="ERI62" s="291"/>
      <x:c r="ERJ62" s="291"/>
      <x:c r="ERK62" s="291"/>
      <x:c r="ERL62" s="291"/>
      <x:c r="ERM62" s="291"/>
      <x:c r="ERN62" s="291"/>
      <x:c r="ERO62" s="291"/>
      <x:c r="ERP62" s="291"/>
      <x:c r="ERQ62" s="291"/>
      <x:c r="ERR62" s="291"/>
      <x:c r="ERS62" s="291"/>
      <x:c r="ERT62" s="291"/>
      <x:c r="ERU62" s="291"/>
      <x:c r="ERV62" s="291"/>
      <x:c r="ERW62" s="291"/>
      <x:c r="ERX62" s="291"/>
      <x:c r="ERY62" s="291"/>
      <x:c r="ERZ62" s="291"/>
      <x:c r="ESA62" s="291"/>
      <x:c r="ESB62" s="291"/>
      <x:c r="ESC62" s="291"/>
      <x:c r="ESD62" s="291"/>
      <x:c r="ESE62" s="291"/>
      <x:c r="ESF62" s="291"/>
      <x:c r="ESG62" s="291"/>
      <x:c r="ESH62" s="291"/>
      <x:c r="ESI62" s="291"/>
      <x:c r="ESJ62" s="291"/>
      <x:c r="ESK62" s="291"/>
      <x:c r="ESL62" s="291"/>
      <x:c r="ESM62" s="291"/>
      <x:c r="ESN62" s="291"/>
      <x:c r="ESO62" s="291"/>
      <x:c r="ESP62" s="291"/>
      <x:c r="ESQ62" s="291"/>
      <x:c r="ESR62" s="291"/>
      <x:c r="ESS62" s="291"/>
      <x:c r="EST62" s="291"/>
      <x:c r="ESU62" s="291"/>
      <x:c r="ESV62" s="291"/>
      <x:c r="ESW62" s="291"/>
      <x:c r="ESX62" s="291"/>
      <x:c r="ESY62" s="291"/>
      <x:c r="ESZ62" s="291"/>
      <x:c r="ETA62" s="291"/>
      <x:c r="ETB62" s="291"/>
      <x:c r="ETC62" s="291"/>
      <x:c r="ETD62" s="291"/>
      <x:c r="ETE62" s="291"/>
      <x:c r="ETF62" s="291"/>
      <x:c r="ETG62" s="291"/>
      <x:c r="ETH62" s="291"/>
      <x:c r="ETI62" s="291"/>
      <x:c r="ETJ62" s="291"/>
      <x:c r="ETK62" s="291"/>
      <x:c r="ETL62" s="291"/>
      <x:c r="ETM62" s="291"/>
      <x:c r="ETN62" s="291"/>
      <x:c r="ETO62" s="291"/>
      <x:c r="ETP62" s="291"/>
      <x:c r="ETQ62" s="291"/>
      <x:c r="ETR62" s="291"/>
      <x:c r="ETS62" s="291"/>
      <x:c r="ETT62" s="291"/>
      <x:c r="ETU62" s="291"/>
      <x:c r="ETV62" s="291"/>
      <x:c r="ETW62" s="291"/>
      <x:c r="ETX62" s="291"/>
      <x:c r="ETY62" s="291"/>
      <x:c r="ETZ62" s="291"/>
      <x:c r="EUA62" s="291"/>
      <x:c r="EUB62" s="291"/>
      <x:c r="EUC62" s="291"/>
      <x:c r="EUD62" s="291"/>
      <x:c r="EUE62" s="291"/>
      <x:c r="EUF62" s="291"/>
      <x:c r="EUG62" s="291"/>
      <x:c r="EUH62" s="291"/>
      <x:c r="EUI62" s="291"/>
      <x:c r="EUJ62" s="291"/>
      <x:c r="EUK62" s="291"/>
      <x:c r="EUL62" s="291"/>
      <x:c r="EUM62" s="291"/>
      <x:c r="EUN62" s="291"/>
      <x:c r="EUO62" s="291"/>
      <x:c r="EUP62" s="291"/>
      <x:c r="EUQ62" s="291"/>
      <x:c r="EUR62" s="291"/>
      <x:c r="EUS62" s="291"/>
      <x:c r="EUT62" s="291"/>
      <x:c r="EUU62" s="291"/>
      <x:c r="EUV62" s="291"/>
      <x:c r="EUW62" s="291"/>
      <x:c r="EUX62" s="291"/>
      <x:c r="EUY62" s="291"/>
      <x:c r="EUZ62" s="291"/>
      <x:c r="EVA62" s="291"/>
      <x:c r="EVB62" s="291"/>
      <x:c r="EVC62" s="291"/>
      <x:c r="EVD62" s="291"/>
      <x:c r="EVE62" s="291"/>
      <x:c r="EVF62" s="291"/>
      <x:c r="EVG62" s="291"/>
      <x:c r="EVH62" s="291"/>
      <x:c r="EVI62" s="291"/>
      <x:c r="EVJ62" s="291"/>
      <x:c r="EVK62" s="291"/>
      <x:c r="EVL62" s="291"/>
      <x:c r="EVM62" s="291"/>
      <x:c r="EVN62" s="291"/>
      <x:c r="EVO62" s="291"/>
      <x:c r="EVP62" s="291"/>
      <x:c r="EVQ62" s="291"/>
      <x:c r="EVR62" s="291"/>
      <x:c r="EVS62" s="291"/>
      <x:c r="EVT62" s="291"/>
      <x:c r="EVU62" s="291"/>
      <x:c r="EVV62" s="291"/>
      <x:c r="EVW62" s="291"/>
      <x:c r="EVX62" s="291"/>
      <x:c r="EVY62" s="291"/>
      <x:c r="EVZ62" s="291"/>
      <x:c r="EWA62" s="291"/>
      <x:c r="EWB62" s="291"/>
      <x:c r="EWC62" s="291"/>
      <x:c r="EWD62" s="291"/>
      <x:c r="EWE62" s="291"/>
      <x:c r="EWF62" s="291"/>
      <x:c r="EWG62" s="291"/>
      <x:c r="EWH62" s="291"/>
      <x:c r="EWI62" s="291"/>
      <x:c r="EWJ62" s="291"/>
      <x:c r="EWK62" s="291"/>
      <x:c r="EWL62" s="291"/>
      <x:c r="EWM62" s="291"/>
      <x:c r="EWN62" s="291"/>
      <x:c r="EWO62" s="291"/>
      <x:c r="EWP62" s="291"/>
      <x:c r="EWQ62" s="291"/>
      <x:c r="EWR62" s="291"/>
      <x:c r="EWS62" s="291"/>
      <x:c r="EWT62" s="291"/>
      <x:c r="EWU62" s="291"/>
      <x:c r="EWV62" s="291"/>
      <x:c r="EWW62" s="291"/>
      <x:c r="EWX62" s="291"/>
      <x:c r="EWY62" s="291"/>
      <x:c r="EWZ62" s="291"/>
      <x:c r="EXA62" s="291"/>
      <x:c r="EXB62" s="291"/>
      <x:c r="EXC62" s="291"/>
      <x:c r="EXD62" s="291"/>
      <x:c r="EXE62" s="291"/>
      <x:c r="EXF62" s="291"/>
      <x:c r="EXG62" s="291"/>
      <x:c r="EXH62" s="291"/>
      <x:c r="EXI62" s="291"/>
      <x:c r="EXJ62" s="291"/>
      <x:c r="EXK62" s="291"/>
      <x:c r="EXL62" s="291"/>
      <x:c r="EXM62" s="291"/>
      <x:c r="EXN62" s="291"/>
      <x:c r="EXO62" s="291"/>
      <x:c r="EXP62" s="291"/>
      <x:c r="EXQ62" s="291"/>
      <x:c r="EXR62" s="291"/>
      <x:c r="EXS62" s="291"/>
      <x:c r="EXT62" s="291"/>
      <x:c r="EXU62" s="291"/>
      <x:c r="EXV62" s="291"/>
      <x:c r="EXW62" s="291"/>
      <x:c r="EXX62" s="291"/>
      <x:c r="EXY62" s="291"/>
      <x:c r="EXZ62" s="291"/>
      <x:c r="EYA62" s="291"/>
      <x:c r="EYB62" s="291"/>
      <x:c r="EYC62" s="291"/>
      <x:c r="EYD62" s="291"/>
      <x:c r="EYE62" s="291"/>
      <x:c r="EYF62" s="291"/>
      <x:c r="EYG62" s="291"/>
      <x:c r="EYH62" s="291"/>
      <x:c r="EYI62" s="291"/>
      <x:c r="EYJ62" s="291"/>
      <x:c r="EYK62" s="291"/>
      <x:c r="EYL62" s="291"/>
      <x:c r="EYM62" s="291"/>
      <x:c r="EYN62" s="291"/>
      <x:c r="EYO62" s="291"/>
      <x:c r="EYP62" s="291"/>
      <x:c r="EYQ62" s="291"/>
      <x:c r="EYR62" s="291"/>
      <x:c r="EYS62" s="291"/>
      <x:c r="EYT62" s="291"/>
      <x:c r="EYU62" s="291"/>
      <x:c r="EYV62" s="291"/>
      <x:c r="EYW62" s="291"/>
      <x:c r="EYX62" s="291"/>
      <x:c r="EYY62" s="291"/>
      <x:c r="EYZ62" s="291"/>
      <x:c r="EZA62" s="291"/>
      <x:c r="EZB62" s="291"/>
      <x:c r="EZC62" s="291"/>
      <x:c r="EZD62" s="291"/>
      <x:c r="EZE62" s="291"/>
      <x:c r="EZF62" s="291"/>
      <x:c r="EZG62" s="291"/>
      <x:c r="EZH62" s="291"/>
      <x:c r="EZI62" s="291"/>
      <x:c r="EZJ62" s="291"/>
      <x:c r="EZK62" s="291"/>
      <x:c r="EZL62" s="291"/>
      <x:c r="EZM62" s="291"/>
      <x:c r="EZN62" s="291"/>
      <x:c r="EZO62" s="291"/>
      <x:c r="EZP62" s="291"/>
      <x:c r="EZQ62" s="291"/>
      <x:c r="EZR62" s="291"/>
      <x:c r="EZS62" s="291"/>
      <x:c r="EZT62" s="291"/>
      <x:c r="EZU62" s="291"/>
      <x:c r="EZV62" s="291"/>
      <x:c r="EZW62" s="291"/>
      <x:c r="EZX62" s="291"/>
      <x:c r="EZY62" s="291"/>
      <x:c r="EZZ62" s="291"/>
      <x:c r="FAA62" s="291"/>
      <x:c r="FAB62" s="291"/>
      <x:c r="FAC62" s="291"/>
      <x:c r="FAD62" s="291"/>
      <x:c r="FAE62" s="291"/>
      <x:c r="FAF62" s="291"/>
      <x:c r="FAG62" s="291"/>
      <x:c r="FAH62" s="291"/>
      <x:c r="FAI62" s="291"/>
      <x:c r="FAJ62" s="291"/>
      <x:c r="FAK62" s="291"/>
      <x:c r="FAL62" s="291"/>
      <x:c r="FAM62" s="291"/>
      <x:c r="FAN62" s="291"/>
      <x:c r="FAO62" s="291"/>
      <x:c r="FAP62" s="291"/>
      <x:c r="FAQ62" s="291"/>
      <x:c r="FAR62" s="291"/>
      <x:c r="FAS62" s="291"/>
      <x:c r="FAT62" s="291"/>
      <x:c r="FAU62" s="291"/>
      <x:c r="FAV62" s="291"/>
      <x:c r="FAW62" s="291"/>
      <x:c r="FAX62" s="291"/>
      <x:c r="FAY62" s="291"/>
      <x:c r="FAZ62" s="291"/>
      <x:c r="FBA62" s="291"/>
      <x:c r="FBB62" s="291"/>
      <x:c r="FBC62" s="291"/>
      <x:c r="FBD62" s="291"/>
      <x:c r="FBE62" s="291"/>
      <x:c r="FBF62" s="291"/>
      <x:c r="FBG62" s="291"/>
      <x:c r="FBH62" s="291"/>
      <x:c r="FBI62" s="291"/>
      <x:c r="FBJ62" s="291"/>
      <x:c r="FBK62" s="291"/>
      <x:c r="FBL62" s="291"/>
      <x:c r="FBM62" s="291"/>
      <x:c r="FBN62" s="291"/>
      <x:c r="FBO62" s="291"/>
      <x:c r="FBP62" s="291"/>
      <x:c r="FBQ62" s="291"/>
      <x:c r="FBR62" s="291"/>
      <x:c r="FBS62" s="291"/>
      <x:c r="FBT62" s="291"/>
      <x:c r="FBU62" s="291"/>
      <x:c r="FBV62" s="291"/>
      <x:c r="FBW62" s="291"/>
      <x:c r="FBX62" s="291"/>
      <x:c r="FBY62" s="291"/>
      <x:c r="FBZ62" s="291"/>
      <x:c r="FCA62" s="291"/>
      <x:c r="FCB62" s="291"/>
      <x:c r="FCC62" s="291"/>
      <x:c r="FCD62" s="291"/>
      <x:c r="FCE62" s="291"/>
      <x:c r="FCF62" s="291"/>
      <x:c r="FCG62" s="291"/>
      <x:c r="FCH62" s="291"/>
      <x:c r="FCI62" s="291"/>
      <x:c r="FCJ62" s="291"/>
      <x:c r="FCK62" s="291"/>
      <x:c r="FCL62" s="291"/>
      <x:c r="FCM62" s="291"/>
      <x:c r="FCN62" s="291"/>
      <x:c r="FCO62" s="291"/>
      <x:c r="FCP62" s="291"/>
      <x:c r="FCQ62" s="291"/>
      <x:c r="FCR62" s="291"/>
      <x:c r="FCS62" s="291"/>
      <x:c r="FCT62" s="291"/>
      <x:c r="FCU62" s="291"/>
      <x:c r="FCV62" s="291"/>
      <x:c r="FCW62" s="291"/>
      <x:c r="FCX62" s="291"/>
      <x:c r="FCY62" s="291"/>
      <x:c r="FCZ62" s="291"/>
      <x:c r="FDA62" s="291"/>
      <x:c r="FDB62" s="291"/>
      <x:c r="FDC62" s="291"/>
      <x:c r="FDD62" s="291"/>
      <x:c r="FDE62" s="291"/>
      <x:c r="FDF62" s="291"/>
      <x:c r="FDG62" s="291"/>
      <x:c r="FDH62" s="291"/>
      <x:c r="FDI62" s="291"/>
      <x:c r="FDJ62" s="291"/>
      <x:c r="FDK62" s="291"/>
      <x:c r="FDL62" s="291"/>
      <x:c r="FDM62" s="291"/>
      <x:c r="FDN62" s="291"/>
      <x:c r="FDO62" s="291"/>
      <x:c r="FDP62" s="291"/>
      <x:c r="FDQ62" s="291"/>
      <x:c r="FDR62" s="291"/>
      <x:c r="FDS62" s="291"/>
      <x:c r="FDT62" s="291"/>
      <x:c r="FDU62" s="291"/>
      <x:c r="FDV62" s="291"/>
      <x:c r="FDW62" s="291"/>
      <x:c r="FDX62" s="291"/>
      <x:c r="FDY62" s="291"/>
      <x:c r="FDZ62" s="291"/>
      <x:c r="FEA62" s="291"/>
      <x:c r="FEB62" s="291"/>
      <x:c r="FEC62" s="291"/>
      <x:c r="FED62" s="291"/>
      <x:c r="FEE62" s="291"/>
      <x:c r="FEF62" s="291"/>
      <x:c r="FEG62" s="291"/>
      <x:c r="FEH62" s="291"/>
      <x:c r="FEI62" s="291"/>
      <x:c r="FEJ62" s="291"/>
      <x:c r="FEK62" s="291"/>
      <x:c r="FEL62" s="291"/>
      <x:c r="FEM62" s="291"/>
      <x:c r="FEN62" s="291"/>
      <x:c r="FEO62" s="291"/>
      <x:c r="FEP62" s="291"/>
      <x:c r="FEQ62" s="291"/>
      <x:c r="FER62" s="291"/>
      <x:c r="FES62" s="291"/>
      <x:c r="FET62" s="291"/>
      <x:c r="FEU62" s="291"/>
      <x:c r="FEV62" s="291"/>
      <x:c r="FEW62" s="291"/>
      <x:c r="FEX62" s="291"/>
      <x:c r="FEY62" s="291"/>
      <x:c r="FEZ62" s="291"/>
      <x:c r="FFA62" s="291"/>
      <x:c r="FFB62" s="291"/>
      <x:c r="FFC62" s="291"/>
      <x:c r="FFD62" s="291"/>
      <x:c r="FFE62" s="291"/>
      <x:c r="FFF62" s="291"/>
      <x:c r="FFG62" s="291"/>
      <x:c r="FFH62" s="291"/>
      <x:c r="FFI62" s="291"/>
      <x:c r="FFJ62" s="291"/>
      <x:c r="FFK62" s="291"/>
      <x:c r="FFL62" s="291"/>
      <x:c r="FFM62" s="291"/>
      <x:c r="FFN62" s="291"/>
      <x:c r="FFO62" s="291"/>
      <x:c r="FFP62" s="291"/>
      <x:c r="FFQ62" s="291"/>
      <x:c r="FFR62" s="291"/>
      <x:c r="FFS62" s="291"/>
      <x:c r="FFT62" s="291"/>
      <x:c r="FFU62" s="291"/>
      <x:c r="FFV62" s="291"/>
      <x:c r="FFW62" s="291"/>
      <x:c r="FFX62" s="291"/>
      <x:c r="FFY62" s="291"/>
      <x:c r="FFZ62" s="291"/>
      <x:c r="FGA62" s="291"/>
      <x:c r="FGB62" s="291"/>
      <x:c r="FGC62" s="291"/>
      <x:c r="FGD62" s="291"/>
      <x:c r="FGE62" s="291"/>
      <x:c r="FGF62" s="291"/>
      <x:c r="FGG62" s="291"/>
      <x:c r="FGH62" s="291"/>
      <x:c r="FGI62" s="291"/>
      <x:c r="FGJ62" s="291"/>
      <x:c r="FGK62" s="291"/>
      <x:c r="FGL62" s="291"/>
      <x:c r="FGM62" s="291"/>
      <x:c r="FGN62" s="291"/>
      <x:c r="FGO62" s="291"/>
      <x:c r="FGP62" s="291"/>
      <x:c r="FGQ62" s="291"/>
      <x:c r="FGR62" s="291"/>
      <x:c r="FGS62" s="291"/>
      <x:c r="FGT62" s="291"/>
      <x:c r="FGU62" s="291"/>
      <x:c r="FGV62" s="291"/>
      <x:c r="FGW62" s="291"/>
      <x:c r="FGX62" s="291"/>
      <x:c r="FGY62" s="291"/>
      <x:c r="FGZ62" s="291"/>
      <x:c r="FHA62" s="291"/>
      <x:c r="FHB62" s="291"/>
      <x:c r="FHC62" s="291"/>
      <x:c r="FHD62" s="291"/>
      <x:c r="FHE62" s="291"/>
      <x:c r="FHF62" s="291"/>
      <x:c r="FHG62" s="291"/>
      <x:c r="FHH62" s="291"/>
      <x:c r="FHI62" s="291"/>
      <x:c r="FHJ62" s="291"/>
      <x:c r="FHK62" s="291"/>
      <x:c r="FHL62" s="291"/>
      <x:c r="FHM62" s="291"/>
      <x:c r="FHN62" s="291"/>
      <x:c r="FHO62" s="291"/>
      <x:c r="FHP62" s="291"/>
      <x:c r="FHQ62" s="291"/>
      <x:c r="FHR62" s="291"/>
      <x:c r="FHS62" s="291"/>
      <x:c r="FHT62" s="291"/>
      <x:c r="FHU62" s="291"/>
      <x:c r="FHV62" s="291"/>
      <x:c r="FHW62" s="291"/>
      <x:c r="FHX62" s="291"/>
      <x:c r="FHY62" s="291"/>
      <x:c r="FHZ62" s="291"/>
      <x:c r="FIA62" s="291"/>
      <x:c r="FIB62" s="291"/>
      <x:c r="FIC62" s="291"/>
      <x:c r="FID62" s="291"/>
      <x:c r="FIE62" s="291"/>
      <x:c r="FIF62" s="291"/>
      <x:c r="FIG62" s="291"/>
      <x:c r="FIH62" s="291"/>
      <x:c r="FII62" s="291"/>
      <x:c r="FIJ62" s="291"/>
      <x:c r="FIK62" s="291"/>
      <x:c r="FIL62" s="291"/>
      <x:c r="FIM62" s="291"/>
      <x:c r="FIN62" s="291"/>
      <x:c r="FIO62" s="291"/>
      <x:c r="FIP62" s="291"/>
      <x:c r="FIQ62" s="291"/>
      <x:c r="FIR62" s="291"/>
      <x:c r="FIS62" s="291"/>
      <x:c r="FIT62" s="291"/>
      <x:c r="FIU62" s="291"/>
      <x:c r="FIV62" s="291"/>
      <x:c r="FIW62" s="291"/>
      <x:c r="FIX62" s="291"/>
      <x:c r="FIY62" s="291"/>
      <x:c r="FIZ62" s="291"/>
      <x:c r="FJA62" s="291"/>
      <x:c r="FJB62" s="291"/>
      <x:c r="FJC62" s="291"/>
      <x:c r="FJD62" s="291"/>
      <x:c r="FJE62" s="291"/>
      <x:c r="FJF62" s="291"/>
      <x:c r="FJG62" s="291"/>
      <x:c r="FJH62" s="291"/>
      <x:c r="FJI62" s="291"/>
      <x:c r="FJJ62" s="291"/>
      <x:c r="FJK62" s="291"/>
      <x:c r="FJL62" s="291"/>
      <x:c r="FJM62" s="291"/>
      <x:c r="FJN62" s="291"/>
      <x:c r="FJO62" s="291"/>
      <x:c r="FJP62" s="291"/>
      <x:c r="FJQ62" s="291"/>
      <x:c r="FJR62" s="291"/>
      <x:c r="FJS62" s="291"/>
      <x:c r="FJT62" s="291"/>
      <x:c r="FJU62" s="291"/>
      <x:c r="FJV62" s="291"/>
      <x:c r="FJW62" s="291"/>
      <x:c r="FJX62" s="291"/>
      <x:c r="FJY62" s="291"/>
      <x:c r="FJZ62" s="291"/>
      <x:c r="FKA62" s="291"/>
      <x:c r="FKB62" s="291"/>
      <x:c r="FKC62" s="291"/>
      <x:c r="FKD62" s="291"/>
      <x:c r="FKE62" s="291"/>
      <x:c r="FKF62" s="291"/>
      <x:c r="FKG62" s="291"/>
      <x:c r="FKH62" s="291"/>
      <x:c r="FKI62" s="291"/>
      <x:c r="FKJ62" s="291"/>
      <x:c r="FKK62" s="291"/>
      <x:c r="FKL62" s="291"/>
      <x:c r="FKM62" s="291"/>
      <x:c r="FKN62" s="291"/>
      <x:c r="FKO62" s="291"/>
      <x:c r="FKP62" s="291"/>
      <x:c r="FKQ62" s="291"/>
      <x:c r="FKR62" s="291"/>
      <x:c r="FKS62" s="291"/>
      <x:c r="FKT62" s="291"/>
      <x:c r="FKU62" s="291"/>
      <x:c r="FKV62" s="291"/>
      <x:c r="FKW62" s="291"/>
      <x:c r="FKX62" s="291"/>
      <x:c r="FKY62" s="291"/>
      <x:c r="FKZ62" s="291"/>
      <x:c r="FLA62" s="291"/>
      <x:c r="FLB62" s="291"/>
      <x:c r="FLC62" s="291"/>
      <x:c r="FLD62" s="291"/>
      <x:c r="FLE62" s="291"/>
      <x:c r="FLF62" s="291"/>
      <x:c r="FLG62" s="291"/>
      <x:c r="FLH62" s="291"/>
      <x:c r="FLI62" s="291"/>
      <x:c r="FLJ62" s="291"/>
      <x:c r="FLK62" s="291"/>
      <x:c r="FLL62" s="291"/>
      <x:c r="FLM62" s="291"/>
      <x:c r="FLN62" s="291"/>
      <x:c r="FLO62" s="291"/>
      <x:c r="FLP62" s="291"/>
      <x:c r="FLQ62" s="291"/>
      <x:c r="FLR62" s="291"/>
      <x:c r="FLS62" s="291"/>
      <x:c r="FLT62" s="291"/>
      <x:c r="FLU62" s="291"/>
      <x:c r="FLV62" s="291"/>
      <x:c r="FLW62" s="291"/>
      <x:c r="FLX62" s="291"/>
      <x:c r="FLY62" s="291"/>
      <x:c r="FLZ62" s="291"/>
      <x:c r="FMA62" s="291"/>
      <x:c r="FMB62" s="291"/>
      <x:c r="FMC62" s="291"/>
      <x:c r="FMD62" s="291"/>
      <x:c r="FME62" s="291"/>
      <x:c r="FMF62" s="291"/>
      <x:c r="FMG62" s="291"/>
      <x:c r="FMH62" s="291"/>
      <x:c r="FMI62" s="291"/>
      <x:c r="FMJ62" s="291"/>
      <x:c r="FMK62" s="291"/>
      <x:c r="FML62" s="291"/>
      <x:c r="FMM62" s="291"/>
      <x:c r="FMN62" s="291"/>
      <x:c r="FMO62" s="291"/>
      <x:c r="FMP62" s="291"/>
      <x:c r="FMQ62" s="291"/>
      <x:c r="FMR62" s="291"/>
      <x:c r="FMS62" s="291"/>
      <x:c r="FMT62" s="291"/>
      <x:c r="FMU62" s="291"/>
      <x:c r="FMV62" s="291"/>
      <x:c r="FMW62" s="291"/>
      <x:c r="FMX62" s="291"/>
      <x:c r="FMY62" s="291"/>
      <x:c r="FMZ62" s="291"/>
      <x:c r="FNA62" s="291"/>
      <x:c r="FNB62" s="291"/>
      <x:c r="FNC62" s="291"/>
      <x:c r="FND62" s="291"/>
      <x:c r="FNE62" s="291"/>
      <x:c r="FNF62" s="291"/>
      <x:c r="FNG62" s="291"/>
      <x:c r="FNH62" s="291"/>
      <x:c r="FNI62" s="291"/>
      <x:c r="FNJ62" s="291"/>
      <x:c r="FNK62" s="291"/>
      <x:c r="FNL62" s="291"/>
      <x:c r="FNM62" s="291"/>
      <x:c r="FNN62" s="291"/>
      <x:c r="FNO62" s="291"/>
      <x:c r="FNP62" s="291"/>
      <x:c r="FNQ62" s="291"/>
      <x:c r="FNR62" s="291"/>
      <x:c r="FNS62" s="291"/>
      <x:c r="FNT62" s="291"/>
      <x:c r="FNU62" s="291"/>
      <x:c r="FNV62" s="291"/>
      <x:c r="FNW62" s="291"/>
      <x:c r="FNX62" s="291"/>
      <x:c r="FNY62" s="291"/>
      <x:c r="FNZ62" s="291"/>
      <x:c r="FOA62" s="291"/>
      <x:c r="FOB62" s="291"/>
      <x:c r="FOC62" s="291"/>
      <x:c r="FOD62" s="291"/>
      <x:c r="FOE62" s="291"/>
      <x:c r="FOF62" s="291"/>
      <x:c r="FOG62" s="291"/>
      <x:c r="FOH62" s="291"/>
      <x:c r="FOI62" s="291"/>
      <x:c r="FOJ62" s="291"/>
      <x:c r="FOK62" s="291"/>
      <x:c r="FOL62" s="291"/>
      <x:c r="FOM62" s="291"/>
      <x:c r="FON62" s="291"/>
      <x:c r="FOO62" s="291"/>
      <x:c r="FOP62" s="291"/>
      <x:c r="FOQ62" s="291"/>
      <x:c r="FOR62" s="291"/>
      <x:c r="FOS62" s="291"/>
      <x:c r="FOT62" s="291"/>
      <x:c r="FOU62" s="291"/>
      <x:c r="FOV62" s="291"/>
      <x:c r="FOW62" s="291"/>
      <x:c r="FOX62" s="291"/>
      <x:c r="FOY62" s="291"/>
      <x:c r="FOZ62" s="291"/>
      <x:c r="FPA62" s="291"/>
      <x:c r="FPB62" s="291"/>
      <x:c r="FPC62" s="291"/>
      <x:c r="FPD62" s="291"/>
      <x:c r="FPE62" s="291"/>
      <x:c r="FPF62" s="291"/>
      <x:c r="FPG62" s="291"/>
      <x:c r="FPH62" s="291"/>
      <x:c r="FPI62" s="291"/>
      <x:c r="FPJ62" s="291"/>
      <x:c r="FPK62" s="291"/>
      <x:c r="FPL62" s="291"/>
      <x:c r="FPM62" s="291"/>
      <x:c r="FPN62" s="291"/>
      <x:c r="FPO62" s="291"/>
      <x:c r="FPP62" s="291"/>
      <x:c r="FPQ62" s="291"/>
      <x:c r="FPR62" s="291"/>
      <x:c r="FPS62" s="291"/>
      <x:c r="FPT62" s="291"/>
      <x:c r="FPU62" s="291"/>
      <x:c r="FPV62" s="291"/>
      <x:c r="FPW62" s="291"/>
      <x:c r="FPX62" s="291"/>
      <x:c r="FPY62" s="291"/>
      <x:c r="FPZ62" s="291"/>
      <x:c r="FQA62" s="291"/>
      <x:c r="FQB62" s="291"/>
      <x:c r="FQC62" s="291"/>
      <x:c r="FQD62" s="291"/>
      <x:c r="FQE62" s="291"/>
      <x:c r="FQF62" s="291"/>
      <x:c r="FQG62" s="291"/>
      <x:c r="FQH62" s="291"/>
      <x:c r="FQI62" s="291"/>
      <x:c r="FQJ62" s="291"/>
      <x:c r="FQK62" s="291"/>
      <x:c r="FQL62" s="291"/>
      <x:c r="FQM62" s="291"/>
      <x:c r="FQN62" s="291"/>
      <x:c r="FQO62" s="291"/>
      <x:c r="FQP62" s="291"/>
      <x:c r="FQQ62" s="291"/>
      <x:c r="FQR62" s="291"/>
      <x:c r="FQS62" s="291"/>
      <x:c r="FQT62" s="291"/>
      <x:c r="FQU62" s="291"/>
      <x:c r="FQV62" s="291"/>
      <x:c r="FQW62" s="291"/>
      <x:c r="FQX62" s="291"/>
      <x:c r="FQY62" s="291"/>
      <x:c r="FQZ62" s="291"/>
      <x:c r="FRA62" s="291"/>
      <x:c r="FRB62" s="291"/>
      <x:c r="FRC62" s="291"/>
      <x:c r="FRD62" s="291"/>
      <x:c r="FRE62" s="291"/>
      <x:c r="FRF62" s="291"/>
      <x:c r="FRG62" s="291"/>
      <x:c r="FRH62" s="291"/>
      <x:c r="FRI62" s="291"/>
      <x:c r="FRJ62" s="291"/>
      <x:c r="FRK62" s="291"/>
      <x:c r="FRL62" s="291"/>
      <x:c r="FRM62" s="291"/>
      <x:c r="FRN62" s="291"/>
      <x:c r="FRO62" s="291"/>
      <x:c r="FRP62" s="291"/>
      <x:c r="FRQ62" s="291"/>
      <x:c r="FRR62" s="291"/>
      <x:c r="FRS62" s="291"/>
      <x:c r="FRT62" s="291"/>
      <x:c r="FRU62" s="291"/>
      <x:c r="FRV62" s="291"/>
      <x:c r="FRW62" s="291"/>
      <x:c r="FRX62" s="291"/>
      <x:c r="FRY62" s="291"/>
      <x:c r="FRZ62" s="291"/>
      <x:c r="FSA62" s="291"/>
      <x:c r="FSB62" s="291"/>
      <x:c r="FSC62" s="291"/>
      <x:c r="FSD62" s="291"/>
      <x:c r="FSE62" s="291"/>
      <x:c r="FSF62" s="291"/>
      <x:c r="FSG62" s="291"/>
      <x:c r="FSH62" s="291"/>
      <x:c r="FSI62" s="291"/>
      <x:c r="FSJ62" s="291"/>
      <x:c r="FSK62" s="291"/>
      <x:c r="FSL62" s="291"/>
      <x:c r="FSM62" s="291"/>
      <x:c r="FSN62" s="291"/>
      <x:c r="FSO62" s="291"/>
      <x:c r="FSP62" s="291"/>
      <x:c r="FSQ62" s="291"/>
      <x:c r="FSR62" s="291"/>
      <x:c r="FSS62" s="291"/>
      <x:c r="FST62" s="291"/>
      <x:c r="FSU62" s="291"/>
      <x:c r="FSV62" s="291"/>
      <x:c r="FSW62" s="291"/>
      <x:c r="FSX62" s="291"/>
      <x:c r="FSY62" s="291"/>
      <x:c r="FSZ62" s="291"/>
      <x:c r="FTA62" s="291"/>
      <x:c r="FTB62" s="291"/>
      <x:c r="FTC62" s="291"/>
      <x:c r="FTD62" s="291"/>
      <x:c r="FTE62" s="291"/>
      <x:c r="FTF62" s="291"/>
      <x:c r="FTG62" s="291"/>
      <x:c r="FTH62" s="291"/>
      <x:c r="FTI62" s="291"/>
      <x:c r="FTJ62" s="291"/>
      <x:c r="FTK62" s="291"/>
      <x:c r="FTL62" s="291"/>
      <x:c r="FTM62" s="291"/>
      <x:c r="FTN62" s="291"/>
      <x:c r="FTO62" s="291"/>
      <x:c r="FTP62" s="291"/>
      <x:c r="FTQ62" s="291"/>
      <x:c r="FTR62" s="291"/>
      <x:c r="FTS62" s="291"/>
      <x:c r="FTT62" s="291"/>
      <x:c r="FTU62" s="291"/>
      <x:c r="FTV62" s="291"/>
      <x:c r="FTW62" s="291"/>
      <x:c r="FTX62" s="291"/>
      <x:c r="FTY62" s="291"/>
      <x:c r="FTZ62" s="291"/>
      <x:c r="FUA62" s="291"/>
      <x:c r="FUB62" s="291"/>
      <x:c r="FUC62" s="291"/>
      <x:c r="FUD62" s="291"/>
      <x:c r="FUE62" s="291"/>
      <x:c r="FUF62" s="291"/>
      <x:c r="FUG62" s="291"/>
      <x:c r="FUH62" s="291"/>
      <x:c r="FUI62" s="291"/>
      <x:c r="FUJ62" s="291"/>
      <x:c r="FUK62" s="291"/>
      <x:c r="FUL62" s="291"/>
      <x:c r="FUM62" s="291"/>
      <x:c r="FUN62" s="291"/>
      <x:c r="FUO62" s="291"/>
      <x:c r="FUP62" s="291"/>
      <x:c r="FUQ62" s="291"/>
      <x:c r="FUR62" s="291"/>
      <x:c r="FUS62" s="291"/>
      <x:c r="FUT62" s="291"/>
      <x:c r="FUU62" s="291"/>
      <x:c r="FUV62" s="291"/>
      <x:c r="FUW62" s="291"/>
      <x:c r="FUX62" s="291"/>
      <x:c r="FUY62" s="291"/>
      <x:c r="FUZ62" s="291"/>
      <x:c r="FVA62" s="291"/>
      <x:c r="FVB62" s="291"/>
      <x:c r="FVC62" s="291"/>
      <x:c r="FVD62" s="291"/>
      <x:c r="FVE62" s="291"/>
      <x:c r="FVF62" s="291"/>
      <x:c r="FVG62" s="291"/>
      <x:c r="FVH62" s="291"/>
      <x:c r="FVI62" s="291"/>
      <x:c r="FVJ62" s="291"/>
      <x:c r="FVK62" s="291"/>
      <x:c r="FVL62" s="291"/>
      <x:c r="FVM62" s="291"/>
      <x:c r="FVN62" s="291"/>
      <x:c r="FVO62" s="291"/>
      <x:c r="FVP62" s="291"/>
      <x:c r="FVQ62" s="291"/>
      <x:c r="FVR62" s="291"/>
      <x:c r="FVS62" s="291"/>
      <x:c r="FVT62" s="291"/>
      <x:c r="FVU62" s="291"/>
      <x:c r="FVV62" s="291"/>
      <x:c r="FVW62" s="291"/>
      <x:c r="FVX62" s="291"/>
      <x:c r="FVY62" s="291"/>
      <x:c r="FVZ62" s="291"/>
      <x:c r="FWA62" s="291"/>
      <x:c r="FWB62" s="291"/>
      <x:c r="FWC62" s="291"/>
      <x:c r="FWD62" s="291"/>
      <x:c r="FWE62" s="291"/>
      <x:c r="FWF62" s="291"/>
      <x:c r="FWG62" s="291"/>
      <x:c r="FWH62" s="291"/>
      <x:c r="FWI62" s="291"/>
      <x:c r="FWJ62" s="291"/>
      <x:c r="FWK62" s="291"/>
      <x:c r="FWL62" s="291"/>
      <x:c r="FWM62" s="291"/>
      <x:c r="FWN62" s="291"/>
      <x:c r="FWO62" s="291"/>
      <x:c r="FWP62" s="291"/>
      <x:c r="FWQ62" s="291"/>
      <x:c r="FWR62" s="291"/>
      <x:c r="FWS62" s="291"/>
      <x:c r="FWT62" s="291"/>
      <x:c r="FWU62" s="291"/>
      <x:c r="FWV62" s="291"/>
      <x:c r="FWW62" s="291"/>
      <x:c r="FWX62" s="291"/>
      <x:c r="FWY62" s="291"/>
      <x:c r="FWZ62" s="291"/>
      <x:c r="FXA62" s="291"/>
      <x:c r="FXB62" s="291"/>
      <x:c r="FXC62" s="291"/>
      <x:c r="FXD62" s="291"/>
      <x:c r="FXE62" s="291"/>
      <x:c r="FXF62" s="291"/>
      <x:c r="FXG62" s="291"/>
      <x:c r="FXH62" s="291"/>
      <x:c r="FXI62" s="291"/>
      <x:c r="FXJ62" s="291"/>
      <x:c r="FXK62" s="291"/>
      <x:c r="FXL62" s="291"/>
      <x:c r="FXM62" s="291"/>
      <x:c r="FXN62" s="291"/>
      <x:c r="FXO62" s="291"/>
      <x:c r="FXP62" s="291"/>
      <x:c r="FXQ62" s="291"/>
      <x:c r="FXR62" s="291"/>
      <x:c r="FXS62" s="291"/>
      <x:c r="FXT62" s="291"/>
      <x:c r="FXU62" s="291"/>
      <x:c r="FXV62" s="291"/>
      <x:c r="FXW62" s="291"/>
      <x:c r="FXX62" s="291"/>
      <x:c r="FXY62" s="291"/>
      <x:c r="FXZ62" s="291"/>
      <x:c r="FYA62" s="291"/>
      <x:c r="FYB62" s="291"/>
      <x:c r="FYC62" s="291"/>
      <x:c r="FYD62" s="291"/>
      <x:c r="FYE62" s="291"/>
      <x:c r="FYF62" s="291"/>
      <x:c r="FYG62" s="291"/>
      <x:c r="FYH62" s="291"/>
      <x:c r="FYI62" s="291"/>
      <x:c r="FYJ62" s="291"/>
      <x:c r="FYK62" s="291"/>
      <x:c r="FYL62" s="291"/>
      <x:c r="FYM62" s="291"/>
      <x:c r="FYN62" s="291"/>
      <x:c r="FYO62" s="291"/>
      <x:c r="FYP62" s="291"/>
      <x:c r="FYQ62" s="291"/>
      <x:c r="FYR62" s="291"/>
      <x:c r="FYS62" s="291"/>
      <x:c r="FYT62" s="291"/>
      <x:c r="FYU62" s="291"/>
      <x:c r="FYV62" s="291"/>
      <x:c r="FYW62" s="291"/>
      <x:c r="FYX62" s="291"/>
      <x:c r="FYY62" s="291"/>
      <x:c r="FYZ62" s="291"/>
      <x:c r="FZA62" s="291"/>
      <x:c r="FZB62" s="291"/>
      <x:c r="FZC62" s="291"/>
      <x:c r="FZD62" s="291"/>
      <x:c r="FZE62" s="291"/>
      <x:c r="FZF62" s="291"/>
      <x:c r="FZG62" s="291"/>
      <x:c r="FZH62" s="291"/>
      <x:c r="FZI62" s="291"/>
      <x:c r="FZJ62" s="291"/>
      <x:c r="FZK62" s="291"/>
      <x:c r="FZL62" s="291"/>
      <x:c r="FZM62" s="291"/>
      <x:c r="FZN62" s="291"/>
      <x:c r="FZO62" s="291"/>
      <x:c r="FZP62" s="291"/>
      <x:c r="FZQ62" s="291"/>
      <x:c r="FZR62" s="291"/>
      <x:c r="FZS62" s="291"/>
      <x:c r="FZT62" s="291"/>
      <x:c r="FZU62" s="291"/>
      <x:c r="FZV62" s="291"/>
      <x:c r="FZW62" s="291"/>
      <x:c r="FZX62" s="291"/>
      <x:c r="FZY62" s="291"/>
      <x:c r="FZZ62" s="291"/>
      <x:c r="GAA62" s="291"/>
      <x:c r="GAB62" s="291"/>
      <x:c r="GAC62" s="291"/>
      <x:c r="GAD62" s="291"/>
      <x:c r="GAE62" s="291"/>
      <x:c r="GAF62" s="291"/>
      <x:c r="GAG62" s="291"/>
      <x:c r="GAH62" s="291"/>
      <x:c r="GAI62" s="291"/>
      <x:c r="GAJ62" s="291"/>
      <x:c r="GAK62" s="291"/>
      <x:c r="GAL62" s="291"/>
      <x:c r="GAM62" s="291"/>
      <x:c r="GAN62" s="291"/>
      <x:c r="GAO62" s="291"/>
      <x:c r="GAP62" s="291"/>
      <x:c r="GAQ62" s="291"/>
      <x:c r="GAR62" s="291"/>
      <x:c r="GAS62" s="291"/>
      <x:c r="GAT62" s="291"/>
      <x:c r="GAU62" s="291"/>
      <x:c r="GAV62" s="291"/>
      <x:c r="GAW62" s="291"/>
      <x:c r="GAX62" s="291"/>
      <x:c r="GAY62" s="291"/>
      <x:c r="GAZ62" s="291"/>
      <x:c r="GBA62" s="291"/>
      <x:c r="GBB62" s="291"/>
      <x:c r="GBC62" s="291"/>
      <x:c r="GBD62" s="291"/>
      <x:c r="GBE62" s="291"/>
      <x:c r="GBF62" s="291"/>
      <x:c r="GBG62" s="291"/>
      <x:c r="GBH62" s="291"/>
      <x:c r="GBI62" s="291"/>
      <x:c r="GBJ62" s="291"/>
      <x:c r="GBK62" s="291"/>
      <x:c r="GBL62" s="291"/>
      <x:c r="GBM62" s="291"/>
      <x:c r="GBN62" s="291"/>
      <x:c r="GBO62" s="291"/>
      <x:c r="GBP62" s="291"/>
      <x:c r="GBQ62" s="291"/>
      <x:c r="GBR62" s="291"/>
      <x:c r="GBS62" s="291"/>
      <x:c r="GBT62" s="291"/>
      <x:c r="GBU62" s="291"/>
      <x:c r="GBV62" s="291"/>
      <x:c r="GBW62" s="291"/>
      <x:c r="GBX62" s="291"/>
      <x:c r="GBY62" s="291"/>
      <x:c r="GBZ62" s="291"/>
      <x:c r="GCA62" s="291"/>
      <x:c r="GCB62" s="291"/>
      <x:c r="GCC62" s="291"/>
      <x:c r="GCD62" s="291"/>
      <x:c r="GCE62" s="291"/>
      <x:c r="GCF62" s="291"/>
      <x:c r="GCG62" s="291"/>
      <x:c r="GCH62" s="291"/>
      <x:c r="GCI62" s="291"/>
      <x:c r="GCJ62" s="291"/>
      <x:c r="GCK62" s="291"/>
      <x:c r="GCL62" s="291"/>
      <x:c r="GCM62" s="291"/>
      <x:c r="GCN62" s="291"/>
      <x:c r="GCO62" s="291"/>
      <x:c r="GCP62" s="291"/>
      <x:c r="GCQ62" s="291"/>
      <x:c r="GCR62" s="291"/>
      <x:c r="GCS62" s="291"/>
      <x:c r="GCT62" s="291"/>
      <x:c r="GCU62" s="291"/>
      <x:c r="GCV62" s="291"/>
      <x:c r="GCW62" s="291"/>
      <x:c r="GCX62" s="291"/>
      <x:c r="GCY62" s="291"/>
      <x:c r="GCZ62" s="291"/>
      <x:c r="GDA62" s="291"/>
      <x:c r="GDB62" s="291"/>
      <x:c r="GDC62" s="291"/>
      <x:c r="GDD62" s="291"/>
      <x:c r="GDE62" s="291"/>
      <x:c r="GDF62" s="291"/>
      <x:c r="GDG62" s="291"/>
      <x:c r="GDH62" s="291"/>
      <x:c r="GDI62" s="291"/>
      <x:c r="GDJ62" s="291"/>
      <x:c r="GDK62" s="291"/>
      <x:c r="GDL62" s="291"/>
      <x:c r="GDM62" s="291"/>
      <x:c r="GDN62" s="291"/>
      <x:c r="GDO62" s="291"/>
      <x:c r="GDP62" s="291"/>
      <x:c r="GDQ62" s="291"/>
      <x:c r="GDR62" s="291"/>
      <x:c r="GDS62" s="291"/>
      <x:c r="GDT62" s="291"/>
      <x:c r="GDU62" s="291"/>
      <x:c r="GDV62" s="291"/>
      <x:c r="GDW62" s="291"/>
      <x:c r="GDX62" s="291"/>
      <x:c r="GDY62" s="291"/>
      <x:c r="GDZ62" s="291"/>
      <x:c r="GEA62" s="291"/>
      <x:c r="GEB62" s="291"/>
      <x:c r="GEC62" s="291"/>
      <x:c r="GED62" s="291"/>
      <x:c r="GEE62" s="291"/>
      <x:c r="GEF62" s="291"/>
      <x:c r="GEG62" s="291"/>
      <x:c r="GEH62" s="291"/>
      <x:c r="GEI62" s="291"/>
      <x:c r="GEJ62" s="291"/>
      <x:c r="GEK62" s="291"/>
      <x:c r="GEL62" s="291"/>
      <x:c r="GEM62" s="291"/>
      <x:c r="GEN62" s="291"/>
      <x:c r="GEO62" s="291"/>
      <x:c r="GEP62" s="291"/>
      <x:c r="GEQ62" s="291"/>
      <x:c r="GER62" s="291"/>
      <x:c r="GES62" s="291"/>
      <x:c r="GET62" s="291"/>
      <x:c r="GEU62" s="291"/>
      <x:c r="GEV62" s="291"/>
      <x:c r="GEW62" s="291"/>
      <x:c r="GEX62" s="291"/>
      <x:c r="GEY62" s="291"/>
      <x:c r="GEZ62" s="291"/>
      <x:c r="GFA62" s="291"/>
      <x:c r="GFB62" s="291"/>
      <x:c r="GFC62" s="291"/>
      <x:c r="GFD62" s="291"/>
      <x:c r="GFE62" s="291"/>
      <x:c r="GFF62" s="291"/>
      <x:c r="GFG62" s="291"/>
      <x:c r="GFH62" s="291"/>
      <x:c r="GFI62" s="291"/>
      <x:c r="GFJ62" s="291"/>
      <x:c r="GFK62" s="291"/>
      <x:c r="GFL62" s="291"/>
      <x:c r="GFM62" s="291"/>
      <x:c r="GFN62" s="291"/>
      <x:c r="GFO62" s="291"/>
      <x:c r="GFP62" s="291"/>
      <x:c r="GFQ62" s="291"/>
      <x:c r="GFR62" s="291"/>
      <x:c r="GFS62" s="291"/>
      <x:c r="GFT62" s="291"/>
      <x:c r="GFU62" s="291"/>
      <x:c r="GFV62" s="291"/>
      <x:c r="GFW62" s="291"/>
      <x:c r="GFX62" s="291"/>
      <x:c r="GFY62" s="291"/>
      <x:c r="GFZ62" s="291"/>
      <x:c r="GGA62" s="291"/>
      <x:c r="GGB62" s="291"/>
      <x:c r="GGC62" s="291"/>
      <x:c r="GGD62" s="291"/>
      <x:c r="GGE62" s="291"/>
      <x:c r="GGF62" s="291"/>
      <x:c r="GGG62" s="291"/>
      <x:c r="GGH62" s="291"/>
      <x:c r="GGI62" s="291"/>
      <x:c r="GGJ62" s="291"/>
      <x:c r="GGK62" s="291"/>
      <x:c r="GGL62" s="291"/>
      <x:c r="GGM62" s="291"/>
      <x:c r="GGN62" s="291"/>
      <x:c r="GGO62" s="291"/>
      <x:c r="GGP62" s="291"/>
      <x:c r="GGQ62" s="291"/>
      <x:c r="GGR62" s="291"/>
      <x:c r="GGS62" s="291"/>
      <x:c r="GGT62" s="291"/>
      <x:c r="GGU62" s="291"/>
      <x:c r="GGV62" s="291"/>
      <x:c r="GGW62" s="291"/>
      <x:c r="GGX62" s="291"/>
      <x:c r="GGY62" s="291"/>
      <x:c r="GGZ62" s="291"/>
      <x:c r="GHA62" s="291"/>
      <x:c r="GHB62" s="291"/>
      <x:c r="GHC62" s="291"/>
      <x:c r="GHD62" s="291"/>
      <x:c r="GHE62" s="291"/>
      <x:c r="GHF62" s="291"/>
      <x:c r="GHG62" s="291"/>
      <x:c r="GHH62" s="291"/>
      <x:c r="GHI62" s="291"/>
      <x:c r="GHJ62" s="291"/>
      <x:c r="GHK62" s="291"/>
      <x:c r="GHL62" s="291"/>
      <x:c r="GHM62" s="291"/>
      <x:c r="GHN62" s="291"/>
      <x:c r="GHO62" s="291"/>
      <x:c r="GHP62" s="291"/>
      <x:c r="GHQ62" s="291"/>
      <x:c r="GHR62" s="291"/>
      <x:c r="GHS62" s="291"/>
      <x:c r="GHT62" s="291"/>
      <x:c r="GHU62" s="291"/>
      <x:c r="GHV62" s="291"/>
      <x:c r="GHW62" s="291"/>
      <x:c r="GHX62" s="291"/>
      <x:c r="GHY62" s="291"/>
      <x:c r="GHZ62" s="291"/>
      <x:c r="GIA62" s="291"/>
      <x:c r="GIB62" s="291"/>
      <x:c r="GIC62" s="291"/>
      <x:c r="GID62" s="291"/>
      <x:c r="GIE62" s="291"/>
      <x:c r="GIF62" s="291"/>
      <x:c r="GIG62" s="291"/>
      <x:c r="GIH62" s="291"/>
      <x:c r="GII62" s="291"/>
      <x:c r="GIJ62" s="291"/>
      <x:c r="GIK62" s="291"/>
      <x:c r="GIL62" s="291"/>
      <x:c r="GIM62" s="291"/>
      <x:c r="GIN62" s="291"/>
      <x:c r="GIO62" s="291"/>
      <x:c r="GIP62" s="291"/>
      <x:c r="GIQ62" s="291"/>
      <x:c r="GIR62" s="291"/>
      <x:c r="GIS62" s="291"/>
      <x:c r="GIT62" s="291"/>
      <x:c r="GIU62" s="291"/>
      <x:c r="GIV62" s="291"/>
      <x:c r="GIW62" s="291"/>
      <x:c r="GIX62" s="291"/>
      <x:c r="GIY62" s="291"/>
      <x:c r="GIZ62" s="291"/>
      <x:c r="GJA62" s="291"/>
      <x:c r="GJB62" s="291"/>
      <x:c r="GJC62" s="291"/>
      <x:c r="GJD62" s="291"/>
      <x:c r="GJE62" s="291"/>
      <x:c r="GJF62" s="291"/>
      <x:c r="GJG62" s="291"/>
      <x:c r="GJH62" s="291"/>
      <x:c r="GJI62" s="291"/>
      <x:c r="GJJ62" s="291"/>
      <x:c r="GJK62" s="291"/>
      <x:c r="GJL62" s="291"/>
      <x:c r="GJM62" s="291"/>
      <x:c r="GJN62" s="291"/>
      <x:c r="GJO62" s="291"/>
      <x:c r="GJP62" s="291"/>
      <x:c r="GJQ62" s="291"/>
      <x:c r="GJR62" s="291"/>
      <x:c r="GJS62" s="291"/>
      <x:c r="GJT62" s="291"/>
      <x:c r="GJU62" s="291"/>
      <x:c r="GJV62" s="291"/>
      <x:c r="GJW62" s="291"/>
      <x:c r="GJX62" s="291"/>
      <x:c r="GJY62" s="291"/>
      <x:c r="GJZ62" s="291"/>
      <x:c r="GKA62" s="291"/>
      <x:c r="GKB62" s="291"/>
      <x:c r="GKC62" s="291"/>
      <x:c r="GKD62" s="291"/>
      <x:c r="GKE62" s="291"/>
      <x:c r="GKF62" s="291"/>
      <x:c r="GKG62" s="291"/>
      <x:c r="GKH62" s="291"/>
      <x:c r="GKI62" s="291"/>
      <x:c r="GKJ62" s="291"/>
      <x:c r="GKK62" s="291"/>
      <x:c r="GKL62" s="291"/>
      <x:c r="GKM62" s="291"/>
      <x:c r="GKN62" s="291"/>
      <x:c r="GKO62" s="291"/>
      <x:c r="GKP62" s="291"/>
      <x:c r="GKQ62" s="291"/>
      <x:c r="GKR62" s="291"/>
      <x:c r="GKS62" s="291"/>
      <x:c r="GKT62" s="291"/>
      <x:c r="GKU62" s="291"/>
      <x:c r="GKV62" s="291"/>
      <x:c r="GKW62" s="291"/>
      <x:c r="GKX62" s="291"/>
      <x:c r="GKY62" s="291"/>
      <x:c r="GKZ62" s="291"/>
      <x:c r="GLA62" s="291"/>
      <x:c r="GLB62" s="291"/>
      <x:c r="GLC62" s="291"/>
      <x:c r="GLD62" s="291"/>
      <x:c r="GLE62" s="291"/>
      <x:c r="GLF62" s="291"/>
      <x:c r="GLG62" s="291"/>
      <x:c r="GLH62" s="291"/>
      <x:c r="GLI62" s="291"/>
      <x:c r="GLJ62" s="291"/>
      <x:c r="GLK62" s="291"/>
      <x:c r="GLL62" s="291"/>
      <x:c r="GLM62" s="291"/>
      <x:c r="GLN62" s="291"/>
      <x:c r="GLO62" s="291"/>
      <x:c r="GLP62" s="291"/>
      <x:c r="GLQ62" s="291"/>
      <x:c r="GLR62" s="291"/>
      <x:c r="GLS62" s="291"/>
      <x:c r="GLT62" s="291"/>
      <x:c r="GLU62" s="291"/>
      <x:c r="GLV62" s="291"/>
      <x:c r="GLW62" s="291"/>
      <x:c r="GLX62" s="291"/>
      <x:c r="GLY62" s="291"/>
      <x:c r="GLZ62" s="291"/>
      <x:c r="GMA62" s="291"/>
      <x:c r="GMB62" s="291"/>
      <x:c r="GMC62" s="291"/>
      <x:c r="GMD62" s="291"/>
      <x:c r="GME62" s="291"/>
      <x:c r="GMF62" s="291"/>
      <x:c r="GMG62" s="291"/>
      <x:c r="GMH62" s="291"/>
      <x:c r="GMI62" s="291"/>
      <x:c r="GMJ62" s="291"/>
      <x:c r="GMK62" s="291"/>
      <x:c r="GML62" s="291"/>
      <x:c r="GMM62" s="291"/>
      <x:c r="GMN62" s="291"/>
      <x:c r="GMO62" s="291"/>
      <x:c r="GMP62" s="291"/>
      <x:c r="GMQ62" s="291"/>
      <x:c r="GMR62" s="291"/>
      <x:c r="GMS62" s="291"/>
      <x:c r="GMT62" s="291"/>
      <x:c r="GMU62" s="291"/>
      <x:c r="GMV62" s="291"/>
      <x:c r="GMW62" s="291"/>
      <x:c r="GMX62" s="291"/>
      <x:c r="GMY62" s="291"/>
      <x:c r="GMZ62" s="291"/>
      <x:c r="GNA62" s="291"/>
      <x:c r="GNB62" s="291"/>
      <x:c r="GNC62" s="291"/>
      <x:c r="GND62" s="291"/>
      <x:c r="GNE62" s="291"/>
      <x:c r="GNF62" s="291"/>
      <x:c r="GNG62" s="291"/>
      <x:c r="GNH62" s="291"/>
      <x:c r="GNI62" s="291"/>
      <x:c r="GNJ62" s="291"/>
      <x:c r="GNK62" s="291"/>
      <x:c r="GNL62" s="291"/>
      <x:c r="GNM62" s="291"/>
      <x:c r="GNN62" s="291"/>
      <x:c r="GNO62" s="291"/>
      <x:c r="GNP62" s="291"/>
      <x:c r="GNQ62" s="291"/>
      <x:c r="GNR62" s="291"/>
      <x:c r="GNS62" s="291"/>
      <x:c r="GNT62" s="291"/>
      <x:c r="GNU62" s="291"/>
      <x:c r="GNV62" s="291"/>
      <x:c r="GNW62" s="291"/>
      <x:c r="GNX62" s="291"/>
      <x:c r="GNY62" s="291"/>
      <x:c r="GNZ62" s="291"/>
      <x:c r="GOA62" s="291"/>
      <x:c r="GOB62" s="291"/>
      <x:c r="GOC62" s="291"/>
      <x:c r="GOD62" s="291"/>
      <x:c r="GOE62" s="291"/>
      <x:c r="GOF62" s="291"/>
      <x:c r="GOG62" s="291"/>
      <x:c r="GOH62" s="291"/>
      <x:c r="GOI62" s="291"/>
      <x:c r="GOJ62" s="291"/>
      <x:c r="GOK62" s="291"/>
      <x:c r="GOL62" s="291"/>
      <x:c r="GOM62" s="291"/>
      <x:c r="GON62" s="291"/>
      <x:c r="GOO62" s="291"/>
      <x:c r="GOP62" s="291"/>
      <x:c r="GOQ62" s="291"/>
      <x:c r="GOR62" s="291"/>
      <x:c r="GOS62" s="291"/>
      <x:c r="GOT62" s="291"/>
      <x:c r="GOU62" s="291"/>
      <x:c r="GOV62" s="291"/>
      <x:c r="GOW62" s="291"/>
      <x:c r="GOX62" s="291"/>
      <x:c r="GOY62" s="291"/>
      <x:c r="GOZ62" s="291"/>
      <x:c r="GPA62" s="291"/>
      <x:c r="GPB62" s="291"/>
      <x:c r="GPC62" s="291"/>
      <x:c r="GPD62" s="291"/>
      <x:c r="GPE62" s="291"/>
      <x:c r="GPF62" s="291"/>
      <x:c r="GPG62" s="291"/>
      <x:c r="GPH62" s="291"/>
      <x:c r="GPI62" s="291"/>
      <x:c r="GPJ62" s="291"/>
      <x:c r="GPK62" s="291"/>
      <x:c r="GPL62" s="291"/>
      <x:c r="GPM62" s="291"/>
      <x:c r="GPN62" s="291"/>
      <x:c r="GPO62" s="291"/>
      <x:c r="GPP62" s="291"/>
      <x:c r="GPQ62" s="291"/>
      <x:c r="GPR62" s="291"/>
      <x:c r="GPS62" s="291"/>
      <x:c r="GPT62" s="291"/>
      <x:c r="GPU62" s="291"/>
      <x:c r="GPV62" s="291"/>
      <x:c r="GPW62" s="291"/>
      <x:c r="GPX62" s="291"/>
      <x:c r="GPY62" s="291"/>
      <x:c r="GPZ62" s="291"/>
      <x:c r="GQA62" s="291"/>
      <x:c r="GQB62" s="291"/>
      <x:c r="GQC62" s="291"/>
      <x:c r="GQD62" s="291"/>
      <x:c r="GQE62" s="291"/>
      <x:c r="GQF62" s="291"/>
      <x:c r="GQG62" s="291"/>
      <x:c r="GQH62" s="291"/>
      <x:c r="GQI62" s="291"/>
      <x:c r="GQJ62" s="291"/>
      <x:c r="GQK62" s="291"/>
      <x:c r="GQL62" s="291"/>
      <x:c r="GQM62" s="291"/>
      <x:c r="GQN62" s="291"/>
      <x:c r="GQO62" s="291"/>
      <x:c r="GQP62" s="291"/>
      <x:c r="GQQ62" s="291"/>
      <x:c r="GQR62" s="291"/>
      <x:c r="GQS62" s="291"/>
      <x:c r="GQT62" s="291"/>
      <x:c r="GQU62" s="291"/>
      <x:c r="GQV62" s="291"/>
      <x:c r="GQW62" s="291"/>
      <x:c r="GQX62" s="291"/>
      <x:c r="GQY62" s="291"/>
      <x:c r="GQZ62" s="291"/>
      <x:c r="GRA62" s="291"/>
      <x:c r="GRB62" s="291"/>
      <x:c r="GRC62" s="291"/>
      <x:c r="GRD62" s="291"/>
      <x:c r="GRE62" s="291"/>
      <x:c r="GRF62" s="291"/>
      <x:c r="GRG62" s="291"/>
      <x:c r="GRH62" s="291"/>
      <x:c r="GRI62" s="291"/>
      <x:c r="GRJ62" s="291"/>
      <x:c r="GRK62" s="291"/>
      <x:c r="GRL62" s="291"/>
      <x:c r="GRM62" s="291"/>
      <x:c r="GRN62" s="291"/>
      <x:c r="GRO62" s="291"/>
      <x:c r="GRP62" s="291"/>
      <x:c r="GRQ62" s="291"/>
      <x:c r="GRR62" s="291"/>
      <x:c r="GRS62" s="291"/>
      <x:c r="GRT62" s="291"/>
      <x:c r="GRU62" s="291"/>
      <x:c r="GRV62" s="291"/>
      <x:c r="GRW62" s="291"/>
      <x:c r="GRX62" s="291"/>
      <x:c r="GRY62" s="291"/>
      <x:c r="GRZ62" s="291"/>
      <x:c r="GSA62" s="291"/>
      <x:c r="GSB62" s="291"/>
      <x:c r="GSC62" s="291"/>
      <x:c r="GSD62" s="291"/>
      <x:c r="GSE62" s="291"/>
      <x:c r="GSF62" s="291"/>
      <x:c r="GSG62" s="291"/>
      <x:c r="GSH62" s="291"/>
      <x:c r="GSI62" s="291"/>
      <x:c r="GSJ62" s="291"/>
      <x:c r="GSK62" s="291"/>
      <x:c r="GSL62" s="291"/>
      <x:c r="GSM62" s="291"/>
      <x:c r="GSN62" s="291"/>
      <x:c r="GSO62" s="291"/>
      <x:c r="GSP62" s="291"/>
      <x:c r="GSQ62" s="291"/>
      <x:c r="GSR62" s="291"/>
      <x:c r="GSS62" s="291"/>
      <x:c r="GST62" s="291"/>
      <x:c r="GSU62" s="291"/>
      <x:c r="GSV62" s="291"/>
      <x:c r="GSW62" s="291"/>
      <x:c r="GSX62" s="291"/>
      <x:c r="GSY62" s="291"/>
      <x:c r="GSZ62" s="291"/>
      <x:c r="GTA62" s="291"/>
      <x:c r="GTB62" s="291"/>
      <x:c r="GTC62" s="291"/>
      <x:c r="GTD62" s="291"/>
      <x:c r="GTE62" s="291"/>
      <x:c r="GTF62" s="291"/>
      <x:c r="GTG62" s="291"/>
      <x:c r="GTH62" s="291"/>
      <x:c r="GTI62" s="291"/>
      <x:c r="GTJ62" s="291"/>
      <x:c r="GTK62" s="291"/>
      <x:c r="GTL62" s="291"/>
      <x:c r="GTM62" s="291"/>
      <x:c r="GTN62" s="291"/>
      <x:c r="GTO62" s="291"/>
      <x:c r="GTP62" s="291"/>
      <x:c r="GTQ62" s="291"/>
      <x:c r="GTR62" s="291"/>
      <x:c r="GTS62" s="291"/>
      <x:c r="GTT62" s="291"/>
      <x:c r="GTU62" s="291"/>
      <x:c r="GTV62" s="291"/>
      <x:c r="GTW62" s="291"/>
      <x:c r="GTX62" s="291"/>
      <x:c r="GTY62" s="291"/>
      <x:c r="GTZ62" s="291"/>
      <x:c r="GUA62" s="291"/>
      <x:c r="GUB62" s="291"/>
      <x:c r="GUC62" s="291"/>
      <x:c r="GUD62" s="291"/>
      <x:c r="GUE62" s="291"/>
      <x:c r="GUF62" s="291"/>
      <x:c r="GUG62" s="291"/>
      <x:c r="GUH62" s="291"/>
      <x:c r="GUI62" s="291"/>
      <x:c r="GUJ62" s="291"/>
      <x:c r="GUK62" s="291"/>
      <x:c r="GUL62" s="291"/>
      <x:c r="GUM62" s="291"/>
      <x:c r="GUN62" s="291"/>
      <x:c r="GUO62" s="291"/>
      <x:c r="GUP62" s="291"/>
      <x:c r="GUQ62" s="291"/>
      <x:c r="GUR62" s="291"/>
      <x:c r="GUS62" s="291"/>
      <x:c r="GUT62" s="291"/>
      <x:c r="GUU62" s="291"/>
      <x:c r="GUV62" s="291"/>
      <x:c r="GUW62" s="291"/>
      <x:c r="GUX62" s="291"/>
      <x:c r="GUY62" s="291"/>
      <x:c r="GUZ62" s="291"/>
      <x:c r="GVA62" s="291"/>
      <x:c r="GVB62" s="291"/>
      <x:c r="GVC62" s="291"/>
      <x:c r="GVD62" s="291"/>
      <x:c r="GVE62" s="291"/>
      <x:c r="GVF62" s="291"/>
      <x:c r="GVG62" s="291"/>
      <x:c r="GVH62" s="291"/>
      <x:c r="GVI62" s="291"/>
      <x:c r="GVJ62" s="291"/>
      <x:c r="GVK62" s="291"/>
      <x:c r="GVL62" s="291"/>
      <x:c r="GVM62" s="291"/>
      <x:c r="GVN62" s="291"/>
      <x:c r="GVO62" s="291"/>
      <x:c r="GVP62" s="291"/>
      <x:c r="GVQ62" s="291"/>
      <x:c r="GVR62" s="291"/>
      <x:c r="GVS62" s="291"/>
      <x:c r="GVT62" s="291"/>
      <x:c r="GVU62" s="291"/>
      <x:c r="GVV62" s="291"/>
      <x:c r="GVW62" s="291"/>
      <x:c r="GVX62" s="291"/>
      <x:c r="GVY62" s="291"/>
      <x:c r="GVZ62" s="291"/>
      <x:c r="GWA62" s="291"/>
      <x:c r="GWB62" s="291"/>
      <x:c r="GWC62" s="291"/>
      <x:c r="GWD62" s="291"/>
      <x:c r="GWE62" s="291"/>
      <x:c r="GWF62" s="291"/>
      <x:c r="GWG62" s="291"/>
      <x:c r="GWH62" s="291"/>
      <x:c r="GWI62" s="291"/>
      <x:c r="GWJ62" s="291"/>
      <x:c r="GWK62" s="291"/>
      <x:c r="GWL62" s="291"/>
      <x:c r="GWM62" s="291"/>
      <x:c r="GWN62" s="291"/>
      <x:c r="GWO62" s="291"/>
      <x:c r="GWP62" s="291"/>
      <x:c r="GWQ62" s="291"/>
      <x:c r="GWR62" s="291"/>
      <x:c r="GWS62" s="291"/>
      <x:c r="GWT62" s="291"/>
      <x:c r="GWU62" s="291"/>
      <x:c r="GWV62" s="291"/>
      <x:c r="GWW62" s="291"/>
      <x:c r="GWX62" s="291"/>
      <x:c r="GWY62" s="291"/>
      <x:c r="GWZ62" s="291"/>
      <x:c r="GXA62" s="291"/>
      <x:c r="GXB62" s="291"/>
      <x:c r="GXC62" s="291"/>
      <x:c r="GXD62" s="291"/>
      <x:c r="GXE62" s="291"/>
      <x:c r="GXF62" s="291"/>
      <x:c r="GXG62" s="291"/>
      <x:c r="GXH62" s="291"/>
      <x:c r="GXI62" s="291"/>
      <x:c r="GXJ62" s="291"/>
      <x:c r="GXK62" s="291"/>
      <x:c r="GXL62" s="291"/>
      <x:c r="GXM62" s="291"/>
      <x:c r="GXN62" s="291"/>
      <x:c r="GXO62" s="291"/>
      <x:c r="GXP62" s="291"/>
      <x:c r="GXQ62" s="291"/>
      <x:c r="GXR62" s="291"/>
      <x:c r="GXS62" s="291"/>
      <x:c r="GXT62" s="291"/>
      <x:c r="GXU62" s="291"/>
      <x:c r="GXV62" s="291"/>
      <x:c r="GXW62" s="291"/>
      <x:c r="GXX62" s="291"/>
      <x:c r="GXY62" s="291"/>
      <x:c r="GXZ62" s="291"/>
      <x:c r="GYA62" s="291"/>
      <x:c r="GYB62" s="291"/>
      <x:c r="GYC62" s="291"/>
      <x:c r="GYD62" s="291"/>
      <x:c r="GYE62" s="291"/>
      <x:c r="GYF62" s="291"/>
      <x:c r="GYG62" s="291"/>
      <x:c r="GYH62" s="291"/>
      <x:c r="GYI62" s="291"/>
      <x:c r="GYJ62" s="291"/>
      <x:c r="GYK62" s="291"/>
      <x:c r="GYL62" s="291"/>
      <x:c r="GYM62" s="291"/>
      <x:c r="GYN62" s="291"/>
      <x:c r="GYO62" s="291"/>
      <x:c r="GYP62" s="291"/>
      <x:c r="GYQ62" s="291"/>
      <x:c r="GYR62" s="291"/>
      <x:c r="GYS62" s="291"/>
      <x:c r="GYT62" s="291"/>
      <x:c r="GYU62" s="291"/>
      <x:c r="GYV62" s="291"/>
      <x:c r="GYW62" s="291"/>
      <x:c r="GYX62" s="291"/>
      <x:c r="GYY62" s="291"/>
      <x:c r="GYZ62" s="291"/>
      <x:c r="GZA62" s="291"/>
      <x:c r="GZB62" s="291"/>
      <x:c r="GZC62" s="291"/>
      <x:c r="GZD62" s="291"/>
      <x:c r="GZE62" s="291"/>
      <x:c r="GZF62" s="291"/>
      <x:c r="GZG62" s="291"/>
      <x:c r="GZH62" s="291"/>
      <x:c r="GZI62" s="291"/>
      <x:c r="GZJ62" s="291"/>
      <x:c r="GZK62" s="291"/>
      <x:c r="GZL62" s="291"/>
      <x:c r="GZM62" s="291"/>
      <x:c r="GZN62" s="291"/>
      <x:c r="GZO62" s="291"/>
      <x:c r="GZP62" s="291"/>
      <x:c r="GZQ62" s="291"/>
      <x:c r="GZR62" s="291"/>
      <x:c r="GZS62" s="291"/>
      <x:c r="GZT62" s="291"/>
      <x:c r="GZU62" s="291"/>
      <x:c r="GZV62" s="291"/>
      <x:c r="GZW62" s="291"/>
      <x:c r="GZX62" s="291"/>
      <x:c r="GZY62" s="291"/>
      <x:c r="GZZ62" s="291"/>
      <x:c r="HAA62" s="291"/>
      <x:c r="HAB62" s="291"/>
      <x:c r="HAC62" s="291"/>
      <x:c r="HAD62" s="291"/>
      <x:c r="HAE62" s="291"/>
      <x:c r="HAF62" s="291"/>
      <x:c r="HAG62" s="291"/>
      <x:c r="HAH62" s="291"/>
      <x:c r="HAI62" s="291"/>
      <x:c r="HAJ62" s="291"/>
      <x:c r="HAK62" s="291"/>
      <x:c r="HAL62" s="291"/>
      <x:c r="HAM62" s="291"/>
      <x:c r="HAN62" s="291"/>
      <x:c r="HAO62" s="291"/>
      <x:c r="HAP62" s="291"/>
      <x:c r="HAQ62" s="291"/>
      <x:c r="HAR62" s="291"/>
      <x:c r="HAS62" s="291"/>
      <x:c r="HAT62" s="291"/>
      <x:c r="HAU62" s="291"/>
      <x:c r="HAV62" s="291"/>
      <x:c r="HAW62" s="291"/>
      <x:c r="HAX62" s="291"/>
      <x:c r="HAY62" s="291"/>
      <x:c r="HAZ62" s="291"/>
      <x:c r="HBA62" s="291"/>
      <x:c r="HBB62" s="291"/>
      <x:c r="HBC62" s="291"/>
      <x:c r="HBD62" s="291"/>
      <x:c r="HBE62" s="291"/>
      <x:c r="HBF62" s="291"/>
      <x:c r="HBG62" s="291"/>
      <x:c r="HBH62" s="291"/>
      <x:c r="HBI62" s="291"/>
      <x:c r="HBJ62" s="291"/>
      <x:c r="HBK62" s="291"/>
      <x:c r="HBL62" s="291"/>
      <x:c r="HBM62" s="291"/>
      <x:c r="HBN62" s="291"/>
      <x:c r="HBO62" s="291"/>
      <x:c r="HBP62" s="291"/>
      <x:c r="HBQ62" s="291"/>
      <x:c r="HBR62" s="291"/>
      <x:c r="HBS62" s="291"/>
      <x:c r="HBT62" s="291"/>
      <x:c r="HBU62" s="291"/>
      <x:c r="HBV62" s="291"/>
      <x:c r="HBW62" s="291"/>
      <x:c r="HBX62" s="291"/>
      <x:c r="HBY62" s="291"/>
      <x:c r="HBZ62" s="291"/>
      <x:c r="HCA62" s="291"/>
      <x:c r="HCB62" s="291"/>
      <x:c r="HCC62" s="291"/>
      <x:c r="HCD62" s="291"/>
      <x:c r="HCE62" s="291"/>
      <x:c r="HCF62" s="291"/>
      <x:c r="HCG62" s="291"/>
      <x:c r="HCH62" s="291"/>
      <x:c r="HCI62" s="291"/>
      <x:c r="HCJ62" s="291"/>
      <x:c r="HCK62" s="291"/>
      <x:c r="HCL62" s="291"/>
      <x:c r="HCM62" s="291"/>
      <x:c r="HCN62" s="291"/>
      <x:c r="HCO62" s="291"/>
      <x:c r="HCP62" s="291"/>
      <x:c r="HCQ62" s="291"/>
      <x:c r="HCR62" s="291"/>
      <x:c r="HCS62" s="291"/>
      <x:c r="HCT62" s="291"/>
      <x:c r="HCU62" s="291"/>
      <x:c r="HCV62" s="291"/>
      <x:c r="HCW62" s="291"/>
      <x:c r="HCX62" s="291"/>
      <x:c r="HCY62" s="291"/>
      <x:c r="HCZ62" s="291"/>
      <x:c r="HDA62" s="291"/>
      <x:c r="HDB62" s="291"/>
      <x:c r="HDC62" s="291"/>
      <x:c r="HDD62" s="291"/>
      <x:c r="HDE62" s="291"/>
      <x:c r="HDF62" s="291"/>
      <x:c r="HDG62" s="291"/>
      <x:c r="HDH62" s="291"/>
      <x:c r="HDI62" s="291"/>
      <x:c r="HDJ62" s="291"/>
      <x:c r="HDK62" s="291"/>
      <x:c r="HDL62" s="291"/>
      <x:c r="HDM62" s="291"/>
      <x:c r="HDN62" s="291"/>
      <x:c r="HDO62" s="291"/>
      <x:c r="HDP62" s="291"/>
      <x:c r="HDQ62" s="291"/>
      <x:c r="HDR62" s="291"/>
      <x:c r="HDS62" s="291"/>
      <x:c r="HDT62" s="291"/>
      <x:c r="HDU62" s="291"/>
      <x:c r="HDV62" s="291"/>
      <x:c r="HDW62" s="291"/>
      <x:c r="HDX62" s="291"/>
      <x:c r="HDY62" s="291"/>
      <x:c r="HDZ62" s="291"/>
      <x:c r="HEA62" s="291"/>
      <x:c r="HEB62" s="291"/>
      <x:c r="HEC62" s="291"/>
      <x:c r="HED62" s="291"/>
      <x:c r="HEE62" s="291"/>
      <x:c r="HEF62" s="291"/>
      <x:c r="HEG62" s="291"/>
      <x:c r="HEH62" s="291"/>
      <x:c r="HEI62" s="291"/>
      <x:c r="HEJ62" s="291"/>
      <x:c r="HEK62" s="291"/>
      <x:c r="HEL62" s="291"/>
      <x:c r="HEM62" s="291"/>
      <x:c r="HEN62" s="291"/>
      <x:c r="HEO62" s="291"/>
      <x:c r="HEP62" s="291"/>
      <x:c r="HEQ62" s="291"/>
      <x:c r="HER62" s="291"/>
      <x:c r="HES62" s="291"/>
      <x:c r="HET62" s="291"/>
      <x:c r="HEU62" s="291"/>
      <x:c r="HEV62" s="291"/>
      <x:c r="HEW62" s="291"/>
      <x:c r="HEX62" s="291"/>
      <x:c r="HEY62" s="291"/>
      <x:c r="HEZ62" s="291"/>
      <x:c r="HFA62" s="291"/>
      <x:c r="HFB62" s="291"/>
      <x:c r="HFC62" s="291"/>
      <x:c r="HFD62" s="291"/>
      <x:c r="HFE62" s="291"/>
      <x:c r="HFF62" s="291"/>
      <x:c r="HFG62" s="291"/>
      <x:c r="HFH62" s="291"/>
      <x:c r="HFI62" s="291"/>
      <x:c r="HFJ62" s="291"/>
      <x:c r="HFK62" s="291"/>
      <x:c r="HFL62" s="291"/>
      <x:c r="HFM62" s="291"/>
      <x:c r="HFN62" s="291"/>
      <x:c r="HFO62" s="291"/>
      <x:c r="HFP62" s="291"/>
      <x:c r="HFQ62" s="291"/>
      <x:c r="HFR62" s="291"/>
      <x:c r="HFS62" s="291"/>
      <x:c r="HFT62" s="291"/>
      <x:c r="HFU62" s="291"/>
      <x:c r="HFV62" s="291"/>
      <x:c r="HFW62" s="291"/>
      <x:c r="HFX62" s="291"/>
      <x:c r="HFY62" s="291"/>
      <x:c r="HFZ62" s="291"/>
      <x:c r="HGA62" s="291"/>
      <x:c r="HGB62" s="291"/>
      <x:c r="HGC62" s="291"/>
      <x:c r="HGD62" s="291"/>
      <x:c r="HGE62" s="291"/>
      <x:c r="HGF62" s="291"/>
      <x:c r="HGG62" s="291"/>
      <x:c r="HGH62" s="291"/>
      <x:c r="HGI62" s="291"/>
      <x:c r="HGJ62" s="291"/>
      <x:c r="HGK62" s="291"/>
      <x:c r="HGL62" s="291"/>
      <x:c r="HGM62" s="291"/>
      <x:c r="HGN62" s="291"/>
      <x:c r="HGO62" s="291"/>
      <x:c r="HGP62" s="291"/>
      <x:c r="HGQ62" s="291"/>
      <x:c r="HGR62" s="291"/>
      <x:c r="HGS62" s="291"/>
      <x:c r="HGT62" s="291"/>
      <x:c r="HGU62" s="291"/>
      <x:c r="HGV62" s="291"/>
      <x:c r="HGW62" s="291"/>
      <x:c r="HGX62" s="291"/>
      <x:c r="HGY62" s="291"/>
      <x:c r="HGZ62" s="291"/>
      <x:c r="HHA62" s="291"/>
      <x:c r="HHB62" s="291"/>
      <x:c r="HHC62" s="291"/>
      <x:c r="HHD62" s="291"/>
      <x:c r="HHE62" s="291"/>
      <x:c r="HHF62" s="291"/>
      <x:c r="HHG62" s="291"/>
      <x:c r="HHH62" s="291"/>
      <x:c r="HHI62" s="291"/>
      <x:c r="HHJ62" s="291"/>
      <x:c r="HHK62" s="291"/>
      <x:c r="HHL62" s="291"/>
      <x:c r="HHM62" s="291"/>
      <x:c r="HHN62" s="291"/>
      <x:c r="HHO62" s="291"/>
      <x:c r="HHP62" s="291"/>
      <x:c r="HHQ62" s="291"/>
      <x:c r="HHR62" s="291"/>
      <x:c r="HHS62" s="291"/>
      <x:c r="HHT62" s="291"/>
      <x:c r="HHU62" s="291"/>
      <x:c r="HHV62" s="291"/>
      <x:c r="HHW62" s="291"/>
      <x:c r="HHX62" s="291"/>
      <x:c r="HHY62" s="291"/>
      <x:c r="HHZ62" s="291"/>
      <x:c r="HIA62" s="291"/>
      <x:c r="HIB62" s="291"/>
      <x:c r="HIC62" s="291"/>
      <x:c r="HID62" s="291"/>
      <x:c r="HIE62" s="291"/>
      <x:c r="HIF62" s="291"/>
      <x:c r="HIG62" s="291"/>
      <x:c r="HIH62" s="291"/>
      <x:c r="HII62" s="291"/>
      <x:c r="HIJ62" s="291"/>
      <x:c r="HIK62" s="291"/>
      <x:c r="HIL62" s="291"/>
      <x:c r="HIM62" s="291"/>
      <x:c r="HIN62" s="291"/>
      <x:c r="HIO62" s="291"/>
      <x:c r="HIP62" s="291"/>
      <x:c r="HIQ62" s="291"/>
      <x:c r="HIR62" s="291"/>
      <x:c r="HIS62" s="291"/>
      <x:c r="HIT62" s="291"/>
      <x:c r="HIU62" s="291"/>
      <x:c r="HIV62" s="291"/>
      <x:c r="HIW62" s="291"/>
      <x:c r="HIX62" s="291"/>
      <x:c r="HIY62" s="291"/>
      <x:c r="HIZ62" s="291"/>
      <x:c r="HJA62" s="291"/>
      <x:c r="HJB62" s="291"/>
      <x:c r="HJC62" s="291"/>
      <x:c r="HJD62" s="291"/>
      <x:c r="HJE62" s="291"/>
      <x:c r="HJF62" s="291"/>
      <x:c r="HJG62" s="291"/>
      <x:c r="HJH62" s="291"/>
      <x:c r="HJI62" s="291"/>
      <x:c r="HJJ62" s="291"/>
      <x:c r="HJK62" s="291"/>
      <x:c r="HJL62" s="291"/>
      <x:c r="HJM62" s="291"/>
      <x:c r="HJN62" s="291"/>
      <x:c r="HJO62" s="291"/>
      <x:c r="HJP62" s="291"/>
      <x:c r="HJQ62" s="291"/>
      <x:c r="HJR62" s="291"/>
      <x:c r="HJS62" s="291"/>
      <x:c r="HJT62" s="291"/>
      <x:c r="HJU62" s="291"/>
      <x:c r="HJV62" s="291"/>
      <x:c r="HJW62" s="291"/>
      <x:c r="HJX62" s="291"/>
      <x:c r="HJY62" s="291"/>
      <x:c r="HJZ62" s="291"/>
      <x:c r="HKA62" s="291"/>
      <x:c r="HKB62" s="291"/>
      <x:c r="HKC62" s="291"/>
      <x:c r="HKD62" s="291"/>
      <x:c r="HKE62" s="291"/>
      <x:c r="HKF62" s="291"/>
      <x:c r="HKG62" s="291"/>
      <x:c r="HKH62" s="291"/>
      <x:c r="HKI62" s="291"/>
      <x:c r="HKJ62" s="291"/>
      <x:c r="HKK62" s="291"/>
      <x:c r="HKL62" s="291"/>
      <x:c r="HKM62" s="291"/>
      <x:c r="HKN62" s="291"/>
      <x:c r="HKO62" s="291"/>
      <x:c r="HKP62" s="291"/>
      <x:c r="HKQ62" s="291"/>
      <x:c r="HKR62" s="291"/>
      <x:c r="HKS62" s="291"/>
      <x:c r="HKT62" s="291"/>
      <x:c r="HKU62" s="291"/>
      <x:c r="HKV62" s="291"/>
      <x:c r="HKW62" s="291"/>
      <x:c r="HKX62" s="291"/>
      <x:c r="HKY62" s="291"/>
      <x:c r="HKZ62" s="291"/>
      <x:c r="HLA62" s="291"/>
      <x:c r="HLB62" s="291"/>
      <x:c r="HLC62" s="291"/>
      <x:c r="HLD62" s="291"/>
      <x:c r="HLE62" s="291"/>
      <x:c r="HLF62" s="291"/>
      <x:c r="HLG62" s="291"/>
      <x:c r="HLH62" s="291"/>
      <x:c r="HLI62" s="291"/>
      <x:c r="HLJ62" s="291"/>
      <x:c r="HLK62" s="291"/>
      <x:c r="HLL62" s="291"/>
      <x:c r="HLM62" s="291"/>
      <x:c r="HLN62" s="291"/>
      <x:c r="HLO62" s="291"/>
      <x:c r="HLP62" s="291"/>
      <x:c r="HLQ62" s="291"/>
      <x:c r="HLR62" s="291"/>
      <x:c r="HLS62" s="291"/>
      <x:c r="HLT62" s="291"/>
      <x:c r="HLU62" s="291"/>
      <x:c r="HLV62" s="291"/>
      <x:c r="HLW62" s="291"/>
      <x:c r="HLX62" s="291"/>
      <x:c r="HLY62" s="291"/>
      <x:c r="HLZ62" s="291"/>
      <x:c r="HMA62" s="291"/>
      <x:c r="HMB62" s="291"/>
      <x:c r="HMC62" s="291"/>
      <x:c r="HMD62" s="291"/>
      <x:c r="HME62" s="291"/>
      <x:c r="HMF62" s="291"/>
      <x:c r="HMG62" s="291"/>
      <x:c r="HMH62" s="291"/>
      <x:c r="HMI62" s="291"/>
      <x:c r="HMJ62" s="291"/>
      <x:c r="HMK62" s="291"/>
      <x:c r="HML62" s="291"/>
      <x:c r="HMM62" s="291"/>
      <x:c r="HMN62" s="291"/>
      <x:c r="HMO62" s="291"/>
      <x:c r="HMP62" s="291"/>
      <x:c r="HMQ62" s="291"/>
      <x:c r="HMR62" s="291"/>
      <x:c r="HMS62" s="291"/>
      <x:c r="HMT62" s="291"/>
      <x:c r="HMU62" s="291"/>
      <x:c r="HMV62" s="291"/>
      <x:c r="HMW62" s="291"/>
      <x:c r="HMX62" s="291"/>
      <x:c r="HMY62" s="291"/>
      <x:c r="HMZ62" s="291"/>
      <x:c r="HNA62" s="291"/>
      <x:c r="HNB62" s="291"/>
      <x:c r="HNC62" s="291"/>
      <x:c r="HND62" s="291"/>
      <x:c r="HNE62" s="291"/>
      <x:c r="HNF62" s="291"/>
      <x:c r="HNG62" s="291"/>
      <x:c r="HNH62" s="291"/>
      <x:c r="HNI62" s="291"/>
      <x:c r="HNJ62" s="291"/>
      <x:c r="HNK62" s="291"/>
      <x:c r="HNL62" s="291"/>
      <x:c r="HNM62" s="291"/>
      <x:c r="HNN62" s="291"/>
      <x:c r="HNO62" s="291"/>
      <x:c r="HNP62" s="291"/>
      <x:c r="HNQ62" s="291"/>
      <x:c r="HNR62" s="291"/>
      <x:c r="HNS62" s="291"/>
      <x:c r="HNT62" s="291"/>
      <x:c r="HNU62" s="291"/>
      <x:c r="HNV62" s="291"/>
      <x:c r="HNW62" s="291"/>
      <x:c r="HNX62" s="291"/>
      <x:c r="HNY62" s="291"/>
      <x:c r="HNZ62" s="291"/>
      <x:c r="HOA62" s="291"/>
      <x:c r="HOB62" s="291"/>
      <x:c r="HOC62" s="291"/>
      <x:c r="HOD62" s="291"/>
      <x:c r="HOE62" s="291"/>
      <x:c r="HOF62" s="291"/>
      <x:c r="HOG62" s="291"/>
      <x:c r="HOH62" s="291"/>
      <x:c r="HOI62" s="291"/>
      <x:c r="HOJ62" s="291"/>
      <x:c r="HOK62" s="291"/>
      <x:c r="HOL62" s="291"/>
      <x:c r="HOM62" s="291"/>
      <x:c r="HON62" s="291"/>
      <x:c r="HOO62" s="291"/>
      <x:c r="HOP62" s="291"/>
      <x:c r="HOQ62" s="291"/>
      <x:c r="HOR62" s="291"/>
      <x:c r="HOS62" s="291"/>
      <x:c r="HOT62" s="291"/>
      <x:c r="HOU62" s="291"/>
      <x:c r="HOV62" s="291"/>
      <x:c r="HOW62" s="291"/>
      <x:c r="HOX62" s="291"/>
      <x:c r="HOY62" s="291"/>
      <x:c r="HOZ62" s="291"/>
      <x:c r="HPA62" s="291"/>
      <x:c r="HPB62" s="291"/>
      <x:c r="HPC62" s="291"/>
      <x:c r="HPD62" s="291"/>
      <x:c r="HPE62" s="291"/>
      <x:c r="HPF62" s="291"/>
      <x:c r="HPG62" s="291"/>
      <x:c r="HPH62" s="291"/>
      <x:c r="HPI62" s="291"/>
      <x:c r="HPJ62" s="291"/>
      <x:c r="HPK62" s="291"/>
      <x:c r="HPL62" s="291"/>
      <x:c r="HPM62" s="291"/>
      <x:c r="HPN62" s="291"/>
      <x:c r="HPO62" s="291"/>
      <x:c r="HPP62" s="291"/>
      <x:c r="HPQ62" s="291"/>
      <x:c r="HPR62" s="291"/>
      <x:c r="HPS62" s="291"/>
      <x:c r="HPT62" s="291"/>
      <x:c r="HPU62" s="291"/>
      <x:c r="HPV62" s="291"/>
      <x:c r="HPW62" s="291"/>
      <x:c r="HPX62" s="291"/>
      <x:c r="HPY62" s="291"/>
      <x:c r="HPZ62" s="291"/>
      <x:c r="HQA62" s="291"/>
      <x:c r="HQB62" s="291"/>
      <x:c r="HQC62" s="291"/>
      <x:c r="HQD62" s="291"/>
      <x:c r="HQE62" s="291"/>
      <x:c r="HQF62" s="291"/>
      <x:c r="HQG62" s="291"/>
      <x:c r="HQH62" s="291"/>
      <x:c r="HQI62" s="291"/>
      <x:c r="HQJ62" s="291"/>
      <x:c r="HQK62" s="291"/>
      <x:c r="HQL62" s="291"/>
      <x:c r="HQM62" s="291"/>
      <x:c r="HQN62" s="291"/>
      <x:c r="HQO62" s="291"/>
      <x:c r="HQP62" s="291"/>
      <x:c r="HQQ62" s="291"/>
      <x:c r="HQR62" s="291"/>
      <x:c r="HQS62" s="291"/>
      <x:c r="HQT62" s="291"/>
      <x:c r="HQU62" s="291"/>
      <x:c r="HQV62" s="291"/>
      <x:c r="HQW62" s="291"/>
      <x:c r="HQX62" s="291"/>
      <x:c r="HQY62" s="291"/>
      <x:c r="HQZ62" s="291"/>
      <x:c r="HRA62" s="291"/>
      <x:c r="HRB62" s="291"/>
      <x:c r="HRC62" s="291"/>
      <x:c r="HRD62" s="291"/>
      <x:c r="HRE62" s="291"/>
      <x:c r="HRF62" s="291"/>
      <x:c r="HRG62" s="291"/>
      <x:c r="HRH62" s="291"/>
      <x:c r="HRI62" s="291"/>
      <x:c r="HRJ62" s="291"/>
      <x:c r="HRK62" s="291"/>
      <x:c r="HRL62" s="291"/>
      <x:c r="HRM62" s="291"/>
      <x:c r="HRN62" s="291"/>
      <x:c r="HRO62" s="291"/>
      <x:c r="HRP62" s="291"/>
      <x:c r="HRQ62" s="291"/>
      <x:c r="HRR62" s="291"/>
      <x:c r="HRS62" s="291"/>
      <x:c r="HRT62" s="291"/>
      <x:c r="HRU62" s="291"/>
      <x:c r="HRV62" s="291"/>
      <x:c r="HRW62" s="291"/>
      <x:c r="HRX62" s="291"/>
      <x:c r="HRY62" s="291"/>
      <x:c r="HRZ62" s="291"/>
      <x:c r="HSA62" s="291"/>
      <x:c r="HSB62" s="291"/>
      <x:c r="HSC62" s="291"/>
      <x:c r="HSD62" s="291"/>
      <x:c r="HSE62" s="291"/>
      <x:c r="HSF62" s="291"/>
      <x:c r="HSG62" s="291"/>
      <x:c r="HSH62" s="291"/>
      <x:c r="HSI62" s="291"/>
      <x:c r="HSJ62" s="291"/>
      <x:c r="HSK62" s="291"/>
      <x:c r="HSL62" s="291"/>
      <x:c r="HSM62" s="291"/>
      <x:c r="HSN62" s="291"/>
      <x:c r="HSO62" s="291"/>
      <x:c r="HSP62" s="291"/>
      <x:c r="HSQ62" s="291"/>
      <x:c r="HSR62" s="291"/>
      <x:c r="HSS62" s="291"/>
      <x:c r="HST62" s="291"/>
      <x:c r="HSU62" s="291"/>
      <x:c r="HSV62" s="291"/>
      <x:c r="HSW62" s="291"/>
      <x:c r="HSX62" s="291"/>
      <x:c r="HSY62" s="291"/>
      <x:c r="HSZ62" s="291"/>
      <x:c r="HTA62" s="291"/>
      <x:c r="HTB62" s="291"/>
      <x:c r="HTC62" s="291"/>
      <x:c r="HTD62" s="291"/>
      <x:c r="HTE62" s="291"/>
      <x:c r="HTF62" s="291"/>
      <x:c r="HTG62" s="291"/>
      <x:c r="HTH62" s="291"/>
      <x:c r="HTI62" s="291"/>
      <x:c r="HTJ62" s="291"/>
      <x:c r="HTK62" s="291"/>
      <x:c r="HTL62" s="291"/>
      <x:c r="HTM62" s="291"/>
      <x:c r="HTN62" s="291"/>
      <x:c r="HTO62" s="291"/>
      <x:c r="HTP62" s="291"/>
      <x:c r="HTQ62" s="291"/>
      <x:c r="HTR62" s="291"/>
      <x:c r="HTS62" s="291"/>
      <x:c r="HTT62" s="291"/>
      <x:c r="HTU62" s="291"/>
      <x:c r="HTV62" s="291"/>
      <x:c r="HTW62" s="291"/>
      <x:c r="HTX62" s="291"/>
      <x:c r="HTY62" s="291"/>
      <x:c r="HTZ62" s="291"/>
      <x:c r="HUA62" s="291"/>
      <x:c r="HUB62" s="291"/>
      <x:c r="HUC62" s="291"/>
      <x:c r="HUD62" s="291"/>
      <x:c r="HUE62" s="291"/>
      <x:c r="HUF62" s="291"/>
      <x:c r="HUG62" s="291"/>
      <x:c r="HUH62" s="291"/>
      <x:c r="HUI62" s="291"/>
      <x:c r="HUJ62" s="291"/>
      <x:c r="HUK62" s="291"/>
      <x:c r="HUL62" s="291"/>
      <x:c r="HUM62" s="291"/>
      <x:c r="HUN62" s="291"/>
      <x:c r="HUO62" s="291"/>
      <x:c r="HUP62" s="291"/>
      <x:c r="HUQ62" s="291"/>
      <x:c r="HUR62" s="291"/>
      <x:c r="HUS62" s="291"/>
      <x:c r="HUT62" s="291"/>
      <x:c r="HUU62" s="291"/>
      <x:c r="HUV62" s="291"/>
      <x:c r="HUW62" s="291"/>
      <x:c r="HUX62" s="291"/>
      <x:c r="HUY62" s="291"/>
      <x:c r="HUZ62" s="291"/>
      <x:c r="HVA62" s="291"/>
      <x:c r="HVB62" s="291"/>
      <x:c r="HVC62" s="291"/>
      <x:c r="HVD62" s="291"/>
      <x:c r="HVE62" s="291"/>
      <x:c r="HVF62" s="291"/>
      <x:c r="HVG62" s="291"/>
      <x:c r="HVH62" s="291"/>
      <x:c r="HVI62" s="291"/>
      <x:c r="HVJ62" s="291"/>
      <x:c r="HVK62" s="291"/>
      <x:c r="HVL62" s="291"/>
      <x:c r="HVM62" s="291"/>
      <x:c r="HVN62" s="291"/>
      <x:c r="HVO62" s="291"/>
      <x:c r="HVP62" s="291"/>
      <x:c r="HVQ62" s="291"/>
      <x:c r="HVR62" s="291"/>
      <x:c r="HVS62" s="291"/>
      <x:c r="HVT62" s="291"/>
      <x:c r="HVU62" s="291"/>
      <x:c r="HVV62" s="291"/>
      <x:c r="HVW62" s="291"/>
      <x:c r="HVX62" s="291"/>
      <x:c r="HVY62" s="291"/>
      <x:c r="HVZ62" s="291"/>
      <x:c r="HWA62" s="291"/>
      <x:c r="HWB62" s="291"/>
      <x:c r="HWC62" s="291"/>
      <x:c r="HWD62" s="291"/>
      <x:c r="HWE62" s="291"/>
      <x:c r="HWF62" s="291"/>
      <x:c r="HWG62" s="291"/>
      <x:c r="HWH62" s="291"/>
      <x:c r="HWI62" s="291"/>
      <x:c r="HWJ62" s="291"/>
      <x:c r="HWK62" s="291"/>
      <x:c r="HWL62" s="291"/>
      <x:c r="HWM62" s="291"/>
      <x:c r="HWN62" s="291"/>
      <x:c r="HWO62" s="291"/>
      <x:c r="HWP62" s="291"/>
      <x:c r="HWQ62" s="291"/>
      <x:c r="HWR62" s="291"/>
      <x:c r="HWS62" s="291"/>
      <x:c r="HWT62" s="291"/>
      <x:c r="HWU62" s="291"/>
      <x:c r="HWV62" s="291"/>
      <x:c r="HWW62" s="291"/>
      <x:c r="HWX62" s="291"/>
      <x:c r="HWY62" s="291"/>
      <x:c r="HWZ62" s="291"/>
      <x:c r="HXA62" s="291"/>
      <x:c r="HXB62" s="291"/>
      <x:c r="HXC62" s="291"/>
      <x:c r="HXD62" s="291"/>
      <x:c r="HXE62" s="291"/>
      <x:c r="HXF62" s="291"/>
      <x:c r="HXG62" s="291"/>
      <x:c r="HXH62" s="291"/>
      <x:c r="HXI62" s="291"/>
      <x:c r="HXJ62" s="291"/>
      <x:c r="HXK62" s="291"/>
      <x:c r="HXL62" s="291"/>
      <x:c r="HXM62" s="291"/>
      <x:c r="HXN62" s="291"/>
      <x:c r="HXO62" s="291"/>
      <x:c r="HXP62" s="291"/>
      <x:c r="HXQ62" s="291"/>
      <x:c r="HXR62" s="291"/>
      <x:c r="HXS62" s="291"/>
      <x:c r="HXT62" s="291"/>
      <x:c r="HXU62" s="291"/>
      <x:c r="HXV62" s="291"/>
      <x:c r="HXW62" s="291"/>
      <x:c r="HXX62" s="291"/>
      <x:c r="HXY62" s="291"/>
      <x:c r="HXZ62" s="291"/>
      <x:c r="HYA62" s="291"/>
      <x:c r="HYB62" s="291"/>
      <x:c r="HYC62" s="291"/>
      <x:c r="HYD62" s="291"/>
      <x:c r="HYE62" s="291"/>
      <x:c r="HYF62" s="291"/>
      <x:c r="HYG62" s="291"/>
      <x:c r="HYH62" s="291"/>
      <x:c r="HYI62" s="291"/>
      <x:c r="HYJ62" s="291"/>
      <x:c r="HYK62" s="291"/>
      <x:c r="HYL62" s="291"/>
      <x:c r="HYM62" s="291"/>
      <x:c r="HYN62" s="291"/>
      <x:c r="HYO62" s="291"/>
      <x:c r="HYP62" s="291"/>
      <x:c r="HYQ62" s="291"/>
      <x:c r="HYR62" s="291"/>
      <x:c r="HYS62" s="291"/>
      <x:c r="HYT62" s="291"/>
      <x:c r="HYU62" s="291"/>
      <x:c r="HYV62" s="291"/>
      <x:c r="HYW62" s="291"/>
      <x:c r="HYX62" s="291"/>
      <x:c r="HYY62" s="291"/>
      <x:c r="HYZ62" s="291"/>
      <x:c r="HZA62" s="291"/>
      <x:c r="HZB62" s="291"/>
      <x:c r="HZC62" s="291"/>
      <x:c r="HZD62" s="291"/>
      <x:c r="HZE62" s="291"/>
      <x:c r="HZF62" s="291"/>
      <x:c r="HZG62" s="291"/>
      <x:c r="HZH62" s="291"/>
      <x:c r="HZI62" s="291"/>
      <x:c r="HZJ62" s="291"/>
      <x:c r="HZK62" s="291"/>
      <x:c r="HZL62" s="291"/>
      <x:c r="HZM62" s="291"/>
      <x:c r="HZN62" s="291"/>
      <x:c r="HZO62" s="291"/>
      <x:c r="HZP62" s="291"/>
      <x:c r="HZQ62" s="291"/>
      <x:c r="HZR62" s="291"/>
      <x:c r="HZS62" s="291"/>
      <x:c r="HZT62" s="291"/>
      <x:c r="HZU62" s="291"/>
      <x:c r="HZV62" s="291"/>
      <x:c r="HZW62" s="291"/>
      <x:c r="HZX62" s="291"/>
      <x:c r="HZY62" s="291"/>
      <x:c r="HZZ62" s="291"/>
      <x:c r="IAA62" s="291"/>
      <x:c r="IAB62" s="291"/>
      <x:c r="IAC62" s="291"/>
      <x:c r="IAD62" s="291"/>
      <x:c r="IAE62" s="291"/>
      <x:c r="IAF62" s="291"/>
      <x:c r="IAG62" s="291"/>
      <x:c r="IAH62" s="291"/>
      <x:c r="IAI62" s="291"/>
      <x:c r="IAJ62" s="291"/>
      <x:c r="IAK62" s="291"/>
      <x:c r="IAL62" s="291"/>
      <x:c r="IAM62" s="291"/>
      <x:c r="IAN62" s="291"/>
      <x:c r="IAO62" s="291"/>
      <x:c r="IAP62" s="291"/>
      <x:c r="IAQ62" s="291"/>
      <x:c r="IAR62" s="291"/>
      <x:c r="IAS62" s="291"/>
      <x:c r="IAT62" s="291"/>
      <x:c r="IAU62" s="291"/>
      <x:c r="IAV62" s="291"/>
      <x:c r="IAW62" s="291"/>
      <x:c r="IAX62" s="291"/>
      <x:c r="IAY62" s="291"/>
      <x:c r="IAZ62" s="291"/>
      <x:c r="IBA62" s="291"/>
      <x:c r="IBB62" s="291"/>
      <x:c r="IBC62" s="291"/>
      <x:c r="IBD62" s="291"/>
      <x:c r="IBE62" s="291"/>
      <x:c r="IBF62" s="291"/>
      <x:c r="IBG62" s="291"/>
      <x:c r="IBH62" s="291"/>
      <x:c r="IBI62" s="291"/>
      <x:c r="IBJ62" s="291"/>
      <x:c r="IBK62" s="291"/>
      <x:c r="IBL62" s="291"/>
      <x:c r="IBM62" s="291"/>
      <x:c r="IBN62" s="291"/>
      <x:c r="IBO62" s="291"/>
      <x:c r="IBP62" s="291"/>
      <x:c r="IBQ62" s="291"/>
      <x:c r="IBR62" s="291"/>
      <x:c r="IBS62" s="291"/>
      <x:c r="IBT62" s="291"/>
      <x:c r="IBU62" s="291"/>
      <x:c r="IBV62" s="291"/>
      <x:c r="IBW62" s="291"/>
      <x:c r="IBX62" s="291"/>
      <x:c r="IBY62" s="291"/>
      <x:c r="IBZ62" s="291"/>
      <x:c r="ICA62" s="291"/>
      <x:c r="ICB62" s="291"/>
      <x:c r="ICC62" s="291"/>
      <x:c r="ICD62" s="291"/>
      <x:c r="ICE62" s="291"/>
      <x:c r="ICF62" s="291"/>
      <x:c r="ICG62" s="291"/>
      <x:c r="ICH62" s="291"/>
      <x:c r="ICI62" s="291"/>
      <x:c r="ICJ62" s="291"/>
      <x:c r="ICK62" s="291"/>
      <x:c r="ICL62" s="291"/>
      <x:c r="ICM62" s="291"/>
      <x:c r="ICN62" s="291"/>
      <x:c r="ICO62" s="291"/>
      <x:c r="ICP62" s="291"/>
      <x:c r="ICQ62" s="291"/>
      <x:c r="ICR62" s="291"/>
      <x:c r="ICS62" s="291"/>
      <x:c r="ICT62" s="291"/>
      <x:c r="ICU62" s="291"/>
      <x:c r="ICV62" s="291"/>
      <x:c r="ICW62" s="291"/>
      <x:c r="ICX62" s="291"/>
      <x:c r="ICY62" s="291"/>
      <x:c r="ICZ62" s="291"/>
      <x:c r="IDA62" s="291"/>
      <x:c r="IDB62" s="291"/>
      <x:c r="IDC62" s="291"/>
      <x:c r="IDD62" s="291"/>
      <x:c r="IDE62" s="291"/>
      <x:c r="IDF62" s="291"/>
      <x:c r="IDG62" s="291"/>
      <x:c r="IDH62" s="291"/>
      <x:c r="IDI62" s="291"/>
      <x:c r="IDJ62" s="291"/>
      <x:c r="IDK62" s="291"/>
      <x:c r="IDL62" s="291"/>
      <x:c r="IDM62" s="291"/>
      <x:c r="IDN62" s="291"/>
      <x:c r="IDO62" s="291"/>
      <x:c r="IDP62" s="291"/>
      <x:c r="IDQ62" s="291"/>
      <x:c r="IDR62" s="291"/>
      <x:c r="IDS62" s="291"/>
      <x:c r="IDT62" s="291"/>
      <x:c r="IDU62" s="291"/>
      <x:c r="IDV62" s="291"/>
      <x:c r="IDW62" s="291"/>
      <x:c r="IDX62" s="291"/>
      <x:c r="IDY62" s="291"/>
      <x:c r="IDZ62" s="291"/>
      <x:c r="IEA62" s="291"/>
      <x:c r="IEB62" s="291"/>
      <x:c r="IEC62" s="291"/>
      <x:c r="IED62" s="291"/>
      <x:c r="IEE62" s="291"/>
      <x:c r="IEF62" s="291"/>
      <x:c r="IEG62" s="291"/>
      <x:c r="IEH62" s="291"/>
      <x:c r="IEI62" s="291"/>
      <x:c r="IEJ62" s="291"/>
      <x:c r="IEK62" s="291"/>
      <x:c r="IEL62" s="291"/>
      <x:c r="IEM62" s="291"/>
      <x:c r="IEN62" s="291"/>
      <x:c r="IEO62" s="291"/>
      <x:c r="IEP62" s="291"/>
      <x:c r="IEQ62" s="291"/>
      <x:c r="IER62" s="291"/>
      <x:c r="IES62" s="291"/>
      <x:c r="IET62" s="291"/>
      <x:c r="IEU62" s="291"/>
      <x:c r="IEV62" s="291"/>
      <x:c r="IEW62" s="291"/>
      <x:c r="IEX62" s="291"/>
      <x:c r="IEY62" s="291"/>
      <x:c r="IEZ62" s="291"/>
      <x:c r="IFA62" s="291"/>
      <x:c r="IFB62" s="291"/>
      <x:c r="IFC62" s="291"/>
      <x:c r="IFD62" s="291"/>
      <x:c r="IFE62" s="291"/>
      <x:c r="IFF62" s="291"/>
      <x:c r="IFG62" s="291"/>
      <x:c r="IFH62" s="291"/>
      <x:c r="IFI62" s="291"/>
      <x:c r="IFJ62" s="291"/>
      <x:c r="IFK62" s="291"/>
      <x:c r="IFL62" s="291"/>
      <x:c r="IFM62" s="291"/>
      <x:c r="IFN62" s="291"/>
      <x:c r="IFO62" s="291"/>
      <x:c r="IFP62" s="291"/>
      <x:c r="IFQ62" s="291"/>
      <x:c r="IFR62" s="291"/>
      <x:c r="IFS62" s="291"/>
      <x:c r="IFT62" s="291"/>
      <x:c r="IFU62" s="291"/>
      <x:c r="IFV62" s="291"/>
      <x:c r="IFW62" s="291"/>
      <x:c r="IFX62" s="291"/>
      <x:c r="IFY62" s="291"/>
      <x:c r="IFZ62" s="291"/>
      <x:c r="IGA62" s="291"/>
      <x:c r="IGB62" s="291"/>
      <x:c r="IGC62" s="291"/>
      <x:c r="IGD62" s="291"/>
      <x:c r="IGE62" s="291"/>
      <x:c r="IGF62" s="291"/>
      <x:c r="IGG62" s="291"/>
      <x:c r="IGH62" s="291"/>
      <x:c r="IGI62" s="291"/>
      <x:c r="IGJ62" s="291"/>
      <x:c r="IGK62" s="291"/>
      <x:c r="IGL62" s="291"/>
      <x:c r="IGM62" s="291"/>
      <x:c r="IGN62" s="291"/>
      <x:c r="IGO62" s="291"/>
      <x:c r="IGP62" s="291"/>
      <x:c r="IGQ62" s="291"/>
      <x:c r="IGR62" s="291"/>
      <x:c r="IGS62" s="291"/>
      <x:c r="IGT62" s="291"/>
      <x:c r="IGU62" s="291"/>
      <x:c r="IGV62" s="291"/>
      <x:c r="IGW62" s="291"/>
      <x:c r="IGX62" s="291"/>
      <x:c r="IGY62" s="291"/>
      <x:c r="IGZ62" s="291"/>
      <x:c r="IHA62" s="291"/>
      <x:c r="IHB62" s="291"/>
      <x:c r="IHC62" s="291"/>
      <x:c r="IHD62" s="291"/>
      <x:c r="IHE62" s="291"/>
      <x:c r="IHF62" s="291"/>
      <x:c r="IHG62" s="291"/>
      <x:c r="IHH62" s="291"/>
      <x:c r="IHI62" s="291"/>
      <x:c r="IHJ62" s="291"/>
      <x:c r="IHK62" s="291"/>
      <x:c r="IHL62" s="291"/>
      <x:c r="IHM62" s="291"/>
      <x:c r="IHN62" s="291"/>
      <x:c r="IHO62" s="291"/>
      <x:c r="IHP62" s="291"/>
      <x:c r="IHQ62" s="291"/>
      <x:c r="IHR62" s="291"/>
      <x:c r="IHS62" s="291"/>
      <x:c r="IHT62" s="291"/>
      <x:c r="IHU62" s="291"/>
      <x:c r="IHV62" s="291"/>
      <x:c r="IHW62" s="291"/>
      <x:c r="IHX62" s="291"/>
      <x:c r="IHY62" s="291"/>
      <x:c r="IHZ62" s="291"/>
      <x:c r="IIA62" s="291"/>
      <x:c r="IIB62" s="291"/>
      <x:c r="IIC62" s="291"/>
      <x:c r="IID62" s="291"/>
      <x:c r="IIE62" s="291"/>
      <x:c r="IIF62" s="291"/>
      <x:c r="IIG62" s="291"/>
      <x:c r="IIH62" s="291"/>
      <x:c r="III62" s="291"/>
      <x:c r="IIJ62" s="291"/>
      <x:c r="IIK62" s="291"/>
      <x:c r="IIL62" s="291"/>
      <x:c r="IIM62" s="291"/>
      <x:c r="IIN62" s="291"/>
      <x:c r="IIO62" s="291"/>
      <x:c r="IIP62" s="291"/>
      <x:c r="IIQ62" s="291"/>
      <x:c r="IIR62" s="291"/>
      <x:c r="IIS62" s="291"/>
      <x:c r="IIT62" s="291"/>
      <x:c r="IIU62" s="291"/>
      <x:c r="IIV62" s="291"/>
      <x:c r="IIW62" s="291"/>
      <x:c r="IIX62" s="291"/>
      <x:c r="IIY62" s="291"/>
      <x:c r="IIZ62" s="291"/>
      <x:c r="IJA62" s="291"/>
      <x:c r="IJB62" s="291"/>
      <x:c r="IJC62" s="291"/>
      <x:c r="IJD62" s="291"/>
      <x:c r="IJE62" s="291"/>
      <x:c r="IJF62" s="291"/>
      <x:c r="IJG62" s="291"/>
      <x:c r="IJH62" s="291"/>
      <x:c r="IJI62" s="291"/>
      <x:c r="IJJ62" s="291"/>
      <x:c r="IJK62" s="291"/>
      <x:c r="IJL62" s="291"/>
      <x:c r="IJM62" s="291"/>
      <x:c r="IJN62" s="291"/>
      <x:c r="IJO62" s="291"/>
      <x:c r="IJP62" s="291"/>
      <x:c r="IJQ62" s="291"/>
      <x:c r="IJR62" s="291"/>
      <x:c r="IJS62" s="291"/>
      <x:c r="IJT62" s="291"/>
      <x:c r="IJU62" s="291"/>
      <x:c r="IJV62" s="291"/>
      <x:c r="IJW62" s="291"/>
      <x:c r="IJX62" s="291"/>
      <x:c r="IJY62" s="291"/>
      <x:c r="IJZ62" s="291"/>
      <x:c r="IKA62" s="291"/>
      <x:c r="IKB62" s="291"/>
      <x:c r="IKC62" s="291"/>
      <x:c r="IKD62" s="291"/>
      <x:c r="IKE62" s="291"/>
      <x:c r="IKF62" s="291"/>
      <x:c r="IKG62" s="291"/>
      <x:c r="IKH62" s="291"/>
      <x:c r="IKI62" s="291"/>
      <x:c r="IKJ62" s="291"/>
      <x:c r="IKK62" s="291"/>
      <x:c r="IKL62" s="291"/>
      <x:c r="IKM62" s="291"/>
      <x:c r="IKN62" s="291"/>
      <x:c r="IKO62" s="291"/>
      <x:c r="IKP62" s="291"/>
      <x:c r="IKQ62" s="291"/>
      <x:c r="IKR62" s="291"/>
      <x:c r="IKS62" s="291"/>
      <x:c r="IKT62" s="291"/>
      <x:c r="IKU62" s="291"/>
      <x:c r="IKV62" s="291"/>
      <x:c r="IKW62" s="291"/>
      <x:c r="IKX62" s="291"/>
      <x:c r="IKY62" s="291"/>
      <x:c r="IKZ62" s="291"/>
      <x:c r="ILA62" s="291"/>
      <x:c r="ILB62" s="291"/>
      <x:c r="ILC62" s="291"/>
      <x:c r="ILD62" s="291"/>
      <x:c r="ILE62" s="291"/>
      <x:c r="ILF62" s="291"/>
      <x:c r="ILG62" s="291"/>
      <x:c r="ILH62" s="291"/>
      <x:c r="ILI62" s="291"/>
      <x:c r="ILJ62" s="291"/>
      <x:c r="ILK62" s="291"/>
      <x:c r="ILL62" s="291"/>
      <x:c r="ILM62" s="291"/>
      <x:c r="ILN62" s="291"/>
      <x:c r="ILO62" s="291"/>
      <x:c r="ILP62" s="291"/>
      <x:c r="ILQ62" s="291"/>
      <x:c r="ILR62" s="291"/>
      <x:c r="ILS62" s="291"/>
      <x:c r="ILT62" s="291"/>
      <x:c r="ILU62" s="291"/>
      <x:c r="ILV62" s="291"/>
      <x:c r="ILW62" s="291"/>
      <x:c r="ILX62" s="291"/>
      <x:c r="ILY62" s="291"/>
      <x:c r="ILZ62" s="291"/>
      <x:c r="IMA62" s="291"/>
      <x:c r="IMB62" s="291"/>
      <x:c r="IMC62" s="291"/>
      <x:c r="IMD62" s="291"/>
      <x:c r="IME62" s="291"/>
      <x:c r="IMF62" s="291"/>
      <x:c r="IMG62" s="291"/>
      <x:c r="IMH62" s="291"/>
      <x:c r="IMI62" s="291"/>
      <x:c r="IMJ62" s="291"/>
      <x:c r="IMK62" s="291"/>
      <x:c r="IML62" s="291"/>
      <x:c r="IMM62" s="291"/>
      <x:c r="IMN62" s="291"/>
      <x:c r="IMO62" s="291"/>
      <x:c r="IMP62" s="291"/>
      <x:c r="IMQ62" s="291"/>
      <x:c r="IMR62" s="291"/>
      <x:c r="IMS62" s="291"/>
      <x:c r="IMT62" s="291"/>
      <x:c r="IMU62" s="291"/>
      <x:c r="IMV62" s="291"/>
      <x:c r="IMW62" s="291"/>
      <x:c r="IMX62" s="291"/>
      <x:c r="IMY62" s="291"/>
      <x:c r="IMZ62" s="291"/>
      <x:c r="INA62" s="291"/>
      <x:c r="INB62" s="291"/>
      <x:c r="INC62" s="291"/>
      <x:c r="IND62" s="291"/>
      <x:c r="INE62" s="291"/>
      <x:c r="INF62" s="291"/>
      <x:c r="ING62" s="291"/>
      <x:c r="INH62" s="291"/>
      <x:c r="INI62" s="291"/>
      <x:c r="INJ62" s="291"/>
      <x:c r="INK62" s="291"/>
      <x:c r="INL62" s="291"/>
      <x:c r="INM62" s="291"/>
      <x:c r="INN62" s="291"/>
      <x:c r="INO62" s="291"/>
      <x:c r="INP62" s="291"/>
      <x:c r="INQ62" s="291"/>
      <x:c r="INR62" s="291"/>
      <x:c r="INS62" s="291"/>
      <x:c r="INT62" s="291"/>
      <x:c r="INU62" s="291"/>
      <x:c r="INV62" s="291"/>
      <x:c r="INW62" s="291"/>
      <x:c r="INX62" s="291"/>
      <x:c r="INY62" s="291"/>
      <x:c r="INZ62" s="291"/>
      <x:c r="IOA62" s="291"/>
      <x:c r="IOB62" s="291"/>
      <x:c r="IOC62" s="291"/>
      <x:c r="IOD62" s="291"/>
      <x:c r="IOE62" s="291"/>
      <x:c r="IOF62" s="291"/>
      <x:c r="IOG62" s="291"/>
      <x:c r="IOH62" s="291"/>
      <x:c r="IOI62" s="291"/>
      <x:c r="IOJ62" s="291"/>
      <x:c r="IOK62" s="291"/>
      <x:c r="IOL62" s="291"/>
      <x:c r="IOM62" s="291"/>
      <x:c r="ION62" s="291"/>
      <x:c r="IOO62" s="291"/>
      <x:c r="IOP62" s="291"/>
      <x:c r="IOQ62" s="291"/>
      <x:c r="IOR62" s="291"/>
      <x:c r="IOS62" s="291"/>
      <x:c r="IOT62" s="291"/>
      <x:c r="IOU62" s="291"/>
      <x:c r="IOV62" s="291"/>
      <x:c r="IOW62" s="291"/>
      <x:c r="IOX62" s="291"/>
      <x:c r="IOY62" s="291"/>
      <x:c r="IOZ62" s="291"/>
      <x:c r="IPA62" s="291"/>
      <x:c r="IPB62" s="291"/>
      <x:c r="IPC62" s="291"/>
      <x:c r="IPD62" s="291"/>
      <x:c r="IPE62" s="291"/>
      <x:c r="IPF62" s="291"/>
      <x:c r="IPG62" s="291"/>
      <x:c r="IPH62" s="291"/>
      <x:c r="IPI62" s="291"/>
      <x:c r="IPJ62" s="291"/>
      <x:c r="IPK62" s="291"/>
      <x:c r="IPL62" s="291"/>
      <x:c r="IPM62" s="291"/>
      <x:c r="IPN62" s="291"/>
      <x:c r="IPO62" s="291"/>
      <x:c r="IPP62" s="291"/>
      <x:c r="IPQ62" s="291"/>
      <x:c r="IPR62" s="291"/>
      <x:c r="IPS62" s="291"/>
      <x:c r="IPT62" s="291"/>
      <x:c r="IPU62" s="291"/>
      <x:c r="IPV62" s="291"/>
      <x:c r="IPW62" s="291"/>
      <x:c r="IPX62" s="291"/>
      <x:c r="IPY62" s="291"/>
      <x:c r="IPZ62" s="291"/>
      <x:c r="IQA62" s="291"/>
      <x:c r="IQB62" s="291"/>
      <x:c r="IQC62" s="291"/>
      <x:c r="IQD62" s="291"/>
      <x:c r="IQE62" s="291"/>
      <x:c r="IQF62" s="291"/>
      <x:c r="IQG62" s="291"/>
      <x:c r="IQH62" s="291"/>
      <x:c r="IQI62" s="291"/>
      <x:c r="IQJ62" s="291"/>
      <x:c r="IQK62" s="291"/>
      <x:c r="IQL62" s="291"/>
      <x:c r="IQM62" s="291"/>
      <x:c r="IQN62" s="291"/>
      <x:c r="IQO62" s="291"/>
      <x:c r="IQP62" s="291"/>
      <x:c r="IQQ62" s="291"/>
      <x:c r="IQR62" s="291"/>
      <x:c r="IQS62" s="291"/>
      <x:c r="IQT62" s="291"/>
      <x:c r="IQU62" s="291"/>
      <x:c r="IQV62" s="291"/>
      <x:c r="IQW62" s="291"/>
      <x:c r="IQX62" s="291"/>
      <x:c r="IQY62" s="291"/>
      <x:c r="IQZ62" s="291"/>
      <x:c r="IRA62" s="291"/>
      <x:c r="IRB62" s="291"/>
      <x:c r="IRC62" s="291"/>
      <x:c r="IRD62" s="291"/>
      <x:c r="IRE62" s="291"/>
      <x:c r="IRF62" s="291"/>
      <x:c r="IRG62" s="291"/>
      <x:c r="IRH62" s="291"/>
      <x:c r="IRI62" s="291"/>
      <x:c r="IRJ62" s="291"/>
      <x:c r="IRK62" s="291"/>
      <x:c r="IRL62" s="291"/>
      <x:c r="IRM62" s="291"/>
      <x:c r="IRN62" s="291"/>
      <x:c r="IRO62" s="291"/>
      <x:c r="IRP62" s="291"/>
      <x:c r="IRQ62" s="291"/>
      <x:c r="IRR62" s="291"/>
      <x:c r="IRS62" s="291"/>
      <x:c r="IRT62" s="291"/>
      <x:c r="IRU62" s="291"/>
      <x:c r="IRV62" s="291"/>
      <x:c r="IRW62" s="291"/>
      <x:c r="IRX62" s="291"/>
      <x:c r="IRY62" s="291"/>
      <x:c r="IRZ62" s="291"/>
      <x:c r="ISA62" s="291"/>
      <x:c r="ISB62" s="291"/>
      <x:c r="ISC62" s="291"/>
      <x:c r="ISD62" s="291"/>
      <x:c r="ISE62" s="291"/>
      <x:c r="ISF62" s="291"/>
      <x:c r="ISG62" s="291"/>
      <x:c r="ISH62" s="291"/>
      <x:c r="ISI62" s="291"/>
      <x:c r="ISJ62" s="291"/>
      <x:c r="ISK62" s="291"/>
      <x:c r="ISL62" s="291"/>
      <x:c r="ISM62" s="291"/>
      <x:c r="ISN62" s="291"/>
      <x:c r="ISO62" s="291"/>
      <x:c r="ISP62" s="291"/>
      <x:c r="ISQ62" s="291"/>
      <x:c r="ISR62" s="291"/>
      <x:c r="ISS62" s="291"/>
      <x:c r="IST62" s="291"/>
      <x:c r="ISU62" s="291"/>
      <x:c r="ISV62" s="291"/>
      <x:c r="ISW62" s="291"/>
      <x:c r="ISX62" s="291"/>
      <x:c r="ISY62" s="291"/>
      <x:c r="ISZ62" s="291"/>
      <x:c r="ITA62" s="291"/>
      <x:c r="ITB62" s="291"/>
      <x:c r="ITC62" s="291"/>
      <x:c r="ITD62" s="291"/>
      <x:c r="ITE62" s="291"/>
      <x:c r="ITF62" s="291"/>
      <x:c r="ITG62" s="291"/>
      <x:c r="ITH62" s="291"/>
      <x:c r="ITI62" s="291"/>
      <x:c r="ITJ62" s="291"/>
      <x:c r="ITK62" s="291"/>
      <x:c r="ITL62" s="291"/>
      <x:c r="ITM62" s="291"/>
      <x:c r="ITN62" s="291"/>
      <x:c r="ITO62" s="291"/>
      <x:c r="ITP62" s="291"/>
      <x:c r="ITQ62" s="291"/>
      <x:c r="ITR62" s="291"/>
      <x:c r="ITS62" s="291"/>
      <x:c r="ITT62" s="291"/>
      <x:c r="ITU62" s="291"/>
      <x:c r="ITV62" s="291"/>
      <x:c r="ITW62" s="291"/>
      <x:c r="ITX62" s="291"/>
      <x:c r="ITY62" s="291"/>
      <x:c r="ITZ62" s="291"/>
      <x:c r="IUA62" s="291"/>
      <x:c r="IUB62" s="291"/>
      <x:c r="IUC62" s="291"/>
      <x:c r="IUD62" s="291"/>
      <x:c r="IUE62" s="291"/>
      <x:c r="IUF62" s="291"/>
      <x:c r="IUG62" s="291"/>
      <x:c r="IUH62" s="291"/>
      <x:c r="IUI62" s="291"/>
      <x:c r="IUJ62" s="291"/>
      <x:c r="IUK62" s="291"/>
      <x:c r="IUL62" s="291"/>
      <x:c r="IUM62" s="291"/>
      <x:c r="IUN62" s="291"/>
      <x:c r="IUO62" s="291"/>
      <x:c r="IUP62" s="291"/>
      <x:c r="IUQ62" s="291"/>
      <x:c r="IUR62" s="291"/>
      <x:c r="IUS62" s="291"/>
      <x:c r="IUT62" s="291"/>
      <x:c r="IUU62" s="291"/>
      <x:c r="IUV62" s="291"/>
      <x:c r="IUW62" s="291"/>
      <x:c r="IUX62" s="291"/>
      <x:c r="IUY62" s="291"/>
      <x:c r="IUZ62" s="291"/>
      <x:c r="IVA62" s="291"/>
      <x:c r="IVB62" s="291"/>
      <x:c r="IVC62" s="291"/>
      <x:c r="IVD62" s="291"/>
      <x:c r="IVE62" s="291"/>
      <x:c r="IVF62" s="291"/>
      <x:c r="IVG62" s="291"/>
      <x:c r="IVH62" s="291"/>
      <x:c r="IVI62" s="291"/>
      <x:c r="IVJ62" s="291"/>
      <x:c r="IVK62" s="291"/>
      <x:c r="IVL62" s="291"/>
      <x:c r="IVM62" s="291"/>
      <x:c r="IVN62" s="291"/>
      <x:c r="IVO62" s="291"/>
      <x:c r="IVP62" s="291"/>
      <x:c r="IVQ62" s="291"/>
      <x:c r="IVR62" s="291"/>
      <x:c r="IVS62" s="291"/>
      <x:c r="IVT62" s="291"/>
      <x:c r="IVU62" s="291"/>
      <x:c r="IVV62" s="291"/>
      <x:c r="IVW62" s="291"/>
      <x:c r="IVX62" s="291"/>
      <x:c r="IVY62" s="291"/>
      <x:c r="IVZ62" s="291"/>
      <x:c r="IWA62" s="291"/>
      <x:c r="IWB62" s="291"/>
      <x:c r="IWC62" s="291"/>
      <x:c r="IWD62" s="291"/>
      <x:c r="IWE62" s="291"/>
      <x:c r="IWF62" s="291"/>
      <x:c r="IWG62" s="291"/>
      <x:c r="IWH62" s="291"/>
      <x:c r="IWI62" s="291"/>
      <x:c r="IWJ62" s="291"/>
      <x:c r="IWK62" s="291"/>
      <x:c r="IWL62" s="291"/>
      <x:c r="IWM62" s="291"/>
      <x:c r="IWN62" s="291"/>
      <x:c r="IWO62" s="291"/>
      <x:c r="IWP62" s="291"/>
      <x:c r="IWQ62" s="291"/>
      <x:c r="IWR62" s="291"/>
      <x:c r="IWS62" s="291"/>
      <x:c r="IWT62" s="291"/>
      <x:c r="IWU62" s="291"/>
      <x:c r="IWV62" s="291"/>
      <x:c r="IWW62" s="291"/>
      <x:c r="IWX62" s="291"/>
      <x:c r="IWY62" s="291"/>
      <x:c r="IWZ62" s="291"/>
      <x:c r="IXA62" s="291"/>
      <x:c r="IXB62" s="291"/>
      <x:c r="IXC62" s="291"/>
      <x:c r="IXD62" s="291"/>
      <x:c r="IXE62" s="291"/>
      <x:c r="IXF62" s="291"/>
      <x:c r="IXG62" s="291"/>
      <x:c r="IXH62" s="291"/>
      <x:c r="IXI62" s="291"/>
      <x:c r="IXJ62" s="291"/>
      <x:c r="IXK62" s="291"/>
      <x:c r="IXL62" s="291"/>
      <x:c r="IXM62" s="291"/>
      <x:c r="IXN62" s="291"/>
      <x:c r="IXO62" s="291"/>
      <x:c r="IXP62" s="291"/>
      <x:c r="IXQ62" s="291"/>
      <x:c r="IXR62" s="291"/>
      <x:c r="IXS62" s="291"/>
      <x:c r="IXT62" s="291"/>
      <x:c r="IXU62" s="291"/>
      <x:c r="IXV62" s="291"/>
      <x:c r="IXW62" s="291"/>
      <x:c r="IXX62" s="291"/>
      <x:c r="IXY62" s="291"/>
      <x:c r="IXZ62" s="291"/>
      <x:c r="IYA62" s="291"/>
      <x:c r="IYB62" s="291"/>
      <x:c r="IYC62" s="291"/>
      <x:c r="IYD62" s="291"/>
      <x:c r="IYE62" s="291"/>
      <x:c r="IYF62" s="291"/>
      <x:c r="IYG62" s="291"/>
      <x:c r="IYH62" s="291"/>
      <x:c r="IYI62" s="291"/>
      <x:c r="IYJ62" s="291"/>
      <x:c r="IYK62" s="291"/>
      <x:c r="IYL62" s="291"/>
      <x:c r="IYM62" s="291"/>
      <x:c r="IYN62" s="291"/>
      <x:c r="IYO62" s="291"/>
      <x:c r="IYP62" s="291"/>
      <x:c r="IYQ62" s="291"/>
      <x:c r="IYR62" s="291"/>
      <x:c r="IYS62" s="291"/>
      <x:c r="IYT62" s="291"/>
      <x:c r="IYU62" s="291"/>
      <x:c r="IYV62" s="291"/>
      <x:c r="IYW62" s="291"/>
      <x:c r="IYX62" s="291"/>
      <x:c r="IYY62" s="291"/>
      <x:c r="IYZ62" s="291"/>
      <x:c r="IZA62" s="291"/>
      <x:c r="IZB62" s="291"/>
      <x:c r="IZC62" s="291"/>
      <x:c r="IZD62" s="291"/>
      <x:c r="IZE62" s="291"/>
      <x:c r="IZF62" s="291"/>
      <x:c r="IZG62" s="291"/>
      <x:c r="IZH62" s="291"/>
      <x:c r="IZI62" s="291"/>
      <x:c r="IZJ62" s="291"/>
      <x:c r="IZK62" s="291"/>
      <x:c r="IZL62" s="291"/>
      <x:c r="IZM62" s="291"/>
      <x:c r="IZN62" s="291"/>
      <x:c r="IZO62" s="291"/>
      <x:c r="IZP62" s="291"/>
      <x:c r="IZQ62" s="291"/>
      <x:c r="IZR62" s="291"/>
      <x:c r="IZS62" s="291"/>
      <x:c r="IZT62" s="291"/>
      <x:c r="IZU62" s="291"/>
      <x:c r="IZV62" s="291"/>
      <x:c r="IZW62" s="291"/>
      <x:c r="IZX62" s="291"/>
      <x:c r="IZY62" s="291"/>
      <x:c r="IZZ62" s="291"/>
      <x:c r="JAA62" s="291"/>
      <x:c r="JAB62" s="291"/>
      <x:c r="JAC62" s="291"/>
      <x:c r="JAD62" s="291"/>
      <x:c r="JAE62" s="291"/>
      <x:c r="JAF62" s="291"/>
      <x:c r="JAG62" s="291"/>
      <x:c r="JAH62" s="291"/>
      <x:c r="JAI62" s="291"/>
      <x:c r="JAJ62" s="291"/>
      <x:c r="JAK62" s="291"/>
      <x:c r="JAL62" s="291"/>
      <x:c r="JAM62" s="291"/>
      <x:c r="JAN62" s="291"/>
      <x:c r="JAO62" s="291"/>
      <x:c r="JAP62" s="291"/>
      <x:c r="JAQ62" s="291"/>
      <x:c r="JAR62" s="291"/>
      <x:c r="JAS62" s="291"/>
      <x:c r="JAT62" s="291"/>
      <x:c r="JAU62" s="291"/>
      <x:c r="JAV62" s="291"/>
      <x:c r="JAW62" s="291"/>
      <x:c r="JAX62" s="291"/>
      <x:c r="JAY62" s="291"/>
      <x:c r="JAZ62" s="291"/>
      <x:c r="JBA62" s="291"/>
      <x:c r="JBB62" s="291"/>
      <x:c r="JBC62" s="291"/>
      <x:c r="JBD62" s="291"/>
      <x:c r="JBE62" s="291"/>
      <x:c r="JBF62" s="291"/>
      <x:c r="JBG62" s="291"/>
      <x:c r="JBH62" s="291"/>
      <x:c r="JBI62" s="291"/>
      <x:c r="JBJ62" s="291"/>
      <x:c r="JBK62" s="291"/>
      <x:c r="JBL62" s="291"/>
      <x:c r="JBM62" s="291"/>
      <x:c r="JBN62" s="291"/>
      <x:c r="JBO62" s="291"/>
      <x:c r="JBP62" s="291"/>
      <x:c r="JBQ62" s="291"/>
      <x:c r="JBR62" s="291"/>
      <x:c r="JBS62" s="291"/>
      <x:c r="JBT62" s="291"/>
      <x:c r="JBU62" s="291"/>
      <x:c r="JBV62" s="291"/>
      <x:c r="JBW62" s="291"/>
      <x:c r="JBX62" s="291"/>
      <x:c r="JBY62" s="291"/>
      <x:c r="JBZ62" s="291"/>
      <x:c r="JCA62" s="291"/>
      <x:c r="JCB62" s="291"/>
      <x:c r="JCC62" s="291"/>
      <x:c r="JCD62" s="291"/>
      <x:c r="JCE62" s="291"/>
      <x:c r="JCF62" s="291"/>
      <x:c r="JCG62" s="291"/>
      <x:c r="JCH62" s="291"/>
      <x:c r="JCI62" s="291"/>
      <x:c r="JCJ62" s="291"/>
      <x:c r="JCK62" s="291"/>
      <x:c r="JCL62" s="291"/>
      <x:c r="JCM62" s="291"/>
      <x:c r="JCN62" s="291"/>
      <x:c r="JCO62" s="291"/>
      <x:c r="JCP62" s="291"/>
      <x:c r="JCQ62" s="291"/>
      <x:c r="JCR62" s="291"/>
      <x:c r="JCS62" s="291"/>
      <x:c r="JCT62" s="291"/>
      <x:c r="JCU62" s="291"/>
      <x:c r="JCV62" s="291"/>
      <x:c r="JCW62" s="291"/>
      <x:c r="JCX62" s="291"/>
      <x:c r="JCY62" s="291"/>
      <x:c r="JCZ62" s="291"/>
      <x:c r="JDA62" s="291"/>
      <x:c r="JDB62" s="291"/>
      <x:c r="JDC62" s="291"/>
      <x:c r="JDD62" s="291"/>
      <x:c r="JDE62" s="291"/>
      <x:c r="JDF62" s="291"/>
      <x:c r="JDG62" s="291"/>
      <x:c r="JDH62" s="291"/>
      <x:c r="JDI62" s="291"/>
      <x:c r="JDJ62" s="291"/>
      <x:c r="JDK62" s="291"/>
      <x:c r="JDL62" s="291"/>
      <x:c r="JDM62" s="291"/>
      <x:c r="JDN62" s="291"/>
      <x:c r="JDO62" s="291"/>
      <x:c r="JDP62" s="291"/>
      <x:c r="JDQ62" s="291"/>
      <x:c r="JDR62" s="291"/>
      <x:c r="JDS62" s="291"/>
      <x:c r="JDT62" s="291"/>
      <x:c r="JDU62" s="291"/>
      <x:c r="JDV62" s="291"/>
      <x:c r="JDW62" s="291"/>
      <x:c r="JDX62" s="291"/>
      <x:c r="JDY62" s="291"/>
      <x:c r="JDZ62" s="291"/>
      <x:c r="JEA62" s="291"/>
      <x:c r="JEB62" s="291"/>
      <x:c r="JEC62" s="291"/>
      <x:c r="JED62" s="291"/>
      <x:c r="JEE62" s="291"/>
      <x:c r="JEF62" s="291"/>
      <x:c r="JEG62" s="291"/>
      <x:c r="JEH62" s="291"/>
      <x:c r="JEI62" s="291"/>
      <x:c r="JEJ62" s="291"/>
      <x:c r="JEK62" s="291"/>
      <x:c r="JEL62" s="291"/>
      <x:c r="JEM62" s="291"/>
      <x:c r="JEN62" s="291"/>
      <x:c r="JEO62" s="291"/>
      <x:c r="JEP62" s="291"/>
      <x:c r="JEQ62" s="291"/>
      <x:c r="JER62" s="291"/>
      <x:c r="JES62" s="291"/>
      <x:c r="JET62" s="291"/>
      <x:c r="JEU62" s="291"/>
      <x:c r="JEV62" s="291"/>
      <x:c r="JEW62" s="291"/>
      <x:c r="JEX62" s="291"/>
      <x:c r="JEY62" s="291"/>
      <x:c r="JEZ62" s="291"/>
      <x:c r="JFA62" s="291"/>
      <x:c r="JFB62" s="291"/>
      <x:c r="JFC62" s="291"/>
      <x:c r="JFD62" s="291"/>
      <x:c r="JFE62" s="291"/>
      <x:c r="JFF62" s="291"/>
      <x:c r="JFG62" s="291"/>
      <x:c r="JFH62" s="291"/>
      <x:c r="JFI62" s="291"/>
      <x:c r="JFJ62" s="291"/>
      <x:c r="JFK62" s="291"/>
      <x:c r="JFL62" s="291"/>
      <x:c r="JFM62" s="291"/>
      <x:c r="JFN62" s="291"/>
      <x:c r="JFO62" s="291"/>
      <x:c r="JFP62" s="291"/>
      <x:c r="JFQ62" s="291"/>
      <x:c r="JFR62" s="291"/>
      <x:c r="JFS62" s="291"/>
      <x:c r="JFT62" s="291"/>
      <x:c r="JFU62" s="291"/>
      <x:c r="JFV62" s="291"/>
      <x:c r="JFW62" s="291"/>
      <x:c r="JFX62" s="291"/>
      <x:c r="JFY62" s="291"/>
      <x:c r="JFZ62" s="291"/>
      <x:c r="JGA62" s="291"/>
      <x:c r="JGB62" s="291"/>
      <x:c r="JGC62" s="291"/>
      <x:c r="JGD62" s="291"/>
      <x:c r="JGE62" s="291"/>
      <x:c r="JGF62" s="291"/>
      <x:c r="JGG62" s="291"/>
      <x:c r="JGH62" s="291"/>
      <x:c r="JGI62" s="291"/>
      <x:c r="JGJ62" s="291"/>
      <x:c r="JGK62" s="291"/>
      <x:c r="JGL62" s="291"/>
      <x:c r="JGM62" s="291"/>
      <x:c r="JGN62" s="291"/>
      <x:c r="JGO62" s="291"/>
      <x:c r="JGP62" s="291"/>
      <x:c r="JGQ62" s="291"/>
      <x:c r="JGR62" s="291"/>
      <x:c r="JGS62" s="291"/>
      <x:c r="JGT62" s="291"/>
      <x:c r="JGU62" s="291"/>
      <x:c r="JGV62" s="291"/>
      <x:c r="JGW62" s="291"/>
      <x:c r="JGX62" s="291"/>
      <x:c r="JGY62" s="291"/>
      <x:c r="JGZ62" s="291"/>
      <x:c r="JHA62" s="291"/>
      <x:c r="JHB62" s="291"/>
      <x:c r="JHC62" s="291"/>
      <x:c r="JHD62" s="291"/>
      <x:c r="JHE62" s="291"/>
      <x:c r="JHF62" s="291"/>
      <x:c r="JHG62" s="291"/>
      <x:c r="JHH62" s="291"/>
      <x:c r="JHI62" s="291"/>
      <x:c r="JHJ62" s="291"/>
      <x:c r="JHK62" s="291"/>
      <x:c r="JHL62" s="291"/>
      <x:c r="JHM62" s="291"/>
      <x:c r="JHN62" s="291"/>
      <x:c r="JHO62" s="291"/>
      <x:c r="JHP62" s="291"/>
      <x:c r="JHQ62" s="291"/>
      <x:c r="JHR62" s="291"/>
      <x:c r="JHS62" s="291"/>
      <x:c r="JHT62" s="291"/>
      <x:c r="JHU62" s="291"/>
      <x:c r="JHV62" s="291"/>
      <x:c r="JHW62" s="291"/>
      <x:c r="JHX62" s="291"/>
      <x:c r="JHY62" s="291"/>
      <x:c r="JHZ62" s="291"/>
      <x:c r="JIA62" s="291"/>
      <x:c r="JIB62" s="291"/>
      <x:c r="JIC62" s="291"/>
      <x:c r="JID62" s="291"/>
      <x:c r="JIE62" s="291"/>
      <x:c r="JIF62" s="291"/>
      <x:c r="JIG62" s="291"/>
      <x:c r="JIH62" s="291"/>
      <x:c r="JII62" s="291"/>
      <x:c r="JIJ62" s="291"/>
      <x:c r="JIK62" s="291"/>
      <x:c r="JIL62" s="291"/>
      <x:c r="JIM62" s="291"/>
      <x:c r="JIN62" s="291"/>
      <x:c r="JIO62" s="291"/>
      <x:c r="JIP62" s="291"/>
      <x:c r="JIQ62" s="291"/>
      <x:c r="JIR62" s="291"/>
      <x:c r="JIS62" s="291"/>
      <x:c r="JIT62" s="291"/>
      <x:c r="JIU62" s="291"/>
      <x:c r="JIV62" s="291"/>
      <x:c r="JIW62" s="291"/>
      <x:c r="JIX62" s="291"/>
      <x:c r="JIY62" s="291"/>
      <x:c r="JIZ62" s="291"/>
      <x:c r="JJA62" s="291"/>
      <x:c r="JJB62" s="291"/>
      <x:c r="JJC62" s="291"/>
      <x:c r="JJD62" s="291"/>
      <x:c r="JJE62" s="291"/>
      <x:c r="JJF62" s="291"/>
      <x:c r="JJG62" s="291"/>
      <x:c r="JJH62" s="291"/>
      <x:c r="JJI62" s="291"/>
      <x:c r="JJJ62" s="291"/>
      <x:c r="JJK62" s="291"/>
      <x:c r="JJL62" s="291"/>
      <x:c r="JJM62" s="291"/>
      <x:c r="JJN62" s="291"/>
      <x:c r="JJO62" s="291"/>
      <x:c r="JJP62" s="291"/>
      <x:c r="JJQ62" s="291"/>
      <x:c r="JJR62" s="291"/>
      <x:c r="JJS62" s="291"/>
      <x:c r="JJT62" s="291"/>
      <x:c r="JJU62" s="291"/>
      <x:c r="JJV62" s="291"/>
      <x:c r="JJW62" s="291"/>
      <x:c r="JJX62" s="291"/>
      <x:c r="JJY62" s="291"/>
      <x:c r="JJZ62" s="291"/>
      <x:c r="JKA62" s="291"/>
      <x:c r="JKB62" s="291"/>
      <x:c r="JKC62" s="291"/>
      <x:c r="JKD62" s="291"/>
      <x:c r="JKE62" s="291"/>
      <x:c r="JKF62" s="291"/>
      <x:c r="JKG62" s="291"/>
      <x:c r="JKH62" s="291"/>
      <x:c r="JKI62" s="291"/>
      <x:c r="JKJ62" s="291"/>
      <x:c r="JKK62" s="291"/>
      <x:c r="JKL62" s="291"/>
      <x:c r="JKM62" s="291"/>
      <x:c r="JKN62" s="291"/>
      <x:c r="JKO62" s="291"/>
      <x:c r="JKP62" s="291"/>
      <x:c r="JKQ62" s="291"/>
      <x:c r="JKR62" s="291"/>
      <x:c r="JKS62" s="291"/>
      <x:c r="JKT62" s="291"/>
      <x:c r="JKU62" s="291"/>
      <x:c r="JKV62" s="291"/>
      <x:c r="JKW62" s="291"/>
      <x:c r="JKX62" s="291"/>
      <x:c r="JKY62" s="291"/>
      <x:c r="JKZ62" s="291"/>
      <x:c r="JLA62" s="291"/>
      <x:c r="JLB62" s="291"/>
      <x:c r="JLC62" s="291"/>
      <x:c r="JLD62" s="291"/>
      <x:c r="JLE62" s="291"/>
      <x:c r="JLF62" s="291"/>
      <x:c r="JLG62" s="291"/>
      <x:c r="JLH62" s="291"/>
      <x:c r="JLI62" s="291"/>
      <x:c r="JLJ62" s="291"/>
      <x:c r="JLK62" s="291"/>
      <x:c r="JLL62" s="291"/>
      <x:c r="JLM62" s="291"/>
      <x:c r="JLN62" s="291"/>
      <x:c r="JLO62" s="291"/>
      <x:c r="JLP62" s="291"/>
      <x:c r="JLQ62" s="291"/>
      <x:c r="JLR62" s="291"/>
      <x:c r="JLS62" s="291"/>
      <x:c r="JLT62" s="291"/>
      <x:c r="JLU62" s="291"/>
      <x:c r="JLV62" s="291"/>
      <x:c r="JLW62" s="291"/>
      <x:c r="JLX62" s="291"/>
      <x:c r="JLY62" s="291"/>
      <x:c r="JLZ62" s="291"/>
      <x:c r="JMA62" s="291"/>
      <x:c r="JMB62" s="291"/>
      <x:c r="JMC62" s="291"/>
      <x:c r="JMD62" s="291"/>
      <x:c r="JME62" s="291"/>
      <x:c r="JMF62" s="291"/>
      <x:c r="JMG62" s="291"/>
      <x:c r="JMH62" s="291"/>
      <x:c r="JMI62" s="291"/>
      <x:c r="JMJ62" s="291"/>
      <x:c r="JMK62" s="291"/>
      <x:c r="JML62" s="291"/>
      <x:c r="JMM62" s="291"/>
      <x:c r="JMN62" s="291"/>
      <x:c r="JMO62" s="291"/>
      <x:c r="JMP62" s="291"/>
      <x:c r="JMQ62" s="291"/>
      <x:c r="JMR62" s="291"/>
      <x:c r="JMS62" s="291"/>
      <x:c r="JMT62" s="291"/>
      <x:c r="JMU62" s="291"/>
      <x:c r="JMV62" s="291"/>
      <x:c r="JMW62" s="291"/>
      <x:c r="JMX62" s="291"/>
      <x:c r="JMY62" s="291"/>
      <x:c r="JMZ62" s="291"/>
      <x:c r="JNA62" s="291"/>
      <x:c r="JNB62" s="291"/>
      <x:c r="JNC62" s="291"/>
      <x:c r="JND62" s="291"/>
      <x:c r="JNE62" s="291"/>
      <x:c r="JNF62" s="291"/>
      <x:c r="JNG62" s="291"/>
      <x:c r="JNH62" s="291"/>
      <x:c r="JNI62" s="291"/>
      <x:c r="JNJ62" s="291"/>
      <x:c r="JNK62" s="291"/>
      <x:c r="JNL62" s="291"/>
      <x:c r="JNM62" s="291"/>
      <x:c r="JNN62" s="291"/>
      <x:c r="JNO62" s="291"/>
      <x:c r="JNP62" s="291"/>
      <x:c r="JNQ62" s="291"/>
      <x:c r="JNR62" s="291"/>
      <x:c r="JNS62" s="291"/>
      <x:c r="JNT62" s="291"/>
      <x:c r="JNU62" s="291"/>
      <x:c r="JNV62" s="291"/>
      <x:c r="JNW62" s="291"/>
      <x:c r="JNX62" s="291"/>
      <x:c r="JNY62" s="291"/>
      <x:c r="JNZ62" s="291"/>
      <x:c r="JOA62" s="291"/>
      <x:c r="JOB62" s="291"/>
      <x:c r="JOC62" s="291"/>
      <x:c r="JOD62" s="291"/>
      <x:c r="JOE62" s="291"/>
      <x:c r="JOF62" s="291"/>
      <x:c r="JOG62" s="291"/>
      <x:c r="JOH62" s="291"/>
      <x:c r="JOI62" s="291"/>
      <x:c r="JOJ62" s="291"/>
      <x:c r="JOK62" s="291"/>
      <x:c r="JOL62" s="291"/>
      <x:c r="JOM62" s="291"/>
      <x:c r="JON62" s="291"/>
      <x:c r="JOO62" s="291"/>
      <x:c r="JOP62" s="291"/>
      <x:c r="JOQ62" s="291"/>
      <x:c r="JOR62" s="291"/>
      <x:c r="JOS62" s="291"/>
      <x:c r="JOT62" s="291"/>
      <x:c r="JOU62" s="291"/>
      <x:c r="JOV62" s="291"/>
      <x:c r="JOW62" s="291"/>
      <x:c r="JOX62" s="291"/>
      <x:c r="JOY62" s="291"/>
      <x:c r="JOZ62" s="291"/>
      <x:c r="JPA62" s="291"/>
      <x:c r="JPB62" s="291"/>
      <x:c r="JPC62" s="291"/>
      <x:c r="JPD62" s="291"/>
      <x:c r="JPE62" s="291"/>
      <x:c r="JPF62" s="291"/>
      <x:c r="JPG62" s="291"/>
      <x:c r="JPH62" s="291"/>
      <x:c r="JPI62" s="291"/>
      <x:c r="JPJ62" s="291"/>
      <x:c r="JPK62" s="291"/>
      <x:c r="JPL62" s="291"/>
      <x:c r="JPM62" s="291"/>
      <x:c r="JPN62" s="291"/>
      <x:c r="JPO62" s="291"/>
      <x:c r="JPP62" s="291"/>
      <x:c r="JPQ62" s="291"/>
      <x:c r="JPR62" s="291"/>
      <x:c r="JPS62" s="291"/>
      <x:c r="JPT62" s="291"/>
      <x:c r="JPU62" s="291"/>
      <x:c r="JPV62" s="291"/>
      <x:c r="JPW62" s="291"/>
      <x:c r="JPX62" s="291"/>
      <x:c r="JPY62" s="291"/>
      <x:c r="JPZ62" s="291"/>
      <x:c r="JQA62" s="291"/>
      <x:c r="JQB62" s="291"/>
      <x:c r="JQC62" s="291"/>
      <x:c r="JQD62" s="291"/>
      <x:c r="JQE62" s="291"/>
      <x:c r="JQF62" s="291"/>
      <x:c r="JQG62" s="291"/>
      <x:c r="JQH62" s="291"/>
      <x:c r="JQI62" s="291"/>
      <x:c r="JQJ62" s="291"/>
      <x:c r="JQK62" s="291"/>
      <x:c r="JQL62" s="291"/>
      <x:c r="JQM62" s="291"/>
      <x:c r="JQN62" s="291"/>
      <x:c r="JQO62" s="291"/>
      <x:c r="JQP62" s="291"/>
      <x:c r="JQQ62" s="291"/>
      <x:c r="JQR62" s="291"/>
      <x:c r="JQS62" s="291"/>
      <x:c r="JQT62" s="291"/>
      <x:c r="JQU62" s="291"/>
      <x:c r="JQV62" s="291"/>
      <x:c r="JQW62" s="291"/>
      <x:c r="JQX62" s="291"/>
      <x:c r="JQY62" s="291"/>
      <x:c r="JQZ62" s="291"/>
      <x:c r="JRA62" s="291"/>
      <x:c r="JRB62" s="291"/>
      <x:c r="JRC62" s="291"/>
      <x:c r="JRD62" s="291"/>
      <x:c r="JRE62" s="291"/>
      <x:c r="JRF62" s="291"/>
      <x:c r="JRG62" s="291"/>
      <x:c r="JRH62" s="291"/>
      <x:c r="JRI62" s="291"/>
      <x:c r="JRJ62" s="291"/>
      <x:c r="JRK62" s="291"/>
      <x:c r="JRL62" s="291"/>
      <x:c r="JRM62" s="291"/>
      <x:c r="JRN62" s="291"/>
      <x:c r="JRO62" s="291"/>
      <x:c r="JRP62" s="291"/>
      <x:c r="JRQ62" s="291"/>
      <x:c r="JRR62" s="291"/>
      <x:c r="JRS62" s="291"/>
      <x:c r="JRT62" s="291"/>
      <x:c r="JRU62" s="291"/>
      <x:c r="JRV62" s="291"/>
      <x:c r="JRW62" s="291"/>
      <x:c r="JRX62" s="291"/>
      <x:c r="JRY62" s="291"/>
      <x:c r="JRZ62" s="291"/>
      <x:c r="JSA62" s="291"/>
      <x:c r="JSB62" s="291"/>
      <x:c r="JSC62" s="291"/>
      <x:c r="JSD62" s="291"/>
      <x:c r="JSE62" s="291"/>
      <x:c r="JSF62" s="291"/>
      <x:c r="JSG62" s="291"/>
      <x:c r="JSH62" s="291"/>
      <x:c r="JSI62" s="291"/>
      <x:c r="JSJ62" s="291"/>
      <x:c r="JSK62" s="291"/>
      <x:c r="JSL62" s="291"/>
      <x:c r="JSM62" s="291"/>
      <x:c r="JSN62" s="291"/>
      <x:c r="JSO62" s="291"/>
      <x:c r="JSP62" s="291"/>
      <x:c r="JSQ62" s="291"/>
      <x:c r="JSR62" s="291"/>
      <x:c r="JSS62" s="291"/>
      <x:c r="JST62" s="291"/>
      <x:c r="JSU62" s="291"/>
      <x:c r="JSV62" s="291"/>
      <x:c r="JSW62" s="291"/>
      <x:c r="JSX62" s="291"/>
      <x:c r="JSY62" s="291"/>
      <x:c r="JSZ62" s="291"/>
      <x:c r="JTA62" s="291"/>
      <x:c r="JTB62" s="291"/>
      <x:c r="JTC62" s="291"/>
      <x:c r="JTD62" s="291"/>
      <x:c r="JTE62" s="291"/>
      <x:c r="JTF62" s="291"/>
      <x:c r="JTG62" s="291"/>
      <x:c r="JTH62" s="291"/>
      <x:c r="JTI62" s="291"/>
      <x:c r="JTJ62" s="291"/>
      <x:c r="JTK62" s="291"/>
      <x:c r="JTL62" s="291"/>
      <x:c r="JTM62" s="291"/>
      <x:c r="JTN62" s="291"/>
      <x:c r="JTO62" s="291"/>
      <x:c r="JTP62" s="291"/>
      <x:c r="JTQ62" s="291"/>
      <x:c r="JTR62" s="291"/>
      <x:c r="JTS62" s="291"/>
      <x:c r="JTT62" s="291"/>
      <x:c r="JTU62" s="291"/>
      <x:c r="JTV62" s="291"/>
      <x:c r="JTW62" s="291"/>
      <x:c r="JTX62" s="291"/>
      <x:c r="JTY62" s="291"/>
      <x:c r="JTZ62" s="291"/>
      <x:c r="JUA62" s="291"/>
      <x:c r="JUB62" s="291"/>
      <x:c r="JUC62" s="291"/>
      <x:c r="JUD62" s="291"/>
      <x:c r="JUE62" s="291"/>
      <x:c r="JUF62" s="291"/>
      <x:c r="JUG62" s="291"/>
      <x:c r="JUH62" s="291"/>
      <x:c r="JUI62" s="291"/>
      <x:c r="JUJ62" s="291"/>
      <x:c r="JUK62" s="291"/>
      <x:c r="JUL62" s="291"/>
      <x:c r="JUM62" s="291"/>
      <x:c r="JUN62" s="291"/>
      <x:c r="JUO62" s="291"/>
      <x:c r="JUP62" s="291"/>
      <x:c r="JUQ62" s="291"/>
      <x:c r="JUR62" s="291"/>
      <x:c r="JUS62" s="291"/>
      <x:c r="JUT62" s="291"/>
      <x:c r="JUU62" s="291"/>
      <x:c r="JUV62" s="291"/>
      <x:c r="JUW62" s="291"/>
      <x:c r="JUX62" s="291"/>
      <x:c r="JUY62" s="291"/>
      <x:c r="JUZ62" s="291"/>
      <x:c r="JVA62" s="291"/>
      <x:c r="JVB62" s="291"/>
      <x:c r="JVC62" s="291"/>
      <x:c r="JVD62" s="291"/>
      <x:c r="JVE62" s="291"/>
      <x:c r="JVF62" s="291"/>
      <x:c r="JVG62" s="291"/>
      <x:c r="JVH62" s="291"/>
      <x:c r="JVI62" s="291"/>
      <x:c r="JVJ62" s="291"/>
      <x:c r="JVK62" s="291"/>
      <x:c r="JVL62" s="291"/>
      <x:c r="JVM62" s="291"/>
      <x:c r="JVN62" s="291"/>
      <x:c r="JVO62" s="291"/>
      <x:c r="JVP62" s="291"/>
      <x:c r="JVQ62" s="291"/>
      <x:c r="JVR62" s="291"/>
      <x:c r="JVS62" s="291"/>
      <x:c r="JVT62" s="291"/>
      <x:c r="JVU62" s="291"/>
      <x:c r="JVV62" s="291"/>
      <x:c r="JVW62" s="291"/>
      <x:c r="JVX62" s="291"/>
      <x:c r="JVY62" s="291"/>
      <x:c r="JVZ62" s="291"/>
      <x:c r="JWA62" s="291"/>
      <x:c r="JWB62" s="291"/>
      <x:c r="JWC62" s="291"/>
      <x:c r="JWD62" s="291"/>
      <x:c r="JWE62" s="291"/>
      <x:c r="JWF62" s="291"/>
      <x:c r="JWG62" s="291"/>
      <x:c r="JWH62" s="291"/>
      <x:c r="JWI62" s="291"/>
      <x:c r="JWJ62" s="291"/>
      <x:c r="JWK62" s="291"/>
      <x:c r="JWL62" s="291"/>
      <x:c r="JWM62" s="291"/>
      <x:c r="JWN62" s="291"/>
      <x:c r="JWO62" s="291"/>
      <x:c r="JWP62" s="291"/>
      <x:c r="JWQ62" s="291"/>
      <x:c r="JWR62" s="291"/>
      <x:c r="JWS62" s="291"/>
      <x:c r="JWT62" s="291"/>
      <x:c r="JWU62" s="291"/>
      <x:c r="JWV62" s="291"/>
      <x:c r="JWW62" s="291"/>
      <x:c r="JWX62" s="291"/>
      <x:c r="JWY62" s="291"/>
      <x:c r="JWZ62" s="291"/>
      <x:c r="JXA62" s="291"/>
      <x:c r="JXB62" s="291"/>
      <x:c r="JXC62" s="291"/>
      <x:c r="JXD62" s="291"/>
      <x:c r="JXE62" s="291"/>
      <x:c r="JXF62" s="291"/>
      <x:c r="JXG62" s="291"/>
      <x:c r="JXH62" s="291"/>
      <x:c r="JXI62" s="291"/>
      <x:c r="JXJ62" s="291"/>
      <x:c r="JXK62" s="291"/>
      <x:c r="JXL62" s="291"/>
      <x:c r="JXM62" s="291"/>
      <x:c r="JXN62" s="291"/>
      <x:c r="JXO62" s="291"/>
      <x:c r="JXP62" s="291"/>
      <x:c r="JXQ62" s="291"/>
      <x:c r="JXR62" s="291"/>
      <x:c r="JXS62" s="291"/>
      <x:c r="JXT62" s="291"/>
      <x:c r="JXU62" s="291"/>
      <x:c r="JXV62" s="291"/>
      <x:c r="JXW62" s="291"/>
      <x:c r="JXX62" s="291"/>
      <x:c r="JXY62" s="291"/>
      <x:c r="JXZ62" s="291"/>
      <x:c r="JYA62" s="291"/>
      <x:c r="JYB62" s="291"/>
      <x:c r="JYC62" s="291"/>
      <x:c r="JYD62" s="291"/>
      <x:c r="JYE62" s="291"/>
      <x:c r="JYF62" s="291"/>
      <x:c r="JYG62" s="291"/>
      <x:c r="JYH62" s="291"/>
      <x:c r="JYI62" s="291"/>
      <x:c r="JYJ62" s="291"/>
      <x:c r="JYK62" s="291"/>
      <x:c r="JYL62" s="291"/>
      <x:c r="JYM62" s="291"/>
      <x:c r="JYN62" s="291"/>
      <x:c r="JYO62" s="291"/>
      <x:c r="JYP62" s="291"/>
      <x:c r="JYQ62" s="291"/>
      <x:c r="JYR62" s="291"/>
      <x:c r="JYS62" s="291"/>
      <x:c r="JYT62" s="291"/>
      <x:c r="JYU62" s="291"/>
      <x:c r="JYV62" s="291"/>
      <x:c r="JYW62" s="291"/>
      <x:c r="JYX62" s="291"/>
      <x:c r="JYY62" s="291"/>
      <x:c r="JYZ62" s="291"/>
      <x:c r="JZA62" s="291"/>
      <x:c r="JZB62" s="291"/>
      <x:c r="JZC62" s="291"/>
      <x:c r="JZD62" s="291"/>
      <x:c r="JZE62" s="291"/>
      <x:c r="JZF62" s="291"/>
      <x:c r="JZG62" s="291"/>
      <x:c r="JZH62" s="291"/>
      <x:c r="JZI62" s="291"/>
      <x:c r="JZJ62" s="291"/>
      <x:c r="JZK62" s="291"/>
      <x:c r="JZL62" s="291"/>
      <x:c r="JZM62" s="291"/>
      <x:c r="JZN62" s="291"/>
      <x:c r="JZO62" s="291"/>
      <x:c r="JZP62" s="291"/>
      <x:c r="JZQ62" s="291"/>
      <x:c r="JZR62" s="291"/>
      <x:c r="JZS62" s="291"/>
      <x:c r="JZT62" s="291"/>
      <x:c r="JZU62" s="291"/>
      <x:c r="JZV62" s="291"/>
      <x:c r="JZW62" s="291"/>
      <x:c r="JZX62" s="291"/>
      <x:c r="JZY62" s="291"/>
      <x:c r="JZZ62" s="291"/>
      <x:c r="KAA62" s="291"/>
      <x:c r="KAB62" s="291"/>
      <x:c r="KAC62" s="291"/>
      <x:c r="KAD62" s="291"/>
      <x:c r="KAE62" s="291"/>
      <x:c r="KAF62" s="291"/>
      <x:c r="KAG62" s="291"/>
      <x:c r="KAH62" s="291"/>
      <x:c r="KAI62" s="291"/>
      <x:c r="KAJ62" s="291"/>
      <x:c r="KAK62" s="291"/>
      <x:c r="KAL62" s="291"/>
      <x:c r="KAM62" s="291"/>
      <x:c r="KAN62" s="291"/>
      <x:c r="KAO62" s="291"/>
      <x:c r="KAP62" s="291"/>
      <x:c r="KAQ62" s="291"/>
      <x:c r="KAR62" s="291"/>
      <x:c r="KAS62" s="291"/>
      <x:c r="KAT62" s="291"/>
      <x:c r="KAU62" s="291"/>
      <x:c r="KAV62" s="291"/>
      <x:c r="KAW62" s="291"/>
      <x:c r="KAX62" s="291"/>
      <x:c r="KAY62" s="291"/>
      <x:c r="KAZ62" s="291"/>
      <x:c r="KBA62" s="291"/>
      <x:c r="KBB62" s="291"/>
      <x:c r="KBC62" s="291"/>
      <x:c r="KBD62" s="291"/>
      <x:c r="KBE62" s="291"/>
      <x:c r="KBF62" s="291"/>
      <x:c r="KBG62" s="291"/>
      <x:c r="KBH62" s="291"/>
      <x:c r="KBI62" s="291"/>
      <x:c r="KBJ62" s="291"/>
      <x:c r="KBK62" s="291"/>
      <x:c r="KBL62" s="291"/>
      <x:c r="KBM62" s="291"/>
      <x:c r="KBN62" s="291"/>
      <x:c r="KBO62" s="291"/>
      <x:c r="KBP62" s="291"/>
      <x:c r="KBQ62" s="291"/>
      <x:c r="KBR62" s="291"/>
      <x:c r="KBS62" s="291"/>
      <x:c r="KBT62" s="291"/>
      <x:c r="KBU62" s="291"/>
      <x:c r="KBV62" s="291"/>
      <x:c r="KBW62" s="291"/>
      <x:c r="KBX62" s="291"/>
      <x:c r="KBY62" s="291"/>
      <x:c r="KBZ62" s="291"/>
      <x:c r="KCA62" s="291"/>
      <x:c r="KCB62" s="291"/>
      <x:c r="KCC62" s="291"/>
      <x:c r="KCD62" s="291"/>
      <x:c r="KCE62" s="291"/>
      <x:c r="KCF62" s="291"/>
      <x:c r="KCG62" s="291"/>
      <x:c r="KCH62" s="291"/>
      <x:c r="KCI62" s="291"/>
      <x:c r="KCJ62" s="291"/>
      <x:c r="KCK62" s="291"/>
      <x:c r="KCL62" s="291"/>
      <x:c r="KCM62" s="291"/>
      <x:c r="KCN62" s="291"/>
      <x:c r="KCO62" s="291"/>
      <x:c r="KCP62" s="291"/>
      <x:c r="KCQ62" s="291"/>
      <x:c r="KCR62" s="291"/>
      <x:c r="KCS62" s="291"/>
      <x:c r="KCT62" s="291"/>
      <x:c r="KCU62" s="291"/>
      <x:c r="KCV62" s="291"/>
      <x:c r="KCW62" s="291"/>
      <x:c r="KCX62" s="291"/>
      <x:c r="KCY62" s="291"/>
      <x:c r="KCZ62" s="291"/>
      <x:c r="KDA62" s="291"/>
      <x:c r="KDB62" s="291"/>
      <x:c r="KDC62" s="291"/>
      <x:c r="KDD62" s="291"/>
      <x:c r="KDE62" s="291"/>
      <x:c r="KDF62" s="291"/>
      <x:c r="KDG62" s="291"/>
      <x:c r="KDH62" s="291"/>
      <x:c r="KDI62" s="291"/>
      <x:c r="KDJ62" s="291"/>
      <x:c r="KDK62" s="291"/>
      <x:c r="KDL62" s="291"/>
      <x:c r="KDM62" s="291"/>
      <x:c r="KDN62" s="291"/>
      <x:c r="KDO62" s="291"/>
      <x:c r="KDP62" s="291"/>
      <x:c r="KDQ62" s="291"/>
      <x:c r="KDR62" s="291"/>
      <x:c r="KDS62" s="291"/>
      <x:c r="KDT62" s="291"/>
      <x:c r="KDU62" s="291"/>
      <x:c r="KDV62" s="291"/>
      <x:c r="KDW62" s="291"/>
      <x:c r="KDX62" s="291"/>
      <x:c r="KDY62" s="291"/>
      <x:c r="KDZ62" s="291"/>
      <x:c r="KEA62" s="291"/>
      <x:c r="KEB62" s="291"/>
      <x:c r="KEC62" s="291"/>
      <x:c r="KED62" s="291"/>
      <x:c r="KEE62" s="291"/>
      <x:c r="KEF62" s="291"/>
      <x:c r="KEG62" s="291"/>
      <x:c r="KEH62" s="291"/>
      <x:c r="KEI62" s="291"/>
      <x:c r="KEJ62" s="291"/>
      <x:c r="KEK62" s="291"/>
      <x:c r="KEL62" s="291"/>
      <x:c r="KEM62" s="291"/>
      <x:c r="KEN62" s="291"/>
      <x:c r="KEO62" s="291"/>
      <x:c r="KEP62" s="291"/>
      <x:c r="KEQ62" s="291"/>
      <x:c r="KER62" s="291"/>
      <x:c r="KES62" s="291"/>
      <x:c r="KET62" s="291"/>
      <x:c r="KEU62" s="291"/>
      <x:c r="KEV62" s="291"/>
      <x:c r="KEW62" s="291"/>
      <x:c r="KEX62" s="291"/>
      <x:c r="KEY62" s="291"/>
      <x:c r="KEZ62" s="291"/>
      <x:c r="KFA62" s="291"/>
      <x:c r="KFB62" s="291"/>
      <x:c r="KFC62" s="291"/>
      <x:c r="KFD62" s="291"/>
      <x:c r="KFE62" s="291"/>
      <x:c r="KFF62" s="291"/>
      <x:c r="KFG62" s="291"/>
      <x:c r="KFH62" s="291"/>
      <x:c r="KFI62" s="291"/>
      <x:c r="KFJ62" s="291"/>
      <x:c r="KFK62" s="291"/>
      <x:c r="KFL62" s="291"/>
      <x:c r="KFM62" s="291"/>
      <x:c r="KFN62" s="291"/>
      <x:c r="KFO62" s="291"/>
      <x:c r="KFP62" s="291"/>
      <x:c r="KFQ62" s="291"/>
      <x:c r="KFR62" s="291"/>
      <x:c r="KFS62" s="291"/>
      <x:c r="KFT62" s="291"/>
      <x:c r="KFU62" s="291"/>
      <x:c r="KFV62" s="291"/>
      <x:c r="KFW62" s="291"/>
      <x:c r="KFX62" s="291"/>
      <x:c r="KFY62" s="291"/>
      <x:c r="KFZ62" s="291"/>
      <x:c r="KGA62" s="291"/>
      <x:c r="KGB62" s="291"/>
      <x:c r="KGC62" s="291"/>
      <x:c r="KGD62" s="291"/>
      <x:c r="KGE62" s="291"/>
      <x:c r="KGF62" s="291"/>
      <x:c r="KGG62" s="291"/>
      <x:c r="KGH62" s="291"/>
      <x:c r="KGI62" s="291"/>
      <x:c r="KGJ62" s="291"/>
      <x:c r="KGK62" s="291"/>
      <x:c r="KGL62" s="291"/>
      <x:c r="KGM62" s="291"/>
      <x:c r="KGN62" s="291"/>
      <x:c r="KGO62" s="291"/>
      <x:c r="KGP62" s="291"/>
      <x:c r="KGQ62" s="291"/>
      <x:c r="KGR62" s="291"/>
      <x:c r="KGS62" s="291"/>
      <x:c r="KGT62" s="291"/>
      <x:c r="KGU62" s="291"/>
      <x:c r="KGV62" s="291"/>
      <x:c r="KGW62" s="291"/>
      <x:c r="KGX62" s="291"/>
      <x:c r="KGY62" s="291"/>
      <x:c r="KGZ62" s="291"/>
      <x:c r="KHA62" s="291"/>
      <x:c r="KHB62" s="291"/>
      <x:c r="KHC62" s="291"/>
      <x:c r="KHD62" s="291"/>
      <x:c r="KHE62" s="291"/>
      <x:c r="KHF62" s="291"/>
      <x:c r="KHG62" s="291"/>
      <x:c r="KHH62" s="291"/>
      <x:c r="KHI62" s="291"/>
      <x:c r="KHJ62" s="291"/>
      <x:c r="KHK62" s="291"/>
      <x:c r="KHL62" s="291"/>
      <x:c r="KHM62" s="291"/>
      <x:c r="KHN62" s="291"/>
      <x:c r="KHO62" s="291"/>
      <x:c r="KHP62" s="291"/>
      <x:c r="KHQ62" s="291"/>
      <x:c r="KHR62" s="291"/>
      <x:c r="KHS62" s="291"/>
      <x:c r="KHT62" s="291"/>
      <x:c r="KHU62" s="291"/>
      <x:c r="KHV62" s="291"/>
      <x:c r="KHW62" s="291"/>
      <x:c r="KHX62" s="291"/>
      <x:c r="KHY62" s="291"/>
      <x:c r="KHZ62" s="291"/>
      <x:c r="KIA62" s="291"/>
      <x:c r="KIB62" s="291"/>
      <x:c r="KIC62" s="291"/>
      <x:c r="KID62" s="291"/>
      <x:c r="KIE62" s="291"/>
      <x:c r="KIF62" s="291"/>
      <x:c r="KIG62" s="291"/>
      <x:c r="KIH62" s="291"/>
      <x:c r="KII62" s="291"/>
      <x:c r="KIJ62" s="291"/>
      <x:c r="KIK62" s="291"/>
      <x:c r="KIL62" s="291"/>
      <x:c r="KIM62" s="291"/>
      <x:c r="KIN62" s="291"/>
      <x:c r="KIO62" s="291"/>
      <x:c r="KIP62" s="291"/>
      <x:c r="KIQ62" s="291"/>
      <x:c r="KIR62" s="291"/>
      <x:c r="KIS62" s="291"/>
      <x:c r="KIT62" s="291"/>
      <x:c r="KIU62" s="291"/>
      <x:c r="KIV62" s="291"/>
      <x:c r="KIW62" s="291"/>
      <x:c r="KIX62" s="291"/>
      <x:c r="KIY62" s="291"/>
      <x:c r="KIZ62" s="291"/>
      <x:c r="KJA62" s="291"/>
      <x:c r="KJB62" s="291"/>
      <x:c r="KJC62" s="291"/>
      <x:c r="KJD62" s="291"/>
      <x:c r="KJE62" s="291"/>
      <x:c r="KJF62" s="291"/>
      <x:c r="KJG62" s="291"/>
      <x:c r="KJH62" s="291"/>
      <x:c r="KJI62" s="291"/>
      <x:c r="KJJ62" s="291"/>
      <x:c r="KJK62" s="291"/>
      <x:c r="KJL62" s="291"/>
      <x:c r="KJM62" s="291"/>
      <x:c r="KJN62" s="291"/>
      <x:c r="KJO62" s="291"/>
      <x:c r="KJP62" s="291"/>
      <x:c r="KJQ62" s="291"/>
      <x:c r="KJR62" s="291"/>
      <x:c r="KJS62" s="291"/>
      <x:c r="KJT62" s="291"/>
      <x:c r="KJU62" s="291"/>
      <x:c r="KJV62" s="291"/>
      <x:c r="KJW62" s="291"/>
      <x:c r="KJX62" s="291"/>
      <x:c r="KJY62" s="291"/>
      <x:c r="KJZ62" s="291"/>
      <x:c r="KKA62" s="291"/>
      <x:c r="KKB62" s="291"/>
      <x:c r="KKC62" s="291"/>
      <x:c r="KKD62" s="291"/>
      <x:c r="KKE62" s="291"/>
      <x:c r="KKF62" s="291"/>
      <x:c r="KKG62" s="291"/>
      <x:c r="KKH62" s="291"/>
      <x:c r="KKI62" s="291"/>
      <x:c r="KKJ62" s="291"/>
      <x:c r="KKK62" s="291"/>
      <x:c r="KKL62" s="291"/>
      <x:c r="KKM62" s="291"/>
      <x:c r="KKN62" s="291"/>
      <x:c r="KKO62" s="291"/>
      <x:c r="KKP62" s="291"/>
      <x:c r="KKQ62" s="291"/>
      <x:c r="KKR62" s="291"/>
      <x:c r="KKS62" s="291"/>
      <x:c r="KKT62" s="291"/>
      <x:c r="KKU62" s="291"/>
      <x:c r="KKV62" s="291"/>
      <x:c r="KKW62" s="291"/>
      <x:c r="KKX62" s="291"/>
      <x:c r="KKY62" s="291"/>
      <x:c r="KKZ62" s="291"/>
      <x:c r="KLA62" s="291"/>
      <x:c r="KLB62" s="291"/>
      <x:c r="KLC62" s="291"/>
      <x:c r="KLD62" s="291"/>
      <x:c r="KLE62" s="291"/>
      <x:c r="KLF62" s="291"/>
      <x:c r="KLG62" s="291"/>
      <x:c r="KLH62" s="291"/>
      <x:c r="KLI62" s="291"/>
      <x:c r="KLJ62" s="291"/>
      <x:c r="KLK62" s="291"/>
      <x:c r="KLL62" s="291"/>
      <x:c r="KLM62" s="291"/>
      <x:c r="KLN62" s="291"/>
      <x:c r="KLO62" s="291"/>
      <x:c r="KLP62" s="291"/>
      <x:c r="KLQ62" s="291"/>
      <x:c r="KLR62" s="291"/>
      <x:c r="KLS62" s="291"/>
      <x:c r="KLT62" s="291"/>
      <x:c r="KLU62" s="291"/>
      <x:c r="KLV62" s="291"/>
      <x:c r="KLW62" s="291"/>
      <x:c r="KLX62" s="291"/>
      <x:c r="KLY62" s="291"/>
      <x:c r="KLZ62" s="291"/>
      <x:c r="KMA62" s="291"/>
      <x:c r="KMB62" s="291"/>
      <x:c r="KMC62" s="291"/>
      <x:c r="KMD62" s="291"/>
      <x:c r="KME62" s="291"/>
      <x:c r="KMF62" s="291"/>
      <x:c r="KMG62" s="291"/>
      <x:c r="KMH62" s="291"/>
      <x:c r="KMI62" s="291"/>
      <x:c r="KMJ62" s="291"/>
      <x:c r="KMK62" s="291"/>
      <x:c r="KML62" s="291"/>
      <x:c r="KMM62" s="291"/>
      <x:c r="KMN62" s="291"/>
      <x:c r="KMO62" s="291"/>
      <x:c r="KMP62" s="291"/>
      <x:c r="KMQ62" s="291"/>
      <x:c r="KMR62" s="291"/>
      <x:c r="KMS62" s="291"/>
      <x:c r="KMT62" s="291"/>
      <x:c r="KMU62" s="291"/>
      <x:c r="KMV62" s="291"/>
      <x:c r="KMW62" s="291"/>
      <x:c r="KMX62" s="291"/>
      <x:c r="KMY62" s="291"/>
      <x:c r="KMZ62" s="291"/>
      <x:c r="KNA62" s="291"/>
      <x:c r="KNB62" s="291"/>
      <x:c r="KNC62" s="291"/>
      <x:c r="KND62" s="291"/>
      <x:c r="KNE62" s="291"/>
      <x:c r="KNF62" s="291"/>
      <x:c r="KNG62" s="291"/>
      <x:c r="KNH62" s="291"/>
      <x:c r="KNI62" s="291"/>
      <x:c r="KNJ62" s="291"/>
      <x:c r="KNK62" s="291"/>
      <x:c r="KNL62" s="291"/>
      <x:c r="KNM62" s="291"/>
      <x:c r="KNN62" s="291"/>
      <x:c r="KNO62" s="291"/>
      <x:c r="KNP62" s="291"/>
      <x:c r="KNQ62" s="291"/>
      <x:c r="KNR62" s="291"/>
      <x:c r="KNS62" s="291"/>
      <x:c r="KNT62" s="291"/>
      <x:c r="KNU62" s="291"/>
      <x:c r="KNV62" s="291"/>
      <x:c r="KNW62" s="291"/>
      <x:c r="KNX62" s="291"/>
      <x:c r="KNY62" s="291"/>
      <x:c r="KNZ62" s="291"/>
      <x:c r="KOA62" s="291"/>
      <x:c r="KOB62" s="291"/>
      <x:c r="KOC62" s="291"/>
      <x:c r="KOD62" s="291"/>
      <x:c r="KOE62" s="291"/>
      <x:c r="KOF62" s="291"/>
      <x:c r="KOG62" s="291"/>
      <x:c r="KOH62" s="291"/>
      <x:c r="KOI62" s="291"/>
      <x:c r="KOJ62" s="291"/>
      <x:c r="KOK62" s="291"/>
      <x:c r="KOL62" s="291"/>
      <x:c r="KOM62" s="291"/>
      <x:c r="KON62" s="291"/>
      <x:c r="KOO62" s="291"/>
      <x:c r="KOP62" s="291"/>
      <x:c r="KOQ62" s="291"/>
      <x:c r="KOR62" s="291"/>
      <x:c r="KOS62" s="291"/>
      <x:c r="KOT62" s="291"/>
      <x:c r="KOU62" s="291"/>
      <x:c r="KOV62" s="291"/>
      <x:c r="KOW62" s="291"/>
      <x:c r="KOX62" s="291"/>
      <x:c r="KOY62" s="291"/>
      <x:c r="KOZ62" s="291"/>
      <x:c r="KPA62" s="291"/>
      <x:c r="KPB62" s="291"/>
      <x:c r="KPC62" s="291"/>
      <x:c r="KPD62" s="291"/>
      <x:c r="KPE62" s="291"/>
      <x:c r="KPF62" s="291"/>
      <x:c r="KPG62" s="291"/>
      <x:c r="KPH62" s="291"/>
      <x:c r="KPI62" s="291"/>
      <x:c r="KPJ62" s="291"/>
      <x:c r="KPK62" s="291"/>
      <x:c r="KPL62" s="291"/>
      <x:c r="KPM62" s="291"/>
      <x:c r="KPN62" s="291"/>
      <x:c r="KPO62" s="291"/>
      <x:c r="KPP62" s="291"/>
      <x:c r="KPQ62" s="291"/>
      <x:c r="KPR62" s="291"/>
      <x:c r="KPS62" s="291"/>
      <x:c r="KPT62" s="291"/>
      <x:c r="KPU62" s="291"/>
      <x:c r="KPV62" s="291"/>
      <x:c r="KPW62" s="291"/>
      <x:c r="KPX62" s="291"/>
      <x:c r="KPY62" s="291"/>
      <x:c r="KPZ62" s="291"/>
      <x:c r="KQA62" s="291"/>
      <x:c r="KQB62" s="291"/>
      <x:c r="KQC62" s="291"/>
      <x:c r="KQD62" s="291"/>
      <x:c r="KQE62" s="291"/>
      <x:c r="KQF62" s="291"/>
      <x:c r="KQG62" s="291"/>
      <x:c r="KQH62" s="291"/>
      <x:c r="KQI62" s="291"/>
      <x:c r="KQJ62" s="291"/>
      <x:c r="KQK62" s="291"/>
      <x:c r="KQL62" s="291"/>
      <x:c r="KQM62" s="291"/>
      <x:c r="KQN62" s="291"/>
      <x:c r="KQO62" s="291"/>
      <x:c r="KQP62" s="291"/>
      <x:c r="KQQ62" s="291"/>
      <x:c r="KQR62" s="291"/>
      <x:c r="KQS62" s="291"/>
      <x:c r="KQT62" s="291"/>
      <x:c r="KQU62" s="291"/>
      <x:c r="KQV62" s="291"/>
      <x:c r="KQW62" s="291"/>
      <x:c r="KQX62" s="291"/>
      <x:c r="KQY62" s="291"/>
      <x:c r="KQZ62" s="291"/>
      <x:c r="KRA62" s="291"/>
      <x:c r="KRB62" s="291"/>
      <x:c r="KRC62" s="291"/>
      <x:c r="KRD62" s="291"/>
      <x:c r="KRE62" s="291"/>
      <x:c r="KRF62" s="291"/>
      <x:c r="KRG62" s="291"/>
      <x:c r="KRH62" s="291"/>
      <x:c r="KRI62" s="291"/>
      <x:c r="KRJ62" s="291"/>
      <x:c r="KRK62" s="291"/>
      <x:c r="KRL62" s="291"/>
      <x:c r="KRM62" s="291"/>
      <x:c r="KRN62" s="291"/>
      <x:c r="KRO62" s="291"/>
      <x:c r="KRP62" s="291"/>
      <x:c r="KRQ62" s="291"/>
      <x:c r="KRR62" s="291"/>
      <x:c r="KRS62" s="291"/>
      <x:c r="KRT62" s="291"/>
      <x:c r="KRU62" s="291"/>
      <x:c r="KRV62" s="291"/>
      <x:c r="KRW62" s="291"/>
      <x:c r="KRX62" s="291"/>
      <x:c r="KRY62" s="291"/>
      <x:c r="KRZ62" s="291"/>
      <x:c r="KSA62" s="291"/>
      <x:c r="KSB62" s="291"/>
      <x:c r="KSC62" s="291"/>
      <x:c r="KSD62" s="291"/>
      <x:c r="KSE62" s="291"/>
      <x:c r="KSF62" s="291"/>
      <x:c r="KSG62" s="291"/>
      <x:c r="KSH62" s="291"/>
      <x:c r="KSI62" s="291"/>
      <x:c r="KSJ62" s="291"/>
      <x:c r="KSK62" s="291"/>
      <x:c r="KSL62" s="291"/>
      <x:c r="KSM62" s="291"/>
      <x:c r="KSN62" s="291"/>
      <x:c r="KSO62" s="291"/>
      <x:c r="KSP62" s="291"/>
      <x:c r="KSQ62" s="291"/>
      <x:c r="KSR62" s="291"/>
      <x:c r="KSS62" s="291"/>
      <x:c r="KST62" s="291"/>
      <x:c r="KSU62" s="291"/>
      <x:c r="KSV62" s="291"/>
      <x:c r="KSW62" s="291"/>
      <x:c r="KSX62" s="291"/>
      <x:c r="KSY62" s="291"/>
      <x:c r="KSZ62" s="291"/>
      <x:c r="KTA62" s="291"/>
      <x:c r="KTB62" s="291"/>
      <x:c r="KTC62" s="291"/>
      <x:c r="KTD62" s="291"/>
      <x:c r="KTE62" s="291"/>
      <x:c r="KTF62" s="291"/>
      <x:c r="KTG62" s="291"/>
      <x:c r="KTH62" s="291"/>
      <x:c r="KTI62" s="291"/>
      <x:c r="KTJ62" s="291"/>
      <x:c r="KTK62" s="291"/>
      <x:c r="KTL62" s="291"/>
      <x:c r="KTM62" s="291"/>
      <x:c r="KTN62" s="291"/>
      <x:c r="KTO62" s="291"/>
      <x:c r="KTP62" s="291"/>
      <x:c r="KTQ62" s="291"/>
      <x:c r="KTR62" s="291"/>
      <x:c r="KTS62" s="291"/>
      <x:c r="KTT62" s="291"/>
      <x:c r="KTU62" s="291"/>
      <x:c r="KTV62" s="291"/>
      <x:c r="KTW62" s="291"/>
      <x:c r="KTX62" s="291"/>
      <x:c r="KTY62" s="291"/>
      <x:c r="KTZ62" s="291"/>
      <x:c r="KUA62" s="291"/>
      <x:c r="KUB62" s="291"/>
      <x:c r="KUC62" s="291"/>
      <x:c r="KUD62" s="291"/>
      <x:c r="KUE62" s="291"/>
      <x:c r="KUF62" s="291"/>
      <x:c r="KUG62" s="291"/>
      <x:c r="KUH62" s="291"/>
      <x:c r="KUI62" s="291"/>
      <x:c r="KUJ62" s="291"/>
      <x:c r="KUK62" s="291"/>
      <x:c r="KUL62" s="291"/>
      <x:c r="KUM62" s="291"/>
      <x:c r="KUN62" s="291"/>
      <x:c r="KUO62" s="291"/>
      <x:c r="KUP62" s="291"/>
      <x:c r="KUQ62" s="291"/>
      <x:c r="KUR62" s="291"/>
      <x:c r="KUS62" s="291"/>
      <x:c r="KUT62" s="291"/>
      <x:c r="KUU62" s="291"/>
      <x:c r="KUV62" s="291"/>
      <x:c r="KUW62" s="291"/>
      <x:c r="KUX62" s="291"/>
      <x:c r="KUY62" s="291"/>
      <x:c r="KUZ62" s="291"/>
      <x:c r="KVA62" s="291"/>
      <x:c r="KVB62" s="291"/>
      <x:c r="KVC62" s="291"/>
      <x:c r="KVD62" s="291"/>
      <x:c r="KVE62" s="291"/>
      <x:c r="KVF62" s="291"/>
      <x:c r="KVG62" s="291"/>
      <x:c r="KVH62" s="291"/>
      <x:c r="KVI62" s="291"/>
      <x:c r="KVJ62" s="291"/>
      <x:c r="KVK62" s="291"/>
      <x:c r="KVL62" s="291"/>
      <x:c r="KVM62" s="291"/>
      <x:c r="KVN62" s="291"/>
      <x:c r="KVO62" s="291"/>
      <x:c r="KVP62" s="291"/>
      <x:c r="KVQ62" s="291"/>
      <x:c r="KVR62" s="291"/>
      <x:c r="KVS62" s="291"/>
      <x:c r="KVT62" s="291"/>
      <x:c r="KVU62" s="291"/>
      <x:c r="KVV62" s="291"/>
      <x:c r="KVW62" s="291"/>
      <x:c r="KVX62" s="291"/>
      <x:c r="KVY62" s="291"/>
      <x:c r="KVZ62" s="291"/>
      <x:c r="KWA62" s="291"/>
      <x:c r="KWB62" s="291"/>
      <x:c r="KWC62" s="291"/>
      <x:c r="KWD62" s="291"/>
      <x:c r="KWE62" s="291"/>
      <x:c r="KWF62" s="291"/>
      <x:c r="KWG62" s="291"/>
      <x:c r="KWH62" s="291"/>
      <x:c r="KWI62" s="291"/>
      <x:c r="KWJ62" s="291"/>
      <x:c r="KWK62" s="291"/>
      <x:c r="KWL62" s="291"/>
      <x:c r="KWM62" s="291"/>
      <x:c r="KWN62" s="291"/>
      <x:c r="KWO62" s="291"/>
      <x:c r="KWP62" s="291"/>
      <x:c r="KWQ62" s="291"/>
      <x:c r="KWR62" s="291"/>
      <x:c r="KWS62" s="291"/>
      <x:c r="KWT62" s="291"/>
      <x:c r="KWU62" s="291"/>
      <x:c r="KWV62" s="291"/>
      <x:c r="KWW62" s="291"/>
      <x:c r="KWX62" s="291"/>
      <x:c r="KWY62" s="291"/>
      <x:c r="KWZ62" s="291"/>
      <x:c r="KXA62" s="291"/>
      <x:c r="KXB62" s="291"/>
      <x:c r="KXC62" s="291"/>
      <x:c r="KXD62" s="291"/>
      <x:c r="KXE62" s="291"/>
      <x:c r="KXF62" s="291"/>
      <x:c r="KXG62" s="291"/>
      <x:c r="KXH62" s="291"/>
      <x:c r="KXI62" s="291"/>
      <x:c r="KXJ62" s="291"/>
      <x:c r="KXK62" s="291"/>
      <x:c r="KXL62" s="291"/>
      <x:c r="KXM62" s="291"/>
      <x:c r="KXN62" s="291"/>
      <x:c r="KXO62" s="291"/>
      <x:c r="KXP62" s="291"/>
      <x:c r="KXQ62" s="291"/>
      <x:c r="KXR62" s="291"/>
      <x:c r="KXS62" s="291"/>
      <x:c r="KXT62" s="291"/>
      <x:c r="KXU62" s="291"/>
      <x:c r="KXV62" s="291"/>
      <x:c r="KXW62" s="291"/>
      <x:c r="KXX62" s="291"/>
      <x:c r="KXY62" s="291"/>
      <x:c r="KXZ62" s="291"/>
      <x:c r="KYA62" s="291"/>
      <x:c r="KYB62" s="291"/>
      <x:c r="KYC62" s="291"/>
      <x:c r="KYD62" s="291"/>
      <x:c r="KYE62" s="291"/>
      <x:c r="KYF62" s="291"/>
      <x:c r="KYG62" s="291"/>
      <x:c r="KYH62" s="291"/>
      <x:c r="KYI62" s="291"/>
      <x:c r="KYJ62" s="291"/>
      <x:c r="KYK62" s="291"/>
      <x:c r="KYL62" s="291"/>
      <x:c r="KYM62" s="291"/>
      <x:c r="KYN62" s="291"/>
      <x:c r="KYO62" s="291"/>
      <x:c r="KYP62" s="291"/>
      <x:c r="KYQ62" s="291"/>
      <x:c r="KYR62" s="291"/>
      <x:c r="KYS62" s="291"/>
      <x:c r="KYT62" s="291"/>
      <x:c r="KYU62" s="291"/>
      <x:c r="KYV62" s="291"/>
      <x:c r="KYW62" s="291"/>
      <x:c r="KYX62" s="291"/>
      <x:c r="KYY62" s="291"/>
      <x:c r="KYZ62" s="291"/>
      <x:c r="KZA62" s="291"/>
      <x:c r="KZB62" s="291"/>
      <x:c r="KZC62" s="291"/>
      <x:c r="KZD62" s="291"/>
      <x:c r="KZE62" s="291"/>
      <x:c r="KZF62" s="291"/>
      <x:c r="KZG62" s="291"/>
      <x:c r="KZH62" s="291"/>
      <x:c r="KZI62" s="291"/>
      <x:c r="KZJ62" s="291"/>
      <x:c r="KZK62" s="291"/>
      <x:c r="KZL62" s="291"/>
      <x:c r="KZM62" s="291"/>
      <x:c r="KZN62" s="291"/>
      <x:c r="KZO62" s="291"/>
      <x:c r="KZP62" s="291"/>
      <x:c r="KZQ62" s="291"/>
      <x:c r="KZR62" s="291"/>
      <x:c r="KZS62" s="291"/>
      <x:c r="KZT62" s="291"/>
      <x:c r="KZU62" s="291"/>
      <x:c r="KZV62" s="291"/>
      <x:c r="KZW62" s="291"/>
      <x:c r="KZX62" s="291"/>
      <x:c r="KZY62" s="291"/>
      <x:c r="KZZ62" s="291"/>
      <x:c r="LAA62" s="291"/>
      <x:c r="LAB62" s="291"/>
      <x:c r="LAC62" s="291"/>
      <x:c r="LAD62" s="291"/>
      <x:c r="LAE62" s="291"/>
      <x:c r="LAF62" s="291"/>
      <x:c r="LAG62" s="291"/>
      <x:c r="LAH62" s="291"/>
      <x:c r="LAI62" s="291"/>
      <x:c r="LAJ62" s="291"/>
      <x:c r="LAK62" s="291"/>
      <x:c r="LAL62" s="291"/>
      <x:c r="LAM62" s="291"/>
      <x:c r="LAN62" s="291"/>
      <x:c r="LAO62" s="291"/>
      <x:c r="LAP62" s="291"/>
      <x:c r="LAQ62" s="291"/>
      <x:c r="LAR62" s="291"/>
      <x:c r="LAS62" s="291"/>
      <x:c r="LAT62" s="291"/>
      <x:c r="LAU62" s="291"/>
      <x:c r="LAV62" s="291"/>
      <x:c r="LAW62" s="291"/>
      <x:c r="LAX62" s="291"/>
      <x:c r="LAY62" s="291"/>
      <x:c r="LAZ62" s="291"/>
      <x:c r="LBA62" s="291"/>
      <x:c r="LBB62" s="291"/>
      <x:c r="LBC62" s="291"/>
      <x:c r="LBD62" s="291"/>
      <x:c r="LBE62" s="291"/>
      <x:c r="LBF62" s="291"/>
      <x:c r="LBG62" s="291"/>
      <x:c r="LBH62" s="291"/>
      <x:c r="LBI62" s="291"/>
      <x:c r="LBJ62" s="291"/>
      <x:c r="LBK62" s="291"/>
      <x:c r="LBL62" s="291"/>
      <x:c r="LBM62" s="291"/>
      <x:c r="LBN62" s="291"/>
      <x:c r="LBO62" s="291"/>
      <x:c r="LBP62" s="291"/>
      <x:c r="LBQ62" s="291"/>
      <x:c r="LBR62" s="291"/>
      <x:c r="LBS62" s="291"/>
      <x:c r="LBT62" s="291"/>
      <x:c r="LBU62" s="291"/>
      <x:c r="LBV62" s="291"/>
      <x:c r="LBW62" s="291"/>
      <x:c r="LBX62" s="291"/>
      <x:c r="LBY62" s="291"/>
      <x:c r="LBZ62" s="291"/>
      <x:c r="LCA62" s="291"/>
      <x:c r="LCB62" s="291"/>
      <x:c r="LCC62" s="291"/>
      <x:c r="LCD62" s="291"/>
      <x:c r="LCE62" s="291"/>
      <x:c r="LCF62" s="291"/>
      <x:c r="LCG62" s="291"/>
      <x:c r="LCH62" s="291"/>
      <x:c r="LCI62" s="291"/>
      <x:c r="LCJ62" s="291"/>
      <x:c r="LCK62" s="291"/>
      <x:c r="LCL62" s="291"/>
      <x:c r="LCM62" s="291"/>
      <x:c r="LCN62" s="291"/>
      <x:c r="LCO62" s="291"/>
      <x:c r="LCP62" s="291"/>
      <x:c r="LCQ62" s="291"/>
      <x:c r="LCR62" s="291"/>
      <x:c r="LCS62" s="291"/>
      <x:c r="LCT62" s="291"/>
      <x:c r="LCU62" s="291"/>
      <x:c r="LCV62" s="291"/>
      <x:c r="LCW62" s="291"/>
      <x:c r="LCX62" s="291"/>
      <x:c r="LCY62" s="291"/>
      <x:c r="LCZ62" s="291"/>
      <x:c r="LDA62" s="291"/>
      <x:c r="LDB62" s="291"/>
      <x:c r="LDC62" s="291"/>
      <x:c r="LDD62" s="291"/>
      <x:c r="LDE62" s="291"/>
      <x:c r="LDF62" s="291"/>
      <x:c r="LDG62" s="291"/>
      <x:c r="LDH62" s="291"/>
      <x:c r="LDI62" s="291"/>
      <x:c r="LDJ62" s="291"/>
      <x:c r="LDK62" s="291"/>
      <x:c r="LDL62" s="291"/>
      <x:c r="LDM62" s="291"/>
      <x:c r="LDN62" s="291"/>
      <x:c r="LDO62" s="291"/>
      <x:c r="LDP62" s="291"/>
      <x:c r="LDQ62" s="291"/>
      <x:c r="LDR62" s="291"/>
      <x:c r="LDS62" s="291"/>
      <x:c r="LDT62" s="291"/>
      <x:c r="LDU62" s="291"/>
      <x:c r="LDV62" s="291"/>
      <x:c r="LDW62" s="291"/>
      <x:c r="LDX62" s="291"/>
      <x:c r="LDY62" s="291"/>
      <x:c r="LDZ62" s="291"/>
      <x:c r="LEA62" s="291"/>
      <x:c r="LEB62" s="291"/>
      <x:c r="LEC62" s="291"/>
      <x:c r="LED62" s="291"/>
      <x:c r="LEE62" s="291"/>
      <x:c r="LEF62" s="291"/>
      <x:c r="LEG62" s="291"/>
      <x:c r="LEH62" s="291"/>
      <x:c r="LEI62" s="291"/>
      <x:c r="LEJ62" s="291"/>
      <x:c r="LEK62" s="291"/>
      <x:c r="LEL62" s="291"/>
      <x:c r="LEM62" s="291"/>
      <x:c r="LEN62" s="291"/>
      <x:c r="LEO62" s="291"/>
      <x:c r="LEP62" s="291"/>
      <x:c r="LEQ62" s="291"/>
      <x:c r="LER62" s="291"/>
      <x:c r="LES62" s="291"/>
      <x:c r="LET62" s="291"/>
      <x:c r="LEU62" s="291"/>
      <x:c r="LEV62" s="291"/>
      <x:c r="LEW62" s="291"/>
      <x:c r="LEX62" s="291"/>
      <x:c r="LEY62" s="291"/>
      <x:c r="LEZ62" s="291"/>
      <x:c r="LFA62" s="291"/>
      <x:c r="LFB62" s="291"/>
      <x:c r="LFC62" s="291"/>
      <x:c r="LFD62" s="291"/>
      <x:c r="LFE62" s="291"/>
      <x:c r="LFF62" s="291"/>
      <x:c r="LFG62" s="291"/>
      <x:c r="LFH62" s="291"/>
      <x:c r="LFI62" s="291"/>
      <x:c r="LFJ62" s="291"/>
      <x:c r="LFK62" s="291"/>
      <x:c r="LFL62" s="291"/>
      <x:c r="LFM62" s="291"/>
      <x:c r="LFN62" s="291"/>
      <x:c r="LFO62" s="291"/>
      <x:c r="LFP62" s="291"/>
      <x:c r="LFQ62" s="291"/>
      <x:c r="LFR62" s="291"/>
      <x:c r="LFS62" s="291"/>
      <x:c r="LFT62" s="291"/>
      <x:c r="LFU62" s="291"/>
      <x:c r="LFV62" s="291"/>
      <x:c r="LFW62" s="291"/>
      <x:c r="LFX62" s="291"/>
      <x:c r="LFY62" s="291"/>
      <x:c r="LFZ62" s="291"/>
      <x:c r="LGA62" s="291"/>
      <x:c r="LGB62" s="291"/>
      <x:c r="LGC62" s="291"/>
      <x:c r="LGD62" s="291"/>
      <x:c r="LGE62" s="291"/>
      <x:c r="LGF62" s="291"/>
      <x:c r="LGG62" s="291"/>
      <x:c r="LGH62" s="291"/>
      <x:c r="LGI62" s="291"/>
      <x:c r="LGJ62" s="291"/>
      <x:c r="LGK62" s="291"/>
      <x:c r="LGL62" s="291"/>
      <x:c r="LGM62" s="291"/>
      <x:c r="LGN62" s="291"/>
      <x:c r="LGO62" s="291"/>
      <x:c r="LGP62" s="291"/>
      <x:c r="LGQ62" s="291"/>
      <x:c r="LGR62" s="291"/>
      <x:c r="LGS62" s="291"/>
      <x:c r="LGT62" s="291"/>
      <x:c r="LGU62" s="291"/>
      <x:c r="LGV62" s="291"/>
      <x:c r="LGW62" s="291"/>
      <x:c r="LGX62" s="291"/>
      <x:c r="LGY62" s="291"/>
      <x:c r="LGZ62" s="291"/>
      <x:c r="LHA62" s="291"/>
      <x:c r="LHB62" s="291"/>
      <x:c r="LHC62" s="291"/>
      <x:c r="LHD62" s="291"/>
      <x:c r="LHE62" s="291"/>
      <x:c r="LHF62" s="291"/>
      <x:c r="LHG62" s="291"/>
      <x:c r="LHH62" s="291"/>
      <x:c r="LHI62" s="291"/>
      <x:c r="LHJ62" s="291"/>
      <x:c r="LHK62" s="291"/>
      <x:c r="LHL62" s="291"/>
      <x:c r="LHM62" s="291"/>
      <x:c r="LHN62" s="291"/>
      <x:c r="LHO62" s="291"/>
      <x:c r="LHP62" s="291"/>
      <x:c r="LHQ62" s="291"/>
      <x:c r="LHR62" s="291"/>
      <x:c r="LHS62" s="291"/>
      <x:c r="LHT62" s="291"/>
      <x:c r="LHU62" s="291"/>
      <x:c r="LHV62" s="291"/>
      <x:c r="LHW62" s="291"/>
      <x:c r="LHX62" s="291"/>
      <x:c r="LHY62" s="291"/>
      <x:c r="LHZ62" s="291"/>
      <x:c r="LIA62" s="291"/>
      <x:c r="LIB62" s="291"/>
      <x:c r="LIC62" s="291"/>
      <x:c r="LID62" s="291"/>
      <x:c r="LIE62" s="291"/>
      <x:c r="LIF62" s="291"/>
      <x:c r="LIG62" s="291"/>
      <x:c r="LIH62" s="291"/>
      <x:c r="LII62" s="291"/>
      <x:c r="LIJ62" s="291"/>
      <x:c r="LIK62" s="291"/>
      <x:c r="LIL62" s="291"/>
      <x:c r="LIM62" s="291"/>
      <x:c r="LIN62" s="291"/>
      <x:c r="LIO62" s="291"/>
      <x:c r="LIP62" s="291"/>
      <x:c r="LIQ62" s="291"/>
      <x:c r="LIR62" s="291"/>
      <x:c r="LIS62" s="291"/>
      <x:c r="LIT62" s="291"/>
      <x:c r="LIU62" s="291"/>
      <x:c r="LIV62" s="291"/>
      <x:c r="LIW62" s="291"/>
      <x:c r="LIX62" s="291"/>
      <x:c r="LIY62" s="291"/>
      <x:c r="LIZ62" s="291"/>
      <x:c r="LJA62" s="291"/>
      <x:c r="LJB62" s="291"/>
      <x:c r="LJC62" s="291"/>
      <x:c r="LJD62" s="291"/>
      <x:c r="LJE62" s="291"/>
      <x:c r="LJF62" s="291"/>
      <x:c r="LJG62" s="291"/>
      <x:c r="LJH62" s="291"/>
      <x:c r="LJI62" s="291"/>
      <x:c r="LJJ62" s="291"/>
      <x:c r="LJK62" s="291"/>
      <x:c r="LJL62" s="291"/>
      <x:c r="LJM62" s="291"/>
      <x:c r="LJN62" s="291"/>
      <x:c r="LJO62" s="291"/>
      <x:c r="LJP62" s="291"/>
      <x:c r="LJQ62" s="291"/>
      <x:c r="LJR62" s="291"/>
      <x:c r="LJS62" s="291"/>
      <x:c r="LJT62" s="291"/>
      <x:c r="LJU62" s="291"/>
      <x:c r="LJV62" s="291"/>
      <x:c r="LJW62" s="291"/>
      <x:c r="LJX62" s="291"/>
      <x:c r="LJY62" s="291"/>
      <x:c r="LJZ62" s="291"/>
      <x:c r="LKA62" s="291"/>
      <x:c r="LKB62" s="291"/>
      <x:c r="LKC62" s="291"/>
      <x:c r="LKD62" s="291"/>
      <x:c r="LKE62" s="291"/>
      <x:c r="LKF62" s="291"/>
      <x:c r="LKG62" s="291"/>
      <x:c r="LKH62" s="291"/>
      <x:c r="LKI62" s="291"/>
      <x:c r="LKJ62" s="291"/>
      <x:c r="LKK62" s="291"/>
      <x:c r="LKL62" s="291"/>
      <x:c r="LKM62" s="291"/>
      <x:c r="LKN62" s="291"/>
      <x:c r="LKO62" s="291"/>
      <x:c r="LKP62" s="291"/>
      <x:c r="LKQ62" s="291"/>
      <x:c r="LKR62" s="291"/>
      <x:c r="LKS62" s="291"/>
      <x:c r="LKT62" s="291"/>
      <x:c r="LKU62" s="291"/>
      <x:c r="LKV62" s="291"/>
      <x:c r="LKW62" s="291"/>
      <x:c r="LKX62" s="291"/>
      <x:c r="LKY62" s="291"/>
      <x:c r="LKZ62" s="291"/>
      <x:c r="LLA62" s="291"/>
      <x:c r="LLB62" s="291"/>
      <x:c r="LLC62" s="291"/>
      <x:c r="LLD62" s="291"/>
      <x:c r="LLE62" s="291"/>
      <x:c r="LLF62" s="291"/>
      <x:c r="LLG62" s="291"/>
      <x:c r="LLH62" s="291"/>
      <x:c r="LLI62" s="291"/>
      <x:c r="LLJ62" s="291"/>
      <x:c r="LLK62" s="291"/>
      <x:c r="LLL62" s="291"/>
      <x:c r="LLM62" s="291"/>
      <x:c r="LLN62" s="291"/>
      <x:c r="LLO62" s="291"/>
      <x:c r="LLP62" s="291"/>
      <x:c r="LLQ62" s="291"/>
      <x:c r="LLR62" s="291"/>
      <x:c r="LLS62" s="291"/>
      <x:c r="LLT62" s="291"/>
      <x:c r="LLU62" s="291"/>
      <x:c r="LLV62" s="291"/>
      <x:c r="LLW62" s="291"/>
      <x:c r="LLX62" s="291"/>
      <x:c r="LLY62" s="291"/>
      <x:c r="LLZ62" s="291"/>
      <x:c r="LMA62" s="291"/>
      <x:c r="LMB62" s="291"/>
      <x:c r="LMC62" s="291"/>
      <x:c r="LMD62" s="291"/>
      <x:c r="LME62" s="291"/>
      <x:c r="LMF62" s="291"/>
      <x:c r="LMG62" s="291"/>
      <x:c r="LMH62" s="291"/>
      <x:c r="LMI62" s="291"/>
      <x:c r="LMJ62" s="291"/>
      <x:c r="LMK62" s="291"/>
      <x:c r="LML62" s="291"/>
      <x:c r="LMM62" s="291"/>
      <x:c r="LMN62" s="291"/>
      <x:c r="LMO62" s="291"/>
      <x:c r="LMP62" s="291"/>
      <x:c r="LMQ62" s="291"/>
      <x:c r="LMR62" s="291"/>
      <x:c r="LMS62" s="291"/>
      <x:c r="LMT62" s="291"/>
      <x:c r="LMU62" s="291"/>
      <x:c r="LMV62" s="291"/>
      <x:c r="LMW62" s="291"/>
      <x:c r="LMX62" s="291"/>
      <x:c r="LMY62" s="291"/>
      <x:c r="LMZ62" s="291"/>
      <x:c r="LNA62" s="291"/>
      <x:c r="LNB62" s="291"/>
      <x:c r="LNC62" s="291"/>
      <x:c r="LND62" s="291"/>
      <x:c r="LNE62" s="291"/>
      <x:c r="LNF62" s="291"/>
      <x:c r="LNG62" s="291"/>
      <x:c r="LNH62" s="291"/>
      <x:c r="LNI62" s="291"/>
      <x:c r="LNJ62" s="291"/>
      <x:c r="LNK62" s="291"/>
      <x:c r="LNL62" s="291"/>
      <x:c r="LNM62" s="291"/>
      <x:c r="LNN62" s="291"/>
      <x:c r="LNO62" s="291"/>
      <x:c r="LNP62" s="291"/>
      <x:c r="LNQ62" s="291"/>
      <x:c r="LNR62" s="291"/>
      <x:c r="LNS62" s="291"/>
      <x:c r="LNT62" s="291"/>
      <x:c r="LNU62" s="291"/>
      <x:c r="LNV62" s="291"/>
      <x:c r="LNW62" s="291"/>
      <x:c r="LNX62" s="291"/>
      <x:c r="LNY62" s="291"/>
      <x:c r="LNZ62" s="291"/>
      <x:c r="LOA62" s="291"/>
      <x:c r="LOB62" s="291"/>
      <x:c r="LOC62" s="291"/>
      <x:c r="LOD62" s="291"/>
      <x:c r="LOE62" s="291"/>
      <x:c r="LOF62" s="291"/>
      <x:c r="LOG62" s="291"/>
      <x:c r="LOH62" s="291"/>
      <x:c r="LOI62" s="291"/>
      <x:c r="LOJ62" s="291"/>
      <x:c r="LOK62" s="291"/>
      <x:c r="LOL62" s="291"/>
      <x:c r="LOM62" s="291"/>
      <x:c r="LON62" s="291"/>
      <x:c r="LOO62" s="291"/>
      <x:c r="LOP62" s="291"/>
      <x:c r="LOQ62" s="291"/>
      <x:c r="LOR62" s="291"/>
      <x:c r="LOS62" s="291"/>
      <x:c r="LOT62" s="291"/>
      <x:c r="LOU62" s="291"/>
      <x:c r="LOV62" s="291"/>
      <x:c r="LOW62" s="291"/>
      <x:c r="LOX62" s="291"/>
      <x:c r="LOY62" s="291"/>
      <x:c r="LOZ62" s="291"/>
      <x:c r="LPA62" s="291"/>
      <x:c r="LPB62" s="291"/>
      <x:c r="LPC62" s="291"/>
      <x:c r="LPD62" s="291"/>
      <x:c r="LPE62" s="291"/>
      <x:c r="LPF62" s="291"/>
      <x:c r="LPG62" s="291"/>
      <x:c r="LPH62" s="291"/>
      <x:c r="LPI62" s="291"/>
      <x:c r="LPJ62" s="291"/>
      <x:c r="LPK62" s="291"/>
      <x:c r="LPL62" s="291"/>
      <x:c r="LPM62" s="291"/>
      <x:c r="LPN62" s="291"/>
      <x:c r="LPO62" s="291"/>
      <x:c r="LPP62" s="291"/>
      <x:c r="LPQ62" s="291"/>
      <x:c r="LPR62" s="291"/>
      <x:c r="LPS62" s="291"/>
      <x:c r="LPT62" s="291"/>
      <x:c r="LPU62" s="291"/>
      <x:c r="LPV62" s="291"/>
      <x:c r="LPW62" s="291"/>
      <x:c r="LPX62" s="291"/>
      <x:c r="LPY62" s="291"/>
      <x:c r="LPZ62" s="291"/>
      <x:c r="LQA62" s="291"/>
      <x:c r="LQB62" s="291"/>
      <x:c r="LQC62" s="291"/>
      <x:c r="LQD62" s="291"/>
      <x:c r="LQE62" s="291"/>
      <x:c r="LQF62" s="291"/>
      <x:c r="LQG62" s="291"/>
      <x:c r="LQH62" s="291"/>
      <x:c r="LQI62" s="291"/>
      <x:c r="LQJ62" s="291"/>
      <x:c r="LQK62" s="291"/>
      <x:c r="LQL62" s="291"/>
      <x:c r="LQM62" s="291"/>
      <x:c r="LQN62" s="291"/>
      <x:c r="LQO62" s="291"/>
      <x:c r="LQP62" s="291"/>
      <x:c r="LQQ62" s="291"/>
      <x:c r="LQR62" s="291"/>
      <x:c r="LQS62" s="291"/>
      <x:c r="LQT62" s="291"/>
      <x:c r="LQU62" s="291"/>
      <x:c r="LQV62" s="291"/>
      <x:c r="LQW62" s="291"/>
      <x:c r="LQX62" s="291"/>
      <x:c r="LQY62" s="291"/>
      <x:c r="LQZ62" s="291"/>
      <x:c r="LRA62" s="291"/>
      <x:c r="LRB62" s="291"/>
      <x:c r="LRC62" s="291"/>
      <x:c r="LRD62" s="291"/>
      <x:c r="LRE62" s="291"/>
      <x:c r="LRF62" s="291"/>
      <x:c r="LRG62" s="291"/>
      <x:c r="LRH62" s="291"/>
      <x:c r="LRI62" s="291"/>
      <x:c r="LRJ62" s="291"/>
      <x:c r="LRK62" s="291"/>
      <x:c r="LRL62" s="291"/>
      <x:c r="LRM62" s="291"/>
      <x:c r="LRN62" s="291"/>
      <x:c r="LRO62" s="291"/>
      <x:c r="LRP62" s="291"/>
      <x:c r="LRQ62" s="291"/>
      <x:c r="LRR62" s="291"/>
      <x:c r="LRS62" s="291"/>
      <x:c r="LRT62" s="291"/>
      <x:c r="LRU62" s="291"/>
      <x:c r="LRV62" s="291"/>
      <x:c r="LRW62" s="291"/>
      <x:c r="LRX62" s="291"/>
      <x:c r="LRY62" s="291"/>
      <x:c r="LRZ62" s="291"/>
      <x:c r="LSA62" s="291"/>
      <x:c r="LSB62" s="291"/>
      <x:c r="LSC62" s="291"/>
      <x:c r="LSD62" s="291"/>
      <x:c r="LSE62" s="291"/>
      <x:c r="LSF62" s="291"/>
      <x:c r="LSG62" s="291"/>
      <x:c r="LSH62" s="291"/>
      <x:c r="LSI62" s="291"/>
      <x:c r="LSJ62" s="291"/>
      <x:c r="LSK62" s="291"/>
      <x:c r="LSL62" s="291"/>
      <x:c r="LSM62" s="291"/>
      <x:c r="LSN62" s="291"/>
      <x:c r="LSO62" s="291"/>
      <x:c r="LSP62" s="291"/>
      <x:c r="LSQ62" s="291"/>
      <x:c r="LSR62" s="291"/>
      <x:c r="LSS62" s="291"/>
      <x:c r="LST62" s="291"/>
      <x:c r="LSU62" s="291"/>
      <x:c r="LSV62" s="291"/>
      <x:c r="LSW62" s="291"/>
      <x:c r="LSX62" s="291"/>
      <x:c r="LSY62" s="291"/>
      <x:c r="LSZ62" s="291"/>
      <x:c r="LTA62" s="291"/>
      <x:c r="LTB62" s="291"/>
      <x:c r="LTC62" s="291"/>
      <x:c r="LTD62" s="291"/>
      <x:c r="LTE62" s="291"/>
      <x:c r="LTF62" s="291"/>
      <x:c r="LTG62" s="291"/>
      <x:c r="LTH62" s="291"/>
      <x:c r="LTI62" s="291"/>
      <x:c r="LTJ62" s="291"/>
      <x:c r="LTK62" s="291"/>
      <x:c r="LTL62" s="291"/>
      <x:c r="LTM62" s="291"/>
      <x:c r="LTN62" s="291"/>
      <x:c r="LTO62" s="291"/>
      <x:c r="LTP62" s="291"/>
      <x:c r="LTQ62" s="291"/>
      <x:c r="LTR62" s="291"/>
      <x:c r="LTS62" s="291"/>
      <x:c r="LTT62" s="291"/>
      <x:c r="LTU62" s="291"/>
      <x:c r="LTV62" s="291"/>
      <x:c r="LTW62" s="291"/>
      <x:c r="LTX62" s="291"/>
      <x:c r="LTY62" s="291"/>
      <x:c r="LTZ62" s="291"/>
      <x:c r="LUA62" s="291"/>
      <x:c r="LUB62" s="291"/>
      <x:c r="LUC62" s="291"/>
      <x:c r="LUD62" s="291"/>
      <x:c r="LUE62" s="291"/>
      <x:c r="LUF62" s="291"/>
      <x:c r="LUG62" s="291"/>
      <x:c r="LUH62" s="291"/>
      <x:c r="LUI62" s="291"/>
      <x:c r="LUJ62" s="291"/>
      <x:c r="LUK62" s="291"/>
      <x:c r="LUL62" s="291"/>
      <x:c r="LUM62" s="291"/>
      <x:c r="LUN62" s="291"/>
      <x:c r="LUO62" s="291"/>
      <x:c r="LUP62" s="291"/>
      <x:c r="LUQ62" s="291"/>
      <x:c r="LUR62" s="291"/>
      <x:c r="LUS62" s="291"/>
      <x:c r="LUT62" s="291"/>
      <x:c r="LUU62" s="291"/>
      <x:c r="LUV62" s="291"/>
      <x:c r="LUW62" s="291"/>
      <x:c r="LUX62" s="291"/>
      <x:c r="LUY62" s="291"/>
      <x:c r="LUZ62" s="291"/>
      <x:c r="LVA62" s="291"/>
      <x:c r="LVB62" s="291"/>
      <x:c r="LVC62" s="291"/>
      <x:c r="LVD62" s="291"/>
      <x:c r="LVE62" s="291"/>
      <x:c r="LVF62" s="291"/>
      <x:c r="LVG62" s="291"/>
      <x:c r="LVH62" s="291"/>
      <x:c r="LVI62" s="291"/>
      <x:c r="LVJ62" s="291"/>
      <x:c r="LVK62" s="291"/>
      <x:c r="LVL62" s="291"/>
      <x:c r="LVM62" s="291"/>
      <x:c r="LVN62" s="291"/>
      <x:c r="LVO62" s="291"/>
      <x:c r="LVP62" s="291"/>
      <x:c r="LVQ62" s="291"/>
      <x:c r="LVR62" s="291"/>
      <x:c r="LVS62" s="291"/>
      <x:c r="LVT62" s="291"/>
      <x:c r="LVU62" s="291"/>
      <x:c r="LVV62" s="291"/>
      <x:c r="LVW62" s="291"/>
      <x:c r="LVX62" s="291"/>
      <x:c r="LVY62" s="291"/>
      <x:c r="LVZ62" s="291"/>
      <x:c r="LWA62" s="291"/>
      <x:c r="LWB62" s="291"/>
      <x:c r="LWC62" s="291"/>
      <x:c r="LWD62" s="291"/>
      <x:c r="LWE62" s="291"/>
      <x:c r="LWF62" s="291"/>
      <x:c r="LWG62" s="291"/>
      <x:c r="LWH62" s="291"/>
      <x:c r="LWI62" s="291"/>
      <x:c r="LWJ62" s="291"/>
      <x:c r="LWK62" s="291"/>
      <x:c r="LWL62" s="291"/>
      <x:c r="LWM62" s="291"/>
      <x:c r="LWN62" s="291"/>
      <x:c r="LWO62" s="291"/>
      <x:c r="LWP62" s="291"/>
      <x:c r="LWQ62" s="291"/>
      <x:c r="LWR62" s="291"/>
      <x:c r="LWS62" s="291"/>
      <x:c r="LWT62" s="291"/>
      <x:c r="LWU62" s="291"/>
      <x:c r="LWV62" s="291"/>
      <x:c r="LWW62" s="291"/>
      <x:c r="LWX62" s="291"/>
      <x:c r="LWY62" s="291"/>
      <x:c r="LWZ62" s="291"/>
      <x:c r="LXA62" s="291"/>
      <x:c r="LXB62" s="291"/>
      <x:c r="LXC62" s="291"/>
      <x:c r="LXD62" s="291"/>
      <x:c r="LXE62" s="291"/>
      <x:c r="LXF62" s="291"/>
      <x:c r="LXG62" s="291"/>
      <x:c r="LXH62" s="291"/>
      <x:c r="LXI62" s="291"/>
      <x:c r="LXJ62" s="291"/>
      <x:c r="LXK62" s="291"/>
      <x:c r="LXL62" s="291"/>
      <x:c r="LXM62" s="291"/>
      <x:c r="LXN62" s="291"/>
      <x:c r="LXO62" s="291"/>
      <x:c r="LXP62" s="291"/>
      <x:c r="LXQ62" s="291"/>
      <x:c r="LXR62" s="291"/>
      <x:c r="LXS62" s="291"/>
      <x:c r="LXT62" s="291"/>
      <x:c r="LXU62" s="291"/>
      <x:c r="LXV62" s="291"/>
      <x:c r="LXW62" s="291"/>
      <x:c r="LXX62" s="291"/>
      <x:c r="LXY62" s="291"/>
      <x:c r="LXZ62" s="291"/>
      <x:c r="LYA62" s="291"/>
      <x:c r="LYB62" s="291"/>
      <x:c r="LYC62" s="291"/>
      <x:c r="LYD62" s="291"/>
      <x:c r="LYE62" s="291"/>
      <x:c r="LYF62" s="291"/>
      <x:c r="LYG62" s="291"/>
      <x:c r="LYH62" s="291"/>
      <x:c r="LYI62" s="291"/>
      <x:c r="LYJ62" s="291"/>
      <x:c r="LYK62" s="291"/>
      <x:c r="LYL62" s="291"/>
      <x:c r="LYM62" s="291"/>
      <x:c r="LYN62" s="291"/>
      <x:c r="LYO62" s="291"/>
      <x:c r="LYP62" s="291"/>
      <x:c r="LYQ62" s="291"/>
      <x:c r="LYR62" s="291"/>
      <x:c r="LYS62" s="291"/>
      <x:c r="LYT62" s="291"/>
      <x:c r="LYU62" s="291"/>
      <x:c r="LYV62" s="291"/>
      <x:c r="LYW62" s="291"/>
      <x:c r="LYX62" s="291"/>
      <x:c r="LYY62" s="291"/>
      <x:c r="LYZ62" s="291"/>
      <x:c r="LZA62" s="291"/>
      <x:c r="LZB62" s="291"/>
      <x:c r="LZC62" s="291"/>
      <x:c r="LZD62" s="291"/>
      <x:c r="LZE62" s="291"/>
      <x:c r="LZF62" s="291"/>
      <x:c r="LZG62" s="291"/>
      <x:c r="LZH62" s="291"/>
      <x:c r="LZI62" s="291"/>
      <x:c r="LZJ62" s="291"/>
      <x:c r="LZK62" s="291"/>
      <x:c r="LZL62" s="291"/>
      <x:c r="LZM62" s="291"/>
      <x:c r="LZN62" s="291"/>
      <x:c r="LZO62" s="291"/>
      <x:c r="LZP62" s="291"/>
      <x:c r="LZQ62" s="291"/>
      <x:c r="LZR62" s="291"/>
      <x:c r="LZS62" s="291"/>
      <x:c r="LZT62" s="291"/>
      <x:c r="LZU62" s="291"/>
      <x:c r="LZV62" s="291"/>
      <x:c r="LZW62" s="291"/>
      <x:c r="LZX62" s="291"/>
      <x:c r="LZY62" s="291"/>
      <x:c r="LZZ62" s="291"/>
      <x:c r="MAA62" s="291"/>
      <x:c r="MAB62" s="291"/>
      <x:c r="MAC62" s="291"/>
      <x:c r="MAD62" s="291"/>
      <x:c r="MAE62" s="291"/>
      <x:c r="MAF62" s="291"/>
      <x:c r="MAG62" s="291"/>
      <x:c r="MAH62" s="291"/>
      <x:c r="MAI62" s="291"/>
      <x:c r="MAJ62" s="291"/>
      <x:c r="MAK62" s="291"/>
      <x:c r="MAL62" s="291"/>
      <x:c r="MAM62" s="291"/>
      <x:c r="MAN62" s="291"/>
      <x:c r="MAO62" s="291"/>
      <x:c r="MAP62" s="291"/>
      <x:c r="MAQ62" s="291"/>
      <x:c r="MAR62" s="291"/>
      <x:c r="MAS62" s="291"/>
      <x:c r="MAT62" s="291"/>
      <x:c r="MAU62" s="291"/>
      <x:c r="MAV62" s="291"/>
      <x:c r="MAW62" s="291"/>
      <x:c r="MAX62" s="291"/>
      <x:c r="MAY62" s="291"/>
      <x:c r="MAZ62" s="291"/>
      <x:c r="MBA62" s="291"/>
      <x:c r="MBB62" s="291"/>
      <x:c r="MBC62" s="291"/>
      <x:c r="MBD62" s="291"/>
      <x:c r="MBE62" s="291"/>
      <x:c r="MBF62" s="291"/>
      <x:c r="MBG62" s="291"/>
      <x:c r="MBH62" s="291"/>
      <x:c r="MBI62" s="291"/>
      <x:c r="MBJ62" s="291"/>
      <x:c r="MBK62" s="291"/>
      <x:c r="MBL62" s="291"/>
      <x:c r="MBM62" s="291"/>
      <x:c r="MBN62" s="291"/>
      <x:c r="MBO62" s="291"/>
      <x:c r="MBP62" s="291"/>
      <x:c r="MBQ62" s="291"/>
      <x:c r="MBR62" s="291"/>
      <x:c r="MBS62" s="291"/>
      <x:c r="MBT62" s="291"/>
      <x:c r="MBU62" s="291"/>
      <x:c r="MBV62" s="291"/>
      <x:c r="MBW62" s="291"/>
      <x:c r="MBX62" s="291"/>
      <x:c r="MBY62" s="291"/>
      <x:c r="MBZ62" s="291"/>
      <x:c r="MCA62" s="291"/>
      <x:c r="MCB62" s="291"/>
      <x:c r="MCC62" s="291"/>
      <x:c r="MCD62" s="291"/>
      <x:c r="MCE62" s="291"/>
      <x:c r="MCF62" s="291"/>
      <x:c r="MCG62" s="291"/>
      <x:c r="MCH62" s="291"/>
      <x:c r="MCI62" s="291"/>
      <x:c r="MCJ62" s="291"/>
      <x:c r="MCK62" s="291"/>
      <x:c r="MCL62" s="291"/>
      <x:c r="MCM62" s="291"/>
      <x:c r="MCN62" s="291"/>
      <x:c r="MCO62" s="291"/>
      <x:c r="MCP62" s="291"/>
      <x:c r="MCQ62" s="291"/>
      <x:c r="MCR62" s="291"/>
      <x:c r="MCS62" s="291"/>
      <x:c r="MCT62" s="291"/>
      <x:c r="MCU62" s="291"/>
      <x:c r="MCV62" s="291"/>
      <x:c r="MCW62" s="291"/>
      <x:c r="MCX62" s="291"/>
      <x:c r="MCY62" s="291"/>
      <x:c r="MCZ62" s="291"/>
      <x:c r="MDA62" s="291"/>
      <x:c r="MDB62" s="291"/>
      <x:c r="MDC62" s="291"/>
      <x:c r="MDD62" s="291"/>
      <x:c r="MDE62" s="291"/>
      <x:c r="MDF62" s="291"/>
      <x:c r="MDG62" s="291"/>
      <x:c r="MDH62" s="291"/>
      <x:c r="MDI62" s="291"/>
      <x:c r="MDJ62" s="291"/>
      <x:c r="MDK62" s="291"/>
      <x:c r="MDL62" s="291"/>
      <x:c r="MDM62" s="291"/>
      <x:c r="MDN62" s="291"/>
      <x:c r="MDO62" s="291"/>
      <x:c r="MDP62" s="291"/>
      <x:c r="MDQ62" s="291"/>
      <x:c r="MDR62" s="291"/>
      <x:c r="MDS62" s="291"/>
      <x:c r="MDT62" s="291"/>
      <x:c r="MDU62" s="291"/>
      <x:c r="MDV62" s="291"/>
      <x:c r="MDW62" s="291"/>
      <x:c r="MDX62" s="291"/>
      <x:c r="MDY62" s="291"/>
      <x:c r="MDZ62" s="291"/>
      <x:c r="MEA62" s="291"/>
      <x:c r="MEB62" s="291"/>
      <x:c r="MEC62" s="291"/>
      <x:c r="MED62" s="291"/>
      <x:c r="MEE62" s="291"/>
      <x:c r="MEF62" s="291"/>
      <x:c r="MEG62" s="291"/>
      <x:c r="MEH62" s="291"/>
      <x:c r="MEI62" s="291"/>
      <x:c r="MEJ62" s="291"/>
      <x:c r="MEK62" s="291"/>
      <x:c r="MEL62" s="291"/>
      <x:c r="MEM62" s="291"/>
      <x:c r="MEN62" s="291"/>
      <x:c r="MEO62" s="291"/>
      <x:c r="MEP62" s="291"/>
      <x:c r="MEQ62" s="291"/>
      <x:c r="MER62" s="291"/>
      <x:c r="MES62" s="291"/>
      <x:c r="MET62" s="291"/>
      <x:c r="MEU62" s="291"/>
      <x:c r="MEV62" s="291"/>
      <x:c r="MEW62" s="291"/>
      <x:c r="MEX62" s="291"/>
      <x:c r="MEY62" s="291"/>
      <x:c r="MEZ62" s="291"/>
      <x:c r="MFA62" s="291"/>
      <x:c r="MFB62" s="291"/>
      <x:c r="MFC62" s="291"/>
      <x:c r="MFD62" s="291"/>
      <x:c r="MFE62" s="291"/>
      <x:c r="MFF62" s="291"/>
      <x:c r="MFG62" s="291"/>
      <x:c r="MFH62" s="291"/>
      <x:c r="MFI62" s="291"/>
      <x:c r="MFJ62" s="291"/>
      <x:c r="MFK62" s="291"/>
      <x:c r="MFL62" s="291"/>
      <x:c r="MFM62" s="291"/>
      <x:c r="MFN62" s="291"/>
      <x:c r="MFO62" s="291"/>
      <x:c r="MFP62" s="291"/>
      <x:c r="MFQ62" s="291"/>
      <x:c r="MFR62" s="291"/>
      <x:c r="MFS62" s="291"/>
      <x:c r="MFT62" s="291"/>
      <x:c r="MFU62" s="291"/>
      <x:c r="MFV62" s="291"/>
      <x:c r="MFW62" s="291"/>
      <x:c r="MFX62" s="291"/>
      <x:c r="MFY62" s="291"/>
      <x:c r="MFZ62" s="291"/>
      <x:c r="MGA62" s="291"/>
      <x:c r="MGB62" s="291"/>
      <x:c r="MGC62" s="291"/>
      <x:c r="MGD62" s="291"/>
      <x:c r="MGE62" s="291"/>
      <x:c r="MGF62" s="291"/>
      <x:c r="MGG62" s="291"/>
      <x:c r="MGH62" s="291"/>
      <x:c r="MGI62" s="291"/>
      <x:c r="MGJ62" s="291"/>
      <x:c r="MGK62" s="291"/>
      <x:c r="MGL62" s="291"/>
      <x:c r="MGM62" s="291"/>
      <x:c r="MGN62" s="291"/>
      <x:c r="MGO62" s="291"/>
      <x:c r="MGP62" s="291"/>
      <x:c r="MGQ62" s="291"/>
      <x:c r="MGR62" s="291"/>
      <x:c r="MGS62" s="291"/>
      <x:c r="MGT62" s="291"/>
      <x:c r="MGU62" s="291"/>
      <x:c r="MGV62" s="291"/>
      <x:c r="MGW62" s="291"/>
      <x:c r="MGX62" s="291"/>
      <x:c r="MGY62" s="291"/>
      <x:c r="MGZ62" s="291"/>
      <x:c r="MHA62" s="291"/>
      <x:c r="MHB62" s="291"/>
      <x:c r="MHC62" s="291"/>
      <x:c r="MHD62" s="291"/>
      <x:c r="MHE62" s="291"/>
      <x:c r="MHF62" s="291"/>
      <x:c r="MHG62" s="291"/>
      <x:c r="MHH62" s="291"/>
      <x:c r="MHI62" s="291"/>
      <x:c r="MHJ62" s="291"/>
      <x:c r="MHK62" s="291"/>
      <x:c r="MHL62" s="291"/>
      <x:c r="MHM62" s="291"/>
      <x:c r="MHN62" s="291"/>
      <x:c r="MHO62" s="291"/>
      <x:c r="MHP62" s="291"/>
      <x:c r="MHQ62" s="291"/>
      <x:c r="MHR62" s="291"/>
      <x:c r="MHS62" s="291"/>
      <x:c r="MHT62" s="291"/>
      <x:c r="MHU62" s="291"/>
      <x:c r="MHV62" s="291"/>
      <x:c r="MHW62" s="291"/>
      <x:c r="MHX62" s="291"/>
      <x:c r="MHY62" s="291"/>
      <x:c r="MHZ62" s="291"/>
      <x:c r="MIA62" s="291"/>
      <x:c r="MIB62" s="291"/>
      <x:c r="MIC62" s="291"/>
      <x:c r="MID62" s="291"/>
      <x:c r="MIE62" s="291"/>
      <x:c r="MIF62" s="291"/>
      <x:c r="MIG62" s="291"/>
      <x:c r="MIH62" s="291"/>
      <x:c r="MII62" s="291"/>
      <x:c r="MIJ62" s="291"/>
      <x:c r="MIK62" s="291"/>
      <x:c r="MIL62" s="291"/>
      <x:c r="MIM62" s="291"/>
      <x:c r="MIN62" s="291"/>
      <x:c r="MIO62" s="291"/>
      <x:c r="MIP62" s="291"/>
      <x:c r="MIQ62" s="291"/>
      <x:c r="MIR62" s="291"/>
      <x:c r="MIS62" s="291"/>
      <x:c r="MIT62" s="291"/>
      <x:c r="MIU62" s="291"/>
      <x:c r="MIV62" s="291"/>
      <x:c r="MIW62" s="291"/>
      <x:c r="MIX62" s="291"/>
      <x:c r="MIY62" s="291"/>
      <x:c r="MIZ62" s="291"/>
      <x:c r="MJA62" s="291"/>
      <x:c r="MJB62" s="291"/>
      <x:c r="MJC62" s="291"/>
      <x:c r="MJD62" s="291"/>
      <x:c r="MJE62" s="291"/>
      <x:c r="MJF62" s="291"/>
      <x:c r="MJG62" s="291"/>
      <x:c r="MJH62" s="291"/>
      <x:c r="MJI62" s="291"/>
      <x:c r="MJJ62" s="291"/>
      <x:c r="MJK62" s="291"/>
      <x:c r="MJL62" s="291"/>
      <x:c r="MJM62" s="291"/>
      <x:c r="MJN62" s="291"/>
      <x:c r="MJO62" s="291"/>
      <x:c r="MJP62" s="291"/>
      <x:c r="MJQ62" s="291"/>
      <x:c r="MJR62" s="291"/>
      <x:c r="MJS62" s="291"/>
      <x:c r="MJT62" s="291"/>
      <x:c r="MJU62" s="291"/>
      <x:c r="MJV62" s="291"/>
      <x:c r="MJW62" s="291"/>
      <x:c r="MJX62" s="291"/>
      <x:c r="MJY62" s="291"/>
      <x:c r="MJZ62" s="291"/>
      <x:c r="MKA62" s="291"/>
      <x:c r="MKB62" s="291"/>
      <x:c r="MKC62" s="291"/>
      <x:c r="MKD62" s="291"/>
      <x:c r="MKE62" s="291"/>
      <x:c r="MKF62" s="291"/>
      <x:c r="MKG62" s="291"/>
      <x:c r="MKH62" s="291"/>
      <x:c r="MKI62" s="291"/>
      <x:c r="MKJ62" s="291"/>
      <x:c r="MKK62" s="291"/>
      <x:c r="MKL62" s="291"/>
      <x:c r="MKM62" s="291"/>
      <x:c r="MKN62" s="291"/>
      <x:c r="MKO62" s="291"/>
      <x:c r="MKP62" s="291"/>
      <x:c r="MKQ62" s="291"/>
      <x:c r="MKR62" s="291"/>
      <x:c r="MKS62" s="291"/>
      <x:c r="MKT62" s="291"/>
      <x:c r="MKU62" s="291"/>
      <x:c r="MKV62" s="291"/>
      <x:c r="MKW62" s="291"/>
      <x:c r="MKX62" s="291"/>
      <x:c r="MKY62" s="291"/>
      <x:c r="MKZ62" s="291"/>
      <x:c r="MLA62" s="291"/>
      <x:c r="MLB62" s="291"/>
      <x:c r="MLC62" s="291"/>
      <x:c r="MLD62" s="291"/>
      <x:c r="MLE62" s="291"/>
      <x:c r="MLF62" s="291"/>
      <x:c r="MLG62" s="291"/>
      <x:c r="MLH62" s="291"/>
      <x:c r="MLI62" s="291"/>
      <x:c r="MLJ62" s="291"/>
      <x:c r="MLK62" s="291"/>
      <x:c r="MLL62" s="291"/>
      <x:c r="MLM62" s="291"/>
      <x:c r="MLN62" s="291"/>
      <x:c r="MLO62" s="291"/>
      <x:c r="MLP62" s="291"/>
      <x:c r="MLQ62" s="291"/>
      <x:c r="MLR62" s="291"/>
      <x:c r="MLS62" s="291"/>
      <x:c r="MLT62" s="291"/>
      <x:c r="MLU62" s="291"/>
      <x:c r="MLV62" s="291"/>
      <x:c r="MLW62" s="291"/>
      <x:c r="MLX62" s="291"/>
      <x:c r="MLY62" s="291"/>
      <x:c r="MLZ62" s="291"/>
      <x:c r="MMA62" s="291"/>
      <x:c r="MMB62" s="291"/>
      <x:c r="MMC62" s="291"/>
      <x:c r="MMD62" s="291"/>
      <x:c r="MME62" s="291"/>
      <x:c r="MMF62" s="291"/>
      <x:c r="MMG62" s="291"/>
      <x:c r="MMH62" s="291"/>
      <x:c r="MMI62" s="291"/>
      <x:c r="MMJ62" s="291"/>
      <x:c r="MMK62" s="291"/>
      <x:c r="MML62" s="291"/>
      <x:c r="MMM62" s="291"/>
      <x:c r="MMN62" s="291"/>
      <x:c r="MMO62" s="291"/>
      <x:c r="MMP62" s="291"/>
      <x:c r="MMQ62" s="291"/>
      <x:c r="MMR62" s="291"/>
      <x:c r="MMS62" s="291"/>
      <x:c r="MMT62" s="291"/>
      <x:c r="MMU62" s="291"/>
      <x:c r="MMV62" s="291"/>
      <x:c r="MMW62" s="291"/>
      <x:c r="MMX62" s="291"/>
      <x:c r="MMY62" s="291"/>
      <x:c r="MMZ62" s="291"/>
      <x:c r="MNA62" s="291"/>
      <x:c r="MNB62" s="291"/>
      <x:c r="MNC62" s="291"/>
      <x:c r="MND62" s="291"/>
      <x:c r="MNE62" s="291"/>
      <x:c r="MNF62" s="291"/>
      <x:c r="MNG62" s="291"/>
      <x:c r="MNH62" s="291"/>
      <x:c r="MNI62" s="291"/>
      <x:c r="MNJ62" s="291"/>
      <x:c r="MNK62" s="291"/>
      <x:c r="MNL62" s="291"/>
      <x:c r="MNM62" s="291"/>
      <x:c r="MNN62" s="291"/>
      <x:c r="MNO62" s="291"/>
      <x:c r="MNP62" s="291"/>
      <x:c r="MNQ62" s="291"/>
      <x:c r="MNR62" s="291"/>
      <x:c r="MNS62" s="291"/>
      <x:c r="MNT62" s="291"/>
      <x:c r="MNU62" s="291"/>
      <x:c r="MNV62" s="291"/>
      <x:c r="MNW62" s="291"/>
      <x:c r="MNX62" s="291"/>
      <x:c r="MNY62" s="291"/>
      <x:c r="MNZ62" s="291"/>
      <x:c r="MOA62" s="291"/>
      <x:c r="MOB62" s="291"/>
      <x:c r="MOC62" s="291"/>
      <x:c r="MOD62" s="291"/>
      <x:c r="MOE62" s="291"/>
      <x:c r="MOF62" s="291"/>
      <x:c r="MOG62" s="291"/>
      <x:c r="MOH62" s="291"/>
      <x:c r="MOI62" s="291"/>
      <x:c r="MOJ62" s="291"/>
      <x:c r="MOK62" s="291"/>
      <x:c r="MOL62" s="291"/>
      <x:c r="MOM62" s="291"/>
      <x:c r="MON62" s="291"/>
      <x:c r="MOO62" s="291"/>
      <x:c r="MOP62" s="291"/>
      <x:c r="MOQ62" s="291"/>
      <x:c r="MOR62" s="291"/>
      <x:c r="MOS62" s="291"/>
      <x:c r="MOT62" s="291"/>
      <x:c r="MOU62" s="291"/>
      <x:c r="MOV62" s="291"/>
      <x:c r="MOW62" s="291"/>
      <x:c r="MOX62" s="291"/>
      <x:c r="MOY62" s="291"/>
      <x:c r="MOZ62" s="291"/>
      <x:c r="MPA62" s="291"/>
      <x:c r="MPB62" s="291"/>
      <x:c r="MPC62" s="291"/>
      <x:c r="MPD62" s="291"/>
      <x:c r="MPE62" s="291"/>
      <x:c r="MPF62" s="291"/>
      <x:c r="MPG62" s="291"/>
      <x:c r="MPH62" s="291"/>
      <x:c r="MPI62" s="291"/>
      <x:c r="MPJ62" s="291"/>
      <x:c r="MPK62" s="291"/>
      <x:c r="MPL62" s="291"/>
      <x:c r="MPM62" s="291"/>
      <x:c r="MPN62" s="291"/>
      <x:c r="MPO62" s="291"/>
      <x:c r="MPP62" s="291"/>
      <x:c r="MPQ62" s="291"/>
      <x:c r="MPR62" s="291"/>
      <x:c r="MPS62" s="291"/>
      <x:c r="MPT62" s="291"/>
      <x:c r="MPU62" s="291"/>
      <x:c r="MPV62" s="291"/>
      <x:c r="MPW62" s="291"/>
      <x:c r="MPX62" s="291"/>
      <x:c r="MPY62" s="291"/>
      <x:c r="MPZ62" s="291"/>
      <x:c r="MQA62" s="291"/>
      <x:c r="MQB62" s="291"/>
      <x:c r="MQC62" s="291"/>
      <x:c r="MQD62" s="291"/>
      <x:c r="MQE62" s="291"/>
      <x:c r="MQF62" s="291"/>
      <x:c r="MQG62" s="291"/>
      <x:c r="MQH62" s="291"/>
      <x:c r="MQI62" s="291"/>
      <x:c r="MQJ62" s="291"/>
      <x:c r="MQK62" s="291"/>
      <x:c r="MQL62" s="291"/>
      <x:c r="MQM62" s="291"/>
      <x:c r="MQN62" s="291"/>
      <x:c r="MQO62" s="291"/>
      <x:c r="MQP62" s="291"/>
      <x:c r="MQQ62" s="291"/>
      <x:c r="MQR62" s="291"/>
      <x:c r="MQS62" s="291"/>
      <x:c r="MQT62" s="291"/>
      <x:c r="MQU62" s="291"/>
      <x:c r="MQV62" s="291"/>
      <x:c r="MQW62" s="291"/>
      <x:c r="MQX62" s="291"/>
      <x:c r="MQY62" s="291"/>
      <x:c r="MQZ62" s="291"/>
      <x:c r="MRA62" s="291"/>
      <x:c r="MRB62" s="291"/>
      <x:c r="MRC62" s="291"/>
      <x:c r="MRD62" s="291"/>
      <x:c r="MRE62" s="291"/>
      <x:c r="MRF62" s="291"/>
      <x:c r="MRG62" s="291"/>
      <x:c r="MRH62" s="291"/>
      <x:c r="MRI62" s="291"/>
      <x:c r="MRJ62" s="291"/>
      <x:c r="MRK62" s="291"/>
      <x:c r="MRL62" s="291"/>
      <x:c r="MRM62" s="291"/>
      <x:c r="MRN62" s="291"/>
      <x:c r="MRO62" s="291"/>
      <x:c r="MRP62" s="291"/>
      <x:c r="MRQ62" s="291"/>
      <x:c r="MRR62" s="291"/>
      <x:c r="MRS62" s="291"/>
      <x:c r="MRT62" s="291"/>
      <x:c r="MRU62" s="291"/>
      <x:c r="MRV62" s="291"/>
      <x:c r="MRW62" s="291"/>
      <x:c r="MRX62" s="291"/>
      <x:c r="MRY62" s="291"/>
      <x:c r="MRZ62" s="291"/>
      <x:c r="MSA62" s="291"/>
      <x:c r="MSB62" s="291"/>
      <x:c r="MSC62" s="291"/>
      <x:c r="MSD62" s="291"/>
      <x:c r="MSE62" s="291"/>
      <x:c r="MSF62" s="291"/>
      <x:c r="MSG62" s="291"/>
      <x:c r="MSH62" s="291"/>
      <x:c r="MSI62" s="291"/>
      <x:c r="MSJ62" s="291"/>
      <x:c r="MSK62" s="291"/>
      <x:c r="MSL62" s="291"/>
      <x:c r="MSM62" s="291"/>
      <x:c r="MSN62" s="291"/>
      <x:c r="MSO62" s="291"/>
      <x:c r="MSP62" s="291"/>
      <x:c r="MSQ62" s="291"/>
      <x:c r="MSR62" s="291"/>
      <x:c r="MSS62" s="291"/>
      <x:c r="MST62" s="291"/>
      <x:c r="MSU62" s="291"/>
      <x:c r="MSV62" s="291"/>
      <x:c r="MSW62" s="291"/>
      <x:c r="MSX62" s="291"/>
      <x:c r="MSY62" s="291"/>
      <x:c r="MSZ62" s="291"/>
      <x:c r="MTA62" s="291"/>
      <x:c r="MTB62" s="291"/>
      <x:c r="MTC62" s="291"/>
      <x:c r="MTD62" s="291"/>
      <x:c r="MTE62" s="291"/>
      <x:c r="MTF62" s="291"/>
      <x:c r="MTG62" s="291"/>
      <x:c r="MTH62" s="291"/>
      <x:c r="MTI62" s="291"/>
      <x:c r="MTJ62" s="291"/>
      <x:c r="MTK62" s="291"/>
      <x:c r="MTL62" s="291"/>
      <x:c r="MTM62" s="291"/>
      <x:c r="MTN62" s="291"/>
      <x:c r="MTO62" s="291"/>
      <x:c r="MTP62" s="291"/>
      <x:c r="MTQ62" s="291"/>
      <x:c r="MTR62" s="291"/>
      <x:c r="MTS62" s="291"/>
      <x:c r="MTT62" s="291"/>
      <x:c r="MTU62" s="291"/>
      <x:c r="MTV62" s="291"/>
      <x:c r="MTW62" s="291"/>
      <x:c r="MTX62" s="291"/>
      <x:c r="MTY62" s="291"/>
      <x:c r="MTZ62" s="291"/>
      <x:c r="MUA62" s="291"/>
      <x:c r="MUB62" s="291"/>
      <x:c r="MUC62" s="291"/>
      <x:c r="MUD62" s="291"/>
      <x:c r="MUE62" s="291"/>
      <x:c r="MUF62" s="291"/>
      <x:c r="MUG62" s="291"/>
      <x:c r="MUH62" s="291"/>
      <x:c r="MUI62" s="291"/>
      <x:c r="MUJ62" s="291"/>
      <x:c r="MUK62" s="291"/>
      <x:c r="MUL62" s="291"/>
      <x:c r="MUM62" s="291"/>
      <x:c r="MUN62" s="291"/>
      <x:c r="MUO62" s="291"/>
      <x:c r="MUP62" s="291"/>
      <x:c r="MUQ62" s="291"/>
      <x:c r="MUR62" s="291"/>
      <x:c r="MUS62" s="291"/>
      <x:c r="MUT62" s="291"/>
      <x:c r="MUU62" s="291"/>
      <x:c r="MUV62" s="291"/>
      <x:c r="MUW62" s="291"/>
      <x:c r="MUX62" s="291"/>
      <x:c r="MUY62" s="291"/>
      <x:c r="MUZ62" s="291"/>
      <x:c r="MVA62" s="291"/>
      <x:c r="MVB62" s="291"/>
      <x:c r="MVC62" s="291"/>
      <x:c r="MVD62" s="291"/>
      <x:c r="MVE62" s="291"/>
      <x:c r="MVF62" s="291"/>
      <x:c r="MVG62" s="291"/>
      <x:c r="MVH62" s="291"/>
      <x:c r="MVI62" s="291"/>
      <x:c r="MVJ62" s="291"/>
      <x:c r="MVK62" s="291"/>
      <x:c r="MVL62" s="291"/>
      <x:c r="MVM62" s="291"/>
      <x:c r="MVN62" s="291"/>
      <x:c r="MVO62" s="291"/>
      <x:c r="MVP62" s="291"/>
      <x:c r="MVQ62" s="291"/>
      <x:c r="MVR62" s="291"/>
      <x:c r="MVS62" s="291"/>
      <x:c r="MVT62" s="291"/>
      <x:c r="MVU62" s="291"/>
      <x:c r="MVV62" s="291"/>
      <x:c r="MVW62" s="291"/>
      <x:c r="MVX62" s="291"/>
      <x:c r="MVY62" s="291"/>
      <x:c r="MVZ62" s="291"/>
      <x:c r="MWA62" s="291"/>
      <x:c r="MWB62" s="291"/>
      <x:c r="MWC62" s="291"/>
      <x:c r="MWD62" s="291"/>
      <x:c r="MWE62" s="291"/>
      <x:c r="MWF62" s="291"/>
      <x:c r="MWG62" s="291"/>
      <x:c r="MWH62" s="291"/>
      <x:c r="MWI62" s="291"/>
      <x:c r="MWJ62" s="291"/>
      <x:c r="MWK62" s="291"/>
      <x:c r="MWL62" s="291"/>
      <x:c r="MWM62" s="291"/>
      <x:c r="MWN62" s="291"/>
      <x:c r="MWO62" s="291"/>
      <x:c r="MWP62" s="291"/>
      <x:c r="MWQ62" s="291"/>
      <x:c r="MWR62" s="291"/>
      <x:c r="MWS62" s="291"/>
      <x:c r="MWT62" s="291"/>
      <x:c r="MWU62" s="291"/>
      <x:c r="MWV62" s="291"/>
      <x:c r="MWW62" s="291"/>
      <x:c r="MWX62" s="291"/>
      <x:c r="MWY62" s="291"/>
      <x:c r="MWZ62" s="291"/>
      <x:c r="MXA62" s="291"/>
      <x:c r="MXB62" s="291"/>
      <x:c r="MXC62" s="291"/>
      <x:c r="MXD62" s="291"/>
      <x:c r="MXE62" s="291"/>
      <x:c r="MXF62" s="291"/>
      <x:c r="MXG62" s="291"/>
      <x:c r="MXH62" s="291"/>
      <x:c r="MXI62" s="291"/>
      <x:c r="MXJ62" s="291"/>
      <x:c r="MXK62" s="291"/>
      <x:c r="MXL62" s="291"/>
      <x:c r="MXM62" s="291"/>
      <x:c r="MXN62" s="291"/>
      <x:c r="MXO62" s="291"/>
      <x:c r="MXP62" s="291"/>
      <x:c r="MXQ62" s="291"/>
      <x:c r="MXR62" s="291"/>
      <x:c r="MXS62" s="291"/>
      <x:c r="MXT62" s="291"/>
      <x:c r="MXU62" s="291"/>
      <x:c r="MXV62" s="291"/>
      <x:c r="MXW62" s="291"/>
      <x:c r="MXX62" s="291"/>
      <x:c r="MXY62" s="291"/>
      <x:c r="MXZ62" s="291"/>
      <x:c r="MYA62" s="291"/>
      <x:c r="MYB62" s="291"/>
      <x:c r="MYC62" s="291"/>
      <x:c r="MYD62" s="291"/>
      <x:c r="MYE62" s="291"/>
      <x:c r="MYF62" s="291"/>
      <x:c r="MYG62" s="291"/>
      <x:c r="MYH62" s="291"/>
      <x:c r="MYI62" s="291"/>
      <x:c r="MYJ62" s="291"/>
      <x:c r="MYK62" s="291"/>
      <x:c r="MYL62" s="291"/>
      <x:c r="MYM62" s="291"/>
      <x:c r="MYN62" s="291"/>
      <x:c r="MYO62" s="291"/>
      <x:c r="MYP62" s="291"/>
      <x:c r="MYQ62" s="291"/>
      <x:c r="MYR62" s="291"/>
      <x:c r="MYS62" s="291"/>
      <x:c r="MYT62" s="291"/>
      <x:c r="MYU62" s="291"/>
      <x:c r="MYV62" s="291"/>
      <x:c r="MYW62" s="291"/>
      <x:c r="MYX62" s="291"/>
      <x:c r="MYY62" s="291"/>
      <x:c r="MYZ62" s="291"/>
      <x:c r="MZA62" s="291"/>
      <x:c r="MZB62" s="291"/>
      <x:c r="MZC62" s="291"/>
      <x:c r="MZD62" s="291"/>
      <x:c r="MZE62" s="291"/>
      <x:c r="MZF62" s="291"/>
      <x:c r="MZG62" s="291"/>
      <x:c r="MZH62" s="291"/>
      <x:c r="MZI62" s="291"/>
      <x:c r="MZJ62" s="291"/>
      <x:c r="MZK62" s="291"/>
      <x:c r="MZL62" s="291"/>
      <x:c r="MZM62" s="291"/>
      <x:c r="MZN62" s="291"/>
      <x:c r="MZO62" s="291"/>
      <x:c r="MZP62" s="291"/>
      <x:c r="MZQ62" s="291"/>
      <x:c r="MZR62" s="291"/>
      <x:c r="MZS62" s="291"/>
      <x:c r="MZT62" s="291"/>
      <x:c r="MZU62" s="291"/>
      <x:c r="MZV62" s="291"/>
      <x:c r="MZW62" s="291"/>
      <x:c r="MZX62" s="291"/>
      <x:c r="MZY62" s="291"/>
      <x:c r="MZZ62" s="291"/>
      <x:c r="NAA62" s="291"/>
      <x:c r="NAB62" s="291"/>
      <x:c r="NAC62" s="291"/>
      <x:c r="NAD62" s="291"/>
      <x:c r="NAE62" s="291"/>
      <x:c r="NAF62" s="291"/>
      <x:c r="NAG62" s="291"/>
      <x:c r="NAH62" s="291"/>
      <x:c r="NAI62" s="291"/>
      <x:c r="NAJ62" s="291"/>
      <x:c r="NAK62" s="291"/>
      <x:c r="NAL62" s="291"/>
      <x:c r="NAM62" s="291"/>
      <x:c r="NAN62" s="291"/>
      <x:c r="NAO62" s="291"/>
      <x:c r="NAP62" s="291"/>
      <x:c r="NAQ62" s="291"/>
      <x:c r="NAR62" s="291"/>
      <x:c r="NAS62" s="291"/>
      <x:c r="NAT62" s="291"/>
      <x:c r="NAU62" s="291"/>
      <x:c r="NAV62" s="291"/>
      <x:c r="NAW62" s="291"/>
      <x:c r="NAX62" s="291"/>
      <x:c r="NAY62" s="291"/>
      <x:c r="NAZ62" s="291"/>
      <x:c r="NBA62" s="291"/>
      <x:c r="NBB62" s="291"/>
      <x:c r="NBC62" s="291"/>
      <x:c r="NBD62" s="291"/>
      <x:c r="NBE62" s="291"/>
      <x:c r="NBF62" s="291"/>
      <x:c r="NBG62" s="291"/>
      <x:c r="NBH62" s="291"/>
      <x:c r="NBI62" s="291"/>
      <x:c r="NBJ62" s="291"/>
      <x:c r="NBK62" s="291"/>
      <x:c r="NBL62" s="291"/>
      <x:c r="NBM62" s="291"/>
      <x:c r="NBN62" s="291"/>
      <x:c r="NBO62" s="291"/>
      <x:c r="NBP62" s="291"/>
      <x:c r="NBQ62" s="291"/>
      <x:c r="NBR62" s="291"/>
      <x:c r="NBS62" s="291"/>
      <x:c r="NBT62" s="291"/>
      <x:c r="NBU62" s="291"/>
      <x:c r="NBV62" s="291"/>
      <x:c r="NBW62" s="291"/>
      <x:c r="NBX62" s="291"/>
      <x:c r="NBY62" s="291"/>
      <x:c r="NBZ62" s="291"/>
      <x:c r="NCA62" s="291"/>
      <x:c r="NCB62" s="291"/>
      <x:c r="NCC62" s="291"/>
      <x:c r="NCD62" s="291"/>
      <x:c r="NCE62" s="291"/>
      <x:c r="NCF62" s="291"/>
      <x:c r="NCG62" s="291"/>
      <x:c r="NCH62" s="291"/>
      <x:c r="NCI62" s="291"/>
      <x:c r="NCJ62" s="291"/>
      <x:c r="NCK62" s="291"/>
      <x:c r="NCL62" s="291"/>
      <x:c r="NCM62" s="291"/>
      <x:c r="NCN62" s="291"/>
      <x:c r="NCO62" s="291"/>
      <x:c r="NCP62" s="291"/>
      <x:c r="NCQ62" s="291"/>
      <x:c r="NCR62" s="291"/>
      <x:c r="NCS62" s="291"/>
      <x:c r="NCT62" s="291"/>
      <x:c r="NCU62" s="291"/>
      <x:c r="NCV62" s="291"/>
      <x:c r="NCW62" s="291"/>
      <x:c r="NCX62" s="291"/>
      <x:c r="NCY62" s="291"/>
      <x:c r="NCZ62" s="291"/>
      <x:c r="NDA62" s="291"/>
      <x:c r="NDB62" s="291"/>
      <x:c r="NDC62" s="291"/>
      <x:c r="NDD62" s="291"/>
      <x:c r="NDE62" s="291"/>
      <x:c r="NDF62" s="291"/>
      <x:c r="NDG62" s="291"/>
      <x:c r="NDH62" s="291"/>
      <x:c r="NDI62" s="291"/>
      <x:c r="NDJ62" s="291"/>
      <x:c r="NDK62" s="291"/>
      <x:c r="NDL62" s="291"/>
      <x:c r="NDM62" s="291"/>
      <x:c r="NDN62" s="291"/>
      <x:c r="NDO62" s="291"/>
      <x:c r="NDP62" s="291"/>
      <x:c r="NDQ62" s="291"/>
      <x:c r="NDR62" s="291"/>
      <x:c r="NDS62" s="291"/>
      <x:c r="NDT62" s="291"/>
      <x:c r="NDU62" s="291"/>
      <x:c r="NDV62" s="291"/>
      <x:c r="NDW62" s="291"/>
      <x:c r="NDX62" s="291"/>
      <x:c r="NDY62" s="291"/>
      <x:c r="NDZ62" s="291"/>
      <x:c r="NEA62" s="291"/>
      <x:c r="NEB62" s="291"/>
      <x:c r="NEC62" s="291"/>
      <x:c r="NED62" s="291"/>
      <x:c r="NEE62" s="291"/>
      <x:c r="NEF62" s="291"/>
      <x:c r="NEG62" s="291"/>
      <x:c r="NEH62" s="291"/>
      <x:c r="NEI62" s="291"/>
      <x:c r="NEJ62" s="291"/>
      <x:c r="NEK62" s="291"/>
      <x:c r="NEL62" s="291"/>
      <x:c r="NEM62" s="291"/>
      <x:c r="NEN62" s="291"/>
      <x:c r="NEO62" s="291"/>
      <x:c r="NEP62" s="291"/>
      <x:c r="NEQ62" s="291"/>
      <x:c r="NER62" s="291"/>
      <x:c r="NES62" s="291"/>
      <x:c r="NET62" s="291"/>
      <x:c r="NEU62" s="291"/>
      <x:c r="NEV62" s="291"/>
      <x:c r="NEW62" s="291"/>
      <x:c r="NEX62" s="291"/>
      <x:c r="NEY62" s="291"/>
      <x:c r="NEZ62" s="291"/>
      <x:c r="NFA62" s="291"/>
      <x:c r="NFB62" s="291"/>
      <x:c r="NFC62" s="291"/>
      <x:c r="NFD62" s="291"/>
      <x:c r="NFE62" s="291"/>
      <x:c r="NFF62" s="291"/>
      <x:c r="NFG62" s="291"/>
      <x:c r="NFH62" s="291"/>
      <x:c r="NFI62" s="291"/>
      <x:c r="NFJ62" s="291"/>
      <x:c r="NFK62" s="291"/>
      <x:c r="NFL62" s="291"/>
      <x:c r="NFM62" s="291"/>
      <x:c r="NFN62" s="291"/>
      <x:c r="NFO62" s="291"/>
      <x:c r="NFP62" s="291"/>
      <x:c r="NFQ62" s="291"/>
      <x:c r="NFR62" s="291"/>
      <x:c r="NFS62" s="291"/>
      <x:c r="NFT62" s="291"/>
      <x:c r="NFU62" s="291"/>
      <x:c r="NFV62" s="291"/>
      <x:c r="NFW62" s="291"/>
      <x:c r="NFX62" s="291"/>
      <x:c r="NFY62" s="291"/>
      <x:c r="NFZ62" s="291"/>
      <x:c r="NGA62" s="291"/>
      <x:c r="NGB62" s="291"/>
      <x:c r="NGC62" s="291"/>
      <x:c r="NGD62" s="291"/>
      <x:c r="NGE62" s="291"/>
      <x:c r="NGF62" s="291"/>
      <x:c r="NGG62" s="291"/>
      <x:c r="NGH62" s="291"/>
      <x:c r="NGI62" s="291"/>
      <x:c r="NGJ62" s="291"/>
      <x:c r="NGK62" s="291"/>
      <x:c r="NGL62" s="291"/>
      <x:c r="NGM62" s="291"/>
      <x:c r="NGN62" s="291"/>
      <x:c r="NGO62" s="291"/>
      <x:c r="NGP62" s="291"/>
      <x:c r="NGQ62" s="291"/>
      <x:c r="NGR62" s="291"/>
      <x:c r="NGS62" s="291"/>
      <x:c r="NGT62" s="291"/>
      <x:c r="NGU62" s="291"/>
      <x:c r="NGV62" s="291"/>
      <x:c r="NGW62" s="291"/>
      <x:c r="NGX62" s="291"/>
      <x:c r="NGY62" s="291"/>
      <x:c r="NGZ62" s="291"/>
      <x:c r="NHA62" s="291"/>
      <x:c r="NHB62" s="291"/>
      <x:c r="NHC62" s="291"/>
      <x:c r="NHD62" s="291"/>
      <x:c r="NHE62" s="291"/>
      <x:c r="NHF62" s="291"/>
      <x:c r="NHG62" s="291"/>
      <x:c r="NHH62" s="291"/>
      <x:c r="NHI62" s="291"/>
      <x:c r="NHJ62" s="291"/>
      <x:c r="NHK62" s="291"/>
      <x:c r="NHL62" s="291"/>
      <x:c r="NHM62" s="291"/>
      <x:c r="NHN62" s="291"/>
      <x:c r="NHO62" s="291"/>
      <x:c r="NHP62" s="291"/>
      <x:c r="NHQ62" s="291"/>
      <x:c r="NHR62" s="291"/>
      <x:c r="NHS62" s="291"/>
      <x:c r="NHT62" s="291"/>
      <x:c r="NHU62" s="291"/>
      <x:c r="NHV62" s="291"/>
      <x:c r="NHW62" s="291"/>
      <x:c r="NHX62" s="291"/>
      <x:c r="NHY62" s="291"/>
      <x:c r="NHZ62" s="291"/>
      <x:c r="NIA62" s="291"/>
      <x:c r="NIB62" s="291"/>
      <x:c r="NIC62" s="291"/>
      <x:c r="NID62" s="291"/>
      <x:c r="NIE62" s="291"/>
      <x:c r="NIF62" s="291"/>
      <x:c r="NIG62" s="291"/>
      <x:c r="NIH62" s="291"/>
      <x:c r="NII62" s="291"/>
      <x:c r="NIJ62" s="291"/>
      <x:c r="NIK62" s="291"/>
      <x:c r="NIL62" s="291"/>
      <x:c r="NIM62" s="291"/>
      <x:c r="NIN62" s="291"/>
      <x:c r="NIO62" s="291"/>
      <x:c r="NIP62" s="291"/>
      <x:c r="NIQ62" s="291"/>
      <x:c r="NIR62" s="291"/>
      <x:c r="NIS62" s="291"/>
      <x:c r="NIT62" s="291"/>
      <x:c r="NIU62" s="291"/>
      <x:c r="NIV62" s="291"/>
      <x:c r="NIW62" s="291"/>
      <x:c r="NIX62" s="291"/>
      <x:c r="NIY62" s="291"/>
      <x:c r="NIZ62" s="291"/>
      <x:c r="NJA62" s="291"/>
      <x:c r="NJB62" s="291"/>
      <x:c r="NJC62" s="291"/>
      <x:c r="NJD62" s="291"/>
      <x:c r="NJE62" s="291"/>
      <x:c r="NJF62" s="291"/>
      <x:c r="NJG62" s="291"/>
      <x:c r="NJH62" s="291"/>
      <x:c r="NJI62" s="291"/>
      <x:c r="NJJ62" s="291"/>
      <x:c r="NJK62" s="291"/>
      <x:c r="NJL62" s="291"/>
      <x:c r="NJM62" s="291"/>
      <x:c r="NJN62" s="291"/>
      <x:c r="NJO62" s="291"/>
      <x:c r="NJP62" s="291"/>
      <x:c r="NJQ62" s="291"/>
      <x:c r="NJR62" s="291"/>
      <x:c r="NJS62" s="291"/>
      <x:c r="NJT62" s="291"/>
      <x:c r="NJU62" s="291"/>
      <x:c r="NJV62" s="291"/>
      <x:c r="NJW62" s="291"/>
      <x:c r="NJX62" s="291"/>
      <x:c r="NJY62" s="291"/>
      <x:c r="NJZ62" s="291"/>
      <x:c r="NKA62" s="291"/>
      <x:c r="NKB62" s="291"/>
      <x:c r="NKC62" s="291"/>
      <x:c r="NKD62" s="291"/>
      <x:c r="NKE62" s="291"/>
      <x:c r="NKF62" s="291"/>
      <x:c r="NKG62" s="291"/>
      <x:c r="NKH62" s="291"/>
      <x:c r="NKI62" s="291"/>
      <x:c r="NKJ62" s="291"/>
      <x:c r="NKK62" s="291"/>
      <x:c r="NKL62" s="291"/>
      <x:c r="NKM62" s="291"/>
      <x:c r="NKN62" s="291"/>
      <x:c r="NKO62" s="291"/>
      <x:c r="NKP62" s="291"/>
      <x:c r="NKQ62" s="291"/>
      <x:c r="NKR62" s="291"/>
      <x:c r="NKS62" s="291"/>
      <x:c r="NKT62" s="291"/>
      <x:c r="NKU62" s="291"/>
      <x:c r="NKV62" s="291"/>
      <x:c r="NKW62" s="291"/>
      <x:c r="NKX62" s="291"/>
      <x:c r="NKY62" s="291"/>
      <x:c r="NKZ62" s="291"/>
      <x:c r="NLA62" s="291"/>
      <x:c r="NLB62" s="291"/>
      <x:c r="NLC62" s="291"/>
      <x:c r="NLD62" s="291"/>
      <x:c r="NLE62" s="291"/>
      <x:c r="NLF62" s="291"/>
      <x:c r="NLG62" s="291"/>
      <x:c r="NLH62" s="291"/>
      <x:c r="NLI62" s="291"/>
      <x:c r="NLJ62" s="291"/>
      <x:c r="NLK62" s="291"/>
      <x:c r="NLL62" s="291"/>
      <x:c r="NLM62" s="291"/>
      <x:c r="NLN62" s="291"/>
      <x:c r="NLO62" s="291"/>
      <x:c r="NLP62" s="291"/>
      <x:c r="NLQ62" s="291"/>
      <x:c r="NLR62" s="291"/>
      <x:c r="NLS62" s="291"/>
      <x:c r="NLT62" s="291"/>
      <x:c r="NLU62" s="291"/>
      <x:c r="NLV62" s="291"/>
      <x:c r="NLW62" s="291"/>
      <x:c r="NLX62" s="291"/>
      <x:c r="NLY62" s="291"/>
      <x:c r="NLZ62" s="291"/>
      <x:c r="NMA62" s="291"/>
      <x:c r="NMB62" s="291"/>
      <x:c r="NMC62" s="291"/>
      <x:c r="NMD62" s="291"/>
      <x:c r="NME62" s="291"/>
      <x:c r="NMF62" s="291"/>
      <x:c r="NMG62" s="291"/>
      <x:c r="NMH62" s="291"/>
      <x:c r="NMI62" s="291"/>
      <x:c r="NMJ62" s="291"/>
      <x:c r="NMK62" s="291"/>
      <x:c r="NML62" s="291"/>
      <x:c r="NMM62" s="291"/>
      <x:c r="NMN62" s="291"/>
      <x:c r="NMO62" s="291"/>
      <x:c r="NMP62" s="291"/>
      <x:c r="NMQ62" s="291"/>
      <x:c r="NMR62" s="291"/>
      <x:c r="NMS62" s="291"/>
      <x:c r="NMT62" s="291"/>
      <x:c r="NMU62" s="291"/>
      <x:c r="NMV62" s="291"/>
      <x:c r="NMW62" s="291"/>
      <x:c r="NMX62" s="291"/>
      <x:c r="NMY62" s="291"/>
      <x:c r="NMZ62" s="291"/>
      <x:c r="NNA62" s="291"/>
      <x:c r="NNB62" s="291"/>
      <x:c r="NNC62" s="291"/>
      <x:c r="NND62" s="291"/>
      <x:c r="NNE62" s="291"/>
      <x:c r="NNF62" s="291"/>
      <x:c r="NNG62" s="291"/>
      <x:c r="NNH62" s="291"/>
      <x:c r="NNI62" s="291"/>
      <x:c r="NNJ62" s="291"/>
      <x:c r="NNK62" s="291"/>
      <x:c r="NNL62" s="291"/>
      <x:c r="NNM62" s="291"/>
      <x:c r="NNN62" s="291"/>
      <x:c r="NNO62" s="291"/>
      <x:c r="NNP62" s="291"/>
      <x:c r="NNQ62" s="291"/>
      <x:c r="NNR62" s="291"/>
      <x:c r="NNS62" s="291"/>
      <x:c r="NNT62" s="291"/>
      <x:c r="NNU62" s="291"/>
      <x:c r="NNV62" s="291"/>
      <x:c r="NNW62" s="291"/>
      <x:c r="NNX62" s="291"/>
      <x:c r="NNY62" s="291"/>
      <x:c r="NNZ62" s="291"/>
      <x:c r="NOA62" s="291"/>
      <x:c r="NOB62" s="291"/>
      <x:c r="NOC62" s="291"/>
      <x:c r="NOD62" s="291"/>
      <x:c r="NOE62" s="291"/>
      <x:c r="NOF62" s="291"/>
      <x:c r="NOG62" s="291"/>
      <x:c r="NOH62" s="291"/>
      <x:c r="NOI62" s="291"/>
      <x:c r="NOJ62" s="291"/>
      <x:c r="NOK62" s="291"/>
      <x:c r="NOL62" s="291"/>
      <x:c r="NOM62" s="291"/>
      <x:c r="NON62" s="291"/>
      <x:c r="NOO62" s="291"/>
      <x:c r="NOP62" s="291"/>
      <x:c r="NOQ62" s="291"/>
      <x:c r="NOR62" s="291"/>
      <x:c r="NOS62" s="291"/>
      <x:c r="NOT62" s="291"/>
      <x:c r="NOU62" s="291"/>
      <x:c r="NOV62" s="291"/>
      <x:c r="NOW62" s="291"/>
      <x:c r="NOX62" s="291"/>
      <x:c r="NOY62" s="291"/>
      <x:c r="NOZ62" s="291"/>
      <x:c r="NPA62" s="291"/>
      <x:c r="NPB62" s="291"/>
      <x:c r="NPC62" s="291"/>
      <x:c r="NPD62" s="291"/>
      <x:c r="NPE62" s="291"/>
      <x:c r="NPF62" s="291"/>
      <x:c r="NPG62" s="291"/>
      <x:c r="NPH62" s="291"/>
      <x:c r="NPI62" s="291"/>
      <x:c r="NPJ62" s="291"/>
      <x:c r="NPK62" s="291"/>
      <x:c r="NPL62" s="291"/>
      <x:c r="NPM62" s="291"/>
      <x:c r="NPN62" s="291"/>
      <x:c r="NPO62" s="291"/>
      <x:c r="NPP62" s="291"/>
      <x:c r="NPQ62" s="291"/>
      <x:c r="NPR62" s="291"/>
      <x:c r="NPS62" s="291"/>
      <x:c r="NPT62" s="291"/>
      <x:c r="NPU62" s="291"/>
      <x:c r="NPV62" s="291"/>
      <x:c r="NPW62" s="291"/>
      <x:c r="NPX62" s="291"/>
      <x:c r="NPY62" s="291"/>
      <x:c r="NPZ62" s="291"/>
      <x:c r="NQA62" s="291"/>
      <x:c r="NQB62" s="291"/>
      <x:c r="NQC62" s="291"/>
      <x:c r="NQD62" s="291"/>
      <x:c r="NQE62" s="291"/>
      <x:c r="NQF62" s="291"/>
      <x:c r="NQG62" s="291"/>
      <x:c r="NQH62" s="291"/>
      <x:c r="NQI62" s="291"/>
      <x:c r="NQJ62" s="291"/>
      <x:c r="NQK62" s="291"/>
      <x:c r="NQL62" s="291"/>
      <x:c r="NQM62" s="291"/>
      <x:c r="NQN62" s="291"/>
      <x:c r="NQO62" s="291"/>
      <x:c r="NQP62" s="291"/>
      <x:c r="NQQ62" s="291"/>
      <x:c r="NQR62" s="291"/>
      <x:c r="NQS62" s="291"/>
      <x:c r="NQT62" s="291"/>
      <x:c r="NQU62" s="291"/>
      <x:c r="NQV62" s="291"/>
      <x:c r="NQW62" s="291"/>
      <x:c r="NQX62" s="291"/>
      <x:c r="NQY62" s="291"/>
      <x:c r="NQZ62" s="291"/>
      <x:c r="NRA62" s="291"/>
      <x:c r="NRB62" s="291"/>
      <x:c r="NRC62" s="291"/>
      <x:c r="NRD62" s="291"/>
      <x:c r="NRE62" s="291"/>
      <x:c r="NRF62" s="291"/>
      <x:c r="NRG62" s="291"/>
      <x:c r="NRH62" s="291"/>
      <x:c r="NRI62" s="291"/>
      <x:c r="NRJ62" s="291"/>
      <x:c r="NRK62" s="291"/>
      <x:c r="NRL62" s="291"/>
      <x:c r="NRM62" s="291"/>
      <x:c r="NRN62" s="291"/>
      <x:c r="NRO62" s="291"/>
      <x:c r="NRP62" s="291"/>
      <x:c r="NRQ62" s="291"/>
      <x:c r="NRR62" s="291"/>
      <x:c r="NRS62" s="291"/>
      <x:c r="NRT62" s="291"/>
      <x:c r="NRU62" s="291"/>
      <x:c r="NRV62" s="291"/>
      <x:c r="NRW62" s="291"/>
      <x:c r="NRX62" s="291"/>
      <x:c r="NRY62" s="291"/>
      <x:c r="NRZ62" s="291"/>
      <x:c r="NSA62" s="291"/>
      <x:c r="NSB62" s="291"/>
      <x:c r="NSC62" s="291"/>
      <x:c r="NSD62" s="291"/>
      <x:c r="NSE62" s="291"/>
      <x:c r="NSF62" s="291"/>
      <x:c r="NSG62" s="291"/>
      <x:c r="NSH62" s="291"/>
      <x:c r="NSI62" s="291"/>
      <x:c r="NSJ62" s="291"/>
      <x:c r="NSK62" s="291"/>
      <x:c r="NSL62" s="291"/>
      <x:c r="NSM62" s="291"/>
      <x:c r="NSN62" s="291"/>
      <x:c r="NSO62" s="291"/>
      <x:c r="NSP62" s="291"/>
      <x:c r="NSQ62" s="291"/>
      <x:c r="NSR62" s="291"/>
      <x:c r="NSS62" s="291"/>
      <x:c r="NST62" s="291"/>
      <x:c r="NSU62" s="291"/>
      <x:c r="NSV62" s="291"/>
      <x:c r="NSW62" s="291"/>
      <x:c r="NSX62" s="291"/>
      <x:c r="NSY62" s="291"/>
      <x:c r="NSZ62" s="291"/>
      <x:c r="NTA62" s="291"/>
      <x:c r="NTB62" s="291"/>
      <x:c r="NTC62" s="291"/>
      <x:c r="NTD62" s="291"/>
      <x:c r="NTE62" s="291"/>
      <x:c r="NTF62" s="291"/>
      <x:c r="NTG62" s="291"/>
      <x:c r="NTH62" s="291"/>
      <x:c r="NTI62" s="291"/>
      <x:c r="NTJ62" s="291"/>
      <x:c r="NTK62" s="291"/>
      <x:c r="NTL62" s="291"/>
      <x:c r="NTM62" s="291"/>
      <x:c r="NTN62" s="291"/>
      <x:c r="NTO62" s="291"/>
      <x:c r="NTP62" s="291"/>
      <x:c r="NTQ62" s="291"/>
      <x:c r="NTR62" s="291"/>
      <x:c r="NTS62" s="291"/>
      <x:c r="NTT62" s="291"/>
      <x:c r="NTU62" s="291"/>
      <x:c r="NTV62" s="291"/>
      <x:c r="NTW62" s="291"/>
      <x:c r="NTX62" s="291"/>
      <x:c r="NTY62" s="291"/>
      <x:c r="NTZ62" s="291"/>
      <x:c r="NUA62" s="291"/>
      <x:c r="NUB62" s="291"/>
      <x:c r="NUC62" s="291"/>
      <x:c r="NUD62" s="291"/>
      <x:c r="NUE62" s="291"/>
      <x:c r="NUF62" s="291"/>
      <x:c r="NUG62" s="291"/>
      <x:c r="NUH62" s="291"/>
      <x:c r="NUI62" s="291"/>
      <x:c r="NUJ62" s="291"/>
      <x:c r="NUK62" s="291"/>
      <x:c r="NUL62" s="291"/>
      <x:c r="NUM62" s="291"/>
      <x:c r="NUN62" s="291"/>
      <x:c r="NUO62" s="291"/>
      <x:c r="NUP62" s="291"/>
      <x:c r="NUQ62" s="291"/>
      <x:c r="NUR62" s="291"/>
      <x:c r="NUS62" s="291"/>
      <x:c r="NUT62" s="291"/>
      <x:c r="NUU62" s="291"/>
      <x:c r="NUV62" s="291"/>
      <x:c r="NUW62" s="291"/>
      <x:c r="NUX62" s="291"/>
      <x:c r="NUY62" s="291"/>
      <x:c r="NUZ62" s="291"/>
      <x:c r="NVA62" s="291"/>
      <x:c r="NVB62" s="291"/>
      <x:c r="NVC62" s="291"/>
      <x:c r="NVD62" s="291"/>
      <x:c r="NVE62" s="291"/>
      <x:c r="NVF62" s="291"/>
      <x:c r="NVG62" s="291"/>
      <x:c r="NVH62" s="291"/>
      <x:c r="NVI62" s="291"/>
      <x:c r="NVJ62" s="291"/>
      <x:c r="NVK62" s="291"/>
      <x:c r="NVL62" s="291"/>
      <x:c r="NVM62" s="291"/>
      <x:c r="NVN62" s="291"/>
      <x:c r="NVO62" s="291"/>
      <x:c r="NVP62" s="291"/>
      <x:c r="NVQ62" s="291"/>
      <x:c r="NVR62" s="291"/>
      <x:c r="NVS62" s="291"/>
      <x:c r="NVT62" s="291"/>
      <x:c r="NVU62" s="291"/>
      <x:c r="NVV62" s="291"/>
      <x:c r="NVW62" s="291"/>
      <x:c r="NVX62" s="291"/>
      <x:c r="NVY62" s="291"/>
      <x:c r="NVZ62" s="291"/>
      <x:c r="NWA62" s="291"/>
      <x:c r="NWB62" s="291"/>
      <x:c r="NWC62" s="291"/>
      <x:c r="NWD62" s="291"/>
      <x:c r="NWE62" s="291"/>
      <x:c r="NWF62" s="291"/>
      <x:c r="NWG62" s="291"/>
      <x:c r="NWH62" s="291"/>
      <x:c r="NWI62" s="291"/>
      <x:c r="NWJ62" s="291"/>
      <x:c r="NWK62" s="291"/>
      <x:c r="NWL62" s="291"/>
      <x:c r="NWM62" s="291"/>
      <x:c r="NWN62" s="291"/>
      <x:c r="NWO62" s="291"/>
      <x:c r="NWP62" s="291"/>
      <x:c r="NWQ62" s="291"/>
      <x:c r="NWR62" s="291"/>
      <x:c r="NWS62" s="291"/>
      <x:c r="NWT62" s="291"/>
      <x:c r="NWU62" s="291"/>
      <x:c r="NWV62" s="291"/>
      <x:c r="NWW62" s="291"/>
      <x:c r="NWX62" s="291"/>
      <x:c r="NWY62" s="291"/>
      <x:c r="NWZ62" s="291"/>
      <x:c r="NXA62" s="291"/>
      <x:c r="NXB62" s="291"/>
      <x:c r="NXC62" s="291"/>
      <x:c r="NXD62" s="291"/>
      <x:c r="NXE62" s="291"/>
      <x:c r="NXF62" s="291"/>
      <x:c r="NXG62" s="291"/>
      <x:c r="NXH62" s="291"/>
      <x:c r="NXI62" s="291"/>
      <x:c r="NXJ62" s="291"/>
      <x:c r="NXK62" s="291"/>
      <x:c r="NXL62" s="291"/>
      <x:c r="NXM62" s="291"/>
      <x:c r="NXN62" s="291"/>
      <x:c r="NXO62" s="291"/>
      <x:c r="NXP62" s="291"/>
      <x:c r="NXQ62" s="291"/>
      <x:c r="NXR62" s="291"/>
      <x:c r="NXS62" s="291"/>
      <x:c r="NXT62" s="291"/>
      <x:c r="NXU62" s="291"/>
      <x:c r="NXV62" s="291"/>
      <x:c r="NXW62" s="291"/>
      <x:c r="NXX62" s="291"/>
      <x:c r="NXY62" s="291"/>
      <x:c r="NXZ62" s="291"/>
      <x:c r="NYA62" s="291"/>
      <x:c r="NYB62" s="291"/>
      <x:c r="NYC62" s="291"/>
      <x:c r="NYD62" s="291"/>
      <x:c r="NYE62" s="291"/>
      <x:c r="NYF62" s="291"/>
      <x:c r="NYG62" s="291"/>
      <x:c r="NYH62" s="291"/>
      <x:c r="NYI62" s="291"/>
      <x:c r="NYJ62" s="291"/>
      <x:c r="NYK62" s="291"/>
      <x:c r="NYL62" s="291"/>
      <x:c r="NYM62" s="291"/>
      <x:c r="NYN62" s="291"/>
      <x:c r="NYO62" s="291"/>
      <x:c r="NYP62" s="291"/>
      <x:c r="NYQ62" s="291"/>
      <x:c r="NYR62" s="291"/>
      <x:c r="NYS62" s="291"/>
      <x:c r="NYT62" s="291"/>
      <x:c r="NYU62" s="291"/>
      <x:c r="NYV62" s="291"/>
      <x:c r="NYW62" s="291"/>
      <x:c r="NYX62" s="291"/>
      <x:c r="NYY62" s="291"/>
      <x:c r="NYZ62" s="291"/>
      <x:c r="NZA62" s="291"/>
      <x:c r="NZB62" s="291"/>
      <x:c r="NZC62" s="291"/>
      <x:c r="NZD62" s="291"/>
      <x:c r="NZE62" s="291"/>
      <x:c r="NZF62" s="291"/>
      <x:c r="NZG62" s="291"/>
      <x:c r="NZH62" s="291"/>
      <x:c r="NZI62" s="291"/>
      <x:c r="NZJ62" s="291"/>
      <x:c r="NZK62" s="291"/>
      <x:c r="NZL62" s="291"/>
      <x:c r="NZM62" s="291"/>
      <x:c r="NZN62" s="291"/>
      <x:c r="NZO62" s="291"/>
      <x:c r="NZP62" s="291"/>
      <x:c r="NZQ62" s="291"/>
      <x:c r="NZR62" s="291"/>
      <x:c r="NZS62" s="291"/>
      <x:c r="NZT62" s="291"/>
      <x:c r="NZU62" s="291"/>
      <x:c r="NZV62" s="291"/>
      <x:c r="NZW62" s="291"/>
      <x:c r="NZX62" s="291"/>
      <x:c r="NZY62" s="291"/>
      <x:c r="NZZ62" s="291"/>
      <x:c r="OAA62" s="291"/>
      <x:c r="OAB62" s="291"/>
      <x:c r="OAC62" s="291"/>
      <x:c r="OAD62" s="291"/>
      <x:c r="OAE62" s="291"/>
      <x:c r="OAF62" s="291"/>
      <x:c r="OAG62" s="291"/>
      <x:c r="OAH62" s="291"/>
      <x:c r="OAI62" s="291"/>
      <x:c r="OAJ62" s="291"/>
      <x:c r="OAK62" s="291"/>
      <x:c r="OAL62" s="291"/>
      <x:c r="OAM62" s="291"/>
      <x:c r="OAN62" s="291"/>
      <x:c r="OAO62" s="291"/>
      <x:c r="OAP62" s="291"/>
      <x:c r="OAQ62" s="291"/>
      <x:c r="OAR62" s="291"/>
      <x:c r="OAS62" s="291"/>
      <x:c r="OAT62" s="291"/>
      <x:c r="OAU62" s="291"/>
      <x:c r="OAV62" s="291"/>
      <x:c r="OAW62" s="291"/>
      <x:c r="OAX62" s="291"/>
      <x:c r="OAY62" s="291"/>
      <x:c r="OAZ62" s="291"/>
      <x:c r="OBA62" s="291"/>
      <x:c r="OBB62" s="291"/>
      <x:c r="OBC62" s="291"/>
      <x:c r="OBD62" s="291"/>
      <x:c r="OBE62" s="291"/>
      <x:c r="OBF62" s="291"/>
      <x:c r="OBG62" s="291"/>
      <x:c r="OBH62" s="291"/>
      <x:c r="OBI62" s="291"/>
      <x:c r="OBJ62" s="291"/>
      <x:c r="OBK62" s="291"/>
      <x:c r="OBL62" s="291"/>
      <x:c r="OBM62" s="291"/>
      <x:c r="OBN62" s="291"/>
      <x:c r="OBO62" s="291"/>
      <x:c r="OBP62" s="291"/>
      <x:c r="OBQ62" s="291"/>
      <x:c r="OBR62" s="291"/>
      <x:c r="OBS62" s="291"/>
      <x:c r="OBT62" s="291"/>
      <x:c r="OBU62" s="291"/>
      <x:c r="OBV62" s="291"/>
      <x:c r="OBW62" s="291"/>
      <x:c r="OBX62" s="291"/>
      <x:c r="OBY62" s="291"/>
      <x:c r="OBZ62" s="291"/>
      <x:c r="OCA62" s="291"/>
      <x:c r="OCB62" s="291"/>
      <x:c r="OCC62" s="291"/>
      <x:c r="OCD62" s="291"/>
      <x:c r="OCE62" s="291"/>
      <x:c r="OCF62" s="291"/>
      <x:c r="OCG62" s="291"/>
      <x:c r="OCH62" s="291"/>
      <x:c r="OCI62" s="291"/>
      <x:c r="OCJ62" s="291"/>
      <x:c r="OCK62" s="291"/>
      <x:c r="OCL62" s="291"/>
      <x:c r="OCM62" s="291"/>
      <x:c r="OCN62" s="291"/>
      <x:c r="OCO62" s="291"/>
      <x:c r="OCP62" s="291"/>
      <x:c r="OCQ62" s="291"/>
      <x:c r="OCR62" s="291"/>
      <x:c r="OCS62" s="291"/>
      <x:c r="OCT62" s="291"/>
      <x:c r="OCU62" s="291"/>
      <x:c r="OCV62" s="291"/>
      <x:c r="OCW62" s="291"/>
      <x:c r="OCX62" s="291"/>
      <x:c r="OCY62" s="291"/>
      <x:c r="OCZ62" s="291"/>
      <x:c r="ODA62" s="291"/>
      <x:c r="ODB62" s="291"/>
      <x:c r="ODC62" s="291"/>
      <x:c r="ODD62" s="291"/>
      <x:c r="ODE62" s="291"/>
      <x:c r="ODF62" s="291"/>
      <x:c r="ODG62" s="291"/>
      <x:c r="ODH62" s="291"/>
      <x:c r="ODI62" s="291"/>
      <x:c r="ODJ62" s="291"/>
      <x:c r="ODK62" s="291"/>
      <x:c r="ODL62" s="291"/>
      <x:c r="ODM62" s="291"/>
      <x:c r="ODN62" s="291"/>
      <x:c r="ODO62" s="291"/>
      <x:c r="ODP62" s="291"/>
      <x:c r="ODQ62" s="291"/>
      <x:c r="ODR62" s="291"/>
      <x:c r="ODS62" s="291"/>
      <x:c r="ODT62" s="291"/>
      <x:c r="ODU62" s="291"/>
      <x:c r="ODV62" s="291"/>
      <x:c r="ODW62" s="291"/>
      <x:c r="ODX62" s="291"/>
      <x:c r="ODY62" s="291"/>
      <x:c r="ODZ62" s="291"/>
      <x:c r="OEA62" s="291"/>
      <x:c r="OEB62" s="291"/>
      <x:c r="OEC62" s="291"/>
      <x:c r="OED62" s="291"/>
      <x:c r="OEE62" s="291"/>
      <x:c r="OEF62" s="291"/>
      <x:c r="OEG62" s="291"/>
      <x:c r="OEH62" s="291"/>
      <x:c r="OEI62" s="291"/>
      <x:c r="OEJ62" s="291"/>
      <x:c r="OEK62" s="291"/>
      <x:c r="OEL62" s="291"/>
      <x:c r="OEM62" s="291"/>
      <x:c r="OEN62" s="291"/>
      <x:c r="OEO62" s="291"/>
      <x:c r="OEP62" s="291"/>
      <x:c r="OEQ62" s="291"/>
      <x:c r="OER62" s="291"/>
      <x:c r="OES62" s="291"/>
      <x:c r="OET62" s="291"/>
      <x:c r="OEU62" s="291"/>
      <x:c r="OEV62" s="291"/>
      <x:c r="OEW62" s="291"/>
      <x:c r="OEX62" s="291"/>
      <x:c r="OEY62" s="291"/>
      <x:c r="OEZ62" s="291"/>
      <x:c r="OFA62" s="291"/>
      <x:c r="OFB62" s="291"/>
      <x:c r="OFC62" s="291"/>
      <x:c r="OFD62" s="291"/>
      <x:c r="OFE62" s="291"/>
      <x:c r="OFF62" s="291"/>
      <x:c r="OFG62" s="291"/>
      <x:c r="OFH62" s="291"/>
      <x:c r="OFI62" s="291"/>
      <x:c r="OFJ62" s="291"/>
      <x:c r="OFK62" s="291"/>
      <x:c r="OFL62" s="291"/>
      <x:c r="OFM62" s="291"/>
      <x:c r="OFN62" s="291"/>
      <x:c r="OFO62" s="291"/>
      <x:c r="OFP62" s="291"/>
      <x:c r="OFQ62" s="291"/>
      <x:c r="OFR62" s="291"/>
      <x:c r="OFS62" s="291"/>
      <x:c r="OFT62" s="291"/>
      <x:c r="OFU62" s="291"/>
      <x:c r="OFV62" s="291"/>
      <x:c r="OFW62" s="291"/>
      <x:c r="OFX62" s="291"/>
      <x:c r="OFY62" s="291"/>
      <x:c r="OFZ62" s="291"/>
      <x:c r="OGA62" s="291"/>
      <x:c r="OGB62" s="291"/>
      <x:c r="OGC62" s="291"/>
      <x:c r="OGD62" s="291"/>
      <x:c r="OGE62" s="291"/>
      <x:c r="OGF62" s="291"/>
      <x:c r="OGG62" s="291"/>
      <x:c r="OGH62" s="291"/>
      <x:c r="OGI62" s="291"/>
      <x:c r="OGJ62" s="291"/>
      <x:c r="OGK62" s="291"/>
      <x:c r="OGL62" s="291"/>
      <x:c r="OGM62" s="291"/>
      <x:c r="OGN62" s="291"/>
      <x:c r="OGO62" s="291"/>
      <x:c r="OGP62" s="291"/>
      <x:c r="OGQ62" s="291"/>
      <x:c r="OGR62" s="291"/>
      <x:c r="OGS62" s="291"/>
      <x:c r="OGT62" s="291"/>
      <x:c r="OGU62" s="291"/>
      <x:c r="OGV62" s="291"/>
      <x:c r="OGW62" s="291"/>
      <x:c r="OGX62" s="291"/>
      <x:c r="OGY62" s="291"/>
      <x:c r="OGZ62" s="291"/>
      <x:c r="OHA62" s="291"/>
      <x:c r="OHB62" s="291"/>
      <x:c r="OHC62" s="291"/>
      <x:c r="OHD62" s="291"/>
      <x:c r="OHE62" s="291"/>
      <x:c r="OHF62" s="291"/>
      <x:c r="OHG62" s="291"/>
      <x:c r="OHH62" s="291"/>
      <x:c r="OHI62" s="291"/>
      <x:c r="OHJ62" s="291"/>
      <x:c r="OHK62" s="291"/>
      <x:c r="OHL62" s="291"/>
      <x:c r="OHM62" s="291"/>
      <x:c r="OHN62" s="291"/>
      <x:c r="OHO62" s="291"/>
      <x:c r="OHP62" s="291"/>
      <x:c r="OHQ62" s="291"/>
      <x:c r="OHR62" s="291"/>
      <x:c r="OHS62" s="291"/>
      <x:c r="OHT62" s="291"/>
      <x:c r="OHU62" s="291"/>
      <x:c r="OHV62" s="291"/>
      <x:c r="OHW62" s="291"/>
      <x:c r="OHX62" s="291"/>
      <x:c r="OHY62" s="291"/>
      <x:c r="OHZ62" s="291"/>
      <x:c r="OIA62" s="291"/>
      <x:c r="OIB62" s="291"/>
      <x:c r="OIC62" s="291"/>
      <x:c r="OID62" s="291"/>
      <x:c r="OIE62" s="291"/>
      <x:c r="OIF62" s="291"/>
      <x:c r="OIG62" s="291"/>
      <x:c r="OIH62" s="291"/>
      <x:c r="OII62" s="291"/>
      <x:c r="OIJ62" s="291"/>
      <x:c r="OIK62" s="291"/>
      <x:c r="OIL62" s="291"/>
      <x:c r="OIM62" s="291"/>
      <x:c r="OIN62" s="291"/>
      <x:c r="OIO62" s="291"/>
      <x:c r="OIP62" s="291"/>
      <x:c r="OIQ62" s="291"/>
      <x:c r="OIR62" s="291"/>
      <x:c r="OIS62" s="291"/>
      <x:c r="OIT62" s="291"/>
      <x:c r="OIU62" s="291"/>
      <x:c r="OIV62" s="291"/>
      <x:c r="OIW62" s="291"/>
      <x:c r="OIX62" s="291"/>
      <x:c r="OIY62" s="291"/>
      <x:c r="OIZ62" s="291"/>
      <x:c r="OJA62" s="291"/>
      <x:c r="OJB62" s="291"/>
      <x:c r="OJC62" s="291"/>
      <x:c r="OJD62" s="291"/>
      <x:c r="OJE62" s="291"/>
      <x:c r="OJF62" s="291"/>
      <x:c r="OJG62" s="291"/>
      <x:c r="OJH62" s="291"/>
      <x:c r="OJI62" s="291"/>
      <x:c r="OJJ62" s="291"/>
      <x:c r="OJK62" s="291"/>
      <x:c r="OJL62" s="291"/>
      <x:c r="OJM62" s="291"/>
      <x:c r="OJN62" s="291"/>
      <x:c r="OJO62" s="291"/>
      <x:c r="OJP62" s="291"/>
      <x:c r="OJQ62" s="291"/>
      <x:c r="OJR62" s="291"/>
      <x:c r="OJS62" s="291"/>
      <x:c r="OJT62" s="291"/>
      <x:c r="OJU62" s="291"/>
      <x:c r="OJV62" s="291"/>
      <x:c r="OJW62" s="291"/>
      <x:c r="OJX62" s="291"/>
      <x:c r="OJY62" s="291"/>
      <x:c r="OJZ62" s="291"/>
      <x:c r="OKA62" s="291"/>
      <x:c r="OKB62" s="291"/>
      <x:c r="OKC62" s="291"/>
      <x:c r="OKD62" s="291"/>
      <x:c r="OKE62" s="291"/>
      <x:c r="OKF62" s="291"/>
      <x:c r="OKG62" s="291"/>
      <x:c r="OKH62" s="291"/>
      <x:c r="OKI62" s="291"/>
      <x:c r="OKJ62" s="291"/>
      <x:c r="OKK62" s="291"/>
      <x:c r="OKL62" s="291"/>
      <x:c r="OKM62" s="291"/>
      <x:c r="OKN62" s="291"/>
      <x:c r="OKO62" s="291"/>
      <x:c r="OKP62" s="291"/>
      <x:c r="OKQ62" s="291"/>
      <x:c r="OKR62" s="291"/>
      <x:c r="OKS62" s="291"/>
      <x:c r="OKT62" s="291"/>
      <x:c r="OKU62" s="291"/>
      <x:c r="OKV62" s="291"/>
      <x:c r="OKW62" s="291"/>
      <x:c r="OKX62" s="291"/>
      <x:c r="OKY62" s="291"/>
      <x:c r="OKZ62" s="291"/>
      <x:c r="OLA62" s="291"/>
      <x:c r="OLB62" s="291"/>
      <x:c r="OLC62" s="291"/>
      <x:c r="OLD62" s="291"/>
      <x:c r="OLE62" s="291"/>
      <x:c r="OLF62" s="291"/>
      <x:c r="OLG62" s="291"/>
      <x:c r="OLH62" s="291"/>
      <x:c r="OLI62" s="291"/>
      <x:c r="OLJ62" s="291"/>
      <x:c r="OLK62" s="291"/>
      <x:c r="OLL62" s="291"/>
      <x:c r="OLM62" s="291"/>
      <x:c r="OLN62" s="291"/>
      <x:c r="OLO62" s="291"/>
      <x:c r="OLP62" s="291"/>
      <x:c r="OLQ62" s="291"/>
      <x:c r="OLR62" s="291"/>
      <x:c r="OLS62" s="291"/>
      <x:c r="OLT62" s="291"/>
      <x:c r="OLU62" s="291"/>
      <x:c r="OLV62" s="291"/>
      <x:c r="OLW62" s="291"/>
      <x:c r="OLX62" s="291"/>
      <x:c r="OLY62" s="291"/>
      <x:c r="OLZ62" s="291"/>
      <x:c r="OMA62" s="291"/>
      <x:c r="OMB62" s="291"/>
      <x:c r="OMC62" s="291"/>
      <x:c r="OMD62" s="291"/>
      <x:c r="OME62" s="291"/>
      <x:c r="OMF62" s="291"/>
      <x:c r="OMG62" s="291"/>
      <x:c r="OMH62" s="291"/>
      <x:c r="OMI62" s="291"/>
      <x:c r="OMJ62" s="291"/>
      <x:c r="OMK62" s="291"/>
      <x:c r="OML62" s="291"/>
      <x:c r="OMM62" s="291"/>
      <x:c r="OMN62" s="291"/>
      <x:c r="OMO62" s="291"/>
      <x:c r="OMP62" s="291"/>
      <x:c r="OMQ62" s="291"/>
      <x:c r="OMR62" s="291"/>
      <x:c r="OMS62" s="291"/>
      <x:c r="OMT62" s="291"/>
      <x:c r="OMU62" s="291"/>
      <x:c r="OMV62" s="291"/>
      <x:c r="OMW62" s="291"/>
      <x:c r="OMX62" s="291"/>
      <x:c r="OMY62" s="291"/>
      <x:c r="OMZ62" s="291"/>
      <x:c r="ONA62" s="291"/>
      <x:c r="ONB62" s="291"/>
      <x:c r="ONC62" s="291"/>
      <x:c r="OND62" s="291"/>
      <x:c r="ONE62" s="291"/>
      <x:c r="ONF62" s="291"/>
      <x:c r="ONG62" s="291"/>
      <x:c r="ONH62" s="291"/>
      <x:c r="ONI62" s="291"/>
      <x:c r="ONJ62" s="291"/>
      <x:c r="ONK62" s="291"/>
      <x:c r="ONL62" s="291"/>
      <x:c r="ONM62" s="291"/>
      <x:c r="ONN62" s="291"/>
      <x:c r="ONO62" s="291"/>
      <x:c r="ONP62" s="291"/>
      <x:c r="ONQ62" s="291"/>
      <x:c r="ONR62" s="291"/>
      <x:c r="ONS62" s="291"/>
      <x:c r="ONT62" s="291"/>
      <x:c r="ONU62" s="291"/>
      <x:c r="ONV62" s="291"/>
      <x:c r="ONW62" s="291"/>
      <x:c r="ONX62" s="291"/>
      <x:c r="ONY62" s="291"/>
      <x:c r="ONZ62" s="291"/>
      <x:c r="OOA62" s="291"/>
      <x:c r="OOB62" s="291"/>
      <x:c r="OOC62" s="291"/>
      <x:c r="OOD62" s="291"/>
      <x:c r="OOE62" s="291"/>
      <x:c r="OOF62" s="291"/>
      <x:c r="OOG62" s="291"/>
      <x:c r="OOH62" s="291"/>
      <x:c r="OOI62" s="291"/>
      <x:c r="OOJ62" s="291"/>
      <x:c r="OOK62" s="291"/>
      <x:c r="OOL62" s="291"/>
      <x:c r="OOM62" s="291"/>
      <x:c r="OON62" s="291"/>
      <x:c r="OOO62" s="291"/>
      <x:c r="OOP62" s="291"/>
      <x:c r="OOQ62" s="291"/>
      <x:c r="OOR62" s="291"/>
      <x:c r="OOS62" s="291"/>
      <x:c r="OOT62" s="291"/>
      <x:c r="OOU62" s="291"/>
      <x:c r="OOV62" s="291"/>
      <x:c r="OOW62" s="291"/>
      <x:c r="OOX62" s="291"/>
      <x:c r="OOY62" s="291"/>
      <x:c r="OOZ62" s="291"/>
      <x:c r="OPA62" s="291"/>
      <x:c r="OPB62" s="291"/>
      <x:c r="OPC62" s="291"/>
      <x:c r="OPD62" s="291"/>
      <x:c r="OPE62" s="291"/>
      <x:c r="OPF62" s="291"/>
      <x:c r="OPG62" s="291"/>
      <x:c r="OPH62" s="291"/>
      <x:c r="OPI62" s="291"/>
      <x:c r="OPJ62" s="291"/>
      <x:c r="OPK62" s="291"/>
      <x:c r="OPL62" s="291"/>
      <x:c r="OPM62" s="291"/>
      <x:c r="OPN62" s="291"/>
      <x:c r="OPO62" s="291"/>
      <x:c r="OPP62" s="291"/>
      <x:c r="OPQ62" s="291"/>
      <x:c r="OPR62" s="291"/>
      <x:c r="OPS62" s="291"/>
      <x:c r="OPT62" s="291"/>
      <x:c r="OPU62" s="291"/>
      <x:c r="OPV62" s="291"/>
      <x:c r="OPW62" s="291"/>
      <x:c r="OPX62" s="291"/>
      <x:c r="OPY62" s="291"/>
      <x:c r="OPZ62" s="291"/>
      <x:c r="OQA62" s="291"/>
      <x:c r="OQB62" s="291"/>
      <x:c r="OQC62" s="291"/>
      <x:c r="OQD62" s="291"/>
      <x:c r="OQE62" s="291"/>
      <x:c r="OQF62" s="291"/>
      <x:c r="OQG62" s="291"/>
      <x:c r="OQH62" s="291"/>
      <x:c r="OQI62" s="291"/>
      <x:c r="OQJ62" s="291"/>
      <x:c r="OQK62" s="291"/>
      <x:c r="OQL62" s="291"/>
      <x:c r="OQM62" s="291"/>
      <x:c r="OQN62" s="291"/>
      <x:c r="OQO62" s="291"/>
      <x:c r="OQP62" s="291"/>
      <x:c r="OQQ62" s="291"/>
      <x:c r="OQR62" s="291"/>
      <x:c r="OQS62" s="291"/>
      <x:c r="OQT62" s="291"/>
      <x:c r="OQU62" s="291"/>
      <x:c r="OQV62" s="291"/>
      <x:c r="OQW62" s="291"/>
      <x:c r="OQX62" s="291"/>
      <x:c r="OQY62" s="291"/>
      <x:c r="OQZ62" s="291"/>
      <x:c r="ORA62" s="291"/>
      <x:c r="ORB62" s="291"/>
      <x:c r="ORC62" s="291"/>
      <x:c r="ORD62" s="291"/>
      <x:c r="ORE62" s="291"/>
      <x:c r="ORF62" s="291"/>
      <x:c r="ORG62" s="291"/>
      <x:c r="ORH62" s="291"/>
      <x:c r="ORI62" s="291"/>
      <x:c r="ORJ62" s="291"/>
      <x:c r="ORK62" s="291"/>
      <x:c r="ORL62" s="291"/>
      <x:c r="ORM62" s="291"/>
      <x:c r="ORN62" s="291"/>
      <x:c r="ORO62" s="291"/>
      <x:c r="ORP62" s="291"/>
      <x:c r="ORQ62" s="291"/>
      <x:c r="ORR62" s="291"/>
      <x:c r="ORS62" s="291"/>
      <x:c r="ORT62" s="291"/>
      <x:c r="ORU62" s="291"/>
      <x:c r="ORV62" s="291"/>
      <x:c r="ORW62" s="291"/>
      <x:c r="ORX62" s="291"/>
      <x:c r="ORY62" s="291"/>
      <x:c r="ORZ62" s="291"/>
      <x:c r="OSA62" s="291"/>
      <x:c r="OSB62" s="291"/>
      <x:c r="OSC62" s="291"/>
      <x:c r="OSD62" s="291"/>
      <x:c r="OSE62" s="291"/>
      <x:c r="OSF62" s="291"/>
      <x:c r="OSG62" s="291"/>
      <x:c r="OSH62" s="291"/>
      <x:c r="OSI62" s="291"/>
      <x:c r="OSJ62" s="291"/>
      <x:c r="OSK62" s="291"/>
      <x:c r="OSL62" s="291"/>
      <x:c r="OSM62" s="291"/>
      <x:c r="OSN62" s="291"/>
      <x:c r="OSO62" s="291"/>
      <x:c r="OSP62" s="291"/>
      <x:c r="OSQ62" s="291"/>
      <x:c r="OSR62" s="291"/>
      <x:c r="OSS62" s="291"/>
      <x:c r="OST62" s="291"/>
      <x:c r="OSU62" s="291"/>
      <x:c r="OSV62" s="291"/>
      <x:c r="OSW62" s="291"/>
      <x:c r="OSX62" s="291"/>
      <x:c r="OSY62" s="291"/>
      <x:c r="OSZ62" s="291"/>
      <x:c r="OTA62" s="291"/>
      <x:c r="OTB62" s="291"/>
      <x:c r="OTC62" s="291"/>
      <x:c r="OTD62" s="291"/>
      <x:c r="OTE62" s="291"/>
      <x:c r="OTF62" s="291"/>
      <x:c r="OTG62" s="291"/>
      <x:c r="OTH62" s="291"/>
      <x:c r="OTI62" s="291"/>
      <x:c r="OTJ62" s="291"/>
      <x:c r="OTK62" s="291"/>
      <x:c r="OTL62" s="291"/>
      <x:c r="OTM62" s="291"/>
      <x:c r="OTN62" s="291"/>
      <x:c r="OTO62" s="291"/>
      <x:c r="OTP62" s="291"/>
      <x:c r="OTQ62" s="291"/>
      <x:c r="OTR62" s="291"/>
      <x:c r="OTS62" s="291"/>
      <x:c r="OTT62" s="291"/>
      <x:c r="OTU62" s="291"/>
      <x:c r="OTV62" s="291"/>
      <x:c r="OTW62" s="291"/>
      <x:c r="OTX62" s="291"/>
      <x:c r="OTY62" s="291"/>
      <x:c r="OTZ62" s="291"/>
      <x:c r="OUA62" s="291"/>
      <x:c r="OUB62" s="291"/>
      <x:c r="OUC62" s="291"/>
      <x:c r="OUD62" s="291"/>
      <x:c r="OUE62" s="291"/>
      <x:c r="OUF62" s="291"/>
      <x:c r="OUG62" s="291"/>
      <x:c r="OUH62" s="291"/>
      <x:c r="OUI62" s="291"/>
      <x:c r="OUJ62" s="291"/>
      <x:c r="OUK62" s="291"/>
      <x:c r="OUL62" s="291"/>
      <x:c r="OUM62" s="291"/>
      <x:c r="OUN62" s="291"/>
      <x:c r="OUO62" s="291"/>
      <x:c r="OUP62" s="291"/>
      <x:c r="OUQ62" s="291"/>
      <x:c r="OUR62" s="291"/>
      <x:c r="OUS62" s="291"/>
      <x:c r="OUT62" s="291"/>
      <x:c r="OUU62" s="291"/>
      <x:c r="OUV62" s="291"/>
      <x:c r="OUW62" s="291"/>
      <x:c r="OUX62" s="291"/>
      <x:c r="OUY62" s="291"/>
      <x:c r="OUZ62" s="291"/>
      <x:c r="OVA62" s="291"/>
      <x:c r="OVB62" s="291"/>
      <x:c r="OVC62" s="291"/>
      <x:c r="OVD62" s="291"/>
      <x:c r="OVE62" s="291"/>
      <x:c r="OVF62" s="291"/>
      <x:c r="OVG62" s="291"/>
      <x:c r="OVH62" s="291"/>
      <x:c r="OVI62" s="291"/>
      <x:c r="OVJ62" s="291"/>
      <x:c r="OVK62" s="291"/>
      <x:c r="OVL62" s="291"/>
      <x:c r="OVM62" s="291"/>
      <x:c r="OVN62" s="291"/>
      <x:c r="OVO62" s="291"/>
      <x:c r="OVP62" s="291"/>
      <x:c r="OVQ62" s="291"/>
      <x:c r="OVR62" s="291"/>
      <x:c r="OVS62" s="291"/>
      <x:c r="OVT62" s="291"/>
      <x:c r="OVU62" s="291"/>
      <x:c r="OVV62" s="291"/>
      <x:c r="OVW62" s="291"/>
      <x:c r="OVX62" s="291"/>
      <x:c r="OVY62" s="291"/>
      <x:c r="OVZ62" s="291"/>
      <x:c r="OWA62" s="291"/>
      <x:c r="OWB62" s="291"/>
      <x:c r="OWC62" s="291"/>
      <x:c r="OWD62" s="291"/>
      <x:c r="OWE62" s="291"/>
      <x:c r="OWF62" s="291"/>
      <x:c r="OWG62" s="291"/>
      <x:c r="OWH62" s="291"/>
      <x:c r="OWI62" s="291"/>
      <x:c r="OWJ62" s="291"/>
      <x:c r="OWK62" s="291"/>
      <x:c r="OWL62" s="291"/>
      <x:c r="OWM62" s="291"/>
      <x:c r="OWN62" s="291"/>
      <x:c r="OWO62" s="291"/>
      <x:c r="OWP62" s="291"/>
      <x:c r="OWQ62" s="291"/>
      <x:c r="OWR62" s="291"/>
      <x:c r="OWS62" s="291"/>
      <x:c r="OWT62" s="291"/>
      <x:c r="OWU62" s="291"/>
      <x:c r="OWV62" s="291"/>
      <x:c r="OWW62" s="291"/>
      <x:c r="OWX62" s="291"/>
      <x:c r="OWY62" s="291"/>
      <x:c r="OWZ62" s="291"/>
      <x:c r="OXA62" s="291"/>
      <x:c r="OXB62" s="291"/>
      <x:c r="OXC62" s="291"/>
      <x:c r="OXD62" s="291"/>
      <x:c r="OXE62" s="291"/>
      <x:c r="OXF62" s="291"/>
      <x:c r="OXG62" s="291"/>
      <x:c r="OXH62" s="291"/>
      <x:c r="OXI62" s="291"/>
      <x:c r="OXJ62" s="291"/>
      <x:c r="OXK62" s="291"/>
      <x:c r="OXL62" s="291"/>
      <x:c r="OXM62" s="291"/>
      <x:c r="OXN62" s="291"/>
      <x:c r="OXO62" s="291"/>
      <x:c r="OXP62" s="291"/>
      <x:c r="OXQ62" s="291"/>
      <x:c r="OXR62" s="291"/>
      <x:c r="OXS62" s="291"/>
      <x:c r="OXT62" s="291"/>
      <x:c r="OXU62" s="291"/>
      <x:c r="OXV62" s="291"/>
      <x:c r="OXW62" s="291"/>
      <x:c r="OXX62" s="291"/>
      <x:c r="OXY62" s="291"/>
      <x:c r="OXZ62" s="291"/>
      <x:c r="OYA62" s="291"/>
      <x:c r="OYB62" s="291"/>
      <x:c r="OYC62" s="291"/>
      <x:c r="OYD62" s="291"/>
      <x:c r="OYE62" s="291"/>
      <x:c r="OYF62" s="291"/>
      <x:c r="OYG62" s="291"/>
      <x:c r="OYH62" s="291"/>
      <x:c r="OYI62" s="291"/>
      <x:c r="OYJ62" s="291"/>
      <x:c r="OYK62" s="291"/>
      <x:c r="OYL62" s="291"/>
      <x:c r="OYM62" s="291"/>
      <x:c r="OYN62" s="291"/>
      <x:c r="OYO62" s="291"/>
      <x:c r="OYP62" s="291"/>
      <x:c r="OYQ62" s="291"/>
      <x:c r="OYR62" s="291"/>
      <x:c r="OYS62" s="291"/>
      <x:c r="OYT62" s="291"/>
      <x:c r="OYU62" s="291"/>
      <x:c r="OYV62" s="291"/>
      <x:c r="OYW62" s="291"/>
      <x:c r="OYX62" s="291"/>
      <x:c r="OYY62" s="291"/>
      <x:c r="OYZ62" s="291"/>
      <x:c r="OZA62" s="291"/>
      <x:c r="OZB62" s="291"/>
      <x:c r="OZC62" s="291"/>
      <x:c r="OZD62" s="291"/>
      <x:c r="OZE62" s="291"/>
      <x:c r="OZF62" s="291"/>
      <x:c r="OZG62" s="291"/>
      <x:c r="OZH62" s="291"/>
      <x:c r="OZI62" s="291"/>
      <x:c r="OZJ62" s="291"/>
      <x:c r="OZK62" s="291"/>
      <x:c r="OZL62" s="291"/>
      <x:c r="OZM62" s="291"/>
      <x:c r="OZN62" s="291"/>
      <x:c r="OZO62" s="291"/>
      <x:c r="OZP62" s="291"/>
      <x:c r="OZQ62" s="291"/>
      <x:c r="OZR62" s="291"/>
      <x:c r="OZS62" s="291"/>
      <x:c r="OZT62" s="291"/>
      <x:c r="OZU62" s="291"/>
      <x:c r="OZV62" s="291"/>
      <x:c r="OZW62" s="291"/>
      <x:c r="OZX62" s="291"/>
      <x:c r="OZY62" s="291"/>
      <x:c r="OZZ62" s="291"/>
      <x:c r="PAA62" s="291"/>
      <x:c r="PAB62" s="291"/>
      <x:c r="PAC62" s="291"/>
      <x:c r="PAD62" s="291"/>
      <x:c r="PAE62" s="291"/>
      <x:c r="PAF62" s="291"/>
      <x:c r="PAG62" s="291"/>
      <x:c r="PAH62" s="291"/>
      <x:c r="PAI62" s="291"/>
      <x:c r="PAJ62" s="291"/>
      <x:c r="PAK62" s="291"/>
      <x:c r="PAL62" s="291"/>
      <x:c r="PAM62" s="291"/>
      <x:c r="PAN62" s="291"/>
      <x:c r="PAO62" s="291"/>
      <x:c r="PAP62" s="291"/>
      <x:c r="PAQ62" s="291"/>
      <x:c r="PAR62" s="291"/>
      <x:c r="PAS62" s="291"/>
      <x:c r="PAT62" s="291"/>
      <x:c r="PAU62" s="291"/>
      <x:c r="PAV62" s="291"/>
      <x:c r="PAW62" s="291"/>
      <x:c r="PAX62" s="291"/>
      <x:c r="PAY62" s="291"/>
      <x:c r="PAZ62" s="291"/>
      <x:c r="PBA62" s="291"/>
      <x:c r="PBB62" s="291"/>
      <x:c r="PBC62" s="291"/>
      <x:c r="PBD62" s="291"/>
      <x:c r="PBE62" s="291"/>
      <x:c r="PBF62" s="291"/>
      <x:c r="PBG62" s="291"/>
      <x:c r="PBH62" s="291"/>
      <x:c r="PBI62" s="291"/>
      <x:c r="PBJ62" s="291"/>
      <x:c r="PBK62" s="291"/>
      <x:c r="PBL62" s="291"/>
      <x:c r="PBM62" s="291"/>
      <x:c r="PBN62" s="291"/>
      <x:c r="PBO62" s="291"/>
      <x:c r="PBP62" s="291"/>
      <x:c r="PBQ62" s="291"/>
      <x:c r="PBR62" s="291"/>
      <x:c r="PBS62" s="291"/>
      <x:c r="PBT62" s="291"/>
      <x:c r="PBU62" s="291"/>
      <x:c r="PBV62" s="291"/>
      <x:c r="PBW62" s="291"/>
      <x:c r="PBX62" s="291"/>
      <x:c r="PBY62" s="291"/>
      <x:c r="PBZ62" s="291"/>
      <x:c r="PCA62" s="291"/>
      <x:c r="PCB62" s="291"/>
      <x:c r="PCC62" s="291"/>
      <x:c r="PCD62" s="291"/>
      <x:c r="PCE62" s="291"/>
      <x:c r="PCF62" s="291"/>
      <x:c r="PCG62" s="291"/>
      <x:c r="PCH62" s="291"/>
      <x:c r="PCI62" s="291"/>
      <x:c r="PCJ62" s="291"/>
      <x:c r="PCK62" s="291"/>
      <x:c r="PCL62" s="291"/>
      <x:c r="PCM62" s="291"/>
      <x:c r="PCN62" s="291"/>
      <x:c r="PCO62" s="291"/>
      <x:c r="PCP62" s="291"/>
      <x:c r="PCQ62" s="291"/>
      <x:c r="PCR62" s="291"/>
      <x:c r="PCS62" s="291"/>
      <x:c r="PCT62" s="291"/>
      <x:c r="PCU62" s="291"/>
      <x:c r="PCV62" s="291"/>
      <x:c r="PCW62" s="291"/>
      <x:c r="PCX62" s="291"/>
      <x:c r="PCY62" s="291"/>
      <x:c r="PCZ62" s="291"/>
      <x:c r="PDA62" s="291"/>
      <x:c r="PDB62" s="291"/>
      <x:c r="PDC62" s="291"/>
      <x:c r="PDD62" s="291"/>
      <x:c r="PDE62" s="291"/>
      <x:c r="PDF62" s="291"/>
      <x:c r="PDG62" s="291"/>
      <x:c r="PDH62" s="291"/>
      <x:c r="PDI62" s="291"/>
      <x:c r="PDJ62" s="291"/>
      <x:c r="PDK62" s="291"/>
      <x:c r="PDL62" s="291"/>
      <x:c r="PDM62" s="291"/>
      <x:c r="PDN62" s="291"/>
      <x:c r="PDO62" s="291"/>
      <x:c r="PDP62" s="291"/>
      <x:c r="PDQ62" s="291"/>
      <x:c r="PDR62" s="291"/>
      <x:c r="PDS62" s="291"/>
      <x:c r="PDT62" s="291"/>
      <x:c r="PDU62" s="291"/>
      <x:c r="PDV62" s="291"/>
      <x:c r="PDW62" s="291"/>
      <x:c r="PDX62" s="291"/>
      <x:c r="PDY62" s="291"/>
      <x:c r="PDZ62" s="291"/>
      <x:c r="PEA62" s="291"/>
      <x:c r="PEB62" s="291"/>
      <x:c r="PEC62" s="291"/>
      <x:c r="PED62" s="291"/>
      <x:c r="PEE62" s="291"/>
      <x:c r="PEF62" s="291"/>
      <x:c r="PEG62" s="291"/>
      <x:c r="PEH62" s="291"/>
      <x:c r="PEI62" s="291"/>
      <x:c r="PEJ62" s="291"/>
      <x:c r="PEK62" s="291"/>
      <x:c r="PEL62" s="291"/>
      <x:c r="PEM62" s="291"/>
      <x:c r="PEN62" s="291"/>
      <x:c r="PEO62" s="291"/>
      <x:c r="PEP62" s="291"/>
      <x:c r="PEQ62" s="291"/>
      <x:c r="PER62" s="291"/>
      <x:c r="PES62" s="291"/>
      <x:c r="PET62" s="291"/>
      <x:c r="PEU62" s="291"/>
      <x:c r="PEV62" s="291"/>
      <x:c r="PEW62" s="291"/>
      <x:c r="PEX62" s="291"/>
      <x:c r="PEY62" s="291"/>
      <x:c r="PEZ62" s="291"/>
      <x:c r="PFA62" s="291"/>
      <x:c r="PFB62" s="291"/>
      <x:c r="PFC62" s="291"/>
      <x:c r="PFD62" s="291"/>
      <x:c r="PFE62" s="291"/>
      <x:c r="PFF62" s="291"/>
      <x:c r="PFG62" s="291"/>
      <x:c r="PFH62" s="291"/>
      <x:c r="PFI62" s="291"/>
      <x:c r="PFJ62" s="291"/>
      <x:c r="PFK62" s="291"/>
      <x:c r="PFL62" s="291"/>
      <x:c r="PFM62" s="291"/>
      <x:c r="PFN62" s="291"/>
      <x:c r="PFO62" s="291"/>
      <x:c r="PFP62" s="291"/>
      <x:c r="PFQ62" s="291"/>
      <x:c r="PFR62" s="291"/>
      <x:c r="PFS62" s="291"/>
      <x:c r="PFT62" s="291"/>
      <x:c r="PFU62" s="291"/>
      <x:c r="PFV62" s="291"/>
      <x:c r="PFW62" s="291"/>
      <x:c r="PFX62" s="291"/>
      <x:c r="PFY62" s="291"/>
      <x:c r="PFZ62" s="291"/>
      <x:c r="PGA62" s="291"/>
      <x:c r="PGB62" s="291"/>
      <x:c r="PGC62" s="291"/>
      <x:c r="PGD62" s="291"/>
      <x:c r="PGE62" s="291"/>
      <x:c r="PGF62" s="291"/>
      <x:c r="PGG62" s="291"/>
      <x:c r="PGH62" s="291"/>
      <x:c r="PGI62" s="291"/>
      <x:c r="PGJ62" s="291"/>
      <x:c r="PGK62" s="291"/>
      <x:c r="PGL62" s="291"/>
      <x:c r="PGM62" s="291"/>
      <x:c r="PGN62" s="291"/>
      <x:c r="PGO62" s="291"/>
      <x:c r="PGP62" s="291"/>
      <x:c r="PGQ62" s="291"/>
      <x:c r="PGR62" s="291"/>
      <x:c r="PGS62" s="291"/>
      <x:c r="PGT62" s="291"/>
      <x:c r="PGU62" s="291"/>
      <x:c r="PGV62" s="291"/>
      <x:c r="PGW62" s="291"/>
      <x:c r="PGX62" s="291"/>
      <x:c r="PGY62" s="291"/>
      <x:c r="PGZ62" s="291"/>
      <x:c r="PHA62" s="291"/>
      <x:c r="PHB62" s="291"/>
      <x:c r="PHC62" s="291"/>
      <x:c r="PHD62" s="291"/>
      <x:c r="PHE62" s="291"/>
      <x:c r="PHF62" s="291"/>
      <x:c r="PHG62" s="291"/>
      <x:c r="PHH62" s="291"/>
      <x:c r="PHI62" s="291"/>
      <x:c r="PHJ62" s="291"/>
      <x:c r="PHK62" s="291"/>
      <x:c r="PHL62" s="291"/>
      <x:c r="PHM62" s="291"/>
      <x:c r="PHN62" s="291"/>
      <x:c r="PHO62" s="291"/>
      <x:c r="PHP62" s="291"/>
      <x:c r="PHQ62" s="291"/>
      <x:c r="PHR62" s="291"/>
      <x:c r="PHS62" s="291"/>
      <x:c r="PHT62" s="291"/>
      <x:c r="PHU62" s="291"/>
      <x:c r="PHV62" s="291"/>
      <x:c r="PHW62" s="291"/>
      <x:c r="PHX62" s="291"/>
      <x:c r="PHY62" s="291"/>
      <x:c r="PHZ62" s="291"/>
      <x:c r="PIA62" s="291"/>
      <x:c r="PIB62" s="291"/>
      <x:c r="PIC62" s="291"/>
      <x:c r="PID62" s="291"/>
      <x:c r="PIE62" s="291"/>
      <x:c r="PIF62" s="291"/>
      <x:c r="PIG62" s="291"/>
      <x:c r="PIH62" s="291"/>
      <x:c r="PII62" s="291"/>
      <x:c r="PIJ62" s="291"/>
      <x:c r="PIK62" s="291"/>
      <x:c r="PIL62" s="291"/>
      <x:c r="PIM62" s="291"/>
      <x:c r="PIN62" s="291"/>
      <x:c r="PIO62" s="291"/>
      <x:c r="PIP62" s="291"/>
      <x:c r="PIQ62" s="291"/>
      <x:c r="PIR62" s="291"/>
      <x:c r="PIS62" s="291"/>
      <x:c r="PIT62" s="291"/>
      <x:c r="PIU62" s="291"/>
      <x:c r="PIV62" s="291"/>
      <x:c r="PIW62" s="291"/>
      <x:c r="PIX62" s="291"/>
      <x:c r="PIY62" s="291"/>
      <x:c r="PIZ62" s="291"/>
      <x:c r="PJA62" s="291"/>
      <x:c r="PJB62" s="291"/>
      <x:c r="PJC62" s="291"/>
      <x:c r="PJD62" s="291"/>
      <x:c r="PJE62" s="291"/>
      <x:c r="PJF62" s="291"/>
      <x:c r="PJG62" s="291"/>
      <x:c r="PJH62" s="291"/>
      <x:c r="PJI62" s="291"/>
      <x:c r="PJJ62" s="291"/>
      <x:c r="PJK62" s="291"/>
      <x:c r="PJL62" s="291"/>
      <x:c r="PJM62" s="291"/>
      <x:c r="PJN62" s="291"/>
      <x:c r="PJO62" s="291"/>
      <x:c r="PJP62" s="291"/>
      <x:c r="PJQ62" s="291"/>
      <x:c r="PJR62" s="291"/>
      <x:c r="PJS62" s="291"/>
      <x:c r="PJT62" s="291"/>
      <x:c r="PJU62" s="291"/>
      <x:c r="PJV62" s="291"/>
      <x:c r="PJW62" s="291"/>
      <x:c r="PJX62" s="291"/>
      <x:c r="PJY62" s="291"/>
      <x:c r="PJZ62" s="291"/>
      <x:c r="PKA62" s="291"/>
      <x:c r="PKB62" s="291"/>
      <x:c r="PKC62" s="291"/>
      <x:c r="PKD62" s="291"/>
      <x:c r="PKE62" s="291"/>
      <x:c r="PKF62" s="291"/>
      <x:c r="PKG62" s="291"/>
      <x:c r="PKH62" s="291"/>
      <x:c r="PKI62" s="291"/>
      <x:c r="PKJ62" s="291"/>
      <x:c r="PKK62" s="291"/>
      <x:c r="PKL62" s="291"/>
      <x:c r="PKM62" s="291"/>
      <x:c r="PKN62" s="291"/>
      <x:c r="PKO62" s="291"/>
      <x:c r="PKP62" s="291"/>
      <x:c r="PKQ62" s="291"/>
      <x:c r="PKR62" s="291"/>
      <x:c r="PKS62" s="291"/>
      <x:c r="PKT62" s="291"/>
      <x:c r="PKU62" s="291"/>
      <x:c r="PKV62" s="291"/>
      <x:c r="PKW62" s="291"/>
      <x:c r="PKX62" s="291"/>
      <x:c r="PKY62" s="291"/>
      <x:c r="PKZ62" s="291"/>
      <x:c r="PLA62" s="291"/>
      <x:c r="PLB62" s="291"/>
      <x:c r="PLC62" s="291"/>
      <x:c r="PLD62" s="291"/>
      <x:c r="PLE62" s="291"/>
      <x:c r="PLF62" s="291"/>
      <x:c r="PLG62" s="291"/>
      <x:c r="PLH62" s="291"/>
      <x:c r="PLI62" s="291"/>
      <x:c r="PLJ62" s="291"/>
      <x:c r="PLK62" s="291"/>
      <x:c r="PLL62" s="291"/>
      <x:c r="PLM62" s="291"/>
      <x:c r="PLN62" s="291"/>
      <x:c r="PLO62" s="291"/>
      <x:c r="PLP62" s="291"/>
      <x:c r="PLQ62" s="291"/>
      <x:c r="PLR62" s="291"/>
      <x:c r="PLS62" s="291"/>
      <x:c r="PLT62" s="291"/>
      <x:c r="PLU62" s="291"/>
      <x:c r="PLV62" s="291"/>
      <x:c r="PLW62" s="291"/>
      <x:c r="PLX62" s="291"/>
      <x:c r="PLY62" s="291"/>
      <x:c r="PLZ62" s="291"/>
      <x:c r="PMA62" s="291"/>
      <x:c r="PMB62" s="291"/>
      <x:c r="PMC62" s="291"/>
      <x:c r="PMD62" s="291"/>
      <x:c r="PME62" s="291"/>
      <x:c r="PMF62" s="291"/>
      <x:c r="PMG62" s="291"/>
      <x:c r="PMH62" s="291"/>
      <x:c r="PMI62" s="291"/>
      <x:c r="PMJ62" s="291"/>
      <x:c r="PMK62" s="291"/>
      <x:c r="PML62" s="291"/>
      <x:c r="PMM62" s="291"/>
      <x:c r="PMN62" s="291"/>
      <x:c r="PMO62" s="291"/>
      <x:c r="PMP62" s="291"/>
      <x:c r="PMQ62" s="291"/>
      <x:c r="PMR62" s="291"/>
      <x:c r="PMS62" s="291"/>
      <x:c r="PMT62" s="291"/>
      <x:c r="PMU62" s="291"/>
      <x:c r="PMV62" s="291"/>
      <x:c r="PMW62" s="291"/>
      <x:c r="PMX62" s="291"/>
      <x:c r="PMY62" s="291"/>
      <x:c r="PMZ62" s="291"/>
      <x:c r="PNA62" s="291"/>
      <x:c r="PNB62" s="291"/>
      <x:c r="PNC62" s="291"/>
      <x:c r="PND62" s="291"/>
      <x:c r="PNE62" s="291"/>
      <x:c r="PNF62" s="291"/>
      <x:c r="PNG62" s="291"/>
      <x:c r="PNH62" s="291"/>
      <x:c r="PNI62" s="291"/>
      <x:c r="PNJ62" s="291"/>
      <x:c r="PNK62" s="291"/>
      <x:c r="PNL62" s="291"/>
      <x:c r="PNM62" s="291"/>
      <x:c r="PNN62" s="291"/>
      <x:c r="PNO62" s="291"/>
      <x:c r="PNP62" s="291"/>
      <x:c r="PNQ62" s="291"/>
      <x:c r="PNR62" s="291"/>
      <x:c r="PNS62" s="291"/>
      <x:c r="PNT62" s="291"/>
      <x:c r="PNU62" s="291"/>
      <x:c r="PNV62" s="291"/>
      <x:c r="PNW62" s="291"/>
      <x:c r="PNX62" s="291"/>
      <x:c r="PNY62" s="291"/>
      <x:c r="PNZ62" s="291"/>
      <x:c r="POA62" s="291"/>
      <x:c r="POB62" s="291"/>
      <x:c r="POC62" s="291"/>
      <x:c r="POD62" s="291"/>
      <x:c r="POE62" s="291"/>
      <x:c r="POF62" s="291"/>
      <x:c r="POG62" s="291"/>
      <x:c r="POH62" s="291"/>
      <x:c r="POI62" s="291"/>
      <x:c r="POJ62" s="291"/>
      <x:c r="POK62" s="291"/>
      <x:c r="POL62" s="291"/>
      <x:c r="POM62" s="291"/>
      <x:c r="PON62" s="291"/>
      <x:c r="POO62" s="291"/>
      <x:c r="POP62" s="291"/>
      <x:c r="POQ62" s="291"/>
      <x:c r="POR62" s="291"/>
      <x:c r="POS62" s="291"/>
      <x:c r="POT62" s="291"/>
      <x:c r="POU62" s="291"/>
      <x:c r="POV62" s="291"/>
      <x:c r="POW62" s="291"/>
      <x:c r="POX62" s="291"/>
      <x:c r="POY62" s="291"/>
      <x:c r="POZ62" s="291"/>
      <x:c r="PPA62" s="291"/>
      <x:c r="PPB62" s="291"/>
      <x:c r="PPC62" s="291"/>
      <x:c r="PPD62" s="291"/>
      <x:c r="PPE62" s="291"/>
      <x:c r="PPF62" s="291"/>
      <x:c r="PPG62" s="291"/>
      <x:c r="PPH62" s="291"/>
      <x:c r="PPI62" s="291"/>
      <x:c r="PPJ62" s="291"/>
      <x:c r="PPK62" s="291"/>
      <x:c r="PPL62" s="291"/>
      <x:c r="PPM62" s="291"/>
      <x:c r="PPN62" s="291"/>
      <x:c r="PPO62" s="291"/>
      <x:c r="PPP62" s="291"/>
      <x:c r="PPQ62" s="291"/>
      <x:c r="PPR62" s="291"/>
      <x:c r="PPS62" s="291"/>
      <x:c r="PPT62" s="291"/>
      <x:c r="PPU62" s="291"/>
      <x:c r="PPV62" s="291"/>
      <x:c r="PPW62" s="291"/>
      <x:c r="PPX62" s="291"/>
      <x:c r="PPY62" s="291"/>
      <x:c r="PPZ62" s="291"/>
      <x:c r="PQA62" s="291"/>
      <x:c r="PQB62" s="291"/>
      <x:c r="PQC62" s="291"/>
      <x:c r="PQD62" s="291"/>
      <x:c r="PQE62" s="291"/>
      <x:c r="PQF62" s="291"/>
      <x:c r="PQG62" s="291"/>
      <x:c r="PQH62" s="291"/>
      <x:c r="PQI62" s="291"/>
      <x:c r="PQJ62" s="291"/>
      <x:c r="PQK62" s="291"/>
      <x:c r="PQL62" s="291"/>
      <x:c r="PQM62" s="291"/>
      <x:c r="PQN62" s="291"/>
      <x:c r="PQO62" s="291"/>
      <x:c r="PQP62" s="291"/>
      <x:c r="PQQ62" s="291"/>
      <x:c r="PQR62" s="291"/>
      <x:c r="PQS62" s="291"/>
      <x:c r="PQT62" s="291"/>
      <x:c r="PQU62" s="291"/>
      <x:c r="PQV62" s="291"/>
      <x:c r="PQW62" s="291"/>
      <x:c r="PQX62" s="291"/>
      <x:c r="PQY62" s="291"/>
      <x:c r="PQZ62" s="291"/>
      <x:c r="PRA62" s="291"/>
      <x:c r="PRB62" s="291"/>
      <x:c r="PRC62" s="291"/>
      <x:c r="PRD62" s="291"/>
      <x:c r="PRE62" s="291"/>
      <x:c r="PRF62" s="291"/>
      <x:c r="PRG62" s="291"/>
      <x:c r="PRH62" s="291"/>
      <x:c r="PRI62" s="291"/>
      <x:c r="PRJ62" s="291"/>
      <x:c r="PRK62" s="291"/>
      <x:c r="PRL62" s="291"/>
      <x:c r="PRM62" s="291"/>
      <x:c r="PRN62" s="291"/>
      <x:c r="PRO62" s="291"/>
      <x:c r="PRP62" s="291"/>
      <x:c r="PRQ62" s="291"/>
      <x:c r="PRR62" s="291"/>
      <x:c r="PRS62" s="291"/>
      <x:c r="PRT62" s="291"/>
      <x:c r="PRU62" s="291"/>
      <x:c r="PRV62" s="291"/>
      <x:c r="PRW62" s="291"/>
      <x:c r="PRX62" s="291"/>
      <x:c r="PRY62" s="291"/>
      <x:c r="PRZ62" s="291"/>
      <x:c r="PSA62" s="291"/>
      <x:c r="PSB62" s="291"/>
      <x:c r="PSC62" s="291"/>
      <x:c r="PSD62" s="291"/>
      <x:c r="PSE62" s="291"/>
      <x:c r="PSF62" s="291"/>
      <x:c r="PSG62" s="291"/>
      <x:c r="PSH62" s="291"/>
      <x:c r="PSI62" s="291"/>
      <x:c r="PSJ62" s="291"/>
      <x:c r="PSK62" s="291"/>
      <x:c r="PSL62" s="291"/>
      <x:c r="PSM62" s="291"/>
      <x:c r="PSN62" s="291"/>
      <x:c r="PSO62" s="291"/>
      <x:c r="PSP62" s="291"/>
      <x:c r="PSQ62" s="291"/>
      <x:c r="PSR62" s="291"/>
      <x:c r="PSS62" s="291"/>
      <x:c r="PST62" s="291"/>
      <x:c r="PSU62" s="291"/>
      <x:c r="PSV62" s="291"/>
      <x:c r="PSW62" s="291"/>
      <x:c r="PSX62" s="291"/>
      <x:c r="PSY62" s="291"/>
      <x:c r="PSZ62" s="291"/>
      <x:c r="PTA62" s="291"/>
      <x:c r="PTB62" s="291"/>
      <x:c r="PTC62" s="291"/>
      <x:c r="PTD62" s="291"/>
      <x:c r="PTE62" s="291"/>
      <x:c r="PTF62" s="291"/>
      <x:c r="PTG62" s="291"/>
      <x:c r="PTH62" s="291"/>
      <x:c r="PTI62" s="291"/>
      <x:c r="PTJ62" s="291"/>
      <x:c r="PTK62" s="291"/>
      <x:c r="PTL62" s="291"/>
      <x:c r="PTM62" s="291"/>
      <x:c r="PTN62" s="291"/>
      <x:c r="PTO62" s="291"/>
      <x:c r="PTP62" s="291"/>
      <x:c r="PTQ62" s="291"/>
      <x:c r="PTR62" s="291"/>
      <x:c r="PTS62" s="291"/>
      <x:c r="PTT62" s="291"/>
      <x:c r="PTU62" s="291"/>
      <x:c r="PTV62" s="291"/>
      <x:c r="PTW62" s="291"/>
      <x:c r="PTX62" s="291"/>
      <x:c r="PTY62" s="291"/>
      <x:c r="PTZ62" s="291"/>
      <x:c r="PUA62" s="291"/>
      <x:c r="PUB62" s="291"/>
      <x:c r="PUC62" s="291"/>
      <x:c r="PUD62" s="291"/>
      <x:c r="PUE62" s="291"/>
      <x:c r="PUF62" s="291"/>
      <x:c r="PUG62" s="291"/>
      <x:c r="PUH62" s="291"/>
      <x:c r="PUI62" s="291"/>
      <x:c r="PUJ62" s="291"/>
      <x:c r="PUK62" s="291"/>
      <x:c r="PUL62" s="291"/>
      <x:c r="PUM62" s="291"/>
      <x:c r="PUN62" s="291"/>
      <x:c r="PUO62" s="291"/>
      <x:c r="PUP62" s="291"/>
      <x:c r="PUQ62" s="291"/>
      <x:c r="PUR62" s="291"/>
      <x:c r="PUS62" s="291"/>
      <x:c r="PUT62" s="291"/>
      <x:c r="PUU62" s="291"/>
      <x:c r="PUV62" s="291"/>
      <x:c r="PUW62" s="291"/>
      <x:c r="PUX62" s="291"/>
      <x:c r="PUY62" s="291"/>
      <x:c r="PUZ62" s="291"/>
      <x:c r="PVA62" s="291"/>
      <x:c r="PVB62" s="291"/>
      <x:c r="PVC62" s="291"/>
      <x:c r="PVD62" s="291"/>
      <x:c r="PVE62" s="291"/>
      <x:c r="PVF62" s="291"/>
      <x:c r="PVG62" s="291"/>
      <x:c r="PVH62" s="291"/>
      <x:c r="PVI62" s="291"/>
      <x:c r="PVJ62" s="291"/>
      <x:c r="PVK62" s="291"/>
      <x:c r="PVL62" s="291"/>
      <x:c r="PVM62" s="291"/>
      <x:c r="PVN62" s="291"/>
      <x:c r="PVO62" s="291"/>
      <x:c r="PVP62" s="291"/>
      <x:c r="PVQ62" s="291"/>
      <x:c r="PVR62" s="291"/>
      <x:c r="PVS62" s="291"/>
      <x:c r="PVT62" s="291"/>
      <x:c r="PVU62" s="291"/>
      <x:c r="PVV62" s="291"/>
      <x:c r="PVW62" s="291"/>
      <x:c r="PVX62" s="291"/>
      <x:c r="PVY62" s="291"/>
      <x:c r="PVZ62" s="291"/>
      <x:c r="PWA62" s="291"/>
      <x:c r="PWB62" s="291"/>
      <x:c r="PWC62" s="291"/>
      <x:c r="PWD62" s="291"/>
      <x:c r="PWE62" s="291"/>
      <x:c r="PWF62" s="291"/>
      <x:c r="PWG62" s="291"/>
      <x:c r="PWH62" s="291"/>
      <x:c r="PWI62" s="291"/>
      <x:c r="PWJ62" s="291"/>
      <x:c r="PWK62" s="291"/>
      <x:c r="PWL62" s="291"/>
      <x:c r="PWM62" s="291"/>
      <x:c r="PWN62" s="291"/>
      <x:c r="PWO62" s="291"/>
      <x:c r="PWP62" s="291"/>
      <x:c r="PWQ62" s="291"/>
      <x:c r="PWR62" s="291"/>
      <x:c r="PWS62" s="291"/>
      <x:c r="PWT62" s="291"/>
      <x:c r="PWU62" s="291"/>
      <x:c r="PWV62" s="291"/>
      <x:c r="PWW62" s="291"/>
      <x:c r="PWX62" s="291"/>
      <x:c r="PWY62" s="291"/>
      <x:c r="PWZ62" s="291"/>
      <x:c r="PXA62" s="291"/>
      <x:c r="PXB62" s="291"/>
      <x:c r="PXC62" s="291"/>
      <x:c r="PXD62" s="291"/>
      <x:c r="PXE62" s="291"/>
      <x:c r="PXF62" s="291"/>
      <x:c r="PXG62" s="291"/>
      <x:c r="PXH62" s="291"/>
      <x:c r="PXI62" s="291"/>
      <x:c r="PXJ62" s="291"/>
      <x:c r="PXK62" s="291"/>
      <x:c r="PXL62" s="291"/>
      <x:c r="PXM62" s="291"/>
      <x:c r="PXN62" s="291"/>
      <x:c r="PXO62" s="291"/>
      <x:c r="PXP62" s="291"/>
      <x:c r="PXQ62" s="291"/>
      <x:c r="PXR62" s="291"/>
      <x:c r="PXS62" s="291"/>
      <x:c r="PXT62" s="291"/>
      <x:c r="PXU62" s="291"/>
      <x:c r="PXV62" s="291"/>
      <x:c r="PXW62" s="291"/>
      <x:c r="PXX62" s="291"/>
      <x:c r="PXY62" s="291"/>
      <x:c r="PXZ62" s="291"/>
      <x:c r="PYA62" s="291"/>
      <x:c r="PYB62" s="291"/>
      <x:c r="PYC62" s="291"/>
      <x:c r="PYD62" s="291"/>
      <x:c r="PYE62" s="291"/>
      <x:c r="PYF62" s="291"/>
      <x:c r="PYG62" s="291"/>
      <x:c r="PYH62" s="291"/>
      <x:c r="PYI62" s="291"/>
      <x:c r="PYJ62" s="291"/>
      <x:c r="PYK62" s="291"/>
      <x:c r="PYL62" s="291"/>
      <x:c r="PYM62" s="291"/>
      <x:c r="PYN62" s="291"/>
      <x:c r="PYO62" s="291"/>
      <x:c r="PYP62" s="291"/>
      <x:c r="PYQ62" s="291"/>
      <x:c r="PYR62" s="291"/>
      <x:c r="PYS62" s="291"/>
      <x:c r="PYT62" s="291"/>
      <x:c r="PYU62" s="291"/>
      <x:c r="PYV62" s="291"/>
      <x:c r="PYW62" s="291"/>
      <x:c r="PYX62" s="291"/>
      <x:c r="PYY62" s="291"/>
      <x:c r="PYZ62" s="291"/>
      <x:c r="PZA62" s="291"/>
      <x:c r="PZB62" s="291"/>
      <x:c r="PZC62" s="291"/>
      <x:c r="PZD62" s="291"/>
      <x:c r="PZE62" s="291"/>
      <x:c r="PZF62" s="291"/>
      <x:c r="PZG62" s="291"/>
      <x:c r="PZH62" s="291"/>
      <x:c r="PZI62" s="291"/>
      <x:c r="PZJ62" s="291"/>
      <x:c r="PZK62" s="291"/>
      <x:c r="PZL62" s="291"/>
      <x:c r="PZM62" s="291"/>
      <x:c r="PZN62" s="291"/>
      <x:c r="PZO62" s="291"/>
      <x:c r="PZP62" s="291"/>
      <x:c r="PZQ62" s="291"/>
      <x:c r="PZR62" s="291"/>
      <x:c r="PZS62" s="291"/>
      <x:c r="PZT62" s="291"/>
      <x:c r="PZU62" s="291"/>
      <x:c r="PZV62" s="291"/>
      <x:c r="PZW62" s="291"/>
      <x:c r="PZX62" s="291"/>
      <x:c r="PZY62" s="291"/>
      <x:c r="PZZ62" s="291"/>
      <x:c r="QAA62" s="291"/>
      <x:c r="QAB62" s="291"/>
      <x:c r="QAC62" s="291"/>
      <x:c r="QAD62" s="291"/>
      <x:c r="QAE62" s="291"/>
      <x:c r="QAF62" s="291"/>
      <x:c r="QAG62" s="291"/>
      <x:c r="QAH62" s="291"/>
      <x:c r="QAI62" s="291"/>
      <x:c r="QAJ62" s="291"/>
      <x:c r="QAK62" s="291"/>
      <x:c r="QAL62" s="291"/>
      <x:c r="QAM62" s="291"/>
      <x:c r="QAN62" s="291"/>
      <x:c r="QAO62" s="291"/>
      <x:c r="QAP62" s="291"/>
      <x:c r="QAQ62" s="291"/>
      <x:c r="QAR62" s="291"/>
      <x:c r="QAS62" s="291"/>
      <x:c r="QAT62" s="291"/>
      <x:c r="QAU62" s="291"/>
      <x:c r="QAV62" s="291"/>
      <x:c r="QAW62" s="291"/>
      <x:c r="QAX62" s="291"/>
      <x:c r="QAY62" s="291"/>
      <x:c r="QAZ62" s="291"/>
      <x:c r="QBA62" s="291"/>
      <x:c r="QBB62" s="291"/>
      <x:c r="QBC62" s="291"/>
      <x:c r="QBD62" s="291"/>
      <x:c r="QBE62" s="291"/>
      <x:c r="QBF62" s="291"/>
      <x:c r="QBG62" s="291"/>
      <x:c r="QBH62" s="291"/>
      <x:c r="QBI62" s="291"/>
      <x:c r="QBJ62" s="291"/>
      <x:c r="QBK62" s="291"/>
      <x:c r="QBL62" s="291"/>
      <x:c r="QBM62" s="291"/>
      <x:c r="QBN62" s="291"/>
      <x:c r="QBO62" s="291"/>
      <x:c r="QBP62" s="291"/>
      <x:c r="QBQ62" s="291"/>
      <x:c r="QBR62" s="291"/>
      <x:c r="QBS62" s="291"/>
      <x:c r="QBT62" s="291"/>
      <x:c r="QBU62" s="291"/>
      <x:c r="QBV62" s="291"/>
      <x:c r="QBW62" s="291"/>
      <x:c r="QBX62" s="291"/>
      <x:c r="QBY62" s="291"/>
      <x:c r="QBZ62" s="291"/>
      <x:c r="QCA62" s="291"/>
      <x:c r="QCB62" s="291"/>
      <x:c r="QCC62" s="291"/>
      <x:c r="QCD62" s="291"/>
      <x:c r="QCE62" s="291"/>
      <x:c r="QCF62" s="291"/>
      <x:c r="QCG62" s="291"/>
      <x:c r="QCH62" s="291"/>
      <x:c r="QCI62" s="291"/>
      <x:c r="QCJ62" s="291"/>
      <x:c r="QCK62" s="291"/>
      <x:c r="QCL62" s="291"/>
      <x:c r="QCM62" s="291"/>
      <x:c r="QCN62" s="291"/>
      <x:c r="QCO62" s="291"/>
      <x:c r="QCP62" s="291"/>
      <x:c r="QCQ62" s="291"/>
      <x:c r="QCR62" s="291"/>
      <x:c r="QCS62" s="291"/>
      <x:c r="QCT62" s="291"/>
      <x:c r="QCU62" s="291"/>
      <x:c r="QCV62" s="291"/>
      <x:c r="QCW62" s="291"/>
      <x:c r="QCX62" s="291"/>
      <x:c r="QCY62" s="291"/>
      <x:c r="QCZ62" s="291"/>
      <x:c r="QDA62" s="291"/>
      <x:c r="QDB62" s="291"/>
      <x:c r="QDC62" s="291"/>
      <x:c r="QDD62" s="291"/>
      <x:c r="QDE62" s="291"/>
      <x:c r="QDF62" s="291"/>
      <x:c r="QDG62" s="291"/>
      <x:c r="QDH62" s="291"/>
      <x:c r="QDI62" s="291"/>
      <x:c r="QDJ62" s="291"/>
      <x:c r="QDK62" s="291"/>
      <x:c r="QDL62" s="291"/>
      <x:c r="QDM62" s="291"/>
      <x:c r="QDN62" s="291"/>
      <x:c r="QDO62" s="291"/>
      <x:c r="QDP62" s="291"/>
      <x:c r="QDQ62" s="291"/>
      <x:c r="QDR62" s="291"/>
      <x:c r="QDS62" s="291"/>
      <x:c r="QDT62" s="291"/>
      <x:c r="QDU62" s="291"/>
      <x:c r="QDV62" s="291"/>
      <x:c r="QDW62" s="291"/>
      <x:c r="QDX62" s="291"/>
      <x:c r="QDY62" s="291"/>
      <x:c r="QDZ62" s="291"/>
      <x:c r="QEA62" s="291"/>
      <x:c r="QEB62" s="291"/>
      <x:c r="QEC62" s="291"/>
      <x:c r="QED62" s="291"/>
      <x:c r="QEE62" s="291"/>
      <x:c r="QEF62" s="291"/>
      <x:c r="QEG62" s="291"/>
      <x:c r="QEH62" s="291"/>
      <x:c r="QEI62" s="291"/>
      <x:c r="QEJ62" s="291"/>
      <x:c r="QEK62" s="291"/>
      <x:c r="QEL62" s="291"/>
      <x:c r="QEM62" s="291"/>
      <x:c r="QEN62" s="291"/>
      <x:c r="QEO62" s="291"/>
      <x:c r="QEP62" s="291"/>
      <x:c r="QEQ62" s="291"/>
      <x:c r="QER62" s="291"/>
      <x:c r="QES62" s="291"/>
      <x:c r="QET62" s="291"/>
      <x:c r="QEU62" s="291"/>
      <x:c r="QEV62" s="291"/>
      <x:c r="QEW62" s="291"/>
      <x:c r="QEX62" s="291"/>
      <x:c r="QEY62" s="291"/>
      <x:c r="QEZ62" s="291"/>
      <x:c r="QFA62" s="291"/>
      <x:c r="QFB62" s="291"/>
      <x:c r="QFC62" s="291"/>
      <x:c r="QFD62" s="291"/>
      <x:c r="QFE62" s="291"/>
      <x:c r="QFF62" s="291"/>
      <x:c r="QFG62" s="291"/>
      <x:c r="QFH62" s="291"/>
      <x:c r="QFI62" s="291"/>
      <x:c r="QFJ62" s="291"/>
      <x:c r="QFK62" s="291"/>
      <x:c r="QFL62" s="291"/>
      <x:c r="QFM62" s="291"/>
      <x:c r="QFN62" s="291"/>
      <x:c r="QFO62" s="291"/>
      <x:c r="QFP62" s="291"/>
      <x:c r="QFQ62" s="291"/>
      <x:c r="QFR62" s="291"/>
      <x:c r="QFS62" s="291"/>
      <x:c r="QFT62" s="291"/>
      <x:c r="QFU62" s="291"/>
      <x:c r="QFV62" s="291"/>
      <x:c r="QFW62" s="291"/>
      <x:c r="QFX62" s="291"/>
      <x:c r="QFY62" s="291"/>
      <x:c r="QFZ62" s="291"/>
      <x:c r="QGA62" s="291"/>
      <x:c r="QGB62" s="291"/>
      <x:c r="QGC62" s="291"/>
      <x:c r="QGD62" s="291"/>
      <x:c r="QGE62" s="291"/>
      <x:c r="QGF62" s="291"/>
      <x:c r="QGG62" s="291"/>
      <x:c r="QGH62" s="291"/>
      <x:c r="QGI62" s="291"/>
      <x:c r="QGJ62" s="291"/>
      <x:c r="QGK62" s="291"/>
      <x:c r="QGL62" s="291"/>
      <x:c r="QGM62" s="291"/>
      <x:c r="QGN62" s="291"/>
      <x:c r="QGO62" s="291"/>
      <x:c r="QGP62" s="291"/>
      <x:c r="QGQ62" s="291"/>
      <x:c r="QGR62" s="291"/>
      <x:c r="QGS62" s="291"/>
      <x:c r="QGT62" s="291"/>
      <x:c r="QGU62" s="291"/>
      <x:c r="QGV62" s="291"/>
      <x:c r="QGW62" s="291"/>
      <x:c r="QGX62" s="291"/>
      <x:c r="QGY62" s="291"/>
      <x:c r="QGZ62" s="291"/>
      <x:c r="QHA62" s="291"/>
      <x:c r="QHB62" s="291"/>
      <x:c r="QHC62" s="291"/>
      <x:c r="QHD62" s="291"/>
      <x:c r="QHE62" s="291"/>
      <x:c r="QHF62" s="291"/>
      <x:c r="QHG62" s="291"/>
      <x:c r="QHH62" s="291"/>
      <x:c r="QHI62" s="291"/>
      <x:c r="QHJ62" s="291"/>
      <x:c r="QHK62" s="291"/>
      <x:c r="QHL62" s="291"/>
      <x:c r="QHM62" s="291"/>
      <x:c r="QHN62" s="291"/>
      <x:c r="QHO62" s="291"/>
      <x:c r="QHP62" s="291"/>
      <x:c r="QHQ62" s="291"/>
      <x:c r="QHR62" s="291"/>
      <x:c r="QHS62" s="291"/>
      <x:c r="QHT62" s="291"/>
      <x:c r="QHU62" s="291"/>
      <x:c r="QHV62" s="291"/>
      <x:c r="QHW62" s="291"/>
      <x:c r="QHX62" s="291"/>
      <x:c r="QHY62" s="291"/>
      <x:c r="QHZ62" s="291"/>
      <x:c r="QIA62" s="291"/>
      <x:c r="QIB62" s="291"/>
      <x:c r="QIC62" s="291"/>
      <x:c r="QID62" s="291"/>
      <x:c r="QIE62" s="291"/>
      <x:c r="QIF62" s="291"/>
      <x:c r="QIG62" s="291"/>
      <x:c r="QIH62" s="291"/>
      <x:c r="QII62" s="291"/>
      <x:c r="QIJ62" s="291"/>
      <x:c r="QIK62" s="291"/>
      <x:c r="QIL62" s="291"/>
      <x:c r="QIM62" s="291"/>
      <x:c r="QIN62" s="291"/>
      <x:c r="QIO62" s="291"/>
      <x:c r="QIP62" s="291"/>
      <x:c r="QIQ62" s="291"/>
      <x:c r="QIR62" s="291"/>
      <x:c r="QIS62" s="291"/>
      <x:c r="QIT62" s="291"/>
      <x:c r="QIU62" s="291"/>
      <x:c r="QIV62" s="291"/>
      <x:c r="QIW62" s="291"/>
      <x:c r="QIX62" s="291"/>
      <x:c r="QIY62" s="291"/>
      <x:c r="QIZ62" s="291"/>
      <x:c r="QJA62" s="291"/>
      <x:c r="QJB62" s="291"/>
      <x:c r="QJC62" s="291"/>
      <x:c r="QJD62" s="291"/>
      <x:c r="QJE62" s="291"/>
      <x:c r="QJF62" s="291"/>
      <x:c r="QJG62" s="291"/>
      <x:c r="QJH62" s="291"/>
      <x:c r="QJI62" s="291"/>
      <x:c r="QJJ62" s="291"/>
      <x:c r="QJK62" s="291"/>
      <x:c r="QJL62" s="291"/>
      <x:c r="QJM62" s="291"/>
      <x:c r="QJN62" s="291"/>
      <x:c r="QJO62" s="291"/>
      <x:c r="QJP62" s="291"/>
      <x:c r="QJQ62" s="291"/>
      <x:c r="QJR62" s="291"/>
      <x:c r="QJS62" s="291"/>
      <x:c r="QJT62" s="291"/>
      <x:c r="QJU62" s="291"/>
      <x:c r="QJV62" s="291"/>
      <x:c r="QJW62" s="291"/>
      <x:c r="QJX62" s="291"/>
      <x:c r="QJY62" s="291"/>
      <x:c r="QJZ62" s="291"/>
      <x:c r="QKA62" s="291"/>
      <x:c r="QKB62" s="291"/>
      <x:c r="QKC62" s="291"/>
      <x:c r="QKD62" s="291"/>
      <x:c r="QKE62" s="291"/>
      <x:c r="QKF62" s="291"/>
      <x:c r="QKG62" s="291"/>
      <x:c r="QKH62" s="291"/>
      <x:c r="QKI62" s="291"/>
      <x:c r="QKJ62" s="291"/>
      <x:c r="QKK62" s="291"/>
      <x:c r="QKL62" s="291"/>
      <x:c r="QKM62" s="291"/>
      <x:c r="QKN62" s="291"/>
      <x:c r="QKO62" s="291"/>
      <x:c r="QKP62" s="291"/>
      <x:c r="QKQ62" s="291"/>
      <x:c r="QKR62" s="291"/>
      <x:c r="QKS62" s="291"/>
      <x:c r="QKT62" s="291"/>
      <x:c r="QKU62" s="291"/>
      <x:c r="QKV62" s="291"/>
      <x:c r="QKW62" s="291"/>
      <x:c r="QKX62" s="291"/>
      <x:c r="QKY62" s="291"/>
      <x:c r="QKZ62" s="291"/>
      <x:c r="QLA62" s="291"/>
      <x:c r="QLB62" s="291"/>
      <x:c r="QLC62" s="291"/>
      <x:c r="QLD62" s="291"/>
      <x:c r="QLE62" s="291"/>
      <x:c r="QLF62" s="291"/>
      <x:c r="QLG62" s="291"/>
      <x:c r="QLH62" s="291"/>
      <x:c r="QLI62" s="291"/>
      <x:c r="QLJ62" s="291"/>
      <x:c r="QLK62" s="291"/>
      <x:c r="QLL62" s="291"/>
      <x:c r="QLM62" s="291"/>
      <x:c r="QLN62" s="291"/>
      <x:c r="QLO62" s="291"/>
      <x:c r="QLP62" s="291"/>
      <x:c r="QLQ62" s="291"/>
      <x:c r="QLR62" s="291"/>
      <x:c r="QLS62" s="291"/>
      <x:c r="QLT62" s="291"/>
      <x:c r="QLU62" s="291"/>
      <x:c r="QLV62" s="291"/>
      <x:c r="QLW62" s="291"/>
      <x:c r="QLX62" s="291"/>
      <x:c r="QLY62" s="291"/>
      <x:c r="QLZ62" s="291"/>
      <x:c r="QMA62" s="291"/>
      <x:c r="QMB62" s="291"/>
      <x:c r="QMC62" s="291"/>
      <x:c r="QMD62" s="291"/>
      <x:c r="QME62" s="291"/>
      <x:c r="QMF62" s="291"/>
      <x:c r="QMG62" s="291"/>
      <x:c r="QMH62" s="291"/>
      <x:c r="QMI62" s="291"/>
      <x:c r="QMJ62" s="291"/>
      <x:c r="QMK62" s="291"/>
      <x:c r="QML62" s="291"/>
      <x:c r="QMM62" s="291"/>
      <x:c r="QMN62" s="291"/>
      <x:c r="QMO62" s="291"/>
      <x:c r="QMP62" s="291"/>
      <x:c r="QMQ62" s="291"/>
      <x:c r="QMR62" s="291"/>
      <x:c r="QMS62" s="291"/>
      <x:c r="QMT62" s="291"/>
      <x:c r="QMU62" s="291"/>
      <x:c r="QMV62" s="291"/>
      <x:c r="QMW62" s="291"/>
      <x:c r="QMX62" s="291"/>
      <x:c r="QMY62" s="291"/>
      <x:c r="QMZ62" s="291"/>
      <x:c r="QNA62" s="291"/>
      <x:c r="QNB62" s="291"/>
      <x:c r="QNC62" s="291"/>
      <x:c r="QND62" s="291"/>
      <x:c r="QNE62" s="291"/>
      <x:c r="QNF62" s="291"/>
      <x:c r="QNG62" s="291"/>
      <x:c r="QNH62" s="291"/>
      <x:c r="QNI62" s="291"/>
      <x:c r="QNJ62" s="291"/>
      <x:c r="QNK62" s="291"/>
      <x:c r="QNL62" s="291"/>
      <x:c r="QNM62" s="291"/>
      <x:c r="QNN62" s="291"/>
      <x:c r="QNO62" s="291"/>
      <x:c r="QNP62" s="291"/>
      <x:c r="QNQ62" s="291"/>
      <x:c r="QNR62" s="291"/>
      <x:c r="QNS62" s="291"/>
      <x:c r="QNT62" s="291"/>
      <x:c r="QNU62" s="291"/>
      <x:c r="QNV62" s="291"/>
      <x:c r="QNW62" s="291"/>
      <x:c r="QNX62" s="291"/>
      <x:c r="QNY62" s="291"/>
      <x:c r="QNZ62" s="291"/>
      <x:c r="QOA62" s="291"/>
      <x:c r="QOB62" s="291"/>
      <x:c r="QOC62" s="291"/>
      <x:c r="QOD62" s="291"/>
      <x:c r="QOE62" s="291"/>
      <x:c r="QOF62" s="291"/>
      <x:c r="QOG62" s="291"/>
      <x:c r="QOH62" s="291"/>
      <x:c r="QOI62" s="291"/>
      <x:c r="QOJ62" s="291"/>
      <x:c r="QOK62" s="291"/>
      <x:c r="QOL62" s="291"/>
      <x:c r="QOM62" s="291"/>
      <x:c r="QON62" s="291"/>
      <x:c r="QOO62" s="291"/>
      <x:c r="QOP62" s="291"/>
      <x:c r="QOQ62" s="291"/>
      <x:c r="QOR62" s="291"/>
      <x:c r="QOS62" s="291"/>
      <x:c r="QOT62" s="291"/>
      <x:c r="QOU62" s="291"/>
      <x:c r="QOV62" s="291"/>
      <x:c r="QOW62" s="291"/>
      <x:c r="QOX62" s="291"/>
      <x:c r="QOY62" s="291"/>
      <x:c r="QOZ62" s="291"/>
      <x:c r="QPA62" s="291"/>
      <x:c r="QPB62" s="291"/>
      <x:c r="QPC62" s="291"/>
      <x:c r="QPD62" s="291"/>
      <x:c r="QPE62" s="291"/>
      <x:c r="QPF62" s="291"/>
      <x:c r="QPG62" s="291"/>
      <x:c r="QPH62" s="291"/>
      <x:c r="QPI62" s="291"/>
      <x:c r="QPJ62" s="291"/>
      <x:c r="QPK62" s="291"/>
      <x:c r="QPL62" s="291"/>
      <x:c r="QPM62" s="291"/>
      <x:c r="QPN62" s="291"/>
      <x:c r="QPO62" s="291"/>
      <x:c r="QPP62" s="291"/>
      <x:c r="QPQ62" s="291"/>
      <x:c r="QPR62" s="291"/>
      <x:c r="QPS62" s="291"/>
      <x:c r="QPT62" s="291"/>
      <x:c r="QPU62" s="291"/>
      <x:c r="QPV62" s="291"/>
      <x:c r="QPW62" s="291"/>
      <x:c r="QPX62" s="291"/>
      <x:c r="QPY62" s="291"/>
      <x:c r="QPZ62" s="291"/>
      <x:c r="QQA62" s="291"/>
      <x:c r="QQB62" s="291"/>
      <x:c r="QQC62" s="291"/>
      <x:c r="QQD62" s="291"/>
      <x:c r="QQE62" s="291"/>
      <x:c r="QQF62" s="291"/>
      <x:c r="QQG62" s="291"/>
      <x:c r="QQH62" s="291"/>
      <x:c r="QQI62" s="291"/>
      <x:c r="QQJ62" s="291"/>
      <x:c r="QQK62" s="291"/>
      <x:c r="QQL62" s="291"/>
      <x:c r="QQM62" s="291"/>
      <x:c r="QQN62" s="291"/>
      <x:c r="QQO62" s="291"/>
      <x:c r="QQP62" s="291"/>
      <x:c r="QQQ62" s="291"/>
      <x:c r="QQR62" s="291"/>
      <x:c r="QQS62" s="291"/>
      <x:c r="QQT62" s="291"/>
      <x:c r="QQU62" s="291"/>
      <x:c r="QQV62" s="291"/>
      <x:c r="QQW62" s="291"/>
      <x:c r="QQX62" s="291"/>
      <x:c r="QQY62" s="291"/>
      <x:c r="QQZ62" s="291"/>
      <x:c r="QRA62" s="291"/>
      <x:c r="QRB62" s="291"/>
      <x:c r="QRC62" s="291"/>
      <x:c r="QRD62" s="291"/>
      <x:c r="QRE62" s="291"/>
      <x:c r="QRF62" s="291"/>
      <x:c r="QRG62" s="291"/>
      <x:c r="QRH62" s="291"/>
      <x:c r="QRI62" s="291"/>
      <x:c r="QRJ62" s="291"/>
      <x:c r="QRK62" s="291"/>
      <x:c r="QRL62" s="291"/>
      <x:c r="QRM62" s="291"/>
      <x:c r="QRN62" s="291"/>
      <x:c r="QRO62" s="291"/>
      <x:c r="QRP62" s="291"/>
      <x:c r="QRQ62" s="291"/>
      <x:c r="QRR62" s="291"/>
      <x:c r="QRS62" s="291"/>
      <x:c r="QRT62" s="291"/>
      <x:c r="QRU62" s="291"/>
      <x:c r="QRV62" s="291"/>
      <x:c r="QRW62" s="291"/>
      <x:c r="QRX62" s="291"/>
      <x:c r="QRY62" s="291"/>
      <x:c r="QRZ62" s="291"/>
      <x:c r="QSA62" s="291"/>
      <x:c r="QSB62" s="291"/>
      <x:c r="QSC62" s="291"/>
      <x:c r="QSD62" s="291"/>
      <x:c r="QSE62" s="291"/>
      <x:c r="QSF62" s="291"/>
      <x:c r="QSG62" s="291"/>
      <x:c r="QSH62" s="291"/>
      <x:c r="QSI62" s="291"/>
      <x:c r="QSJ62" s="291"/>
      <x:c r="QSK62" s="291"/>
      <x:c r="QSL62" s="291"/>
      <x:c r="QSM62" s="291"/>
      <x:c r="QSN62" s="291"/>
      <x:c r="QSO62" s="291"/>
      <x:c r="QSP62" s="291"/>
      <x:c r="QSQ62" s="291"/>
      <x:c r="QSR62" s="291"/>
      <x:c r="QSS62" s="291"/>
      <x:c r="QST62" s="291"/>
      <x:c r="QSU62" s="291"/>
      <x:c r="QSV62" s="291"/>
      <x:c r="QSW62" s="291"/>
      <x:c r="QSX62" s="291"/>
      <x:c r="QSY62" s="291"/>
      <x:c r="QSZ62" s="291"/>
      <x:c r="QTA62" s="291"/>
      <x:c r="QTB62" s="291"/>
      <x:c r="QTC62" s="291"/>
      <x:c r="QTD62" s="291"/>
      <x:c r="QTE62" s="291"/>
      <x:c r="QTF62" s="291"/>
      <x:c r="QTG62" s="291"/>
      <x:c r="QTH62" s="291"/>
      <x:c r="QTI62" s="291"/>
      <x:c r="QTJ62" s="291"/>
      <x:c r="QTK62" s="291"/>
      <x:c r="QTL62" s="291"/>
      <x:c r="QTM62" s="291"/>
      <x:c r="QTN62" s="291"/>
      <x:c r="QTO62" s="291"/>
      <x:c r="QTP62" s="291"/>
      <x:c r="QTQ62" s="291"/>
      <x:c r="QTR62" s="291"/>
      <x:c r="QTS62" s="291"/>
      <x:c r="QTT62" s="291"/>
      <x:c r="QTU62" s="291"/>
      <x:c r="QTV62" s="291"/>
      <x:c r="QTW62" s="291"/>
      <x:c r="QTX62" s="291"/>
      <x:c r="QTY62" s="291"/>
      <x:c r="QTZ62" s="291"/>
      <x:c r="QUA62" s="291"/>
      <x:c r="QUB62" s="291"/>
      <x:c r="QUC62" s="291"/>
      <x:c r="QUD62" s="291"/>
      <x:c r="QUE62" s="291"/>
      <x:c r="QUF62" s="291"/>
      <x:c r="QUG62" s="291"/>
      <x:c r="QUH62" s="291"/>
      <x:c r="QUI62" s="291"/>
      <x:c r="QUJ62" s="291"/>
      <x:c r="QUK62" s="291"/>
      <x:c r="QUL62" s="291"/>
      <x:c r="QUM62" s="291"/>
      <x:c r="QUN62" s="291"/>
      <x:c r="QUO62" s="291"/>
      <x:c r="QUP62" s="291"/>
      <x:c r="QUQ62" s="291"/>
      <x:c r="QUR62" s="291"/>
      <x:c r="QUS62" s="291"/>
      <x:c r="QUT62" s="291"/>
      <x:c r="QUU62" s="291"/>
      <x:c r="QUV62" s="291"/>
      <x:c r="QUW62" s="291"/>
      <x:c r="QUX62" s="291"/>
      <x:c r="QUY62" s="291"/>
      <x:c r="QUZ62" s="291"/>
      <x:c r="QVA62" s="291"/>
      <x:c r="QVB62" s="291"/>
      <x:c r="QVC62" s="291"/>
      <x:c r="QVD62" s="291"/>
      <x:c r="QVE62" s="291"/>
      <x:c r="QVF62" s="291"/>
      <x:c r="QVG62" s="291"/>
      <x:c r="QVH62" s="291"/>
      <x:c r="QVI62" s="291"/>
      <x:c r="QVJ62" s="291"/>
      <x:c r="QVK62" s="291"/>
      <x:c r="QVL62" s="291"/>
      <x:c r="QVM62" s="291"/>
      <x:c r="QVN62" s="291"/>
      <x:c r="QVO62" s="291"/>
      <x:c r="QVP62" s="291"/>
      <x:c r="QVQ62" s="291"/>
      <x:c r="QVR62" s="291"/>
      <x:c r="QVS62" s="291"/>
      <x:c r="QVT62" s="291"/>
      <x:c r="QVU62" s="291"/>
      <x:c r="QVV62" s="291"/>
      <x:c r="QVW62" s="291"/>
      <x:c r="QVX62" s="291"/>
      <x:c r="QVY62" s="291"/>
      <x:c r="QVZ62" s="291"/>
      <x:c r="QWA62" s="291"/>
      <x:c r="QWB62" s="291"/>
      <x:c r="QWC62" s="291"/>
      <x:c r="QWD62" s="291"/>
      <x:c r="QWE62" s="291"/>
      <x:c r="QWF62" s="291"/>
      <x:c r="QWG62" s="291"/>
      <x:c r="QWH62" s="291"/>
      <x:c r="QWI62" s="291"/>
      <x:c r="QWJ62" s="291"/>
      <x:c r="QWK62" s="291"/>
      <x:c r="QWL62" s="291"/>
      <x:c r="QWM62" s="291"/>
      <x:c r="QWN62" s="291"/>
      <x:c r="QWO62" s="291"/>
      <x:c r="QWP62" s="291"/>
      <x:c r="QWQ62" s="291"/>
      <x:c r="QWR62" s="291"/>
      <x:c r="QWS62" s="291"/>
      <x:c r="QWT62" s="291"/>
      <x:c r="QWU62" s="291"/>
      <x:c r="QWV62" s="291"/>
      <x:c r="QWW62" s="291"/>
      <x:c r="QWX62" s="291"/>
      <x:c r="QWY62" s="291"/>
      <x:c r="QWZ62" s="291"/>
      <x:c r="QXA62" s="291"/>
      <x:c r="QXB62" s="291"/>
      <x:c r="QXC62" s="291"/>
      <x:c r="QXD62" s="291"/>
      <x:c r="QXE62" s="291"/>
      <x:c r="QXF62" s="291"/>
      <x:c r="QXG62" s="291"/>
      <x:c r="QXH62" s="291"/>
      <x:c r="QXI62" s="291"/>
      <x:c r="QXJ62" s="291"/>
      <x:c r="QXK62" s="291"/>
      <x:c r="QXL62" s="291"/>
      <x:c r="QXM62" s="291"/>
      <x:c r="QXN62" s="291"/>
      <x:c r="QXO62" s="291"/>
      <x:c r="QXP62" s="291"/>
      <x:c r="QXQ62" s="291"/>
      <x:c r="QXR62" s="291"/>
      <x:c r="QXS62" s="291"/>
      <x:c r="QXT62" s="291"/>
      <x:c r="QXU62" s="291"/>
      <x:c r="QXV62" s="291"/>
      <x:c r="QXW62" s="291"/>
      <x:c r="QXX62" s="291"/>
      <x:c r="QXY62" s="291"/>
      <x:c r="QXZ62" s="291"/>
      <x:c r="QYA62" s="291"/>
      <x:c r="QYB62" s="291"/>
      <x:c r="QYC62" s="291"/>
      <x:c r="QYD62" s="291"/>
      <x:c r="QYE62" s="291"/>
      <x:c r="QYF62" s="291"/>
      <x:c r="QYG62" s="291"/>
      <x:c r="QYH62" s="291"/>
      <x:c r="QYI62" s="291"/>
      <x:c r="QYJ62" s="291"/>
      <x:c r="QYK62" s="291"/>
      <x:c r="QYL62" s="291"/>
      <x:c r="QYM62" s="291"/>
      <x:c r="QYN62" s="291"/>
      <x:c r="QYO62" s="291"/>
      <x:c r="QYP62" s="291"/>
      <x:c r="QYQ62" s="291"/>
      <x:c r="QYR62" s="291"/>
      <x:c r="QYS62" s="291"/>
      <x:c r="QYT62" s="291"/>
      <x:c r="QYU62" s="291"/>
      <x:c r="QYV62" s="291"/>
      <x:c r="QYW62" s="291"/>
      <x:c r="QYX62" s="291"/>
      <x:c r="QYY62" s="291"/>
      <x:c r="QYZ62" s="291"/>
      <x:c r="QZA62" s="291"/>
      <x:c r="QZB62" s="291"/>
      <x:c r="QZC62" s="291"/>
      <x:c r="QZD62" s="291"/>
      <x:c r="QZE62" s="291"/>
      <x:c r="QZF62" s="291"/>
      <x:c r="QZG62" s="291"/>
      <x:c r="QZH62" s="291"/>
      <x:c r="QZI62" s="291"/>
      <x:c r="QZJ62" s="291"/>
      <x:c r="QZK62" s="291"/>
      <x:c r="QZL62" s="291"/>
      <x:c r="QZM62" s="291"/>
      <x:c r="QZN62" s="291"/>
      <x:c r="QZO62" s="291"/>
      <x:c r="QZP62" s="291"/>
      <x:c r="QZQ62" s="291"/>
      <x:c r="QZR62" s="291"/>
      <x:c r="QZS62" s="291"/>
      <x:c r="QZT62" s="291"/>
      <x:c r="QZU62" s="291"/>
      <x:c r="QZV62" s="291"/>
      <x:c r="QZW62" s="291"/>
      <x:c r="QZX62" s="291"/>
      <x:c r="QZY62" s="291"/>
      <x:c r="QZZ62" s="291"/>
      <x:c r="RAA62" s="291"/>
      <x:c r="RAB62" s="291"/>
      <x:c r="RAC62" s="291"/>
      <x:c r="RAD62" s="291"/>
      <x:c r="RAE62" s="291"/>
      <x:c r="RAF62" s="291"/>
      <x:c r="RAG62" s="291"/>
      <x:c r="RAH62" s="291"/>
      <x:c r="RAI62" s="291"/>
      <x:c r="RAJ62" s="291"/>
      <x:c r="RAK62" s="291"/>
      <x:c r="RAL62" s="291"/>
      <x:c r="RAM62" s="291"/>
      <x:c r="RAN62" s="291"/>
      <x:c r="RAO62" s="291"/>
      <x:c r="RAP62" s="291"/>
      <x:c r="RAQ62" s="291"/>
      <x:c r="RAR62" s="291"/>
      <x:c r="RAS62" s="291"/>
      <x:c r="RAT62" s="291"/>
      <x:c r="RAU62" s="291"/>
      <x:c r="RAV62" s="291"/>
      <x:c r="RAW62" s="291"/>
      <x:c r="RAX62" s="291"/>
      <x:c r="RAY62" s="291"/>
      <x:c r="RAZ62" s="291"/>
      <x:c r="RBA62" s="291"/>
      <x:c r="RBB62" s="291"/>
      <x:c r="RBC62" s="291"/>
      <x:c r="RBD62" s="291"/>
      <x:c r="RBE62" s="291"/>
      <x:c r="RBF62" s="291"/>
      <x:c r="RBG62" s="291"/>
      <x:c r="RBH62" s="291"/>
      <x:c r="RBI62" s="291"/>
      <x:c r="RBJ62" s="291"/>
      <x:c r="RBK62" s="291"/>
      <x:c r="RBL62" s="291"/>
      <x:c r="RBM62" s="291"/>
      <x:c r="RBN62" s="291"/>
      <x:c r="RBO62" s="291"/>
      <x:c r="RBP62" s="291"/>
      <x:c r="RBQ62" s="291"/>
      <x:c r="RBR62" s="291"/>
      <x:c r="RBS62" s="291"/>
      <x:c r="RBT62" s="291"/>
      <x:c r="RBU62" s="291"/>
      <x:c r="RBV62" s="291"/>
      <x:c r="RBW62" s="291"/>
      <x:c r="RBX62" s="291"/>
      <x:c r="RBY62" s="291"/>
      <x:c r="RBZ62" s="291"/>
      <x:c r="RCA62" s="291"/>
      <x:c r="RCB62" s="291"/>
      <x:c r="RCC62" s="291"/>
      <x:c r="RCD62" s="291"/>
      <x:c r="RCE62" s="291"/>
      <x:c r="RCF62" s="291"/>
      <x:c r="RCG62" s="291"/>
      <x:c r="RCH62" s="291"/>
      <x:c r="RCI62" s="291"/>
      <x:c r="RCJ62" s="291"/>
      <x:c r="RCK62" s="291"/>
      <x:c r="RCL62" s="291"/>
      <x:c r="RCM62" s="291"/>
      <x:c r="RCN62" s="291"/>
      <x:c r="RCO62" s="291"/>
      <x:c r="RCP62" s="291"/>
      <x:c r="RCQ62" s="291"/>
      <x:c r="RCR62" s="291"/>
      <x:c r="RCS62" s="291"/>
      <x:c r="RCT62" s="291"/>
      <x:c r="RCU62" s="291"/>
      <x:c r="RCV62" s="291"/>
      <x:c r="RCW62" s="291"/>
      <x:c r="RCX62" s="291"/>
      <x:c r="RCY62" s="291"/>
      <x:c r="RCZ62" s="291"/>
      <x:c r="RDA62" s="291"/>
      <x:c r="RDB62" s="291"/>
      <x:c r="RDC62" s="291"/>
      <x:c r="RDD62" s="291"/>
      <x:c r="RDE62" s="291"/>
      <x:c r="RDF62" s="291"/>
      <x:c r="RDG62" s="291"/>
      <x:c r="RDH62" s="291"/>
      <x:c r="RDI62" s="291"/>
      <x:c r="RDJ62" s="291"/>
      <x:c r="RDK62" s="291"/>
      <x:c r="RDL62" s="291"/>
      <x:c r="RDM62" s="291"/>
      <x:c r="RDN62" s="291"/>
      <x:c r="RDO62" s="291"/>
      <x:c r="RDP62" s="291"/>
      <x:c r="RDQ62" s="291"/>
      <x:c r="RDR62" s="291"/>
      <x:c r="RDS62" s="291"/>
      <x:c r="RDT62" s="291"/>
      <x:c r="RDU62" s="291"/>
      <x:c r="RDV62" s="291"/>
      <x:c r="RDW62" s="291"/>
      <x:c r="RDX62" s="291"/>
      <x:c r="RDY62" s="291"/>
      <x:c r="RDZ62" s="291"/>
      <x:c r="REA62" s="291"/>
      <x:c r="REB62" s="291"/>
      <x:c r="REC62" s="291"/>
      <x:c r="RED62" s="291"/>
      <x:c r="REE62" s="291"/>
      <x:c r="REF62" s="291"/>
      <x:c r="REG62" s="291"/>
      <x:c r="REH62" s="291"/>
      <x:c r="REI62" s="291"/>
      <x:c r="REJ62" s="291"/>
      <x:c r="REK62" s="291"/>
      <x:c r="REL62" s="291"/>
      <x:c r="REM62" s="291"/>
      <x:c r="REN62" s="291"/>
      <x:c r="REO62" s="291"/>
      <x:c r="REP62" s="291"/>
      <x:c r="REQ62" s="291"/>
      <x:c r="RER62" s="291"/>
      <x:c r="RES62" s="291"/>
      <x:c r="RET62" s="291"/>
      <x:c r="REU62" s="291"/>
      <x:c r="REV62" s="291"/>
      <x:c r="REW62" s="291"/>
      <x:c r="REX62" s="291"/>
      <x:c r="REY62" s="291"/>
      <x:c r="REZ62" s="291"/>
      <x:c r="RFA62" s="291"/>
      <x:c r="RFB62" s="291"/>
      <x:c r="RFC62" s="291"/>
      <x:c r="RFD62" s="291"/>
      <x:c r="RFE62" s="291"/>
      <x:c r="RFF62" s="291"/>
      <x:c r="RFG62" s="291"/>
      <x:c r="RFH62" s="291"/>
      <x:c r="RFI62" s="291"/>
      <x:c r="RFJ62" s="291"/>
      <x:c r="RFK62" s="291"/>
      <x:c r="RFL62" s="291"/>
      <x:c r="RFM62" s="291"/>
      <x:c r="RFN62" s="291"/>
      <x:c r="RFO62" s="291"/>
      <x:c r="RFP62" s="291"/>
      <x:c r="RFQ62" s="291"/>
      <x:c r="RFR62" s="291"/>
      <x:c r="RFS62" s="291"/>
      <x:c r="RFT62" s="291"/>
      <x:c r="RFU62" s="291"/>
      <x:c r="RFV62" s="291"/>
      <x:c r="RFW62" s="291"/>
      <x:c r="RFX62" s="291"/>
      <x:c r="RFY62" s="291"/>
      <x:c r="RFZ62" s="291"/>
      <x:c r="RGA62" s="291"/>
      <x:c r="RGB62" s="291"/>
      <x:c r="RGC62" s="291"/>
      <x:c r="RGD62" s="291"/>
      <x:c r="RGE62" s="291"/>
      <x:c r="RGF62" s="291"/>
      <x:c r="RGG62" s="291"/>
      <x:c r="RGH62" s="291"/>
      <x:c r="RGI62" s="291"/>
      <x:c r="RGJ62" s="291"/>
      <x:c r="RGK62" s="291"/>
      <x:c r="RGL62" s="291"/>
      <x:c r="RGM62" s="291"/>
      <x:c r="RGN62" s="291"/>
      <x:c r="RGO62" s="291"/>
      <x:c r="RGP62" s="291"/>
      <x:c r="RGQ62" s="291"/>
      <x:c r="RGR62" s="291"/>
      <x:c r="RGS62" s="291"/>
      <x:c r="RGT62" s="291"/>
      <x:c r="RGU62" s="291"/>
      <x:c r="RGV62" s="291"/>
      <x:c r="RGW62" s="291"/>
      <x:c r="RGX62" s="291"/>
      <x:c r="RGY62" s="291"/>
      <x:c r="RGZ62" s="291"/>
      <x:c r="RHA62" s="291"/>
      <x:c r="RHB62" s="291"/>
      <x:c r="RHC62" s="291"/>
      <x:c r="RHD62" s="291"/>
      <x:c r="RHE62" s="291"/>
      <x:c r="RHF62" s="291"/>
      <x:c r="RHG62" s="291"/>
      <x:c r="RHH62" s="291"/>
      <x:c r="RHI62" s="291"/>
      <x:c r="RHJ62" s="291"/>
      <x:c r="RHK62" s="291"/>
      <x:c r="RHL62" s="291"/>
      <x:c r="RHM62" s="291"/>
      <x:c r="RHN62" s="291"/>
      <x:c r="RHO62" s="291"/>
      <x:c r="RHP62" s="291"/>
      <x:c r="RHQ62" s="291"/>
      <x:c r="RHR62" s="291"/>
      <x:c r="RHS62" s="291"/>
      <x:c r="RHT62" s="291"/>
      <x:c r="RHU62" s="291"/>
      <x:c r="RHV62" s="291"/>
      <x:c r="RHW62" s="291"/>
      <x:c r="RHX62" s="291"/>
      <x:c r="RHY62" s="291"/>
      <x:c r="RHZ62" s="291"/>
      <x:c r="RIA62" s="291"/>
      <x:c r="RIB62" s="291"/>
      <x:c r="RIC62" s="291"/>
      <x:c r="RID62" s="291"/>
      <x:c r="RIE62" s="291"/>
      <x:c r="RIF62" s="291"/>
      <x:c r="RIG62" s="291"/>
      <x:c r="RIH62" s="291"/>
      <x:c r="RII62" s="291"/>
      <x:c r="RIJ62" s="291"/>
      <x:c r="RIK62" s="291"/>
      <x:c r="RIL62" s="291"/>
      <x:c r="RIM62" s="291"/>
      <x:c r="RIN62" s="291"/>
      <x:c r="RIO62" s="291"/>
      <x:c r="RIP62" s="291"/>
      <x:c r="RIQ62" s="291"/>
      <x:c r="RIR62" s="291"/>
      <x:c r="RIS62" s="291"/>
      <x:c r="RIT62" s="291"/>
      <x:c r="RIU62" s="291"/>
      <x:c r="RIV62" s="291"/>
      <x:c r="RIW62" s="291"/>
      <x:c r="RIX62" s="291"/>
      <x:c r="RIY62" s="291"/>
      <x:c r="RIZ62" s="291"/>
      <x:c r="RJA62" s="291"/>
      <x:c r="RJB62" s="291"/>
      <x:c r="RJC62" s="291"/>
      <x:c r="RJD62" s="291"/>
      <x:c r="RJE62" s="291"/>
      <x:c r="RJF62" s="291"/>
      <x:c r="RJG62" s="291"/>
      <x:c r="RJH62" s="291"/>
      <x:c r="RJI62" s="291"/>
      <x:c r="RJJ62" s="291"/>
      <x:c r="RJK62" s="291"/>
      <x:c r="RJL62" s="291"/>
      <x:c r="RJM62" s="291"/>
      <x:c r="RJN62" s="291"/>
      <x:c r="RJO62" s="291"/>
      <x:c r="RJP62" s="291"/>
      <x:c r="RJQ62" s="291"/>
      <x:c r="RJR62" s="291"/>
      <x:c r="RJS62" s="291"/>
      <x:c r="RJT62" s="291"/>
      <x:c r="RJU62" s="291"/>
      <x:c r="RJV62" s="291"/>
      <x:c r="RJW62" s="291"/>
      <x:c r="RJX62" s="291"/>
      <x:c r="RJY62" s="291"/>
      <x:c r="RJZ62" s="291"/>
      <x:c r="RKA62" s="291"/>
      <x:c r="RKB62" s="291"/>
      <x:c r="RKC62" s="291"/>
      <x:c r="RKD62" s="291"/>
      <x:c r="RKE62" s="291"/>
      <x:c r="RKF62" s="291"/>
      <x:c r="RKG62" s="291"/>
      <x:c r="RKH62" s="291"/>
      <x:c r="RKI62" s="291"/>
      <x:c r="RKJ62" s="291"/>
      <x:c r="RKK62" s="291"/>
      <x:c r="RKL62" s="291"/>
      <x:c r="RKM62" s="291"/>
      <x:c r="RKN62" s="291"/>
      <x:c r="RKO62" s="291"/>
      <x:c r="RKP62" s="291"/>
      <x:c r="RKQ62" s="291"/>
      <x:c r="RKR62" s="291"/>
      <x:c r="RKS62" s="291"/>
      <x:c r="RKT62" s="291"/>
      <x:c r="RKU62" s="291"/>
      <x:c r="RKV62" s="291"/>
      <x:c r="RKW62" s="291"/>
      <x:c r="RKX62" s="291"/>
      <x:c r="RKY62" s="291"/>
      <x:c r="RKZ62" s="291"/>
      <x:c r="RLA62" s="291"/>
      <x:c r="RLB62" s="291"/>
      <x:c r="RLC62" s="291"/>
      <x:c r="RLD62" s="291"/>
      <x:c r="RLE62" s="291"/>
      <x:c r="RLF62" s="291"/>
      <x:c r="RLG62" s="291"/>
      <x:c r="RLH62" s="291"/>
      <x:c r="RLI62" s="291"/>
      <x:c r="RLJ62" s="291"/>
      <x:c r="RLK62" s="291"/>
      <x:c r="RLL62" s="291"/>
      <x:c r="RLM62" s="291"/>
      <x:c r="RLN62" s="291"/>
      <x:c r="RLO62" s="291"/>
      <x:c r="RLP62" s="291"/>
      <x:c r="RLQ62" s="291"/>
      <x:c r="RLR62" s="291"/>
      <x:c r="RLS62" s="291"/>
      <x:c r="RLT62" s="291"/>
      <x:c r="RLU62" s="291"/>
      <x:c r="RLV62" s="291"/>
      <x:c r="RLW62" s="291"/>
      <x:c r="RLX62" s="291"/>
      <x:c r="RLY62" s="291"/>
      <x:c r="RLZ62" s="291"/>
      <x:c r="RMA62" s="291"/>
      <x:c r="RMB62" s="291"/>
      <x:c r="RMC62" s="291"/>
      <x:c r="RMD62" s="291"/>
      <x:c r="RME62" s="291"/>
      <x:c r="RMF62" s="291"/>
      <x:c r="RMG62" s="291"/>
      <x:c r="RMH62" s="291"/>
      <x:c r="RMI62" s="291"/>
      <x:c r="RMJ62" s="291"/>
      <x:c r="RMK62" s="291"/>
      <x:c r="RML62" s="291"/>
      <x:c r="RMM62" s="291"/>
      <x:c r="RMN62" s="291"/>
      <x:c r="RMO62" s="291"/>
      <x:c r="RMP62" s="291"/>
      <x:c r="RMQ62" s="291"/>
      <x:c r="RMR62" s="291"/>
      <x:c r="RMS62" s="291"/>
      <x:c r="RMT62" s="291"/>
      <x:c r="RMU62" s="291"/>
      <x:c r="RMV62" s="291"/>
      <x:c r="RMW62" s="291"/>
      <x:c r="RMX62" s="291"/>
      <x:c r="RMY62" s="291"/>
      <x:c r="RMZ62" s="291"/>
      <x:c r="RNA62" s="291"/>
      <x:c r="RNB62" s="291"/>
      <x:c r="RNC62" s="291"/>
      <x:c r="RND62" s="291"/>
      <x:c r="RNE62" s="291"/>
      <x:c r="RNF62" s="291"/>
      <x:c r="RNG62" s="291"/>
      <x:c r="RNH62" s="291"/>
      <x:c r="RNI62" s="291"/>
      <x:c r="RNJ62" s="291"/>
      <x:c r="RNK62" s="291"/>
      <x:c r="RNL62" s="291"/>
      <x:c r="RNM62" s="291"/>
      <x:c r="RNN62" s="291"/>
      <x:c r="RNO62" s="291"/>
      <x:c r="RNP62" s="291"/>
      <x:c r="RNQ62" s="291"/>
      <x:c r="RNR62" s="291"/>
      <x:c r="RNS62" s="291"/>
      <x:c r="RNT62" s="291"/>
      <x:c r="RNU62" s="291"/>
      <x:c r="RNV62" s="291"/>
      <x:c r="RNW62" s="291"/>
      <x:c r="RNX62" s="291"/>
      <x:c r="RNY62" s="291"/>
      <x:c r="RNZ62" s="291"/>
      <x:c r="ROA62" s="291"/>
      <x:c r="ROB62" s="291"/>
      <x:c r="ROC62" s="291"/>
      <x:c r="ROD62" s="291"/>
      <x:c r="ROE62" s="291"/>
      <x:c r="ROF62" s="291"/>
      <x:c r="ROG62" s="291"/>
      <x:c r="ROH62" s="291"/>
      <x:c r="ROI62" s="291"/>
      <x:c r="ROJ62" s="291"/>
      <x:c r="ROK62" s="291"/>
      <x:c r="ROL62" s="291"/>
      <x:c r="ROM62" s="291"/>
      <x:c r="RON62" s="291"/>
      <x:c r="ROO62" s="291"/>
      <x:c r="ROP62" s="291"/>
      <x:c r="ROQ62" s="291"/>
      <x:c r="ROR62" s="291"/>
      <x:c r="ROS62" s="291"/>
      <x:c r="ROT62" s="291"/>
      <x:c r="ROU62" s="291"/>
      <x:c r="ROV62" s="291"/>
      <x:c r="ROW62" s="291"/>
      <x:c r="ROX62" s="291"/>
      <x:c r="ROY62" s="291"/>
      <x:c r="ROZ62" s="291"/>
      <x:c r="RPA62" s="291"/>
      <x:c r="RPB62" s="291"/>
      <x:c r="RPC62" s="291"/>
      <x:c r="RPD62" s="291"/>
      <x:c r="RPE62" s="291"/>
      <x:c r="RPF62" s="291"/>
      <x:c r="RPG62" s="291"/>
      <x:c r="RPH62" s="291"/>
      <x:c r="RPI62" s="291"/>
      <x:c r="RPJ62" s="291"/>
      <x:c r="RPK62" s="291"/>
      <x:c r="RPL62" s="291"/>
      <x:c r="RPM62" s="291"/>
      <x:c r="RPN62" s="291"/>
      <x:c r="RPO62" s="291"/>
      <x:c r="RPP62" s="291"/>
      <x:c r="RPQ62" s="291"/>
      <x:c r="RPR62" s="291"/>
      <x:c r="RPS62" s="291"/>
      <x:c r="RPT62" s="291"/>
      <x:c r="RPU62" s="291"/>
      <x:c r="RPV62" s="291"/>
      <x:c r="RPW62" s="291"/>
      <x:c r="RPX62" s="291"/>
      <x:c r="RPY62" s="291"/>
      <x:c r="RPZ62" s="291"/>
      <x:c r="RQA62" s="291"/>
      <x:c r="RQB62" s="291"/>
      <x:c r="RQC62" s="291"/>
      <x:c r="RQD62" s="291"/>
      <x:c r="RQE62" s="291"/>
      <x:c r="RQF62" s="291"/>
      <x:c r="RQG62" s="291"/>
      <x:c r="RQH62" s="291"/>
      <x:c r="RQI62" s="291"/>
      <x:c r="RQJ62" s="291"/>
      <x:c r="RQK62" s="291"/>
      <x:c r="RQL62" s="291"/>
      <x:c r="RQM62" s="291"/>
      <x:c r="RQN62" s="291"/>
      <x:c r="RQO62" s="291"/>
      <x:c r="RQP62" s="291"/>
      <x:c r="RQQ62" s="291"/>
      <x:c r="RQR62" s="291"/>
      <x:c r="RQS62" s="291"/>
      <x:c r="RQT62" s="291"/>
      <x:c r="RQU62" s="291"/>
      <x:c r="RQV62" s="291"/>
      <x:c r="RQW62" s="291"/>
      <x:c r="RQX62" s="291"/>
      <x:c r="RQY62" s="291"/>
      <x:c r="RQZ62" s="291"/>
      <x:c r="RRA62" s="291"/>
      <x:c r="RRB62" s="291"/>
      <x:c r="RRC62" s="291"/>
      <x:c r="RRD62" s="291"/>
      <x:c r="RRE62" s="291"/>
      <x:c r="RRF62" s="291"/>
      <x:c r="RRG62" s="291"/>
      <x:c r="RRH62" s="291"/>
      <x:c r="RRI62" s="291"/>
      <x:c r="RRJ62" s="291"/>
      <x:c r="RRK62" s="291"/>
      <x:c r="RRL62" s="291"/>
      <x:c r="RRM62" s="291"/>
      <x:c r="RRN62" s="291"/>
      <x:c r="RRO62" s="291"/>
      <x:c r="RRP62" s="291"/>
      <x:c r="RRQ62" s="291"/>
      <x:c r="RRR62" s="291"/>
      <x:c r="RRS62" s="291"/>
      <x:c r="RRT62" s="291"/>
      <x:c r="RRU62" s="291"/>
      <x:c r="RRV62" s="291"/>
      <x:c r="RRW62" s="291"/>
      <x:c r="RRX62" s="291"/>
      <x:c r="RRY62" s="291"/>
      <x:c r="RRZ62" s="291"/>
      <x:c r="RSA62" s="291"/>
      <x:c r="RSB62" s="291"/>
      <x:c r="RSC62" s="291"/>
      <x:c r="RSD62" s="291"/>
      <x:c r="RSE62" s="291"/>
      <x:c r="RSF62" s="291"/>
      <x:c r="RSG62" s="291"/>
      <x:c r="RSH62" s="291"/>
      <x:c r="RSI62" s="291"/>
      <x:c r="RSJ62" s="291"/>
      <x:c r="RSK62" s="291"/>
      <x:c r="RSL62" s="291"/>
      <x:c r="RSM62" s="291"/>
      <x:c r="RSN62" s="291"/>
      <x:c r="RSO62" s="291"/>
      <x:c r="RSP62" s="291"/>
      <x:c r="RSQ62" s="291"/>
      <x:c r="RSR62" s="291"/>
      <x:c r="RSS62" s="291"/>
      <x:c r="RST62" s="291"/>
      <x:c r="RSU62" s="291"/>
      <x:c r="RSV62" s="291"/>
      <x:c r="RSW62" s="291"/>
      <x:c r="RSX62" s="291"/>
      <x:c r="RSY62" s="291"/>
      <x:c r="RSZ62" s="291"/>
      <x:c r="RTA62" s="291"/>
      <x:c r="RTB62" s="291"/>
      <x:c r="RTC62" s="291"/>
      <x:c r="RTD62" s="291"/>
      <x:c r="RTE62" s="291"/>
      <x:c r="RTF62" s="291"/>
      <x:c r="RTG62" s="291"/>
      <x:c r="RTH62" s="291"/>
      <x:c r="RTI62" s="291"/>
      <x:c r="RTJ62" s="291"/>
      <x:c r="RTK62" s="291"/>
      <x:c r="RTL62" s="291"/>
      <x:c r="RTM62" s="291"/>
      <x:c r="RTN62" s="291"/>
      <x:c r="RTO62" s="291"/>
      <x:c r="RTP62" s="291"/>
      <x:c r="RTQ62" s="291"/>
      <x:c r="RTR62" s="291"/>
      <x:c r="RTS62" s="291"/>
      <x:c r="RTT62" s="291"/>
      <x:c r="RTU62" s="291"/>
      <x:c r="RTV62" s="291"/>
      <x:c r="RTW62" s="291"/>
      <x:c r="RTX62" s="291"/>
      <x:c r="RTY62" s="291"/>
      <x:c r="RTZ62" s="291"/>
      <x:c r="RUA62" s="291"/>
      <x:c r="RUB62" s="291"/>
      <x:c r="RUC62" s="291"/>
      <x:c r="RUD62" s="291"/>
      <x:c r="RUE62" s="291"/>
      <x:c r="RUF62" s="291"/>
      <x:c r="RUG62" s="291"/>
      <x:c r="RUH62" s="291"/>
      <x:c r="RUI62" s="291"/>
      <x:c r="RUJ62" s="291"/>
      <x:c r="RUK62" s="291"/>
      <x:c r="RUL62" s="291"/>
      <x:c r="RUM62" s="291"/>
      <x:c r="RUN62" s="291"/>
      <x:c r="RUO62" s="291"/>
      <x:c r="RUP62" s="291"/>
      <x:c r="RUQ62" s="291"/>
      <x:c r="RUR62" s="291"/>
      <x:c r="RUS62" s="291"/>
      <x:c r="RUT62" s="291"/>
      <x:c r="RUU62" s="291"/>
      <x:c r="RUV62" s="291"/>
      <x:c r="RUW62" s="291"/>
      <x:c r="RUX62" s="291"/>
      <x:c r="RUY62" s="291"/>
      <x:c r="RUZ62" s="291"/>
      <x:c r="RVA62" s="291"/>
      <x:c r="RVB62" s="291"/>
      <x:c r="RVC62" s="291"/>
      <x:c r="RVD62" s="291"/>
      <x:c r="RVE62" s="291"/>
      <x:c r="RVF62" s="291"/>
      <x:c r="RVG62" s="291"/>
      <x:c r="RVH62" s="291"/>
      <x:c r="RVI62" s="291"/>
      <x:c r="RVJ62" s="291"/>
      <x:c r="RVK62" s="291"/>
      <x:c r="RVL62" s="291"/>
      <x:c r="RVM62" s="291"/>
      <x:c r="RVN62" s="291"/>
      <x:c r="RVO62" s="291"/>
      <x:c r="RVP62" s="291"/>
      <x:c r="RVQ62" s="291"/>
      <x:c r="RVR62" s="291"/>
      <x:c r="RVS62" s="291"/>
      <x:c r="RVT62" s="291"/>
      <x:c r="RVU62" s="291"/>
      <x:c r="RVV62" s="291"/>
      <x:c r="RVW62" s="291"/>
      <x:c r="RVX62" s="291"/>
      <x:c r="RVY62" s="291"/>
      <x:c r="RVZ62" s="291"/>
      <x:c r="RWA62" s="291"/>
      <x:c r="RWB62" s="291"/>
      <x:c r="RWC62" s="291"/>
      <x:c r="RWD62" s="291"/>
      <x:c r="RWE62" s="291"/>
      <x:c r="RWF62" s="291"/>
      <x:c r="RWG62" s="291"/>
      <x:c r="RWH62" s="291"/>
      <x:c r="RWI62" s="291"/>
      <x:c r="RWJ62" s="291"/>
      <x:c r="RWK62" s="291"/>
      <x:c r="RWL62" s="291"/>
      <x:c r="RWM62" s="291"/>
      <x:c r="RWN62" s="291"/>
      <x:c r="RWO62" s="291"/>
      <x:c r="RWP62" s="291"/>
      <x:c r="RWQ62" s="291"/>
      <x:c r="RWR62" s="291"/>
      <x:c r="RWS62" s="291"/>
      <x:c r="RWT62" s="291"/>
      <x:c r="RWU62" s="291"/>
      <x:c r="RWV62" s="291"/>
      <x:c r="RWW62" s="291"/>
      <x:c r="RWX62" s="291"/>
      <x:c r="RWY62" s="291"/>
      <x:c r="RWZ62" s="291"/>
      <x:c r="RXA62" s="291"/>
      <x:c r="RXB62" s="291"/>
      <x:c r="RXC62" s="291"/>
      <x:c r="RXD62" s="291"/>
      <x:c r="RXE62" s="291"/>
      <x:c r="RXF62" s="291"/>
      <x:c r="RXG62" s="291"/>
      <x:c r="RXH62" s="291"/>
      <x:c r="RXI62" s="291"/>
      <x:c r="RXJ62" s="291"/>
      <x:c r="RXK62" s="291"/>
      <x:c r="RXL62" s="291"/>
      <x:c r="RXM62" s="291"/>
      <x:c r="RXN62" s="291"/>
      <x:c r="RXO62" s="291"/>
      <x:c r="RXP62" s="291"/>
      <x:c r="RXQ62" s="291"/>
      <x:c r="RXR62" s="291"/>
      <x:c r="RXS62" s="291"/>
      <x:c r="RXT62" s="291"/>
      <x:c r="RXU62" s="291"/>
      <x:c r="RXV62" s="291"/>
      <x:c r="RXW62" s="291"/>
      <x:c r="RXX62" s="291"/>
      <x:c r="RXY62" s="291"/>
      <x:c r="RXZ62" s="291"/>
      <x:c r="RYA62" s="291"/>
      <x:c r="RYB62" s="291"/>
      <x:c r="RYC62" s="291"/>
      <x:c r="RYD62" s="291"/>
      <x:c r="RYE62" s="291"/>
      <x:c r="RYF62" s="291"/>
      <x:c r="RYG62" s="291"/>
      <x:c r="RYH62" s="291"/>
      <x:c r="RYI62" s="291"/>
      <x:c r="RYJ62" s="291"/>
      <x:c r="RYK62" s="291"/>
      <x:c r="RYL62" s="291"/>
      <x:c r="RYM62" s="291"/>
      <x:c r="RYN62" s="291"/>
      <x:c r="RYO62" s="291"/>
      <x:c r="RYP62" s="291"/>
      <x:c r="RYQ62" s="291"/>
      <x:c r="RYR62" s="291"/>
      <x:c r="RYS62" s="291"/>
      <x:c r="RYT62" s="291"/>
      <x:c r="RYU62" s="291"/>
      <x:c r="RYV62" s="291"/>
      <x:c r="RYW62" s="291"/>
      <x:c r="RYX62" s="291"/>
      <x:c r="RYY62" s="291"/>
      <x:c r="RYZ62" s="291"/>
      <x:c r="RZA62" s="291"/>
      <x:c r="RZB62" s="291"/>
      <x:c r="RZC62" s="291"/>
      <x:c r="RZD62" s="291"/>
      <x:c r="RZE62" s="291"/>
      <x:c r="RZF62" s="291"/>
      <x:c r="RZG62" s="291"/>
      <x:c r="RZH62" s="291"/>
      <x:c r="RZI62" s="291"/>
      <x:c r="RZJ62" s="291"/>
      <x:c r="RZK62" s="291"/>
      <x:c r="RZL62" s="291"/>
      <x:c r="RZM62" s="291"/>
      <x:c r="RZN62" s="291"/>
      <x:c r="RZO62" s="291"/>
      <x:c r="RZP62" s="291"/>
      <x:c r="RZQ62" s="291"/>
      <x:c r="RZR62" s="291"/>
      <x:c r="RZS62" s="291"/>
      <x:c r="RZT62" s="291"/>
      <x:c r="RZU62" s="291"/>
      <x:c r="RZV62" s="291"/>
      <x:c r="RZW62" s="291"/>
      <x:c r="RZX62" s="291"/>
      <x:c r="RZY62" s="291"/>
      <x:c r="RZZ62" s="291"/>
      <x:c r="SAA62" s="291"/>
      <x:c r="SAB62" s="291"/>
      <x:c r="SAC62" s="291"/>
      <x:c r="SAD62" s="291"/>
      <x:c r="SAE62" s="291"/>
      <x:c r="SAF62" s="291"/>
      <x:c r="SAG62" s="291"/>
      <x:c r="SAH62" s="291"/>
      <x:c r="SAI62" s="291"/>
      <x:c r="SAJ62" s="291"/>
      <x:c r="SAK62" s="291"/>
      <x:c r="SAL62" s="291"/>
      <x:c r="SAM62" s="291"/>
      <x:c r="SAN62" s="291"/>
      <x:c r="SAO62" s="291"/>
      <x:c r="SAP62" s="291"/>
      <x:c r="SAQ62" s="291"/>
      <x:c r="SAR62" s="291"/>
      <x:c r="SAS62" s="291"/>
      <x:c r="SAT62" s="291"/>
      <x:c r="SAU62" s="291"/>
      <x:c r="SAV62" s="291"/>
      <x:c r="SAW62" s="291"/>
      <x:c r="SAX62" s="291"/>
      <x:c r="SAY62" s="291"/>
      <x:c r="SAZ62" s="291"/>
      <x:c r="SBA62" s="291"/>
      <x:c r="SBB62" s="291"/>
      <x:c r="SBC62" s="291"/>
      <x:c r="SBD62" s="291"/>
      <x:c r="SBE62" s="291"/>
      <x:c r="SBF62" s="291"/>
      <x:c r="SBG62" s="291"/>
      <x:c r="SBH62" s="291"/>
      <x:c r="SBI62" s="291"/>
      <x:c r="SBJ62" s="291"/>
      <x:c r="SBK62" s="291"/>
      <x:c r="SBL62" s="291"/>
      <x:c r="SBM62" s="291"/>
      <x:c r="SBN62" s="291"/>
      <x:c r="SBO62" s="291"/>
      <x:c r="SBP62" s="291"/>
      <x:c r="SBQ62" s="291"/>
      <x:c r="SBR62" s="291"/>
      <x:c r="SBS62" s="291"/>
      <x:c r="SBT62" s="291"/>
      <x:c r="SBU62" s="291"/>
      <x:c r="SBV62" s="291"/>
      <x:c r="SBW62" s="291"/>
      <x:c r="SBX62" s="291"/>
      <x:c r="SBY62" s="291"/>
      <x:c r="SBZ62" s="291"/>
      <x:c r="SCA62" s="291"/>
      <x:c r="SCB62" s="291"/>
      <x:c r="SCC62" s="291"/>
      <x:c r="SCD62" s="291"/>
      <x:c r="SCE62" s="291"/>
      <x:c r="SCF62" s="291"/>
      <x:c r="SCG62" s="291"/>
      <x:c r="SCH62" s="291"/>
      <x:c r="SCI62" s="291"/>
      <x:c r="SCJ62" s="291"/>
      <x:c r="SCK62" s="291"/>
      <x:c r="SCL62" s="291"/>
      <x:c r="SCM62" s="291"/>
      <x:c r="SCN62" s="291"/>
      <x:c r="SCO62" s="291"/>
      <x:c r="SCP62" s="291"/>
      <x:c r="SCQ62" s="291"/>
      <x:c r="SCR62" s="291"/>
      <x:c r="SCS62" s="291"/>
      <x:c r="SCT62" s="291"/>
      <x:c r="SCU62" s="291"/>
      <x:c r="SCV62" s="291"/>
      <x:c r="SCW62" s="291"/>
      <x:c r="SCX62" s="291"/>
      <x:c r="SCY62" s="291"/>
      <x:c r="SCZ62" s="291"/>
      <x:c r="SDA62" s="291"/>
      <x:c r="SDB62" s="291"/>
      <x:c r="SDC62" s="291"/>
      <x:c r="SDD62" s="291"/>
      <x:c r="SDE62" s="291"/>
      <x:c r="SDF62" s="291"/>
      <x:c r="SDG62" s="291"/>
      <x:c r="SDH62" s="291"/>
      <x:c r="SDI62" s="291"/>
      <x:c r="SDJ62" s="291"/>
      <x:c r="SDK62" s="291"/>
      <x:c r="SDL62" s="291"/>
      <x:c r="SDM62" s="291"/>
      <x:c r="SDN62" s="291"/>
      <x:c r="SDO62" s="291"/>
      <x:c r="SDP62" s="291"/>
      <x:c r="SDQ62" s="291"/>
      <x:c r="SDR62" s="291"/>
      <x:c r="SDS62" s="291"/>
      <x:c r="SDT62" s="291"/>
      <x:c r="SDU62" s="291"/>
      <x:c r="SDV62" s="291"/>
      <x:c r="SDW62" s="291"/>
      <x:c r="SDX62" s="291"/>
      <x:c r="SDY62" s="291"/>
      <x:c r="SDZ62" s="291"/>
      <x:c r="SEA62" s="291"/>
      <x:c r="SEB62" s="291"/>
      <x:c r="SEC62" s="291"/>
      <x:c r="SED62" s="291"/>
      <x:c r="SEE62" s="291"/>
      <x:c r="SEF62" s="291"/>
      <x:c r="SEG62" s="291"/>
      <x:c r="SEH62" s="291"/>
      <x:c r="SEI62" s="291"/>
      <x:c r="SEJ62" s="291"/>
      <x:c r="SEK62" s="291"/>
      <x:c r="SEL62" s="291"/>
      <x:c r="SEM62" s="291"/>
      <x:c r="SEN62" s="291"/>
      <x:c r="SEO62" s="291"/>
      <x:c r="SEP62" s="291"/>
      <x:c r="SEQ62" s="291"/>
      <x:c r="SER62" s="291"/>
      <x:c r="SES62" s="291"/>
      <x:c r="SET62" s="291"/>
      <x:c r="SEU62" s="291"/>
      <x:c r="SEV62" s="291"/>
      <x:c r="SEW62" s="291"/>
      <x:c r="SEX62" s="291"/>
      <x:c r="SEY62" s="291"/>
      <x:c r="SEZ62" s="291"/>
      <x:c r="SFA62" s="291"/>
      <x:c r="SFB62" s="291"/>
      <x:c r="SFC62" s="291"/>
      <x:c r="SFD62" s="291"/>
      <x:c r="SFE62" s="291"/>
      <x:c r="SFF62" s="291"/>
      <x:c r="SFG62" s="291"/>
      <x:c r="SFH62" s="291"/>
      <x:c r="SFI62" s="291"/>
      <x:c r="SFJ62" s="291"/>
      <x:c r="SFK62" s="291"/>
      <x:c r="SFL62" s="291"/>
      <x:c r="SFM62" s="291"/>
      <x:c r="SFN62" s="291"/>
      <x:c r="SFO62" s="291"/>
      <x:c r="SFP62" s="291"/>
      <x:c r="SFQ62" s="291"/>
      <x:c r="SFR62" s="291"/>
      <x:c r="SFS62" s="291"/>
      <x:c r="SFT62" s="291"/>
      <x:c r="SFU62" s="291"/>
      <x:c r="SFV62" s="291"/>
      <x:c r="SFW62" s="291"/>
      <x:c r="SFX62" s="291"/>
      <x:c r="SFY62" s="291"/>
      <x:c r="SFZ62" s="291"/>
      <x:c r="SGA62" s="291"/>
      <x:c r="SGB62" s="291"/>
      <x:c r="SGC62" s="291"/>
      <x:c r="SGD62" s="291"/>
      <x:c r="SGE62" s="291"/>
      <x:c r="SGF62" s="291"/>
      <x:c r="SGG62" s="291"/>
      <x:c r="SGH62" s="291"/>
      <x:c r="SGI62" s="291"/>
      <x:c r="SGJ62" s="291"/>
      <x:c r="SGK62" s="291"/>
      <x:c r="SGL62" s="291"/>
      <x:c r="SGM62" s="291"/>
      <x:c r="SGN62" s="291"/>
      <x:c r="SGO62" s="291"/>
      <x:c r="SGP62" s="291"/>
      <x:c r="SGQ62" s="291"/>
      <x:c r="SGR62" s="291"/>
      <x:c r="SGS62" s="291"/>
      <x:c r="SGT62" s="291"/>
      <x:c r="SGU62" s="291"/>
      <x:c r="SGV62" s="291"/>
      <x:c r="SGW62" s="291"/>
      <x:c r="SGX62" s="291"/>
      <x:c r="SGY62" s="291"/>
      <x:c r="SGZ62" s="291"/>
      <x:c r="SHA62" s="291"/>
      <x:c r="SHB62" s="291"/>
      <x:c r="SHC62" s="291"/>
      <x:c r="SHD62" s="291"/>
      <x:c r="SHE62" s="291"/>
      <x:c r="SHF62" s="291"/>
      <x:c r="SHG62" s="291"/>
      <x:c r="SHH62" s="291"/>
      <x:c r="SHI62" s="291"/>
      <x:c r="SHJ62" s="291"/>
      <x:c r="SHK62" s="291"/>
      <x:c r="SHL62" s="291"/>
      <x:c r="SHM62" s="291"/>
      <x:c r="SHN62" s="291"/>
      <x:c r="SHO62" s="291"/>
      <x:c r="SHP62" s="291"/>
      <x:c r="SHQ62" s="291"/>
      <x:c r="SHR62" s="291"/>
      <x:c r="SHS62" s="291"/>
      <x:c r="SHT62" s="291"/>
      <x:c r="SHU62" s="291"/>
      <x:c r="SHV62" s="291"/>
      <x:c r="SHW62" s="291"/>
      <x:c r="SHX62" s="291"/>
      <x:c r="SHY62" s="291"/>
      <x:c r="SHZ62" s="291"/>
      <x:c r="SIA62" s="291"/>
      <x:c r="SIB62" s="291"/>
      <x:c r="SIC62" s="291"/>
      <x:c r="SID62" s="291"/>
      <x:c r="SIE62" s="291"/>
      <x:c r="SIF62" s="291"/>
      <x:c r="SIG62" s="291"/>
      <x:c r="SIH62" s="291"/>
      <x:c r="SII62" s="291"/>
      <x:c r="SIJ62" s="291"/>
      <x:c r="SIK62" s="291"/>
      <x:c r="SIL62" s="291"/>
      <x:c r="SIM62" s="291"/>
      <x:c r="SIN62" s="291"/>
      <x:c r="SIO62" s="291"/>
      <x:c r="SIP62" s="291"/>
      <x:c r="SIQ62" s="291"/>
      <x:c r="SIR62" s="291"/>
      <x:c r="SIS62" s="291"/>
      <x:c r="SIT62" s="291"/>
      <x:c r="SIU62" s="291"/>
      <x:c r="SIV62" s="291"/>
      <x:c r="SIW62" s="291"/>
      <x:c r="SIX62" s="291"/>
      <x:c r="SIY62" s="291"/>
      <x:c r="SIZ62" s="291"/>
      <x:c r="SJA62" s="291"/>
      <x:c r="SJB62" s="291"/>
      <x:c r="SJC62" s="291"/>
      <x:c r="SJD62" s="291"/>
      <x:c r="SJE62" s="291"/>
      <x:c r="SJF62" s="291"/>
      <x:c r="SJG62" s="291"/>
      <x:c r="SJH62" s="291"/>
      <x:c r="SJI62" s="291"/>
      <x:c r="SJJ62" s="291"/>
      <x:c r="SJK62" s="291"/>
      <x:c r="SJL62" s="291"/>
      <x:c r="SJM62" s="291"/>
      <x:c r="SJN62" s="291"/>
      <x:c r="SJO62" s="291"/>
      <x:c r="SJP62" s="291"/>
      <x:c r="SJQ62" s="291"/>
      <x:c r="SJR62" s="291"/>
      <x:c r="SJS62" s="291"/>
      <x:c r="SJT62" s="291"/>
      <x:c r="SJU62" s="291"/>
      <x:c r="SJV62" s="291"/>
      <x:c r="SJW62" s="291"/>
      <x:c r="SJX62" s="291"/>
      <x:c r="SJY62" s="291"/>
      <x:c r="SJZ62" s="291"/>
      <x:c r="SKA62" s="291"/>
      <x:c r="SKB62" s="291"/>
      <x:c r="SKC62" s="291"/>
      <x:c r="SKD62" s="291"/>
      <x:c r="SKE62" s="291"/>
      <x:c r="SKF62" s="291"/>
      <x:c r="SKG62" s="291"/>
      <x:c r="SKH62" s="291"/>
      <x:c r="SKI62" s="291"/>
      <x:c r="SKJ62" s="291"/>
      <x:c r="SKK62" s="291"/>
      <x:c r="SKL62" s="291"/>
      <x:c r="SKM62" s="291"/>
      <x:c r="SKN62" s="291"/>
      <x:c r="SKO62" s="291"/>
      <x:c r="SKP62" s="291"/>
      <x:c r="SKQ62" s="291"/>
      <x:c r="SKR62" s="291"/>
      <x:c r="SKS62" s="291"/>
      <x:c r="SKT62" s="291"/>
      <x:c r="SKU62" s="291"/>
      <x:c r="SKV62" s="291"/>
      <x:c r="SKW62" s="291"/>
      <x:c r="SKX62" s="291"/>
      <x:c r="SKY62" s="291"/>
      <x:c r="SKZ62" s="291"/>
      <x:c r="SLA62" s="291"/>
      <x:c r="SLB62" s="291"/>
      <x:c r="SLC62" s="291"/>
      <x:c r="SLD62" s="291"/>
      <x:c r="SLE62" s="291"/>
      <x:c r="SLF62" s="291"/>
      <x:c r="SLG62" s="291"/>
      <x:c r="SLH62" s="291"/>
      <x:c r="SLI62" s="291"/>
      <x:c r="SLJ62" s="291"/>
      <x:c r="SLK62" s="291"/>
      <x:c r="SLL62" s="291"/>
      <x:c r="SLM62" s="291"/>
      <x:c r="SLN62" s="291"/>
      <x:c r="SLO62" s="291"/>
      <x:c r="SLP62" s="291"/>
      <x:c r="SLQ62" s="291"/>
      <x:c r="SLR62" s="291"/>
      <x:c r="SLS62" s="291"/>
      <x:c r="SLT62" s="291"/>
      <x:c r="SLU62" s="291"/>
      <x:c r="SLV62" s="291"/>
      <x:c r="SLW62" s="291"/>
      <x:c r="SLX62" s="291"/>
      <x:c r="SLY62" s="291"/>
      <x:c r="SLZ62" s="291"/>
      <x:c r="SMA62" s="291"/>
      <x:c r="SMB62" s="291"/>
      <x:c r="SMC62" s="291"/>
      <x:c r="SMD62" s="291"/>
      <x:c r="SME62" s="291"/>
      <x:c r="SMF62" s="291"/>
      <x:c r="SMG62" s="291"/>
      <x:c r="SMH62" s="291"/>
      <x:c r="SMI62" s="291"/>
      <x:c r="SMJ62" s="291"/>
      <x:c r="SMK62" s="291"/>
      <x:c r="SML62" s="291"/>
      <x:c r="SMM62" s="291"/>
      <x:c r="SMN62" s="291"/>
      <x:c r="SMO62" s="291"/>
      <x:c r="SMP62" s="291"/>
      <x:c r="SMQ62" s="291"/>
      <x:c r="SMR62" s="291"/>
      <x:c r="SMS62" s="291"/>
      <x:c r="SMT62" s="291"/>
      <x:c r="SMU62" s="291"/>
      <x:c r="SMV62" s="291"/>
      <x:c r="SMW62" s="291"/>
      <x:c r="SMX62" s="291"/>
      <x:c r="SMY62" s="291"/>
      <x:c r="SMZ62" s="291"/>
      <x:c r="SNA62" s="291"/>
      <x:c r="SNB62" s="291"/>
      <x:c r="SNC62" s="291"/>
      <x:c r="SND62" s="291"/>
      <x:c r="SNE62" s="291"/>
      <x:c r="SNF62" s="291"/>
      <x:c r="SNG62" s="291"/>
      <x:c r="SNH62" s="291"/>
      <x:c r="SNI62" s="291"/>
      <x:c r="SNJ62" s="291"/>
      <x:c r="SNK62" s="291"/>
      <x:c r="SNL62" s="291"/>
      <x:c r="SNM62" s="291"/>
      <x:c r="SNN62" s="291"/>
      <x:c r="SNO62" s="291"/>
      <x:c r="SNP62" s="291"/>
      <x:c r="SNQ62" s="291"/>
      <x:c r="SNR62" s="291"/>
      <x:c r="SNS62" s="291"/>
      <x:c r="SNT62" s="291"/>
      <x:c r="SNU62" s="291"/>
      <x:c r="SNV62" s="291"/>
      <x:c r="SNW62" s="291"/>
      <x:c r="SNX62" s="291"/>
      <x:c r="SNY62" s="291"/>
      <x:c r="SNZ62" s="291"/>
      <x:c r="SOA62" s="291"/>
      <x:c r="SOB62" s="291"/>
      <x:c r="SOC62" s="291"/>
      <x:c r="SOD62" s="291"/>
      <x:c r="SOE62" s="291"/>
      <x:c r="SOF62" s="291"/>
      <x:c r="SOG62" s="291"/>
      <x:c r="SOH62" s="291"/>
      <x:c r="SOI62" s="291"/>
      <x:c r="SOJ62" s="291"/>
      <x:c r="SOK62" s="291"/>
      <x:c r="SOL62" s="291"/>
      <x:c r="SOM62" s="291"/>
      <x:c r="SON62" s="291"/>
      <x:c r="SOO62" s="291"/>
      <x:c r="SOP62" s="291"/>
      <x:c r="SOQ62" s="291"/>
      <x:c r="SOR62" s="291"/>
      <x:c r="SOS62" s="291"/>
      <x:c r="SOT62" s="291"/>
      <x:c r="SOU62" s="291"/>
      <x:c r="SOV62" s="291"/>
      <x:c r="SOW62" s="291"/>
      <x:c r="SOX62" s="291"/>
      <x:c r="SOY62" s="291"/>
      <x:c r="SOZ62" s="291"/>
      <x:c r="SPA62" s="291"/>
      <x:c r="SPB62" s="291"/>
      <x:c r="SPC62" s="291"/>
      <x:c r="SPD62" s="291"/>
      <x:c r="SPE62" s="291"/>
      <x:c r="SPF62" s="291"/>
      <x:c r="SPG62" s="291"/>
      <x:c r="SPH62" s="291"/>
      <x:c r="SPI62" s="291"/>
      <x:c r="SPJ62" s="291"/>
      <x:c r="SPK62" s="291"/>
      <x:c r="SPL62" s="291"/>
      <x:c r="SPM62" s="291"/>
      <x:c r="SPN62" s="291"/>
      <x:c r="SPO62" s="291"/>
      <x:c r="SPP62" s="291"/>
      <x:c r="SPQ62" s="291"/>
      <x:c r="SPR62" s="291"/>
      <x:c r="SPS62" s="291"/>
      <x:c r="SPT62" s="291"/>
      <x:c r="SPU62" s="291"/>
      <x:c r="SPV62" s="291"/>
      <x:c r="SPW62" s="291"/>
      <x:c r="SPX62" s="291"/>
      <x:c r="SPY62" s="291"/>
      <x:c r="SPZ62" s="291"/>
      <x:c r="SQA62" s="291"/>
      <x:c r="SQB62" s="291"/>
      <x:c r="SQC62" s="291"/>
      <x:c r="SQD62" s="291"/>
      <x:c r="SQE62" s="291"/>
      <x:c r="SQF62" s="291"/>
      <x:c r="SQG62" s="291"/>
      <x:c r="SQH62" s="291"/>
      <x:c r="SQI62" s="291"/>
      <x:c r="SQJ62" s="291"/>
      <x:c r="SQK62" s="291"/>
      <x:c r="SQL62" s="291"/>
      <x:c r="SQM62" s="291"/>
      <x:c r="SQN62" s="291"/>
      <x:c r="SQO62" s="291"/>
      <x:c r="SQP62" s="291"/>
      <x:c r="SQQ62" s="291"/>
      <x:c r="SQR62" s="291"/>
      <x:c r="SQS62" s="291"/>
      <x:c r="SQT62" s="291"/>
      <x:c r="SQU62" s="291"/>
      <x:c r="SQV62" s="291"/>
      <x:c r="SQW62" s="291"/>
      <x:c r="SQX62" s="291"/>
      <x:c r="SQY62" s="291"/>
      <x:c r="SQZ62" s="291"/>
      <x:c r="SRA62" s="291"/>
      <x:c r="SRB62" s="291"/>
      <x:c r="SRC62" s="291"/>
      <x:c r="SRD62" s="291"/>
      <x:c r="SRE62" s="291"/>
      <x:c r="SRF62" s="291"/>
      <x:c r="SRG62" s="291"/>
      <x:c r="SRH62" s="291"/>
      <x:c r="SRI62" s="291"/>
      <x:c r="SRJ62" s="291"/>
      <x:c r="SRK62" s="291"/>
      <x:c r="SRL62" s="291"/>
      <x:c r="SRM62" s="291"/>
      <x:c r="SRN62" s="291"/>
      <x:c r="SRO62" s="291"/>
      <x:c r="SRP62" s="291"/>
      <x:c r="SRQ62" s="291"/>
      <x:c r="SRR62" s="291"/>
      <x:c r="SRS62" s="291"/>
      <x:c r="SRT62" s="291"/>
      <x:c r="SRU62" s="291"/>
      <x:c r="SRV62" s="291"/>
      <x:c r="SRW62" s="291"/>
      <x:c r="SRX62" s="291"/>
      <x:c r="SRY62" s="291"/>
      <x:c r="SRZ62" s="291"/>
      <x:c r="SSA62" s="291"/>
      <x:c r="SSB62" s="291"/>
      <x:c r="SSC62" s="291"/>
      <x:c r="SSD62" s="291"/>
      <x:c r="SSE62" s="291"/>
      <x:c r="SSF62" s="291"/>
      <x:c r="SSG62" s="291"/>
      <x:c r="SSH62" s="291"/>
      <x:c r="SSI62" s="291"/>
      <x:c r="SSJ62" s="291"/>
      <x:c r="SSK62" s="291"/>
      <x:c r="SSL62" s="291"/>
      <x:c r="SSM62" s="291"/>
      <x:c r="SSN62" s="291"/>
      <x:c r="SSO62" s="291"/>
      <x:c r="SSP62" s="291"/>
      <x:c r="SSQ62" s="291"/>
      <x:c r="SSR62" s="291"/>
      <x:c r="SSS62" s="291"/>
      <x:c r="SST62" s="291"/>
      <x:c r="SSU62" s="291"/>
      <x:c r="SSV62" s="291"/>
      <x:c r="SSW62" s="291"/>
      <x:c r="SSX62" s="291"/>
      <x:c r="SSY62" s="291"/>
      <x:c r="SSZ62" s="291"/>
      <x:c r="STA62" s="291"/>
      <x:c r="STB62" s="291"/>
      <x:c r="STC62" s="291"/>
      <x:c r="STD62" s="291"/>
      <x:c r="STE62" s="291"/>
      <x:c r="STF62" s="291"/>
      <x:c r="STG62" s="291"/>
      <x:c r="STH62" s="291"/>
      <x:c r="STI62" s="291"/>
      <x:c r="STJ62" s="291"/>
      <x:c r="STK62" s="291"/>
      <x:c r="STL62" s="291"/>
      <x:c r="STM62" s="291"/>
      <x:c r="STN62" s="291"/>
      <x:c r="STO62" s="291"/>
      <x:c r="STP62" s="291"/>
      <x:c r="STQ62" s="291"/>
      <x:c r="STR62" s="291"/>
      <x:c r="STS62" s="291"/>
      <x:c r="STT62" s="291"/>
      <x:c r="STU62" s="291"/>
      <x:c r="STV62" s="291"/>
      <x:c r="STW62" s="291"/>
      <x:c r="STX62" s="291"/>
      <x:c r="STY62" s="291"/>
      <x:c r="STZ62" s="291"/>
      <x:c r="SUA62" s="291"/>
      <x:c r="SUB62" s="291"/>
      <x:c r="SUC62" s="291"/>
      <x:c r="SUD62" s="291"/>
      <x:c r="SUE62" s="291"/>
      <x:c r="SUF62" s="291"/>
      <x:c r="SUG62" s="291"/>
      <x:c r="SUH62" s="291"/>
      <x:c r="SUI62" s="291"/>
      <x:c r="SUJ62" s="291"/>
      <x:c r="SUK62" s="291"/>
      <x:c r="SUL62" s="291"/>
      <x:c r="SUM62" s="291"/>
      <x:c r="SUN62" s="291"/>
      <x:c r="SUO62" s="291"/>
      <x:c r="SUP62" s="291"/>
      <x:c r="SUQ62" s="291"/>
      <x:c r="SUR62" s="291"/>
      <x:c r="SUS62" s="291"/>
      <x:c r="SUT62" s="291"/>
      <x:c r="SUU62" s="291"/>
      <x:c r="SUV62" s="291"/>
      <x:c r="SUW62" s="291"/>
      <x:c r="SUX62" s="291"/>
      <x:c r="SUY62" s="291"/>
      <x:c r="SUZ62" s="291"/>
      <x:c r="SVA62" s="291"/>
      <x:c r="SVB62" s="291"/>
      <x:c r="SVC62" s="291"/>
      <x:c r="SVD62" s="291"/>
      <x:c r="SVE62" s="291"/>
      <x:c r="SVF62" s="291"/>
      <x:c r="SVG62" s="291"/>
      <x:c r="SVH62" s="291"/>
      <x:c r="SVI62" s="291"/>
      <x:c r="SVJ62" s="291"/>
      <x:c r="SVK62" s="291"/>
      <x:c r="SVL62" s="291"/>
      <x:c r="SVM62" s="291"/>
      <x:c r="SVN62" s="291"/>
      <x:c r="SVO62" s="291"/>
      <x:c r="SVP62" s="291"/>
      <x:c r="SVQ62" s="291"/>
      <x:c r="SVR62" s="291"/>
      <x:c r="SVS62" s="291"/>
      <x:c r="SVT62" s="291"/>
      <x:c r="SVU62" s="291"/>
      <x:c r="SVV62" s="291"/>
      <x:c r="SVW62" s="291"/>
      <x:c r="SVX62" s="291"/>
      <x:c r="SVY62" s="291"/>
      <x:c r="SVZ62" s="291"/>
      <x:c r="SWA62" s="291"/>
      <x:c r="SWB62" s="291"/>
      <x:c r="SWC62" s="291"/>
      <x:c r="SWD62" s="291"/>
      <x:c r="SWE62" s="291"/>
      <x:c r="SWF62" s="291"/>
      <x:c r="SWG62" s="291"/>
      <x:c r="SWH62" s="291"/>
      <x:c r="SWI62" s="291"/>
      <x:c r="SWJ62" s="291"/>
      <x:c r="SWK62" s="291"/>
      <x:c r="SWL62" s="291"/>
      <x:c r="SWM62" s="291"/>
      <x:c r="SWN62" s="291"/>
      <x:c r="SWO62" s="291"/>
      <x:c r="SWP62" s="291"/>
      <x:c r="SWQ62" s="291"/>
      <x:c r="SWR62" s="291"/>
      <x:c r="SWS62" s="291"/>
      <x:c r="SWT62" s="291"/>
      <x:c r="SWU62" s="291"/>
      <x:c r="SWV62" s="291"/>
      <x:c r="SWW62" s="291"/>
      <x:c r="SWX62" s="291"/>
      <x:c r="SWY62" s="291"/>
      <x:c r="SWZ62" s="291"/>
      <x:c r="SXA62" s="291"/>
      <x:c r="SXB62" s="291"/>
      <x:c r="SXC62" s="291"/>
      <x:c r="SXD62" s="291"/>
      <x:c r="SXE62" s="291"/>
      <x:c r="SXF62" s="291"/>
      <x:c r="SXG62" s="291"/>
      <x:c r="SXH62" s="291"/>
      <x:c r="SXI62" s="291"/>
      <x:c r="SXJ62" s="291"/>
      <x:c r="SXK62" s="291"/>
      <x:c r="SXL62" s="291"/>
      <x:c r="SXM62" s="291"/>
      <x:c r="SXN62" s="291"/>
      <x:c r="SXO62" s="291"/>
      <x:c r="SXP62" s="291"/>
      <x:c r="SXQ62" s="291"/>
      <x:c r="SXR62" s="291"/>
      <x:c r="SXS62" s="291"/>
      <x:c r="SXT62" s="291"/>
      <x:c r="SXU62" s="291"/>
      <x:c r="SXV62" s="291"/>
      <x:c r="SXW62" s="291"/>
      <x:c r="SXX62" s="291"/>
      <x:c r="SXY62" s="291"/>
      <x:c r="SXZ62" s="291"/>
      <x:c r="SYA62" s="291"/>
      <x:c r="SYB62" s="291"/>
      <x:c r="SYC62" s="291"/>
      <x:c r="SYD62" s="291"/>
      <x:c r="SYE62" s="291"/>
      <x:c r="SYF62" s="291"/>
      <x:c r="SYG62" s="291"/>
      <x:c r="SYH62" s="291"/>
      <x:c r="SYI62" s="291"/>
      <x:c r="SYJ62" s="291"/>
      <x:c r="SYK62" s="291"/>
      <x:c r="SYL62" s="291"/>
      <x:c r="SYM62" s="291"/>
      <x:c r="SYN62" s="291"/>
      <x:c r="SYO62" s="291"/>
      <x:c r="SYP62" s="291"/>
      <x:c r="SYQ62" s="291"/>
      <x:c r="SYR62" s="291"/>
      <x:c r="SYS62" s="291"/>
      <x:c r="SYT62" s="291"/>
      <x:c r="SYU62" s="291"/>
      <x:c r="SYV62" s="291"/>
      <x:c r="SYW62" s="291"/>
      <x:c r="SYX62" s="291"/>
      <x:c r="SYY62" s="291"/>
      <x:c r="SYZ62" s="291"/>
      <x:c r="SZA62" s="291"/>
      <x:c r="SZB62" s="291"/>
      <x:c r="SZC62" s="291"/>
      <x:c r="SZD62" s="291"/>
      <x:c r="SZE62" s="291"/>
      <x:c r="SZF62" s="291"/>
      <x:c r="SZG62" s="291"/>
      <x:c r="SZH62" s="291"/>
      <x:c r="SZI62" s="291"/>
      <x:c r="SZJ62" s="291"/>
      <x:c r="SZK62" s="291"/>
      <x:c r="SZL62" s="291"/>
      <x:c r="SZM62" s="291"/>
      <x:c r="SZN62" s="291"/>
      <x:c r="SZO62" s="291"/>
      <x:c r="SZP62" s="291"/>
      <x:c r="SZQ62" s="291"/>
      <x:c r="SZR62" s="291"/>
      <x:c r="SZS62" s="291"/>
      <x:c r="SZT62" s="291"/>
      <x:c r="SZU62" s="291"/>
      <x:c r="SZV62" s="291"/>
      <x:c r="SZW62" s="291"/>
      <x:c r="SZX62" s="291"/>
      <x:c r="SZY62" s="291"/>
      <x:c r="SZZ62" s="291"/>
      <x:c r="TAA62" s="291"/>
      <x:c r="TAB62" s="291"/>
      <x:c r="TAC62" s="291"/>
      <x:c r="TAD62" s="291"/>
      <x:c r="TAE62" s="291"/>
      <x:c r="TAF62" s="291"/>
      <x:c r="TAG62" s="291"/>
      <x:c r="TAH62" s="291"/>
      <x:c r="TAI62" s="291"/>
      <x:c r="TAJ62" s="291"/>
      <x:c r="TAK62" s="291"/>
      <x:c r="TAL62" s="291"/>
      <x:c r="TAM62" s="291"/>
      <x:c r="TAN62" s="291"/>
      <x:c r="TAO62" s="291"/>
      <x:c r="TAP62" s="291"/>
      <x:c r="TAQ62" s="291"/>
      <x:c r="TAR62" s="291"/>
      <x:c r="TAS62" s="291"/>
      <x:c r="TAT62" s="291"/>
      <x:c r="TAU62" s="291"/>
      <x:c r="TAV62" s="291"/>
      <x:c r="TAW62" s="291"/>
      <x:c r="TAX62" s="291"/>
      <x:c r="TAY62" s="291"/>
      <x:c r="TAZ62" s="291"/>
      <x:c r="TBA62" s="291"/>
      <x:c r="TBB62" s="291"/>
      <x:c r="TBC62" s="291"/>
      <x:c r="TBD62" s="291"/>
      <x:c r="TBE62" s="291"/>
      <x:c r="TBF62" s="291"/>
      <x:c r="TBG62" s="291"/>
      <x:c r="TBH62" s="291"/>
      <x:c r="TBI62" s="291"/>
      <x:c r="TBJ62" s="291"/>
      <x:c r="TBK62" s="291"/>
      <x:c r="TBL62" s="291"/>
      <x:c r="TBM62" s="291"/>
      <x:c r="TBN62" s="291"/>
      <x:c r="TBO62" s="291"/>
      <x:c r="TBP62" s="291"/>
      <x:c r="TBQ62" s="291"/>
      <x:c r="TBR62" s="291"/>
      <x:c r="TBS62" s="291"/>
      <x:c r="TBT62" s="291"/>
      <x:c r="TBU62" s="291"/>
      <x:c r="TBV62" s="291"/>
      <x:c r="TBW62" s="291"/>
      <x:c r="TBX62" s="291"/>
      <x:c r="TBY62" s="291"/>
      <x:c r="TBZ62" s="291"/>
      <x:c r="TCA62" s="291"/>
      <x:c r="TCB62" s="291"/>
      <x:c r="TCC62" s="291"/>
      <x:c r="TCD62" s="291"/>
      <x:c r="TCE62" s="291"/>
      <x:c r="TCF62" s="291"/>
      <x:c r="TCG62" s="291"/>
      <x:c r="TCH62" s="291"/>
      <x:c r="TCI62" s="291"/>
      <x:c r="TCJ62" s="291"/>
      <x:c r="TCK62" s="291"/>
      <x:c r="TCL62" s="291"/>
      <x:c r="TCM62" s="291"/>
      <x:c r="TCN62" s="291"/>
      <x:c r="TCO62" s="291"/>
      <x:c r="TCP62" s="291"/>
      <x:c r="TCQ62" s="291"/>
      <x:c r="TCR62" s="291"/>
      <x:c r="TCS62" s="291"/>
      <x:c r="TCT62" s="291"/>
      <x:c r="TCU62" s="291"/>
      <x:c r="TCV62" s="291"/>
      <x:c r="TCW62" s="291"/>
      <x:c r="TCX62" s="291"/>
      <x:c r="TCY62" s="291"/>
      <x:c r="TCZ62" s="291"/>
      <x:c r="TDA62" s="291"/>
      <x:c r="TDB62" s="291"/>
      <x:c r="TDC62" s="291"/>
      <x:c r="TDD62" s="291"/>
      <x:c r="TDE62" s="291"/>
      <x:c r="TDF62" s="291"/>
      <x:c r="TDG62" s="291"/>
      <x:c r="TDH62" s="291"/>
      <x:c r="TDI62" s="291"/>
      <x:c r="TDJ62" s="291"/>
      <x:c r="TDK62" s="291"/>
      <x:c r="TDL62" s="291"/>
      <x:c r="TDM62" s="291"/>
      <x:c r="TDN62" s="291"/>
      <x:c r="TDO62" s="291"/>
      <x:c r="TDP62" s="291"/>
      <x:c r="TDQ62" s="291"/>
      <x:c r="TDR62" s="291"/>
      <x:c r="TDS62" s="291"/>
      <x:c r="TDT62" s="291"/>
      <x:c r="TDU62" s="291"/>
      <x:c r="TDV62" s="291"/>
      <x:c r="TDW62" s="291"/>
      <x:c r="TDX62" s="291"/>
      <x:c r="TDY62" s="291"/>
      <x:c r="TDZ62" s="291"/>
      <x:c r="TEA62" s="291"/>
      <x:c r="TEB62" s="291"/>
      <x:c r="TEC62" s="291"/>
      <x:c r="TED62" s="291"/>
      <x:c r="TEE62" s="291"/>
      <x:c r="TEF62" s="291"/>
      <x:c r="TEG62" s="291"/>
      <x:c r="TEH62" s="291"/>
      <x:c r="TEI62" s="291"/>
      <x:c r="TEJ62" s="291"/>
      <x:c r="TEK62" s="291"/>
      <x:c r="TEL62" s="291"/>
      <x:c r="TEM62" s="291"/>
      <x:c r="TEN62" s="291"/>
      <x:c r="TEO62" s="291"/>
      <x:c r="TEP62" s="291"/>
      <x:c r="TEQ62" s="291"/>
      <x:c r="TER62" s="291"/>
      <x:c r="TES62" s="291"/>
      <x:c r="TET62" s="291"/>
      <x:c r="TEU62" s="291"/>
      <x:c r="TEV62" s="291"/>
      <x:c r="TEW62" s="291"/>
      <x:c r="TEX62" s="291"/>
      <x:c r="TEY62" s="291"/>
      <x:c r="TEZ62" s="291"/>
      <x:c r="TFA62" s="291"/>
      <x:c r="TFB62" s="291"/>
      <x:c r="TFC62" s="291"/>
      <x:c r="TFD62" s="291"/>
      <x:c r="TFE62" s="291"/>
      <x:c r="TFF62" s="291"/>
      <x:c r="TFG62" s="291"/>
      <x:c r="TFH62" s="291"/>
      <x:c r="TFI62" s="291"/>
      <x:c r="TFJ62" s="291"/>
      <x:c r="TFK62" s="291"/>
      <x:c r="TFL62" s="291"/>
      <x:c r="TFM62" s="291"/>
      <x:c r="TFN62" s="291"/>
      <x:c r="TFO62" s="291"/>
      <x:c r="TFP62" s="291"/>
      <x:c r="TFQ62" s="291"/>
      <x:c r="TFR62" s="291"/>
      <x:c r="TFS62" s="291"/>
      <x:c r="TFT62" s="291"/>
      <x:c r="TFU62" s="291"/>
      <x:c r="TFV62" s="291"/>
      <x:c r="TFW62" s="291"/>
      <x:c r="TFX62" s="291"/>
      <x:c r="TFY62" s="291"/>
      <x:c r="TFZ62" s="291"/>
      <x:c r="TGA62" s="291"/>
      <x:c r="TGB62" s="291"/>
      <x:c r="TGC62" s="291"/>
      <x:c r="TGD62" s="291"/>
      <x:c r="TGE62" s="291"/>
      <x:c r="TGF62" s="291"/>
      <x:c r="TGG62" s="291"/>
      <x:c r="TGH62" s="291"/>
      <x:c r="TGI62" s="291"/>
      <x:c r="TGJ62" s="291"/>
      <x:c r="TGK62" s="291"/>
      <x:c r="TGL62" s="291"/>
      <x:c r="TGM62" s="291"/>
      <x:c r="TGN62" s="291"/>
      <x:c r="TGO62" s="291"/>
      <x:c r="TGP62" s="291"/>
      <x:c r="TGQ62" s="291"/>
      <x:c r="TGR62" s="291"/>
      <x:c r="TGS62" s="291"/>
      <x:c r="TGT62" s="291"/>
      <x:c r="TGU62" s="291"/>
      <x:c r="TGV62" s="291"/>
      <x:c r="TGW62" s="291"/>
      <x:c r="TGX62" s="291"/>
      <x:c r="TGY62" s="291"/>
      <x:c r="TGZ62" s="291"/>
      <x:c r="THA62" s="291"/>
      <x:c r="THB62" s="291"/>
      <x:c r="THC62" s="291"/>
      <x:c r="THD62" s="291"/>
      <x:c r="THE62" s="291"/>
      <x:c r="THF62" s="291"/>
      <x:c r="THG62" s="291"/>
      <x:c r="THH62" s="291"/>
      <x:c r="THI62" s="291"/>
      <x:c r="THJ62" s="291"/>
      <x:c r="THK62" s="291"/>
      <x:c r="THL62" s="291"/>
      <x:c r="THM62" s="291"/>
      <x:c r="THN62" s="291"/>
      <x:c r="THO62" s="291"/>
      <x:c r="THP62" s="291"/>
      <x:c r="THQ62" s="291"/>
      <x:c r="THR62" s="291"/>
      <x:c r="THS62" s="291"/>
      <x:c r="THT62" s="291"/>
      <x:c r="THU62" s="291"/>
      <x:c r="THV62" s="291"/>
      <x:c r="THW62" s="291"/>
      <x:c r="THX62" s="291"/>
      <x:c r="THY62" s="291"/>
      <x:c r="THZ62" s="291"/>
      <x:c r="TIA62" s="291"/>
      <x:c r="TIB62" s="291"/>
      <x:c r="TIC62" s="291"/>
      <x:c r="TID62" s="291"/>
      <x:c r="TIE62" s="291"/>
      <x:c r="TIF62" s="291"/>
      <x:c r="TIG62" s="291"/>
      <x:c r="TIH62" s="291"/>
      <x:c r="TII62" s="291"/>
      <x:c r="TIJ62" s="291"/>
      <x:c r="TIK62" s="291"/>
      <x:c r="TIL62" s="291"/>
      <x:c r="TIM62" s="291"/>
      <x:c r="TIN62" s="291"/>
      <x:c r="TIO62" s="291"/>
      <x:c r="TIP62" s="291"/>
      <x:c r="TIQ62" s="291"/>
      <x:c r="TIR62" s="291"/>
      <x:c r="TIS62" s="291"/>
      <x:c r="TIT62" s="291"/>
      <x:c r="TIU62" s="291"/>
      <x:c r="TIV62" s="291"/>
      <x:c r="TIW62" s="291"/>
      <x:c r="TIX62" s="291"/>
      <x:c r="TIY62" s="291"/>
      <x:c r="TIZ62" s="291"/>
      <x:c r="TJA62" s="291"/>
      <x:c r="TJB62" s="291"/>
      <x:c r="TJC62" s="291"/>
      <x:c r="TJD62" s="291"/>
      <x:c r="TJE62" s="291"/>
      <x:c r="TJF62" s="291"/>
      <x:c r="TJG62" s="291"/>
      <x:c r="TJH62" s="291"/>
      <x:c r="TJI62" s="291"/>
      <x:c r="TJJ62" s="291"/>
      <x:c r="TJK62" s="291"/>
      <x:c r="TJL62" s="291"/>
      <x:c r="TJM62" s="291"/>
      <x:c r="TJN62" s="291"/>
      <x:c r="TJO62" s="291"/>
      <x:c r="TJP62" s="291"/>
      <x:c r="TJQ62" s="291"/>
      <x:c r="TJR62" s="291"/>
      <x:c r="TJS62" s="291"/>
      <x:c r="TJT62" s="291"/>
      <x:c r="TJU62" s="291"/>
      <x:c r="TJV62" s="291"/>
      <x:c r="TJW62" s="291"/>
      <x:c r="TJX62" s="291"/>
      <x:c r="TJY62" s="291"/>
      <x:c r="TJZ62" s="291"/>
      <x:c r="TKA62" s="291"/>
      <x:c r="TKB62" s="291"/>
      <x:c r="TKC62" s="291"/>
      <x:c r="TKD62" s="291"/>
      <x:c r="TKE62" s="291"/>
      <x:c r="TKF62" s="291"/>
      <x:c r="TKG62" s="291"/>
      <x:c r="TKH62" s="291"/>
      <x:c r="TKI62" s="291"/>
      <x:c r="TKJ62" s="291"/>
      <x:c r="TKK62" s="291"/>
      <x:c r="TKL62" s="291"/>
      <x:c r="TKM62" s="291"/>
      <x:c r="TKN62" s="291"/>
      <x:c r="TKO62" s="291"/>
      <x:c r="TKP62" s="291"/>
      <x:c r="TKQ62" s="291"/>
      <x:c r="TKR62" s="291"/>
      <x:c r="TKS62" s="291"/>
      <x:c r="TKT62" s="291"/>
      <x:c r="TKU62" s="291"/>
      <x:c r="TKV62" s="291"/>
      <x:c r="TKW62" s="291"/>
      <x:c r="TKX62" s="291"/>
      <x:c r="TKY62" s="291"/>
      <x:c r="TKZ62" s="291"/>
      <x:c r="TLA62" s="291"/>
      <x:c r="TLB62" s="291"/>
      <x:c r="TLC62" s="291"/>
      <x:c r="TLD62" s="291"/>
      <x:c r="TLE62" s="291"/>
      <x:c r="TLF62" s="291"/>
      <x:c r="TLG62" s="291"/>
      <x:c r="TLH62" s="291"/>
      <x:c r="TLI62" s="291"/>
      <x:c r="TLJ62" s="291"/>
      <x:c r="TLK62" s="291"/>
      <x:c r="TLL62" s="291"/>
      <x:c r="TLM62" s="291"/>
      <x:c r="TLN62" s="291"/>
      <x:c r="TLO62" s="291"/>
      <x:c r="TLP62" s="291"/>
      <x:c r="TLQ62" s="291"/>
      <x:c r="TLR62" s="291"/>
      <x:c r="TLS62" s="291"/>
      <x:c r="TLT62" s="291"/>
      <x:c r="TLU62" s="291"/>
      <x:c r="TLV62" s="291"/>
      <x:c r="TLW62" s="291"/>
      <x:c r="TLX62" s="291"/>
      <x:c r="TLY62" s="291"/>
      <x:c r="TLZ62" s="291"/>
      <x:c r="TMA62" s="291"/>
      <x:c r="TMB62" s="291"/>
      <x:c r="TMC62" s="291"/>
      <x:c r="TMD62" s="291"/>
      <x:c r="TME62" s="291"/>
      <x:c r="TMF62" s="291"/>
      <x:c r="TMG62" s="291"/>
      <x:c r="TMH62" s="291"/>
      <x:c r="TMI62" s="291"/>
      <x:c r="TMJ62" s="291"/>
      <x:c r="TMK62" s="291"/>
      <x:c r="TML62" s="291"/>
      <x:c r="TMM62" s="291"/>
      <x:c r="TMN62" s="291"/>
      <x:c r="TMO62" s="291"/>
      <x:c r="TMP62" s="291"/>
      <x:c r="TMQ62" s="291"/>
      <x:c r="TMR62" s="291"/>
      <x:c r="TMS62" s="291"/>
      <x:c r="TMT62" s="291"/>
      <x:c r="TMU62" s="291"/>
      <x:c r="TMV62" s="291"/>
      <x:c r="TMW62" s="291"/>
      <x:c r="TMX62" s="291"/>
      <x:c r="TMY62" s="291"/>
      <x:c r="TMZ62" s="291"/>
      <x:c r="TNA62" s="291"/>
      <x:c r="TNB62" s="291"/>
      <x:c r="TNC62" s="291"/>
      <x:c r="TND62" s="291"/>
      <x:c r="TNE62" s="291"/>
      <x:c r="TNF62" s="291"/>
      <x:c r="TNG62" s="291"/>
      <x:c r="TNH62" s="291"/>
      <x:c r="TNI62" s="291"/>
      <x:c r="TNJ62" s="291"/>
      <x:c r="TNK62" s="291"/>
      <x:c r="TNL62" s="291"/>
      <x:c r="TNM62" s="291"/>
      <x:c r="TNN62" s="291"/>
      <x:c r="TNO62" s="291"/>
      <x:c r="TNP62" s="291"/>
      <x:c r="TNQ62" s="291"/>
      <x:c r="TNR62" s="291"/>
      <x:c r="TNS62" s="291"/>
      <x:c r="TNT62" s="291"/>
      <x:c r="TNU62" s="291"/>
      <x:c r="TNV62" s="291"/>
      <x:c r="TNW62" s="291"/>
      <x:c r="TNX62" s="291"/>
      <x:c r="TNY62" s="291"/>
      <x:c r="TNZ62" s="291"/>
      <x:c r="TOA62" s="291"/>
      <x:c r="TOB62" s="291"/>
      <x:c r="TOC62" s="291"/>
      <x:c r="TOD62" s="291"/>
      <x:c r="TOE62" s="291"/>
      <x:c r="TOF62" s="291"/>
      <x:c r="TOG62" s="291"/>
      <x:c r="TOH62" s="291"/>
      <x:c r="TOI62" s="291"/>
      <x:c r="TOJ62" s="291"/>
      <x:c r="TOK62" s="291"/>
      <x:c r="TOL62" s="291"/>
      <x:c r="TOM62" s="291"/>
      <x:c r="TON62" s="291"/>
      <x:c r="TOO62" s="291"/>
      <x:c r="TOP62" s="291"/>
      <x:c r="TOQ62" s="291"/>
      <x:c r="TOR62" s="291"/>
      <x:c r="TOS62" s="291"/>
      <x:c r="TOT62" s="291"/>
      <x:c r="TOU62" s="291"/>
      <x:c r="TOV62" s="291"/>
      <x:c r="TOW62" s="291"/>
      <x:c r="TOX62" s="291"/>
      <x:c r="TOY62" s="291"/>
      <x:c r="TOZ62" s="291"/>
      <x:c r="TPA62" s="291"/>
      <x:c r="TPB62" s="291"/>
      <x:c r="TPC62" s="291"/>
      <x:c r="TPD62" s="291"/>
      <x:c r="TPE62" s="291"/>
      <x:c r="TPF62" s="291"/>
      <x:c r="TPG62" s="291"/>
      <x:c r="TPH62" s="291"/>
      <x:c r="TPI62" s="291"/>
      <x:c r="TPJ62" s="291"/>
      <x:c r="TPK62" s="291"/>
      <x:c r="TPL62" s="291"/>
      <x:c r="TPM62" s="291"/>
      <x:c r="TPN62" s="291"/>
      <x:c r="TPO62" s="291"/>
      <x:c r="TPP62" s="291"/>
      <x:c r="TPQ62" s="291"/>
      <x:c r="TPR62" s="291"/>
      <x:c r="TPS62" s="291"/>
      <x:c r="TPT62" s="291"/>
      <x:c r="TPU62" s="291"/>
      <x:c r="TPV62" s="291"/>
      <x:c r="TPW62" s="291"/>
      <x:c r="TPX62" s="291"/>
      <x:c r="TPY62" s="291"/>
      <x:c r="TPZ62" s="291"/>
      <x:c r="TQA62" s="291"/>
      <x:c r="TQB62" s="291"/>
      <x:c r="TQC62" s="291"/>
      <x:c r="TQD62" s="291"/>
      <x:c r="TQE62" s="291"/>
      <x:c r="TQF62" s="291"/>
      <x:c r="TQG62" s="291"/>
      <x:c r="TQH62" s="291"/>
      <x:c r="TQI62" s="291"/>
      <x:c r="TQJ62" s="291"/>
      <x:c r="TQK62" s="291"/>
      <x:c r="TQL62" s="291"/>
      <x:c r="TQM62" s="291"/>
      <x:c r="TQN62" s="291"/>
      <x:c r="TQO62" s="291"/>
      <x:c r="TQP62" s="291"/>
      <x:c r="TQQ62" s="291"/>
      <x:c r="TQR62" s="291"/>
      <x:c r="TQS62" s="291"/>
      <x:c r="TQT62" s="291"/>
      <x:c r="TQU62" s="291"/>
      <x:c r="TQV62" s="291"/>
      <x:c r="TQW62" s="291"/>
      <x:c r="TQX62" s="291"/>
      <x:c r="TQY62" s="291"/>
      <x:c r="TQZ62" s="291"/>
      <x:c r="TRA62" s="291"/>
      <x:c r="TRB62" s="291"/>
      <x:c r="TRC62" s="291"/>
      <x:c r="TRD62" s="291"/>
      <x:c r="TRE62" s="291"/>
      <x:c r="TRF62" s="291"/>
      <x:c r="TRG62" s="291"/>
      <x:c r="TRH62" s="291"/>
      <x:c r="TRI62" s="291"/>
      <x:c r="TRJ62" s="291"/>
      <x:c r="TRK62" s="291"/>
      <x:c r="TRL62" s="291"/>
      <x:c r="TRM62" s="291"/>
      <x:c r="TRN62" s="291"/>
      <x:c r="TRO62" s="291"/>
      <x:c r="TRP62" s="291"/>
      <x:c r="TRQ62" s="291"/>
      <x:c r="TRR62" s="291"/>
      <x:c r="TRS62" s="291"/>
      <x:c r="TRT62" s="291"/>
      <x:c r="TRU62" s="291"/>
      <x:c r="TRV62" s="291"/>
      <x:c r="TRW62" s="291"/>
      <x:c r="TRX62" s="291"/>
      <x:c r="TRY62" s="291"/>
      <x:c r="TRZ62" s="291"/>
      <x:c r="TSA62" s="291"/>
      <x:c r="TSB62" s="291"/>
      <x:c r="TSC62" s="291"/>
      <x:c r="TSD62" s="291"/>
      <x:c r="TSE62" s="291"/>
      <x:c r="TSF62" s="291"/>
      <x:c r="TSG62" s="291"/>
      <x:c r="TSH62" s="291"/>
      <x:c r="TSI62" s="291"/>
      <x:c r="TSJ62" s="291"/>
      <x:c r="TSK62" s="291"/>
      <x:c r="TSL62" s="291"/>
      <x:c r="TSM62" s="291"/>
      <x:c r="TSN62" s="291"/>
      <x:c r="TSO62" s="291"/>
      <x:c r="TSP62" s="291"/>
      <x:c r="TSQ62" s="291"/>
      <x:c r="TSR62" s="291"/>
      <x:c r="TSS62" s="291"/>
      <x:c r="TST62" s="291"/>
      <x:c r="TSU62" s="291"/>
      <x:c r="TSV62" s="291"/>
      <x:c r="TSW62" s="291"/>
      <x:c r="TSX62" s="291"/>
      <x:c r="TSY62" s="291"/>
      <x:c r="TSZ62" s="291"/>
      <x:c r="TTA62" s="291"/>
      <x:c r="TTB62" s="291"/>
      <x:c r="TTC62" s="291"/>
      <x:c r="TTD62" s="291"/>
      <x:c r="TTE62" s="291"/>
      <x:c r="TTF62" s="291"/>
      <x:c r="TTG62" s="291"/>
      <x:c r="TTH62" s="291"/>
      <x:c r="TTI62" s="291"/>
      <x:c r="TTJ62" s="291"/>
      <x:c r="TTK62" s="291"/>
      <x:c r="TTL62" s="291"/>
      <x:c r="TTM62" s="291"/>
      <x:c r="TTN62" s="291"/>
      <x:c r="TTO62" s="291"/>
      <x:c r="TTP62" s="291"/>
      <x:c r="TTQ62" s="291"/>
      <x:c r="TTR62" s="291"/>
      <x:c r="TTS62" s="291"/>
      <x:c r="TTT62" s="291"/>
      <x:c r="TTU62" s="291"/>
      <x:c r="TTV62" s="291"/>
      <x:c r="TTW62" s="291"/>
      <x:c r="TTX62" s="291"/>
      <x:c r="TTY62" s="291"/>
      <x:c r="TTZ62" s="291"/>
      <x:c r="TUA62" s="291"/>
      <x:c r="TUB62" s="291"/>
      <x:c r="TUC62" s="291"/>
      <x:c r="TUD62" s="291"/>
      <x:c r="TUE62" s="291"/>
      <x:c r="TUF62" s="291"/>
      <x:c r="TUG62" s="291"/>
      <x:c r="TUH62" s="291"/>
      <x:c r="TUI62" s="291"/>
      <x:c r="TUJ62" s="291"/>
      <x:c r="TUK62" s="291"/>
      <x:c r="TUL62" s="291"/>
      <x:c r="TUM62" s="291"/>
      <x:c r="TUN62" s="291"/>
      <x:c r="TUO62" s="291"/>
      <x:c r="TUP62" s="291"/>
      <x:c r="TUQ62" s="291"/>
      <x:c r="TUR62" s="291"/>
      <x:c r="TUS62" s="291"/>
      <x:c r="TUT62" s="291"/>
      <x:c r="TUU62" s="291"/>
      <x:c r="TUV62" s="291"/>
      <x:c r="TUW62" s="291"/>
      <x:c r="TUX62" s="291"/>
      <x:c r="TUY62" s="291"/>
      <x:c r="TUZ62" s="291"/>
      <x:c r="TVA62" s="291"/>
      <x:c r="TVB62" s="291"/>
      <x:c r="TVC62" s="291"/>
      <x:c r="TVD62" s="291"/>
      <x:c r="TVE62" s="291"/>
      <x:c r="TVF62" s="291"/>
      <x:c r="TVG62" s="291"/>
      <x:c r="TVH62" s="291"/>
      <x:c r="TVI62" s="291"/>
      <x:c r="TVJ62" s="291"/>
      <x:c r="TVK62" s="291"/>
      <x:c r="TVL62" s="291"/>
      <x:c r="TVM62" s="291"/>
      <x:c r="TVN62" s="291"/>
      <x:c r="TVO62" s="291"/>
      <x:c r="TVP62" s="291"/>
      <x:c r="TVQ62" s="291"/>
      <x:c r="TVR62" s="291"/>
      <x:c r="TVS62" s="291"/>
      <x:c r="TVT62" s="291"/>
      <x:c r="TVU62" s="291"/>
      <x:c r="TVV62" s="291"/>
      <x:c r="TVW62" s="291"/>
      <x:c r="TVX62" s="291"/>
      <x:c r="TVY62" s="291"/>
      <x:c r="TVZ62" s="291"/>
      <x:c r="TWA62" s="291"/>
      <x:c r="TWB62" s="291"/>
      <x:c r="TWC62" s="291"/>
      <x:c r="TWD62" s="291"/>
      <x:c r="TWE62" s="291"/>
      <x:c r="TWF62" s="291"/>
      <x:c r="TWG62" s="291"/>
      <x:c r="TWH62" s="291"/>
      <x:c r="TWI62" s="291"/>
      <x:c r="TWJ62" s="291"/>
      <x:c r="TWK62" s="291"/>
      <x:c r="TWL62" s="291"/>
      <x:c r="TWM62" s="291"/>
      <x:c r="TWN62" s="291"/>
      <x:c r="TWO62" s="291"/>
      <x:c r="TWP62" s="291"/>
      <x:c r="TWQ62" s="291"/>
      <x:c r="TWR62" s="291"/>
      <x:c r="TWS62" s="291"/>
      <x:c r="TWT62" s="291"/>
      <x:c r="TWU62" s="291"/>
      <x:c r="TWV62" s="291"/>
      <x:c r="TWW62" s="291"/>
      <x:c r="TWX62" s="291"/>
      <x:c r="TWY62" s="291"/>
      <x:c r="TWZ62" s="291"/>
      <x:c r="TXA62" s="291"/>
      <x:c r="TXB62" s="291"/>
      <x:c r="TXC62" s="291"/>
      <x:c r="TXD62" s="291"/>
      <x:c r="TXE62" s="291"/>
      <x:c r="TXF62" s="291"/>
      <x:c r="TXG62" s="291"/>
      <x:c r="TXH62" s="291"/>
      <x:c r="TXI62" s="291"/>
      <x:c r="TXJ62" s="291"/>
      <x:c r="TXK62" s="291"/>
      <x:c r="TXL62" s="291"/>
      <x:c r="TXM62" s="291"/>
      <x:c r="TXN62" s="291"/>
      <x:c r="TXO62" s="291"/>
      <x:c r="TXP62" s="291"/>
      <x:c r="TXQ62" s="291"/>
      <x:c r="TXR62" s="291"/>
      <x:c r="TXS62" s="291"/>
      <x:c r="TXT62" s="291"/>
      <x:c r="TXU62" s="291"/>
      <x:c r="TXV62" s="291"/>
      <x:c r="TXW62" s="291"/>
      <x:c r="TXX62" s="291"/>
      <x:c r="TXY62" s="291"/>
      <x:c r="TXZ62" s="291"/>
      <x:c r="TYA62" s="291"/>
      <x:c r="TYB62" s="291"/>
      <x:c r="TYC62" s="291"/>
      <x:c r="TYD62" s="291"/>
      <x:c r="TYE62" s="291"/>
      <x:c r="TYF62" s="291"/>
      <x:c r="TYG62" s="291"/>
      <x:c r="TYH62" s="291"/>
      <x:c r="TYI62" s="291"/>
      <x:c r="TYJ62" s="291"/>
      <x:c r="TYK62" s="291"/>
      <x:c r="TYL62" s="291"/>
      <x:c r="TYM62" s="291"/>
      <x:c r="TYN62" s="291"/>
      <x:c r="TYO62" s="291"/>
      <x:c r="TYP62" s="291"/>
      <x:c r="TYQ62" s="291"/>
      <x:c r="TYR62" s="291"/>
      <x:c r="TYS62" s="291"/>
      <x:c r="TYT62" s="291"/>
      <x:c r="TYU62" s="291"/>
      <x:c r="TYV62" s="291"/>
      <x:c r="TYW62" s="291"/>
      <x:c r="TYX62" s="291"/>
      <x:c r="TYY62" s="291"/>
      <x:c r="TYZ62" s="291"/>
      <x:c r="TZA62" s="291"/>
      <x:c r="TZB62" s="291"/>
      <x:c r="TZC62" s="291"/>
      <x:c r="TZD62" s="291"/>
      <x:c r="TZE62" s="291"/>
      <x:c r="TZF62" s="291"/>
      <x:c r="TZG62" s="291"/>
      <x:c r="TZH62" s="291"/>
      <x:c r="TZI62" s="291"/>
      <x:c r="TZJ62" s="291"/>
      <x:c r="TZK62" s="291"/>
      <x:c r="TZL62" s="291"/>
      <x:c r="TZM62" s="291"/>
      <x:c r="TZN62" s="291"/>
      <x:c r="TZO62" s="291"/>
      <x:c r="TZP62" s="291"/>
      <x:c r="TZQ62" s="291"/>
      <x:c r="TZR62" s="291"/>
      <x:c r="TZS62" s="291"/>
      <x:c r="TZT62" s="291"/>
      <x:c r="TZU62" s="291"/>
      <x:c r="TZV62" s="291"/>
      <x:c r="TZW62" s="291"/>
      <x:c r="TZX62" s="291"/>
      <x:c r="TZY62" s="291"/>
      <x:c r="TZZ62" s="291"/>
      <x:c r="UAA62" s="291"/>
      <x:c r="UAB62" s="291"/>
      <x:c r="UAC62" s="291"/>
      <x:c r="UAD62" s="291"/>
      <x:c r="UAE62" s="291"/>
      <x:c r="UAF62" s="291"/>
      <x:c r="UAG62" s="291"/>
      <x:c r="UAH62" s="291"/>
      <x:c r="UAI62" s="291"/>
      <x:c r="UAJ62" s="291"/>
      <x:c r="UAK62" s="291"/>
      <x:c r="UAL62" s="291"/>
      <x:c r="UAM62" s="291"/>
      <x:c r="UAN62" s="291"/>
      <x:c r="UAO62" s="291"/>
      <x:c r="UAP62" s="291"/>
      <x:c r="UAQ62" s="291"/>
      <x:c r="UAR62" s="291"/>
      <x:c r="UAS62" s="291"/>
      <x:c r="UAT62" s="291"/>
      <x:c r="UAU62" s="291"/>
      <x:c r="UAV62" s="291"/>
      <x:c r="UAW62" s="291"/>
      <x:c r="UAX62" s="291"/>
      <x:c r="UAY62" s="291"/>
      <x:c r="UAZ62" s="291"/>
      <x:c r="UBA62" s="291"/>
      <x:c r="UBB62" s="291"/>
      <x:c r="UBC62" s="291"/>
      <x:c r="UBD62" s="291"/>
      <x:c r="UBE62" s="291"/>
      <x:c r="UBF62" s="291"/>
      <x:c r="UBG62" s="291"/>
      <x:c r="UBH62" s="291"/>
      <x:c r="UBI62" s="291"/>
      <x:c r="UBJ62" s="291"/>
      <x:c r="UBK62" s="291"/>
      <x:c r="UBL62" s="291"/>
      <x:c r="UBM62" s="291"/>
      <x:c r="UBN62" s="291"/>
      <x:c r="UBO62" s="291"/>
      <x:c r="UBP62" s="291"/>
      <x:c r="UBQ62" s="291"/>
      <x:c r="UBR62" s="291"/>
      <x:c r="UBS62" s="291"/>
      <x:c r="UBT62" s="291"/>
      <x:c r="UBU62" s="291"/>
      <x:c r="UBV62" s="291"/>
      <x:c r="UBW62" s="291"/>
      <x:c r="UBX62" s="291"/>
      <x:c r="UBY62" s="291"/>
      <x:c r="UBZ62" s="291"/>
      <x:c r="UCA62" s="291"/>
      <x:c r="UCB62" s="291"/>
      <x:c r="UCC62" s="291"/>
      <x:c r="UCD62" s="291"/>
      <x:c r="UCE62" s="291"/>
      <x:c r="UCF62" s="291"/>
      <x:c r="UCG62" s="291"/>
      <x:c r="UCH62" s="291"/>
      <x:c r="UCI62" s="291"/>
      <x:c r="UCJ62" s="291"/>
      <x:c r="UCK62" s="291"/>
      <x:c r="UCL62" s="291"/>
      <x:c r="UCM62" s="291"/>
      <x:c r="UCN62" s="291"/>
      <x:c r="UCO62" s="291"/>
      <x:c r="UCP62" s="291"/>
      <x:c r="UCQ62" s="291"/>
      <x:c r="UCR62" s="291"/>
      <x:c r="UCS62" s="291"/>
      <x:c r="UCT62" s="291"/>
      <x:c r="UCU62" s="291"/>
      <x:c r="UCV62" s="291"/>
      <x:c r="UCW62" s="291"/>
      <x:c r="UCX62" s="291"/>
      <x:c r="UCY62" s="291"/>
      <x:c r="UCZ62" s="291"/>
      <x:c r="UDA62" s="291"/>
      <x:c r="UDB62" s="291"/>
      <x:c r="UDC62" s="291"/>
      <x:c r="UDD62" s="291"/>
      <x:c r="UDE62" s="291"/>
      <x:c r="UDF62" s="291"/>
      <x:c r="UDG62" s="291"/>
      <x:c r="UDH62" s="291"/>
      <x:c r="UDI62" s="291"/>
      <x:c r="UDJ62" s="291"/>
      <x:c r="UDK62" s="291"/>
      <x:c r="UDL62" s="291"/>
      <x:c r="UDM62" s="291"/>
      <x:c r="UDN62" s="291"/>
      <x:c r="UDO62" s="291"/>
      <x:c r="UDP62" s="291"/>
      <x:c r="UDQ62" s="291"/>
      <x:c r="UDR62" s="291"/>
      <x:c r="UDS62" s="291"/>
      <x:c r="UDT62" s="291"/>
      <x:c r="UDU62" s="291"/>
      <x:c r="UDV62" s="291"/>
      <x:c r="UDW62" s="291"/>
      <x:c r="UDX62" s="291"/>
      <x:c r="UDY62" s="291"/>
      <x:c r="UDZ62" s="291"/>
      <x:c r="UEA62" s="291"/>
      <x:c r="UEB62" s="291"/>
      <x:c r="UEC62" s="291"/>
      <x:c r="UED62" s="291"/>
      <x:c r="UEE62" s="291"/>
      <x:c r="UEF62" s="291"/>
      <x:c r="UEG62" s="291"/>
      <x:c r="UEH62" s="291"/>
      <x:c r="UEI62" s="291"/>
      <x:c r="UEJ62" s="291"/>
      <x:c r="UEK62" s="291"/>
      <x:c r="UEL62" s="291"/>
      <x:c r="UEM62" s="291"/>
      <x:c r="UEN62" s="291"/>
      <x:c r="UEO62" s="291"/>
      <x:c r="UEP62" s="291"/>
      <x:c r="UEQ62" s="291"/>
      <x:c r="UER62" s="291"/>
      <x:c r="UES62" s="291"/>
      <x:c r="UET62" s="291"/>
      <x:c r="UEU62" s="291"/>
      <x:c r="UEV62" s="291"/>
      <x:c r="UEW62" s="291"/>
      <x:c r="UEX62" s="291"/>
      <x:c r="UEY62" s="291"/>
      <x:c r="UEZ62" s="291"/>
      <x:c r="UFA62" s="291"/>
      <x:c r="UFB62" s="291"/>
      <x:c r="UFC62" s="291"/>
      <x:c r="UFD62" s="291"/>
      <x:c r="UFE62" s="291"/>
      <x:c r="UFF62" s="291"/>
      <x:c r="UFG62" s="291"/>
      <x:c r="UFH62" s="291"/>
      <x:c r="UFI62" s="291"/>
      <x:c r="UFJ62" s="291"/>
      <x:c r="UFK62" s="291"/>
      <x:c r="UFL62" s="291"/>
      <x:c r="UFM62" s="291"/>
      <x:c r="UFN62" s="291"/>
      <x:c r="UFO62" s="291"/>
      <x:c r="UFP62" s="291"/>
      <x:c r="UFQ62" s="291"/>
      <x:c r="UFR62" s="291"/>
      <x:c r="UFS62" s="291"/>
      <x:c r="UFT62" s="291"/>
      <x:c r="UFU62" s="291"/>
      <x:c r="UFV62" s="291"/>
      <x:c r="UFW62" s="291"/>
      <x:c r="UFX62" s="291"/>
      <x:c r="UFY62" s="291"/>
      <x:c r="UFZ62" s="291"/>
      <x:c r="UGA62" s="291"/>
      <x:c r="UGB62" s="291"/>
      <x:c r="UGC62" s="291"/>
      <x:c r="UGD62" s="291"/>
      <x:c r="UGE62" s="291"/>
      <x:c r="UGF62" s="291"/>
      <x:c r="UGG62" s="291"/>
      <x:c r="UGH62" s="291"/>
      <x:c r="UGI62" s="291"/>
      <x:c r="UGJ62" s="291"/>
      <x:c r="UGK62" s="291"/>
      <x:c r="UGL62" s="291"/>
      <x:c r="UGM62" s="291"/>
      <x:c r="UGN62" s="291"/>
      <x:c r="UGO62" s="291"/>
      <x:c r="UGP62" s="291"/>
      <x:c r="UGQ62" s="291"/>
      <x:c r="UGR62" s="291"/>
      <x:c r="UGS62" s="291"/>
      <x:c r="UGT62" s="291"/>
      <x:c r="UGU62" s="291"/>
      <x:c r="UGV62" s="291"/>
      <x:c r="UGW62" s="291"/>
      <x:c r="UGX62" s="291"/>
      <x:c r="UGY62" s="291"/>
      <x:c r="UGZ62" s="291"/>
      <x:c r="UHA62" s="291"/>
      <x:c r="UHB62" s="291"/>
      <x:c r="UHC62" s="291"/>
      <x:c r="UHD62" s="291"/>
      <x:c r="UHE62" s="291"/>
      <x:c r="UHF62" s="291"/>
      <x:c r="UHG62" s="291"/>
      <x:c r="UHH62" s="291"/>
      <x:c r="UHI62" s="291"/>
      <x:c r="UHJ62" s="291"/>
      <x:c r="UHK62" s="291"/>
      <x:c r="UHL62" s="291"/>
      <x:c r="UHM62" s="291"/>
      <x:c r="UHN62" s="291"/>
      <x:c r="UHO62" s="291"/>
      <x:c r="UHP62" s="291"/>
      <x:c r="UHQ62" s="291"/>
      <x:c r="UHR62" s="291"/>
      <x:c r="UHS62" s="291"/>
      <x:c r="UHT62" s="291"/>
      <x:c r="UHU62" s="291"/>
      <x:c r="UHV62" s="291"/>
      <x:c r="UHW62" s="291"/>
      <x:c r="UHX62" s="291"/>
      <x:c r="UHY62" s="291"/>
      <x:c r="UHZ62" s="291"/>
      <x:c r="UIA62" s="291"/>
      <x:c r="UIB62" s="291"/>
      <x:c r="UIC62" s="291"/>
      <x:c r="UID62" s="291"/>
      <x:c r="UIE62" s="291"/>
      <x:c r="UIF62" s="291"/>
      <x:c r="UIG62" s="291"/>
      <x:c r="UIH62" s="291"/>
      <x:c r="UII62" s="291"/>
      <x:c r="UIJ62" s="291"/>
      <x:c r="UIK62" s="291"/>
      <x:c r="UIL62" s="291"/>
      <x:c r="UIM62" s="291"/>
      <x:c r="UIN62" s="291"/>
      <x:c r="UIO62" s="291"/>
      <x:c r="UIP62" s="291"/>
      <x:c r="UIQ62" s="291"/>
      <x:c r="UIR62" s="291"/>
      <x:c r="UIS62" s="291"/>
      <x:c r="UIT62" s="291"/>
      <x:c r="UIU62" s="291"/>
      <x:c r="UIV62" s="291"/>
      <x:c r="UIW62" s="291"/>
      <x:c r="UIX62" s="291"/>
      <x:c r="UIY62" s="291"/>
      <x:c r="UIZ62" s="291"/>
      <x:c r="UJA62" s="291"/>
      <x:c r="UJB62" s="291"/>
      <x:c r="UJC62" s="291"/>
      <x:c r="UJD62" s="291"/>
      <x:c r="UJE62" s="291"/>
      <x:c r="UJF62" s="291"/>
      <x:c r="UJG62" s="291"/>
      <x:c r="UJH62" s="291"/>
      <x:c r="UJI62" s="291"/>
      <x:c r="UJJ62" s="291"/>
      <x:c r="UJK62" s="291"/>
      <x:c r="UJL62" s="291"/>
      <x:c r="UJM62" s="291"/>
      <x:c r="UJN62" s="291"/>
      <x:c r="UJO62" s="291"/>
      <x:c r="UJP62" s="291"/>
      <x:c r="UJQ62" s="291"/>
      <x:c r="UJR62" s="291"/>
      <x:c r="UJS62" s="291"/>
      <x:c r="UJT62" s="291"/>
      <x:c r="UJU62" s="291"/>
      <x:c r="UJV62" s="291"/>
      <x:c r="UJW62" s="291"/>
      <x:c r="UJX62" s="291"/>
      <x:c r="UJY62" s="291"/>
      <x:c r="UJZ62" s="291"/>
      <x:c r="UKA62" s="291"/>
      <x:c r="UKB62" s="291"/>
      <x:c r="UKC62" s="291"/>
      <x:c r="UKD62" s="291"/>
      <x:c r="UKE62" s="291"/>
      <x:c r="UKF62" s="291"/>
      <x:c r="UKG62" s="291"/>
      <x:c r="UKH62" s="291"/>
      <x:c r="UKI62" s="291"/>
      <x:c r="UKJ62" s="291"/>
      <x:c r="UKK62" s="291"/>
      <x:c r="UKL62" s="291"/>
      <x:c r="UKM62" s="291"/>
      <x:c r="UKN62" s="291"/>
      <x:c r="UKO62" s="291"/>
      <x:c r="UKP62" s="291"/>
      <x:c r="UKQ62" s="291"/>
      <x:c r="UKR62" s="291"/>
      <x:c r="UKS62" s="291"/>
      <x:c r="UKT62" s="291"/>
      <x:c r="UKU62" s="291"/>
      <x:c r="UKV62" s="291"/>
      <x:c r="UKW62" s="291"/>
      <x:c r="UKX62" s="291"/>
      <x:c r="UKY62" s="291"/>
      <x:c r="UKZ62" s="291"/>
      <x:c r="ULA62" s="291"/>
      <x:c r="ULB62" s="291"/>
      <x:c r="ULC62" s="291"/>
      <x:c r="ULD62" s="291"/>
      <x:c r="ULE62" s="291"/>
      <x:c r="ULF62" s="291"/>
      <x:c r="ULG62" s="291"/>
      <x:c r="ULH62" s="291"/>
      <x:c r="ULI62" s="291"/>
      <x:c r="ULJ62" s="291"/>
      <x:c r="ULK62" s="291"/>
      <x:c r="ULL62" s="291"/>
      <x:c r="ULM62" s="291"/>
      <x:c r="ULN62" s="291"/>
      <x:c r="ULO62" s="291"/>
      <x:c r="ULP62" s="291"/>
      <x:c r="ULQ62" s="291"/>
      <x:c r="ULR62" s="291"/>
      <x:c r="ULS62" s="291"/>
      <x:c r="ULT62" s="291"/>
      <x:c r="ULU62" s="291"/>
      <x:c r="ULV62" s="291"/>
      <x:c r="ULW62" s="291"/>
      <x:c r="ULX62" s="291"/>
      <x:c r="ULY62" s="291"/>
      <x:c r="ULZ62" s="291"/>
      <x:c r="UMA62" s="291"/>
      <x:c r="UMB62" s="291"/>
      <x:c r="UMC62" s="291"/>
      <x:c r="UMD62" s="291"/>
      <x:c r="UME62" s="291"/>
      <x:c r="UMF62" s="291"/>
      <x:c r="UMG62" s="291"/>
      <x:c r="UMH62" s="291"/>
      <x:c r="UMI62" s="291"/>
      <x:c r="UMJ62" s="291"/>
      <x:c r="UMK62" s="291"/>
      <x:c r="UML62" s="291"/>
      <x:c r="UMM62" s="291"/>
      <x:c r="UMN62" s="291"/>
      <x:c r="UMO62" s="291"/>
      <x:c r="UMP62" s="291"/>
      <x:c r="UMQ62" s="291"/>
      <x:c r="UMR62" s="291"/>
      <x:c r="UMS62" s="291"/>
      <x:c r="UMT62" s="291"/>
      <x:c r="UMU62" s="291"/>
      <x:c r="UMV62" s="291"/>
      <x:c r="UMW62" s="291"/>
      <x:c r="UMX62" s="291"/>
      <x:c r="UMY62" s="291"/>
      <x:c r="UMZ62" s="291"/>
      <x:c r="UNA62" s="291"/>
      <x:c r="UNB62" s="291"/>
      <x:c r="UNC62" s="291"/>
      <x:c r="UND62" s="291"/>
      <x:c r="UNE62" s="291"/>
      <x:c r="UNF62" s="291"/>
      <x:c r="UNG62" s="291"/>
      <x:c r="UNH62" s="291"/>
      <x:c r="UNI62" s="291"/>
      <x:c r="UNJ62" s="291"/>
      <x:c r="UNK62" s="291"/>
      <x:c r="UNL62" s="291"/>
      <x:c r="UNM62" s="291"/>
      <x:c r="UNN62" s="291"/>
      <x:c r="UNO62" s="291"/>
      <x:c r="UNP62" s="291"/>
      <x:c r="UNQ62" s="291"/>
      <x:c r="UNR62" s="291"/>
      <x:c r="UNS62" s="291"/>
      <x:c r="UNT62" s="291"/>
      <x:c r="UNU62" s="291"/>
      <x:c r="UNV62" s="291"/>
      <x:c r="UNW62" s="291"/>
      <x:c r="UNX62" s="291"/>
      <x:c r="UNY62" s="291"/>
      <x:c r="UNZ62" s="291"/>
      <x:c r="UOA62" s="291"/>
      <x:c r="UOB62" s="291"/>
      <x:c r="UOC62" s="291"/>
      <x:c r="UOD62" s="291"/>
      <x:c r="UOE62" s="291"/>
      <x:c r="UOF62" s="291"/>
      <x:c r="UOG62" s="291"/>
      <x:c r="UOH62" s="291"/>
      <x:c r="UOI62" s="291"/>
      <x:c r="UOJ62" s="291"/>
      <x:c r="UOK62" s="291"/>
      <x:c r="UOL62" s="291"/>
      <x:c r="UOM62" s="291"/>
      <x:c r="UON62" s="291"/>
      <x:c r="UOO62" s="291"/>
      <x:c r="UOP62" s="291"/>
      <x:c r="UOQ62" s="291"/>
      <x:c r="UOR62" s="291"/>
      <x:c r="UOS62" s="291"/>
      <x:c r="UOT62" s="291"/>
      <x:c r="UOU62" s="291"/>
      <x:c r="UOV62" s="291"/>
      <x:c r="UOW62" s="291"/>
      <x:c r="UOX62" s="291"/>
      <x:c r="UOY62" s="291"/>
      <x:c r="UOZ62" s="291"/>
      <x:c r="UPA62" s="291"/>
      <x:c r="UPB62" s="291"/>
      <x:c r="UPC62" s="291"/>
      <x:c r="UPD62" s="291"/>
      <x:c r="UPE62" s="291"/>
      <x:c r="UPF62" s="291"/>
      <x:c r="UPG62" s="291"/>
      <x:c r="UPH62" s="291"/>
      <x:c r="UPI62" s="291"/>
      <x:c r="UPJ62" s="291"/>
      <x:c r="UPK62" s="291"/>
      <x:c r="UPL62" s="291"/>
      <x:c r="UPM62" s="291"/>
      <x:c r="UPN62" s="291"/>
      <x:c r="UPO62" s="291"/>
      <x:c r="UPP62" s="291"/>
      <x:c r="UPQ62" s="291"/>
      <x:c r="UPR62" s="291"/>
      <x:c r="UPS62" s="291"/>
      <x:c r="UPT62" s="291"/>
      <x:c r="UPU62" s="291"/>
      <x:c r="UPV62" s="291"/>
      <x:c r="UPW62" s="291"/>
      <x:c r="UPX62" s="291"/>
      <x:c r="UPY62" s="291"/>
      <x:c r="UPZ62" s="291"/>
      <x:c r="UQA62" s="291"/>
      <x:c r="UQB62" s="291"/>
      <x:c r="UQC62" s="291"/>
      <x:c r="UQD62" s="291"/>
      <x:c r="UQE62" s="291"/>
      <x:c r="UQF62" s="291"/>
      <x:c r="UQG62" s="291"/>
      <x:c r="UQH62" s="291"/>
      <x:c r="UQI62" s="291"/>
      <x:c r="UQJ62" s="291"/>
      <x:c r="UQK62" s="291"/>
      <x:c r="UQL62" s="291"/>
      <x:c r="UQM62" s="291"/>
      <x:c r="UQN62" s="291"/>
      <x:c r="UQO62" s="291"/>
      <x:c r="UQP62" s="291"/>
      <x:c r="UQQ62" s="291"/>
      <x:c r="UQR62" s="291"/>
      <x:c r="UQS62" s="291"/>
      <x:c r="UQT62" s="291"/>
      <x:c r="UQU62" s="291"/>
      <x:c r="UQV62" s="291"/>
      <x:c r="UQW62" s="291"/>
      <x:c r="UQX62" s="291"/>
      <x:c r="UQY62" s="291"/>
      <x:c r="UQZ62" s="291"/>
      <x:c r="URA62" s="291"/>
      <x:c r="URB62" s="291"/>
      <x:c r="URC62" s="291"/>
      <x:c r="URD62" s="291"/>
      <x:c r="URE62" s="291"/>
      <x:c r="URF62" s="291"/>
      <x:c r="URG62" s="291"/>
      <x:c r="URH62" s="291"/>
      <x:c r="URI62" s="291"/>
      <x:c r="URJ62" s="291"/>
      <x:c r="URK62" s="291"/>
      <x:c r="URL62" s="291"/>
      <x:c r="URM62" s="291"/>
      <x:c r="URN62" s="291"/>
      <x:c r="URO62" s="291"/>
      <x:c r="URP62" s="291"/>
      <x:c r="URQ62" s="291"/>
      <x:c r="URR62" s="291"/>
      <x:c r="URS62" s="291"/>
      <x:c r="URT62" s="291"/>
      <x:c r="URU62" s="291"/>
      <x:c r="URV62" s="291"/>
      <x:c r="URW62" s="291"/>
      <x:c r="URX62" s="291"/>
      <x:c r="URY62" s="291"/>
      <x:c r="URZ62" s="291"/>
      <x:c r="USA62" s="291"/>
      <x:c r="USB62" s="291"/>
      <x:c r="USC62" s="291"/>
      <x:c r="USD62" s="291"/>
      <x:c r="USE62" s="291"/>
      <x:c r="USF62" s="291"/>
      <x:c r="USG62" s="291"/>
      <x:c r="USH62" s="291"/>
      <x:c r="USI62" s="291"/>
      <x:c r="USJ62" s="291"/>
      <x:c r="USK62" s="291"/>
      <x:c r="USL62" s="291"/>
      <x:c r="USM62" s="291"/>
      <x:c r="USN62" s="291"/>
      <x:c r="USO62" s="291"/>
      <x:c r="USP62" s="291"/>
      <x:c r="USQ62" s="291"/>
      <x:c r="USR62" s="291"/>
      <x:c r="USS62" s="291"/>
      <x:c r="UST62" s="291"/>
      <x:c r="USU62" s="291"/>
      <x:c r="USV62" s="291"/>
      <x:c r="USW62" s="291"/>
      <x:c r="USX62" s="291"/>
      <x:c r="USY62" s="291"/>
      <x:c r="USZ62" s="291"/>
      <x:c r="UTA62" s="291"/>
      <x:c r="UTB62" s="291"/>
      <x:c r="UTC62" s="291"/>
      <x:c r="UTD62" s="291"/>
      <x:c r="UTE62" s="291"/>
      <x:c r="UTF62" s="291"/>
      <x:c r="UTG62" s="291"/>
      <x:c r="UTH62" s="291"/>
      <x:c r="UTI62" s="291"/>
      <x:c r="UTJ62" s="291"/>
      <x:c r="UTK62" s="291"/>
      <x:c r="UTL62" s="291"/>
      <x:c r="UTM62" s="291"/>
      <x:c r="UTN62" s="291"/>
      <x:c r="UTO62" s="291"/>
      <x:c r="UTP62" s="291"/>
      <x:c r="UTQ62" s="291"/>
      <x:c r="UTR62" s="291"/>
      <x:c r="UTS62" s="291"/>
      <x:c r="UTT62" s="291"/>
      <x:c r="UTU62" s="291"/>
      <x:c r="UTV62" s="291"/>
      <x:c r="UTW62" s="291"/>
      <x:c r="UTX62" s="291"/>
      <x:c r="UTY62" s="291"/>
      <x:c r="UTZ62" s="291"/>
      <x:c r="UUA62" s="291"/>
      <x:c r="UUB62" s="291"/>
      <x:c r="UUC62" s="291"/>
      <x:c r="UUD62" s="291"/>
      <x:c r="UUE62" s="291"/>
      <x:c r="UUF62" s="291"/>
      <x:c r="UUG62" s="291"/>
      <x:c r="UUH62" s="291"/>
      <x:c r="UUI62" s="291"/>
      <x:c r="UUJ62" s="291"/>
      <x:c r="UUK62" s="291"/>
      <x:c r="UUL62" s="291"/>
      <x:c r="UUM62" s="291"/>
      <x:c r="UUN62" s="291"/>
      <x:c r="UUO62" s="291"/>
      <x:c r="UUP62" s="291"/>
      <x:c r="UUQ62" s="291"/>
      <x:c r="UUR62" s="291"/>
      <x:c r="UUS62" s="291"/>
      <x:c r="UUT62" s="291"/>
      <x:c r="UUU62" s="291"/>
      <x:c r="UUV62" s="291"/>
      <x:c r="UUW62" s="291"/>
      <x:c r="UUX62" s="291"/>
      <x:c r="UUY62" s="291"/>
      <x:c r="UUZ62" s="291"/>
      <x:c r="UVA62" s="291"/>
      <x:c r="UVB62" s="291"/>
      <x:c r="UVC62" s="291"/>
      <x:c r="UVD62" s="291"/>
      <x:c r="UVE62" s="291"/>
      <x:c r="UVF62" s="291"/>
      <x:c r="UVG62" s="291"/>
      <x:c r="UVH62" s="291"/>
      <x:c r="UVI62" s="291"/>
      <x:c r="UVJ62" s="291"/>
      <x:c r="UVK62" s="291"/>
      <x:c r="UVL62" s="291"/>
      <x:c r="UVM62" s="291"/>
      <x:c r="UVN62" s="291"/>
      <x:c r="UVO62" s="291"/>
      <x:c r="UVP62" s="291"/>
      <x:c r="UVQ62" s="291"/>
      <x:c r="UVR62" s="291"/>
      <x:c r="UVS62" s="291"/>
      <x:c r="UVT62" s="291"/>
      <x:c r="UVU62" s="291"/>
      <x:c r="UVV62" s="291"/>
      <x:c r="UVW62" s="291"/>
      <x:c r="UVX62" s="291"/>
      <x:c r="UVY62" s="291"/>
      <x:c r="UVZ62" s="291"/>
      <x:c r="UWA62" s="291"/>
      <x:c r="UWB62" s="291"/>
      <x:c r="UWC62" s="291"/>
      <x:c r="UWD62" s="291"/>
      <x:c r="UWE62" s="291"/>
      <x:c r="UWF62" s="291"/>
      <x:c r="UWG62" s="291"/>
      <x:c r="UWH62" s="291"/>
      <x:c r="UWI62" s="291"/>
      <x:c r="UWJ62" s="291"/>
      <x:c r="UWK62" s="291"/>
      <x:c r="UWL62" s="291"/>
      <x:c r="UWM62" s="291"/>
      <x:c r="UWN62" s="291"/>
      <x:c r="UWO62" s="291"/>
      <x:c r="UWP62" s="291"/>
      <x:c r="UWQ62" s="291"/>
      <x:c r="UWR62" s="291"/>
      <x:c r="UWS62" s="291"/>
      <x:c r="UWT62" s="291"/>
      <x:c r="UWU62" s="291"/>
      <x:c r="UWV62" s="291"/>
      <x:c r="UWW62" s="291"/>
      <x:c r="UWX62" s="291"/>
      <x:c r="UWY62" s="291"/>
      <x:c r="UWZ62" s="291"/>
      <x:c r="UXA62" s="291"/>
      <x:c r="UXB62" s="291"/>
      <x:c r="UXC62" s="291"/>
      <x:c r="UXD62" s="291"/>
      <x:c r="UXE62" s="291"/>
      <x:c r="UXF62" s="291"/>
      <x:c r="UXG62" s="291"/>
      <x:c r="UXH62" s="291"/>
      <x:c r="UXI62" s="291"/>
      <x:c r="UXJ62" s="291"/>
      <x:c r="UXK62" s="291"/>
      <x:c r="UXL62" s="291"/>
      <x:c r="UXM62" s="291"/>
      <x:c r="UXN62" s="291"/>
      <x:c r="UXO62" s="291"/>
      <x:c r="UXP62" s="291"/>
      <x:c r="UXQ62" s="291"/>
      <x:c r="UXR62" s="291"/>
      <x:c r="UXS62" s="291"/>
      <x:c r="UXT62" s="291"/>
      <x:c r="UXU62" s="291"/>
      <x:c r="UXV62" s="291"/>
      <x:c r="UXW62" s="291"/>
      <x:c r="UXX62" s="291"/>
      <x:c r="UXY62" s="291"/>
      <x:c r="UXZ62" s="291"/>
      <x:c r="UYA62" s="291"/>
      <x:c r="UYB62" s="291"/>
      <x:c r="UYC62" s="291"/>
      <x:c r="UYD62" s="291"/>
      <x:c r="UYE62" s="291"/>
      <x:c r="UYF62" s="291"/>
      <x:c r="UYG62" s="291"/>
      <x:c r="UYH62" s="291"/>
      <x:c r="UYI62" s="291"/>
      <x:c r="UYJ62" s="291"/>
      <x:c r="UYK62" s="291"/>
      <x:c r="UYL62" s="291"/>
      <x:c r="UYM62" s="291"/>
      <x:c r="UYN62" s="291"/>
      <x:c r="UYO62" s="291"/>
      <x:c r="UYP62" s="291"/>
      <x:c r="UYQ62" s="291"/>
      <x:c r="UYR62" s="291"/>
      <x:c r="UYS62" s="291"/>
      <x:c r="UYT62" s="291"/>
      <x:c r="UYU62" s="291"/>
      <x:c r="UYV62" s="291"/>
      <x:c r="UYW62" s="291"/>
      <x:c r="UYX62" s="291"/>
      <x:c r="UYY62" s="291"/>
      <x:c r="UYZ62" s="291"/>
      <x:c r="UZA62" s="291"/>
      <x:c r="UZB62" s="291"/>
      <x:c r="UZC62" s="291"/>
      <x:c r="UZD62" s="291"/>
      <x:c r="UZE62" s="291"/>
      <x:c r="UZF62" s="291"/>
      <x:c r="UZG62" s="291"/>
      <x:c r="UZH62" s="291"/>
      <x:c r="UZI62" s="291"/>
      <x:c r="UZJ62" s="291"/>
      <x:c r="UZK62" s="291"/>
      <x:c r="UZL62" s="291"/>
      <x:c r="UZM62" s="291"/>
      <x:c r="UZN62" s="291"/>
      <x:c r="UZO62" s="291"/>
      <x:c r="UZP62" s="291"/>
      <x:c r="UZQ62" s="291"/>
      <x:c r="UZR62" s="291"/>
      <x:c r="UZS62" s="291"/>
      <x:c r="UZT62" s="291"/>
      <x:c r="UZU62" s="291"/>
      <x:c r="UZV62" s="291"/>
      <x:c r="UZW62" s="291"/>
      <x:c r="UZX62" s="291"/>
      <x:c r="UZY62" s="291"/>
      <x:c r="UZZ62" s="291"/>
      <x:c r="VAA62" s="291"/>
      <x:c r="VAB62" s="291"/>
      <x:c r="VAC62" s="291"/>
      <x:c r="VAD62" s="291"/>
      <x:c r="VAE62" s="291"/>
      <x:c r="VAF62" s="291"/>
      <x:c r="VAG62" s="291"/>
      <x:c r="VAH62" s="291"/>
      <x:c r="VAI62" s="291"/>
      <x:c r="VAJ62" s="291"/>
      <x:c r="VAK62" s="291"/>
      <x:c r="VAL62" s="291"/>
      <x:c r="VAM62" s="291"/>
      <x:c r="VAN62" s="291"/>
      <x:c r="VAO62" s="291"/>
      <x:c r="VAP62" s="291"/>
      <x:c r="VAQ62" s="291"/>
      <x:c r="VAR62" s="291"/>
      <x:c r="VAS62" s="291"/>
      <x:c r="VAT62" s="291"/>
      <x:c r="VAU62" s="291"/>
      <x:c r="VAV62" s="291"/>
      <x:c r="VAW62" s="291"/>
      <x:c r="VAX62" s="291"/>
      <x:c r="VAY62" s="291"/>
      <x:c r="VAZ62" s="291"/>
      <x:c r="VBA62" s="291"/>
      <x:c r="VBB62" s="291"/>
      <x:c r="VBC62" s="291"/>
      <x:c r="VBD62" s="291"/>
      <x:c r="VBE62" s="291"/>
      <x:c r="VBF62" s="291"/>
      <x:c r="VBG62" s="291"/>
      <x:c r="VBH62" s="291"/>
      <x:c r="VBI62" s="291"/>
      <x:c r="VBJ62" s="291"/>
      <x:c r="VBK62" s="291"/>
      <x:c r="VBL62" s="291"/>
      <x:c r="VBM62" s="291"/>
      <x:c r="VBN62" s="291"/>
      <x:c r="VBO62" s="291"/>
      <x:c r="VBP62" s="291"/>
      <x:c r="VBQ62" s="291"/>
      <x:c r="VBR62" s="291"/>
      <x:c r="VBS62" s="291"/>
      <x:c r="VBT62" s="291"/>
      <x:c r="VBU62" s="291"/>
      <x:c r="VBV62" s="291"/>
      <x:c r="VBW62" s="291"/>
      <x:c r="VBX62" s="291"/>
      <x:c r="VBY62" s="291"/>
      <x:c r="VBZ62" s="291"/>
      <x:c r="VCA62" s="291"/>
      <x:c r="VCB62" s="291"/>
      <x:c r="VCC62" s="291"/>
      <x:c r="VCD62" s="291"/>
      <x:c r="VCE62" s="291"/>
      <x:c r="VCF62" s="291"/>
      <x:c r="VCG62" s="291"/>
      <x:c r="VCH62" s="291"/>
      <x:c r="VCI62" s="291"/>
      <x:c r="VCJ62" s="291"/>
      <x:c r="VCK62" s="291"/>
      <x:c r="VCL62" s="291"/>
      <x:c r="VCM62" s="291"/>
      <x:c r="VCN62" s="291"/>
      <x:c r="VCO62" s="291"/>
      <x:c r="VCP62" s="291"/>
      <x:c r="VCQ62" s="291"/>
      <x:c r="VCR62" s="291"/>
      <x:c r="VCS62" s="291"/>
      <x:c r="VCT62" s="291"/>
      <x:c r="VCU62" s="291"/>
      <x:c r="VCV62" s="291"/>
      <x:c r="VCW62" s="291"/>
      <x:c r="VCX62" s="291"/>
      <x:c r="VCY62" s="291"/>
      <x:c r="VCZ62" s="291"/>
      <x:c r="VDA62" s="291"/>
      <x:c r="VDB62" s="291"/>
      <x:c r="VDC62" s="291"/>
      <x:c r="VDD62" s="291"/>
      <x:c r="VDE62" s="291"/>
      <x:c r="VDF62" s="291"/>
      <x:c r="VDG62" s="291"/>
      <x:c r="VDH62" s="291"/>
      <x:c r="VDI62" s="291"/>
      <x:c r="VDJ62" s="291"/>
      <x:c r="VDK62" s="291"/>
      <x:c r="VDL62" s="291"/>
      <x:c r="VDM62" s="291"/>
      <x:c r="VDN62" s="291"/>
      <x:c r="VDO62" s="291"/>
      <x:c r="VDP62" s="291"/>
      <x:c r="VDQ62" s="291"/>
      <x:c r="VDR62" s="291"/>
      <x:c r="VDS62" s="291"/>
      <x:c r="VDT62" s="291"/>
      <x:c r="VDU62" s="291"/>
      <x:c r="VDV62" s="291"/>
      <x:c r="VDW62" s="291"/>
      <x:c r="VDX62" s="291"/>
      <x:c r="VDY62" s="291"/>
      <x:c r="VDZ62" s="291"/>
      <x:c r="VEA62" s="291"/>
      <x:c r="VEB62" s="291"/>
      <x:c r="VEC62" s="291"/>
      <x:c r="VED62" s="291"/>
      <x:c r="VEE62" s="291"/>
      <x:c r="VEF62" s="291"/>
      <x:c r="VEG62" s="291"/>
      <x:c r="VEH62" s="291"/>
      <x:c r="VEI62" s="291"/>
      <x:c r="VEJ62" s="291"/>
      <x:c r="VEK62" s="291"/>
      <x:c r="VEL62" s="291"/>
      <x:c r="VEM62" s="291"/>
      <x:c r="VEN62" s="291"/>
      <x:c r="VEO62" s="291"/>
      <x:c r="VEP62" s="291"/>
      <x:c r="VEQ62" s="291"/>
      <x:c r="VER62" s="291"/>
      <x:c r="VES62" s="291"/>
      <x:c r="VET62" s="291"/>
      <x:c r="VEU62" s="291"/>
      <x:c r="VEV62" s="291"/>
      <x:c r="VEW62" s="291"/>
      <x:c r="VEX62" s="291"/>
      <x:c r="VEY62" s="291"/>
      <x:c r="VEZ62" s="291"/>
      <x:c r="VFA62" s="291"/>
      <x:c r="VFB62" s="291"/>
      <x:c r="VFC62" s="291"/>
      <x:c r="VFD62" s="291"/>
      <x:c r="VFE62" s="291"/>
      <x:c r="VFF62" s="291"/>
      <x:c r="VFG62" s="291"/>
      <x:c r="VFH62" s="291"/>
      <x:c r="VFI62" s="291"/>
      <x:c r="VFJ62" s="291"/>
      <x:c r="VFK62" s="291"/>
      <x:c r="VFL62" s="291"/>
      <x:c r="VFM62" s="291"/>
      <x:c r="VFN62" s="291"/>
      <x:c r="VFO62" s="291"/>
      <x:c r="VFP62" s="291"/>
      <x:c r="VFQ62" s="291"/>
      <x:c r="VFR62" s="291"/>
      <x:c r="VFS62" s="291"/>
      <x:c r="VFT62" s="291"/>
      <x:c r="VFU62" s="291"/>
      <x:c r="VFV62" s="291"/>
      <x:c r="VFW62" s="291"/>
      <x:c r="VFX62" s="291"/>
      <x:c r="VFY62" s="291"/>
      <x:c r="VFZ62" s="291"/>
      <x:c r="VGA62" s="291"/>
      <x:c r="VGB62" s="291"/>
      <x:c r="VGC62" s="291"/>
      <x:c r="VGD62" s="291"/>
      <x:c r="VGE62" s="291"/>
      <x:c r="VGF62" s="291"/>
      <x:c r="VGG62" s="291"/>
      <x:c r="VGH62" s="291"/>
      <x:c r="VGI62" s="291"/>
      <x:c r="VGJ62" s="291"/>
      <x:c r="VGK62" s="291"/>
      <x:c r="VGL62" s="291"/>
      <x:c r="VGM62" s="291"/>
      <x:c r="VGN62" s="291"/>
      <x:c r="VGO62" s="291"/>
      <x:c r="VGP62" s="291"/>
      <x:c r="VGQ62" s="291"/>
      <x:c r="VGR62" s="291"/>
      <x:c r="VGS62" s="291"/>
      <x:c r="VGT62" s="291"/>
      <x:c r="VGU62" s="291"/>
      <x:c r="VGV62" s="291"/>
      <x:c r="VGW62" s="291"/>
      <x:c r="VGX62" s="291"/>
      <x:c r="VGY62" s="291"/>
      <x:c r="VGZ62" s="291"/>
      <x:c r="VHA62" s="291"/>
      <x:c r="VHB62" s="291"/>
      <x:c r="VHC62" s="291"/>
      <x:c r="VHD62" s="291"/>
      <x:c r="VHE62" s="291"/>
      <x:c r="VHF62" s="291"/>
      <x:c r="VHG62" s="291"/>
      <x:c r="VHH62" s="291"/>
      <x:c r="VHI62" s="291"/>
      <x:c r="VHJ62" s="291"/>
      <x:c r="VHK62" s="291"/>
      <x:c r="VHL62" s="291"/>
      <x:c r="VHM62" s="291"/>
      <x:c r="VHN62" s="291"/>
      <x:c r="VHO62" s="291"/>
      <x:c r="VHP62" s="291"/>
      <x:c r="VHQ62" s="291"/>
      <x:c r="VHR62" s="291"/>
      <x:c r="VHS62" s="291"/>
      <x:c r="VHT62" s="291"/>
      <x:c r="VHU62" s="291"/>
      <x:c r="VHV62" s="291"/>
      <x:c r="VHW62" s="291"/>
      <x:c r="VHX62" s="291"/>
      <x:c r="VHY62" s="291"/>
      <x:c r="VHZ62" s="291"/>
      <x:c r="VIA62" s="291"/>
      <x:c r="VIB62" s="291"/>
      <x:c r="VIC62" s="291"/>
      <x:c r="VID62" s="291"/>
      <x:c r="VIE62" s="291"/>
      <x:c r="VIF62" s="291"/>
      <x:c r="VIG62" s="291"/>
      <x:c r="VIH62" s="291"/>
      <x:c r="VII62" s="291"/>
      <x:c r="VIJ62" s="291"/>
      <x:c r="VIK62" s="291"/>
      <x:c r="VIL62" s="291"/>
      <x:c r="VIM62" s="291"/>
      <x:c r="VIN62" s="291"/>
      <x:c r="VIO62" s="291"/>
      <x:c r="VIP62" s="291"/>
      <x:c r="VIQ62" s="291"/>
      <x:c r="VIR62" s="291"/>
      <x:c r="VIS62" s="291"/>
      <x:c r="VIT62" s="291"/>
      <x:c r="VIU62" s="291"/>
      <x:c r="VIV62" s="291"/>
      <x:c r="VIW62" s="291"/>
      <x:c r="VIX62" s="291"/>
      <x:c r="VIY62" s="291"/>
      <x:c r="VIZ62" s="291"/>
      <x:c r="VJA62" s="291"/>
      <x:c r="VJB62" s="291"/>
      <x:c r="VJC62" s="291"/>
      <x:c r="VJD62" s="291"/>
      <x:c r="VJE62" s="291"/>
      <x:c r="VJF62" s="291"/>
      <x:c r="VJG62" s="291"/>
      <x:c r="VJH62" s="291"/>
      <x:c r="VJI62" s="291"/>
      <x:c r="VJJ62" s="291"/>
      <x:c r="VJK62" s="291"/>
      <x:c r="VJL62" s="291"/>
      <x:c r="VJM62" s="291"/>
      <x:c r="VJN62" s="291"/>
      <x:c r="VJO62" s="291"/>
      <x:c r="VJP62" s="291"/>
      <x:c r="VJQ62" s="291"/>
      <x:c r="VJR62" s="291"/>
      <x:c r="VJS62" s="291"/>
      <x:c r="VJT62" s="291"/>
      <x:c r="VJU62" s="291"/>
      <x:c r="VJV62" s="291"/>
      <x:c r="VJW62" s="291"/>
      <x:c r="VJX62" s="291"/>
      <x:c r="VJY62" s="291"/>
      <x:c r="VJZ62" s="291"/>
      <x:c r="VKA62" s="291"/>
      <x:c r="VKB62" s="291"/>
      <x:c r="VKC62" s="291"/>
      <x:c r="VKD62" s="291"/>
      <x:c r="VKE62" s="291"/>
      <x:c r="VKF62" s="291"/>
      <x:c r="VKG62" s="291"/>
      <x:c r="VKH62" s="291"/>
      <x:c r="VKI62" s="291"/>
      <x:c r="VKJ62" s="291"/>
      <x:c r="VKK62" s="291"/>
      <x:c r="VKL62" s="291"/>
      <x:c r="VKM62" s="291"/>
      <x:c r="VKN62" s="291"/>
      <x:c r="VKO62" s="291"/>
      <x:c r="VKP62" s="291"/>
      <x:c r="VKQ62" s="291"/>
      <x:c r="VKR62" s="291"/>
      <x:c r="VKS62" s="291"/>
      <x:c r="VKT62" s="291"/>
      <x:c r="VKU62" s="291"/>
      <x:c r="VKV62" s="291"/>
      <x:c r="VKW62" s="291"/>
      <x:c r="VKX62" s="291"/>
      <x:c r="VKY62" s="291"/>
      <x:c r="VKZ62" s="291"/>
      <x:c r="VLA62" s="291"/>
      <x:c r="VLB62" s="291"/>
      <x:c r="VLC62" s="291"/>
      <x:c r="VLD62" s="291"/>
      <x:c r="VLE62" s="291"/>
      <x:c r="VLF62" s="291"/>
      <x:c r="VLG62" s="291"/>
      <x:c r="VLH62" s="291"/>
      <x:c r="VLI62" s="291"/>
      <x:c r="VLJ62" s="291"/>
      <x:c r="VLK62" s="291"/>
      <x:c r="VLL62" s="291"/>
      <x:c r="VLM62" s="291"/>
      <x:c r="VLN62" s="291"/>
      <x:c r="VLO62" s="291"/>
      <x:c r="VLP62" s="291"/>
      <x:c r="VLQ62" s="291"/>
      <x:c r="VLR62" s="291"/>
      <x:c r="VLS62" s="291"/>
      <x:c r="VLT62" s="291"/>
      <x:c r="VLU62" s="291"/>
      <x:c r="VLV62" s="291"/>
      <x:c r="VLW62" s="291"/>
      <x:c r="VLX62" s="291"/>
      <x:c r="VLY62" s="291"/>
      <x:c r="VLZ62" s="291"/>
      <x:c r="VMA62" s="291"/>
      <x:c r="VMB62" s="291"/>
      <x:c r="VMC62" s="291"/>
      <x:c r="VMD62" s="291"/>
      <x:c r="VME62" s="291"/>
      <x:c r="VMF62" s="291"/>
      <x:c r="VMG62" s="291"/>
      <x:c r="VMH62" s="291"/>
      <x:c r="VMI62" s="291"/>
      <x:c r="VMJ62" s="291"/>
      <x:c r="VMK62" s="291"/>
      <x:c r="VML62" s="291"/>
      <x:c r="VMM62" s="291"/>
      <x:c r="VMN62" s="291"/>
      <x:c r="VMO62" s="291"/>
      <x:c r="VMP62" s="291"/>
      <x:c r="VMQ62" s="291"/>
      <x:c r="VMR62" s="291"/>
      <x:c r="VMS62" s="291"/>
      <x:c r="VMT62" s="291"/>
      <x:c r="VMU62" s="291"/>
      <x:c r="VMV62" s="291"/>
      <x:c r="VMW62" s="291"/>
      <x:c r="VMX62" s="291"/>
      <x:c r="VMY62" s="291"/>
      <x:c r="VMZ62" s="291"/>
      <x:c r="VNA62" s="291"/>
      <x:c r="VNB62" s="291"/>
      <x:c r="VNC62" s="291"/>
      <x:c r="VND62" s="291"/>
      <x:c r="VNE62" s="291"/>
      <x:c r="VNF62" s="291"/>
      <x:c r="VNG62" s="291"/>
      <x:c r="VNH62" s="291"/>
      <x:c r="VNI62" s="291"/>
      <x:c r="VNJ62" s="291"/>
      <x:c r="VNK62" s="291"/>
      <x:c r="VNL62" s="291"/>
      <x:c r="VNM62" s="291"/>
      <x:c r="VNN62" s="291"/>
      <x:c r="VNO62" s="291"/>
      <x:c r="VNP62" s="291"/>
      <x:c r="VNQ62" s="291"/>
      <x:c r="VNR62" s="291"/>
      <x:c r="VNS62" s="291"/>
      <x:c r="VNT62" s="291"/>
      <x:c r="VNU62" s="291"/>
      <x:c r="VNV62" s="291"/>
      <x:c r="VNW62" s="291"/>
      <x:c r="VNX62" s="291"/>
      <x:c r="VNY62" s="291"/>
      <x:c r="VNZ62" s="291"/>
      <x:c r="VOA62" s="291"/>
      <x:c r="VOB62" s="291"/>
      <x:c r="VOC62" s="291"/>
      <x:c r="VOD62" s="291"/>
      <x:c r="VOE62" s="291"/>
      <x:c r="VOF62" s="291"/>
      <x:c r="VOG62" s="291"/>
      <x:c r="VOH62" s="291"/>
      <x:c r="VOI62" s="291"/>
      <x:c r="VOJ62" s="291"/>
      <x:c r="VOK62" s="291"/>
      <x:c r="VOL62" s="291"/>
      <x:c r="VOM62" s="291"/>
      <x:c r="VON62" s="291"/>
      <x:c r="VOO62" s="291"/>
      <x:c r="VOP62" s="291"/>
      <x:c r="VOQ62" s="291"/>
      <x:c r="VOR62" s="291"/>
      <x:c r="VOS62" s="291"/>
      <x:c r="VOT62" s="291"/>
      <x:c r="VOU62" s="291"/>
      <x:c r="VOV62" s="291"/>
      <x:c r="VOW62" s="291"/>
      <x:c r="VOX62" s="291"/>
      <x:c r="VOY62" s="291"/>
      <x:c r="VOZ62" s="291"/>
      <x:c r="VPA62" s="291"/>
      <x:c r="VPB62" s="291"/>
      <x:c r="VPC62" s="291"/>
      <x:c r="VPD62" s="291"/>
      <x:c r="VPE62" s="291"/>
      <x:c r="VPF62" s="291"/>
      <x:c r="VPG62" s="291"/>
      <x:c r="VPH62" s="291"/>
      <x:c r="VPI62" s="291"/>
      <x:c r="VPJ62" s="291"/>
      <x:c r="VPK62" s="291"/>
      <x:c r="VPL62" s="291"/>
      <x:c r="VPM62" s="291"/>
      <x:c r="VPN62" s="291"/>
      <x:c r="VPO62" s="291"/>
      <x:c r="VPP62" s="291"/>
      <x:c r="VPQ62" s="291"/>
      <x:c r="VPR62" s="291"/>
      <x:c r="VPS62" s="291"/>
      <x:c r="VPT62" s="291"/>
      <x:c r="VPU62" s="291"/>
      <x:c r="VPV62" s="291"/>
      <x:c r="VPW62" s="291"/>
      <x:c r="VPX62" s="291"/>
      <x:c r="VPY62" s="291"/>
      <x:c r="VPZ62" s="291"/>
      <x:c r="VQA62" s="291"/>
      <x:c r="VQB62" s="291"/>
      <x:c r="VQC62" s="291"/>
      <x:c r="VQD62" s="291"/>
      <x:c r="VQE62" s="291"/>
      <x:c r="VQF62" s="291"/>
      <x:c r="VQG62" s="291"/>
      <x:c r="VQH62" s="291"/>
      <x:c r="VQI62" s="291"/>
      <x:c r="VQJ62" s="291"/>
      <x:c r="VQK62" s="291"/>
      <x:c r="VQL62" s="291"/>
      <x:c r="VQM62" s="291"/>
      <x:c r="VQN62" s="291"/>
      <x:c r="VQO62" s="291"/>
      <x:c r="VQP62" s="291"/>
      <x:c r="VQQ62" s="291"/>
      <x:c r="VQR62" s="291"/>
      <x:c r="VQS62" s="291"/>
      <x:c r="VQT62" s="291"/>
      <x:c r="VQU62" s="291"/>
      <x:c r="VQV62" s="291"/>
      <x:c r="VQW62" s="291"/>
      <x:c r="VQX62" s="291"/>
      <x:c r="VQY62" s="291"/>
      <x:c r="VQZ62" s="291"/>
      <x:c r="VRA62" s="291"/>
      <x:c r="VRB62" s="291"/>
      <x:c r="VRC62" s="291"/>
      <x:c r="VRD62" s="291"/>
      <x:c r="VRE62" s="291"/>
      <x:c r="VRF62" s="291"/>
      <x:c r="VRG62" s="291"/>
      <x:c r="VRH62" s="291"/>
      <x:c r="VRI62" s="291"/>
      <x:c r="VRJ62" s="291"/>
      <x:c r="VRK62" s="291"/>
      <x:c r="VRL62" s="291"/>
      <x:c r="VRM62" s="291"/>
      <x:c r="VRN62" s="291"/>
      <x:c r="VRO62" s="291"/>
      <x:c r="VRP62" s="291"/>
      <x:c r="VRQ62" s="291"/>
      <x:c r="VRR62" s="291"/>
      <x:c r="VRS62" s="291"/>
      <x:c r="VRT62" s="291"/>
      <x:c r="VRU62" s="291"/>
      <x:c r="VRV62" s="291"/>
      <x:c r="VRW62" s="291"/>
      <x:c r="VRX62" s="291"/>
      <x:c r="VRY62" s="291"/>
      <x:c r="VRZ62" s="291"/>
      <x:c r="VSA62" s="291"/>
      <x:c r="VSB62" s="291"/>
      <x:c r="VSC62" s="291"/>
      <x:c r="VSD62" s="291"/>
      <x:c r="VSE62" s="291"/>
      <x:c r="VSF62" s="291"/>
      <x:c r="VSG62" s="291"/>
      <x:c r="VSH62" s="291"/>
      <x:c r="VSI62" s="291"/>
      <x:c r="VSJ62" s="291"/>
      <x:c r="VSK62" s="291"/>
      <x:c r="VSL62" s="291"/>
      <x:c r="VSM62" s="291"/>
      <x:c r="VSN62" s="291"/>
      <x:c r="VSO62" s="291"/>
      <x:c r="VSP62" s="291"/>
      <x:c r="VSQ62" s="291"/>
      <x:c r="VSR62" s="291"/>
      <x:c r="VSS62" s="291"/>
      <x:c r="VST62" s="291"/>
      <x:c r="VSU62" s="291"/>
      <x:c r="VSV62" s="291"/>
      <x:c r="VSW62" s="291"/>
      <x:c r="VSX62" s="291"/>
      <x:c r="VSY62" s="291"/>
      <x:c r="VSZ62" s="291"/>
      <x:c r="VTA62" s="291"/>
      <x:c r="VTB62" s="291"/>
      <x:c r="VTC62" s="291"/>
      <x:c r="VTD62" s="291"/>
      <x:c r="VTE62" s="291"/>
      <x:c r="VTF62" s="291"/>
      <x:c r="VTG62" s="291"/>
      <x:c r="VTH62" s="291"/>
      <x:c r="VTI62" s="291"/>
      <x:c r="VTJ62" s="291"/>
      <x:c r="VTK62" s="291"/>
      <x:c r="VTL62" s="291"/>
      <x:c r="VTM62" s="291"/>
      <x:c r="VTN62" s="291"/>
      <x:c r="VTO62" s="291"/>
      <x:c r="VTP62" s="291"/>
      <x:c r="VTQ62" s="291"/>
      <x:c r="VTR62" s="291"/>
      <x:c r="VTS62" s="291"/>
      <x:c r="VTT62" s="291"/>
      <x:c r="VTU62" s="291"/>
      <x:c r="VTV62" s="291"/>
      <x:c r="VTW62" s="291"/>
      <x:c r="VTX62" s="291"/>
      <x:c r="VTY62" s="291"/>
      <x:c r="VTZ62" s="291"/>
      <x:c r="VUA62" s="291"/>
      <x:c r="VUB62" s="291"/>
      <x:c r="VUC62" s="291"/>
      <x:c r="VUD62" s="291"/>
      <x:c r="VUE62" s="291"/>
      <x:c r="VUF62" s="291"/>
      <x:c r="VUG62" s="291"/>
      <x:c r="VUH62" s="291"/>
      <x:c r="VUI62" s="291"/>
      <x:c r="VUJ62" s="291"/>
      <x:c r="VUK62" s="291"/>
      <x:c r="VUL62" s="291"/>
      <x:c r="VUM62" s="291"/>
      <x:c r="VUN62" s="291"/>
      <x:c r="VUO62" s="291"/>
      <x:c r="VUP62" s="291"/>
      <x:c r="VUQ62" s="291"/>
      <x:c r="VUR62" s="291"/>
      <x:c r="VUS62" s="291"/>
      <x:c r="VUT62" s="291"/>
      <x:c r="VUU62" s="291"/>
      <x:c r="VUV62" s="291"/>
      <x:c r="VUW62" s="291"/>
      <x:c r="VUX62" s="291"/>
      <x:c r="VUY62" s="291"/>
      <x:c r="VUZ62" s="291"/>
      <x:c r="VVA62" s="291"/>
      <x:c r="VVB62" s="291"/>
      <x:c r="VVC62" s="291"/>
      <x:c r="VVD62" s="291"/>
      <x:c r="VVE62" s="291"/>
      <x:c r="VVF62" s="291"/>
      <x:c r="VVG62" s="291"/>
      <x:c r="VVH62" s="291"/>
      <x:c r="VVI62" s="291"/>
      <x:c r="VVJ62" s="291"/>
      <x:c r="VVK62" s="291"/>
      <x:c r="VVL62" s="291"/>
      <x:c r="VVM62" s="291"/>
      <x:c r="VVN62" s="291"/>
      <x:c r="VVO62" s="291"/>
      <x:c r="VVP62" s="291"/>
      <x:c r="VVQ62" s="291"/>
      <x:c r="VVR62" s="291"/>
      <x:c r="VVS62" s="291"/>
      <x:c r="VVT62" s="291"/>
      <x:c r="VVU62" s="291"/>
      <x:c r="VVV62" s="291"/>
      <x:c r="VVW62" s="291"/>
      <x:c r="VVX62" s="291"/>
      <x:c r="VVY62" s="291"/>
      <x:c r="VVZ62" s="291"/>
      <x:c r="VWA62" s="291"/>
      <x:c r="VWB62" s="291"/>
      <x:c r="VWC62" s="291"/>
      <x:c r="VWD62" s="291"/>
      <x:c r="VWE62" s="291"/>
      <x:c r="VWF62" s="291"/>
      <x:c r="VWG62" s="291"/>
      <x:c r="VWH62" s="291"/>
      <x:c r="VWI62" s="291"/>
      <x:c r="VWJ62" s="291"/>
      <x:c r="VWK62" s="291"/>
      <x:c r="VWL62" s="291"/>
      <x:c r="VWM62" s="291"/>
      <x:c r="VWN62" s="291"/>
      <x:c r="VWO62" s="291"/>
      <x:c r="VWP62" s="291"/>
      <x:c r="VWQ62" s="291"/>
      <x:c r="VWR62" s="291"/>
      <x:c r="VWS62" s="291"/>
      <x:c r="VWT62" s="291"/>
      <x:c r="VWU62" s="291"/>
      <x:c r="VWV62" s="291"/>
      <x:c r="VWW62" s="291"/>
      <x:c r="VWX62" s="291"/>
      <x:c r="VWY62" s="291"/>
      <x:c r="VWZ62" s="291"/>
      <x:c r="VXA62" s="291"/>
      <x:c r="VXB62" s="291"/>
      <x:c r="VXC62" s="291"/>
      <x:c r="VXD62" s="291"/>
      <x:c r="VXE62" s="291"/>
      <x:c r="VXF62" s="291"/>
      <x:c r="VXG62" s="291"/>
      <x:c r="VXH62" s="291"/>
      <x:c r="VXI62" s="291"/>
      <x:c r="VXJ62" s="291"/>
      <x:c r="VXK62" s="291"/>
      <x:c r="VXL62" s="291"/>
      <x:c r="VXM62" s="291"/>
      <x:c r="VXN62" s="291"/>
      <x:c r="VXO62" s="291"/>
      <x:c r="VXP62" s="291"/>
      <x:c r="VXQ62" s="291"/>
      <x:c r="VXR62" s="291"/>
      <x:c r="VXS62" s="291"/>
      <x:c r="VXT62" s="291"/>
      <x:c r="VXU62" s="291"/>
      <x:c r="VXV62" s="291"/>
      <x:c r="VXW62" s="291"/>
      <x:c r="VXX62" s="291"/>
      <x:c r="VXY62" s="291"/>
      <x:c r="VXZ62" s="291"/>
      <x:c r="VYA62" s="291"/>
      <x:c r="VYB62" s="291"/>
      <x:c r="VYC62" s="291"/>
      <x:c r="VYD62" s="291"/>
      <x:c r="VYE62" s="291"/>
      <x:c r="VYF62" s="291"/>
      <x:c r="VYG62" s="291"/>
      <x:c r="VYH62" s="291"/>
      <x:c r="VYI62" s="291"/>
      <x:c r="VYJ62" s="291"/>
      <x:c r="VYK62" s="291"/>
      <x:c r="VYL62" s="291"/>
      <x:c r="VYM62" s="291"/>
      <x:c r="VYN62" s="291"/>
      <x:c r="VYO62" s="291"/>
      <x:c r="VYP62" s="291"/>
      <x:c r="VYQ62" s="291"/>
      <x:c r="VYR62" s="291"/>
      <x:c r="VYS62" s="291"/>
      <x:c r="VYT62" s="291"/>
      <x:c r="VYU62" s="291"/>
      <x:c r="VYV62" s="291"/>
      <x:c r="VYW62" s="291"/>
      <x:c r="VYX62" s="291"/>
      <x:c r="VYY62" s="291"/>
      <x:c r="VYZ62" s="291"/>
      <x:c r="VZA62" s="291"/>
      <x:c r="VZB62" s="291"/>
      <x:c r="VZC62" s="291"/>
      <x:c r="VZD62" s="291"/>
      <x:c r="VZE62" s="291"/>
      <x:c r="VZF62" s="291"/>
      <x:c r="VZG62" s="291"/>
      <x:c r="VZH62" s="291"/>
      <x:c r="VZI62" s="291"/>
      <x:c r="VZJ62" s="291"/>
      <x:c r="VZK62" s="291"/>
      <x:c r="VZL62" s="291"/>
      <x:c r="VZM62" s="291"/>
      <x:c r="VZN62" s="291"/>
      <x:c r="VZO62" s="291"/>
      <x:c r="VZP62" s="291"/>
      <x:c r="VZQ62" s="291"/>
      <x:c r="VZR62" s="291"/>
      <x:c r="VZS62" s="291"/>
      <x:c r="VZT62" s="291"/>
      <x:c r="VZU62" s="291"/>
      <x:c r="VZV62" s="291"/>
      <x:c r="VZW62" s="291"/>
      <x:c r="VZX62" s="291"/>
      <x:c r="VZY62" s="291"/>
      <x:c r="VZZ62" s="291"/>
      <x:c r="WAA62" s="291"/>
      <x:c r="WAB62" s="291"/>
      <x:c r="WAC62" s="291"/>
      <x:c r="WAD62" s="291"/>
      <x:c r="WAE62" s="291"/>
      <x:c r="WAF62" s="291"/>
      <x:c r="WAG62" s="291"/>
      <x:c r="WAH62" s="291"/>
      <x:c r="WAI62" s="291"/>
      <x:c r="WAJ62" s="291"/>
      <x:c r="WAK62" s="291"/>
      <x:c r="WAL62" s="291"/>
      <x:c r="WAM62" s="291"/>
      <x:c r="WAN62" s="291"/>
      <x:c r="WAO62" s="291"/>
      <x:c r="WAP62" s="291"/>
      <x:c r="WAQ62" s="291"/>
      <x:c r="WAR62" s="291"/>
      <x:c r="WAS62" s="291"/>
      <x:c r="WAT62" s="291"/>
      <x:c r="WAU62" s="291"/>
      <x:c r="WAV62" s="291"/>
      <x:c r="WAW62" s="291"/>
      <x:c r="WAX62" s="291"/>
      <x:c r="WAY62" s="291"/>
      <x:c r="WAZ62" s="291"/>
      <x:c r="WBA62" s="291"/>
      <x:c r="WBB62" s="291"/>
      <x:c r="WBC62" s="291"/>
      <x:c r="WBD62" s="291"/>
      <x:c r="WBE62" s="291"/>
      <x:c r="WBF62" s="291"/>
      <x:c r="WBG62" s="291"/>
      <x:c r="WBH62" s="291"/>
      <x:c r="WBI62" s="291"/>
      <x:c r="WBJ62" s="291"/>
      <x:c r="WBK62" s="291"/>
      <x:c r="WBL62" s="291"/>
      <x:c r="WBM62" s="291"/>
      <x:c r="WBN62" s="291"/>
      <x:c r="WBO62" s="291"/>
      <x:c r="WBP62" s="291"/>
      <x:c r="WBQ62" s="291"/>
      <x:c r="WBR62" s="291"/>
      <x:c r="WBS62" s="291"/>
      <x:c r="WBT62" s="291"/>
      <x:c r="WBU62" s="291"/>
      <x:c r="WBV62" s="291"/>
      <x:c r="WBW62" s="291"/>
      <x:c r="WBX62" s="291"/>
      <x:c r="WBY62" s="291"/>
      <x:c r="WBZ62" s="291"/>
      <x:c r="WCA62" s="291"/>
      <x:c r="WCB62" s="291"/>
      <x:c r="WCC62" s="291"/>
      <x:c r="WCD62" s="291"/>
      <x:c r="WCE62" s="291"/>
      <x:c r="WCF62" s="291"/>
      <x:c r="WCG62" s="291"/>
      <x:c r="WCH62" s="291"/>
      <x:c r="WCI62" s="291"/>
      <x:c r="WCJ62" s="291"/>
      <x:c r="WCK62" s="291"/>
      <x:c r="WCL62" s="291"/>
      <x:c r="WCM62" s="291"/>
      <x:c r="WCN62" s="291"/>
      <x:c r="WCO62" s="291"/>
      <x:c r="WCP62" s="291"/>
      <x:c r="WCQ62" s="291"/>
      <x:c r="WCR62" s="291"/>
      <x:c r="WCS62" s="291"/>
      <x:c r="WCT62" s="291"/>
      <x:c r="WCU62" s="291"/>
      <x:c r="WCV62" s="291"/>
      <x:c r="WCW62" s="291"/>
      <x:c r="WCX62" s="291"/>
      <x:c r="WCY62" s="291"/>
      <x:c r="WCZ62" s="291"/>
      <x:c r="WDA62" s="291"/>
      <x:c r="WDB62" s="291"/>
      <x:c r="WDC62" s="291"/>
      <x:c r="WDD62" s="291"/>
      <x:c r="WDE62" s="291"/>
      <x:c r="WDF62" s="291"/>
      <x:c r="WDG62" s="291"/>
      <x:c r="WDH62" s="291"/>
      <x:c r="WDI62" s="291"/>
      <x:c r="WDJ62" s="291"/>
      <x:c r="WDK62" s="291"/>
      <x:c r="WDL62" s="291"/>
      <x:c r="WDM62" s="291"/>
      <x:c r="WDN62" s="291"/>
      <x:c r="WDO62" s="291"/>
      <x:c r="WDP62" s="291"/>
      <x:c r="WDQ62" s="291"/>
      <x:c r="WDR62" s="291"/>
      <x:c r="WDS62" s="291"/>
      <x:c r="WDT62" s="291"/>
      <x:c r="WDU62" s="291"/>
      <x:c r="WDV62" s="291"/>
      <x:c r="WDW62" s="291"/>
      <x:c r="WDX62" s="291"/>
      <x:c r="WDY62" s="291"/>
      <x:c r="WDZ62" s="291"/>
      <x:c r="WEA62" s="291"/>
      <x:c r="WEB62" s="291"/>
      <x:c r="WEC62" s="291"/>
      <x:c r="WED62" s="291"/>
      <x:c r="WEE62" s="291"/>
      <x:c r="WEF62" s="291"/>
      <x:c r="WEG62" s="291"/>
      <x:c r="WEH62" s="291"/>
      <x:c r="WEI62" s="291"/>
      <x:c r="WEJ62" s="291"/>
      <x:c r="WEK62" s="291"/>
      <x:c r="WEL62" s="291"/>
      <x:c r="WEM62" s="291"/>
      <x:c r="WEN62" s="291"/>
      <x:c r="WEO62" s="291"/>
      <x:c r="WEP62" s="291"/>
      <x:c r="WEQ62" s="291"/>
      <x:c r="WER62" s="291"/>
      <x:c r="WES62" s="291"/>
      <x:c r="WET62" s="291"/>
      <x:c r="WEU62" s="291"/>
      <x:c r="WEV62" s="291"/>
      <x:c r="WEW62" s="291"/>
      <x:c r="WEX62" s="291"/>
      <x:c r="WEY62" s="291"/>
      <x:c r="WEZ62" s="291"/>
      <x:c r="WFA62" s="291"/>
      <x:c r="WFB62" s="291"/>
      <x:c r="WFC62" s="291"/>
      <x:c r="WFD62" s="291"/>
      <x:c r="WFE62" s="291"/>
      <x:c r="WFF62" s="291"/>
      <x:c r="WFG62" s="291"/>
      <x:c r="WFH62" s="291"/>
      <x:c r="WFI62" s="291"/>
      <x:c r="WFJ62" s="291"/>
      <x:c r="WFK62" s="291"/>
      <x:c r="WFL62" s="291"/>
      <x:c r="WFM62" s="291"/>
      <x:c r="WFN62" s="291"/>
      <x:c r="WFO62" s="291"/>
      <x:c r="WFP62" s="291"/>
      <x:c r="WFQ62" s="291"/>
      <x:c r="WFR62" s="291"/>
      <x:c r="WFS62" s="291"/>
      <x:c r="WFT62" s="291"/>
      <x:c r="WFU62" s="291"/>
      <x:c r="WFV62" s="291"/>
      <x:c r="WFW62" s="291"/>
      <x:c r="WFX62" s="291"/>
      <x:c r="WFY62" s="291"/>
      <x:c r="WFZ62" s="291"/>
      <x:c r="WGA62" s="291"/>
      <x:c r="WGB62" s="291"/>
      <x:c r="WGC62" s="291"/>
      <x:c r="WGD62" s="291"/>
      <x:c r="WGE62" s="291"/>
      <x:c r="WGF62" s="291"/>
      <x:c r="WGG62" s="291"/>
      <x:c r="WGH62" s="291"/>
      <x:c r="WGI62" s="291"/>
      <x:c r="WGJ62" s="291"/>
      <x:c r="WGK62" s="291"/>
      <x:c r="WGL62" s="291"/>
      <x:c r="WGM62" s="291"/>
      <x:c r="WGN62" s="291"/>
      <x:c r="WGO62" s="291"/>
      <x:c r="WGP62" s="291"/>
      <x:c r="WGQ62" s="291"/>
      <x:c r="WGR62" s="291"/>
      <x:c r="WGS62" s="291"/>
      <x:c r="WGT62" s="291"/>
      <x:c r="WGU62" s="291"/>
      <x:c r="WGV62" s="291"/>
      <x:c r="WGW62" s="291"/>
      <x:c r="WGX62" s="291"/>
      <x:c r="WGY62" s="291"/>
      <x:c r="WGZ62" s="291"/>
      <x:c r="WHA62" s="291"/>
      <x:c r="WHB62" s="291"/>
      <x:c r="WHC62" s="291"/>
      <x:c r="WHD62" s="291"/>
      <x:c r="WHE62" s="291"/>
      <x:c r="WHF62" s="291"/>
      <x:c r="WHG62" s="291"/>
      <x:c r="WHH62" s="291"/>
      <x:c r="WHI62" s="291"/>
      <x:c r="WHJ62" s="291"/>
      <x:c r="WHK62" s="291"/>
      <x:c r="WHL62" s="291"/>
      <x:c r="WHM62" s="291"/>
      <x:c r="WHN62" s="291"/>
      <x:c r="WHO62" s="291"/>
      <x:c r="WHP62" s="291"/>
      <x:c r="WHQ62" s="291"/>
      <x:c r="WHR62" s="291"/>
      <x:c r="WHS62" s="291"/>
      <x:c r="WHT62" s="291"/>
      <x:c r="WHU62" s="291"/>
      <x:c r="WHV62" s="291"/>
      <x:c r="WHW62" s="291"/>
      <x:c r="WHX62" s="291"/>
      <x:c r="WHY62" s="291"/>
      <x:c r="WHZ62" s="291"/>
      <x:c r="WIA62" s="291"/>
      <x:c r="WIB62" s="291"/>
      <x:c r="WIC62" s="291"/>
      <x:c r="WID62" s="291"/>
      <x:c r="WIE62" s="291"/>
      <x:c r="WIF62" s="291"/>
      <x:c r="WIG62" s="291"/>
      <x:c r="WIH62" s="291"/>
      <x:c r="WII62" s="291"/>
      <x:c r="WIJ62" s="291"/>
      <x:c r="WIK62" s="291"/>
      <x:c r="WIL62" s="291"/>
      <x:c r="WIM62" s="291"/>
      <x:c r="WIN62" s="291"/>
      <x:c r="WIO62" s="291"/>
      <x:c r="WIP62" s="291"/>
      <x:c r="WIQ62" s="291"/>
      <x:c r="WIR62" s="291"/>
      <x:c r="WIS62" s="291"/>
      <x:c r="WIT62" s="291"/>
      <x:c r="WIU62" s="291"/>
      <x:c r="WIV62" s="291"/>
      <x:c r="WIW62" s="291"/>
      <x:c r="WIX62" s="291"/>
      <x:c r="WIY62" s="291"/>
      <x:c r="WIZ62" s="291"/>
      <x:c r="WJA62" s="291"/>
      <x:c r="WJB62" s="291"/>
      <x:c r="WJC62" s="291"/>
      <x:c r="WJD62" s="291"/>
      <x:c r="WJE62" s="291"/>
      <x:c r="WJF62" s="291"/>
      <x:c r="WJG62" s="291"/>
      <x:c r="WJH62" s="291"/>
      <x:c r="WJI62" s="291"/>
      <x:c r="WJJ62" s="291"/>
      <x:c r="WJK62" s="291"/>
      <x:c r="WJL62" s="291"/>
      <x:c r="WJM62" s="291"/>
      <x:c r="WJN62" s="291"/>
      <x:c r="WJO62" s="291"/>
      <x:c r="WJP62" s="291"/>
      <x:c r="WJQ62" s="291"/>
      <x:c r="WJR62" s="291"/>
      <x:c r="WJS62" s="291"/>
      <x:c r="WJT62" s="291"/>
      <x:c r="WJU62" s="291"/>
      <x:c r="WJV62" s="291"/>
      <x:c r="WJW62" s="291"/>
      <x:c r="WJX62" s="291"/>
      <x:c r="WJY62" s="291"/>
      <x:c r="WJZ62" s="291"/>
      <x:c r="WKA62" s="291"/>
      <x:c r="WKB62" s="291"/>
      <x:c r="WKC62" s="291"/>
      <x:c r="WKD62" s="291"/>
      <x:c r="WKE62" s="291"/>
      <x:c r="WKF62" s="291"/>
      <x:c r="WKG62" s="291"/>
      <x:c r="WKH62" s="291"/>
      <x:c r="WKI62" s="291"/>
      <x:c r="WKJ62" s="291"/>
      <x:c r="WKK62" s="291"/>
      <x:c r="WKL62" s="291"/>
      <x:c r="WKM62" s="291"/>
      <x:c r="WKN62" s="291"/>
      <x:c r="WKO62" s="291"/>
      <x:c r="WKP62" s="291"/>
      <x:c r="WKQ62" s="291"/>
      <x:c r="WKR62" s="291"/>
      <x:c r="WKS62" s="291"/>
      <x:c r="WKT62" s="291"/>
      <x:c r="WKU62" s="291"/>
      <x:c r="WKV62" s="291"/>
      <x:c r="WKW62" s="291"/>
      <x:c r="WKX62" s="291"/>
      <x:c r="WKY62" s="291"/>
      <x:c r="WKZ62" s="291"/>
      <x:c r="WLA62" s="291"/>
      <x:c r="WLB62" s="291"/>
      <x:c r="WLC62" s="291"/>
      <x:c r="WLD62" s="291"/>
      <x:c r="WLE62" s="291"/>
      <x:c r="WLF62" s="291"/>
      <x:c r="WLG62" s="291"/>
      <x:c r="WLH62" s="291"/>
      <x:c r="WLI62" s="291"/>
      <x:c r="WLJ62" s="291"/>
      <x:c r="WLK62" s="291"/>
      <x:c r="WLL62" s="291"/>
      <x:c r="WLM62" s="291"/>
      <x:c r="WLN62" s="291"/>
      <x:c r="WLO62" s="291"/>
      <x:c r="WLP62" s="291"/>
      <x:c r="WLQ62" s="291"/>
      <x:c r="WLR62" s="291"/>
      <x:c r="WLS62" s="291"/>
      <x:c r="WLT62" s="291"/>
      <x:c r="WLU62" s="291"/>
      <x:c r="WLV62" s="291"/>
      <x:c r="WLW62" s="291"/>
      <x:c r="WLX62" s="291"/>
      <x:c r="WLY62" s="291"/>
      <x:c r="WLZ62" s="291"/>
      <x:c r="WMA62" s="291"/>
      <x:c r="WMB62" s="291"/>
      <x:c r="WMC62" s="291"/>
      <x:c r="WMD62" s="291"/>
      <x:c r="WME62" s="291"/>
      <x:c r="WMF62" s="291"/>
      <x:c r="WMG62" s="291"/>
      <x:c r="WMH62" s="291"/>
      <x:c r="WMI62" s="291"/>
      <x:c r="WMJ62" s="291"/>
      <x:c r="WMK62" s="291"/>
      <x:c r="WML62" s="291"/>
      <x:c r="WMM62" s="291"/>
      <x:c r="WMN62" s="291"/>
      <x:c r="WMO62" s="291"/>
      <x:c r="WMP62" s="291"/>
      <x:c r="WMQ62" s="291"/>
      <x:c r="WMR62" s="291"/>
      <x:c r="WMS62" s="291"/>
      <x:c r="WMT62" s="291"/>
      <x:c r="WMU62" s="291"/>
      <x:c r="WMV62" s="291"/>
      <x:c r="WMW62" s="291"/>
      <x:c r="WMX62" s="291"/>
      <x:c r="WMY62" s="291"/>
      <x:c r="WMZ62" s="291"/>
      <x:c r="WNA62" s="291"/>
      <x:c r="WNB62" s="291"/>
      <x:c r="WNC62" s="291"/>
      <x:c r="WND62" s="291"/>
      <x:c r="WNE62" s="291"/>
      <x:c r="WNF62" s="291"/>
      <x:c r="WNG62" s="291"/>
      <x:c r="WNH62" s="291"/>
      <x:c r="WNI62" s="291"/>
      <x:c r="WNJ62" s="291"/>
      <x:c r="WNK62" s="291"/>
      <x:c r="WNL62" s="291"/>
      <x:c r="WNM62" s="291"/>
      <x:c r="WNN62" s="291"/>
      <x:c r="WNO62" s="291"/>
      <x:c r="WNP62" s="291"/>
      <x:c r="WNQ62" s="291"/>
      <x:c r="WNR62" s="291"/>
      <x:c r="WNS62" s="291"/>
      <x:c r="WNT62" s="291"/>
      <x:c r="WNU62" s="291"/>
      <x:c r="WNV62" s="291"/>
      <x:c r="WNW62" s="291"/>
      <x:c r="WNX62" s="291"/>
      <x:c r="WNY62" s="291"/>
      <x:c r="WNZ62" s="291"/>
      <x:c r="WOA62" s="291"/>
      <x:c r="WOB62" s="291"/>
      <x:c r="WOC62" s="291"/>
      <x:c r="WOD62" s="291"/>
      <x:c r="WOE62" s="291"/>
      <x:c r="WOF62" s="291"/>
      <x:c r="WOG62" s="291"/>
      <x:c r="WOH62" s="291"/>
      <x:c r="WOI62" s="291"/>
      <x:c r="WOJ62" s="291"/>
      <x:c r="WOK62" s="291"/>
      <x:c r="WOL62" s="291"/>
      <x:c r="WOM62" s="291"/>
      <x:c r="WON62" s="291"/>
      <x:c r="WOO62" s="291"/>
      <x:c r="WOP62" s="291"/>
      <x:c r="WOQ62" s="291"/>
      <x:c r="WOR62" s="291"/>
      <x:c r="WOS62" s="291"/>
      <x:c r="WOT62" s="291"/>
      <x:c r="WOU62" s="291"/>
      <x:c r="WOV62" s="291"/>
      <x:c r="WOW62" s="291"/>
      <x:c r="WOX62" s="291"/>
      <x:c r="WOY62" s="291"/>
      <x:c r="WOZ62" s="291"/>
      <x:c r="WPA62" s="291"/>
      <x:c r="WPB62" s="291"/>
      <x:c r="WPC62" s="291"/>
      <x:c r="WPD62" s="291"/>
      <x:c r="WPE62" s="291"/>
      <x:c r="WPF62" s="291"/>
      <x:c r="WPG62" s="291"/>
      <x:c r="WPH62" s="291"/>
      <x:c r="WPI62" s="291"/>
      <x:c r="WPJ62" s="291"/>
      <x:c r="WPK62" s="291"/>
      <x:c r="WPL62" s="291"/>
      <x:c r="WPM62" s="291"/>
      <x:c r="WPN62" s="291"/>
      <x:c r="WPO62" s="291"/>
      <x:c r="WPP62" s="291"/>
      <x:c r="WPQ62" s="291"/>
      <x:c r="WPR62" s="291"/>
      <x:c r="WPS62" s="291"/>
      <x:c r="WPT62" s="291"/>
      <x:c r="WPU62" s="291"/>
      <x:c r="WPV62" s="291"/>
      <x:c r="WPW62" s="291"/>
      <x:c r="WPX62" s="291"/>
      <x:c r="WPY62" s="291"/>
      <x:c r="WPZ62" s="291"/>
      <x:c r="WQA62" s="291"/>
      <x:c r="WQB62" s="291"/>
      <x:c r="WQC62" s="291"/>
      <x:c r="WQD62" s="291"/>
      <x:c r="WQE62" s="291"/>
      <x:c r="WQF62" s="291"/>
      <x:c r="WQG62" s="291"/>
      <x:c r="WQH62" s="291"/>
      <x:c r="WQI62" s="291"/>
      <x:c r="WQJ62" s="291"/>
      <x:c r="WQK62" s="291"/>
      <x:c r="WQL62" s="291"/>
      <x:c r="WQM62" s="291"/>
      <x:c r="WQN62" s="291"/>
      <x:c r="WQO62" s="291"/>
      <x:c r="WQP62" s="291"/>
      <x:c r="WQQ62" s="291"/>
      <x:c r="WQR62" s="291"/>
      <x:c r="WQS62" s="291"/>
      <x:c r="WQT62" s="291"/>
      <x:c r="WQU62" s="291"/>
      <x:c r="WQV62" s="291"/>
      <x:c r="WQW62" s="291"/>
      <x:c r="WQX62" s="291"/>
      <x:c r="WQY62" s="291"/>
      <x:c r="WQZ62" s="291"/>
      <x:c r="WRA62" s="291"/>
      <x:c r="WRB62" s="291"/>
      <x:c r="WRC62" s="291"/>
      <x:c r="WRD62" s="291"/>
      <x:c r="WRE62" s="291"/>
      <x:c r="WRF62" s="291"/>
      <x:c r="WRG62" s="291"/>
      <x:c r="WRH62" s="291"/>
      <x:c r="WRI62" s="291"/>
      <x:c r="WRJ62" s="291"/>
      <x:c r="WRK62" s="291"/>
      <x:c r="WRL62" s="291"/>
      <x:c r="WRM62" s="291"/>
      <x:c r="WRN62" s="291"/>
      <x:c r="WRO62" s="291"/>
      <x:c r="WRP62" s="291"/>
      <x:c r="WRQ62" s="291"/>
      <x:c r="WRR62" s="291"/>
      <x:c r="WRS62" s="291"/>
      <x:c r="WRT62" s="291"/>
      <x:c r="WRU62" s="291"/>
      <x:c r="WRV62" s="291"/>
      <x:c r="WRW62" s="291"/>
      <x:c r="WRX62" s="291"/>
      <x:c r="WRY62" s="291"/>
      <x:c r="WRZ62" s="291"/>
      <x:c r="WSA62" s="291"/>
      <x:c r="WSB62" s="291"/>
      <x:c r="WSC62" s="291"/>
      <x:c r="WSD62" s="291"/>
      <x:c r="WSE62" s="291"/>
      <x:c r="WSF62" s="291"/>
      <x:c r="WSG62" s="291"/>
      <x:c r="WSH62" s="291"/>
      <x:c r="WSI62" s="291"/>
      <x:c r="WSJ62" s="291"/>
      <x:c r="WSK62" s="291"/>
      <x:c r="WSL62" s="291"/>
      <x:c r="WSM62" s="291"/>
      <x:c r="WSN62" s="291"/>
      <x:c r="WSO62" s="291"/>
      <x:c r="WSP62" s="291"/>
      <x:c r="WSQ62" s="291"/>
      <x:c r="WSR62" s="291"/>
      <x:c r="WSS62" s="291"/>
      <x:c r="WST62" s="291"/>
      <x:c r="WSU62" s="291"/>
      <x:c r="WSV62" s="291"/>
      <x:c r="WSW62" s="291"/>
      <x:c r="WSX62" s="291"/>
      <x:c r="WSY62" s="291"/>
      <x:c r="WSZ62" s="291"/>
      <x:c r="WTA62" s="291"/>
      <x:c r="WTB62" s="291"/>
      <x:c r="WTC62" s="291"/>
      <x:c r="WTD62" s="291"/>
      <x:c r="WTE62" s="291"/>
      <x:c r="WTF62" s="291"/>
      <x:c r="WTG62" s="291"/>
      <x:c r="WTH62" s="291"/>
      <x:c r="WTI62" s="291"/>
      <x:c r="WTJ62" s="291"/>
      <x:c r="WTK62" s="291"/>
      <x:c r="WTL62" s="291"/>
      <x:c r="WTM62" s="291"/>
      <x:c r="WTN62" s="291"/>
      <x:c r="WTO62" s="291"/>
      <x:c r="WTP62" s="291"/>
      <x:c r="WTQ62" s="291"/>
      <x:c r="WTR62" s="291"/>
      <x:c r="WTS62" s="291"/>
      <x:c r="WTT62" s="291"/>
      <x:c r="WTU62" s="291"/>
      <x:c r="WTV62" s="291"/>
      <x:c r="WTW62" s="291"/>
      <x:c r="WTX62" s="291"/>
      <x:c r="WTY62" s="291"/>
      <x:c r="WTZ62" s="291"/>
      <x:c r="WUA62" s="291"/>
      <x:c r="WUB62" s="291"/>
      <x:c r="WUC62" s="291"/>
      <x:c r="WUD62" s="291"/>
      <x:c r="WUE62" s="291"/>
      <x:c r="WUF62" s="291"/>
      <x:c r="WUG62" s="291"/>
      <x:c r="WUH62" s="291"/>
      <x:c r="WUI62" s="291"/>
      <x:c r="WUJ62" s="291"/>
      <x:c r="WUK62" s="291"/>
      <x:c r="WUL62" s="291"/>
      <x:c r="WUM62" s="291"/>
      <x:c r="WUN62" s="291"/>
      <x:c r="WUO62" s="291"/>
      <x:c r="WUP62" s="291"/>
      <x:c r="WUQ62" s="291"/>
      <x:c r="WUR62" s="291"/>
      <x:c r="WUS62" s="291"/>
      <x:c r="WUT62" s="291"/>
      <x:c r="WUU62" s="291"/>
      <x:c r="WUV62" s="291"/>
      <x:c r="WUW62" s="291"/>
      <x:c r="WUX62" s="291"/>
      <x:c r="WUY62" s="291"/>
      <x:c r="WUZ62" s="291"/>
      <x:c r="WVA62" s="291"/>
      <x:c r="WVB62" s="291"/>
      <x:c r="WVC62" s="291"/>
      <x:c r="WVD62" s="291"/>
      <x:c r="WVE62" s="291"/>
      <x:c r="WVF62" s="291"/>
      <x:c r="WVG62" s="291"/>
      <x:c r="WVH62" s="291"/>
      <x:c r="WVI62" s="291"/>
      <x:c r="WVJ62" s="291"/>
      <x:c r="WVK62" s="291"/>
      <x:c r="WVL62" s="291"/>
      <x:c r="WVM62" s="291"/>
      <x:c r="WVN62" s="291"/>
      <x:c r="WVO62" s="291"/>
      <x:c r="WVP62" s="291"/>
      <x:c r="WVQ62" s="291"/>
      <x:c r="WVR62" s="291"/>
      <x:c r="WVS62" s="291"/>
      <x:c r="WVT62" s="291"/>
      <x:c r="WVU62" s="291"/>
      <x:c r="WVV62" s="291"/>
      <x:c r="WVW62" s="291"/>
      <x:c r="WVX62" s="291"/>
      <x:c r="WVY62" s="291"/>
      <x:c r="WVZ62" s="291"/>
      <x:c r="WWA62" s="291"/>
      <x:c r="WWB62" s="291"/>
      <x:c r="WWC62" s="291"/>
      <x:c r="WWD62" s="291"/>
      <x:c r="WWE62" s="291"/>
      <x:c r="WWF62" s="291"/>
      <x:c r="WWG62" s="291"/>
      <x:c r="WWH62" s="291"/>
      <x:c r="WWI62" s="291"/>
      <x:c r="WWJ62" s="291"/>
      <x:c r="WWK62" s="291"/>
      <x:c r="WWL62" s="291"/>
      <x:c r="WWM62" s="291"/>
      <x:c r="WWN62" s="291"/>
      <x:c r="WWO62" s="291"/>
      <x:c r="WWP62" s="291"/>
      <x:c r="WWQ62" s="291"/>
      <x:c r="WWR62" s="291"/>
      <x:c r="WWS62" s="291"/>
      <x:c r="WWT62" s="291"/>
      <x:c r="WWU62" s="291"/>
      <x:c r="WWV62" s="291"/>
      <x:c r="WWW62" s="291"/>
      <x:c r="WWX62" s="291"/>
      <x:c r="WWY62" s="291"/>
      <x:c r="WWZ62" s="291"/>
      <x:c r="WXA62" s="291"/>
      <x:c r="WXB62" s="291"/>
      <x:c r="WXC62" s="291"/>
      <x:c r="WXD62" s="291"/>
      <x:c r="WXE62" s="291"/>
      <x:c r="WXF62" s="291"/>
      <x:c r="WXG62" s="291"/>
      <x:c r="WXH62" s="291"/>
      <x:c r="WXI62" s="291"/>
      <x:c r="WXJ62" s="291"/>
      <x:c r="WXK62" s="291"/>
      <x:c r="WXL62" s="291"/>
      <x:c r="WXM62" s="291"/>
      <x:c r="WXN62" s="291"/>
      <x:c r="WXO62" s="291"/>
      <x:c r="WXP62" s="291"/>
      <x:c r="WXQ62" s="291"/>
      <x:c r="WXR62" s="291"/>
      <x:c r="WXS62" s="291"/>
      <x:c r="WXT62" s="291"/>
      <x:c r="WXU62" s="291"/>
      <x:c r="WXV62" s="291"/>
      <x:c r="WXW62" s="291"/>
      <x:c r="WXX62" s="291"/>
      <x:c r="WXY62" s="291"/>
      <x:c r="WXZ62" s="291"/>
      <x:c r="WYA62" s="291"/>
      <x:c r="WYB62" s="291"/>
      <x:c r="WYC62" s="291"/>
      <x:c r="WYD62" s="291"/>
      <x:c r="WYE62" s="291"/>
      <x:c r="WYF62" s="291"/>
      <x:c r="WYG62" s="291"/>
      <x:c r="WYH62" s="291"/>
      <x:c r="WYI62" s="291"/>
      <x:c r="WYJ62" s="291"/>
      <x:c r="WYK62" s="291"/>
      <x:c r="WYL62" s="291"/>
      <x:c r="WYM62" s="291"/>
      <x:c r="WYN62" s="291"/>
      <x:c r="WYO62" s="291"/>
      <x:c r="WYP62" s="291"/>
      <x:c r="WYQ62" s="291"/>
      <x:c r="WYR62" s="291"/>
      <x:c r="WYS62" s="291"/>
      <x:c r="WYT62" s="291"/>
      <x:c r="WYU62" s="291"/>
      <x:c r="WYV62" s="291"/>
      <x:c r="WYW62" s="291"/>
      <x:c r="WYX62" s="291"/>
      <x:c r="WYY62" s="291"/>
      <x:c r="WYZ62" s="291"/>
      <x:c r="WZA62" s="291"/>
      <x:c r="WZB62" s="291"/>
      <x:c r="WZC62" s="291"/>
      <x:c r="WZD62" s="291"/>
      <x:c r="WZE62" s="291"/>
      <x:c r="WZF62" s="291"/>
      <x:c r="WZG62" s="291"/>
      <x:c r="WZH62" s="291"/>
      <x:c r="WZI62" s="291"/>
      <x:c r="WZJ62" s="291"/>
      <x:c r="WZK62" s="291"/>
      <x:c r="WZL62" s="291"/>
      <x:c r="WZM62" s="291"/>
      <x:c r="WZN62" s="291"/>
      <x:c r="WZO62" s="291"/>
      <x:c r="WZP62" s="291"/>
      <x:c r="WZQ62" s="291"/>
      <x:c r="WZR62" s="291"/>
      <x:c r="WZS62" s="291"/>
      <x:c r="WZT62" s="291"/>
      <x:c r="WZU62" s="291"/>
      <x:c r="WZV62" s="291"/>
      <x:c r="WZW62" s="291"/>
      <x:c r="WZX62" s="291"/>
      <x:c r="WZY62" s="291"/>
      <x:c r="WZZ62" s="291"/>
      <x:c r="XAA62" s="291"/>
      <x:c r="XAB62" s="291"/>
      <x:c r="XAC62" s="291"/>
      <x:c r="XAD62" s="291"/>
      <x:c r="XAE62" s="291"/>
      <x:c r="XAF62" s="291"/>
      <x:c r="XAG62" s="291"/>
      <x:c r="XAH62" s="291"/>
      <x:c r="XAI62" s="291"/>
      <x:c r="XAJ62" s="291"/>
      <x:c r="XAK62" s="291"/>
      <x:c r="XAL62" s="291"/>
      <x:c r="XAM62" s="291"/>
      <x:c r="XAN62" s="291"/>
      <x:c r="XAO62" s="291"/>
      <x:c r="XAP62" s="291"/>
      <x:c r="XAQ62" s="291"/>
      <x:c r="XAR62" s="291"/>
      <x:c r="XAS62" s="291"/>
      <x:c r="XAT62" s="291"/>
      <x:c r="XAU62" s="291"/>
      <x:c r="XAV62" s="291"/>
      <x:c r="XAW62" s="291"/>
      <x:c r="XAX62" s="291"/>
      <x:c r="XAY62" s="291"/>
      <x:c r="XAZ62" s="291"/>
      <x:c r="XBA62" s="291"/>
      <x:c r="XBB62" s="291"/>
      <x:c r="XBC62" s="291"/>
      <x:c r="XBD62" s="291"/>
      <x:c r="XBE62" s="291"/>
      <x:c r="XBF62" s="291"/>
      <x:c r="XBG62" s="291"/>
      <x:c r="XBH62" s="291"/>
      <x:c r="XBI62" s="291"/>
      <x:c r="XBJ62" s="291"/>
      <x:c r="XBK62" s="291"/>
      <x:c r="XBL62" s="291"/>
      <x:c r="XBM62" s="291"/>
      <x:c r="XBN62" s="291"/>
      <x:c r="XBO62" s="291"/>
      <x:c r="XBP62" s="291"/>
      <x:c r="XBQ62" s="291"/>
      <x:c r="XBR62" s="291"/>
      <x:c r="XBS62" s="291"/>
      <x:c r="XBT62" s="291"/>
      <x:c r="XBU62" s="291"/>
      <x:c r="XBV62" s="291"/>
      <x:c r="XBW62" s="291"/>
      <x:c r="XBX62" s="291"/>
      <x:c r="XBY62" s="291"/>
      <x:c r="XBZ62" s="291"/>
      <x:c r="XCA62" s="291"/>
      <x:c r="XCB62" s="291"/>
      <x:c r="XCC62" s="291"/>
      <x:c r="XCD62" s="291"/>
      <x:c r="XCE62" s="291"/>
      <x:c r="XCF62" s="291"/>
      <x:c r="XCG62" s="291"/>
      <x:c r="XCH62" s="291"/>
      <x:c r="XCI62" s="291"/>
      <x:c r="XCJ62" s="291"/>
      <x:c r="XCK62" s="291"/>
      <x:c r="XCL62" s="291"/>
      <x:c r="XCM62" s="291"/>
      <x:c r="XCN62" s="291"/>
      <x:c r="XCO62" s="291"/>
      <x:c r="XCP62" s="291"/>
      <x:c r="XCQ62" s="291"/>
      <x:c r="XCR62" s="291"/>
      <x:c r="XCS62" s="291"/>
      <x:c r="XCT62" s="291"/>
      <x:c r="XCU62" s="291"/>
      <x:c r="XCV62" s="291"/>
      <x:c r="XCW62" s="291"/>
      <x:c r="XCX62" s="291"/>
      <x:c r="XCY62" s="291"/>
      <x:c r="XCZ62" s="291"/>
      <x:c r="XDA62" s="291"/>
      <x:c r="XDB62" s="291"/>
      <x:c r="XDC62" s="291"/>
      <x:c r="XDD62" s="291"/>
      <x:c r="XDE62" s="291"/>
      <x:c r="XDF62" s="291"/>
      <x:c r="XDG62" s="291"/>
      <x:c r="XDH62" s="291"/>
      <x:c r="XDI62" s="291"/>
      <x:c r="XDJ62" s="291"/>
      <x:c r="XDK62" s="291"/>
      <x:c r="XDL62" s="291"/>
      <x:c r="XDM62" s="291"/>
      <x:c r="XDN62" s="291"/>
      <x:c r="XDO62" s="291"/>
      <x:c r="XDP62" s="291"/>
      <x:c r="XDQ62" s="291"/>
      <x:c r="XDR62" s="291"/>
      <x:c r="XDS62" s="291"/>
      <x:c r="XDT62" s="291"/>
      <x:c r="XDU62" s="291"/>
      <x:c r="XDV62" s="291"/>
      <x:c r="XDW62" s="291"/>
      <x:c r="XDX62" s="291"/>
      <x:c r="XDY62" s="291"/>
      <x:c r="XDZ62" s="291"/>
      <x:c r="XEA62" s="291"/>
      <x:c r="XEB62" s="291"/>
      <x:c r="XEC62" s="291"/>
      <x:c r="XED62" s="291"/>
      <x:c r="XEE62" s="291"/>
      <x:c r="XEF62" s="291"/>
      <x:c r="XEG62" s="291"/>
      <x:c r="XEH62" s="291"/>
      <x:c r="XEI62" s="291"/>
      <x:c r="XEJ62" s="291"/>
      <x:c r="XEK62" s="291"/>
      <x:c r="XEL62" s="291"/>
      <x:c r="XEM62" s="291"/>
      <x:c r="XEN62" s="291"/>
      <x:c r="XEO62" s="291"/>
      <x:c r="XEP62" s="291"/>
      <x:c r="XEQ62" s="291"/>
      <x:c r="XER62" s="291"/>
      <x:c r="XES62" s="291"/>
      <x:c r="XET62" s="291"/>
      <x:c r="XEU62" s="291"/>
      <x:c r="XEV62" s="291"/>
      <x:c r="XEW62" s="291"/>
      <x:c r="XEX62" s="291"/>
      <x:c r="XEY62" s="291"/>
      <x:c r="XEZ62" s="291"/>
      <x:c r="XFA62" s="291"/>
      <x:c r="XFB62" s="291"/>
      <x:c r="XFC62" s="291"/>
    </x:row>
    <x:row r="63" spans="1:16383" ht="117.75" customHeight="1" s="125" customFormat="1" x14ac:dyDescent="0.25">
      <x:c r="A63" s="60" t="s">
        <x:v>231</x:v>
      </x:c>
      <x:c r="B63" s="123" t="s">
        <x:v>299</x:v>
      </x:c>
      <x:c r="C63" s="124" t="s">
        <x:v>300</x:v>
      </x:c>
      <x:c r="D63" s="106"/>
      <x:c r="E63" s="107"/>
      <x:c r="F63" s="106"/>
      <x:c r="G63" s="108"/>
      <x:c r="H63" s="106"/>
      <x:c r="I63" s="107"/>
      <x:c r="J63" s="106"/>
      <x:c r="K63" s="108"/>
      <x:c r="L63" s="60"/>
      <x:c r="M63" s="108"/>
      <x:c r="N63" s="60"/>
      <x:c r="O63" s="108"/>
      <x:c r="P63" s="108"/>
      <x:c r="Q63" s="108"/>
      <x:c r="R63" s="108"/>
      <x:c r="S63" s="78"/>
      <x:c r="T63" s="108">
        <x:v>1</x:v>
      </x:c>
      <x:c r="U63" s="100"/>
      <x:c r="V63" s="100"/>
      <x:c r="W63" s="290"/>
      <x:c r="X63" s="291"/>
      <x:c r="Y63" s="291"/>
      <x:c r="Z63" s="291"/>
      <x:c r="AA63" s="291"/>
      <x:c r="AB63" s="291"/>
      <x:c r="AC63" s="291"/>
      <x:c r="AD63" s="291"/>
      <x:c r="AE63" s="291"/>
      <x:c r="AF63" s="291"/>
      <x:c r="AG63" s="291"/>
      <x:c r="AH63" s="291"/>
      <x:c r="AI63" s="291"/>
      <x:c r="AJ63" s="291"/>
      <x:c r="AK63" s="291"/>
      <x:c r="AL63" s="291"/>
      <x:c r="AM63" s="291"/>
      <x:c r="AN63" s="291"/>
      <x:c r="AO63" s="291"/>
      <x:c r="AP63" s="291"/>
      <x:c r="AQ63" s="291"/>
      <x:c r="AR63" s="291"/>
      <x:c r="AS63" s="291"/>
      <x:c r="AT63" s="291"/>
      <x:c r="AU63" s="291"/>
      <x:c r="AV63" s="291"/>
      <x:c r="AW63" s="291"/>
      <x:c r="AX63" s="291"/>
      <x:c r="AY63" s="291"/>
      <x:c r="AZ63" s="291"/>
      <x:c r="BA63" s="291"/>
      <x:c r="BB63" s="291"/>
      <x:c r="BC63" s="291"/>
      <x:c r="BD63" s="291"/>
      <x:c r="BE63" s="291"/>
      <x:c r="BF63" s="291"/>
      <x:c r="BG63" s="291"/>
      <x:c r="BH63" s="291"/>
      <x:c r="BI63" s="291"/>
      <x:c r="BJ63" s="291"/>
      <x:c r="BK63" s="291"/>
      <x:c r="BL63" s="291"/>
      <x:c r="BM63" s="291"/>
      <x:c r="BN63" s="291"/>
      <x:c r="BO63" s="291"/>
      <x:c r="BP63" s="291"/>
      <x:c r="BQ63" s="291"/>
      <x:c r="BR63" s="291"/>
      <x:c r="BS63" s="291"/>
      <x:c r="BT63" s="291"/>
      <x:c r="BU63" s="291"/>
      <x:c r="BV63" s="291"/>
      <x:c r="BW63" s="291"/>
      <x:c r="BX63" s="291"/>
      <x:c r="BY63" s="291"/>
      <x:c r="BZ63" s="291"/>
      <x:c r="CA63" s="291"/>
      <x:c r="CB63" s="291"/>
      <x:c r="CC63" s="291"/>
      <x:c r="CD63" s="291"/>
      <x:c r="CE63" s="291"/>
      <x:c r="CF63" s="291"/>
      <x:c r="CG63" s="291"/>
      <x:c r="CH63" s="291"/>
      <x:c r="CI63" s="291"/>
      <x:c r="CJ63" s="291"/>
      <x:c r="CK63" s="291"/>
      <x:c r="CL63" s="291"/>
      <x:c r="CM63" s="291"/>
      <x:c r="CN63" s="291"/>
      <x:c r="CO63" s="291"/>
      <x:c r="CP63" s="291"/>
      <x:c r="CQ63" s="291"/>
      <x:c r="CR63" s="291"/>
      <x:c r="CS63" s="291"/>
      <x:c r="CT63" s="291"/>
      <x:c r="CU63" s="291"/>
      <x:c r="CV63" s="291"/>
      <x:c r="CW63" s="291"/>
      <x:c r="CX63" s="291"/>
      <x:c r="CY63" s="291"/>
      <x:c r="CZ63" s="291"/>
      <x:c r="DA63" s="291"/>
      <x:c r="DB63" s="291"/>
      <x:c r="DC63" s="291"/>
      <x:c r="DD63" s="291"/>
      <x:c r="DE63" s="291"/>
      <x:c r="DF63" s="291"/>
      <x:c r="DG63" s="291"/>
      <x:c r="DH63" s="291"/>
      <x:c r="DI63" s="291"/>
      <x:c r="DJ63" s="291"/>
      <x:c r="DK63" s="291"/>
      <x:c r="DL63" s="291"/>
      <x:c r="DM63" s="291"/>
      <x:c r="DN63" s="291"/>
      <x:c r="DO63" s="291"/>
      <x:c r="DP63" s="291"/>
      <x:c r="DQ63" s="291"/>
      <x:c r="DR63" s="291"/>
      <x:c r="DS63" s="291"/>
      <x:c r="DT63" s="291"/>
      <x:c r="DU63" s="291"/>
      <x:c r="DV63" s="291"/>
      <x:c r="DW63" s="291"/>
      <x:c r="DX63" s="291"/>
      <x:c r="DY63" s="291"/>
      <x:c r="DZ63" s="291"/>
      <x:c r="EA63" s="291"/>
      <x:c r="EB63" s="291"/>
      <x:c r="EC63" s="291"/>
      <x:c r="ED63" s="291"/>
      <x:c r="EE63" s="291"/>
      <x:c r="EF63" s="291"/>
      <x:c r="EG63" s="291"/>
      <x:c r="EH63" s="291"/>
      <x:c r="EI63" s="291"/>
      <x:c r="EJ63" s="291"/>
      <x:c r="EK63" s="291"/>
      <x:c r="EL63" s="291"/>
      <x:c r="EM63" s="291"/>
      <x:c r="EN63" s="291"/>
      <x:c r="EO63" s="291"/>
      <x:c r="EP63" s="291"/>
      <x:c r="EQ63" s="291"/>
      <x:c r="ER63" s="291"/>
      <x:c r="ES63" s="291"/>
      <x:c r="ET63" s="291"/>
      <x:c r="EU63" s="291"/>
      <x:c r="EV63" s="291"/>
      <x:c r="EW63" s="291"/>
      <x:c r="EX63" s="291"/>
      <x:c r="EY63" s="291"/>
      <x:c r="EZ63" s="291"/>
      <x:c r="FA63" s="291"/>
      <x:c r="FB63" s="291"/>
      <x:c r="FC63" s="291"/>
      <x:c r="FD63" s="291"/>
      <x:c r="FE63" s="291"/>
      <x:c r="FF63" s="291"/>
      <x:c r="FG63" s="291"/>
      <x:c r="FH63" s="291"/>
      <x:c r="FI63" s="291"/>
      <x:c r="FJ63" s="291"/>
      <x:c r="FK63" s="291"/>
      <x:c r="FL63" s="291"/>
      <x:c r="FM63" s="291"/>
      <x:c r="FN63" s="291"/>
      <x:c r="FO63" s="291"/>
      <x:c r="FP63" s="291"/>
      <x:c r="FQ63" s="291"/>
      <x:c r="FR63" s="291"/>
      <x:c r="FS63" s="291"/>
      <x:c r="FT63" s="291"/>
      <x:c r="FU63" s="291"/>
      <x:c r="FV63" s="291"/>
      <x:c r="FW63" s="291"/>
      <x:c r="FX63" s="291"/>
      <x:c r="FY63" s="291"/>
      <x:c r="FZ63" s="291"/>
      <x:c r="GA63" s="291"/>
      <x:c r="GB63" s="291"/>
      <x:c r="GC63" s="291"/>
      <x:c r="GD63" s="291"/>
      <x:c r="GE63" s="291"/>
      <x:c r="GF63" s="291"/>
      <x:c r="GG63" s="291"/>
      <x:c r="GH63" s="291"/>
      <x:c r="GI63" s="291"/>
      <x:c r="GJ63" s="291"/>
      <x:c r="GK63" s="291"/>
      <x:c r="GL63" s="291"/>
      <x:c r="GM63" s="291"/>
      <x:c r="GN63" s="291"/>
      <x:c r="GO63" s="291"/>
      <x:c r="GP63" s="291"/>
      <x:c r="GQ63" s="291"/>
      <x:c r="GR63" s="291"/>
      <x:c r="GS63" s="291"/>
      <x:c r="GT63" s="291"/>
      <x:c r="GU63" s="291"/>
      <x:c r="GV63" s="291"/>
      <x:c r="GW63" s="291"/>
      <x:c r="GX63" s="291"/>
      <x:c r="GY63" s="291"/>
      <x:c r="GZ63" s="291"/>
      <x:c r="HA63" s="291"/>
      <x:c r="HB63" s="291"/>
      <x:c r="HC63" s="291"/>
      <x:c r="HD63" s="291"/>
      <x:c r="HE63" s="291"/>
      <x:c r="HF63" s="291"/>
      <x:c r="HG63" s="291"/>
      <x:c r="HH63" s="291"/>
      <x:c r="HI63" s="291"/>
      <x:c r="HJ63" s="291"/>
      <x:c r="HK63" s="291"/>
      <x:c r="HL63" s="291"/>
      <x:c r="HM63" s="291"/>
      <x:c r="HN63" s="291"/>
      <x:c r="HO63" s="291"/>
      <x:c r="HP63" s="291"/>
      <x:c r="HQ63" s="291"/>
      <x:c r="HR63" s="291"/>
      <x:c r="HS63" s="291"/>
      <x:c r="HT63" s="291"/>
      <x:c r="HU63" s="291"/>
      <x:c r="HV63" s="291"/>
      <x:c r="HW63" s="291"/>
      <x:c r="HX63" s="291"/>
      <x:c r="HY63" s="291"/>
      <x:c r="HZ63" s="291"/>
      <x:c r="IA63" s="291"/>
      <x:c r="IB63" s="291"/>
      <x:c r="IC63" s="291"/>
      <x:c r="ID63" s="291"/>
      <x:c r="IE63" s="291"/>
      <x:c r="IF63" s="291"/>
      <x:c r="IG63" s="291"/>
      <x:c r="IH63" s="291"/>
      <x:c r="II63" s="291"/>
      <x:c r="IJ63" s="291"/>
      <x:c r="IK63" s="291"/>
      <x:c r="IL63" s="291"/>
      <x:c r="IM63" s="291"/>
      <x:c r="IN63" s="291"/>
      <x:c r="IO63" s="291"/>
      <x:c r="IP63" s="291"/>
      <x:c r="IQ63" s="291"/>
      <x:c r="IR63" s="291"/>
      <x:c r="IS63" s="291"/>
      <x:c r="IT63" s="291"/>
      <x:c r="IU63" s="291"/>
      <x:c r="IV63" s="291"/>
      <x:c r="IW63" s="291"/>
      <x:c r="IX63" s="291"/>
      <x:c r="IY63" s="291"/>
      <x:c r="IZ63" s="291"/>
      <x:c r="JA63" s="291"/>
      <x:c r="JB63" s="291"/>
      <x:c r="JC63" s="291"/>
      <x:c r="JD63" s="291"/>
      <x:c r="JE63" s="291"/>
      <x:c r="JF63" s="291"/>
      <x:c r="JG63" s="291"/>
      <x:c r="JH63" s="291"/>
      <x:c r="JI63" s="291"/>
      <x:c r="JJ63" s="291"/>
      <x:c r="JK63" s="291"/>
      <x:c r="JL63" s="291"/>
      <x:c r="JM63" s="291"/>
      <x:c r="JN63" s="291"/>
      <x:c r="JO63" s="291"/>
      <x:c r="JP63" s="291"/>
      <x:c r="JQ63" s="291"/>
      <x:c r="JR63" s="291"/>
      <x:c r="JS63" s="291"/>
      <x:c r="JT63" s="291"/>
      <x:c r="JU63" s="291"/>
      <x:c r="JV63" s="291"/>
      <x:c r="JW63" s="291"/>
      <x:c r="JX63" s="291"/>
      <x:c r="JY63" s="291"/>
      <x:c r="JZ63" s="291"/>
      <x:c r="KA63" s="291"/>
      <x:c r="KB63" s="291"/>
      <x:c r="KC63" s="291"/>
      <x:c r="KD63" s="291"/>
      <x:c r="KE63" s="291"/>
      <x:c r="KF63" s="291"/>
      <x:c r="KG63" s="291"/>
      <x:c r="KH63" s="291"/>
      <x:c r="KI63" s="291"/>
      <x:c r="KJ63" s="291"/>
      <x:c r="KK63" s="291"/>
      <x:c r="KL63" s="291"/>
      <x:c r="KM63" s="291"/>
      <x:c r="KN63" s="291"/>
      <x:c r="KO63" s="291"/>
      <x:c r="KP63" s="291"/>
      <x:c r="KQ63" s="291"/>
      <x:c r="KR63" s="291"/>
      <x:c r="KS63" s="291"/>
      <x:c r="KT63" s="291"/>
      <x:c r="KU63" s="291"/>
      <x:c r="KV63" s="291"/>
      <x:c r="KW63" s="291"/>
      <x:c r="KX63" s="291"/>
      <x:c r="KY63" s="291"/>
      <x:c r="KZ63" s="291"/>
      <x:c r="LA63" s="291"/>
      <x:c r="LB63" s="291"/>
      <x:c r="LC63" s="291"/>
      <x:c r="LD63" s="291"/>
      <x:c r="LE63" s="291"/>
      <x:c r="LF63" s="291"/>
      <x:c r="LG63" s="291"/>
      <x:c r="LH63" s="291"/>
      <x:c r="LI63" s="291"/>
      <x:c r="LJ63" s="291"/>
      <x:c r="LK63" s="291"/>
      <x:c r="LL63" s="291"/>
      <x:c r="LM63" s="291"/>
      <x:c r="LN63" s="291"/>
      <x:c r="LO63" s="291"/>
      <x:c r="LP63" s="291"/>
      <x:c r="LQ63" s="291"/>
      <x:c r="LR63" s="291"/>
      <x:c r="LS63" s="291"/>
      <x:c r="LT63" s="291"/>
      <x:c r="LU63" s="291"/>
      <x:c r="LV63" s="291"/>
      <x:c r="LW63" s="291"/>
      <x:c r="LX63" s="291"/>
      <x:c r="LY63" s="291"/>
      <x:c r="LZ63" s="291"/>
      <x:c r="MA63" s="291"/>
      <x:c r="MB63" s="291"/>
      <x:c r="MC63" s="291"/>
      <x:c r="MD63" s="291"/>
      <x:c r="ME63" s="291"/>
      <x:c r="MF63" s="291"/>
      <x:c r="MG63" s="291"/>
      <x:c r="MH63" s="291"/>
      <x:c r="MI63" s="291"/>
      <x:c r="MJ63" s="291"/>
      <x:c r="MK63" s="291"/>
      <x:c r="ML63" s="291"/>
      <x:c r="MM63" s="291"/>
      <x:c r="MN63" s="291"/>
      <x:c r="MO63" s="291"/>
      <x:c r="MP63" s="291"/>
      <x:c r="MQ63" s="291"/>
      <x:c r="MR63" s="291"/>
      <x:c r="MS63" s="291"/>
      <x:c r="MT63" s="291"/>
      <x:c r="MU63" s="291"/>
      <x:c r="MV63" s="291"/>
      <x:c r="MW63" s="291"/>
      <x:c r="MX63" s="291"/>
      <x:c r="MY63" s="291"/>
      <x:c r="MZ63" s="291"/>
      <x:c r="NA63" s="291"/>
      <x:c r="NB63" s="291"/>
      <x:c r="NC63" s="291"/>
      <x:c r="ND63" s="291"/>
      <x:c r="NE63" s="291"/>
      <x:c r="NF63" s="291"/>
      <x:c r="NG63" s="291"/>
      <x:c r="NH63" s="291"/>
      <x:c r="NI63" s="291"/>
      <x:c r="NJ63" s="291"/>
      <x:c r="NK63" s="291"/>
      <x:c r="NL63" s="291"/>
      <x:c r="NM63" s="291"/>
      <x:c r="NN63" s="291"/>
      <x:c r="NO63" s="291"/>
      <x:c r="NP63" s="291"/>
      <x:c r="NQ63" s="291"/>
      <x:c r="NR63" s="291"/>
      <x:c r="NS63" s="291"/>
      <x:c r="NT63" s="291"/>
      <x:c r="NU63" s="291"/>
      <x:c r="NV63" s="291"/>
      <x:c r="NW63" s="291"/>
      <x:c r="NX63" s="291"/>
      <x:c r="NY63" s="291"/>
      <x:c r="NZ63" s="291"/>
      <x:c r="OA63" s="291"/>
      <x:c r="OB63" s="291"/>
      <x:c r="OC63" s="291"/>
      <x:c r="OD63" s="291"/>
      <x:c r="OE63" s="291"/>
      <x:c r="OF63" s="291"/>
      <x:c r="OG63" s="291"/>
      <x:c r="OH63" s="291"/>
      <x:c r="OI63" s="291"/>
      <x:c r="OJ63" s="291"/>
      <x:c r="OK63" s="291"/>
      <x:c r="OL63" s="291"/>
      <x:c r="OM63" s="291"/>
      <x:c r="ON63" s="291"/>
      <x:c r="OO63" s="291"/>
      <x:c r="OP63" s="291"/>
      <x:c r="OQ63" s="291"/>
      <x:c r="OR63" s="291"/>
      <x:c r="OS63" s="291"/>
      <x:c r="OT63" s="291"/>
      <x:c r="OU63" s="291"/>
      <x:c r="OV63" s="291"/>
      <x:c r="OW63" s="291"/>
      <x:c r="OX63" s="291"/>
      <x:c r="OY63" s="291"/>
      <x:c r="OZ63" s="291"/>
      <x:c r="PA63" s="291"/>
      <x:c r="PB63" s="291"/>
      <x:c r="PC63" s="291"/>
      <x:c r="PD63" s="291"/>
      <x:c r="PE63" s="291"/>
      <x:c r="PF63" s="291"/>
      <x:c r="PG63" s="291"/>
      <x:c r="PH63" s="291"/>
      <x:c r="PI63" s="291"/>
      <x:c r="PJ63" s="291"/>
      <x:c r="PK63" s="291"/>
      <x:c r="PL63" s="291"/>
      <x:c r="PM63" s="291"/>
      <x:c r="PN63" s="291"/>
      <x:c r="PO63" s="291"/>
      <x:c r="PP63" s="291"/>
      <x:c r="PQ63" s="291"/>
      <x:c r="PR63" s="291"/>
      <x:c r="PS63" s="291"/>
      <x:c r="PT63" s="291"/>
      <x:c r="PU63" s="291"/>
      <x:c r="PV63" s="291"/>
      <x:c r="PW63" s="291"/>
      <x:c r="PX63" s="291"/>
      <x:c r="PY63" s="291"/>
      <x:c r="PZ63" s="291"/>
      <x:c r="QA63" s="291"/>
      <x:c r="QB63" s="291"/>
      <x:c r="QC63" s="291"/>
      <x:c r="QD63" s="291"/>
      <x:c r="QE63" s="291"/>
      <x:c r="QF63" s="291"/>
      <x:c r="QG63" s="291"/>
      <x:c r="QH63" s="291"/>
      <x:c r="QI63" s="291"/>
      <x:c r="QJ63" s="291"/>
      <x:c r="QK63" s="291"/>
      <x:c r="QL63" s="291"/>
      <x:c r="QM63" s="291"/>
      <x:c r="QN63" s="291"/>
      <x:c r="QO63" s="291"/>
      <x:c r="QP63" s="291"/>
      <x:c r="QQ63" s="291"/>
      <x:c r="QR63" s="291"/>
      <x:c r="QS63" s="291"/>
      <x:c r="QT63" s="291"/>
      <x:c r="QU63" s="291"/>
      <x:c r="QV63" s="291"/>
      <x:c r="QW63" s="291"/>
      <x:c r="QX63" s="291"/>
      <x:c r="QY63" s="291"/>
      <x:c r="QZ63" s="291"/>
      <x:c r="RA63" s="291"/>
      <x:c r="RB63" s="291"/>
      <x:c r="RC63" s="291"/>
      <x:c r="RD63" s="291"/>
      <x:c r="RE63" s="291"/>
      <x:c r="RF63" s="291"/>
      <x:c r="RG63" s="291"/>
      <x:c r="RH63" s="291"/>
      <x:c r="RI63" s="291"/>
      <x:c r="RJ63" s="291"/>
      <x:c r="RK63" s="291"/>
      <x:c r="RL63" s="291"/>
      <x:c r="RM63" s="291"/>
      <x:c r="RN63" s="291"/>
      <x:c r="RO63" s="291"/>
      <x:c r="RP63" s="291"/>
      <x:c r="RQ63" s="291"/>
      <x:c r="RR63" s="291"/>
      <x:c r="RS63" s="291"/>
      <x:c r="RT63" s="291"/>
      <x:c r="RU63" s="291"/>
      <x:c r="RV63" s="291"/>
      <x:c r="RW63" s="291"/>
      <x:c r="RX63" s="291"/>
      <x:c r="RY63" s="291"/>
      <x:c r="RZ63" s="291"/>
      <x:c r="SA63" s="291"/>
      <x:c r="SB63" s="291"/>
      <x:c r="SC63" s="291"/>
      <x:c r="SD63" s="291"/>
      <x:c r="SE63" s="291"/>
      <x:c r="SF63" s="291"/>
      <x:c r="SG63" s="291"/>
      <x:c r="SH63" s="291"/>
      <x:c r="SI63" s="291"/>
      <x:c r="SJ63" s="291"/>
      <x:c r="SK63" s="291"/>
      <x:c r="SL63" s="291"/>
      <x:c r="SM63" s="291"/>
      <x:c r="SN63" s="291"/>
      <x:c r="SO63" s="291"/>
      <x:c r="SP63" s="291"/>
      <x:c r="SQ63" s="291"/>
      <x:c r="SR63" s="291"/>
      <x:c r="SS63" s="291"/>
      <x:c r="ST63" s="291"/>
      <x:c r="SU63" s="291"/>
      <x:c r="SV63" s="291"/>
      <x:c r="SW63" s="291"/>
      <x:c r="SX63" s="291"/>
      <x:c r="SY63" s="291"/>
      <x:c r="SZ63" s="291"/>
      <x:c r="TA63" s="291"/>
      <x:c r="TB63" s="291"/>
      <x:c r="TC63" s="291"/>
      <x:c r="TD63" s="291"/>
      <x:c r="TE63" s="291"/>
      <x:c r="TF63" s="291"/>
      <x:c r="TG63" s="291"/>
      <x:c r="TH63" s="291"/>
      <x:c r="TI63" s="291"/>
      <x:c r="TJ63" s="291"/>
      <x:c r="TK63" s="291"/>
      <x:c r="TL63" s="291"/>
      <x:c r="TM63" s="291"/>
      <x:c r="TN63" s="291"/>
      <x:c r="TO63" s="291"/>
      <x:c r="TP63" s="291"/>
      <x:c r="TQ63" s="291"/>
      <x:c r="TR63" s="291"/>
      <x:c r="TS63" s="291"/>
      <x:c r="TT63" s="291"/>
      <x:c r="TU63" s="291"/>
      <x:c r="TV63" s="291"/>
      <x:c r="TW63" s="291"/>
      <x:c r="TX63" s="291"/>
      <x:c r="TY63" s="291"/>
      <x:c r="TZ63" s="291"/>
      <x:c r="UA63" s="291"/>
      <x:c r="UB63" s="291"/>
      <x:c r="UC63" s="291"/>
      <x:c r="UD63" s="291"/>
      <x:c r="UE63" s="291"/>
      <x:c r="UF63" s="291"/>
      <x:c r="UG63" s="291"/>
      <x:c r="UH63" s="291"/>
      <x:c r="UI63" s="291"/>
      <x:c r="UJ63" s="291"/>
      <x:c r="UK63" s="291"/>
      <x:c r="UL63" s="291"/>
      <x:c r="UM63" s="291"/>
      <x:c r="UN63" s="291"/>
      <x:c r="UO63" s="291"/>
      <x:c r="UP63" s="291"/>
      <x:c r="UQ63" s="291"/>
      <x:c r="UR63" s="291"/>
      <x:c r="US63" s="291"/>
      <x:c r="UT63" s="291"/>
      <x:c r="UU63" s="291"/>
      <x:c r="UV63" s="291"/>
      <x:c r="UW63" s="291"/>
      <x:c r="UX63" s="291"/>
      <x:c r="UY63" s="291"/>
      <x:c r="UZ63" s="291"/>
      <x:c r="VA63" s="291"/>
      <x:c r="VB63" s="291"/>
      <x:c r="VC63" s="291"/>
      <x:c r="VD63" s="291"/>
      <x:c r="VE63" s="291"/>
      <x:c r="VF63" s="291"/>
      <x:c r="VG63" s="291"/>
      <x:c r="VH63" s="291"/>
      <x:c r="VI63" s="291"/>
      <x:c r="VJ63" s="291"/>
      <x:c r="VK63" s="291"/>
      <x:c r="VL63" s="291"/>
      <x:c r="VM63" s="291"/>
      <x:c r="VN63" s="291"/>
      <x:c r="VO63" s="291"/>
      <x:c r="VP63" s="291"/>
      <x:c r="VQ63" s="291"/>
      <x:c r="VR63" s="291"/>
      <x:c r="VS63" s="291"/>
      <x:c r="VT63" s="291"/>
      <x:c r="VU63" s="291"/>
      <x:c r="VV63" s="291"/>
      <x:c r="VW63" s="291"/>
      <x:c r="VX63" s="291"/>
      <x:c r="VY63" s="291"/>
      <x:c r="VZ63" s="291"/>
      <x:c r="WA63" s="291"/>
      <x:c r="WB63" s="291"/>
      <x:c r="WC63" s="291"/>
      <x:c r="WD63" s="291"/>
      <x:c r="WE63" s="291"/>
      <x:c r="WF63" s="291"/>
      <x:c r="WG63" s="291"/>
      <x:c r="WH63" s="291"/>
      <x:c r="WI63" s="291"/>
      <x:c r="WJ63" s="291"/>
      <x:c r="WK63" s="291"/>
      <x:c r="WL63" s="291"/>
      <x:c r="WM63" s="291"/>
      <x:c r="WN63" s="291"/>
      <x:c r="WO63" s="291"/>
      <x:c r="WP63" s="291"/>
      <x:c r="WQ63" s="291"/>
      <x:c r="WR63" s="291"/>
      <x:c r="WS63" s="291"/>
      <x:c r="WT63" s="291"/>
      <x:c r="WU63" s="291"/>
      <x:c r="WV63" s="291"/>
      <x:c r="WW63" s="291"/>
      <x:c r="WX63" s="291"/>
      <x:c r="WY63" s="291"/>
      <x:c r="WZ63" s="291"/>
      <x:c r="XA63" s="291"/>
      <x:c r="XB63" s="291"/>
      <x:c r="XC63" s="291"/>
      <x:c r="XD63" s="291"/>
      <x:c r="XE63" s="291"/>
      <x:c r="XF63" s="291"/>
      <x:c r="XG63" s="291"/>
      <x:c r="XH63" s="291"/>
      <x:c r="XI63" s="291"/>
      <x:c r="XJ63" s="291"/>
      <x:c r="XK63" s="291"/>
      <x:c r="XL63" s="291"/>
      <x:c r="XM63" s="291"/>
      <x:c r="XN63" s="291"/>
      <x:c r="XO63" s="291"/>
      <x:c r="XP63" s="291"/>
      <x:c r="XQ63" s="291"/>
      <x:c r="XR63" s="291"/>
      <x:c r="XS63" s="291"/>
      <x:c r="XT63" s="291"/>
      <x:c r="XU63" s="291"/>
      <x:c r="XV63" s="291"/>
      <x:c r="XW63" s="291"/>
      <x:c r="XX63" s="291"/>
      <x:c r="XY63" s="291"/>
      <x:c r="XZ63" s="291"/>
      <x:c r="YA63" s="291"/>
      <x:c r="YB63" s="291"/>
      <x:c r="YC63" s="291"/>
      <x:c r="YD63" s="291"/>
      <x:c r="YE63" s="291"/>
      <x:c r="YF63" s="291"/>
      <x:c r="YG63" s="291"/>
      <x:c r="YH63" s="291"/>
      <x:c r="YI63" s="291"/>
      <x:c r="YJ63" s="291"/>
      <x:c r="YK63" s="291"/>
      <x:c r="YL63" s="291"/>
      <x:c r="YM63" s="291"/>
      <x:c r="YN63" s="291"/>
      <x:c r="YO63" s="291"/>
      <x:c r="YP63" s="291"/>
      <x:c r="YQ63" s="291"/>
      <x:c r="YR63" s="291"/>
      <x:c r="YS63" s="291"/>
      <x:c r="YT63" s="291"/>
      <x:c r="YU63" s="291"/>
      <x:c r="YV63" s="291"/>
      <x:c r="YW63" s="291"/>
      <x:c r="YX63" s="291"/>
      <x:c r="YY63" s="291"/>
      <x:c r="YZ63" s="291"/>
      <x:c r="ZA63" s="291"/>
      <x:c r="ZB63" s="291"/>
      <x:c r="ZC63" s="291"/>
      <x:c r="ZD63" s="291"/>
      <x:c r="ZE63" s="291"/>
      <x:c r="ZF63" s="291"/>
      <x:c r="ZG63" s="291"/>
      <x:c r="ZH63" s="291"/>
      <x:c r="ZI63" s="291"/>
      <x:c r="ZJ63" s="291"/>
      <x:c r="ZK63" s="291"/>
      <x:c r="ZL63" s="291"/>
      <x:c r="ZM63" s="291"/>
      <x:c r="ZN63" s="291"/>
      <x:c r="ZO63" s="291"/>
      <x:c r="ZP63" s="291"/>
      <x:c r="ZQ63" s="291"/>
      <x:c r="ZR63" s="291"/>
      <x:c r="ZS63" s="291"/>
      <x:c r="ZT63" s="291"/>
      <x:c r="ZU63" s="291"/>
      <x:c r="ZV63" s="291"/>
      <x:c r="ZW63" s="291"/>
      <x:c r="ZX63" s="291"/>
      <x:c r="ZY63" s="291"/>
      <x:c r="ZZ63" s="291"/>
      <x:c r="AAA63" s="291"/>
      <x:c r="AAB63" s="291"/>
      <x:c r="AAC63" s="291"/>
      <x:c r="AAD63" s="291"/>
      <x:c r="AAE63" s="291"/>
      <x:c r="AAF63" s="291"/>
      <x:c r="AAG63" s="291"/>
      <x:c r="AAH63" s="291"/>
      <x:c r="AAI63" s="291"/>
      <x:c r="AAJ63" s="291"/>
      <x:c r="AAK63" s="291"/>
      <x:c r="AAL63" s="291"/>
      <x:c r="AAM63" s="291"/>
      <x:c r="AAN63" s="291"/>
      <x:c r="AAO63" s="291"/>
      <x:c r="AAP63" s="291"/>
      <x:c r="AAQ63" s="291"/>
      <x:c r="AAR63" s="291"/>
      <x:c r="AAS63" s="291"/>
      <x:c r="AAT63" s="291"/>
      <x:c r="AAU63" s="291"/>
      <x:c r="AAV63" s="291"/>
      <x:c r="AAW63" s="291"/>
      <x:c r="AAX63" s="291"/>
      <x:c r="AAY63" s="291"/>
      <x:c r="AAZ63" s="291"/>
      <x:c r="ABA63" s="291"/>
      <x:c r="ABB63" s="291"/>
      <x:c r="ABC63" s="291"/>
      <x:c r="ABD63" s="291"/>
      <x:c r="ABE63" s="291"/>
      <x:c r="ABF63" s="291"/>
      <x:c r="ABG63" s="291"/>
      <x:c r="ABH63" s="291"/>
      <x:c r="ABI63" s="291"/>
      <x:c r="ABJ63" s="291"/>
      <x:c r="ABK63" s="291"/>
      <x:c r="ABL63" s="291"/>
      <x:c r="ABM63" s="291"/>
      <x:c r="ABN63" s="291"/>
      <x:c r="ABO63" s="291"/>
      <x:c r="ABP63" s="291"/>
      <x:c r="ABQ63" s="291"/>
      <x:c r="ABR63" s="291"/>
      <x:c r="ABS63" s="291"/>
      <x:c r="ABT63" s="291"/>
      <x:c r="ABU63" s="291"/>
      <x:c r="ABV63" s="291"/>
      <x:c r="ABW63" s="291"/>
      <x:c r="ABX63" s="291"/>
      <x:c r="ABY63" s="291"/>
      <x:c r="ABZ63" s="291"/>
      <x:c r="ACA63" s="291"/>
      <x:c r="ACB63" s="291"/>
      <x:c r="ACC63" s="291"/>
      <x:c r="ACD63" s="291"/>
      <x:c r="ACE63" s="291"/>
      <x:c r="ACF63" s="291"/>
      <x:c r="ACG63" s="291"/>
      <x:c r="ACH63" s="291"/>
      <x:c r="ACI63" s="291"/>
      <x:c r="ACJ63" s="291"/>
      <x:c r="ACK63" s="291"/>
      <x:c r="ACL63" s="291"/>
      <x:c r="ACM63" s="291"/>
      <x:c r="ACN63" s="291"/>
      <x:c r="ACO63" s="291"/>
      <x:c r="ACP63" s="291"/>
      <x:c r="ACQ63" s="291"/>
      <x:c r="ACR63" s="291"/>
      <x:c r="ACS63" s="291"/>
      <x:c r="ACT63" s="291"/>
      <x:c r="ACU63" s="291"/>
      <x:c r="ACV63" s="291"/>
      <x:c r="ACW63" s="291"/>
      <x:c r="ACX63" s="291"/>
      <x:c r="ACY63" s="291"/>
      <x:c r="ACZ63" s="291"/>
      <x:c r="ADA63" s="291"/>
      <x:c r="ADB63" s="291"/>
      <x:c r="ADC63" s="291"/>
      <x:c r="ADD63" s="291"/>
      <x:c r="ADE63" s="291"/>
      <x:c r="ADF63" s="291"/>
      <x:c r="ADG63" s="291"/>
      <x:c r="ADH63" s="291"/>
      <x:c r="ADI63" s="291"/>
      <x:c r="ADJ63" s="291"/>
      <x:c r="ADK63" s="291"/>
      <x:c r="ADL63" s="291"/>
      <x:c r="ADM63" s="291"/>
      <x:c r="ADN63" s="291"/>
      <x:c r="ADO63" s="291"/>
      <x:c r="ADP63" s="291"/>
      <x:c r="ADQ63" s="291"/>
      <x:c r="ADR63" s="291"/>
      <x:c r="ADS63" s="291"/>
      <x:c r="ADT63" s="291"/>
      <x:c r="ADU63" s="291"/>
      <x:c r="ADV63" s="291"/>
      <x:c r="ADW63" s="291"/>
      <x:c r="ADX63" s="291"/>
      <x:c r="ADY63" s="291"/>
      <x:c r="ADZ63" s="291"/>
      <x:c r="AEA63" s="291"/>
      <x:c r="AEB63" s="291"/>
      <x:c r="AEC63" s="291"/>
      <x:c r="AED63" s="291"/>
      <x:c r="AEE63" s="291"/>
      <x:c r="AEF63" s="291"/>
      <x:c r="AEG63" s="291"/>
      <x:c r="AEH63" s="291"/>
      <x:c r="AEI63" s="291"/>
      <x:c r="AEJ63" s="291"/>
      <x:c r="AEK63" s="291"/>
      <x:c r="AEL63" s="291"/>
      <x:c r="AEM63" s="291"/>
      <x:c r="AEN63" s="291"/>
      <x:c r="AEO63" s="291"/>
      <x:c r="AEP63" s="291"/>
      <x:c r="AEQ63" s="291"/>
      <x:c r="AER63" s="291"/>
      <x:c r="AES63" s="291"/>
      <x:c r="AET63" s="291"/>
      <x:c r="AEU63" s="291"/>
      <x:c r="AEV63" s="291"/>
      <x:c r="AEW63" s="291"/>
      <x:c r="AEX63" s="291"/>
      <x:c r="AEY63" s="291"/>
      <x:c r="AEZ63" s="291"/>
      <x:c r="AFA63" s="291"/>
      <x:c r="AFB63" s="291"/>
      <x:c r="AFC63" s="291"/>
      <x:c r="AFD63" s="291"/>
      <x:c r="AFE63" s="291"/>
      <x:c r="AFF63" s="291"/>
      <x:c r="AFG63" s="291"/>
      <x:c r="AFH63" s="291"/>
      <x:c r="AFI63" s="291"/>
      <x:c r="AFJ63" s="291"/>
      <x:c r="AFK63" s="291"/>
      <x:c r="AFL63" s="291"/>
      <x:c r="AFM63" s="291"/>
      <x:c r="AFN63" s="291"/>
      <x:c r="AFO63" s="291"/>
      <x:c r="AFP63" s="291"/>
      <x:c r="AFQ63" s="291"/>
      <x:c r="AFR63" s="291"/>
      <x:c r="AFS63" s="291"/>
      <x:c r="AFT63" s="291"/>
      <x:c r="AFU63" s="291"/>
      <x:c r="AFV63" s="291"/>
      <x:c r="AFW63" s="291"/>
      <x:c r="AFX63" s="291"/>
      <x:c r="AFY63" s="291"/>
      <x:c r="AFZ63" s="291"/>
      <x:c r="AGA63" s="291"/>
      <x:c r="AGB63" s="291"/>
      <x:c r="AGC63" s="291"/>
      <x:c r="AGD63" s="291"/>
      <x:c r="AGE63" s="291"/>
      <x:c r="AGF63" s="291"/>
      <x:c r="AGG63" s="291"/>
      <x:c r="AGH63" s="291"/>
      <x:c r="AGI63" s="291"/>
      <x:c r="AGJ63" s="291"/>
      <x:c r="AGK63" s="291"/>
      <x:c r="AGL63" s="291"/>
      <x:c r="AGM63" s="291"/>
      <x:c r="AGN63" s="291"/>
      <x:c r="AGO63" s="291"/>
      <x:c r="AGP63" s="291"/>
      <x:c r="AGQ63" s="291"/>
      <x:c r="AGR63" s="291"/>
      <x:c r="AGS63" s="291"/>
      <x:c r="AGT63" s="291"/>
      <x:c r="AGU63" s="291"/>
      <x:c r="AGV63" s="291"/>
      <x:c r="AGW63" s="291"/>
      <x:c r="AGX63" s="291"/>
      <x:c r="AGY63" s="291"/>
      <x:c r="AGZ63" s="291"/>
      <x:c r="AHA63" s="291"/>
      <x:c r="AHB63" s="291"/>
      <x:c r="AHC63" s="291"/>
      <x:c r="AHD63" s="291"/>
      <x:c r="AHE63" s="291"/>
      <x:c r="AHF63" s="291"/>
      <x:c r="AHG63" s="291"/>
      <x:c r="AHH63" s="291"/>
      <x:c r="AHI63" s="291"/>
      <x:c r="AHJ63" s="291"/>
      <x:c r="AHK63" s="291"/>
      <x:c r="AHL63" s="291"/>
      <x:c r="AHM63" s="291"/>
      <x:c r="AHN63" s="291"/>
      <x:c r="AHO63" s="291"/>
      <x:c r="AHP63" s="291"/>
      <x:c r="AHQ63" s="291"/>
      <x:c r="AHR63" s="291"/>
      <x:c r="AHS63" s="291"/>
      <x:c r="AHT63" s="291"/>
      <x:c r="AHU63" s="291"/>
      <x:c r="AHV63" s="291"/>
      <x:c r="AHW63" s="291"/>
      <x:c r="AHX63" s="291"/>
      <x:c r="AHY63" s="291"/>
      <x:c r="AHZ63" s="291"/>
      <x:c r="AIA63" s="291"/>
      <x:c r="AIB63" s="291"/>
      <x:c r="AIC63" s="291"/>
      <x:c r="AID63" s="291"/>
      <x:c r="AIE63" s="291"/>
      <x:c r="AIF63" s="291"/>
      <x:c r="AIG63" s="291"/>
      <x:c r="AIH63" s="291"/>
      <x:c r="AII63" s="291"/>
      <x:c r="AIJ63" s="291"/>
      <x:c r="AIK63" s="291"/>
      <x:c r="AIL63" s="291"/>
      <x:c r="AIM63" s="291"/>
      <x:c r="AIN63" s="291"/>
      <x:c r="AIO63" s="291"/>
      <x:c r="AIP63" s="291"/>
      <x:c r="AIQ63" s="291"/>
      <x:c r="AIR63" s="291"/>
      <x:c r="AIS63" s="291"/>
      <x:c r="AIT63" s="291"/>
      <x:c r="AIU63" s="291"/>
      <x:c r="AIV63" s="291"/>
      <x:c r="AIW63" s="291"/>
      <x:c r="AIX63" s="291"/>
      <x:c r="AIY63" s="291"/>
      <x:c r="AIZ63" s="291"/>
      <x:c r="AJA63" s="291"/>
      <x:c r="AJB63" s="291"/>
      <x:c r="AJC63" s="291"/>
      <x:c r="AJD63" s="291"/>
      <x:c r="AJE63" s="291"/>
      <x:c r="AJF63" s="291"/>
      <x:c r="AJG63" s="291"/>
      <x:c r="AJH63" s="291"/>
      <x:c r="AJI63" s="291"/>
      <x:c r="AJJ63" s="291"/>
      <x:c r="AJK63" s="291"/>
      <x:c r="AJL63" s="291"/>
      <x:c r="AJM63" s="291"/>
      <x:c r="AJN63" s="291"/>
      <x:c r="AJO63" s="291"/>
      <x:c r="AJP63" s="291"/>
      <x:c r="AJQ63" s="291"/>
      <x:c r="AJR63" s="291"/>
      <x:c r="AJS63" s="291"/>
      <x:c r="AJT63" s="291"/>
      <x:c r="AJU63" s="291"/>
      <x:c r="AJV63" s="291"/>
      <x:c r="AJW63" s="291"/>
      <x:c r="AJX63" s="291"/>
      <x:c r="AJY63" s="291"/>
      <x:c r="AJZ63" s="291"/>
      <x:c r="AKA63" s="291"/>
      <x:c r="AKB63" s="291"/>
      <x:c r="AKC63" s="291"/>
      <x:c r="AKD63" s="291"/>
      <x:c r="AKE63" s="291"/>
      <x:c r="AKF63" s="291"/>
      <x:c r="AKG63" s="291"/>
      <x:c r="AKH63" s="291"/>
      <x:c r="AKI63" s="291"/>
      <x:c r="AKJ63" s="291"/>
      <x:c r="AKK63" s="291"/>
      <x:c r="AKL63" s="291"/>
      <x:c r="AKM63" s="291"/>
      <x:c r="AKN63" s="291"/>
      <x:c r="AKO63" s="291"/>
      <x:c r="AKP63" s="291"/>
      <x:c r="AKQ63" s="291"/>
      <x:c r="AKR63" s="291"/>
      <x:c r="AKS63" s="291"/>
      <x:c r="AKT63" s="291"/>
      <x:c r="AKU63" s="291"/>
      <x:c r="AKV63" s="291"/>
      <x:c r="AKW63" s="291"/>
      <x:c r="AKX63" s="291"/>
      <x:c r="AKY63" s="291"/>
      <x:c r="AKZ63" s="291"/>
      <x:c r="ALA63" s="291"/>
      <x:c r="ALB63" s="291"/>
      <x:c r="ALC63" s="291"/>
      <x:c r="ALD63" s="291"/>
      <x:c r="ALE63" s="291"/>
      <x:c r="ALF63" s="291"/>
      <x:c r="ALG63" s="291"/>
      <x:c r="ALH63" s="291"/>
      <x:c r="ALI63" s="291"/>
      <x:c r="ALJ63" s="291"/>
      <x:c r="ALK63" s="291"/>
      <x:c r="ALL63" s="291"/>
      <x:c r="ALM63" s="291"/>
      <x:c r="ALN63" s="291"/>
      <x:c r="ALO63" s="291"/>
      <x:c r="ALP63" s="291"/>
      <x:c r="ALQ63" s="291"/>
      <x:c r="ALR63" s="291"/>
      <x:c r="ALS63" s="291"/>
      <x:c r="ALT63" s="291"/>
      <x:c r="ALU63" s="291"/>
      <x:c r="ALV63" s="291"/>
      <x:c r="ALW63" s="291"/>
      <x:c r="ALX63" s="291"/>
      <x:c r="ALY63" s="291"/>
      <x:c r="ALZ63" s="291"/>
      <x:c r="AMA63" s="291"/>
      <x:c r="AMB63" s="291"/>
      <x:c r="AMC63" s="291"/>
      <x:c r="AMD63" s="291"/>
      <x:c r="AME63" s="291"/>
      <x:c r="AMF63" s="291"/>
      <x:c r="AMG63" s="291"/>
      <x:c r="AMH63" s="291"/>
      <x:c r="AMI63" s="291"/>
      <x:c r="AMJ63" s="291"/>
      <x:c r="AMK63" s="291"/>
      <x:c r="AML63" s="291"/>
      <x:c r="AMM63" s="291"/>
      <x:c r="AMN63" s="291"/>
      <x:c r="AMO63" s="291"/>
      <x:c r="AMP63" s="291"/>
      <x:c r="AMQ63" s="291"/>
      <x:c r="AMR63" s="291"/>
      <x:c r="AMS63" s="291"/>
      <x:c r="AMT63" s="291"/>
      <x:c r="AMU63" s="291"/>
      <x:c r="AMV63" s="291"/>
      <x:c r="AMW63" s="291"/>
      <x:c r="AMX63" s="291"/>
      <x:c r="AMY63" s="291"/>
      <x:c r="AMZ63" s="291"/>
      <x:c r="ANA63" s="291"/>
      <x:c r="ANB63" s="291"/>
      <x:c r="ANC63" s="291"/>
      <x:c r="AND63" s="291"/>
      <x:c r="ANE63" s="291"/>
      <x:c r="ANF63" s="291"/>
      <x:c r="ANG63" s="291"/>
      <x:c r="ANH63" s="291"/>
      <x:c r="ANI63" s="291"/>
      <x:c r="ANJ63" s="291"/>
      <x:c r="ANK63" s="291"/>
      <x:c r="ANL63" s="291"/>
      <x:c r="ANM63" s="291"/>
      <x:c r="ANN63" s="291"/>
      <x:c r="ANO63" s="291"/>
      <x:c r="ANP63" s="291"/>
      <x:c r="ANQ63" s="291"/>
      <x:c r="ANR63" s="291"/>
      <x:c r="ANS63" s="291"/>
      <x:c r="ANT63" s="291"/>
      <x:c r="ANU63" s="291"/>
      <x:c r="ANV63" s="291"/>
      <x:c r="ANW63" s="291"/>
      <x:c r="ANX63" s="291"/>
      <x:c r="ANY63" s="291"/>
      <x:c r="ANZ63" s="291"/>
      <x:c r="AOA63" s="291"/>
      <x:c r="AOB63" s="291"/>
      <x:c r="AOC63" s="291"/>
      <x:c r="AOD63" s="291"/>
      <x:c r="AOE63" s="291"/>
      <x:c r="AOF63" s="291"/>
      <x:c r="AOG63" s="291"/>
      <x:c r="AOH63" s="291"/>
      <x:c r="AOI63" s="291"/>
      <x:c r="AOJ63" s="291"/>
      <x:c r="AOK63" s="291"/>
      <x:c r="AOL63" s="291"/>
      <x:c r="AOM63" s="291"/>
      <x:c r="AON63" s="291"/>
      <x:c r="AOO63" s="291"/>
      <x:c r="AOP63" s="291"/>
      <x:c r="AOQ63" s="291"/>
      <x:c r="AOR63" s="291"/>
      <x:c r="AOS63" s="291"/>
      <x:c r="AOT63" s="291"/>
      <x:c r="AOU63" s="291"/>
      <x:c r="AOV63" s="291"/>
      <x:c r="AOW63" s="291"/>
      <x:c r="AOX63" s="291"/>
      <x:c r="AOY63" s="291"/>
      <x:c r="AOZ63" s="291"/>
      <x:c r="APA63" s="291"/>
      <x:c r="APB63" s="291"/>
      <x:c r="APC63" s="291"/>
      <x:c r="APD63" s="291"/>
      <x:c r="APE63" s="291"/>
      <x:c r="APF63" s="291"/>
      <x:c r="APG63" s="291"/>
      <x:c r="APH63" s="291"/>
      <x:c r="API63" s="291"/>
      <x:c r="APJ63" s="291"/>
      <x:c r="APK63" s="291"/>
      <x:c r="APL63" s="291"/>
      <x:c r="APM63" s="291"/>
      <x:c r="APN63" s="291"/>
      <x:c r="APO63" s="291"/>
      <x:c r="APP63" s="291"/>
      <x:c r="APQ63" s="291"/>
      <x:c r="APR63" s="291"/>
      <x:c r="APS63" s="291"/>
      <x:c r="APT63" s="291"/>
      <x:c r="APU63" s="291"/>
      <x:c r="APV63" s="291"/>
      <x:c r="APW63" s="291"/>
      <x:c r="APX63" s="291"/>
      <x:c r="APY63" s="291"/>
      <x:c r="APZ63" s="291"/>
      <x:c r="AQA63" s="291"/>
      <x:c r="AQB63" s="291"/>
      <x:c r="AQC63" s="291"/>
      <x:c r="AQD63" s="291"/>
      <x:c r="AQE63" s="291"/>
      <x:c r="AQF63" s="291"/>
      <x:c r="AQG63" s="291"/>
      <x:c r="AQH63" s="291"/>
      <x:c r="AQI63" s="291"/>
      <x:c r="AQJ63" s="291"/>
      <x:c r="AQK63" s="291"/>
      <x:c r="AQL63" s="291"/>
      <x:c r="AQM63" s="291"/>
      <x:c r="AQN63" s="291"/>
      <x:c r="AQO63" s="291"/>
      <x:c r="AQP63" s="291"/>
      <x:c r="AQQ63" s="291"/>
      <x:c r="AQR63" s="291"/>
      <x:c r="AQS63" s="291"/>
      <x:c r="AQT63" s="291"/>
      <x:c r="AQU63" s="291"/>
      <x:c r="AQV63" s="291"/>
      <x:c r="AQW63" s="291"/>
      <x:c r="AQX63" s="291"/>
      <x:c r="AQY63" s="291"/>
      <x:c r="AQZ63" s="291"/>
      <x:c r="ARA63" s="291"/>
      <x:c r="ARB63" s="291"/>
      <x:c r="ARC63" s="291"/>
      <x:c r="ARD63" s="291"/>
      <x:c r="ARE63" s="291"/>
      <x:c r="ARF63" s="291"/>
      <x:c r="ARG63" s="291"/>
      <x:c r="ARH63" s="291"/>
      <x:c r="ARI63" s="291"/>
      <x:c r="ARJ63" s="291"/>
      <x:c r="ARK63" s="291"/>
      <x:c r="ARL63" s="291"/>
      <x:c r="ARM63" s="291"/>
      <x:c r="ARN63" s="291"/>
      <x:c r="ARO63" s="291"/>
      <x:c r="ARP63" s="291"/>
      <x:c r="ARQ63" s="291"/>
      <x:c r="ARR63" s="291"/>
      <x:c r="ARS63" s="291"/>
      <x:c r="ART63" s="291"/>
      <x:c r="ARU63" s="291"/>
      <x:c r="ARV63" s="291"/>
      <x:c r="ARW63" s="291"/>
      <x:c r="ARX63" s="291"/>
      <x:c r="ARY63" s="291"/>
      <x:c r="ARZ63" s="291"/>
      <x:c r="ASA63" s="291"/>
      <x:c r="ASB63" s="291"/>
      <x:c r="ASC63" s="291"/>
      <x:c r="ASD63" s="291"/>
      <x:c r="ASE63" s="291"/>
      <x:c r="ASF63" s="291"/>
      <x:c r="ASG63" s="291"/>
      <x:c r="ASH63" s="291"/>
      <x:c r="ASI63" s="291"/>
      <x:c r="ASJ63" s="291"/>
      <x:c r="ASK63" s="291"/>
      <x:c r="ASL63" s="291"/>
      <x:c r="ASM63" s="291"/>
      <x:c r="ASN63" s="291"/>
      <x:c r="ASO63" s="291"/>
      <x:c r="ASP63" s="291"/>
      <x:c r="ASQ63" s="291"/>
      <x:c r="ASR63" s="291"/>
      <x:c r="ASS63" s="291"/>
      <x:c r="AST63" s="291"/>
      <x:c r="ASU63" s="291"/>
      <x:c r="ASV63" s="291"/>
      <x:c r="ASW63" s="291"/>
      <x:c r="ASX63" s="291"/>
      <x:c r="ASY63" s="291"/>
      <x:c r="ASZ63" s="291"/>
      <x:c r="ATA63" s="291"/>
      <x:c r="ATB63" s="291"/>
      <x:c r="ATC63" s="291"/>
      <x:c r="ATD63" s="291"/>
      <x:c r="ATE63" s="291"/>
      <x:c r="ATF63" s="291"/>
      <x:c r="ATG63" s="291"/>
      <x:c r="ATH63" s="291"/>
      <x:c r="ATI63" s="291"/>
      <x:c r="ATJ63" s="291"/>
      <x:c r="ATK63" s="291"/>
      <x:c r="ATL63" s="291"/>
      <x:c r="ATM63" s="291"/>
      <x:c r="ATN63" s="291"/>
      <x:c r="ATO63" s="291"/>
      <x:c r="ATP63" s="291"/>
      <x:c r="ATQ63" s="291"/>
      <x:c r="ATR63" s="291"/>
      <x:c r="ATS63" s="291"/>
      <x:c r="ATT63" s="291"/>
      <x:c r="ATU63" s="291"/>
      <x:c r="ATV63" s="291"/>
      <x:c r="ATW63" s="291"/>
      <x:c r="ATX63" s="291"/>
      <x:c r="ATY63" s="291"/>
      <x:c r="ATZ63" s="291"/>
      <x:c r="AUA63" s="291"/>
      <x:c r="AUB63" s="291"/>
      <x:c r="AUC63" s="291"/>
      <x:c r="AUD63" s="291"/>
      <x:c r="AUE63" s="291"/>
      <x:c r="AUF63" s="291"/>
      <x:c r="AUG63" s="291"/>
      <x:c r="AUH63" s="291"/>
      <x:c r="AUI63" s="291"/>
      <x:c r="AUJ63" s="291"/>
      <x:c r="AUK63" s="291"/>
      <x:c r="AUL63" s="291"/>
      <x:c r="AUM63" s="291"/>
      <x:c r="AUN63" s="291"/>
      <x:c r="AUO63" s="291"/>
      <x:c r="AUP63" s="291"/>
      <x:c r="AUQ63" s="291"/>
      <x:c r="AUR63" s="291"/>
      <x:c r="AUS63" s="291"/>
      <x:c r="AUT63" s="291"/>
      <x:c r="AUU63" s="291"/>
      <x:c r="AUV63" s="291"/>
      <x:c r="AUW63" s="291"/>
      <x:c r="AUX63" s="291"/>
      <x:c r="AUY63" s="291"/>
      <x:c r="AUZ63" s="291"/>
      <x:c r="AVA63" s="291"/>
      <x:c r="AVB63" s="291"/>
      <x:c r="AVC63" s="291"/>
      <x:c r="AVD63" s="291"/>
      <x:c r="AVE63" s="291"/>
      <x:c r="AVF63" s="291"/>
      <x:c r="AVG63" s="291"/>
      <x:c r="AVH63" s="291"/>
      <x:c r="AVI63" s="291"/>
      <x:c r="AVJ63" s="291"/>
      <x:c r="AVK63" s="291"/>
      <x:c r="AVL63" s="291"/>
      <x:c r="AVM63" s="291"/>
      <x:c r="AVN63" s="291"/>
      <x:c r="AVO63" s="291"/>
      <x:c r="AVP63" s="291"/>
      <x:c r="AVQ63" s="291"/>
      <x:c r="AVR63" s="291"/>
      <x:c r="AVS63" s="291"/>
      <x:c r="AVT63" s="291"/>
      <x:c r="AVU63" s="291"/>
      <x:c r="AVV63" s="291"/>
      <x:c r="AVW63" s="291"/>
      <x:c r="AVX63" s="291"/>
      <x:c r="AVY63" s="291"/>
      <x:c r="AVZ63" s="291"/>
      <x:c r="AWA63" s="291"/>
      <x:c r="AWB63" s="291"/>
      <x:c r="AWC63" s="291"/>
      <x:c r="AWD63" s="291"/>
      <x:c r="AWE63" s="291"/>
      <x:c r="AWF63" s="291"/>
      <x:c r="AWG63" s="291"/>
      <x:c r="AWH63" s="291"/>
      <x:c r="AWI63" s="291"/>
      <x:c r="AWJ63" s="291"/>
      <x:c r="AWK63" s="291"/>
      <x:c r="AWL63" s="291"/>
      <x:c r="AWM63" s="291"/>
      <x:c r="AWN63" s="291"/>
      <x:c r="AWO63" s="291"/>
      <x:c r="AWP63" s="291"/>
      <x:c r="AWQ63" s="291"/>
      <x:c r="AWR63" s="291"/>
      <x:c r="AWS63" s="291"/>
      <x:c r="AWT63" s="291"/>
      <x:c r="AWU63" s="291"/>
      <x:c r="AWV63" s="291"/>
      <x:c r="AWW63" s="291"/>
      <x:c r="AWX63" s="291"/>
      <x:c r="AWY63" s="291"/>
      <x:c r="AWZ63" s="291"/>
      <x:c r="AXA63" s="291"/>
      <x:c r="AXB63" s="291"/>
      <x:c r="AXC63" s="291"/>
      <x:c r="AXD63" s="291"/>
      <x:c r="AXE63" s="291"/>
      <x:c r="AXF63" s="291"/>
      <x:c r="AXG63" s="291"/>
      <x:c r="AXH63" s="291"/>
      <x:c r="AXI63" s="291"/>
      <x:c r="AXJ63" s="291"/>
      <x:c r="AXK63" s="291"/>
      <x:c r="AXL63" s="291"/>
      <x:c r="AXM63" s="291"/>
      <x:c r="AXN63" s="291"/>
      <x:c r="AXO63" s="291"/>
      <x:c r="AXP63" s="291"/>
      <x:c r="AXQ63" s="291"/>
      <x:c r="AXR63" s="291"/>
      <x:c r="AXS63" s="291"/>
      <x:c r="AXT63" s="291"/>
      <x:c r="AXU63" s="291"/>
      <x:c r="AXV63" s="291"/>
      <x:c r="AXW63" s="291"/>
      <x:c r="AXX63" s="291"/>
      <x:c r="AXY63" s="291"/>
      <x:c r="AXZ63" s="291"/>
      <x:c r="AYA63" s="291"/>
      <x:c r="AYB63" s="291"/>
      <x:c r="AYC63" s="291"/>
      <x:c r="AYD63" s="291"/>
      <x:c r="AYE63" s="291"/>
      <x:c r="AYF63" s="291"/>
      <x:c r="AYG63" s="291"/>
      <x:c r="AYH63" s="291"/>
      <x:c r="AYI63" s="291"/>
      <x:c r="AYJ63" s="291"/>
      <x:c r="AYK63" s="291"/>
      <x:c r="AYL63" s="291"/>
      <x:c r="AYM63" s="291"/>
      <x:c r="AYN63" s="291"/>
      <x:c r="AYO63" s="291"/>
      <x:c r="AYP63" s="291"/>
      <x:c r="AYQ63" s="291"/>
      <x:c r="AYR63" s="291"/>
      <x:c r="AYS63" s="291"/>
      <x:c r="AYT63" s="291"/>
      <x:c r="AYU63" s="291"/>
      <x:c r="AYV63" s="291"/>
      <x:c r="AYW63" s="291"/>
      <x:c r="AYX63" s="291"/>
      <x:c r="AYY63" s="291"/>
      <x:c r="AYZ63" s="291"/>
      <x:c r="AZA63" s="291"/>
      <x:c r="AZB63" s="291"/>
      <x:c r="AZC63" s="291"/>
      <x:c r="AZD63" s="291"/>
      <x:c r="AZE63" s="291"/>
      <x:c r="AZF63" s="291"/>
      <x:c r="AZG63" s="291"/>
      <x:c r="AZH63" s="291"/>
      <x:c r="AZI63" s="291"/>
      <x:c r="AZJ63" s="291"/>
      <x:c r="AZK63" s="291"/>
      <x:c r="AZL63" s="291"/>
      <x:c r="AZM63" s="291"/>
      <x:c r="AZN63" s="291"/>
      <x:c r="AZO63" s="291"/>
      <x:c r="AZP63" s="291"/>
      <x:c r="AZQ63" s="291"/>
      <x:c r="AZR63" s="291"/>
      <x:c r="AZS63" s="291"/>
      <x:c r="AZT63" s="291"/>
      <x:c r="AZU63" s="291"/>
      <x:c r="AZV63" s="291"/>
      <x:c r="AZW63" s="291"/>
      <x:c r="AZX63" s="291"/>
      <x:c r="AZY63" s="291"/>
      <x:c r="AZZ63" s="291"/>
      <x:c r="BAA63" s="291"/>
      <x:c r="BAB63" s="291"/>
      <x:c r="BAC63" s="291"/>
      <x:c r="BAD63" s="291"/>
      <x:c r="BAE63" s="291"/>
      <x:c r="BAF63" s="291"/>
      <x:c r="BAG63" s="291"/>
      <x:c r="BAH63" s="291"/>
      <x:c r="BAI63" s="291"/>
      <x:c r="BAJ63" s="291"/>
      <x:c r="BAK63" s="291"/>
      <x:c r="BAL63" s="291"/>
      <x:c r="BAM63" s="291"/>
      <x:c r="BAN63" s="291"/>
      <x:c r="BAO63" s="291"/>
      <x:c r="BAP63" s="291"/>
      <x:c r="BAQ63" s="291"/>
      <x:c r="BAR63" s="291"/>
      <x:c r="BAS63" s="291"/>
      <x:c r="BAT63" s="291"/>
      <x:c r="BAU63" s="291"/>
      <x:c r="BAV63" s="291"/>
      <x:c r="BAW63" s="291"/>
      <x:c r="BAX63" s="291"/>
      <x:c r="BAY63" s="291"/>
      <x:c r="BAZ63" s="291"/>
      <x:c r="BBA63" s="291"/>
      <x:c r="BBB63" s="291"/>
      <x:c r="BBC63" s="291"/>
      <x:c r="BBD63" s="291"/>
      <x:c r="BBE63" s="291"/>
      <x:c r="BBF63" s="291"/>
      <x:c r="BBG63" s="291"/>
      <x:c r="BBH63" s="291"/>
      <x:c r="BBI63" s="291"/>
      <x:c r="BBJ63" s="291"/>
      <x:c r="BBK63" s="291"/>
      <x:c r="BBL63" s="291"/>
      <x:c r="BBM63" s="291"/>
      <x:c r="BBN63" s="291"/>
      <x:c r="BBO63" s="291"/>
      <x:c r="BBP63" s="291"/>
      <x:c r="BBQ63" s="291"/>
      <x:c r="BBR63" s="291"/>
      <x:c r="BBS63" s="291"/>
      <x:c r="BBT63" s="291"/>
      <x:c r="BBU63" s="291"/>
      <x:c r="BBV63" s="291"/>
      <x:c r="BBW63" s="291"/>
      <x:c r="BBX63" s="291"/>
      <x:c r="BBY63" s="291"/>
      <x:c r="BBZ63" s="291"/>
      <x:c r="BCA63" s="291"/>
      <x:c r="BCB63" s="291"/>
      <x:c r="BCC63" s="291"/>
      <x:c r="BCD63" s="291"/>
      <x:c r="BCE63" s="291"/>
      <x:c r="BCF63" s="291"/>
      <x:c r="BCG63" s="291"/>
      <x:c r="BCH63" s="291"/>
      <x:c r="BCI63" s="291"/>
      <x:c r="BCJ63" s="291"/>
      <x:c r="BCK63" s="291"/>
      <x:c r="BCL63" s="291"/>
      <x:c r="BCM63" s="291"/>
      <x:c r="BCN63" s="291"/>
      <x:c r="BCO63" s="291"/>
      <x:c r="BCP63" s="291"/>
      <x:c r="BCQ63" s="291"/>
      <x:c r="BCR63" s="291"/>
      <x:c r="BCS63" s="291"/>
      <x:c r="BCT63" s="291"/>
      <x:c r="BCU63" s="291"/>
      <x:c r="BCV63" s="291"/>
      <x:c r="BCW63" s="291"/>
      <x:c r="BCX63" s="291"/>
      <x:c r="BCY63" s="291"/>
      <x:c r="BCZ63" s="291"/>
      <x:c r="BDA63" s="291"/>
      <x:c r="BDB63" s="291"/>
      <x:c r="BDC63" s="291"/>
      <x:c r="BDD63" s="291"/>
      <x:c r="BDE63" s="291"/>
      <x:c r="BDF63" s="291"/>
      <x:c r="BDG63" s="291"/>
      <x:c r="BDH63" s="291"/>
      <x:c r="BDI63" s="291"/>
      <x:c r="BDJ63" s="291"/>
      <x:c r="BDK63" s="291"/>
      <x:c r="BDL63" s="291"/>
      <x:c r="BDM63" s="291"/>
      <x:c r="BDN63" s="291"/>
      <x:c r="BDO63" s="291"/>
      <x:c r="BDP63" s="291"/>
      <x:c r="BDQ63" s="291"/>
      <x:c r="BDR63" s="291"/>
      <x:c r="BDS63" s="291"/>
      <x:c r="BDT63" s="291"/>
      <x:c r="BDU63" s="291"/>
      <x:c r="BDV63" s="291"/>
      <x:c r="BDW63" s="291"/>
      <x:c r="BDX63" s="291"/>
      <x:c r="BDY63" s="291"/>
      <x:c r="BDZ63" s="291"/>
      <x:c r="BEA63" s="291"/>
      <x:c r="BEB63" s="291"/>
      <x:c r="BEC63" s="291"/>
      <x:c r="BED63" s="291"/>
      <x:c r="BEE63" s="291"/>
      <x:c r="BEF63" s="291"/>
      <x:c r="BEG63" s="291"/>
      <x:c r="BEH63" s="291"/>
      <x:c r="BEI63" s="291"/>
      <x:c r="BEJ63" s="291"/>
      <x:c r="BEK63" s="291"/>
      <x:c r="BEL63" s="291"/>
      <x:c r="BEM63" s="291"/>
      <x:c r="BEN63" s="291"/>
      <x:c r="BEO63" s="291"/>
      <x:c r="BEP63" s="291"/>
      <x:c r="BEQ63" s="291"/>
      <x:c r="BER63" s="291"/>
      <x:c r="BES63" s="291"/>
      <x:c r="BET63" s="291"/>
      <x:c r="BEU63" s="291"/>
      <x:c r="BEV63" s="291"/>
      <x:c r="BEW63" s="291"/>
      <x:c r="BEX63" s="291"/>
      <x:c r="BEY63" s="291"/>
      <x:c r="BEZ63" s="291"/>
      <x:c r="BFA63" s="291"/>
      <x:c r="BFB63" s="291"/>
      <x:c r="BFC63" s="291"/>
      <x:c r="BFD63" s="291"/>
      <x:c r="BFE63" s="291"/>
      <x:c r="BFF63" s="291"/>
      <x:c r="BFG63" s="291"/>
      <x:c r="BFH63" s="291"/>
      <x:c r="BFI63" s="291"/>
      <x:c r="BFJ63" s="291"/>
      <x:c r="BFK63" s="291"/>
      <x:c r="BFL63" s="291"/>
      <x:c r="BFM63" s="291"/>
      <x:c r="BFN63" s="291"/>
      <x:c r="BFO63" s="291"/>
      <x:c r="BFP63" s="291"/>
      <x:c r="BFQ63" s="291"/>
      <x:c r="BFR63" s="291"/>
      <x:c r="BFS63" s="291"/>
      <x:c r="BFT63" s="291"/>
      <x:c r="BFU63" s="291"/>
      <x:c r="BFV63" s="291"/>
      <x:c r="BFW63" s="291"/>
      <x:c r="BFX63" s="291"/>
      <x:c r="BFY63" s="291"/>
      <x:c r="BFZ63" s="291"/>
      <x:c r="BGA63" s="291"/>
      <x:c r="BGB63" s="291"/>
      <x:c r="BGC63" s="291"/>
      <x:c r="BGD63" s="291"/>
      <x:c r="BGE63" s="291"/>
      <x:c r="BGF63" s="291"/>
      <x:c r="BGG63" s="291"/>
      <x:c r="BGH63" s="291"/>
      <x:c r="BGI63" s="291"/>
      <x:c r="BGJ63" s="291"/>
      <x:c r="BGK63" s="291"/>
      <x:c r="BGL63" s="291"/>
      <x:c r="BGM63" s="291"/>
      <x:c r="BGN63" s="291"/>
      <x:c r="BGO63" s="291"/>
      <x:c r="BGP63" s="291"/>
      <x:c r="BGQ63" s="291"/>
      <x:c r="BGR63" s="291"/>
      <x:c r="BGS63" s="291"/>
      <x:c r="BGT63" s="291"/>
      <x:c r="BGU63" s="291"/>
      <x:c r="BGV63" s="291"/>
      <x:c r="BGW63" s="291"/>
      <x:c r="BGX63" s="291"/>
      <x:c r="BGY63" s="291"/>
      <x:c r="BGZ63" s="291"/>
      <x:c r="BHA63" s="291"/>
      <x:c r="BHB63" s="291"/>
      <x:c r="BHC63" s="291"/>
      <x:c r="BHD63" s="291"/>
      <x:c r="BHE63" s="291"/>
      <x:c r="BHF63" s="291"/>
      <x:c r="BHG63" s="291"/>
      <x:c r="BHH63" s="291"/>
      <x:c r="BHI63" s="291"/>
      <x:c r="BHJ63" s="291"/>
      <x:c r="BHK63" s="291"/>
      <x:c r="BHL63" s="291"/>
      <x:c r="BHM63" s="291"/>
      <x:c r="BHN63" s="291"/>
      <x:c r="BHO63" s="291"/>
      <x:c r="BHP63" s="291"/>
      <x:c r="BHQ63" s="291"/>
      <x:c r="BHR63" s="291"/>
      <x:c r="BHS63" s="291"/>
      <x:c r="BHT63" s="291"/>
      <x:c r="BHU63" s="291"/>
      <x:c r="BHV63" s="291"/>
      <x:c r="BHW63" s="291"/>
      <x:c r="BHX63" s="291"/>
      <x:c r="BHY63" s="291"/>
      <x:c r="BHZ63" s="291"/>
      <x:c r="BIA63" s="291"/>
      <x:c r="BIB63" s="291"/>
      <x:c r="BIC63" s="291"/>
      <x:c r="BID63" s="291"/>
      <x:c r="BIE63" s="291"/>
      <x:c r="BIF63" s="291"/>
      <x:c r="BIG63" s="291"/>
      <x:c r="BIH63" s="291"/>
      <x:c r="BII63" s="291"/>
      <x:c r="BIJ63" s="291"/>
      <x:c r="BIK63" s="291"/>
      <x:c r="BIL63" s="291"/>
      <x:c r="BIM63" s="291"/>
      <x:c r="BIN63" s="291"/>
      <x:c r="BIO63" s="291"/>
      <x:c r="BIP63" s="291"/>
      <x:c r="BIQ63" s="291"/>
      <x:c r="BIR63" s="291"/>
      <x:c r="BIS63" s="291"/>
      <x:c r="BIT63" s="291"/>
      <x:c r="BIU63" s="291"/>
      <x:c r="BIV63" s="291"/>
      <x:c r="BIW63" s="291"/>
      <x:c r="BIX63" s="291"/>
      <x:c r="BIY63" s="291"/>
      <x:c r="BIZ63" s="291"/>
      <x:c r="BJA63" s="291"/>
      <x:c r="BJB63" s="291"/>
      <x:c r="BJC63" s="291"/>
      <x:c r="BJD63" s="291"/>
      <x:c r="BJE63" s="291"/>
      <x:c r="BJF63" s="291"/>
      <x:c r="BJG63" s="291"/>
      <x:c r="BJH63" s="291"/>
      <x:c r="BJI63" s="291"/>
      <x:c r="BJJ63" s="291"/>
      <x:c r="BJK63" s="291"/>
      <x:c r="BJL63" s="291"/>
      <x:c r="BJM63" s="291"/>
      <x:c r="BJN63" s="291"/>
      <x:c r="BJO63" s="291"/>
      <x:c r="BJP63" s="291"/>
      <x:c r="BJQ63" s="291"/>
      <x:c r="BJR63" s="291"/>
      <x:c r="BJS63" s="291"/>
      <x:c r="BJT63" s="291"/>
      <x:c r="BJU63" s="291"/>
      <x:c r="BJV63" s="291"/>
      <x:c r="BJW63" s="291"/>
      <x:c r="BJX63" s="291"/>
      <x:c r="BJY63" s="291"/>
      <x:c r="BJZ63" s="291"/>
      <x:c r="BKA63" s="291"/>
      <x:c r="BKB63" s="291"/>
      <x:c r="BKC63" s="291"/>
      <x:c r="BKD63" s="291"/>
      <x:c r="BKE63" s="291"/>
      <x:c r="BKF63" s="291"/>
      <x:c r="BKG63" s="291"/>
      <x:c r="BKH63" s="291"/>
      <x:c r="BKI63" s="291"/>
      <x:c r="BKJ63" s="291"/>
      <x:c r="BKK63" s="291"/>
      <x:c r="BKL63" s="291"/>
      <x:c r="BKM63" s="291"/>
      <x:c r="BKN63" s="291"/>
      <x:c r="BKO63" s="291"/>
      <x:c r="BKP63" s="291"/>
      <x:c r="BKQ63" s="291"/>
      <x:c r="BKR63" s="291"/>
      <x:c r="BKS63" s="291"/>
      <x:c r="BKT63" s="291"/>
      <x:c r="BKU63" s="291"/>
      <x:c r="BKV63" s="291"/>
      <x:c r="BKW63" s="291"/>
      <x:c r="BKX63" s="291"/>
      <x:c r="BKY63" s="291"/>
      <x:c r="BKZ63" s="291"/>
      <x:c r="BLA63" s="291"/>
      <x:c r="BLB63" s="291"/>
      <x:c r="BLC63" s="291"/>
      <x:c r="BLD63" s="291"/>
      <x:c r="BLE63" s="291"/>
      <x:c r="BLF63" s="291"/>
      <x:c r="BLG63" s="291"/>
      <x:c r="BLH63" s="291"/>
      <x:c r="BLI63" s="291"/>
      <x:c r="BLJ63" s="291"/>
      <x:c r="BLK63" s="291"/>
      <x:c r="BLL63" s="291"/>
      <x:c r="BLM63" s="291"/>
      <x:c r="BLN63" s="291"/>
      <x:c r="BLO63" s="291"/>
      <x:c r="BLP63" s="291"/>
      <x:c r="BLQ63" s="291"/>
      <x:c r="BLR63" s="291"/>
      <x:c r="BLS63" s="291"/>
      <x:c r="BLT63" s="291"/>
      <x:c r="BLU63" s="291"/>
      <x:c r="BLV63" s="291"/>
      <x:c r="BLW63" s="291"/>
      <x:c r="BLX63" s="291"/>
      <x:c r="BLY63" s="291"/>
      <x:c r="BLZ63" s="291"/>
      <x:c r="BMA63" s="291"/>
      <x:c r="BMB63" s="291"/>
      <x:c r="BMC63" s="291"/>
      <x:c r="BMD63" s="291"/>
      <x:c r="BME63" s="291"/>
      <x:c r="BMF63" s="291"/>
      <x:c r="BMG63" s="291"/>
      <x:c r="BMH63" s="291"/>
      <x:c r="BMI63" s="291"/>
      <x:c r="BMJ63" s="291"/>
      <x:c r="BMK63" s="291"/>
      <x:c r="BML63" s="291"/>
      <x:c r="BMM63" s="291"/>
      <x:c r="BMN63" s="291"/>
      <x:c r="BMO63" s="291"/>
      <x:c r="BMP63" s="291"/>
      <x:c r="BMQ63" s="291"/>
      <x:c r="BMR63" s="291"/>
      <x:c r="BMS63" s="291"/>
      <x:c r="BMT63" s="291"/>
      <x:c r="BMU63" s="291"/>
      <x:c r="BMV63" s="291"/>
      <x:c r="BMW63" s="291"/>
      <x:c r="BMX63" s="291"/>
      <x:c r="BMY63" s="291"/>
      <x:c r="BMZ63" s="291"/>
      <x:c r="BNA63" s="291"/>
      <x:c r="BNB63" s="291"/>
      <x:c r="BNC63" s="291"/>
      <x:c r="BND63" s="291"/>
      <x:c r="BNE63" s="291"/>
      <x:c r="BNF63" s="291"/>
      <x:c r="BNG63" s="291"/>
      <x:c r="BNH63" s="291"/>
      <x:c r="BNI63" s="291"/>
      <x:c r="BNJ63" s="291"/>
      <x:c r="BNK63" s="291"/>
      <x:c r="BNL63" s="291"/>
      <x:c r="BNM63" s="291"/>
      <x:c r="BNN63" s="291"/>
      <x:c r="BNO63" s="291"/>
      <x:c r="BNP63" s="291"/>
      <x:c r="BNQ63" s="291"/>
      <x:c r="BNR63" s="291"/>
      <x:c r="BNS63" s="291"/>
      <x:c r="BNT63" s="291"/>
      <x:c r="BNU63" s="291"/>
      <x:c r="BNV63" s="291"/>
      <x:c r="BNW63" s="291"/>
      <x:c r="BNX63" s="291"/>
      <x:c r="BNY63" s="291"/>
      <x:c r="BNZ63" s="291"/>
      <x:c r="BOA63" s="291"/>
      <x:c r="BOB63" s="291"/>
      <x:c r="BOC63" s="291"/>
      <x:c r="BOD63" s="291"/>
      <x:c r="BOE63" s="291"/>
      <x:c r="BOF63" s="291"/>
      <x:c r="BOG63" s="291"/>
      <x:c r="BOH63" s="291"/>
      <x:c r="BOI63" s="291"/>
      <x:c r="BOJ63" s="291"/>
      <x:c r="BOK63" s="291"/>
      <x:c r="BOL63" s="291"/>
      <x:c r="BOM63" s="291"/>
      <x:c r="BON63" s="291"/>
      <x:c r="BOO63" s="291"/>
      <x:c r="BOP63" s="291"/>
      <x:c r="BOQ63" s="291"/>
      <x:c r="BOR63" s="291"/>
      <x:c r="BOS63" s="291"/>
      <x:c r="BOT63" s="291"/>
      <x:c r="BOU63" s="291"/>
      <x:c r="BOV63" s="291"/>
      <x:c r="BOW63" s="291"/>
      <x:c r="BOX63" s="291"/>
      <x:c r="BOY63" s="291"/>
      <x:c r="BOZ63" s="291"/>
      <x:c r="BPA63" s="291"/>
      <x:c r="BPB63" s="291"/>
      <x:c r="BPC63" s="291"/>
      <x:c r="BPD63" s="291"/>
      <x:c r="BPE63" s="291"/>
      <x:c r="BPF63" s="291"/>
      <x:c r="BPG63" s="291"/>
      <x:c r="BPH63" s="291"/>
      <x:c r="BPI63" s="291"/>
      <x:c r="BPJ63" s="291"/>
      <x:c r="BPK63" s="291"/>
      <x:c r="BPL63" s="291"/>
      <x:c r="BPM63" s="291"/>
      <x:c r="BPN63" s="291"/>
      <x:c r="BPO63" s="291"/>
      <x:c r="BPP63" s="291"/>
      <x:c r="BPQ63" s="291"/>
      <x:c r="BPR63" s="291"/>
      <x:c r="BPS63" s="291"/>
      <x:c r="BPT63" s="291"/>
      <x:c r="BPU63" s="291"/>
      <x:c r="BPV63" s="291"/>
      <x:c r="BPW63" s="291"/>
      <x:c r="BPX63" s="291"/>
      <x:c r="BPY63" s="291"/>
      <x:c r="BPZ63" s="291"/>
      <x:c r="BQA63" s="291"/>
      <x:c r="BQB63" s="291"/>
      <x:c r="BQC63" s="291"/>
      <x:c r="BQD63" s="291"/>
      <x:c r="BQE63" s="291"/>
      <x:c r="BQF63" s="291"/>
      <x:c r="BQG63" s="291"/>
      <x:c r="BQH63" s="291"/>
      <x:c r="BQI63" s="291"/>
      <x:c r="BQJ63" s="291"/>
      <x:c r="BQK63" s="291"/>
      <x:c r="BQL63" s="291"/>
      <x:c r="BQM63" s="291"/>
      <x:c r="BQN63" s="291"/>
      <x:c r="BQO63" s="291"/>
      <x:c r="BQP63" s="291"/>
      <x:c r="BQQ63" s="291"/>
      <x:c r="BQR63" s="291"/>
      <x:c r="BQS63" s="291"/>
      <x:c r="BQT63" s="291"/>
      <x:c r="BQU63" s="291"/>
      <x:c r="BQV63" s="291"/>
      <x:c r="BQW63" s="291"/>
      <x:c r="BQX63" s="291"/>
      <x:c r="BQY63" s="291"/>
      <x:c r="BQZ63" s="291"/>
      <x:c r="BRA63" s="291"/>
      <x:c r="BRB63" s="291"/>
      <x:c r="BRC63" s="291"/>
      <x:c r="BRD63" s="291"/>
      <x:c r="BRE63" s="291"/>
      <x:c r="BRF63" s="291"/>
      <x:c r="BRG63" s="291"/>
      <x:c r="BRH63" s="291"/>
      <x:c r="BRI63" s="291"/>
      <x:c r="BRJ63" s="291"/>
      <x:c r="BRK63" s="291"/>
      <x:c r="BRL63" s="291"/>
      <x:c r="BRM63" s="291"/>
      <x:c r="BRN63" s="291"/>
      <x:c r="BRO63" s="291"/>
      <x:c r="BRP63" s="291"/>
      <x:c r="BRQ63" s="291"/>
      <x:c r="BRR63" s="291"/>
      <x:c r="BRS63" s="291"/>
      <x:c r="BRT63" s="291"/>
      <x:c r="BRU63" s="291"/>
      <x:c r="BRV63" s="291"/>
      <x:c r="BRW63" s="291"/>
      <x:c r="BRX63" s="291"/>
      <x:c r="BRY63" s="291"/>
      <x:c r="BRZ63" s="291"/>
      <x:c r="BSA63" s="291"/>
      <x:c r="BSB63" s="291"/>
      <x:c r="BSC63" s="291"/>
      <x:c r="BSD63" s="291"/>
      <x:c r="BSE63" s="291"/>
      <x:c r="BSF63" s="291"/>
      <x:c r="BSG63" s="291"/>
      <x:c r="BSH63" s="291"/>
      <x:c r="BSI63" s="291"/>
      <x:c r="BSJ63" s="291"/>
      <x:c r="BSK63" s="291"/>
      <x:c r="BSL63" s="291"/>
      <x:c r="BSM63" s="291"/>
      <x:c r="BSN63" s="291"/>
      <x:c r="BSO63" s="291"/>
      <x:c r="BSP63" s="291"/>
      <x:c r="BSQ63" s="291"/>
      <x:c r="BSR63" s="291"/>
      <x:c r="BSS63" s="291"/>
      <x:c r="BST63" s="291"/>
      <x:c r="BSU63" s="291"/>
      <x:c r="BSV63" s="291"/>
      <x:c r="BSW63" s="291"/>
      <x:c r="BSX63" s="291"/>
      <x:c r="BSY63" s="291"/>
      <x:c r="BSZ63" s="291"/>
      <x:c r="BTA63" s="291"/>
      <x:c r="BTB63" s="291"/>
      <x:c r="BTC63" s="291"/>
      <x:c r="BTD63" s="291"/>
      <x:c r="BTE63" s="291"/>
      <x:c r="BTF63" s="291"/>
      <x:c r="BTG63" s="291"/>
      <x:c r="BTH63" s="291"/>
      <x:c r="BTI63" s="291"/>
      <x:c r="BTJ63" s="291"/>
      <x:c r="BTK63" s="291"/>
      <x:c r="BTL63" s="291"/>
      <x:c r="BTM63" s="291"/>
      <x:c r="BTN63" s="291"/>
      <x:c r="BTO63" s="291"/>
      <x:c r="BTP63" s="291"/>
      <x:c r="BTQ63" s="291"/>
      <x:c r="BTR63" s="291"/>
      <x:c r="BTS63" s="291"/>
      <x:c r="BTT63" s="291"/>
      <x:c r="BTU63" s="291"/>
      <x:c r="BTV63" s="291"/>
      <x:c r="BTW63" s="291"/>
      <x:c r="BTX63" s="291"/>
      <x:c r="BTY63" s="291"/>
      <x:c r="BTZ63" s="291"/>
      <x:c r="BUA63" s="291"/>
      <x:c r="BUB63" s="291"/>
      <x:c r="BUC63" s="291"/>
      <x:c r="BUD63" s="291"/>
      <x:c r="BUE63" s="291"/>
      <x:c r="BUF63" s="291"/>
      <x:c r="BUG63" s="291"/>
      <x:c r="BUH63" s="291"/>
      <x:c r="BUI63" s="291"/>
      <x:c r="BUJ63" s="291"/>
      <x:c r="BUK63" s="291"/>
      <x:c r="BUL63" s="291"/>
      <x:c r="BUM63" s="291"/>
      <x:c r="BUN63" s="291"/>
      <x:c r="BUO63" s="291"/>
      <x:c r="BUP63" s="291"/>
      <x:c r="BUQ63" s="291"/>
      <x:c r="BUR63" s="291"/>
      <x:c r="BUS63" s="291"/>
      <x:c r="BUT63" s="291"/>
      <x:c r="BUU63" s="291"/>
      <x:c r="BUV63" s="291"/>
      <x:c r="BUW63" s="291"/>
      <x:c r="BUX63" s="291"/>
      <x:c r="BUY63" s="291"/>
      <x:c r="BUZ63" s="291"/>
      <x:c r="BVA63" s="291"/>
      <x:c r="BVB63" s="291"/>
      <x:c r="BVC63" s="291"/>
      <x:c r="BVD63" s="291"/>
      <x:c r="BVE63" s="291"/>
      <x:c r="BVF63" s="291"/>
      <x:c r="BVG63" s="291"/>
      <x:c r="BVH63" s="291"/>
      <x:c r="BVI63" s="291"/>
      <x:c r="BVJ63" s="291"/>
      <x:c r="BVK63" s="291"/>
      <x:c r="BVL63" s="291"/>
      <x:c r="BVM63" s="291"/>
      <x:c r="BVN63" s="291"/>
      <x:c r="BVO63" s="291"/>
      <x:c r="BVP63" s="291"/>
      <x:c r="BVQ63" s="291"/>
      <x:c r="BVR63" s="291"/>
      <x:c r="BVS63" s="291"/>
      <x:c r="BVT63" s="291"/>
      <x:c r="BVU63" s="291"/>
      <x:c r="BVV63" s="291"/>
      <x:c r="BVW63" s="291"/>
      <x:c r="BVX63" s="291"/>
      <x:c r="BVY63" s="291"/>
      <x:c r="BVZ63" s="291"/>
      <x:c r="BWA63" s="291"/>
      <x:c r="BWB63" s="291"/>
      <x:c r="BWC63" s="291"/>
      <x:c r="BWD63" s="291"/>
      <x:c r="BWE63" s="291"/>
      <x:c r="BWF63" s="291"/>
      <x:c r="BWG63" s="291"/>
      <x:c r="BWH63" s="291"/>
      <x:c r="BWI63" s="291"/>
      <x:c r="BWJ63" s="291"/>
      <x:c r="BWK63" s="291"/>
      <x:c r="BWL63" s="291"/>
      <x:c r="BWM63" s="291"/>
      <x:c r="BWN63" s="291"/>
      <x:c r="BWO63" s="291"/>
      <x:c r="BWP63" s="291"/>
      <x:c r="BWQ63" s="291"/>
      <x:c r="BWR63" s="291"/>
      <x:c r="BWS63" s="291"/>
      <x:c r="BWT63" s="291"/>
      <x:c r="BWU63" s="291"/>
      <x:c r="BWV63" s="291"/>
      <x:c r="BWW63" s="291"/>
      <x:c r="BWX63" s="291"/>
      <x:c r="BWY63" s="291"/>
      <x:c r="BWZ63" s="291"/>
      <x:c r="BXA63" s="291"/>
      <x:c r="BXB63" s="291"/>
      <x:c r="BXC63" s="291"/>
      <x:c r="BXD63" s="291"/>
      <x:c r="BXE63" s="291"/>
      <x:c r="BXF63" s="291"/>
      <x:c r="BXG63" s="291"/>
      <x:c r="BXH63" s="291"/>
      <x:c r="BXI63" s="291"/>
      <x:c r="BXJ63" s="291"/>
      <x:c r="BXK63" s="291"/>
      <x:c r="BXL63" s="291"/>
      <x:c r="BXM63" s="291"/>
      <x:c r="BXN63" s="291"/>
      <x:c r="BXO63" s="291"/>
      <x:c r="BXP63" s="291"/>
      <x:c r="BXQ63" s="291"/>
      <x:c r="BXR63" s="291"/>
      <x:c r="BXS63" s="291"/>
      <x:c r="BXT63" s="291"/>
      <x:c r="BXU63" s="291"/>
      <x:c r="BXV63" s="291"/>
      <x:c r="BXW63" s="291"/>
      <x:c r="BXX63" s="291"/>
      <x:c r="BXY63" s="291"/>
      <x:c r="BXZ63" s="291"/>
      <x:c r="BYA63" s="291"/>
      <x:c r="BYB63" s="291"/>
      <x:c r="BYC63" s="291"/>
      <x:c r="BYD63" s="291"/>
      <x:c r="BYE63" s="291"/>
      <x:c r="BYF63" s="291"/>
      <x:c r="BYG63" s="291"/>
      <x:c r="BYH63" s="291"/>
      <x:c r="BYI63" s="291"/>
      <x:c r="BYJ63" s="291"/>
      <x:c r="BYK63" s="291"/>
      <x:c r="BYL63" s="291"/>
      <x:c r="BYM63" s="291"/>
      <x:c r="BYN63" s="291"/>
      <x:c r="BYO63" s="291"/>
      <x:c r="BYP63" s="291"/>
      <x:c r="BYQ63" s="291"/>
      <x:c r="BYR63" s="291"/>
      <x:c r="BYS63" s="291"/>
      <x:c r="BYT63" s="291"/>
      <x:c r="BYU63" s="291"/>
      <x:c r="BYV63" s="291"/>
      <x:c r="BYW63" s="291"/>
      <x:c r="BYX63" s="291"/>
      <x:c r="BYY63" s="291"/>
      <x:c r="BYZ63" s="291"/>
      <x:c r="BZA63" s="291"/>
      <x:c r="BZB63" s="291"/>
      <x:c r="BZC63" s="291"/>
      <x:c r="BZD63" s="291"/>
      <x:c r="BZE63" s="291"/>
      <x:c r="BZF63" s="291"/>
      <x:c r="BZG63" s="291"/>
      <x:c r="BZH63" s="291"/>
      <x:c r="BZI63" s="291"/>
      <x:c r="BZJ63" s="291"/>
      <x:c r="BZK63" s="291"/>
      <x:c r="BZL63" s="291"/>
      <x:c r="BZM63" s="291"/>
      <x:c r="BZN63" s="291"/>
      <x:c r="BZO63" s="291"/>
      <x:c r="BZP63" s="291"/>
      <x:c r="BZQ63" s="291"/>
      <x:c r="BZR63" s="291"/>
      <x:c r="BZS63" s="291"/>
      <x:c r="BZT63" s="291"/>
      <x:c r="BZU63" s="291"/>
      <x:c r="BZV63" s="291"/>
      <x:c r="BZW63" s="291"/>
      <x:c r="BZX63" s="291"/>
      <x:c r="BZY63" s="291"/>
      <x:c r="BZZ63" s="291"/>
      <x:c r="CAA63" s="291"/>
      <x:c r="CAB63" s="291"/>
      <x:c r="CAC63" s="291"/>
      <x:c r="CAD63" s="291"/>
      <x:c r="CAE63" s="291"/>
      <x:c r="CAF63" s="291"/>
      <x:c r="CAG63" s="291"/>
      <x:c r="CAH63" s="291"/>
      <x:c r="CAI63" s="291"/>
      <x:c r="CAJ63" s="291"/>
      <x:c r="CAK63" s="291"/>
      <x:c r="CAL63" s="291"/>
      <x:c r="CAM63" s="291"/>
      <x:c r="CAN63" s="291"/>
      <x:c r="CAO63" s="291"/>
      <x:c r="CAP63" s="291"/>
      <x:c r="CAQ63" s="291"/>
      <x:c r="CAR63" s="291"/>
      <x:c r="CAS63" s="291"/>
      <x:c r="CAT63" s="291"/>
      <x:c r="CAU63" s="291"/>
      <x:c r="CAV63" s="291"/>
      <x:c r="CAW63" s="291"/>
      <x:c r="CAX63" s="291"/>
      <x:c r="CAY63" s="291"/>
      <x:c r="CAZ63" s="291"/>
      <x:c r="CBA63" s="291"/>
      <x:c r="CBB63" s="291"/>
      <x:c r="CBC63" s="291"/>
      <x:c r="CBD63" s="291"/>
      <x:c r="CBE63" s="291"/>
      <x:c r="CBF63" s="291"/>
      <x:c r="CBG63" s="291"/>
      <x:c r="CBH63" s="291"/>
      <x:c r="CBI63" s="291"/>
      <x:c r="CBJ63" s="291"/>
      <x:c r="CBK63" s="291"/>
      <x:c r="CBL63" s="291"/>
      <x:c r="CBM63" s="291"/>
      <x:c r="CBN63" s="291"/>
      <x:c r="CBO63" s="291"/>
      <x:c r="CBP63" s="291"/>
      <x:c r="CBQ63" s="291"/>
      <x:c r="CBR63" s="291"/>
      <x:c r="CBS63" s="291"/>
      <x:c r="CBT63" s="291"/>
      <x:c r="CBU63" s="291"/>
      <x:c r="CBV63" s="291"/>
      <x:c r="CBW63" s="291"/>
      <x:c r="CBX63" s="291"/>
      <x:c r="CBY63" s="291"/>
      <x:c r="CBZ63" s="291"/>
      <x:c r="CCA63" s="291"/>
      <x:c r="CCB63" s="291"/>
      <x:c r="CCC63" s="291"/>
      <x:c r="CCD63" s="291"/>
      <x:c r="CCE63" s="291"/>
      <x:c r="CCF63" s="291"/>
      <x:c r="CCG63" s="291"/>
      <x:c r="CCH63" s="291"/>
      <x:c r="CCI63" s="291"/>
      <x:c r="CCJ63" s="291"/>
      <x:c r="CCK63" s="291"/>
      <x:c r="CCL63" s="291"/>
      <x:c r="CCM63" s="291"/>
      <x:c r="CCN63" s="291"/>
      <x:c r="CCO63" s="291"/>
      <x:c r="CCP63" s="291"/>
      <x:c r="CCQ63" s="291"/>
      <x:c r="CCR63" s="291"/>
      <x:c r="CCS63" s="291"/>
      <x:c r="CCT63" s="291"/>
      <x:c r="CCU63" s="291"/>
      <x:c r="CCV63" s="291"/>
      <x:c r="CCW63" s="291"/>
      <x:c r="CCX63" s="291"/>
      <x:c r="CCY63" s="291"/>
      <x:c r="CCZ63" s="291"/>
      <x:c r="CDA63" s="291"/>
      <x:c r="CDB63" s="291"/>
      <x:c r="CDC63" s="291"/>
      <x:c r="CDD63" s="291"/>
      <x:c r="CDE63" s="291"/>
      <x:c r="CDF63" s="291"/>
      <x:c r="CDG63" s="291"/>
      <x:c r="CDH63" s="291"/>
      <x:c r="CDI63" s="291"/>
      <x:c r="CDJ63" s="291"/>
      <x:c r="CDK63" s="291"/>
      <x:c r="CDL63" s="291"/>
      <x:c r="CDM63" s="291"/>
      <x:c r="CDN63" s="291"/>
      <x:c r="CDO63" s="291"/>
      <x:c r="CDP63" s="291"/>
      <x:c r="CDQ63" s="291"/>
      <x:c r="CDR63" s="291"/>
      <x:c r="CDS63" s="291"/>
      <x:c r="CDT63" s="291"/>
      <x:c r="CDU63" s="291"/>
      <x:c r="CDV63" s="291"/>
      <x:c r="CDW63" s="291"/>
      <x:c r="CDX63" s="291"/>
      <x:c r="CDY63" s="291"/>
      <x:c r="CDZ63" s="291"/>
      <x:c r="CEA63" s="291"/>
      <x:c r="CEB63" s="291"/>
      <x:c r="CEC63" s="291"/>
      <x:c r="CED63" s="291"/>
      <x:c r="CEE63" s="291"/>
      <x:c r="CEF63" s="291"/>
      <x:c r="CEG63" s="291"/>
      <x:c r="CEH63" s="291"/>
      <x:c r="CEI63" s="291"/>
      <x:c r="CEJ63" s="291"/>
      <x:c r="CEK63" s="291"/>
      <x:c r="CEL63" s="291"/>
      <x:c r="CEM63" s="291"/>
      <x:c r="CEN63" s="291"/>
      <x:c r="CEO63" s="291"/>
      <x:c r="CEP63" s="291"/>
      <x:c r="CEQ63" s="291"/>
      <x:c r="CER63" s="291"/>
      <x:c r="CES63" s="291"/>
      <x:c r="CET63" s="291"/>
      <x:c r="CEU63" s="291"/>
      <x:c r="CEV63" s="291"/>
      <x:c r="CEW63" s="291"/>
      <x:c r="CEX63" s="291"/>
      <x:c r="CEY63" s="291"/>
      <x:c r="CEZ63" s="291"/>
      <x:c r="CFA63" s="291"/>
      <x:c r="CFB63" s="291"/>
      <x:c r="CFC63" s="291"/>
      <x:c r="CFD63" s="291"/>
      <x:c r="CFE63" s="291"/>
      <x:c r="CFF63" s="291"/>
      <x:c r="CFG63" s="291"/>
      <x:c r="CFH63" s="291"/>
      <x:c r="CFI63" s="291"/>
      <x:c r="CFJ63" s="291"/>
      <x:c r="CFK63" s="291"/>
      <x:c r="CFL63" s="291"/>
      <x:c r="CFM63" s="291"/>
      <x:c r="CFN63" s="291"/>
      <x:c r="CFO63" s="291"/>
      <x:c r="CFP63" s="291"/>
      <x:c r="CFQ63" s="291"/>
      <x:c r="CFR63" s="291"/>
      <x:c r="CFS63" s="291"/>
      <x:c r="CFT63" s="291"/>
      <x:c r="CFU63" s="291"/>
      <x:c r="CFV63" s="291"/>
      <x:c r="CFW63" s="291"/>
      <x:c r="CFX63" s="291"/>
      <x:c r="CFY63" s="291"/>
      <x:c r="CFZ63" s="291"/>
      <x:c r="CGA63" s="291"/>
      <x:c r="CGB63" s="291"/>
      <x:c r="CGC63" s="291"/>
      <x:c r="CGD63" s="291"/>
      <x:c r="CGE63" s="291"/>
      <x:c r="CGF63" s="291"/>
      <x:c r="CGG63" s="291"/>
      <x:c r="CGH63" s="291"/>
      <x:c r="CGI63" s="291"/>
      <x:c r="CGJ63" s="291"/>
      <x:c r="CGK63" s="291"/>
      <x:c r="CGL63" s="291"/>
      <x:c r="CGM63" s="291"/>
      <x:c r="CGN63" s="291"/>
      <x:c r="CGO63" s="291"/>
      <x:c r="CGP63" s="291"/>
      <x:c r="CGQ63" s="291"/>
      <x:c r="CGR63" s="291"/>
      <x:c r="CGS63" s="291"/>
      <x:c r="CGT63" s="291"/>
      <x:c r="CGU63" s="291"/>
      <x:c r="CGV63" s="291"/>
      <x:c r="CGW63" s="291"/>
      <x:c r="CGX63" s="291"/>
      <x:c r="CGY63" s="291"/>
      <x:c r="CGZ63" s="291"/>
      <x:c r="CHA63" s="291"/>
      <x:c r="CHB63" s="291"/>
      <x:c r="CHC63" s="291"/>
      <x:c r="CHD63" s="291"/>
      <x:c r="CHE63" s="291"/>
      <x:c r="CHF63" s="291"/>
      <x:c r="CHG63" s="291"/>
      <x:c r="CHH63" s="291"/>
      <x:c r="CHI63" s="291"/>
      <x:c r="CHJ63" s="291"/>
      <x:c r="CHK63" s="291"/>
      <x:c r="CHL63" s="291"/>
      <x:c r="CHM63" s="291"/>
      <x:c r="CHN63" s="291"/>
      <x:c r="CHO63" s="291"/>
      <x:c r="CHP63" s="291"/>
      <x:c r="CHQ63" s="291"/>
      <x:c r="CHR63" s="291"/>
      <x:c r="CHS63" s="291"/>
      <x:c r="CHT63" s="291"/>
      <x:c r="CHU63" s="291"/>
      <x:c r="CHV63" s="291"/>
      <x:c r="CHW63" s="291"/>
      <x:c r="CHX63" s="291"/>
      <x:c r="CHY63" s="291"/>
      <x:c r="CHZ63" s="291"/>
      <x:c r="CIA63" s="291"/>
      <x:c r="CIB63" s="291"/>
      <x:c r="CIC63" s="291"/>
      <x:c r="CID63" s="291"/>
      <x:c r="CIE63" s="291"/>
      <x:c r="CIF63" s="291"/>
      <x:c r="CIG63" s="291"/>
      <x:c r="CIH63" s="291"/>
      <x:c r="CII63" s="291"/>
      <x:c r="CIJ63" s="291"/>
      <x:c r="CIK63" s="291"/>
      <x:c r="CIL63" s="291"/>
      <x:c r="CIM63" s="291"/>
      <x:c r="CIN63" s="291"/>
      <x:c r="CIO63" s="291"/>
      <x:c r="CIP63" s="291"/>
      <x:c r="CIQ63" s="291"/>
      <x:c r="CIR63" s="291"/>
      <x:c r="CIS63" s="291"/>
      <x:c r="CIT63" s="291"/>
      <x:c r="CIU63" s="291"/>
      <x:c r="CIV63" s="291"/>
      <x:c r="CIW63" s="291"/>
      <x:c r="CIX63" s="291"/>
      <x:c r="CIY63" s="291"/>
      <x:c r="CIZ63" s="291"/>
      <x:c r="CJA63" s="291"/>
      <x:c r="CJB63" s="291"/>
      <x:c r="CJC63" s="291"/>
      <x:c r="CJD63" s="291"/>
      <x:c r="CJE63" s="291"/>
      <x:c r="CJF63" s="291"/>
      <x:c r="CJG63" s="291"/>
      <x:c r="CJH63" s="291"/>
      <x:c r="CJI63" s="291"/>
      <x:c r="CJJ63" s="291"/>
      <x:c r="CJK63" s="291"/>
      <x:c r="CJL63" s="291"/>
      <x:c r="CJM63" s="291"/>
      <x:c r="CJN63" s="291"/>
      <x:c r="CJO63" s="291"/>
      <x:c r="CJP63" s="291"/>
      <x:c r="CJQ63" s="291"/>
      <x:c r="CJR63" s="291"/>
      <x:c r="CJS63" s="291"/>
      <x:c r="CJT63" s="291"/>
      <x:c r="CJU63" s="291"/>
      <x:c r="CJV63" s="291"/>
      <x:c r="CJW63" s="291"/>
      <x:c r="CJX63" s="291"/>
      <x:c r="CJY63" s="291"/>
      <x:c r="CJZ63" s="291"/>
      <x:c r="CKA63" s="291"/>
      <x:c r="CKB63" s="291"/>
      <x:c r="CKC63" s="291"/>
      <x:c r="CKD63" s="291"/>
      <x:c r="CKE63" s="291"/>
      <x:c r="CKF63" s="291"/>
      <x:c r="CKG63" s="291"/>
      <x:c r="CKH63" s="291"/>
      <x:c r="CKI63" s="291"/>
      <x:c r="CKJ63" s="291"/>
      <x:c r="CKK63" s="291"/>
      <x:c r="CKL63" s="291"/>
      <x:c r="CKM63" s="291"/>
      <x:c r="CKN63" s="291"/>
      <x:c r="CKO63" s="291"/>
      <x:c r="CKP63" s="291"/>
      <x:c r="CKQ63" s="291"/>
      <x:c r="CKR63" s="291"/>
      <x:c r="CKS63" s="291"/>
      <x:c r="CKT63" s="291"/>
      <x:c r="CKU63" s="291"/>
      <x:c r="CKV63" s="291"/>
      <x:c r="CKW63" s="291"/>
      <x:c r="CKX63" s="291"/>
      <x:c r="CKY63" s="291"/>
      <x:c r="CKZ63" s="291"/>
      <x:c r="CLA63" s="291"/>
      <x:c r="CLB63" s="291"/>
      <x:c r="CLC63" s="291"/>
      <x:c r="CLD63" s="291"/>
      <x:c r="CLE63" s="291"/>
      <x:c r="CLF63" s="291"/>
      <x:c r="CLG63" s="291"/>
      <x:c r="CLH63" s="291"/>
      <x:c r="CLI63" s="291"/>
      <x:c r="CLJ63" s="291"/>
      <x:c r="CLK63" s="291"/>
      <x:c r="CLL63" s="291"/>
      <x:c r="CLM63" s="291"/>
      <x:c r="CLN63" s="291"/>
      <x:c r="CLO63" s="291"/>
      <x:c r="CLP63" s="291"/>
      <x:c r="CLQ63" s="291"/>
      <x:c r="CLR63" s="291"/>
      <x:c r="CLS63" s="291"/>
      <x:c r="CLT63" s="291"/>
      <x:c r="CLU63" s="291"/>
      <x:c r="CLV63" s="291"/>
      <x:c r="CLW63" s="291"/>
      <x:c r="CLX63" s="291"/>
      <x:c r="CLY63" s="291"/>
      <x:c r="CLZ63" s="291"/>
      <x:c r="CMA63" s="291"/>
      <x:c r="CMB63" s="291"/>
      <x:c r="CMC63" s="291"/>
      <x:c r="CMD63" s="291"/>
      <x:c r="CME63" s="291"/>
      <x:c r="CMF63" s="291"/>
      <x:c r="CMG63" s="291"/>
      <x:c r="CMH63" s="291"/>
      <x:c r="CMI63" s="291"/>
      <x:c r="CMJ63" s="291"/>
      <x:c r="CMK63" s="291"/>
      <x:c r="CML63" s="291"/>
      <x:c r="CMM63" s="291"/>
      <x:c r="CMN63" s="291"/>
      <x:c r="CMO63" s="291"/>
      <x:c r="CMP63" s="291"/>
      <x:c r="CMQ63" s="291"/>
      <x:c r="CMR63" s="291"/>
      <x:c r="CMS63" s="291"/>
      <x:c r="CMT63" s="291"/>
      <x:c r="CMU63" s="291"/>
      <x:c r="CMV63" s="291"/>
      <x:c r="CMW63" s="291"/>
      <x:c r="CMX63" s="291"/>
      <x:c r="CMY63" s="291"/>
      <x:c r="CMZ63" s="291"/>
      <x:c r="CNA63" s="291"/>
      <x:c r="CNB63" s="291"/>
      <x:c r="CNC63" s="291"/>
      <x:c r="CND63" s="291"/>
      <x:c r="CNE63" s="291"/>
      <x:c r="CNF63" s="291"/>
      <x:c r="CNG63" s="291"/>
      <x:c r="CNH63" s="291"/>
      <x:c r="CNI63" s="291"/>
      <x:c r="CNJ63" s="291"/>
      <x:c r="CNK63" s="291"/>
      <x:c r="CNL63" s="291"/>
      <x:c r="CNM63" s="291"/>
      <x:c r="CNN63" s="291"/>
      <x:c r="CNO63" s="291"/>
      <x:c r="CNP63" s="291"/>
      <x:c r="CNQ63" s="291"/>
      <x:c r="CNR63" s="291"/>
      <x:c r="CNS63" s="291"/>
      <x:c r="CNT63" s="291"/>
      <x:c r="CNU63" s="291"/>
      <x:c r="CNV63" s="291"/>
      <x:c r="CNW63" s="291"/>
      <x:c r="CNX63" s="291"/>
      <x:c r="CNY63" s="291"/>
      <x:c r="CNZ63" s="291"/>
      <x:c r="COA63" s="291"/>
      <x:c r="COB63" s="291"/>
      <x:c r="COC63" s="291"/>
      <x:c r="COD63" s="291"/>
      <x:c r="COE63" s="291"/>
      <x:c r="COF63" s="291"/>
      <x:c r="COG63" s="291"/>
      <x:c r="COH63" s="291"/>
      <x:c r="COI63" s="291"/>
      <x:c r="COJ63" s="291"/>
      <x:c r="COK63" s="291"/>
      <x:c r="COL63" s="291"/>
      <x:c r="COM63" s="291"/>
      <x:c r="CON63" s="291"/>
      <x:c r="COO63" s="291"/>
      <x:c r="COP63" s="291"/>
      <x:c r="COQ63" s="291"/>
      <x:c r="COR63" s="291"/>
      <x:c r="COS63" s="291"/>
      <x:c r="COT63" s="291"/>
      <x:c r="COU63" s="291"/>
      <x:c r="COV63" s="291"/>
      <x:c r="COW63" s="291"/>
      <x:c r="COX63" s="291"/>
      <x:c r="COY63" s="291"/>
      <x:c r="COZ63" s="291"/>
      <x:c r="CPA63" s="291"/>
      <x:c r="CPB63" s="291"/>
      <x:c r="CPC63" s="291"/>
      <x:c r="CPD63" s="291"/>
      <x:c r="CPE63" s="291"/>
      <x:c r="CPF63" s="291"/>
      <x:c r="CPG63" s="291"/>
      <x:c r="CPH63" s="291"/>
      <x:c r="CPI63" s="291"/>
      <x:c r="CPJ63" s="291"/>
      <x:c r="CPK63" s="291"/>
      <x:c r="CPL63" s="291"/>
      <x:c r="CPM63" s="291"/>
      <x:c r="CPN63" s="291"/>
      <x:c r="CPO63" s="291"/>
      <x:c r="CPP63" s="291"/>
      <x:c r="CPQ63" s="291"/>
      <x:c r="CPR63" s="291"/>
      <x:c r="CPS63" s="291"/>
      <x:c r="CPT63" s="291"/>
      <x:c r="CPU63" s="291"/>
      <x:c r="CPV63" s="291"/>
      <x:c r="CPW63" s="291"/>
      <x:c r="CPX63" s="291"/>
      <x:c r="CPY63" s="291"/>
      <x:c r="CPZ63" s="291"/>
      <x:c r="CQA63" s="291"/>
      <x:c r="CQB63" s="291"/>
      <x:c r="CQC63" s="291"/>
      <x:c r="CQD63" s="291"/>
      <x:c r="CQE63" s="291"/>
      <x:c r="CQF63" s="291"/>
      <x:c r="CQG63" s="291"/>
      <x:c r="CQH63" s="291"/>
      <x:c r="CQI63" s="291"/>
      <x:c r="CQJ63" s="291"/>
      <x:c r="CQK63" s="291"/>
      <x:c r="CQL63" s="291"/>
      <x:c r="CQM63" s="291"/>
      <x:c r="CQN63" s="291"/>
      <x:c r="CQO63" s="291"/>
      <x:c r="CQP63" s="291"/>
      <x:c r="CQQ63" s="291"/>
      <x:c r="CQR63" s="291"/>
      <x:c r="CQS63" s="291"/>
      <x:c r="CQT63" s="291"/>
      <x:c r="CQU63" s="291"/>
      <x:c r="CQV63" s="291"/>
      <x:c r="CQW63" s="291"/>
      <x:c r="CQX63" s="291"/>
      <x:c r="CQY63" s="291"/>
      <x:c r="CQZ63" s="291"/>
      <x:c r="CRA63" s="291"/>
      <x:c r="CRB63" s="291"/>
      <x:c r="CRC63" s="291"/>
      <x:c r="CRD63" s="291"/>
      <x:c r="CRE63" s="291"/>
      <x:c r="CRF63" s="291"/>
      <x:c r="CRG63" s="291"/>
      <x:c r="CRH63" s="291"/>
      <x:c r="CRI63" s="291"/>
      <x:c r="CRJ63" s="291"/>
      <x:c r="CRK63" s="291"/>
      <x:c r="CRL63" s="291"/>
      <x:c r="CRM63" s="291"/>
      <x:c r="CRN63" s="291"/>
      <x:c r="CRO63" s="291"/>
      <x:c r="CRP63" s="291"/>
      <x:c r="CRQ63" s="291"/>
      <x:c r="CRR63" s="291"/>
      <x:c r="CRS63" s="291"/>
      <x:c r="CRT63" s="291"/>
      <x:c r="CRU63" s="291"/>
      <x:c r="CRV63" s="291"/>
      <x:c r="CRW63" s="291"/>
      <x:c r="CRX63" s="291"/>
      <x:c r="CRY63" s="291"/>
      <x:c r="CRZ63" s="291"/>
      <x:c r="CSA63" s="291"/>
      <x:c r="CSB63" s="291"/>
      <x:c r="CSC63" s="291"/>
      <x:c r="CSD63" s="291"/>
      <x:c r="CSE63" s="291"/>
      <x:c r="CSF63" s="291"/>
      <x:c r="CSG63" s="291"/>
      <x:c r="CSH63" s="291"/>
      <x:c r="CSI63" s="291"/>
      <x:c r="CSJ63" s="291"/>
      <x:c r="CSK63" s="291"/>
      <x:c r="CSL63" s="291"/>
      <x:c r="CSM63" s="291"/>
      <x:c r="CSN63" s="291"/>
      <x:c r="CSO63" s="291"/>
      <x:c r="CSP63" s="291"/>
      <x:c r="CSQ63" s="291"/>
      <x:c r="CSR63" s="291"/>
      <x:c r="CSS63" s="291"/>
      <x:c r="CST63" s="291"/>
      <x:c r="CSU63" s="291"/>
      <x:c r="CSV63" s="291"/>
      <x:c r="CSW63" s="291"/>
      <x:c r="CSX63" s="291"/>
      <x:c r="CSY63" s="291"/>
      <x:c r="CSZ63" s="291"/>
      <x:c r="CTA63" s="291"/>
      <x:c r="CTB63" s="291"/>
      <x:c r="CTC63" s="291"/>
      <x:c r="CTD63" s="291"/>
      <x:c r="CTE63" s="291"/>
      <x:c r="CTF63" s="291"/>
      <x:c r="CTG63" s="291"/>
      <x:c r="CTH63" s="291"/>
      <x:c r="CTI63" s="291"/>
      <x:c r="CTJ63" s="291"/>
      <x:c r="CTK63" s="291"/>
      <x:c r="CTL63" s="291"/>
      <x:c r="CTM63" s="291"/>
      <x:c r="CTN63" s="291"/>
      <x:c r="CTO63" s="291"/>
      <x:c r="CTP63" s="291"/>
      <x:c r="CTQ63" s="291"/>
      <x:c r="CTR63" s="291"/>
      <x:c r="CTS63" s="291"/>
      <x:c r="CTT63" s="291"/>
      <x:c r="CTU63" s="291"/>
      <x:c r="CTV63" s="291"/>
      <x:c r="CTW63" s="291"/>
      <x:c r="CTX63" s="291"/>
      <x:c r="CTY63" s="291"/>
      <x:c r="CTZ63" s="291"/>
      <x:c r="CUA63" s="291"/>
      <x:c r="CUB63" s="291"/>
      <x:c r="CUC63" s="291"/>
      <x:c r="CUD63" s="291"/>
      <x:c r="CUE63" s="291"/>
      <x:c r="CUF63" s="291"/>
      <x:c r="CUG63" s="291"/>
      <x:c r="CUH63" s="291"/>
      <x:c r="CUI63" s="291"/>
      <x:c r="CUJ63" s="291"/>
      <x:c r="CUK63" s="291"/>
      <x:c r="CUL63" s="291"/>
      <x:c r="CUM63" s="291"/>
      <x:c r="CUN63" s="291"/>
      <x:c r="CUO63" s="291"/>
      <x:c r="CUP63" s="291"/>
      <x:c r="CUQ63" s="291"/>
      <x:c r="CUR63" s="291"/>
      <x:c r="CUS63" s="291"/>
      <x:c r="CUT63" s="291"/>
      <x:c r="CUU63" s="291"/>
      <x:c r="CUV63" s="291"/>
      <x:c r="CUW63" s="291"/>
      <x:c r="CUX63" s="291"/>
      <x:c r="CUY63" s="291"/>
      <x:c r="CUZ63" s="291"/>
      <x:c r="CVA63" s="291"/>
      <x:c r="CVB63" s="291"/>
      <x:c r="CVC63" s="291"/>
      <x:c r="CVD63" s="291"/>
      <x:c r="CVE63" s="291"/>
      <x:c r="CVF63" s="291"/>
      <x:c r="CVG63" s="291"/>
      <x:c r="CVH63" s="291"/>
      <x:c r="CVI63" s="291"/>
      <x:c r="CVJ63" s="291"/>
      <x:c r="CVK63" s="291"/>
      <x:c r="CVL63" s="291"/>
      <x:c r="CVM63" s="291"/>
      <x:c r="CVN63" s="291"/>
      <x:c r="CVO63" s="291"/>
      <x:c r="CVP63" s="291"/>
      <x:c r="CVQ63" s="291"/>
      <x:c r="CVR63" s="291"/>
      <x:c r="CVS63" s="291"/>
      <x:c r="CVT63" s="291"/>
      <x:c r="CVU63" s="291"/>
      <x:c r="CVV63" s="291"/>
      <x:c r="CVW63" s="291"/>
      <x:c r="CVX63" s="291"/>
      <x:c r="CVY63" s="291"/>
      <x:c r="CVZ63" s="291"/>
      <x:c r="CWA63" s="291"/>
      <x:c r="CWB63" s="291"/>
      <x:c r="CWC63" s="291"/>
      <x:c r="CWD63" s="291"/>
      <x:c r="CWE63" s="291"/>
      <x:c r="CWF63" s="291"/>
      <x:c r="CWG63" s="291"/>
      <x:c r="CWH63" s="291"/>
      <x:c r="CWI63" s="291"/>
      <x:c r="CWJ63" s="291"/>
      <x:c r="CWK63" s="291"/>
      <x:c r="CWL63" s="291"/>
      <x:c r="CWM63" s="291"/>
      <x:c r="CWN63" s="291"/>
      <x:c r="CWO63" s="291"/>
      <x:c r="CWP63" s="291"/>
      <x:c r="CWQ63" s="291"/>
      <x:c r="CWR63" s="291"/>
      <x:c r="CWS63" s="291"/>
      <x:c r="CWT63" s="291"/>
      <x:c r="CWU63" s="291"/>
      <x:c r="CWV63" s="291"/>
      <x:c r="CWW63" s="291"/>
      <x:c r="CWX63" s="291"/>
      <x:c r="CWY63" s="291"/>
      <x:c r="CWZ63" s="291"/>
      <x:c r="CXA63" s="291"/>
      <x:c r="CXB63" s="291"/>
      <x:c r="CXC63" s="291"/>
      <x:c r="CXD63" s="291"/>
      <x:c r="CXE63" s="291"/>
      <x:c r="CXF63" s="291"/>
      <x:c r="CXG63" s="291"/>
      <x:c r="CXH63" s="291"/>
      <x:c r="CXI63" s="291"/>
      <x:c r="CXJ63" s="291"/>
      <x:c r="CXK63" s="291"/>
      <x:c r="CXL63" s="291"/>
      <x:c r="CXM63" s="291"/>
      <x:c r="CXN63" s="291"/>
      <x:c r="CXO63" s="291"/>
      <x:c r="CXP63" s="291"/>
      <x:c r="CXQ63" s="291"/>
      <x:c r="CXR63" s="291"/>
      <x:c r="CXS63" s="291"/>
      <x:c r="CXT63" s="291"/>
      <x:c r="CXU63" s="291"/>
      <x:c r="CXV63" s="291"/>
      <x:c r="CXW63" s="291"/>
      <x:c r="CXX63" s="291"/>
      <x:c r="CXY63" s="291"/>
      <x:c r="CXZ63" s="291"/>
      <x:c r="CYA63" s="291"/>
      <x:c r="CYB63" s="291"/>
      <x:c r="CYC63" s="291"/>
      <x:c r="CYD63" s="291"/>
      <x:c r="CYE63" s="291"/>
      <x:c r="CYF63" s="291"/>
      <x:c r="CYG63" s="291"/>
      <x:c r="CYH63" s="291"/>
      <x:c r="CYI63" s="291"/>
      <x:c r="CYJ63" s="291"/>
      <x:c r="CYK63" s="291"/>
      <x:c r="CYL63" s="291"/>
      <x:c r="CYM63" s="291"/>
      <x:c r="CYN63" s="291"/>
      <x:c r="CYO63" s="291"/>
      <x:c r="CYP63" s="291"/>
      <x:c r="CYQ63" s="291"/>
      <x:c r="CYR63" s="291"/>
      <x:c r="CYS63" s="291"/>
      <x:c r="CYT63" s="291"/>
      <x:c r="CYU63" s="291"/>
      <x:c r="CYV63" s="291"/>
      <x:c r="CYW63" s="291"/>
      <x:c r="CYX63" s="291"/>
      <x:c r="CYY63" s="291"/>
      <x:c r="CYZ63" s="291"/>
      <x:c r="CZA63" s="291"/>
      <x:c r="CZB63" s="291"/>
      <x:c r="CZC63" s="291"/>
      <x:c r="CZD63" s="291"/>
      <x:c r="CZE63" s="291"/>
      <x:c r="CZF63" s="291"/>
      <x:c r="CZG63" s="291"/>
      <x:c r="CZH63" s="291"/>
      <x:c r="CZI63" s="291"/>
      <x:c r="CZJ63" s="291"/>
      <x:c r="CZK63" s="291"/>
      <x:c r="CZL63" s="291"/>
      <x:c r="CZM63" s="291"/>
      <x:c r="CZN63" s="291"/>
      <x:c r="CZO63" s="291"/>
      <x:c r="CZP63" s="291"/>
      <x:c r="CZQ63" s="291"/>
      <x:c r="CZR63" s="291"/>
      <x:c r="CZS63" s="291"/>
      <x:c r="CZT63" s="291"/>
      <x:c r="CZU63" s="291"/>
      <x:c r="CZV63" s="291"/>
      <x:c r="CZW63" s="291"/>
      <x:c r="CZX63" s="291"/>
      <x:c r="CZY63" s="291"/>
      <x:c r="CZZ63" s="291"/>
      <x:c r="DAA63" s="291"/>
      <x:c r="DAB63" s="291"/>
      <x:c r="DAC63" s="291"/>
      <x:c r="DAD63" s="291"/>
      <x:c r="DAE63" s="291"/>
      <x:c r="DAF63" s="291"/>
      <x:c r="DAG63" s="291"/>
      <x:c r="DAH63" s="291"/>
      <x:c r="DAI63" s="291"/>
      <x:c r="DAJ63" s="291"/>
      <x:c r="DAK63" s="291"/>
      <x:c r="DAL63" s="291"/>
      <x:c r="DAM63" s="291"/>
      <x:c r="DAN63" s="291"/>
      <x:c r="DAO63" s="291"/>
      <x:c r="DAP63" s="291"/>
      <x:c r="DAQ63" s="291"/>
      <x:c r="DAR63" s="291"/>
      <x:c r="DAS63" s="291"/>
      <x:c r="DAT63" s="291"/>
      <x:c r="DAU63" s="291"/>
      <x:c r="DAV63" s="291"/>
      <x:c r="DAW63" s="291"/>
      <x:c r="DAX63" s="291"/>
      <x:c r="DAY63" s="291"/>
      <x:c r="DAZ63" s="291"/>
      <x:c r="DBA63" s="291"/>
      <x:c r="DBB63" s="291"/>
      <x:c r="DBC63" s="291"/>
      <x:c r="DBD63" s="291"/>
      <x:c r="DBE63" s="291"/>
      <x:c r="DBF63" s="291"/>
      <x:c r="DBG63" s="291"/>
      <x:c r="DBH63" s="291"/>
      <x:c r="DBI63" s="291"/>
      <x:c r="DBJ63" s="291"/>
      <x:c r="DBK63" s="291"/>
      <x:c r="DBL63" s="291"/>
      <x:c r="DBM63" s="291"/>
      <x:c r="DBN63" s="291"/>
      <x:c r="DBO63" s="291"/>
      <x:c r="DBP63" s="291"/>
      <x:c r="DBQ63" s="291"/>
      <x:c r="DBR63" s="291"/>
      <x:c r="DBS63" s="291"/>
      <x:c r="DBT63" s="291"/>
      <x:c r="DBU63" s="291"/>
      <x:c r="DBV63" s="291"/>
      <x:c r="DBW63" s="291"/>
      <x:c r="DBX63" s="291"/>
      <x:c r="DBY63" s="291"/>
      <x:c r="DBZ63" s="291"/>
      <x:c r="DCA63" s="291"/>
      <x:c r="DCB63" s="291"/>
      <x:c r="DCC63" s="291"/>
      <x:c r="DCD63" s="291"/>
      <x:c r="DCE63" s="291"/>
      <x:c r="DCF63" s="291"/>
      <x:c r="DCG63" s="291"/>
      <x:c r="DCH63" s="291"/>
      <x:c r="DCI63" s="291"/>
      <x:c r="DCJ63" s="291"/>
      <x:c r="DCK63" s="291"/>
      <x:c r="DCL63" s="291"/>
      <x:c r="DCM63" s="291"/>
      <x:c r="DCN63" s="291"/>
      <x:c r="DCO63" s="291"/>
      <x:c r="DCP63" s="291"/>
      <x:c r="DCQ63" s="291"/>
      <x:c r="DCR63" s="291"/>
      <x:c r="DCS63" s="291"/>
      <x:c r="DCT63" s="291"/>
      <x:c r="DCU63" s="291"/>
      <x:c r="DCV63" s="291"/>
      <x:c r="DCW63" s="291"/>
      <x:c r="DCX63" s="291"/>
      <x:c r="DCY63" s="291"/>
      <x:c r="DCZ63" s="291"/>
      <x:c r="DDA63" s="291"/>
      <x:c r="DDB63" s="291"/>
      <x:c r="DDC63" s="291"/>
      <x:c r="DDD63" s="291"/>
      <x:c r="DDE63" s="291"/>
      <x:c r="DDF63" s="291"/>
      <x:c r="DDG63" s="291"/>
      <x:c r="DDH63" s="291"/>
      <x:c r="DDI63" s="291"/>
      <x:c r="DDJ63" s="291"/>
      <x:c r="DDK63" s="291"/>
      <x:c r="DDL63" s="291"/>
      <x:c r="DDM63" s="291"/>
      <x:c r="DDN63" s="291"/>
      <x:c r="DDO63" s="291"/>
      <x:c r="DDP63" s="291"/>
      <x:c r="DDQ63" s="291"/>
      <x:c r="DDR63" s="291"/>
      <x:c r="DDS63" s="291"/>
      <x:c r="DDT63" s="291"/>
      <x:c r="DDU63" s="291"/>
      <x:c r="DDV63" s="291"/>
      <x:c r="DDW63" s="291"/>
      <x:c r="DDX63" s="291"/>
      <x:c r="DDY63" s="291"/>
      <x:c r="DDZ63" s="291"/>
      <x:c r="DEA63" s="291"/>
      <x:c r="DEB63" s="291"/>
      <x:c r="DEC63" s="291"/>
      <x:c r="DED63" s="291"/>
      <x:c r="DEE63" s="291"/>
      <x:c r="DEF63" s="291"/>
      <x:c r="DEG63" s="291"/>
      <x:c r="DEH63" s="291"/>
      <x:c r="DEI63" s="291"/>
      <x:c r="DEJ63" s="291"/>
      <x:c r="DEK63" s="291"/>
      <x:c r="DEL63" s="291"/>
      <x:c r="DEM63" s="291"/>
      <x:c r="DEN63" s="291"/>
      <x:c r="DEO63" s="291"/>
      <x:c r="DEP63" s="291"/>
      <x:c r="DEQ63" s="291"/>
      <x:c r="DER63" s="291"/>
      <x:c r="DES63" s="291"/>
      <x:c r="DET63" s="291"/>
      <x:c r="DEU63" s="291"/>
      <x:c r="DEV63" s="291"/>
      <x:c r="DEW63" s="291"/>
      <x:c r="DEX63" s="291"/>
      <x:c r="DEY63" s="291"/>
      <x:c r="DEZ63" s="291"/>
      <x:c r="DFA63" s="291"/>
      <x:c r="DFB63" s="291"/>
      <x:c r="DFC63" s="291"/>
      <x:c r="DFD63" s="291"/>
      <x:c r="DFE63" s="291"/>
      <x:c r="DFF63" s="291"/>
      <x:c r="DFG63" s="291"/>
      <x:c r="DFH63" s="291"/>
      <x:c r="DFI63" s="291"/>
      <x:c r="DFJ63" s="291"/>
      <x:c r="DFK63" s="291"/>
      <x:c r="DFL63" s="291"/>
      <x:c r="DFM63" s="291"/>
      <x:c r="DFN63" s="291"/>
      <x:c r="DFO63" s="291"/>
      <x:c r="DFP63" s="291"/>
      <x:c r="DFQ63" s="291"/>
      <x:c r="DFR63" s="291"/>
      <x:c r="DFS63" s="291"/>
      <x:c r="DFT63" s="291"/>
      <x:c r="DFU63" s="291"/>
      <x:c r="DFV63" s="291"/>
      <x:c r="DFW63" s="291"/>
      <x:c r="DFX63" s="291"/>
      <x:c r="DFY63" s="291"/>
      <x:c r="DFZ63" s="291"/>
      <x:c r="DGA63" s="291"/>
      <x:c r="DGB63" s="291"/>
      <x:c r="DGC63" s="291"/>
      <x:c r="DGD63" s="291"/>
      <x:c r="DGE63" s="291"/>
      <x:c r="DGF63" s="291"/>
      <x:c r="DGG63" s="291"/>
      <x:c r="DGH63" s="291"/>
      <x:c r="DGI63" s="291"/>
      <x:c r="DGJ63" s="291"/>
      <x:c r="DGK63" s="291"/>
      <x:c r="DGL63" s="291"/>
      <x:c r="DGM63" s="291"/>
      <x:c r="DGN63" s="291"/>
      <x:c r="DGO63" s="291"/>
      <x:c r="DGP63" s="291"/>
      <x:c r="DGQ63" s="291"/>
      <x:c r="DGR63" s="291"/>
      <x:c r="DGS63" s="291"/>
      <x:c r="DGT63" s="291"/>
      <x:c r="DGU63" s="291"/>
      <x:c r="DGV63" s="291"/>
      <x:c r="DGW63" s="291"/>
      <x:c r="DGX63" s="291"/>
      <x:c r="DGY63" s="291"/>
      <x:c r="DGZ63" s="291"/>
      <x:c r="DHA63" s="291"/>
      <x:c r="DHB63" s="291"/>
      <x:c r="DHC63" s="291"/>
      <x:c r="DHD63" s="291"/>
      <x:c r="DHE63" s="291"/>
      <x:c r="DHF63" s="291"/>
      <x:c r="DHG63" s="291"/>
      <x:c r="DHH63" s="291"/>
      <x:c r="DHI63" s="291"/>
      <x:c r="DHJ63" s="291"/>
      <x:c r="DHK63" s="291"/>
      <x:c r="DHL63" s="291"/>
      <x:c r="DHM63" s="291"/>
      <x:c r="DHN63" s="291"/>
      <x:c r="DHO63" s="291"/>
      <x:c r="DHP63" s="291"/>
      <x:c r="DHQ63" s="291"/>
      <x:c r="DHR63" s="291"/>
      <x:c r="DHS63" s="291"/>
      <x:c r="DHT63" s="291"/>
      <x:c r="DHU63" s="291"/>
      <x:c r="DHV63" s="291"/>
      <x:c r="DHW63" s="291"/>
      <x:c r="DHX63" s="291"/>
      <x:c r="DHY63" s="291"/>
      <x:c r="DHZ63" s="291"/>
      <x:c r="DIA63" s="291"/>
      <x:c r="DIB63" s="291"/>
      <x:c r="DIC63" s="291"/>
      <x:c r="DID63" s="291"/>
      <x:c r="DIE63" s="291"/>
      <x:c r="DIF63" s="291"/>
      <x:c r="DIG63" s="291"/>
      <x:c r="DIH63" s="291"/>
      <x:c r="DII63" s="291"/>
      <x:c r="DIJ63" s="291"/>
      <x:c r="DIK63" s="291"/>
      <x:c r="DIL63" s="291"/>
      <x:c r="DIM63" s="291"/>
      <x:c r="DIN63" s="291"/>
      <x:c r="DIO63" s="291"/>
      <x:c r="DIP63" s="291"/>
      <x:c r="DIQ63" s="291"/>
      <x:c r="DIR63" s="291"/>
      <x:c r="DIS63" s="291"/>
      <x:c r="DIT63" s="291"/>
      <x:c r="DIU63" s="291"/>
      <x:c r="DIV63" s="291"/>
      <x:c r="DIW63" s="291"/>
      <x:c r="DIX63" s="291"/>
      <x:c r="DIY63" s="291"/>
      <x:c r="DIZ63" s="291"/>
      <x:c r="DJA63" s="291"/>
      <x:c r="DJB63" s="291"/>
      <x:c r="DJC63" s="291"/>
      <x:c r="DJD63" s="291"/>
      <x:c r="DJE63" s="291"/>
      <x:c r="DJF63" s="291"/>
      <x:c r="DJG63" s="291"/>
      <x:c r="DJH63" s="291"/>
      <x:c r="DJI63" s="291"/>
      <x:c r="DJJ63" s="291"/>
      <x:c r="DJK63" s="291"/>
      <x:c r="DJL63" s="291"/>
      <x:c r="DJM63" s="291"/>
      <x:c r="DJN63" s="291"/>
      <x:c r="DJO63" s="291"/>
      <x:c r="DJP63" s="291"/>
      <x:c r="DJQ63" s="291"/>
      <x:c r="DJR63" s="291"/>
      <x:c r="DJS63" s="291"/>
      <x:c r="DJT63" s="291"/>
      <x:c r="DJU63" s="291"/>
      <x:c r="DJV63" s="291"/>
      <x:c r="DJW63" s="291"/>
      <x:c r="DJX63" s="291"/>
      <x:c r="DJY63" s="291"/>
      <x:c r="DJZ63" s="291"/>
      <x:c r="DKA63" s="291"/>
      <x:c r="DKB63" s="291"/>
      <x:c r="DKC63" s="291"/>
      <x:c r="DKD63" s="291"/>
      <x:c r="DKE63" s="291"/>
      <x:c r="DKF63" s="291"/>
      <x:c r="DKG63" s="291"/>
      <x:c r="DKH63" s="291"/>
      <x:c r="DKI63" s="291"/>
      <x:c r="DKJ63" s="291"/>
      <x:c r="DKK63" s="291"/>
      <x:c r="DKL63" s="291"/>
      <x:c r="DKM63" s="291"/>
      <x:c r="DKN63" s="291"/>
      <x:c r="DKO63" s="291"/>
      <x:c r="DKP63" s="291"/>
      <x:c r="DKQ63" s="291"/>
      <x:c r="DKR63" s="291"/>
      <x:c r="DKS63" s="291"/>
      <x:c r="DKT63" s="291"/>
      <x:c r="DKU63" s="291"/>
      <x:c r="DKV63" s="291"/>
      <x:c r="DKW63" s="291"/>
      <x:c r="DKX63" s="291"/>
      <x:c r="DKY63" s="291"/>
      <x:c r="DKZ63" s="291"/>
      <x:c r="DLA63" s="291"/>
      <x:c r="DLB63" s="291"/>
      <x:c r="DLC63" s="291"/>
      <x:c r="DLD63" s="291"/>
      <x:c r="DLE63" s="291"/>
      <x:c r="DLF63" s="291"/>
      <x:c r="DLG63" s="291"/>
      <x:c r="DLH63" s="291"/>
      <x:c r="DLI63" s="291"/>
      <x:c r="DLJ63" s="291"/>
      <x:c r="DLK63" s="291"/>
      <x:c r="DLL63" s="291"/>
      <x:c r="DLM63" s="291"/>
      <x:c r="DLN63" s="291"/>
      <x:c r="DLO63" s="291"/>
      <x:c r="DLP63" s="291"/>
      <x:c r="DLQ63" s="291"/>
      <x:c r="DLR63" s="291"/>
      <x:c r="DLS63" s="291"/>
      <x:c r="DLT63" s="291"/>
      <x:c r="DLU63" s="291"/>
      <x:c r="DLV63" s="291"/>
      <x:c r="DLW63" s="291"/>
      <x:c r="DLX63" s="291"/>
      <x:c r="DLY63" s="291"/>
      <x:c r="DLZ63" s="291"/>
      <x:c r="DMA63" s="291"/>
      <x:c r="DMB63" s="291"/>
      <x:c r="DMC63" s="291"/>
      <x:c r="DMD63" s="291"/>
      <x:c r="DME63" s="291"/>
      <x:c r="DMF63" s="291"/>
      <x:c r="DMG63" s="291"/>
      <x:c r="DMH63" s="291"/>
      <x:c r="DMI63" s="291"/>
      <x:c r="DMJ63" s="291"/>
      <x:c r="DMK63" s="291"/>
      <x:c r="DML63" s="291"/>
      <x:c r="DMM63" s="291"/>
      <x:c r="DMN63" s="291"/>
      <x:c r="DMO63" s="291"/>
      <x:c r="DMP63" s="291"/>
      <x:c r="DMQ63" s="291"/>
      <x:c r="DMR63" s="291"/>
      <x:c r="DMS63" s="291"/>
      <x:c r="DMT63" s="291"/>
      <x:c r="DMU63" s="291"/>
      <x:c r="DMV63" s="291"/>
      <x:c r="DMW63" s="291"/>
      <x:c r="DMX63" s="291"/>
      <x:c r="DMY63" s="291"/>
      <x:c r="DMZ63" s="291"/>
      <x:c r="DNA63" s="291"/>
      <x:c r="DNB63" s="291"/>
      <x:c r="DNC63" s="291"/>
      <x:c r="DND63" s="291"/>
      <x:c r="DNE63" s="291"/>
      <x:c r="DNF63" s="291"/>
      <x:c r="DNG63" s="291"/>
      <x:c r="DNH63" s="291"/>
      <x:c r="DNI63" s="291"/>
      <x:c r="DNJ63" s="291"/>
      <x:c r="DNK63" s="291"/>
      <x:c r="DNL63" s="291"/>
      <x:c r="DNM63" s="291"/>
      <x:c r="DNN63" s="291"/>
      <x:c r="DNO63" s="291"/>
      <x:c r="DNP63" s="291"/>
      <x:c r="DNQ63" s="291"/>
      <x:c r="DNR63" s="291"/>
      <x:c r="DNS63" s="291"/>
      <x:c r="DNT63" s="291"/>
      <x:c r="DNU63" s="291"/>
      <x:c r="DNV63" s="291"/>
      <x:c r="DNW63" s="291"/>
      <x:c r="DNX63" s="291"/>
      <x:c r="DNY63" s="291"/>
      <x:c r="DNZ63" s="291"/>
      <x:c r="DOA63" s="291"/>
      <x:c r="DOB63" s="291"/>
      <x:c r="DOC63" s="291"/>
      <x:c r="DOD63" s="291"/>
      <x:c r="DOE63" s="291"/>
      <x:c r="DOF63" s="291"/>
      <x:c r="DOG63" s="291"/>
      <x:c r="DOH63" s="291"/>
      <x:c r="DOI63" s="291"/>
      <x:c r="DOJ63" s="291"/>
      <x:c r="DOK63" s="291"/>
      <x:c r="DOL63" s="291"/>
      <x:c r="DOM63" s="291"/>
      <x:c r="DON63" s="291"/>
      <x:c r="DOO63" s="291"/>
      <x:c r="DOP63" s="291"/>
      <x:c r="DOQ63" s="291"/>
      <x:c r="DOR63" s="291"/>
      <x:c r="DOS63" s="291"/>
      <x:c r="DOT63" s="291"/>
      <x:c r="DOU63" s="291"/>
      <x:c r="DOV63" s="291"/>
      <x:c r="DOW63" s="291"/>
      <x:c r="DOX63" s="291"/>
      <x:c r="DOY63" s="291"/>
      <x:c r="DOZ63" s="291"/>
      <x:c r="DPA63" s="291"/>
      <x:c r="DPB63" s="291"/>
      <x:c r="DPC63" s="291"/>
      <x:c r="DPD63" s="291"/>
      <x:c r="DPE63" s="291"/>
      <x:c r="DPF63" s="291"/>
      <x:c r="DPG63" s="291"/>
      <x:c r="DPH63" s="291"/>
      <x:c r="DPI63" s="291"/>
      <x:c r="DPJ63" s="291"/>
      <x:c r="DPK63" s="291"/>
      <x:c r="DPL63" s="291"/>
      <x:c r="DPM63" s="291"/>
      <x:c r="DPN63" s="291"/>
      <x:c r="DPO63" s="291"/>
      <x:c r="DPP63" s="291"/>
      <x:c r="DPQ63" s="291"/>
      <x:c r="DPR63" s="291"/>
      <x:c r="DPS63" s="291"/>
      <x:c r="DPT63" s="291"/>
      <x:c r="DPU63" s="291"/>
      <x:c r="DPV63" s="291"/>
      <x:c r="DPW63" s="291"/>
      <x:c r="DPX63" s="291"/>
      <x:c r="DPY63" s="291"/>
      <x:c r="DPZ63" s="291"/>
      <x:c r="DQA63" s="291"/>
      <x:c r="DQB63" s="291"/>
      <x:c r="DQC63" s="291"/>
      <x:c r="DQD63" s="291"/>
      <x:c r="DQE63" s="291"/>
      <x:c r="DQF63" s="291"/>
      <x:c r="DQG63" s="291"/>
      <x:c r="DQH63" s="291"/>
      <x:c r="DQI63" s="291"/>
      <x:c r="DQJ63" s="291"/>
      <x:c r="DQK63" s="291"/>
      <x:c r="DQL63" s="291"/>
      <x:c r="DQM63" s="291"/>
      <x:c r="DQN63" s="291"/>
      <x:c r="DQO63" s="291"/>
      <x:c r="DQP63" s="291"/>
      <x:c r="DQQ63" s="291"/>
      <x:c r="DQR63" s="291"/>
      <x:c r="DQS63" s="291"/>
      <x:c r="DQT63" s="291"/>
      <x:c r="DQU63" s="291"/>
      <x:c r="DQV63" s="291"/>
      <x:c r="DQW63" s="291"/>
      <x:c r="DQX63" s="291"/>
      <x:c r="DQY63" s="291"/>
      <x:c r="DQZ63" s="291"/>
      <x:c r="DRA63" s="291"/>
      <x:c r="DRB63" s="291"/>
      <x:c r="DRC63" s="291"/>
      <x:c r="DRD63" s="291"/>
      <x:c r="DRE63" s="291"/>
      <x:c r="DRF63" s="291"/>
      <x:c r="DRG63" s="291"/>
      <x:c r="DRH63" s="291"/>
      <x:c r="DRI63" s="291"/>
      <x:c r="DRJ63" s="291"/>
      <x:c r="DRK63" s="291"/>
      <x:c r="DRL63" s="291"/>
      <x:c r="DRM63" s="291"/>
      <x:c r="DRN63" s="291"/>
      <x:c r="DRO63" s="291"/>
      <x:c r="DRP63" s="291"/>
      <x:c r="DRQ63" s="291"/>
      <x:c r="DRR63" s="291"/>
      <x:c r="DRS63" s="291"/>
      <x:c r="DRT63" s="291"/>
      <x:c r="DRU63" s="291"/>
      <x:c r="DRV63" s="291"/>
      <x:c r="DRW63" s="291"/>
      <x:c r="DRX63" s="291"/>
      <x:c r="DRY63" s="291"/>
      <x:c r="DRZ63" s="291"/>
      <x:c r="DSA63" s="291"/>
      <x:c r="DSB63" s="291"/>
      <x:c r="DSC63" s="291"/>
      <x:c r="DSD63" s="291"/>
      <x:c r="DSE63" s="291"/>
      <x:c r="DSF63" s="291"/>
      <x:c r="DSG63" s="291"/>
      <x:c r="DSH63" s="291"/>
      <x:c r="DSI63" s="291"/>
      <x:c r="DSJ63" s="291"/>
      <x:c r="DSK63" s="291"/>
      <x:c r="DSL63" s="291"/>
      <x:c r="DSM63" s="291"/>
      <x:c r="DSN63" s="291"/>
      <x:c r="DSO63" s="291"/>
      <x:c r="DSP63" s="291"/>
      <x:c r="DSQ63" s="291"/>
      <x:c r="DSR63" s="291"/>
      <x:c r="DSS63" s="291"/>
      <x:c r="DST63" s="291"/>
      <x:c r="DSU63" s="291"/>
      <x:c r="DSV63" s="291"/>
      <x:c r="DSW63" s="291"/>
      <x:c r="DSX63" s="291"/>
      <x:c r="DSY63" s="291"/>
      <x:c r="DSZ63" s="291"/>
      <x:c r="DTA63" s="291"/>
      <x:c r="DTB63" s="291"/>
      <x:c r="DTC63" s="291"/>
      <x:c r="DTD63" s="291"/>
      <x:c r="DTE63" s="291"/>
      <x:c r="DTF63" s="291"/>
      <x:c r="DTG63" s="291"/>
      <x:c r="DTH63" s="291"/>
      <x:c r="DTI63" s="291"/>
      <x:c r="DTJ63" s="291"/>
      <x:c r="DTK63" s="291"/>
      <x:c r="DTL63" s="291"/>
      <x:c r="DTM63" s="291"/>
      <x:c r="DTN63" s="291"/>
      <x:c r="DTO63" s="291"/>
      <x:c r="DTP63" s="291"/>
      <x:c r="DTQ63" s="291"/>
      <x:c r="DTR63" s="291"/>
      <x:c r="DTS63" s="291"/>
      <x:c r="DTT63" s="291"/>
      <x:c r="DTU63" s="291"/>
      <x:c r="DTV63" s="291"/>
      <x:c r="DTW63" s="291"/>
      <x:c r="DTX63" s="291"/>
      <x:c r="DTY63" s="291"/>
      <x:c r="DTZ63" s="291"/>
      <x:c r="DUA63" s="291"/>
      <x:c r="DUB63" s="291"/>
      <x:c r="DUC63" s="291"/>
      <x:c r="DUD63" s="291"/>
      <x:c r="DUE63" s="291"/>
      <x:c r="DUF63" s="291"/>
      <x:c r="DUG63" s="291"/>
      <x:c r="DUH63" s="291"/>
      <x:c r="DUI63" s="291"/>
      <x:c r="DUJ63" s="291"/>
      <x:c r="DUK63" s="291"/>
      <x:c r="DUL63" s="291"/>
      <x:c r="DUM63" s="291"/>
      <x:c r="DUN63" s="291"/>
      <x:c r="DUO63" s="291"/>
      <x:c r="DUP63" s="291"/>
      <x:c r="DUQ63" s="291"/>
      <x:c r="DUR63" s="291"/>
      <x:c r="DUS63" s="291"/>
      <x:c r="DUT63" s="291"/>
      <x:c r="DUU63" s="291"/>
      <x:c r="DUV63" s="291"/>
      <x:c r="DUW63" s="291"/>
      <x:c r="DUX63" s="291"/>
      <x:c r="DUY63" s="291"/>
      <x:c r="DUZ63" s="291"/>
      <x:c r="DVA63" s="291"/>
      <x:c r="DVB63" s="291"/>
      <x:c r="DVC63" s="291"/>
      <x:c r="DVD63" s="291"/>
      <x:c r="DVE63" s="291"/>
      <x:c r="DVF63" s="291"/>
      <x:c r="DVG63" s="291"/>
      <x:c r="DVH63" s="291"/>
      <x:c r="DVI63" s="291"/>
      <x:c r="DVJ63" s="291"/>
      <x:c r="DVK63" s="291"/>
      <x:c r="DVL63" s="291"/>
      <x:c r="DVM63" s="291"/>
      <x:c r="DVN63" s="291"/>
      <x:c r="DVO63" s="291"/>
      <x:c r="DVP63" s="291"/>
      <x:c r="DVQ63" s="291"/>
      <x:c r="DVR63" s="291"/>
      <x:c r="DVS63" s="291"/>
      <x:c r="DVT63" s="291"/>
      <x:c r="DVU63" s="291"/>
      <x:c r="DVV63" s="291"/>
      <x:c r="DVW63" s="291"/>
      <x:c r="DVX63" s="291"/>
      <x:c r="DVY63" s="291"/>
      <x:c r="DVZ63" s="291"/>
      <x:c r="DWA63" s="291"/>
      <x:c r="DWB63" s="291"/>
      <x:c r="DWC63" s="291"/>
      <x:c r="DWD63" s="291"/>
      <x:c r="DWE63" s="291"/>
      <x:c r="DWF63" s="291"/>
      <x:c r="DWG63" s="291"/>
      <x:c r="DWH63" s="291"/>
      <x:c r="DWI63" s="291"/>
      <x:c r="DWJ63" s="291"/>
      <x:c r="DWK63" s="291"/>
      <x:c r="DWL63" s="291"/>
      <x:c r="DWM63" s="291"/>
      <x:c r="DWN63" s="291"/>
      <x:c r="DWO63" s="291"/>
      <x:c r="DWP63" s="291"/>
      <x:c r="DWQ63" s="291"/>
      <x:c r="DWR63" s="291"/>
      <x:c r="DWS63" s="291"/>
      <x:c r="DWT63" s="291"/>
      <x:c r="DWU63" s="291"/>
      <x:c r="DWV63" s="291"/>
      <x:c r="DWW63" s="291"/>
      <x:c r="DWX63" s="291"/>
      <x:c r="DWY63" s="291"/>
      <x:c r="DWZ63" s="291"/>
      <x:c r="DXA63" s="291"/>
      <x:c r="DXB63" s="291"/>
      <x:c r="DXC63" s="291"/>
      <x:c r="DXD63" s="291"/>
      <x:c r="DXE63" s="291"/>
      <x:c r="DXF63" s="291"/>
      <x:c r="DXG63" s="291"/>
      <x:c r="DXH63" s="291"/>
      <x:c r="DXI63" s="291"/>
      <x:c r="DXJ63" s="291"/>
      <x:c r="DXK63" s="291"/>
      <x:c r="DXL63" s="291"/>
      <x:c r="DXM63" s="291"/>
      <x:c r="DXN63" s="291"/>
      <x:c r="DXO63" s="291"/>
      <x:c r="DXP63" s="291"/>
      <x:c r="DXQ63" s="291"/>
      <x:c r="DXR63" s="291"/>
      <x:c r="DXS63" s="291"/>
      <x:c r="DXT63" s="291"/>
      <x:c r="DXU63" s="291"/>
      <x:c r="DXV63" s="291"/>
      <x:c r="DXW63" s="291"/>
      <x:c r="DXX63" s="291"/>
      <x:c r="DXY63" s="291"/>
      <x:c r="DXZ63" s="291"/>
      <x:c r="DYA63" s="291"/>
      <x:c r="DYB63" s="291"/>
      <x:c r="DYC63" s="291"/>
      <x:c r="DYD63" s="291"/>
      <x:c r="DYE63" s="291"/>
      <x:c r="DYF63" s="291"/>
      <x:c r="DYG63" s="291"/>
      <x:c r="DYH63" s="291"/>
      <x:c r="DYI63" s="291"/>
      <x:c r="DYJ63" s="291"/>
      <x:c r="DYK63" s="291"/>
      <x:c r="DYL63" s="291"/>
      <x:c r="DYM63" s="291"/>
      <x:c r="DYN63" s="291"/>
      <x:c r="DYO63" s="291"/>
      <x:c r="DYP63" s="291"/>
      <x:c r="DYQ63" s="291"/>
      <x:c r="DYR63" s="291"/>
      <x:c r="DYS63" s="291"/>
      <x:c r="DYT63" s="291"/>
      <x:c r="DYU63" s="291"/>
      <x:c r="DYV63" s="291"/>
      <x:c r="DYW63" s="291"/>
      <x:c r="DYX63" s="291"/>
      <x:c r="DYY63" s="291"/>
      <x:c r="DYZ63" s="291"/>
      <x:c r="DZA63" s="291"/>
      <x:c r="DZB63" s="291"/>
      <x:c r="DZC63" s="291"/>
      <x:c r="DZD63" s="291"/>
      <x:c r="DZE63" s="291"/>
      <x:c r="DZF63" s="291"/>
      <x:c r="DZG63" s="291"/>
      <x:c r="DZH63" s="291"/>
      <x:c r="DZI63" s="291"/>
      <x:c r="DZJ63" s="291"/>
      <x:c r="DZK63" s="291"/>
      <x:c r="DZL63" s="291"/>
      <x:c r="DZM63" s="291"/>
      <x:c r="DZN63" s="291"/>
      <x:c r="DZO63" s="291"/>
      <x:c r="DZP63" s="291"/>
      <x:c r="DZQ63" s="291"/>
      <x:c r="DZR63" s="291"/>
      <x:c r="DZS63" s="291"/>
      <x:c r="DZT63" s="291"/>
      <x:c r="DZU63" s="291"/>
      <x:c r="DZV63" s="291"/>
      <x:c r="DZW63" s="291"/>
      <x:c r="DZX63" s="291"/>
      <x:c r="DZY63" s="291"/>
      <x:c r="DZZ63" s="291"/>
      <x:c r="EAA63" s="291"/>
      <x:c r="EAB63" s="291"/>
      <x:c r="EAC63" s="291"/>
      <x:c r="EAD63" s="291"/>
      <x:c r="EAE63" s="291"/>
      <x:c r="EAF63" s="291"/>
      <x:c r="EAG63" s="291"/>
      <x:c r="EAH63" s="291"/>
      <x:c r="EAI63" s="291"/>
      <x:c r="EAJ63" s="291"/>
      <x:c r="EAK63" s="291"/>
      <x:c r="EAL63" s="291"/>
      <x:c r="EAM63" s="291"/>
      <x:c r="EAN63" s="291"/>
      <x:c r="EAO63" s="291"/>
      <x:c r="EAP63" s="291"/>
      <x:c r="EAQ63" s="291"/>
      <x:c r="EAR63" s="291"/>
      <x:c r="EAS63" s="291"/>
      <x:c r="EAT63" s="291"/>
      <x:c r="EAU63" s="291"/>
      <x:c r="EAV63" s="291"/>
      <x:c r="EAW63" s="291"/>
      <x:c r="EAX63" s="291"/>
      <x:c r="EAY63" s="291"/>
      <x:c r="EAZ63" s="291"/>
      <x:c r="EBA63" s="291"/>
      <x:c r="EBB63" s="291"/>
      <x:c r="EBC63" s="291"/>
      <x:c r="EBD63" s="291"/>
      <x:c r="EBE63" s="291"/>
      <x:c r="EBF63" s="291"/>
      <x:c r="EBG63" s="291"/>
      <x:c r="EBH63" s="291"/>
      <x:c r="EBI63" s="291"/>
      <x:c r="EBJ63" s="291"/>
      <x:c r="EBK63" s="291"/>
      <x:c r="EBL63" s="291"/>
      <x:c r="EBM63" s="291"/>
      <x:c r="EBN63" s="291"/>
      <x:c r="EBO63" s="291"/>
      <x:c r="EBP63" s="291"/>
      <x:c r="EBQ63" s="291"/>
      <x:c r="EBR63" s="291"/>
      <x:c r="EBS63" s="291"/>
      <x:c r="EBT63" s="291"/>
      <x:c r="EBU63" s="291"/>
      <x:c r="EBV63" s="291"/>
      <x:c r="EBW63" s="291"/>
      <x:c r="EBX63" s="291"/>
      <x:c r="EBY63" s="291"/>
      <x:c r="EBZ63" s="291"/>
      <x:c r="ECA63" s="291"/>
      <x:c r="ECB63" s="291"/>
      <x:c r="ECC63" s="291"/>
      <x:c r="ECD63" s="291"/>
      <x:c r="ECE63" s="291"/>
      <x:c r="ECF63" s="291"/>
      <x:c r="ECG63" s="291"/>
      <x:c r="ECH63" s="291"/>
      <x:c r="ECI63" s="291"/>
      <x:c r="ECJ63" s="291"/>
      <x:c r="ECK63" s="291"/>
      <x:c r="ECL63" s="291"/>
      <x:c r="ECM63" s="291"/>
      <x:c r="ECN63" s="291"/>
      <x:c r="ECO63" s="291"/>
      <x:c r="ECP63" s="291"/>
      <x:c r="ECQ63" s="291"/>
      <x:c r="ECR63" s="291"/>
      <x:c r="ECS63" s="291"/>
      <x:c r="ECT63" s="291"/>
      <x:c r="ECU63" s="291"/>
      <x:c r="ECV63" s="291"/>
      <x:c r="ECW63" s="291"/>
      <x:c r="ECX63" s="291"/>
      <x:c r="ECY63" s="291"/>
      <x:c r="ECZ63" s="291"/>
      <x:c r="EDA63" s="291"/>
      <x:c r="EDB63" s="291"/>
      <x:c r="EDC63" s="291"/>
      <x:c r="EDD63" s="291"/>
      <x:c r="EDE63" s="291"/>
      <x:c r="EDF63" s="291"/>
      <x:c r="EDG63" s="291"/>
      <x:c r="EDH63" s="291"/>
      <x:c r="EDI63" s="291"/>
      <x:c r="EDJ63" s="291"/>
      <x:c r="EDK63" s="291"/>
      <x:c r="EDL63" s="291"/>
      <x:c r="EDM63" s="291"/>
      <x:c r="EDN63" s="291"/>
      <x:c r="EDO63" s="291"/>
      <x:c r="EDP63" s="291"/>
      <x:c r="EDQ63" s="291"/>
      <x:c r="EDR63" s="291"/>
      <x:c r="EDS63" s="291"/>
      <x:c r="EDT63" s="291"/>
      <x:c r="EDU63" s="291"/>
      <x:c r="EDV63" s="291"/>
      <x:c r="EDW63" s="291"/>
      <x:c r="EDX63" s="291"/>
      <x:c r="EDY63" s="291"/>
      <x:c r="EDZ63" s="291"/>
      <x:c r="EEA63" s="291"/>
      <x:c r="EEB63" s="291"/>
      <x:c r="EEC63" s="291"/>
      <x:c r="EED63" s="291"/>
      <x:c r="EEE63" s="291"/>
      <x:c r="EEF63" s="291"/>
      <x:c r="EEG63" s="291"/>
      <x:c r="EEH63" s="291"/>
      <x:c r="EEI63" s="291"/>
      <x:c r="EEJ63" s="291"/>
      <x:c r="EEK63" s="291"/>
      <x:c r="EEL63" s="291"/>
      <x:c r="EEM63" s="291"/>
      <x:c r="EEN63" s="291"/>
      <x:c r="EEO63" s="291"/>
      <x:c r="EEP63" s="291"/>
      <x:c r="EEQ63" s="291"/>
      <x:c r="EER63" s="291"/>
      <x:c r="EES63" s="291"/>
      <x:c r="EET63" s="291"/>
      <x:c r="EEU63" s="291"/>
      <x:c r="EEV63" s="291"/>
      <x:c r="EEW63" s="291"/>
      <x:c r="EEX63" s="291"/>
      <x:c r="EEY63" s="291"/>
      <x:c r="EEZ63" s="291"/>
      <x:c r="EFA63" s="291"/>
      <x:c r="EFB63" s="291"/>
      <x:c r="EFC63" s="291"/>
      <x:c r="EFD63" s="291"/>
      <x:c r="EFE63" s="291"/>
      <x:c r="EFF63" s="291"/>
      <x:c r="EFG63" s="291"/>
      <x:c r="EFH63" s="291"/>
      <x:c r="EFI63" s="291"/>
      <x:c r="EFJ63" s="291"/>
      <x:c r="EFK63" s="291"/>
      <x:c r="EFL63" s="291"/>
      <x:c r="EFM63" s="291"/>
      <x:c r="EFN63" s="291"/>
      <x:c r="EFO63" s="291"/>
      <x:c r="EFP63" s="291"/>
      <x:c r="EFQ63" s="291"/>
      <x:c r="EFR63" s="291"/>
      <x:c r="EFS63" s="291"/>
      <x:c r="EFT63" s="291"/>
      <x:c r="EFU63" s="291"/>
      <x:c r="EFV63" s="291"/>
      <x:c r="EFW63" s="291"/>
      <x:c r="EFX63" s="291"/>
      <x:c r="EFY63" s="291"/>
      <x:c r="EFZ63" s="291"/>
      <x:c r="EGA63" s="291"/>
      <x:c r="EGB63" s="291"/>
      <x:c r="EGC63" s="291"/>
      <x:c r="EGD63" s="291"/>
      <x:c r="EGE63" s="291"/>
      <x:c r="EGF63" s="291"/>
      <x:c r="EGG63" s="291"/>
      <x:c r="EGH63" s="291"/>
      <x:c r="EGI63" s="291"/>
      <x:c r="EGJ63" s="291"/>
      <x:c r="EGK63" s="291"/>
      <x:c r="EGL63" s="291"/>
      <x:c r="EGM63" s="291"/>
      <x:c r="EGN63" s="291"/>
      <x:c r="EGO63" s="291"/>
      <x:c r="EGP63" s="291"/>
      <x:c r="EGQ63" s="291"/>
      <x:c r="EGR63" s="291"/>
      <x:c r="EGS63" s="291"/>
      <x:c r="EGT63" s="291"/>
      <x:c r="EGU63" s="291"/>
      <x:c r="EGV63" s="291"/>
      <x:c r="EGW63" s="291"/>
      <x:c r="EGX63" s="291"/>
      <x:c r="EGY63" s="291"/>
      <x:c r="EGZ63" s="291"/>
      <x:c r="EHA63" s="291"/>
      <x:c r="EHB63" s="291"/>
      <x:c r="EHC63" s="291"/>
      <x:c r="EHD63" s="291"/>
      <x:c r="EHE63" s="291"/>
      <x:c r="EHF63" s="291"/>
      <x:c r="EHG63" s="291"/>
      <x:c r="EHH63" s="291"/>
      <x:c r="EHI63" s="291"/>
      <x:c r="EHJ63" s="291"/>
      <x:c r="EHK63" s="291"/>
      <x:c r="EHL63" s="291"/>
      <x:c r="EHM63" s="291"/>
      <x:c r="EHN63" s="291"/>
      <x:c r="EHO63" s="291"/>
      <x:c r="EHP63" s="291"/>
      <x:c r="EHQ63" s="291"/>
      <x:c r="EHR63" s="291"/>
      <x:c r="EHS63" s="291"/>
      <x:c r="EHT63" s="291"/>
      <x:c r="EHU63" s="291"/>
      <x:c r="EHV63" s="291"/>
      <x:c r="EHW63" s="291"/>
      <x:c r="EHX63" s="291"/>
      <x:c r="EHY63" s="291"/>
      <x:c r="EHZ63" s="291"/>
      <x:c r="EIA63" s="291"/>
      <x:c r="EIB63" s="291"/>
      <x:c r="EIC63" s="291"/>
      <x:c r="EID63" s="291"/>
      <x:c r="EIE63" s="291"/>
      <x:c r="EIF63" s="291"/>
      <x:c r="EIG63" s="291"/>
      <x:c r="EIH63" s="291"/>
      <x:c r="EII63" s="291"/>
      <x:c r="EIJ63" s="291"/>
      <x:c r="EIK63" s="291"/>
      <x:c r="EIL63" s="291"/>
      <x:c r="EIM63" s="291"/>
      <x:c r="EIN63" s="291"/>
      <x:c r="EIO63" s="291"/>
      <x:c r="EIP63" s="291"/>
      <x:c r="EIQ63" s="291"/>
      <x:c r="EIR63" s="291"/>
      <x:c r="EIS63" s="291"/>
      <x:c r="EIT63" s="291"/>
      <x:c r="EIU63" s="291"/>
      <x:c r="EIV63" s="291"/>
      <x:c r="EIW63" s="291"/>
      <x:c r="EIX63" s="291"/>
      <x:c r="EIY63" s="291"/>
      <x:c r="EIZ63" s="291"/>
      <x:c r="EJA63" s="291"/>
      <x:c r="EJB63" s="291"/>
      <x:c r="EJC63" s="291"/>
      <x:c r="EJD63" s="291"/>
      <x:c r="EJE63" s="291"/>
      <x:c r="EJF63" s="291"/>
      <x:c r="EJG63" s="291"/>
      <x:c r="EJH63" s="291"/>
      <x:c r="EJI63" s="291"/>
      <x:c r="EJJ63" s="291"/>
      <x:c r="EJK63" s="291"/>
      <x:c r="EJL63" s="291"/>
      <x:c r="EJM63" s="291"/>
      <x:c r="EJN63" s="291"/>
      <x:c r="EJO63" s="291"/>
      <x:c r="EJP63" s="291"/>
      <x:c r="EJQ63" s="291"/>
      <x:c r="EJR63" s="291"/>
      <x:c r="EJS63" s="291"/>
      <x:c r="EJT63" s="291"/>
      <x:c r="EJU63" s="291"/>
      <x:c r="EJV63" s="291"/>
      <x:c r="EJW63" s="291"/>
      <x:c r="EJX63" s="291"/>
      <x:c r="EJY63" s="291"/>
      <x:c r="EJZ63" s="291"/>
      <x:c r="EKA63" s="291"/>
      <x:c r="EKB63" s="291"/>
      <x:c r="EKC63" s="291"/>
      <x:c r="EKD63" s="291"/>
      <x:c r="EKE63" s="291"/>
      <x:c r="EKF63" s="291"/>
      <x:c r="EKG63" s="291"/>
      <x:c r="EKH63" s="291"/>
      <x:c r="EKI63" s="291"/>
      <x:c r="EKJ63" s="291"/>
      <x:c r="EKK63" s="291"/>
      <x:c r="EKL63" s="291"/>
      <x:c r="EKM63" s="291"/>
      <x:c r="EKN63" s="291"/>
      <x:c r="EKO63" s="291"/>
      <x:c r="EKP63" s="291"/>
      <x:c r="EKQ63" s="291"/>
      <x:c r="EKR63" s="291"/>
      <x:c r="EKS63" s="291"/>
      <x:c r="EKT63" s="291"/>
      <x:c r="EKU63" s="291"/>
      <x:c r="EKV63" s="291"/>
      <x:c r="EKW63" s="291"/>
      <x:c r="EKX63" s="291"/>
      <x:c r="EKY63" s="291"/>
      <x:c r="EKZ63" s="291"/>
      <x:c r="ELA63" s="291"/>
      <x:c r="ELB63" s="291"/>
      <x:c r="ELC63" s="291"/>
      <x:c r="ELD63" s="291"/>
      <x:c r="ELE63" s="291"/>
      <x:c r="ELF63" s="291"/>
      <x:c r="ELG63" s="291"/>
      <x:c r="ELH63" s="291"/>
      <x:c r="ELI63" s="291"/>
      <x:c r="ELJ63" s="291"/>
      <x:c r="ELK63" s="291"/>
      <x:c r="ELL63" s="291"/>
      <x:c r="ELM63" s="291"/>
      <x:c r="ELN63" s="291"/>
      <x:c r="ELO63" s="291"/>
      <x:c r="ELP63" s="291"/>
      <x:c r="ELQ63" s="291"/>
      <x:c r="ELR63" s="291"/>
      <x:c r="ELS63" s="291"/>
      <x:c r="ELT63" s="291"/>
      <x:c r="ELU63" s="291"/>
      <x:c r="ELV63" s="291"/>
      <x:c r="ELW63" s="291"/>
      <x:c r="ELX63" s="291"/>
      <x:c r="ELY63" s="291"/>
      <x:c r="ELZ63" s="291"/>
      <x:c r="EMA63" s="291"/>
      <x:c r="EMB63" s="291"/>
      <x:c r="EMC63" s="291"/>
      <x:c r="EMD63" s="291"/>
      <x:c r="EME63" s="291"/>
      <x:c r="EMF63" s="291"/>
      <x:c r="EMG63" s="291"/>
      <x:c r="EMH63" s="291"/>
      <x:c r="EMI63" s="291"/>
      <x:c r="EMJ63" s="291"/>
      <x:c r="EMK63" s="291"/>
      <x:c r="EML63" s="291"/>
      <x:c r="EMM63" s="291"/>
      <x:c r="EMN63" s="291"/>
      <x:c r="EMO63" s="291"/>
      <x:c r="EMP63" s="291"/>
      <x:c r="EMQ63" s="291"/>
      <x:c r="EMR63" s="291"/>
      <x:c r="EMS63" s="291"/>
      <x:c r="EMT63" s="291"/>
      <x:c r="EMU63" s="291"/>
      <x:c r="EMV63" s="291"/>
      <x:c r="EMW63" s="291"/>
      <x:c r="EMX63" s="291"/>
      <x:c r="EMY63" s="291"/>
      <x:c r="EMZ63" s="291"/>
      <x:c r="ENA63" s="291"/>
      <x:c r="ENB63" s="291"/>
      <x:c r="ENC63" s="291"/>
      <x:c r="END63" s="291"/>
      <x:c r="ENE63" s="291"/>
      <x:c r="ENF63" s="291"/>
      <x:c r="ENG63" s="291"/>
      <x:c r="ENH63" s="291"/>
      <x:c r="ENI63" s="291"/>
      <x:c r="ENJ63" s="291"/>
      <x:c r="ENK63" s="291"/>
      <x:c r="ENL63" s="291"/>
      <x:c r="ENM63" s="291"/>
      <x:c r="ENN63" s="291"/>
      <x:c r="ENO63" s="291"/>
      <x:c r="ENP63" s="291"/>
      <x:c r="ENQ63" s="291"/>
      <x:c r="ENR63" s="291"/>
      <x:c r="ENS63" s="291"/>
      <x:c r="ENT63" s="291"/>
      <x:c r="ENU63" s="291"/>
      <x:c r="ENV63" s="291"/>
      <x:c r="ENW63" s="291"/>
      <x:c r="ENX63" s="291"/>
      <x:c r="ENY63" s="291"/>
      <x:c r="ENZ63" s="291"/>
      <x:c r="EOA63" s="291"/>
      <x:c r="EOB63" s="291"/>
      <x:c r="EOC63" s="291"/>
      <x:c r="EOD63" s="291"/>
      <x:c r="EOE63" s="291"/>
      <x:c r="EOF63" s="291"/>
      <x:c r="EOG63" s="291"/>
      <x:c r="EOH63" s="291"/>
      <x:c r="EOI63" s="291"/>
      <x:c r="EOJ63" s="291"/>
      <x:c r="EOK63" s="291"/>
      <x:c r="EOL63" s="291"/>
      <x:c r="EOM63" s="291"/>
      <x:c r="EON63" s="291"/>
      <x:c r="EOO63" s="291"/>
      <x:c r="EOP63" s="291"/>
      <x:c r="EOQ63" s="291"/>
      <x:c r="EOR63" s="291"/>
      <x:c r="EOS63" s="291"/>
      <x:c r="EOT63" s="291"/>
      <x:c r="EOU63" s="291"/>
      <x:c r="EOV63" s="291"/>
      <x:c r="EOW63" s="291"/>
      <x:c r="EOX63" s="291"/>
      <x:c r="EOY63" s="291"/>
      <x:c r="EOZ63" s="291"/>
      <x:c r="EPA63" s="291"/>
      <x:c r="EPB63" s="291"/>
      <x:c r="EPC63" s="291"/>
      <x:c r="EPD63" s="291"/>
      <x:c r="EPE63" s="291"/>
      <x:c r="EPF63" s="291"/>
      <x:c r="EPG63" s="291"/>
      <x:c r="EPH63" s="291"/>
      <x:c r="EPI63" s="291"/>
      <x:c r="EPJ63" s="291"/>
      <x:c r="EPK63" s="291"/>
      <x:c r="EPL63" s="291"/>
      <x:c r="EPM63" s="291"/>
      <x:c r="EPN63" s="291"/>
      <x:c r="EPO63" s="291"/>
      <x:c r="EPP63" s="291"/>
      <x:c r="EPQ63" s="291"/>
      <x:c r="EPR63" s="291"/>
      <x:c r="EPS63" s="291"/>
      <x:c r="EPT63" s="291"/>
      <x:c r="EPU63" s="291"/>
      <x:c r="EPV63" s="291"/>
      <x:c r="EPW63" s="291"/>
      <x:c r="EPX63" s="291"/>
      <x:c r="EPY63" s="291"/>
      <x:c r="EPZ63" s="291"/>
      <x:c r="EQA63" s="291"/>
      <x:c r="EQB63" s="291"/>
      <x:c r="EQC63" s="291"/>
      <x:c r="EQD63" s="291"/>
      <x:c r="EQE63" s="291"/>
      <x:c r="EQF63" s="291"/>
      <x:c r="EQG63" s="291"/>
      <x:c r="EQH63" s="291"/>
      <x:c r="EQI63" s="291"/>
      <x:c r="EQJ63" s="291"/>
      <x:c r="EQK63" s="291"/>
      <x:c r="EQL63" s="291"/>
      <x:c r="EQM63" s="291"/>
      <x:c r="EQN63" s="291"/>
      <x:c r="EQO63" s="291"/>
      <x:c r="EQP63" s="291"/>
      <x:c r="EQQ63" s="291"/>
      <x:c r="EQR63" s="291"/>
      <x:c r="EQS63" s="291"/>
      <x:c r="EQT63" s="291"/>
      <x:c r="EQU63" s="291"/>
      <x:c r="EQV63" s="291"/>
      <x:c r="EQW63" s="291"/>
      <x:c r="EQX63" s="291"/>
      <x:c r="EQY63" s="291"/>
      <x:c r="EQZ63" s="291"/>
      <x:c r="ERA63" s="291"/>
      <x:c r="ERB63" s="291"/>
      <x:c r="ERC63" s="291"/>
      <x:c r="ERD63" s="291"/>
      <x:c r="ERE63" s="291"/>
      <x:c r="ERF63" s="291"/>
      <x:c r="ERG63" s="291"/>
      <x:c r="ERH63" s="291"/>
      <x:c r="ERI63" s="291"/>
      <x:c r="ERJ63" s="291"/>
      <x:c r="ERK63" s="291"/>
      <x:c r="ERL63" s="291"/>
      <x:c r="ERM63" s="291"/>
      <x:c r="ERN63" s="291"/>
      <x:c r="ERO63" s="291"/>
      <x:c r="ERP63" s="291"/>
      <x:c r="ERQ63" s="291"/>
      <x:c r="ERR63" s="291"/>
      <x:c r="ERS63" s="291"/>
      <x:c r="ERT63" s="291"/>
      <x:c r="ERU63" s="291"/>
      <x:c r="ERV63" s="291"/>
      <x:c r="ERW63" s="291"/>
      <x:c r="ERX63" s="291"/>
      <x:c r="ERY63" s="291"/>
      <x:c r="ERZ63" s="291"/>
      <x:c r="ESA63" s="291"/>
      <x:c r="ESB63" s="291"/>
      <x:c r="ESC63" s="291"/>
      <x:c r="ESD63" s="291"/>
      <x:c r="ESE63" s="291"/>
      <x:c r="ESF63" s="291"/>
      <x:c r="ESG63" s="291"/>
      <x:c r="ESH63" s="291"/>
      <x:c r="ESI63" s="291"/>
      <x:c r="ESJ63" s="291"/>
      <x:c r="ESK63" s="291"/>
      <x:c r="ESL63" s="291"/>
      <x:c r="ESM63" s="291"/>
      <x:c r="ESN63" s="291"/>
      <x:c r="ESO63" s="291"/>
      <x:c r="ESP63" s="291"/>
      <x:c r="ESQ63" s="291"/>
      <x:c r="ESR63" s="291"/>
      <x:c r="ESS63" s="291"/>
      <x:c r="EST63" s="291"/>
      <x:c r="ESU63" s="291"/>
      <x:c r="ESV63" s="291"/>
      <x:c r="ESW63" s="291"/>
      <x:c r="ESX63" s="291"/>
      <x:c r="ESY63" s="291"/>
      <x:c r="ESZ63" s="291"/>
      <x:c r="ETA63" s="291"/>
      <x:c r="ETB63" s="291"/>
      <x:c r="ETC63" s="291"/>
      <x:c r="ETD63" s="291"/>
      <x:c r="ETE63" s="291"/>
      <x:c r="ETF63" s="291"/>
      <x:c r="ETG63" s="291"/>
      <x:c r="ETH63" s="291"/>
      <x:c r="ETI63" s="291"/>
      <x:c r="ETJ63" s="291"/>
      <x:c r="ETK63" s="291"/>
      <x:c r="ETL63" s="291"/>
      <x:c r="ETM63" s="291"/>
      <x:c r="ETN63" s="291"/>
      <x:c r="ETO63" s="291"/>
      <x:c r="ETP63" s="291"/>
      <x:c r="ETQ63" s="291"/>
      <x:c r="ETR63" s="291"/>
      <x:c r="ETS63" s="291"/>
      <x:c r="ETT63" s="291"/>
      <x:c r="ETU63" s="291"/>
      <x:c r="ETV63" s="291"/>
      <x:c r="ETW63" s="291"/>
      <x:c r="ETX63" s="291"/>
      <x:c r="ETY63" s="291"/>
      <x:c r="ETZ63" s="291"/>
      <x:c r="EUA63" s="291"/>
      <x:c r="EUB63" s="291"/>
      <x:c r="EUC63" s="291"/>
      <x:c r="EUD63" s="291"/>
      <x:c r="EUE63" s="291"/>
      <x:c r="EUF63" s="291"/>
      <x:c r="EUG63" s="291"/>
      <x:c r="EUH63" s="291"/>
      <x:c r="EUI63" s="291"/>
      <x:c r="EUJ63" s="291"/>
      <x:c r="EUK63" s="291"/>
      <x:c r="EUL63" s="291"/>
      <x:c r="EUM63" s="291"/>
      <x:c r="EUN63" s="291"/>
      <x:c r="EUO63" s="291"/>
      <x:c r="EUP63" s="291"/>
      <x:c r="EUQ63" s="291"/>
      <x:c r="EUR63" s="291"/>
      <x:c r="EUS63" s="291"/>
      <x:c r="EUT63" s="291"/>
      <x:c r="EUU63" s="291"/>
      <x:c r="EUV63" s="291"/>
      <x:c r="EUW63" s="291"/>
      <x:c r="EUX63" s="291"/>
      <x:c r="EUY63" s="291"/>
      <x:c r="EUZ63" s="291"/>
      <x:c r="EVA63" s="291"/>
      <x:c r="EVB63" s="291"/>
      <x:c r="EVC63" s="291"/>
      <x:c r="EVD63" s="291"/>
      <x:c r="EVE63" s="291"/>
      <x:c r="EVF63" s="291"/>
      <x:c r="EVG63" s="291"/>
      <x:c r="EVH63" s="291"/>
      <x:c r="EVI63" s="291"/>
      <x:c r="EVJ63" s="291"/>
      <x:c r="EVK63" s="291"/>
      <x:c r="EVL63" s="291"/>
      <x:c r="EVM63" s="291"/>
      <x:c r="EVN63" s="291"/>
      <x:c r="EVO63" s="291"/>
      <x:c r="EVP63" s="291"/>
      <x:c r="EVQ63" s="291"/>
      <x:c r="EVR63" s="291"/>
      <x:c r="EVS63" s="291"/>
      <x:c r="EVT63" s="291"/>
      <x:c r="EVU63" s="291"/>
      <x:c r="EVV63" s="291"/>
      <x:c r="EVW63" s="291"/>
      <x:c r="EVX63" s="291"/>
      <x:c r="EVY63" s="291"/>
      <x:c r="EVZ63" s="291"/>
      <x:c r="EWA63" s="291"/>
      <x:c r="EWB63" s="291"/>
      <x:c r="EWC63" s="291"/>
      <x:c r="EWD63" s="291"/>
      <x:c r="EWE63" s="291"/>
      <x:c r="EWF63" s="291"/>
      <x:c r="EWG63" s="291"/>
      <x:c r="EWH63" s="291"/>
      <x:c r="EWI63" s="291"/>
      <x:c r="EWJ63" s="291"/>
      <x:c r="EWK63" s="291"/>
      <x:c r="EWL63" s="291"/>
      <x:c r="EWM63" s="291"/>
      <x:c r="EWN63" s="291"/>
      <x:c r="EWO63" s="291"/>
      <x:c r="EWP63" s="291"/>
      <x:c r="EWQ63" s="291"/>
      <x:c r="EWR63" s="291"/>
      <x:c r="EWS63" s="291"/>
      <x:c r="EWT63" s="291"/>
      <x:c r="EWU63" s="291"/>
      <x:c r="EWV63" s="291"/>
      <x:c r="EWW63" s="291"/>
      <x:c r="EWX63" s="291"/>
      <x:c r="EWY63" s="291"/>
      <x:c r="EWZ63" s="291"/>
      <x:c r="EXA63" s="291"/>
      <x:c r="EXB63" s="291"/>
      <x:c r="EXC63" s="291"/>
      <x:c r="EXD63" s="291"/>
      <x:c r="EXE63" s="291"/>
      <x:c r="EXF63" s="291"/>
      <x:c r="EXG63" s="291"/>
      <x:c r="EXH63" s="291"/>
      <x:c r="EXI63" s="291"/>
      <x:c r="EXJ63" s="291"/>
      <x:c r="EXK63" s="291"/>
      <x:c r="EXL63" s="291"/>
      <x:c r="EXM63" s="291"/>
      <x:c r="EXN63" s="291"/>
      <x:c r="EXO63" s="291"/>
      <x:c r="EXP63" s="291"/>
      <x:c r="EXQ63" s="291"/>
      <x:c r="EXR63" s="291"/>
      <x:c r="EXS63" s="291"/>
      <x:c r="EXT63" s="291"/>
      <x:c r="EXU63" s="291"/>
      <x:c r="EXV63" s="291"/>
      <x:c r="EXW63" s="291"/>
      <x:c r="EXX63" s="291"/>
      <x:c r="EXY63" s="291"/>
      <x:c r="EXZ63" s="291"/>
      <x:c r="EYA63" s="291"/>
      <x:c r="EYB63" s="291"/>
      <x:c r="EYC63" s="291"/>
      <x:c r="EYD63" s="291"/>
      <x:c r="EYE63" s="291"/>
      <x:c r="EYF63" s="291"/>
      <x:c r="EYG63" s="291"/>
      <x:c r="EYH63" s="291"/>
      <x:c r="EYI63" s="291"/>
      <x:c r="EYJ63" s="291"/>
      <x:c r="EYK63" s="291"/>
      <x:c r="EYL63" s="291"/>
      <x:c r="EYM63" s="291"/>
      <x:c r="EYN63" s="291"/>
      <x:c r="EYO63" s="291"/>
      <x:c r="EYP63" s="291"/>
      <x:c r="EYQ63" s="291"/>
      <x:c r="EYR63" s="291"/>
      <x:c r="EYS63" s="291"/>
      <x:c r="EYT63" s="291"/>
      <x:c r="EYU63" s="291"/>
      <x:c r="EYV63" s="291"/>
      <x:c r="EYW63" s="291"/>
      <x:c r="EYX63" s="291"/>
      <x:c r="EYY63" s="291"/>
      <x:c r="EYZ63" s="291"/>
      <x:c r="EZA63" s="291"/>
      <x:c r="EZB63" s="291"/>
      <x:c r="EZC63" s="291"/>
      <x:c r="EZD63" s="291"/>
      <x:c r="EZE63" s="291"/>
      <x:c r="EZF63" s="291"/>
      <x:c r="EZG63" s="291"/>
      <x:c r="EZH63" s="291"/>
      <x:c r="EZI63" s="291"/>
      <x:c r="EZJ63" s="291"/>
      <x:c r="EZK63" s="291"/>
      <x:c r="EZL63" s="291"/>
      <x:c r="EZM63" s="291"/>
      <x:c r="EZN63" s="291"/>
      <x:c r="EZO63" s="291"/>
      <x:c r="EZP63" s="291"/>
      <x:c r="EZQ63" s="291"/>
      <x:c r="EZR63" s="291"/>
      <x:c r="EZS63" s="291"/>
      <x:c r="EZT63" s="291"/>
      <x:c r="EZU63" s="291"/>
      <x:c r="EZV63" s="291"/>
      <x:c r="EZW63" s="291"/>
      <x:c r="EZX63" s="291"/>
      <x:c r="EZY63" s="291"/>
      <x:c r="EZZ63" s="291"/>
      <x:c r="FAA63" s="291"/>
      <x:c r="FAB63" s="291"/>
      <x:c r="FAC63" s="291"/>
      <x:c r="FAD63" s="291"/>
      <x:c r="FAE63" s="291"/>
      <x:c r="FAF63" s="291"/>
      <x:c r="FAG63" s="291"/>
      <x:c r="FAH63" s="291"/>
      <x:c r="FAI63" s="291"/>
      <x:c r="FAJ63" s="291"/>
      <x:c r="FAK63" s="291"/>
      <x:c r="FAL63" s="291"/>
      <x:c r="FAM63" s="291"/>
      <x:c r="FAN63" s="291"/>
      <x:c r="FAO63" s="291"/>
      <x:c r="FAP63" s="291"/>
      <x:c r="FAQ63" s="291"/>
      <x:c r="FAR63" s="291"/>
      <x:c r="FAS63" s="291"/>
      <x:c r="FAT63" s="291"/>
      <x:c r="FAU63" s="291"/>
      <x:c r="FAV63" s="291"/>
      <x:c r="FAW63" s="291"/>
      <x:c r="FAX63" s="291"/>
      <x:c r="FAY63" s="291"/>
      <x:c r="FAZ63" s="291"/>
      <x:c r="FBA63" s="291"/>
      <x:c r="FBB63" s="291"/>
      <x:c r="FBC63" s="291"/>
      <x:c r="FBD63" s="291"/>
      <x:c r="FBE63" s="291"/>
      <x:c r="FBF63" s="291"/>
      <x:c r="FBG63" s="291"/>
      <x:c r="FBH63" s="291"/>
      <x:c r="FBI63" s="291"/>
      <x:c r="FBJ63" s="291"/>
      <x:c r="FBK63" s="291"/>
      <x:c r="FBL63" s="291"/>
      <x:c r="FBM63" s="291"/>
      <x:c r="FBN63" s="291"/>
      <x:c r="FBO63" s="291"/>
      <x:c r="FBP63" s="291"/>
      <x:c r="FBQ63" s="291"/>
      <x:c r="FBR63" s="291"/>
      <x:c r="FBS63" s="291"/>
      <x:c r="FBT63" s="291"/>
      <x:c r="FBU63" s="291"/>
      <x:c r="FBV63" s="291"/>
      <x:c r="FBW63" s="291"/>
      <x:c r="FBX63" s="291"/>
      <x:c r="FBY63" s="291"/>
      <x:c r="FBZ63" s="291"/>
      <x:c r="FCA63" s="291"/>
      <x:c r="FCB63" s="291"/>
      <x:c r="FCC63" s="291"/>
      <x:c r="FCD63" s="291"/>
      <x:c r="FCE63" s="291"/>
      <x:c r="FCF63" s="291"/>
      <x:c r="FCG63" s="291"/>
      <x:c r="FCH63" s="291"/>
      <x:c r="FCI63" s="291"/>
      <x:c r="FCJ63" s="291"/>
      <x:c r="FCK63" s="291"/>
      <x:c r="FCL63" s="291"/>
      <x:c r="FCM63" s="291"/>
      <x:c r="FCN63" s="291"/>
      <x:c r="FCO63" s="291"/>
      <x:c r="FCP63" s="291"/>
      <x:c r="FCQ63" s="291"/>
      <x:c r="FCR63" s="291"/>
      <x:c r="FCS63" s="291"/>
      <x:c r="FCT63" s="291"/>
      <x:c r="FCU63" s="291"/>
      <x:c r="FCV63" s="291"/>
      <x:c r="FCW63" s="291"/>
      <x:c r="FCX63" s="291"/>
      <x:c r="FCY63" s="291"/>
      <x:c r="FCZ63" s="291"/>
      <x:c r="FDA63" s="291"/>
      <x:c r="FDB63" s="291"/>
      <x:c r="FDC63" s="291"/>
      <x:c r="FDD63" s="291"/>
      <x:c r="FDE63" s="291"/>
      <x:c r="FDF63" s="291"/>
      <x:c r="FDG63" s="291"/>
      <x:c r="FDH63" s="291"/>
      <x:c r="FDI63" s="291"/>
      <x:c r="FDJ63" s="291"/>
      <x:c r="FDK63" s="291"/>
      <x:c r="FDL63" s="291"/>
      <x:c r="FDM63" s="291"/>
      <x:c r="FDN63" s="291"/>
      <x:c r="FDO63" s="291"/>
      <x:c r="FDP63" s="291"/>
      <x:c r="FDQ63" s="291"/>
      <x:c r="FDR63" s="291"/>
      <x:c r="FDS63" s="291"/>
      <x:c r="FDT63" s="291"/>
      <x:c r="FDU63" s="291"/>
      <x:c r="FDV63" s="291"/>
      <x:c r="FDW63" s="291"/>
      <x:c r="FDX63" s="291"/>
      <x:c r="FDY63" s="291"/>
      <x:c r="FDZ63" s="291"/>
      <x:c r="FEA63" s="291"/>
      <x:c r="FEB63" s="291"/>
      <x:c r="FEC63" s="291"/>
      <x:c r="FED63" s="291"/>
      <x:c r="FEE63" s="291"/>
      <x:c r="FEF63" s="291"/>
      <x:c r="FEG63" s="291"/>
      <x:c r="FEH63" s="291"/>
      <x:c r="FEI63" s="291"/>
      <x:c r="FEJ63" s="291"/>
      <x:c r="FEK63" s="291"/>
      <x:c r="FEL63" s="291"/>
      <x:c r="FEM63" s="291"/>
      <x:c r="FEN63" s="291"/>
      <x:c r="FEO63" s="291"/>
      <x:c r="FEP63" s="291"/>
      <x:c r="FEQ63" s="291"/>
      <x:c r="FER63" s="291"/>
      <x:c r="FES63" s="291"/>
      <x:c r="FET63" s="291"/>
      <x:c r="FEU63" s="291"/>
      <x:c r="FEV63" s="291"/>
      <x:c r="FEW63" s="291"/>
      <x:c r="FEX63" s="291"/>
      <x:c r="FEY63" s="291"/>
      <x:c r="FEZ63" s="291"/>
      <x:c r="FFA63" s="291"/>
      <x:c r="FFB63" s="291"/>
      <x:c r="FFC63" s="291"/>
      <x:c r="FFD63" s="291"/>
      <x:c r="FFE63" s="291"/>
      <x:c r="FFF63" s="291"/>
      <x:c r="FFG63" s="291"/>
      <x:c r="FFH63" s="291"/>
      <x:c r="FFI63" s="291"/>
      <x:c r="FFJ63" s="291"/>
      <x:c r="FFK63" s="291"/>
      <x:c r="FFL63" s="291"/>
      <x:c r="FFM63" s="291"/>
      <x:c r="FFN63" s="291"/>
      <x:c r="FFO63" s="291"/>
      <x:c r="FFP63" s="291"/>
      <x:c r="FFQ63" s="291"/>
      <x:c r="FFR63" s="291"/>
      <x:c r="FFS63" s="291"/>
      <x:c r="FFT63" s="291"/>
      <x:c r="FFU63" s="291"/>
      <x:c r="FFV63" s="291"/>
      <x:c r="FFW63" s="291"/>
      <x:c r="FFX63" s="291"/>
      <x:c r="FFY63" s="291"/>
      <x:c r="FFZ63" s="291"/>
      <x:c r="FGA63" s="291"/>
      <x:c r="FGB63" s="291"/>
      <x:c r="FGC63" s="291"/>
      <x:c r="FGD63" s="291"/>
      <x:c r="FGE63" s="291"/>
      <x:c r="FGF63" s="291"/>
      <x:c r="FGG63" s="291"/>
      <x:c r="FGH63" s="291"/>
      <x:c r="FGI63" s="291"/>
      <x:c r="FGJ63" s="291"/>
      <x:c r="FGK63" s="291"/>
      <x:c r="FGL63" s="291"/>
      <x:c r="FGM63" s="291"/>
      <x:c r="FGN63" s="291"/>
      <x:c r="FGO63" s="291"/>
      <x:c r="FGP63" s="291"/>
      <x:c r="FGQ63" s="291"/>
      <x:c r="FGR63" s="291"/>
      <x:c r="FGS63" s="291"/>
      <x:c r="FGT63" s="291"/>
      <x:c r="FGU63" s="291"/>
      <x:c r="FGV63" s="291"/>
      <x:c r="FGW63" s="291"/>
      <x:c r="FGX63" s="291"/>
      <x:c r="FGY63" s="291"/>
      <x:c r="FGZ63" s="291"/>
      <x:c r="FHA63" s="291"/>
      <x:c r="FHB63" s="291"/>
      <x:c r="FHC63" s="291"/>
      <x:c r="FHD63" s="291"/>
      <x:c r="FHE63" s="291"/>
      <x:c r="FHF63" s="291"/>
      <x:c r="FHG63" s="291"/>
      <x:c r="FHH63" s="291"/>
      <x:c r="FHI63" s="291"/>
      <x:c r="FHJ63" s="291"/>
      <x:c r="FHK63" s="291"/>
      <x:c r="FHL63" s="291"/>
      <x:c r="FHM63" s="291"/>
      <x:c r="FHN63" s="291"/>
      <x:c r="FHO63" s="291"/>
      <x:c r="FHP63" s="291"/>
      <x:c r="FHQ63" s="291"/>
      <x:c r="FHR63" s="291"/>
      <x:c r="FHS63" s="291"/>
      <x:c r="FHT63" s="291"/>
      <x:c r="FHU63" s="291"/>
      <x:c r="FHV63" s="291"/>
      <x:c r="FHW63" s="291"/>
      <x:c r="FHX63" s="291"/>
      <x:c r="FHY63" s="291"/>
      <x:c r="FHZ63" s="291"/>
      <x:c r="FIA63" s="291"/>
      <x:c r="FIB63" s="291"/>
      <x:c r="FIC63" s="291"/>
      <x:c r="FID63" s="291"/>
      <x:c r="FIE63" s="291"/>
      <x:c r="FIF63" s="291"/>
      <x:c r="FIG63" s="291"/>
      <x:c r="FIH63" s="291"/>
      <x:c r="FII63" s="291"/>
      <x:c r="FIJ63" s="291"/>
      <x:c r="FIK63" s="291"/>
      <x:c r="FIL63" s="291"/>
      <x:c r="FIM63" s="291"/>
      <x:c r="FIN63" s="291"/>
      <x:c r="FIO63" s="291"/>
      <x:c r="FIP63" s="291"/>
      <x:c r="FIQ63" s="291"/>
      <x:c r="FIR63" s="291"/>
      <x:c r="FIS63" s="291"/>
      <x:c r="FIT63" s="291"/>
      <x:c r="FIU63" s="291"/>
      <x:c r="FIV63" s="291"/>
      <x:c r="FIW63" s="291"/>
      <x:c r="FIX63" s="291"/>
      <x:c r="FIY63" s="291"/>
      <x:c r="FIZ63" s="291"/>
      <x:c r="FJA63" s="291"/>
      <x:c r="FJB63" s="291"/>
      <x:c r="FJC63" s="291"/>
      <x:c r="FJD63" s="291"/>
      <x:c r="FJE63" s="291"/>
      <x:c r="FJF63" s="291"/>
      <x:c r="FJG63" s="291"/>
      <x:c r="FJH63" s="291"/>
      <x:c r="FJI63" s="291"/>
      <x:c r="FJJ63" s="291"/>
      <x:c r="FJK63" s="291"/>
      <x:c r="FJL63" s="291"/>
      <x:c r="FJM63" s="291"/>
      <x:c r="FJN63" s="291"/>
      <x:c r="FJO63" s="291"/>
      <x:c r="FJP63" s="291"/>
      <x:c r="FJQ63" s="291"/>
      <x:c r="FJR63" s="291"/>
      <x:c r="FJS63" s="291"/>
      <x:c r="FJT63" s="291"/>
      <x:c r="FJU63" s="291"/>
      <x:c r="FJV63" s="291"/>
      <x:c r="FJW63" s="291"/>
      <x:c r="FJX63" s="291"/>
      <x:c r="FJY63" s="291"/>
      <x:c r="FJZ63" s="291"/>
      <x:c r="FKA63" s="291"/>
      <x:c r="FKB63" s="291"/>
      <x:c r="FKC63" s="291"/>
      <x:c r="FKD63" s="291"/>
      <x:c r="FKE63" s="291"/>
      <x:c r="FKF63" s="291"/>
      <x:c r="FKG63" s="291"/>
      <x:c r="FKH63" s="291"/>
      <x:c r="FKI63" s="291"/>
      <x:c r="FKJ63" s="291"/>
      <x:c r="FKK63" s="291"/>
      <x:c r="FKL63" s="291"/>
      <x:c r="FKM63" s="291"/>
      <x:c r="FKN63" s="291"/>
      <x:c r="FKO63" s="291"/>
      <x:c r="FKP63" s="291"/>
      <x:c r="FKQ63" s="291"/>
      <x:c r="FKR63" s="291"/>
      <x:c r="FKS63" s="291"/>
      <x:c r="FKT63" s="291"/>
      <x:c r="FKU63" s="291"/>
      <x:c r="FKV63" s="291"/>
      <x:c r="FKW63" s="291"/>
      <x:c r="FKX63" s="291"/>
      <x:c r="FKY63" s="291"/>
      <x:c r="FKZ63" s="291"/>
      <x:c r="FLA63" s="291"/>
      <x:c r="FLB63" s="291"/>
      <x:c r="FLC63" s="291"/>
      <x:c r="FLD63" s="291"/>
      <x:c r="FLE63" s="291"/>
      <x:c r="FLF63" s="291"/>
      <x:c r="FLG63" s="291"/>
      <x:c r="FLH63" s="291"/>
      <x:c r="FLI63" s="291"/>
      <x:c r="FLJ63" s="291"/>
      <x:c r="FLK63" s="291"/>
      <x:c r="FLL63" s="291"/>
      <x:c r="FLM63" s="291"/>
      <x:c r="FLN63" s="291"/>
      <x:c r="FLO63" s="291"/>
      <x:c r="FLP63" s="291"/>
      <x:c r="FLQ63" s="291"/>
      <x:c r="FLR63" s="291"/>
      <x:c r="FLS63" s="291"/>
      <x:c r="FLT63" s="291"/>
      <x:c r="FLU63" s="291"/>
      <x:c r="FLV63" s="291"/>
      <x:c r="FLW63" s="291"/>
      <x:c r="FLX63" s="291"/>
      <x:c r="FLY63" s="291"/>
      <x:c r="FLZ63" s="291"/>
      <x:c r="FMA63" s="291"/>
      <x:c r="FMB63" s="291"/>
      <x:c r="FMC63" s="291"/>
      <x:c r="FMD63" s="291"/>
      <x:c r="FME63" s="291"/>
      <x:c r="FMF63" s="291"/>
      <x:c r="FMG63" s="291"/>
      <x:c r="FMH63" s="291"/>
      <x:c r="FMI63" s="291"/>
      <x:c r="FMJ63" s="291"/>
      <x:c r="FMK63" s="291"/>
      <x:c r="FML63" s="291"/>
      <x:c r="FMM63" s="291"/>
      <x:c r="FMN63" s="291"/>
      <x:c r="FMO63" s="291"/>
      <x:c r="FMP63" s="291"/>
      <x:c r="FMQ63" s="291"/>
      <x:c r="FMR63" s="291"/>
      <x:c r="FMS63" s="291"/>
      <x:c r="FMT63" s="291"/>
      <x:c r="FMU63" s="291"/>
      <x:c r="FMV63" s="291"/>
      <x:c r="FMW63" s="291"/>
      <x:c r="FMX63" s="291"/>
      <x:c r="FMY63" s="291"/>
      <x:c r="FMZ63" s="291"/>
      <x:c r="FNA63" s="291"/>
      <x:c r="FNB63" s="291"/>
      <x:c r="FNC63" s="291"/>
      <x:c r="FND63" s="291"/>
      <x:c r="FNE63" s="291"/>
      <x:c r="FNF63" s="291"/>
      <x:c r="FNG63" s="291"/>
      <x:c r="FNH63" s="291"/>
      <x:c r="FNI63" s="291"/>
      <x:c r="FNJ63" s="291"/>
      <x:c r="FNK63" s="291"/>
      <x:c r="FNL63" s="291"/>
      <x:c r="FNM63" s="291"/>
      <x:c r="FNN63" s="291"/>
      <x:c r="FNO63" s="291"/>
      <x:c r="FNP63" s="291"/>
      <x:c r="FNQ63" s="291"/>
      <x:c r="FNR63" s="291"/>
      <x:c r="FNS63" s="291"/>
      <x:c r="FNT63" s="291"/>
      <x:c r="FNU63" s="291"/>
      <x:c r="FNV63" s="291"/>
      <x:c r="FNW63" s="291"/>
      <x:c r="FNX63" s="291"/>
      <x:c r="FNY63" s="291"/>
      <x:c r="FNZ63" s="291"/>
      <x:c r="FOA63" s="291"/>
      <x:c r="FOB63" s="291"/>
      <x:c r="FOC63" s="291"/>
      <x:c r="FOD63" s="291"/>
      <x:c r="FOE63" s="291"/>
      <x:c r="FOF63" s="291"/>
      <x:c r="FOG63" s="291"/>
      <x:c r="FOH63" s="291"/>
      <x:c r="FOI63" s="291"/>
      <x:c r="FOJ63" s="291"/>
      <x:c r="FOK63" s="291"/>
      <x:c r="FOL63" s="291"/>
      <x:c r="FOM63" s="291"/>
      <x:c r="FON63" s="291"/>
      <x:c r="FOO63" s="291"/>
      <x:c r="FOP63" s="291"/>
      <x:c r="FOQ63" s="291"/>
      <x:c r="FOR63" s="291"/>
      <x:c r="FOS63" s="291"/>
      <x:c r="FOT63" s="291"/>
      <x:c r="FOU63" s="291"/>
      <x:c r="FOV63" s="291"/>
      <x:c r="FOW63" s="291"/>
      <x:c r="FOX63" s="291"/>
      <x:c r="FOY63" s="291"/>
      <x:c r="FOZ63" s="291"/>
      <x:c r="FPA63" s="291"/>
      <x:c r="FPB63" s="291"/>
      <x:c r="FPC63" s="291"/>
      <x:c r="FPD63" s="291"/>
      <x:c r="FPE63" s="291"/>
      <x:c r="FPF63" s="291"/>
      <x:c r="FPG63" s="291"/>
      <x:c r="FPH63" s="291"/>
      <x:c r="FPI63" s="291"/>
      <x:c r="FPJ63" s="291"/>
      <x:c r="FPK63" s="291"/>
      <x:c r="FPL63" s="291"/>
      <x:c r="FPM63" s="291"/>
      <x:c r="FPN63" s="291"/>
      <x:c r="FPO63" s="291"/>
      <x:c r="FPP63" s="291"/>
      <x:c r="FPQ63" s="291"/>
      <x:c r="FPR63" s="291"/>
      <x:c r="FPS63" s="291"/>
      <x:c r="FPT63" s="291"/>
      <x:c r="FPU63" s="291"/>
      <x:c r="FPV63" s="291"/>
      <x:c r="FPW63" s="291"/>
      <x:c r="FPX63" s="291"/>
      <x:c r="FPY63" s="291"/>
      <x:c r="FPZ63" s="291"/>
      <x:c r="FQA63" s="291"/>
      <x:c r="FQB63" s="291"/>
      <x:c r="FQC63" s="291"/>
      <x:c r="FQD63" s="291"/>
      <x:c r="FQE63" s="291"/>
      <x:c r="FQF63" s="291"/>
      <x:c r="FQG63" s="291"/>
      <x:c r="FQH63" s="291"/>
      <x:c r="FQI63" s="291"/>
      <x:c r="FQJ63" s="291"/>
      <x:c r="FQK63" s="291"/>
      <x:c r="FQL63" s="291"/>
      <x:c r="FQM63" s="291"/>
      <x:c r="FQN63" s="291"/>
      <x:c r="FQO63" s="291"/>
      <x:c r="FQP63" s="291"/>
      <x:c r="FQQ63" s="291"/>
      <x:c r="FQR63" s="291"/>
      <x:c r="FQS63" s="291"/>
      <x:c r="FQT63" s="291"/>
      <x:c r="FQU63" s="291"/>
      <x:c r="FQV63" s="291"/>
      <x:c r="FQW63" s="291"/>
      <x:c r="FQX63" s="291"/>
      <x:c r="FQY63" s="291"/>
      <x:c r="FQZ63" s="291"/>
      <x:c r="FRA63" s="291"/>
      <x:c r="FRB63" s="291"/>
      <x:c r="FRC63" s="291"/>
      <x:c r="FRD63" s="291"/>
      <x:c r="FRE63" s="291"/>
      <x:c r="FRF63" s="291"/>
      <x:c r="FRG63" s="291"/>
      <x:c r="FRH63" s="291"/>
      <x:c r="FRI63" s="291"/>
      <x:c r="FRJ63" s="291"/>
      <x:c r="FRK63" s="291"/>
      <x:c r="FRL63" s="291"/>
      <x:c r="FRM63" s="291"/>
      <x:c r="FRN63" s="291"/>
      <x:c r="FRO63" s="291"/>
      <x:c r="FRP63" s="291"/>
      <x:c r="FRQ63" s="291"/>
      <x:c r="FRR63" s="291"/>
      <x:c r="FRS63" s="291"/>
      <x:c r="FRT63" s="291"/>
      <x:c r="FRU63" s="291"/>
      <x:c r="FRV63" s="291"/>
      <x:c r="FRW63" s="291"/>
      <x:c r="FRX63" s="291"/>
      <x:c r="FRY63" s="291"/>
      <x:c r="FRZ63" s="291"/>
      <x:c r="FSA63" s="291"/>
      <x:c r="FSB63" s="291"/>
      <x:c r="FSC63" s="291"/>
      <x:c r="FSD63" s="291"/>
      <x:c r="FSE63" s="291"/>
      <x:c r="FSF63" s="291"/>
      <x:c r="FSG63" s="291"/>
      <x:c r="FSH63" s="291"/>
      <x:c r="FSI63" s="291"/>
      <x:c r="FSJ63" s="291"/>
      <x:c r="FSK63" s="291"/>
      <x:c r="FSL63" s="291"/>
      <x:c r="FSM63" s="291"/>
      <x:c r="FSN63" s="291"/>
      <x:c r="FSO63" s="291"/>
      <x:c r="FSP63" s="291"/>
      <x:c r="FSQ63" s="291"/>
      <x:c r="FSR63" s="291"/>
      <x:c r="FSS63" s="291"/>
      <x:c r="FST63" s="291"/>
      <x:c r="FSU63" s="291"/>
      <x:c r="FSV63" s="291"/>
      <x:c r="FSW63" s="291"/>
      <x:c r="FSX63" s="291"/>
      <x:c r="FSY63" s="291"/>
      <x:c r="FSZ63" s="291"/>
      <x:c r="FTA63" s="291"/>
      <x:c r="FTB63" s="291"/>
      <x:c r="FTC63" s="291"/>
      <x:c r="FTD63" s="291"/>
      <x:c r="FTE63" s="291"/>
      <x:c r="FTF63" s="291"/>
      <x:c r="FTG63" s="291"/>
      <x:c r="FTH63" s="291"/>
      <x:c r="FTI63" s="291"/>
      <x:c r="FTJ63" s="291"/>
      <x:c r="FTK63" s="291"/>
      <x:c r="FTL63" s="291"/>
      <x:c r="FTM63" s="291"/>
      <x:c r="FTN63" s="291"/>
      <x:c r="FTO63" s="291"/>
      <x:c r="FTP63" s="291"/>
      <x:c r="FTQ63" s="291"/>
      <x:c r="FTR63" s="291"/>
      <x:c r="FTS63" s="291"/>
      <x:c r="FTT63" s="291"/>
      <x:c r="FTU63" s="291"/>
      <x:c r="FTV63" s="291"/>
      <x:c r="FTW63" s="291"/>
      <x:c r="FTX63" s="291"/>
      <x:c r="FTY63" s="291"/>
      <x:c r="FTZ63" s="291"/>
      <x:c r="FUA63" s="291"/>
      <x:c r="FUB63" s="291"/>
      <x:c r="FUC63" s="291"/>
      <x:c r="FUD63" s="291"/>
      <x:c r="FUE63" s="291"/>
      <x:c r="FUF63" s="291"/>
      <x:c r="FUG63" s="291"/>
      <x:c r="FUH63" s="291"/>
      <x:c r="FUI63" s="291"/>
      <x:c r="FUJ63" s="291"/>
      <x:c r="FUK63" s="291"/>
      <x:c r="FUL63" s="291"/>
      <x:c r="FUM63" s="291"/>
      <x:c r="FUN63" s="291"/>
      <x:c r="FUO63" s="291"/>
      <x:c r="FUP63" s="291"/>
      <x:c r="FUQ63" s="291"/>
      <x:c r="FUR63" s="291"/>
      <x:c r="FUS63" s="291"/>
      <x:c r="FUT63" s="291"/>
      <x:c r="FUU63" s="291"/>
      <x:c r="FUV63" s="291"/>
      <x:c r="FUW63" s="291"/>
      <x:c r="FUX63" s="291"/>
      <x:c r="FUY63" s="291"/>
      <x:c r="FUZ63" s="291"/>
      <x:c r="FVA63" s="291"/>
      <x:c r="FVB63" s="291"/>
      <x:c r="FVC63" s="291"/>
      <x:c r="FVD63" s="291"/>
      <x:c r="FVE63" s="291"/>
      <x:c r="FVF63" s="291"/>
      <x:c r="FVG63" s="291"/>
      <x:c r="FVH63" s="291"/>
      <x:c r="FVI63" s="291"/>
      <x:c r="FVJ63" s="291"/>
      <x:c r="FVK63" s="291"/>
      <x:c r="FVL63" s="291"/>
      <x:c r="FVM63" s="291"/>
      <x:c r="FVN63" s="291"/>
      <x:c r="FVO63" s="291"/>
      <x:c r="FVP63" s="291"/>
      <x:c r="FVQ63" s="291"/>
      <x:c r="FVR63" s="291"/>
      <x:c r="FVS63" s="291"/>
      <x:c r="FVT63" s="291"/>
      <x:c r="FVU63" s="291"/>
      <x:c r="FVV63" s="291"/>
      <x:c r="FVW63" s="291"/>
      <x:c r="FVX63" s="291"/>
      <x:c r="FVY63" s="291"/>
      <x:c r="FVZ63" s="291"/>
      <x:c r="FWA63" s="291"/>
      <x:c r="FWB63" s="291"/>
      <x:c r="FWC63" s="291"/>
      <x:c r="FWD63" s="291"/>
      <x:c r="FWE63" s="291"/>
      <x:c r="FWF63" s="291"/>
      <x:c r="FWG63" s="291"/>
      <x:c r="FWH63" s="291"/>
      <x:c r="FWI63" s="291"/>
      <x:c r="FWJ63" s="291"/>
      <x:c r="FWK63" s="291"/>
      <x:c r="FWL63" s="291"/>
      <x:c r="FWM63" s="291"/>
      <x:c r="FWN63" s="291"/>
      <x:c r="FWO63" s="291"/>
      <x:c r="FWP63" s="291"/>
      <x:c r="FWQ63" s="291"/>
      <x:c r="FWR63" s="291"/>
      <x:c r="FWS63" s="291"/>
      <x:c r="FWT63" s="291"/>
      <x:c r="FWU63" s="291"/>
      <x:c r="FWV63" s="291"/>
      <x:c r="FWW63" s="291"/>
      <x:c r="FWX63" s="291"/>
      <x:c r="FWY63" s="291"/>
      <x:c r="FWZ63" s="291"/>
      <x:c r="FXA63" s="291"/>
      <x:c r="FXB63" s="291"/>
      <x:c r="FXC63" s="291"/>
      <x:c r="FXD63" s="291"/>
      <x:c r="FXE63" s="291"/>
      <x:c r="FXF63" s="291"/>
      <x:c r="FXG63" s="291"/>
      <x:c r="FXH63" s="291"/>
      <x:c r="FXI63" s="291"/>
      <x:c r="FXJ63" s="291"/>
      <x:c r="FXK63" s="291"/>
      <x:c r="FXL63" s="291"/>
      <x:c r="FXM63" s="291"/>
      <x:c r="FXN63" s="291"/>
      <x:c r="FXO63" s="291"/>
      <x:c r="FXP63" s="291"/>
      <x:c r="FXQ63" s="291"/>
      <x:c r="FXR63" s="291"/>
      <x:c r="FXS63" s="291"/>
      <x:c r="FXT63" s="291"/>
      <x:c r="FXU63" s="291"/>
      <x:c r="FXV63" s="291"/>
      <x:c r="FXW63" s="291"/>
      <x:c r="FXX63" s="291"/>
      <x:c r="FXY63" s="291"/>
      <x:c r="FXZ63" s="291"/>
      <x:c r="FYA63" s="291"/>
      <x:c r="FYB63" s="291"/>
      <x:c r="FYC63" s="291"/>
      <x:c r="FYD63" s="291"/>
      <x:c r="FYE63" s="291"/>
      <x:c r="FYF63" s="291"/>
      <x:c r="FYG63" s="291"/>
      <x:c r="FYH63" s="291"/>
      <x:c r="FYI63" s="291"/>
      <x:c r="FYJ63" s="291"/>
      <x:c r="FYK63" s="291"/>
      <x:c r="FYL63" s="291"/>
      <x:c r="FYM63" s="291"/>
      <x:c r="FYN63" s="291"/>
      <x:c r="FYO63" s="291"/>
      <x:c r="FYP63" s="291"/>
      <x:c r="FYQ63" s="291"/>
      <x:c r="FYR63" s="291"/>
      <x:c r="FYS63" s="291"/>
      <x:c r="FYT63" s="291"/>
      <x:c r="FYU63" s="291"/>
      <x:c r="FYV63" s="291"/>
      <x:c r="FYW63" s="291"/>
      <x:c r="FYX63" s="291"/>
      <x:c r="FYY63" s="291"/>
      <x:c r="FYZ63" s="291"/>
      <x:c r="FZA63" s="291"/>
      <x:c r="FZB63" s="291"/>
      <x:c r="FZC63" s="291"/>
      <x:c r="FZD63" s="291"/>
      <x:c r="FZE63" s="291"/>
      <x:c r="FZF63" s="291"/>
      <x:c r="FZG63" s="291"/>
      <x:c r="FZH63" s="291"/>
      <x:c r="FZI63" s="291"/>
      <x:c r="FZJ63" s="291"/>
      <x:c r="FZK63" s="291"/>
      <x:c r="FZL63" s="291"/>
      <x:c r="FZM63" s="291"/>
      <x:c r="FZN63" s="291"/>
      <x:c r="FZO63" s="291"/>
      <x:c r="FZP63" s="291"/>
      <x:c r="FZQ63" s="291"/>
      <x:c r="FZR63" s="291"/>
      <x:c r="FZS63" s="291"/>
      <x:c r="FZT63" s="291"/>
      <x:c r="FZU63" s="291"/>
      <x:c r="FZV63" s="291"/>
      <x:c r="FZW63" s="291"/>
      <x:c r="FZX63" s="291"/>
      <x:c r="FZY63" s="291"/>
      <x:c r="FZZ63" s="291"/>
      <x:c r="GAA63" s="291"/>
      <x:c r="GAB63" s="291"/>
      <x:c r="GAC63" s="291"/>
      <x:c r="GAD63" s="291"/>
      <x:c r="GAE63" s="291"/>
      <x:c r="GAF63" s="291"/>
      <x:c r="GAG63" s="291"/>
      <x:c r="GAH63" s="291"/>
      <x:c r="GAI63" s="291"/>
      <x:c r="GAJ63" s="291"/>
      <x:c r="GAK63" s="291"/>
      <x:c r="GAL63" s="291"/>
      <x:c r="GAM63" s="291"/>
      <x:c r="GAN63" s="291"/>
      <x:c r="GAO63" s="291"/>
      <x:c r="GAP63" s="291"/>
      <x:c r="GAQ63" s="291"/>
      <x:c r="GAR63" s="291"/>
      <x:c r="GAS63" s="291"/>
      <x:c r="GAT63" s="291"/>
      <x:c r="GAU63" s="291"/>
      <x:c r="GAV63" s="291"/>
      <x:c r="GAW63" s="291"/>
      <x:c r="GAX63" s="291"/>
      <x:c r="GAY63" s="291"/>
      <x:c r="GAZ63" s="291"/>
      <x:c r="GBA63" s="291"/>
      <x:c r="GBB63" s="291"/>
      <x:c r="GBC63" s="291"/>
      <x:c r="GBD63" s="291"/>
      <x:c r="GBE63" s="291"/>
      <x:c r="GBF63" s="291"/>
      <x:c r="GBG63" s="291"/>
      <x:c r="GBH63" s="291"/>
      <x:c r="GBI63" s="291"/>
      <x:c r="GBJ63" s="291"/>
      <x:c r="GBK63" s="291"/>
      <x:c r="GBL63" s="291"/>
      <x:c r="GBM63" s="291"/>
      <x:c r="GBN63" s="291"/>
      <x:c r="GBO63" s="291"/>
      <x:c r="GBP63" s="291"/>
      <x:c r="GBQ63" s="291"/>
      <x:c r="GBR63" s="291"/>
      <x:c r="GBS63" s="291"/>
      <x:c r="GBT63" s="291"/>
      <x:c r="GBU63" s="291"/>
      <x:c r="GBV63" s="291"/>
      <x:c r="GBW63" s="291"/>
      <x:c r="GBX63" s="291"/>
      <x:c r="GBY63" s="291"/>
      <x:c r="GBZ63" s="291"/>
      <x:c r="GCA63" s="291"/>
      <x:c r="GCB63" s="291"/>
      <x:c r="GCC63" s="291"/>
      <x:c r="GCD63" s="291"/>
      <x:c r="GCE63" s="291"/>
      <x:c r="GCF63" s="291"/>
      <x:c r="GCG63" s="291"/>
      <x:c r="GCH63" s="291"/>
      <x:c r="GCI63" s="291"/>
      <x:c r="GCJ63" s="291"/>
      <x:c r="GCK63" s="291"/>
      <x:c r="GCL63" s="291"/>
      <x:c r="GCM63" s="291"/>
      <x:c r="GCN63" s="291"/>
      <x:c r="GCO63" s="291"/>
      <x:c r="GCP63" s="291"/>
      <x:c r="GCQ63" s="291"/>
      <x:c r="GCR63" s="291"/>
      <x:c r="GCS63" s="291"/>
      <x:c r="GCT63" s="291"/>
      <x:c r="GCU63" s="291"/>
      <x:c r="GCV63" s="291"/>
      <x:c r="GCW63" s="291"/>
      <x:c r="GCX63" s="291"/>
      <x:c r="GCY63" s="291"/>
      <x:c r="GCZ63" s="291"/>
      <x:c r="GDA63" s="291"/>
      <x:c r="GDB63" s="291"/>
      <x:c r="GDC63" s="291"/>
      <x:c r="GDD63" s="291"/>
      <x:c r="GDE63" s="291"/>
      <x:c r="GDF63" s="291"/>
      <x:c r="GDG63" s="291"/>
      <x:c r="GDH63" s="291"/>
      <x:c r="GDI63" s="291"/>
      <x:c r="GDJ63" s="291"/>
      <x:c r="GDK63" s="291"/>
      <x:c r="GDL63" s="291"/>
      <x:c r="GDM63" s="291"/>
      <x:c r="GDN63" s="291"/>
      <x:c r="GDO63" s="291"/>
      <x:c r="GDP63" s="291"/>
      <x:c r="GDQ63" s="291"/>
      <x:c r="GDR63" s="291"/>
      <x:c r="GDS63" s="291"/>
      <x:c r="GDT63" s="291"/>
      <x:c r="GDU63" s="291"/>
      <x:c r="GDV63" s="291"/>
      <x:c r="GDW63" s="291"/>
      <x:c r="GDX63" s="291"/>
      <x:c r="GDY63" s="291"/>
      <x:c r="GDZ63" s="291"/>
      <x:c r="GEA63" s="291"/>
      <x:c r="GEB63" s="291"/>
      <x:c r="GEC63" s="291"/>
      <x:c r="GED63" s="291"/>
      <x:c r="GEE63" s="291"/>
      <x:c r="GEF63" s="291"/>
      <x:c r="GEG63" s="291"/>
      <x:c r="GEH63" s="291"/>
      <x:c r="GEI63" s="291"/>
      <x:c r="GEJ63" s="291"/>
      <x:c r="GEK63" s="291"/>
      <x:c r="GEL63" s="291"/>
      <x:c r="GEM63" s="291"/>
      <x:c r="GEN63" s="291"/>
      <x:c r="GEO63" s="291"/>
      <x:c r="GEP63" s="291"/>
      <x:c r="GEQ63" s="291"/>
      <x:c r="GER63" s="291"/>
      <x:c r="GES63" s="291"/>
      <x:c r="GET63" s="291"/>
      <x:c r="GEU63" s="291"/>
      <x:c r="GEV63" s="291"/>
      <x:c r="GEW63" s="291"/>
      <x:c r="GEX63" s="291"/>
      <x:c r="GEY63" s="291"/>
      <x:c r="GEZ63" s="291"/>
      <x:c r="GFA63" s="291"/>
      <x:c r="GFB63" s="291"/>
      <x:c r="GFC63" s="291"/>
      <x:c r="GFD63" s="291"/>
      <x:c r="GFE63" s="291"/>
      <x:c r="GFF63" s="291"/>
      <x:c r="GFG63" s="291"/>
      <x:c r="GFH63" s="291"/>
      <x:c r="GFI63" s="291"/>
      <x:c r="GFJ63" s="291"/>
      <x:c r="GFK63" s="291"/>
      <x:c r="GFL63" s="291"/>
      <x:c r="GFM63" s="291"/>
      <x:c r="GFN63" s="291"/>
      <x:c r="GFO63" s="291"/>
      <x:c r="GFP63" s="291"/>
      <x:c r="GFQ63" s="291"/>
      <x:c r="GFR63" s="291"/>
      <x:c r="GFS63" s="291"/>
      <x:c r="GFT63" s="291"/>
      <x:c r="GFU63" s="291"/>
      <x:c r="GFV63" s="291"/>
      <x:c r="GFW63" s="291"/>
      <x:c r="GFX63" s="291"/>
      <x:c r="GFY63" s="291"/>
      <x:c r="GFZ63" s="291"/>
      <x:c r="GGA63" s="291"/>
      <x:c r="GGB63" s="291"/>
      <x:c r="GGC63" s="291"/>
      <x:c r="GGD63" s="291"/>
      <x:c r="GGE63" s="291"/>
      <x:c r="GGF63" s="291"/>
      <x:c r="GGG63" s="291"/>
      <x:c r="GGH63" s="291"/>
      <x:c r="GGI63" s="291"/>
      <x:c r="GGJ63" s="291"/>
      <x:c r="GGK63" s="291"/>
      <x:c r="GGL63" s="291"/>
      <x:c r="GGM63" s="291"/>
      <x:c r="GGN63" s="291"/>
      <x:c r="GGO63" s="291"/>
      <x:c r="GGP63" s="291"/>
      <x:c r="GGQ63" s="291"/>
      <x:c r="GGR63" s="291"/>
      <x:c r="GGS63" s="291"/>
      <x:c r="GGT63" s="291"/>
      <x:c r="GGU63" s="291"/>
      <x:c r="GGV63" s="291"/>
      <x:c r="GGW63" s="291"/>
      <x:c r="GGX63" s="291"/>
      <x:c r="GGY63" s="291"/>
      <x:c r="GGZ63" s="291"/>
      <x:c r="GHA63" s="291"/>
      <x:c r="GHB63" s="291"/>
      <x:c r="GHC63" s="291"/>
      <x:c r="GHD63" s="291"/>
      <x:c r="GHE63" s="291"/>
      <x:c r="GHF63" s="291"/>
      <x:c r="GHG63" s="291"/>
      <x:c r="GHH63" s="291"/>
      <x:c r="GHI63" s="291"/>
      <x:c r="GHJ63" s="291"/>
      <x:c r="GHK63" s="291"/>
      <x:c r="GHL63" s="291"/>
      <x:c r="GHM63" s="291"/>
      <x:c r="GHN63" s="291"/>
      <x:c r="GHO63" s="291"/>
      <x:c r="GHP63" s="291"/>
      <x:c r="GHQ63" s="291"/>
      <x:c r="GHR63" s="291"/>
      <x:c r="GHS63" s="291"/>
      <x:c r="GHT63" s="291"/>
      <x:c r="GHU63" s="291"/>
      <x:c r="GHV63" s="291"/>
      <x:c r="GHW63" s="291"/>
      <x:c r="GHX63" s="291"/>
      <x:c r="GHY63" s="291"/>
      <x:c r="GHZ63" s="291"/>
      <x:c r="GIA63" s="291"/>
      <x:c r="GIB63" s="291"/>
      <x:c r="GIC63" s="291"/>
      <x:c r="GID63" s="291"/>
      <x:c r="GIE63" s="291"/>
      <x:c r="GIF63" s="291"/>
      <x:c r="GIG63" s="291"/>
      <x:c r="GIH63" s="291"/>
      <x:c r="GII63" s="291"/>
      <x:c r="GIJ63" s="291"/>
      <x:c r="GIK63" s="291"/>
      <x:c r="GIL63" s="291"/>
      <x:c r="GIM63" s="291"/>
      <x:c r="GIN63" s="291"/>
      <x:c r="GIO63" s="291"/>
      <x:c r="GIP63" s="291"/>
      <x:c r="GIQ63" s="291"/>
      <x:c r="GIR63" s="291"/>
      <x:c r="GIS63" s="291"/>
      <x:c r="GIT63" s="291"/>
      <x:c r="GIU63" s="291"/>
      <x:c r="GIV63" s="291"/>
      <x:c r="GIW63" s="291"/>
      <x:c r="GIX63" s="291"/>
      <x:c r="GIY63" s="291"/>
      <x:c r="GIZ63" s="291"/>
      <x:c r="GJA63" s="291"/>
      <x:c r="GJB63" s="291"/>
      <x:c r="GJC63" s="291"/>
      <x:c r="GJD63" s="291"/>
      <x:c r="GJE63" s="291"/>
      <x:c r="GJF63" s="291"/>
      <x:c r="GJG63" s="291"/>
      <x:c r="GJH63" s="291"/>
      <x:c r="GJI63" s="291"/>
      <x:c r="GJJ63" s="291"/>
      <x:c r="GJK63" s="291"/>
      <x:c r="GJL63" s="291"/>
      <x:c r="GJM63" s="291"/>
      <x:c r="GJN63" s="291"/>
      <x:c r="GJO63" s="291"/>
      <x:c r="GJP63" s="291"/>
      <x:c r="GJQ63" s="291"/>
      <x:c r="GJR63" s="291"/>
      <x:c r="GJS63" s="291"/>
      <x:c r="GJT63" s="291"/>
      <x:c r="GJU63" s="291"/>
      <x:c r="GJV63" s="291"/>
      <x:c r="GJW63" s="291"/>
      <x:c r="GJX63" s="291"/>
      <x:c r="GJY63" s="291"/>
      <x:c r="GJZ63" s="291"/>
      <x:c r="GKA63" s="291"/>
      <x:c r="GKB63" s="291"/>
      <x:c r="GKC63" s="291"/>
      <x:c r="GKD63" s="291"/>
      <x:c r="GKE63" s="291"/>
      <x:c r="GKF63" s="291"/>
      <x:c r="GKG63" s="291"/>
      <x:c r="GKH63" s="291"/>
      <x:c r="GKI63" s="291"/>
      <x:c r="GKJ63" s="291"/>
      <x:c r="GKK63" s="291"/>
      <x:c r="GKL63" s="291"/>
      <x:c r="GKM63" s="291"/>
      <x:c r="GKN63" s="291"/>
      <x:c r="GKO63" s="291"/>
      <x:c r="GKP63" s="291"/>
      <x:c r="GKQ63" s="291"/>
      <x:c r="GKR63" s="291"/>
      <x:c r="GKS63" s="291"/>
      <x:c r="GKT63" s="291"/>
      <x:c r="GKU63" s="291"/>
      <x:c r="GKV63" s="291"/>
      <x:c r="GKW63" s="291"/>
      <x:c r="GKX63" s="291"/>
      <x:c r="GKY63" s="291"/>
      <x:c r="GKZ63" s="291"/>
      <x:c r="GLA63" s="291"/>
      <x:c r="GLB63" s="291"/>
      <x:c r="GLC63" s="291"/>
      <x:c r="GLD63" s="291"/>
      <x:c r="GLE63" s="291"/>
      <x:c r="GLF63" s="291"/>
      <x:c r="GLG63" s="291"/>
      <x:c r="GLH63" s="291"/>
      <x:c r="GLI63" s="291"/>
      <x:c r="GLJ63" s="291"/>
      <x:c r="GLK63" s="291"/>
      <x:c r="GLL63" s="291"/>
      <x:c r="GLM63" s="291"/>
      <x:c r="GLN63" s="291"/>
      <x:c r="GLO63" s="291"/>
      <x:c r="GLP63" s="291"/>
      <x:c r="GLQ63" s="291"/>
      <x:c r="GLR63" s="291"/>
      <x:c r="GLS63" s="291"/>
      <x:c r="GLT63" s="291"/>
      <x:c r="GLU63" s="291"/>
      <x:c r="GLV63" s="291"/>
      <x:c r="GLW63" s="291"/>
      <x:c r="GLX63" s="291"/>
      <x:c r="GLY63" s="291"/>
      <x:c r="GLZ63" s="291"/>
      <x:c r="GMA63" s="291"/>
      <x:c r="GMB63" s="291"/>
      <x:c r="GMC63" s="291"/>
      <x:c r="GMD63" s="291"/>
      <x:c r="GME63" s="291"/>
      <x:c r="GMF63" s="291"/>
      <x:c r="GMG63" s="291"/>
      <x:c r="GMH63" s="291"/>
      <x:c r="GMI63" s="291"/>
      <x:c r="GMJ63" s="291"/>
      <x:c r="GMK63" s="291"/>
      <x:c r="GML63" s="291"/>
      <x:c r="GMM63" s="291"/>
      <x:c r="GMN63" s="291"/>
      <x:c r="GMO63" s="291"/>
      <x:c r="GMP63" s="291"/>
      <x:c r="GMQ63" s="291"/>
      <x:c r="GMR63" s="291"/>
      <x:c r="GMS63" s="291"/>
      <x:c r="GMT63" s="291"/>
      <x:c r="GMU63" s="291"/>
      <x:c r="GMV63" s="291"/>
      <x:c r="GMW63" s="291"/>
      <x:c r="GMX63" s="291"/>
      <x:c r="GMY63" s="291"/>
      <x:c r="GMZ63" s="291"/>
      <x:c r="GNA63" s="291"/>
      <x:c r="GNB63" s="291"/>
      <x:c r="GNC63" s="291"/>
      <x:c r="GND63" s="291"/>
      <x:c r="GNE63" s="291"/>
      <x:c r="GNF63" s="291"/>
      <x:c r="GNG63" s="291"/>
      <x:c r="GNH63" s="291"/>
      <x:c r="GNI63" s="291"/>
      <x:c r="GNJ63" s="291"/>
      <x:c r="GNK63" s="291"/>
      <x:c r="GNL63" s="291"/>
      <x:c r="GNM63" s="291"/>
      <x:c r="GNN63" s="291"/>
      <x:c r="GNO63" s="291"/>
      <x:c r="GNP63" s="291"/>
      <x:c r="GNQ63" s="291"/>
      <x:c r="GNR63" s="291"/>
      <x:c r="GNS63" s="291"/>
      <x:c r="GNT63" s="291"/>
      <x:c r="GNU63" s="291"/>
      <x:c r="GNV63" s="291"/>
      <x:c r="GNW63" s="291"/>
      <x:c r="GNX63" s="291"/>
      <x:c r="GNY63" s="291"/>
      <x:c r="GNZ63" s="291"/>
      <x:c r="GOA63" s="291"/>
      <x:c r="GOB63" s="291"/>
      <x:c r="GOC63" s="291"/>
      <x:c r="GOD63" s="291"/>
      <x:c r="GOE63" s="291"/>
      <x:c r="GOF63" s="291"/>
      <x:c r="GOG63" s="291"/>
      <x:c r="GOH63" s="291"/>
      <x:c r="GOI63" s="291"/>
      <x:c r="GOJ63" s="291"/>
      <x:c r="GOK63" s="291"/>
      <x:c r="GOL63" s="291"/>
      <x:c r="GOM63" s="291"/>
      <x:c r="GON63" s="291"/>
      <x:c r="GOO63" s="291"/>
      <x:c r="GOP63" s="291"/>
      <x:c r="GOQ63" s="291"/>
      <x:c r="GOR63" s="291"/>
      <x:c r="GOS63" s="291"/>
      <x:c r="GOT63" s="291"/>
      <x:c r="GOU63" s="291"/>
      <x:c r="GOV63" s="291"/>
      <x:c r="GOW63" s="291"/>
      <x:c r="GOX63" s="291"/>
      <x:c r="GOY63" s="291"/>
      <x:c r="GOZ63" s="291"/>
      <x:c r="GPA63" s="291"/>
      <x:c r="GPB63" s="291"/>
      <x:c r="GPC63" s="291"/>
      <x:c r="GPD63" s="291"/>
      <x:c r="GPE63" s="291"/>
      <x:c r="GPF63" s="291"/>
      <x:c r="GPG63" s="291"/>
      <x:c r="GPH63" s="291"/>
      <x:c r="GPI63" s="291"/>
      <x:c r="GPJ63" s="291"/>
      <x:c r="GPK63" s="291"/>
      <x:c r="GPL63" s="291"/>
      <x:c r="GPM63" s="291"/>
      <x:c r="GPN63" s="291"/>
      <x:c r="GPO63" s="291"/>
      <x:c r="GPP63" s="291"/>
      <x:c r="GPQ63" s="291"/>
      <x:c r="GPR63" s="291"/>
      <x:c r="GPS63" s="291"/>
      <x:c r="GPT63" s="291"/>
      <x:c r="GPU63" s="291"/>
      <x:c r="GPV63" s="291"/>
      <x:c r="GPW63" s="291"/>
      <x:c r="GPX63" s="291"/>
      <x:c r="GPY63" s="291"/>
      <x:c r="GPZ63" s="291"/>
      <x:c r="GQA63" s="291"/>
      <x:c r="GQB63" s="291"/>
      <x:c r="GQC63" s="291"/>
      <x:c r="GQD63" s="291"/>
      <x:c r="GQE63" s="291"/>
      <x:c r="GQF63" s="291"/>
      <x:c r="GQG63" s="291"/>
      <x:c r="GQH63" s="291"/>
      <x:c r="GQI63" s="291"/>
      <x:c r="GQJ63" s="291"/>
      <x:c r="GQK63" s="291"/>
      <x:c r="GQL63" s="291"/>
      <x:c r="GQM63" s="291"/>
      <x:c r="GQN63" s="291"/>
      <x:c r="GQO63" s="291"/>
      <x:c r="GQP63" s="291"/>
      <x:c r="GQQ63" s="291"/>
      <x:c r="GQR63" s="291"/>
      <x:c r="GQS63" s="291"/>
      <x:c r="GQT63" s="291"/>
      <x:c r="GQU63" s="291"/>
      <x:c r="GQV63" s="291"/>
      <x:c r="GQW63" s="291"/>
      <x:c r="GQX63" s="291"/>
      <x:c r="GQY63" s="291"/>
      <x:c r="GQZ63" s="291"/>
      <x:c r="GRA63" s="291"/>
      <x:c r="GRB63" s="291"/>
      <x:c r="GRC63" s="291"/>
      <x:c r="GRD63" s="291"/>
      <x:c r="GRE63" s="291"/>
      <x:c r="GRF63" s="291"/>
      <x:c r="GRG63" s="291"/>
      <x:c r="GRH63" s="291"/>
      <x:c r="GRI63" s="291"/>
      <x:c r="GRJ63" s="291"/>
      <x:c r="GRK63" s="291"/>
      <x:c r="GRL63" s="291"/>
      <x:c r="GRM63" s="291"/>
      <x:c r="GRN63" s="291"/>
      <x:c r="GRO63" s="291"/>
      <x:c r="GRP63" s="291"/>
      <x:c r="GRQ63" s="291"/>
      <x:c r="GRR63" s="291"/>
      <x:c r="GRS63" s="291"/>
      <x:c r="GRT63" s="291"/>
      <x:c r="GRU63" s="291"/>
      <x:c r="GRV63" s="291"/>
      <x:c r="GRW63" s="291"/>
      <x:c r="GRX63" s="291"/>
      <x:c r="GRY63" s="291"/>
      <x:c r="GRZ63" s="291"/>
      <x:c r="GSA63" s="291"/>
      <x:c r="GSB63" s="291"/>
      <x:c r="GSC63" s="291"/>
      <x:c r="GSD63" s="291"/>
      <x:c r="GSE63" s="291"/>
      <x:c r="GSF63" s="291"/>
      <x:c r="GSG63" s="291"/>
      <x:c r="GSH63" s="291"/>
      <x:c r="GSI63" s="291"/>
      <x:c r="GSJ63" s="291"/>
      <x:c r="GSK63" s="291"/>
      <x:c r="GSL63" s="291"/>
      <x:c r="GSM63" s="291"/>
      <x:c r="GSN63" s="291"/>
      <x:c r="GSO63" s="291"/>
      <x:c r="GSP63" s="291"/>
      <x:c r="GSQ63" s="291"/>
      <x:c r="GSR63" s="291"/>
      <x:c r="GSS63" s="291"/>
      <x:c r="GST63" s="291"/>
      <x:c r="GSU63" s="291"/>
      <x:c r="GSV63" s="291"/>
      <x:c r="GSW63" s="291"/>
      <x:c r="GSX63" s="291"/>
      <x:c r="GSY63" s="291"/>
      <x:c r="GSZ63" s="291"/>
      <x:c r="GTA63" s="291"/>
      <x:c r="GTB63" s="291"/>
      <x:c r="GTC63" s="291"/>
      <x:c r="GTD63" s="291"/>
      <x:c r="GTE63" s="291"/>
      <x:c r="GTF63" s="291"/>
      <x:c r="GTG63" s="291"/>
      <x:c r="GTH63" s="291"/>
      <x:c r="GTI63" s="291"/>
      <x:c r="GTJ63" s="291"/>
      <x:c r="GTK63" s="291"/>
      <x:c r="GTL63" s="291"/>
      <x:c r="GTM63" s="291"/>
      <x:c r="GTN63" s="291"/>
      <x:c r="GTO63" s="291"/>
      <x:c r="GTP63" s="291"/>
      <x:c r="GTQ63" s="291"/>
      <x:c r="GTR63" s="291"/>
      <x:c r="GTS63" s="291"/>
      <x:c r="GTT63" s="291"/>
      <x:c r="GTU63" s="291"/>
      <x:c r="GTV63" s="291"/>
      <x:c r="GTW63" s="291"/>
      <x:c r="GTX63" s="291"/>
      <x:c r="GTY63" s="291"/>
      <x:c r="GTZ63" s="291"/>
      <x:c r="GUA63" s="291"/>
      <x:c r="GUB63" s="291"/>
      <x:c r="GUC63" s="291"/>
      <x:c r="GUD63" s="291"/>
      <x:c r="GUE63" s="291"/>
      <x:c r="GUF63" s="291"/>
      <x:c r="GUG63" s="291"/>
      <x:c r="GUH63" s="291"/>
      <x:c r="GUI63" s="291"/>
      <x:c r="GUJ63" s="291"/>
      <x:c r="GUK63" s="291"/>
      <x:c r="GUL63" s="291"/>
      <x:c r="GUM63" s="291"/>
      <x:c r="GUN63" s="291"/>
      <x:c r="GUO63" s="291"/>
      <x:c r="GUP63" s="291"/>
      <x:c r="GUQ63" s="291"/>
      <x:c r="GUR63" s="291"/>
      <x:c r="GUS63" s="291"/>
      <x:c r="GUT63" s="291"/>
      <x:c r="GUU63" s="291"/>
      <x:c r="GUV63" s="291"/>
      <x:c r="GUW63" s="291"/>
      <x:c r="GUX63" s="291"/>
      <x:c r="GUY63" s="291"/>
      <x:c r="GUZ63" s="291"/>
      <x:c r="GVA63" s="291"/>
      <x:c r="GVB63" s="291"/>
      <x:c r="GVC63" s="291"/>
      <x:c r="GVD63" s="291"/>
      <x:c r="GVE63" s="291"/>
      <x:c r="GVF63" s="291"/>
      <x:c r="GVG63" s="291"/>
      <x:c r="GVH63" s="291"/>
      <x:c r="GVI63" s="291"/>
      <x:c r="GVJ63" s="291"/>
      <x:c r="GVK63" s="291"/>
      <x:c r="GVL63" s="291"/>
      <x:c r="GVM63" s="291"/>
      <x:c r="GVN63" s="291"/>
      <x:c r="GVO63" s="291"/>
      <x:c r="GVP63" s="291"/>
      <x:c r="GVQ63" s="291"/>
      <x:c r="GVR63" s="291"/>
      <x:c r="GVS63" s="291"/>
      <x:c r="GVT63" s="291"/>
      <x:c r="GVU63" s="291"/>
      <x:c r="GVV63" s="291"/>
      <x:c r="GVW63" s="291"/>
      <x:c r="GVX63" s="291"/>
      <x:c r="GVY63" s="291"/>
      <x:c r="GVZ63" s="291"/>
      <x:c r="GWA63" s="291"/>
      <x:c r="GWB63" s="291"/>
      <x:c r="GWC63" s="291"/>
      <x:c r="GWD63" s="291"/>
      <x:c r="GWE63" s="291"/>
      <x:c r="GWF63" s="291"/>
      <x:c r="GWG63" s="291"/>
      <x:c r="GWH63" s="291"/>
      <x:c r="GWI63" s="291"/>
      <x:c r="GWJ63" s="291"/>
      <x:c r="GWK63" s="291"/>
      <x:c r="GWL63" s="291"/>
      <x:c r="GWM63" s="291"/>
      <x:c r="GWN63" s="291"/>
      <x:c r="GWO63" s="291"/>
      <x:c r="GWP63" s="291"/>
      <x:c r="GWQ63" s="291"/>
      <x:c r="GWR63" s="291"/>
      <x:c r="GWS63" s="291"/>
      <x:c r="GWT63" s="291"/>
      <x:c r="GWU63" s="291"/>
      <x:c r="GWV63" s="291"/>
      <x:c r="GWW63" s="291"/>
      <x:c r="GWX63" s="291"/>
      <x:c r="GWY63" s="291"/>
      <x:c r="GWZ63" s="291"/>
      <x:c r="GXA63" s="291"/>
      <x:c r="GXB63" s="291"/>
      <x:c r="GXC63" s="291"/>
      <x:c r="GXD63" s="291"/>
      <x:c r="GXE63" s="291"/>
      <x:c r="GXF63" s="291"/>
      <x:c r="GXG63" s="291"/>
      <x:c r="GXH63" s="291"/>
      <x:c r="GXI63" s="291"/>
      <x:c r="GXJ63" s="291"/>
      <x:c r="GXK63" s="291"/>
      <x:c r="GXL63" s="291"/>
      <x:c r="GXM63" s="291"/>
      <x:c r="GXN63" s="291"/>
      <x:c r="GXO63" s="291"/>
      <x:c r="GXP63" s="291"/>
      <x:c r="GXQ63" s="291"/>
      <x:c r="GXR63" s="291"/>
      <x:c r="GXS63" s="291"/>
      <x:c r="GXT63" s="291"/>
      <x:c r="GXU63" s="291"/>
      <x:c r="GXV63" s="291"/>
      <x:c r="GXW63" s="291"/>
      <x:c r="GXX63" s="291"/>
      <x:c r="GXY63" s="291"/>
      <x:c r="GXZ63" s="291"/>
      <x:c r="GYA63" s="291"/>
      <x:c r="GYB63" s="291"/>
      <x:c r="GYC63" s="291"/>
      <x:c r="GYD63" s="291"/>
      <x:c r="GYE63" s="291"/>
      <x:c r="GYF63" s="291"/>
      <x:c r="GYG63" s="291"/>
      <x:c r="GYH63" s="291"/>
      <x:c r="GYI63" s="291"/>
      <x:c r="GYJ63" s="291"/>
      <x:c r="GYK63" s="291"/>
      <x:c r="GYL63" s="291"/>
      <x:c r="GYM63" s="291"/>
      <x:c r="GYN63" s="291"/>
      <x:c r="GYO63" s="291"/>
      <x:c r="GYP63" s="291"/>
      <x:c r="GYQ63" s="291"/>
      <x:c r="GYR63" s="291"/>
      <x:c r="GYS63" s="291"/>
      <x:c r="GYT63" s="291"/>
      <x:c r="GYU63" s="291"/>
      <x:c r="GYV63" s="291"/>
      <x:c r="GYW63" s="291"/>
      <x:c r="GYX63" s="291"/>
      <x:c r="GYY63" s="291"/>
      <x:c r="GYZ63" s="291"/>
      <x:c r="GZA63" s="291"/>
      <x:c r="GZB63" s="291"/>
      <x:c r="GZC63" s="291"/>
      <x:c r="GZD63" s="291"/>
      <x:c r="GZE63" s="291"/>
      <x:c r="GZF63" s="291"/>
      <x:c r="GZG63" s="291"/>
      <x:c r="GZH63" s="291"/>
      <x:c r="GZI63" s="291"/>
      <x:c r="GZJ63" s="291"/>
      <x:c r="GZK63" s="291"/>
      <x:c r="GZL63" s="291"/>
      <x:c r="GZM63" s="291"/>
      <x:c r="GZN63" s="291"/>
      <x:c r="GZO63" s="291"/>
      <x:c r="GZP63" s="291"/>
      <x:c r="GZQ63" s="291"/>
      <x:c r="GZR63" s="291"/>
      <x:c r="GZS63" s="291"/>
      <x:c r="GZT63" s="291"/>
      <x:c r="GZU63" s="291"/>
      <x:c r="GZV63" s="291"/>
      <x:c r="GZW63" s="291"/>
      <x:c r="GZX63" s="291"/>
      <x:c r="GZY63" s="291"/>
      <x:c r="GZZ63" s="291"/>
      <x:c r="HAA63" s="291"/>
      <x:c r="HAB63" s="291"/>
      <x:c r="HAC63" s="291"/>
      <x:c r="HAD63" s="291"/>
      <x:c r="HAE63" s="291"/>
      <x:c r="HAF63" s="291"/>
      <x:c r="HAG63" s="291"/>
      <x:c r="HAH63" s="291"/>
      <x:c r="HAI63" s="291"/>
      <x:c r="HAJ63" s="291"/>
      <x:c r="HAK63" s="291"/>
      <x:c r="HAL63" s="291"/>
      <x:c r="HAM63" s="291"/>
      <x:c r="HAN63" s="291"/>
      <x:c r="HAO63" s="291"/>
      <x:c r="HAP63" s="291"/>
      <x:c r="HAQ63" s="291"/>
      <x:c r="HAR63" s="291"/>
      <x:c r="HAS63" s="291"/>
      <x:c r="HAT63" s="291"/>
      <x:c r="HAU63" s="291"/>
      <x:c r="HAV63" s="291"/>
      <x:c r="HAW63" s="291"/>
      <x:c r="HAX63" s="291"/>
      <x:c r="HAY63" s="291"/>
      <x:c r="HAZ63" s="291"/>
      <x:c r="HBA63" s="291"/>
      <x:c r="HBB63" s="291"/>
      <x:c r="HBC63" s="291"/>
      <x:c r="HBD63" s="291"/>
      <x:c r="HBE63" s="291"/>
      <x:c r="HBF63" s="291"/>
      <x:c r="HBG63" s="291"/>
      <x:c r="HBH63" s="291"/>
      <x:c r="HBI63" s="291"/>
      <x:c r="HBJ63" s="291"/>
      <x:c r="HBK63" s="291"/>
      <x:c r="HBL63" s="291"/>
      <x:c r="HBM63" s="291"/>
      <x:c r="HBN63" s="291"/>
      <x:c r="HBO63" s="291"/>
      <x:c r="HBP63" s="291"/>
      <x:c r="HBQ63" s="291"/>
      <x:c r="HBR63" s="291"/>
      <x:c r="HBS63" s="291"/>
      <x:c r="HBT63" s="291"/>
      <x:c r="HBU63" s="291"/>
      <x:c r="HBV63" s="291"/>
      <x:c r="HBW63" s="291"/>
      <x:c r="HBX63" s="291"/>
      <x:c r="HBY63" s="291"/>
      <x:c r="HBZ63" s="291"/>
      <x:c r="HCA63" s="291"/>
      <x:c r="HCB63" s="291"/>
      <x:c r="HCC63" s="291"/>
      <x:c r="HCD63" s="291"/>
      <x:c r="HCE63" s="291"/>
      <x:c r="HCF63" s="291"/>
      <x:c r="HCG63" s="291"/>
      <x:c r="HCH63" s="291"/>
      <x:c r="HCI63" s="291"/>
      <x:c r="HCJ63" s="291"/>
      <x:c r="HCK63" s="291"/>
      <x:c r="HCL63" s="291"/>
      <x:c r="HCM63" s="291"/>
      <x:c r="HCN63" s="291"/>
      <x:c r="HCO63" s="291"/>
      <x:c r="HCP63" s="291"/>
      <x:c r="HCQ63" s="291"/>
      <x:c r="HCR63" s="291"/>
      <x:c r="HCS63" s="291"/>
      <x:c r="HCT63" s="291"/>
      <x:c r="HCU63" s="291"/>
      <x:c r="HCV63" s="291"/>
      <x:c r="HCW63" s="291"/>
      <x:c r="HCX63" s="291"/>
      <x:c r="HCY63" s="291"/>
      <x:c r="HCZ63" s="291"/>
      <x:c r="HDA63" s="291"/>
      <x:c r="HDB63" s="291"/>
      <x:c r="HDC63" s="291"/>
      <x:c r="HDD63" s="291"/>
      <x:c r="HDE63" s="291"/>
      <x:c r="HDF63" s="291"/>
      <x:c r="HDG63" s="291"/>
      <x:c r="HDH63" s="291"/>
      <x:c r="HDI63" s="291"/>
      <x:c r="HDJ63" s="291"/>
      <x:c r="HDK63" s="291"/>
      <x:c r="HDL63" s="291"/>
      <x:c r="HDM63" s="291"/>
      <x:c r="HDN63" s="291"/>
      <x:c r="HDO63" s="291"/>
      <x:c r="HDP63" s="291"/>
      <x:c r="HDQ63" s="291"/>
      <x:c r="HDR63" s="291"/>
      <x:c r="HDS63" s="291"/>
      <x:c r="HDT63" s="291"/>
      <x:c r="HDU63" s="291"/>
      <x:c r="HDV63" s="291"/>
      <x:c r="HDW63" s="291"/>
      <x:c r="HDX63" s="291"/>
      <x:c r="HDY63" s="291"/>
      <x:c r="HDZ63" s="291"/>
      <x:c r="HEA63" s="291"/>
      <x:c r="HEB63" s="291"/>
      <x:c r="HEC63" s="291"/>
      <x:c r="HED63" s="291"/>
      <x:c r="HEE63" s="291"/>
      <x:c r="HEF63" s="291"/>
      <x:c r="HEG63" s="291"/>
      <x:c r="HEH63" s="291"/>
      <x:c r="HEI63" s="291"/>
      <x:c r="HEJ63" s="291"/>
      <x:c r="HEK63" s="291"/>
      <x:c r="HEL63" s="291"/>
      <x:c r="HEM63" s="291"/>
      <x:c r="HEN63" s="291"/>
      <x:c r="HEO63" s="291"/>
      <x:c r="HEP63" s="291"/>
      <x:c r="HEQ63" s="291"/>
      <x:c r="HER63" s="291"/>
      <x:c r="HES63" s="291"/>
      <x:c r="HET63" s="291"/>
      <x:c r="HEU63" s="291"/>
      <x:c r="HEV63" s="291"/>
      <x:c r="HEW63" s="291"/>
      <x:c r="HEX63" s="291"/>
      <x:c r="HEY63" s="291"/>
      <x:c r="HEZ63" s="291"/>
      <x:c r="HFA63" s="291"/>
      <x:c r="HFB63" s="291"/>
      <x:c r="HFC63" s="291"/>
      <x:c r="HFD63" s="291"/>
      <x:c r="HFE63" s="291"/>
      <x:c r="HFF63" s="291"/>
      <x:c r="HFG63" s="291"/>
      <x:c r="HFH63" s="291"/>
      <x:c r="HFI63" s="291"/>
      <x:c r="HFJ63" s="291"/>
      <x:c r="HFK63" s="291"/>
      <x:c r="HFL63" s="291"/>
      <x:c r="HFM63" s="291"/>
      <x:c r="HFN63" s="291"/>
      <x:c r="HFO63" s="291"/>
      <x:c r="HFP63" s="291"/>
      <x:c r="HFQ63" s="291"/>
      <x:c r="HFR63" s="291"/>
      <x:c r="HFS63" s="291"/>
      <x:c r="HFT63" s="291"/>
      <x:c r="HFU63" s="291"/>
      <x:c r="HFV63" s="291"/>
      <x:c r="HFW63" s="291"/>
      <x:c r="HFX63" s="291"/>
      <x:c r="HFY63" s="291"/>
      <x:c r="HFZ63" s="291"/>
      <x:c r="HGA63" s="291"/>
      <x:c r="HGB63" s="291"/>
      <x:c r="HGC63" s="291"/>
      <x:c r="HGD63" s="291"/>
      <x:c r="HGE63" s="291"/>
      <x:c r="HGF63" s="291"/>
      <x:c r="HGG63" s="291"/>
      <x:c r="HGH63" s="291"/>
      <x:c r="HGI63" s="291"/>
      <x:c r="HGJ63" s="291"/>
      <x:c r="HGK63" s="291"/>
      <x:c r="HGL63" s="291"/>
      <x:c r="HGM63" s="291"/>
      <x:c r="HGN63" s="291"/>
      <x:c r="HGO63" s="291"/>
      <x:c r="HGP63" s="291"/>
      <x:c r="HGQ63" s="291"/>
      <x:c r="HGR63" s="291"/>
      <x:c r="HGS63" s="291"/>
      <x:c r="HGT63" s="291"/>
      <x:c r="HGU63" s="291"/>
      <x:c r="HGV63" s="291"/>
      <x:c r="HGW63" s="291"/>
      <x:c r="HGX63" s="291"/>
      <x:c r="HGY63" s="291"/>
      <x:c r="HGZ63" s="291"/>
      <x:c r="HHA63" s="291"/>
      <x:c r="HHB63" s="291"/>
      <x:c r="HHC63" s="291"/>
      <x:c r="HHD63" s="291"/>
      <x:c r="HHE63" s="291"/>
      <x:c r="HHF63" s="291"/>
      <x:c r="HHG63" s="291"/>
      <x:c r="HHH63" s="291"/>
      <x:c r="HHI63" s="291"/>
      <x:c r="HHJ63" s="291"/>
      <x:c r="HHK63" s="291"/>
      <x:c r="HHL63" s="291"/>
      <x:c r="HHM63" s="291"/>
      <x:c r="HHN63" s="291"/>
      <x:c r="HHO63" s="291"/>
      <x:c r="HHP63" s="291"/>
      <x:c r="HHQ63" s="291"/>
      <x:c r="HHR63" s="291"/>
      <x:c r="HHS63" s="291"/>
      <x:c r="HHT63" s="291"/>
      <x:c r="HHU63" s="291"/>
      <x:c r="HHV63" s="291"/>
      <x:c r="HHW63" s="291"/>
      <x:c r="HHX63" s="291"/>
      <x:c r="HHY63" s="291"/>
      <x:c r="HHZ63" s="291"/>
      <x:c r="HIA63" s="291"/>
      <x:c r="HIB63" s="291"/>
      <x:c r="HIC63" s="291"/>
      <x:c r="HID63" s="291"/>
      <x:c r="HIE63" s="291"/>
      <x:c r="HIF63" s="291"/>
      <x:c r="HIG63" s="291"/>
      <x:c r="HIH63" s="291"/>
      <x:c r="HII63" s="291"/>
      <x:c r="HIJ63" s="291"/>
      <x:c r="HIK63" s="291"/>
      <x:c r="HIL63" s="291"/>
      <x:c r="HIM63" s="291"/>
      <x:c r="HIN63" s="291"/>
      <x:c r="HIO63" s="291"/>
      <x:c r="HIP63" s="291"/>
      <x:c r="HIQ63" s="291"/>
      <x:c r="HIR63" s="291"/>
      <x:c r="HIS63" s="291"/>
      <x:c r="HIT63" s="291"/>
      <x:c r="HIU63" s="291"/>
      <x:c r="HIV63" s="291"/>
      <x:c r="HIW63" s="291"/>
      <x:c r="HIX63" s="291"/>
      <x:c r="HIY63" s="291"/>
      <x:c r="HIZ63" s="291"/>
      <x:c r="HJA63" s="291"/>
      <x:c r="HJB63" s="291"/>
      <x:c r="HJC63" s="291"/>
      <x:c r="HJD63" s="291"/>
      <x:c r="HJE63" s="291"/>
      <x:c r="HJF63" s="291"/>
      <x:c r="HJG63" s="291"/>
      <x:c r="HJH63" s="291"/>
      <x:c r="HJI63" s="291"/>
      <x:c r="HJJ63" s="291"/>
      <x:c r="HJK63" s="291"/>
      <x:c r="HJL63" s="291"/>
      <x:c r="HJM63" s="291"/>
      <x:c r="HJN63" s="291"/>
      <x:c r="HJO63" s="291"/>
      <x:c r="HJP63" s="291"/>
      <x:c r="HJQ63" s="291"/>
      <x:c r="HJR63" s="291"/>
      <x:c r="HJS63" s="291"/>
      <x:c r="HJT63" s="291"/>
      <x:c r="HJU63" s="291"/>
      <x:c r="HJV63" s="291"/>
      <x:c r="HJW63" s="291"/>
      <x:c r="HJX63" s="291"/>
      <x:c r="HJY63" s="291"/>
      <x:c r="HJZ63" s="291"/>
      <x:c r="HKA63" s="291"/>
      <x:c r="HKB63" s="291"/>
      <x:c r="HKC63" s="291"/>
      <x:c r="HKD63" s="291"/>
      <x:c r="HKE63" s="291"/>
      <x:c r="HKF63" s="291"/>
      <x:c r="HKG63" s="291"/>
      <x:c r="HKH63" s="291"/>
      <x:c r="HKI63" s="291"/>
      <x:c r="HKJ63" s="291"/>
      <x:c r="HKK63" s="291"/>
      <x:c r="HKL63" s="291"/>
      <x:c r="HKM63" s="291"/>
      <x:c r="HKN63" s="291"/>
      <x:c r="HKO63" s="291"/>
      <x:c r="HKP63" s="291"/>
      <x:c r="HKQ63" s="291"/>
      <x:c r="HKR63" s="291"/>
      <x:c r="HKS63" s="291"/>
      <x:c r="HKT63" s="291"/>
      <x:c r="HKU63" s="291"/>
      <x:c r="HKV63" s="291"/>
      <x:c r="HKW63" s="291"/>
      <x:c r="HKX63" s="291"/>
      <x:c r="HKY63" s="291"/>
      <x:c r="HKZ63" s="291"/>
      <x:c r="HLA63" s="291"/>
      <x:c r="HLB63" s="291"/>
      <x:c r="HLC63" s="291"/>
      <x:c r="HLD63" s="291"/>
      <x:c r="HLE63" s="291"/>
      <x:c r="HLF63" s="291"/>
      <x:c r="HLG63" s="291"/>
      <x:c r="HLH63" s="291"/>
      <x:c r="HLI63" s="291"/>
      <x:c r="HLJ63" s="291"/>
      <x:c r="HLK63" s="291"/>
      <x:c r="HLL63" s="291"/>
      <x:c r="HLM63" s="291"/>
      <x:c r="HLN63" s="291"/>
      <x:c r="HLO63" s="291"/>
      <x:c r="HLP63" s="291"/>
      <x:c r="HLQ63" s="291"/>
      <x:c r="HLR63" s="291"/>
      <x:c r="HLS63" s="291"/>
      <x:c r="HLT63" s="291"/>
      <x:c r="HLU63" s="291"/>
      <x:c r="HLV63" s="291"/>
      <x:c r="HLW63" s="291"/>
      <x:c r="HLX63" s="291"/>
      <x:c r="HLY63" s="291"/>
      <x:c r="HLZ63" s="291"/>
      <x:c r="HMA63" s="291"/>
      <x:c r="HMB63" s="291"/>
      <x:c r="HMC63" s="291"/>
      <x:c r="HMD63" s="291"/>
      <x:c r="HME63" s="291"/>
      <x:c r="HMF63" s="291"/>
      <x:c r="HMG63" s="291"/>
      <x:c r="HMH63" s="291"/>
      <x:c r="HMI63" s="291"/>
      <x:c r="HMJ63" s="291"/>
      <x:c r="HMK63" s="291"/>
      <x:c r="HML63" s="291"/>
      <x:c r="HMM63" s="291"/>
      <x:c r="HMN63" s="291"/>
      <x:c r="HMO63" s="291"/>
      <x:c r="HMP63" s="291"/>
      <x:c r="HMQ63" s="291"/>
      <x:c r="HMR63" s="291"/>
      <x:c r="HMS63" s="291"/>
      <x:c r="HMT63" s="291"/>
      <x:c r="HMU63" s="291"/>
      <x:c r="HMV63" s="291"/>
      <x:c r="HMW63" s="291"/>
      <x:c r="HMX63" s="291"/>
      <x:c r="HMY63" s="291"/>
      <x:c r="HMZ63" s="291"/>
      <x:c r="HNA63" s="291"/>
      <x:c r="HNB63" s="291"/>
      <x:c r="HNC63" s="291"/>
      <x:c r="HND63" s="291"/>
      <x:c r="HNE63" s="291"/>
      <x:c r="HNF63" s="291"/>
      <x:c r="HNG63" s="291"/>
      <x:c r="HNH63" s="291"/>
      <x:c r="HNI63" s="291"/>
      <x:c r="HNJ63" s="291"/>
      <x:c r="HNK63" s="291"/>
      <x:c r="HNL63" s="291"/>
      <x:c r="HNM63" s="291"/>
      <x:c r="HNN63" s="291"/>
      <x:c r="HNO63" s="291"/>
      <x:c r="HNP63" s="291"/>
      <x:c r="HNQ63" s="291"/>
      <x:c r="HNR63" s="291"/>
      <x:c r="HNS63" s="291"/>
      <x:c r="HNT63" s="291"/>
      <x:c r="HNU63" s="291"/>
      <x:c r="HNV63" s="291"/>
      <x:c r="HNW63" s="291"/>
      <x:c r="HNX63" s="291"/>
      <x:c r="HNY63" s="291"/>
      <x:c r="HNZ63" s="291"/>
      <x:c r="HOA63" s="291"/>
      <x:c r="HOB63" s="291"/>
      <x:c r="HOC63" s="291"/>
      <x:c r="HOD63" s="291"/>
      <x:c r="HOE63" s="291"/>
      <x:c r="HOF63" s="291"/>
      <x:c r="HOG63" s="291"/>
      <x:c r="HOH63" s="291"/>
      <x:c r="HOI63" s="291"/>
      <x:c r="HOJ63" s="291"/>
      <x:c r="HOK63" s="291"/>
      <x:c r="HOL63" s="291"/>
      <x:c r="HOM63" s="291"/>
      <x:c r="HON63" s="291"/>
      <x:c r="HOO63" s="291"/>
      <x:c r="HOP63" s="291"/>
      <x:c r="HOQ63" s="291"/>
      <x:c r="HOR63" s="291"/>
      <x:c r="HOS63" s="291"/>
      <x:c r="HOT63" s="291"/>
      <x:c r="HOU63" s="291"/>
      <x:c r="HOV63" s="291"/>
      <x:c r="HOW63" s="291"/>
      <x:c r="HOX63" s="291"/>
      <x:c r="HOY63" s="291"/>
      <x:c r="HOZ63" s="291"/>
      <x:c r="HPA63" s="291"/>
      <x:c r="HPB63" s="291"/>
      <x:c r="HPC63" s="291"/>
      <x:c r="HPD63" s="291"/>
      <x:c r="HPE63" s="291"/>
      <x:c r="HPF63" s="291"/>
      <x:c r="HPG63" s="291"/>
      <x:c r="HPH63" s="291"/>
      <x:c r="HPI63" s="291"/>
      <x:c r="HPJ63" s="291"/>
      <x:c r="HPK63" s="291"/>
      <x:c r="HPL63" s="291"/>
      <x:c r="HPM63" s="291"/>
      <x:c r="HPN63" s="291"/>
      <x:c r="HPO63" s="291"/>
      <x:c r="HPP63" s="291"/>
      <x:c r="HPQ63" s="291"/>
      <x:c r="HPR63" s="291"/>
      <x:c r="HPS63" s="291"/>
      <x:c r="HPT63" s="291"/>
      <x:c r="HPU63" s="291"/>
      <x:c r="HPV63" s="291"/>
      <x:c r="HPW63" s="291"/>
      <x:c r="HPX63" s="291"/>
      <x:c r="HPY63" s="291"/>
      <x:c r="HPZ63" s="291"/>
      <x:c r="HQA63" s="291"/>
      <x:c r="HQB63" s="291"/>
      <x:c r="HQC63" s="291"/>
      <x:c r="HQD63" s="291"/>
      <x:c r="HQE63" s="291"/>
      <x:c r="HQF63" s="291"/>
      <x:c r="HQG63" s="291"/>
      <x:c r="HQH63" s="291"/>
      <x:c r="HQI63" s="291"/>
      <x:c r="HQJ63" s="291"/>
      <x:c r="HQK63" s="291"/>
      <x:c r="HQL63" s="291"/>
      <x:c r="HQM63" s="291"/>
      <x:c r="HQN63" s="291"/>
      <x:c r="HQO63" s="291"/>
      <x:c r="HQP63" s="291"/>
      <x:c r="HQQ63" s="291"/>
      <x:c r="HQR63" s="291"/>
      <x:c r="HQS63" s="291"/>
      <x:c r="HQT63" s="291"/>
      <x:c r="HQU63" s="291"/>
      <x:c r="HQV63" s="291"/>
      <x:c r="HQW63" s="291"/>
      <x:c r="HQX63" s="291"/>
      <x:c r="HQY63" s="291"/>
      <x:c r="HQZ63" s="291"/>
      <x:c r="HRA63" s="291"/>
      <x:c r="HRB63" s="291"/>
      <x:c r="HRC63" s="291"/>
      <x:c r="HRD63" s="291"/>
      <x:c r="HRE63" s="291"/>
      <x:c r="HRF63" s="291"/>
      <x:c r="HRG63" s="291"/>
      <x:c r="HRH63" s="291"/>
      <x:c r="HRI63" s="291"/>
      <x:c r="HRJ63" s="291"/>
      <x:c r="HRK63" s="291"/>
      <x:c r="HRL63" s="291"/>
      <x:c r="HRM63" s="291"/>
      <x:c r="HRN63" s="291"/>
      <x:c r="HRO63" s="291"/>
      <x:c r="HRP63" s="291"/>
      <x:c r="HRQ63" s="291"/>
      <x:c r="HRR63" s="291"/>
      <x:c r="HRS63" s="291"/>
      <x:c r="HRT63" s="291"/>
      <x:c r="HRU63" s="291"/>
      <x:c r="HRV63" s="291"/>
      <x:c r="HRW63" s="291"/>
      <x:c r="HRX63" s="291"/>
      <x:c r="HRY63" s="291"/>
      <x:c r="HRZ63" s="291"/>
      <x:c r="HSA63" s="291"/>
      <x:c r="HSB63" s="291"/>
      <x:c r="HSC63" s="291"/>
      <x:c r="HSD63" s="291"/>
      <x:c r="HSE63" s="291"/>
      <x:c r="HSF63" s="291"/>
      <x:c r="HSG63" s="291"/>
      <x:c r="HSH63" s="291"/>
      <x:c r="HSI63" s="291"/>
      <x:c r="HSJ63" s="291"/>
      <x:c r="HSK63" s="291"/>
      <x:c r="HSL63" s="291"/>
      <x:c r="HSM63" s="291"/>
      <x:c r="HSN63" s="291"/>
      <x:c r="HSO63" s="291"/>
      <x:c r="HSP63" s="291"/>
      <x:c r="HSQ63" s="291"/>
      <x:c r="HSR63" s="291"/>
      <x:c r="HSS63" s="291"/>
      <x:c r="HST63" s="291"/>
      <x:c r="HSU63" s="291"/>
      <x:c r="HSV63" s="291"/>
      <x:c r="HSW63" s="291"/>
      <x:c r="HSX63" s="291"/>
      <x:c r="HSY63" s="291"/>
      <x:c r="HSZ63" s="291"/>
      <x:c r="HTA63" s="291"/>
      <x:c r="HTB63" s="291"/>
      <x:c r="HTC63" s="291"/>
      <x:c r="HTD63" s="291"/>
      <x:c r="HTE63" s="291"/>
      <x:c r="HTF63" s="291"/>
      <x:c r="HTG63" s="291"/>
      <x:c r="HTH63" s="291"/>
      <x:c r="HTI63" s="291"/>
      <x:c r="HTJ63" s="291"/>
      <x:c r="HTK63" s="291"/>
      <x:c r="HTL63" s="291"/>
      <x:c r="HTM63" s="291"/>
      <x:c r="HTN63" s="291"/>
      <x:c r="HTO63" s="291"/>
      <x:c r="HTP63" s="291"/>
      <x:c r="HTQ63" s="291"/>
      <x:c r="HTR63" s="291"/>
      <x:c r="HTS63" s="291"/>
      <x:c r="HTT63" s="291"/>
      <x:c r="HTU63" s="291"/>
      <x:c r="HTV63" s="291"/>
      <x:c r="HTW63" s="291"/>
      <x:c r="HTX63" s="291"/>
      <x:c r="HTY63" s="291"/>
      <x:c r="HTZ63" s="291"/>
      <x:c r="HUA63" s="291"/>
      <x:c r="HUB63" s="291"/>
      <x:c r="HUC63" s="291"/>
      <x:c r="HUD63" s="291"/>
      <x:c r="HUE63" s="291"/>
      <x:c r="HUF63" s="291"/>
      <x:c r="HUG63" s="291"/>
      <x:c r="HUH63" s="291"/>
      <x:c r="HUI63" s="291"/>
      <x:c r="HUJ63" s="291"/>
      <x:c r="HUK63" s="291"/>
      <x:c r="HUL63" s="291"/>
      <x:c r="HUM63" s="291"/>
      <x:c r="HUN63" s="291"/>
      <x:c r="HUO63" s="291"/>
      <x:c r="HUP63" s="291"/>
      <x:c r="HUQ63" s="291"/>
      <x:c r="HUR63" s="291"/>
      <x:c r="HUS63" s="291"/>
      <x:c r="HUT63" s="291"/>
      <x:c r="HUU63" s="291"/>
      <x:c r="HUV63" s="291"/>
      <x:c r="HUW63" s="291"/>
      <x:c r="HUX63" s="291"/>
      <x:c r="HUY63" s="291"/>
      <x:c r="HUZ63" s="291"/>
      <x:c r="HVA63" s="291"/>
      <x:c r="HVB63" s="291"/>
      <x:c r="HVC63" s="291"/>
      <x:c r="HVD63" s="291"/>
      <x:c r="HVE63" s="291"/>
      <x:c r="HVF63" s="291"/>
      <x:c r="HVG63" s="291"/>
      <x:c r="HVH63" s="291"/>
      <x:c r="HVI63" s="291"/>
      <x:c r="HVJ63" s="291"/>
      <x:c r="HVK63" s="291"/>
      <x:c r="HVL63" s="291"/>
      <x:c r="HVM63" s="291"/>
      <x:c r="HVN63" s="291"/>
      <x:c r="HVO63" s="291"/>
      <x:c r="HVP63" s="291"/>
      <x:c r="HVQ63" s="291"/>
      <x:c r="HVR63" s="291"/>
      <x:c r="HVS63" s="291"/>
      <x:c r="HVT63" s="291"/>
      <x:c r="HVU63" s="291"/>
      <x:c r="HVV63" s="291"/>
      <x:c r="HVW63" s="291"/>
      <x:c r="HVX63" s="291"/>
      <x:c r="HVY63" s="291"/>
      <x:c r="HVZ63" s="291"/>
      <x:c r="HWA63" s="291"/>
      <x:c r="HWB63" s="291"/>
      <x:c r="HWC63" s="291"/>
      <x:c r="HWD63" s="291"/>
      <x:c r="HWE63" s="291"/>
      <x:c r="HWF63" s="291"/>
      <x:c r="HWG63" s="291"/>
      <x:c r="HWH63" s="291"/>
      <x:c r="HWI63" s="291"/>
      <x:c r="HWJ63" s="291"/>
      <x:c r="HWK63" s="291"/>
      <x:c r="HWL63" s="291"/>
      <x:c r="HWM63" s="291"/>
      <x:c r="HWN63" s="291"/>
      <x:c r="HWO63" s="291"/>
      <x:c r="HWP63" s="291"/>
      <x:c r="HWQ63" s="291"/>
      <x:c r="HWR63" s="291"/>
      <x:c r="HWS63" s="291"/>
      <x:c r="HWT63" s="291"/>
      <x:c r="HWU63" s="291"/>
      <x:c r="HWV63" s="291"/>
      <x:c r="HWW63" s="291"/>
      <x:c r="HWX63" s="291"/>
      <x:c r="HWY63" s="291"/>
      <x:c r="HWZ63" s="291"/>
      <x:c r="HXA63" s="291"/>
      <x:c r="HXB63" s="291"/>
      <x:c r="HXC63" s="291"/>
      <x:c r="HXD63" s="291"/>
      <x:c r="HXE63" s="291"/>
      <x:c r="HXF63" s="291"/>
      <x:c r="HXG63" s="291"/>
      <x:c r="HXH63" s="291"/>
      <x:c r="HXI63" s="291"/>
      <x:c r="HXJ63" s="291"/>
      <x:c r="HXK63" s="291"/>
      <x:c r="HXL63" s="291"/>
      <x:c r="HXM63" s="291"/>
      <x:c r="HXN63" s="291"/>
      <x:c r="HXO63" s="291"/>
      <x:c r="HXP63" s="291"/>
      <x:c r="HXQ63" s="291"/>
      <x:c r="HXR63" s="291"/>
      <x:c r="HXS63" s="291"/>
      <x:c r="HXT63" s="291"/>
      <x:c r="HXU63" s="291"/>
      <x:c r="HXV63" s="291"/>
      <x:c r="HXW63" s="291"/>
      <x:c r="HXX63" s="291"/>
      <x:c r="HXY63" s="291"/>
      <x:c r="HXZ63" s="291"/>
      <x:c r="HYA63" s="291"/>
      <x:c r="HYB63" s="291"/>
      <x:c r="HYC63" s="291"/>
      <x:c r="HYD63" s="291"/>
      <x:c r="HYE63" s="291"/>
      <x:c r="HYF63" s="291"/>
      <x:c r="HYG63" s="291"/>
      <x:c r="HYH63" s="291"/>
      <x:c r="HYI63" s="291"/>
      <x:c r="HYJ63" s="291"/>
      <x:c r="HYK63" s="291"/>
      <x:c r="HYL63" s="291"/>
      <x:c r="HYM63" s="291"/>
      <x:c r="HYN63" s="291"/>
      <x:c r="HYO63" s="291"/>
      <x:c r="HYP63" s="291"/>
      <x:c r="HYQ63" s="291"/>
      <x:c r="HYR63" s="291"/>
      <x:c r="HYS63" s="291"/>
      <x:c r="HYT63" s="291"/>
      <x:c r="HYU63" s="291"/>
      <x:c r="HYV63" s="291"/>
      <x:c r="HYW63" s="291"/>
      <x:c r="HYX63" s="291"/>
      <x:c r="HYY63" s="291"/>
      <x:c r="HYZ63" s="291"/>
      <x:c r="HZA63" s="291"/>
      <x:c r="HZB63" s="291"/>
      <x:c r="HZC63" s="291"/>
      <x:c r="HZD63" s="291"/>
      <x:c r="HZE63" s="291"/>
      <x:c r="HZF63" s="291"/>
      <x:c r="HZG63" s="291"/>
      <x:c r="HZH63" s="291"/>
      <x:c r="HZI63" s="291"/>
      <x:c r="HZJ63" s="291"/>
      <x:c r="HZK63" s="291"/>
      <x:c r="HZL63" s="291"/>
      <x:c r="HZM63" s="291"/>
      <x:c r="HZN63" s="291"/>
      <x:c r="HZO63" s="291"/>
      <x:c r="HZP63" s="291"/>
      <x:c r="HZQ63" s="291"/>
      <x:c r="HZR63" s="291"/>
      <x:c r="HZS63" s="291"/>
      <x:c r="HZT63" s="291"/>
      <x:c r="HZU63" s="291"/>
      <x:c r="HZV63" s="291"/>
      <x:c r="HZW63" s="291"/>
      <x:c r="HZX63" s="291"/>
      <x:c r="HZY63" s="291"/>
      <x:c r="HZZ63" s="291"/>
      <x:c r="IAA63" s="291"/>
      <x:c r="IAB63" s="291"/>
      <x:c r="IAC63" s="291"/>
      <x:c r="IAD63" s="291"/>
      <x:c r="IAE63" s="291"/>
      <x:c r="IAF63" s="291"/>
      <x:c r="IAG63" s="291"/>
      <x:c r="IAH63" s="291"/>
      <x:c r="IAI63" s="291"/>
      <x:c r="IAJ63" s="291"/>
      <x:c r="IAK63" s="291"/>
      <x:c r="IAL63" s="291"/>
      <x:c r="IAM63" s="291"/>
      <x:c r="IAN63" s="291"/>
      <x:c r="IAO63" s="291"/>
      <x:c r="IAP63" s="291"/>
      <x:c r="IAQ63" s="291"/>
      <x:c r="IAR63" s="291"/>
      <x:c r="IAS63" s="291"/>
      <x:c r="IAT63" s="291"/>
      <x:c r="IAU63" s="291"/>
      <x:c r="IAV63" s="291"/>
      <x:c r="IAW63" s="291"/>
      <x:c r="IAX63" s="291"/>
      <x:c r="IAY63" s="291"/>
      <x:c r="IAZ63" s="291"/>
      <x:c r="IBA63" s="291"/>
      <x:c r="IBB63" s="291"/>
      <x:c r="IBC63" s="291"/>
      <x:c r="IBD63" s="291"/>
      <x:c r="IBE63" s="291"/>
      <x:c r="IBF63" s="291"/>
      <x:c r="IBG63" s="291"/>
      <x:c r="IBH63" s="291"/>
      <x:c r="IBI63" s="291"/>
      <x:c r="IBJ63" s="291"/>
      <x:c r="IBK63" s="291"/>
      <x:c r="IBL63" s="291"/>
      <x:c r="IBM63" s="291"/>
      <x:c r="IBN63" s="291"/>
      <x:c r="IBO63" s="291"/>
      <x:c r="IBP63" s="291"/>
      <x:c r="IBQ63" s="291"/>
      <x:c r="IBR63" s="291"/>
      <x:c r="IBS63" s="291"/>
      <x:c r="IBT63" s="291"/>
      <x:c r="IBU63" s="291"/>
      <x:c r="IBV63" s="291"/>
      <x:c r="IBW63" s="291"/>
      <x:c r="IBX63" s="291"/>
      <x:c r="IBY63" s="291"/>
      <x:c r="IBZ63" s="291"/>
      <x:c r="ICA63" s="291"/>
      <x:c r="ICB63" s="291"/>
      <x:c r="ICC63" s="291"/>
      <x:c r="ICD63" s="291"/>
      <x:c r="ICE63" s="291"/>
      <x:c r="ICF63" s="291"/>
      <x:c r="ICG63" s="291"/>
      <x:c r="ICH63" s="291"/>
      <x:c r="ICI63" s="291"/>
      <x:c r="ICJ63" s="291"/>
      <x:c r="ICK63" s="291"/>
      <x:c r="ICL63" s="291"/>
      <x:c r="ICM63" s="291"/>
      <x:c r="ICN63" s="291"/>
      <x:c r="ICO63" s="291"/>
      <x:c r="ICP63" s="291"/>
      <x:c r="ICQ63" s="291"/>
      <x:c r="ICR63" s="291"/>
      <x:c r="ICS63" s="291"/>
      <x:c r="ICT63" s="291"/>
      <x:c r="ICU63" s="291"/>
      <x:c r="ICV63" s="291"/>
      <x:c r="ICW63" s="291"/>
      <x:c r="ICX63" s="291"/>
      <x:c r="ICY63" s="291"/>
      <x:c r="ICZ63" s="291"/>
      <x:c r="IDA63" s="291"/>
      <x:c r="IDB63" s="291"/>
      <x:c r="IDC63" s="291"/>
      <x:c r="IDD63" s="291"/>
      <x:c r="IDE63" s="291"/>
      <x:c r="IDF63" s="291"/>
      <x:c r="IDG63" s="291"/>
      <x:c r="IDH63" s="291"/>
      <x:c r="IDI63" s="291"/>
      <x:c r="IDJ63" s="291"/>
      <x:c r="IDK63" s="291"/>
      <x:c r="IDL63" s="291"/>
      <x:c r="IDM63" s="291"/>
      <x:c r="IDN63" s="291"/>
      <x:c r="IDO63" s="291"/>
      <x:c r="IDP63" s="291"/>
      <x:c r="IDQ63" s="291"/>
      <x:c r="IDR63" s="291"/>
      <x:c r="IDS63" s="291"/>
      <x:c r="IDT63" s="291"/>
      <x:c r="IDU63" s="291"/>
      <x:c r="IDV63" s="291"/>
      <x:c r="IDW63" s="291"/>
      <x:c r="IDX63" s="291"/>
      <x:c r="IDY63" s="291"/>
      <x:c r="IDZ63" s="291"/>
      <x:c r="IEA63" s="291"/>
      <x:c r="IEB63" s="291"/>
      <x:c r="IEC63" s="291"/>
      <x:c r="IED63" s="291"/>
      <x:c r="IEE63" s="291"/>
      <x:c r="IEF63" s="291"/>
      <x:c r="IEG63" s="291"/>
      <x:c r="IEH63" s="291"/>
      <x:c r="IEI63" s="291"/>
      <x:c r="IEJ63" s="291"/>
      <x:c r="IEK63" s="291"/>
      <x:c r="IEL63" s="291"/>
      <x:c r="IEM63" s="291"/>
      <x:c r="IEN63" s="291"/>
      <x:c r="IEO63" s="291"/>
      <x:c r="IEP63" s="291"/>
      <x:c r="IEQ63" s="291"/>
      <x:c r="IER63" s="291"/>
      <x:c r="IES63" s="291"/>
      <x:c r="IET63" s="291"/>
      <x:c r="IEU63" s="291"/>
      <x:c r="IEV63" s="291"/>
      <x:c r="IEW63" s="291"/>
      <x:c r="IEX63" s="291"/>
      <x:c r="IEY63" s="291"/>
      <x:c r="IEZ63" s="291"/>
      <x:c r="IFA63" s="291"/>
      <x:c r="IFB63" s="291"/>
      <x:c r="IFC63" s="291"/>
      <x:c r="IFD63" s="291"/>
      <x:c r="IFE63" s="291"/>
      <x:c r="IFF63" s="291"/>
      <x:c r="IFG63" s="291"/>
      <x:c r="IFH63" s="291"/>
      <x:c r="IFI63" s="291"/>
      <x:c r="IFJ63" s="291"/>
      <x:c r="IFK63" s="291"/>
      <x:c r="IFL63" s="291"/>
      <x:c r="IFM63" s="291"/>
      <x:c r="IFN63" s="291"/>
      <x:c r="IFO63" s="291"/>
      <x:c r="IFP63" s="291"/>
      <x:c r="IFQ63" s="291"/>
      <x:c r="IFR63" s="291"/>
      <x:c r="IFS63" s="291"/>
      <x:c r="IFT63" s="291"/>
      <x:c r="IFU63" s="291"/>
      <x:c r="IFV63" s="291"/>
      <x:c r="IFW63" s="291"/>
      <x:c r="IFX63" s="291"/>
      <x:c r="IFY63" s="291"/>
      <x:c r="IFZ63" s="291"/>
      <x:c r="IGA63" s="291"/>
      <x:c r="IGB63" s="291"/>
      <x:c r="IGC63" s="291"/>
      <x:c r="IGD63" s="291"/>
      <x:c r="IGE63" s="291"/>
      <x:c r="IGF63" s="291"/>
      <x:c r="IGG63" s="291"/>
      <x:c r="IGH63" s="291"/>
      <x:c r="IGI63" s="291"/>
      <x:c r="IGJ63" s="291"/>
      <x:c r="IGK63" s="291"/>
      <x:c r="IGL63" s="291"/>
      <x:c r="IGM63" s="291"/>
      <x:c r="IGN63" s="291"/>
      <x:c r="IGO63" s="291"/>
      <x:c r="IGP63" s="291"/>
      <x:c r="IGQ63" s="291"/>
      <x:c r="IGR63" s="291"/>
      <x:c r="IGS63" s="291"/>
      <x:c r="IGT63" s="291"/>
      <x:c r="IGU63" s="291"/>
      <x:c r="IGV63" s="291"/>
      <x:c r="IGW63" s="291"/>
      <x:c r="IGX63" s="291"/>
      <x:c r="IGY63" s="291"/>
      <x:c r="IGZ63" s="291"/>
      <x:c r="IHA63" s="291"/>
      <x:c r="IHB63" s="291"/>
      <x:c r="IHC63" s="291"/>
      <x:c r="IHD63" s="291"/>
      <x:c r="IHE63" s="291"/>
      <x:c r="IHF63" s="291"/>
      <x:c r="IHG63" s="291"/>
      <x:c r="IHH63" s="291"/>
      <x:c r="IHI63" s="291"/>
      <x:c r="IHJ63" s="291"/>
      <x:c r="IHK63" s="291"/>
      <x:c r="IHL63" s="291"/>
      <x:c r="IHM63" s="291"/>
      <x:c r="IHN63" s="291"/>
      <x:c r="IHO63" s="291"/>
      <x:c r="IHP63" s="291"/>
      <x:c r="IHQ63" s="291"/>
      <x:c r="IHR63" s="291"/>
      <x:c r="IHS63" s="291"/>
      <x:c r="IHT63" s="291"/>
      <x:c r="IHU63" s="291"/>
      <x:c r="IHV63" s="291"/>
      <x:c r="IHW63" s="291"/>
      <x:c r="IHX63" s="291"/>
      <x:c r="IHY63" s="291"/>
      <x:c r="IHZ63" s="291"/>
      <x:c r="IIA63" s="291"/>
      <x:c r="IIB63" s="291"/>
      <x:c r="IIC63" s="291"/>
      <x:c r="IID63" s="291"/>
      <x:c r="IIE63" s="291"/>
      <x:c r="IIF63" s="291"/>
      <x:c r="IIG63" s="291"/>
      <x:c r="IIH63" s="291"/>
      <x:c r="III63" s="291"/>
      <x:c r="IIJ63" s="291"/>
      <x:c r="IIK63" s="291"/>
      <x:c r="IIL63" s="291"/>
      <x:c r="IIM63" s="291"/>
      <x:c r="IIN63" s="291"/>
      <x:c r="IIO63" s="291"/>
      <x:c r="IIP63" s="291"/>
      <x:c r="IIQ63" s="291"/>
      <x:c r="IIR63" s="291"/>
      <x:c r="IIS63" s="291"/>
      <x:c r="IIT63" s="291"/>
      <x:c r="IIU63" s="291"/>
      <x:c r="IIV63" s="291"/>
      <x:c r="IIW63" s="291"/>
      <x:c r="IIX63" s="291"/>
      <x:c r="IIY63" s="291"/>
      <x:c r="IIZ63" s="291"/>
      <x:c r="IJA63" s="291"/>
      <x:c r="IJB63" s="291"/>
      <x:c r="IJC63" s="291"/>
      <x:c r="IJD63" s="291"/>
      <x:c r="IJE63" s="291"/>
      <x:c r="IJF63" s="291"/>
      <x:c r="IJG63" s="291"/>
      <x:c r="IJH63" s="291"/>
      <x:c r="IJI63" s="291"/>
      <x:c r="IJJ63" s="291"/>
      <x:c r="IJK63" s="291"/>
      <x:c r="IJL63" s="291"/>
      <x:c r="IJM63" s="291"/>
      <x:c r="IJN63" s="291"/>
      <x:c r="IJO63" s="291"/>
      <x:c r="IJP63" s="291"/>
      <x:c r="IJQ63" s="291"/>
      <x:c r="IJR63" s="291"/>
      <x:c r="IJS63" s="291"/>
      <x:c r="IJT63" s="291"/>
      <x:c r="IJU63" s="291"/>
      <x:c r="IJV63" s="291"/>
      <x:c r="IJW63" s="291"/>
      <x:c r="IJX63" s="291"/>
      <x:c r="IJY63" s="291"/>
      <x:c r="IJZ63" s="291"/>
      <x:c r="IKA63" s="291"/>
      <x:c r="IKB63" s="291"/>
      <x:c r="IKC63" s="291"/>
      <x:c r="IKD63" s="291"/>
      <x:c r="IKE63" s="291"/>
      <x:c r="IKF63" s="291"/>
      <x:c r="IKG63" s="291"/>
      <x:c r="IKH63" s="291"/>
      <x:c r="IKI63" s="291"/>
      <x:c r="IKJ63" s="291"/>
      <x:c r="IKK63" s="291"/>
      <x:c r="IKL63" s="291"/>
      <x:c r="IKM63" s="291"/>
      <x:c r="IKN63" s="291"/>
      <x:c r="IKO63" s="291"/>
      <x:c r="IKP63" s="291"/>
      <x:c r="IKQ63" s="291"/>
      <x:c r="IKR63" s="291"/>
      <x:c r="IKS63" s="291"/>
      <x:c r="IKT63" s="291"/>
      <x:c r="IKU63" s="291"/>
      <x:c r="IKV63" s="291"/>
      <x:c r="IKW63" s="291"/>
      <x:c r="IKX63" s="291"/>
      <x:c r="IKY63" s="291"/>
      <x:c r="IKZ63" s="291"/>
      <x:c r="ILA63" s="291"/>
      <x:c r="ILB63" s="291"/>
      <x:c r="ILC63" s="291"/>
      <x:c r="ILD63" s="291"/>
      <x:c r="ILE63" s="291"/>
      <x:c r="ILF63" s="291"/>
      <x:c r="ILG63" s="291"/>
      <x:c r="ILH63" s="291"/>
      <x:c r="ILI63" s="291"/>
      <x:c r="ILJ63" s="291"/>
      <x:c r="ILK63" s="291"/>
      <x:c r="ILL63" s="291"/>
      <x:c r="ILM63" s="291"/>
      <x:c r="ILN63" s="291"/>
      <x:c r="ILO63" s="291"/>
      <x:c r="ILP63" s="291"/>
      <x:c r="ILQ63" s="291"/>
      <x:c r="ILR63" s="291"/>
      <x:c r="ILS63" s="291"/>
      <x:c r="ILT63" s="291"/>
      <x:c r="ILU63" s="291"/>
      <x:c r="ILV63" s="291"/>
      <x:c r="ILW63" s="291"/>
      <x:c r="ILX63" s="291"/>
      <x:c r="ILY63" s="291"/>
      <x:c r="ILZ63" s="291"/>
      <x:c r="IMA63" s="291"/>
      <x:c r="IMB63" s="291"/>
      <x:c r="IMC63" s="291"/>
      <x:c r="IMD63" s="291"/>
      <x:c r="IME63" s="291"/>
      <x:c r="IMF63" s="291"/>
      <x:c r="IMG63" s="291"/>
      <x:c r="IMH63" s="291"/>
      <x:c r="IMI63" s="291"/>
      <x:c r="IMJ63" s="291"/>
      <x:c r="IMK63" s="291"/>
      <x:c r="IML63" s="291"/>
      <x:c r="IMM63" s="291"/>
      <x:c r="IMN63" s="291"/>
      <x:c r="IMO63" s="291"/>
      <x:c r="IMP63" s="291"/>
      <x:c r="IMQ63" s="291"/>
      <x:c r="IMR63" s="291"/>
      <x:c r="IMS63" s="291"/>
      <x:c r="IMT63" s="291"/>
      <x:c r="IMU63" s="291"/>
      <x:c r="IMV63" s="291"/>
      <x:c r="IMW63" s="291"/>
      <x:c r="IMX63" s="291"/>
      <x:c r="IMY63" s="291"/>
      <x:c r="IMZ63" s="291"/>
      <x:c r="INA63" s="291"/>
      <x:c r="INB63" s="291"/>
      <x:c r="INC63" s="291"/>
      <x:c r="IND63" s="291"/>
      <x:c r="INE63" s="291"/>
      <x:c r="INF63" s="291"/>
      <x:c r="ING63" s="291"/>
      <x:c r="INH63" s="291"/>
      <x:c r="INI63" s="291"/>
      <x:c r="INJ63" s="291"/>
      <x:c r="INK63" s="291"/>
      <x:c r="INL63" s="291"/>
      <x:c r="INM63" s="291"/>
      <x:c r="INN63" s="291"/>
      <x:c r="INO63" s="291"/>
      <x:c r="INP63" s="291"/>
      <x:c r="INQ63" s="291"/>
      <x:c r="INR63" s="291"/>
      <x:c r="INS63" s="291"/>
      <x:c r="INT63" s="291"/>
      <x:c r="INU63" s="291"/>
      <x:c r="INV63" s="291"/>
      <x:c r="INW63" s="291"/>
      <x:c r="INX63" s="291"/>
      <x:c r="INY63" s="291"/>
      <x:c r="INZ63" s="291"/>
      <x:c r="IOA63" s="291"/>
      <x:c r="IOB63" s="291"/>
      <x:c r="IOC63" s="291"/>
      <x:c r="IOD63" s="291"/>
      <x:c r="IOE63" s="291"/>
      <x:c r="IOF63" s="291"/>
      <x:c r="IOG63" s="291"/>
      <x:c r="IOH63" s="291"/>
      <x:c r="IOI63" s="291"/>
      <x:c r="IOJ63" s="291"/>
      <x:c r="IOK63" s="291"/>
      <x:c r="IOL63" s="291"/>
      <x:c r="IOM63" s="291"/>
      <x:c r="ION63" s="291"/>
      <x:c r="IOO63" s="291"/>
      <x:c r="IOP63" s="291"/>
      <x:c r="IOQ63" s="291"/>
      <x:c r="IOR63" s="291"/>
      <x:c r="IOS63" s="291"/>
      <x:c r="IOT63" s="291"/>
      <x:c r="IOU63" s="291"/>
      <x:c r="IOV63" s="291"/>
      <x:c r="IOW63" s="291"/>
      <x:c r="IOX63" s="291"/>
      <x:c r="IOY63" s="291"/>
      <x:c r="IOZ63" s="291"/>
      <x:c r="IPA63" s="291"/>
      <x:c r="IPB63" s="291"/>
      <x:c r="IPC63" s="291"/>
      <x:c r="IPD63" s="291"/>
      <x:c r="IPE63" s="291"/>
      <x:c r="IPF63" s="291"/>
      <x:c r="IPG63" s="291"/>
      <x:c r="IPH63" s="291"/>
      <x:c r="IPI63" s="291"/>
      <x:c r="IPJ63" s="291"/>
      <x:c r="IPK63" s="291"/>
      <x:c r="IPL63" s="291"/>
      <x:c r="IPM63" s="291"/>
      <x:c r="IPN63" s="291"/>
      <x:c r="IPO63" s="291"/>
      <x:c r="IPP63" s="291"/>
      <x:c r="IPQ63" s="291"/>
      <x:c r="IPR63" s="291"/>
      <x:c r="IPS63" s="291"/>
      <x:c r="IPT63" s="291"/>
      <x:c r="IPU63" s="291"/>
      <x:c r="IPV63" s="291"/>
      <x:c r="IPW63" s="291"/>
      <x:c r="IPX63" s="291"/>
      <x:c r="IPY63" s="291"/>
      <x:c r="IPZ63" s="291"/>
      <x:c r="IQA63" s="291"/>
      <x:c r="IQB63" s="291"/>
      <x:c r="IQC63" s="291"/>
      <x:c r="IQD63" s="291"/>
      <x:c r="IQE63" s="291"/>
      <x:c r="IQF63" s="291"/>
      <x:c r="IQG63" s="291"/>
      <x:c r="IQH63" s="291"/>
      <x:c r="IQI63" s="291"/>
      <x:c r="IQJ63" s="291"/>
      <x:c r="IQK63" s="291"/>
      <x:c r="IQL63" s="291"/>
      <x:c r="IQM63" s="291"/>
      <x:c r="IQN63" s="291"/>
      <x:c r="IQO63" s="291"/>
      <x:c r="IQP63" s="291"/>
      <x:c r="IQQ63" s="291"/>
      <x:c r="IQR63" s="291"/>
      <x:c r="IQS63" s="291"/>
      <x:c r="IQT63" s="291"/>
      <x:c r="IQU63" s="291"/>
      <x:c r="IQV63" s="291"/>
      <x:c r="IQW63" s="291"/>
      <x:c r="IQX63" s="291"/>
      <x:c r="IQY63" s="291"/>
      <x:c r="IQZ63" s="291"/>
      <x:c r="IRA63" s="291"/>
      <x:c r="IRB63" s="291"/>
      <x:c r="IRC63" s="291"/>
      <x:c r="IRD63" s="291"/>
      <x:c r="IRE63" s="291"/>
      <x:c r="IRF63" s="291"/>
      <x:c r="IRG63" s="291"/>
      <x:c r="IRH63" s="291"/>
      <x:c r="IRI63" s="291"/>
      <x:c r="IRJ63" s="291"/>
      <x:c r="IRK63" s="291"/>
      <x:c r="IRL63" s="291"/>
      <x:c r="IRM63" s="291"/>
      <x:c r="IRN63" s="291"/>
      <x:c r="IRO63" s="291"/>
      <x:c r="IRP63" s="291"/>
      <x:c r="IRQ63" s="291"/>
      <x:c r="IRR63" s="291"/>
      <x:c r="IRS63" s="291"/>
      <x:c r="IRT63" s="291"/>
      <x:c r="IRU63" s="291"/>
      <x:c r="IRV63" s="291"/>
      <x:c r="IRW63" s="291"/>
      <x:c r="IRX63" s="291"/>
      <x:c r="IRY63" s="291"/>
      <x:c r="IRZ63" s="291"/>
      <x:c r="ISA63" s="291"/>
      <x:c r="ISB63" s="291"/>
      <x:c r="ISC63" s="291"/>
      <x:c r="ISD63" s="291"/>
      <x:c r="ISE63" s="291"/>
      <x:c r="ISF63" s="291"/>
      <x:c r="ISG63" s="291"/>
      <x:c r="ISH63" s="291"/>
      <x:c r="ISI63" s="291"/>
      <x:c r="ISJ63" s="291"/>
      <x:c r="ISK63" s="291"/>
      <x:c r="ISL63" s="291"/>
      <x:c r="ISM63" s="291"/>
      <x:c r="ISN63" s="291"/>
      <x:c r="ISO63" s="291"/>
      <x:c r="ISP63" s="291"/>
      <x:c r="ISQ63" s="291"/>
      <x:c r="ISR63" s="291"/>
      <x:c r="ISS63" s="291"/>
      <x:c r="IST63" s="291"/>
      <x:c r="ISU63" s="291"/>
      <x:c r="ISV63" s="291"/>
      <x:c r="ISW63" s="291"/>
      <x:c r="ISX63" s="291"/>
      <x:c r="ISY63" s="291"/>
      <x:c r="ISZ63" s="291"/>
      <x:c r="ITA63" s="291"/>
      <x:c r="ITB63" s="291"/>
      <x:c r="ITC63" s="291"/>
      <x:c r="ITD63" s="291"/>
      <x:c r="ITE63" s="291"/>
      <x:c r="ITF63" s="291"/>
      <x:c r="ITG63" s="291"/>
      <x:c r="ITH63" s="291"/>
      <x:c r="ITI63" s="291"/>
      <x:c r="ITJ63" s="291"/>
      <x:c r="ITK63" s="291"/>
      <x:c r="ITL63" s="291"/>
      <x:c r="ITM63" s="291"/>
      <x:c r="ITN63" s="291"/>
      <x:c r="ITO63" s="291"/>
      <x:c r="ITP63" s="291"/>
      <x:c r="ITQ63" s="291"/>
      <x:c r="ITR63" s="291"/>
      <x:c r="ITS63" s="291"/>
      <x:c r="ITT63" s="291"/>
      <x:c r="ITU63" s="291"/>
      <x:c r="ITV63" s="291"/>
      <x:c r="ITW63" s="291"/>
      <x:c r="ITX63" s="291"/>
      <x:c r="ITY63" s="291"/>
      <x:c r="ITZ63" s="291"/>
      <x:c r="IUA63" s="291"/>
      <x:c r="IUB63" s="291"/>
      <x:c r="IUC63" s="291"/>
      <x:c r="IUD63" s="291"/>
      <x:c r="IUE63" s="291"/>
      <x:c r="IUF63" s="291"/>
      <x:c r="IUG63" s="291"/>
      <x:c r="IUH63" s="291"/>
      <x:c r="IUI63" s="291"/>
      <x:c r="IUJ63" s="291"/>
      <x:c r="IUK63" s="291"/>
      <x:c r="IUL63" s="291"/>
      <x:c r="IUM63" s="291"/>
      <x:c r="IUN63" s="291"/>
      <x:c r="IUO63" s="291"/>
      <x:c r="IUP63" s="291"/>
      <x:c r="IUQ63" s="291"/>
      <x:c r="IUR63" s="291"/>
      <x:c r="IUS63" s="291"/>
      <x:c r="IUT63" s="291"/>
      <x:c r="IUU63" s="291"/>
      <x:c r="IUV63" s="291"/>
      <x:c r="IUW63" s="291"/>
      <x:c r="IUX63" s="291"/>
      <x:c r="IUY63" s="291"/>
      <x:c r="IUZ63" s="291"/>
      <x:c r="IVA63" s="291"/>
      <x:c r="IVB63" s="291"/>
      <x:c r="IVC63" s="291"/>
      <x:c r="IVD63" s="291"/>
      <x:c r="IVE63" s="291"/>
      <x:c r="IVF63" s="291"/>
      <x:c r="IVG63" s="291"/>
      <x:c r="IVH63" s="291"/>
      <x:c r="IVI63" s="291"/>
      <x:c r="IVJ63" s="291"/>
      <x:c r="IVK63" s="291"/>
      <x:c r="IVL63" s="291"/>
      <x:c r="IVM63" s="291"/>
      <x:c r="IVN63" s="291"/>
      <x:c r="IVO63" s="291"/>
      <x:c r="IVP63" s="291"/>
      <x:c r="IVQ63" s="291"/>
      <x:c r="IVR63" s="291"/>
      <x:c r="IVS63" s="291"/>
      <x:c r="IVT63" s="291"/>
      <x:c r="IVU63" s="291"/>
      <x:c r="IVV63" s="291"/>
      <x:c r="IVW63" s="291"/>
      <x:c r="IVX63" s="291"/>
      <x:c r="IVY63" s="291"/>
      <x:c r="IVZ63" s="291"/>
      <x:c r="IWA63" s="291"/>
      <x:c r="IWB63" s="291"/>
      <x:c r="IWC63" s="291"/>
      <x:c r="IWD63" s="291"/>
      <x:c r="IWE63" s="291"/>
      <x:c r="IWF63" s="291"/>
      <x:c r="IWG63" s="291"/>
      <x:c r="IWH63" s="291"/>
      <x:c r="IWI63" s="291"/>
      <x:c r="IWJ63" s="291"/>
      <x:c r="IWK63" s="291"/>
      <x:c r="IWL63" s="291"/>
      <x:c r="IWM63" s="291"/>
      <x:c r="IWN63" s="291"/>
      <x:c r="IWO63" s="291"/>
      <x:c r="IWP63" s="291"/>
      <x:c r="IWQ63" s="291"/>
      <x:c r="IWR63" s="291"/>
      <x:c r="IWS63" s="291"/>
      <x:c r="IWT63" s="291"/>
      <x:c r="IWU63" s="291"/>
      <x:c r="IWV63" s="291"/>
      <x:c r="IWW63" s="291"/>
      <x:c r="IWX63" s="291"/>
      <x:c r="IWY63" s="291"/>
      <x:c r="IWZ63" s="291"/>
      <x:c r="IXA63" s="291"/>
      <x:c r="IXB63" s="291"/>
      <x:c r="IXC63" s="291"/>
      <x:c r="IXD63" s="291"/>
      <x:c r="IXE63" s="291"/>
      <x:c r="IXF63" s="291"/>
      <x:c r="IXG63" s="291"/>
      <x:c r="IXH63" s="291"/>
      <x:c r="IXI63" s="291"/>
      <x:c r="IXJ63" s="291"/>
      <x:c r="IXK63" s="291"/>
      <x:c r="IXL63" s="291"/>
      <x:c r="IXM63" s="291"/>
      <x:c r="IXN63" s="291"/>
      <x:c r="IXO63" s="291"/>
      <x:c r="IXP63" s="291"/>
      <x:c r="IXQ63" s="291"/>
      <x:c r="IXR63" s="291"/>
      <x:c r="IXS63" s="291"/>
      <x:c r="IXT63" s="291"/>
      <x:c r="IXU63" s="291"/>
      <x:c r="IXV63" s="291"/>
      <x:c r="IXW63" s="291"/>
      <x:c r="IXX63" s="291"/>
      <x:c r="IXY63" s="291"/>
      <x:c r="IXZ63" s="291"/>
      <x:c r="IYA63" s="291"/>
      <x:c r="IYB63" s="291"/>
      <x:c r="IYC63" s="291"/>
      <x:c r="IYD63" s="291"/>
      <x:c r="IYE63" s="291"/>
      <x:c r="IYF63" s="291"/>
      <x:c r="IYG63" s="291"/>
      <x:c r="IYH63" s="291"/>
      <x:c r="IYI63" s="291"/>
      <x:c r="IYJ63" s="291"/>
      <x:c r="IYK63" s="291"/>
      <x:c r="IYL63" s="291"/>
      <x:c r="IYM63" s="291"/>
      <x:c r="IYN63" s="291"/>
      <x:c r="IYO63" s="291"/>
      <x:c r="IYP63" s="291"/>
      <x:c r="IYQ63" s="291"/>
      <x:c r="IYR63" s="291"/>
      <x:c r="IYS63" s="291"/>
      <x:c r="IYT63" s="291"/>
      <x:c r="IYU63" s="291"/>
      <x:c r="IYV63" s="291"/>
      <x:c r="IYW63" s="291"/>
      <x:c r="IYX63" s="291"/>
      <x:c r="IYY63" s="291"/>
      <x:c r="IYZ63" s="291"/>
      <x:c r="IZA63" s="291"/>
      <x:c r="IZB63" s="291"/>
      <x:c r="IZC63" s="291"/>
      <x:c r="IZD63" s="291"/>
      <x:c r="IZE63" s="291"/>
      <x:c r="IZF63" s="291"/>
      <x:c r="IZG63" s="291"/>
      <x:c r="IZH63" s="291"/>
      <x:c r="IZI63" s="291"/>
      <x:c r="IZJ63" s="291"/>
      <x:c r="IZK63" s="291"/>
      <x:c r="IZL63" s="291"/>
      <x:c r="IZM63" s="291"/>
      <x:c r="IZN63" s="291"/>
      <x:c r="IZO63" s="291"/>
      <x:c r="IZP63" s="291"/>
      <x:c r="IZQ63" s="291"/>
      <x:c r="IZR63" s="291"/>
      <x:c r="IZS63" s="291"/>
      <x:c r="IZT63" s="291"/>
      <x:c r="IZU63" s="291"/>
      <x:c r="IZV63" s="291"/>
      <x:c r="IZW63" s="291"/>
      <x:c r="IZX63" s="291"/>
      <x:c r="IZY63" s="291"/>
      <x:c r="IZZ63" s="291"/>
      <x:c r="JAA63" s="291"/>
      <x:c r="JAB63" s="291"/>
      <x:c r="JAC63" s="291"/>
      <x:c r="JAD63" s="291"/>
      <x:c r="JAE63" s="291"/>
      <x:c r="JAF63" s="291"/>
      <x:c r="JAG63" s="291"/>
      <x:c r="JAH63" s="291"/>
      <x:c r="JAI63" s="291"/>
      <x:c r="JAJ63" s="291"/>
      <x:c r="JAK63" s="291"/>
      <x:c r="JAL63" s="291"/>
      <x:c r="JAM63" s="291"/>
      <x:c r="JAN63" s="291"/>
      <x:c r="JAO63" s="291"/>
      <x:c r="JAP63" s="291"/>
      <x:c r="JAQ63" s="291"/>
      <x:c r="JAR63" s="291"/>
      <x:c r="JAS63" s="291"/>
      <x:c r="JAT63" s="291"/>
      <x:c r="JAU63" s="291"/>
      <x:c r="JAV63" s="291"/>
      <x:c r="JAW63" s="291"/>
      <x:c r="JAX63" s="291"/>
      <x:c r="JAY63" s="291"/>
      <x:c r="JAZ63" s="291"/>
      <x:c r="JBA63" s="291"/>
      <x:c r="JBB63" s="291"/>
      <x:c r="JBC63" s="291"/>
      <x:c r="JBD63" s="291"/>
      <x:c r="JBE63" s="291"/>
      <x:c r="JBF63" s="291"/>
      <x:c r="JBG63" s="291"/>
      <x:c r="JBH63" s="291"/>
      <x:c r="JBI63" s="291"/>
      <x:c r="JBJ63" s="291"/>
      <x:c r="JBK63" s="291"/>
      <x:c r="JBL63" s="291"/>
      <x:c r="JBM63" s="291"/>
      <x:c r="JBN63" s="291"/>
      <x:c r="JBO63" s="291"/>
      <x:c r="JBP63" s="291"/>
      <x:c r="JBQ63" s="291"/>
      <x:c r="JBR63" s="291"/>
      <x:c r="JBS63" s="291"/>
      <x:c r="JBT63" s="291"/>
      <x:c r="JBU63" s="291"/>
      <x:c r="JBV63" s="291"/>
      <x:c r="JBW63" s="291"/>
      <x:c r="JBX63" s="291"/>
      <x:c r="JBY63" s="291"/>
      <x:c r="JBZ63" s="291"/>
      <x:c r="JCA63" s="291"/>
      <x:c r="JCB63" s="291"/>
      <x:c r="JCC63" s="291"/>
      <x:c r="JCD63" s="291"/>
      <x:c r="JCE63" s="291"/>
      <x:c r="JCF63" s="291"/>
      <x:c r="JCG63" s="291"/>
      <x:c r="JCH63" s="291"/>
      <x:c r="JCI63" s="291"/>
      <x:c r="JCJ63" s="291"/>
      <x:c r="JCK63" s="291"/>
      <x:c r="JCL63" s="291"/>
      <x:c r="JCM63" s="291"/>
      <x:c r="JCN63" s="291"/>
      <x:c r="JCO63" s="291"/>
      <x:c r="JCP63" s="291"/>
      <x:c r="JCQ63" s="291"/>
      <x:c r="JCR63" s="291"/>
      <x:c r="JCS63" s="291"/>
      <x:c r="JCT63" s="291"/>
      <x:c r="JCU63" s="291"/>
      <x:c r="JCV63" s="291"/>
      <x:c r="JCW63" s="291"/>
      <x:c r="JCX63" s="291"/>
      <x:c r="JCY63" s="291"/>
      <x:c r="JCZ63" s="291"/>
      <x:c r="JDA63" s="291"/>
      <x:c r="JDB63" s="291"/>
      <x:c r="JDC63" s="291"/>
      <x:c r="JDD63" s="291"/>
      <x:c r="JDE63" s="291"/>
      <x:c r="JDF63" s="291"/>
      <x:c r="JDG63" s="291"/>
      <x:c r="JDH63" s="291"/>
      <x:c r="JDI63" s="291"/>
      <x:c r="JDJ63" s="291"/>
      <x:c r="JDK63" s="291"/>
      <x:c r="JDL63" s="291"/>
      <x:c r="JDM63" s="291"/>
      <x:c r="JDN63" s="291"/>
      <x:c r="JDO63" s="291"/>
      <x:c r="JDP63" s="291"/>
      <x:c r="JDQ63" s="291"/>
      <x:c r="JDR63" s="291"/>
      <x:c r="JDS63" s="291"/>
      <x:c r="JDT63" s="291"/>
      <x:c r="JDU63" s="291"/>
      <x:c r="JDV63" s="291"/>
      <x:c r="JDW63" s="291"/>
      <x:c r="JDX63" s="291"/>
      <x:c r="JDY63" s="291"/>
      <x:c r="JDZ63" s="291"/>
      <x:c r="JEA63" s="291"/>
      <x:c r="JEB63" s="291"/>
      <x:c r="JEC63" s="291"/>
      <x:c r="JED63" s="291"/>
      <x:c r="JEE63" s="291"/>
      <x:c r="JEF63" s="291"/>
      <x:c r="JEG63" s="291"/>
      <x:c r="JEH63" s="291"/>
      <x:c r="JEI63" s="291"/>
      <x:c r="JEJ63" s="291"/>
      <x:c r="JEK63" s="291"/>
      <x:c r="JEL63" s="291"/>
      <x:c r="JEM63" s="291"/>
      <x:c r="JEN63" s="291"/>
      <x:c r="JEO63" s="291"/>
      <x:c r="JEP63" s="291"/>
      <x:c r="JEQ63" s="291"/>
      <x:c r="JER63" s="291"/>
      <x:c r="JES63" s="291"/>
      <x:c r="JET63" s="291"/>
      <x:c r="JEU63" s="291"/>
      <x:c r="JEV63" s="291"/>
      <x:c r="JEW63" s="291"/>
      <x:c r="JEX63" s="291"/>
      <x:c r="JEY63" s="291"/>
      <x:c r="JEZ63" s="291"/>
      <x:c r="JFA63" s="291"/>
      <x:c r="JFB63" s="291"/>
      <x:c r="JFC63" s="291"/>
      <x:c r="JFD63" s="291"/>
      <x:c r="JFE63" s="291"/>
      <x:c r="JFF63" s="291"/>
      <x:c r="JFG63" s="291"/>
      <x:c r="JFH63" s="291"/>
      <x:c r="JFI63" s="291"/>
      <x:c r="JFJ63" s="291"/>
      <x:c r="JFK63" s="291"/>
      <x:c r="JFL63" s="291"/>
      <x:c r="JFM63" s="291"/>
      <x:c r="JFN63" s="291"/>
      <x:c r="JFO63" s="291"/>
      <x:c r="JFP63" s="291"/>
      <x:c r="JFQ63" s="291"/>
      <x:c r="JFR63" s="291"/>
      <x:c r="JFS63" s="291"/>
      <x:c r="JFT63" s="291"/>
      <x:c r="JFU63" s="291"/>
      <x:c r="JFV63" s="291"/>
      <x:c r="JFW63" s="291"/>
      <x:c r="JFX63" s="291"/>
      <x:c r="JFY63" s="291"/>
      <x:c r="JFZ63" s="291"/>
      <x:c r="JGA63" s="291"/>
      <x:c r="JGB63" s="291"/>
      <x:c r="JGC63" s="291"/>
      <x:c r="JGD63" s="291"/>
      <x:c r="JGE63" s="291"/>
      <x:c r="JGF63" s="291"/>
      <x:c r="JGG63" s="291"/>
      <x:c r="JGH63" s="291"/>
      <x:c r="JGI63" s="291"/>
      <x:c r="JGJ63" s="291"/>
      <x:c r="JGK63" s="291"/>
      <x:c r="JGL63" s="291"/>
      <x:c r="JGM63" s="291"/>
      <x:c r="JGN63" s="291"/>
      <x:c r="JGO63" s="291"/>
      <x:c r="JGP63" s="291"/>
      <x:c r="JGQ63" s="291"/>
      <x:c r="JGR63" s="291"/>
      <x:c r="JGS63" s="291"/>
      <x:c r="JGT63" s="291"/>
      <x:c r="JGU63" s="291"/>
      <x:c r="JGV63" s="291"/>
      <x:c r="JGW63" s="291"/>
      <x:c r="JGX63" s="291"/>
      <x:c r="JGY63" s="291"/>
      <x:c r="JGZ63" s="291"/>
      <x:c r="JHA63" s="291"/>
      <x:c r="JHB63" s="291"/>
      <x:c r="JHC63" s="291"/>
      <x:c r="JHD63" s="291"/>
      <x:c r="JHE63" s="291"/>
      <x:c r="JHF63" s="291"/>
      <x:c r="JHG63" s="291"/>
      <x:c r="JHH63" s="291"/>
      <x:c r="JHI63" s="291"/>
      <x:c r="JHJ63" s="291"/>
      <x:c r="JHK63" s="291"/>
      <x:c r="JHL63" s="291"/>
      <x:c r="JHM63" s="291"/>
      <x:c r="JHN63" s="291"/>
      <x:c r="JHO63" s="291"/>
      <x:c r="JHP63" s="291"/>
      <x:c r="JHQ63" s="291"/>
      <x:c r="JHR63" s="291"/>
      <x:c r="JHS63" s="291"/>
      <x:c r="JHT63" s="291"/>
      <x:c r="JHU63" s="291"/>
      <x:c r="JHV63" s="291"/>
      <x:c r="JHW63" s="291"/>
      <x:c r="JHX63" s="291"/>
      <x:c r="JHY63" s="291"/>
      <x:c r="JHZ63" s="291"/>
      <x:c r="JIA63" s="291"/>
      <x:c r="JIB63" s="291"/>
      <x:c r="JIC63" s="291"/>
      <x:c r="JID63" s="291"/>
      <x:c r="JIE63" s="291"/>
      <x:c r="JIF63" s="291"/>
      <x:c r="JIG63" s="291"/>
      <x:c r="JIH63" s="291"/>
      <x:c r="JII63" s="291"/>
      <x:c r="JIJ63" s="291"/>
      <x:c r="JIK63" s="291"/>
      <x:c r="JIL63" s="291"/>
      <x:c r="JIM63" s="291"/>
      <x:c r="JIN63" s="291"/>
      <x:c r="JIO63" s="291"/>
      <x:c r="JIP63" s="291"/>
      <x:c r="JIQ63" s="291"/>
      <x:c r="JIR63" s="291"/>
      <x:c r="JIS63" s="291"/>
      <x:c r="JIT63" s="291"/>
      <x:c r="JIU63" s="291"/>
      <x:c r="JIV63" s="291"/>
      <x:c r="JIW63" s="291"/>
      <x:c r="JIX63" s="291"/>
      <x:c r="JIY63" s="291"/>
      <x:c r="JIZ63" s="291"/>
      <x:c r="JJA63" s="291"/>
      <x:c r="JJB63" s="291"/>
      <x:c r="JJC63" s="291"/>
      <x:c r="JJD63" s="291"/>
      <x:c r="JJE63" s="291"/>
      <x:c r="JJF63" s="291"/>
      <x:c r="JJG63" s="291"/>
      <x:c r="JJH63" s="291"/>
      <x:c r="JJI63" s="291"/>
      <x:c r="JJJ63" s="291"/>
      <x:c r="JJK63" s="291"/>
      <x:c r="JJL63" s="291"/>
      <x:c r="JJM63" s="291"/>
      <x:c r="JJN63" s="291"/>
      <x:c r="JJO63" s="291"/>
      <x:c r="JJP63" s="291"/>
      <x:c r="JJQ63" s="291"/>
      <x:c r="JJR63" s="291"/>
      <x:c r="JJS63" s="291"/>
      <x:c r="JJT63" s="291"/>
      <x:c r="JJU63" s="291"/>
      <x:c r="JJV63" s="291"/>
      <x:c r="JJW63" s="291"/>
      <x:c r="JJX63" s="291"/>
      <x:c r="JJY63" s="291"/>
      <x:c r="JJZ63" s="291"/>
      <x:c r="JKA63" s="291"/>
      <x:c r="JKB63" s="291"/>
      <x:c r="JKC63" s="291"/>
      <x:c r="JKD63" s="291"/>
      <x:c r="JKE63" s="291"/>
      <x:c r="JKF63" s="291"/>
      <x:c r="JKG63" s="291"/>
      <x:c r="JKH63" s="291"/>
      <x:c r="JKI63" s="291"/>
      <x:c r="JKJ63" s="291"/>
      <x:c r="JKK63" s="291"/>
      <x:c r="JKL63" s="291"/>
      <x:c r="JKM63" s="291"/>
      <x:c r="JKN63" s="291"/>
      <x:c r="JKO63" s="291"/>
      <x:c r="JKP63" s="291"/>
      <x:c r="JKQ63" s="291"/>
      <x:c r="JKR63" s="291"/>
      <x:c r="JKS63" s="291"/>
      <x:c r="JKT63" s="291"/>
      <x:c r="JKU63" s="291"/>
      <x:c r="JKV63" s="291"/>
      <x:c r="JKW63" s="291"/>
      <x:c r="JKX63" s="291"/>
      <x:c r="JKY63" s="291"/>
      <x:c r="JKZ63" s="291"/>
      <x:c r="JLA63" s="291"/>
      <x:c r="JLB63" s="291"/>
      <x:c r="JLC63" s="291"/>
      <x:c r="JLD63" s="291"/>
      <x:c r="JLE63" s="291"/>
      <x:c r="JLF63" s="291"/>
      <x:c r="JLG63" s="291"/>
      <x:c r="JLH63" s="291"/>
      <x:c r="JLI63" s="291"/>
      <x:c r="JLJ63" s="291"/>
      <x:c r="JLK63" s="291"/>
      <x:c r="JLL63" s="291"/>
      <x:c r="JLM63" s="291"/>
      <x:c r="JLN63" s="291"/>
      <x:c r="JLO63" s="291"/>
      <x:c r="JLP63" s="291"/>
      <x:c r="JLQ63" s="291"/>
      <x:c r="JLR63" s="291"/>
      <x:c r="JLS63" s="291"/>
      <x:c r="JLT63" s="291"/>
      <x:c r="JLU63" s="291"/>
      <x:c r="JLV63" s="291"/>
      <x:c r="JLW63" s="291"/>
      <x:c r="JLX63" s="291"/>
      <x:c r="JLY63" s="291"/>
      <x:c r="JLZ63" s="291"/>
      <x:c r="JMA63" s="291"/>
      <x:c r="JMB63" s="291"/>
      <x:c r="JMC63" s="291"/>
      <x:c r="JMD63" s="291"/>
      <x:c r="JME63" s="291"/>
      <x:c r="JMF63" s="291"/>
      <x:c r="JMG63" s="291"/>
      <x:c r="JMH63" s="291"/>
      <x:c r="JMI63" s="291"/>
      <x:c r="JMJ63" s="291"/>
      <x:c r="JMK63" s="291"/>
      <x:c r="JML63" s="291"/>
      <x:c r="JMM63" s="291"/>
      <x:c r="JMN63" s="291"/>
      <x:c r="JMO63" s="291"/>
      <x:c r="JMP63" s="291"/>
      <x:c r="JMQ63" s="291"/>
      <x:c r="JMR63" s="291"/>
      <x:c r="JMS63" s="291"/>
      <x:c r="JMT63" s="291"/>
      <x:c r="JMU63" s="291"/>
      <x:c r="JMV63" s="291"/>
      <x:c r="JMW63" s="291"/>
      <x:c r="JMX63" s="291"/>
      <x:c r="JMY63" s="291"/>
      <x:c r="JMZ63" s="291"/>
      <x:c r="JNA63" s="291"/>
      <x:c r="JNB63" s="291"/>
      <x:c r="JNC63" s="291"/>
      <x:c r="JND63" s="291"/>
      <x:c r="JNE63" s="291"/>
      <x:c r="JNF63" s="291"/>
      <x:c r="JNG63" s="291"/>
      <x:c r="JNH63" s="291"/>
      <x:c r="JNI63" s="291"/>
      <x:c r="JNJ63" s="291"/>
      <x:c r="JNK63" s="291"/>
      <x:c r="JNL63" s="291"/>
      <x:c r="JNM63" s="291"/>
      <x:c r="JNN63" s="291"/>
      <x:c r="JNO63" s="291"/>
      <x:c r="JNP63" s="291"/>
      <x:c r="JNQ63" s="291"/>
      <x:c r="JNR63" s="291"/>
      <x:c r="JNS63" s="291"/>
      <x:c r="JNT63" s="291"/>
      <x:c r="JNU63" s="291"/>
      <x:c r="JNV63" s="291"/>
      <x:c r="JNW63" s="291"/>
      <x:c r="JNX63" s="291"/>
      <x:c r="JNY63" s="291"/>
      <x:c r="JNZ63" s="291"/>
      <x:c r="JOA63" s="291"/>
      <x:c r="JOB63" s="291"/>
      <x:c r="JOC63" s="291"/>
      <x:c r="JOD63" s="291"/>
      <x:c r="JOE63" s="291"/>
      <x:c r="JOF63" s="291"/>
      <x:c r="JOG63" s="291"/>
      <x:c r="JOH63" s="291"/>
      <x:c r="JOI63" s="291"/>
      <x:c r="JOJ63" s="291"/>
      <x:c r="JOK63" s="291"/>
      <x:c r="JOL63" s="291"/>
      <x:c r="JOM63" s="291"/>
      <x:c r="JON63" s="291"/>
      <x:c r="JOO63" s="291"/>
      <x:c r="JOP63" s="291"/>
      <x:c r="JOQ63" s="291"/>
      <x:c r="JOR63" s="291"/>
      <x:c r="JOS63" s="291"/>
      <x:c r="JOT63" s="291"/>
      <x:c r="JOU63" s="291"/>
      <x:c r="JOV63" s="291"/>
      <x:c r="JOW63" s="291"/>
      <x:c r="JOX63" s="291"/>
      <x:c r="JOY63" s="291"/>
      <x:c r="JOZ63" s="291"/>
      <x:c r="JPA63" s="291"/>
      <x:c r="JPB63" s="291"/>
      <x:c r="JPC63" s="291"/>
      <x:c r="JPD63" s="291"/>
      <x:c r="JPE63" s="291"/>
      <x:c r="JPF63" s="291"/>
      <x:c r="JPG63" s="291"/>
      <x:c r="JPH63" s="291"/>
      <x:c r="JPI63" s="291"/>
      <x:c r="JPJ63" s="291"/>
      <x:c r="JPK63" s="291"/>
      <x:c r="JPL63" s="291"/>
      <x:c r="JPM63" s="291"/>
      <x:c r="JPN63" s="291"/>
      <x:c r="JPO63" s="291"/>
      <x:c r="JPP63" s="291"/>
      <x:c r="JPQ63" s="291"/>
      <x:c r="JPR63" s="291"/>
      <x:c r="JPS63" s="291"/>
      <x:c r="JPT63" s="291"/>
      <x:c r="JPU63" s="291"/>
      <x:c r="JPV63" s="291"/>
      <x:c r="JPW63" s="291"/>
      <x:c r="JPX63" s="291"/>
      <x:c r="JPY63" s="291"/>
      <x:c r="JPZ63" s="291"/>
      <x:c r="JQA63" s="291"/>
      <x:c r="JQB63" s="291"/>
      <x:c r="JQC63" s="291"/>
      <x:c r="JQD63" s="291"/>
      <x:c r="JQE63" s="291"/>
      <x:c r="JQF63" s="291"/>
      <x:c r="JQG63" s="291"/>
      <x:c r="JQH63" s="291"/>
      <x:c r="JQI63" s="291"/>
      <x:c r="JQJ63" s="291"/>
      <x:c r="JQK63" s="291"/>
      <x:c r="JQL63" s="291"/>
      <x:c r="JQM63" s="291"/>
      <x:c r="JQN63" s="291"/>
      <x:c r="JQO63" s="291"/>
      <x:c r="JQP63" s="291"/>
      <x:c r="JQQ63" s="291"/>
      <x:c r="JQR63" s="291"/>
      <x:c r="JQS63" s="291"/>
      <x:c r="JQT63" s="291"/>
      <x:c r="JQU63" s="291"/>
      <x:c r="JQV63" s="291"/>
      <x:c r="JQW63" s="291"/>
      <x:c r="JQX63" s="291"/>
      <x:c r="JQY63" s="291"/>
      <x:c r="JQZ63" s="291"/>
      <x:c r="JRA63" s="291"/>
      <x:c r="JRB63" s="291"/>
      <x:c r="JRC63" s="291"/>
      <x:c r="JRD63" s="291"/>
      <x:c r="JRE63" s="291"/>
      <x:c r="JRF63" s="291"/>
      <x:c r="JRG63" s="291"/>
      <x:c r="JRH63" s="291"/>
      <x:c r="JRI63" s="291"/>
      <x:c r="JRJ63" s="291"/>
      <x:c r="JRK63" s="291"/>
      <x:c r="JRL63" s="291"/>
      <x:c r="JRM63" s="291"/>
      <x:c r="JRN63" s="291"/>
      <x:c r="JRO63" s="291"/>
      <x:c r="JRP63" s="291"/>
      <x:c r="JRQ63" s="291"/>
      <x:c r="JRR63" s="291"/>
      <x:c r="JRS63" s="291"/>
      <x:c r="JRT63" s="291"/>
      <x:c r="JRU63" s="291"/>
      <x:c r="JRV63" s="291"/>
      <x:c r="JRW63" s="291"/>
      <x:c r="JRX63" s="291"/>
      <x:c r="JRY63" s="291"/>
      <x:c r="JRZ63" s="291"/>
      <x:c r="JSA63" s="291"/>
      <x:c r="JSB63" s="291"/>
      <x:c r="JSC63" s="291"/>
      <x:c r="JSD63" s="291"/>
      <x:c r="JSE63" s="291"/>
      <x:c r="JSF63" s="291"/>
      <x:c r="JSG63" s="291"/>
      <x:c r="JSH63" s="291"/>
      <x:c r="JSI63" s="291"/>
      <x:c r="JSJ63" s="291"/>
      <x:c r="JSK63" s="291"/>
      <x:c r="JSL63" s="291"/>
      <x:c r="JSM63" s="291"/>
      <x:c r="JSN63" s="291"/>
      <x:c r="JSO63" s="291"/>
      <x:c r="JSP63" s="291"/>
      <x:c r="JSQ63" s="291"/>
      <x:c r="JSR63" s="291"/>
      <x:c r="JSS63" s="291"/>
      <x:c r="JST63" s="291"/>
      <x:c r="JSU63" s="291"/>
      <x:c r="JSV63" s="291"/>
      <x:c r="JSW63" s="291"/>
      <x:c r="JSX63" s="291"/>
      <x:c r="JSY63" s="291"/>
      <x:c r="JSZ63" s="291"/>
      <x:c r="JTA63" s="291"/>
      <x:c r="JTB63" s="291"/>
      <x:c r="JTC63" s="291"/>
      <x:c r="JTD63" s="291"/>
      <x:c r="JTE63" s="291"/>
      <x:c r="JTF63" s="291"/>
      <x:c r="JTG63" s="291"/>
      <x:c r="JTH63" s="291"/>
      <x:c r="JTI63" s="291"/>
      <x:c r="JTJ63" s="291"/>
      <x:c r="JTK63" s="291"/>
      <x:c r="JTL63" s="291"/>
      <x:c r="JTM63" s="291"/>
      <x:c r="JTN63" s="291"/>
      <x:c r="JTO63" s="291"/>
      <x:c r="JTP63" s="291"/>
      <x:c r="JTQ63" s="291"/>
      <x:c r="JTR63" s="291"/>
      <x:c r="JTS63" s="291"/>
      <x:c r="JTT63" s="291"/>
      <x:c r="JTU63" s="291"/>
      <x:c r="JTV63" s="291"/>
      <x:c r="JTW63" s="291"/>
      <x:c r="JTX63" s="291"/>
      <x:c r="JTY63" s="291"/>
      <x:c r="JTZ63" s="291"/>
      <x:c r="JUA63" s="291"/>
      <x:c r="JUB63" s="291"/>
      <x:c r="JUC63" s="291"/>
      <x:c r="JUD63" s="291"/>
      <x:c r="JUE63" s="291"/>
      <x:c r="JUF63" s="291"/>
      <x:c r="JUG63" s="291"/>
      <x:c r="JUH63" s="291"/>
      <x:c r="JUI63" s="291"/>
      <x:c r="JUJ63" s="291"/>
      <x:c r="JUK63" s="291"/>
      <x:c r="JUL63" s="291"/>
      <x:c r="JUM63" s="291"/>
      <x:c r="JUN63" s="291"/>
      <x:c r="JUO63" s="291"/>
      <x:c r="JUP63" s="291"/>
      <x:c r="JUQ63" s="291"/>
      <x:c r="JUR63" s="291"/>
      <x:c r="JUS63" s="291"/>
      <x:c r="JUT63" s="291"/>
      <x:c r="JUU63" s="291"/>
      <x:c r="JUV63" s="291"/>
      <x:c r="JUW63" s="291"/>
      <x:c r="JUX63" s="291"/>
      <x:c r="JUY63" s="291"/>
      <x:c r="JUZ63" s="291"/>
      <x:c r="JVA63" s="291"/>
      <x:c r="JVB63" s="291"/>
      <x:c r="JVC63" s="291"/>
      <x:c r="JVD63" s="291"/>
      <x:c r="JVE63" s="291"/>
      <x:c r="JVF63" s="291"/>
      <x:c r="JVG63" s="291"/>
      <x:c r="JVH63" s="291"/>
      <x:c r="JVI63" s="291"/>
      <x:c r="JVJ63" s="291"/>
      <x:c r="JVK63" s="291"/>
      <x:c r="JVL63" s="291"/>
      <x:c r="JVM63" s="291"/>
      <x:c r="JVN63" s="291"/>
      <x:c r="JVO63" s="291"/>
      <x:c r="JVP63" s="291"/>
      <x:c r="JVQ63" s="291"/>
      <x:c r="JVR63" s="291"/>
      <x:c r="JVS63" s="291"/>
      <x:c r="JVT63" s="291"/>
      <x:c r="JVU63" s="291"/>
      <x:c r="JVV63" s="291"/>
      <x:c r="JVW63" s="291"/>
      <x:c r="JVX63" s="291"/>
      <x:c r="JVY63" s="291"/>
      <x:c r="JVZ63" s="291"/>
      <x:c r="JWA63" s="291"/>
      <x:c r="JWB63" s="291"/>
      <x:c r="JWC63" s="291"/>
      <x:c r="JWD63" s="291"/>
      <x:c r="JWE63" s="291"/>
      <x:c r="JWF63" s="291"/>
      <x:c r="JWG63" s="291"/>
      <x:c r="JWH63" s="291"/>
      <x:c r="JWI63" s="291"/>
      <x:c r="JWJ63" s="291"/>
      <x:c r="JWK63" s="291"/>
      <x:c r="JWL63" s="291"/>
      <x:c r="JWM63" s="291"/>
      <x:c r="JWN63" s="291"/>
      <x:c r="JWO63" s="291"/>
      <x:c r="JWP63" s="291"/>
      <x:c r="JWQ63" s="291"/>
      <x:c r="JWR63" s="291"/>
      <x:c r="JWS63" s="291"/>
      <x:c r="JWT63" s="291"/>
      <x:c r="JWU63" s="291"/>
      <x:c r="JWV63" s="291"/>
      <x:c r="JWW63" s="291"/>
      <x:c r="JWX63" s="291"/>
      <x:c r="JWY63" s="291"/>
      <x:c r="JWZ63" s="291"/>
      <x:c r="JXA63" s="291"/>
      <x:c r="JXB63" s="291"/>
      <x:c r="JXC63" s="291"/>
      <x:c r="JXD63" s="291"/>
      <x:c r="JXE63" s="291"/>
      <x:c r="JXF63" s="291"/>
      <x:c r="JXG63" s="291"/>
      <x:c r="JXH63" s="291"/>
      <x:c r="JXI63" s="291"/>
      <x:c r="JXJ63" s="291"/>
      <x:c r="JXK63" s="291"/>
      <x:c r="JXL63" s="291"/>
      <x:c r="JXM63" s="291"/>
      <x:c r="JXN63" s="291"/>
      <x:c r="JXO63" s="291"/>
      <x:c r="JXP63" s="291"/>
      <x:c r="JXQ63" s="291"/>
      <x:c r="JXR63" s="291"/>
      <x:c r="JXS63" s="291"/>
      <x:c r="JXT63" s="291"/>
      <x:c r="JXU63" s="291"/>
      <x:c r="JXV63" s="291"/>
      <x:c r="JXW63" s="291"/>
      <x:c r="JXX63" s="291"/>
      <x:c r="JXY63" s="291"/>
      <x:c r="JXZ63" s="291"/>
      <x:c r="JYA63" s="291"/>
      <x:c r="JYB63" s="291"/>
      <x:c r="JYC63" s="291"/>
      <x:c r="JYD63" s="291"/>
      <x:c r="JYE63" s="291"/>
      <x:c r="JYF63" s="291"/>
      <x:c r="JYG63" s="291"/>
      <x:c r="JYH63" s="291"/>
      <x:c r="JYI63" s="291"/>
      <x:c r="JYJ63" s="291"/>
      <x:c r="JYK63" s="291"/>
      <x:c r="JYL63" s="291"/>
      <x:c r="JYM63" s="291"/>
      <x:c r="JYN63" s="291"/>
      <x:c r="JYO63" s="291"/>
      <x:c r="JYP63" s="291"/>
      <x:c r="JYQ63" s="291"/>
      <x:c r="JYR63" s="291"/>
      <x:c r="JYS63" s="291"/>
      <x:c r="JYT63" s="291"/>
      <x:c r="JYU63" s="291"/>
      <x:c r="JYV63" s="291"/>
      <x:c r="JYW63" s="291"/>
      <x:c r="JYX63" s="291"/>
      <x:c r="JYY63" s="291"/>
      <x:c r="JYZ63" s="291"/>
      <x:c r="JZA63" s="291"/>
      <x:c r="JZB63" s="291"/>
      <x:c r="JZC63" s="291"/>
      <x:c r="JZD63" s="291"/>
      <x:c r="JZE63" s="291"/>
      <x:c r="JZF63" s="291"/>
      <x:c r="JZG63" s="291"/>
      <x:c r="JZH63" s="291"/>
      <x:c r="JZI63" s="291"/>
      <x:c r="JZJ63" s="291"/>
      <x:c r="JZK63" s="291"/>
      <x:c r="JZL63" s="291"/>
      <x:c r="JZM63" s="291"/>
      <x:c r="JZN63" s="291"/>
      <x:c r="JZO63" s="291"/>
      <x:c r="JZP63" s="291"/>
      <x:c r="JZQ63" s="291"/>
      <x:c r="JZR63" s="291"/>
      <x:c r="JZS63" s="291"/>
      <x:c r="JZT63" s="291"/>
      <x:c r="JZU63" s="291"/>
      <x:c r="JZV63" s="291"/>
      <x:c r="JZW63" s="291"/>
      <x:c r="JZX63" s="291"/>
      <x:c r="JZY63" s="291"/>
      <x:c r="JZZ63" s="291"/>
      <x:c r="KAA63" s="291"/>
      <x:c r="KAB63" s="291"/>
      <x:c r="KAC63" s="291"/>
      <x:c r="KAD63" s="291"/>
      <x:c r="KAE63" s="291"/>
      <x:c r="KAF63" s="291"/>
      <x:c r="KAG63" s="291"/>
      <x:c r="KAH63" s="291"/>
      <x:c r="KAI63" s="291"/>
      <x:c r="KAJ63" s="291"/>
      <x:c r="KAK63" s="291"/>
      <x:c r="KAL63" s="291"/>
      <x:c r="KAM63" s="291"/>
      <x:c r="KAN63" s="291"/>
      <x:c r="KAO63" s="291"/>
      <x:c r="KAP63" s="291"/>
      <x:c r="KAQ63" s="291"/>
      <x:c r="KAR63" s="291"/>
      <x:c r="KAS63" s="291"/>
      <x:c r="KAT63" s="291"/>
      <x:c r="KAU63" s="291"/>
      <x:c r="KAV63" s="291"/>
      <x:c r="KAW63" s="291"/>
      <x:c r="KAX63" s="291"/>
      <x:c r="KAY63" s="291"/>
      <x:c r="KAZ63" s="291"/>
      <x:c r="KBA63" s="291"/>
      <x:c r="KBB63" s="291"/>
      <x:c r="KBC63" s="291"/>
      <x:c r="KBD63" s="291"/>
      <x:c r="KBE63" s="291"/>
      <x:c r="KBF63" s="291"/>
      <x:c r="KBG63" s="291"/>
      <x:c r="KBH63" s="291"/>
      <x:c r="KBI63" s="291"/>
      <x:c r="KBJ63" s="291"/>
      <x:c r="KBK63" s="291"/>
      <x:c r="KBL63" s="291"/>
      <x:c r="KBM63" s="291"/>
      <x:c r="KBN63" s="291"/>
      <x:c r="KBO63" s="291"/>
      <x:c r="KBP63" s="291"/>
      <x:c r="KBQ63" s="291"/>
      <x:c r="KBR63" s="291"/>
      <x:c r="KBS63" s="291"/>
      <x:c r="KBT63" s="291"/>
      <x:c r="KBU63" s="291"/>
      <x:c r="KBV63" s="291"/>
      <x:c r="KBW63" s="291"/>
      <x:c r="KBX63" s="291"/>
      <x:c r="KBY63" s="291"/>
      <x:c r="KBZ63" s="291"/>
      <x:c r="KCA63" s="291"/>
      <x:c r="KCB63" s="291"/>
      <x:c r="KCC63" s="291"/>
      <x:c r="KCD63" s="291"/>
      <x:c r="KCE63" s="291"/>
      <x:c r="KCF63" s="291"/>
      <x:c r="KCG63" s="291"/>
      <x:c r="KCH63" s="291"/>
      <x:c r="KCI63" s="291"/>
      <x:c r="KCJ63" s="291"/>
      <x:c r="KCK63" s="291"/>
      <x:c r="KCL63" s="291"/>
      <x:c r="KCM63" s="291"/>
      <x:c r="KCN63" s="291"/>
      <x:c r="KCO63" s="291"/>
      <x:c r="KCP63" s="291"/>
      <x:c r="KCQ63" s="291"/>
      <x:c r="KCR63" s="291"/>
      <x:c r="KCS63" s="291"/>
      <x:c r="KCT63" s="291"/>
      <x:c r="KCU63" s="291"/>
      <x:c r="KCV63" s="291"/>
      <x:c r="KCW63" s="291"/>
      <x:c r="KCX63" s="291"/>
      <x:c r="KCY63" s="291"/>
      <x:c r="KCZ63" s="291"/>
      <x:c r="KDA63" s="291"/>
      <x:c r="KDB63" s="291"/>
      <x:c r="KDC63" s="291"/>
      <x:c r="KDD63" s="291"/>
      <x:c r="KDE63" s="291"/>
      <x:c r="KDF63" s="291"/>
      <x:c r="KDG63" s="291"/>
      <x:c r="KDH63" s="291"/>
      <x:c r="KDI63" s="291"/>
      <x:c r="KDJ63" s="291"/>
      <x:c r="KDK63" s="291"/>
      <x:c r="KDL63" s="291"/>
      <x:c r="KDM63" s="291"/>
      <x:c r="KDN63" s="291"/>
      <x:c r="KDO63" s="291"/>
      <x:c r="KDP63" s="291"/>
      <x:c r="KDQ63" s="291"/>
      <x:c r="KDR63" s="291"/>
      <x:c r="KDS63" s="291"/>
      <x:c r="KDT63" s="291"/>
      <x:c r="KDU63" s="291"/>
      <x:c r="KDV63" s="291"/>
      <x:c r="KDW63" s="291"/>
      <x:c r="KDX63" s="291"/>
      <x:c r="KDY63" s="291"/>
      <x:c r="KDZ63" s="291"/>
      <x:c r="KEA63" s="291"/>
      <x:c r="KEB63" s="291"/>
      <x:c r="KEC63" s="291"/>
      <x:c r="KED63" s="291"/>
      <x:c r="KEE63" s="291"/>
      <x:c r="KEF63" s="291"/>
      <x:c r="KEG63" s="291"/>
      <x:c r="KEH63" s="291"/>
      <x:c r="KEI63" s="291"/>
      <x:c r="KEJ63" s="291"/>
      <x:c r="KEK63" s="291"/>
      <x:c r="KEL63" s="291"/>
      <x:c r="KEM63" s="291"/>
      <x:c r="KEN63" s="291"/>
      <x:c r="KEO63" s="291"/>
      <x:c r="KEP63" s="291"/>
      <x:c r="KEQ63" s="291"/>
      <x:c r="KER63" s="291"/>
      <x:c r="KES63" s="291"/>
      <x:c r="KET63" s="291"/>
      <x:c r="KEU63" s="291"/>
      <x:c r="KEV63" s="291"/>
      <x:c r="KEW63" s="291"/>
      <x:c r="KEX63" s="291"/>
      <x:c r="KEY63" s="291"/>
      <x:c r="KEZ63" s="291"/>
      <x:c r="KFA63" s="291"/>
      <x:c r="KFB63" s="291"/>
      <x:c r="KFC63" s="291"/>
      <x:c r="KFD63" s="291"/>
      <x:c r="KFE63" s="291"/>
      <x:c r="KFF63" s="291"/>
      <x:c r="KFG63" s="291"/>
      <x:c r="KFH63" s="291"/>
      <x:c r="KFI63" s="291"/>
      <x:c r="KFJ63" s="291"/>
      <x:c r="KFK63" s="291"/>
      <x:c r="KFL63" s="291"/>
      <x:c r="KFM63" s="291"/>
      <x:c r="KFN63" s="291"/>
      <x:c r="KFO63" s="291"/>
      <x:c r="KFP63" s="291"/>
      <x:c r="KFQ63" s="291"/>
      <x:c r="KFR63" s="291"/>
      <x:c r="KFS63" s="291"/>
      <x:c r="KFT63" s="291"/>
      <x:c r="KFU63" s="291"/>
      <x:c r="KFV63" s="291"/>
      <x:c r="KFW63" s="291"/>
      <x:c r="KFX63" s="291"/>
      <x:c r="KFY63" s="291"/>
      <x:c r="KFZ63" s="291"/>
      <x:c r="KGA63" s="291"/>
      <x:c r="KGB63" s="291"/>
      <x:c r="KGC63" s="291"/>
      <x:c r="KGD63" s="291"/>
      <x:c r="KGE63" s="291"/>
      <x:c r="KGF63" s="291"/>
      <x:c r="KGG63" s="291"/>
      <x:c r="KGH63" s="291"/>
      <x:c r="KGI63" s="291"/>
      <x:c r="KGJ63" s="291"/>
      <x:c r="KGK63" s="291"/>
      <x:c r="KGL63" s="291"/>
      <x:c r="KGM63" s="291"/>
      <x:c r="KGN63" s="291"/>
      <x:c r="KGO63" s="291"/>
      <x:c r="KGP63" s="291"/>
      <x:c r="KGQ63" s="291"/>
      <x:c r="KGR63" s="291"/>
      <x:c r="KGS63" s="291"/>
      <x:c r="KGT63" s="291"/>
      <x:c r="KGU63" s="291"/>
      <x:c r="KGV63" s="291"/>
      <x:c r="KGW63" s="291"/>
      <x:c r="KGX63" s="291"/>
      <x:c r="KGY63" s="291"/>
      <x:c r="KGZ63" s="291"/>
      <x:c r="KHA63" s="291"/>
      <x:c r="KHB63" s="291"/>
      <x:c r="KHC63" s="291"/>
      <x:c r="KHD63" s="291"/>
      <x:c r="KHE63" s="291"/>
      <x:c r="KHF63" s="291"/>
      <x:c r="KHG63" s="291"/>
      <x:c r="KHH63" s="291"/>
      <x:c r="KHI63" s="291"/>
      <x:c r="KHJ63" s="291"/>
      <x:c r="KHK63" s="291"/>
      <x:c r="KHL63" s="291"/>
      <x:c r="KHM63" s="291"/>
      <x:c r="KHN63" s="291"/>
      <x:c r="KHO63" s="291"/>
      <x:c r="KHP63" s="291"/>
      <x:c r="KHQ63" s="291"/>
      <x:c r="KHR63" s="291"/>
      <x:c r="KHS63" s="291"/>
      <x:c r="KHT63" s="291"/>
      <x:c r="KHU63" s="291"/>
      <x:c r="KHV63" s="291"/>
      <x:c r="KHW63" s="291"/>
      <x:c r="KHX63" s="291"/>
      <x:c r="KHY63" s="291"/>
      <x:c r="KHZ63" s="291"/>
      <x:c r="KIA63" s="291"/>
      <x:c r="KIB63" s="291"/>
      <x:c r="KIC63" s="291"/>
      <x:c r="KID63" s="291"/>
      <x:c r="KIE63" s="291"/>
      <x:c r="KIF63" s="291"/>
      <x:c r="KIG63" s="291"/>
      <x:c r="KIH63" s="291"/>
      <x:c r="KII63" s="291"/>
      <x:c r="KIJ63" s="291"/>
      <x:c r="KIK63" s="291"/>
      <x:c r="KIL63" s="291"/>
      <x:c r="KIM63" s="291"/>
      <x:c r="KIN63" s="291"/>
      <x:c r="KIO63" s="291"/>
      <x:c r="KIP63" s="291"/>
      <x:c r="KIQ63" s="291"/>
      <x:c r="KIR63" s="291"/>
      <x:c r="KIS63" s="291"/>
      <x:c r="KIT63" s="291"/>
      <x:c r="KIU63" s="291"/>
      <x:c r="KIV63" s="291"/>
      <x:c r="KIW63" s="291"/>
      <x:c r="KIX63" s="291"/>
      <x:c r="KIY63" s="291"/>
      <x:c r="KIZ63" s="291"/>
      <x:c r="KJA63" s="291"/>
      <x:c r="KJB63" s="291"/>
      <x:c r="KJC63" s="291"/>
      <x:c r="KJD63" s="291"/>
      <x:c r="KJE63" s="291"/>
      <x:c r="KJF63" s="291"/>
      <x:c r="KJG63" s="291"/>
      <x:c r="KJH63" s="291"/>
      <x:c r="KJI63" s="291"/>
      <x:c r="KJJ63" s="291"/>
      <x:c r="KJK63" s="291"/>
      <x:c r="KJL63" s="291"/>
      <x:c r="KJM63" s="291"/>
      <x:c r="KJN63" s="291"/>
      <x:c r="KJO63" s="291"/>
      <x:c r="KJP63" s="291"/>
      <x:c r="KJQ63" s="291"/>
      <x:c r="KJR63" s="291"/>
      <x:c r="KJS63" s="291"/>
      <x:c r="KJT63" s="291"/>
      <x:c r="KJU63" s="291"/>
      <x:c r="KJV63" s="291"/>
      <x:c r="KJW63" s="291"/>
      <x:c r="KJX63" s="291"/>
      <x:c r="KJY63" s="291"/>
      <x:c r="KJZ63" s="291"/>
      <x:c r="KKA63" s="291"/>
      <x:c r="KKB63" s="291"/>
      <x:c r="KKC63" s="291"/>
      <x:c r="KKD63" s="291"/>
      <x:c r="KKE63" s="291"/>
      <x:c r="KKF63" s="291"/>
      <x:c r="KKG63" s="291"/>
      <x:c r="KKH63" s="291"/>
      <x:c r="KKI63" s="291"/>
      <x:c r="KKJ63" s="291"/>
      <x:c r="KKK63" s="291"/>
      <x:c r="KKL63" s="291"/>
      <x:c r="KKM63" s="291"/>
      <x:c r="KKN63" s="291"/>
      <x:c r="KKO63" s="291"/>
      <x:c r="KKP63" s="291"/>
      <x:c r="KKQ63" s="291"/>
      <x:c r="KKR63" s="291"/>
      <x:c r="KKS63" s="291"/>
      <x:c r="KKT63" s="291"/>
      <x:c r="KKU63" s="291"/>
      <x:c r="KKV63" s="291"/>
      <x:c r="KKW63" s="291"/>
      <x:c r="KKX63" s="291"/>
      <x:c r="KKY63" s="291"/>
      <x:c r="KKZ63" s="291"/>
      <x:c r="KLA63" s="291"/>
      <x:c r="KLB63" s="291"/>
      <x:c r="KLC63" s="291"/>
      <x:c r="KLD63" s="291"/>
      <x:c r="KLE63" s="291"/>
      <x:c r="KLF63" s="291"/>
      <x:c r="KLG63" s="291"/>
      <x:c r="KLH63" s="291"/>
      <x:c r="KLI63" s="291"/>
      <x:c r="KLJ63" s="291"/>
      <x:c r="KLK63" s="291"/>
      <x:c r="KLL63" s="291"/>
      <x:c r="KLM63" s="291"/>
      <x:c r="KLN63" s="291"/>
      <x:c r="KLO63" s="291"/>
      <x:c r="KLP63" s="291"/>
      <x:c r="KLQ63" s="291"/>
      <x:c r="KLR63" s="291"/>
      <x:c r="KLS63" s="291"/>
      <x:c r="KLT63" s="291"/>
      <x:c r="KLU63" s="291"/>
      <x:c r="KLV63" s="291"/>
      <x:c r="KLW63" s="291"/>
      <x:c r="KLX63" s="291"/>
      <x:c r="KLY63" s="291"/>
      <x:c r="KLZ63" s="291"/>
      <x:c r="KMA63" s="291"/>
      <x:c r="KMB63" s="291"/>
      <x:c r="KMC63" s="291"/>
      <x:c r="KMD63" s="291"/>
      <x:c r="KME63" s="291"/>
      <x:c r="KMF63" s="291"/>
      <x:c r="KMG63" s="291"/>
      <x:c r="KMH63" s="291"/>
      <x:c r="KMI63" s="291"/>
      <x:c r="KMJ63" s="291"/>
      <x:c r="KMK63" s="291"/>
      <x:c r="KML63" s="291"/>
      <x:c r="KMM63" s="291"/>
      <x:c r="KMN63" s="291"/>
      <x:c r="KMO63" s="291"/>
      <x:c r="KMP63" s="291"/>
      <x:c r="KMQ63" s="291"/>
      <x:c r="KMR63" s="291"/>
      <x:c r="KMS63" s="291"/>
      <x:c r="KMT63" s="291"/>
      <x:c r="KMU63" s="291"/>
      <x:c r="KMV63" s="291"/>
      <x:c r="KMW63" s="291"/>
      <x:c r="KMX63" s="291"/>
      <x:c r="KMY63" s="291"/>
      <x:c r="KMZ63" s="291"/>
      <x:c r="KNA63" s="291"/>
      <x:c r="KNB63" s="291"/>
      <x:c r="KNC63" s="291"/>
      <x:c r="KND63" s="291"/>
      <x:c r="KNE63" s="291"/>
      <x:c r="KNF63" s="291"/>
      <x:c r="KNG63" s="291"/>
      <x:c r="KNH63" s="291"/>
      <x:c r="KNI63" s="291"/>
      <x:c r="KNJ63" s="291"/>
      <x:c r="KNK63" s="291"/>
      <x:c r="KNL63" s="291"/>
      <x:c r="KNM63" s="291"/>
      <x:c r="KNN63" s="291"/>
      <x:c r="KNO63" s="291"/>
      <x:c r="KNP63" s="291"/>
      <x:c r="KNQ63" s="291"/>
      <x:c r="KNR63" s="291"/>
      <x:c r="KNS63" s="291"/>
      <x:c r="KNT63" s="291"/>
      <x:c r="KNU63" s="291"/>
      <x:c r="KNV63" s="291"/>
      <x:c r="KNW63" s="291"/>
      <x:c r="KNX63" s="291"/>
      <x:c r="KNY63" s="291"/>
      <x:c r="KNZ63" s="291"/>
      <x:c r="KOA63" s="291"/>
      <x:c r="KOB63" s="291"/>
      <x:c r="KOC63" s="291"/>
      <x:c r="KOD63" s="291"/>
      <x:c r="KOE63" s="291"/>
      <x:c r="KOF63" s="291"/>
      <x:c r="KOG63" s="291"/>
      <x:c r="KOH63" s="291"/>
      <x:c r="KOI63" s="291"/>
      <x:c r="KOJ63" s="291"/>
      <x:c r="KOK63" s="291"/>
      <x:c r="KOL63" s="291"/>
      <x:c r="KOM63" s="291"/>
      <x:c r="KON63" s="291"/>
      <x:c r="KOO63" s="291"/>
      <x:c r="KOP63" s="291"/>
      <x:c r="KOQ63" s="291"/>
      <x:c r="KOR63" s="291"/>
      <x:c r="KOS63" s="291"/>
      <x:c r="KOT63" s="291"/>
      <x:c r="KOU63" s="291"/>
      <x:c r="KOV63" s="291"/>
      <x:c r="KOW63" s="291"/>
      <x:c r="KOX63" s="291"/>
      <x:c r="KOY63" s="291"/>
      <x:c r="KOZ63" s="291"/>
      <x:c r="KPA63" s="291"/>
      <x:c r="KPB63" s="291"/>
      <x:c r="KPC63" s="291"/>
      <x:c r="KPD63" s="291"/>
      <x:c r="KPE63" s="291"/>
      <x:c r="KPF63" s="291"/>
      <x:c r="KPG63" s="291"/>
      <x:c r="KPH63" s="291"/>
      <x:c r="KPI63" s="291"/>
      <x:c r="KPJ63" s="291"/>
      <x:c r="KPK63" s="291"/>
      <x:c r="KPL63" s="291"/>
      <x:c r="KPM63" s="291"/>
      <x:c r="KPN63" s="291"/>
      <x:c r="KPO63" s="291"/>
      <x:c r="KPP63" s="291"/>
      <x:c r="KPQ63" s="291"/>
      <x:c r="KPR63" s="291"/>
      <x:c r="KPS63" s="291"/>
      <x:c r="KPT63" s="291"/>
      <x:c r="KPU63" s="291"/>
      <x:c r="KPV63" s="291"/>
      <x:c r="KPW63" s="291"/>
      <x:c r="KPX63" s="291"/>
      <x:c r="KPY63" s="291"/>
      <x:c r="KPZ63" s="291"/>
      <x:c r="KQA63" s="291"/>
      <x:c r="KQB63" s="291"/>
      <x:c r="KQC63" s="291"/>
      <x:c r="KQD63" s="291"/>
      <x:c r="KQE63" s="291"/>
      <x:c r="KQF63" s="291"/>
      <x:c r="KQG63" s="291"/>
      <x:c r="KQH63" s="291"/>
      <x:c r="KQI63" s="291"/>
      <x:c r="KQJ63" s="291"/>
      <x:c r="KQK63" s="291"/>
      <x:c r="KQL63" s="291"/>
      <x:c r="KQM63" s="291"/>
      <x:c r="KQN63" s="291"/>
      <x:c r="KQO63" s="291"/>
      <x:c r="KQP63" s="291"/>
      <x:c r="KQQ63" s="291"/>
      <x:c r="KQR63" s="291"/>
      <x:c r="KQS63" s="291"/>
      <x:c r="KQT63" s="291"/>
      <x:c r="KQU63" s="291"/>
      <x:c r="KQV63" s="291"/>
      <x:c r="KQW63" s="291"/>
      <x:c r="KQX63" s="291"/>
      <x:c r="KQY63" s="291"/>
      <x:c r="KQZ63" s="291"/>
      <x:c r="KRA63" s="291"/>
      <x:c r="KRB63" s="291"/>
      <x:c r="KRC63" s="291"/>
      <x:c r="KRD63" s="291"/>
      <x:c r="KRE63" s="291"/>
      <x:c r="KRF63" s="291"/>
      <x:c r="KRG63" s="291"/>
      <x:c r="KRH63" s="291"/>
      <x:c r="KRI63" s="291"/>
      <x:c r="KRJ63" s="291"/>
      <x:c r="KRK63" s="291"/>
      <x:c r="KRL63" s="291"/>
      <x:c r="KRM63" s="291"/>
      <x:c r="KRN63" s="291"/>
      <x:c r="KRO63" s="291"/>
      <x:c r="KRP63" s="291"/>
      <x:c r="KRQ63" s="291"/>
      <x:c r="KRR63" s="291"/>
      <x:c r="KRS63" s="291"/>
      <x:c r="KRT63" s="291"/>
      <x:c r="KRU63" s="291"/>
      <x:c r="KRV63" s="291"/>
      <x:c r="KRW63" s="291"/>
      <x:c r="KRX63" s="291"/>
      <x:c r="KRY63" s="291"/>
      <x:c r="KRZ63" s="291"/>
      <x:c r="KSA63" s="291"/>
      <x:c r="KSB63" s="291"/>
      <x:c r="KSC63" s="291"/>
      <x:c r="KSD63" s="291"/>
      <x:c r="KSE63" s="291"/>
      <x:c r="KSF63" s="291"/>
      <x:c r="KSG63" s="291"/>
      <x:c r="KSH63" s="291"/>
      <x:c r="KSI63" s="291"/>
      <x:c r="KSJ63" s="291"/>
      <x:c r="KSK63" s="291"/>
      <x:c r="KSL63" s="291"/>
      <x:c r="KSM63" s="291"/>
      <x:c r="KSN63" s="291"/>
      <x:c r="KSO63" s="291"/>
      <x:c r="KSP63" s="291"/>
      <x:c r="KSQ63" s="291"/>
      <x:c r="KSR63" s="291"/>
      <x:c r="KSS63" s="291"/>
      <x:c r="KST63" s="291"/>
      <x:c r="KSU63" s="291"/>
      <x:c r="KSV63" s="291"/>
      <x:c r="KSW63" s="291"/>
      <x:c r="KSX63" s="291"/>
      <x:c r="KSY63" s="291"/>
      <x:c r="KSZ63" s="291"/>
      <x:c r="KTA63" s="291"/>
      <x:c r="KTB63" s="291"/>
      <x:c r="KTC63" s="291"/>
      <x:c r="KTD63" s="291"/>
      <x:c r="KTE63" s="291"/>
      <x:c r="KTF63" s="291"/>
      <x:c r="KTG63" s="291"/>
      <x:c r="KTH63" s="291"/>
      <x:c r="KTI63" s="291"/>
      <x:c r="KTJ63" s="291"/>
      <x:c r="KTK63" s="291"/>
      <x:c r="KTL63" s="291"/>
      <x:c r="KTM63" s="291"/>
      <x:c r="KTN63" s="291"/>
      <x:c r="KTO63" s="291"/>
      <x:c r="KTP63" s="291"/>
      <x:c r="KTQ63" s="291"/>
      <x:c r="KTR63" s="291"/>
      <x:c r="KTS63" s="291"/>
      <x:c r="KTT63" s="291"/>
      <x:c r="KTU63" s="291"/>
      <x:c r="KTV63" s="291"/>
      <x:c r="KTW63" s="291"/>
      <x:c r="KTX63" s="291"/>
      <x:c r="KTY63" s="291"/>
      <x:c r="KTZ63" s="291"/>
      <x:c r="KUA63" s="291"/>
      <x:c r="KUB63" s="291"/>
      <x:c r="KUC63" s="291"/>
      <x:c r="KUD63" s="291"/>
      <x:c r="KUE63" s="291"/>
      <x:c r="KUF63" s="291"/>
      <x:c r="KUG63" s="291"/>
      <x:c r="KUH63" s="291"/>
      <x:c r="KUI63" s="291"/>
      <x:c r="KUJ63" s="291"/>
      <x:c r="KUK63" s="291"/>
      <x:c r="KUL63" s="291"/>
      <x:c r="KUM63" s="291"/>
      <x:c r="KUN63" s="291"/>
      <x:c r="KUO63" s="291"/>
      <x:c r="KUP63" s="291"/>
      <x:c r="KUQ63" s="291"/>
      <x:c r="KUR63" s="291"/>
      <x:c r="KUS63" s="291"/>
      <x:c r="KUT63" s="291"/>
      <x:c r="KUU63" s="291"/>
      <x:c r="KUV63" s="291"/>
      <x:c r="KUW63" s="291"/>
      <x:c r="KUX63" s="291"/>
      <x:c r="KUY63" s="291"/>
      <x:c r="KUZ63" s="291"/>
      <x:c r="KVA63" s="291"/>
      <x:c r="KVB63" s="291"/>
      <x:c r="KVC63" s="291"/>
      <x:c r="KVD63" s="291"/>
      <x:c r="KVE63" s="291"/>
      <x:c r="KVF63" s="291"/>
      <x:c r="KVG63" s="291"/>
      <x:c r="KVH63" s="291"/>
      <x:c r="KVI63" s="291"/>
      <x:c r="KVJ63" s="291"/>
      <x:c r="KVK63" s="291"/>
      <x:c r="KVL63" s="291"/>
      <x:c r="KVM63" s="291"/>
      <x:c r="KVN63" s="291"/>
      <x:c r="KVO63" s="291"/>
      <x:c r="KVP63" s="291"/>
      <x:c r="KVQ63" s="291"/>
      <x:c r="KVR63" s="291"/>
      <x:c r="KVS63" s="291"/>
      <x:c r="KVT63" s="291"/>
      <x:c r="KVU63" s="291"/>
      <x:c r="KVV63" s="291"/>
      <x:c r="KVW63" s="291"/>
      <x:c r="KVX63" s="291"/>
      <x:c r="KVY63" s="291"/>
      <x:c r="KVZ63" s="291"/>
      <x:c r="KWA63" s="291"/>
      <x:c r="KWB63" s="291"/>
      <x:c r="KWC63" s="291"/>
      <x:c r="KWD63" s="291"/>
      <x:c r="KWE63" s="291"/>
      <x:c r="KWF63" s="291"/>
      <x:c r="KWG63" s="291"/>
      <x:c r="KWH63" s="291"/>
      <x:c r="KWI63" s="291"/>
      <x:c r="KWJ63" s="291"/>
      <x:c r="KWK63" s="291"/>
      <x:c r="KWL63" s="291"/>
      <x:c r="KWM63" s="291"/>
      <x:c r="KWN63" s="291"/>
      <x:c r="KWO63" s="291"/>
      <x:c r="KWP63" s="291"/>
      <x:c r="KWQ63" s="291"/>
      <x:c r="KWR63" s="291"/>
      <x:c r="KWS63" s="291"/>
      <x:c r="KWT63" s="291"/>
      <x:c r="KWU63" s="291"/>
      <x:c r="KWV63" s="291"/>
      <x:c r="KWW63" s="291"/>
      <x:c r="KWX63" s="291"/>
      <x:c r="KWY63" s="291"/>
      <x:c r="KWZ63" s="291"/>
      <x:c r="KXA63" s="291"/>
      <x:c r="KXB63" s="291"/>
      <x:c r="KXC63" s="291"/>
      <x:c r="KXD63" s="291"/>
      <x:c r="KXE63" s="291"/>
      <x:c r="KXF63" s="291"/>
      <x:c r="KXG63" s="291"/>
      <x:c r="KXH63" s="291"/>
      <x:c r="KXI63" s="291"/>
      <x:c r="KXJ63" s="291"/>
      <x:c r="KXK63" s="291"/>
      <x:c r="KXL63" s="291"/>
      <x:c r="KXM63" s="291"/>
      <x:c r="KXN63" s="291"/>
      <x:c r="KXO63" s="291"/>
      <x:c r="KXP63" s="291"/>
      <x:c r="KXQ63" s="291"/>
      <x:c r="KXR63" s="291"/>
      <x:c r="KXS63" s="291"/>
      <x:c r="KXT63" s="291"/>
      <x:c r="KXU63" s="291"/>
      <x:c r="KXV63" s="291"/>
      <x:c r="KXW63" s="291"/>
      <x:c r="KXX63" s="291"/>
      <x:c r="KXY63" s="291"/>
      <x:c r="KXZ63" s="291"/>
      <x:c r="KYA63" s="291"/>
      <x:c r="KYB63" s="291"/>
      <x:c r="KYC63" s="291"/>
      <x:c r="KYD63" s="291"/>
      <x:c r="KYE63" s="291"/>
      <x:c r="KYF63" s="291"/>
      <x:c r="KYG63" s="291"/>
      <x:c r="KYH63" s="291"/>
      <x:c r="KYI63" s="291"/>
      <x:c r="KYJ63" s="291"/>
      <x:c r="KYK63" s="291"/>
      <x:c r="KYL63" s="291"/>
      <x:c r="KYM63" s="291"/>
      <x:c r="KYN63" s="291"/>
      <x:c r="KYO63" s="291"/>
      <x:c r="KYP63" s="291"/>
      <x:c r="KYQ63" s="291"/>
      <x:c r="KYR63" s="291"/>
      <x:c r="KYS63" s="291"/>
      <x:c r="KYT63" s="291"/>
      <x:c r="KYU63" s="291"/>
      <x:c r="KYV63" s="291"/>
      <x:c r="KYW63" s="291"/>
      <x:c r="KYX63" s="291"/>
      <x:c r="KYY63" s="291"/>
      <x:c r="KYZ63" s="291"/>
      <x:c r="KZA63" s="291"/>
      <x:c r="KZB63" s="291"/>
      <x:c r="KZC63" s="291"/>
      <x:c r="KZD63" s="291"/>
      <x:c r="KZE63" s="291"/>
      <x:c r="KZF63" s="291"/>
      <x:c r="KZG63" s="291"/>
      <x:c r="KZH63" s="291"/>
      <x:c r="KZI63" s="291"/>
      <x:c r="KZJ63" s="291"/>
      <x:c r="KZK63" s="291"/>
      <x:c r="KZL63" s="291"/>
      <x:c r="KZM63" s="291"/>
      <x:c r="KZN63" s="291"/>
      <x:c r="KZO63" s="291"/>
      <x:c r="KZP63" s="291"/>
      <x:c r="KZQ63" s="291"/>
      <x:c r="KZR63" s="291"/>
      <x:c r="KZS63" s="291"/>
      <x:c r="KZT63" s="291"/>
      <x:c r="KZU63" s="291"/>
      <x:c r="KZV63" s="291"/>
      <x:c r="KZW63" s="291"/>
      <x:c r="KZX63" s="291"/>
      <x:c r="KZY63" s="291"/>
      <x:c r="KZZ63" s="291"/>
      <x:c r="LAA63" s="291"/>
      <x:c r="LAB63" s="291"/>
      <x:c r="LAC63" s="291"/>
      <x:c r="LAD63" s="291"/>
      <x:c r="LAE63" s="291"/>
      <x:c r="LAF63" s="291"/>
      <x:c r="LAG63" s="291"/>
      <x:c r="LAH63" s="291"/>
      <x:c r="LAI63" s="291"/>
      <x:c r="LAJ63" s="291"/>
      <x:c r="LAK63" s="291"/>
      <x:c r="LAL63" s="291"/>
      <x:c r="LAM63" s="291"/>
      <x:c r="LAN63" s="291"/>
      <x:c r="LAO63" s="291"/>
      <x:c r="LAP63" s="291"/>
      <x:c r="LAQ63" s="291"/>
      <x:c r="LAR63" s="291"/>
      <x:c r="LAS63" s="291"/>
      <x:c r="LAT63" s="291"/>
      <x:c r="LAU63" s="291"/>
      <x:c r="LAV63" s="291"/>
      <x:c r="LAW63" s="291"/>
      <x:c r="LAX63" s="291"/>
      <x:c r="LAY63" s="291"/>
      <x:c r="LAZ63" s="291"/>
      <x:c r="LBA63" s="291"/>
      <x:c r="LBB63" s="291"/>
      <x:c r="LBC63" s="291"/>
      <x:c r="LBD63" s="291"/>
      <x:c r="LBE63" s="291"/>
      <x:c r="LBF63" s="291"/>
      <x:c r="LBG63" s="291"/>
      <x:c r="LBH63" s="291"/>
      <x:c r="LBI63" s="291"/>
      <x:c r="LBJ63" s="291"/>
      <x:c r="LBK63" s="291"/>
      <x:c r="LBL63" s="291"/>
      <x:c r="LBM63" s="291"/>
      <x:c r="LBN63" s="291"/>
      <x:c r="LBO63" s="291"/>
      <x:c r="LBP63" s="291"/>
      <x:c r="LBQ63" s="291"/>
      <x:c r="LBR63" s="291"/>
      <x:c r="LBS63" s="291"/>
      <x:c r="LBT63" s="291"/>
      <x:c r="LBU63" s="291"/>
      <x:c r="LBV63" s="291"/>
      <x:c r="LBW63" s="291"/>
      <x:c r="LBX63" s="291"/>
      <x:c r="LBY63" s="291"/>
      <x:c r="LBZ63" s="291"/>
      <x:c r="LCA63" s="291"/>
      <x:c r="LCB63" s="291"/>
      <x:c r="LCC63" s="291"/>
      <x:c r="LCD63" s="291"/>
      <x:c r="LCE63" s="291"/>
      <x:c r="LCF63" s="291"/>
      <x:c r="LCG63" s="291"/>
      <x:c r="LCH63" s="291"/>
      <x:c r="LCI63" s="291"/>
      <x:c r="LCJ63" s="291"/>
      <x:c r="LCK63" s="291"/>
      <x:c r="LCL63" s="291"/>
      <x:c r="LCM63" s="291"/>
      <x:c r="LCN63" s="291"/>
      <x:c r="LCO63" s="291"/>
      <x:c r="LCP63" s="291"/>
      <x:c r="LCQ63" s="291"/>
      <x:c r="LCR63" s="291"/>
      <x:c r="LCS63" s="291"/>
      <x:c r="LCT63" s="291"/>
      <x:c r="LCU63" s="291"/>
      <x:c r="LCV63" s="291"/>
      <x:c r="LCW63" s="291"/>
      <x:c r="LCX63" s="291"/>
      <x:c r="LCY63" s="291"/>
      <x:c r="LCZ63" s="291"/>
      <x:c r="LDA63" s="291"/>
      <x:c r="LDB63" s="291"/>
      <x:c r="LDC63" s="291"/>
      <x:c r="LDD63" s="291"/>
      <x:c r="LDE63" s="291"/>
      <x:c r="LDF63" s="291"/>
      <x:c r="LDG63" s="291"/>
      <x:c r="LDH63" s="291"/>
      <x:c r="LDI63" s="291"/>
      <x:c r="LDJ63" s="291"/>
      <x:c r="LDK63" s="291"/>
      <x:c r="LDL63" s="291"/>
      <x:c r="LDM63" s="291"/>
      <x:c r="LDN63" s="291"/>
      <x:c r="LDO63" s="291"/>
      <x:c r="LDP63" s="291"/>
      <x:c r="LDQ63" s="291"/>
      <x:c r="LDR63" s="291"/>
      <x:c r="LDS63" s="291"/>
      <x:c r="LDT63" s="291"/>
      <x:c r="LDU63" s="291"/>
      <x:c r="LDV63" s="291"/>
      <x:c r="LDW63" s="291"/>
      <x:c r="LDX63" s="291"/>
      <x:c r="LDY63" s="291"/>
      <x:c r="LDZ63" s="291"/>
      <x:c r="LEA63" s="291"/>
      <x:c r="LEB63" s="291"/>
      <x:c r="LEC63" s="291"/>
      <x:c r="LED63" s="291"/>
      <x:c r="LEE63" s="291"/>
      <x:c r="LEF63" s="291"/>
      <x:c r="LEG63" s="291"/>
      <x:c r="LEH63" s="291"/>
      <x:c r="LEI63" s="291"/>
      <x:c r="LEJ63" s="291"/>
      <x:c r="LEK63" s="291"/>
      <x:c r="LEL63" s="291"/>
      <x:c r="LEM63" s="291"/>
      <x:c r="LEN63" s="291"/>
      <x:c r="LEO63" s="291"/>
      <x:c r="LEP63" s="291"/>
      <x:c r="LEQ63" s="291"/>
      <x:c r="LER63" s="291"/>
      <x:c r="LES63" s="291"/>
      <x:c r="LET63" s="291"/>
      <x:c r="LEU63" s="291"/>
      <x:c r="LEV63" s="291"/>
      <x:c r="LEW63" s="291"/>
      <x:c r="LEX63" s="291"/>
      <x:c r="LEY63" s="291"/>
      <x:c r="LEZ63" s="291"/>
      <x:c r="LFA63" s="291"/>
      <x:c r="LFB63" s="291"/>
      <x:c r="LFC63" s="291"/>
      <x:c r="LFD63" s="291"/>
      <x:c r="LFE63" s="291"/>
      <x:c r="LFF63" s="291"/>
      <x:c r="LFG63" s="291"/>
      <x:c r="LFH63" s="291"/>
      <x:c r="LFI63" s="291"/>
      <x:c r="LFJ63" s="291"/>
      <x:c r="LFK63" s="291"/>
      <x:c r="LFL63" s="291"/>
      <x:c r="LFM63" s="291"/>
      <x:c r="LFN63" s="291"/>
      <x:c r="LFO63" s="291"/>
      <x:c r="LFP63" s="291"/>
      <x:c r="LFQ63" s="291"/>
      <x:c r="LFR63" s="291"/>
      <x:c r="LFS63" s="291"/>
      <x:c r="LFT63" s="291"/>
      <x:c r="LFU63" s="291"/>
      <x:c r="LFV63" s="291"/>
      <x:c r="LFW63" s="291"/>
      <x:c r="LFX63" s="291"/>
      <x:c r="LFY63" s="291"/>
      <x:c r="LFZ63" s="291"/>
      <x:c r="LGA63" s="291"/>
      <x:c r="LGB63" s="291"/>
      <x:c r="LGC63" s="291"/>
      <x:c r="LGD63" s="291"/>
      <x:c r="LGE63" s="291"/>
      <x:c r="LGF63" s="291"/>
      <x:c r="LGG63" s="291"/>
      <x:c r="LGH63" s="291"/>
      <x:c r="LGI63" s="291"/>
      <x:c r="LGJ63" s="291"/>
      <x:c r="LGK63" s="291"/>
      <x:c r="LGL63" s="291"/>
      <x:c r="LGM63" s="291"/>
      <x:c r="LGN63" s="291"/>
      <x:c r="LGO63" s="291"/>
      <x:c r="LGP63" s="291"/>
      <x:c r="LGQ63" s="291"/>
      <x:c r="LGR63" s="291"/>
      <x:c r="LGS63" s="291"/>
      <x:c r="LGT63" s="291"/>
      <x:c r="LGU63" s="291"/>
      <x:c r="LGV63" s="291"/>
      <x:c r="LGW63" s="291"/>
      <x:c r="LGX63" s="291"/>
      <x:c r="LGY63" s="291"/>
      <x:c r="LGZ63" s="291"/>
      <x:c r="LHA63" s="291"/>
      <x:c r="LHB63" s="291"/>
      <x:c r="LHC63" s="291"/>
      <x:c r="LHD63" s="291"/>
      <x:c r="LHE63" s="291"/>
      <x:c r="LHF63" s="291"/>
      <x:c r="LHG63" s="291"/>
      <x:c r="LHH63" s="291"/>
      <x:c r="LHI63" s="291"/>
      <x:c r="LHJ63" s="291"/>
      <x:c r="LHK63" s="291"/>
      <x:c r="LHL63" s="291"/>
      <x:c r="LHM63" s="291"/>
      <x:c r="LHN63" s="291"/>
      <x:c r="LHO63" s="291"/>
      <x:c r="LHP63" s="291"/>
      <x:c r="LHQ63" s="291"/>
      <x:c r="LHR63" s="291"/>
      <x:c r="LHS63" s="291"/>
      <x:c r="LHT63" s="291"/>
      <x:c r="LHU63" s="291"/>
      <x:c r="LHV63" s="291"/>
      <x:c r="LHW63" s="291"/>
      <x:c r="LHX63" s="291"/>
      <x:c r="LHY63" s="291"/>
      <x:c r="LHZ63" s="291"/>
      <x:c r="LIA63" s="291"/>
      <x:c r="LIB63" s="291"/>
      <x:c r="LIC63" s="291"/>
      <x:c r="LID63" s="291"/>
      <x:c r="LIE63" s="291"/>
      <x:c r="LIF63" s="291"/>
      <x:c r="LIG63" s="291"/>
      <x:c r="LIH63" s="291"/>
      <x:c r="LII63" s="291"/>
      <x:c r="LIJ63" s="291"/>
      <x:c r="LIK63" s="291"/>
      <x:c r="LIL63" s="291"/>
      <x:c r="LIM63" s="291"/>
      <x:c r="LIN63" s="291"/>
      <x:c r="LIO63" s="291"/>
      <x:c r="LIP63" s="291"/>
      <x:c r="LIQ63" s="291"/>
      <x:c r="LIR63" s="291"/>
      <x:c r="LIS63" s="291"/>
      <x:c r="LIT63" s="291"/>
      <x:c r="LIU63" s="291"/>
      <x:c r="LIV63" s="291"/>
      <x:c r="LIW63" s="291"/>
      <x:c r="LIX63" s="291"/>
      <x:c r="LIY63" s="291"/>
      <x:c r="LIZ63" s="291"/>
      <x:c r="LJA63" s="291"/>
      <x:c r="LJB63" s="291"/>
      <x:c r="LJC63" s="291"/>
      <x:c r="LJD63" s="291"/>
      <x:c r="LJE63" s="291"/>
      <x:c r="LJF63" s="291"/>
      <x:c r="LJG63" s="291"/>
      <x:c r="LJH63" s="291"/>
      <x:c r="LJI63" s="291"/>
      <x:c r="LJJ63" s="291"/>
      <x:c r="LJK63" s="291"/>
      <x:c r="LJL63" s="291"/>
      <x:c r="LJM63" s="291"/>
      <x:c r="LJN63" s="291"/>
      <x:c r="LJO63" s="291"/>
      <x:c r="LJP63" s="291"/>
      <x:c r="LJQ63" s="291"/>
      <x:c r="LJR63" s="291"/>
      <x:c r="LJS63" s="291"/>
      <x:c r="LJT63" s="291"/>
      <x:c r="LJU63" s="291"/>
      <x:c r="LJV63" s="291"/>
      <x:c r="LJW63" s="291"/>
      <x:c r="LJX63" s="291"/>
      <x:c r="LJY63" s="291"/>
      <x:c r="LJZ63" s="291"/>
      <x:c r="LKA63" s="291"/>
      <x:c r="LKB63" s="291"/>
      <x:c r="LKC63" s="291"/>
      <x:c r="LKD63" s="291"/>
      <x:c r="LKE63" s="291"/>
      <x:c r="LKF63" s="291"/>
      <x:c r="LKG63" s="291"/>
      <x:c r="LKH63" s="291"/>
      <x:c r="LKI63" s="291"/>
      <x:c r="LKJ63" s="291"/>
      <x:c r="LKK63" s="291"/>
      <x:c r="LKL63" s="291"/>
      <x:c r="LKM63" s="291"/>
      <x:c r="LKN63" s="291"/>
      <x:c r="LKO63" s="291"/>
      <x:c r="LKP63" s="291"/>
      <x:c r="LKQ63" s="291"/>
      <x:c r="LKR63" s="291"/>
      <x:c r="LKS63" s="291"/>
      <x:c r="LKT63" s="291"/>
      <x:c r="LKU63" s="291"/>
      <x:c r="LKV63" s="291"/>
      <x:c r="LKW63" s="291"/>
      <x:c r="LKX63" s="291"/>
      <x:c r="LKY63" s="291"/>
      <x:c r="LKZ63" s="291"/>
      <x:c r="LLA63" s="291"/>
      <x:c r="LLB63" s="291"/>
      <x:c r="LLC63" s="291"/>
      <x:c r="LLD63" s="291"/>
      <x:c r="LLE63" s="291"/>
      <x:c r="LLF63" s="291"/>
      <x:c r="LLG63" s="291"/>
      <x:c r="LLH63" s="291"/>
      <x:c r="LLI63" s="291"/>
      <x:c r="LLJ63" s="291"/>
      <x:c r="LLK63" s="291"/>
      <x:c r="LLL63" s="291"/>
      <x:c r="LLM63" s="291"/>
      <x:c r="LLN63" s="291"/>
      <x:c r="LLO63" s="291"/>
      <x:c r="LLP63" s="291"/>
      <x:c r="LLQ63" s="291"/>
      <x:c r="LLR63" s="291"/>
      <x:c r="LLS63" s="291"/>
      <x:c r="LLT63" s="291"/>
      <x:c r="LLU63" s="291"/>
      <x:c r="LLV63" s="291"/>
      <x:c r="LLW63" s="291"/>
      <x:c r="LLX63" s="291"/>
      <x:c r="LLY63" s="291"/>
      <x:c r="LLZ63" s="291"/>
      <x:c r="LMA63" s="291"/>
      <x:c r="LMB63" s="291"/>
      <x:c r="LMC63" s="291"/>
      <x:c r="LMD63" s="291"/>
      <x:c r="LME63" s="291"/>
      <x:c r="LMF63" s="291"/>
      <x:c r="LMG63" s="291"/>
      <x:c r="LMH63" s="291"/>
      <x:c r="LMI63" s="291"/>
      <x:c r="LMJ63" s="291"/>
      <x:c r="LMK63" s="291"/>
      <x:c r="LML63" s="291"/>
      <x:c r="LMM63" s="291"/>
      <x:c r="LMN63" s="291"/>
      <x:c r="LMO63" s="291"/>
      <x:c r="LMP63" s="291"/>
      <x:c r="LMQ63" s="291"/>
      <x:c r="LMR63" s="291"/>
      <x:c r="LMS63" s="291"/>
      <x:c r="LMT63" s="291"/>
      <x:c r="LMU63" s="291"/>
      <x:c r="LMV63" s="291"/>
      <x:c r="LMW63" s="291"/>
      <x:c r="LMX63" s="291"/>
      <x:c r="LMY63" s="291"/>
      <x:c r="LMZ63" s="291"/>
      <x:c r="LNA63" s="291"/>
      <x:c r="LNB63" s="291"/>
      <x:c r="LNC63" s="291"/>
      <x:c r="LND63" s="291"/>
      <x:c r="LNE63" s="291"/>
      <x:c r="LNF63" s="291"/>
      <x:c r="LNG63" s="291"/>
      <x:c r="LNH63" s="291"/>
      <x:c r="LNI63" s="291"/>
      <x:c r="LNJ63" s="291"/>
      <x:c r="LNK63" s="291"/>
      <x:c r="LNL63" s="291"/>
      <x:c r="LNM63" s="291"/>
      <x:c r="LNN63" s="291"/>
      <x:c r="LNO63" s="291"/>
      <x:c r="LNP63" s="291"/>
      <x:c r="LNQ63" s="291"/>
      <x:c r="LNR63" s="291"/>
      <x:c r="LNS63" s="291"/>
      <x:c r="LNT63" s="291"/>
      <x:c r="LNU63" s="291"/>
      <x:c r="LNV63" s="291"/>
      <x:c r="LNW63" s="291"/>
      <x:c r="LNX63" s="291"/>
      <x:c r="LNY63" s="291"/>
      <x:c r="LNZ63" s="291"/>
      <x:c r="LOA63" s="291"/>
      <x:c r="LOB63" s="291"/>
      <x:c r="LOC63" s="291"/>
      <x:c r="LOD63" s="291"/>
      <x:c r="LOE63" s="291"/>
      <x:c r="LOF63" s="291"/>
      <x:c r="LOG63" s="291"/>
      <x:c r="LOH63" s="291"/>
      <x:c r="LOI63" s="291"/>
      <x:c r="LOJ63" s="291"/>
      <x:c r="LOK63" s="291"/>
      <x:c r="LOL63" s="291"/>
      <x:c r="LOM63" s="291"/>
      <x:c r="LON63" s="291"/>
      <x:c r="LOO63" s="291"/>
      <x:c r="LOP63" s="291"/>
      <x:c r="LOQ63" s="291"/>
      <x:c r="LOR63" s="291"/>
      <x:c r="LOS63" s="291"/>
      <x:c r="LOT63" s="291"/>
      <x:c r="LOU63" s="291"/>
      <x:c r="LOV63" s="291"/>
      <x:c r="LOW63" s="291"/>
      <x:c r="LOX63" s="291"/>
      <x:c r="LOY63" s="291"/>
      <x:c r="LOZ63" s="291"/>
      <x:c r="LPA63" s="291"/>
      <x:c r="LPB63" s="291"/>
      <x:c r="LPC63" s="291"/>
      <x:c r="LPD63" s="291"/>
      <x:c r="LPE63" s="291"/>
      <x:c r="LPF63" s="291"/>
      <x:c r="LPG63" s="291"/>
      <x:c r="LPH63" s="291"/>
      <x:c r="LPI63" s="291"/>
      <x:c r="LPJ63" s="291"/>
      <x:c r="LPK63" s="291"/>
      <x:c r="LPL63" s="291"/>
      <x:c r="LPM63" s="291"/>
      <x:c r="LPN63" s="291"/>
      <x:c r="LPO63" s="291"/>
      <x:c r="LPP63" s="291"/>
      <x:c r="LPQ63" s="291"/>
      <x:c r="LPR63" s="291"/>
      <x:c r="LPS63" s="291"/>
      <x:c r="LPT63" s="291"/>
      <x:c r="LPU63" s="291"/>
      <x:c r="LPV63" s="291"/>
      <x:c r="LPW63" s="291"/>
      <x:c r="LPX63" s="291"/>
      <x:c r="LPY63" s="291"/>
      <x:c r="LPZ63" s="291"/>
      <x:c r="LQA63" s="291"/>
      <x:c r="LQB63" s="291"/>
      <x:c r="LQC63" s="291"/>
      <x:c r="LQD63" s="291"/>
      <x:c r="LQE63" s="291"/>
      <x:c r="LQF63" s="291"/>
      <x:c r="LQG63" s="291"/>
      <x:c r="LQH63" s="291"/>
      <x:c r="LQI63" s="291"/>
      <x:c r="LQJ63" s="291"/>
      <x:c r="LQK63" s="291"/>
      <x:c r="LQL63" s="291"/>
      <x:c r="LQM63" s="291"/>
      <x:c r="LQN63" s="291"/>
      <x:c r="LQO63" s="291"/>
      <x:c r="LQP63" s="291"/>
      <x:c r="LQQ63" s="291"/>
      <x:c r="LQR63" s="291"/>
      <x:c r="LQS63" s="291"/>
      <x:c r="LQT63" s="291"/>
      <x:c r="LQU63" s="291"/>
      <x:c r="LQV63" s="291"/>
      <x:c r="LQW63" s="291"/>
      <x:c r="LQX63" s="291"/>
      <x:c r="LQY63" s="291"/>
      <x:c r="LQZ63" s="291"/>
      <x:c r="LRA63" s="291"/>
      <x:c r="LRB63" s="291"/>
      <x:c r="LRC63" s="291"/>
      <x:c r="LRD63" s="291"/>
      <x:c r="LRE63" s="291"/>
      <x:c r="LRF63" s="291"/>
      <x:c r="LRG63" s="291"/>
      <x:c r="LRH63" s="291"/>
      <x:c r="LRI63" s="291"/>
      <x:c r="LRJ63" s="291"/>
      <x:c r="LRK63" s="291"/>
      <x:c r="LRL63" s="291"/>
      <x:c r="LRM63" s="291"/>
      <x:c r="LRN63" s="291"/>
      <x:c r="LRO63" s="291"/>
      <x:c r="LRP63" s="291"/>
      <x:c r="LRQ63" s="291"/>
      <x:c r="LRR63" s="291"/>
      <x:c r="LRS63" s="291"/>
      <x:c r="LRT63" s="291"/>
      <x:c r="LRU63" s="291"/>
      <x:c r="LRV63" s="291"/>
      <x:c r="LRW63" s="291"/>
      <x:c r="LRX63" s="291"/>
      <x:c r="LRY63" s="291"/>
      <x:c r="LRZ63" s="291"/>
      <x:c r="LSA63" s="291"/>
      <x:c r="LSB63" s="291"/>
      <x:c r="LSC63" s="291"/>
      <x:c r="LSD63" s="291"/>
      <x:c r="LSE63" s="291"/>
      <x:c r="LSF63" s="291"/>
      <x:c r="LSG63" s="291"/>
      <x:c r="LSH63" s="291"/>
      <x:c r="LSI63" s="291"/>
      <x:c r="LSJ63" s="291"/>
      <x:c r="LSK63" s="291"/>
      <x:c r="LSL63" s="291"/>
      <x:c r="LSM63" s="291"/>
      <x:c r="LSN63" s="291"/>
      <x:c r="LSO63" s="291"/>
      <x:c r="LSP63" s="291"/>
      <x:c r="LSQ63" s="291"/>
      <x:c r="LSR63" s="291"/>
      <x:c r="LSS63" s="291"/>
      <x:c r="LST63" s="291"/>
      <x:c r="LSU63" s="291"/>
      <x:c r="LSV63" s="291"/>
      <x:c r="LSW63" s="291"/>
      <x:c r="LSX63" s="291"/>
      <x:c r="LSY63" s="291"/>
      <x:c r="LSZ63" s="291"/>
      <x:c r="LTA63" s="291"/>
      <x:c r="LTB63" s="291"/>
      <x:c r="LTC63" s="291"/>
      <x:c r="LTD63" s="291"/>
      <x:c r="LTE63" s="291"/>
      <x:c r="LTF63" s="291"/>
      <x:c r="LTG63" s="291"/>
      <x:c r="LTH63" s="291"/>
      <x:c r="LTI63" s="291"/>
      <x:c r="LTJ63" s="291"/>
      <x:c r="LTK63" s="291"/>
      <x:c r="LTL63" s="291"/>
      <x:c r="LTM63" s="291"/>
      <x:c r="LTN63" s="291"/>
      <x:c r="LTO63" s="291"/>
      <x:c r="LTP63" s="291"/>
      <x:c r="LTQ63" s="291"/>
      <x:c r="LTR63" s="291"/>
      <x:c r="LTS63" s="291"/>
      <x:c r="LTT63" s="291"/>
      <x:c r="LTU63" s="291"/>
      <x:c r="LTV63" s="291"/>
      <x:c r="LTW63" s="291"/>
      <x:c r="LTX63" s="291"/>
      <x:c r="LTY63" s="291"/>
      <x:c r="LTZ63" s="291"/>
      <x:c r="LUA63" s="291"/>
      <x:c r="LUB63" s="291"/>
      <x:c r="LUC63" s="291"/>
      <x:c r="LUD63" s="291"/>
      <x:c r="LUE63" s="291"/>
      <x:c r="LUF63" s="291"/>
      <x:c r="LUG63" s="291"/>
      <x:c r="LUH63" s="291"/>
      <x:c r="LUI63" s="291"/>
      <x:c r="LUJ63" s="291"/>
      <x:c r="LUK63" s="291"/>
      <x:c r="LUL63" s="291"/>
      <x:c r="LUM63" s="291"/>
      <x:c r="LUN63" s="291"/>
      <x:c r="LUO63" s="291"/>
      <x:c r="LUP63" s="291"/>
      <x:c r="LUQ63" s="291"/>
      <x:c r="LUR63" s="291"/>
      <x:c r="LUS63" s="291"/>
      <x:c r="LUT63" s="291"/>
      <x:c r="LUU63" s="291"/>
      <x:c r="LUV63" s="291"/>
      <x:c r="LUW63" s="291"/>
      <x:c r="LUX63" s="291"/>
      <x:c r="LUY63" s="291"/>
      <x:c r="LUZ63" s="291"/>
      <x:c r="LVA63" s="291"/>
      <x:c r="LVB63" s="291"/>
      <x:c r="LVC63" s="291"/>
      <x:c r="LVD63" s="291"/>
      <x:c r="LVE63" s="291"/>
      <x:c r="LVF63" s="291"/>
      <x:c r="LVG63" s="291"/>
      <x:c r="LVH63" s="291"/>
      <x:c r="LVI63" s="291"/>
      <x:c r="LVJ63" s="291"/>
      <x:c r="LVK63" s="291"/>
      <x:c r="LVL63" s="291"/>
      <x:c r="LVM63" s="291"/>
      <x:c r="LVN63" s="291"/>
      <x:c r="LVO63" s="291"/>
      <x:c r="LVP63" s="291"/>
      <x:c r="LVQ63" s="291"/>
      <x:c r="LVR63" s="291"/>
      <x:c r="LVS63" s="291"/>
      <x:c r="LVT63" s="291"/>
      <x:c r="LVU63" s="291"/>
      <x:c r="LVV63" s="291"/>
      <x:c r="LVW63" s="291"/>
      <x:c r="LVX63" s="291"/>
      <x:c r="LVY63" s="291"/>
      <x:c r="LVZ63" s="291"/>
      <x:c r="LWA63" s="291"/>
      <x:c r="LWB63" s="291"/>
      <x:c r="LWC63" s="291"/>
      <x:c r="LWD63" s="291"/>
      <x:c r="LWE63" s="291"/>
      <x:c r="LWF63" s="291"/>
      <x:c r="LWG63" s="291"/>
      <x:c r="LWH63" s="291"/>
      <x:c r="LWI63" s="291"/>
      <x:c r="LWJ63" s="291"/>
      <x:c r="LWK63" s="291"/>
      <x:c r="LWL63" s="291"/>
      <x:c r="LWM63" s="291"/>
      <x:c r="LWN63" s="291"/>
      <x:c r="LWO63" s="291"/>
      <x:c r="LWP63" s="291"/>
      <x:c r="LWQ63" s="291"/>
      <x:c r="LWR63" s="291"/>
      <x:c r="LWS63" s="291"/>
      <x:c r="LWT63" s="291"/>
      <x:c r="LWU63" s="291"/>
      <x:c r="LWV63" s="291"/>
      <x:c r="LWW63" s="291"/>
      <x:c r="LWX63" s="291"/>
      <x:c r="LWY63" s="291"/>
      <x:c r="LWZ63" s="291"/>
      <x:c r="LXA63" s="291"/>
      <x:c r="LXB63" s="291"/>
      <x:c r="LXC63" s="291"/>
      <x:c r="LXD63" s="291"/>
      <x:c r="LXE63" s="291"/>
      <x:c r="LXF63" s="291"/>
      <x:c r="LXG63" s="291"/>
      <x:c r="LXH63" s="291"/>
      <x:c r="LXI63" s="291"/>
      <x:c r="LXJ63" s="291"/>
      <x:c r="LXK63" s="291"/>
      <x:c r="LXL63" s="291"/>
      <x:c r="LXM63" s="291"/>
      <x:c r="LXN63" s="291"/>
      <x:c r="LXO63" s="291"/>
      <x:c r="LXP63" s="291"/>
      <x:c r="LXQ63" s="291"/>
      <x:c r="LXR63" s="291"/>
      <x:c r="LXS63" s="291"/>
      <x:c r="LXT63" s="291"/>
      <x:c r="LXU63" s="291"/>
      <x:c r="LXV63" s="291"/>
      <x:c r="LXW63" s="291"/>
      <x:c r="LXX63" s="291"/>
      <x:c r="LXY63" s="291"/>
      <x:c r="LXZ63" s="291"/>
      <x:c r="LYA63" s="291"/>
      <x:c r="LYB63" s="291"/>
      <x:c r="LYC63" s="291"/>
      <x:c r="LYD63" s="291"/>
      <x:c r="LYE63" s="291"/>
      <x:c r="LYF63" s="291"/>
      <x:c r="LYG63" s="291"/>
      <x:c r="LYH63" s="291"/>
      <x:c r="LYI63" s="291"/>
      <x:c r="LYJ63" s="291"/>
      <x:c r="LYK63" s="291"/>
      <x:c r="LYL63" s="291"/>
      <x:c r="LYM63" s="291"/>
      <x:c r="LYN63" s="291"/>
      <x:c r="LYO63" s="291"/>
      <x:c r="LYP63" s="291"/>
      <x:c r="LYQ63" s="291"/>
      <x:c r="LYR63" s="291"/>
      <x:c r="LYS63" s="291"/>
      <x:c r="LYT63" s="291"/>
      <x:c r="LYU63" s="291"/>
      <x:c r="LYV63" s="291"/>
      <x:c r="LYW63" s="291"/>
      <x:c r="LYX63" s="291"/>
      <x:c r="LYY63" s="291"/>
      <x:c r="LYZ63" s="291"/>
      <x:c r="LZA63" s="291"/>
      <x:c r="LZB63" s="291"/>
      <x:c r="LZC63" s="291"/>
      <x:c r="LZD63" s="291"/>
      <x:c r="LZE63" s="291"/>
      <x:c r="LZF63" s="291"/>
      <x:c r="LZG63" s="291"/>
      <x:c r="LZH63" s="291"/>
      <x:c r="LZI63" s="291"/>
      <x:c r="LZJ63" s="291"/>
      <x:c r="LZK63" s="291"/>
      <x:c r="LZL63" s="291"/>
      <x:c r="LZM63" s="291"/>
      <x:c r="LZN63" s="291"/>
      <x:c r="LZO63" s="291"/>
      <x:c r="LZP63" s="291"/>
      <x:c r="LZQ63" s="291"/>
      <x:c r="LZR63" s="291"/>
      <x:c r="LZS63" s="291"/>
      <x:c r="LZT63" s="291"/>
      <x:c r="LZU63" s="291"/>
      <x:c r="LZV63" s="291"/>
      <x:c r="LZW63" s="291"/>
      <x:c r="LZX63" s="291"/>
      <x:c r="LZY63" s="291"/>
      <x:c r="LZZ63" s="291"/>
      <x:c r="MAA63" s="291"/>
      <x:c r="MAB63" s="291"/>
      <x:c r="MAC63" s="291"/>
      <x:c r="MAD63" s="291"/>
      <x:c r="MAE63" s="291"/>
      <x:c r="MAF63" s="291"/>
      <x:c r="MAG63" s="291"/>
      <x:c r="MAH63" s="291"/>
      <x:c r="MAI63" s="291"/>
      <x:c r="MAJ63" s="291"/>
      <x:c r="MAK63" s="291"/>
      <x:c r="MAL63" s="291"/>
      <x:c r="MAM63" s="291"/>
      <x:c r="MAN63" s="291"/>
      <x:c r="MAO63" s="291"/>
      <x:c r="MAP63" s="291"/>
      <x:c r="MAQ63" s="291"/>
      <x:c r="MAR63" s="291"/>
      <x:c r="MAS63" s="291"/>
      <x:c r="MAT63" s="291"/>
      <x:c r="MAU63" s="291"/>
      <x:c r="MAV63" s="291"/>
      <x:c r="MAW63" s="291"/>
      <x:c r="MAX63" s="291"/>
      <x:c r="MAY63" s="291"/>
      <x:c r="MAZ63" s="291"/>
      <x:c r="MBA63" s="291"/>
      <x:c r="MBB63" s="291"/>
      <x:c r="MBC63" s="291"/>
      <x:c r="MBD63" s="291"/>
      <x:c r="MBE63" s="291"/>
      <x:c r="MBF63" s="291"/>
      <x:c r="MBG63" s="291"/>
      <x:c r="MBH63" s="291"/>
      <x:c r="MBI63" s="291"/>
      <x:c r="MBJ63" s="291"/>
      <x:c r="MBK63" s="291"/>
      <x:c r="MBL63" s="291"/>
      <x:c r="MBM63" s="291"/>
      <x:c r="MBN63" s="291"/>
      <x:c r="MBO63" s="291"/>
      <x:c r="MBP63" s="291"/>
      <x:c r="MBQ63" s="291"/>
      <x:c r="MBR63" s="291"/>
      <x:c r="MBS63" s="291"/>
      <x:c r="MBT63" s="291"/>
      <x:c r="MBU63" s="291"/>
      <x:c r="MBV63" s="291"/>
      <x:c r="MBW63" s="291"/>
      <x:c r="MBX63" s="291"/>
      <x:c r="MBY63" s="291"/>
      <x:c r="MBZ63" s="291"/>
      <x:c r="MCA63" s="291"/>
      <x:c r="MCB63" s="291"/>
      <x:c r="MCC63" s="291"/>
      <x:c r="MCD63" s="291"/>
      <x:c r="MCE63" s="291"/>
      <x:c r="MCF63" s="291"/>
      <x:c r="MCG63" s="291"/>
      <x:c r="MCH63" s="291"/>
      <x:c r="MCI63" s="291"/>
      <x:c r="MCJ63" s="291"/>
      <x:c r="MCK63" s="291"/>
      <x:c r="MCL63" s="291"/>
      <x:c r="MCM63" s="291"/>
      <x:c r="MCN63" s="291"/>
      <x:c r="MCO63" s="291"/>
      <x:c r="MCP63" s="291"/>
      <x:c r="MCQ63" s="291"/>
      <x:c r="MCR63" s="291"/>
      <x:c r="MCS63" s="291"/>
      <x:c r="MCT63" s="291"/>
      <x:c r="MCU63" s="291"/>
      <x:c r="MCV63" s="291"/>
      <x:c r="MCW63" s="291"/>
      <x:c r="MCX63" s="291"/>
      <x:c r="MCY63" s="291"/>
      <x:c r="MCZ63" s="291"/>
      <x:c r="MDA63" s="291"/>
      <x:c r="MDB63" s="291"/>
      <x:c r="MDC63" s="291"/>
      <x:c r="MDD63" s="291"/>
      <x:c r="MDE63" s="291"/>
      <x:c r="MDF63" s="291"/>
      <x:c r="MDG63" s="291"/>
      <x:c r="MDH63" s="291"/>
      <x:c r="MDI63" s="291"/>
      <x:c r="MDJ63" s="291"/>
      <x:c r="MDK63" s="291"/>
      <x:c r="MDL63" s="291"/>
      <x:c r="MDM63" s="291"/>
      <x:c r="MDN63" s="291"/>
      <x:c r="MDO63" s="291"/>
      <x:c r="MDP63" s="291"/>
      <x:c r="MDQ63" s="291"/>
      <x:c r="MDR63" s="291"/>
      <x:c r="MDS63" s="291"/>
      <x:c r="MDT63" s="291"/>
      <x:c r="MDU63" s="291"/>
      <x:c r="MDV63" s="291"/>
      <x:c r="MDW63" s="291"/>
      <x:c r="MDX63" s="291"/>
      <x:c r="MDY63" s="291"/>
      <x:c r="MDZ63" s="291"/>
      <x:c r="MEA63" s="291"/>
      <x:c r="MEB63" s="291"/>
      <x:c r="MEC63" s="291"/>
      <x:c r="MED63" s="291"/>
      <x:c r="MEE63" s="291"/>
      <x:c r="MEF63" s="291"/>
      <x:c r="MEG63" s="291"/>
      <x:c r="MEH63" s="291"/>
      <x:c r="MEI63" s="291"/>
      <x:c r="MEJ63" s="291"/>
      <x:c r="MEK63" s="291"/>
      <x:c r="MEL63" s="291"/>
      <x:c r="MEM63" s="291"/>
      <x:c r="MEN63" s="291"/>
      <x:c r="MEO63" s="291"/>
      <x:c r="MEP63" s="291"/>
      <x:c r="MEQ63" s="291"/>
      <x:c r="MER63" s="291"/>
      <x:c r="MES63" s="291"/>
      <x:c r="MET63" s="291"/>
      <x:c r="MEU63" s="291"/>
      <x:c r="MEV63" s="291"/>
      <x:c r="MEW63" s="291"/>
      <x:c r="MEX63" s="291"/>
      <x:c r="MEY63" s="291"/>
      <x:c r="MEZ63" s="291"/>
      <x:c r="MFA63" s="291"/>
      <x:c r="MFB63" s="291"/>
      <x:c r="MFC63" s="291"/>
      <x:c r="MFD63" s="291"/>
      <x:c r="MFE63" s="291"/>
      <x:c r="MFF63" s="291"/>
      <x:c r="MFG63" s="291"/>
      <x:c r="MFH63" s="291"/>
      <x:c r="MFI63" s="291"/>
      <x:c r="MFJ63" s="291"/>
      <x:c r="MFK63" s="291"/>
      <x:c r="MFL63" s="291"/>
      <x:c r="MFM63" s="291"/>
      <x:c r="MFN63" s="291"/>
      <x:c r="MFO63" s="291"/>
      <x:c r="MFP63" s="291"/>
      <x:c r="MFQ63" s="291"/>
      <x:c r="MFR63" s="291"/>
      <x:c r="MFS63" s="291"/>
      <x:c r="MFT63" s="291"/>
      <x:c r="MFU63" s="291"/>
      <x:c r="MFV63" s="291"/>
      <x:c r="MFW63" s="291"/>
      <x:c r="MFX63" s="291"/>
      <x:c r="MFY63" s="291"/>
      <x:c r="MFZ63" s="291"/>
      <x:c r="MGA63" s="291"/>
      <x:c r="MGB63" s="291"/>
      <x:c r="MGC63" s="291"/>
      <x:c r="MGD63" s="291"/>
      <x:c r="MGE63" s="291"/>
      <x:c r="MGF63" s="291"/>
      <x:c r="MGG63" s="291"/>
      <x:c r="MGH63" s="291"/>
      <x:c r="MGI63" s="291"/>
      <x:c r="MGJ63" s="291"/>
      <x:c r="MGK63" s="291"/>
      <x:c r="MGL63" s="291"/>
      <x:c r="MGM63" s="291"/>
      <x:c r="MGN63" s="291"/>
      <x:c r="MGO63" s="291"/>
      <x:c r="MGP63" s="291"/>
      <x:c r="MGQ63" s="291"/>
      <x:c r="MGR63" s="291"/>
      <x:c r="MGS63" s="291"/>
      <x:c r="MGT63" s="291"/>
      <x:c r="MGU63" s="291"/>
      <x:c r="MGV63" s="291"/>
      <x:c r="MGW63" s="291"/>
      <x:c r="MGX63" s="291"/>
      <x:c r="MGY63" s="291"/>
      <x:c r="MGZ63" s="291"/>
      <x:c r="MHA63" s="291"/>
      <x:c r="MHB63" s="291"/>
      <x:c r="MHC63" s="291"/>
      <x:c r="MHD63" s="291"/>
      <x:c r="MHE63" s="291"/>
      <x:c r="MHF63" s="291"/>
      <x:c r="MHG63" s="291"/>
      <x:c r="MHH63" s="291"/>
      <x:c r="MHI63" s="291"/>
      <x:c r="MHJ63" s="291"/>
      <x:c r="MHK63" s="291"/>
      <x:c r="MHL63" s="291"/>
      <x:c r="MHM63" s="291"/>
      <x:c r="MHN63" s="291"/>
      <x:c r="MHO63" s="291"/>
      <x:c r="MHP63" s="291"/>
      <x:c r="MHQ63" s="291"/>
      <x:c r="MHR63" s="291"/>
      <x:c r="MHS63" s="291"/>
      <x:c r="MHT63" s="291"/>
      <x:c r="MHU63" s="291"/>
      <x:c r="MHV63" s="291"/>
      <x:c r="MHW63" s="291"/>
      <x:c r="MHX63" s="291"/>
      <x:c r="MHY63" s="291"/>
      <x:c r="MHZ63" s="291"/>
      <x:c r="MIA63" s="291"/>
      <x:c r="MIB63" s="291"/>
      <x:c r="MIC63" s="291"/>
      <x:c r="MID63" s="291"/>
      <x:c r="MIE63" s="291"/>
      <x:c r="MIF63" s="291"/>
      <x:c r="MIG63" s="291"/>
      <x:c r="MIH63" s="291"/>
      <x:c r="MII63" s="291"/>
      <x:c r="MIJ63" s="291"/>
      <x:c r="MIK63" s="291"/>
      <x:c r="MIL63" s="291"/>
      <x:c r="MIM63" s="291"/>
      <x:c r="MIN63" s="291"/>
      <x:c r="MIO63" s="291"/>
      <x:c r="MIP63" s="291"/>
      <x:c r="MIQ63" s="291"/>
      <x:c r="MIR63" s="291"/>
      <x:c r="MIS63" s="291"/>
      <x:c r="MIT63" s="291"/>
      <x:c r="MIU63" s="291"/>
      <x:c r="MIV63" s="291"/>
      <x:c r="MIW63" s="291"/>
      <x:c r="MIX63" s="291"/>
      <x:c r="MIY63" s="291"/>
      <x:c r="MIZ63" s="291"/>
      <x:c r="MJA63" s="291"/>
      <x:c r="MJB63" s="291"/>
      <x:c r="MJC63" s="291"/>
      <x:c r="MJD63" s="291"/>
      <x:c r="MJE63" s="291"/>
      <x:c r="MJF63" s="291"/>
      <x:c r="MJG63" s="291"/>
      <x:c r="MJH63" s="291"/>
      <x:c r="MJI63" s="291"/>
      <x:c r="MJJ63" s="291"/>
      <x:c r="MJK63" s="291"/>
      <x:c r="MJL63" s="291"/>
      <x:c r="MJM63" s="291"/>
      <x:c r="MJN63" s="291"/>
      <x:c r="MJO63" s="291"/>
      <x:c r="MJP63" s="291"/>
      <x:c r="MJQ63" s="291"/>
      <x:c r="MJR63" s="291"/>
      <x:c r="MJS63" s="291"/>
      <x:c r="MJT63" s="291"/>
      <x:c r="MJU63" s="291"/>
      <x:c r="MJV63" s="291"/>
      <x:c r="MJW63" s="291"/>
      <x:c r="MJX63" s="291"/>
      <x:c r="MJY63" s="291"/>
      <x:c r="MJZ63" s="291"/>
      <x:c r="MKA63" s="291"/>
      <x:c r="MKB63" s="291"/>
      <x:c r="MKC63" s="291"/>
      <x:c r="MKD63" s="291"/>
      <x:c r="MKE63" s="291"/>
      <x:c r="MKF63" s="291"/>
      <x:c r="MKG63" s="291"/>
      <x:c r="MKH63" s="291"/>
      <x:c r="MKI63" s="291"/>
      <x:c r="MKJ63" s="291"/>
      <x:c r="MKK63" s="291"/>
      <x:c r="MKL63" s="291"/>
      <x:c r="MKM63" s="291"/>
      <x:c r="MKN63" s="291"/>
      <x:c r="MKO63" s="291"/>
      <x:c r="MKP63" s="291"/>
      <x:c r="MKQ63" s="291"/>
      <x:c r="MKR63" s="291"/>
      <x:c r="MKS63" s="291"/>
      <x:c r="MKT63" s="291"/>
      <x:c r="MKU63" s="291"/>
      <x:c r="MKV63" s="291"/>
      <x:c r="MKW63" s="291"/>
      <x:c r="MKX63" s="291"/>
      <x:c r="MKY63" s="291"/>
      <x:c r="MKZ63" s="291"/>
      <x:c r="MLA63" s="291"/>
      <x:c r="MLB63" s="291"/>
      <x:c r="MLC63" s="291"/>
      <x:c r="MLD63" s="291"/>
      <x:c r="MLE63" s="291"/>
      <x:c r="MLF63" s="291"/>
      <x:c r="MLG63" s="291"/>
      <x:c r="MLH63" s="291"/>
      <x:c r="MLI63" s="291"/>
      <x:c r="MLJ63" s="291"/>
      <x:c r="MLK63" s="291"/>
      <x:c r="MLL63" s="291"/>
      <x:c r="MLM63" s="291"/>
      <x:c r="MLN63" s="291"/>
      <x:c r="MLO63" s="291"/>
      <x:c r="MLP63" s="291"/>
      <x:c r="MLQ63" s="291"/>
      <x:c r="MLR63" s="291"/>
      <x:c r="MLS63" s="291"/>
      <x:c r="MLT63" s="291"/>
      <x:c r="MLU63" s="291"/>
      <x:c r="MLV63" s="291"/>
      <x:c r="MLW63" s="291"/>
      <x:c r="MLX63" s="291"/>
      <x:c r="MLY63" s="291"/>
      <x:c r="MLZ63" s="291"/>
      <x:c r="MMA63" s="291"/>
      <x:c r="MMB63" s="291"/>
      <x:c r="MMC63" s="291"/>
      <x:c r="MMD63" s="291"/>
      <x:c r="MME63" s="291"/>
      <x:c r="MMF63" s="291"/>
      <x:c r="MMG63" s="291"/>
      <x:c r="MMH63" s="291"/>
      <x:c r="MMI63" s="291"/>
      <x:c r="MMJ63" s="291"/>
      <x:c r="MMK63" s="291"/>
      <x:c r="MML63" s="291"/>
      <x:c r="MMM63" s="291"/>
      <x:c r="MMN63" s="291"/>
      <x:c r="MMO63" s="291"/>
      <x:c r="MMP63" s="291"/>
      <x:c r="MMQ63" s="291"/>
      <x:c r="MMR63" s="291"/>
      <x:c r="MMS63" s="291"/>
      <x:c r="MMT63" s="291"/>
      <x:c r="MMU63" s="291"/>
      <x:c r="MMV63" s="291"/>
      <x:c r="MMW63" s="291"/>
      <x:c r="MMX63" s="291"/>
      <x:c r="MMY63" s="291"/>
      <x:c r="MMZ63" s="291"/>
      <x:c r="MNA63" s="291"/>
      <x:c r="MNB63" s="291"/>
      <x:c r="MNC63" s="291"/>
      <x:c r="MND63" s="291"/>
      <x:c r="MNE63" s="291"/>
      <x:c r="MNF63" s="291"/>
      <x:c r="MNG63" s="291"/>
      <x:c r="MNH63" s="291"/>
      <x:c r="MNI63" s="291"/>
      <x:c r="MNJ63" s="291"/>
      <x:c r="MNK63" s="291"/>
      <x:c r="MNL63" s="291"/>
      <x:c r="MNM63" s="291"/>
      <x:c r="MNN63" s="291"/>
      <x:c r="MNO63" s="291"/>
      <x:c r="MNP63" s="291"/>
      <x:c r="MNQ63" s="291"/>
      <x:c r="MNR63" s="291"/>
      <x:c r="MNS63" s="291"/>
      <x:c r="MNT63" s="291"/>
      <x:c r="MNU63" s="291"/>
      <x:c r="MNV63" s="291"/>
      <x:c r="MNW63" s="291"/>
      <x:c r="MNX63" s="291"/>
      <x:c r="MNY63" s="291"/>
      <x:c r="MNZ63" s="291"/>
      <x:c r="MOA63" s="291"/>
      <x:c r="MOB63" s="291"/>
      <x:c r="MOC63" s="291"/>
      <x:c r="MOD63" s="291"/>
      <x:c r="MOE63" s="291"/>
      <x:c r="MOF63" s="291"/>
      <x:c r="MOG63" s="291"/>
      <x:c r="MOH63" s="291"/>
      <x:c r="MOI63" s="291"/>
      <x:c r="MOJ63" s="291"/>
      <x:c r="MOK63" s="291"/>
      <x:c r="MOL63" s="291"/>
      <x:c r="MOM63" s="291"/>
      <x:c r="MON63" s="291"/>
      <x:c r="MOO63" s="291"/>
      <x:c r="MOP63" s="291"/>
      <x:c r="MOQ63" s="291"/>
      <x:c r="MOR63" s="291"/>
      <x:c r="MOS63" s="291"/>
      <x:c r="MOT63" s="291"/>
      <x:c r="MOU63" s="291"/>
      <x:c r="MOV63" s="291"/>
      <x:c r="MOW63" s="291"/>
      <x:c r="MOX63" s="291"/>
      <x:c r="MOY63" s="291"/>
      <x:c r="MOZ63" s="291"/>
      <x:c r="MPA63" s="291"/>
      <x:c r="MPB63" s="291"/>
      <x:c r="MPC63" s="291"/>
      <x:c r="MPD63" s="291"/>
      <x:c r="MPE63" s="291"/>
      <x:c r="MPF63" s="291"/>
      <x:c r="MPG63" s="291"/>
      <x:c r="MPH63" s="291"/>
      <x:c r="MPI63" s="291"/>
      <x:c r="MPJ63" s="291"/>
      <x:c r="MPK63" s="291"/>
      <x:c r="MPL63" s="291"/>
      <x:c r="MPM63" s="291"/>
      <x:c r="MPN63" s="291"/>
      <x:c r="MPO63" s="291"/>
      <x:c r="MPP63" s="291"/>
      <x:c r="MPQ63" s="291"/>
      <x:c r="MPR63" s="291"/>
      <x:c r="MPS63" s="291"/>
      <x:c r="MPT63" s="291"/>
      <x:c r="MPU63" s="291"/>
      <x:c r="MPV63" s="291"/>
      <x:c r="MPW63" s="291"/>
      <x:c r="MPX63" s="291"/>
      <x:c r="MPY63" s="291"/>
      <x:c r="MPZ63" s="291"/>
      <x:c r="MQA63" s="291"/>
      <x:c r="MQB63" s="291"/>
      <x:c r="MQC63" s="291"/>
      <x:c r="MQD63" s="291"/>
      <x:c r="MQE63" s="291"/>
      <x:c r="MQF63" s="291"/>
      <x:c r="MQG63" s="291"/>
      <x:c r="MQH63" s="291"/>
      <x:c r="MQI63" s="291"/>
      <x:c r="MQJ63" s="291"/>
      <x:c r="MQK63" s="291"/>
      <x:c r="MQL63" s="291"/>
      <x:c r="MQM63" s="291"/>
      <x:c r="MQN63" s="291"/>
      <x:c r="MQO63" s="291"/>
      <x:c r="MQP63" s="291"/>
      <x:c r="MQQ63" s="291"/>
      <x:c r="MQR63" s="291"/>
      <x:c r="MQS63" s="291"/>
      <x:c r="MQT63" s="291"/>
      <x:c r="MQU63" s="291"/>
      <x:c r="MQV63" s="291"/>
      <x:c r="MQW63" s="291"/>
      <x:c r="MQX63" s="291"/>
      <x:c r="MQY63" s="291"/>
      <x:c r="MQZ63" s="291"/>
      <x:c r="MRA63" s="291"/>
      <x:c r="MRB63" s="291"/>
      <x:c r="MRC63" s="291"/>
      <x:c r="MRD63" s="291"/>
      <x:c r="MRE63" s="291"/>
      <x:c r="MRF63" s="291"/>
      <x:c r="MRG63" s="291"/>
      <x:c r="MRH63" s="291"/>
      <x:c r="MRI63" s="291"/>
      <x:c r="MRJ63" s="291"/>
      <x:c r="MRK63" s="291"/>
      <x:c r="MRL63" s="291"/>
      <x:c r="MRM63" s="291"/>
      <x:c r="MRN63" s="291"/>
      <x:c r="MRO63" s="291"/>
      <x:c r="MRP63" s="291"/>
      <x:c r="MRQ63" s="291"/>
      <x:c r="MRR63" s="291"/>
      <x:c r="MRS63" s="291"/>
      <x:c r="MRT63" s="291"/>
      <x:c r="MRU63" s="291"/>
      <x:c r="MRV63" s="291"/>
      <x:c r="MRW63" s="291"/>
      <x:c r="MRX63" s="291"/>
      <x:c r="MRY63" s="291"/>
      <x:c r="MRZ63" s="291"/>
      <x:c r="MSA63" s="291"/>
      <x:c r="MSB63" s="291"/>
      <x:c r="MSC63" s="291"/>
      <x:c r="MSD63" s="291"/>
      <x:c r="MSE63" s="291"/>
      <x:c r="MSF63" s="291"/>
      <x:c r="MSG63" s="291"/>
      <x:c r="MSH63" s="291"/>
      <x:c r="MSI63" s="291"/>
      <x:c r="MSJ63" s="291"/>
      <x:c r="MSK63" s="291"/>
      <x:c r="MSL63" s="291"/>
      <x:c r="MSM63" s="291"/>
      <x:c r="MSN63" s="291"/>
      <x:c r="MSO63" s="291"/>
      <x:c r="MSP63" s="291"/>
      <x:c r="MSQ63" s="291"/>
      <x:c r="MSR63" s="291"/>
      <x:c r="MSS63" s="291"/>
      <x:c r="MST63" s="291"/>
      <x:c r="MSU63" s="291"/>
      <x:c r="MSV63" s="291"/>
      <x:c r="MSW63" s="291"/>
      <x:c r="MSX63" s="291"/>
      <x:c r="MSY63" s="291"/>
      <x:c r="MSZ63" s="291"/>
      <x:c r="MTA63" s="291"/>
      <x:c r="MTB63" s="291"/>
      <x:c r="MTC63" s="291"/>
      <x:c r="MTD63" s="291"/>
      <x:c r="MTE63" s="291"/>
      <x:c r="MTF63" s="291"/>
      <x:c r="MTG63" s="291"/>
      <x:c r="MTH63" s="291"/>
      <x:c r="MTI63" s="291"/>
      <x:c r="MTJ63" s="291"/>
      <x:c r="MTK63" s="291"/>
      <x:c r="MTL63" s="291"/>
      <x:c r="MTM63" s="291"/>
      <x:c r="MTN63" s="291"/>
      <x:c r="MTO63" s="291"/>
      <x:c r="MTP63" s="291"/>
      <x:c r="MTQ63" s="291"/>
      <x:c r="MTR63" s="291"/>
      <x:c r="MTS63" s="291"/>
      <x:c r="MTT63" s="291"/>
      <x:c r="MTU63" s="291"/>
      <x:c r="MTV63" s="291"/>
      <x:c r="MTW63" s="291"/>
      <x:c r="MTX63" s="291"/>
      <x:c r="MTY63" s="291"/>
      <x:c r="MTZ63" s="291"/>
      <x:c r="MUA63" s="291"/>
      <x:c r="MUB63" s="291"/>
      <x:c r="MUC63" s="291"/>
      <x:c r="MUD63" s="291"/>
      <x:c r="MUE63" s="291"/>
      <x:c r="MUF63" s="291"/>
      <x:c r="MUG63" s="291"/>
      <x:c r="MUH63" s="291"/>
      <x:c r="MUI63" s="291"/>
      <x:c r="MUJ63" s="291"/>
      <x:c r="MUK63" s="291"/>
      <x:c r="MUL63" s="291"/>
      <x:c r="MUM63" s="291"/>
      <x:c r="MUN63" s="291"/>
      <x:c r="MUO63" s="291"/>
      <x:c r="MUP63" s="291"/>
      <x:c r="MUQ63" s="291"/>
      <x:c r="MUR63" s="291"/>
      <x:c r="MUS63" s="291"/>
      <x:c r="MUT63" s="291"/>
      <x:c r="MUU63" s="291"/>
      <x:c r="MUV63" s="291"/>
      <x:c r="MUW63" s="291"/>
      <x:c r="MUX63" s="291"/>
      <x:c r="MUY63" s="291"/>
      <x:c r="MUZ63" s="291"/>
      <x:c r="MVA63" s="291"/>
      <x:c r="MVB63" s="291"/>
      <x:c r="MVC63" s="291"/>
      <x:c r="MVD63" s="291"/>
      <x:c r="MVE63" s="291"/>
      <x:c r="MVF63" s="291"/>
      <x:c r="MVG63" s="291"/>
      <x:c r="MVH63" s="291"/>
      <x:c r="MVI63" s="291"/>
      <x:c r="MVJ63" s="291"/>
      <x:c r="MVK63" s="291"/>
      <x:c r="MVL63" s="291"/>
      <x:c r="MVM63" s="291"/>
      <x:c r="MVN63" s="291"/>
      <x:c r="MVO63" s="291"/>
      <x:c r="MVP63" s="291"/>
      <x:c r="MVQ63" s="291"/>
      <x:c r="MVR63" s="291"/>
      <x:c r="MVS63" s="291"/>
      <x:c r="MVT63" s="291"/>
      <x:c r="MVU63" s="291"/>
      <x:c r="MVV63" s="291"/>
      <x:c r="MVW63" s="291"/>
      <x:c r="MVX63" s="291"/>
      <x:c r="MVY63" s="291"/>
      <x:c r="MVZ63" s="291"/>
      <x:c r="MWA63" s="291"/>
      <x:c r="MWB63" s="291"/>
      <x:c r="MWC63" s="291"/>
      <x:c r="MWD63" s="291"/>
      <x:c r="MWE63" s="291"/>
      <x:c r="MWF63" s="291"/>
      <x:c r="MWG63" s="291"/>
      <x:c r="MWH63" s="291"/>
      <x:c r="MWI63" s="291"/>
      <x:c r="MWJ63" s="291"/>
      <x:c r="MWK63" s="291"/>
      <x:c r="MWL63" s="291"/>
      <x:c r="MWM63" s="291"/>
      <x:c r="MWN63" s="291"/>
      <x:c r="MWO63" s="291"/>
      <x:c r="MWP63" s="291"/>
      <x:c r="MWQ63" s="291"/>
      <x:c r="MWR63" s="291"/>
      <x:c r="MWS63" s="291"/>
      <x:c r="MWT63" s="291"/>
      <x:c r="MWU63" s="291"/>
      <x:c r="MWV63" s="291"/>
      <x:c r="MWW63" s="291"/>
      <x:c r="MWX63" s="291"/>
      <x:c r="MWY63" s="291"/>
      <x:c r="MWZ63" s="291"/>
      <x:c r="MXA63" s="291"/>
      <x:c r="MXB63" s="291"/>
      <x:c r="MXC63" s="291"/>
      <x:c r="MXD63" s="291"/>
      <x:c r="MXE63" s="291"/>
      <x:c r="MXF63" s="291"/>
      <x:c r="MXG63" s="291"/>
      <x:c r="MXH63" s="291"/>
      <x:c r="MXI63" s="291"/>
      <x:c r="MXJ63" s="291"/>
      <x:c r="MXK63" s="291"/>
      <x:c r="MXL63" s="291"/>
      <x:c r="MXM63" s="291"/>
      <x:c r="MXN63" s="291"/>
      <x:c r="MXO63" s="291"/>
      <x:c r="MXP63" s="291"/>
      <x:c r="MXQ63" s="291"/>
      <x:c r="MXR63" s="291"/>
      <x:c r="MXS63" s="291"/>
      <x:c r="MXT63" s="291"/>
      <x:c r="MXU63" s="291"/>
      <x:c r="MXV63" s="291"/>
      <x:c r="MXW63" s="291"/>
      <x:c r="MXX63" s="291"/>
      <x:c r="MXY63" s="291"/>
      <x:c r="MXZ63" s="291"/>
      <x:c r="MYA63" s="291"/>
      <x:c r="MYB63" s="291"/>
      <x:c r="MYC63" s="291"/>
      <x:c r="MYD63" s="291"/>
      <x:c r="MYE63" s="291"/>
      <x:c r="MYF63" s="291"/>
      <x:c r="MYG63" s="291"/>
      <x:c r="MYH63" s="291"/>
      <x:c r="MYI63" s="291"/>
      <x:c r="MYJ63" s="291"/>
      <x:c r="MYK63" s="291"/>
      <x:c r="MYL63" s="291"/>
      <x:c r="MYM63" s="291"/>
      <x:c r="MYN63" s="291"/>
      <x:c r="MYO63" s="291"/>
      <x:c r="MYP63" s="291"/>
      <x:c r="MYQ63" s="291"/>
      <x:c r="MYR63" s="291"/>
      <x:c r="MYS63" s="291"/>
      <x:c r="MYT63" s="291"/>
      <x:c r="MYU63" s="291"/>
      <x:c r="MYV63" s="291"/>
      <x:c r="MYW63" s="291"/>
      <x:c r="MYX63" s="291"/>
      <x:c r="MYY63" s="291"/>
      <x:c r="MYZ63" s="291"/>
      <x:c r="MZA63" s="291"/>
      <x:c r="MZB63" s="291"/>
      <x:c r="MZC63" s="291"/>
      <x:c r="MZD63" s="291"/>
      <x:c r="MZE63" s="291"/>
      <x:c r="MZF63" s="291"/>
      <x:c r="MZG63" s="291"/>
      <x:c r="MZH63" s="291"/>
      <x:c r="MZI63" s="291"/>
      <x:c r="MZJ63" s="291"/>
      <x:c r="MZK63" s="291"/>
      <x:c r="MZL63" s="291"/>
      <x:c r="MZM63" s="291"/>
      <x:c r="MZN63" s="291"/>
      <x:c r="MZO63" s="291"/>
      <x:c r="MZP63" s="291"/>
      <x:c r="MZQ63" s="291"/>
      <x:c r="MZR63" s="291"/>
      <x:c r="MZS63" s="291"/>
      <x:c r="MZT63" s="291"/>
      <x:c r="MZU63" s="291"/>
      <x:c r="MZV63" s="291"/>
      <x:c r="MZW63" s="291"/>
      <x:c r="MZX63" s="291"/>
      <x:c r="MZY63" s="291"/>
      <x:c r="MZZ63" s="291"/>
      <x:c r="NAA63" s="291"/>
      <x:c r="NAB63" s="291"/>
      <x:c r="NAC63" s="291"/>
      <x:c r="NAD63" s="291"/>
      <x:c r="NAE63" s="291"/>
      <x:c r="NAF63" s="291"/>
      <x:c r="NAG63" s="291"/>
      <x:c r="NAH63" s="291"/>
      <x:c r="NAI63" s="291"/>
      <x:c r="NAJ63" s="291"/>
      <x:c r="NAK63" s="291"/>
      <x:c r="NAL63" s="291"/>
      <x:c r="NAM63" s="291"/>
      <x:c r="NAN63" s="291"/>
      <x:c r="NAO63" s="291"/>
      <x:c r="NAP63" s="291"/>
      <x:c r="NAQ63" s="291"/>
      <x:c r="NAR63" s="291"/>
      <x:c r="NAS63" s="291"/>
      <x:c r="NAT63" s="291"/>
      <x:c r="NAU63" s="291"/>
      <x:c r="NAV63" s="291"/>
      <x:c r="NAW63" s="291"/>
      <x:c r="NAX63" s="291"/>
      <x:c r="NAY63" s="291"/>
      <x:c r="NAZ63" s="291"/>
      <x:c r="NBA63" s="291"/>
      <x:c r="NBB63" s="291"/>
      <x:c r="NBC63" s="291"/>
      <x:c r="NBD63" s="291"/>
      <x:c r="NBE63" s="291"/>
      <x:c r="NBF63" s="291"/>
      <x:c r="NBG63" s="291"/>
      <x:c r="NBH63" s="291"/>
      <x:c r="NBI63" s="291"/>
      <x:c r="NBJ63" s="291"/>
      <x:c r="NBK63" s="291"/>
      <x:c r="NBL63" s="291"/>
      <x:c r="NBM63" s="291"/>
      <x:c r="NBN63" s="291"/>
      <x:c r="NBO63" s="291"/>
      <x:c r="NBP63" s="291"/>
      <x:c r="NBQ63" s="291"/>
      <x:c r="NBR63" s="291"/>
      <x:c r="NBS63" s="291"/>
      <x:c r="NBT63" s="291"/>
      <x:c r="NBU63" s="291"/>
      <x:c r="NBV63" s="291"/>
      <x:c r="NBW63" s="291"/>
      <x:c r="NBX63" s="291"/>
      <x:c r="NBY63" s="291"/>
      <x:c r="NBZ63" s="291"/>
      <x:c r="NCA63" s="291"/>
      <x:c r="NCB63" s="291"/>
      <x:c r="NCC63" s="291"/>
      <x:c r="NCD63" s="291"/>
      <x:c r="NCE63" s="291"/>
      <x:c r="NCF63" s="291"/>
      <x:c r="NCG63" s="291"/>
      <x:c r="NCH63" s="291"/>
      <x:c r="NCI63" s="291"/>
      <x:c r="NCJ63" s="291"/>
      <x:c r="NCK63" s="291"/>
      <x:c r="NCL63" s="291"/>
      <x:c r="NCM63" s="291"/>
      <x:c r="NCN63" s="291"/>
      <x:c r="NCO63" s="291"/>
      <x:c r="NCP63" s="291"/>
      <x:c r="NCQ63" s="291"/>
      <x:c r="NCR63" s="291"/>
      <x:c r="NCS63" s="291"/>
      <x:c r="NCT63" s="291"/>
      <x:c r="NCU63" s="291"/>
      <x:c r="NCV63" s="291"/>
      <x:c r="NCW63" s="291"/>
      <x:c r="NCX63" s="291"/>
      <x:c r="NCY63" s="291"/>
      <x:c r="NCZ63" s="291"/>
      <x:c r="NDA63" s="291"/>
      <x:c r="NDB63" s="291"/>
      <x:c r="NDC63" s="291"/>
      <x:c r="NDD63" s="291"/>
      <x:c r="NDE63" s="291"/>
      <x:c r="NDF63" s="291"/>
      <x:c r="NDG63" s="291"/>
      <x:c r="NDH63" s="291"/>
      <x:c r="NDI63" s="291"/>
      <x:c r="NDJ63" s="291"/>
      <x:c r="NDK63" s="291"/>
      <x:c r="NDL63" s="291"/>
      <x:c r="NDM63" s="291"/>
      <x:c r="NDN63" s="291"/>
      <x:c r="NDO63" s="291"/>
      <x:c r="NDP63" s="291"/>
      <x:c r="NDQ63" s="291"/>
      <x:c r="NDR63" s="291"/>
      <x:c r="NDS63" s="291"/>
      <x:c r="NDT63" s="291"/>
      <x:c r="NDU63" s="291"/>
      <x:c r="NDV63" s="291"/>
      <x:c r="NDW63" s="291"/>
      <x:c r="NDX63" s="291"/>
      <x:c r="NDY63" s="291"/>
      <x:c r="NDZ63" s="291"/>
      <x:c r="NEA63" s="291"/>
      <x:c r="NEB63" s="291"/>
      <x:c r="NEC63" s="291"/>
      <x:c r="NED63" s="291"/>
      <x:c r="NEE63" s="291"/>
      <x:c r="NEF63" s="291"/>
      <x:c r="NEG63" s="291"/>
      <x:c r="NEH63" s="291"/>
      <x:c r="NEI63" s="291"/>
      <x:c r="NEJ63" s="291"/>
      <x:c r="NEK63" s="291"/>
      <x:c r="NEL63" s="291"/>
      <x:c r="NEM63" s="291"/>
      <x:c r="NEN63" s="291"/>
      <x:c r="NEO63" s="291"/>
      <x:c r="NEP63" s="291"/>
      <x:c r="NEQ63" s="291"/>
      <x:c r="NER63" s="291"/>
      <x:c r="NES63" s="291"/>
      <x:c r="NET63" s="291"/>
      <x:c r="NEU63" s="291"/>
      <x:c r="NEV63" s="291"/>
      <x:c r="NEW63" s="291"/>
      <x:c r="NEX63" s="291"/>
      <x:c r="NEY63" s="291"/>
      <x:c r="NEZ63" s="291"/>
      <x:c r="NFA63" s="291"/>
      <x:c r="NFB63" s="291"/>
      <x:c r="NFC63" s="291"/>
      <x:c r="NFD63" s="291"/>
      <x:c r="NFE63" s="291"/>
      <x:c r="NFF63" s="291"/>
      <x:c r="NFG63" s="291"/>
      <x:c r="NFH63" s="291"/>
      <x:c r="NFI63" s="291"/>
      <x:c r="NFJ63" s="291"/>
      <x:c r="NFK63" s="291"/>
      <x:c r="NFL63" s="291"/>
      <x:c r="NFM63" s="291"/>
      <x:c r="NFN63" s="291"/>
      <x:c r="NFO63" s="291"/>
      <x:c r="NFP63" s="291"/>
      <x:c r="NFQ63" s="291"/>
      <x:c r="NFR63" s="291"/>
      <x:c r="NFS63" s="291"/>
      <x:c r="NFT63" s="291"/>
      <x:c r="NFU63" s="291"/>
      <x:c r="NFV63" s="291"/>
      <x:c r="NFW63" s="291"/>
      <x:c r="NFX63" s="291"/>
      <x:c r="NFY63" s="291"/>
      <x:c r="NFZ63" s="291"/>
      <x:c r="NGA63" s="291"/>
      <x:c r="NGB63" s="291"/>
      <x:c r="NGC63" s="291"/>
      <x:c r="NGD63" s="291"/>
      <x:c r="NGE63" s="291"/>
      <x:c r="NGF63" s="291"/>
      <x:c r="NGG63" s="291"/>
      <x:c r="NGH63" s="291"/>
      <x:c r="NGI63" s="291"/>
      <x:c r="NGJ63" s="291"/>
      <x:c r="NGK63" s="291"/>
      <x:c r="NGL63" s="291"/>
      <x:c r="NGM63" s="291"/>
      <x:c r="NGN63" s="291"/>
      <x:c r="NGO63" s="291"/>
      <x:c r="NGP63" s="291"/>
      <x:c r="NGQ63" s="291"/>
      <x:c r="NGR63" s="291"/>
      <x:c r="NGS63" s="291"/>
      <x:c r="NGT63" s="291"/>
      <x:c r="NGU63" s="291"/>
      <x:c r="NGV63" s="291"/>
      <x:c r="NGW63" s="291"/>
      <x:c r="NGX63" s="291"/>
      <x:c r="NGY63" s="291"/>
      <x:c r="NGZ63" s="291"/>
      <x:c r="NHA63" s="291"/>
      <x:c r="NHB63" s="291"/>
      <x:c r="NHC63" s="291"/>
      <x:c r="NHD63" s="291"/>
      <x:c r="NHE63" s="291"/>
      <x:c r="NHF63" s="291"/>
      <x:c r="NHG63" s="291"/>
      <x:c r="NHH63" s="291"/>
      <x:c r="NHI63" s="291"/>
      <x:c r="NHJ63" s="291"/>
      <x:c r="NHK63" s="291"/>
      <x:c r="NHL63" s="291"/>
      <x:c r="NHM63" s="291"/>
      <x:c r="NHN63" s="291"/>
      <x:c r="NHO63" s="291"/>
      <x:c r="NHP63" s="291"/>
      <x:c r="NHQ63" s="291"/>
      <x:c r="NHR63" s="291"/>
      <x:c r="NHS63" s="291"/>
      <x:c r="NHT63" s="291"/>
      <x:c r="NHU63" s="291"/>
      <x:c r="NHV63" s="291"/>
      <x:c r="NHW63" s="291"/>
      <x:c r="NHX63" s="291"/>
      <x:c r="NHY63" s="291"/>
      <x:c r="NHZ63" s="291"/>
      <x:c r="NIA63" s="291"/>
      <x:c r="NIB63" s="291"/>
      <x:c r="NIC63" s="291"/>
      <x:c r="NID63" s="291"/>
      <x:c r="NIE63" s="291"/>
      <x:c r="NIF63" s="291"/>
      <x:c r="NIG63" s="291"/>
      <x:c r="NIH63" s="291"/>
      <x:c r="NII63" s="291"/>
      <x:c r="NIJ63" s="291"/>
      <x:c r="NIK63" s="291"/>
      <x:c r="NIL63" s="291"/>
      <x:c r="NIM63" s="291"/>
      <x:c r="NIN63" s="291"/>
      <x:c r="NIO63" s="291"/>
      <x:c r="NIP63" s="291"/>
      <x:c r="NIQ63" s="291"/>
      <x:c r="NIR63" s="291"/>
      <x:c r="NIS63" s="291"/>
      <x:c r="NIT63" s="291"/>
      <x:c r="NIU63" s="291"/>
      <x:c r="NIV63" s="291"/>
      <x:c r="NIW63" s="291"/>
      <x:c r="NIX63" s="291"/>
      <x:c r="NIY63" s="291"/>
      <x:c r="NIZ63" s="291"/>
      <x:c r="NJA63" s="291"/>
      <x:c r="NJB63" s="291"/>
      <x:c r="NJC63" s="291"/>
      <x:c r="NJD63" s="291"/>
      <x:c r="NJE63" s="291"/>
      <x:c r="NJF63" s="291"/>
      <x:c r="NJG63" s="291"/>
      <x:c r="NJH63" s="291"/>
      <x:c r="NJI63" s="291"/>
      <x:c r="NJJ63" s="291"/>
      <x:c r="NJK63" s="291"/>
      <x:c r="NJL63" s="291"/>
      <x:c r="NJM63" s="291"/>
      <x:c r="NJN63" s="291"/>
      <x:c r="NJO63" s="291"/>
      <x:c r="NJP63" s="291"/>
      <x:c r="NJQ63" s="291"/>
      <x:c r="NJR63" s="291"/>
      <x:c r="NJS63" s="291"/>
      <x:c r="NJT63" s="291"/>
      <x:c r="NJU63" s="291"/>
      <x:c r="NJV63" s="291"/>
      <x:c r="NJW63" s="291"/>
      <x:c r="NJX63" s="291"/>
      <x:c r="NJY63" s="291"/>
      <x:c r="NJZ63" s="291"/>
      <x:c r="NKA63" s="291"/>
      <x:c r="NKB63" s="291"/>
      <x:c r="NKC63" s="291"/>
      <x:c r="NKD63" s="291"/>
      <x:c r="NKE63" s="291"/>
      <x:c r="NKF63" s="291"/>
      <x:c r="NKG63" s="291"/>
      <x:c r="NKH63" s="291"/>
      <x:c r="NKI63" s="291"/>
      <x:c r="NKJ63" s="291"/>
      <x:c r="NKK63" s="291"/>
      <x:c r="NKL63" s="291"/>
      <x:c r="NKM63" s="291"/>
      <x:c r="NKN63" s="291"/>
      <x:c r="NKO63" s="291"/>
      <x:c r="NKP63" s="291"/>
      <x:c r="NKQ63" s="291"/>
      <x:c r="NKR63" s="291"/>
      <x:c r="NKS63" s="291"/>
      <x:c r="NKT63" s="291"/>
      <x:c r="NKU63" s="291"/>
      <x:c r="NKV63" s="291"/>
      <x:c r="NKW63" s="291"/>
      <x:c r="NKX63" s="291"/>
      <x:c r="NKY63" s="291"/>
      <x:c r="NKZ63" s="291"/>
      <x:c r="NLA63" s="291"/>
      <x:c r="NLB63" s="291"/>
      <x:c r="NLC63" s="291"/>
      <x:c r="NLD63" s="291"/>
      <x:c r="NLE63" s="291"/>
      <x:c r="NLF63" s="291"/>
      <x:c r="NLG63" s="291"/>
      <x:c r="NLH63" s="291"/>
      <x:c r="NLI63" s="291"/>
      <x:c r="NLJ63" s="291"/>
      <x:c r="NLK63" s="291"/>
      <x:c r="NLL63" s="291"/>
      <x:c r="NLM63" s="291"/>
      <x:c r="NLN63" s="291"/>
      <x:c r="NLO63" s="291"/>
      <x:c r="NLP63" s="291"/>
      <x:c r="NLQ63" s="291"/>
      <x:c r="NLR63" s="291"/>
      <x:c r="NLS63" s="291"/>
      <x:c r="NLT63" s="291"/>
      <x:c r="NLU63" s="291"/>
      <x:c r="NLV63" s="291"/>
      <x:c r="NLW63" s="291"/>
      <x:c r="NLX63" s="291"/>
      <x:c r="NLY63" s="291"/>
      <x:c r="NLZ63" s="291"/>
      <x:c r="NMA63" s="291"/>
      <x:c r="NMB63" s="291"/>
      <x:c r="NMC63" s="291"/>
      <x:c r="NMD63" s="291"/>
      <x:c r="NME63" s="291"/>
      <x:c r="NMF63" s="291"/>
      <x:c r="NMG63" s="291"/>
      <x:c r="NMH63" s="291"/>
      <x:c r="NMI63" s="291"/>
      <x:c r="NMJ63" s="291"/>
      <x:c r="NMK63" s="291"/>
      <x:c r="NML63" s="291"/>
      <x:c r="NMM63" s="291"/>
      <x:c r="NMN63" s="291"/>
      <x:c r="NMO63" s="291"/>
      <x:c r="NMP63" s="291"/>
      <x:c r="NMQ63" s="291"/>
      <x:c r="NMR63" s="291"/>
      <x:c r="NMS63" s="291"/>
      <x:c r="NMT63" s="291"/>
      <x:c r="NMU63" s="291"/>
      <x:c r="NMV63" s="291"/>
      <x:c r="NMW63" s="291"/>
      <x:c r="NMX63" s="291"/>
      <x:c r="NMY63" s="291"/>
      <x:c r="NMZ63" s="291"/>
      <x:c r="NNA63" s="291"/>
      <x:c r="NNB63" s="291"/>
      <x:c r="NNC63" s="291"/>
      <x:c r="NND63" s="291"/>
      <x:c r="NNE63" s="291"/>
      <x:c r="NNF63" s="291"/>
      <x:c r="NNG63" s="291"/>
      <x:c r="NNH63" s="291"/>
      <x:c r="NNI63" s="291"/>
      <x:c r="NNJ63" s="291"/>
      <x:c r="NNK63" s="291"/>
      <x:c r="NNL63" s="291"/>
      <x:c r="NNM63" s="291"/>
      <x:c r="NNN63" s="291"/>
      <x:c r="NNO63" s="291"/>
      <x:c r="NNP63" s="291"/>
      <x:c r="NNQ63" s="291"/>
      <x:c r="NNR63" s="291"/>
      <x:c r="NNS63" s="291"/>
      <x:c r="NNT63" s="291"/>
      <x:c r="NNU63" s="291"/>
      <x:c r="NNV63" s="291"/>
      <x:c r="NNW63" s="291"/>
      <x:c r="NNX63" s="291"/>
      <x:c r="NNY63" s="291"/>
      <x:c r="NNZ63" s="291"/>
      <x:c r="NOA63" s="291"/>
      <x:c r="NOB63" s="291"/>
      <x:c r="NOC63" s="291"/>
      <x:c r="NOD63" s="291"/>
      <x:c r="NOE63" s="291"/>
      <x:c r="NOF63" s="291"/>
      <x:c r="NOG63" s="291"/>
      <x:c r="NOH63" s="291"/>
      <x:c r="NOI63" s="291"/>
      <x:c r="NOJ63" s="291"/>
      <x:c r="NOK63" s="291"/>
      <x:c r="NOL63" s="291"/>
      <x:c r="NOM63" s="291"/>
      <x:c r="NON63" s="291"/>
      <x:c r="NOO63" s="291"/>
      <x:c r="NOP63" s="291"/>
      <x:c r="NOQ63" s="291"/>
      <x:c r="NOR63" s="291"/>
      <x:c r="NOS63" s="291"/>
      <x:c r="NOT63" s="291"/>
      <x:c r="NOU63" s="291"/>
      <x:c r="NOV63" s="291"/>
      <x:c r="NOW63" s="291"/>
      <x:c r="NOX63" s="291"/>
      <x:c r="NOY63" s="291"/>
      <x:c r="NOZ63" s="291"/>
      <x:c r="NPA63" s="291"/>
      <x:c r="NPB63" s="291"/>
      <x:c r="NPC63" s="291"/>
      <x:c r="NPD63" s="291"/>
      <x:c r="NPE63" s="291"/>
      <x:c r="NPF63" s="291"/>
      <x:c r="NPG63" s="291"/>
      <x:c r="NPH63" s="291"/>
      <x:c r="NPI63" s="291"/>
      <x:c r="NPJ63" s="291"/>
      <x:c r="NPK63" s="291"/>
      <x:c r="NPL63" s="291"/>
      <x:c r="NPM63" s="291"/>
      <x:c r="NPN63" s="291"/>
      <x:c r="NPO63" s="291"/>
      <x:c r="NPP63" s="291"/>
      <x:c r="NPQ63" s="291"/>
      <x:c r="NPR63" s="291"/>
      <x:c r="NPS63" s="291"/>
      <x:c r="NPT63" s="291"/>
      <x:c r="NPU63" s="291"/>
      <x:c r="NPV63" s="291"/>
      <x:c r="NPW63" s="291"/>
      <x:c r="NPX63" s="291"/>
      <x:c r="NPY63" s="291"/>
      <x:c r="NPZ63" s="291"/>
      <x:c r="NQA63" s="291"/>
      <x:c r="NQB63" s="291"/>
      <x:c r="NQC63" s="291"/>
      <x:c r="NQD63" s="291"/>
      <x:c r="NQE63" s="291"/>
      <x:c r="NQF63" s="291"/>
      <x:c r="NQG63" s="291"/>
      <x:c r="NQH63" s="291"/>
      <x:c r="NQI63" s="291"/>
      <x:c r="NQJ63" s="291"/>
      <x:c r="NQK63" s="291"/>
      <x:c r="NQL63" s="291"/>
      <x:c r="NQM63" s="291"/>
      <x:c r="NQN63" s="291"/>
      <x:c r="NQO63" s="291"/>
      <x:c r="NQP63" s="291"/>
      <x:c r="NQQ63" s="291"/>
      <x:c r="NQR63" s="291"/>
      <x:c r="NQS63" s="291"/>
      <x:c r="NQT63" s="291"/>
      <x:c r="NQU63" s="291"/>
      <x:c r="NQV63" s="291"/>
      <x:c r="NQW63" s="291"/>
      <x:c r="NQX63" s="291"/>
      <x:c r="NQY63" s="291"/>
      <x:c r="NQZ63" s="291"/>
      <x:c r="NRA63" s="291"/>
      <x:c r="NRB63" s="291"/>
      <x:c r="NRC63" s="291"/>
      <x:c r="NRD63" s="291"/>
      <x:c r="NRE63" s="291"/>
      <x:c r="NRF63" s="291"/>
      <x:c r="NRG63" s="291"/>
      <x:c r="NRH63" s="291"/>
      <x:c r="NRI63" s="291"/>
      <x:c r="NRJ63" s="291"/>
      <x:c r="NRK63" s="291"/>
      <x:c r="NRL63" s="291"/>
      <x:c r="NRM63" s="291"/>
      <x:c r="NRN63" s="291"/>
      <x:c r="NRO63" s="291"/>
      <x:c r="NRP63" s="291"/>
      <x:c r="NRQ63" s="291"/>
      <x:c r="NRR63" s="291"/>
      <x:c r="NRS63" s="291"/>
      <x:c r="NRT63" s="291"/>
      <x:c r="NRU63" s="291"/>
      <x:c r="NRV63" s="291"/>
      <x:c r="NRW63" s="291"/>
      <x:c r="NRX63" s="291"/>
      <x:c r="NRY63" s="291"/>
      <x:c r="NRZ63" s="291"/>
      <x:c r="NSA63" s="291"/>
      <x:c r="NSB63" s="291"/>
      <x:c r="NSC63" s="291"/>
      <x:c r="NSD63" s="291"/>
      <x:c r="NSE63" s="291"/>
      <x:c r="NSF63" s="291"/>
      <x:c r="NSG63" s="291"/>
      <x:c r="NSH63" s="291"/>
      <x:c r="NSI63" s="291"/>
      <x:c r="NSJ63" s="291"/>
      <x:c r="NSK63" s="291"/>
      <x:c r="NSL63" s="291"/>
      <x:c r="NSM63" s="291"/>
      <x:c r="NSN63" s="291"/>
      <x:c r="NSO63" s="291"/>
      <x:c r="NSP63" s="291"/>
      <x:c r="NSQ63" s="291"/>
      <x:c r="NSR63" s="291"/>
      <x:c r="NSS63" s="291"/>
      <x:c r="NST63" s="291"/>
      <x:c r="NSU63" s="291"/>
      <x:c r="NSV63" s="291"/>
      <x:c r="NSW63" s="291"/>
      <x:c r="NSX63" s="291"/>
      <x:c r="NSY63" s="291"/>
      <x:c r="NSZ63" s="291"/>
      <x:c r="NTA63" s="291"/>
      <x:c r="NTB63" s="291"/>
      <x:c r="NTC63" s="291"/>
      <x:c r="NTD63" s="291"/>
      <x:c r="NTE63" s="291"/>
      <x:c r="NTF63" s="291"/>
      <x:c r="NTG63" s="291"/>
      <x:c r="NTH63" s="291"/>
      <x:c r="NTI63" s="291"/>
      <x:c r="NTJ63" s="291"/>
      <x:c r="NTK63" s="291"/>
      <x:c r="NTL63" s="291"/>
      <x:c r="NTM63" s="291"/>
      <x:c r="NTN63" s="291"/>
      <x:c r="NTO63" s="291"/>
      <x:c r="NTP63" s="291"/>
      <x:c r="NTQ63" s="291"/>
      <x:c r="NTR63" s="291"/>
      <x:c r="NTS63" s="291"/>
      <x:c r="NTT63" s="291"/>
      <x:c r="NTU63" s="291"/>
      <x:c r="NTV63" s="291"/>
      <x:c r="NTW63" s="291"/>
      <x:c r="NTX63" s="291"/>
      <x:c r="NTY63" s="291"/>
      <x:c r="NTZ63" s="291"/>
      <x:c r="NUA63" s="291"/>
      <x:c r="NUB63" s="291"/>
      <x:c r="NUC63" s="291"/>
      <x:c r="NUD63" s="291"/>
      <x:c r="NUE63" s="291"/>
      <x:c r="NUF63" s="291"/>
      <x:c r="NUG63" s="291"/>
      <x:c r="NUH63" s="291"/>
      <x:c r="NUI63" s="291"/>
      <x:c r="NUJ63" s="291"/>
      <x:c r="NUK63" s="291"/>
      <x:c r="NUL63" s="291"/>
      <x:c r="NUM63" s="291"/>
      <x:c r="NUN63" s="291"/>
      <x:c r="NUO63" s="291"/>
      <x:c r="NUP63" s="291"/>
      <x:c r="NUQ63" s="291"/>
      <x:c r="NUR63" s="291"/>
      <x:c r="NUS63" s="291"/>
      <x:c r="NUT63" s="291"/>
      <x:c r="NUU63" s="291"/>
      <x:c r="NUV63" s="291"/>
      <x:c r="NUW63" s="291"/>
      <x:c r="NUX63" s="291"/>
      <x:c r="NUY63" s="291"/>
      <x:c r="NUZ63" s="291"/>
      <x:c r="NVA63" s="291"/>
      <x:c r="NVB63" s="291"/>
      <x:c r="NVC63" s="291"/>
      <x:c r="NVD63" s="291"/>
      <x:c r="NVE63" s="291"/>
      <x:c r="NVF63" s="291"/>
      <x:c r="NVG63" s="291"/>
      <x:c r="NVH63" s="291"/>
      <x:c r="NVI63" s="291"/>
      <x:c r="NVJ63" s="291"/>
      <x:c r="NVK63" s="291"/>
      <x:c r="NVL63" s="291"/>
      <x:c r="NVM63" s="291"/>
      <x:c r="NVN63" s="291"/>
      <x:c r="NVO63" s="291"/>
      <x:c r="NVP63" s="291"/>
      <x:c r="NVQ63" s="291"/>
      <x:c r="NVR63" s="291"/>
      <x:c r="NVS63" s="291"/>
      <x:c r="NVT63" s="291"/>
      <x:c r="NVU63" s="291"/>
      <x:c r="NVV63" s="291"/>
      <x:c r="NVW63" s="291"/>
      <x:c r="NVX63" s="291"/>
      <x:c r="NVY63" s="291"/>
      <x:c r="NVZ63" s="291"/>
      <x:c r="NWA63" s="291"/>
      <x:c r="NWB63" s="291"/>
      <x:c r="NWC63" s="291"/>
      <x:c r="NWD63" s="291"/>
      <x:c r="NWE63" s="291"/>
      <x:c r="NWF63" s="291"/>
      <x:c r="NWG63" s="291"/>
      <x:c r="NWH63" s="291"/>
      <x:c r="NWI63" s="291"/>
      <x:c r="NWJ63" s="291"/>
      <x:c r="NWK63" s="291"/>
      <x:c r="NWL63" s="291"/>
      <x:c r="NWM63" s="291"/>
      <x:c r="NWN63" s="291"/>
      <x:c r="NWO63" s="291"/>
      <x:c r="NWP63" s="291"/>
      <x:c r="NWQ63" s="291"/>
      <x:c r="NWR63" s="291"/>
      <x:c r="NWS63" s="291"/>
      <x:c r="NWT63" s="291"/>
      <x:c r="NWU63" s="291"/>
      <x:c r="NWV63" s="291"/>
      <x:c r="NWW63" s="291"/>
      <x:c r="NWX63" s="291"/>
      <x:c r="NWY63" s="291"/>
      <x:c r="NWZ63" s="291"/>
      <x:c r="NXA63" s="291"/>
      <x:c r="NXB63" s="291"/>
      <x:c r="NXC63" s="291"/>
      <x:c r="NXD63" s="291"/>
      <x:c r="NXE63" s="291"/>
      <x:c r="NXF63" s="291"/>
      <x:c r="NXG63" s="291"/>
      <x:c r="NXH63" s="291"/>
      <x:c r="NXI63" s="291"/>
      <x:c r="NXJ63" s="291"/>
      <x:c r="NXK63" s="291"/>
      <x:c r="NXL63" s="291"/>
      <x:c r="NXM63" s="291"/>
      <x:c r="NXN63" s="291"/>
      <x:c r="NXO63" s="291"/>
      <x:c r="NXP63" s="291"/>
      <x:c r="NXQ63" s="291"/>
      <x:c r="NXR63" s="291"/>
      <x:c r="NXS63" s="291"/>
      <x:c r="NXT63" s="291"/>
      <x:c r="NXU63" s="291"/>
      <x:c r="NXV63" s="291"/>
      <x:c r="NXW63" s="291"/>
      <x:c r="NXX63" s="291"/>
      <x:c r="NXY63" s="291"/>
      <x:c r="NXZ63" s="291"/>
      <x:c r="NYA63" s="291"/>
      <x:c r="NYB63" s="291"/>
      <x:c r="NYC63" s="291"/>
      <x:c r="NYD63" s="291"/>
      <x:c r="NYE63" s="291"/>
      <x:c r="NYF63" s="291"/>
      <x:c r="NYG63" s="291"/>
      <x:c r="NYH63" s="291"/>
      <x:c r="NYI63" s="291"/>
      <x:c r="NYJ63" s="291"/>
      <x:c r="NYK63" s="291"/>
      <x:c r="NYL63" s="291"/>
      <x:c r="NYM63" s="291"/>
      <x:c r="NYN63" s="291"/>
      <x:c r="NYO63" s="291"/>
      <x:c r="NYP63" s="291"/>
      <x:c r="NYQ63" s="291"/>
      <x:c r="NYR63" s="291"/>
      <x:c r="NYS63" s="291"/>
      <x:c r="NYT63" s="291"/>
      <x:c r="NYU63" s="291"/>
      <x:c r="NYV63" s="291"/>
      <x:c r="NYW63" s="291"/>
      <x:c r="NYX63" s="291"/>
      <x:c r="NYY63" s="291"/>
      <x:c r="NYZ63" s="291"/>
      <x:c r="NZA63" s="291"/>
      <x:c r="NZB63" s="291"/>
      <x:c r="NZC63" s="291"/>
      <x:c r="NZD63" s="291"/>
      <x:c r="NZE63" s="291"/>
      <x:c r="NZF63" s="291"/>
      <x:c r="NZG63" s="291"/>
      <x:c r="NZH63" s="291"/>
      <x:c r="NZI63" s="291"/>
      <x:c r="NZJ63" s="291"/>
      <x:c r="NZK63" s="291"/>
      <x:c r="NZL63" s="291"/>
      <x:c r="NZM63" s="291"/>
      <x:c r="NZN63" s="291"/>
      <x:c r="NZO63" s="291"/>
      <x:c r="NZP63" s="291"/>
      <x:c r="NZQ63" s="291"/>
      <x:c r="NZR63" s="291"/>
      <x:c r="NZS63" s="291"/>
      <x:c r="NZT63" s="291"/>
      <x:c r="NZU63" s="291"/>
      <x:c r="NZV63" s="291"/>
      <x:c r="NZW63" s="291"/>
      <x:c r="NZX63" s="291"/>
      <x:c r="NZY63" s="291"/>
      <x:c r="NZZ63" s="291"/>
      <x:c r="OAA63" s="291"/>
      <x:c r="OAB63" s="291"/>
      <x:c r="OAC63" s="291"/>
      <x:c r="OAD63" s="291"/>
      <x:c r="OAE63" s="291"/>
      <x:c r="OAF63" s="291"/>
      <x:c r="OAG63" s="291"/>
      <x:c r="OAH63" s="291"/>
      <x:c r="OAI63" s="291"/>
      <x:c r="OAJ63" s="291"/>
      <x:c r="OAK63" s="291"/>
      <x:c r="OAL63" s="291"/>
      <x:c r="OAM63" s="291"/>
      <x:c r="OAN63" s="291"/>
      <x:c r="OAO63" s="291"/>
      <x:c r="OAP63" s="291"/>
      <x:c r="OAQ63" s="291"/>
      <x:c r="OAR63" s="291"/>
      <x:c r="OAS63" s="291"/>
      <x:c r="OAT63" s="291"/>
      <x:c r="OAU63" s="291"/>
      <x:c r="OAV63" s="291"/>
      <x:c r="OAW63" s="291"/>
      <x:c r="OAX63" s="291"/>
      <x:c r="OAY63" s="291"/>
      <x:c r="OAZ63" s="291"/>
      <x:c r="OBA63" s="291"/>
      <x:c r="OBB63" s="291"/>
      <x:c r="OBC63" s="291"/>
      <x:c r="OBD63" s="291"/>
      <x:c r="OBE63" s="291"/>
      <x:c r="OBF63" s="291"/>
      <x:c r="OBG63" s="291"/>
      <x:c r="OBH63" s="291"/>
      <x:c r="OBI63" s="291"/>
      <x:c r="OBJ63" s="291"/>
      <x:c r="OBK63" s="291"/>
      <x:c r="OBL63" s="291"/>
      <x:c r="OBM63" s="291"/>
      <x:c r="OBN63" s="291"/>
      <x:c r="OBO63" s="291"/>
      <x:c r="OBP63" s="291"/>
      <x:c r="OBQ63" s="291"/>
      <x:c r="OBR63" s="291"/>
      <x:c r="OBS63" s="291"/>
      <x:c r="OBT63" s="291"/>
      <x:c r="OBU63" s="291"/>
      <x:c r="OBV63" s="291"/>
      <x:c r="OBW63" s="291"/>
      <x:c r="OBX63" s="291"/>
      <x:c r="OBY63" s="291"/>
      <x:c r="OBZ63" s="291"/>
      <x:c r="OCA63" s="291"/>
      <x:c r="OCB63" s="291"/>
      <x:c r="OCC63" s="291"/>
      <x:c r="OCD63" s="291"/>
      <x:c r="OCE63" s="291"/>
      <x:c r="OCF63" s="291"/>
      <x:c r="OCG63" s="291"/>
      <x:c r="OCH63" s="291"/>
      <x:c r="OCI63" s="291"/>
      <x:c r="OCJ63" s="291"/>
      <x:c r="OCK63" s="291"/>
      <x:c r="OCL63" s="291"/>
      <x:c r="OCM63" s="291"/>
      <x:c r="OCN63" s="291"/>
      <x:c r="OCO63" s="291"/>
      <x:c r="OCP63" s="291"/>
      <x:c r="OCQ63" s="291"/>
      <x:c r="OCR63" s="291"/>
      <x:c r="OCS63" s="291"/>
      <x:c r="OCT63" s="291"/>
      <x:c r="OCU63" s="291"/>
      <x:c r="OCV63" s="291"/>
      <x:c r="OCW63" s="291"/>
      <x:c r="OCX63" s="291"/>
      <x:c r="OCY63" s="291"/>
      <x:c r="OCZ63" s="291"/>
      <x:c r="ODA63" s="291"/>
      <x:c r="ODB63" s="291"/>
      <x:c r="ODC63" s="291"/>
      <x:c r="ODD63" s="291"/>
      <x:c r="ODE63" s="291"/>
      <x:c r="ODF63" s="291"/>
      <x:c r="ODG63" s="291"/>
      <x:c r="ODH63" s="291"/>
      <x:c r="ODI63" s="291"/>
      <x:c r="ODJ63" s="291"/>
      <x:c r="ODK63" s="291"/>
      <x:c r="ODL63" s="291"/>
      <x:c r="ODM63" s="291"/>
      <x:c r="ODN63" s="291"/>
      <x:c r="ODO63" s="291"/>
      <x:c r="ODP63" s="291"/>
      <x:c r="ODQ63" s="291"/>
      <x:c r="ODR63" s="291"/>
      <x:c r="ODS63" s="291"/>
      <x:c r="ODT63" s="291"/>
      <x:c r="ODU63" s="291"/>
      <x:c r="ODV63" s="291"/>
      <x:c r="ODW63" s="291"/>
      <x:c r="ODX63" s="291"/>
      <x:c r="ODY63" s="291"/>
      <x:c r="ODZ63" s="291"/>
      <x:c r="OEA63" s="291"/>
      <x:c r="OEB63" s="291"/>
      <x:c r="OEC63" s="291"/>
      <x:c r="OED63" s="291"/>
      <x:c r="OEE63" s="291"/>
      <x:c r="OEF63" s="291"/>
      <x:c r="OEG63" s="291"/>
      <x:c r="OEH63" s="291"/>
      <x:c r="OEI63" s="291"/>
      <x:c r="OEJ63" s="291"/>
      <x:c r="OEK63" s="291"/>
      <x:c r="OEL63" s="291"/>
      <x:c r="OEM63" s="291"/>
      <x:c r="OEN63" s="291"/>
      <x:c r="OEO63" s="291"/>
      <x:c r="OEP63" s="291"/>
      <x:c r="OEQ63" s="291"/>
      <x:c r="OER63" s="291"/>
      <x:c r="OES63" s="291"/>
      <x:c r="OET63" s="291"/>
      <x:c r="OEU63" s="291"/>
      <x:c r="OEV63" s="291"/>
      <x:c r="OEW63" s="291"/>
      <x:c r="OEX63" s="291"/>
      <x:c r="OEY63" s="291"/>
      <x:c r="OEZ63" s="291"/>
      <x:c r="OFA63" s="291"/>
      <x:c r="OFB63" s="291"/>
      <x:c r="OFC63" s="291"/>
      <x:c r="OFD63" s="291"/>
      <x:c r="OFE63" s="291"/>
      <x:c r="OFF63" s="291"/>
      <x:c r="OFG63" s="291"/>
      <x:c r="OFH63" s="291"/>
      <x:c r="OFI63" s="291"/>
      <x:c r="OFJ63" s="291"/>
      <x:c r="OFK63" s="291"/>
      <x:c r="OFL63" s="291"/>
      <x:c r="OFM63" s="291"/>
      <x:c r="OFN63" s="291"/>
      <x:c r="OFO63" s="291"/>
      <x:c r="OFP63" s="291"/>
      <x:c r="OFQ63" s="291"/>
      <x:c r="OFR63" s="291"/>
      <x:c r="OFS63" s="291"/>
      <x:c r="OFT63" s="291"/>
      <x:c r="OFU63" s="291"/>
      <x:c r="OFV63" s="291"/>
      <x:c r="OFW63" s="291"/>
      <x:c r="OFX63" s="291"/>
      <x:c r="OFY63" s="291"/>
      <x:c r="OFZ63" s="291"/>
      <x:c r="OGA63" s="291"/>
      <x:c r="OGB63" s="291"/>
      <x:c r="OGC63" s="291"/>
      <x:c r="OGD63" s="291"/>
      <x:c r="OGE63" s="291"/>
      <x:c r="OGF63" s="291"/>
      <x:c r="OGG63" s="291"/>
      <x:c r="OGH63" s="291"/>
      <x:c r="OGI63" s="291"/>
      <x:c r="OGJ63" s="291"/>
      <x:c r="OGK63" s="291"/>
      <x:c r="OGL63" s="291"/>
      <x:c r="OGM63" s="291"/>
      <x:c r="OGN63" s="291"/>
      <x:c r="OGO63" s="291"/>
      <x:c r="OGP63" s="291"/>
      <x:c r="OGQ63" s="291"/>
      <x:c r="OGR63" s="291"/>
      <x:c r="OGS63" s="291"/>
      <x:c r="OGT63" s="291"/>
      <x:c r="OGU63" s="291"/>
      <x:c r="OGV63" s="291"/>
      <x:c r="OGW63" s="291"/>
      <x:c r="OGX63" s="291"/>
      <x:c r="OGY63" s="291"/>
      <x:c r="OGZ63" s="291"/>
      <x:c r="OHA63" s="291"/>
      <x:c r="OHB63" s="291"/>
      <x:c r="OHC63" s="291"/>
      <x:c r="OHD63" s="291"/>
      <x:c r="OHE63" s="291"/>
      <x:c r="OHF63" s="291"/>
      <x:c r="OHG63" s="291"/>
      <x:c r="OHH63" s="291"/>
      <x:c r="OHI63" s="291"/>
      <x:c r="OHJ63" s="291"/>
      <x:c r="OHK63" s="291"/>
      <x:c r="OHL63" s="291"/>
      <x:c r="OHM63" s="291"/>
      <x:c r="OHN63" s="291"/>
      <x:c r="OHO63" s="291"/>
      <x:c r="OHP63" s="291"/>
      <x:c r="OHQ63" s="291"/>
      <x:c r="OHR63" s="291"/>
      <x:c r="OHS63" s="291"/>
      <x:c r="OHT63" s="291"/>
      <x:c r="OHU63" s="291"/>
      <x:c r="OHV63" s="291"/>
      <x:c r="OHW63" s="291"/>
      <x:c r="OHX63" s="291"/>
      <x:c r="OHY63" s="291"/>
      <x:c r="OHZ63" s="291"/>
      <x:c r="OIA63" s="291"/>
      <x:c r="OIB63" s="291"/>
      <x:c r="OIC63" s="291"/>
      <x:c r="OID63" s="291"/>
      <x:c r="OIE63" s="291"/>
      <x:c r="OIF63" s="291"/>
      <x:c r="OIG63" s="291"/>
      <x:c r="OIH63" s="291"/>
      <x:c r="OII63" s="291"/>
      <x:c r="OIJ63" s="291"/>
      <x:c r="OIK63" s="291"/>
      <x:c r="OIL63" s="291"/>
      <x:c r="OIM63" s="291"/>
      <x:c r="OIN63" s="291"/>
      <x:c r="OIO63" s="291"/>
      <x:c r="OIP63" s="291"/>
      <x:c r="OIQ63" s="291"/>
      <x:c r="OIR63" s="291"/>
      <x:c r="OIS63" s="291"/>
      <x:c r="OIT63" s="291"/>
      <x:c r="OIU63" s="291"/>
      <x:c r="OIV63" s="291"/>
      <x:c r="OIW63" s="291"/>
      <x:c r="OIX63" s="291"/>
      <x:c r="OIY63" s="291"/>
      <x:c r="OIZ63" s="291"/>
      <x:c r="OJA63" s="291"/>
      <x:c r="OJB63" s="291"/>
      <x:c r="OJC63" s="291"/>
      <x:c r="OJD63" s="291"/>
      <x:c r="OJE63" s="291"/>
      <x:c r="OJF63" s="291"/>
      <x:c r="OJG63" s="291"/>
      <x:c r="OJH63" s="291"/>
      <x:c r="OJI63" s="291"/>
      <x:c r="OJJ63" s="291"/>
      <x:c r="OJK63" s="291"/>
      <x:c r="OJL63" s="291"/>
      <x:c r="OJM63" s="291"/>
      <x:c r="OJN63" s="291"/>
      <x:c r="OJO63" s="291"/>
      <x:c r="OJP63" s="291"/>
      <x:c r="OJQ63" s="291"/>
      <x:c r="OJR63" s="291"/>
      <x:c r="OJS63" s="291"/>
      <x:c r="OJT63" s="291"/>
      <x:c r="OJU63" s="291"/>
      <x:c r="OJV63" s="291"/>
      <x:c r="OJW63" s="291"/>
      <x:c r="OJX63" s="291"/>
      <x:c r="OJY63" s="291"/>
      <x:c r="OJZ63" s="291"/>
      <x:c r="OKA63" s="291"/>
      <x:c r="OKB63" s="291"/>
      <x:c r="OKC63" s="291"/>
      <x:c r="OKD63" s="291"/>
      <x:c r="OKE63" s="291"/>
      <x:c r="OKF63" s="291"/>
      <x:c r="OKG63" s="291"/>
      <x:c r="OKH63" s="291"/>
      <x:c r="OKI63" s="291"/>
      <x:c r="OKJ63" s="291"/>
      <x:c r="OKK63" s="291"/>
      <x:c r="OKL63" s="291"/>
      <x:c r="OKM63" s="291"/>
      <x:c r="OKN63" s="291"/>
      <x:c r="OKO63" s="291"/>
      <x:c r="OKP63" s="291"/>
      <x:c r="OKQ63" s="291"/>
      <x:c r="OKR63" s="291"/>
      <x:c r="OKS63" s="291"/>
      <x:c r="OKT63" s="291"/>
      <x:c r="OKU63" s="291"/>
      <x:c r="OKV63" s="291"/>
      <x:c r="OKW63" s="291"/>
      <x:c r="OKX63" s="291"/>
      <x:c r="OKY63" s="291"/>
      <x:c r="OKZ63" s="291"/>
      <x:c r="OLA63" s="291"/>
      <x:c r="OLB63" s="291"/>
      <x:c r="OLC63" s="291"/>
      <x:c r="OLD63" s="291"/>
      <x:c r="OLE63" s="291"/>
      <x:c r="OLF63" s="291"/>
      <x:c r="OLG63" s="291"/>
      <x:c r="OLH63" s="291"/>
      <x:c r="OLI63" s="291"/>
      <x:c r="OLJ63" s="291"/>
      <x:c r="OLK63" s="291"/>
      <x:c r="OLL63" s="291"/>
      <x:c r="OLM63" s="291"/>
      <x:c r="OLN63" s="291"/>
      <x:c r="OLO63" s="291"/>
      <x:c r="OLP63" s="291"/>
      <x:c r="OLQ63" s="291"/>
      <x:c r="OLR63" s="291"/>
      <x:c r="OLS63" s="291"/>
      <x:c r="OLT63" s="291"/>
      <x:c r="OLU63" s="291"/>
      <x:c r="OLV63" s="291"/>
      <x:c r="OLW63" s="291"/>
      <x:c r="OLX63" s="291"/>
      <x:c r="OLY63" s="291"/>
      <x:c r="OLZ63" s="291"/>
      <x:c r="OMA63" s="291"/>
      <x:c r="OMB63" s="291"/>
      <x:c r="OMC63" s="291"/>
      <x:c r="OMD63" s="291"/>
      <x:c r="OME63" s="291"/>
      <x:c r="OMF63" s="291"/>
      <x:c r="OMG63" s="291"/>
      <x:c r="OMH63" s="291"/>
      <x:c r="OMI63" s="291"/>
      <x:c r="OMJ63" s="291"/>
      <x:c r="OMK63" s="291"/>
      <x:c r="OML63" s="291"/>
      <x:c r="OMM63" s="291"/>
      <x:c r="OMN63" s="291"/>
      <x:c r="OMO63" s="291"/>
      <x:c r="OMP63" s="291"/>
      <x:c r="OMQ63" s="291"/>
      <x:c r="OMR63" s="291"/>
      <x:c r="OMS63" s="291"/>
      <x:c r="OMT63" s="291"/>
      <x:c r="OMU63" s="291"/>
      <x:c r="OMV63" s="291"/>
      <x:c r="OMW63" s="291"/>
      <x:c r="OMX63" s="291"/>
      <x:c r="OMY63" s="291"/>
      <x:c r="OMZ63" s="291"/>
      <x:c r="ONA63" s="291"/>
      <x:c r="ONB63" s="291"/>
      <x:c r="ONC63" s="291"/>
      <x:c r="OND63" s="291"/>
      <x:c r="ONE63" s="291"/>
      <x:c r="ONF63" s="291"/>
      <x:c r="ONG63" s="291"/>
      <x:c r="ONH63" s="291"/>
      <x:c r="ONI63" s="291"/>
      <x:c r="ONJ63" s="291"/>
      <x:c r="ONK63" s="291"/>
      <x:c r="ONL63" s="291"/>
      <x:c r="ONM63" s="291"/>
      <x:c r="ONN63" s="291"/>
      <x:c r="ONO63" s="291"/>
      <x:c r="ONP63" s="291"/>
      <x:c r="ONQ63" s="291"/>
      <x:c r="ONR63" s="291"/>
      <x:c r="ONS63" s="291"/>
      <x:c r="ONT63" s="291"/>
      <x:c r="ONU63" s="291"/>
      <x:c r="ONV63" s="291"/>
      <x:c r="ONW63" s="291"/>
      <x:c r="ONX63" s="291"/>
      <x:c r="ONY63" s="291"/>
      <x:c r="ONZ63" s="291"/>
      <x:c r="OOA63" s="291"/>
      <x:c r="OOB63" s="291"/>
      <x:c r="OOC63" s="291"/>
      <x:c r="OOD63" s="291"/>
      <x:c r="OOE63" s="291"/>
      <x:c r="OOF63" s="291"/>
      <x:c r="OOG63" s="291"/>
      <x:c r="OOH63" s="291"/>
      <x:c r="OOI63" s="291"/>
      <x:c r="OOJ63" s="291"/>
      <x:c r="OOK63" s="291"/>
      <x:c r="OOL63" s="291"/>
      <x:c r="OOM63" s="291"/>
      <x:c r="OON63" s="291"/>
      <x:c r="OOO63" s="291"/>
      <x:c r="OOP63" s="291"/>
      <x:c r="OOQ63" s="291"/>
      <x:c r="OOR63" s="291"/>
      <x:c r="OOS63" s="291"/>
      <x:c r="OOT63" s="291"/>
      <x:c r="OOU63" s="291"/>
      <x:c r="OOV63" s="291"/>
      <x:c r="OOW63" s="291"/>
      <x:c r="OOX63" s="291"/>
      <x:c r="OOY63" s="291"/>
      <x:c r="OOZ63" s="291"/>
      <x:c r="OPA63" s="291"/>
      <x:c r="OPB63" s="291"/>
      <x:c r="OPC63" s="291"/>
      <x:c r="OPD63" s="291"/>
      <x:c r="OPE63" s="291"/>
      <x:c r="OPF63" s="291"/>
      <x:c r="OPG63" s="291"/>
      <x:c r="OPH63" s="291"/>
      <x:c r="OPI63" s="291"/>
      <x:c r="OPJ63" s="291"/>
      <x:c r="OPK63" s="291"/>
      <x:c r="OPL63" s="291"/>
      <x:c r="OPM63" s="291"/>
      <x:c r="OPN63" s="291"/>
      <x:c r="OPO63" s="291"/>
      <x:c r="OPP63" s="291"/>
      <x:c r="OPQ63" s="291"/>
      <x:c r="OPR63" s="291"/>
      <x:c r="OPS63" s="291"/>
      <x:c r="OPT63" s="291"/>
      <x:c r="OPU63" s="291"/>
      <x:c r="OPV63" s="291"/>
      <x:c r="OPW63" s="291"/>
      <x:c r="OPX63" s="291"/>
      <x:c r="OPY63" s="291"/>
      <x:c r="OPZ63" s="291"/>
      <x:c r="OQA63" s="291"/>
      <x:c r="OQB63" s="291"/>
      <x:c r="OQC63" s="291"/>
      <x:c r="OQD63" s="291"/>
      <x:c r="OQE63" s="291"/>
      <x:c r="OQF63" s="291"/>
      <x:c r="OQG63" s="291"/>
      <x:c r="OQH63" s="291"/>
      <x:c r="OQI63" s="291"/>
      <x:c r="OQJ63" s="291"/>
      <x:c r="OQK63" s="291"/>
      <x:c r="OQL63" s="291"/>
      <x:c r="OQM63" s="291"/>
      <x:c r="OQN63" s="291"/>
      <x:c r="OQO63" s="291"/>
      <x:c r="OQP63" s="291"/>
      <x:c r="OQQ63" s="291"/>
      <x:c r="OQR63" s="291"/>
      <x:c r="OQS63" s="291"/>
      <x:c r="OQT63" s="291"/>
      <x:c r="OQU63" s="291"/>
      <x:c r="OQV63" s="291"/>
      <x:c r="OQW63" s="291"/>
      <x:c r="OQX63" s="291"/>
      <x:c r="OQY63" s="291"/>
      <x:c r="OQZ63" s="291"/>
      <x:c r="ORA63" s="291"/>
      <x:c r="ORB63" s="291"/>
      <x:c r="ORC63" s="291"/>
      <x:c r="ORD63" s="291"/>
      <x:c r="ORE63" s="291"/>
      <x:c r="ORF63" s="291"/>
      <x:c r="ORG63" s="291"/>
      <x:c r="ORH63" s="291"/>
      <x:c r="ORI63" s="291"/>
      <x:c r="ORJ63" s="291"/>
      <x:c r="ORK63" s="291"/>
      <x:c r="ORL63" s="291"/>
      <x:c r="ORM63" s="291"/>
      <x:c r="ORN63" s="291"/>
      <x:c r="ORO63" s="291"/>
      <x:c r="ORP63" s="291"/>
      <x:c r="ORQ63" s="291"/>
      <x:c r="ORR63" s="291"/>
      <x:c r="ORS63" s="291"/>
      <x:c r="ORT63" s="291"/>
      <x:c r="ORU63" s="291"/>
      <x:c r="ORV63" s="291"/>
      <x:c r="ORW63" s="291"/>
      <x:c r="ORX63" s="291"/>
      <x:c r="ORY63" s="291"/>
      <x:c r="ORZ63" s="291"/>
      <x:c r="OSA63" s="291"/>
      <x:c r="OSB63" s="291"/>
      <x:c r="OSC63" s="291"/>
      <x:c r="OSD63" s="291"/>
      <x:c r="OSE63" s="291"/>
      <x:c r="OSF63" s="291"/>
      <x:c r="OSG63" s="291"/>
      <x:c r="OSH63" s="291"/>
      <x:c r="OSI63" s="291"/>
      <x:c r="OSJ63" s="291"/>
      <x:c r="OSK63" s="291"/>
      <x:c r="OSL63" s="291"/>
      <x:c r="OSM63" s="291"/>
      <x:c r="OSN63" s="291"/>
      <x:c r="OSO63" s="291"/>
      <x:c r="OSP63" s="291"/>
      <x:c r="OSQ63" s="291"/>
      <x:c r="OSR63" s="291"/>
      <x:c r="OSS63" s="291"/>
      <x:c r="OST63" s="291"/>
      <x:c r="OSU63" s="291"/>
      <x:c r="OSV63" s="291"/>
      <x:c r="OSW63" s="291"/>
      <x:c r="OSX63" s="291"/>
      <x:c r="OSY63" s="291"/>
      <x:c r="OSZ63" s="291"/>
      <x:c r="OTA63" s="291"/>
      <x:c r="OTB63" s="291"/>
      <x:c r="OTC63" s="291"/>
      <x:c r="OTD63" s="291"/>
      <x:c r="OTE63" s="291"/>
      <x:c r="OTF63" s="291"/>
      <x:c r="OTG63" s="291"/>
      <x:c r="OTH63" s="291"/>
      <x:c r="OTI63" s="291"/>
      <x:c r="OTJ63" s="291"/>
      <x:c r="OTK63" s="291"/>
      <x:c r="OTL63" s="291"/>
      <x:c r="OTM63" s="291"/>
      <x:c r="OTN63" s="291"/>
      <x:c r="OTO63" s="291"/>
      <x:c r="OTP63" s="291"/>
      <x:c r="OTQ63" s="291"/>
      <x:c r="OTR63" s="291"/>
      <x:c r="OTS63" s="291"/>
      <x:c r="OTT63" s="291"/>
      <x:c r="OTU63" s="291"/>
      <x:c r="OTV63" s="291"/>
      <x:c r="OTW63" s="291"/>
      <x:c r="OTX63" s="291"/>
      <x:c r="OTY63" s="291"/>
      <x:c r="OTZ63" s="291"/>
      <x:c r="OUA63" s="291"/>
      <x:c r="OUB63" s="291"/>
      <x:c r="OUC63" s="291"/>
      <x:c r="OUD63" s="291"/>
      <x:c r="OUE63" s="291"/>
      <x:c r="OUF63" s="291"/>
      <x:c r="OUG63" s="291"/>
      <x:c r="OUH63" s="291"/>
      <x:c r="OUI63" s="291"/>
      <x:c r="OUJ63" s="291"/>
      <x:c r="OUK63" s="291"/>
      <x:c r="OUL63" s="291"/>
      <x:c r="OUM63" s="291"/>
      <x:c r="OUN63" s="291"/>
      <x:c r="OUO63" s="291"/>
      <x:c r="OUP63" s="291"/>
      <x:c r="OUQ63" s="291"/>
      <x:c r="OUR63" s="291"/>
      <x:c r="OUS63" s="291"/>
      <x:c r="OUT63" s="291"/>
      <x:c r="OUU63" s="291"/>
      <x:c r="OUV63" s="291"/>
      <x:c r="OUW63" s="291"/>
      <x:c r="OUX63" s="291"/>
      <x:c r="OUY63" s="291"/>
      <x:c r="OUZ63" s="291"/>
      <x:c r="OVA63" s="291"/>
      <x:c r="OVB63" s="291"/>
      <x:c r="OVC63" s="291"/>
      <x:c r="OVD63" s="291"/>
      <x:c r="OVE63" s="291"/>
      <x:c r="OVF63" s="291"/>
      <x:c r="OVG63" s="291"/>
      <x:c r="OVH63" s="291"/>
      <x:c r="OVI63" s="291"/>
      <x:c r="OVJ63" s="291"/>
      <x:c r="OVK63" s="291"/>
      <x:c r="OVL63" s="291"/>
      <x:c r="OVM63" s="291"/>
      <x:c r="OVN63" s="291"/>
      <x:c r="OVO63" s="291"/>
      <x:c r="OVP63" s="291"/>
      <x:c r="OVQ63" s="291"/>
      <x:c r="OVR63" s="291"/>
      <x:c r="OVS63" s="291"/>
      <x:c r="OVT63" s="291"/>
      <x:c r="OVU63" s="291"/>
      <x:c r="OVV63" s="291"/>
      <x:c r="OVW63" s="291"/>
      <x:c r="OVX63" s="291"/>
      <x:c r="OVY63" s="291"/>
      <x:c r="OVZ63" s="291"/>
      <x:c r="OWA63" s="291"/>
      <x:c r="OWB63" s="291"/>
      <x:c r="OWC63" s="291"/>
      <x:c r="OWD63" s="291"/>
      <x:c r="OWE63" s="291"/>
      <x:c r="OWF63" s="291"/>
      <x:c r="OWG63" s="291"/>
      <x:c r="OWH63" s="291"/>
      <x:c r="OWI63" s="291"/>
      <x:c r="OWJ63" s="291"/>
      <x:c r="OWK63" s="291"/>
      <x:c r="OWL63" s="291"/>
      <x:c r="OWM63" s="291"/>
      <x:c r="OWN63" s="291"/>
      <x:c r="OWO63" s="291"/>
      <x:c r="OWP63" s="291"/>
      <x:c r="OWQ63" s="291"/>
      <x:c r="OWR63" s="291"/>
      <x:c r="OWS63" s="291"/>
      <x:c r="OWT63" s="291"/>
      <x:c r="OWU63" s="291"/>
      <x:c r="OWV63" s="291"/>
      <x:c r="OWW63" s="291"/>
      <x:c r="OWX63" s="291"/>
      <x:c r="OWY63" s="291"/>
      <x:c r="OWZ63" s="291"/>
      <x:c r="OXA63" s="291"/>
      <x:c r="OXB63" s="291"/>
      <x:c r="OXC63" s="291"/>
      <x:c r="OXD63" s="291"/>
      <x:c r="OXE63" s="291"/>
      <x:c r="OXF63" s="291"/>
      <x:c r="OXG63" s="291"/>
      <x:c r="OXH63" s="291"/>
      <x:c r="OXI63" s="291"/>
      <x:c r="OXJ63" s="291"/>
      <x:c r="OXK63" s="291"/>
      <x:c r="OXL63" s="291"/>
      <x:c r="OXM63" s="291"/>
      <x:c r="OXN63" s="291"/>
      <x:c r="OXO63" s="291"/>
      <x:c r="OXP63" s="291"/>
      <x:c r="OXQ63" s="291"/>
      <x:c r="OXR63" s="291"/>
      <x:c r="OXS63" s="291"/>
      <x:c r="OXT63" s="291"/>
      <x:c r="OXU63" s="291"/>
      <x:c r="OXV63" s="291"/>
      <x:c r="OXW63" s="291"/>
      <x:c r="OXX63" s="291"/>
      <x:c r="OXY63" s="291"/>
      <x:c r="OXZ63" s="291"/>
      <x:c r="OYA63" s="291"/>
      <x:c r="OYB63" s="291"/>
      <x:c r="OYC63" s="291"/>
      <x:c r="OYD63" s="291"/>
      <x:c r="OYE63" s="291"/>
      <x:c r="OYF63" s="291"/>
      <x:c r="OYG63" s="291"/>
      <x:c r="OYH63" s="291"/>
      <x:c r="OYI63" s="291"/>
      <x:c r="OYJ63" s="291"/>
      <x:c r="OYK63" s="291"/>
      <x:c r="OYL63" s="291"/>
      <x:c r="OYM63" s="291"/>
      <x:c r="OYN63" s="291"/>
      <x:c r="OYO63" s="291"/>
      <x:c r="OYP63" s="291"/>
      <x:c r="OYQ63" s="291"/>
      <x:c r="OYR63" s="291"/>
      <x:c r="OYS63" s="291"/>
      <x:c r="OYT63" s="291"/>
      <x:c r="OYU63" s="291"/>
      <x:c r="OYV63" s="291"/>
      <x:c r="OYW63" s="291"/>
      <x:c r="OYX63" s="291"/>
      <x:c r="OYY63" s="291"/>
      <x:c r="OYZ63" s="291"/>
      <x:c r="OZA63" s="291"/>
      <x:c r="OZB63" s="291"/>
      <x:c r="OZC63" s="291"/>
      <x:c r="OZD63" s="291"/>
      <x:c r="OZE63" s="291"/>
      <x:c r="OZF63" s="291"/>
      <x:c r="OZG63" s="291"/>
      <x:c r="OZH63" s="291"/>
      <x:c r="OZI63" s="291"/>
      <x:c r="OZJ63" s="291"/>
      <x:c r="OZK63" s="291"/>
      <x:c r="OZL63" s="291"/>
      <x:c r="OZM63" s="291"/>
      <x:c r="OZN63" s="291"/>
      <x:c r="OZO63" s="291"/>
      <x:c r="OZP63" s="291"/>
      <x:c r="OZQ63" s="291"/>
      <x:c r="OZR63" s="291"/>
      <x:c r="OZS63" s="291"/>
      <x:c r="OZT63" s="291"/>
      <x:c r="OZU63" s="291"/>
      <x:c r="OZV63" s="291"/>
      <x:c r="OZW63" s="291"/>
      <x:c r="OZX63" s="291"/>
      <x:c r="OZY63" s="291"/>
      <x:c r="OZZ63" s="291"/>
      <x:c r="PAA63" s="291"/>
      <x:c r="PAB63" s="291"/>
      <x:c r="PAC63" s="291"/>
      <x:c r="PAD63" s="291"/>
      <x:c r="PAE63" s="291"/>
      <x:c r="PAF63" s="291"/>
      <x:c r="PAG63" s="291"/>
      <x:c r="PAH63" s="291"/>
      <x:c r="PAI63" s="291"/>
      <x:c r="PAJ63" s="291"/>
      <x:c r="PAK63" s="291"/>
      <x:c r="PAL63" s="291"/>
      <x:c r="PAM63" s="291"/>
      <x:c r="PAN63" s="291"/>
      <x:c r="PAO63" s="291"/>
      <x:c r="PAP63" s="291"/>
      <x:c r="PAQ63" s="291"/>
      <x:c r="PAR63" s="291"/>
      <x:c r="PAS63" s="291"/>
      <x:c r="PAT63" s="291"/>
      <x:c r="PAU63" s="291"/>
      <x:c r="PAV63" s="291"/>
      <x:c r="PAW63" s="291"/>
      <x:c r="PAX63" s="291"/>
      <x:c r="PAY63" s="291"/>
      <x:c r="PAZ63" s="291"/>
      <x:c r="PBA63" s="291"/>
      <x:c r="PBB63" s="291"/>
      <x:c r="PBC63" s="291"/>
      <x:c r="PBD63" s="291"/>
      <x:c r="PBE63" s="291"/>
      <x:c r="PBF63" s="291"/>
      <x:c r="PBG63" s="291"/>
      <x:c r="PBH63" s="291"/>
      <x:c r="PBI63" s="291"/>
      <x:c r="PBJ63" s="291"/>
      <x:c r="PBK63" s="291"/>
      <x:c r="PBL63" s="291"/>
      <x:c r="PBM63" s="291"/>
      <x:c r="PBN63" s="291"/>
      <x:c r="PBO63" s="291"/>
      <x:c r="PBP63" s="291"/>
      <x:c r="PBQ63" s="291"/>
      <x:c r="PBR63" s="291"/>
      <x:c r="PBS63" s="291"/>
      <x:c r="PBT63" s="291"/>
      <x:c r="PBU63" s="291"/>
      <x:c r="PBV63" s="291"/>
      <x:c r="PBW63" s="291"/>
      <x:c r="PBX63" s="291"/>
      <x:c r="PBY63" s="291"/>
      <x:c r="PBZ63" s="291"/>
      <x:c r="PCA63" s="291"/>
      <x:c r="PCB63" s="291"/>
      <x:c r="PCC63" s="291"/>
      <x:c r="PCD63" s="291"/>
      <x:c r="PCE63" s="291"/>
      <x:c r="PCF63" s="291"/>
      <x:c r="PCG63" s="291"/>
      <x:c r="PCH63" s="291"/>
      <x:c r="PCI63" s="291"/>
      <x:c r="PCJ63" s="291"/>
      <x:c r="PCK63" s="291"/>
      <x:c r="PCL63" s="291"/>
      <x:c r="PCM63" s="291"/>
      <x:c r="PCN63" s="291"/>
      <x:c r="PCO63" s="291"/>
      <x:c r="PCP63" s="291"/>
      <x:c r="PCQ63" s="291"/>
      <x:c r="PCR63" s="291"/>
      <x:c r="PCS63" s="291"/>
      <x:c r="PCT63" s="291"/>
      <x:c r="PCU63" s="291"/>
      <x:c r="PCV63" s="291"/>
      <x:c r="PCW63" s="291"/>
      <x:c r="PCX63" s="291"/>
      <x:c r="PCY63" s="291"/>
      <x:c r="PCZ63" s="291"/>
      <x:c r="PDA63" s="291"/>
      <x:c r="PDB63" s="291"/>
      <x:c r="PDC63" s="291"/>
      <x:c r="PDD63" s="291"/>
      <x:c r="PDE63" s="291"/>
      <x:c r="PDF63" s="291"/>
      <x:c r="PDG63" s="291"/>
      <x:c r="PDH63" s="291"/>
      <x:c r="PDI63" s="291"/>
      <x:c r="PDJ63" s="291"/>
      <x:c r="PDK63" s="291"/>
      <x:c r="PDL63" s="291"/>
      <x:c r="PDM63" s="291"/>
      <x:c r="PDN63" s="291"/>
      <x:c r="PDO63" s="291"/>
      <x:c r="PDP63" s="291"/>
      <x:c r="PDQ63" s="291"/>
      <x:c r="PDR63" s="291"/>
      <x:c r="PDS63" s="291"/>
      <x:c r="PDT63" s="291"/>
      <x:c r="PDU63" s="291"/>
      <x:c r="PDV63" s="291"/>
      <x:c r="PDW63" s="291"/>
      <x:c r="PDX63" s="291"/>
      <x:c r="PDY63" s="291"/>
      <x:c r="PDZ63" s="291"/>
      <x:c r="PEA63" s="291"/>
      <x:c r="PEB63" s="291"/>
      <x:c r="PEC63" s="291"/>
      <x:c r="PED63" s="291"/>
      <x:c r="PEE63" s="291"/>
      <x:c r="PEF63" s="291"/>
      <x:c r="PEG63" s="291"/>
      <x:c r="PEH63" s="291"/>
      <x:c r="PEI63" s="291"/>
      <x:c r="PEJ63" s="291"/>
      <x:c r="PEK63" s="291"/>
      <x:c r="PEL63" s="291"/>
      <x:c r="PEM63" s="291"/>
      <x:c r="PEN63" s="291"/>
      <x:c r="PEO63" s="291"/>
      <x:c r="PEP63" s="291"/>
      <x:c r="PEQ63" s="291"/>
      <x:c r="PER63" s="291"/>
      <x:c r="PES63" s="291"/>
      <x:c r="PET63" s="291"/>
      <x:c r="PEU63" s="291"/>
      <x:c r="PEV63" s="291"/>
      <x:c r="PEW63" s="291"/>
      <x:c r="PEX63" s="291"/>
      <x:c r="PEY63" s="291"/>
      <x:c r="PEZ63" s="291"/>
      <x:c r="PFA63" s="291"/>
      <x:c r="PFB63" s="291"/>
      <x:c r="PFC63" s="291"/>
      <x:c r="PFD63" s="291"/>
      <x:c r="PFE63" s="291"/>
      <x:c r="PFF63" s="291"/>
      <x:c r="PFG63" s="291"/>
      <x:c r="PFH63" s="291"/>
      <x:c r="PFI63" s="291"/>
      <x:c r="PFJ63" s="291"/>
      <x:c r="PFK63" s="291"/>
      <x:c r="PFL63" s="291"/>
      <x:c r="PFM63" s="291"/>
      <x:c r="PFN63" s="291"/>
      <x:c r="PFO63" s="291"/>
      <x:c r="PFP63" s="291"/>
      <x:c r="PFQ63" s="291"/>
      <x:c r="PFR63" s="291"/>
      <x:c r="PFS63" s="291"/>
      <x:c r="PFT63" s="291"/>
      <x:c r="PFU63" s="291"/>
      <x:c r="PFV63" s="291"/>
      <x:c r="PFW63" s="291"/>
      <x:c r="PFX63" s="291"/>
      <x:c r="PFY63" s="291"/>
      <x:c r="PFZ63" s="291"/>
      <x:c r="PGA63" s="291"/>
      <x:c r="PGB63" s="291"/>
      <x:c r="PGC63" s="291"/>
      <x:c r="PGD63" s="291"/>
      <x:c r="PGE63" s="291"/>
      <x:c r="PGF63" s="291"/>
      <x:c r="PGG63" s="291"/>
      <x:c r="PGH63" s="291"/>
      <x:c r="PGI63" s="291"/>
      <x:c r="PGJ63" s="291"/>
      <x:c r="PGK63" s="291"/>
      <x:c r="PGL63" s="291"/>
      <x:c r="PGM63" s="291"/>
      <x:c r="PGN63" s="291"/>
      <x:c r="PGO63" s="291"/>
      <x:c r="PGP63" s="291"/>
      <x:c r="PGQ63" s="291"/>
      <x:c r="PGR63" s="291"/>
      <x:c r="PGS63" s="291"/>
      <x:c r="PGT63" s="291"/>
      <x:c r="PGU63" s="291"/>
      <x:c r="PGV63" s="291"/>
      <x:c r="PGW63" s="291"/>
      <x:c r="PGX63" s="291"/>
      <x:c r="PGY63" s="291"/>
      <x:c r="PGZ63" s="291"/>
      <x:c r="PHA63" s="291"/>
      <x:c r="PHB63" s="291"/>
      <x:c r="PHC63" s="291"/>
      <x:c r="PHD63" s="291"/>
      <x:c r="PHE63" s="291"/>
      <x:c r="PHF63" s="291"/>
      <x:c r="PHG63" s="291"/>
      <x:c r="PHH63" s="291"/>
      <x:c r="PHI63" s="291"/>
      <x:c r="PHJ63" s="291"/>
      <x:c r="PHK63" s="291"/>
      <x:c r="PHL63" s="291"/>
      <x:c r="PHM63" s="291"/>
      <x:c r="PHN63" s="291"/>
      <x:c r="PHO63" s="291"/>
      <x:c r="PHP63" s="291"/>
      <x:c r="PHQ63" s="291"/>
      <x:c r="PHR63" s="291"/>
      <x:c r="PHS63" s="291"/>
      <x:c r="PHT63" s="291"/>
      <x:c r="PHU63" s="291"/>
      <x:c r="PHV63" s="291"/>
      <x:c r="PHW63" s="291"/>
      <x:c r="PHX63" s="291"/>
      <x:c r="PHY63" s="291"/>
      <x:c r="PHZ63" s="291"/>
      <x:c r="PIA63" s="291"/>
      <x:c r="PIB63" s="291"/>
      <x:c r="PIC63" s="291"/>
      <x:c r="PID63" s="291"/>
      <x:c r="PIE63" s="291"/>
      <x:c r="PIF63" s="291"/>
      <x:c r="PIG63" s="291"/>
      <x:c r="PIH63" s="291"/>
      <x:c r="PII63" s="291"/>
      <x:c r="PIJ63" s="291"/>
      <x:c r="PIK63" s="291"/>
      <x:c r="PIL63" s="291"/>
      <x:c r="PIM63" s="291"/>
      <x:c r="PIN63" s="291"/>
      <x:c r="PIO63" s="291"/>
      <x:c r="PIP63" s="291"/>
      <x:c r="PIQ63" s="291"/>
      <x:c r="PIR63" s="291"/>
      <x:c r="PIS63" s="291"/>
      <x:c r="PIT63" s="291"/>
      <x:c r="PIU63" s="291"/>
      <x:c r="PIV63" s="291"/>
      <x:c r="PIW63" s="291"/>
      <x:c r="PIX63" s="291"/>
      <x:c r="PIY63" s="291"/>
      <x:c r="PIZ63" s="291"/>
      <x:c r="PJA63" s="291"/>
      <x:c r="PJB63" s="291"/>
      <x:c r="PJC63" s="291"/>
      <x:c r="PJD63" s="291"/>
      <x:c r="PJE63" s="291"/>
      <x:c r="PJF63" s="291"/>
      <x:c r="PJG63" s="291"/>
      <x:c r="PJH63" s="291"/>
      <x:c r="PJI63" s="291"/>
      <x:c r="PJJ63" s="291"/>
      <x:c r="PJK63" s="291"/>
      <x:c r="PJL63" s="291"/>
      <x:c r="PJM63" s="291"/>
      <x:c r="PJN63" s="291"/>
      <x:c r="PJO63" s="291"/>
      <x:c r="PJP63" s="291"/>
      <x:c r="PJQ63" s="291"/>
      <x:c r="PJR63" s="291"/>
      <x:c r="PJS63" s="291"/>
      <x:c r="PJT63" s="291"/>
      <x:c r="PJU63" s="291"/>
      <x:c r="PJV63" s="291"/>
      <x:c r="PJW63" s="291"/>
      <x:c r="PJX63" s="291"/>
      <x:c r="PJY63" s="291"/>
      <x:c r="PJZ63" s="291"/>
      <x:c r="PKA63" s="291"/>
      <x:c r="PKB63" s="291"/>
      <x:c r="PKC63" s="291"/>
      <x:c r="PKD63" s="291"/>
      <x:c r="PKE63" s="291"/>
      <x:c r="PKF63" s="291"/>
      <x:c r="PKG63" s="291"/>
      <x:c r="PKH63" s="291"/>
      <x:c r="PKI63" s="291"/>
      <x:c r="PKJ63" s="291"/>
      <x:c r="PKK63" s="291"/>
      <x:c r="PKL63" s="291"/>
      <x:c r="PKM63" s="291"/>
      <x:c r="PKN63" s="291"/>
      <x:c r="PKO63" s="291"/>
      <x:c r="PKP63" s="291"/>
      <x:c r="PKQ63" s="291"/>
      <x:c r="PKR63" s="291"/>
      <x:c r="PKS63" s="291"/>
      <x:c r="PKT63" s="291"/>
      <x:c r="PKU63" s="291"/>
      <x:c r="PKV63" s="291"/>
      <x:c r="PKW63" s="291"/>
      <x:c r="PKX63" s="291"/>
      <x:c r="PKY63" s="291"/>
      <x:c r="PKZ63" s="291"/>
      <x:c r="PLA63" s="291"/>
      <x:c r="PLB63" s="291"/>
      <x:c r="PLC63" s="291"/>
      <x:c r="PLD63" s="291"/>
      <x:c r="PLE63" s="291"/>
      <x:c r="PLF63" s="291"/>
      <x:c r="PLG63" s="291"/>
      <x:c r="PLH63" s="291"/>
      <x:c r="PLI63" s="291"/>
      <x:c r="PLJ63" s="291"/>
      <x:c r="PLK63" s="291"/>
      <x:c r="PLL63" s="291"/>
      <x:c r="PLM63" s="291"/>
      <x:c r="PLN63" s="291"/>
      <x:c r="PLO63" s="291"/>
      <x:c r="PLP63" s="291"/>
      <x:c r="PLQ63" s="291"/>
      <x:c r="PLR63" s="291"/>
      <x:c r="PLS63" s="291"/>
      <x:c r="PLT63" s="291"/>
      <x:c r="PLU63" s="291"/>
      <x:c r="PLV63" s="291"/>
      <x:c r="PLW63" s="291"/>
      <x:c r="PLX63" s="291"/>
      <x:c r="PLY63" s="291"/>
      <x:c r="PLZ63" s="291"/>
      <x:c r="PMA63" s="291"/>
      <x:c r="PMB63" s="291"/>
      <x:c r="PMC63" s="291"/>
      <x:c r="PMD63" s="291"/>
      <x:c r="PME63" s="291"/>
      <x:c r="PMF63" s="291"/>
      <x:c r="PMG63" s="291"/>
      <x:c r="PMH63" s="291"/>
      <x:c r="PMI63" s="291"/>
      <x:c r="PMJ63" s="291"/>
      <x:c r="PMK63" s="291"/>
      <x:c r="PML63" s="291"/>
      <x:c r="PMM63" s="291"/>
      <x:c r="PMN63" s="291"/>
      <x:c r="PMO63" s="291"/>
      <x:c r="PMP63" s="291"/>
      <x:c r="PMQ63" s="291"/>
      <x:c r="PMR63" s="291"/>
      <x:c r="PMS63" s="291"/>
      <x:c r="PMT63" s="291"/>
      <x:c r="PMU63" s="291"/>
      <x:c r="PMV63" s="291"/>
      <x:c r="PMW63" s="291"/>
      <x:c r="PMX63" s="291"/>
      <x:c r="PMY63" s="291"/>
      <x:c r="PMZ63" s="291"/>
      <x:c r="PNA63" s="291"/>
      <x:c r="PNB63" s="291"/>
      <x:c r="PNC63" s="291"/>
      <x:c r="PND63" s="291"/>
      <x:c r="PNE63" s="291"/>
      <x:c r="PNF63" s="291"/>
      <x:c r="PNG63" s="291"/>
      <x:c r="PNH63" s="291"/>
      <x:c r="PNI63" s="291"/>
      <x:c r="PNJ63" s="291"/>
      <x:c r="PNK63" s="291"/>
      <x:c r="PNL63" s="291"/>
      <x:c r="PNM63" s="291"/>
      <x:c r="PNN63" s="291"/>
      <x:c r="PNO63" s="291"/>
      <x:c r="PNP63" s="291"/>
      <x:c r="PNQ63" s="291"/>
      <x:c r="PNR63" s="291"/>
      <x:c r="PNS63" s="291"/>
      <x:c r="PNT63" s="291"/>
      <x:c r="PNU63" s="291"/>
      <x:c r="PNV63" s="291"/>
      <x:c r="PNW63" s="291"/>
      <x:c r="PNX63" s="291"/>
      <x:c r="PNY63" s="291"/>
      <x:c r="PNZ63" s="291"/>
      <x:c r="POA63" s="291"/>
      <x:c r="POB63" s="291"/>
      <x:c r="POC63" s="291"/>
      <x:c r="POD63" s="291"/>
      <x:c r="POE63" s="291"/>
      <x:c r="POF63" s="291"/>
      <x:c r="POG63" s="291"/>
      <x:c r="POH63" s="291"/>
      <x:c r="POI63" s="291"/>
      <x:c r="POJ63" s="291"/>
      <x:c r="POK63" s="291"/>
      <x:c r="POL63" s="291"/>
      <x:c r="POM63" s="291"/>
      <x:c r="PON63" s="291"/>
      <x:c r="POO63" s="291"/>
      <x:c r="POP63" s="291"/>
      <x:c r="POQ63" s="291"/>
      <x:c r="POR63" s="291"/>
      <x:c r="POS63" s="291"/>
      <x:c r="POT63" s="291"/>
      <x:c r="POU63" s="291"/>
      <x:c r="POV63" s="291"/>
      <x:c r="POW63" s="291"/>
      <x:c r="POX63" s="291"/>
      <x:c r="POY63" s="291"/>
      <x:c r="POZ63" s="291"/>
      <x:c r="PPA63" s="291"/>
      <x:c r="PPB63" s="291"/>
      <x:c r="PPC63" s="291"/>
      <x:c r="PPD63" s="291"/>
      <x:c r="PPE63" s="291"/>
      <x:c r="PPF63" s="291"/>
      <x:c r="PPG63" s="291"/>
      <x:c r="PPH63" s="291"/>
      <x:c r="PPI63" s="291"/>
      <x:c r="PPJ63" s="291"/>
      <x:c r="PPK63" s="291"/>
      <x:c r="PPL63" s="291"/>
      <x:c r="PPM63" s="291"/>
      <x:c r="PPN63" s="291"/>
      <x:c r="PPO63" s="291"/>
      <x:c r="PPP63" s="291"/>
      <x:c r="PPQ63" s="291"/>
      <x:c r="PPR63" s="291"/>
      <x:c r="PPS63" s="291"/>
      <x:c r="PPT63" s="291"/>
      <x:c r="PPU63" s="291"/>
      <x:c r="PPV63" s="291"/>
      <x:c r="PPW63" s="291"/>
      <x:c r="PPX63" s="291"/>
      <x:c r="PPY63" s="291"/>
      <x:c r="PPZ63" s="291"/>
      <x:c r="PQA63" s="291"/>
      <x:c r="PQB63" s="291"/>
      <x:c r="PQC63" s="291"/>
      <x:c r="PQD63" s="291"/>
      <x:c r="PQE63" s="291"/>
      <x:c r="PQF63" s="291"/>
      <x:c r="PQG63" s="291"/>
      <x:c r="PQH63" s="291"/>
      <x:c r="PQI63" s="291"/>
      <x:c r="PQJ63" s="291"/>
      <x:c r="PQK63" s="291"/>
      <x:c r="PQL63" s="291"/>
      <x:c r="PQM63" s="291"/>
      <x:c r="PQN63" s="291"/>
      <x:c r="PQO63" s="291"/>
      <x:c r="PQP63" s="291"/>
      <x:c r="PQQ63" s="291"/>
      <x:c r="PQR63" s="291"/>
      <x:c r="PQS63" s="291"/>
      <x:c r="PQT63" s="291"/>
      <x:c r="PQU63" s="291"/>
      <x:c r="PQV63" s="291"/>
      <x:c r="PQW63" s="291"/>
      <x:c r="PQX63" s="291"/>
      <x:c r="PQY63" s="291"/>
      <x:c r="PQZ63" s="291"/>
      <x:c r="PRA63" s="291"/>
      <x:c r="PRB63" s="291"/>
      <x:c r="PRC63" s="291"/>
      <x:c r="PRD63" s="291"/>
      <x:c r="PRE63" s="291"/>
      <x:c r="PRF63" s="291"/>
      <x:c r="PRG63" s="291"/>
      <x:c r="PRH63" s="291"/>
      <x:c r="PRI63" s="291"/>
      <x:c r="PRJ63" s="291"/>
      <x:c r="PRK63" s="291"/>
      <x:c r="PRL63" s="291"/>
      <x:c r="PRM63" s="291"/>
      <x:c r="PRN63" s="291"/>
      <x:c r="PRO63" s="291"/>
      <x:c r="PRP63" s="291"/>
      <x:c r="PRQ63" s="291"/>
      <x:c r="PRR63" s="291"/>
      <x:c r="PRS63" s="291"/>
      <x:c r="PRT63" s="291"/>
      <x:c r="PRU63" s="291"/>
      <x:c r="PRV63" s="291"/>
      <x:c r="PRW63" s="291"/>
      <x:c r="PRX63" s="291"/>
      <x:c r="PRY63" s="291"/>
      <x:c r="PRZ63" s="291"/>
      <x:c r="PSA63" s="291"/>
      <x:c r="PSB63" s="291"/>
      <x:c r="PSC63" s="291"/>
      <x:c r="PSD63" s="291"/>
      <x:c r="PSE63" s="291"/>
      <x:c r="PSF63" s="291"/>
      <x:c r="PSG63" s="291"/>
      <x:c r="PSH63" s="291"/>
      <x:c r="PSI63" s="291"/>
      <x:c r="PSJ63" s="291"/>
      <x:c r="PSK63" s="291"/>
      <x:c r="PSL63" s="291"/>
      <x:c r="PSM63" s="291"/>
      <x:c r="PSN63" s="291"/>
      <x:c r="PSO63" s="291"/>
      <x:c r="PSP63" s="291"/>
      <x:c r="PSQ63" s="291"/>
      <x:c r="PSR63" s="291"/>
      <x:c r="PSS63" s="291"/>
      <x:c r="PST63" s="291"/>
      <x:c r="PSU63" s="291"/>
      <x:c r="PSV63" s="291"/>
      <x:c r="PSW63" s="291"/>
      <x:c r="PSX63" s="291"/>
      <x:c r="PSY63" s="291"/>
      <x:c r="PSZ63" s="291"/>
      <x:c r="PTA63" s="291"/>
      <x:c r="PTB63" s="291"/>
      <x:c r="PTC63" s="291"/>
      <x:c r="PTD63" s="291"/>
      <x:c r="PTE63" s="291"/>
      <x:c r="PTF63" s="291"/>
      <x:c r="PTG63" s="291"/>
      <x:c r="PTH63" s="291"/>
      <x:c r="PTI63" s="291"/>
      <x:c r="PTJ63" s="291"/>
      <x:c r="PTK63" s="291"/>
      <x:c r="PTL63" s="291"/>
      <x:c r="PTM63" s="291"/>
      <x:c r="PTN63" s="291"/>
      <x:c r="PTO63" s="291"/>
      <x:c r="PTP63" s="291"/>
      <x:c r="PTQ63" s="291"/>
      <x:c r="PTR63" s="291"/>
      <x:c r="PTS63" s="291"/>
      <x:c r="PTT63" s="291"/>
      <x:c r="PTU63" s="291"/>
      <x:c r="PTV63" s="291"/>
      <x:c r="PTW63" s="291"/>
      <x:c r="PTX63" s="291"/>
      <x:c r="PTY63" s="291"/>
      <x:c r="PTZ63" s="291"/>
      <x:c r="PUA63" s="291"/>
      <x:c r="PUB63" s="291"/>
      <x:c r="PUC63" s="291"/>
      <x:c r="PUD63" s="291"/>
      <x:c r="PUE63" s="291"/>
      <x:c r="PUF63" s="291"/>
      <x:c r="PUG63" s="291"/>
      <x:c r="PUH63" s="291"/>
      <x:c r="PUI63" s="291"/>
      <x:c r="PUJ63" s="291"/>
      <x:c r="PUK63" s="291"/>
      <x:c r="PUL63" s="291"/>
      <x:c r="PUM63" s="291"/>
      <x:c r="PUN63" s="291"/>
      <x:c r="PUO63" s="291"/>
      <x:c r="PUP63" s="291"/>
      <x:c r="PUQ63" s="291"/>
      <x:c r="PUR63" s="291"/>
      <x:c r="PUS63" s="291"/>
      <x:c r="PUT63" s="291"/>
      <x:c r="PUU63" s="291"/>
      <x:c r="PUV63" s="291"/>
      <x:c r="PUW63" s="291"/>
      <x:c r="PUX63" s="291"/>
      <x:c r="PUY63" s="291"/>
      <x:c r="PUZ63" s="291"/>
      <x:c r="PVA63" s="291"/>
      <x:c r="PVB63" s="291"/>
      <x:c r="PVC63" s="291"/>
      <x:c r="PVD63" s="291"/>
      <x:c r="PVE63" s="291"/>
      <x:c r="PVF63" s="291"/>
      <x:c r="PVG63" s="291"/>
      <x:c r="PVH63" s="291"/>
      <x:c r="PVI63" s="291"/>
      <x:c r="PVJ63" s="291"/>
      <x:c r="PVK63" s="291"/>
      <x:c r="PVL63" s="291"/>
      <x:c r="PVM63" s="291"/>
      <x:c r="PVN63" s="291"/>
      <x:c r="PVO63" s="291"/>
      <x:c r="PVP63" s="291"/>
      <x:c r="PVQ63" s="291"/>
      <x:c r="PVR63" s="291"/>
      <x:c r="PVS63" s="291"/>
      <x:c r="PVT63" s="291"/>
      <x:c r="PVU63" s="291"/>
      <x:c r="PVV63" s="291"/>
      <x:c r="PVW63" s="291"/>
      <x:c r="PVX63" s="291"/>
      <x:c r="PVY63" s="291"/>
      <x:c r="PVZ63" s="291"/>
      <x:c r="PWA63" s="291"/>
      <x:c r="PWB63" s="291"/>
      <x:c r="PWC63" s="291"/>
      <x:c r="PWD63" s="291"/>
      <x:c r="PWE63" s="291"/>
      <x:c r="PWF63" s="291"/>
      <x:c r="PWG63" s="291"/>
      <x:c r="PWH63" s="291"/>
      <x:c r="PWI63" s="291"/>
      <x:c r="PWJ63" s="291"/>
      <x:c r="PWK63" s="291"/>
      <x:c r="PWL63" s="291"/>
      <x:c r="PWM63" s="291"/>
      <x:c r="PWN63" s="291"/>
      <x:c r="PWO63" s="291"/>
      <x:c r="PWP63" s="291"/>
      <x:c r="PWQ63" s="291"/>
      <x:c r="PWR63" s="291"/>
      <x:c r="PWS63" s="291"/>
      <x:c r="PWT63" s="291"/>
      <x:c r="PWU63" s="291"/>
      <x:c r="PWV63" s="291"/>
      <x:c r="PWW63" s="291"/>
      <x:c r="PWX63" s="291"/>
      <x:c r="PWY63" s="291"/>
      <x:c r="PWZ63" s="291"/>
      <x:c r="PXA63" s="291"/>
      <x:c r="PXB63" s="291"/>
      <x:c r="PXC63" s="291"/>
      <x:c r="PXD63" s="291"/>
      <x:c r="PXE63" s="291"/>
      <x:c r="PXF63" s="291"/>
      <x:c r="PXG63" s="291"/>
      <x:c r="PXH63" s="291"/>
      <x:c r="PXI63" s="291"/>
      <x:c r="PXJ63" s="291"/>
      <x:c r="PXK63" s="291"/>
      <x:c r="PXL63" s="291"/>
      <x:c r="PXM63" s="291"/>
      <x:c r="PXN63" s="291"/>
      <x:c r="PXO63" s="291"/>
      <x:c r="PXP63" s="291"/>
      <x:c r="PXQ63" s="291"/>
      <x:c r="PXR63" s="291"/>
      <x:c r="PXS63" s="291"/>
      <x:c r="PXT63" s="291"/>
      <x:c r="PXU63" s="291"/>
      <x:c r="PXV63" s="291"/>
      <x:c r="PXW63" s="291"/>
      <x:c r="PXX63" s="291"/>
      <x:c r="PXY63" s="291"/>
      <x:c r="PXZ63" s="291"/>
      <x:c r="PYA63" s="291"/>
      <x:c r="PYB63" s="291"/>
      <x:c r="PYC63" s="291"/>
      <x:c r="PYD63" s="291"/>
      <x:c r="PYE63" s="291"/>
      <x:c r="PYF63" s="291"/>
      <x:c r="PYG63" s="291"/>
      <x:c r="PYH63" s="291"/>
      <x:c r="PYI63" s="291"/>
      <x:c r="PYJ63" s="291"/>
      <x:c r="PYK63" s="291"/>
      <x:c r="PYL63" s="291"/>
      <x:c r="PYM63" s="291"/>
      <x:c r="PYN63" s="291"/>
      <x:c r="PYO63" s="291"/>
      <x:c r="PYP63" s="291"/>
      <x:c r="PYQ63" s="291"/>
      <x:c r="PYR63" s="291"/>
      <x:c r="PYS63" s="291"/>
      <x:c r="PYT63" s="291"/>
      <x:c r="PYU63" s="291"/>
      <x:c r="PYV63" s="291"/>
      <x:c r="PYW63" s="291"/>
      <x:c r="PYX63" s="291"/>
      <x:c r="PYY63" s="291"/>
      <x:c r="PYZ63" s="291"/>
      <x:c r="PZA63" s="291"/>
      <x:c r="PZB63" s="291"/>
      <x:c r="PZC63" s="291"/>
      <x:c r="PZD63" s="291"/>
      <x:c r="PZE63" s="291"/>
      <x:c r="PZF63" s="291"/>
      <x:c r="PZG63" s="291"/>
      <x:c r="PZH63" s="291"/>
      <x:c r="PZI63" s="291"/>
      <x:c r="PZJ63" s="291"/>
      <x:c r="PZK63" s="291"/>
      <x:c r="PZL63" s="291"/>
      <x:c r="PZM63" s="291"/>
      <x:c r="PZN63" s="291"/>
      <x:c r="PZO63" s="291"/>
      <x:c r="PZP63" s="291"/>
      <x:c r="PZQ63" s="291"/>
      <x:c r="PZR63" s="291"/>
      <x:c r="PZS63" s="291"/>
      <x:c r="PZT63" s="291"/>
      <x:c r="PZU63" s="291"/>
      <x:c r="PZV63" s="291"/>
      <x:c r="PZW63" s="291"/>
      <x:c r="PZX63" s="291"/>
      <x:c r="PZY63" s="291"/>
      <x:c r="PZZ63" s="291"/>
      <x:c r="QAA63" s="291"/>
      <x:c r="QAB63" s="291"/>
      <x:c r="QAC63" s="291"/>
      <x:c r="QAD63" s="291"/>
      <x:c r="QAE63" s="291"/>
      <x:c r="QAF63" s="291"/>
      <x:c r="QAG63" s="291"/>
      <x:c r="QAH63" s="291"/>
      <x:c r="QAI63" s="291"/>
      <x:c r="QAJ63" s="291"/>
      <x:c r="QAK63" s="291"/>
      <x:c r="QAL63" s="291"/>
      <x:c r="QAM63" s="291"/>
      <x:c r="QAN63" s="291"/>
      <x:c r="QAO63" s="291"/>
      <x:c r="QAP63" s="291"/>
      <x:c r="QAQ63" s="291"/>
      <x:c r="QAR63" s="291"/>
      <x:c r="QAS63" s="291"/>
      <x:c r="QAT63" s="291"/>
      <x:c r="QAU63" s="291"/>
      <x:c r="QAV63" s="291"/>
      <x:c r="QAW63" s="291"/>
      <x:c r="QAX63" s="291"/>
      <x:c r="QAY63" s="291"/>
      <x:c r="QAZ63" s="291"/>
      <x:c r="QBA63" s="291"/>
      <x:c r="QBB63" s="291"/>
      <x:c r="QBC63" s="291"/>
      <x:c r="QBD63" s="291"/>
      <x:c r="QBE63" s="291"/>
      <x:c r="QBF63" s="291"/>
      <x:c r="QBG63" s="291"/>
      <x:c r="QBH63" s="291"/>
      <x:c r="QBI63" s="291"/>
      <x:c r="QBJ63" s="291"/>
      <x:c r="QBK63" s="291"/>
      <x:c r="QBL63" s="291"/>
      <x:c r="QBM63" s="291"/>
      <x:c r="QBN63" s="291"/>
      <x:c r="QBO63" s="291"/>
      <x:c r="QBP63" s="291"/>
      <x:c r="QBQ63" s="291"/>
      <x:c r="QBR63" s="291"/>
      <x:c r="QBS63" s="291"/>
      <x:c r="QBT63" s="291"/>
      <x:c r="QBU63" s="291"/>
      <x:c r="QBV63" s="291"/>
      <x:c r="QBW63" s="291"/>
      <x:c r="QBX63" s="291"/>
      <x:c r="QBY63" s="291"/>
      <x:c r="QBZ63" s="291"/>
      <x:c r="QCA63" s="291"/>
      <x:c r="QCB63" s="291"/>
      <x:c r="QCC63" s="291"/>
      <x:c r="QCD63" s="291"/>
      <x:c r="QCE63" s="291"/>
      <x:c r="QCF63" s="291"/>
      <x:c r="QCG63" s="291"/>
      <x:c r="QCH63" s="291"/>
      <x:c r="QCI63" s="291"/>
      <x:c r="QCJ63" s="291"/>
      <x:c r="QCK63" s="291"/>
      <x:c r="QCL63" s="291"/>
      <x:c r="QCM63" s="291"/>
      <x:c r="QCN63" s="291"/>
      <x:c r="QCO63" s="291"/>
      <x:c r="QCP63" s="291"/>
      <x:c r="QCQ63" s="291"/>
      <x:c r="QCR63" s="291"/>
      <x:c r="QCS63" s="291"/>
      <x:c r="QCT63" s="291"/>
      <x:c r="QCU63" s="291"/>
      <x:c r="QCV63" s="291"/>
      <x:c r="QCW63" s="291"/>
      <x:c r="QCX63" s="291"/>
      <x:c r="QCY63" s="291"/>
      <x:c r="QCZ63" s="291"/>
      <x:c r="QDA63" s="291"/>
      <x:c r="QDB63" s="291"/>
      <x:c r="QDC63" s="291"/>
      <x:c r="QDD63" s="291"/>
      <x:c r="QDE63" s="291"/>
      <x:c r="QDF63" s="291"/>
      <x:c r="QDG63" s="291"/>
      <x:c r="QDH63" s="291"/>
      <x:c r="QDI63" s="291"/>
      <x:c r="QDJ63" s="291"/>
      <x:c r="QDK63" s="291"/>
      <x:c r="QDL63" s="291"/>
      <x:c r="QDM63" s="291"/>
      <x:c r="QDN63" s="291"/>
      <x:c r="QDO63" s="291"/>
      <x:c r="QDP63" s="291"/>
      <x:c r="QDQ63" s="291"/>
      <x:c r="QDR63" s="291"/>
      <x:c r="QDS63" s="291"/>
      <x:c r="QDT63" s="291"/>
      <x:c r="QDU63" s="291"/>
      <x:c r="QDV63" s="291"/>
      <x:c r="QDW63" s="291"/>
      <x:c r="QDX63" s="291"/>
      <x:c r="QDY63" s="291"/>
      <x:c r="QDZ63" s="291"/>
      <x:c r="QEA63" s="291"/>
      <x:c r="QEB63" s="291"/>
      <x:c r="QEC63" s="291"/>
      <x:c r="QED63" s="291"/>
      <x:c r="QEE63" s="291"/>
      <x:c r="QEF63" s="291"/>
      <x:c r="QEG63" s="291"/>
      <x:c r="QEH63" s="291"/>
      <x:c r="QEI63" s="291"/>
      <x:c r="QEJ63" s="291"/>
      <x:c r="QEK63" s="291"/>
      <x:c r="QEL63" s="291"/>
      <x:c r="QEM63" s="291"/>
      <x:c r="QEN63" s="291"/>
      <x:c r="QEO63" s="291"/>
      <x:c r="QEP63" s="291"/>
      <x:c r="QEQ63" s="291"/>
      <x:c r="QER63" s="291"/>
      <x:c r="QES63" s="291"/>
      <x:c r="QET63" s="291"/>
      <x:c r="QEU63" s="291"/>
      <x:c r="QEV63" s="291"/>
      <x:c r="QEW63" s="291"/>
      <x:c r="QEX63" s="291"/>
      <x:c r="QEY63" s="291"/>
      <x:c r="QEZ63" s="291"/>
      <x:c r="QFA63" s="291"/>
      <x:c r="QFB63" s="291"/>
      <x:c r="QFC63" s="291"/>
      <x:c r="QFD63" s="291"/>
      <x:c r="QFE63" s="291"/>
      <x:c r="QFF63" s="291"/>
      <x:c r="QFG63" s="291"/>
      <x:c r="QFH63" s="291"/>
      <x:c r="QFI63" s="291"/>
      <x:c r="QFJ63" s="291"/>
      <x:c r="QFK63" s="291"/>
      <x:c r="QFL63" s="291"/>
      <x:c r="QFM63" s="291"/>
      <x:c r="QFN63" s="291"/>
      <x:c r="QFO63" s="291"/>
      <x:c r="QFP63" s="291"/>
      <x:c r="QFQ63" s="291"/>
      <x:c r="QFR63" s="291"/>
      <x:c r="QFS63" s="291"/>
      <x:c r="QFT63" s="291"/>
      <x:c r="QFU63" s="291"/>
      <x:c r="QFV63" s="291"/>
      <x:c r="QFW63" s="291"/>
      <x:c r="QFX63" s="291"/>
      <x:c r="QFY63" s="291"/>
      <x:c r="QFZ63" s="291"/>
      <x:c r="QGA63" s="291"/>
      <x:c r="QGB63" s="291"/>
      <x:c r="QGC63" s="291"/>
      <x:c r="QGD63" s="291"/>
      <x:c r="QGE63" s="291"/>
      <x:c r="QGF63" s="291"/>
      <x:c r="QGG63" s="291"/>
      <x:c r="QGH63" s="291"/>
      <x:c r="QGI63" s="291"/>
      <x:c r="QGJ63" s="291"/>
      <x:c r="QGK63" s="291"/>
      <x:c r="QGL63" s="291"/>
      <x:c r="QGM63" s="291"/>
      <x:c r="QGN63" s="291"/>
      <x:c r="QGO63" s="291"/>
      <x:c r="QGP63" s="291"/>
      <x:c r="QGQ63" s="291"/>
      <x:c r="QGR63" s="291"/>
      <x:c r="QGS63" s="291"/>
      <x:c r="QGT63" s="291"/>
      <x:c r="QGU63" s="291"/>
      <x:c r="QGV63" s="291"/>
      <x:c r="QGW63" s="291"/>
      <x:c r="QGX63" s="291"/>
      <x:c r="QGY63" s="291"/>
      <x:c r="QGZ63" s="291"/>
      <x:c r="QHA63" s="291"/>
      <x:c r="QHB63" s="291"/>
      <x:c r="QHC63" s="291"/>
      <x:c r="QHD63" s="291"/>
      <x:c r="QHE63" s="291"/>
      <x:c r="QHF63" s="291"/>
      <x:c r="QHG63" s="291"/>
      <x:c r="QHH63" s="291"/>
      <x:c r="QHI63" s="291"/>
      <x:c r="QHJ63" s="291"/>
      <x:c r="QHK63" s="291"/>
      <x:c r="QHL63" s="291"/>
      <x:c r="QHM63" s="291"/>
      <x:c r="QHN63" s="291"/>
      <x:c r="QHO63" s="291"/>
      <x:c r="QHP63" s="291"/>
      <x:c r="QHQ63" s="291"/>
      <x:c r="QHR63" s="291"/>
      <x:c r="QHS63" s="291"/>
      <x:c r="QHT63" s="291"/>
      <x:c r="QHU63" s="291"/>
      <x:c r="QHV63" s="291"/>
      <x:c r="QHW63" s="291"/>
      <x:c r="QHX63" s="291"/>
      <x:c r="QHY63" s="291"/>
      <x:c r="QHZ63" s="291"/>
      <x:c r="QIA63" s="291"/>
      <x:c r="QIB63" s="291"/>
      <x:c r="QIC63" s="291"/>
      <x:c r="QID63" s="291"/>
      <x:c r="QIE63" s="291"/>
      <x:c r="QIF63" s="291"/>
      <x:c r="QIG63" s="291"/>
      <x:c r="QIH63" s="291"/>
      <x:c r="QII63" s="291"/>
      <x:c r="QIJ63" s="291"/>
      <x:c r="QIK63" s="291"/>
      <x:c r="QIL63" s="291"/>
      <x:c r="QIM63" s="291"/>
      <x:c r="QIN63" s="291"/>
      <x:c r="QIO63" s="291"/>
      <x:c r="QIP63" s="291"/>
      <x:c r="QIQ63" s="291"/>
      <x:c r="QIR63" s="291"/>
      <x:c r="QIS63" s="291"/>
      <x:c r="QIT63" s="291"/>
      <x:c r="QIU63" s="291"/>
      <x:c r="QIV63" s="291"/>
      <x:c r="QIW63" s="291"/>
      <x:c r="QIX63" s="291"/>
      <x:c r="QIY63" s="291"/>
      <x:c r="QIZ63" s="291"/>
      <x:c r="QJA63" s="291"/>
      <x:c r="QJB63" s="291"/>
      <x:c r="QJC63" s="291"/>
      <x:c r="QJD63" s="291"/>
      <x:c r="QJE63" s="291"/>
      <x:c r="QJF63" s="291"/>
      <x:c r="QJG63" s="291"/>
      <x:c r="QJH63" s="291"/>
      <x:c r="QJI63" s="291"/>
      <x:c r="QJJ63" s="291"/>
      <x:c r="QJK63" s="291"/>
      <x:c r="QJL63" s="291"/>
      <x:c r="QJM63" s="291"/>
      <x:c r="QJN63" s="291"/>
      <x:c r="QJO63" s="291"/>
      <x:c r="QJP63" s="291"/>
      <x:c r="QJQ63" s="291"/>
      <x:c r="QJR63" s="291"/>
      <x:c r="QJS63" s="291"/>
      <x:c r="QJT63" s="291"/>
      <x:c r="QJU63" s="291"/>
      <x:c r="QJV63" s="291"/>
      <x:c r="QJW63" s="291"/>
      <x:c r="QJX63" s="291"/>
      <x:c r="QJY63" s="291"/>
      <x:c r="QJZ63" s="291"/>
      <x:c r="QKA63" s="291"/>
      <x:c r="QKB63" s="291"/>
      <x:c r="QKC63" s="291"/>
      <x:c r="QKD63" s="291"/>
      <x:c r="QKE63" s="291"/>
      <x:c r="QKF63" s="291"/>
      <x:c r="QKG63" s="291"/>
      <x:c r="QKH63" s="291"/>
      <x:c r="QKI63" s="291"/>
      <x:c r="QKJ63" s="291"/>
      <x:c r="QKK63" s="291"/>
      <x:c r="QKL63" s="291"/>
      <x:c r="QKM63" s="291"/>
      <x:c r="QKN63" s="291"/>
      <x:c r="QKO63" s="291"/>
      <x:c r="QKP63" s="291"/>
      <x:c r="QKQ63" s="291"/>
      <x:c r="QKR63" s="291"/>
      <x:c r="QKS63" s="291"/>
      <x:c r="QKT63" s="291"/>
      <x:c r="QKU63" s="291"/>
      <x:c r="QKV63" s="291"/>
      <x:c r="QKW63" s="291"/>
      <x:c r="QKX63" s="291"/>
      <x:c r="QKY63" s="291"/>
      <x:c r="QKZ63" s="291"/>
      <x:c r="QLA63" s="291"/>
      <x:c r="QLB63" s="291"/>
      <x:c r="QLC63" s="291"/>
      <x:c r="QLD63" s="291"/>
      <x:c r="QLE63" s="291"/>
      <x:c r="QLF63" s="291"/>
      <x:c r="QLG63" s="291"/>
      <x:c r="QLH63" s="291"/>
      <x:c r="QLI63" s="291"/>
      <x:c r="QLJ63" s="291"/>
      <x:c r="QLK63" s="291"/>
      <x:c r="QLL63" s="291"/>
      <x:c r="QLM63" s="291"/>
      <x:c r="QLN63" s="291"/>
      <x:c r="QLO63" s="291"/>
      <x:c r="QLP63" s="291"/>
      <x:c r="QLQ63" s="291"/>
      <x:c r="QLR63" s="291"/>
      <x:c r="QLS63" s="291"/>
      <x:c r="QLT63" s="291"/>
      <x:c r="QLU63" s="291"/>
      <x:c r="QLV63" s="291"/>
      <x:c r="QLW63" s="291"/>
      <x:c r="QLX63" s="291"/>
      <x:c r="QLY63" s="291"/>
      <x:c r="QLZ63" s="291"/>
      <x:c r="QMA63" s="291"/>
      <x:c r="QMB63" s="291"/>
      <x:c r="QMC63" s="291"/>
      <x:c r="QMD63" s="291"/>
      <x:c r="QME63" s="291"/>
      <x:c r="QMF63" s="291"/>
      <x:c r="QMG63" s="291"/>
      <x:c r="QMH63" s="291"/>
      <x:c r="QMI63" s="291"/>
      <x:c r="QMJ63" s="291"/>
      <x:c r="QMK63" s="291"/>
      <x:c r="QML63" s="291"/>
      <x:c r="QMM63" s="291"/>
      <x:c r="QMN63" s="291"/>
      <x:c r="QMO63" s="291"/>
      <x:c r="QMP63" s="291"/>
      <x:c r="QMQ63" s="291"/>
      <x:c r="QMR63" s="291"/>
      <x:c r="QMS63" s="291"/>
      <x:c r="QMT63" s="291"/>
      <x:c r="QMU63" s="291"/>
      <x:c r="QMV63" s="291"/>
      <x:c r="QMW63" s="291"/>
      <x:c r="QMX63" s="291"/>
      <x:c r="QMY63" s="291"/>
      <x:c r="QMZ63" s="291"/>
      <x:c r="QNA63" s="291"/>
      <x:c r="QNB63" s="291"/>
      <x:c r="QNC63" s="291"/>
      <x:c r="QND63" s="291"/>
      <x:c r="QNE63" s="291"/>
      <x:c r="QNF63" s="291"/>
      <x:c r="QNG63" s="291"/>
      <x:c r="QNH63" s="291"/>
      <x:c r="QNI63" s="291"/>
      <x:c r="QNJ63" s="291"/>
      <x:c r="QNK63" s="291"/>
      <x:c r="QNL63" s="291"/>
      <x:c r="QNM63" s="291"/>
      <x:c r="QNN63" s="291"/>
      <x:c r="QNO63" s="291"/>
      <x:c r="QNP63" s="291"/>
      <x:c r="QNQ63" s="291"/>
      <x:c r="QNR63" s="291"/>
      <x:c r="QNS63" s="291"/>
      <x:c r="QNT63" s="291"/>
      <x:c r="QNU63" s="291"/>
      <x:c r="QNV63" s="291"/>
      <x:c r="QNW63" s="291"/>
      <x:c r="QNX63" s="291"/>
      <x:c r="QNY63" s="291"/>
      <x:c r="QNZ63" s="291"/>
      <x:c r="QOA63" s="291"/>
      <x:c r="QOB63" s="291"/>
      <x:c r="QOC63" s="291"/>
      <x:c r="QOD63" s="291"/>
      <x:c r="QOE63" s="291"/>
      <x:c r="QOF63" s="291"/>
      <x:c r="QOG63" s="291"/>
      <x:c r="QOH63" s="291"/>
      <x:c r="QOI63" s="291"/>
      <x:c r="QOJ63" s="291"/>
      <x:c r="QOK63" s="291"/>
      <x:c r="QOL63" s="291"/>
      <x:c r="QOM63" s="291"/>
      <x:c r="QON63" s="291"/>
      <x:c r="QOO63" s="291"/>
      <x:c r="QOP63" s="291"/>
      <x:c r="QOQ63" s="291"/>
      <x:c r="QOR63" s="291"/>
      <x:c r="QOS63" s="291"/>
      <x:c r="QOT63" s="291"/>
      <x:c r="QOU63" s="291"/>
      <x:c r="QOV63" s="291"/>
      <x:c r="QOW63" s="291"/>
      <x:c r="QOX63" s="291"/>
      <x:c r="QOY63" s="291"/>
      <x:c r="QOZ63" s="291"/>
      <x:c r="QPA63" s="291"/>
      <x:c r="QPB63" s="291"/>
      <x:c r="QPC63" s="291"/>
      <x:c r="QPD63" s="291"/>
      <x:c r="QPE63" s="291"/>
      <x:c r="QPF63" s="291"/>
      <x:c r="QPG63" s="291"/>
      <x:c r="QPH63" s="291"/>
      <x:c r="QPI63" s="291"/>
      <x:c r="QPJ63" s="291"/>
      <x:c r="QPK63" s="291"/>
      <x:c r="QPL63" s="291"/>
      <x:c r="QPM63" s="291"/>
      <x:c r="QPN63" s="291"/>
      <x:c r="QPO63" s="291"/>
      <x:c r="QPP63" s="291"/>
      <x:c r="QPQ63" s="291"/>
      <x:c r="QPR63" s="291"/>
      <x:c r="QPS63" s="291"/>
      <x:c r="QPT63" s="291"/>
      <x:c r="QPU63" s="291"/>
      <x:c r="QPV63" s="291"/>
      <x:c r="QPW63" s="291"/>
      <x:c r="QPX63" s="291"/>
      <x:c r="QPY63" s="291"/>
      <x:c r="QPZ63" s="291"/>
      <x:c r="QQA63" s="291"/>
      <x:c r="QQB63" s="291"/>
      <x:c r="QQC63" s="291"/>
      <x:c r="QQD63" s="291"/>
      <x:c r="QQE63" s="291"/>
      <x:c r="QQF63" s="291"/>
      <x:c r="QQG63" s="291"/>
      <x:c r="QQH63" s="291"/>
      <x:c r="QQI63" s="291"/>
      <x:c r="QQJ63" s="291"/>
      <x:c r="QQK63" s="291"/>
      <x:c r="QQL63" s="291"/>
      <x:c r="QQM63" s="291"/>
      <x:c r="QQN63" s="291"/>
      <x:c r="QQO63" s="291"/>
      <x:c r="QQP63" s="291"/>
      <x:c r="QQQ63" s="291"/>
      <x:c r="QQR63" s="291"/>
      <x:c r="QQS63" s="291"/>
      <x:c r="QQT63" s="291"/>
      <x:c r="QQU63" s="291"/>
      <x:c r="QQV63" s="291"/>
      <x:c r="QQW63" s="291"/>
      <x:c r="QQX63" s="291"/>
      <x:c r="QQY63" s="291"/>
      <x:c r="QQZ63" s="291"/>
      <x:c r="QRA63" s="291"/>
      <x:c r="QRB63" s="291"/>
      <x:c r="QRC63" s="291"/>
      <x:c r="QRD63" s="291"/>
      <x:c r="QRE63" s="291"/>
      <x:c r="QRF63" s="291"/>
      <x:c r="QRG63" s="291"/>
      <x:c r="QRH63" s="291"/>
      <x:c r="QRI63" s="291"/>
      <x:c r="QRJ63" s="291"/>
      <x:c r="QRK63" s="291"/>
      <x:c r="QRL63" s="291"/>
      <x:c r="QRM63" s="291"/>
      <x:c r="QRN63" s="291"/>
      <x:c r="QRO63" s="291"/>
      <x:c r="QRP63" s="291"/>
      <x:c r="QRQ63" s="291"/>
      <x:c r="QRR63" s="291"/>
      <x:c r="QRS63" s="291"/>
      <x:c r="QRT63" s="291"/>
      <x:c r="QRU63" s="291"/>
      <x:c r="QRV63" s="291"/>
      <x:c r="QRW63" s="291"/>
      <x:c r="QRX63" s="291"/>
      <x:c r="QRY63" s="291"/>
      <x:c r="QRZ63" s="291"/>
      <x:c r="QSA63" s="291"/>
      <x:c r="QSB63" s="291"/>
      <x:c r="QSC63" s="291"/>
      <x:c r="QSD63" s="291"/>
      <x:c r="QSE63" s="291"/>
      <x:c r="QSF63" s="291"/>
      <x:c r="QSG63" s="291"/>
      <x:c r="QSH63" s="291"/>
      <x:c r="QSI63" s="291"/>
      <x:c r="QSJ63" s="291"/>
      <x:c r="QSK63" s="291"/>
      <x:c r="QSL63" s="291"/>
      <x:c r="QSM63" s="291"/>
      <x:c r="QSN63" s="291"/>
      <x:c r="QSO63" s="291"/>
      <x:c r="QSP63" s="291"/>
      <x:c r="QSQ63" s="291"/>
      <x:c r="QSR63" s="291"/>
      <x:c r="QSS63" s="291"/>
      <x:c r="QST63" s="291"/>
      <x:c r="QSU63" s="291"/>
      <x:c r="QSV63" s="291"/>
      <x:c r="QSW63" s="291"/>
      <x:c r="QSX63" s="291"/>
      <x:c r="QSY63" s="291"/>
      <x:c r="QSZ63" s="291"/>
      <x:c r="QTA63" s="291"/>
      <x:c r="QTB63" s="291"/>
      <x:c r="QTC63" s="291"/>
      <x:c r="QTD63" s="291"/>
      <x:c r="QTE63" s="291"/>
      <x:c r="QTF63" s="291"/>
      <x:c r="QTG63" s="291"/>
      <x:c r="QTH63" s="291"/>
      <x:c r="QTI63" s="291"/>
      <x:c r="QTJ63" s="291"/>
      <x:c r="QTK63" s="291"/>
      <x:c r="QTL63" s="291"/>
      <x:c r="QTM63" s="291"/>
      <x:c r="QTN63" s="291"/>
      <x:c r="QTO63" s="291"/>
      <x:c r="QTP63" s="291"/>
      <x:c r="QTQ63" s="291"/>
      <x:c r="QTR63" s="291"/>
      <x:c r="QTS63" s="291"/>
      <x:c r="QTT63" s="291"/>
      <x:c r="QTU63" s="291"/>
      <x:c r="QTV63" s="291"/>
      <x:c r="QTW63" s="291"/>
      <x:c r="QTX63" s="291"/>
      <x:c r="QTY63" s="291"/>
      <x:c r="QTZ63" s="291"/>
      <x:c r="QUA63" s="291"/>
      <x:c r="QUB63" s="291"/>
      <x:c r="QUC63" s="291"/>
      <x:c r="QUD63" s="291"/>
      <x:c r="QUE63" s="291"/>
      <x:c r="QUF63" s="291"/>
      <x:c r="QUG63" s="291"/>
      <x:c r="QUH63" s="291"/>
      <x:c r="QUI63" s="291"/>
      <x:c r="QUJ63" s="291"/>
      <x:c r="QUK63" s="291"/>
      <x:c r="QUL63" s="291"/>
      <x:c r="QUM63" s="291"/>
      <x:c r="QUN63" s="291"/>
      <x:c r="QUO63" s="291"/>
      <x:c r="QUP63" s="291"/>
      <x:c r="QUQ63" s="291"/>
      <x:c r="QUR63" s="291"/>
      <x:c r="QUS63" s="291"/>
      <x:c r="QUT63" s="291"/>
      <x:c r="QUU63" s="291"/>
      <x:c r="QUV63" s="291"/>
      <x:c r="QUW63" s="291"/>
      <x:c r="QUX63" s="291"/>
      <x:c r="QUY63" s="291"/>
      <x:c r="QUZ63" s="291"/>
      <x:c r="QVA63" s="291"/>
      <x:c r="QVB63" s="291"/>
      <x:c r="QVC63" s="291"/>
      <x:c r="QVD63" s="291"/>
      <x:c r="QVE63" s="291"/>
      <x:c r="QVF63" s="291"/>
      <x:c r="QVG63" s="291"/>
      <x:c r="QVH63" s="291"/>
      <x:c r="QVI63" s="291"/>
      <x:c r="QVJ63" s="291"/>
      <x:c r="QVK63" s="291"/>
      <x:c r="QVL63" s="291"/>
      <x:c r="QVM63" s="291"/>
      <x:c r="QVN63" s="291"/>
      <x:c r="QVO63" s="291"/>
      <x:c r="QVP63" s="291"/>
      <x:c r="QVQ63" s="291"/>
      <x:c r="QVR63" s="291"/>
      <x:c r="QVS63" s="291"/>
      <x:c r="QVT63" s="291"/>
      <x:c r="QVU63" s="291"/>
      <x:c r="QVV63" s="291"/>
      <x:c r="QVW63" s="291"/>
      <x:c r="QVX63" s="291"/>
      <x:c r="QVY63" s="291"/>
      <x:c r="QVZ63" s="291"/>
      <x:c r="QWA63" s="291"/>
      <x:c r="QWB63" s="291"/>
      <x:c r="QWC63" s="291"/>
      <x:c r="QWD63" s="291"/>
      <x:c r="QWE63" s="291"/>
      <x:c r="QWF63" s="291"/>
      <x:c r="QWG63" s="291"/>
      <x:c r="QWH63" s="291"/>
      <x:c r="QWI63" s="291"/>
      <x:c r="QWJ63" s="291"/>
      <x:c r="QWK63" s="291"/>
      <x:c r="QWL63" s="291"/>
      <x:c r="QWM63" s="291"/>
      <x:c r="QWN63" s="291"/>
      <x:c r="QWO63" s="291"/>
      <x:c r="QWP63" s="291"/>
      <x:c r="QWQ63" s="291"/>
      <x:c r="QWR63" s="291"/>
      <x:c r="QWS63" s="291"/>
      <x:c r="QWT63" s="291"/>
      <x:c r="QWU63" s="291"/>
      <x:c r="QWV63" s="291"/>
      <x:c r="QWW63" s="291"/>
      <x:c r="QWX63" s="291"/>
      <x:c r="QWY63" s="291"/>
      <x:c r="QWZ63" s="291"/>
      <x:c r="QXA63" s="291"/>
      <x:c r="QXB63" s="291"/>
      <x:c r="QXC63" s="291"/>
      <x:c r="QXD63" s="291"/>
      <x:c r="QXE63" s="291"/>
      <x:c r="QXF63" s="291"/>
      <x:c r="QXG63" s="291"/>
      <x:c r="QXH63" s="291"/>
      <x:c r="QXI63" s="291"/>
      <x:c r="QXJ63" s="291"/>
      <x:c r="QXK63" s="291"/>
      <x:c r="QXL63" s="291"/>
      <x:c r="QXM63" s="291"/>
      <x:c r="QXN63" s="291"/>
      <x:c r="QXO63" s="291"/>
      <x:c r="QXP63" s="291"/>
      <x:c r="QXQ63" s="291"/>
      <x:c r="QXR63" s="291"/>
      <x:c r="QXS63" s="291"/>
      <x:c r="QXT63" s="291"/>
      <x:c r="QXU63" s="291"/>
      <x:c r="QXV63" s="291"/>
      <x:c r="QXW63" s="291"/>
      <x:c r="QXX63" s="291"/>
      <x:c r="QXY63" s="291"/>
      <x:c r="QXZ63" s="291"/>
      <x:c r="QYA63" s="291"/>
      <x:c r="QYB63" s="291"/>
      <x:c r="QYC63" s="291"/>
      <x:c r="QYD63" s="291"/>
      <x:c r="QYE63" s="291"/>
      <x:c r="QYF63" s="291"/>
      <x:c r="QYG63" s="291"/>
      <x:c r="QYH63" s="291"/>
      <x:c r="QYI63" s="291"/>
      <x:c r="QYJ63" s="291"/>
      <x:c r="QYK63" s="291"/>
      <x:c r="QYL63" s="291"/>
      <x:c r="QYM63" s="291"/>
      <x:c r="QYN63" s="291"/>
      <x:c r="QYO63" s="291"/>
      <x:c r="QYP63" s="291"/>
      <x:c r="QYQ63" s="291"/>
      <x:c r="QYR63" s="291"/>
      <x:c r="QYS63" s="291"/>
      <x:c r="QYT63" s="291"/>
      <x:c r="QYU63" s="291"/>
      <x:c r="QYV63" s="291"/>
      <x:c r="QYW63" s="291"/>
      <x:c r="QYX63" s="291"/>
      <x:c r="QYY63" s="291"/>
      <x:c r="QYZ63" s="291"/>
      <x:c r="QZA63" s="291"/>
      <x:c r="QZB63" s="291"/>
      <x:c r="QZC63" s="291"/>
      <x:c r="QZD63" s="291"/>
      <x:c r="QZE63" s="291"/>
      <x:c r="QZF63" s="291"/>
      <x:c r="QZG63" s="291"/>
      <x:c r="QZH63" s="291"/>
      <x:c r="QZI63" s="291"/>
      <x:c r="QZJ63" s="291"/>
      <x:c r="QZK63" s="291"/>
      <x:c r="QZL63" s="291"/>
      <x:c r="QZM63" s="291"/>
      <x:c r="QZN63" s="291"/>
      <x:c r="QZO63" s="291"/>
      <x:c r="QZP63" s="291"/>
      <x:c r="QZQ63" s="291"/>
      <x:c r="QZR63" s="291"/>
      <x:c r="QZS63" s="291"/>
      <x:c r="QZT63" s="291"/>
      <x:c r="QZU63" s="291"/>
      <x:c r="QZV63" s="291"/>
      <x:c r="QZW63" s="291"/>
      <x:c r="QZX63" s="291"/>
      <x:c r="QZY63" s="291"/>
      <x:c r="QZZ63" s="291"/>
      <x:c r="RAA63" s="291"/>
      <x:c r="RAB63" s="291"/>
      <x:c r="RAC63" s="291"/>
      <x:c r="RAD63" s="291"/>
      <x:c r="RAE63" s="291"/>
      <x:c r="RAF63" s="291"/>
      <x:c r="RAG63" s="291"/>
      <x:c r="RAH63" s="291"/>
      <x:c r="RAI63" s="291"/>
      <x:c r="RAJ63" s="291"/>
      <x:c r="RAK63" s="291"/>
      <x:c r="RAL63" s="291"/>
      <x:c r="RAM63" s="291"/>
      <x:c r="RAN63" s="291"/>
      <x:c r="RAO63" s="291"/>
      <x:c r="RAP63" s="291"/>
      <x:c r="RAQ63" s="291"/>
      <x:c r="RAR63" s="291"/>
      <x:c r="RAS63" s="291"/>
      <x:c r="RAT63" s="291"/>
      <x:c r="RAU63" s="291"/>
      <x:c r="RAV63" s="291"/>
      <x:c r="RAW63" s="291"/>
      <x:c r="RAX63" s="291"/>
      <x:c r="RAY63" s="291"/>
      <x:c r="RAZ63" s="291"/>
      <x:c r="RBA63" s="291"/>
      <x:c r="RBB63" s="291"/>
      <x:c r="RBC63" s="291"/>
      <x:c r="RBD63" s="291"/>
      <x:c r="RBE63" s="291"/>
      <x:c r="RBF63" s="291"/>
      <x:c r="RBG63" s="291"/>
      <x:c r="RBH63" s="291"/>
      <x:c r="RBI63" s="291"/>
      <x:c r="RBJ63" s="291"/>
      <x:c r="RBK63" s="291"/>
      <x:c r="RBL63" s="291"/>
      <x:c r="RBM63" s="291"/>
      <x:c r="RBN63" s="291"/>
      <x:c r="RBO63" s="291"/>
      <x:c r="RBP63" s="291"/>
      <x:c r="RBQ63" s="291"/>
      <x:c r="RBR63" s="291"/>
      <x:c r="RBS63" s="291"/>
      <x:c r="RBT63" s="291"/>
      <x:c r="RBU63" s="291"/>
      <x:c r="RBV63" s="291"/>
      <x:c r="RBW63" s="291"/>
      <x:c r="RBX63" s="291"/>
      <x:c r="RBY63" s="291"/>
      <x:c r="RBZ63" s="291"/>
      <x:c r="RCA63" s="291"/>
      <x:c r="RCB63" s="291"/>
      <x:c r="RCC63" s="291"/>
      <x:c r="RCD63" s="291"/>
      <x:c r="RCE63" s="291"/>
      <x:c r="RCF63" s="291"/>
      <x:c r="RCG63" s="291"/>
      <x:c r="RCH63" s="291"/>
      <x:c r="RCI63" s="291"/>
      <x:c r="RCJ63" s="291"/>
      <x:c r="RCK63" s="291"/>
      <x:c r="RCL63" s="291"/>
      <x:c r="RCM63" s="291"/>
      <x:c r="RCN63" s="291"/>
      <x:c r="RCO63" s="291"/>
      <x:c r="RCP63" s="291"/>
      <x:c r="RCQ63" s="291"/>
      <x:c r="RCR63" s="291"/>
      <x:c r="RCS63" s="291"/>
      <x:c r="RCT63" s="291"/>
      <x:c r="RCU63" s="291"/>
      <x:c r="RCV63" s="291"/>
      <x:c r="RCW63" s="291"/>
      <x:c r="RCX63" s="291"/>
      <x:c r="RCY63" s="291"/>
      <x:c r="RCZ63" s="291"/>
      <x:c r="RDA63" s="291"/>
      <x:c r="RDB63" s="291"/>
      <x:c r="RDC63" s="291"/>
      <x:c r="RDD63" s="291"/>
      <x:c r="RDE63" s="291"/>
      <x:c r="RDF63" s="291"/>
      <x:c r="RDG63" s="291"/>
      <x:c r="RDH63" s="291"/>
      <x:c r="RDI63" s="291"/>
      <x:c r="RDJ63" s="291"/>
      <x:c r="RDK63" s="291"/>
      <x:c r="RDL63" s="291"/>
      <x:c r="RDM63" s="291"/>
      <x:c r="RDN63" s="291"/>
      <x:c r="RDO63" s="291"/>
      <x:c r="RDP63" s="291"/>
      <x:c r="RDQ63" s="291"/>
      <x:c r="RDR63" s="291"/>
      <x:c r="RDS63" s="291"/>
      <x:c r="RDT63" s="291"/>
      <x:c r="RDU63" s="291"/>
      <x:c r="RDV63" s="291"/>
      <x:c r="RDW63" s="291"/>
      <x:c r="RDX63" s="291"/>
      <x:c r="RDY63" s="291"/>
      <x:c r="RDZ63" s="291"/>
      <x:c r="REA63" s="291"/>
      <x:c r="REB63" s="291"/>
      <x:c r="REC63" s="291"/>
      <x:c r="RED63" s="291"/>
      <x:c r="REE63" s="291"/>
      <x:c r="REF63" s="291"/>
      <x:c r="REG63" s="291"/>
      <x:c r="REH63" s="291"/>
      <x:c r="REI63" s="291"/>
      <x:c r="REJ63" s="291"/>
      <x:c r="REK63" s="291"/>
      <x:c r="REL63" s="291"/>
      <x:c r="REM63" s="291"/>
      <x:c r="REN63" s="291"/>
      <x:c r="REO63" s="291"/>
      <x:c r="REP63" s="291"/>
      <x:c r="REQ63" s="291"/>
      <x:c r="RER63" s="291"/>
      <x:c r="RES63" s="291"/>
      <x:c r="RET63" s="291"/>
      <x:c r="REU63" s="291"/>
      <x:c r="REV63" s="291"/>
      <x:c r="REW63" s="291"/>
      <x:c r="REX63" s="291"/>
      <x:c r="REY63" s="291"/>
      <x:c r="REZ63" s="291"/>
      <x:c r="RFA63" s="291"/>
      <x:c r="RFB63" s="291"/>
      <x:c r="RFC63" s="291"/>
      <x:c r="RFD63" s="291"/>
      <x:c r="RFE63" s="291"/>
      <x:c r="RFF63" s="291"/>
      <x:c r="RFG63" s="291"/>
      <x:c r="RFH63" s="291"/>
      <x:c r="RFI63" s="291"/>
      <x:c r="RFJ63" s="291"/>
      <x:c r="RFK63" s="291"/>
      <x:c r="RFL63" s="291"/>
      <x:c r="RFM63" s="291"/>
      <x:c r="RFN63" s="291"/>
      <x:c r="RFO63" s="291"/>
      <x:c r="RFP63" s="291"/>
      <x:c r="RFQ63" s="291"/>
      <x:c r="RFR63" s="291"/>
      <x:c r="RFS63" s="291"/>
      <x:c r="RFT63" s="291"/>
      <x:c r="RFU63" s="291"/>
      <x:c r="RFV63" s="291"/>
      <x:c r="RFW63" s="291"/>
      <x:c r="RFX63" s="291"/>
      <x:c r="RFY63" s="291"/>
      <x:c r="RFZ63" s="291"/>
      <x:c r="RGA63" s="291"/>
      <x:c r="RGB63" s="291"/>
      <x:c r="RGC63" s="291"/>
      <x:c r="RGD63" s="291"/>
      <x:c r="RGE63" s="291"/>
      <x:c r="RGF63" s="291"/>
      <x:c r="RGG63" s="291"/>
      <x:c r="RGH63" s="291"/>
      <x:c r="RGI63" s="291"/>
      <x:c r="RGJ63" s="291"/>
      <x:c r="RGK63" s="291"/>
      <x:c r="RGL63" s="291"/>
      <x:c r="RGM63" s="291"/>
      <x:c r="RGN63" s="291"/>
      <x:c r="RGO63" s="291"/>
      <x:c r="RGP63" s="291"/>
      <x:c r="RGQ63" s="291"/>
      <x:c r="RGR63" s="291"/>
      <x:c r="RGS63" s="291"/>
      <x:c r="RGT63" s="291"/>
      <x:c r="RGU63" s="291"/>
      <x:c r="RGV63" s="291"/>
      <x:c r="RGW63" s="291"/>
      <x:c r="RGX63" s="291"/>
      <x:c r="RGY63" s="291"/>
      <x:c r="RGZ63" s="291"/>
      <x:c r="RHA63" s="291"/>
      <x:c r="RHB63" s="291"/>
      <x:c r="RHC63" s="291"/>
      <x:c r="RHD63" s="291"/>
      <x:c r="RHE63" s="291"/>
      <x:c r="RHF63" s="291"/>
      <x:c r="RHG63" s="291"/>
      <x:c r="RHH63" s="291"/>
      <x:c r="RHI63" s="291"/>
      <x:c r="RHJ63" s="291"/>
      <x:c r="RHK63" s="291"/>
      <x:c r="RHL63" s="291"/>
      <x:c r="RHM63" s="291"/>
      <x:c r="RHN63" s="291"/>
      <x:c r="RHO63" s="291"/>
      <x:c r="RHP63" s="291"/>
      <x:c r="RHQ63" s="291"/>
      <x:c r="RHR63" s="291"/>
      <x:c r="RHS63" s="291"/>
      <x:c r="RHT63" s="291"/>
      <x:c r="RHU63" s="291"/>
      <x:c r="RHV63" s="291"/>
      <x:c r="RHW63" s="291"/>
      <x:c r="RHX63" s="291"/>
      <x:c r="RHY63" s="291"/>
      <x:c r="RHZ63" s="291"/>
      <x:c r="RIA63" s="291"/>
      <x:c r="RIB63" s="291"/>
      <x:c r="RIC63" s="291"/>
      <x:c r="RID63" s="291"/>
      <x:c r="RIE63" s="291"/>
      <x:c r="RIF63" s="291"/>
      <x:c r="RIG63" s="291"/>
      <x:c r="RIH63" s="291"/>
      <x:c r="RII63" s="291"/>
      <x:c r="RIJ63" s="291"/>
      <x:c r="RIK63" s="291"/>
      <x:c r="RIL63" s="291"/>
      <x:c r="RIM63" s="291"/>
      <x:c r="RIN63" s="291"/>
      <x:c r="RIO63" s="291"/>
      <x:c r="RIP63" s="291"/>
      <x:c r="RIQ63" s="291"/>
      <x:c r="RIR63" s="291"/>
      <x:c r="RIS63" s="291"/>
      <x:c r="RIT63" s="291"/>
      <x:c r="RIU63" s="291"/>
      <x:c r="RIV63" s="291"/>
      <x:c r="RIW63" s="291"/>
      <x:c r="RIX63" s="291"/>
      <x:c r="RIY63" s="291"/>
      <x:c r="RIZ63" s="291"/>
      <x:c r="RJA63" s="291"/>
      <x:c r="RJB63" s="291"/>
      <x:c r="RJC63" s="291"/>
      <x:c r="RJD63" s="291"/>
      <x:c r="RJE63" s="291"/>
      <x:c r="RJF63" s="291"/>
      <x:c r="RJG63" s="291"/>
      <x:c r="RJH63" s="291"/>
      <x:c r="RJI63" s="291"/>
      <x:c r="RJJ63" s="291"/>
      <x:c r="RJK63" s="291"/>
      <x:c r="RJL63" s="291"/>
      <x:c r="RJM63" s="291"/>
      <x:c r="RJN63" s="291"/>
      <x:c r="RJO63" s="291"/>
      <x:c r="RJP63" s="291"/>
      <x:c r="RJQ63" s="291"/>
      <x:c r="RJR63" s="291"/>
      <x:c r="RJS63" s="291"/>
      <x:c r="RJT63" s="291"/>
      <x:c r="RJU63" s="291"/>
      <x:c r="RJV63" s="291"/>
      <x:c r="RJW63" s="291"/>
      <x:c r="RJX63" s="291"/>
      <x:c r="RJY63" s="291"/>
      <x:c r="RJZ63" s="291"/>
      <x:c r="RKA63" s="291"/>
      <x:c r="RKB63" s="291"/>
      <x:c r="RKC63" s="291"/>
      <x:c r="RKD63" s="291"/>
      <x:c r="RKE63" s="291"/>
      <x:c r="RKF63" s="291"/>
      <x:c r="RKG63" s="291"/>
      <x:c r="RKH63" s="291"/>
      <x:c r="RKI63" s="291"/>
      <x:c r="RKJ63" s="291"/>
      <x:c r="RKK63" s="291"/>
      <x:c r="RKL63" s="291"/>
      <x:c r="RKM63" s="291"/>
      <x:c r="RKN63" s="291"/>
      <x:c r="RKO63" s="291"/>
      <x:c r="RKP63" s="291"/>
      <x:c r="RKQ63" s="291"/>
      <x:c r="RKR63" s="291"/>
      <x:c r="RKS63" s="291"/>
      <x:c r="RKT63" s="291"/>
      <x:c r="RKU63" s="291"/>
      <x:c r="RKV63" s="291"/>
      <x:c r="RKW63" s="291"/>
      <x:c r="RKX63" s="291"/>
      <x:c r="RKY63" s="291"/>
      <x:c r="RKZ63" s="291"/>
      <x:c r="RLA63" s="291"/>
      <x:c r="RLB63" s="291"/>
      <x:c r="RLC63" s="291"/>
      <x:c r="RLD63" s="291"/>
      <x:c r="RLE63" s="291"/>
      <x:c r="RLF63" s="291"/>
      <x:c r="RLG63" s="291"/>
      <x:c r="RLH63" s="291"/>
      <x:c r="RLI63" s="291"/>
      <x:c r="RLJ63" s="291"/>
      <x:c r="RLK63" s="291"/>
      <x:c r="RLL63" s="291"/>
      <x:c r="RLM63" s="291"/>
      <x:c r="RLN63" s="291"/>
      <x:c r="RLO63" s="291"/>
      <x:c r="RLP63" s="291"/>
      <x:c r="RLQ63" s="291"/>
      <x:c r="RLR63" s="291"/>
      <x:c r="RLS63" s="291"/>
      <x:c r="RLT63" s="291"/>
      <x:c r="RLU63" s="291"/>
      <x:c r="RLV63" s="291"/>
      <x:c r="RLW63" s="291"/>
      <x:c r="RLX63" s="291"/>
      <x:c r="RLY63" s="291"/>
      <x:c r="RLZ63" s="291"/>
      <x:c r="RMA63" s="291"/>
      <x:c r="RMB63" s="291"/>
      <x:c r="RMC63" s="291"/>
      <x:c r="RMD63" s="291"/>
      <x:c r="RME63" s="291"/>
      <x:c r="RMF63" s="291"/>
      <x:c r="RMG63" s="291"/>
      <x:c r="RMH63" s="291"/>
      <x:c r="RMI63" s="291"/>
      <x:c r="RMJ63" s="291"/>
      <x:c r="RMK63" s="291"/>
      <x:c r="RML63" s="291"/>
      <x:c r="RMM63" s="291"/>
      <x:c r="RMN63" s="291"/>
      <x:c r="RMO63" s="291"/>
      <x:c r="RMP63" s="291"/>
      <x:c r="RMQ63" s="291"/>
      <x:c r="RMR63" s="291"/>
      <x:c r="RMS63" s="291"/>
      <x:c r="RMT63" s="291"/>
      <x:c r="RMU63" s="291"/>
      <x:c r="RMV63" s="291"/>
      <x:c r="RMW63" s="291"/>
      <x:c r="RMX63" s="291"/>
      <x:c r="RMY63" s="291"/>
      <x:c r="RMZ63" s="291"/>
      <x:c r="RNA63" s="291"/>
      <x:c r="RNB63" s="291"/>
      <x:c r="RNC63" s="291"/>
      <x:c r="RND63" s="291"/>
      <x:c r="RNE63" s="291"/>
      <x:c r="RNF63" s="291"/>
      <x:c r="RNG63" s="291"/>
      <x:c r="RNH63" s="291"/>
      <x:c r="RNI63" s="291"/>
      <x:c r="RNJ63" s="291"/>
      <x:c r="RNK63" s="291"/>
      <x:c r="RNL63" s="291"/>
      <x:c r="RNM63" s="291"/>
      <x:c r="RNN63" s="291"/>
      <x:c r="RNO63" s="291"/>
      <x:c r="RNP63" s="291"/>
      <x:c r="RNQ63" s="291"/>
      <x:c r="RNR63" s="291"/>
      <x:c r="RNS63" s="291"/>
      <x:c r="RNT63" s="291"/>
      <x:c r="RNU63" s="291"/>
      <x:c r="RNV63" s="291"/>
      <x:c r="RNW63" s="291"/>
      <x:c r="RNX63" s="291"/>
      <x:c r="RNY63" s="291"/>
      <x:c r="RNZ63" s="291"/>
      <x:c r="ROA63" s="291"/>
      <x:c r="ROB63" s="291"/>
      <x:c r="ROC63" s="291"/>
      <x:c r="ROD63" s="291"/>
      <x:c r="ROE63" s="291"/>
      <x:c r="ROF63" s="291"/>
      <x:c r="ROG63" s="291"/>
      <x:c r="ROH63" s="291"/>
      <x:c r="ROI63" s="291"/>
      <x:c r="ROJ63" s="291"/>
      <x:c r="ROK63" s="291"/>
      <x:c r="ROL63" s="291"/>
      <x:c r="ROM63" s="291"/>
      <x:c r="RON63" s="291"/>
      <x:c r="ROO63" s="291"/>
      <x:c r="ROP63" s="291"/>
      <x:c r="ROQ63" s="291"/>
      <x:c r="ROR63" s="291"/>
      <x:c r="ROS63" s="291"/>
      <x:c r="ROT63" s="291"/>
      <x:c r="ROU63" s="291"/>
      <x:c r="ROV63" s="291"/>
      <x:c r="ROW63" s="291"/>
      <x:c r="ROX63" s="291"/>
      <x:c r="ROY63" s="291"/>
      <x:c r="ROZ63" s="291"/>
      <x:c r="RPA63" s="291"/>
      <x:c r="RPB63" s="291"/>
      <x:c r="RPC63" s="291"/>
      <x:c r="RPD63" s="291"/>
      <x:c r="RPE63" s="291"/>
      <x:c r="RPF63" s="291"/>
      <x:c r="RPG63" s="291"/>
      <x:c r="RPH63" s="291"/>
      <x:c r="RPI63" s="291"/>
      <x:c r="RPJ63" s="291"/>
      <x:c r="RPK63" s="291"/>
      <x:c r="RPL63" s="291"/>
      <x:c r="RPM63" s="291"/>
      <x:c r="RPN63" s="291"/>
      <x:c r="RPO63" s="291"/>
      <x:c r="RPP63" s="291"/>
      <x:c r="RPQ63" s="291"/>
      <x:c r="RPR63" s="291"/>
      <x:c r="RPS63" s="291"/>
      <x:c r="RPT63" s="291"/>
      <x:c r="RPU63" s="291"/>
      <x:c r="RPV63" s="291"/>
      <x:c r="RPW63" s="291"/>
      <x:c r="RPX63" s="291"/>
      <x:c r="RPY63" s="291"/>
      <x:c r="RPZ63" s="291"/>
      <x:c r="RQA63" s="291"/>
      <x:c r="RQB63" s="291"/>
      <x:c r="RQC63" s="291"/>
      <x:c r="RQD63" s="291"/>
      <x:c r="RQE63" s="291"/>
      <x:c r="RQF63" s="291"/>
      <x:c r="RQG63" s="291"/>
      <x:c r="RQH63" s="291"/>
      <x:c r="RQI63" s="291"/>
      <x:c r="RQJ63" s="291"/>
      <x:c r="RQK63" s="291"/>
      <x:c r="RQL63" s="291"/>
      <x:c r="RQM63" s="291"/>
      <x:c r="RQN63" s="291"/>
      <x:c r="RQO63" s="291"/>
      <x:c r="RQP63" s="291"/>
      <x:c r="RQQ63" s="291"/>
      <x:c r="RQR63" s="291"/>
      <x:c r="RQS63" s="291"/>
      <x:c r="RQT63" s="291"/>
      <x:c r="RQU63" s="291"/>
      <x:c r="RQV63" s="291"/>
      <x:c r="RQW63" s="291"/>
      <x:c r="RQX63" s="291"/>
      <x:c r="RQY63" s="291"/>
      <x:c r="RQZ63" s="291"/>
      <x:c r="RRA63" s="291"/>
      <x:c r="RRB63" s="291"/>
      <x:c r="RRC63" s="291"/>
      <x:c r="RRD63" s="291"/>
      <x:c r="RRE63" s="291"/>
      <x:c r="RRF63" s="291"/>
      <x:c r="RRG63" s="291"/>
      <x:c r="RRH63" s="291"/>
      <x:c r="RRI63" s="291"/>
      <x:c r="RRJ63" s="291"/>
      <x:c r="RRK63" s="291"/>
      <x:c r="RRL63" s="291"/>
      <x:c r="RRM63" s="291"/>
      <x:c r="RRN63" s="291"/>
      <x:c r="RRO63" s="291"/>
      <x:c r="RRP63" s="291"/>
      <x:c r="RRQ63" s="291"/>
      <x:c r="RRR63" s="291"/>
      <x:c r="RRS63" s="291"/>
      <x:c r="RRT63" s="291"/>
      <x:c r="RRU63" s="291"/>
      <x:c r="RRV63" s="291"/>
      <x:c r="RRW63" s="291"/>
      <x:c r="RRX63" s="291"/>
      <x:c r="RRY63" s="291"/>
      <x:c r="RRZ63" s="291"/>
      <x:c r="RSA63" s="291"/>
      <x:c r="RSB63" s="291"/>
      <x:c r="RSC63" s="291"/>
      <x:c r="RSD63" s="291"/>
      <x:c r="RSE63" s="291"/>
      <x:c r="RSF63" s="291"/>
      <x:c r="RSG63" s="291"/>
      <x:c r="RSH63" s="291"/>
      <x:c r="RSI63" s="291"/>
      <x:c r="RSJ63" s="291"/>
      <x:c r="RSK63" s="291"/>
      <x:c r="RSL63" s="291"/>
      <x:c r="RSM63" s="291"/>
      <x:c r="RSN63" s="291"/>
      <x:c r="RSO63" s="291"/>
      <x:c r="RSP63" s="291"/>
      <x:c r="RSQ63" s="291"/>
      <x:c r="RSR63" s="291"/>
      <x:c r="RSS63" s="291"/>
      <x:c r="RST63" s="291"/>
      <x:c r="RSU63" s="291"/>
      <x:c r="RSV63" s="291"/>
      <x:c r="RSW63" s="291"/>
      <x:c r="RSX63" s="291"/>
      <x:c r="RSY63" s="291"/>
      <x:c r="RSZ63" s="291"/>
      <x:c r="RTA63" s="291"/>
      <x:c r="RTB63" s="291"/>
      <x:c r="RTC63" s="291"/>
      <x:c r="RTD63" s="291"/>
      <x:c r="RTE63" s="291"/>
      <x:c r="RTF63" s="291"/>
      <x:c r="RTG63" s="291"/>
      <x:c r="RTH63" s="291"/>
      <x:c r="RTI63" s="291"/>
      <x:c r="RTJ63" s="291"/>
      <x:c r="RTK63" s="291"/>
      <x:c r="RTL63" s="291"/>
      <x:c r="RTM63" s="291"/>
      <x:c r="RTN63" s="291"/>
      <x:c r="RTO63" s="291"/>
      <x:c r="RTP63" s="291"/>
      <x:c r="RTQ63" s="291"/>
      <x:c r="RTR63" s="291"/>
      <x:c r="RTS63" s="291"/>
      <x:c r="RTT63" s="291"/>
      <x:c r="RTU63" s="291"/>
      <x:c r="RTV63" s="291"/>
      <x:c r="RTW63" s="291"/>
      <x:c r="RTX63" s="291"/>
      <x:c r="RTY63" s="291"/>
      <x:c r="RTZ63" s="291"/>
      <x:c r="RUA63" s="291"/>
      <x:c r="RUB63" s="291"/>
      <x:c r="RUC63" s="291"/>
      <x:c r="RUD63" s="291"/>
      <x:c r="RUE63" s="291"/>
      <x:c r="RUF63" s="291"/>
      <x:c r="RUG63" s="291"/>
      <x:c r="RUH63" s="291"/>
      <x:c r="RUI63" s="291"/>
      <x:c r="RUJ63" s="291"/>
      <x:c r="RUK63" s="291"/>
      <x:c r="RUL63" s="291"/>
      <x:c r="RUM63" s="291"/>
      <x:c r="RUN63" s="291"/>
      <x:c r="RUO63" s="291"/>
      <x:c r="RUP63" s="291"/>
      <x:c r="RUQ63" s="291"/>
      <x:c r="RUR63" s="291"/>
      <x:c r="RUS63" s="291"/>
      <x:c r="RUT63" s="291"/>
      <x:c r="RUU63" s="291"/>
      <x:c r="RUV63" s="291"/>
      <x:c r="RUW63" s="291"/>
      <x:c r="RUX63" s="291"/>
      <x:c r="RUY63" s="291"/>
      <x:c r="RUZ63" s="291"/>
      <x:c r="RVA63" s="291"/>
      <x:c r="RVB63" s="291"/>
      <x:c r="RVC63" s="291"/>
      <x:c r="RVD63" s="291"/>
      <x:c r="RVE63" s="291"/>
      <x:c r="RVF63" s="291"/>
      <x:c r="RVG63" s="291"/>
      <x:c r="RVH63" s="291"/>
      <x:c r="RVI63" s="291"/>
      <x:c r="RVJ63" s="291"/>
      <x:c r="RVK63" s="291"/>
      <x:c r="RVL63" s="291"/>
      <x:c r="RVM63" s="291"/>
      <x:c r="RVN63" s="291"/>
      <x:c r="RVO63" s="291"/>
      <x:c r="RVP63" s="291"/>
      <x:c r="RVQ63" s="291"/>
      <x:c r="RVR63" s="291"/>
      <x:c r="RVS63" s="291"/>
      <x:c r="RVT63" s="291"/>
      <x:c r="RVU63" s="291"/>
      <x:c r="RVV63" s="291"/>
      <x:c r="RVW63" s="291"/>
      <x:c r="RVX63" s="291"/>
      <x:c r="RVY63" s="291"/>
      <x:c r="RVZ63" s="291"/>
      <x:c r="RWA63" s="291"/>
      <x:c r="RWB63" s="291"/>
      <x:c r="RWC63" s="291"/>
      <x:c r="RWD63" s="291"/>
      <x:c r="RWE63" s="291"/>
      <x:c r="RWF63" s="291"/>
      <x:c r="RWG63" s="291"/>
      <x:c r="RWH63" s="291"/>
      <x:c r="RWI63" s="291"/>
      <x:c r="RWJ63" s="291"/>
      <x:c r="RWK63" s="291"/>
      <x:c r="RWL63" s="291"/>
      <x:c r="RWM63" s="291"/>
      <x:c r="RWN63" s="291"/>
      <x:c r="RWO63" s="291"/>
      <x:c r="RWP63" s="291"/>
      <x:c r="RWQ63" s="291"/>
      <x:c r="RWR63" s="291"/>
      <x:c r="RWS63" s="291"/>
      <x:c r="RWT63" s="291"/>
      <x:c r="RWU63" s="291"/>
      <x:c r="RWV63" s="291"/>
      <x:c r="RWW63" s="291"/>
      <x:c r="RWX63" s="291"/>
      <x:c r="RWY63" s="291"/>
      <x:c r="RWZ63" s="291"/>
      <x:c r="RXA63" s="291"/>
      <x:c r="RXB63" s="291"/>
      <x:c r="RXC63" s="291"/>
      <x:c r="RXD63" s="291"/>
      <x:c r="RXE63" s="291"/>
      <x:c r="RXF63" s="291"/>
      <x:c r="RXG63" s="291"/>
      <x:c r="RXH63" s="291"/>
      <x:c r="RXI63" s="291"/>
      <x:c r="RXJ63" s="291"/>
      <x:c r="RXK63" s="291"/>
      <x:c r="RXL63" s="291"/>
      <x:c r="RXM63" s="291"/>
      <x:c r="RXN63" s="291"/>
      <x:c r="RXO63" s="291"/>
      <x:c r="RXP63" s="291"/>
      <x:c r="RXQ63" s="291"/>
      <x:c r="RXR63" s="291"/>
      <x:c r="RXS63" s="291"/>
      <x:c r="RXT63" s="291"/>
      <x:c r="RXU63" s="291"/>
      <x:c r="RXV63" s="291"/>
      <x:c r="RXW63" s="291"/>
      <x:c r="RXX63" s="291"/>
      <x:c r="RXY63" s="291"/>
      <x:c r="RXZ63" s="291"/>
      <x:c r="RYA63" s="291"/>
      <x:c r="RYB63" s="291"/>
      <x:c r="RYC63" s="291"/>
      <x:c r="RYD63" s="291"/>
      <x:c r="RYE63" s="291"/>
      <x:c r="RYF63" s="291"/>
      <x:c r="RYG63" s="291"/>
      <x:c r="RYH63" s="291"/>
      <x:c r="RYI63" s="291"/>
      <x:c r="RYJ63" s="291"/>
      <x:c r="RYK63" s="291"/>
      <x:c r="RYL63" s="291"/>
      <x:c r="RYM63" s="291"/>
      <x:c r="RYN63" s="291"/>
      <x:c r="RYO63" s="291"/>
      <x:c r="RYP63" s="291"/>
      <x:c r="RYQ63" s="291"/>
      <x:c r="RYR63" s="291"/>
      <x:c r="RYS63" s="291"/>
      <x:c r="RYT63" s="291"/>
      <x:c r="RYU63" s="291"/>
      <x:c r="RYV63" s="291"/>
      <x:c r="RYW63" s="291"/>
      <x:c r="RYX63" s="291"/>
      <x:c r="RYY63" s="291"/>
      <x:c r="RYZ63" s="291"/>
      <x:c r="RZA63" s="291"/>
      <x:c r="RZB63" s="291"/>
      <x:c r="RZC63" s="291"/>
      <x:c r="RZD63" s="291"/>
      <x:c r="RZE63" s="291"/>
      <x:c r="RZF63" s="291"/>
      <x:c r="RZG63" s="291"/>
      <x:c r="RZH63" s="291"/>
      <x:c r="RZI63" s="291"/>
      <x:c r="RZJ63" s="291"/>
      <x:c r="RZK63" s="291"/>
      <x:c r="RZL63" s="291"/>
      <x:c r="RZM63" s="291"/>
      <x:c r="RZN63" s="291"/>
      <x:c r="RZO63" s="291"/>
      <x:c r="RZP63" s="291"/>
      <x:c r="RZQ63" s="291"/>
      <x:c r="RZR63" s="291"/>
      <x:c r="RZS63" s="291"/>
      <x:c r="RZT63" s="291"/>
      <x:c r="RZU63" s="291"/>
      <x:c r="RZV63" s="291"/>
      <x:c r="RZW63" s="291"/>
      <x:c r="RZX63" s="291"/>
      <x:c r="RZY63" s="291"/>
      <x:c r="RZZ63" s="291"/>
      <x:c r="SAA63" s="291"/>
      <x:c r="SAB63" s="291"/>
      <x:c r="SAC63" s="291"/>
      <x:c r="SAD63" s="291"/>
      <x:c r="SAE63" s="291"/>
      <x:c r="SAF63" s="291"/>
      <x:c r="SAG63" s="291"/>
      <x:c r="SAH63" s="291"/>
      <x:c r="SAI63" s="291"/>
      <x:c r="SAJ63" s="291"/>
      <x:c r="SAK63" s="291"/>
      <x:c r="SAL63" s="291"/>
      <x:c r="SAM63" s="291"/>
      <x:c r="SAN63" s="291"/>
      <x:c r="SAO63" s="291"/>
      <x:c r="SAP63" s="291"/>
      <x:c r="SAQ63" s="291"/>
      <x:c r="SAR63" s="291"/>
      <x:c r="SAS63" s="291"/>
      <x:c r="SAT63" s="291"/>
      <x:c r="SAU63" s="291"/>
      <x:c r="SAV63" s="291"/>
      <x:c r="SAW63" s="291"/>
      <x:c r="SAX63" s="291"/>
      <x:c r="SAY63" s="291"/>
      <x:c r="SAZ63" s="291"/>
      <x:c r="SBA63" s="291"/>
      <x:c r="SBB63" s="291"/>
      <x:c r="SBC63" s="291"/>
      <x:c r="SBD63" s="291"/>
      <x:c r="SBE63" s="291"/>
      <x:c r="SBF63" s="291"/>
      <x:c r="SBG63" s="291"/>
      <x:c r="SBH63" s="291"/>
      <x:c r="SBI63" s="291"/>
      <x:c r="SBJ63" s="291"/>
      <x:c r="SBK63" s="291"/>
      <x:c r="SBL63" s="291"/>
      <x:c r="SBM63" s="291"/>
      <x:c r="SBN63" s="291"/>
      <x:c r="SBO63" s="291"/>
      <x:c r="SBP63" s="291"/>
      <x:c r="SBQ63" s="291"/>
      <x:c r="SBR63" s="291"/>
      <x:c r="SBS63" s="291"/>
      <x:c r="SBT63" s="291"/>
      <x:c r="SBU63" s="291"/>
      <x:c r="SBV63" s="291"/>
      <x:c r="SBW63" s="291"/>
      <x:c r="SBX63" s="291"/>
      <x:c r="SBY63" s="291"/>
      <x:c r="SBZ63" s="291"/>
      <x:c r="SCA63" s="291"/>
      <x:c r="SCB63" s="291"/>
      <x:c r="SCC63" s="291"/>
      <x:c r="SCD63" s="291"/>
      <x:c r="SCE63" s="291"/>
      <x:c r="SCF63" s="291"/>
      <x:c r="SCG63" s="291"/>
      <x:c r="SCH63" s="291"/>
      <x:c r="SCI63" s="291"/>
      <x:c r="SCJ63" s="291"/>
      <x:c r="SCK63" s="291"/>
      <x:c r="SCL63" s="291"/>
      <x:c r="SCM63" s="291"/>
      <x:c r="SCN63" s="291"/>
      <x:c r="SCO63" s="291"/>
      <x:c r="SCP63" s="291"/>
      <x:c r="SCQ63" s="291"/>
      <x:c r="SCR63" s="291"/>
      <x:c r="SCS63" s="291"/>
      <x:c r="SCT63" s="291"/>
      <x:c r="SCU63" s="291"/>
      <x:c r="SCV63" s="291"/>
      <x:c r="SCW63" s="291"/>
      <x:c r="SCX63" s="291"/>
      <x:c r="SCY63" s="291"/>
      <x:c r="SCZ63" s="291"/>
      <x:c r="SDA63" s="291"/>
      <x:c r="SDB63" s="291"/>
      <x:c r="SDC63" s="291"/>
      <x:c r="SDD63" s="291"/>
      <x:c r="SDE63" s="291"/>
      <x:c r="SDF63" s="291"/>
      <x:c r="SDG63" s="291"/>
      <x:c r="SDH63" s="291"/>
      <x:c r="SDI63" s="291"/>
      <x:c r="SDJ63" s="291"/>
      <x:c r="SDK63" s="291"/>
      <x:c r="SDL63" s="291"/>
      <x:c r="SDM63" s="291"/>
      <x:c r="SDN63" s="291"/>
      <x:c r="SDO63" s="291"/>
      <x:c r="SDP63" s="291"/>
      <x:c r="SDQ63" s="291"/>
      <x:c r="SDR63" s="291"/>
      <x:c r="SDS63" s="291"/>
      <x:c r="SDT63" s="291"/>
      <x:c r="SDU63" s="291"/>
      <x:c r="SDV63" s="291"/>
      <x:c r="SDW63" s="291"/>
      <x:c r="SDX63" s="291"/>
      <x:c r="SDY63" s="291"/>
      <x:c r="SDZ63" s="291"/>
      <x:c r="SEA63" s="291"/>
      <x:c r="SEB63" s="291"/>
      <x:c r="SEC63" s="291"/>
      <x:c r="SED63" s="291"/>
      <x:c r="SEE63" s="291"/>
      <x:c r="SEF63" s="291"/>
      <x:c r="SEG63" s="291"/>
      <x:c r="SEH63" s="291"/>
      <x:c r="SEI63" s="291"/>
      <x:c r="SEJ63" s="291"/>
      <x:c r="SEK63" s="291"/>
      <x:c r="SEL63" s="291"/>
      <x:c r="SEM63" s="291"/>
      <x:c r="SEN63" s="291"/>
      <x:c r="SEO63" s="291"/>
      <x:c r="SEP63" s="291"/>
      <x:c r="SEQ63" s="291"/>
      <x:c r="SER63" s="291"/>
      <x:c r="SES63" s="291"/>
      <x:c r="SET63" s="291"/>
      <x:c r="SEU63" s="291"/>
      <x:c r="SEV63" s="291"/>
      <x:c r="SEW63" s="291"/>
      <x:c r="SEX63" s="291"/>
      <x:c r="SEY63" s="291"/>
      <x:c r="SEZ63" s="291"/>
      <x:c r="SFA63" s="291"/>
      <x:c r="SFB63" s="291"/>
      <x:c r="SFC63" s="291"/>
      <x:c r="SFD63" s="291"/>
      <x:c r="SFE63" s="291"/>
      <x:c r="SFF63" s="291"/>
      <x:c r="SFG63" s="291"/>
      <x:c r="SFH63" s="291"/>
      <x:c r="SFI63" s="291"/>
      <x:c r="SFJ63" s="291"/>
      <x:c r="SFK63" s="291"/>
      <x:c r="SFL63" s="291"/>
      <x:c r="SFM63" s="291"/>
      <x:c r="SFN63" s="291"/>
      <x:c r="SFO63" s="291"/>
      <x:c r="SFP63" s="291"/>
      <x:c r="SFQ63" s="291"/>
      <x:c r="SFR63" s="291"/>
      <x:c r="SFS63" s="291"/>
      <x:c r="SFT63" s="291"/>
      <x:c r="SFU63" s="291"/>
      <x:c r="SFV63" s="291"/>
      <x:c r="SFW63" s="291"/>
      <x:c r="SFX63" s="291"/>
      <x:c r="SFY63" s="291"/>
      <x:c r="SFZ63" s="291"/>
      <x:c r="SGA63" s="291"/>
      <x:c r="SGB63" s="291"/>
      <x:c r="SGC63" s="291"/>
      <x:c r="SGD63" s="291"/>
      <x:c r="SGE63" s="291"/>
      <x:c r="SGF63" s="291"/>
      <x:c r="SGG63" s="291"/>
      <x:c r="SGH63" s="291"/>
      <x:c r="SGI63" s="291"/>
      <x:c r="SGJ63" s="291"/>
      <x:c r="SGK63" s="291"/>
      <x:c r="SGL63" s="291"/>
      <x:c r="SGM63" s="291"/>
      <x:c r="SGN63" s="291"/>
      <x:c r="SGO63" s="291"/>
      <x:c r="SGP63" s="291"/>
      <x:c r="SGQ63" s="291"/>
      <x:c r="SGR63" s="291"/>
      <x:c r="SGS63" s="291"/>
      <x:c r="SGT63" s="291"/>
      <x:c r="SGU63" s="291"/>
      <x:c r="SGV63" s="291"/>
      <x:c r="SGW63" s="291"/>
      <x:c r="SGX63" s="291"/>
      <x:c r="SGY63" s="291"/>
      <x:c r="SGZ63" s="291"/>
      <x:c r="SHA63" s="291"/>
      <x:c r="SHB63" s="291"/>
      <x:c r="SHC63" s="291"/>
      <x:c r="SHD63" s="291"/>
      <x:c r="SHE63" s="291"/>
      <x:c r="SHF63" s="291"/>
      <x:c r="SHG63" s="291"/>
      <x:c r="SHH63" s="291"/>
      <x:c r="SHI63" s="291"/>
      <x:c r="SHJ63" s="291"/>
      <x:c r="SHK63" s="291"/>
      <x:c r="SHL63" s="291"/>
      <x:c r="SHM63" s="291"/>
      <x:c r="SHN63" s="291"/>
      <x:c r="SHO63" s="291"/>
      <x:c r="SHP63" s="291"/>
      <x:c r="SHQ63" s="291"/>
      <x:c r="SHR63" s="291"/>
      <x:c r="SHS63" s="291"/>
      <x:c r="SHT63" s="291"/>
      <x:c r="SHU63" s="291"/>
      <x:c r="SHV63" s="291"/>
      <x:c r="SHW63" s="291"/>
      <x:c r="SHX63" s="291"/>
      <x:c r="SHY63" s="291"/>
      <x:c r="SHZ63" s="291"/>
      <x:c r="SIA63" s="291"/>
      <x:c r="SIB63" s="291"/>
      <x:c r="SIC63" s="291"/>
      <x:c r="SID63" s="291"/>
      <x:c r="SIE63" s="291"/>
      <x:c r="SIF63" s="291"/>
      <x:c r="SIG63" s="291"/>
      <x:c r="SIH63" s="291"/>
      <x:c r="SII63" s="291"/>
      <x:c r="SIJ63" s="291"/>
      <x:c r="SIK63" s="291"/>
      <x:c r="SIL63" s="291"/>
      <x:c r="SIM63" s="291"/>
      <x:c r="SIN63" s="291"/>
      <x:c r="SIO63" s="291"/>
      <x:c r="SIP63" s="291"/>
      <x:c r="SIQ63" s="291"/>
      <x:c r="SIR63" s="291"/>
      <x:c r="SIS63" s="291"/>
      <x:c r="SIT63" s="291"/>
      <x:c r="SIU63" s="291"/>
      <x:c r="SIV63" s="291"/>
      <x:c r="SIW63" s="291"/>
      <x:c r="SIX63" s="291"/>
      <x:c r="SIY63" s="291"/>
      <x:c r="SIZ63" s="291"/>
      <x:c r="SJA63" s="291"/>
      <x:c r="SJB63" s="291"/>
      <x:c r="SJC63" s="291"/>
      <x:c r="SJD63" s="291"/>
      <x:c r="SJE63" s="291"/>
      <x:c r="SJF63" s="291"/>
      <x:c r="SJG63" s="291"/>
      <x:c r="SJH63" s="291"/>
      <x:c r="SJI63" s="291"/>
      <x:c r="SJJ63" s="291"/>
      <x:c r="SJK63" s="291"/>
      <x:c r="SJL63" s="291"/>
      <x:c r="SJM63" s="291"/>
      <x:c r="SJN63" s="291"/>
      <x:c r="SJO63" s="291"/>
      <x:c r="SJP63" s="291"/>
      <x:c r="SJQ63" s="291"/>
      <x:c r="SJR63" s="291"/>
      <x:c r="SJS63" s="291"/>
      <x:c r="SJT63" s="291"/>
      <x:c r="SJU63" s="291"/>
      <x:c r="SJV63" s="291"/>
      <x:c r="SJW63" s="291"/>
      <x:c r="SJX63" s="291"/>
      <x:c r="SJY63" s="291"/>
      <x:c r="SJZ63" s="291"/>
      <x:c r="SKA63" s="291"/>
      <x:c r="SKB63" s="291"/>
      <x:c r="SKC63" s="291"/>
      <x:c r="SKD63" s="291"/>
      <x:c r="SKE63" s="291"/>
      <x:c r="SKF63" s="291"/>
      <x:c r="SKG63" s="291"/>
      <x:c r="SKH63" s="291"/>
      <x:c r="SKI63" s="291"/>
      <x:c r="SKJ63" s="291"/>
      <x:c r="SKK63" s="291"/>
      <x:c r="SKL63" s="291"/>
      <x:c r="SKM63" s="291"/>
      <x:c r="SKN63" s="291"/>
      <x:c r="SKO63" s="291"/>
      <x:c r="SKP63" s="291"/>
      <x:c r="SKQ63" s="291"/>
      <x:c r="SKR63" s="291"/>
      <x:c r="SKS63" s="291"/>
      <x:c r="SKT63" s="291"/>
      <x:c r="SKU63" s="291"/>
      <x:c r="SKV63" s="291"/>
      <x:c r="SKW63" s="291"/>
      <x:c r="SKX63" s="291"/>
      <x:c r="SKY63" s="291"/>
      <x:c r="SKZ63" s="291"/>
      <x:c r="SLA63" s="291"/>
      <x:c r="SLB63" s="291"/>
      <x:c r="SLC63" s="291"/>
      <x:c r="SLD63" s="291"/>
      <x:c r="SLE63" s="291"/>
      <x:c r="SLF63" s="291"/>
      <x:c r="SLG63" s="291"/>
      <x:c r="SLH63" s="291"/>
      <x:c r="SLI63" s="291"/>
      <x:c r="SLJ63" s="291"/>
      <x:c r="SLK63" s="291"/>
      <x:c r="SLL63" s="291"/>
      <x:c r="SLM63" s="291"/>
      <x:c r="SLN63" s="291"/>
      <x:c r="SLO63" s="291"/>
      <x:c r="SLP63" s="291"/>
      <x:c r="SLQ63" s="291"/>
      <x:c r="SLR63" s="291"/>
      <x:c r="SLS63" s="291"/>
      <x:c r="SLT63" s="291"/>
      <x:c r="SLU63" s="291"/>
      <x:c r="SLV63" s="291"/>
      <x:c r="SLW63" s="291"/>
      <x:c r="SLX63" s="291"/>
      <x:c r="SLY63" s="291"/>
      <x:c r="SLZ63" s="291"/>
      <x:c r="SMA63" s="291"/>
      <x:c r="SMB63" s="291"/>
      <x:c r="SMC63" s="291"/>
      <x:c r="SMD63" s="291"/>
      <x:c r="SME63" s="291"/>
      <x:c r="SMF63" s="291"/>
      <x:c r="SMG63" s="291"/>
      <x:c r="SMH63" s="291"/>
      <x:c r="SMI63" s="291"/>
      <x:c r="SMJ63" s="291"/>
      <x:c r="SMK63" s="291"/>
      <x:c r="SML63" s="291"/>
      <x:c r="SMM63" s="291"/>
      <x:c r="SMN63" s="291"/>
      <x:c r="SMO63" s="291"/>
      <x:c r="SMP63" s="291"/>
      <x:c r="SMQ63" s="291"/>
      <x:c r="SMR63" s="291"/>
      <x:c r="SMS63" s="291"/>
      <x:c r="SMT63" s="291"/>
      <x:c r="SMU63" s="291"/>
      <x:c r="SMV63" s="291"/>
      <x:c r="SMW63" s="291"/>
      <x:c r="SMX63" s="291"/>
      <x:c r="SMY63" s="291"/>
      <x:c r="SMZ63" s="291"/>
      <x:c r="SNA63" s="291"/>
      <x:c r="SNB63" s="291"/>
      <x:c r="SNC63" s="291"/>
      <x:c r="SND63" s="291"/>
      <x:c r="SNE63" s="291"/>
      <x:c r="SNF63" s="291"/>
      <x:c r="SNG63" s="291"/>
      <x:c r="SNH63" s="291"/>
      <x:c r="SNI63" s="291"/>
      <x:c r="SNJ63" s="291"/>
      <x:c r="SNK63" s="291"/>
      <x:c r="SNL63" s="291"/>
      <x:c r="SNM63" s="291"/>
      <x:c r="SNN63" s="291"/>
      <x:c r="SNO63" s="291"/>
      <x:c r="SNP63" s="291"/>
      <x:c r="SNQ63" s="291"/>
      <x:c r="SNR63" s="291"/>
      <x:c r="SNS63" s="291"/>
      <x:c r="SNT63" s="291"/>
      <x:c r="SNU63" s="291"/>
      <x:c r="SNV63" s="291"/>
      <x:c r="SNW63" s="291"/>
      <x:c r="SNX63" s="291"/>
      <x:c r="SNY63" s="291"/>
      <x:c r="SNZ63" s="291"/>
      <x:c r="SOA63" s="291"/>
      <x:c r="SOB63" s="291"/>
      <x:c r="SOC63" s="291"/>
      <x:c r="SOD63" s="291"/>
      <x:c r="SOE63" s="291"/>
      <x:c r="SOF63" s="291"/>
      <x:c r="SOG63" s="291"/>
      <x:c r="SOH63" s="291"/>
      <x:c r="SOI63" s="291"/>
      <x:c r="SOJ63" s="291"/>
      <x:c r="SOK63" s="291"/>
      <x:c r="SOL63" s="291"/>
      <x:c r="SOM63" s="291"/>
      <x:c r="SON63" s="291"/>
      <x:c r="SOO63" s="291"/>
      <x:c r="SOP63" s="291"/>
      <x:c r="SOQ63" s="291"/>
      <x:c r="SOR63" s="291"/>
      <x:c r="SOS63" s="291"/>
      <x:c r="SOT63" s="291"/>
      <x:c r="SOU63" s="291"/>
      <x:c r="SOV63" s="291"/>
      <x:c r="SOW63" s="291"/>
      <x:c r="SOX63" s="291"/>
      <x:c r="SOY63" s="291"/>
      <x:c r="SOZ63" s="291"/>
      <x:c r="SPA63" s="291"/>
      <x:c r="SPB63" s="291"/>
      <x:c r="SPC63" s="291"/>
      <x:c r="SPD63" s="291"/>
      <x:c r="SPE63" s="291"/>
      <x:c r="SPF63" s="291"/>
      <x:c r="SPG63" s="291"/>
      <x:c r="SPH63" s="291"/>
      <x:c r="SPI63" s="291"/>
      <x:c r="SPJ63" s="291"/>
      <x:c r="SPK63" s="291"/>
      <x:c r="SPL63" s="291"/>
      <x:c r="SPM63" s="291"/>
      <x:c r="SPN63" s="291"/>
      <x:c r="SPO63" s="291"/>
      <x:c r="SPP63" s="291"/>
      <x:c r="SPQ63" s="291"/>
      <x:c r="SPR63" s="291"/>
      <x:c r="SPS63" s="291"/>
      <x:c r="SPT63" s="291"/>
      <x:c r="SPU63" s="291"/>
      <x:c r="SPV63" s="291"/>
      <x:c r="SPW63" s="291"/>
      <x:c r="SPX63" s="291"/>
      <x:c r="SPY63" s="291"/>
      <x:c r="SPZ63" s="291"/>
      <x:c r="SQA63" s="291"/>
      <x:c r="SQB63" s="291"/>
      <x:c r="SQC63" s="291"/>
      <x:c r="SQD63" s="291"/>
      <x:c r="SQE63" s="291"/>
      <x:c r="SQF63" s="291"/>
      <x:c r="SQG63" s="291"/>
      <x:c r="SQH63" s="291"/>
      <x:c r="SQI63" s="291"/>
      <x:c r="SQJ63" s="291"/>
      <x:c r="SQK63" s="291"/>
      <x:c r="SQL63" s="291"/>
      <x:c r="SQM63" s="291"/>
      <x:c r="SQN63" s="291"/>
      <x:c r="SQO63" s="291"/>
      <x:c r="SQP63" s="291"/>
      <x:c r="SQQ63" s="291"/>
      <x:c r="SQR63" s="291"/>
      <x:c r="SQS63" s="291"/>
      <x:c r="SQT63" s="291"/>
      <x:c r="SQU63" s="291"/>
      <x:c r="SQV63" s="291"/>
      <x:c r="SQW63" s="291"/>
      <x:c r="SQX63" s="291"/>
      <x:c r="SQY63" s="291"/>
      <x:c r="SQZ63" s="291"/>
      <x:c r="SRA63" s="291"/>
      <x:c r="SRB63" s="291"/>
      <x:c r="SRC63" s="291"/>
      <x:c r="SRD63" s="291"/>
      <x:c r="SRE63" s="291"/>
      <x:c r="SRF63" s="291"/>
      <x:c r="SRG63" s="291"/>
      <x:c r="SRH63" s="291"/>
      <x:c r="SRI63" s="291"/>
      <x:c r="SRJ63" s="291"/>
      <x:c r="SRK63" s="291"/>
      <x:c r="SRL63" s="291"/>
      <x:c r="SRM63" s="291"/>
      <x:c r="SRN63" s="291"/>
      <x:c r="SRO63" s="291"/>
      <x:c r="SRP63" s="291"/>
      <x:c r="SRQ63" s="291"/>
      <x:c r="SRR63" s="291"/>
      <x:c r="SRS63" s="291"/>
      <x:c r="SRT63" s="291"/>
      <x:c r="SRU63" s="291"/>
      <x:c r="SRV63" s="291"/>
      <x:c r="SRW63" s="291"/>
      <x:c r="SRX63" s="291"/>
      <x:c r="SRY63" s="291"/>
      <x:c r="SRZ63" s="291"/>
      <x:c r="SSA63" s="291"/>
      <x:c r="SSB63" s="291"/>
      <x:c r="SSC63" s="291"/>
      <x:c r="SSD63" s="291"/>
      <x:c r="SSE63" s="291"/>
      <x:c r="SSF63" s="291"/>
      <x:c r="SSG63" s="291"/>
      <x:c r="SSH63" s="291"/>
      <x:c r="SSI63" s="291"/>
      <x:c r="SSJ63" s="291"/>
      <x:c r="SSK63" s="291"/>
      <x:c r="SSL63" s="291"/>
      <x:c r="SSM63" s="291"/>
      <x:c r="SSN63" s="291"/>
      <x:c r="SSO63" s="291"/>
      <x:c r="SSP63" s="291"/>
      <x:c r="SSQ63" s="291"/>
      <x:c r="SSR63" s="291"/>
      <x:c r="SSS63" s="291"/>
      <x:c r="SST63" s="291"/>
      <x:c r="SSU63" s="291"/>
      <x:c r="SSV63" s="291"/>
      <x:c r="SSW63" s="291"/>
      <x:c r="SSX63" s="291"/>
      <x:c r="SSY63" s="291"/>
      <x:c r="SSZ63" s="291"/>
      <x:c r="STA63" s="291"/>
      <x:c r="STB63" s="291"/>
      <x:c r="STC63" s="291"/>
      <x:c r="STD63" s="291"/>
      <x:c r="STE63" s="291"/>
      <x:c r="STF63" s="291"/>
      <x:c r="STG63" s="291"/>
      <x:c r="STH63" s="291"/>
      <x:c r="STI63" s="291"/>
      <x:c r="STJ63" s="291"/>
      <x:c r="STK63" s="291"/>
      <x:c r="STL63" s="291"/>
      <x:c r="STM63" s="291"/>
      <x:c r="STN63" s="291"/>
      <x:c r="STO63" s="291"/>
      <x:c r="STP63" s="291"/>
      <x:c r="STQ63" s="291"/>
      <x:c r="STR63" s="291"/>
      <x:c r="STS63" s="291"/>
      <x:c r="STT63" s="291"/>
      <x:c r="STU63" s="291"/>
      <x:c r="STV63" s="291"/>
      <x:c r="STW63" s="291"/>
      <x:c r="STX63" s="291"/>
      <x:c r="STY63" s="291"/>
      <x:c r="STZ63" s="291"/>
      <x:c r="SUA63" s="291"/>
      <x:c r="SUB63" s="291"/>
      <x:c r="SUC63" s="291"/>
      <x:c r="SUD63" s="291"/>
      <x:c r="SUE63" s="291"/>
      <x:c r="SUF63" s="291"/>
      <x:c r="SUG63" s="291"/>
      <x:c r="SUH63" s="291"/>
      <x:c r="SUI63" s="291"/>
      <x:c r="SUJ63" s="291"/>
      <x:c r="SUK63" s="291"/>
      <x:c r="SUL63" s="291"/>
      <x:c r="SUM63" s="291"/>
      <x:c r="SUN63" s="291"/>
      <x:c r="SUO63" s="291"/>
      <x:c r="SUP63" s="291"/>
      <x:c r="SUQ63" s="291"/>
      <x:c r="SUR63" s="291"/>
      <x:c r="SUS63" s="291"/>
      <x:c r="SUT63" s="291"/>
      <x:c r="SUU63" s="291"/>
      <x:c r="SUV63" s="291"/>
      <x:c r="SUW63" s="291"/>
      <x:c r="SUX63" s="291"/>
      <x:c r="SUY63" s="291"/>
      <x:c r="SUZ63" s="291"/>
      <x:c r="SVA63" s="291"/>
      <x:c r="SVB63" s="291"/>
      <x:c r="SVC63" s="291"/>
      <x:c r="SVD63" s="291"/>
      <x:c r="SVE63" s="291"/>
      <x:c r="SVF63" s="291"/>
      <x:c r="SVG63" s="291"/>
      <x:c r="SVH63" s="291"/>
      <x:c r="SVI63" s="291"/>
      <x:c r="SVJ63" s="291"/>
      <x:c r="SVK63" s="291"/>
      <x:c r="SVL63" s="291"/>
      <x:c r="SVM63" s="291"/>
      <x:c r="SVN63" s="291"/>
      <x:c r="SVO63" s="291"/>
      <x:c r="SVP63" s="291"/>
      <x:c r="SVQ63" s="291"/>
      <x:c r="SVR63" s="291"/>
      <x:c r="SVS63" s="291"/>
      <x:c r="SVT63" s="291"/>
      <x:c r="SVU63" s="291"/>
      <x:c r="SVV63" s="291"/>
      <x:c r="SVW63" s="291"/>
      <x:c r="SVX63" s="291"/>
      <x:c r="SVY63" s="291"/>
      <x:c r="SVZ63" s="291"/>
      <x:c r="SWA63" s="291"/>
      <x:c r="SWB63" s="291"/>
      <x:c r="SWC63" s="291"/>
      <x:c r="SWD63" s="291"/>
      <x:c r="SWE63" s="291"/>
      <x:c r="SWF63" s="291"/>
      <x:c r="SWG63" s="291"/>
      <x:c r="SWH63" s="291"/>
      <x:c r="SWI63" s="291"/>
      <x:c r="SWJ63" s="291"/>
      <x:c r="SWK63" s="291"/>
      <x:c r="SWL63" s="291"/>
      <x:c r="SWM63" s="291"/>
      <x:c r="SWN63" s="291"/>
      <x:c r="SWO63" s="291"/>
      <x:c r="SWP63" s="291"/>
      <x:c r="SWQ63" s="291"/>
      <x:c r="SWR63" s="291"/>
      <x:c r="SWS63" s="291"/>
      <x:c r="SWT63" s="291"/>
      <x:c r="SWU63" s="291"/>
      <x:c r="SWV63" s="291"/>
      <x:c r="SWW63" s="291"/>
      <x:c r="SWX63" s="291"/>
      <x:c r="SWY63" s="291"/>
      <x:c r="SWZ63" s="291"/>
      <x:c r="SXA63" s="291"/>
      <x:c r="SXB63" s="291"/>
      <x:c r="SXC63" s="291"/>
      <x:c r="SXD63" s="291"/>
      <x:c r="SXE63" s="291"/>
      <x:c r="SXF63" s="291"/>
      <x:c r="SXG63" s="291"/>
      <x:c r="SXH63" s="291"/>
      <x:c r="SXI63" s="291"/>
      <x:c r="SXJ63" s="291"/>
      <x:c r="SXK63" s="291"/>
      <x:c r="SXL63" s="291"/>
      <x:c r="SXM63" s="291"/>
      <x:c r="SXN63" s="291"/>
      <x:c r="SXO63" s="291"/>
      <x:c r="SXP63" s="291"/>
      <x:c r="SXQ63" s="291"/>
      <x:c r="SXR63" s="291"/>
      <x:c r="SXS63" s="291"/>
      <x:c r="SXT63" s="291"/>
      <x:c r="SXU63" s="291"/>
      <x:c r="SXV63" s="291"/>
      <x:c r="SXW63" s="291"/>
      <x:c r="SXX63" s="291"/>
      <x:c r="SXY63" s="291"/>
      <x:c r="SXZ63" s="291"/>
      <x:c r="SYA63" s="291"/>
      <x:c r="SYB63" s="291"/>
      <x:c r="SYC63" s="291"/>
      <x:c r="SYD63" s="291"/>
      <x:c r="SYE63" s="291"/>
      <x:c r="SYF63" s="291"/>
      <x:c r="SYG63" s="291"/>
      <x:c r="SYH63" s="291"/>
      <x:c r="SYI63" s="291"/>
      <x:c r="SYJ63" s="291"/>
      <x:c r="SYK63" s="291"/>
      <x:c r="SYL63" s="291"/>
      <x:c r="SYM63" s="291"/>
      <x:c r="SYN63" s="291"/>
      <x:c r="SYO63" s="291"/>
      <x:c r="SYP63" s="291"/>
      <x:c r="SYQ63" s="291"/>
      <x:c r="SYR63" s="291"/>
      <x:c r="SYS63" s="291"/>
      <x:c r="SYT63" s="291"/>
      <x:c r="SYU63" s="291"/>
      <x:c r="SYV63" s="291"/>
      <x:c r="SYW63" s="291"/>
      <x:c r="SYX63" s="291"/>
      <x:c r="SYY63" s="291"/>
      <x:c r="SYZ63" s="291"/>
      <x:c r="SZA63" s="291"/>
      <x:c r="SZB63" s="291"/>
      <x:c r="SZC63" s="291"/>
      <x:c r="SZD63" s="291"/>
      <x:c r="SZE63" s="291"/>
      <x:c r="SZF63" s="291"/>
      <x:c r="SZG63" s="291"/>
      <x:c r="SZH63" s="291"/>
      <x:c r="SZI63" s="291"/>
      <x:c r="SZJ63" s="291"/>
      <x:c r="SZK63" s="291"/>
      <x:c r="SZL63" s="291"/>
      <x:c r="SZM63" s="291"/>
      <x:c r="SZN63" s="291"/>
      <x:c r="SZO63" s="291"/>
      <x:c r="SZP63" s="291"/>
      <x:c r="SZQ63" s="291"/>
      <x:c r="SZR63" s="291"/>
      <x:c r="SZS63" s="291"/>
      <x:c r="SZT63" s="291"/>
      <x:c r="SZU63" s="291"/>
      <x:c r="SZV63" s="291"/>
      <x:c r="SZW63" s="291"/>
      <x:c r="SZX63" s="291"/>
      <x:c r="SZY63" s="291"/>
      <x:c r="SZZ63" s="291"/>
      <x:c r="TAA63" s="291"/>
      <x:c r="TAB63" s="291"/>
      <x:c r="TAC63" s="291"/>
      <x:c r="TAD63" s="291"/>
      <x:c r="TAE63" s="291"/>
      <x:c r="TAF63" s="291"/>
      <x:c r="TAG63" s="291"/>
      <x:c r="TAH63" s="291"/>
      <x:c r="TAI63" s="291"/>
      <x:c r="TAJ63" s="291"/>
      <x:c r="TAK63" s="291"/>
      <x:c r="TAL63" s="291"/>
      <x:c r="TAM63" s="291"/>
      <x:c r="TAN63" s="291"/>
      <x:c r="TAO63" s="291"/>
      <x:c r="TAP63" s="291"/>
      <x:c r="TAQ63" s="291"/>
      <x:c r="TAR63" s="291"/>
      <x:c r="TAS63" s="291"/>
      <x:c r="TAT63" s="291"/>
      <x:c r="TAU63" s="291"/>
      <x:c r="TAV63" s="291"/>
      <x:c r="TAW63" s="291"/>
      <x:c r="TAX63" s="291"/>
      <x:c r="TAY63" s="291"/>
      <x:c r="TAZ63" s="291"/>
      <x:c r="TBA63" s="291"/>
      <x:c r="TBB63" s="291"/>
      <x:c r="TBC63" s="291"/>
      <x:c r="TBD63" s="291"/>
      <x:c r="TBE63" s="291"/>
      <x:c r="TBF63" s="291"/>
      <x:c r="TBG63" s="291"/>
      <x:c r="TBH63" s="291"/>
      <x:c r="TBI63" s="291"/>
      <x:c r="TBJ63" s="291"/>
      <x:c r="TBK63" s="291"/>
      <x:c r="TBL63" s="291"/>
      <x:c r="TBM63" s="291"/>
      <x:c r="TBN63" s="291"/>
      <x:c r="TBO63" s="291"/>
      <x:c r="TBP63" s="291"/>
      <x:c r="TBQ63" s="291"/>
      <x:c r="TBR63" s="291"/>
      <x:c r="TBS63" s="291"/>
      <x:c r="TBT63" s="291"/>
      <x:c r="TBU63" s="291"/>
      <x:c r="TBV63" s="291"/>
      <x:c r="TBW63" s="291"/>
      <x:c r="TBX63" s="291"/>
      <x:c r="TBY63" s="291"/>
      <x:c r="TBZ63" s="291"/>
      <x:c r="TCA63" s="291"/>
      <x:c r="TCB63" s="291"/>
      <x:c r="TCC63" s="291"/>
      <x:c r="TCD63" s="291"/>
      <x:c r="TCE63" s="291"/>
      <x:c r="TCF63" s="291"/>
      <x:c r="TCG63" s="291"/>
      <x:c r="TCH63" s="291"/>
      <x:c r="TCI63" s="291"/>
      <x:c r="TCJ63" s="291"/>
      <x:c r="TCK63" s="291"/>
      <x:c r="TCL63" s="291"/>
      <x:c r="TCM63" s="291"/>
      <x:c r="TCN63" s="291"/>
      <x:c r="TCO63" s="291"/>
      <x:c r="TCP63" s="291"/>
      <x:c r="TCQ63" s="291"/>
      <x:c r="TCR63" s="291"/>
      <x:c r="TCS63" s="291"/>
      <x:c r="TCT63" s="291"/>
      <x:c r="TCU63" s="291"/>
      <x:c r="TCV63" s="291"/>
      <x:c r="TCW63" s="291"/>
      <x:c r="TCX63" s="291"/>
      <x:c r="TCY63" s="291"/>
      <x:c r="TCZ63" s="291"/>
      <x:c r="TDA63" s="291"/>
      <x:c r="TDB63" s="291"/>
      <x:c r="TDC63" s="291"/>
      <x:c r="TDD63" s="291"/>
      <x:c r="TDE63" s="291"/>
      <x:c r="TDF63" s="291"/>
      <x:c r="TDG63" s="291"/>
      <x:c r="TDH63" s="291"/>
      <x:c r="TDI63" s="291"/>
      <x:c r="TDJ63" s="291"/>
      <x:c r="TDK63" s="291"/>
      <x:c r="TDL63" s="291"/>
      <x:c r="TDM63" s="291"/>
      <x:c r="TDN63" s="291"/>
      <x:c r="TDO63" s="291"/>
      <x:c r="TDP63" s="291"/>
      <x:c r="TDQ63" s="291"/>
      <x:c r="TDR63" s="291"/>
      <x:c r="TDS63" s="291"/>
      <x:c r="TDT63" s="291"/>
      <x:c r="TDU63" s="291"/>
      <x:c r="TDV63" s="291"/>
      <x:c r="TDW63" s="291"/>
      <x:c r="TDX63" s="291"/>
      <x:c r="TDY63" s="291"/>
      <x:c r="TDZ63" s="291"/>
      <x:c r="TEA63" s="291"/>
      <x:c r="TEB63" s="291"/>
      <x:c r="TEC63" s="291"/>
      <x:c r="TED63" s="291"/>
      <x:c r="TEE63" s="291"/>
      <x:c r="TEF63" s="291"/>
      <x:c r="TEG63" s="291"/>
      <x:c r="TEH63" s="291"/>
      <x:c r="TEI63" s="291"/>
      <x:c r="TEJ63" s="291"/>
      <x:c r="TEK63" s="291"/>
      <x:c r="TEL63" s="291"/>
      <x:c r="TEM63" s="291"/>
      <x:c r="TEN63" s="291"/>
      <x:c r="TEO63" s="291"/>
      <x:c r="TEP63" s="291"/>
      <x:c r="TEQ63" s="291"/>
      <x:c r="TER63" s="291"/>
      <x:c r="TES63" s="291"/>
      <x:c r="TET63" s="291"/>
      <x:c r="TEU63" s="291"/>
      <x:c r="TEV63" s="291"/>
      <x:c r="TEW63" s="291"/>
      <x:c r="TEX63" s="291"/>
      <x:c r="TEY63" s="291"/>
      <x:c r="TEZ63" s="291"/>
      <x:c r="TFA63" s="291"/>
      <x:c r="TFB63" s="291"/>
      <x:c r="TFC63" s="291"/>
      <x:c r="TFD63" s="291"/>
      <x:c r="TFE63" s="291"/>
      <x:c r="TFF63" s="291"/>
      <x:c r="TFG63" s="291"/>
      <x:c r="TFH63" s="291"/>
      <x:c r="TFI63" s="291"/>
      <x:c r="TFJ63" s="291"/>
      <x:c r="TFK63" s="291"/>
      <x:c r="TFL63" s="291"/>
      <x:c r="TFM63" s="291"/>
      <x:c r="TFN63" s="291"/>
      <x:c r="TFO63" s="291"/>
      <x:c r="TFP63" s="291"/>
      <x:c r="TFQ63" s="291"/>
      <x:c r="TFR63" s="291"/>
      <x:c r="TFS63" s="291"/>
      <x:c r="TFT63" s="291"/>
      <x:c r="TFU63" s="291"/>
      <x:c r="TFV63" s="291"/>
      <x:c r="TFW63" s="291"/>
      <x:c r="TFX63" s="291"/>
      <x:c r="TFY63" s="291"/>
      <x:c r="TFZ63" s="291"/>
      <x:c r="TGA63" s="291"/>
      <x:c r="TGB63" s="291"/>
      <x:c r="TGC63" s="291"/>
      <x:c r="TGD63" s="291"/>
      <x:c r="TGE63" s="291"/>
      <x:c r="TGF63" s="291"/>
      <x:c r="TGG63" s="291"/>
      <x:c r="TGH63" s="291"/>
      <x:c r="TGI63" s="291"/>
      <x:c r="TGJ63" s="291"/>
      <x:c r="TGK63" s="291"/>
      <x:c r="TGL63" s="291"/>
      <x:c r="TGM63" s="291"/>
      <x:c r="TGN63" s="291"/>
      <x:c r="TGO63" s="291"/>
      <x:c r="TGP63" s="291"/>
      <x:c r="TGQ63" s="291"/>
      <x:c r="TGR63" s="291"/>
      <x:c r="TGS63" s="291"/>
      <x:c r="TGT63" s="291"/>
      <x:c r="TGU63" s="291"/>
      <x:c r="TGV63" s="291"/>
      <x:c r="TGW63" s="291"/>
      <x:c r="TGX63" s="291"/>
      <x:c r="TGY63" s="291"/>
      <x:c r="TGZ63" s="291"/>
      <x:c r="THA63" s="291"/>
      <x:c r="THB63" s="291"/>
      <x:c r="THC63" s="291"/>
      <x:c r="THD63" s="291"/>
      <x:c r="THE63" s="291"/>
      <x:c r="THF63" s="291"/>
      <x:c r="THG63" s="291"/>
      <x:c r="THH63" s="291"/>
      <x:c r="THI63" s="291"/>
      <x:c r="THJ63" s="291"/>
      <x:c r="THK63" s="291"/>
      <x:c r="THL63" s="291"/>
      <x:c r="THM63" s="291"/>
      <x:c r="THN63" s="291"/>
      <x:c r="THO63" s="291"/>
      <x:c r="THP63" s="291"/>
      <x:c r="THQ63" s="291"/>
      <x:c r="THR63" s="291"/>
      <x:c r="THS63" s="291"/>
      <x:c r="THT63" s="291"/>
      <x:c r="THU63" s="291"/>
      <x:c r="THV63" s="291"/>
      <x:c r="THW63" s="291"/>
      <x:c r="THX63" s="291"/>
      <x:c r="THY63" s="291"/>
      <x:c r="THZ63" s="291"/>
      <x:c r="TIA63" s="291"/>
      <x:c r="TIB63" s="291"/>
      <x:c r="TIC63" s="291"/>
      <x:c r="TID63" s="291"/>
      <x:c r="TIE63" s="291"/>
      <x:c r="TIF63" s="291"/>
      <x:c r="TIG63" s="291"/>
      <x:c r="TIH63" s="291"/>
      <x:c r="TII63" s="291"/>
      <x:c r="TIJ63" s="291"/>
      <x:c r="TIK63" s="291"/>
      <x:c r="TIL63" s="291"/>
      <x:c r="TIM63" s="291"/>
      <x:c r="TIN63" s="291"/>
      <x:c r="TIO63" s="291"/>
      <x:c r="TIP63" s="291"/>
      <x:c r="TIQ63" s="291"/>
      <x:c r="TIR63" s="291"/>
      <x:c r="TIS63" s="291"/>
      <x:c r="TIT63" s="291"/>
      <x:c r="TIU63" s="291"/>
      <x:c r="TIV63" s="291"/>
      <x:c r="TIW63" s="291"/>
      <x:c r="TIX63" s="291"/>
      <x:c r="TIY63" s="291"/>
      <x:c r="TIZ63" s="291"/>
      <x:c r="TJA63" s="291"/>
      <x:c r="TJB63" s="291"/>
      <x:c r="TJC63" s="291"/>
      <x:c r="TJD63" s="291"/>
      <x:c r="TJE63" s="291"/>
      <x:c r="TJF63" s="291"/>
      <x:c r="TJG63" s="291"/>
      <x:c r="TJH63" s="291"/>
      <x:c r="TJI63" s="291"/>
      <x:c r="TJJ63" s="291"/>
      <x:c r="TJK63" s="291"/>
      <x:c r="TJL63" s="291"/>
      <x:c r="TJM63" s="291"/>
      <x:c r="TJN63" s="291"/>
      <x:c r="TJO63" s="291"/>
      <x:c r="TJP63" s="291"/>
      <x:c r="TJQ63" s="291"/>
      <x:c r="TJR63" s="291"/>
      <x:c r="TJS63" s="291"/>
      <x:c r="TJT63" s="291"/>
      <x:c r="TJU63" s="291"/>
      <x:c r="TJV63" s="291"/>
      <x:c r="TJW63" s="291"/>
      <x:c r="TJX63" s="291"/>
      <x:c r="TJY63" s="291"/>
      <x:c r="TJZ63" s="291"/>
      <x:c r="TKA63" s="291"/>
      <x:c r="TKB63" s="291"/>
      <x:c r="TKC63" s="291"/>
      <x:c r="TKD63" s="291"/>
      <x:c r="TKE63" s="291"/>
      <x:c r="TKF63" s="291"/>
      <x:c r="TKG63" s="291"/>
      <x:c r="TKH63" s="291"/>
      <x:c r="TKI63" s="291"/>
      <x:c r="TKJ63" s="291"/>
      <x:c r="TKK63" s="291"/>
      <x:c r="TKL63" s="291"/>
      <x:c r="TKM63" s="291"/>
      <x:c r="TKN63" s="291"/>
      <x:c r="TKO63" s="291"/>
      <x:c r="TKP63" s="291"/>
      <x:c r="TKQ63" s="291"/>
      <x:c r="TKR63" s="291"/>
      <x:c r="TKS63" s="291"/>
      <x:c r="TKT63" s="291"/>
      <x:c r="TKU63" s="291"/>
      <x:c r="TKV63" s="291"/>
      <x:c r="TKW63" s="291"/>
      <x:c r="TKX63" s="291"/>
      <x:c r="TKY63" s="291"/>
      <x:c r="TKZ63" s="291"/>
      <x:c r="TLA63" s="291"/>
      <x:c r="TLB63" s="291"/>
      <x:c r="TLC63" s="291"/>
      <x:c r="TLD63" s="291"/>
      <x:c r="TLE63" s="291"/>
      <x:c r="TLF63" s="291"/>
      <x:c r="TLG63" s="291"/>
      <x:c r="TLH63" s="291"/>
      <x:c r="TLI63" s="291"/>
      <x:c r="TLJ63" s="291"/>
      <x:c r="TLK63" s="291"/>
      <x:c r="TLL63" s="291"/>
      <x:c r="TLM63" s="291"/>
      <x:c r="TLN63" s="291"/>
      <x:c r="TLO63" s="291"/>
      <x:c r="TLP63" s="291"/>
      <x:c r="TLQ63" s="291"/>
      <x:c r="TLR63" s="291"/>
      <x:c r="TLS63" s="291"/>
      <x:c r="TLT63" s="291"/>
      <x:c r="TLU63" s="291"/>
      <x:c r="TLV63" s="291"/>
      <x:c r="TLW63" s="291"/>
      <x:c r="TLX63" s="291"/>
      <x:c r="TLY63" s="291"/>
      <x:c r="TLZ63" s="291"/>
      <x:c r="TMA63" s="291"/>
      <x:c r="TMB63" s="291"/>
      <x:c r="TMC63" s="291"/>
      <x:c r="TMD63" s="291"/>
      <x:c r="TME63" s="291"/>
      <x:c r="TMF63" s="291"/>
      <x:c r="TMG63" s="291"/>
      <x:c r="TMH63" s="291"/>
      <x:c r="TMI63" s="291"/>
      <x:c r="TMJ63" s="291"/>
      <x:c r="TMK63" s="291"/>
      <x:c r="TML63" s="291"/>
      <x:c r="TMM63" s="291"/>
      <x:c r="TMN63" s="291"/>
      <x:c r="TMO63" s="291"/>
      <x:c r="TMP63" s="291"/>
      <x:c r="TMQ63" s="291"/>
      <x:c r="TMR63" s="291"/>
      <x:c r="TMS63" s="291"/>
      <x:c r="TMT63" s="291"/>
      <x:c r="TMU63" s="291"/>
      <x:c r="TMV63" s="291"/>
      <x:c r="TMW63" s="291"/>
      <x:c r="TMX63" s="291"/>
      <x:c r="TMY63" s="291"/>
      <x:c r="TMZ63" s="291"/>
      <x:c r="TNA63" s="291"/>
      <x:c r="TNB63" s="291"/>
      <x:c r="TNC63" s="291"/>
      <x:c r="TND63" s="291"/>
      <x:c r="TNE63" s="291"/>
      <x:c r="TNF63" s="291"/>
      <x:c r="TNG63" s="291"/>
      <x:c r="TNH63" s="291"/>
      <x:c r="TNI63" s="291"/>
      <x:c r="TNJ63" s="291"/>
      <x:c r="TNK63" s="291"/>
      <x:c r="TNL63" s="291"/>
      <x:c r="TNM63" s="291"/>
      <x:c r="TNN63" s="291"/>
      <x:c r="TNO63" s="291"/>
      <x:c r="TNP63" s="291"/>
      <x:c r="TNQ63" s="291"/>
      <x:c r="TNR63" s="291"/>
      <x:c r="TNS63" s="291"/>
      <x:c r="TNT63" s="291"/>
      <x:c r="TNU63" s="291"/>
      <x:c r="TNV63" s="291"/>
      <x:c r="TNW63" s="291"/>
      <x:c r="TNX63" s="291"/>
      <x:c r="TNY63" s="291"/>
      <x:c r="TNZ63" s="291"/>
      <x:c r="TOA63" s="291"/>
      <x:c r="TOB63" s="291"/>
      <x:c r="TOC63" s="291"/>
      <x:c r="TOD63" s="291"/>
      <x:c r="TOE63" s="291"/>
      <x:c r="TOF63" s="291"/>
      <x:c r="TOG63" s="291"/>
      <x:c r="TOH63" s="291"/>
      <x:c r="TOI63" s="291"/>
      <x:c r="TOJ63" s="291"/>
      <x:c r="TOK63" s="291"/>
      <x:c r="TOL63" s="291"/>
      <x:c r="TOM63" s="291"/>
      <x:c r="TON63" s="291"/>
      <x:c r="TOO63" s="291"/>
      <x:c r="TOP63" s="291"/>
      <x:c r="TOQ63" s="291"/>
      <x:c r="TOR63" s="291"/>
      <x:c r="TOS63" s="291"/>
      <x:c r="TOT63" s="291"/>
      <x:c r="TOU63" s="291"/>
      <x:c r="TOV63" s="291"/>
      <x:c r="TOW63" s="291"/>
      <x:c r="TOX63" s="291"/>
      <x:c r="TOY63" s="291"/>
      <x:c r="TOZ63" s="291"/>
      <x:c r="TPA63" s="291"/>
      <x:c r="TPB63" s="291"/>
      <x:c r="TPC63" s="291"/>
      <x:c r="TPD63" s="291"/>
      <x:c r="TPE63" s="291"/>
      <x:c r="TPF63" s="291"/>
      <x:c r="TPG63" s="291"/>
      <x:c r="TPH63" s="291"/>
      <x:c r="TPI63" s="291"/>
      <x:c r="TPJ63" s="291"/>
      <x:c r="TPK63" s="291"/>
      <x:c r="TPL63" s="291"/>
      <x:c r="TPM63" s="291"/>
      <x:c r="TPN63" s="291"/>
      <x:c r="TPO63" s="291"/>
      <x:c r="TPP63" s="291"/>
      <x:c r="TPQ63" s="291"/>
      <x:c r="TPR63" s="291"/>
      <x:c r="TPS63" s="291"/>
      <x:c r="TPT63" s="291"/>
      <x:c r="TPU63" s="291"/>
      <x:c r="TPV63" s="291"/>
      <x:c r="TPW63" s="291"/>
      <x:c r="TPX63" s="291"/>
      <x:c r="TPY63" s="291"/>
      <x:c r="TPZ63" s="291"/>
      <x:c r="TQA63" s="291"/>
      <x:c r="TQB63" s="291"/>
      <x:c r="TQC63" s="291"/>
      <x:c r="TQD63" s="291"/>
      <x:c r="TQE63" s="291"/>
      <x:c r="TQF63" s="291"/>
      <x:c r="TQG63" s="291"/>
      <x:c r="TQH63" s="291"/>
      <x:c r="TQI63" s="291"/>
      <x:c r="TQJ63" s="291"/>
      <x:c r="TQK63" s="291"/>
      <x:c r="TQL63" s="291"/>
      <x:c r="TQM63" s="291"/>
      <x:c r="TQN63" s="291"/>
      <x:c r="TQO63" s="291"/>
      <x:c r="TQP63" s="291"/>
      <x:c r="TQQ63" s="291"/>
      <x:c r="TQR63" s="291"/>
      <x:c r="TQS63" s="291"/>
      <x:c r="TQT63" s="291"/>
      <x:c r="TQU63" s="291"/>
      <x:c r="TQV63" s="291"/>
      <x:c r="TQW63" s="291"/>
      <x:c r="TQX63" s="291"/>
      <x:c r="TQY63" s="291"/>
      <x:c r="TQZ63" s="291"/>
      <x:c r="TRA63" s="291"/>
      <x:c r="TRB63" s="291"/>
      <x:c r="TRC63" s="291"/>
      <x:c r="TRD63" s="291"/>
      <x:c r="TRE63" s="291"/>
      <x:c r="TRF63" s="291"/>
      <x:c r="TRG63" s="291"/>
      <x:c r="TRH63" s="291"/>
      <x:c r="TRI63" s="291"/>
      <x:c r="TRJ63" s="291"/>
      <x:c r="TRK63" s="291"/>
      <x:c r="TRL63" s="291"/>
      <x:c r="TRM63" s="291"/>
      <x:c r="TRN63" s="291"/>
      <x:c r="TRO63" s="291"/>
      <x:c r="TRP63" s="291"/>
      <x:c r="TRQ63" s="291"/>
      <x:c r="TRR63" s="291"/>
      <x:c r="TRS63" s="291"/>
      <x:c r="TRT63" s="291"/>
      <x:c r="TRU63" s="291"/>
      <x:c r="TRV63" s="291"/>
      <x:c r="TRW63" s="291"/>
      <x:c r="TRX63" s="291"/>
      <x:c r="TRY63" s="291"/>
      <x:c r="TRZ63" s="291"/>
      <x:c r="TSA63" s="291"/>
      <x:c r="TSB63" s="291"/>
      <x:c r="TSC63" s="291"/>
      <x:c r="TSD63" s="291"/>
      <x:c r="TSE63" s="291"/>
      <x:c r="TSF63" s="291"/>
      <x:c r="TSG63" s="291"/>
      <x:c r="TSH63" s="291"/>
      <x:c r="TSI63" s="291"/>
      <x:c r="TSJ63" s="291"/>
      <x:c r="TSK63" s="291"/>
      <x:c r="TSL63" s="291"/>
      <x:c r="TSM63" s="291"/>
      <x:c r="TSN63" s="291"/>
      <x:c r="TSO63" s="291"/>
      <x:c r="TSP63" s="291"/>
      <x:c r="TSQ63" s="291"/>
      <x:c r="TSR63" s="291"/>
      <x:c r="TSS63" s="291"/>
      <x:c r="TST63" s="291"/>
      <x:c r="TSU63" s="291"/>
      <x:c r="TSV63" s="291"/>
      <x:c r="TSW63" s="291"/>
      <x:c r="TSX63" s="291"/>
      <x:c r="TSY63" s="291"/>
      <x:c r="TSZ63" s="291"/>
      <x:c r="TTA63" s="291"/>
      <x:c r="TTB63" s="291"/>
      <x:c r="TTC63" s="291"/>
      <x:c r="TTD63" s="291"/>
      <x:c r="TTE63" s="291"/>
      <x:c r="TTF63" s="291"/>
      <x:c r="TTG63" s="291"/>
      <x:c r="TTH63" s="291"/>
      <x:c r="TTI63" s="291"/>
      <x:c r="TTJ63" s="291"/>
      <x:c r="TTK63" s="291"/>
      <x:c r="TTL63" s="291"/>
      <x:c r="TTM63" s="291"/>
      <x:c r="TTN63" s="291"/>
      <x:c r="TTO63" s="291"/>
      <x:c r="TTP63" s="291"/>
      <x:c r="TTQ63" s="291"/>
      <x:c r="TTR63" s="291"/>
      <x:c r="TTS63" s="291"/>
      <x:c r="TTT63" s="291"/>
      <x:c r="TTU63" s="291"/>
      <x:c r="TTV63" s="291"/>
      <x:c r="TTW63" s="291"/>
      <x:c r="TTX63" s="291"/>
      <x:c r="TTY63" s="291"/>
      <x:c r="TTZ63" s="291"/>
      <x:c r="TUA63" s="291"/>
      <x:c r="TUB63" s="291"/>
      <x:c r="TUC63" s="291"/>
      <x:c r="TUD63" s="291"/>
      <x:c r="TUE63" s="291"/>
      <x:c r="TUF63" s="291"/>
      <x:c r="TUG63" s="291"/>
      <x:c r="TUH63" s="291"/>
      <x:c r="TUI63" s="291"/>
      <x:c r="TUJ63" s="291"/>
      <x:c r="TUK63" s="291"/>
      <x:c r="TUL63" s="291"/>
      <x:c r="TUM63" s="291"/>
      <x:c r="TUN63" s="291"/>
      <x:c r="TUO63" s="291"/>
      <x:c r="TUP63" s="291"/>
      <x:c r="TUQ63" s="291"/>
      <x:c r="TUR63" s="291"/>
      <x:c r="TUS63" s="291"/>
      <x:c r="TUT63" s="291"/>
      <x:c r="TUU63" s="291"/>
      <x:c r="TUV63" s="291"/>
      <x:c r="TUW63" s="291"/>
      <x:c r="TUX63" s="291"/>
      <x:c r="TUY63" s="291"/>
      <x:c r="TUZ63" s="291"/>
      <x:c r="TVA63" s="291"/>
      <x:c r="TVB63" s="291"/>
      <x:c r="TVC63" s="291"/>
      <x:c r="TVD63" s="291"/>
      <x:c r="TVE63" s="291"/>
      <x:c r="TVF63" s="291"/>
      <x:c r="TVG63" s="291"/>
      <x:c r="TVH63" s="291"/>
      <x:c r="TVI63" s="291"/>
      <x:c r="TVJ63" s="291"/>
      <x:c r="TVK63" s="291"/>
      <x:c r="TVL63" s="291"/>
      <x:c r="TVM63" s="291"/>
      <x:c r="TVN63" s="291"/>
      <x:c r="TVO63" s="291"/>
      <x:c r="TVP63" s="291"/>
      <x:c r="TVQ63" s="291"/>
      <x:c r="TVR63" s="291"/>
      <x:c r="TVS63" s="291"/>
      <x:c r="TVT63" s="291"/>
      <x:c r="TVU63" s="291"/>
      <x:c r="TVV63" s="291"/>
      <x:c r="TVW63" s="291"/>
      <x:c r="TVX63" s="291"/>
      <x:c r="TVY63" s="291"/>
      <x:c r="TVZ63" s="291"/>
      <x:c r="TWA63" s="291"/>
      <x:c r="TWB63" s="291"/>
      <x:c r="TWC63" s="291"/>
      <x:c r="TWD63" s="291"/>
      <x:c r="TWE63" s="291"/>
      <x:c r="TWF63" s="291"/>
      <x:c r="TWG63" s="291"/>
      <x:c r="TWH63" s="291"/>
      <x:c r="TWI63" s="291"/>
      <x:c r="TWJ63" s="291"/>
      <x:c r="TWK63" s="291"/>
      <x:c r="TWL63" s="291"/>
      <x:c r="TWM63" s="291"/>
      <x:c r="TWN63" s="291"/>
      <x:c r="TWO63" s="291"/>
      <x:c r="TWP63" s="291"/>
      <x:c r="TWQ63" s="291"/>
      <x:c r="TWR63" s="291"/>
      <x:c r="TWS63" s="291"/>
      <x:c r="TWT63" s="291"/>
      <x:c r="TWU63" s="291"/>
      <x:c r="TWV63" s="291"/>
      <x:c r="TWW63" s="291"/>
      <x:c r="TWX63" s="291"/>
      <x:c r="TWY63" s="291"/>
      <x:c r="TWZ63" s="291"/>
      <x:c r="TXA63" s="291"/>
      <x:c r="TXB63" s="291"/>
      <x:c r="TXC63" s="291"/>
      <x:c r="TXD63" s="291"/>
      <x:c r="TXE63" s="291"/>
      <x:c r="TXF63" s="291"/>
      <x:c r="TXG63" s="291"/>
      <x:c r="TXH63" s="291"/>
      <x:c r="TXI63" s="291"/>
      <x:c r="TXJ63" s="291"/>
      <x:c r="TXK63" s="291"/>
      <x:c r="TXL63" s="291"/>
      <x:c r="TXM63" s="291"/>
      <x:c r="TXN63" s="291"/>
      <x:c r="TXO63" s="291"/>
      <x:c r="TXP63" s="291"/>
      <x:c r="TXQ63" s="291"/>
      <x:c r="TXR63" s="291"/>
      <x:c r="TXS63" s="291"/>
      <x:c r="TXT63" s="291"/>
      <x:c r="TXU63" s="291"/>
      <x:c r="TXV63" s="291"/>
      <x:c r="TXW63" s="291"/>
      <x:c r="TXX63" s="291"/>
      <x:c r="TXY63" s="291"/>
      <x:c r="TXZ63" s="291"/>
      <x:c r="TYA63" s="291"/>
      <x:c r="TYB63" s="291"/>
      <x:c r="TYC63" s="291"/>
      <x:c r="TYD63" s="291"/>
      <x:c r="TYE63" s="291"/>
      <x:c r="TYF63" s="291"/>
      <x:c r="TYG63" s="291"/>
      <x:c r="TYH63" s="291"/>
      <x:c r="TYI63" s="291"/>
      <x:c r="TYJ63" s="291"/>
      <x:c r="TYK63" s="291"/>
      <x:c r="TYL63" s="291"/>
      <x:c r="TYM63" s="291"/>
      <x:c r="TYN63" s="291"/>
      <x:c r="TYO63" s="291"/>
      <x:c r="TYP63" s="291"/>
      <x:c r="TYQ63" s="291"/>
      <x:c r="TYR63" s="291"/>
      <x:c r="TYS63" s="291"/>
      <x:c r="TYT63" s="291"/>
      <x:c r="TYU63" s="291"/>
      <x:c r="TYV63" s="291"/>
      <x:c r="TYW63" s="291"/>
      <x:c r="TYX63" s="291"/>
      <x:c r="TYY63" s="291"/>
      <x:c r="TYZ63" s="291"/>
      <x:c r="TZA63" s="291"/>
      <x:c r="TZB63" s="291"/>
      <x:c r="TZC63" s="291"/>
      <x:c r="TZD63" s="291"/>
      <x:c r="TZE63" s="291"/>
      <x:c r="TZF63" s="291"/>
      <x:c r="TZG63" s="291"/>
      <x:c r="TZH63" s="291"/>
      <x:c r="TZI63" s="291"/>
      <x:c r="TZJ63" s="291"/>
      <x:c r="TZK63" s="291"/>
      <x:c r="TZL63" s="291"/>
      <x:c r="TZM63" s="291"/>
      <x:c r="TZN63" s="291"/>
      <x:c r="TZO63" s="291"/>
      <x:c r="TZP63" s="291"/>
      <x:c r="TZQ63" s="291"/>
      <x:c r="TZR63" s="291"/>
      <x:c r="TZS63" s="291"/>
      <x:c r="TZT63" s="291"/>
      <x:c r="TZU63" s="291"/>
      <x:c r="TZV63" s="291"/>
      <x:c r="TZW63" s="291"/>
      <x:c r="TZX63" s="291"/>
      <x:c r="TZY63" s="291"/>
      <x:c r="TZZ63" s="291"/>
      <x:c r="UAA63" s="291"/>
      <x:c r="UAB63" s="291"/>
      <x:c r="UAC63" s="291"/>
      <x:c r="UAD63" s="291"/>
      <x:c r="UAE63" s="291"/>
      <x:c r="UAF63" s="291"/>
      <x:c r="UAG63" s="291"/>
      <x:c r="UAH63" s="291"/>
      <x:c r="UAI63" s="291"/>
      <x:c r="UAJ63" s="291"/>
      <x:c r="UAK63" s="291"/>
      <x:c r="UAL63" s="291"/>
      <x:c r="UAM63" s="291"/>
      <x:c r="UAN63" s="291"/>
      <x:c r="UAO63" s="291"/>
      <x:c r="UAP63" s="291"/>
      <x:c r="UAQ63" s="291"/>
      <x:c r="UAR63" s="291"/>
      <x:c r="UAS63" s="291"/>
      <x:c r="UAT63" s="291"/>
      <x:c r="UAU63" s="291"/>
      <x:c r="UAV63" s="291"/>
      <x:c r="UAW63" s="291"/>
      <x:c r="UAX63" s="291"/>
      <x:c r="UAY63" s="291"/>
      <x:c r="UAZ63" s="291"/>
      <x:c r="UBA63" s="291"/>
      <x:c r="UBB63" s="291"/>
      <x:c r="UBC63" s="291"/>
      <x:c r="UBD63" s="291"/>
      <x:c r="UBE63" s="291"/>
      <x:c r="UBF63" s="291"/>
      <x:c r="UBG63" s="291"/>
      <x:c r="UBH63" s="291"/>
      <x:c r="UBI63" s="291"/>
      <x:c r="UBJ63" s="291"/>
      <x:c r="UBK63" s="291"/>
      <x:c r="UBL63" s="291"/>
      <x:c r="UBM63" s="291"/>
      <x:c r="UBN63" s="291"/>
      <x:c r="UBO63" s="291"/>
      <x:c r="UBP63" s="291"/>
      <x:c r="UBQ63" s="291"/>
      <x:c r="UBR63" s="291"/>
      <x:c r="UBS63" s="291"/>
      <x:c r="UBT63" s="291"/>
      <x:c r="UBU63" s="291"/>
      <x:c r="UBV63" s="291"/>
      <x:c r="UBW63" s="291"/>
      <x:c r="UBX63" s="291"/>
      <x:c r="UBY63" s="291"/>
      <x:c r="UBZ63" s="291"/>
      <x:c r="UCA63" s="291"/>
      <x:c r="UCB63" s="291"/>
      <x:c r="UCC63" s="291"/>
      <x:c r="UCD63" s="291"/>
      <x:c r="UCE63" s="291"/>
      <x:c r="UCF63" s="291"/>
      <x:c r="UCG63" s="291"/>
      <x:c r="UCH63" s="291"/>
      <x:c r="UCI63" s="291"/>
      <x:c r="UCJ63" s="291"/>
      <x:c r="UCK63" s="291"/>
      <x:c r="UCL63" s="291"/>
      <x:c r="UCM63" s="291"/>
      <x:c r="UCN63" s="291"/>
      <x:c r="UCO63" s="291"/>
      <x:c r="UCP63" s="291"/>
      <x:c r="UCQ63" s="291"/>
      <x:c r="UCR63" s="291"/>
      <x:c r="UCS63" s="291"/>
      <x:c r="UCT63" s="291"/>
      <x:c r="UCU63" s="291"/>
      <x:c r="UCV63" s="291"/>
      <x:c r="UCW63" s="291"/>
      <x:c r="UCX63" s="291"/>
      <x:c r="UCY63" s="291"/>
      <x:c r="UCZ63" s="291"/>
      <x:c r="UDA63" s="291"/>
      <x:c r="UDB63" s="291"/>
      <x:c r="UDC63" s="291"/>
      <x:c r="UDD63" s="291"/>
      <x:c r="UDE63" s="291"/>
      <x:c r="UDF63" s="291"/>
      <x:c r="UDG63" s="291"/>
      <x:c r="UDH63" s="291"/>
      <x:c r="UDI63" s="291"/>
      <x:c r="UDJ63" s="291"/>
      <x:c r="UDK63" s="291"/>
      <x:c r="UDL63" s="291"/>
      <x:c r="UDM63" s="291"/>
      <x:c r="UDN63" s="291"/>
      <x:c r="UDO63" s="291"/>
      <x:c r="UDP63" s="291"/>
      <x:c r="UDQ63" s="291"/>
      <x:c r="UDR63" s="291"/>
      <x:c r="UDS63" s="291"/>
      <x:c r="UDT63" s="291"/>
      <x:c r="UDU63" s="291"/>
      <x:c r="UDV63" s="291"/>
      <x:c r="UDW63" s="291"/>
      <x:c r="UDX63" s="291"/>
      <x:c r="UDY63" s="291"/>
      <x:c r="UDZ63" s="291"/>
      <x:c r="UEA63" s="291"/>
      <x:c r="UEB63" s="291"/>
      <x:c r="UEC63" s="291"/>
      <x:c r="UED63" s="291"/>
      <x:c r="UEE63" s="291"/>
      <x:c r="UEF63" s="291"/>
      <x:c r="UEG63" s="291"/>
      <x:c r="UEH63" s="291"/>
      <x:c r="UEI63" s="291"/>
      <x:c r="UEJ63" s="291"/>
      <x:c r="UEK63" s="291"/>
      <x:c r="UEL63" s="291"/>
      <x:c r="UEM63" s="291"/>
      <x:c r="UEN63" s="291"/>
      <x:c r="UEO63" s="291"/>
      <x:c r="UEP63" s="291"/>
      <x:c r="UEQ63" s="291"/>
      <x:c r="UER63" s="291"/>
      <x:c r="UES63" s="291"/>
      <x:c r="UET63" s="291"/>
      <x:c r="UEU63" s="291"/>
      <x:c r="UEV63" s="291"/>
      <x:c r="UEW63" s="291"/>
      <x:c r="UEX63" s="291"/>
      <x:c r="UEY63" s="291"/>
      <x:c r="UEZ63" s="291"/>
      <x:c r="UFA63" s="291"/>
      <x:c r="UFB63" s="291"/>
      <x:c r="UFC63" s="291"/>
      <x:c r="UFD63" s="291"/>
      <x:c r="UFE63" s="291"/>
      <x:c r="UFF63" s="291"/>
      <x:c r="UFG63" s="291"/>
      <x:c r="UFH63" s="291"/>
      <x:c r="UFI63" s="291"/>
      <x:c r="UFJ63" s="291"/>
      <x:c r="UFK63" s="291"/>
      <x:c r="UFL63" s="291"/>
      <x:c r="UFM63" s="291"/>
      <x:c r="UFN63" s="291"/>
      <x:c r="UFO63" s="291"/>
      <x:c r="UFP63" s="291"/>
      <x:c r="UFQ63" s="291"/>
      <x:c r="UFR63" s="291"/>
      <x:c r="UFS63" s="291"/>
      <x:c r="UFT63" s="291"/>
      <x:c r="UFU63" s="291"/>
      <x:c r="UFV63" s="291"/>
      <x:c r="UFW63" s="291"/>
      <x:c r="UFX63" s="291"/>
      <x:c r="UFY63" s="291"/>
      <x:c r="UFZ63" s="291"/>
      <x:c r="UGA63" s="291"/>
      <x:c r="UGB63" s="291"/>
      <x:c r="UGC63" s="291"/>
      <x:c r="UGD63" s="291"/>
      <x:c r="UGE63" s="291"/>
      <x:c r="UGF63" s="291"/>
      <x:c r="UGG63" s="291"/>
      <x:c r="UGH63" s="291"/>
      <x:c r="UGI63" s="291"/>
      <x:c r="UGJ63" s="291"/>
      <x:c r="UGK63" s="291"/>
      <x:c r="UGL63" s="291"/>
      <x:c r="UGM63" s="291"/>
      <x:c r="UGN63" s="291"/>
      <x:c r="UGO63" s="291"/>
      <x:c r="UGP63" s="291"/>
      <x:c r="UGQ63" s="291"/>
      <x:c r="UGR63" s="291"/>
      <x:c r="UGS63" s="291"/>
      <x:c r="UGT63" s="291"/>
      <x:c r="UGU63" s="291"/>
      <x:c r="UGV63" s="291"/>
      <x:c r="UGW63" s="291"/>
      <x:c r="UGX63" s="291"/>
      <x:c r="UGY63" s="291"/>
      <x:c r="UGZ63" s="291"/>
      <x:c r="UHA63" s="291"/>
      <x:c r="UHB63" s="291"/>
      <x:c r="UHC63" s="291"/>
      <x:c r="UHD63" s="291"/>
      <x:c r="UHE63" s="291"/>
      <x:c r="UHF63" s="291"/>
      <x:c r="UHG63" s="291"/>
      <x:c r="UHH63" s="291"/>
      <x:c r="UHI63" s="291"/>
      <x:c r="UHJ63" s="291"/>
      <x:c r="UHK63" s="291"/>
      <x:c r="UHL63" s="291"/>
      <x:c r="UHM63" s="291"/>
      <x:c r="UHN63" s="291"/>
      <x:c r="UHO63" s="291"/>
      <x:c r="UHP63" s="291"/>
      <x:c r="UHQ63" s="291"/>
      <x:c r="UHR63" s="291"/>
      <x:c r="UHS63" s="291"/>
      <x:c r="UHT63" s="291"/>
      <x:c r="UHU63" s="291"/>
      <x:c r="UHV63" s="291"/>
      <x:c r="UHW63" s="291"/>
      <x:c r="UHX63" s="291"/>
      <x:c r="UHY63" s="291"/>
      <x:c r="UHZ63" s="291"/>
      <x:c r="UIA63" s="291"/>
      <x:c r="UIB63" s="291"/>
      <x:c r="UIC63" s="291"/>
      <x:c r="UID63" s="291"/>
      <x:c r="UIE63" s="291"/>
      <x:c r="UIF63" s="291"/>
      <x:c r="UIG63" s="291"/>
      <x:c r="UIH63" s="291"/>
      <x:c r="UII63" s="291"/>
      <x:c r="UIJ63" s="291"/>
      <x:c r="UIK63" s="291"/>
      <x:c r="UIL63" s="291"/>
      <x:c r="UIM63" s="291"/>
      <x:c r="UIN63" s="291"/>
      <x:c r="UIO63" s="291"/>
      <x:c r="UIP63" s="291"/>
      <x:c r="UIQ63" s="291"/>
      <x:c r="UIR63" s="291"/>
      <x:c r="UIS63" s="291"/>
      <x:c r="UIT63" s="291"/>
      <x:c r="UIU63" s="291"/>
      <x:c r="UIV63" s="291"/>
      <x:c r="UIW63" s="291"/>
      <x:c r="UIX63" s="291"/>
      <x:c r="UIY63" s="291"/>
      <x:c r="UIZ63" s="291"/>
      <x:c r="UJA63" s="291"/>
      <x:c r="UJB63" s="291"/>
      <x:c r="UJC63" s="291"/>
      <x:c r="UJD63" s="291"/>
      <x:c r="UJE63" s="291"/>
      <x:c r="UJF63" s="291"/>
      <x:c r="UJG63" s="291"/>
      <x:c r="UJH63" s="291"/>
      <x:c r="UJI63" s="291"/>
      <x:c r="UJJ63" s="291"/>
      <x:c r="UJK63" s="291"/>
      <x:c r="UJL63" s="291"/>
      <x:c r="UJM63" s="291"/>
      <x:c r="UJN63" s="291"/>
      <x:c r="UJO63" s="291"/>
      <x:c r="UJP63" s="291"/>
      <x:c r="UJQ63" s="291"/>
      <x:c r="UJR63" s="291"/>
      <x:c r="UJS63" s="291"/>
      <x:c r="UJT63" s="291"/>
      <x:c r="UJU63" s="291"/>
      <x:c r="UJV63" s="291"/>
      <x:c r="UJW63" s="291"/>
      <x:c r="UJX63" s="291"/>
      <x:c r="UJY63" s="291"/>
      <x:c r="UJZ63" s="291"/>
      <x:c r="UKA63" s="291"/>
      <x:c r="UKB63" s="291"/>
      <x:c r="UKC63" s="291"/>
      <x:c r="UKD63" s="291"/>
      <x:c r="UKE63" s="291"/>
      <x:c r="UKF63" s="291"/>
      <x:c r="UKG63" s="291"/>
      <x:c r="UKH63" s="291"/>
      <x:c r="UKI63" s="291"/>
      <x:c r="UKJ63" s="291"/>
      <x:c r="UKK63" s="291"/>
      <x:c r="UKL63" s="291"/>
      <x:c r="UKM63" s="291"/>
      <x:c r="UKN63" s="291"/>
      <x:c r="UKO63" s="291"/>
      <x:c r="UKP63" s="291"/>
      <x:c r="UKQ63" s="291"/>
      <x:c r="UKR63" s="291"/>
      <x:c r="UKS63" s="291"/>
      <x:c r="UKT63" s="291"/>
      <x:c r="UKU63" s="291"/>
      <x:c r="UKV63" s="291"/>
      <x:c r="UKW63" s="291"/>
      <x:c r="UKX63" s="291"/>
      <x:c r="UKY63" s="291"/>
      <x:c r="UKZ63" s="291"/>
      <x:c r="ULA63" s="291"/>
      <x:c r="ULB63" s="291"/>
      <x:c r="ULC63" s="291"/>
      <x:c r="ULD63" s="291"/>
      <x:c r="ULE63" s="291"/>
      <x:c r="ULF63" s="291"/>
      <x:c r="ULG63" s="291"/>
      <x:c r="ULH63" s="291"/>
      <x:c r="ULI63" s="291"/>
      <x:c r="ULJ63" s="291"/>
      <x:c r="ULK63" s="291"/>
      <x:c r="ULL63" s="291"/>
      <x:c r="ULM63" s="291"/>
      <x:c r="ULN63" s="291"/>
      <x:c r="ULO63" s="291"/>
      <x:c r="ULP63" s="291"/>
      <x:c r="ULQ63" s="291"/>
      <x:c r="ULR63" s="291"/>
      <x:c r="ULS63" s="291"/>
      <x:c r="ULT63" s="291"/>
      <x:c r="ULU63" s="291"/>
      <x:c r="ULV63" s="291"/>
      <x:c r="ULW63" s="291"/>
      <x:c r="ULX63" s="291"/>
      <x:c r="ULY63" s="291"/>
      <x:c r="ULZ63" s="291"/>
      <x:c r="UMA63" s="291"/>
      <x:c r="UMB63" s="291"/>
      <x:c r="UMC63" s="291"/>
      <x:c r="UMD63" s="291"/>
      <x:c r="UME63" s="291"/>
      <x:c r="UMF63" s="291"/>
      <x:c r="UMG63" s="291"/>
      <x:c r="UMH63" s="291"/>
      <x:c r="UMI63" s="291"/>
      <x:c r="UMJ63" s="291"/>
      <x:c r="UMK63" s="291"/>
      <x:c r="UML63" s="291"/>
      <x:c r="UMM63" s="291"/>
      <x:c r="UMN63" s="291"/>
      <x:c r="UMO63" s="291"/>
      <x:c r="UMP63" s="291"/>
      <x:c r="UMQ63" s="291"/>
      <x:c r="UMR63" s="291"/>
      <x:c r="UMS63" s="291"/>
      <x:c r="UMT63" s="291"/>
      <x:c r="UMU63" s="291"/>
      <x:c r="UMV63" s="291"/>
      <x:c r="UMW63" s="291"/>
      <x:c r="UMX63" s="291"/>
      <x:c r="UMY63" s="291"/>
      <x:c r="UMZ63" s="291"/>
      <x:c r="UNA63" s="291"/>
      <x:c r="UNB63" s="291"/>
      <x:c r="UNC63" s="291"/>
      <x:c r="UND63" s="291"/>
      <x:c r="UNE63" s="291"/>
      <x:c r="UNF63" s="291"/>
      <x:c r="UNG63" s="291"/>
      <x:c r="UNH63" s="291"/>
      <x:c r="UNI63" s="291"/>
      <x:c r="UNJ63" s="291"/>
      <x:c r="UNK63" s="291"/>
      <x:c r="UNL63" s="291"/>
      <x:c r="UNM63" s="291"/>
      <x:c r="UNN63" s="291"/>
      <x:c r="UNO63" s="291"/>
      <x:c r="UNP63" s="291"/>
      <x:c r="UNQ63" s="291"/>
      <x:c r="UNR63" s="291"/>
      <x:c r="UNS63" s="291"/>
      <x:c r="UNT63" s="291"/>
      <x:c r="UNU63" s="291"/>
      <x:c r="UNV63" s="291"/>
      <x:c r="UNW63" s="291"/>
      <x:c r="UNX63" s="291"/>
      <x:c r="UNY63" s="291"/>
      <x:c r="UNZ63" s="291"/>
      <x:c r="UOA63" s="291"/>
      <x:c r="UOB63" s="291"/>
      <x:c r="UOC63" s="291"/>
      <x:c r="UOD63" s="291"/>
      <x:c r="UOE63" s="291"/>
      <x:c r="UOF63" s="291"/>
      <x:c r="UOG63" s="291"/>
      <x:c r="UOH63" s="291"/>
      <x:c r="UOI63" s="291"/>
      <x:c r="UOJ63" s="291"/>
      <x:c r="UOK63" s="291"/>
      <x:c r="UOL63" s="291"/>
      <x:c r="UOM63" s="291"/>
      <x:c r="UON63" s="291"/>
      <x:c r="UOO63" s="291"/>
      <x:c r="UOP63" s="291"/>
      <x:c r="UOQ63" s="291"/>
      <x:c r="UOR63" s="291"/>
      <x:c r="UOS63" s="291"/>
      <x:c r="UOT63" s="291"/>
      <x:c r="UOU63" s="291"/>
      <x:c r="UOV63" s="291"/>
      <x:c r="UOW63" s="291"/>
      <x:c r="UOX63" s="291"/>
      <x:c r="UOY63" s="291"/>
      <x:c r="UOZ63" s="291"/>
      <x:c r="UPA63" s="291"/>
      <x:c r="UPB63" s="291"/>
      <x:c r="UPC63" s="291"/>
      <x:c r="UPD63" s="291"/>
      <x:c r="UPE63" s="291"/>
      <x:c r="UPF63" s="291"/>
      <x:c r="UPG63" s="291"/>
      <x:c r="UPH63" s="291"/>
      <x:c r="UPI63" s="291"/>
      <x:c r="UPJ63" s="291"/>
      <x:c r="UPK63" s="291"/>
      <x:c r="UPL63" s="291"/>
      <x:c r="UPM63" s="291"/>
      <x:c r="UPN63" s="291"/>
      <x:c r="UPO63" s="291"/>
      <x:c r="UPP63" s="291"/>
      <x:c r="UPQ63" s="291"/>
      <x:c r="UPR63" s="291"/>
      <x:c r="UPS63" s="291"/>
      <x:c r="UPT63" s="291"/>
      <x:c r="UPU63" s="291"/>
      <x:c r="UPV63" s="291"/>
      <x:c r="UPW63" s="291"/>
      <x:c r="UPX63" s="291"/>
      <x:c r="UPY63" s="291"/>
      <x:c r="UPZ63" s="291"/>
      <x:c r="UQA63" s="291"/>
      <x:c r="UQB63" s="291"/>
      <x:c r="UQC63" s="291"/>
      <x:c r="UQD63" s="291"/>
      <x:c r="UQE63" s="291"/>
      <x:c r="UQF63" s="291"/>
      <x:c r="UQG63" s="291"/>
      <x:c r="UQH63" s="291"/>
      <x:c r="UQI63" s="291"/>
      <x:c r="UQJ63" s="291"/>
      <x:c r="UQK63" s="291"/>
      <x:c r="UQL63" s="291"/>
      <x:c r="UQM63" s="291"/>
      <x:c r="UQN63" s="291"/>
      <x:c r="UQO63" s="291"/>
      <x:c r="UQP63" s="291"/>
      <x:c r="UQQ63" s="291"/>
      <x:c r="UQR63" s="291"/>
      <x:c r="UQS63" s="291"/>
      <x:c r="UQT63" s="291"/>
      <x:c r="UQU63" s="291"/>
      <x:c r="UQV63" s="291"/>
      <x:c r="UQW63" s="291"/>
      <x:c r="UQX63" s="291"/>
      <x:c r="UQY63" s="291"/>
      <x:c r="UQZ63" s="291"/>
      <x:c r="URA63" s="291"/>
      <x:c r="URB63" s="291"/>
      <x:c r="URC63" s="291"/>
      <x:c r="URD63" s="291"/>
      <x:c r="URE63" s="291"/>
      <x:c r="URF63" s="291"/>
      <x:c r="URG63" s="291"/>
      <x:c r="URH63" s="291"/>
      <x:c r="URI63" s="291"/>
      <x:c r="URJ63" s="291"/>
      <x:c r="URK63" s="291"/>
      <x:c r="URL63" s="291"/>
      <x:c r="URM63" s="291"/>
      <x:c r="URN63" s="291"/>
      <x:c r="URO63" s="291"/>
      <x:c r="URP63" s="291"/>
      <x:c r="URQ63" s="291"/>
      <x:c r="URR63" s="291"/>
      <x:c r="URS63" s="291"/>
      <x:c r="URT63" s="291"/>
      <x:c r="URU63" s="291"/>
      <x:c r="URV63" s="291"/>
      <x:c r="URW63" s="291"/>
      <x:c r="URX63" s="291"/>
      <x:c r="URY63" s="291"/>
      <x:c r="URZ63" s="291"/>
      <x:c r="USA63" s="291"/>
      <x:c r="USB63" s="291"/>
      <x:c r="USC63" s="291"/>
      <x:c r="USD63" s="291"/>
      <x:c r="USE63" s="291"/>
      <x:c r="USF63" s="291"/>
      <x:c r="USG63" s="291"/>
      <x:c r="USH63" s="291"/>
      <x:c r="USI63" s="291"/>
      <x:c r="USJ63" s="291"/>
      <x:c r="USK63" s="291"/>
      <x:c r="USL63" s="291"/>
      <x:c r="USM63" s="291"/>
      <x:c r="USN63" s="291"/>
      <x:c r="USO63" s="291"/>
      <x:c r="USP63" s="291"/>
      <x:c r="USQ63" s="291"/>
      <x:c r="USR63" s="291"/>
      <x:c r="USS63" s="291"/>
      <x:c r="UST63" s="291"/>
      <x:c r="USU63" s="291"/>
      <x:c r="USV63" s="291"/>
      <x:c r="USW63" s="291"/>
      <x:c r="USX63" s="291"/>
      <x:c r="USY63" s="291"/>
      <x:c r="USZ63" s="291"/>
      <x:c r="UTA63" s="291"/>
      <x:c r="UTB63" s="291"/>
      <x:c r="UTC63" s="291"/>
      <x:c r="UTD63" s="291"/>
      <x:c r="UTE63" s="291"/>
      <x:c r="UTF63" s="291"/>
      <x:c r="UTG63" s="291"/>
      <x:c r="UTH63" s="291"/>
      <x:c r="UTI63" s="291"/>
      <x:c r="UTJ63" s="291"/>
      <x:c r="UTK63" s="291"/>
      <x:c r="UTL63" s="291"/>
      <x:c r="UTM63" s="291"/>
      <x:c r="UTN63" s="291"/>
      <x:c r="UTO63" s="291"/>
      <x:c r="UTP63" s="291"/>
      <x:c r="UTQ63" s="291"/>
      <x:c r="UTR63" s="291"/>
      <x:c r="UTS63" s="291"/>
      <x:c r="UTT63" s="291"/>
      <x:c r="UTU63" s="291"/>
      <x:c r="UTV63" s="291"/>
      <x:c r="UTW63" s="291"/>
      <x:c r="UTX63" s="291"/>
      <x:c r="UTY63" s="291"/>
      <x:c r="UTZ63" s="291"/>
      <x:c r="UUA63" s="291"/>
      <x:c r="UUB63" s="291"/>
      <x:c r="UUC63" s="291"/>
      <x:c r="UUD63" s="291"/>
      <x:c r="UUE63" s="291"/>
      <x:c r="UUF63" s="291"/>
      <x:c r="UUG63" s="291"/>
      <x:c r="UUH63" s="291"/>
      <x:c r="UUI63" s="291"/>
      <x:c r="UUJ63" s="291"/>
      <x:c r="UUK63" s="291"/>
      <x:c r="UUL63" s="291"/>
      <x:c r="UUM63" s="291"/>
      <x:c r="UUN63" s="291"/>
      <x:c r="UUO63" s="291"/>
      <x:c r="UUP63" s="291"/>
      <x:c r="UUQ63" s="291"/>
      <x:c r="UUR63" s="291"/>
      <x:c r="UUS63" s="291"/>
      <x:c r="UUT63" s="291"/>
      <x:c r="UUU63" s="291"/>
      <x:c r="UUV63" s="291"/>
      <x:c r="UUW63" s="291"/>
      <x:c r="UUX63" s="291"/>
      <x:c r="UUY63" s="291"/>
      <x:c r="UUZ63" s="291"/>
      <x:c r="UVA63" s="291"/>
      <x:c r="UVB63" s="291"/>
      <x:c r="UVC63" s="291"/>
      <x:c r="UVD63" s="291"/>
      <x:c r="UVE63" s="291"/>
      <x:c r="UVF63" s="291"/>
      <x:c r="UVG63" s="291"/>
      <x:c r="UVH63" s="291"/>
      <x:c r="UVI63" s="291"/>
      <x:c r="UVJ63" s="291"/>
      <x:c r="UVK63" s="291"/>
      <x:c r="UVL63" s="291"/>
      <x:c r="UVM63" s="291"/>
      <x:c r="UVN63" s="291"/>
      <x:c r="UVO63" s="291"/>
      <x:c r="UVP63" s="291"/>
      <x:c r="UVQ63" s="291"/>
      <x:c r="UVR63" s="291"/>
      <x:c r="UVS63" s="291"/>
      <x:c r="UVT63" s="291"/>
      <x:c r="UVU63" s="291"/>
      <x:c r="UVV63" s="291"/>
      <x:c r="UVW63" s="291"/>
      <x:c r="UVX63" s="291"/>
      <x:c r="UVY63" s="291"/>
      <x:c r="UVZ63" s="291"/>
      <x:c r="UWA63" s="291"/>
      <x:c r="UWB63" s="291"/>
      <x:c r="UWC63" s="291"/>
      <x:c r="UWD63" s="291"/>
      <x:c r="UWE63" s="291"/>
      <x:c r="UWF63" s="291"/>
      <x:c r="UWG63" s="291"/>
      <x:c r="UWH63" s="291"/>
      <x:c r="UWI63" s="291"/>
      <x:c r="UWJ63" s="291"/>
      <x:c r="UWK63" s="291"/>
      <x:c r="UWL63" s="291"/>
      <x:c r="UWM63" s="291"/>
      <x:c r="UWN63" s="291"/>
      <x:c r="UWO63" s="291"/>
      <x:c r="UWP63" s="291"/>
      <x:c r="UWQ63" s="291"/>
      <x:c r="UWR63" s="291"/>
      <x:c r="UWS63" s="291"/>
      <x:c r="UWT63" s="291"/>
      <x:c r="UWU63" s="291"/>
      <x:c r="UWV63" s="291"/>
      <x:c r="UWW63" s="291"/>
      <x:c r="UWX63" s="291"/>
      <x:c r="UWY63" s="291"/>
      <x:c r="UWZ63" s="291"/>
      <x:c r="UXA63" s="291"/>
      <x:c r="UXB63" s="291"/>
      <x:c r="UXC63" s="291"/>
      <x:c r="UXD63" s="291"/>
      <x:c r="UXE63" s="291"/>
      <x:c r="UXF63" s="291"/>
      <x:c r="UXG63" s="291"/>
      <x:c r="UXH63" s="291"/>
      <x:c r="UXI63" s="291"/>
      <x:c r="UXJ63" s="291"/>
      <x:c r="UXK63" s="291"/>
      <x:c r="UXL63" s="291"/>
      <x:c r="UXM63" s="291"/>
      <x:c r="UXN63" s="291"/>
      <x:c r="UXO63" s="291"/>
      <x:c r="UXP63" s="291"/>
      <x:c r="UXQ63" s="291"/>
      <x:c r="UXR63" s="291"/>
      <x:c r="UXS63" s="291"/>
      <x:c r="UXT63" s="291"/>
      <x:c r="UXU63" s="291"/>
      <x:c r="UXV63" s="291"/>
      <x:c r="UXW63" s="291"/>
      <x:c r="UXX63" s="291"/>
      <x:c r="UXY63" s="291"/>
      <x:c r="UXZ63" s="291"/>
      <x:c r="UYA63" s="291"/>
      <x:c r="UYB63" s="291"/>
      <x:c r="UYC63" s="291"/>
      <x:c r="UYD63" s="291"/>
      <x:c r="UYE63" s="291"/>
      <x:c r="UYF63" s="291"/>
      <x:c r="UYG63" s="291"/>
      <x:c r="UYH63" s="291"/>
      <x:c r="UYI63" s="291"/>
      <x:c r="UYJ63" s="291"/>
      <x:c r="UYK63" s="291"/>
      <x:c r="UYL63" s="291"/>
      <x:c r="UYM63" s="291"/>
      <x:c r="UYN63" s="291"/>
      <x:c r="UYO63" s="291"/>
      <x:c r="UYP63" s="291"/>
      <x:c r="UYQ63" s="291"/>
      <x:c r="UYR63" s="291"/>
      <x:c r="UYS63" s="291"/>
      <x:c r="UYT63" s="291"/>
      <x:c r="UYU63" s="291"/>
      <x:c r="UYV63" s="291"/>
      <x:c r="UYW63" s="291"/>
      <x:c r="UYX63" s="291"/>
      <x:c r="UYY63" s="291"/>
      <x:c r="UYZ63" s="291"/>
      <x:c r="UZA63" s="291"/>
      <x:c r="UZB63" s="291"/>
      <x:c r="UZC63" s="291"/>
      <x:c r="UZD63" s="291"/>
      <x:c r="UZE63" s="291"/>
      <x:c r="UZF63" s="291"/>
      <x:c r="UZG63" s="291"/>
      <x:c r="UZH63" s="291"/>
      <x:c r="UZI63" s="291"/>
      <x:c r="UZJ63" s="291"/>
      <x:c r="UZK63" s="291"/>
      <x:c r="UZL63" s="291"/>
      <x:c r="UZM63" s="291"/>
      <x:c r="UZN63" s="291"/>
      <x:c r="UZO63" s="291"/>
      <x:c r="UZP63" s="291"/>
      <x:c r="UZQ63" s="291"/>
      <x:c r="UZR63" s="291"/>
      <x:c r="UZS63" s="291"/>
      <x:c r="UZT63" s="291"/>
      <x:c r="UZU63" s="291"/>
      <x:c r="UZV63" s="291"/>
      <x:c r="UZW63" s="291"/>
      <x:c r="UZX63" s="291"/>
      <x:c r="UZY63" s="291"/>
      <x:c r="UZZ63" s="291"/>
      <x:c r="VAA63" s="291"/>
      <x:c r="VAB63" s="291"/>
      <x:c r="VAC63" s="291"/>
      <x:c r="VAD63" s="291"/>
      <x:c r="VAE63" s="291"/>
      <x:c r="VAF63" s="291"/>
      <x:c r="VAG63" s="291"/>
      <x:c r="VAH63" s="291"/>
      <x:c r="VAI63" s="291"/>
      <x:c r="VAJ63" s="291"/>
      <x:c r="VAK63" s="291"/>
      <x:c r="VAL63" s="291"/>
      <x:c r="VAM63" s="291"/>
      <x:c r="VAN63" s="291"/>
      <x:c r="VAO63" s="291"/>
      <x:c r="VAP63" s="291"/>
      <x:c r="VAQ63" s="291"/>
      <x:c r="VAR63" s="291"/>
      <x:c r="VAS63" s="291"/>
      <x:c r="VAT63" s="291"/>
      <x:c r="VAU63" s="291"/>
      <x:c r="VAV63" s="291"/>
      <x:c r="VAW63" s="291"/>
      <x:c r="VAX63" s="291"/>
      <x:c r="VAY63" s="291"/>
      <x:c r="VAZ63" s="291"/>
      <x:c r="VBA63" s="291"/>
      <x:c r="VBB63" s="291"/>
      <x:c r="VBC63" s="291"/>
      <x:c r="VBD63" s="291"/>
      <x:c r="VBE63" s="291"/>
      <x:c r="VBF63" s="291"/>
      <x:c r="VBG63" s="291"/>
      <x:c r="VBH63" s="291"/>
      <x:c r="VBI63" s="291"/>
      <x:c r="VBJ63" s="291"/>
      <x:c r="VBK63" s="291"/>
      <x:c r="VBL63" s="291"/>
      <x:c r="VBM63" s="291"/>
      <x:c r="VBN63" s="291"/>
      <x:c r="VBO63" s="291"/>
      <x:c r="VBP63" s="291"/>
      <x:c r="VBQ63" s="291"/>
      <x:c r="VBR63" s="291"/>
      <x:c r="VBS63" s="291"/>
      <x:c r="VBT63" s="291"/>
      <x:c r="VBU63" s="291"/>
      <x:c r="VBV63" s="291"/>
      <x:c r="VBW63" s="291"/>
      <x:c r="VBX63" s="291"/>
      <x:c r="VBY63" s="291"/>
      <x:c r="VBZ63" s="291"/>
      <x:c r="VCA63" s="291"/>
      <x:c r="VCB63" s="291"/>
      <x:c r="VCC63" s="291"/>
      <x:c r="VCD63" s="291"/>
      <x:c r="VCE63" s="291"/>
      <x:c r="VCF63" s="291"/>
      <x:c r="VCG63" s="291"/>
      <x:c r="VCH63" s="291"/>
      <x:c r="VCI63" s="291"/>
      <x:c r="VCJ63" s="291"/>
      <x:c r="VCK63" s="291"/>
      <x:c r="VCL63" s="291"/>
      <x:c r="VCM63" s="291"/>
      <x:c r="VCN63" s="291"/>
      <x:c r="VCO63" s="291"/>
      <x:c r="VCP63" s="291"/>
      <x:c r="VCQ63" s="291"/>
      <x:c r="VCR63" s="291"/>
      <x:c r="VCS63" s="291"/>
      <x:c r="VCT63" s="291"/>
      <x:c r="VCU63" s="291"/>
      <x:c r="VCV63" s="291"/>
      <x:c r="VCW63" s="291"/>
      <x:c r="VCX63" s="291"/>
      <x:c r="VCY63" s="291"/>
      <x:c r="VCZ63" s="291"/>
      <x:c r="VDA63" s="291"/>
      <x:c r="VDB63" s="291"/>
      <x:c r="VDC63" s="291"/>
      <x:c r="VDD63" s="291"/>
      <x:c r="VDE63" s="291"/>
      <x:c r="VDF63" s="291"/>
      <x:c r="VDG63" s="291"/>
      <x:c r="VDH63" s="291"/>
      <x:c r="VDI63" s="291"/>
      <x:c r="VDJ63" s="291"/>
      <x:c r="VDK63" s="291"/>
      <x:c r="VDL63" s="291"/>
      <x:c r="VDM63" s="291"/>
      <x:c r="VDN63" s="291"/>
      <x:c r="VDO63" s="291"/>
      <x:c r="VDP63" s="291"/>
      <x:c r="VDQ63" s="291"/>
      <x:c r="VDR63" s="291"/>
      <x:c r="VDS63" s="291"/>
      <x:c r="VDT63" s="291"/>
      <x:c r="VDU63" s="291"/>
      <x:c r="VDV63" s="291"/>
      <x:c r="VDW63" s="291"/>
      <x:c r="VDX63" s="291"/>
      <x:c r="VDY63" s="291"/>
      <x:c r="VDZ63" s="291"/>
      <x:c r="VEA63" s="291"/>
      <x:c r="VEB63" s="291"/>
      <x:c r="VEC63" s="291"/>
      <x:c r="VED63" s="291"/>
      <x:c r="VEE63" s="291"/>
      <x:c r="VEF63" s="291"/>
      <x:c r="VEG63" s="291"/>
      <x:c r="VEH63" s="291"/>
      <x:c r="VEI63" s="291"/>
      <x:c r="VEJ63" s="291"/>
      <x:c r="VEK63" s="291"/>
      <x:c r="VEL63" s="291"/>
      <x:c r="VEM63" s="291"/>
      <x:c r="VEN63" s="291"/>
      <x:c r="VEO63" s="291"/>
      <x:c r="VEP63" s="291"/>
      <x:c r="VEQ63" s="291"/>
      <x:c r="VER63" s="291"/>
      <x:c r="VES63" s="291"/>
      <x:c r="VET63" s="291"/>
      <x:c r="VEU63" s="291"/>
      <x:c r="VEV63" s="291"/>
      <x:c r="VEW63" s="291"/>
      <x:c r="VEX63" s="291"/>
      <x:c r="VEY63" s="291"/>
      <x:c r="VEZ63" s="291"/>
      <x:c r="VFA63" s="291"/>
      <x:c r="VFB63" s="291"/>
      <x:c r="VFC63" s="291"/>
      <x:c r="VFD63" s="291"/>
      <x:c r="VFE63" s="291"/>
      <x:c r="VFF63" s="291"/>
      <x:c r="VFG63" s="291"/>
      <x:c r="VFH63" s="291"/>
      <x:c r="VFI63" s="291"/>
      <x:c r="VFJ63" s="291"/>
      <x:c r="VFK63" s="291"/>
      <x:c r="VFL63" s="291"/>
      <x:c r="VFM63" s="291"/>
      <x:c r="VFN63" s="291"/>
      <x:c r="VFO63" s="291"/>
      <x:c r="VFP63" s="291"/>
      <x:c r="VFQ63" s="291"/>
      <x:c r="VFR63" s="291"/>
      <x:c r="VFS63" s="291"/>
      <x:c r="VFT63" s="291"/>
      <x:c r="VFU63" s="291"/>
      <x:c r="VFV63" s="291"/>
      <x:c r="VFW63" s="291"/>
      <x:c r="VFX63" s="291"/>
      <x:c r="VFY63" s="291"/>
      <x:c r="VFZ63" s="291"/>
      <x:c r="VGA63" s="291"/>
      <x:c r="VGB63" s="291"/>
      <x:c r="VGC63" s="291"/>
      <x:c r="VGD63" s="291"/>
      <x:c r="VGE63" s="291"/>
      <x:c r="VGF63" s="291"/>
      <x:c r="VGG63" s="291"/>
      <x:c r="VGH63" s="291"/>
      <x:c r="VGI63" s="291"/>
      <x:c r="VGJ63" s="291"/>
      <x:c r="VGK63" s="291"/>
      <x:c r="VGL63" s="291"/>
      <x:c r="VGM63" s="291"/>
      <x:c r="VGN63" s="291"/>
      <x:c r="VGO63" s="291"/>
      <x:c r="VGP63" s="291"/>
      <x:c r="VGQ63" s="291"/>
      <x:c r="VGR63" s="291"/>
      <x:c r="VGS63" s="291"/>
      <x:c r="VGT63" s="291"/>
      <x:c r="VGU63" s="291"/>
      <x:c r="VGV63" s="291"/>
      <x:c r="VGW63" s="291"/>
      <x:c r="VGX63" s="291"/>
      <x:c r="VGY63" s="291"/>
      <x:c r="VGZ63" s="291"/>
      <x:c r="VHA63" s="291"/>
      <x:c r="VHB63" s="291"/>
      <x:c r="VHC63" s="291"/>
      <x:c r="VHD63" s="291"/>
      <x:c r="VHE63" s="291"/>
      <x:c r="VHF63" s="291"/>
      <x:c r="VHG63" s="291"/>
      <x:c r="VHH63" s="291"/>
      <x:c r="VHI63" s="291"/>
      <x:c r="VHJ63" s="291"/>
      <x:c r="VHK63" s="291"/>
      <x:c r="VHL63" s="291"/>
      <x:c r="VHM63" s="291"/>
      <x:c r="VHN63" s="291"/>
      <x:c r="VHO63" s="291"/>
      <x:c r="VHP63" s="291"/>
      <x:c r="VHQ63" s="291"/>
      <x:c r="VHR63" s="291"/>
      <x:c r="VHS63" s="291"/>
      <x:c r="VHT63" s="291"/>
      <x:c r="VHU63" s="291"/>
      <x:c r="VHV63" s="291"/>
      <x:c r="VHW63" s="291"/>
      <x:c r="VHX63" s="291"/>
      <x:c r="VHY63" s="291"/>
      <x:c r="VHZ63" s="291"/>
      <x:c r="VIA63" s="291"/>
      <x:c r="VIB63" s="291"/>
      <x:c r="VIC63" s="291"/>
      <x:c r="VID63" s="291"/>
      <x:c r="VIE63" s="291"/>
      <x:c r="VIF63" s="291"/>
      <x:c r="VIG63" s="291"/>
      <x:c r="VIH63" s="291"/>
      <x:c r="VII63" s="291"/>
      <x:c r="VIJ63" s="291"/>
      <x:c r="VIK63" s="291"/>
      <x:c r="VIL63" s="291"/>
      <x:c r="VIM63" s="291"/>
      <x:c r="VIN63" s="291"/>
      <x:c r="VIO63" s="291"/>
      <x:c r="VIP63" s="291"/>
      <x:c r="VIQ63" s="291"/>
      <x:c r="VIR63" s="291"/>
      <x:c r="VIS63" s="291"/>
      <x:c r="VIT63" s="291"/>
      <x:c r="VIU63" s="291"/>
      <x:c r="VIV63" s="291"/>
      <x:c r="VIW63" s="291"/>
      <x:c r="VIX63" s="291"/>
      <x:c r="VIY63" s="291"/>
      <x:c r="VIZ63" s="291"/>
      <x:c r="VJA63" s="291"/>
      <x:c r="VJB63" s="291"/>
      <x:c r="VJC63" s="291"/>
      <x:c r="VJD63" s="291"/>
      <x:c r="VJE63" s="291"/>
      <x:c r="VJF63" s="291"/>
      <x:c r="VJG63" s="291"/>
      <x:c r="VJH63" s="291"/>
      <x:c r="VJI63" s="291"/>
      <x:c r="VJJ63" s="291"/>
      <x:c r="VJK63" s="291"/>
      <x:c r="VJL63" s="291"/>
      <x:c r="VJM63" s="291"/>
      <x:c r="VJN63" s="291"/>
      <x:c r="VJO63" s="291"/>
      <x:c r="VJP63" s="291"/>
      <x:c r="VJQ63" s="291"/>
      <x:c r="VJR63" s="291"/>
      <x:c r="VJS63" s="291"/>
      <x:c r="VJT63" s="291"/>
      <x:c r="VJU63" s="291"/>
      <x:c r="VJV63" s="291"/>
      <x:c r="VJW63" s="291"/>
      <x:c r="VJX63" s="291"/>
      <x:c r="VJY63" s="291"/>
      <x:c r="VJZ63" s="291"/>
      <x:c r="VKA63" s="291"/>
      <x:c r="VKB63" s="291"/>
      <x:c r="VKC63" s="291"/>
      <x:c r="VKD63" s="291"/>
      <x:c r="VKE63" s="291"/>
      <x:c r="VKF63" s="291"/>
      <x:c r="VKG63" s="291"/>
      <x:c r="VKH63" s="291"/>
      <x:c r="VKI63" s="291"/>
      <x:c r="VKJ63" s="291"/>
      <x:c r="VKK63" s="291"/>
      <x:c r="VKL63" s="291"/>
      <x:c r="VKM63" s="291"/>
      <x:c r="VKN63" s="291"/>
      <x:c r="VKO63" s="291"/>
      <x:c r="VKP63" s="291"/>
      <x:c r="VKQ63" s="291"/>
      <x:c r="VKR63" s="291"/>
      <x:c r="VKS63" s="291"/>
      <x:c r="VKT63" s="291"/>
      <x:c r="VKU63" s="291"/>
      <x:c r="VKV63" s="291"/>
      <x:c r="VKW63" s="291"/>
      <x:c r="VKX63" s="291"/>
      <x:c r="VKY63" s="291"/>
      <x:c r="VKZ63" s="291"/>
      <x:c r="VLA63" s="291"/>
      <x:c r="VLB63" s="291"/>
      <x:c r="VLC63" s="291"/>
      <x:c r="VLD63" s="291"/>
      <x:c r="VLE63" s="291"/>
      <x:c r="VLF63" s="291"/>
      <x:c r="VLG63" s="291"/>
      <x:c r="VLH63" s="291"/>
      <x:c r="VLI63" s="291"/>
      <x:c r="VLJ63" s="291"/>
      <x:c r="VLK63" s="291"/>
      <x:c r="VLL63" s="291"/>
      <x:c r="VLM63" s="291"/>
      <x:c r="VLN63" s="291"/>
      <x:c r="VLO63" s="291"/>
      <x:c r="VLP63" s="291"/>
      <x:c r="VLQ63" s="291"/>
      <x:c r="VLR63" s="291"/>
      <x:c r="VLS63" s="291"/>
      <x:c r="VLT63" s="291"/>
      <x:c r="VLU63" s="291"/>
      <x:c r="VLV63" s="291"/>
      <x:c r="VLW63" s="291"/>
      <x:c r="VLX63" s="291"/>
      <x:c r="VLY63" s="291"/>
      <x:c r="VLZ63" s="291"/>
      <x:c r="VMA63" s="291"/>
      <x:c r="VMB63" s="291"/>
      <x:c r="VMC63" s="291"/>
      <x:c r="VMD63" s="291"/>
      <x:c r="VME63" s="291"/>
      <x:c r="VMF63" s="291"/>
      <x:c r="VMG63" s="291"/>
      <x:c r="VMH63" s="291"/>
      <x:c r="VMI63" s="291"/>
      <x:c r="VMJ63" s="291"/>
      <x:c r="VMK63" s="291"/>
      <x:c r="VML63" s="291"/>
      <x:c r="VMM63" s="291"/>
      <x:c r="VMN63" s="291"/>
      <x:c r="VMO63" s="291"/>
      <x:c r="VMP63" s="291"/>
      <x:c r="VMQ63" s="291"/>
      <x:c r="VMR63" s="291"/>
      <x:c r="VMS63" s="291"/>
      <x:c r="VMT63" s="291"/>
      <x:c r="VMU63" s="291"/>
      <x:c r="VMV63" s="291"/>
      <x:c r="VMW63" s="291"/>
      <x:c r="VMX63" s="291"/>
      <x:c r="VMY63" s="291"/>
      <x:c r="VMZ63" s="291"/>
      <x:c r="VNA63" s="291"/>
      <x:c r="VNB63" s="291"/>
      <x:c r="VNC63" s="291"/>
      <x:c r="VND63" s="291"/>
      <x:c r="VNE63" s="291"/>
      <x:c r="VNF63" s="291"/>
      <x:c r="VNG63" s="291"/>
      <x:c r="VNH63" s="291"/>
      <x:c r="VNI63" s="291"/>
      <x:c r="VNJ63" s="291"/>
      <x:c r="VNK63" s="291"/>
      <x:c r="VNL63" s="291"/>
      <x:c r="VNM63" s="291"/>
      <x:c r="VNN63" s="291"/>
      <x:c r="VNO63" s="291"/>
      <x:c r="VNP63" s="291"/>
      <x:c r="VNQ63" s="291"/>
      <x:c r="VNR63" s="291"/>
      <x:c r="VNS63" s="291"/>
      <x:c r="VNT63" s="291"/>
      <x:c r="VNU63" s="291"/>
      <x:c r="VNV63" s="291"/>
      <x:c r="VNW63" s="291"/>
      <x:c r="VNX63" s="291"/>
      <x:c r="VNY63" s="291"/>
      <x:c r="VNZ63" s="291"/>
      <x:c r="VOA63" s="291"/>
      <x:c r="VOB63" s="291"/>
      <x:c r="VOC63" s="291"/>
      <x:c r="VOD63" s="291"/>
      <x:c r="VOE63" s="291"/>
      <x:c r="VOF63" s="291"/>
      <x:c r="VOG63" s="291"/>
      <x:c r="VOH63" s="291"/>
      <x:c r="VOI63" s="291"/>
      <x:c r="VOJ63" s="291"/>
      <x:c r="VOK63" s="291"/>
      <x:c r="VOL63" s="291"/>
      <x:c r="VOM63" s="291"/>
      <x:c r="VON63" s="291"/>
      <x:c r="VOO63" s="291"/>
      <x:c r="VOP63" s="291"/>
      <x:c r="VOQ63" s="291"/>
      <x:c r="VOR63" s="291"/>
      <x:c r="VOS63" s="291"/>
      <x:c r="VOT63" s="291"/>
      <x:c r="VOU63" s="291"/>
      <x:c r="VOV63" s="291"/>
      <x:c r="VOW63" s="291"/>
      <x:c r="VOX63" s="291"/>
      <x:c r="VOY63" s="291"/>
      <x:c r="VOZ63" s="291"/>
      <x:c r="VPA63" s="291"/>
      <x:c r="VPB63" s="291"/>
      <x:c r="VPC63" s="291"/>
      <x:c r="VPD63" s="291"/>
      <x:c r="VPE63" s="291"/>
      <x:c r="VPF63" s="291"/>
      <x:c r="VPG63" s="291"/>
      <x:c r="VPH63" s="291"/>
      <x:c r="VPI63" s="291"/>
      <x:c r="VPJ63" s="291"/>
      <x:c r="VPK63" s="291"/>
      <x:c r="VPL63" s="291"/>
      <x:c r="VPM63" s="291"/>
      <x:c r="VPN63" s="291"/>
      <x:c r="VPO63" s="291"/>
      <x:c r="VPP63" s="291"/>
      <x:c r="VPQ63" s="291"/>
      <x:c r="VPR63" s="291"/>
      <x:c r="VPS63" s="291"/>
      <x:c r="VPT63" s="291"/>
      <x:c r="VPU63" s="291"/>
      <x:c r="VPV63" s="291"/>
      <x:c r="VPW63" s="291"/>
      <x:c r="VPX63" s="291"/>
      <x:c r="VPY63" s="291"/>
      <x:c r="VPZ63" s="291"/>
      <x:c r="VQA63" s="291"/>
      <x:c r="VQB63" s="291"/>
      <x:c r="VQC63" s="291"/>
      <x:c r="VQD63" s="291"/>
      <x:c r="VQE63" s="291"/>
      <x:c r="VQF63" s="291"/>
      <x:c r="VQG63" s="291"/>
      <x:c r="VQH63" s="291"/>
      <x:c r="VQI63" s="291"/>
      <x:c r="VQJ63" s="291"/>
      <x:c r="VQK63" s="291"/>
      <x:c r="VQL63" s="291"/>
      <x:c r="VQM63" s="291"/>
      <x:c r="VQN63" s="291"/>
      <x:c r="VQO63" s="291"/>
      <x:c r="VQP63" s="291"/>
      <x:c r="VQQ63" s="291"/>
      <x:c r="VQR63" s="291"/>
      <x:c r="VQS63" s="291"/>
      <x:c r="VQT63" s="291"/>
      <x:c r="VQU63" s="291"/>
      <x:c r="VQV63" s="291"/>
      <x:c r="VQW63" s="291"/>
      <x:c r="VQX63" s="291"/>
      <x:c r="VQY63" s="291"/>
      <x:c r="VQZ63" s="291"/>
      <x:c r="VRA63" s="291"/>
      <x:c r="VRB63" s="291"/>
      <x:c r="VRC63" s="291"/>
      <x:c r="VRD63" s="291"/>
      <x:c r="VRE63" s="291"/>
      <x:c r="VRF63" s="291"/>
      <x:c r="VRG63" s="291"/>
      <x:c r="VRH63" s="291"/>
      <x:c r="VRI63" s="291"/>
      <x:c r="VRJ63" s="291"/>
      <x:c r="VRK63" s="291"/>
      <x:c r="VRL63" s="291"/>
      <x:c r="VRM63" s="291"/>
      <x:c r="VRN63" s="291"/>
      <x:c r="VRO63" s="291"/>
      <x:c r="VRP63" s="291"/>
      <x:c r="VRQ63" s="291"/>
      <x:c r="VRR63" s="291"/>
      <x:c r="VRS63" s="291"/>
      <x:c r="VRT63" s="291"/>
      <x:c r="VRU63" s="291"/>
      <x:c r="VRV63" s="291"/>
      <x:c r="VRW63" s="291"/>
      <x:c r="VRX63" s="291"/>
      <x:c r="VRY63" s="291"/>
      <x:c r="VRZ63" s="291"/>
      <x:c r="VSA63" s="291"/>
      <x:c r="VSB63" s="291"/>
      <x:c r="VSC63" s="291"/>
      <x:c r="VSD63" s="291"/>
      <x:c r="VSE63" s="291"/>
      <x:c r="VSF63" s="291"/>
      <x:c r="VSG63" s="291"/>
      <x:c r="VSH63" s="291"/>
      <x:c r="VSI63" s="291"/>
      <x:c r="VSJ63" s="291"/>
      <x:c r="VSK63" s="291"/>
      <x:c r="VSL63" s="291"/>
      <x:c r="VSM63" s="291"/>
      <x:c r="VSN63" s="291"/>
      <x:c r="VSO63" s="291"/>
      <x:c r="VSP63" s="291"/>
      <x:c r="VSQ63" s="291"/>
      <x:c r="VSR63" s="291"/>
      <x:c r="VSS63" s="291"/>
      <x:c r="VST63" s="291"/>
      <x:c r="VSU63" s="291"/>
      <x:c r="VSV63" s="291"/>
      <x:c r="VSW63" s="291"/>
      <x:c r="VSX63" s="291"/>
      <x:c r="VSY63" s="291"/>
      <x:c r="VSZ63" s="291"/>
      <x:c r="VTA63" s="291"/>
      <x:c r="VTB63" s="291"/>
      <x:c r="VTC63" s="291"/>
      <x:c r="VTD63" s="291"/>
      <x:c r="VTE63" s="291"/>
      <x:c r="VTF63" s="291"/>
      <x:c r="VTG63" s="291"/>
      <x:c r="VTH63" s="291"/>
      <x:c r="VTI63" s="291"/>
      <x:c r="VTJ63" s="291"/>
      <x:c r="VTK63" s="291"/>
      <x:c r="VTL63" s="291"/>
      <x:c r="VTM63" s="291"/>
      <x:c r="VTN63" s="291"/>
      <x:c r="VTO63" s="291"/>
      <x:c r="VTP63" s="291"/>
      <x:c r="VTQ63" s="291"/>
      <x:c r="VTR63" s="291"/>
      <x:c r="VTS63" s="291"/>
      <x:c r="VTT63" s="291"/>
      <x:c r="VTU63" s="291"/>
      <x:c r="VTV63" s="291"/>
      <x:c r="VTW63" s="291"/>
      <x:c r="VTX63" s="291"/>
      <x:c r="VTY63" s="291"/>
      <x:c r="VTZ63" s="291"/>
      <x:c r="VUA63" s="291"/>
      <x:c r="VUB63" s="291"/>
      <x:c r="VUC63" s="291"/>
      <x:c r="VUD63" s="291"/>
      <x:c r="VUE63" s="291"/>
      <x:c r="VUF63" s="291"/>
      <x:c r="VUG63" s="291"/>
      <x:c r="VUH63" s="291"/>
      <x:c r="VUI63" s="291"/>
      <x:c r="VUJ63" s="291"/>
      <x:c r="VUK63" s="291"/>
      <x:c r="VUL63" s="291"/>
      <x:c r="VUM63" s="291"/>
      <x:c r="VUN63" s="291"/>
      <x:c r="VUO63" s="291"/>
      <x:c r="VUP63" s="291"/>
      <x:c r="VUQ63" s="291"/>
      <x:c r="VUR63" s="291"/>
      <x:c r="VUS63" s="291"/>
      <x:c r="VUT63" s="291"/>
      <x:c r="VUU63" s="291"/>
      <x:c r="VUV63" s="291"/>
      <x:c r="VUW63" s="291"/>
      <x:c r="VUX63" s="291"/>
      <x:c r="VUY63" s="291"/>
      <x:c r="VUZ63" s="291"/>
      <x:c r="VVA63" s="291"/>
      <x:c r="VVB63" s="291"/>
      <x:c r="VVC63" s="291"/>
      <x:c r="VVD63" s="291"/>
      <x:c r="VVE63" s="291"/>
      <x:c r="VVF63" s="291"/>
      <x:c r="VVG63" s="291"/>
      <x:c r="VVH63" s="291"/>
      <x:c r="VVI63" s="291"/>
      <x:c r="VVJ63" s="291"/>
      <x:c r="VVK63" s="291"/>
      <x:c r="VVL63" s="291"/>
      <x:c r="VVM63" s="291"/>
      <x:c r="VVN63" s="291"/>
      <x:c r="VVO63" s="291"/>
      <x:c r="VVP63" s="291"/>
      <x:c r="VVQ63" s="291"/>
      <x:c r="VVR63" s="291"/>
      <x:c r="VVS63" s="291"/>
      <x:c r="VVT63" s="291"/>
      <x:c r="VVU63" s="291"/>
      <x:c r="VVV63" s="291"/>
      <x:c r="VVW63" s="291"/>
      <x:c r="VVX63" s="291"/>
      <x:c r="VVY63" s="291"/>
      <x:c r="VVZ63" s="291"/>
      <x:c r="VWA63" s="291"/>
      <x:c r="VWB63" s="291"/>
      <x:c r="VWC63" s="291"/>
      <x:c r="VWD63" s="291"/>
      <x:c r="VWE63" s="291"/>
      <x:c r="VWF63" s="291"/>
      <x:c r="VWG63" s="291"/>
      <x:c r="VWH63" s="291"/>
      <x:c r="VWI63" s="291"/>
      <x:c r="VWJ63" s="291"/>
      <x:c r="VWK63" s="291"/>
      <x:c r="VWL63" s="291"/>
      <x:c r="VWM63" s="291"/>
      <x:c r="VWN63" s="291"/>
      <x:c r="VWO63" s="291"/>
      <x:c r="VWP63" s="291"/>
      <x:c r="VWQ63" s="291"/>
      <x:c r="VWR63" s="291"/>
      <x:c r="VWS63" s="291"/>
      <x:c r="VWT63" s="291"/>
      <x:c r="VWU63" s="291"/>
      <x:c r="VWV63" s="291"/>
      <x:c r="VWW63" s="291"/>
      <x:c r="VWX63" s="291"/>
      <x:c r="VWY63" s="291"/>
      <x:c r="VWZ63" s="291"/>
      <x:c r="VXA63" s="291"/>
      <x:c r="VXB63" s="291"/>
      <x:c r="VXC63" s="291"/>
      <x:c r="VXD63" s="291"/>
      <x:c r="VXE63" s="291"/>
      <x:c r="VXF63" s="291"/>
      <x:c r="VXG63" s="291"/>
      <x:c r="VXH63" s="291"/>
      <x:c r="VXI63" s="291"/>
      <x:c r="VXJ63" s="291"/>
      <x:c r="VXK63" s="291"/>
      <x:c r="VXL63" s="291"/>
      <x:c r="VXM63" s="291"/>
      <x:c r="VXN63" s="291"/>
      <x:c r="VXO63" s="291"/>
      <x:c r="VXP63" s="291"/>
      <x:c r="VXQ63" s="291"/>
      <x:c r="VXR63" s="291"/>
      <x:c r="VXS63" s="291"/>
      <x:c r="VXT63" s="291"/>
      <x:c r="VXU63" s="291"/>
      <x:c r="VXV63" s="291"/>
      <x:c r="VXW63" s="291"/>
      <x:c r="VXX63" s="291"/>
      <x:c r="VXY63" s="291"/>
      <x:c r="VXZ63" s="291"/>
      <x:c r="VYA63" s="291"/>
      <x:c r="VYB63" s="291"/>
      <x:c r="VYC63" s="291"/>
      <x:c r="VYD63" s="291"/>
      <x:c r="VYE63" s="291"/>
      <x:c r="VYF63" s="291"/>
      <x:c r="VYG63" s="291"/>
      <x:c r="VYH63" s="291"/>
      <x:c r="VYI63" s="291"/>
      <x:c r="VYJ63" s="291"/>
      <x:c r="VYK63" s="291"/>
      <x:c r="VYL63" s="291"/>
      <x:c r="VYM63" s="291"/>
      <x:c r="VYN63" s="291"/>
      <x:c r="VYO63" s="291"/>
      <x:c r="VYP63" s="291"/>
      <x:c r="VYQ63" s="291"/>
      <x:c r="VYR63" s="291"/>
      <x:c r="VYS63" s="291"/>
      <x:c r="VYT63" s="291"/>
      <x:c r="VYU63" s="291"/>
      <x:c r="VYV63" s="291"/>
      <x:c r="VYW63" s="291"/>
      <x:c r="VYX63" s="291"/>
      <x:c r="VYY63" s="291"/>
      <x:c r="VYZ63" s="291"/>
      <x:c r="VZA63" s="291"/>
      <x:c r="VZB63" s="291"/>
      <x:c r="VZC63" s="291"/>
      <x:c r="VZD63" s="291"/>
      <x:c r="VZE63" s="291"/>
      <x:c r="VZF63" s="291"/>
      <x:c r="VZG63" s="291"/>
      <x:c r="VZH63" s="291"/>
      <x:c r="VZI63" s="291"/>
      <x:c r="VZJ63" s="291"/>
      <x:c r="VZK63" s="291"/>
      <x:c r="VZL63" s="291"/>
      <x:c r="VZM63" s="291"/>
      <x:c r="VZN63" s="291"/>
      <x:c r="VZO63" s="291"/>
      <x:c r="VZP63" s="291"/>
      <x:c r="VZQ63" s="291"/>
      <x:c r="VZR63" s="291"/>
      <x:c r="VZS63" s="291"/>
      <x:c r="VZT63" s="291"/>
      <x:c r="VZU63" s="291"/>
      <x:c r="VZV63" s="291"/>
      <x:c r="VZW63" s="291"/>
      <x:c r="VZX63" s="291"/>
      <x:c r="VZY63" s="291"/>
      <x:c r="VZZ63" s="291"/>
      <x:c r="WAA63" s="291"/>
      <x:c r="WAB63" s="291"/>
      <x:c r="WAC63" s="291"/>
      <x:c r="WAD63" s="291"/>
      <x:c r="WAE63" s="291"/>
      <x:c r="WAF63" s="291"/>
      <x:c r="WAG63" s="291"/>
      <x:c r="WAH63" s="291"/>
      <x:c r="WAI63" s="291"/>
      <x:c r="WAJ63" s="291"/>
      <x:c r="WAK63" s="291"/>
      <x:c r="WAL63" s="291"/>
      <x:c r="WAM63" s="291"/>
      <x:c r="WAN63" s="291"/>
      <x:c r="WAO63" s="291"/>
      <x:c r="WAP63" s="291"/>
      <x:c r="WAQ63" s="291"/>
      <x:c r="WAR63" s="291"/>
      <x:c r="WAS63" s="291"/>
      <x:c r="WAT63" s="291"/>
      <x:c r="WAU63" s="291"/>
      <x:c r="WAV63" s="291"/>
      <x:c r="WAW63" s="291"/>
      <x:c r="WAX63" s="291"/>
      <x:c r="WAY63" s="291"/>
      <x:c r="WAZ63" s="291"/>
      <x:c r="WBA63" s="291"/>
      <x:c r="WBB63" s="291"/>
      <x:c r="WBC63" s="291"/>
      <x:c r="WBD63" s="291"/>
      <x:c r="WBE63" s="291"/>
      <x:c r="WBF63" s="291"/>
      <x:c r="WBG63" s="291"/>
      <x:c r="WBH63" s="291"/>
      <x:c r="WBI63" s="291"/>
      <x:c r="WBJ63" s="291"/>
      <x:c r="WBK63" s="291"/>
      <x:c r="WBL63" s="291"/>
      <x:c r="WBM63" s="291"/>
      <x:c r="WBN63" s="291"/>
      <x:c r="WBO63" s="291"/>
      <x:c r="WBP63" s="291"/>
      <x:c r="WBQ63" s="291"/>
      <x:c r="WBR63" s="291"/>
      <x:c r="WBS63" s="291"/>
      <x:c r="WBT63" s="291"/>
      <x:c r="WBU63" s="291"/>
      <x:c r="WBV63" s="291"/>
      <x:c r="WBW63" s="291"/>
      <x:c r="WBX63" s="291"/>
      <x:c r="WBY63" s="291"/>
      <x:c r="WBZ63" s="291"/>
      <x:c r="WCA63" s="291"/>
      <x:c r="WCB63" s="291"/>
      <x:c r="WCC63" s="291"/>
      <x:c r="WCD63" s="291"/>
      <x:c r="WCE63" s="291"/>
      <x:c r="WCF63" s="291"/>
      <x:c r="WCG63" s="291"/>
      <x:c r="WCH63" s="291"/>
      <x:c r="WCI63" s="291"/>
      <x:c r="WCJ63" s="291"/>
      <x:c r="WCK63" s="291"/>
      <x:c r="WCL63" s="291"/>
      <x:c r="WCM63" s="291"/>
      <x:c r="WCN63" s="291"/>
      <x:c r="WCO63" s="291"/>
      <x:c r="WCP63" s="291"/>
      <x:c r="WCQ63" s="291"/>
      <x:c r="WCR63" s="291"/>
      <x:c r="WCS63" s="291"/>
      <x:c r="WCT63" s="291"/>
      <x:c r="WCU63" s="291"/>
      <x:c r="WCV63" s="291"/>
      <x:c r="WCW63" s="291"/>
      <x:c r="WCX63" s="291"/>
      <x:c r="WCY63" s="291"/>
      <x:c r="WCZ63" s="291"/>
      <x:c r="WDA63" s="291"/>
      <x:c r="WDB63" s="291"/>
      <x:c r="WDC63" s="291"/>
      <x:c r="WDD63" s="291"/>
      <x:c r="WDE63" s="291"/>
      <x:c r="WDF63" s="291"/>
      <x:c r="WDG63" s="291"/>
      <x:c r="WDH63" s="291"/>
      <x:c r="WDI63" s="291"/>
      <x:c r="WDJ63" s="291"/>
      <x:c r="WDK63" s="291"/>
      <x:c r="WDL63" s="291"/>
      <x:c r="WDM63" s="291"/>
      <x:c r="WDN63" s="291"/>
      <x:c r="WDO63" s="291"/>
      <x:c r="WDP63" s="291"/>
      <x:c r="WDQ63" s="291"/>
      <x:c r="WDR63" s="291"/>
      <x:c r="WDS63" s="291"/>
      <x:c r="WDT63" s="291"/>
      <x:c r="WDU63" s="291"/>
      <x:c r="WDV63" s="291"/>
      <x:c r="WDW63" s="291"/>
      <x:c r="WDX63" s="291"/>
      <x:c r="WDY63" s="291"/>
      <x:c r="WDZ63" s="291"/>
      <x:c r="WEA63" s="291"/>
      <x:c r="WEB63" s="291"/>
      <x:c r="WEC63" s="291"/>
      <x:c r="WED63" s="291"/>
      <x:c r="WEE63" s="291"/>
      <x:c r="WEF63" s="291"/>
      <x:c r="WEG63" s="291"/>
      <x:c r="WEH63" s="291"/>
      <x:c r="WEI63" s="291"/>
      <x:c r="WEJ63" s="291"/>
      <x:c r="WEK63" s="291"/>
      <x:c r="WEL63" s="291"/>
      <x:c r="WEM63" s="291"/>
      <x:c r="WEN63" s="291"/>
      <x:c r="WEO63" s="291"/>
      <x:c r="WEP63" s="291"/>
      <x:c r="WEQ63" s="291"/>
      <x:c r="WER63" s="291"/>
      <x:c r="WES63" s="291"/>
      <x:c r="WET63" s="291"/>
      <x:c r="WEU63" s="291"/>
      <x:c r="WEV63" s="291"/>
      <x:c r="WEW63" s="291"/>
      <x:c r="WEX63" s="291"/>
      <x:c r="WEY63" s="291"/>
      <x:c r="WEZ63" s="291"/>
      <x:c r="WFA63" s="291"/>
      <x:c r="WFB63" s="291"/>
      <x:c r="WFC63" s="291"/>
      <x:c r="WFD63" s="291"/>
      <x:c r="WFE63" s="291"/>
      <x:c r="WFF63" s="291"/>
      <x:c r="WFG63" s="291"/>
      <x:c r="WFH63" s="291"/>
      <x:c r="WFI63" s="291"/>
      <x:c r="WFJ63" s="291"/>
      <x:c r="WFK63" s="291"/>
      <x:c r="WFL63" s="291"/>
      <x:c r="WFM63" s="291"/>
      <x:c r="WFN63" s="291"/>
      <x:c r="WFO63" s="291"/>
      <x:c r="WFP63" s="291"/>
      <x:c r="WFQ63" s="291"/>
      <x:c r="WFR63" s="291"/>
      <x:c r="WFS63" s="291"/>
      <x:c r="WFT63" s="291"/>
      <x:c r="WFU63" s="291"/>
      <x:c r="WFV63" s="291"/>
      <x:c r="WFW63" s="291"/>
      <x:c r="WFX63" s="291"/>
      <x:c r="WFY63" s="291"/>
      <x:c r="WFZ63" s="291"/>
      <x:c r="WGA63" s="291"/>
      <x:c r="WGB63" s="291"/>
      <x:c r="WGC63" s="291"/>
      <x:c r="WGD63" s="291"/>
      <x:c r="WGE63" s="291"/>
      <x:c r="WGF63" s="291"/>
      <x:c r="WGG63" s="291"/>
      <x:c r="WGH63" s="291"/>
      <x:c r="WGI63" s="291"/>
      <x:c r="WGJ63" s="291"/>
      <x:c r="WGK63" s="291"/>
      <x:c r="WGL63" s="291"/>
      <x:c r="WGM63" s="291"/>
      <x:c r="WGN63" s="291"/>
      <x:c r="WGO63" s="291"/>
      <x:c r="WGP63" s="291"/>
      <x:c r="WGQ63" s="291"/>
      <x:c r="WGR63" s="291"/>
      <x:c r="WGS63" s="291"/>
      <x:c r="WGT63" s="291"/>
      <x:c r="WGU63" s="291"/>
      <x:c r="WGV63" s="291"/>
      <x:c r="WGW63" s="291"/>
      <x:c r="WGX63" s="291"/>
      <x:c r="WGY63" s="291"/>
      <x:c r="WGZ63" s="291"/>
      <x:c r="WHA63" s="291"/>
      <x:c r="WHB63" s="291"/>
      <x:c r="WHC63" s="291"/>
      <x:c r="WHD63" s="291"/>
      <x:c r="WHE63" s="291"/>
      <x:c r="WHF63" s="291"/>
      <x:c r="WHG63" s="291"/>
      <x:c r="WHH63" s="291"/>
      <x:c r="WHI63" s="291"/>
      <x:c r="WHJ63" s="291"/>
      <x:c r="WHK63" s="291"/>
      <x:c r="WHL63" s="291"/>
      <x:c r="WHM63" s="291"/>
      <x:c r="WHN63" s="291"/>
      <x:c r="WHO63" s="291"/>
      <x:c r="WHP63" s="291"/>
      <x:c r="WHQ63" s="291"/>
      <x:c r="WHR63" s="291"/>
      <x:c r="WHS63" s="291"/>
      <x:c r="WHT63" s="291"/>
      <x:c r="WHU63" s="291"/>
      <x:c r="WHV63" s="291"/>
      <x:c r="WHW63" s="291"/>
      <x:c r="WHX63" s="291"/>
      <x:c r="WHY63" s="291"/>
      <x:c r="WHZ63" s="291"/>
      <x:c r="WIA63" s="291"/>
      <x:c r="WIB63" s="291"/>
      <x:c r="WIC63" s="291"/>
      <x:c r="WID63" s="291"/>
      <x:c r="WIE63" s="291"/>
      <x:c r="WIF63" s="291"/>
      <x:c r="WIG63" s="291"/>
      <x:c r="WIH63" s="291"/>
      <x:c r="WII63" s="291"/>
      <x:c r="WIJ63" s="291"/>
      <x:c r="WIK63" s="291"/>
      <x:c r="WIL63" s="291"/>
      <x:c r="WIM63" s="291"/>
      <x:c r="WIN63" s="291"/>
      <x:c r="WIO63" s="291"/>
      <x:c r="WIP63" s="291"/>
      <x:c r="WIQ63" s="291"/>
      <x:c r="WIR63" s="291"/>
      <x:c r="WIS63" s="291"/>
      <x:c r="WIT63" s="291"/>
      <x:c r="WIU63" s="291"/>
      <x:c r="WIV63" s="291"/>
      <x:c r="WIW63" s="291"/>
      <x:c r="WIX63" s="291"/>
      <x:c r="WIY63" s="291"/>
      <x:c r="WIZ63" s="291"/>
      <x:c r="WJA63" s="291"/>
      <x:c r="WJB63" s="291"/>
      <x:c r="WJC63" s="291"/>
      <x:c r="WJD63" s="291"/>
      <x:c r="WJE63" s="291"/>
      <x:c r="WJF63" s="291"/>
      <x:c r="WJG63" s="291"/>
      <x:c r="WJH63" s="291"/>
      <x:c r="WJI63" s="291"/>
      <x:c r="WJJ63" s="291"/>
      <x:c r="WJK63" s="291"/>
      <x:c r="WJL63" s="291"/>
      <x:c r="WJM63" s="291"/>
      <x:c r="WJN63" s="291"/>
      <x:c r="WJO63" s="291"/>
      <x:c r="WJP63" s="291"/>
      <x:c r="WJQ63" s="291"/>
      <x:c r="WJR63" s="291"/>
      <x:c r="WJS63" s="291"/>
      <x:c r="WJT63" s="291"/>
      <x:c r="WJU63" s="291"/>
      <x:c r="WJV63" s="291"/>
      <x:c r="WJW63" s="291"/>
      <x:c r="WJX63" s="291"/>
      <x:c r="WJY63" s="291"/>
      <x:c r="WJZ63" s="291"/>
      <x:c r="WKA63" s="291"/>
      <x:c r="WKB63" s="291"/>
      <x:c r="WKC63" s="291"/>
      <x:c r="WKD63" s="291"/>
      <x:c r="WKE63" s="291"/>
      <x:c r="WKF63" s="291"/>
      <x:c r="WKG63" s="291"/>
      <x:c r="WKH63" s="291"/>
      <x:c r="WKI63" s="291"/>
      <x:c r="WKJ63" s="291"/>
      <x:c r="WKK63" s="291"/>
      <x:c r="WKL63" s="291"/>
      <x:c r="WKM63" s="291"/>
      <x:c r="WKN63" s="291"/>
      <x:c r="WKO63" s="291"/>
      <x:c r="WKP63" s="291"/>
      <x:c r="WKQ63" s="291"/>
      <x:c r="WKR63" s="291"/>
      <x:c r="WKS63" s="291"/>
      <x:c r="WKT63" s="291"/>
      <x:c r="WKU63" s="291"/>
      <x:c r="WKV63" s="291"/>
      <x:c r="WKW63" s="291"/>
      <x:c r="WKX63" s="291"/>
      <x:c r="WKY63" s="291"/>
      <x:c r="WKZ63" s="291"/>
      <x:c r="WLA63" s="291"/>
      <x:c r="WLB63" s="291"/>
      <x:c r="WLC63" s="291"/>
      <x:c r="WLD63" s="291"/>
      <x:c r="WLE63" s="291"/>
      <x:c r="WLF63" s="291"/>
      <x:c r="WLG63" s="291"/>
      <x:c r="WLH63" s="291"/>
      <x:c r="WLI63" s="291"/>
      <x:c r="WLJ63" s="291"/>
      <x:c r="WLK63" s="291"/>
      <x:c r="WLL63" s="291"/>
      <x:c r="WLM63" s="291"/>
      <x:c r="WLN63" s="291"/>
      <x:c r="WLO63" s="291"/>
      <x:c r="WLP63" s="291"/>
      <x:c r="WLQ63" s="291"/>
      <x:c r="WLR63" s="291"/>
      <x:c r="WLS63" s="291"/>
      <x:c r="WLT63" s="291"/>
      <x:c r="WLU63" s="291"/>
      <x:c r="WLV63" s="291"/>
      <x:c r="WLW63" s="291"/>
      <x:c r="WLX63" s="291"/>
      <x:c r="WLY63" s="291"/>
      <x:c r="WLZ63" s="291"/>
      <x:c r="WMA63" s="291"/>
      <x:c r="WMB63" s="291"/>
      <x:c r="WMC63" s="291"/>
      <x:c r="WMD63" s="291"/>
      <x:c r="WME63" s="291"/>
      <x:c r="WMF63" s="291"/>
      <x:c r="WMG63" s="291"/>
      <x:c r="WMH63" s="291"/>
      <x:c r="WMI63" s="291"/>
      <x:c r="WMJ63" s="291"/>
      <x:c r="WMK63" s="291"/>
      <x:c r="WML63" s="291"/>
      <x:c r="WMM63" s="291"/>
      <x:c r="WMN63" s="291"/>
      <x:c r="WMO63" s="291"/>
      <x:c r="WMP63" s="291"/>
      <x:c r="WMQ63" s="291"/>
      <x:c r="WMR63" s="291"/>
      <x:c r="WMS63" s="291"/>
      <x:c r="WMT63" s="291"/>
      <x:c r="WMU63" s="291"/>
      <x:c r="WMV63" s="291"/>
      <x:c r="WMW63" s="291"/>
      <x:c r="WMX63" s="291"/>
      <x:c r="WMY63" s="291"/>
      <x:c r="WMZ63" s="291"/>
      <x:c r="WNA63" s="291"/>
      <x:c r="WNB63" s="291"/>
      <x:c r="WNC63" s="291"/>
      <x:c r="WND63" s="291"/>
      <x:c r="WNE63" s="291"/>
      <x:c r="WNF63" s="291"/>
      <x:c r="WNG63" s="291"/>
      <x:c r="WNH63" s="291"/>
      <x:c r="WNI63" s="291"/>
      <x:c r="WNJ63" s="291"/>
      <x:c r="WNK63" s="291"/>
      <x:c r="WNL63" s="291"/>
      <x:c r="WNM63" s="291"/>
      <x:c r="WNN63" s="291"/>
      <x:c r="WNO63" s="291"/>
      <x:c r="WNP63" s="291"/>
      <x:c r="WNQ63" s="291"/>
      <x:c r="WNR63" s="291"/>
      <x:c r="WNS63" s="291"/>
      <x:c r="WNT63" s="291"/>
      <x:c r="WNU63" s="291"/>
      <x:c r="WNV63" s="291"/>
      <x:c r="WNW63" s="291"/>
      <x:c r="WNX63" s="291"/>
      <x:c r="WNY63" s="291"/>
      <x:c r="WNZ63" s="291"/>
      <x:c r="WOA63" s="291"/>
      <x:c r="WOB63" s="291"/>
      <x:c r="WOC63" s="291"/>
      <x:c r="WOD63" s="291"/>
      <x:c r="WOE63" s="291"/>
      <x:c r="WOF63" s="291"/>
      <x:c r="WOG63" s="291"/>
      <x:c r="WOH63" s="291"/>
      <x:c r="WOI63" s="291"/>
      <x:c r="WOJ63" s="291"/>
      <x:c r="WOK63" s="291"/>
      <x:c r="WOL63" s="291"/>
      <x:c r="WOM63" s="291"/>
      <x:c r="WON63" s="291"/>
      <x:c r="WOO63" s="291"/>
      <x:c r="WOP63" s="291"/>
      <x:c r="WOQ63" s="291"/>
      <x:c r="WOR63" s="291"/>
      <x:c r="WOS63" s="291"/>
      <x:c r="WOT63" s="291"/>
      <x:c r="WOU63" s="291"/>
      <x:c r="WOV63" s="291"/>
      <x:c r="WOW63" s="291"/>
      <x:c r="WOX63" s="291"/>
      <x:c r="WOY63" s="291"/>
      <x:c r="WOZ63" s="291"/>
      <x:c r="WPA63" s="291"/>
      <x:c r="WPB63" s="291"/>
      <x:c r="WPC63" s="291"/>
      <x:c r="WPD63" s="291"/>
      <x:c r="WPE63" s="291"/>
      <x:c r="WPF63" s="291"/>
      <x:c r="WPG63" s="291"/>
      <x:c r="WPH63" s="291"/>
      <x:c r="WPI63" s="291"/>
      <x:c r="WPJ63" s="291"/>
      <x:c r="WPK63" s="291"/>
      <x:c r="WPL63" s="291"/>
      <x:c r="WPM63" s="291"/>
      <x:c r="WPN63" s="291"/>
      <x:c r="WPO63" s="291"/>
      <x:c r="WPP63" s="291"/>
      <x:c r="WPQ63" s="291"/>
      <x:c r="WPR63" s="291"/>
      <x:c r="WPS63" s="291"/>
      <x:c r="WPT63" s="291"/>
      <x:c r="WPU63" s="291"/>
      <x:c r="WPV63" s="291"/>
      <x:c r="WPW63" s="291"/>
      <x:c r="WPX63" s="291"/>
      <x:c r="WPY63" s="291"/>
      <x:c r="WPZ63" s="291"/>
      <x:c r="WQA63" s="291"/>
      <x:c r="WQB63" s="291"/>
      <x:c r="WQC63" s="291"/>
      <x:c r="WQD63" s="291"/>
      <x:c r="WQE63" s="291"/>
      <x:c r="WQF63" s="291"/>
      <x:c r="WQG63" s="291"/>
      <x:c r="WQH63" s="291"/>
      <x:c r="WQI63" s="291"/>
      <x:c r="WQJ63" s="291"/>
      <x:c r="WQK63" s="291"/>
      <x:c r="WQL63" s="291"/>
      <x:c r="WQM63" s="291"/>
      <x:c r="WQN63" s="291"/>
      <x:c r="WQO63" s="291"/>
      <x:c r="WQP63" s="291"/>
      <x:c r="WQQ63" s="291"/>
      <x:c r="WQR63" s="291"/>
      <x:c r="WQS63" s="291"/>
      <x:c r="WQT63" s="291"/>
      <x:c r="WQU63" s="291"/>
      <x:c r="WQV63" s="291"/>
      <x:c r="WQW63" s="291"/>
      <x:c r="WQX63" s="291"/>
      <x:c r="WQY63" s="291"/>
      <x:c r="WQZ63" s="291"/>
      <x:c r="WRA63" s="291"/>
      <x:c r="WRB63" s="291"/>
      <x:c r="WRC63" s="291"/>
      <x:c r="WRD63" s="291"/>
      <x:c r="WRE63" s="291"/>
      <x:c r="WRF63" s="291"/>
      <x:c r="WRG63" s="291"/>
      <x:c r="WRH63" s="291"/>
      <x:c r="WRI63" s="291"/>
      <x:c r="WRJ63" s="291"/>
      <x:c r="WRK63" s="291"/>
      <x:c r="WRL63" s="291"/>
      <x:c r="WRM63" s="291"/>
      <x:c r="WRN63" s="291"/>
      <x:c r="WRO63" s="291"/>
      <x:c r="WRP63" s="291"/>
      <x:c r="WRQ63" s="291"/>
      <x:c r="WRR63" s="291"/>
      <x:c r="WRS63" s="291"/>
      <x:c r="WRT63" s="291"/>
      <x:c r="WRU63" s="291"/>
      <x:c r="WRV63" s="291"/>
      <x:c r="WRW63" s="291"/>
      <x:c r="WRX63" s="291"/>
      <x:c r="WRY63" s="291"/>
      <x:c r="WRZ63" s="291"/>
      <x:c r="WSA63" s="291"/>
      <x:c r="WSB63" s="291"/>
      <x:c r="WSC63" s="291"/>
      <x:c r="WSD63" s="291"/>
      <x:c r="WSE63" s="291"/>
      <x:c r="WSF63" s="291"/>
      <x:c r="WSG63" s="291"/>
      <x:c r="WSH63" s="291"/>
      <x:c r="WSI63" s="291"/>
      <x:c r="WSJ63" s="291"/>
      <x:c r="WSK63" s="291"/>
      <x:c r="WSL63" s="291"/>
      <x:c r="WSM63" s="291"/>
      <x:c r="WSN63" s="291"/>
      <x:c r="WSO63" s="291"/>
      <x:c r="WSP63" s="291"/>
      <x:c r="WSQ63" s="291"/>
      <x:c r="WSR63" s="291"/>
      <x:c r="WSS63" s="291"/>
      <x:c r="WST63" s="291"/>
      <x:c r="WSU63" s="291"/>
      <x:c r="WSV63" s="291"/>
      <x:c r="WSW63" s="291"/>
      <x:c r="WSX63" s="291"/>
      <x:c r="WSY63" s="291"/>
      <x:c r="WSZ63" s="291"/>
      <x:c r="WTA63" s="291"/>
      <x:c r="WTB63" s="291"/>
      <x:c r="WTC63" s="291"/>
      <x:c r="WTD63" s="291"/>
      <x:c r="WTE63" s="291"/>
      <x:c r="WTF63" s="291"/>
      <x:c r="WTG63" s="291"/>
      <x:c r="WTH63" s="291"/>
      <x:c r="WTI63" s="291"/>
      <x:c r="WTJ63" s="291"/>
      <x:c r="WTK63" s="291"/>
      <x:c r="WTL63" s="291"/>
      <x:c r="WTM63" s="291"/>
      <x:c r="WTN63" s="291"/>
      <x:c r="WTO63" s="291"/>
      <x:c r="WTP63" s="291"/>
      <x:c r="WTQ63" s="291"/>
      <x:c r="WTR63" s="291"/>
      <x:c r="WTS63" s="291"/>
      <x:c r="WTT63" s="291"/>
      <x:c r="WTU63" s="291"/>
      <x:c r="WTV63" s="291"/>
      <x:c r="WTW63" s="291"/>
      <x:c r="WTX63" s="291"/>
      <x:c r="WTY63" s="291"/>
      <x:c r="WTZ63" s="291"/>
      <x:c r="WUA63" s="291"/>
      <x:c r="WUB63" s="291"/>
      <x:c r="WUC63" s="291"/>
      <x:c r="WUD63" s="291"/>
      <x:c r="WUE63" s="291"/>
      <x:c r="WUF63" s="291"/>
      <x:c r="WUG63" s="291"/>
      <x:c r="WUH63" s="291"/>
      <x:c r="WUI63" s="291"/>
      <x:c r="WUJ63" s="291"/>
      <x:c r="WUK63" s="291"/>
      <x:c r="WUL63" s="291"/>
      <x:c r="WUM63" s="291"/>
      <x:c r="WUN63" s="291"/>
      <x:c r="WUO63" s="291"/>
      <x:c r="WUP63" s="291"/>
      <x:c r="WUQ63" s="291"/>
      <x:c r="WUR63" s="291"/>
      <x:c r="WUS63" s="291"/>
      <x:c r="WUT63" s="291"/>
      <x:c r="WUU63" s="291"/>
      <x:c r="WUV63" s="291"/>
      <x:c r="WUW63" s="291"/>
      <x:c r="WUX63" s="291"/>
      <x:c r="WUY63" s="291"/>
      <x:c r="WUZ63" s="291"/>
      <x:c r="WVA63" s="291"/>
      <x:c r="WVB63" s="291"/>
      <x:c r="WVC63" s="291"/>
      <x:c r="WVD63" s="291"/>
      <x:c r="WVE63" s="291"/>
      <x:c r="WVF63" s="291"/>
      <x:c r="WVG63" s="291"/>
      <x:c r="WVH63" s="291"/>
      <x:c r="WVI63" s="291"/>
      <x:c r="WVJ63" s="291"/>
      <x:c r="WVK63" s="291"/>
      <x:c r="WVL63" s="291"/>
      <x:c r="WVM63" s="291"/>
      <x:c r="WVN63" s="291"/>
      <x:c r="WVO63" s="291"/>
      <x:c r="WVP63" s="291"/>
      <x:c r="WVQ63" s="291"/>
      <x:c r="WVR63" s="291"/>
      <x:c r="WVS63" s="291"/>
      <x:c r="WVT63" s="291"/>
      <x:c r="WVU63" s="291"/>
      <x:c r="WVV63" s="291"/>
      <x:c r="WVW63" s="291"/>
      <x:c r="WVX63" s="291"/>
      <x:c r="WVY63" s="291"/>
      <x:c r="WVZ63" s="291"/>
      <x:c r="WWA63" s="291"/>
      <x:c r="WWB63" s="291"/>
      <x:c r="WWC63" s="291"/>
      <x:c r="WWD63" s="291"/>
      <x:c r="WWE63" s="291"/>
      <x:c r="WWF63" s="291"/>
      <x:c r="WWG63" s="291"/>
      <x:c r="WWH63" s="291"/>
      <x:c r="WWI63" s="291"/>
      <x:c r="WWJ63" s="291"/>
      <x:c r="WWK63" s="291"/>
      <x:c r="WWL63" s="291"/>
      <x:c r="WWM63" s="291"/>
      <x:c r="WWN63" s="291"/>
      <x:c r="WWO63" s="291"/>
      <x:c r="WWP63" s="291"/>
      <x:c r="WWQ63" s="291"/>
      <x:c r="WWR63" s="291"/>
      <x:c r="WWS63" s="291"/>
      <x:c r="WWT63" s="291"/>
      <x:c r="WWU63" s="291"/>
      <x:c r="WWV63" s="291"/>
      <x:c r="WWW63" s="291"/>
      <x:c r="WWX63" s="291"/>
      <x:c r="WWY63" s="291"/>
      <x:c r="WWZ63" s="291"/>
      <x:c r="WXA63" s="291"/>
      <x:c r="WXB63" s="291"/>
      <x:c r="WXC63" s="291"/>
      <x:c r="WXD63" s="291"/>
      <x:c r="WXE63" s="291"/>
      <x:c r="WXF63" s="291"/>
      <x:c r="WXG63" s="291"/>
      <x:c r="WXH63" s="291"/>
      <x:c r="WXI63" s="291"/>
      <x:c r="WXJ63" s="291"/>
      <x:c r="WXK63" s="291"/>
      <x:c r="WXL63" s="291"/>
      <x:c r="WXM63" s="291"/>
      <x:c r="WXN63" s="291"/>
      <x:c r="WXO63" s="291"/>
      <x:c r="WXP63" s="291"/>
      <x:c r="WXQ63" s="291"/>
      <x:c r="WXR63" s="291"/>
      <x:c r="WXS63" s="291"/>
      <x:c r="WXT63" s="291"/>
      <x:c r="WXU63" s="291"/>
      <x:c r="WXV63" s="291"/>
      <x:c r="WXW63" s="291"/>
      <x:c r="WXX63" s="291"/>
      <x:c r="WXY63" s="291"/>
      <x:c r="WXZ63" s="291"/>
      <x:c r="WYA63" s="291"/>
      <x:c r="WYB63" s="291"/>
      <x:c r="WYC63" s="291"/>
      <x:c r="WYD63" s="291"/>
      <x:c r="WYE63" s="291"/>
      <x:c r="WYF63" s="291"/>
      <x:c r="WYG63" s="291"/>
      <x:c r="WYH63" s="291"/>
      <x:c r="WYI63" s="291"/>
      <x:c r="WYJ63" s="291"/>
      <x:c r="WYK63" s="291"/>
      <x:c r="WYL63" s="291"/>
      <x:c r="WYM63" s="291"/>
      <x:c r="WYN63" s="291"/>
      <x:c r="WYO63" s="291"/>
      <x:c r="WYP63" s="291"/>
      <x:c r="WYQ63" s="291"/>
      <x:c r="WYR63" s="291"/>
      <x:c r="WYS63" s="291"/>
      <x:c r="WYT63" s="291"/>
      <x:c r="WYU63" s="291"/>
      <x:c r="WYV63" s="291"/>
      <x:c r="WYW63" s="291"/>
      <x:c r="WYX63" s="291"/>
      <x:c r="WYY63" s="291"/>
      <x:c r="WYZ63" s="291"/>
      <x:c r="WZA63" s="291"/>
      <x:c r="WZB63" s="291"/>
      <x:c r="WZC63" s="291"/>
      <x:c r="WZD63" s="291"/>
      <x:c r="WZE63" s="291"/>
      <x:c r="WZF63" s="291"/>
      <x:c r="WZG63" s="291"/>
      <x:c r="WZH63" s="291"/>
      <x:c r="WZI63" s="291"/>
      <x:c r="WZJ63" s="291"/>
      <x:c r="WZK63" s="291"/>
      <x:c r="WZL63" s="291"/>
      <x:c r="WZM63" s="291"/>
      <x:c r="WZN63" s="291"/>
      <x:c r="WZO63" s="291"/>
      <x:c r="WZP63" s="291"/>
      <x:c r="WZQ63" s="291"/>
      <x:c r="WZR63" s="291"/>
      <x:c r="WZS63" s="291"/>
      <x:c r="WZT63" s="291"/>
      <x:c r="WZU63" s="291"/>
      <x:c r="WZV63" s="291"/>
      <x:c r="WZW63" s="291"/>
      <x:c r="WZX63" s="291"/>
      <x:c r="WZY63" s="291"/>
      <x:c r="WZZ63" s="291"/>
      <x:c r="XAA63" s="291"/>
      <x:c r="XAB63" s="291"/>
      <x:c r="XAC63" s="291"/>
      <x:c r="XAD63" s="291"/>
      <x:c r="XAE63" s="291"/>
      <x:c r="XAF63" s="291"/>
      <x:c r="XAG63" s="291"/>
      <x:c r="XAH63" s="291"/>
      <x:c r="XAI63" s="291"/>
      <x:c r="XAJ63" s="291"/>
      <x:c r="XAK63" s="291"/>
      <x:c r="XAL63" s="291"/>
      <x:c r="XAM63" s="291"/>
      <x:c r="XAN63" s="291"/>
      <x:c r="XAO63" s="291"/>
      <x:c r="XAP63" s="291"/>
      <x:c r="XAQ63" s="291"/>
      <x:c r="XAR63" s="291"/>
      <x:c r="XAS63" s="291"/>
      <x:c r="XAT63" s="291"/>
      <x:c r="XAU63" s="291"/>
      <x:c r="XAV63" s="291"/>
      <x:c r="XAW63" s="291"/>
      <x:c r="XAX63" s="291"/>
      <x:c r="XAY63" s="291"/>
      <x:c r="XAZ63" s="291"/>
      <x:c r="XBA63" s="291"/>
      <x:c r="XBB63" s="291"/>
      <x:c r="XBC63" s="291"/>
      <x:c r="XBD63" s="291"/>
      <x:c r="XBE63" s="291"/>
      <x:c r="XBF63" s="291"/>
      <x:c r="XBG63" s="291"/>
      <x:c r="XBH63" s="291"/>
      <x:c r="XBI63" s="291"/>
      <x:c r="XBJ63" s="291"/>
      <x:c r="XBK63" s="291"/>
      <x:c r="XBL63" s="291"/>
      <x:c r="XBM63" s="291"/>
      <x:c r="XBN63" s="291"/>
      <x:c r="XBO63" s="291"/>
      <x:c r="XBP63" s="291"/>
      <x:c r="XBQ63" s="291"/>
      <x:c r="XBR63" s="291"/>
      <x:c r="XBS63" s="291"/>
      <x:c r="XBT63" s="291"/>
      <x:c r="XBU63" s="291"/>
      <x:c r="XBV63" s="291"/>
      <x:c r="XBW63" s="291"/>
      <x:c r="XBX63" s="291"/>
      <x:c r="XBY63" s="291"/>
      <x:c r="XBZ63" s="291"/>
      <x:c r="XCA63" s="291"/>
      <x:c r="XCB63" s="291"/>
      <x:c r="XCC63" s="291"/>
      <x:c r="XCD63" s="291"/>
      <x:c r="XCE63" s="291"/>
      <x:c r="XCF63" s="291"/>
      <x:c r="XCG63" s="291"/>
      <x:c r="XCH63" s="291"/>
      <x:c r="XCI63" s="291"/>
      <x:c r="XCJ63" s="291"/>
      <x:c r="XCK63" s="291"/>
      <x:c r="XCL63" s="291"/>
      <x:c r="XCM63" s="291"/>
      <x:c r="XCN63" s="291"/>
      <x:c r="XCO63" s="291"/>
      <x:c r="XCP63" s="291"/>
      <x:c r="XCQ63" s="291"/>
      <x:c r="XCR63" s="291"/>
      <x:c r="XCS63" s="291"/>
      <x:c r="XCT63" s="291"/>
      <x:c r="XCU63" s="291"/>
      <x:c r="XCV63" s="291"/>
      <x:c r="XCW63" s="291"/>
      <x:c r="XCX63" s="291"/>
      <x:c r="XCY63" s="291"/>
      <x:c r="XCZ63" s="291"/>
      <x:c r="XDA63" s="291"/>
      <x:c r="XDB63" s="291"/>
      <x:c r="XDC63" s="291"/>
      <x:c r="XDD63" s="291"/>
      <x:c r="XDE63" s="291"/>
      <x:c r="XDF63" s="291"/>
      <x:c r="XDG63" s="291"/>
      <x:c r="XDH63" s="291"/>
      <x:c r="XDI63" s="291"/>
      <x:c r="XDJ63" s="291"/>
      <x:c r="XDK63" s="291"/>
      <x:c r="XDL63" s="291"/>
      <x:c r="XDM63" s="291"/>
      <x:c r="XDN63" s="291"/>
      <x:c r="XDO63" s="291"/>
      <x:c r="XDP63" s="291"/>
      <x:c r="XDQ63" s="291"/>
      <x:c r="XDR63" s="291"/>
      <x:c r="XDS63" s="291"/>
      <x:c r="XDT63" s="291"/>
      <x:c r="XDU63" s="291"/>
      <x:c r="XDV63" s="291"/>
      <x:c r="XDW63" s="291"/>
      <x:c r="XDX63" s="291"/>
      <x:c r="XDY63" s="291"/>
      <x:c r="XDZ63" s="291"/>
      <x:c r="XEA63" s="291"/>
      <x:c r="XEB63" s="291"/>
      <x:c r="XEC63" s="291"/>
      <x:c r="XED63" s="291"/>
      <x:c r="XEE63" s="291"/>
      <x:c r="XEF63" s="291"/>
      <x:c r="XEG63" s="291"/>
      <x:c r="XEH63" s="291"/>
      <x:c r="XEI63" s="291"/>
      <x:c r="XEJ63" s="291"/>
      <x:c r="XEK63" s="291"/>
      <x:c r="XEL63" s="291"/>
      <x:c r="XEM63" s="291"/>
      <x:c r="XEN63" s="291"/>
      <x:c r="XEO63" s="291"/>
      <x:c r="XEP63" s="291"/>
      <x:c r="XEQ63" s="291"/>
      <x:c r="XER63" s="291"/>
      <x:c r="XES63" s="291"/>
      <x:c r="XET63" s="291"/>
      <x:c r="XEU63" s="291"/>
      <x:c r="XEV63" s="291"/>
      <x:c r="XEW63" s="291"/>
      <x:c r="XEX63" s="291"/>
      <x:c r="XEY63" s="291"/>
      <x:c r="XEZ63" s="291"/>
      <x:c r="XFA63" s="291"/>
      <x:c r="XFB63" s="291"/>
      <x:c r="XFC63" s="291"/>
    </x:row>
    <x:row r="64" spans="1:16383" ht="117.75" customHeight="1" s="125" customFormat="1" x14ac:dyDescent="0.25">
      <x:c r="A64" s="60"/>
      <x:c r="B64" s="123" t="s">
        <x:v>301</x:v>
      </x:c>
      <x:c r="C64" s="124" t="s">
        <x:v>302</x:v>
      </x:c>
      <x:c r="D64" s="106"/>
      <x:c r="E64" s="107"/>
      <x:c r="F64" s="106"/>
      <x:c r="G64" s="108"/>
      <x:c r="H64" s="106"/>
      <x:c r="I64" s="107"/>
      <x:c r="J64" s="106"/>
      <x:c r="K64" s="108"/>
      <x:c r="L64" s="60"/>
      <x:c r="M64" s="108"/>
      <x:c r="N64" s="60"/>
      <x:c r="O64" s="108"/>
      <x:c r="P64" s="108"/>
      <x:c r="Q64" s="108"/>
      <x:c r="R64" s="108"/>
      <x:c r="S64" s="21"/>
      <x:c r="T64" s="108">
        <x:v>0.9</x:v>
      </x:c>
      <x:c r="U64" s="113"/>
      <x:c r="V64" s="113"/>
      <x:c r="W64" s="292"/>
      <x:c r="X64" s="293"/>
      <x:c r="Y64" s="293"/>
      <x:c r="Z64" s="293"/>
      <x:c r="AA64" s="293"/>
      <x:c r="AB64" s="293"/>
      <x:c r="AC64" s="293"/>
      <x:c r="AD64" s="293"/>
      <x:c r="AE64" s="293"/>
      <x:c r="AF64" s="293"/>
      <x:c r="AG64" s="293"/>
      <x:c r="AH64" s="293"/>
      <x:c r="AI64" s="293"/>
      <x:c r="AJ64" s="293"/>
      <x:c r="AK64" s="293"/>
      <x:c r="AL64" s="293"/>
      <x:c r="AM64" s="293"/>
      <x:c r="AN64" s="293"/>
      <x:c r="AO64" s="293"/>
      <x:c r="AP64" s="293"/>
      <x:c r="AQ64" s="293"/>
      <x:c r="AR64" s="293"/>
      <x:c r="AS64" s="293"/>
      <x:c r="AT64" s="293"/>
      <x:c r="AU64" s="293"/>
      <x:c r="AV64" s="293"/>
      <x:c r="AW64" s="293"/>
      <x:c r="AX64" s="293"/>
      <x:c r="AY64" s="293"/>
      <x:c r="AZ64" s="293"/>
      <x:c r="BA64" s="293"/>
      <x:c r="BB64" s="293"/>
      <x:c r="BC64" s="293"/>
      <x:c r="BD64" s="293"/>
      <x:c r="BE64" s="293"/>
      <x:c r="BF64" s="293"/>
      <x:c r="BG64" s="293"/>
      <x:c r="BH64" s="293"/>
      <x:c r="BI64" s="293"/>
      <x:c r="BJ64" s="293"/>
      <x:c r="BK64" s="293"/>
      <x:c r="BL64" s="293"/>
      <x:c r="BM64" s="293"/>
      <x:c r="BN64" s="293"/>
      <x:c r="BO64" s="293"/>
      <x:c r="BP64" s="293"/>
      <x:c r="BQ64" s="293"/>
      <x:c r="BR64" s="293"/>
      <x:c r="BS64" s="293"/>
      <x:c r="BT64" s="293"/>
      <x:c r="BU64" s="293"/>
      <x:c r="BV64" s="293"/>
      <x:c r="BW64" s="293"/>
      <x:c r="BX64" s="293"/>
      <x:c r="BY64" s="293"/>
      <x:c r="BZ64" s="293"/>
      <x:c r="CA64" s="293"/>
      <x:c r="CB64" s="293"/>
      <x:c r="CC64" s="293"/>
      <x:c r="CD64" s="293"/>
      <x:c r="CE64" s="293"/>
      <x:c r="CF64" s="293"/>
      <x:c r="CG64" s="293"/>
      <x:c r="CH64" s="293"/>
      <x:c r="CI64" s="293"/>
      <x:c r="CJ64" s="293"/>
      <x:c r="CK64" s="293"/>
      <x:c r="CL64" s="293"/>
      <x:c r="CM64" s="293"/>
      <x:c r="CN64" s="293"/>
      <x:c r="CO64" s="293"/>
      <x:c r="CP64" s="293"/>
      <x:c r="CQ64" s="293"/>
      <x:c r="CR64" s="293"/>
      <x:c r="CS64" s="293"/>
      <x:c r="CT64" s="293"/>
      <x:c r="CU64" s="293"/>
      <x:c r="CV64" s="293"/>
      <x:c r="CW64" s="293"/>
      <x:c r="CX64" s="293"/>
      <x:c r="CY64" s="293"/>
      <x:c r="CZ64" s="293"/>
      <x:c r="DA64" s="293"/>
      <x:c r="DB64" s="293"/>
      <x:c r="DC64" s="293"/>
      <x:c r="DD64" s="293"/>
      <x:c r="DE64" s="293"/>
      <x:c r="DF64" s="293"/>
      <x:c r="DG64" s="293"/>
      <x:c r="DH64" s="293"/>
      <x:c r="DI64" s="293"/>
      <x:c r="DJ64" s="293"/>
      <x:c r="DK64" s="293"/>
      <x:c r="DL64" s="293"/>
      <x:c r="DM64" s="293"/>
      <x:c r="DN64" s="293"/>
      <x:c r="DO64" s="293"/>
      <x:c r="DP64" s="293"/>
      <x:c r="DQ64" s="293"/>
      <x:c r="DR64" s="293"/>
      <x:c r="DS64" s="293"/>
      <x:c r="DT64" s="293"/>
      <x:c r="DU64" s="293"/>
      <x:c r="DV64" s="293"/>
      <x:c r="DW64" s="293"/>
      <x:c r="DX64" s="293"/>
      <x:c r="DY64" s="293"/>
      <x:c r="DZ64" s="293"/>
      <x:c r="EA64" s="293"/>
      <x:c r="EB64" s="293"/>
      <x:c r="EC64" s="293"/>
      <x:c r="ED64" s="293"/>
      <x:c r="EE64" s="293"/>
      <x:c r="EF64" s="293"/>
      <x:c r="EG64" s="293"/>
      <x:c r="EH64" s="293"/>
      <x:c r="EI64" s="293"/>
      <x:c r="EJ64" s="293"/>
      <x:c r="EK64" s="293"/>
      <x:c r="EL64" s="293"/>
      <x:c r="EM64" s="293"/>
      <x:c r="EN64" s="293"/>
      <x:c r="EO64" s="293"/>
      <x:c r="EP64" s="293"/>
      <x:c r="EQ64" s="293"/>
      <x:c r="ER64" s="293"/>
      <x:c r="ES64" s="293"/>
      <x:c r="ET64" s="293"/>
      <x:c r="EU64" s="293"/>
      <x:c r="EV64" s="293"/>
      <x:c r="EW64" s="293"/>
      <x:c r="EX64" s="293"/>
      <x:c r="EY64" s="293"/>
      <x:c r="EZ64" s="293"/>
      <x:c r="FA64" s="293"/>
      <x:c r="FB64" s="293"/>
      <x:c r="FC64" s="293"/>
      <x:c r="FD64" s="293"/>
      <x:c r="FE64" s="293"/>
      <x:c r="FF64" s="293"/>
      <x:c r="FG64" s="293"/>
      <x:c r="FH64" s="293"/>
      <x:c r="FI64" s="293"/>
      <x:c r="FJ64" s="293"/>
      <x:c r="FK64" s="293"/>
      <x:c r="FL64" s="293"/>
      <x:c r="FM64" s="293"/>
      <x:c r="FN64" s="293"/>
      <x:c r="FO64" s="293"/>
      <x:c r="FP64" s="293"/>
      <x:c r="FQ64" s="293"/>
      <x:c r="FR64" s="293"/>
      <x:c r="FS64" s="293"/>
      <x:c r="FT64" s="293"/>
      <x:c r="FU64" s="293"/>
      <x:c r="FV64" s="293"/>
      <x:c r="FW64" s="293"/>
      <x:c r="FX64" s="293"/>
      <x:c r="FY64" s="293"/>
      <x:c r="FZ64" s="293"/>
      <x:c r="GA64" s="293"/>
      <x:c r="GB64" s="293"/>
      <x:c r="GC64" s="293"/>
      <x:c r="GD64" s="293"/>
      <x:c r="GE64" s="293"/>
      <x:c r="GF64" s="293"/>
      <x:c r="GG64" s="293"/>
      <x:c r="GH64" s="293"/>
      <x:c r="GI64" s="293"/>
      <x:c r="GJ64" s="293"/>
      <x:c r="GK64" s="293"/>
      <x:c r="GL64" s="293"/>
      <x:c r="GM64" s="293"/>
      <x:c r="GN64" s="293"/>
      <x:c r="GO64" s="293"/>
      <x:c r="GP64" s="293"/>
      <x:c r="GQ64" s="293"/>
      <x:c r="GR64" s="293"/>
      <x:c r="GS64" s="293"/>
      <x:c r="GT64" s="293"/>
      <x:c r="GU64" s="293"/>
      <x:c r="GV64" s="293"/>
      <x:c r="GW64" s="293"/>
      <x:c r="GX64" s="293"/>
      <x:c r="GY64" s="293"/>
      <x:c r="GZ64" s="293"/>
      <x:c r="HA64" s="293"/>
      <x:c r="HB64" s="293"/>
      <x:c r="HC64" s="293"/>
      <x:c r="HD64" s="293"/>
      <x:c r="HE64" s="293"/>
      <x:c r="HF64" s="293"/>
      <x:c r="HG64" s="293"/>
      <x:c r="HH64" s="293"/>
      <x:c r="HI64" s="293"/>
      <x:c r="HJ64" s="293"/>
      <x:c r="HK64" s="293"/>
      <x:c r="HL64" s="293"/>
      <x:c r="HM64" s="293"/>
      <x:c r="HN64" s="293"/>
      <x:c r="HO64" s="293"/>
      <x:c r="HP64" s="293"/>
      <x:c r="HQ64" s="293"/>
      <x:c r="HR64" s="293"/>
      <x:c r="HS64" s="293"/>
      <x:c r="HT64" s="293"/>
      <x:c r="HU64" s="293"/>
      <x:c r="HV64" s="293"/>
      <x:c r="HW64" s="293"/>
      <x:c r="HX64" s="293"/>
      <x:c r="HY64" s="293"/>
      <x:c r="HZ64" s="293"/>
      <x:c r="IA64" s="293"/>
      <x:c r="IB64" s="293"/>
      <x:c r="IC64" s="293"/>
      <x:c r="ID64" s="293"/>
      <x:c r="IE64" s="293"/>
      <x:c r="IF64" s="293"/>
      <x:c r="IG64" s="293"/>
      <x:c r="IH64" s="293"/>
      <x:c r="II64" s="293"/>
      <x:c r="IJ64" s="293"/>
      <x:c r="IK64" s="293"/>
      <x:c r="IL64" s="293"/>
      <x:c r="IM64" s="293"/>
      <x:c r="IN64" s="293"/>
      <x:c r="IO64" s="293"/>
      <x:c r="IP64" s="293"/>
      <x:c r="IQ64" s="293"/>
      <x:c r="IR64" s="293"/>
      <x:c r="IS64" s="293"/>
      <x:c r="IT64" s="293"/>
      <x:c r="IU64" s="293"/>
      <x:c r="IV64" s="293"/>
      <x:c r="IW64" s="293"/>
      <x:c r="IX64" s="293"/>
      <x:c r="IY64" s="293"/>
      <x:c r="IZ64" s="293"/>
      <x:c r="JA64" s="293"/>
      <x:c r="JB64" s="293"/>
      <x:c r="JC64" s="293"/>
      <x:c r="JD64" s="293"/>
      <x:c r="JE64" s="293"/>
      <x:c r="JF64" s="293"/>
      <x:c r="JG64" s="293"/>
      <x:c r="JH64" s="293"/>
      <x:c r="JI64" s="293"/>
      <x:c r="JJ64" s="293"/>
      <x:c r="JK64" s="293"/>
      <x:c r="JL64" s="293"/>
      <x:c r="JM64" s="293"/>
      <x:c r="JN64" s="293"/>
      <x:c r="JO64" s="293"/>
      <x:c r="JP64" s="293"/>
      <x:c r="JQ64" s="293"/>
      <x:c r="JR64" s="293"/>
      <x:c r="JS64" s="293"/>
      <x:c r="JT64" s="293"/>
      <x:c r="JU64" s="293"/>
      <x:c r="JV64" s="293"/>
      <x:c r="JW64" s="293"/>
      <x:c r="JX64" s="293"/>
      <x:c r="JY64" s="293"/>
      <x:c r="JZ64" s="293"/>
      <x:c r="KA64" s="293"/>
      <x:c r="KB64" s="293"/>
      <x:c r="KC64" s="293"/>
      <x:c r="KD64" s="293"/>
      <x:c r="KE64" s="293"/>
      <x:c r="KF64" s="293"/>
      <x:c r="KG64" s="293"/>
      <x:c r="KH64" s="293"/>
      <x:c r="KI64" s="293"/>
      <x:c r="KJ64" s="293"/>
      <x:c r="KK64" s="293"/>
      <x:c r="KL64" s="293"/>
      <x:c r="KM64" s="293"/>
      <x:c r="KN64" s="293"/>
      <x:c r="KO64" s="293"/>
      <x:c r="KP64" s="293"/>
      <x:c r="KQ64" s="293"/>
      <x:c r="KR64" s="293"/>
      <x:c r="KS64" s="293"/>
      <x:c r="KT64" s="293"/>
      <x:c r="KU64" s="293"/>
      <x:c r="KV64" s="293"/>
      <x:c r="KW64" s="293"/>
      <x:c r="KX64" s="293"/>
      <x:c r="KY64" s="293"/>
      <x:c r="KZ64" s="293"/>
      <x:c r="LA64" s="293"/>
      <x:c r="LB64" s="293"/>
      <x:c r="LC64" s="293"/>
      <x:c r="LD64" s="293"/>
      <x:c r="LE64" s="293"/>
      <x:c r="LF64" s="293"/>
      <x:c r="LG64" s="293"/>
      <x:c r="LH64" s="293"/>
      <x:c r="LI64" s="293"/>
      <x:c r="LJ64" s="293"/>
      <x:c r="LK64" s="293"/>
      <x:c r="LL64" s="293"/>
      <x:c r="LM64" s="293"/>
      <x:c r="LN64" s="293"/>
      <x:c r="LO64" s="293"/>
      <x:c r="LP64" s="293"/>
      <x:c r="LQ64" s="293"/>
      <x:c r="LR64" s="293"/>
      <x:c r="LS64" s="293"/>
      <x:c r="LT64" s="293"/>
      <x:c r="LU64" s="293"/>
      <x:c r="LV64" s="293"/>
      <x:c r="LW64" s="293"/>
      <x:c r="LX64" s="293"/>
      <x:c r="LY64" s="293"/>
      <x:c r="LZ64" s="293"/>
      <x:c r="MA64" s="293"/>
      <x:c r="MB64" s="293"/>
      <x:c r="MC64" s="293"/>
      <x:c r="MD64" s="293"/>
      <x:c r="ME64" s="293"/>
      <x:c r="MF64" s="293"/>
      <x:c r="MG64" s="293"/>
      <x:c r="MH64" s="293"/>
      <x:c r="MI64" s="293"/>
      <x:c r="MJ64" s="293"/>
      <x:c r="MK64" s="293"/>
      <x:c r="ML64" s="293"/>
      <x:c r="MM64" s="293"/>
      <x:c r="MN64" s="293"/>
      <x:c r="MO64" s="293"/>
      <x:c r="MP64" s="293"/>
      <x:c r="MQ64" s="293"/>
      <x:c r="MR64" s="293"/>
      <x:c r="MS64" s="293"/>
      <x:c r="MT64" s="293"/>
      <x:c r="MU64" s="293"/>
      <x:c r="MV64" s="293"/>
      <x:c r="MW64" s="293"/>
      <x:c r="MX64" s="293"/>
      <x:c r="MY64" s="293"/>
      <x:c r="MZ64" s="293"/>
      <x:c r="NA64" s="293"/>
      <x:c r="NB64" s="293"/>
      <x:c r="NC64" s="293"/>
      <x:c r="ND64" s="293"/>
      <x:c r="NE64" s="293"/>
      <x:c r="NF64" s="293"/>
      <x:c r="NG64" s="293"/>
      <x:c r="NH64" s="293"/>
      <x:c r="NI64" s="293"/>
      <x:c r="NJ64" s="293"/>
      <x:c r="NK64" s="293"/>
      <x:c r="NL64" s="293"/>
      <x:c r="NM64" s="293"/>
      <x:c r="NN64" s="293"/>
      <x:c r="NO64" s="293"/>
      <x:c r="NP64" s="293"/>
      <x:c r="NQ64" s="293"/>
      <x:c r="NR64" s="293"/>
      <x:c r="NS64" s="293"/>
      <x:c r="NT64" s="293"/>
      <x:c r="NU64" s="293"/>
      <x:c r="NV64" s="293"/>
      <x:c r="NW64" s="293"/>
      <x:c r="NX64" s="293"/>
      <x:c r="NY64" s="293"/>
      <x:c r="NZ64" s="293"/>
      <x:c r="OA64" s="293"/>
      <x:c r="OB64" s="293"/>
      <x:c r="OC64" s="293"/>
      <x:c r="OD64" s="293"/>
      <x:c r="OE64" s="293"/>
      <x:c r="OF64" s="293"/>
      <x:c r="OG64" s="293"/>
      <x:c r="OH64" s="293"/>
      <x:c r="OI64" s="293"/>
      <x:c r="OJ64" s="293"/>
      <x:c r="OK64" s="293"/>
      <x:c r="OL64" s="293"/>
      <x:c r="OM64" s="293"/>
      <x:c r="ON64" s="293"/>
      <x:c r="OO64" s="293"/>
      <x:c r="OP64" s="293"/>
      <x:c r="OQ64" s="293"/>
      <x:c r="OR64" s="293"/>
      <x:c r="OS64" s="293"/>
      <x:c r="OT64" s="293"/>
      <x:c r="OU64" s="293"/>
      <x:c r="OV64" s="293"/>
      <x:c r="OW64" s="293"/>
      <x:c r="OX64" s="293"/>
      <x:c r="OY64" s="293"/>
      <x:c r="OZ64" s="293"/>
      <x:c r="PA64" s="293"/>
      <x:c r="PB64" s="293"/>
      <x:c r="PC64" s="293"/>
      <x:c r="PD64" s="293"/>
      <x:c r="PE64" s="293"/>
      <x:c r="PF64" s="293"/>
      <x:c r="PG64" s="293"/>
      <x:c r="PH64" s="293"/>
      <x:c r="PI64" s="293"/>
      <x:c r="PJ64" s="293"/>
      <x:c r="PK64" s="293"/>
      <x:c r="PL64" s="293"/>
      <x:c r="PM64" s="293"/>
      <x:c r="PN64" s="293"/>
      <x:c r="PO64" s="293"/>
      <x:c r="PP64" s="293"/>
      <x:c r="PQ64" s="293"/>
      <x:c r="PR64" s="293"/>
      <x:c r="PS64" s="293"/>
      <x:c r="PT64" s="293"/>
      <x:c r="PU64" s="293"/>
      <x:c r="PV64" s="293"/>
      <x:c r="PW64" s="293"/>
      <x:c r="PX64" s="293"/>
      <x:c r="PY64" s="293"/>
      <x:c r="PZ64" s="293"/>
      <x:c r="QA64" s="293"/>
      <x:c r="QB64" s="293"/>
      <x:c r="QC64" s="293"/>
      <x:c r="QD64" s="293"/>
      <x:c r="QE64" s="293"/>
      <x:c r="QF64" s="293"/>
      <x:c r="QG64" s="293"/>
      <x:c r="QH64" s="293"/>
      <x:c r="QI64" s="293"/>
      <x:c r="QJ64" s="293"/>
      <x:c r="QK64" s="293"/>
      <x:c r="QL64" s="293"/>
      <x:c r="QM64" s="293"/>
      <x:c r="QN64" s="293"/>
      <x:c r="QO64" s="293"/>
      <x:c r="QP64" s="293"/>
      <x:c r="QQ64" s="293"/>
      <x:c r="QR64" s="293"/>
      <x:c r="QS64" s="293"/>
      <x:c r="QT64" s="293"/>
      <x:c r="QU64" s="293"/>
      <x:c r="QV64" s="293"/>
      <x:c r="QW64" s="293"/>
      <x:c r="QX64" s="293"/>
      <x:c r="QY64" s="293"/>
      <x:c r="QZ64" s="293"/>
      <x:c r="RA64" s="293"/>
      <x:c r="RB64" s="293"/>
      <x:c r="RC64" s="293"/>
      <x:c r="RD64" s="293"/>
      <x:c r="RE64" s="293"/>
      <x:c r="RF64" s="293"/>
      <x:c r="RG64" s="293"/>
      <x:c r="RH64" s="293"/>
      <x:c r="RI64" s="293"/>
      <x:c r="RJ64" s="293"/>
      <x:c r="RK64" s="293"/>
      <x:c r="RL64" s="293"/>
      <x:c r="RM64" s="293"/>
      <x:c r="RN64" s="293"/>
      <x:c r="RO64" s="293"/>
      <x:c r="RP64" s="293"/>
      <x:c r="RQ64" s="293"/>
      <x:c r="RR64" s="293"/>
      <x:c r="RS64" s="293"/>
      <x:c r="RT64" s="293"/>
      <x:c r="RU64" s="293"/>
      <x:c r="RV64" s="293"/>
      <x:c r="RW64" s="293"/>
      <x:c r="RX64" s="293"/>
      <x:c r="RY64" s="293"/>
      <x:c r="RZ64" s="293"/>
      <x:c r="SA64" s="293"/>
      <x:c r="SB64" s="293"/>
      <x:c r="SC64" s="293"/>
      <x:c r="SD64" s="293"/>
      <x:c r="SE64" s="293"/>
      <x:c r="SF64" s="293"/>
      <x:c r="SG64" s="293"/>
      <x:c r="SH64" s="293"/>
      <x:c r="SI64" s="293"/>
      <x:c r="SJ64" s="293"/>
      <x:c r="SK64" s="293"/>
      <x:c r="SL64" s="293"/>
      <x:c r="SM64" s="293"/>
      <x:c r="SN64" s="293"/>
      <x:c r="SO64" s="293"/>
      <x:c r="SP64" s="293"/>
      <x:c r="SQ64" s="293"/>
      <x:c r="SR64" s="293"/>
      <x:c r="SS64" s="293"/>
      <x:c r="ST64" s="293"/>
      <x:c r="SU64" s="293"/>
      <x:c r="SV64" s="293"/>
      <x:c r="SW64" s="293"/>
      <x:c r="SX64" s="293"/>
      <x:c r="SY64" s="293"/>
      <x:c r="SZ64" s="293"/>
      <x:c r="TA64" s="293"/>
      <x:c r="TB64" s="293"/>
      <x:c r="TC64" s="293"/>
      <x:c r="TD64" s="293"/>
      <x:c r="TE64" s="293"/>
      <x:c r="TF64" s="293"/>
      <x:c r="TG64" s="293"/>
      <x:c r="TH64" s="293"/>
      <x:c r="TI64" s="293"/>
      <x:c r="TJ64" s="293"/>
      <x:c r="TK64" s="293"/>
      <x:c r="TL64" s="293"/>
      <x:c r="TM64" s="293"/>
      <x:c r="TN64" s="293"/>
      <x:c r="TO64" s="293"/>
      <x:c r="TP64" s="293"/>
      <x:c r="TQ64" s="293"/>
      <x:c r="TR64" s="293"/>
      <x:c r="TS64" s="293"/>
      <x:c r="TT64" s="293"/>
      <x:c r="TU64" s="293"/>
      <x:c r="TV64" s="293"/>
      <x:c r="TW64" s="293"/>
      <x:c r="TX64" s="293"/>
      <x:c r="TY64" s="293"/>
      <x:c r="TZ64" s="293"/>
      <x:c r="UA64" s="293"/>
      <x:c r="UB64" s="293"/>
      <x:c r="UC64" s="293"/>
      <x:c r="UD64" s="293"/>
      <x:c r="UE64" s="293"/>
      <x:c r="UF64" s="293"/>
      <x:c r="UG64" s="293"/>
      <x:c r="UH64" s="293"/>
      <x:c r="UI64" s="293"/>
      <x:c r="UJ64" s="293"/>
      <x:c r="UK64" s="293"/>
      <x:c r="UL64" s="293"/>
      <x:c r="UM64" s="293"/>
      <x:c r="UN64" s="293"/>
      <x:c r="UO64" s="293"/>
      <x:c r="UP64" s="293"/>
      <x:c r="UQ64" s="293"/>
      <x:c r="UR64" s="293"/>
      <x:c r="US64" s="293"/>
      <x:c r="UT64" s="293"/>
      <x:c r="UU64" s="293"/>
      <x:c r="UV64" s="293"/>
      <x:c r="UW64" s="293"/>
      <x:c r="UX64" s="293"/>
      <x:c r="UY64" s="293"/>
      <x:c r="UZ64" s="293"/>
      <x:c r="VA64" s="293"/>
      <x:c r="VB64" s="293"/>
      <x:c r="VC64" s="293"/>
      <x:c r="VD64" s="293"/>
      <x:c r="VE64" s="293"/>
      <x:c r="VF64" s="293"/>
      <x:c r="VG64" s="293"/>
      <x:c r="VH64" s="293"/>
      <x:c r="VI64" s="293"/>
      <x:c r="VJ64" s="293"/>
      <x:c r="VK64" s="293"/>
      <x:c r="VL64" s="293"/>
      <x:c r="VM64" s="293"/>
      <x:c r="VN64" s="293"/>
      <x:c r="VO64" s="293"/>
      <x:c r="VP64" s="293"/>
      <x:c r="VQ64" s="293"/>
      <x:c r="VR64" s="293"/>
      <x:c r="VS64" s="293"/>
      <x:c r="VT64" s="293"/>
      <x:c r="VU64" s="293"/>
      <x:c r="VV64" s="293"/>
      <x:c r="VW64" s="293"/>
      <x:c r="VX64" s="293"/>
      <x:c r="VY64" s="293"/>
      <x:c r="VZ64" s="293"/>
      <x:c r="WA64" s="293"/>
      <x:c r="WB64" s="293"/>
      <x:c r="WC64" s="293"/>
      <x:c r="WD64" s="293"/>
      <x:c r="WE64" s="293"/>
      <x:c r="WF64" s="293"/>
      <x:c r="WG64" s="293"/>
      <x:c r="WH64" s="293"/>
      <x:c r="WI64" s="293"/>
      <x:c r="WJ64" s="293"/>
      <x:c r="WK64" s="293"/>
      <x:c r="WL64" s="293"/>
      <x:c r="WM64" s="293"/>
      <x:c r="WN64" s="293"/>
      <x:c r="WO64" s="293"/>
      <x:c r="WP64" s="293"/>
      <x:c r="WQ64" s="293"/>
      <x:c r="WR64" s="293"/>
      <x:c r="WS64" s="293"/>
      <x:c r="WT64" s="293"/>
      <x:c r="WU64" s="293"/>
      <x:c r="WV64" s="293"/>
      <x:c r="WW64" s="293"/>
      <x:c r="WX64" s="293"/>
      <x:c r="WY64" s="293"/>
      <x:c r="WZ64" s="293"/>
      <x:c r="XA64" s="293"/>
      <x:c r="XB64" s="293"/>
      <x:c r="XC64" s="293"/>
      <x:c r="XD64" s="293"/>
      <x:c r="XE64" s="293"/>
      <x:c r="XF64" s="293"/>
      <x:c r="XG64" s="293"/>
      <x:c r="XH64" s="293"/>
      <x:c r="XI64" s="293"/>
      <x:c r="XJ64" s="293"/>
      <x:c r="XK64" s="293"/>
      <x:c r="XL64" s="293"/>
      <x:c r="XM64" s="293"/>
      <x:c r="XN64" s="293"/>
      <x:c r="XO64" s="293"/>
      <x:c r="XP64" s="293"/>
      <x:c r="XQ64" s="293"/>
      <x:c r="XR64" s="293"/>
      <x:c r="XS64" s="293"/>
      <x:c r="XT64" s="293"/>
      <x:c r="XU64" s="293"/>
      <x:c r="XV64" s="293"/>
      <x:c r="XW64" s="293"/>
      <x:c r="XX64" s="293"/>
      <x:c r="XY64" s="293"/>
      <x:c r="XZ64" s="293"/>
      <x:c r="YA64" s="293"/>
      <x:c r="YB64" s="293"/>
      <x:c r="YC64" s="293"/>
      <x:c r="YD64" s="293"/>
      <x:c r="YE64" s="293"/>
      <x:c r="YF64" s="293"/>
      <x:c r="YG64" s="293"/>
      <x:c r="YH64" s="293"/>
      <x:c r="YI64" s="293"/>
      <x:c r="YJ64" s="293"/>
      <x:c r="YK64" s="293"/>
      <x:c r="YL64" s="293"/>
      <x:c r="YM64" s="293"/>
      <x:c r="YN64" s="293"/>
      <x:c r="YO64" s="293"/>
      <x:c r="YP64" s="293"/>
      <x:c r="YQ64" s="293"/>
      <x:c r="YR64" s="293"/>
      <x:c r="YS64" s="293"/>
      <x:c r="YT64" s="293"/>
      <x:c r="YU64" s="293"/>
      <x:c r="YV64" s="293"/>
      <x:c r="YW64" s="293"/>
      <x:c r="YX64" s="293"/>
      <x:c r="YY64" s="293"/>
      <x:c r="YZ64" s="293"/>
      <x:c r="ZA64" s="293"/>
      <x:c r="ZB64" s="293"/>
      <x:c r="ZC64" s="293"/>
      <x:c r="ZD64" s="293"/>
      <x:c r="ZE64" s="293"/>
      <x:c r="ZF64" s="293"/>
      <x:c r="ZG64" s="293"/>
      <x:c r="ZH64" s="293"/>
      <x:c r="ZI64" s="293"/>
      <x:c r="ZJ64" s="293"/>
      <x:c r="ZK64" s="293"/>
      <x:c r="ZL64" s="293"/>
      <x:c r="ZM64" s="293"/>
      <x:c r="ZN64" s="293"/>
      <x:c r="ZO64" s="293"/>
      <x:c r="ZP64" s="293"/>
      <x:c r="ZQ64" s="293"/>
      <x:c r="ZR64" s="293"/>
      <x:c r="ZS64" s="293"/>
      <x:c r="ZT64" s="293"/>
      <x:c r="ZU64" s="293"/>
      <x:c r="ZV64" s="293"/>
      <x:c r="ZW64" s="293"/>
      <x:c r="ZX64" s="293"/>
      <x:c r="ZY64" s="293"/>
      <x:c r="ZZ64" s="293"/>
      <x:c r="AAA64" s="293"/>
      <x:c r="AAB64" s="293"/>
      <x:c r="AAC64" s="293"/>
      <x:c r="AAD64" s="293"/>
      <x:c r="AAE64" s="293"/>
      <x:c r="AAF64" s="293"/>
      <x:c r="AAG64" s="293"/>
      <x:c r="AAH64" s="293"/>
      <x:c r="AAI64" s="293"/>
      <x:c r="AAJ64" s="293"/>
      <x:c r="AAK64" s="293"/>
      <x:c r="AAL64" s="293"/>
      <x:c r="AAM64" s="293"/>
      <x:c r="AAN64" s="293"/>
      <x:c r="AAO64" s="293"/>
      <x:c r="AAP64" s="293"/>
      <x:c r="AAQ64" s="293"/>
      <x:c r="AAR64" s="293"/>
      <x:c r="AAS64" s="293"/>
      <x:c r="AAT64" s="293"/>
      <x:c r="AAU64" s="293"/>
      <x:c r="AAV64" s="293"/>
      <x:c r="AAW64" s="293"/>
      <x:c r="AAX64" s="293"/>
      <x:c r="AAY64" s="293"/>
      <x:c r="AAZ64" s="293"/>
      <x:c r="ABA64" s="293"/>
      <x:c r="ABB64" s="293"/>
      <x:c r="ABC64" s="293"/>
      <x:c r="ABD64" s="293"/>
      <x:c r="ABE64" s="293"/>
      <x:c r="ABF64" s="293"/>
      <x:c r="ABG64" s="293"/>
      <x:c r="ABH64" s="293"/>
      <x:c r="ABI64" s="293"/>
      <x:c r="ABJ64" s="293"/>
      <x:c r="ABK64" s="293"/>
      <x:c r="ABL64" s="293"/>
      <x:c r="ABM64" s="293"/>
      <x:c r="ABN64" s="293"/>
      <x:c r="ABO64" s="293"/>
      <x:c r="ABP64" s="293"/>
      <x:c r="ABQ64" s="293"/>
      <x:c r="ABR64" s="293"/>
      <x:c r="ABS64" s="293"/>
      <x:c r="ABT64" s="293"/>
      <x:c r="ABU64" s="293"/>
      <x:c r="ABV64" s="293"/>
      <x:c r="ABW64" s="293"/>
      <x:c r="ABX64" s="293"/>
      <x:c r="ABY64" s="293"/>
      <x:c r="ABZ64" s="293"/>
      <x:c r="ACA64" s="293"/>
      <x:c r="ACB64" s="293"/>
      <x:c r="ACC64" s="293"/>
      <x:c r="ACD64" s="293"/>
      <x:c r="ACE64" s="293"/>
      <x:c r="ACF64" s="293"/>
      <x:c r="ACG64" s="293"/>
      <x:c r="ACH64" s="293"/>
      <x:c r="ACI64" s="293"/>
      <x:c r="ACJ64" s="293"/>
      <x:c r="ACK64" s="293"/>
      <x:c r="ACL64" s="293"/>
      <x:c r="ACM64" s="293"/>
      <x:c r="ACN64" s="293"/>
      <x:c r="ACO64" s="293"/>
      <x:c r="ACP64" s="293"/>
      <x:c r="ACQ64" s="293"/>
      <x:c r="ACR64" s="293"/>
      <x:c r="ACS64" s="293"/>
      <x:c r="ACT64" s="293"/>
      <x:c r="ACU64" s="293"/>
      <x:c r="ACV64" s="293"/>
      <x:c r="ACW64" s="293"/>
      <x:c r="ACX64" s="293"/>
      <x:c r="ACY64" s="293"/>
      <x:c r="ACZ64" s="293"/>
      <x:c r="ADA64" s="293"/>
      <x:c r="ADB64" s="293"/>
      <x:c r="ADC64" s="293"/>
      <x:c r="ADD64" s="293"/>
      <x:c r="ADE64" s="293"/>
      <x:c r="ADF64" s="293"/>
      <x:c r="ADG64" s="293"/>
      <x:c r="ADH64" s="293"/>
      <x:c r="ADI64" s="293"/>
      <x:c r="ADJ64" s="293"/>
      <x:c r="ADK64" s="293"/>
      <x:c r="ADL64" s="293"/>
      <x:c r="ADM64" s="293"/>
      <x:c r="ADN64" s="293"/>
      <x:c r="ADO64" s="293"/>
      <x:c r="ADP64" s="293"/>
      <x:c r="ADQ64" s="293"/>
      <x:c r="ADR64" s="293"/>
      <x:c r="ADS64" s="293"/>
      <x:c r="ADT64" s="293"/>
      <x:c r="ADU64" s="293"/>
      <x:c r="ADV64" s="293"/>
      <x:c r="ADW64" s="293"/>
      <x:c r="ADX64" s="293"/>
      <x:c r="ADY64" s="293"/>
      <x:c r="ADZ64" s="293"/>
      <x:c r="AEA64" s="293"/>
      <x:c r="AEB64" s="293"/>
      <x:c r="AEC64" s="293"/>
      <x:c r="AED64" s="293"/>
      <x:c r="AEE64" s="293"/>
      <x:c r="AEF64" s="293"/>
      <x:c r="AEG64" s="293"/>
      <x:c r="AEH64" s="293"/>
      <x:c r="AEI64" s="293"/>
      <x:c r="AEJ64" s="293"/>
      <x:c r="AEK64" s="293"/>
      <x:c r="AEL64" s="293"/>
      <x:c r="AEM64" s="293"/>
      <x:c r="AEN64" s="293"/>
      <x:c r="AEO64" s="293"/>
      <x:c r="AEP64" s="293"/>
      <x:c r="AEQ64" s="293"/>
      <x:c r="AER64" s="293"/>
      <x:c r="AES64" s="293"/>
      <x:c r="AET64" s="293"/>
      <x:c r="AEU64" s="293"/>
      <x:c r="AEV64" s="293"/>
      <x:c r="AEW64" s="293"/>
      <x:c r="AEX64" s="293"/>
      <x:c r="AEY64" s="293"/>
      <x:c r="AEZ64" s="293"/>
      <x:c r="AFA64" s="293"/>
      <x:c r="AFB64" s="293"/>
      <x:c r="AFC64" s="293"/>
      <x:c r="AFD64" s="293"/>
      <x:c r="AFE64" s="293"/>
      <x:c r="AFF64" s="293"/>
      <x:c r="AFG64" s="293"/>
      <x:c r="AFH64" s="293"/>
      <x:c r="AFI64" s="293"/>
      <x:c r="AFJ64" s="293"/>
      <x:c r="AFK64" s="293"/>
      <x:c r="AFL64" s="293"/>
      <x:c r="AFM64" s="293"/>
      <x:c r="AFN64" s="293"/>
      <x:c r="AFO64" s="293"/>
      <x:c r="AFP64" s="293"/>
      <x:c r="AFQ64" s="293"/>
      <x:c r="AFR64" s="293"/>
      <x:c r="AFS64" s="293"/>
      <x:c r="AFT64" s="293"/>
      <x:c r="AFU64" s="293"/>
      <x:c r="AFV64" s="293"/>
      <x:c r="AFW64" s="293"/>
      <x:c r="AFX64" s="293"/>
      <x:c r="AFY64" s="293"/>
      <x:c r="AFZ64" s="293"/>
      <x:c r="AGA64" s="293"/>
      <x:c r="AGB64" s="293"/>
      <x:c r="AGC64" s="293"/>
      <x:c r="AGD64" s="293"/>
      <x:c r="AGE64" s="293"/>
      <x:c r="AGF64" s="293"/>
      <x:c r="AGG64" s="293"/>
      <x:c r="AGH64" s="293"/>
      <x:c r="AGI64" s="293"/>
      <x:c r="AGJ64" s="293"/>
      <x:c r="AGK64" s="293"/>
      <x:c r="AGL64" s="293"/>
      <x:c r="AGM64" s="293"/>
      <x:c r="AGN64" s="293"/>
      <x:c r="AGO64" s="293"/>
      <x:c r="AGP64" s="293"/>
      <x:c r="AGQ64" s="293"/>
      <x:c r="AGR64" s="293"/>
      <x:c r="AGS64" s="293"/>
      <x:c r="AGT64" s="293"/>
      <x:c r="AGU64" s="293"/>
      <x:c r="AGV64" s="293"/>
      <x:c r="AGW64" s="293"/>
      <x:c r="AGX64" s="293"/>
      <x:c r="AGY64" s="293"/>
      <x:c r="AGZ64" s="293"/>
      <x:c r="AHA64" s="293"/>
      <x:c r="AHB64" s="293"/>
      <x:c r="AHC64" s="293"/>
      <x:c r="AHD64" s="293"/>
      <x:c r="AHE64" s="293"/>
      <x:c r="AHF64" s="293"/>
      <x:c r="AHG64" s="293"/>
      <x:c r="AHH64" s="293"/>
      <x:c r="AHI64" s="293"/>
      <x:c r="AHJ64" s="293"/>
      <x:c r="AHK64" s="293"/>
      <x:c r="AHL64" s="293"/>
      <x:c r="AHM64" s="293"/>
      <x:c r="AHN64" s="293"/>
      <x:c r="AHO64" s="293"/>
      <x:c r="AHP64" s="293"/>
      <x:c r="AHQ64" s="293"/>
      <x:c r="AHR64" s="293"/>
      <x:c r="AHS64" s="293"/>
      <x:c r="AHT64" s="293"/>
      <x:c r="AHU64" s="293"/>
      <x:c r="AHV64" s="293"/>
      <x:c r="AHW64" s="293"/>
      <x:c r="AHX64" s="293"/>
      <x:c r="AHY64" s="293"/>
      <x:c r="AHZ64" s="293"/>
      <x:c r="AIA64" s="293"/>
      <x:c r="AIB64" s="293"/>
      <x:c r="AIC64" s="293"/>
      <x:c r="AID64" s="293"/>
      <x:c r="AIE64" s="293"/>
      <x:c r="AIF64" s="293"/>
      <x:c r="AIG64" s="293"/>
      <x:c r="AIH64" s="293"/>
      <x:c r="AII64" s="293"/>
      <x:c r="AIJ64" s="293"/>
      <x:c r="AIK64" s="293"/>
      <x:c r="AIL64" s="293"/>
      <x:c r="AIM64" s="293"/>
      <x:c r="AIN64" s="293"/>
      <x:c r="AIO64" s="293"/>
      <x:c r="AIP64" s="293"/>
      <x:c r="AIQ64" s="293"/>
      <x:c r="AIR64" s="293"/>
      <x:c r="AIS64" s="293"/>
      <x:c r="AIT64" s="293"/>
      <x:c r="AIU64" s="293"/>
      <x:c r="AIV64" s="293"/>
      <x:c r="AIW64" s="293"/>
      <x:c r="AIX64" s="293"/>
      <x:c r="AIY64" s="293"/>
      <x:c r="AIZ64" s="293"/>
      <x:c r="AJA64" s="293"/>
      <x:c r="AJB64" s="293"/>
      <x:c r="AJC64" s="293"/>
      <x:c r="AJD64" s="293"/>
      <x:c r="AJE64" s="293"/>
      <x:c r="AJF64" s="293"/>
      <x:c r="AJG64" s="293"/>
      <x:c r="AJH64" s="293"/>
      <x:c r="AJI64" s="293"/>
      <x:c r="AJJ64" s="293"/>
      <x:c r="AJK64" s="293"/>
      <x:c r="AJL64" s="293"/>
      <x:c r="AJM64" s="293"/>
      <x:c r="AJN64" s="293"/>
      <x:c r="AJO64" s="293"/>
      <x:c r="AJP64" s="293"/>
      <x:c r="AJQ64" s="293"/>
      <x:c r="AJR64" s="293"/>
      <x:c r="AJS64" s="293"/>
      <x:c r="AJT64" s="293"/>
      <x:c r="AJU64" s="293"/>
      <x:c r="AJV64" s="293"/>
      <x:c r="AJW64" s="293"/>
      <x:c r="AJX64" s="293"/>
      <x:c r="AJY64" s="293"/>
      <x:c r="AJZ64" s="293"/>
      <x:c r="AKA64" s="293"/>
      <x:c r="AKB64" s="293"/>
      <x:c r="AKC64" s="293"/>
      <x:c r="AKD64" s="293"/>
      <x:c r="AKE64" s="293"/>
      <x:c r="AKF64" s="293"/>
      <x:c r="AKG64" s="293"/>
      <x:c r="AKH64" s="293"/>
      <x:c r="AKI64" s="293"/>
      <x:c r="AKJ64" s="293"/>
      <x:c r="AKK64" s="293"/>
      <x:c r="AKL64" s="293"/>
      <x:c r="AKM64" s="293"/>
      <x:c r="AKN64" s="293"/>
      <x:c r="AKO64" s="293"/>
      <x:c r="AKP64" s="293"/>
      <x:c r="AKQ64" s="293"/>
      <x:c r="AKR64" s="293"/>
      <x:c r="AKS64" s="293"/>
      <x:c r="AKT64" s="293"/>
      <x:c r="AKU64" s="293"/>
      <x:c r="AKV64" s="293"/>
      <x:c r="AKW64" s="293"/>
      <x:c r="AKX64" s="293"/>
      <x:c r="AKY64" s="293"/>
      <x:c r="AKZ64" s="293"/>
      <x:c r="ALA64" s="293"/>
      <x:c r="ALB64" s="293"/>
      <x:c r="ALC64" s="293"/>
      <x:c r="ALD64" s="293"/>
      <x:c r="ALE64" s="293"/>
      <x:c r="ALF64" s="293"/>
      <x:c r="ALG64" s="293"/>
      <x:c r="ALH64" s="293"/>
      <x:c r="ALI64" s="293"/>
      <x:c r="ALJ64" s="293"/>
      <x:c r="ALK64" s="293"/>
      <x:c r="ALL64" s="293"/>
      <x:c r="ALM64" s="293"/>
      <x:c r="ALN64" s="293"/>
      <x:c r="ALO64" s="293"/>
      <x:c r="ALP64" s="293"/>
      <x:c r="ALQ64" s="293"/>
      <x:c r="ALR64" s="293"/>
      <x:c r="ALS64" s="293"/>
      <x:c r="ALT64" s="293"/>
      <x:c r="ALU64" s="293"/>
      <x:c r="ALV64" s="293"/>
      <x:c r="ALW64" s="293"/>
      <x:c r="ALX64" s="293"/>
      <x:c r="ALY64" s="293"/>
      <x:c r="ALZ64" s="293"/>
      <x:c r="AMA64" s="293"/>
      <x:c r="AMB64" s="293"/>
      <x:c r="AMC64" s="293"/>
      <x:c r="AMD64" s="293"/>
      <x:c r="AME64" s="293"/>
      <x:c r="AMF64" s="293"/>
      <x:c r="AMG64" s="293"/>
      <x:c r="AMH64" s="293"/>
      <x:c r="AMI64" s="293"/>
      <x:c r="AMJ64" s="293"/>
      <x:c r="AMK64" s="293"/>
      <x:c r="AML64" s="293"/>
      <x:c r="AMM64" s="293"/>
      <x:c r="AMN64" s="293"/>
      <x:c r="AMO64" s="293"/>
      <x:c r="AMP64" s="293"/>
      <x:c r="AMQ64" s="293"/>
      <x:c r="AMR64" s="293"/>
      <x:c r="AMS64" s="293"/>
      <x:c r="AMT64" s="293"/>
      <x:c r="AMU64" s="293"/>
      <x:c r="AMV64" s="293"/>
      <x:c r="AMW64" s="293"/>
      <x:c r="AMX64" s="293"/>
      <x:c r="AMY64" s="293"/>
      <x:c r="AMZ64" s="293"/>
      <x:c r="ANA64" s="293"/>
      <x:c r="ANB64" s="293"/>
      <x:c r="ANC64" s="293"/>
      <x:c r="AND64" s="293"/>
      <x:c r="ANE64" s="293"/>
      <x:c r="ANF64" s="293"/>
      <x:c r="ANG64" s="293"/>
      <x:c r="ANH64" s="293"/>
      <x:c r="ANI64" s="293"/>
      <x:c r="ANJ64" s="293"/>
      <x:c r="ANK64" s="293"/>
      <x:c r="ANL64" s="293"/>
      <x:c r="ANM64" s="293"/>
      <x:c r="ANN64" s="293"/>
      <x:c r="ANO64" s="293"/>
      <x:c r="ANP64" s="293"/>
      <x:c r="ANQ64" s="293"/>
      <x:c r="ANR64" s="293"/>
      <x:c r="ANS64" s="293"/>
      <x:c r="ANT64" s="293"/>
      <x:c r="ANU64" s="293"/>
      <x:c r="ANV64" s="293"/>
      <x:c r="ANW64" s="293"/>
      <x:c r="ANX64" s="293"/>
      <x:c r="ANY64" s="293"/>
      <x:c r="ANZ64" s="293"/>
      <x:c r="AOA64" s="293"/>
      <x:c r="AOB64" s="293"/>
      <x:c r="AOC64" s="293"/>
      <x:c r="AOD64" s="293"/>
      <x:c r="AOE64" s="293"/>
      <x:c r="AOF64" s="293"/>
      <x:c r="AOG64" s="293"/>
      <x:c r="AOH64" s="293"/>
      <x:c r="AOI64" s="293"/>
      <x:c r="AOJ64" s="293"/>
      <x:c r="AOK64" s="293"/>
      <x:c r="AOL64" s="293"/>
      <x:c r="AOM64" s="293"/>
      <x:c r="AON64" s="293"/>
      <x:c r="AOO64" s="293"/>
      <x:c r="AOP64" s="293"/>
      <x:c r="AOQ64" s="293"/>
      <x:c r="AOR64" s="293"/>
      <x:c r="AOS64" s="293"/>
      <x:c r="AOT64" s="293"/>
      <x:c r="AOU64" s="293"/>
      <x:c r="AOV64" s="293"/>
      <x:c r="AOW64" s="293"/>
      <x:c r="AOX64" s="293"/>
      <x:c r="AOY64" s="293"/>
      <x:c r="AOZ64" s="293"/>
      <x:c r="APA64" s="293"/>
      <x:c r="APB64" s="293"/>
      <x:c r="APC64" s="293"/>
      <x:c r="APD64" s="293"/>
      <x:c r="APE64" s="293"/>
      <x:c r="APF64" s="293"/>
      <x:c r="APG64" s="293"/>
      <x:c r="APH64" s="293"/>
      <x:c r="API64" s="293"/>
      <x:c r="APJ64" s="293"/>
      <x:c r="APK64" s="293"/>
      <x:c r="APL64" s="293"/>
      <x:c r="APM64" s="293"/>
      <x:c r="APN64" s="293"/>
      <x:c r="APO64" s="293"/>
      <x:c r="APP64" s="293"/>
      <x:c r="APQ64" s="293"/>
      <x:c r="APR64" s="293"/>
      <x:c r="APS64" s="293"/>
      <x:c r="APT64" s="293"/>
      <x:c r="APU64" s="293"/>
      <x:c r="APV64" s="293"/>
      <x:c r="APW64" s="293"/>
      <x:c r="APX64" s="293"/>
      <x:c r="APY64" s="293"/>
      <x:c r="APZ64" s="293"/>
      <x:c r="AQA64" s="293"/>
      <x:c r="AQB64" s="293"/>
      <x:c r="AQC64" s="293"/>
      <x:c r="AQD64" s="293"/>
      <x:c r="AQE64" s="293"/>
      <x:c r="AQF64" s="293"/>
      <x:c r="AQG64" s="293"/>
      <x:c r="AQH64" s="293"/>
      <x:c r="AQI64" s="293"/>
      <x:c r="AQJ64" s="293"/>
      <x:c r="AQK64" s="293"/>
      <x:c r="AQL64" s="293"/>
      <x:c r="AQM64" s="293"/>
      <x:c r="AQN64" s="293"/>
      <x:c r="AQO64" s="293"/>
      <x:c r="AQP64" s="293"/>
      <x:c r="AQQ64" s="293"/>
      <x:c r="AQR64" s="293"/>
      <x:c r="AQS64" s="293"/>
      <x:c r="AQT64" s="293"/>
      <x:c r="AQU64" s="293"/>
      <x:c r="AQV64" s="293"/>
      <x:c r="AQW64" s="293"/>
      <x:c r="AQX64" s="293"/>
      <x:c r="AQY64" s="293"/>
      <x:c r="AQZ64" s="293"/>
      <x:c r="ARA64" s="293"/>
      <x:c r="ARB64" s="293"/>
      <x:c r="ARC64" s="293"/>
      <x:c r="ARD64" s="293"/>
      <x:c r="ARE64" s="293"/>
      <x:c r="ARF64" s="293"/>
      <x:c r="ARG64" s="293"/>
      <x:c r="ARH64" s="293"/>
      <x:c r="ARI64" s="293"/>
      <x:c r="ARJ64" s="293"/>
      <x:c r="ARK64" s="293"/>
      <x:c r="ARL64" s="293"/>
      <x:c r="ARM64" s="293"/>
      <x:c r="ARN64" s="293"/>
      <x:c r="ARO64" s="293"/>
      <x:c r="ARP64" s="293"/>
      <x:c r="ARQ64" s="293"/>
      <x:c r="ARR64" s="293"/>
      <x:c r="ARS64" s="293"/>
      <x:c r="ART64" s="293"/>
      <x:c r="ARU64" s="293"/>
      <x:c r="ARV64" s="293"/>
      <x:c r="ARW64" s="293"/>
      <x:c r="ARX64" s="293"/>
      <x:c r="ARY64" s="293"/>
      <x:c r="ARZ64" s="293"/>
      <x:c r="ASA64" s="293"/>
      <x:c r="ASB64" s="293"/>
      <x:c r="ASC64" s="293"/>
      <x:c r="ASD64" s="293"/>
      <x:c r="ASE64" s="293"/>
      <x:c r="ASF64" s="293"/>
      <x:c r="ASG64" s="293"/>
      <x:c r="ASH64" s="293"/>
      <x:c r="ASI64" s="293"/>
      <x:c r="ASJ64" s="293"/>
      <x:c r="ASK64" s="293"/>
      <x:c r="ASL64" s="293"/>
      <x:c r="ASM64" s="293"/>
      <x:c r="ASN64" s="293"/>
      <x:c r="ASO64" s="293"/>
      <x:c r="ASP64" s="293"/>
      <x:c r="ASQ64" s="293"/>
      <x:c r="ASR64" s="293"/>
      <x:c r="ASS64" s="293"/>
      <x:c r="AST64" s="293"/>
      <x:c r="ASU64" s="293"/>
      <x:c r="ASV64" s="293"/>
      <x:c r="ASW64" s="293"/>
      <x:c r="ASX64" s="293"/>
      <x:c r="ASY64" s="293"/>
      <x:c r="ASZ64" s="293"/>
      <x:c r="ATA64" s="293"/>
      <x:c r="ATB64" s="293"/>
      <x:c r="ATC64" s="293"/>
      <x:c r="ATD64" s="293"/>
      <x:c r="ATE64" s="293"/>
      <x:c r="ATF64" s="293"/>
      <x:c r="ATG64" s="293"/>
      <x:c r="ATH64" s="293"/>
      <x:c r="ATI64" s="293"/>
      <x:c r="ATJ64" s="293"/>
      <x:c r="ATK64" s="293"/>
      <x:c r="ATL64" s="293"/>
      <x:c r="ATM64" s="293"/>
      <x:c r="ATN64" s="293"/>
      <x:c r="ATO64" s="293"/>
      <x:c r="ATP64" s="293"/>
      <x:c r="ATQ64" s="293"/>
      <x:c r="ATR64" s="293"/>
      <x:c r="ATS64" s="293"/>
      <x:c r="ATT64" s="293"/>
      <x:c r="ATU64" s="293"/>
      <x:c r="ATV64" s="293"/>
      <x:c r="ATW64" s="293"/>
      <x:c r="ATX64" s="293"/>
      <x:c r="ATY64" s="293"/>
      <x:c r="ATZ64" s="293"/>
      <x:c r="AUA64" s="293"/>
      <x:c r="AUB64" s="293"/>
      <x:c r="AUC64" s="293"/>
      <x:c r="AUD64" s="293"/>
      <x:c r="AUE64" s="293"/>
      <x:c r="AUF64" s="293"/>
      <x:c r="AUG64" s="293"/>
      <x:c r="AUH64" s="293"/>
      <x:c r="AUI64" s="293"/>
      <x:c r="AUJ64" s="293"/>
      <x:c r="AUK64" s="293"/>
      <x:c r="AUL64" s="293"/>
      <x:c r="AUM64" s="293"/>
      <x:c r="AUN64" s="293"/>
      <x:c r="AUO64" s="293"/>
      <x:c r="AUP64" s="293"/>
      <x:c r="AUQ64" s="293"/>
      <x:c r="AUR64" s="293"/>
      <x:c r="AUS64" s="293"/>
      <x:c r="AUT64" s="293"/>
      <x:c r="AUU64" s="293"/>
      <x:c r="AUV64" s="293"/>
      <x:c r="AUW64" s="293"/>
      <x:c r="AUX64" s="293"/>
      <x:c r="AUY64" s="293"/>
      <x:c r="AUZ64" s="293"/>
      <x:c r="AVA64" s="293"/>
      <x:c r="AVB64" s="293"/>
      <x:c r="AVC64" s="293"/>
      <x:c r="AVD64" s="293"/>
      <x:c r="AVE64" s="293"/>
      <x:c r="AVF64" s="293"/>
      <x:c r="AVG64" s="293"/>
      <x:c r="AVH64" s="293"/>
      <x:c r="AVI64" s="293"/>
      <x:c r="AVJ64" s="293"/>
      <x:c r="AVK64" s="293"/>
      <x:c r="AVL64" s="293"/>
      <x:c r="AVM64" s="293"/>
      <x:c r="AVN64" s="293"/>
      <x:c r="AVO64" s="293"/>
      <x:c r="AVP64" s="293"/>
      <x:c r="AVQ64" s="293"/>
      <x:c r="AVR64" s="293"/>
      <x:c r="AVS64" s="293"/>
      <x:c r="AVT64" s="293"/>
      <x:c r="AVU64" s="293"/>
      <x:c r="AVV64" s="293"/>
      <x:c r="AVW64" s="293"/>
      <x:c r="AVX64" s="293"/>
      <x:c r="AVY64" s="293"/>
      <x:c r="AVZ64" s="293"/>
      <x:c r="AWA64" s="293"/>
      <x:c r="AWB64" s="293"/>
      <x:c r="AWC64" s="293"/>
      <x:c r="AWD64" s="293"/>
      <x:c r="AWE64" s="293"/>
      <x:c r="AWF64" s="293"/>
      <x:c r="AWG64" s="293"/>
      <x:c r="AWH64" s="293"/>
      <x:c r="AWI64" s="293"/>
      <x:c r="AWJ64" s="293"/>
      <x:c r="AWK64" s="293"/>
      <x:c r="AWL64" s="293"/>
      <x:c r="AWM64" s="293"/>
      <x:c r="AWN64" s="293"/>
      <x:c r="AWO64" s="293"/>
      <x:c r="AWP64" s="293"/>
      <x:c r="AWQ64" s="293"/>
      <x:c r="AWR64" s="293"/>
      <x:c r="AWS64" s="293"/>
      <x:c r="AWT64" s="293"/>
      <x:c r="AWU64" s="293"/>
      <x:c r="AWV64" s="293"/>
      <x:c r="AWW64" s="293"/>
      <x:c r="AWX64" s="293"/>
      <x:c r="AWY64" s="293"/>
      <x:c r="AWZ64" s="293"/>
      <x:c r="AXA64" s="293"/>
      <x:c r="AXB64" s="293"/>
      <x:c r="AXC64" s="293"/>
      <x:c r="AXD64" s="293"/>
      <x:c r="AXE64" s="293"/>
      <x:c r="AXF64" s="293"/>
      <x:c r="AXG64" s="293"/>
      <x:c r="AXH64" s="293"/>
      <x:c r="AXI64" s="293"/>
      <x:c r="AXJ64" s="293"/>
      <x:c r="AXK64" s="293"/>
      <x:c r="AXL64" s="293"/>
      <x:c r="AXM64" s="293"/>
      <x:c r="AXN64" s="293"/>
      <x:c r="AXO64" s="293"/>
      <x:c r="AXP64" s="293"/>
      <x:c r="AXQ64" s="293"/>
      <x:c r="AXR64" s="293"/>
      <x:c r="AXS64" s="293"/>
      <x:c r="AXT64" s="293"/>
      <x:c r="AXU64" s="293"/>
      <x:c r="AXV64" s="293"/>
      <x:c r="AXW64" s="293"/>
      <x:c r="AXX64" s="293"/>
      <x:c r="AXY64" s="293"/>
      <x:c r="AXZ64" s="293"/>
      <x:c r="AYA64" s="293"/>
      <x:c r="AYB64" s="293"/>
      <x:c r="AYC64" s="293"/>
      <x:c r="AYD64" s="293"/>
      <x:c r="AYE64" s="293"/>
      <x:c r="AYF64" s="293"/>
      <x:c r="AYG64" s="293"/>
      <x:c r="AYH64" s="293"/>
      <x:c r="AYI64" s="293"/>
      <x:c r="AYJ64" s="293"/>
      <x:c r="AYK64" s="293"/>
      <x:c r="AYL64" s="293"/>
      <x:c r="AYM64" s="293"/>
      <x:c r="AYN64" s="293"/>
      <x:c r="AYO64" s="293"/>
      <x:c r="AYP64" s="293"/>
      <x:c r="AYQ64" s="293"/>
      <x:c r="AYR64" s="293"/>
      <x:c r="AYS64" s="293"/>
      <x:c r="AYT64" s="293"/>
      <x:c r="AYU64" s="293"/>
      <x:c r="AYV64" s="293"/>
      <x:c r="AYW64" s="293"/>
      <x:c r="AYX64" s="293"/>
      <x:c r="AYY64" s="293"/>
      <x:c r="AYZ64" s="293"/>
      <x:c r="AZA64" s="293"/>
      <x:c r="AZB64" s="293"/>
      <x:c r="AZC64" s="293"/>
      <x:c r="AZD64" s="293"/>
      <x:c r="AZE64" s="293"/>
      <x:c r="AZF64" s="293"/>
      <x:c r="AZG64" s="293"/>
      <x:c r="AZH64" s="293"/>
      <x:c r="AZI64" s="293"/>
      <x:c r="AZJ64" s="293"/>
      <x:c r="AZK64" s="293"/>
      <x:c r="AZL64" s="293"/>
      <x:c r="AZM64" s="293"/>
      <x:c r="AZN64" s="293"/>
      <x:c r="AZO64" s="293"/>
      <x:c r="AZP64" s="293"/>
      <x:c r="AZQ64" s="293"/>
      <x:c r="AZR64" s="293"/>
      <x:c r="AZS64" s="293"/>
      <x:c r="AZT64" s="293"/>
      <x:c r="AZU64" s="293"/>
      <x:c r="AZV64" s="293"/>
      <x:c r="AZW64" s="293"/>
      <x:c r="AZX64" s="293"/>
      <x:c r="AZY64" s="293"/>
      <x:c r="AZZ64" s="293"/>
      <x:c r="BAA64" s="293"/>
      <x:c r="BAB64" s="293"/>
      <x:c r="BAC64" s="293"/>
      <x:c r="BAD64" s="293"/>
      <x:c r="BAE64" s="293"/>
      <x:c r="BAF64" s="293"/>
      <x:c r="BAG64" s="293"/>
      <x:c r="BAH64" s="293"/>
      <x:c r="BAI64" s="293"/>
      <x:c r="BAJ64" s="293"/>
      <x:c r="BAK64" s="293"/>
      <x:c r="BAL64" s="293"/>
      <x:c r="BAM64" s="293"/>
      <x:c r="BAN64" s="293"/>
      <x:c r="BAO64" s="293"/>
      <x:c r="BAP64" s="293"/>
      <x:c r="BAQ64" s="293"/>
      <x:c r="BAR64" s="293"/>
      <x:c r="BAS64" s="293"/>
      <x:c r="BAT64" s="293"/>
      <x:c r="BAU64" s="293"/>
      <x:c r="BAV64" s="293"/>
      <x:c r="BAW64" s="293"/>
      <x:c r="BAX64" s="293"/>
      <x:c r="BAY64" s="293"/>
      <x:c r="BAZ64" s="293"/>
      <x:c r="BBA64" s="293"/>
      <x:c r="BBB64" s="293"/>
      <x:c r="BBC64" s="293"/>
      <x:c r="BBD64" s="293"/>
      <x:c r="BBE64" s="293"/>
      <x:c r="BBF64" s="293"/>
      <x:c r="BBG64" s="293"/>
      <x:c r="BBH64" s="293"/>
      <x:c r="BBI64" s="293"/>
      <x:c r="BBJ64" s="293"/>
      <x:c r="BBK64" s="293"/>
      <x:c r="BBL64" s="293"/>
      <x:c r="BBM64" s="293"/>
      <x:c r="BBN64" s="293"/>
      <x:c r="BBO64" s="293"/>
      <x:c r="BBP64" s="293"/>
      <x:c r="BBQ64" s="293"/>
      <x:c r="BBR64" s="293"/>
      <x:c r="BBS64" s="293"/>
      <x:c r="BBT64" s="293"/>
      <x:c r="BBU64" s="293"/>
      <x:c r="BBV64" s="293"/>
      <x:c r="BBW64" s="293"/>
      <x:c r="BBX64" s="293"/>
      <x:c r="BBY64" s="293"/>
      <x:c r="BBZ64" s="293"/>
      <x:c r="BCA64" s="293"/>
      <x:c r="BCB64" s="293"/>
      <x:c r="BCC64" s="293"/>
      <x:c r="BCD64" s="293"/>
      <x:c r="BCE64" s="293"/>
      <x:c r="BCF64" s="293"/>
      <x:c r="BCG64" s="293"/>
      <x:c r="BCH64" s="293"/>
      <x:c r="BCI64" s="293"/>
      <x:c r="BCJ64" s="293"/>
      <x:c r="BCK64" s="293"/>
      <x:c r="BCL64" s="293"/>
      <x:c r="BCM64" s="293"/>
      <x:c r="BCN64" s="293"/>
      <x:c r="BCO64" s="293"/>
      <x:c r="BCP64" s="293"/>
      <x:c r="BCQ64" s="293"/>
      <x:c r="BCR64" s="293"/>
      <x:c r="BCS64" s="293"/>
      <x:c r="BCT64" s="293"/>
      <x:c r="BCU64" s="293"/>
      <x:c r="BCV64" s="293"/>
      <x:c r="BCW64" s="293"/>
      <x:c r="BCX64" s="293"/>
      <x:c r="BCY64" s="293"/>
      <x:c r="BCZ64" s="293"/>
      <x:c r="BDA64" s="293"/>
      <x:c r="BDB64" s="293"/>
      <x:c r="BDC64" s="293"/>
      <x:c r="BDD64" s="293"/>
      <x:c r="BDE64" s="293"/>
      <x:c r="BDF64" s="293"/>
      <x:c r="BDG64" s="293"/>
      <x:c r="BDH64" s="293"/>
      <x:c r="BDI64" s="293"/>
      <x:c r="BDJ64" s="293"/>
      <x:c r="BDK64" s="293"/>
      <x:c r="BDL64" s="293"/>
      <x:c r="BDM64" s="293"/>
      <x:c r="BDN64" s="293"/>
      <x:c r="BDO64" s="293"/>
      <x:c r="BDP64" s="293"/>
      <x:c r="BDQ64" s="293"/>
      <x:c r="BDR64" s="293"/>
      <x:c r="BDS64" s="293"/>
      <x:c r="BDT64" s="293"/>
      <x:c r="BDU64" s="293"/>
      <x:c r="BDV64" s="293"/>
      <x:c r="BDW64" s="293"/>
      <x:c r="BDX64" s="293"/>
      <x:c r="BDY64" s="293"/>
      <x:c r="BDZ64" s="293"/>
      <x:c r="BEA64" s="293"/>
      <x:c r="BEB64" s="293"/>
      <x:c r="BEC64" s="293"/>
      <x:c r="BED64" s="293"/>
      <x:c r="BEE64" s="293"/>
      <x:c r="BEF64" s="293"/>
      <x:c r="BEG64" s="293"/>
      <x:c r="BEH64" s="293"/>
      <x:c r="BEI64" s="293"/>
      <x:c r="BEJ64" s="293"/>
      <x:c r="BEK64" s="293"/>
      <x:c r="BEL64" s="293"/>
      <x:c r="BEM64" s="293"/>
      <x:c r="BEN64" s="293"/>
      <x:c r="BEO64" s="293"/>
      <x:c r="BEP64" s="293"/>
      <x:c r="BEQ64" s="293"/>
      <x:c r="BER64" s="293"/>
      <x:c r="BES64" s="293"/>
      <x:c r="BET64" s="293"/>
      <x:c r="BEU64" s="293"/>
      <x:c r="BEV64" s="293"/>
      <x:c r="BEW64" s="293"/>
      <x:c r="BEX64" s="293"/>
      <x:c r="BEY64" s="293"/>
      <x:c r="BEZ64" s="293"/>
      <x:c r="BFA64" s="293"/>
      <x:c r="BFB64" s="293"/>
      <x:c r="BFC64" s="293"/>
      <x:c r="BFD64" s="293"/>
      <x:c r="BFE64" s="293"/>
      <x:c r="BFF64" s="293"/>
      <x:c r="BFG64" s="293"/>
      <x:c r="BFH64" s="293"/>
      <x:c r="BFI64" s="293"/>
      <x:c r="BFJ64" s="293"/>
      <x:c r="BFK64" s="293"/>
      <x:c r="BFL64" s="293"/>
      <x:c r="BFM64" s="293"/>
      <x:c r="BFN64" s="293"/>
      <x:c r="BFO64" s="293"/>
      <x:c r="BFP64" s="293"/>
      <x:c r="BFQ64" s="293"/>
      <x:c r="BFR64" s="293"/>
      <x:c r="BFS64" s="293"/>
      <x:c r="BFT64" s="293"/>
      <x:c r="BFU64" s="293"/>
      <x:c r="BFV64" s="293"/>
      <x:c r="BFW64" s="293"/>
      <x:c r="BFX64" s="293"/>
      <x:c r="BFY64" s="293"/>
      <x:c r="BFZ64" s="293"/>
      <x:c r="BGA64" s="293"/>
      <x:c r="BGB64" s="293"/>
      <x:c r="BGC64" s="293"/>
      <x:c r="BGD64" s="293"/>
      <x:c r="BGE64" s="293"/>
      <x:c r="BGF64" s="293"/>
      <x:c r="BGG64" s="293"/>
      <x:c r="BGH64" s="293"/>
      <x:c r="BGI64" s="293"/>
      <x:c r="BGJ64" s="293"/>
      <x:c r="BGK64" s="293"/>
      <x:c r="BGL64" s="293"/>
      <x:c r="BGM64" s="293"/>
      <x:c r="BGN64" s="293"/>
      <x:c r="BGO64" s="293"/>
      <x:c r="BGP64" s="293"/>
      <x:c r="BGQ64" s="293"/>
      <x:c r="BGR64" s="293"/>
      <x:c r="BGS64" s="293"/>
      <x:c r="BGT64" s="293"/>
      <x:c r="BGU64" s="293"/>
      <x:c r="BGV64" s="293"/>
      <x:c r="BGW64" s="293"/>
      <x:c r="BGX64" s="293"/>
      <x:c r="BGY64" s="293"/>
      <x:c r="BGZ64" s="293"/>
      <x:c r="BHA64" s="293"/>
      <x:c r="BHB64" s="293"/>
      <x:c r="BHC64" s="293"/>
      <x:c r="BHD64" s="293"/>
      <x:c r="BHE64" s="293"/>
      <x:c r="BHF64" s="293"/>
      <x:c r="BHG64" s="293"/>
      <x:c r="BHH64" s="293"/>
      <x:c r="BHI64" s="293"/>
      <x:c r="BHJ64" s="293"/>
      <x:c r="BHK64" s="293"/>
      <x:c r="BHL64" s="293"/>
      <x:c r="BHM64" s="293"/>
      <x:c r="BHN64" s="293"/>
      <x:c r="BHO64" s="293"/>
      <x:c r="BHP64" s="293"/>
      <x:c r="BHQ64" s="293"/>
      <x:c r="BHR64" s="293"/>
      <x:c r="BHS64" s="293"/>
      <x:c r="BHT64" s="293"/>
      <x:c r="BHU64" s="293"/>
      <x:c r="BHV64" s="293"/>
      <x:c r="BHW64" s="293"/>
      <x:c r="BHX64" s="293"/>
      <x:c r="BHY64" s="293"/>
      <x:c r="BHZ64" s="293"/>
      <x:c r="BIA64" s="293"/>
      <x:c r="BIB64" s="293"/>
      <x:c r="BIC64" s="293"/>
      <x:c r="BID64" s="293"/>
      <x:c r="BIE64" s="293"/>
      <x:c r="BIF64" s="293"/>
      <x:c r="BIG64" s="293"/>
      <x:c r="BIH64" s="293"/>
      <x:c r="BII64" s="293"/>
      <x:c r="BIJ64" s="293"/>
      <x:c r="BIK64" s="293"/>
      <x:c r="BIL64" s="293"/>
      <x:c r="BIM64" s="293"/>
      <x:c r="BIN64" s="293"/>
      <x:c r="BIO64" s="293"/>
      <x:c r="BIP64" s="293"/>
      <x:c r="BIQ64" s="293"/>
      <x:c r="BIR64" s="293"/>
      <x:c r="BIS64" s="293"/>
      <x:c r="BIT64" s="293"/>
      <x:c r="BIU64" s="293"/>
      <x:c r="BIV64" s="293"/>
      <x:c r="BIW64" s="293"/>
      <x:c r="BIX64" s="293"/>
      <x:c r="BIY64" s="293"/>
      <x:c r="BIZ64" s="293"/>
      <x:c r="BJA64" s="293"/>
      <x:c r="BJB64" s="293"/>
      <x:c r="BJC64" s="293"/>
      <x:c r="BJD64" s="293"/>
      <x:c r="BJE64" s="293"/>
      <x:c r="BJF64" s="293"/>
      <x:c r="BJG64" s="293"/>
      <x:c r="BJH64" s="293"/>
      <x:c r="BJI64" s="293"/>
      <x:c r="BJJ64" s="293"/>
      <x:c r="BJK64" s="293"/>
      <x:c r="BJL64" s="293"/>
      <x:c r="BJM64" s="293"/>
      <x:c r="BJN64" s="293"/>
      <x:c r="BJO64" s="293"/>
      <x:c r="BJP64" s="293"/>
      <x:c r="BJQ64" s="293"/>
      <x:c r="BJR64" s="293"/>
      <x:c r="BJS64" s="293"/>
      <x:c r="BJT64" s="293"/>
      <x:c r="BJU64" s="293"/>
      <x:c r="BJV64" s="293"/>
      <x:c r="BJW64" s="293"/>
      <x:c r="BJX64" s="293"/>
      <x:c r="BJY64" s="293"/>
      <x:c r="BJZ64" s="293"/>
      <x:c r="BKA64" s="293"/>
      <x:c r="BKB64" s="293"/>
      <x:c r="BKC64" s="293"/>
      <x:c r="BKD64" s="293"/>
      <x:c r="BKE64" s="293"/>
      <x:c r="BKF64" s="293"/>
      <x:c r="BKG64" s="293"/>
      <x:c r="BKH64" s="293"/>
      <x:c r="BKI64" s="293"/>
      <x:c r="BKJ64" s="293"/>
      <x:c r="BKK64" s="293"/>
      <x:c r="BKL64" s="293"/>
      <x:c r="BKM64" s="293"/>
      <x:c r="BKN64" s="293"/>
      <x:c r="BKO64" s="293"/>
      <x:c r="BKP64" s="293"/>
      <x:c r="BKQ64" s="293"/>
      <x:c r="BKR64" s="293"/>
      <x:c r="BKS64" s="293"/>
      <x:c r="BKT64" s="293"/>
      <x:c r="BKU64" s="293"/>
      <x:c r="BKV64" s="293"/>
      <x:c r="BKW64" s="293"/>
      <x:c r="BKX64" s="293"/>
      <x:c r="BKY64" s="293"/>
      <x:c r="BKZ64" s="293"/>
      <x:c r="BLA64" s="293"/>
      <x:c r="BLB64" s="293"/>
      <x:c r="BLC64" s="293"/>
      <x:c r="BLD64" s="293"/>
      <x:c r="BLE64" s="293"/>
      <x:c r="BLF64" s="293"/>
      <x:c r="BLG64" s="293"/>
      <x:c r="BLH64" s="293"/>
      <x:c r="BLI64" s="293"/>
      <x:c r="BLJ64" s="293"/>
      <x:c r="BLK64" s="293"/>
      <x:c r="BLL64" s="293"/>
      <x:c r="BLM64" s="293"/>
      <x:c r="BLN64" s="293"/>
      <x:c r="BLO64" s="293"/>
      <x:c r="BLP64" s="293"/>
      <x:c r="BLQ64" s="293"/>
      <x:c r="BLR64" s="293"/>
      <x:c r="BLS64" s="293"/>
      <x:c r="BLT64" s="293"/>
      <x:c r="BLU64" s="293"/>
      <x:c r="BLV64" s="293"/>
      <x:c r="BLW64" s="293"/>
      <x:c r="BLX64" s="293"/>
      <x:c r="BLY64" s="293"/>
      <x:c r="BLZ64" s="293"/>
      <x:c r="BMA64" s="293"/>
      <x:c r="BMB64" s="293"/>
      <x:c r="BMC64" s="293"/>
      <x:c r="BMD64" s="293"/>
      <x:c r="BME64" s="293"/>
      <x:c r="BMF64" s="293"/>
      <x:c r="BMG64" s="293"/>
      <x:c r="BMH64" s="293"/>
      <x:c r="BMI64" s="293"/>
      <x:c r="BMJ64" s="293"/>
      <x:c r="BMK64" s="293"/>
      <x:c r="BML64" s="293"/>
      <x:c r="BMM64" s="293"/>
      <x:c r="BMN64" s="293"/>
      <x:c r="BMO64" s="293"/>
      <x:c r="BMP64" s="293"/>
      <x:c r="BMQ64" s="293"/>
      <x:c r="BMR64" s="293"/>
      <x:c r="BMS64" s="293"/>
      <x:c r="BMT64" s="293"/>
      <x:c r="BMU64" s="293"/>
      <x:c r="BMV64" s="293"/>
      <x:c r="BMW64" s="293"/>
      <x:c r="BMX64" s="293"/>
      <x:c r="BMY64" s="293"/>
      <x:c r="BMZ64" s="293"/>
      <x:c r="BNA64" s="293"/>
      <x:c r="BNB64" s="293"/>
      <x:c r="BNC64" s="293"/>
      <x:c r="BND64" s="293"/>
      <x:c r="BNE64" s="293"/>
      <x:c r="BNF64" s="293"/>
      <x:c r="BNG64" s="293"/>
      <x:c r="BNH64" s="293"/>
      <x:c r="BNI64" s="293"/>
      <x:c r="BNJ64" s="293"/>
      <x:c r="BNK64" s="293"/>
      <x:c r="BNL64" s="293"/>
      <x:c r="BNM64" s="293"/>
      <x:c r="BNN64" s="293"/>
      <x:c r="BNO64" s="293"/>
      <x:c r="BNP64" s="293"/>
      <x:c r="BNQ64" s="293"/>
      <x:c r="BNR64" s="293"/>
      <x:c r="BNS64" s="293"/>
      <x:c r="BNT64" s="293"/>
      <x:c r="BNU64" s="293"/>
      <x:c r="BNV64" s="293"/>
      <x:c r="BNW64" s="293"/>
      <x:c r="BNX64" s="293"/>
      <x:c r="BNY64" s="293"/>
      <x:c r="BNZ64" s="293"/>
      <x:c r="BOA64" s="293"/>
      <x:c r="BOB64" s="293"/>
      <x:c r="BOC64" s="293"/>
      <x:c r="BOD64" s="293"/>
      <x:c r="BOE64" s="293"/>
      <x:c r="BOF64" s="293"/>
      <x:c r="BOG64" s="293"/>
      <x:c r="BOH64" s="293"/>
      <x:c r="BOI64" s="293"/>
      <x:c r="BOJ64" s="293"/>
      <x:c r="BOK64" s="293"/>
      <x:c r="BOL64" s="293"/>
      <x:c r="BOM64" s="293"/>
      <x:c r="BON64" s="293"/>
      <x:c r="BOO64" s="293"/>
      <x:c r="BOP64" s="293"/>
      <x:c r="BOQ64" s="293"/>
      <x:c r="BOR64" s="293"/>
      <x:c r="BOS64" s="293"/>
      <x:c r="BOT64" s="293"/>
      <x:c r="BOU64" s="293"/>
      <x:c r="BOV64" s="293"/>
      <x:c r="BOW64" s="293"/>
      <x:c r="BOX64" s="293"/>
      <x:c r="BOY64" s="293"/>
      <x:c r="BOZ64" s="293"/>
      <x:c r="BPA64" s="293"/>
      <x:c r="BPB64" s="293"/>
      <x:c r="BPC64" s="293"/>
      <x:c r="BPD64" s="293"/>
      <x:c r="BPE64" s="293"/>
      <x:c r="BPF64" s="293"/>
      <x:c r="BPG64" s="293"/>
      <x:c r="BPH64" s="293"/>
      <x:c r="BPI64" s="293"/>
      <x:c r="BPJ64" s="293"/>
      <x:c r="BPK64" s="293"/>
      <x:c r="BPL64" s="293"/>
      <x:c r="BPM64" s="293"/>
      <x:c r="BPN64" s="293"/>
      <x:c r="BPO64" s="293"/>
      <x:c r="BPP64" s="293"/>
      <x:c r="BPQ64" s="293"/>
      <x:c r="BPR64" s="293"/>
      <x:c r="BPS64" s="293"/>
      <x:c r="BPT64" s="293"/>
      <x:c r="BPU64" s="293"/>
      <x:c r="BPV64" s="293"/>
      <x:c r="BPW64" s="293"/>
      <x:c r="BPX64" s="293"/>
      <x:c r="BPY64" s="293"/>
      <x:c r="BPZ64" s="293"/>
      <x:c r="BQA64" s="293"/>
      <x:c r="BQB64" s="293"/>
      <x:c r="BQC64" s="293"/>
      <x:c r="BQD64" s="293"/>
      <x:c r="BQE64" s="293"/>
      <x:c r="BQF64" s="293"/>
      <x:c r="BQG64" s="293"/>
      <x:c r="BQH64" s="293"/>
      <x:c r="BQI64" s="293"/>
      <x:c r="BQJ64" s="293"/>
      <x:c r="BQK64" s="293"/>
      <x:c r="BQL64" s="293"/>
      <x:c r="BQM64" s="293"/>
      <x:c r="BQN64" s="293"/>
      <x:c r="BQO64" s="293"/>
      <x:c r="BQP64" s="293"/>
      <x:c r="BQQ64" s="293"/>
      <x:c r="BQR64" s="293"/>
      <x:c r="BQS64" s="293"/>
      <x:c r="BQT64" s="293"/>
      <x:c r="BQU64" s="293"/>
      <x:c r="BQV64" s="293"/>
      <x:c r="BQW64" s="293"/>
      <x:c r="BQX64" s="293"/>
      <x:c r="BQY64" s="293"/>
      <x:c r="BQZ64" s="293"/>
      <x:c r="BRA64" s="293"/>
      <x:c r="BRB64" s="293"/>
      <x:c r="BRC64" s="293"/>
      <x:c r="BRD64" s="293"/>
      <x:c r="BRE64" s="293"/>
      <x:c r="BRF64" s="293"/>
      <x:c r="BRG64" s="293"/>
      <x:c r="BRH64" s="293"/>
      <x:c r="BRI64" s="293"/>
      <x:c r="BRJ64" s="293"/>
      <x:c r="BRK64" s="293"/>
      <x:c r="BRL64" s="293"/>
      <x:c r="BRM64" s="293"/>
      <x:c r="BRN64" s="293"/>
      <x:c r="BRO64" s="293"/>
      <x:c r="BRP64" s="293"/>
      <x:c r="BRQ64" s="293"/>
      <x:c r="BRR64" s="293"/>
      <x:c r="BRS64" s="293"/>
      <x:c r="BRT64" s="293"/>
      <x:c r="BRU64" s="293"/>
      <x:c r="BRV64" s="293"/>
      <x:c r="BRW64" s="293"/>
      <x:c r="BRX64" s="293"/>
      <x:c r="BRY64" s="293"/>
      <x:c r="BRZ64" s="293"/>
      <x:c r="BSA64" s="293"/>
      <x:c r="BSB64" s="293"/>
      <x:c r="BSC64" s="293"/>
      <x:c r="BSD64" s="293"/>
      <x:c r="BSE64" s="293"/>
      <x:c r="BSF64" s="293"/>
      <x:c r="BSG64" s="293"/>
      <x:c r="BSH64" s="293"/>
      <x:c r="BSI64" s="293"/>
      <x:c r="BSJ64" s="293"/>
      <x:c r="BSK64" s="293"/>
      <x:c r="BSL64" s="293"/>
      <x:c r="BSM64" s="293"/>
      <x:c r="BSN64" s="293"/>
      <x:c r="BSO64" s="293"/>
      <x:c r="BSP64" s="293"/>
      <x:c r="BSQ64" s="293"/>
      <x:c r="BSR64" s="293"/>
      <x:c r="BSS64" s="293"/>
      <x:c r="BST64" s="293"/>
      <x:c r="BSU64" s="293"/>
      <x:c r="BSV64" s="293"/>
      <x:c r="BSW64" s="293"/>
      <x:c r="BSX64" s="293"/>
      <x:c r="BSY64" s="293"/>
      <x:c r="BSZ64" s="293"/>
      <x:c r="BTA64" s="293"/>
      <x:c r="BTB64" s="293"/>
      <x:c r="BTC64" s="293"/>
      <x:c r="BTD64" s="293"/>
      <x:c r="BTE64" s="293"/>
      <x:c r="BTF64" s="293"/>
      <x:c r="BTG64" s="293"/>
      <x:c r="BTH64" s="293"/>
      <x:c r="BTI64" s="293"/>
      <x:c r="BTJ64" s="293"/>
      <x:c r="BTK64" s="293"/>
      <x:c r="BTL64" s="293"/>
      <x:c r="BTM64" s="293"/>
      <x:c r="BTN64" s="293"/>
      <x:c r="BTO64" s="293"/>
      <x:c r="BTP64" s="293"/>
      <x:c r="BTQ64" s="293"/>
      <x:c r="BTR64" s="293"/>
      <x:c r="BTS64" s="293"/>
      <x:c r="BTT64" s="293"/>
      <x:c r="BTU64" s="293"/>
      <x:c r="BTV64" s="293"/>
      <x:c r="BTW64" s="293"/>
      <x:c r="BTX64" s="293"/>
      <x:c r="BTY64" s="293"/>
      <x:c r="BTZ64" s="293"/>
      <x:c r="BUA64" s="293"/>
      <x:c r="BUB64" s="293"/>
      <x:c r="BUC64" s="293"/>
      <x:c r="BUD64" s="293"/>
      <x:c r="BUE64" s="293"/>
      <x:c r="BUF64" s="293"/>
      <x:c r="BUG64" s="293"/>
      <x:c r="BUH64" s="293"/>
      <x:c r="BUI64" s="293"/>
      <x:c r="BUJ64" s="293"/>
      <x:c r="BUK64" s="293"/>
      <x:c r="BUL64" s="293"/>
      <x:c r="BUM64" s="293"/>
      <x:c r="BUN64" s="293"/>
      <x:c r="BUO64" s="293"/>
      <x:c r="BUP64" s="293"/>
      <x:c r="BUQ64" s="293"/>
      <x:c r="BUR64" s="293"/>
      <x:c r="BUS64" s="293"/>
      <x:c r="BUT64" s="293"/>
      <x:c r="BUU64" s="293"/>
      <x:c r="BUV64" s="293"/>
      <x:c r="BUW64" s="293"/>
      <x:c r="BUX64" s="293"/>
      <x:c r="BUY64" s="293"/>
      <x:c r="BUZ64" s="293"/>
      <x:c r="BVA64" s="293"/>
      <x:c r="BVB64" s="293"/>
      <x:c r="BVC64" s="293"/>
      <x:c r="BVD64" s="293"/>
      <x:c r="BVE64" s="293"/>
      <x:c r="BVF64" s="293"/>
      <x:c r="BVG64" s="293"/>
      <x:c r="BVH64" s="293"/>
      <x:c r="BVI64" s="293"/>
      <x:c r="BVJ64" s="293"/>
      <x:c r="BVK64" s="293"/>
      <x:c r="BVL64" s="293"/>
      <x:c r="BVM64" s="293"/>
      <x:c r="BVN64" s="293"/>
      <x:c r="BVO64" s="293"/>
      <x:c r="BVP64" s="293"/>
      <x:c r="BVQ64" s="293"/>
      <x:c r="BVR64" s="293"/>
      <x:c r="BVS64" s="293"/>
      <x:c r="BVT64" s="293"/>
      <x:c r="BVU64" s="293"/>
      <x:c r="BVV64" s="293"/>
      <x:c r="BVW64" s="293"/>
      <x:c r="BVX64" s="293"/>
      <x:c r="BVY64" s="293"/>
      <x:c r="BVZ64" s="293"/>
      <x:c r="BWA64" s="293"/>
      <x:c r="BWB64" s="293"/>
      <x:c r="BWC64" s="293"/>
      <x:c r="BWD64" s="293"/>
      <x:c r="BWE64" s="293"/>
      <x:c r="BWF64" s="293"/>
      <x:c r="BWG64" s="293"/>
      <x:c r="BWH64" s="293"/>
      <x:c r="BWI64" s="293"/>
      <x:c r="BWJ64" s="293"/>
      <x:c r="BWK64" s="293"/>
      <x:c r="BWL64" s="293"/>
      <x:c r="BWM64" s="293"/>
      <x:c r="BWN64" s="293"/>
      <x:c r="BWO64" s="293"/>
      <x:c r="BWP64" s="293"/>
      <x:c r="BWQ64" s="293"/>
      <x:c r="BWR64" s="293"/>
      <x:c r="BWS64" s="293"/>
      <x:c r="BWT64" s="293"/>
      <x:c r="BWU64" s="293"/>
      <x:c r="BWV64" s="293"/>
      <x:c r="BWW64" s="293"/>
      <x:c r="BWX64" s="293"/>
      <x:c r="BWY64" s="293"/>
      <x:c r="BWZ64" s="293"/>
      <x:c r="BXA64" s="293"/>
      <x:c r="BXB64" s="293"/>
      <x:c r="BXC64" s="293"/>
      <x:c r="BXD64" s="293"/>
      <x:c r="BXE64" s="293"/>
      <x:c r="BXF64" s="293"/>
      <x:c r="BXG64" s="293"/>
      <x:c r="BXH64" s="293"/>
      <x:c r="BXI64" s="293"/>
      <x:c r="BXJ64" s="293"/>
      <x:c r="BXK64" s="293"/>
      <x:c r="BXL64" s="293"/>
      <x:c r="BXM64" s="293"/>
      <x:c r="BXN64" s="293"/>
      <x:c r="BXO64" s="293"/>
      <x:c r="BXP64" s="293"/>
      <x:c r="BXQ64" s="293"/>
      <x:c r="BXR64" s="293"/>
      <x:c r="BXS64" s="293"/>
      <x:c r="BXT64" s="293"/>
      <x:c r="BXU64" s="293"/>
      <x:c r="BXV64" s="293"/>
      <x:c r="BXW64" s="293"/>
      <x:c r="BXX64" s="293"/>
      <x:c r="BXY64" s="293"/>
      <x:c r="BXZ64" s="293"/>
      <x:c r="BYA64" s="293"/>
      <x:c r="BYB64" s="293"/>
      <x:c r="BYC64" s="293"/>
      <x:c r="BYD64" s="293"/>
      <x:c r="BYE64" s="293"/>
      <x:c r="BYF64" s="293"/>
      <x:c r="BYG64" s="293"/>
      <x:c r="BYH64" s="293"/>
      <x:c r="BYI64" s="293"/>
      <x:c r="BYJ64" s="293"/>
      <x:c r="BYK64" s="293"/>
      <x:c r="BYL64" s="293"/>
      <x:c r="BYM64" s="293"/>
      <x:c r="BYN64" s="293"/>
      <x:c r="BYO64" s="293"/>
      <x:c r="BYP64" s="293"/>
      <x:c r="BYQ64" s="293"/>
      <x:c r="BYR64" s="293"/>
      <x:c r="BYS64" s="293"/>
      <x:c r="BYT64" s="293"/>
      <x:c r="BYU64" s="293"/>
      <x:c r="BYV64" s="293"/>
      <x:c r="BYW64" s="293"/>
      <x:c r="BYX64" s="293"/>
      <x:c r="BYY64" s="293"/>
      <x:c r="BYZ64" s="293"/>
      <x:c r="BZA64" s="293"/>
      <x:c r="BZB64" s="293"/>
      <x:c r="BZC64" s="293"/>
      <x:c r="BZD64" s="293"/>
      <x:c r="BZE64" s="293"/>
      <x:c r="BZF64" s="293"/>
      <x:c r="BZG64" s="293"/>
      <x:c r="BZH64" s="293"/>
      <x:c r="BZI64" s="293"/>
      <x:c r="BZJ64" s="293"/>
      <x:c r="BZK64" s="293"/>
      <x:c r="BZL64" s="293"/>
      <x:c r="BZM64" s="293"/>
      <x:c r="BZN64" s="293"/>
      <x:c r="BZO64" s="293"/>
      <x:c r="BZP64" s="293"/>
      <x:c r="BZQ64" s="293"/>
      <x:c r="BZR64" s="293"/>
      <x:c r="BZS64" s="293"/>
      <x:c r="BZT64" s="293"/>
      <x:c r="BZU64" s="293"/>
      <x:c r="BZV64" s="293"/>
      <x:c r="BZW64" s="293"/>
      <x:c r="BZX64" s="293"/>
      <x:c r="BZY64" s="293"/>
      <x:c r="BZZ64" s="293"/>
      <x:c r="CAA64" s="293"/>
      <x:c r="CAB64" s="293"/>
      <x:c r="CAC64" s="293"/>
      <x:c r="CAD64" s="293"/>
      <x:c r="CAE64" s="293"/>
      <x:c r="CAF64" s="293"/>
      <x:c r="CAG64" s="293"/>
      <x:c r="CAH64" s="293"/>
      <x:c r="CAI64" s="293"/>
      <x:c r="CAJ64" s="293"/>
      <x:c r="CAK64" s="293"/>
      <x:c r="CAL64" s="293"/>
      <x:c r="CAM64" s="293"/>
      <x:c r="CAN64" s="293"/>
      <x:c r="CAO64" s="293"/>
      <x:c r="CAP64" s="293"/>
      <x:c r="CAQ64" s="293"/>
      <x:c r="CAR64" s="293"/>
      <x:c r="CAS64" s="293"/>
      <x:c r="CAT64" s="293"/>
      <x:c r="CAU64" s="293"/>
      <x:c r="CAV64" s="293"/>
      <x:c r="CAW64" s="293"/>
      <x:c r="CAX64" s="293"/>
      <x:c r="CAY64" s="293"/>
      <x:c r="CAZ64" s="293"/>
      <x:c r="CBA64" s="293"/>
      <x:c r="CBB64" s="293"/>
      <x:c r="CBC64" s="293"/>
      <x:c r="CBD64" s="293"/>
      <x:c r="CBE64" s="293"/>
      <x:c r="CBF64" s="293"/>
      <x:c r="CBG64" s="293"/>
      <x:c r="CBH64" s="293"/>
      <x:c r="CBI64" s="293"/>
      <x:c r="CBJ64" s="293"/>
      <x:c r="CBK64" s="293"/>
      <x:c r="CBL64" s="293"/>
      <x:c r="CBM64" s="293"/>
      <x:c r="CBN64" s="293"/>
      <x:c r="CBO64" s="293"/>
      <x:c r="CBP64" s="293"/>
      <x:c r="CBQ64" s="293"/>
      <x:c r="CBR64" s="293"/>
      <x:c r="CBS64" s="293"/>
      <x:c r="CBT64" s="293"/>
      <x:c r="CBU64" s="293"/>
      <x:c r="CBV64" s="293"/>
      <x:c r="CBW64" s="293"/>
      <x:c r="CBX64" s="293"/>
      <x:c r="CBY64" s="293"/>
      <x:c r="CBZ64" s="293"/>
      <x:c r="CCA64" s="293"/>
      <x:c r="CCB64" s="293"/>
      <x:c r="CCC64" s="293"/>
      <x:c r="CCD64" s="293"/>
      <x:c r="CCE64" s="293"/>
      <x:c r="CCF64" s="293"/>
      <x:c r="CCG64" s="293"/>
      <x:c r="CCH64" s="293"/>
      <x:c r="CCI64" s="293"/>
      <x:c r="CCJ64" s="293"/>
      <x:c r="CCK64" s="293"/>
      <x:c r="CCL64" s="293"/>
      <x:c r="CCM64" s="293"/>
      <x:c r="CCN64" s="293"/>
      <x:c r="CCO64" s="293"/>
      <x:c r="CCP64" s="293"/>
      <x:c r="CCQ64" s="293"/>
      <x:c r="CCR64" s="293"/>
      <x:c r="CCS64" s="293"/>
      <x:c r="CCT64" s="293"/>
      <x:c r="CCU64" s="293"/>
      <x:c r="CCV64" s="293"/>
      <x:c r="CCW64" s="293"/>
      <x:c r="CCX64" s="293"/>
      <x:c r="CCY64" s="293"/>
      <x:c r="CCZ64" s="293"/>
      <x:c r="CDA64" s="293"/>
      <x:c r="CDB64" s="293"/>
      <x:c r="CDC64" s="293"/>
      <x:c r="CDD64" s="293"/>
      <x:c r="CDE64" s="293"/>
      <x:c r="CDF64" s="293"/>
      <x:c r="CDG64" s="293"/>
      <x:c r="CDH64" s="293"/>
      <x:c r="CDI64" s="293"/>
      <x:c r="CDJ64" s="293"/>
      <x:c r="CDK64" s="293"/>
      <x:c r="CDL64" s="293"/>
      <x:c r="CDM64" s="293"/>
      <x:c r="CDN64" s="293"/>
      <x:c r="CDO64" s="293"/>
      <x:c r="CDP64" s="293"/>
      <x:c r="CDQ64" s="293"/>
      <x:c r="CDR64" s="293"/>
      <x:c r="CDS64" s="293"/>
      <x:c r="CDT64" s="293"/>
      <x:c r="CDU64" s="293"/>
      <x:c r="CDV64" s="293"/>
      <x:c r="CDW64" s="293"/>
      <x:c r="CDX64" s="293"/>
      <x:c r="CDY64" s="293"/>
      <x:c r="CDZ64" s="293"/>
      <x:c r="CEA64" s="293"/>
      <x:c r="CEB64" s="293"/>
      <x:c r="CEC64" s="293"/>
      <x:c r="CED64" s="293"/>
      <x:c r="CEE64" s="293"/>
      <x:c r="CEF64" s="293"/>
      <x:c r="CEG64" s="293"/>
      <x:c r="CEH64" s="293"/>
      <x:c r="CEI64" s="293"/>
      <x:c r="CEJ64" s="293"/>
      <x:c r="CEK64" s="293"/>
      <x:c r="CEL64" s="293"/>
      <x:c r="CEM64" s="293"/>
      <x:c r="CEN64" s="293"/>
      <x:c r="CEO64" s="293"/>
      <x:c r="CEP64" s="293"/>
      <x:c r="CEQ64" s="293"/>
      <x:c r="CER64" s="293"/>
      <x:c r="CES64" s="293"/>
      <x:c r="CET64" s="293"/>
      <x:c r="CEU64" s="293"/>
      <x:c r="CEV64" s="293"/>
      <x:c r="CEW64" s="293"/>
      <x:c r="CEX64" s="293"/>
      <x:c r="CEY64" s="293"/>
      <x:c r="CEZ64" s="293"/>
      <x:c r="CFA64" s="293"/>
      <x:c r="CFB64" s="293"/>
      <x:c r="CFC64" s="293"/>
      <x:c r="CFD64" s="293"/>
      <x:c r="CFE64" s="293"/>
      <x:c r="CFF64" s="293"/>
      <x:c r="CFG64" s="293"/>
      <x:c r="CFH64" s="293"/>
      <x:c r="CFI64" s="293"/>
      <x:c r="CFJ64" s="293"/>
      <x:c r="CFK64" s="293"/>
      <x:c r="CFL64" s="293"/>
      <x:c r="CFM64" s="293"/>
      <x:c r="CFN64" s="293"/>
      <x:c r="CFO64" s="293"/>
      <x:c r="CFP64" s="293"/>
      <x:c r="CFQ64" s="293"/>
      <x:c r="CFR64" s="293"/>
      <x:c r="CFS64" s="293"/>
      <x:c r="CFT64" s="293"/>
      <x:c r="CFU64" s="293"/>
      <x:c r="CFV64" s="293"/>
      <x:c r="CFW64" s="293"/>
      <x:c r="CFX64" s="293"/>
      <x:c r="CFY64" s="293"/>
      <x:c r="CFZ64" s="293"/>
      <x:c r="CGA64" s="293"/>
      <x:c r="CGB64" s="293"/>
      <x:c r="CGC64" s="293"/>
      <x:c r="CGD64" s="293"/>
      <x:c r="CGE64" s="293"/>
      <x:c r="CGF64" s="293"/>
      <x:c r="CGG64" s="293"/>
      <x:c r="CGH64" s="293"/>
      <x:c r="CGI64" s="293"/>
      <x:c r="CGJ64" s="293"/>
      <x:c r="CGK64" s="293"/>
      <x:c r="CGL64" s="293"/>
      <x:c r="CGM64" s="293"/>
      <x:c r="CGN64" s="293"/>
      <x:c r="CGO64" s="293"/>
      <x:c r="CGP64" s="293"/>
      <x:c r="CGQ64" s="293"/>
      <x:c r="CGR64" s="293"/>
      <x:c r="CGS64" s="293"/>
      <x:c r="CGT64" s="293"/>
      <x:c r="CGU64" s="293"/>
      <x:c r="CGV64" s="293"/>
      <x:c r="CGW64" s="293"/>
      <x:c r="CGX64" s="293"/>
      <x:c r="CGY64" s="293"/>
      <x:c r="CGZ64" s="293"/>
      <x:c r="CHA64" s="293"/>
      <x:c r="CHB64" s="293"/>
      <x:c r="CHC64" s="293"/>
      <x:c r="CHD64" s="293"/>
      <x:c r="CHE64" s="293"/>
      <x:c r="CHF64" s="293"/>
      <x:c r="CHG64" s="293"/>
      <x:c r="CHH64" s="293"/>
      <x:c r="CHI64" s="293"/>
      <x:c r="CHJ64" s="293"/>
      <x:c r="CHK64" s="293"/>
      <x:c r="CHL64" s="293"/>
      <x:c r="CHM64" s="293"/>
      <x:c r="CHN64" s="293"/>
      <x:c r="CHO64" s="293"/>
      <x:c r="CHP64" s="293"/>
      <x:c r="CHQ64" s="293"/>
      <x:c r="CHR64" s="293"/>
      <x:c r="CHS64" s="293"/>
      <x:c r="CHT64" s="293"/>
      <x:c r="CHU64" s="293"/>
      <x:c r="CHV64" s="293"/>
      <x:c r="CHW64" s="293"/>
      <x:c r="CHX64" s="293"/>
      <x:c r="CHY64" s="293"/>
      <x:c r="CHZ64" s="293"/>
      <x:c r="CIA64" s="293"/>
      <x:c r="CIB64" s="293"/>
      <x:c r="CIC64" s="293"/>
      <x:c r="CID64" s="293"/>
      <x:c r="CIE64" s="293"/>
      <x:c r="CIF64" s="293"/>
      <x:c r="CIG64" s="293"/>
      <x:c r="CIH64" s="293"/>
      <x:c r="CII64" s="293"/>
      <x:c r="CIJ64" s="293"/>
      <x:c r="CIK64" s="293"/>
      <x:c r="CIL64" s="293"/>
      <x:c r="CIM64" s="293"/>
      <x:c r="CIN64" s="293"/>
      <x:c r="CIO64" s="293"/>
      <x:c r="CIP64" s="293"/>
      <x:c r="CIQ64" s="293"/>
      <x:c r="CIR64" s="293"/>
      <x:c r="CIS64" s="293"/>
      <x:c r="CIT64" s="293"/>
      <x:c r="CIU64" s="293"/>
      <x:c r="CIV64" s="293"/>
      <x:c r="CIW64" s="293"/>
      <x:c r="CIX64" s="293"/>
      <x:c r="CIY64" s="293"/>
      <x:c r="CIZ64" s="293"/>
      <x:c r="CJA64" s="293"/>
      <x:c r="CJB64" s="293"/>
      <x:c r="CJC64" s="293"/>
      <x:c r="CJD64" s="293"/>
      <x:c r="CJE64" s="293"/>
      <x:c r="CJF64" s="293"/>
      <x:c r="CJG64" s="293"/>
      <x:c r="CJH64" s="293"/>
      <x:c r="CJI64" s="293"/>
      <x:c r="CJJ64" s="293"/>
      <x:c r="CJK64" s="293"/>
      <x:c r="CJL64" s="293"/>
      <x:c r="CJM64" s="293"/>
      <x:c r="CJN64" s="293"/>
      <x:c r="CJO64" s="293"/>
      <x:c r="CJP64" s="293"/>
      <x:c r="CJQ64" s="293"/>
      <x:c r="CJR64" s="293"/>
      <x:c r="CJS64" s="293"/>
      <x:c r="CJT64" s="293"/>
      <x:c r="CJU64" s="293"/>
      <x:c r="CJV64" s="293"/>
      <x:c r="CJW64" s="293"/>
      <x:c r="CJX64" s="293"/>
      <x:c r="CJY64" s="293"/>
      <x:c r="CJZ64" s="293"/>
      <x:c r="CKA64" s="293"/>
      <x:c r="CKB64" s="293"/>
      <x:c r="CKC64" s="293"/>
      <x:c r="CKD64" s="293"/>
      <x:c r="CKE64" s="293"/>
      <x:c r="CKF64" s="293"/>
      <x:c r="CKG64" s="293"/>
      <x:c r="CKH64" s="293"/>
      <x:c r="CKI64" s="293"/>
      <x:c r="CKJ64" s="293"/>
      <x:c r="CKK64" s="293"/>
      <x:c r="CKL64" s="293"/>
      <x:c r="CKM64" s="293"/>
      <x:c r="CKN64" s="293"/>
      <x:c r="CKO64" s="293"/>
      <x:c r="CKP64" s="293"/>
      <x:c r="CKQ64" s="293"/>
      <x:c r="CKR64" s="293"/>
      <x:c r="CKS64" s="293"/>
      <x:c r="CKT64" s="293"/>
      <x:c r="CKU64" s="293"/>
      <x:c r="CKV64" s="293"/>
      <x:c r="CKW64" s="293"/>
      <x:c r="CKX64" s="293"/>
      <x:c r="CKY64" s="293"/>
      <x:c r="CKZ64" s="293"/>
      <x:c r="CLA64" s="293"/>
      <x:c r="CLB64" s="293"/>
      <x:c r="CLC64" s="293"/>
      <x:c r="CLD64" s="293"/>
      <x:c r="CLE64" s="293"/>
      <x:c r="CLF64" s="293"/>
      <x:c r="CLG64" s="293"/>
      <x:c r="CLH64" s="293"/>
      <x:c r="CLI64" s="293"/>
      <x:c r="CLJ64" s="293"/>
      <x:c r="CLK64" s="293"/>
      <x:c r="CLL64" s="293"/>
      <x:c r="CLM64" s="293"/>
      <x:c r="CLN64" s="293"/>
      <x:c r="CLO64" s="293"/>
      <x:c r="CLP64" s="293"/>
      <x:c r="CLQ64" s="293"/>
      <x:c r="CLR64" s="293"/>
      <x:c r="CLS64" s="293"/>
      <x:c r="CLT64" s="293"/>
      <x:c r="CLU64" s="293"/>
      <x:c r="CLV64" s="293"/>
      <x:c r="CLW64" s="293"/>
      <x:c r="CLX64" s="293"/>
      <x:c r="CLY64" s="293"/>
      <x:c r="CLZ64" s="293"/>
      <x:c r="CMA64" s="293"/>
      <x:c r="CMB64" s="293"/>
      <x:c r="CMC64" s="293"/>
      <x:c r="CMD64" s="293"/>
      <x:c r="CME64" s="293"/>
      <x:c r="CMF64" s="293"/>
      <x:c r="CMG64" s="293"/>
      <x:c r="CMH64" s="293"/>
      <x:c r="CMI64" s="293"/>
      <x:c r="CMJ64" s="293"/>
      <x:c r="CMK64" s="293"/>
      <x:c r="CML64" s="293"/>
      <x:c r="CMM64" s="293"/>
      <x:c r="CMN64" s="293"/>
      <x:c r="CMO64" s="293"/>
      <x:c r="CMP64" s="293"/>
      <x:c r="CMQ64" s="293"/>
      <x:c r="CMR64" s="293"/>
      <x:c r="CMS64" s="293"/>
      <x:c r="CMT64" s="293"/>
      <x:c r="CMU64" s="293"/>
      <x:c r="CMV64" s="293"/>
      <x:c r="CMW64" s="293"/>
      <x:c r="CMX64" s="293"/>
      <x:c r="CMY64" s="293"/>
      <x:c r="CMZ64" s="293"/>
      <x:c r="CNA64" s="293"/>
      <x:c r="CNB64" s="293"/>
      <x:c r="CNC64" s="293"/>
      <x:c r="CND64" s="293"/>
      <x:c r="CNE64" s="293"/>
      <x:c r="CNF64" s="293"/>
      <x:c r="CNG64" s="293"/>
      <x:c r="CNH64" s="293"/>
      <x:c r="CNI64" s="293"/>
      <x:c r="CNJ64" s="293"/>
      <x:c r="CNK64" s="293"/>
      <x:c r="CNL64" s="293"/>
      <x:c r="CNM64" s="293"/>
      <x:c r="CNN64" s="293"/>
      <x:c r="CNO64" s="293"/>
      <x:c r="CNP64" s="293"/>
      <x:c r="CNQ64" s="293"/>
      <x:c r="CNR64" s="293"/>
      <x:c r="CNS64" s="293"/>
      <x:c r="CNT64" s="293"/>
      <x:c r="CNU64" s="293"/>
      <x:c r="CNV64" s="293"/>
      <x:c r="CNW64" s="293"/>
      <x:c r="CNX64" s="293"/>
      <x:c r="CNY64" s="293"/>
      <x:c r="CNZ64" s="293"/>
      <x:c r="COA64" s="293"/>
      <x:c r="COB64" s="293"/>
      <x:c r="COC64" s="293"/>
      <x:c r="COD64" s="293"/>
      <x:c r="COE64" s="293"/>
      <x:c r="COF64" s="293"/>
      <x:c r="COG64" s="293"/>
      <x:c r="COH64" s="293"/>
      <x:c r="COI64" s="293"/>
      <x:c r="COJ64" s="293"/>
      <x:c r="COK64" s="293"/>
      <x:c r="COL64" s="293"/>
      <x:c r="COM64" s="293"/>
      <x:c r="CON64" s="293"/>
      <x:c r="COO64" s="293"/>
      <x:c r="COP64" s="293"/>
      <x:c r="COQ64" s="293"/>
      <x:c r="COR64" s="293"/>
      <x:c r="COS64" s="293"/>
      <x:c r="COT64" s="293"/>
      <x:c r="COU64" s="293"/>
      <x:c r="COV64" s="293"/>
      <x:c r="COW64" s="293"/>
      <x:c r="COX64" s="293"/>
      <x:c r="COY64" s="293"/>
      <x:c r="COZ64" s="293"/>
      <x:c r="CPA64" s="293"/>
      <x:c r="CPB64" s="293"/>
      <x:c r="CPC64" s="293"/>
      <x:c r="CPD64" s="293"/>
      <x:c r="CPE64" s="293"/>
      <x:c r="CPF64" s="293"/>
      <x:c r="CPG64" s="293"/>
      <x:c r="CPH64" s="293"/>
      <x:c r="CPI64" s="293"/>
      <x:c r="CPJ64" s="293"/>
      <x:c r="CPK64" s="293"/>
      <x:c r="CPL64" s="293"/>
      <x:c r="CPM64" s="293"/>
      <x:c r="CPN64" s="293"/>
      <x:c r="CPO64" s="293"/>
      <x:c r="CPP64" s="293"/>
      <x:c r="CPQ64" s="293"/>
      <x:c r="CPR64" s="293"/>
      <x:c r="CPS64" s="293"/>
      <x:c r="CPT64" s="293"/>
      <x:c r="CPU64" s="293"/>
      <x:c r="CPV64" s="293"/>
      <x:c r="CPW64" s="293"/>
      <x:c r="CPX64" s="293"/>
      <x:c r="CPY64" s="293"/>
      <x:c r="CPZ64" s="293"/>
      <x:c r="CQA64" s="293"/>
      <x:c r="CQB64" s="293"/>
      <x:c r="CQC64" s="293"/>
      <x:c r="CQD64" s="293"/>
      <x:c r="CQE64" s="293"/>
      <x:c r="CQF64" s="293"/>
      <x:c r="CQG64" s="293"/>
      <x:c r="CQH64" s="293"/>
      <x:c r="CQI64" s="293"/>
      <x:c r="CQJ64" s="293"/>
      <x:c r="CQK64" s="293"/>
      <x:c r="CQL64" s="293"/>
      <x:c r="CQM64" s="293"/>
      <x:c r="CQN64" s="293"/>
      <x:c r="CQO64" s="293"/>
      <x:c r="CQP64" s="293"/>
      <x:c r="CQQ64" s="293"/>
      <x:c r="CQR64" s="293"/>
      <x:c r="CQS64" s="293"/>
      <x:c r="CQT64" s="293"/>
      <x:c r="CQU64" s="293"/>
      <x:c r="CQV64" s="293"/>
      <x:c r="CQW64" s="293"/>
      <x:c r="CQX64" s="293"/>
      <x:c r="CQY64" s="293"/>
      <x:c r="CQZ64" s="293"/>
      <x:c r="CRA64" s="293"/>
      <x:c r="CRB64" s="293"/>
      <x:c r="CRC64" s="293"/>
      <x:c r="CRD64" s="293"/>
      <x:c r="CRE64" s="293"/>
      <x:c r="CRF64" s="293"/>
      <x:c r="CRG64" s="293"/>
      <x:c r="CRH64" s="293"/>
      <x:c r="CRI64" s="293"/>
      <x:c r="CRJ64" s="293"/>
      <x:c r="CRK64" s="293"/>
      <x:c r="CRL64" s="293"/>
      <x:c r="CRM64" s="293"/>
      <x:c r="CRN64" s="293"/>
      <x:c r="CRO64" s="293"/>
      <x:c r="CRP64" s="293"/>
      <x:c r="CRQ64" s="293"/>
      <x:c r="CRR64" s="293"/>
      <x:c r="CRS64" s="293"/>
      <x:c r="CRT64" s="293"/>
      <x:c r="CRU64" s="293"/>
      <x:c r="CRV64" s="293"/>
      <x:c r="CRW64" s="293"/>
      <x:c r="CRX64" s="293"/>
      <x:c r="CRY64" s="293"/>
      <x:c r="CRZ64" s="293"/>
      <x:c r="CSA64" s="293"/>
      <x:c r="CSB64" s="293"/>
      <x:c r="CSC64" s="293"/>
      <x:c r="CSD64" s="293"/>
      <x:c r="CSE64" s="293"/>
      <x:c r="CSF64" s="293"/>
      <x:c r="CSG64" s="293"/>
      <x:c r="CSH64" s="293"/>
      <x:c r="CSI64" s="293"/>
      <x:c r="CSJ64" s="293"/>
      <x:c r="CSK64" s="293"/>
      <x:c r="CSL64" s="293"/>
      <x:c r="CSM64" s="293"/>
      <x:c r="CSN64" s="293"/>
      <x:c r="CSO64" s="293"/>
      <x:c r="CSP64" s="293"/>
      <x:c r="CSQ64" s="293"/>
      <x:c r="CSR64" s="293"/>
      <x:c r="CSS64" s="293"/>
      <x:c r="CST64" s="293"/>
      <x:c r="CSU64" s="293"/>
      <x:c r="CSV64" s="293"/>
      <x:c r="CSW64" s="293"/>
      <x:c r="CSX64" s="293"/>
      <x:c r="CSY64" s="293"/>
      <x:c r="CSZ64" s="293"/>
      <x:c r="CTA64" s="293"/>
      <x:c r="CTB64" s="293"/>
      <x:c r="CTC64" s="293"/>
      <x:c r="CTD64" s="293"/>
      <x:c r="CTE64" s="293"/>
      <x:c r="CTF64" s="293"/>
      <x:c r="CTG64" s="293"/>
      <x:c r="CTH64" s="293"/>
      <x:c r="CTI64" s="293"/>
      <x:c r="CTJ64" s="293"/>
      <x:c r="CTK64" s="293"/>
      <x:c r="CTL64" s="293"/>
      <x:c r="CTM64" s="293"/>
      <x:c r="CTN64" s="293"/>
      <x:c r="CTO64" s="293"/>
      <x:c r="CTP64" s="293"/>
      <x:c r="CTQ64" s="293"/>
      <x:c r="CTR64" s="293"/>
      <x:c r="CTS64" s="293"/>
      <x:c r="CTT64" s="293"/>
      <x:c r="CTU64" s="293"/>
      <x:c r="CTV64" s="293"/>
      <x:c r="CTW64" s="293"/>
      <x:c r="CTX64" s="293"/>
      <x:c r="CTY64" s="293"/>
      <x:c r="CTZ64" s="293"/>
      <x:c r="CUA64" s="293"/>
      <x:c r="CUB64" s="293"/>
      <x:c r="CUC64" s="293"/>
      <x:c r="CUD64" s="293"/>
      <x:c r="CUE64" s="293"/>
      <x:c r="CUF64" s="293"/>
      <x:c r="CUG64" s="293"/>
      <x:c r="CUH64" s="293"/>
      <x:c r="CUI64" s="293"/>
      <x:c r="CUJ64" s="293"/>
      <x:c r="CUK64" s="293"/>
      <x:c r="CUL64" s="293"/>
      <x:c r="CUM64" s="293"/>
      <x:c r="CUN64" s="293"/>
      <x:c r="CUO64" s="293"/>
      <x:c r="CUP64" s="293"/>
      <x:c r="CUQ64" s="293"/>
      <x:c r="CUR64" s="293"/>
      <x:c r="CUS64" s="293"/>
      <x:c r="CUT64" s="293"/>
      <x:c r="CUU64" s="293"/>
      <x:c r="CUV64" s="293"/>
      <x:c r="CUW64" s="293"/>
      <x:c r="CUX64" s="293"/>
      <x:c r="CUY64" s="293"/>
      <x:c r="CUZ64" s="293"/>
      <x:c r="CVA64" s="293"/>
      <x:c r="CVB64" s="293"/>
      <x:c r="CVC64" s="293"/>
      <x:c r="CVD64" s="293"/>
      <x:c r="CVE64" s="293"/>
      <x:c r="CVF64" s="293"/>
      <x:c r="CVG64" s="293"/>
      <x:c r="CVH64" s="293"/>
      <x:c r="CVI64" s="293"/>
      <x:c r="CVJ64" s="293"/>
      <x:c r="CVK64" s="293"/>
      <x:c r="CVL64" s="293"/>
      <x:c r="CVM64" s="293"/>
      <x:c r="CVN64" s="293"/>
      <x:c r="CVO64" s="293"/>
      <x:c r="CVP64" s="293"/>
      <x:c r="CVQ64" s="293"/>
      <x:c r="CVR64" s="293"/>
      <x:c r="CVS64" s="293"/>
      <x:c r="CVT64" s="293"/>
      <x:c r="CVU64" s="293"/>
      <x:c r="CVV64" s="293"/>
      <x:c r="CVW64" s="293"/>
      <x:c r="CVX64" s="293"/>
      <x:c r="CVY64" s="293"/>
      <x:c r="CVZ64" s="293"/>
      <x:c r="CWA64" s="293"/>
      <x:c r="CWB64" s="293"/>
      <x:c r="CWC64" s="293"/>
      <x:c r="CWD64" s="293"/>
      <x:c r="CWE64" s="293"/>
      <x:c r="CWF64" s="293"/>
      <x:c r="CWG64" s="293"/>
      <x:c r="CWH64" s="293"/>
      <x:c r="CWI64" s="293"/>
      <x:c r="CWJ64" s="293"/>
      <x:c r="CWK64" s="293"/>
      <x:c r="CWL64" s="293"/>
      <x:c r="CWM64" s="293"/>
      <x:c r="CWN64" s="293"/>
      <x:c r="CWO64" s="293"/>
      <x:c r="CWP64" s="293"/>
      <x:c r="CWQ64" s="293"/>
      <x:c r="CWR64" s="293"/>
      <x:c r="CWS64" s="293"/>
      <x:c r="CWT64" s="293"/>
      <x:c r="CWU64" s="293"/>
      <x:c r="CWV64" s="293"/>
      <x:c r="CWW64" s="293"/>
      <x:c r="CWX64" s="293"/>
      <x:c r="CWY64" s="293"/>
      <x:c r="CWZ64" s="293"/>
      <x:c r="CXA64" s="293"/>
      <x:c r="CXB64" s="293"/>
      <x:c r="CXC64" s="293"/>
      <x:c r="CXD64" s="293"/>
      <x:c r="CXE64" s="293"/>
      <x:c r="CXF64" s="293"/>
      <x:c r="CXG64" s="293"/>
      <x:c r="CXH64" s="293"/>
      <x:c r="CXI64" s="293"/>
      <x:c r="CXJ64" s="293"/>
      <x:c r="CXK64" s="293"/>
      <x:c r="CXL64" s="293"/>
      <x:c r="CXM64" s="293"/>
      <x:c r="CXN64" s="293"/>
      <x:c r="CXO64" s="293"/>
      <x:c r="CXP64" s="293"/>
      <x:c r="CXQ64" s="293"/>
      <x:c r="CXR64" s="293"/>
      <x:c r="CXS64" s="293"/>
      <x:c r="CXT64" s="293"/>
      <x:c r="CXU64" s="293"/>
      <x:c r="CXV64" s="293"/>
      <x:c r="CXW64" s="293"/>
      <x:c r="CXX64" s="293"/>
      <x:c r="CXY64" s="293"/>
      <x:c r="CXZ64" s="293"/>
      <x:c r="CYA64" s="293"/>
      <x:c r="CYB64" s="293"/>
      <x:c r="CYC64" s="293"/>
      <x:c r="CYD64" s="293"/>
      <x:c r="CYE64" s="293"/>
      <x:c r="CYF64" s="293"/>
      <x:c r="CYG64" s="293"/>
      <x:c r="CYH64" s="293"/>
      <x:c r="CYI64" s="293"/>
      <x:c r="CYJ64" s="293"/>
      <x:c r="CYK64" s="293"/>
      <x:c r="CYL64" s="293"/>
      <x:c r="CYM64" s="293"/>
      <x:c r="CYN64" s="293"/>
      <x:c r="CYO64" s="293"/>
      <x:c r="CYP64" s="293"/>
      <x:c r="CYQ64" s="293"/>
      <x:c r="CYR64" s="293"/>
      <x:c r="CYS64" s="293"/>
      <x:c r="CYT64" s="293"/>
      <x:c r="CYU64" s="293"/>
      <x:c r="CYV64" s="293"/>
      <x:c r="CYW64" s="293"/>
      <x:c r="CYX64" s="293"/>
      <x:c r="CYY64" s="293"/>
      <x:c r="CYZ64" s="293"/>
      <x:c r="CZA64" s="293"/>
      <x:c r="CZB64" s="293"/>
      <x:c r="CZC64" s="293"/>
      <x:c r="CZD64" s="293"/>
      <x:c r="CZE64" s="293"/>
      <x:c r="CZF64" s="293"/>
      <x:c r="CZG64" s="293"/>
      <x:c r="CZH64" s="293"/>
      <x:c r="CZI64" s="293"/>
      <x:c r="CZJ64" s="293"/>
      <x:c r="CZK64" s="293"/>
      <x:c r="CZL64" s="293"/>
      <x:c r="CZM64" s="293"/>
      <x:c r="CZN64" s="293"/>
      <x:c r="CZO64" s="293"/>
      <x:c r="CZP64" s="293"/>
      <x:c r="CZQ64" s="293"/>
      <x:c r="CZR64" s="293"/>
      <x:c r="CZS64" s="293"/>
      <x:c r="CZT64" s="293"/>
      <x:c r="CZU64" s="293"/>
      <x:c r="CZV64" s="293"/>
      <x:c r="CZW64" s="293"/>
      <x:c r="CZX64" s="293"/>
      <x:c r="CZY64" s="293"/>
      <x:c r="CZZ64" s="293"/>
      <x:c r="DAA64" s="293"/>
      <x:c r="DAB64" s="293"/>
      <x:c r="DAC64" s="293"/>
      <x:c r="DAD64" s="293"/>
      <x:c r="DAE64" s="293"/>
      <x:c r="DAF64" s="293"/>
      <x:c r="DAG64" s="293"/>
      <x:c r="DAH64" s="293"/>
      <x:c r="DAI64" s="293"/>
      <x:c r="DAJ64" s="293"/>
      <x:c r="DAK64" s="293"/>
      <x:c r="DAL64" s="293"/>
      <x:c r="DAM64" s="293"/>
      <x:c r="DAN64" s="293"/>
      <x:c r="DAO64" s="293"/>
      <x:c r="DAP64" s="293"/>
      <x:c r="DAQ64" s="293"/>
      <x:c r="DAR64" s="293"/>
      <x:c r="DAS64" s="293"/>
      <x:c r="DAT64" s="293"/>
      <x:c r="DAU64" s="293"/>
      <x:c r="DAV64" s="293"/>
      <x:c r="DAW64" s="293"/>
      <x:c r="DAX64" s="293"/>
      <x:c r="DAY64" s="293"/>
      <x:c r="DAZ64" s="293"/>
      <x:c r="DBA64" s="293"/>
      <x:c r="DBB64" s="293"/>
      <x:c r="DBC64" s="293"/>
      <x:c r="DBD64" s="293"/>
      <x:c r="DBE64" s="293"/>
      <x:c r="DBF64" s="293"/>
      <x:c r="DBG64" s="293"/>
      <x:c r="DBH64" s="293"/>
      <x:c r="DBI64" s="293"/>
      <x:c r="DBJ64" s="293"/>
      <x:c r="DBK64" s="293"/>
      <x:c r="DBL64" s="293"/>
      <x:c r="DBM64" s="293"/>
      <x:c r="DBN64" s="293"/>
      <x:c r="DBO64" s="293"/>
      <x:c r="DBP64" s="293"/>
      <x:c r="DBQ64" s="293"/>
      <x:c r="DBR64" s="293"/>
      <x:c r="DBS64" s="293"/>
      <x:c r="DBT64" s="293"/>
      <x:c r="DBU64" s="293"/>
      <x:c r="DBV64" s="293"/>
      <x:c r="DBW64" s="293"/>
      <x:c r="DBX64" s="293"/>
      <x:c r="DBY64" s="293"/>
      <x:c r="DBZ64" s="293"/>
      <x:c r="DCA64" s="293"/>
      <x:c r="DCB64" s="293"/>
      <x:c r="DCC64" s="293"/>
      <x:c r="DCD64" s="293"/>
      <x:c r="DCE64" s="293"/>
      <x:c r="DCF64" s="293"/>
      <x:c r="DCG64" s="293"/>
      <x:c r="DCH64" s="293"/>
      <x:c r="DCI64" s="293"/>
      <x:c r="DCJ64" s="293"/>
      <x:c r="DCK64" s="293"/>
      <x:c r="DCL64" s="293"/>
      <x:c r="DCM64" s="293"/>
      <x:c r="DCN64" s="293"/>
      <x:c r="DCO64" s="293"/>
      <x:c r="DCP64" s="293"/>
      <x:c r="DCQ64" s="293"/>
      <x:c r="DCR64" s="293"/>
      <x:c r="DCS64" s="293"/>
      <x:c r="DCT64" s="293"/>
      <x:c r="DCU64" s="293"/>
      <x:c r="DCV64" s="293"/>
      <x:c r="DCW64" s="293"/>
      <x:c r="DCX64" s="293"/>
      <x:c r="DCY64" s="293"/>
      <x:c r="DCZ64" s="293"/>
      <x:c r="DDA64" s="293"/>
      <x:c r="DDB64" s="293"/>
      <x:c r="DDC64" s="293"/>
      <x:c r="DDD64" s="293"/>
      <x:c r="DDE64" s="293"/>
      <x:c r="DDF64" s="293"/>
      <x:c r="DDG64" s="293"/>
      <x:c r="DDH64" s="293"/>
      <x:c r="DDI64" s="293"/>
      <x:c r="DDJ64" s="293"/>
      <x:c r="DDK64" s="293"/>
      <x:c r="DDL64" s="293"/>
      <x:c r="DDM64" s="293"/>
      <x:c r="DDN64" s="293"/>
      <x:c r="DDO64" s="293"/>
      <x:c r="DDP64" s="293"/>
      <x:c r="DDQ64" s="293"/>
      <x:c r="DDR64" s="293"/>
      <x:c r="DDS64" s="293"/>
      <x:c r="DDT64" s="293"/>
      <x:c r="DDU64" s="293"/>
      <x:c r="DDV64" s="293"/>
      <x:c r="DDW64" s="293"/>
      <x:c r="DDX64" s="293"/>
      <x:c r="DDY64" s="293"/>
      <x:c r="DDZ64" s="293"/>
      <x:c r="DEA64" s="293"/>
      <x:c r="DEB64" s="293"/>
      <x:c r="DEC64" s="293"/>
      <x:c r="DED64" s="293"/>
      <x:c r="DEE64" s="293"/>
      <x:c r="DEF64" s="293"/>
      <x:c r="DEG64" s="293"/>
      <x:c r="DEH64" s="293"/>
      <x:c r="DEI64" s="293"/>
      <x:c r="DEJ64" s="293"/>
      <x:c r="DEK64" s="293"/>
      <x:c r="DEL64" s="293"/>
      <x:c r="DEM64" s="293"/>
      <x:c r="DEN64" s="293"/>
      <x:c r="DEO64" s="293"/>
      <x:c r="DEP64" s="293"/>
      <x:c r="DEQ64" s="293"/>
      <x:c r="DER64" s="293"/>
      <x:c r="DES64" s="293"/>
      <x:c r="DET64" s="293"/>
      <x:c r="DEU64" s="293"/>
      <x:c r="DEV64" s="293"/>
      <x:c r="DEW64" s="293"/>
      <x:c r="DEX64" s="293"/>
      <x:c r="DEY64" s="293"/>
      <x:c r="DEZ64" s="293"/>
      <x:c r="DFA64" s="293"/>
      <x:c r="DFB64" s="293"/>
      <x:c r="DFC64" s="293"/>
      <x:c r="DFD64" s="293"/>
      <x:c r="DFE64" s="293"/>
      <x:c r="DFF64" s="293"/>
      <x:c r="DFG64" s="293"/>
      <x:c r="DFH64" s="293"/>
      <x:c r="DFI64" s="293"/>
      <x:c r="DFJ64" s="293"/>
      <x:c r="DFK64" s="293"/>
      <x:c r="DFL64" s="293"/>
      <x:c r="DFM64" s="293"/>
      <x:c r="DFN64" s="293"/>
      <x:c r="DFO64" s="293"/>
      <x:c r="DFP64" s="293"/>
      <x:c r="DFQ64" s="293"/>
      <x:c r="DFR64" s="293"/>
      <x:c r="DFS64" s="293"/>
      <x:c r="DFT64" s="293"/>
      <x:c r="DFU64" s="293"/>
      <x:c r="DFV64" s="293"/>
      <x:c r="DFW64" s="293"/>
      <x:c r="DFX64" s="293"/>
      <x:c r="DFY64" s="293"/>
      <x:c r="DFZ64" s="293"/>
      <x:c r="DGA64" s="293"/>
      <x:c r="DGB64" s="293"/>
      <x:c r="DGC64" s="293"/>
      <x:c r="DGD64" s="293"/>
      <x:c r="DGE64" s="293"/>
      <x:c r="DGF64" s="293"/>
      <x:c r="DGG64" s="293"/>
      <x:c r="DGH64" s="293"/>
      <x:c r="DGI64" s="293"/>
      <x:c r="DGJ64" s="293"/>
      <x:c r="DGK64" s="293"/>
      <x:c r="DGL64" s="293"/>
      <x:c r="DGM64" s="293"/>
      <x:c r="DGN64" s="293"/>
      <x:c r="DGO64" s="293"/>
      <x:c r="DGP64" s="293"/>
      <x:c r="DGQ64" s="293"/>
      <x:c r="DGR64" s="293"/>
      <x:c r="DGS64" s="293"/>
      <x:c r="DGT64" s="293"/>
      <x:c r="DGU64" s="293"/>
      <x:c r="DGV64" s="293"/>
      <x:c r="DGW64" s="293"/>
      <x:c r="DGX64" s="293"/>
      <x:c r="DGY64" s="293"/>
      <x:c r="DGZ64" s="293"/>
      <x:c r="DHA64" s="293"/>
      <x:c r="DHB64" s="293"/>
      <x:c r="DHC64" s="293"/>
      <x:c r="DHD64" s="293"/>
      <x:c r="DHE64" s="293"/>
      <x:c r="DHF64" s="293"/>
      <x:c r="DHG64" s="293"/>
      <x:c r="DHH64" s="293"/>
      <x:c r="DHI64" s="293"/>
      <x:c r="DHJ64" s="293"/>
      <x:c r="DHK64" s="293"/>
      <x:c r="DHL64" s="293"/>
      <x:c r="DHM64" s="293"/>
      <x:c r="DHN64" s="293"/>
      <x:c r="DHO64" s="293"/>
      <x:c r="DHP64" s="293"/>
      <x:c r="DHQ64" s="293"/>
      <x:c r="DHR64" s="293"/>
      <x:c r="DHS64" s="293"/>
      <x:c r="DHT64" s="293"/>
      <x:c r="DHU64" s="293"/>
      <x:c r="DHV64" s="293"/>
      <x:c r="DHW64" s="293"/>
      <x:c r="DHX64" s="293"/>
      <x:c r="DHY64" s="293"/>
      <x:c r="DHZ64" s="293"/>
      <x:c r="DIA64" s="293"/>
      <x:c r="DIB64" s="293"/>
      <x:c r="DIC64" s="293"/>
      <x:c r="DID64" s="293"/>
      <x:c r="DIE64" s="293"/>
      <x:c r="DIF64" s="293"/>
      <x:c r="DIG64" s="293"/>
      <x:c r="DIH64" s="293"/>
      <x:c r="DII64" s="293"/>
      <x:c r="DIJ64" s="293"/>
      <x:c r="DIK64" s="293"/>
      <x:c r="DIL64" s="293"/>
      <x:c r="DIM64" s="293"/>
      <x:c r="DIN64" s="293"/>
      <x:c r="DIO64" s="293"/>
      <x:c r="DIP64" s="293"/>
      <x:c r="DIQ64" s="293"/>
      <x:c r="DIR64" s="293"/>
      <x:c r="DIS64" s="293"/>
      <x:c r="DIT64" s="293"/>
      <x:c r="DIU64" s="293"/>
      <x:c r="DIV64" s="293"/>
      <x:c r="DIW64" s="293"/>
      <x:c r="DIX64" s="293"/>
      <x:c r="DIY64" s="293"/>
      <x:c r="DIZ64" s="293"/>
      <x:c r="DJA64" s="293"/>
      <x:c r="DJB64" s="293"/>
      <x:c r="DJC64" s="293"/>
      <x:c r="DJD64" s="293"/>
      <x:c r="DJE64" s="293"/>
      <x:c r="DJF64" s="293"/>
      <x:c r="DJG64" s="293"/>
      <x:c r="DJH64" s="293"/>
      <x:c r="DJI64" s="293"/>
      <x:c r="DJJ64" s="293"/>
      <x:c r="DJK64" s="293"/>
      <x:c r="DJL64" s="293"/>
      <x:c r="DJM64" s="293"/>
      <x:c r="DJN64" s="293"/>
      <x:c r="DJO64" s="293"/>
      <x:c r="DJP64" s="293"/>
      <x:c r="DJQ64" s="293"/>
      <x:c r="DJR64" s="293"/>
      <x:c r="DJS64" s="293"/>
      <x:c r="DJT64" s="293"/>
      <x:c r="DJU64" s="293"/>
      <x:c r="DJV64" s="293"/>
      <x:c r="DJW64" s="293"/>
      <x:c r="DJX64" s="293"/>
      <x:c r="DJY64" s="293"/>
      <x:c r="DJZ64" s="293"/>
      <x:c r="DKA64" s="293"/>
      <x:c r="DKB64" s="293"/>
      <x:c r="DKC64" s="293"/>
      <x:c r="DKD64" s="293"/>
      <x:c r="DKE64" s="293"/>
      <x:c r="DKF64" s="293"/>
      <x:c r="DKG64" s="293"/>
      <x:c r="DKH64" s="293"/>
      <x:c r="DKI64" s="293"/>
      <x:c r="DKJ64" s="293"/>
      <x:c r="DKK64" s="293"/>
      <x:c r="DKL64" s="293"/>
      <x:c r="DKM64" s="293"/>
      <x:c r="DKN64" s="293"/>
      <x:c r="DKO64" s="293"/>
      <x:c r="DKP64" s="293"/>
      <x:c r="DKQ64" s="293"/>
      <x:c r="DKR64" s="293"/>
      <x:c r="DKS64" s="293"/>
      <x:c r="DKT64" s="293"/>
      <x:c r="DKU64" s="293"/>
      <x:c r="DKV64" s="293"/>
      <x:c r="DKW64" s="293"/>
      <x:c r="DKX64" s="293"/>
      <x:c r="DKY64" s="293"/>
      <x:c r="DKZ64" s="293"/>
      <x:c r="DLA64" s="293"/>
      <x:c r="DLB64" s="293"/>
      <x:c r="DLC64" s="293"/>
      <x:c r="DLD64" s="293"/>
      <x:c r="DLE64" s="293"/>
      <x:c r="DLF64" s="293"/>
      <x:c r="DLG64" s="293"/>
      <x:c r="DLH64" s="293"/>
      <x:c r="DLI64" s="293"/>
      <x:c r="DLJ64" s="293"/>
      <x:c r="DLK64" s="293"/>
      <x:c r="DLL64" s="293"/>
      <x:c r="DLM64" s="293"/>
      <x:c r="DLN64" s="293"/>
      <x:c r="DLO64" s="293"/>
      <x:c r="DLP64" s="293"/>
      <x:c r="DLQ64" s="293"/>
      <x:c r="DLR64" s="293"/>
      <x:c r="DLS64" s="293"/>
      <x:c r="DLT64" s="293"/>
      <x:c r="DLU64" s="293"/>
      <x:c r="DLV64" s="293"/>
      <x:c r="DLW64" s="293"/>
      <x:c r="DLX64" s="293"/>
      <x:c r="DLY64" s="293"/>
      <x:c r="DLZ64" s="293"/>
      <x:c r="DMA64" s="293"/>
      <x:c r="DMB64" s="293"/>
      <x:c r="DMC64" s="293"/>
      <x:c r="DMD64" s="293"/>
      <x:c r="DME64" s="293"/>
      <x:c r="DMF64" s="293"/>
      <x:c r="DMG64" s="293"/>
      <x:c r="DMH64" s="293"/>
      <x:c r="DMI64" s="293"/>
      <x:c r="DMJ64" s="293"/>
      <x:c r="DMK64" s="293"/>
      <x:c r="DML64" s="293"/>
      <x:c r="DMM64" s="293"/>
      <x:c r="DMN64" s="293"/>
      <x:c r="DMO64" s="293"/>
      <x:c r="DMP64" s="293"/>
      <x:c r="DMQ64" s="293"/>
      <x:c r="DMR64" s="293"/>
      <x:c r="DMS64" s="293"/>
      <x:c r="DMT64" s="293"/>
      <x:c r="DMU64" s="293"/>
      <x:c r="DMV64" s="293"/>
      <x:c r="DMW64" s="293"/>
      <x:c r="DMX64" s="293"/>
      <x:c r="DMY64" s="293"/>
      <x:c r="DMZ64" s="293"/>
      <x:c r="DNA64" s="293"/>
      <x:c r="DNB64" s="293"/>
      <x:c r="DNC64" s="293"/>
      <x:c r="DND64" s="293"/>
      <x:c r="DNE64" s="293"/>
      <x:c r="DNF64" s="293"/>
      <x:c r="DNG64" s="293"/>
      <x:c r="DNH64" s="293"/>
      <x:c r="DNI64" s="293"/>
      <x:c r="DNJ64" s="293"/>
      <x:c r="DNK64" s="293"/>
      <x:c r="DNL64" s="293"/>
      <x:c r="DNM64" s="293"/>
      <x:c r="DNN64" s="293"/>
      <x:c r="DNO64" s="293"/>
      <x:c r="DNP64" s="293"/>
      <x:c r="DNQ64" s="293"/>
      <x:c r="DNR64" s="293"/>
      <x:c r="DNS64" s="293"/>
      <x:c r="DNT64" s="293"/>
      <x:c r="DNU64" s="293"/>
      <x:c r="DNV64" s="293"/>
      <x:c r="DNW64" s="293"/>
      <x:c r="DNX64" s="293"/>
      <x:c r="DNY64" s="293"/>
      <x:c r="DNZ64" s="293"/>
      <x:c r="DOA64" s="293"/>
      <x:c r="DOB64" s="293"/>
      <x:c r="DOC64" s="293"/>
      <x:c r="DOD64" s="293"/>
      <x:c r="DOE64" s="293"/>
      <x:c r="DOF64" s="293"/>
      <x:c r="DOG64" s="293"/>
      <x:c r="DOH64" s="293"/>
      <x:c r="DOI64" s="293"/>
      <x:c r="DOJ64" s="293"/>
      <x:c r="DOK64" s="293"/>
      <x:c r="DOL64" s="293"/>
      <x:c r="DOM64" s="293"/>
      <x:c r="DON64" s="293"/>
      <x:c r="DOO64" s="293"/>
      <x:c r="DOP64" s="293"/>
      <x:c r="DOQ64" s="293"/>
      <x:c r="DOR64" s="293"/>
      <x:c r="DOS64" s="293"/>
      <x:c r="DOT64" s="293"/>
      <x:c r="DOU64" s="293"/>
      <x:c r="DOV64" s="293"/>
      <x:c r="DOW64" s="293"/>
      <x:c r="DOX64" s="293"/>
      <x:c r="DOY64" s="293"/>
      <x:c r="DOZ64" s="293"/>
      <x:c r="DPA64" s="293"/>
      <x:c r="DPB64" s="293"/>
      <x:c r="DPC64" s="293"/>
      <x:c r="DPD64" s="293"/>
      <x:c r="DPE64" s="293"/>
      <x:c r="DPF64" s="293"/>
      <x:c r="DPG64" s="293"/>
      <x:c r="DPH64" s="293"/>
      <x:c r="DPI64" s="293"/>
      <x:c r="DPJ64" s="293"/>
      <x:c r="DPK64" s="293"/>
      <x:c r="DPL64" s="293"/>
      <x:c r="DPM64" s="293"/>
      <x:c r="DPN64" s="293"/>
      <x:c r="DPO64" s="293"/>
      <x:c r="DPP64" s="293"/>
      <x:c r="DPQ64" s="293"/>
      <x:c r="DPR64" s="293"/>
      <x:c r="DPS64" s="293"/>
      <x:c r="DPT64" s="293"/>
      <x:c r="DPU64" s="293"/>
      <x:c r="DPV64" s="293"/>
      <x:c r="DPW64" s="293"/>
      <x:c r="DPX64" s="293"/>
      <x:c r="DPY64" s="293"/>
      <x:c r="DPZ64" s="293"/>
      <x:c r="DQA64" s="293"/>
      <x:c r="DQB64" s="293"/>
      <x:c r="DQC64" s="293"/>
      <x:c r="DQD64" s="293"/>
      <x:c r="DQE64" s="293"/>
      <x:c r="DQF64" s="293"/>
      <x:c r="DQG64" s="293"/>
      <x:c r="DQH64" s="293"/>
      <x:c r="DQI64" s="293"/>
      <x:c r="DQJ64" s="293"/>
      <x:c r="DQK64" s="293"/>
      <x:c r="DQL64" s="293"/>
      <x:c r="DQM64" s="293"/>
      <x:c r="DQN64" s="293"/>
      <x:c r="DQO64" s="293"/>
      <x:c r="DQP64" s="293"/>
      <x:c r="DQQ64" s="293"/>
      <x:c r="DQR64" s="293"/>
      <x:c r="DQS64" s="293"/>
      <x:c r="DQT64" s="293"/>
      <x:c r="DQU64" s="293"/>
      <x:c r="DQV64" s="293"/>
      <x:c r="DQW64" s="293"/>
      <x:c r="DQX64" s="293"/>
      <x:c r="DQY64" s="293"/>
      <x:c r="DQZ64" s="293"/>
      <x:c r="DRA64" s="293"/>
      <x:c r="DRB64" s="293"/>
      <x:c r="DRC64" s="293"/>
      <x:c r="DRD64" s="293"/>
      <x:c r="DRE64" s="293"/>
      <x:c r="DRF64" s="293"/>
      <x:c r="DRG64" s="293"/>
      <x:c r="DRH64" s="293"/>
      <x:c r="DRI64" s="293"/>
      <x:c r="DRJ64" s="293"/>
      <x:c r="DRK64" s="293"/>
      <x:c r="DRL64" s="293"/>
      <x:c r="DRM64" s="293"/>
      <x:c r="DRN64" s="293"/>
      <x:c r="DRO64" s="293"/>
      <x:c r="DRP64" s="293"/>
      <x:c r="DRQ64" s="293"/>
      <x:c r="DRR64" s="293"/>
      <x:c r="DRS64" s="293"/>
      <x:c r="DRT64" s="293"/>
      <x:c r="DRU64" s="293"/>
      <x:c r="DRV64" s="293"/>
      <x:c r="DRW64" s="293"/>
      <x:c r="DRX64" s="293"/>
      <x:c r="DRY64" s="293"/>
      <x:c r="DRZ64" s="293"/>
      <x:c r="DSA64" s="293"/>
      <x:c r="DSB64" s="293"/>
      <x:c r="DSC64" s="293"/>
      <x:c r="DSD64" s="293"/>
      <x:c r="DSE64" s="293"/>
      <x:c r="DSF64" s="293"/>
      <x:c r="DSG64" s="293"/>
      <x:c r="DSH64" s="293"/>
      <x:c r="DSI64" s="293"/>
      <x:c r="DSJ64" s="293"/>
      <x:c r="DSK64" s="293"/>
      <x:c r="DSL64" s="293"/>
      <x:c r="DSM64" s="293"/>
      <x:c r="DSN64" s="293"/>
      <x:c r="DSO64" s="293"/>
      <x:c r="DSP64" s="293"/>
      <x:c r="DSQ64" s="293"/>
      <x:c r="DSR64" s="293"/>
      <x:c r="DSS64" s="293"/>
      <x:c r="DST64" s="293"/>
      <x:c r="DSU64" s="293"/>
      <x:c r="DSV64" s="293"/>
      <x:c r="DSW64" s="293"/>
      <x:c r="DSX64" s="293"/>
      <x:c r="DSY64" s="293"/>
      <x:c r="DSZ64" s="293"/>
      <x:c r="DTA64" s="293"/>
      <x:c r="DTB64" s="293"/>
      <x:c r="DTC64" s="293"/>
      <x:c r="DTD64" s="293"/>
      <x:c r="DTE64" s="293"/>
      <x:c r="DTF64" s="293"/>
      <x:c r="DTG64" s="293"/>
      <x:c r="DTH64" s="293"/>
      <x:c r="DTI64" s="293"/>
      <x:c r="DTJ64" s="293"/>
      <x:c r="DTK64" s="293"/>
      <x:c r="DTL64" s="293"/>
      <x:c r="DTM64" s="293"/>
      <x:c r="DTN64" s="293"/>
      <x:c r="DTO64" s="293"/>
      <x:c r="DTP64" s="293"/>
      <x:c r="DTQ64" s="293"/>
      <x:c r="DTR64" s="293"/>
      <x:c r="DTS64" s="293"/>
      <x:c r="DTT64" s="293"/>
      <x:c r="DTU64" s="293"/>
      <x:c r="DTV64" s="293"/>
      <x:c r="DTW64" s="293"/>
      <x:c r="DTX64" s="293"/>
      <x:c r="DTY64" s="293"/>
      <x:c r="DTZ64" s="293"/>
      <x:c r="DUA64" s="293"/>
      <x:c r="DUB64" s="293"/>
      <x:c r="DUC64" s="293"/>
      <x:c r="DUD64" s="293"/>
      <x:c r="DUE64" s="293"/>
      <x:c r="DUF64" s="293"/>
      <x:c r="DUG64" s="293"/>
      <x:c r="DUH64" s="293"/>
      <x:c r="DUI64" s="293"/>
      <x:c r="DUJ64" s="293"/>
      <x:c r="DUK64" s="293"/>
      <x:c r="DUL64" s="293"/>
      <x:c r="DUM64" s="293"/>
      <x:c r="DUN64" s="293"/>
      <x:c r="DUO64" s="293"/>
      <x:c r="DUP64" s="293"/>
      <x:c r="DUQ64" s="293"/>
      <x:c r="DUR64" s="293"/>
      <x:c r="DUS64" s="293"/>
      <x:c r="DUT64" s="293"/>
      <x:c r="DUU64" s="293"/>
      <x:c r="DUV64" s="293"/>
      <x:c r="DUW64" s="293"/>
      <x:c r="DUX64" s="293"/>
      <x:c r="DUY64" s="293"/>
      <x:c r="DUZ64" s="293"/>
      <x:c r="DVA64" s="293"/>
      <x:c r="DVB64" s="293"/>
      <x:c r="DVC64" s="293"/>
      <x:c r="DVD64" s="293"/>
      <x:c r="DVE64" s="293"/>
      <x:c r="DVF64" s="293"/>
      <x:c r="DVG64" s="293"/>
      <x:c r="DVH64" s="293"/>
      <x:c r="DVI64" s="293"/>
      <x:c r="DVJ64" s="293"/>
      <x:c r="DVK64" s="293"/>
      <x:c r="DVL64" s="293"/>
      <x:c r="DVM64" s="293"/>
      <x:c r="DVN64" s="293"/>
      <x:c r="DVO64" s="293"/>
      <x:c r="DVP64" s="293"/>
      <x:c r="DVQ64" s="293"/>
      <x:c r="DVR64" s="293"/>
      <x:c r="DVS64" s="293"/>
      <x:c r="DVT64" s="293"/>
      <x:c r="DVU64" s="293"/>
      <x:c r="DVV64" s="293"/>
      <x:c r="DVW64" s="293"/>
      <x:c r="DVX64" s="293"/>
      <x:c r="DVY64" s="293"/>
      <x:c r="DVZ64" s="293"/>
      <x:c r="DWA64" s="293"/>
      <x:c r="DWB64" s="293"/>
      <x:c r="DWC64" s="293"/>
      <x:c r="DWD64" s="293"/>
      <x:c r="DWE64" s="293"/>
      <x:c r="DWF64" s="293"/>
      <x:c r="DWG64" s="293"/>
      <x:c r="DWH64" s="293"/>
      <x:c r="DWI64" s="293"/>
      <x:c r="DWJ64" s="293"/>
      <x:c r="DWK64" s="293"/>
      <x:c r="DWL64" s="293"/>
      <x:c r="DWM64" s="293"/>
      <x:c r="DWN64" s="293"/>
      <x:c r="DWO64" s="293"/>
      <x:c r="DWP64" s="293"/>
      <x:c r="DWQ64" s="293"/>
      <x:c r="DWR64" s="293"/>
      <x:c r="DWS64" s="293"/>
      <x:c r="DWT64" s="293"/>
      <x:c r="DWU64" s="293"/>
      <x:c r="DWV64" s="293"/>
      <x:c r="DWW64" s="293"/>
      <x:c r="DWX64" s="293"/>
      <x:c r="DWY64" s="293"/>
      <x:c r="DWZ64" s="293"/>
      <x:c r="DXA64" s="293"/>
      <x:c r="DXB64" s="293"/>
      <x:c r="DXC64" s="293"/>
      <x:c r="DXD64" s="293"/>
      <x:c r="DXE64" s="293"/>
      <x:c r="DXF64" s="293"/>
      <x:c r="DXG64" s="293"/>
      <x:c r="DXH64" s="293"/>
      <x:c r="DXI64" s="293"/>
      <x:c r="DXJ64" s="293"/>
      <x:c r="DXK64" s="293"/>
      <x:c r="DXL64" s="293"/>
      <x:c r="DXM64" s="293"/>
      <x:c r="DXN64" s="293"/>
      <x:c r="DXO64" s="293"/>
      <x:c r="DXP64" s="293"/>
      <x:c r="DXQ64" s="293"/>
      <x:c r="DXR64" s="293"/>
      <x:c r="DXS64" s="293"/>
      <x:c r="DXT64" s="293"/>
      <x:c r="DXU64" s="293"/>
      <x:c r="DXV64" s="293"/>
      <x:c r="DXW64" s="293"/>
      <x:c r="DXX64" s="293"/>
      <x:c r="DXY64" s="293"/>
      <x:c r="DXZ64" s="293"/>
      <x:c r="DYA64" s="293"/>
      <x:c r="DYB64" s="293"/>
      <x:c r="DYC64" s="293"/>
      <x:c r="DYD64" s="293"/>
      <x:c r="DYE64" s="293"/>
      <x:c r="DYF64" s="293"/>
      <x:c r="DYG64" s="293"/>
      <x:c r="DYH64" s="293"/>
      <x:c r="DYI64" s="293"/>
      <x:c r="DYJ64" s="293"/>
      <x:c r="DYK64" s="293"/>
      <x:c r="DYL64" s="293"/>
      <x:c r="DYM64" s="293"/>
      <x:c r="DYN64" s="293"/>
      <x:c r="DYO64" s="293"/>
      <x:c r="DYP64" s="293"/>
      <x:c r="DYQ64" s="293"/>
      <x:c r="DYR64" s="293"/>
      <x:c r="DYS64" s="293"/>
      <x:c r="DYT64" s="293"/>
      <x:c r="DYU64" s="293"/>
      <x:c r="DYV64" s="293"/>
      <x:c r="DYW64" s="293"/>
      <x:c r="DYX64" s="293"/>
      <x:c r="DYY64" s="293"/>
      <x:c r="DYZ64" s="293"/>
      <x:c r="DZA64" s="293"/>
      <x:c r="DZB64" s="293"/>
      <x:c r="DZC64" s="293"/>
      <x:c r="DZD64" s="293"/>
      <x:c r="DZE64" s="293"/>
      <x:c r="DZF64" s="293"/>
      <x:c r="DZG64" s="293"/>
      <x:c r="DZH64" s="293"/>
      <x:c r="DZI64" s="293"/>
      <x:c r="DZJ64" s="293"/>
      <x:c r="DZK64" s="293"/>
      <x:c r="DZL64" s="293"/>
      <x:c r="DZM64" s="293"/>
      <x:c r="DZN64" s="293"/>
      <x:c r="DZO64" s="293"/>
      <x:c r="DZP64" s="293"/>
      <x:c r="DZQ64" s="293"/>
      <x:c r="DZR64" s="293"/>
      <x:c r="DZS64" s="293"/>
      <x:c r="DZT64" s="293"/>
      <x:c r="DZU64" s="293"/>
      <x:c r="DZV64" s="293"/>
      <x:c r="DZW64" s="293"/>
      <x:c r="DZX64" s="293"/>
      <x:c r="DZY64" s="293"/>
      <x:c r="DZZ64" s="293"/>
      <x:c r="EAA64" s="293"/>
      <x:c r="EAB64" s="293"/>
      <x:c r="EAC64" s="293"/>
      <x:c r="EAD64" s="293"/>
      <x:c r="EAE64" s="293"/>
      <x:c r="EAF64" s="293"/>
      <x:c r="EAG64" s="293"/>
      <x:c r="EAH64" s="293"/>
      <x:c r="EAI64" s="293"/>
      <x:c r="EAJ64" s="293"/>
      <x:c r="EAK64" s="293"/>
      <x:c r="EAL64" s="293"/>
      <x:c r="EAM64" s="293"/>
      <x:c r="EAN64" s="293"/>
      <x:c r="EAO64" s="293"/>
      <x:c r="EAP64" s="293"/>
      <x:c r="EAQ64" s="293"/>
      <x:c r="EAR64" s="293"/>
      <x:c r="EAS64" s="293"/>
      <x:c r="EAT64" s="293"/>
      <x:c r="EAU64" s="293"/>
      <x:c r="EAV64" s="293"/>
      <x:c r="EAW64" s="293"/>
      <x:c r="EAX64" s="293"/>
      <x:c r="EAY64" s="293"/>
      <x:c r="EAZ64" s="293"/>
      <x:c r="EBA64" s="293"/>
      <x:c r="EBB64" s="293"/>
      <x:c r="EBC64" s="293"/>
      <x:c r="EBD64" s="293"/>
      <x:c r="EBE64" s="293"/>
      <x:c r="EBF64" s="293"/>
      <x:c r="EBG64" s="293"/>
      <x:c r="EBH64" s="293"/>
      <x:c r="EBI64" s="293"/>
      <x:c r="EBJ64" s="293"/>
      <x:c r="EBK64" s="293"/>
      <x:c r="EBL64" s="293"/>
      <x:c r="EBM64" s="293"/>
      <x:c r="EBN64" s="293"/>
      <x:c r="EBO64" s="293"/>
      <x:c r="EBP64" s="293"/>
      <x:c r="EBQ64" s="293"/>
      <x:c r="EBR64" s="293"/>
      <x:c r="EBS64" s="293"/>
      <x:c r="EBT64" s="293"/>
      <x:c r="EBU64" s="293"/>
      <x:c r="EBV64" s="293"/>
      <x:c r="EBW64" s="293"/>
      <x:c r="EBX64" s="293"/>
      <x:c r="EBY64" s="293"/>
      <x:c r="EBZ64" s="293"/>
      <x:c r="ECA64" s="293"/>
      <x:c r="ECB64" s="293"/>
      <x:c r="ECC64" s="293"/>
      <x:c r="ECD64" s="293"/>
      <x:c r="ECE64" s="293"/>
      <x:c r="ECF64" s="293"/>
      <x:c r="ECG64" s="293"/>
      <x:c r="ECH64" s="293"/>
      <x:c r="ECI64" s="293"/>
      <x:c r="ECJ64" s="293"/>
      <x:c r="ECK64" s="293"/>
      <x:c r="ECL64" s="293"/>
      <x:c r="ECM64" s="293"/>
      <x:c r="ECN64" s="293"/>
      <x:c r="ECO64" s="293"/>
      <x:c r="ECP64" s="293"/>
      <x:c r="ECQ64" s="293"/>
      <x:c r="ECR64" s="293"/>
      <x:c r="ECS64" s="293"/>
      <x:c r="ECT64" s="293"/>
      <x:c r="ECU64" s="293"/>
      <x:c r="ECV64" s="293"/>
      <x:c r="ECW64" s="293"/>
      <x:c r="ECX64" s="293"/>
      <x:c r="ECY64" s="293"/>
      <x:c r="ECZ64" s="293"/>
      <x:c r="EDA64" s="293"/>
      <x:c r="EDB64" s="293"/>
      <x:c r="EDC64" s="293"/>
      <x:c r="EDD64" s="293"/>
      <x:c r="EDE64" s="293"/>
      <x:c r="EDF64" s="293"/>
      <x:c r="EDG64" s="293"/>
      <x:c r="EDH64" s="293"/>
      <x:c r="EDI64" s="293"/>
      <x:c r="EDJ64" s="293"/>
      <x:c r="EDK64" s="293"/>
      <x:c r="EDL64" s="293"/>
      <x:c r="EDM64" s="293"/>
      <x:c r="EDN64" s="293"/>
      <x:c r="EDO64" s="293"/>
      <x:c r="EDP64" s="293"/>
      <x:c r="EDQ64" s="293"/>
      <x:c r="EDR64" s="293"/>
      <x:c r="EDS64" s="293"/>
      <x:c r="EDT64" s="293"/>
      <x:c r="EDU64" s="293"/>
      <x:c r="EDV64" s="293"/>
      <x:c r="EDW64" s="293"/>
      <x:c r="EDX64" s="293"/>
      <x:c r="EDY64" s="293"/>
      <x:c r="EDZ64" s="293"/>
      <x:c r="EEA64" s="293"/>
      <x:c r="EEB64" s="293"/>
      <x:c r="EEC64" s="293"/>
      <x:c r="EED64" s="293"/>
      <x:c r="EEE64" s="293"/>
      <x:c r="EEF64" s="293"/>
      <x:c r="EEG64" s="293"/>
      <x:c r="EEH64" s="293"/>
      <x:c r="EEI64" s="293"/>
      <x:c r="EEJ64" s="293"/>
      <x:c r="EEK64" s="293"/>
      <x:c r="EEL64" s="293"/>
      <x:c r="EEM64" s="293"/>
      <x:c r="EEN64" s="293"/>
      <x:c r="EEO64" s="293"/>
      <x:c r="EEP64" s="293"/>
      <x:c r="EEQ64" s="293"/>
      <x:c r="EER64" s="293"/>
      <x:c r="EES64" s="293"/>
      <x:c r="EET64" s="293"/>
      <x:c r="EEU64" s="293"/>
      <x:c r="EEV64" s="293"/>
      <x:c r="EEW64" s="293"/>
      <x:c r="EEX64" s="293"/>
      <x:c r="EEY64" s="293"/>
      <x:c r="EEZ64" s="293"/>
      <x:c r="EFA64" s="293"/>
      <x:c r="EFB64" s="293"/>
      <x:c r="EFC64" s="293"/>
      <x:c r="EFD64" s="293"/>
      <x:c r="EFE64" s="293"/>
      <x:c r="EFF64" s="293"/>
      <x:c r="EFG64" s="293"/>
      <x:c r="EFH64" s="293"/>
      <x:c r="EFI64" s="293"/>
      <x:c r="EFJ64" s="293"/>
      <x:c r="EFK64" s="293"/>
      <x:c r="EFL64" s="293"/>
      <x:c r="EFM64" s="293"/>
      <x:c r="EFN64" s="293"/>
      <x:c r="EFO64" s="293"/>
      <x:c r="EFP64" s="293"/>
      <x:c r="EFQ64" s="293"/>
      <x:c r="EFR64" s="293"/>
      <x:c r="EFS64" s="293"/>
      <x:c r="EFT64" s="293"/>
      <x:c r="EFU64" s="293"/>
      <x:c r="EFV64" s="293"/>
      <x:c r="EFW64" s="293"/>
      <x:c r="EFX64" s="293"/>
      <x:c r="EFY64" s="293"/>
      <x:c r="EFZ64" s="293"/>
      <x:c r="EGA64" s="293"/>
      <x:c r="EGB64" s="293"/>
      <x:c r="EGC64" s="293"/>
      <x:c r="EGD64" s="293"/>
      <x:c r="EGE64" s="293"/>
      <x:c r="EGF64" s="293"/>
      <x:c r="EGG64" s="293"/>
      <x:c r="EGH64" s="293"/>
      <x:c r="EGI64" s="293"/>
      <x:c r="EGJ64" s="293"/>
      <x:c r="EGK64" s="293"/>
      <x:c r="EGL64" s="293"/>
      <x:c r="EGM64" s="293"/>
      <x:c r="EGN64" s="293"/>
      <x:c r="EGO64" s="293"/>
      <x:c r="EGP64" s="293"/>
      <x:c r="EGQ64" s="293"/>
      <x:c r="EGR64" s="293"/>
      <x:c r="EGS64" s="293"/>
      <x:c r="EGT64" s="293"/>
      <x:c r="EGU64" s="293"/>
      <x:c r="EGV64" s="293"/>
      <x:c r="EGW64" s="293"/>
      <x:c r="EGX64" s="293"/>
      <x:c r="EGY64" s="293"/>
      <x:c r="EGZ64" s="293"/>
      <x:c r="EHA64" s="293"/>
      <x:c r="EHB64" s="293"/>
      <x:c r="EHC64" s="293"/>
      <x:c r="EHD64" s="293"/>
      <x:c r="EHE64" s="293"/>
      <x:c r="EHF64" s="293"/>
      <x:c r="EHG64" s="293"/>
      <x:c r="EHH64" s="293"/>
      <x:c r="EHI64" s="293"/>
      <x:c r="EHJ64" s="293"/>
      <x:c r="EHK64" s="293"/>
      <x:c r="EHL64" s="293"/>
      <x:c r="EHM64" s="293"/>
      <x:c r="EHN64" s="293"/>
      <x:c r="EHO64" s="293"/>
      <x:c r="EHP64" s="293"/>
      <x:c r="EHQ64" s="293"/>
      <x:c r="EHR64" s="293"/>
      <x:c r="EHS64" s="293"/>
      <x:c r="EHT64" s="293"/>
      <x:c r="EHU64" s="293"/>
      <x:c r="EHV64" s="293"/>
      <x:c r="EHW64" s="293"/>
      <x:c r="EHX64" s="293"/>
      <x:c r="EHY64" s="293"/>
      <x:c r="EHZ64" s="293"/>
      <x:c r="EIA64" s="293"/>
      <x:c r="EIB64" s="293"/>
      <x:c r="EIC64" s="293"/>
      <x:c r="EID64" s="293"/>
      <x:c r="EIE64" s="293"/>
      <x:c r="EIF64" s="293"/>
      <x:c r="EIG64" s="293"/>
      <x:c r="EIH64" s="293"/>
      <x:c r="EII64" s="293"/>
      <x:c r="EIJ64" s="293"/>
      <x:c r="EIK64" s="293"/>
      <x:c r="EIL64" s="293"/>
      <x:c r="EIM64" s="293"/>
      <x:c r="EIN64" s="293"/>
      <x:c r="EIO64" s="293"/>
      <x:c r="EIP64" s="293"/>
      <x:c r="EIQ64" s="293"/>
      <x:c r="EIR64" s="293"/>
      <x:c r="EIS64" s="293"/>
      <x:c r="EIT64" s="293"/>
      <x:c r="EIU64" s="293"/>
      <x:c r="EIV64" s="293"/>
      <x:c r="EIW64" s="293"/>
      <x:c r="EIX64" s="293"/>
      <x:c r="EIY64" s="293"/>
      <x:c r="EIZ64" s="293"/>
      <x:c r="EJA64" s="293"/>
      <x:c r="EJB64" s="293"/>
      <x:c r="EJC64" s="293"/>
      <x:c r="EJD64" s="293"/>
      <x:c r="EJE64" s="293"/>
      <x:c r="EJF64" s="293"/>
      <x:c r="EJG64" s="293"/>
      <x:c r="EJH64" s="293"/>
      <x:c r="EJI64" s="293"/>
      <x:c r="EJJ64" s="293"/>
      <x:c r="EJK64" s="293"/>
      <x:c r="EJL64" s="293"/>
      <x:c r="EJM64" s="293"/>
      <x:c r="EJN64" s="293"/>
      <x:c r="EJO64" s="293"/>
      <x:c r="EJP64" s="293"/>
      <x:c r="EJQ64" s="293"/>
      <x:c r="EJR64" s="293"/>
      <x:c r="EJS64" s="293"/>
      <x:c r="EJT64" s="293"/>
      <x:c r="EJU64" s="293"/>
      <x:c r="EJV64" s="293"/>
      <x:c r="EJW64" s="293"/>
      <x:c r="EJX64" s="293"/>
      <x:c r="EJY64" s="293"/>
      <x:c r="EJZ64" s="293"/>
      <x:c r="EKA64" s="293"/>
      <x:c r="EKB64" s="293"/>
      <x:c r="EKC64" s="293"/>
      <x:c r="EKD64" s="293"/>
      <x:c r="EKE64" s="293"/>
      <x:c r="EKF64" s="293"/>
      <x:c r="EKG64" s="293"/>
      <x:c r="EKH64" s="293"/>
      <x:c r="EKI64" s="293"/>
      <x:c r="EKJ64" s="293"/>
      <x:c r="EKK64" s="293"/>
      <x:c r="EKL64" s="293"/>
      <x:c r="EKM64" s="293"/>
      <x:c r="EKN64" s="293"/>
      <x:c r="EKO64" s="293"/>
      <x:c r="EKP64" s="293"/>
      <x:c r="EKQ64" s="293"/>
      <x:c r="EKR64" s="293"/>
      <x:c r="EKS64" s="293"/>
      <x:c r="EKT64" s="293"/>
      <x:c r="EKU64" s="293"/>
      <x:c r="EKV64" s="293"/>
      <x:c r="EKW64" s="293"/>
      <x:c r="EKX64" s="293"/>
      <x:c r="EKY64" s="293"/>
      <x:c r="EKZ64" s="293"/>
      <x:c r="ELA64" s="293"/>
      <x:c r="ELB64" s="293"/>
      <x:c r="ELC64" s="293"/>
      <x:c r="ELD64" s="293"/>
      <x:c r="ELE64" s="293"/>
      <x:c r="ELF64" s="293"/>
      <x:c r="ELG64" s="293"/>
      <x:c r="ELH64" s="293"/>
      <x:c r="ELI64" s="293"/>
      <x:c r="ELJ64" s="293"/>
      <x:c r="ELK64" s="293"/>
      <x:c r="ELL64" s="293"/>
      <x:c r="ELM64" s="293"/>
      <x:c r="ELN64" s="293"/>
      <x:c r="ELO64" s="293"/>
      <x:c r="ELP64" s="293"/>
      <x:c r="ELQ64" s="293"/>
      <x:c r="ELR64" s="293"/>
      <x:c r="ELS64" s="293"/>
      <x:c r="ELT64" s="293"/>
      <x:c r="ELU64" s="293"/>
      <x:c r="ELV64" s="293"/>
      <x:c r="ELW64" s="293"/>
      <x:c r="ELX64" s="293"/>
      <x:c r="ELY64" s="293"/>
      <x:c r="ELZ64" s="293"/>
      <x:c r="EMA64" s="293"/>
      <x:c r="EMB64" s="293"/>
      <x:c r="EMC64" s="293"/>
      <x:c r="EMD64" s="293"/>
      <x:c r="EME64" s="293"/>
      <x:c r="EMF64" s="293"/>
      <x:c r="EMG64" s="293"/>
      <x:c r="EMH64" s="293"/>
      <x:c r="EMI64" s="293"/>
      <x:c r="EMJ64" s="293"/>
      <x:c r="EMK64" s="293"/>
      <x:c r="EML64" s="293"/>
      <x:c r="EMM64" s="293"/>
      <x:c r="EMN64" s="293"/>
      <x:c r="EMO64" s="293"/>
      <x:c r="EMP64" s="293"/>
      <x:c r="EMQ64" s="293"/>
      <x:c r="EMR64" s="293"/>
      <x:c r="EMS64" s="293"/>
      <x:c r="EMT64" s="293"/>
      <x:c r="EMU64" s="293"/>
      <x:c r="EMV64" s="293"/>
      <x:c r="EMW64" s="293"/>
      <x:c r="EMX64" s="293"/>
      <x:c r="EMY64" s="293"/>
      <x:c r="EMZ64" s="293"/>
      <x:c r="ENA64" s="293"/>
      <x:c r="ENB64" s="293"/>
      <x:c r="ENC64" s="293"/>
      <x:c r="END64" s="293"/>
      <x:c r="ENE64" s="293"/>
      <x:c r="ENF64" s="293"/>
      <x:c r="ENG64" s="293"/>
      <x:c r="ENH64" s="293"/>
      <x:c r="ENI64" s="293"/>
      <x:c r="ENJ64" s="293"/>
      <x:c r="ENK64" s="293"/>
      <x:c r="ENL64" s="293"/>
      <x:c r="ENM64" s="293"/>
      <x:c r="ENN64" s="293"/>
      <x:c r="ENO64" s="293"/>
      <x:c r="ENP64" s="293"/>
      <x:c r="ENQ64" s="293"/>
      <x:c r="ENR64" s="293"/>
      <x:c r="ENS64" s="293"/>
      <x:c r="ENT64" s="293"/>
      <x:c r="ENU64" s="293"/>
      <x:c r="ENV64" s="293"/>
      <x:c r="ENW64" s="293"/>
      <x:c r="ENX64" s="293"/>
      <x:c r="ENY64" s="293"/>
      <x:c r="ENZ64" s="293"/>
      <x:c r="EOA64" s="293"/>
      <x:c r="EOB64" s="293"/>
      <x:c r="EOC64" s="293"/>
      <x:c r="EOD64" s="293"/>
      <x:c r="EOE64" s="293"/>
      <x:c r="EOF64" s="293"/>
      <x:c r="EOG64" s="293"/>
      <x:c r="EOH64" s="293"/>
      <x:c r="EOI64" s="293"/>
      <x:c r="EOJ64" s="293"/>
      <x:c r="EOK64" s="293"/>
      <x:c r="EOL64" s="293"/>
      <x:c r="EOM64" s="293"/>
      <x:c r="EON64" s="293"/>
      <x:c r="EOO64" s="293"/>
      <x:c r="EOP64" s="293"/>
      <x:c r="EOQ64" s="293"/>
      <x:c r="EOR64" s="293"/>
      <x:c r="EOS64" s="293"/>
      <x:c r="EOT64" s="293"/>
      <x:c r="EOU64" s="293"/>
      <x:c r="EOV64" s="293"/>
      <x:c r="EOW64" s="293"/>
      <x:c r="EOX64" s="293"/>
      <x:c r="EOY64" s="293"/>
      <x:c r="EOZ64" s="293"/>
      <x:c r="EPA64" s="293"/>
      <x:c r="EPB64" s="293"/>
      <x:c r="EPC64" s="293"/>
      <x:c r="EPD64" s="293"/>
      <x:c r="EPE64" s="293"/>
      <x:c r="EPF64" s="293"/>
      <x:c r="EPG64" s="293"/>
      <x:c r="EPH64" s="293"/>
      <x:c r="EPI64" s="293"/>
      <x:c r="EPJ64" s="293"/>
      <x:c r="EPK64" s="293"/>
      <x:c r="EPL64" s="293"/>
      <x:c r="EPM64" s="293"/>
      <x:c r="EPN64" s="293"/>
      <x:c r="EPO64" s="293"/>
      <x:c r="EPP64" s="293"/>
      <x:c r="EPQ64" s="293"/>
      <x:c r="EPR64" s="293"/>
      <x:c r="EPS64" s="293"/>
      <x:c r="EPT64" s="293"/>
      <x:c r="EPU64" s="293"/>
      <x:c r="EPV64" s="293"/>
      <x:c r="EPW64" s="293"/>
      <x:c r="EPX64" s="293"/>
      <x:c r="EPY64" s="293"/>
      <x:c r="EPZ64" s="293"/>
      <x:c r="EQA64" s="293"/>
      <x:c r="EQB64" s="293"/>
      <x:c r="EQC64" s="293"/>
      <x:c r="EQD64" s="293"/>
      <x:c r="EQE64" s="293"/>
      <x:c r="EQF64" s="293"/>
      <x:c r="EQG64" s="293"/>
      <x:c r="EQH64" s="293"/>
      <x:c r="EQI64" s="293"/>
      <x:c r="EQJ64" s="293"/>
      <x:c r="EQK64" s="293"/>
      <x:c r="EQL64" s="293"/>
      <x:c r="EQM64" s="293"/>
      <x:c r="EQN64" s="293"/>
      <x:c r="EQO64" s="293"/>
      <x:c r="EQP64" s="293"/>
      <x:c r="EQQ64" s="293"/>
      <x:c r="EQR64" s="293"/>
      <x:c r="EQS64" s="293"/>
      <x:c r="EQT64" s="293"/>
      <x:c r="EQU64" s="293"/>
      <x:c r="EQV64" s="293"/>
      <x:c r="EQW64" s="293"/>
      <x:c r="EQX64" s="293"/>
      <x:c r="EQY64" s="293"/>
      <x:c r="EQZ64" s="293"/>
      <x:c r="ERA64" s="293"/>
      <x:c r="ERB64" s="293"/>
      <x:c r="ERC64" s="293"/>
      <x:c r="ERD64" s="293"/>
      <x:c r="ERE64" s="293"/>
      <x:c r="ERF64" s="293"/>
      <x:c r="ERG64" s="293"/>
      <x:c r="ERH64" s="293"/>
      <x:c r="ERI64" s="293"/>
      <x:c r="ERJ64" s="293"/>
      <x:c r="ERK64" s="293"/>
      <x:c r="ERL64" s="293"/>
      <x:c r="ERM64" s="293"/>
      <x:c r="ERN64" s="293"/>
      <x:c r="ERO64" s="293"/>
      <x:c r="ERP64" s="293"/>
      <x:c r="ERQ64" s="293"/>
      <x:c r="ERR64" s="293"/>
      <x:c r="ERS64" s="293"/>
      <x:c r="ERT64" s="293"/>
      <x:c r="ERU64" s="293"/>
      <x:c r="ERV64" s="293"/>
      <x:c r="ERW64" s="293"/>
      <x:c r="ERX64" s="293"/>
      <x:c r="ERY64" s="293"/>
      <x:c r="ERZ64" s="293"/>
      <x:c r="ESA64" s="293"/>
      <x:c r="ESB64" s="293"/>
      <x:c r="ESC64" s="293"/>
      <x:c r="ESD64" s="293"/>
      <x:c r="ESE64" s="293"/>
      <x:c r="ESF64" s="293"/>
      <x:c r="ESG64" s="293"/>
      <x:c r="ESH64" s="293"/>
      <x:c r="ESI64" s="293"/>
      <x:c r="ESJ64" s="293"/>
      <x:c r="ESK64" s="293"/>
      <x:c r="ESL64" s="293"/>
      <x:c r="ESM64" s="293"/>
      <x:c r="ESN64" s="293"/>
      <x:c r="ESO64" s="293"/>
      <x:c r="ESP64" s="293"/>
      <x:c r="ESQ64" s="293"/>
      <x:c r="ESR64" s="293"/>
      <x:c r="ESS64" s="293"/>
      <x:c r="EST64" s="293"/>
      <x:c r="ESU64" s="293"/>
      <x:c r="ESV64" s="293"/>
      <x:c r="ESW64" s="293"/>
      <x:c r="ESX64" s="293"/>
      <x:c r="ESY64" s="293"/>
      <x:c r="ESZ64" s="293"/>
      <x:c r="ETA64" s="293"/>
      <x:c r="ETB64" s="293"/>
      <x:c r="ETC64" s="293"/>
      <x:c r="ETD64" s="293"/>
      <x:c r="ETE64" s="293"/>
      <x:c r="ETF64" s="293"/>
      <x:c r="ETG64" s="293"/>
      <x:c r="ETH64" s="293"/>
      <x:c r="ETI64" s="293"/>
      <x:c r="ETJ64" s="293"/>
      <x:c r="ETK64" s="293"/>
      <x:c r="ETL64" s="293"/>
      <x:c r="ETM64" s="293"/>
      <x:c r="ETN64" s="293"/>
      <x:c r="ETO64" s="293"/>
      <x:c r="ETP64" s="293"/>
      <x:c r="ETQ64" s="293"/>
      <x:c r="ETR64" s="293"/>
      <x:c r="ETS64" s="293"/>
      <x:c r="ETT64" s="293"/>
      <x:c r="ETU64" s="293"/>
      <x:c r="ETV64" s="293"/>
      <x:c r="ETW64" s="293"/>
      <x:c r="ETX64" s="293"/>
      <x:c r="ETY64" s="293"/>
      <x:c r="ETZ64" s="293"/>
      <x:c r="EUA64" s="293"/>
      <x:c r="EUB64" s="293"/>
      <x:c r="EUC64" s="293"/>
      <x:c r="EUD64" s="293"/>
      <x:c r="EUE64" s="293"/>
      <x:c r="EUF64" s="293"/>
      <x:c r="EUG64" s="293"/>
      <x:c r="EUH64" s="293"/>
      <x:c r="EUI64" s="293"/>
      <x:c r="EUJ64" s="293"/>
      <x:c r="EUK64" s="293"/>
      <x:c r="EUL64" s="293"/>
      <x:c r="EUM64" s="293"/>
      <x:c r="EUN64" s="293"/>
      <x:c r="EUO64" s="293"/>
      <x:c r="EUP64" s="293"/>
      <x:c r="EUQ64" s="293"/>
      <x:c r="EUR64" s="293"/>
      <x:c r="EUS64" s="293"/>
      <x:c r="EUT64" s="293"/>
      <x:c r="EUU64" s="293"/>
      <x:c r="EUV64" s="293"/>
      <x:c r="EUW64" s="293"/>
      <x:c r="EUX64" s="293"/>
      <x:c r="EUY64" s="293"/>
      <x:c r="EUZ64" s="293"/>
      <x:c r="EVA64" s="293"/>
      <x:c r="EVB64" s="293"/>
      <x:c r="EVC64" s="293"/>
      <x:c r="EVD64" s="293"/>
      <x:c r="EVE64" s="293"/>
      <x:c r="EVF64" s="293"/>
      <x:c r="EVG64" s="293"/>
      <x:c r="EVH64" s="293"/>
      <x:c r="EVI64" s="293"/>
      <x:c r="EVJ64" s="293"/>
      <x:c r="EVK64" s="293"/>
      <x:c r="EVL64" s="293"/>
      <x:c r="EVM64" s="293"/>
      <x:c r="EVN64" s="293"/>
      <x:c r="EVO64" s="293"/>
      <x:c r="EVP64" s="293"/>
      <x:c r="EVQ64" s="293"/>
      <x:c r="EVR64" s="293"/>
      <x:c r="EVS64" s="293"/>
      <x:c r="EVT64" s="293"/>
      <x:c r="EVU64" s="293"/>
      <x:c r="EVV64" s="293"/>
      <x:c r="EVW64" s="293"/>
      <x:c r="EVX64" s="293"/>
      <x:c r="EVY64" s="293"/>
      <x:c r="EVZ64" s="293"/>
      <x:c r="EWA64" s="293"/>
      <x:c r="EWB64" s="293"/>
      <x:c r="EWC64" s="293"/>
      <x:c r="EWD64" s="293"/>
      <x:c r="EWE64" s="293"/>
      <x:c r="EWF64" s="293"/>
      <x:c r="EWG64" s="293"/>
      <x:c r="EWH64" s="293"/>
      <x:c r="EWI64" s="293"/>
      <x:c r="EWJ64" s="293"/>
      <x:c r="EWK64" s="293"/>
      <x:c r="EWL64" s="293"/>
      <x:c r="EWM64" s="293"/>
      <x:c r="EWN64" s="293"/>
      <x:c r="EWO64" s="293"/>
      <x:c r="EWP64" s="293"/>
      <x:c r="EWQ64" s="293"/>
      <x:c r="EWR64" s="293"/>
      <x:c r="EWS64" s="293"/>
      <x:c r="EWT64" s="293"/>
      <x:c r="EWU64" s="293"/>
      <x:c r="EWV64" s="293"/>
      <x:c r="EWW64" s="293"/>
      <x:c r="EWX64" s="293"/>
      <x:c r="EWY64" s="293"/>
      <x:c r="EWZ64" s="293"/>
      <x:c r="EXA64" s="293"/>
      <x:c r="EXB64" s="293"/>
      <x:c r="EXC64" s="293"/>
      <x:c r="EXD64" s="293"/>
      <x:c r="EXE64" s="293"/>
      <x:c r="EXF64" s="293"/>
      <x:c r="EXG64" s="293"/>
      <x:c r="EXH64" s="293"/>
      <x:c r="EXI64" s="293"/>
      <x:c r="EXJ64" s="293"/>
      <x:c r="EXK64" s="293"/>
      <x:c r="EXL64" s="293"/>
      <x:c r="EXM64" s="293"/>
      <x:c r="EXN64" s="293"/>
      <x:c r="EXO64" s="293"/>
      <x:c r="EXP64" s="293"/>
      <x:c r="EXQ64" s="293"/>
      <x:c r="EXR64" s="293"/>
      <x:c r="EXS64" s="293"/>
      <x:c r="EXT64" s="293"/>
      <x:c r="EXU64" s="293"/>
      <x:c r="EXV64" s="293"/>
      <x:c r="EXW64" s="293"/>
      <x:c r="EXX64" s="293"/>
      <x:c r="EXY64" s="293"/>
      <x:c r="EXZ64" s="293"/>
      <x:c r="EYA64" s="293"/>
      <x:c r="EYB64" s="293"/>
      <x:c r="EYC64" s="293"/>
      <x:c r="EYD64" s="293"/>
      <x:c r="EYE64" s="293"/>
      <x:c r="EYF64" s="293"/>
      <x:c r="EYG64" s="293"/>
      <x:c r="EYH64" s="293"/>
      <x:c r="EYI64" s="293"/>
      <x:c r="EYJ64" s="293"/>
      <x:c r="EYK64" s="293"/>
      <x:c r="EYL64" s="293"/>
      <x:c r="EYM64" s="293"/>
      <x:c r="EYN64" s="293"/>
      <x:c r="EYO64" s="293"/>
      <x:c r="EYP64" s="293"/>
      <x:c r="EYQ64" s="293"/>
      <x:c r="EYR64" s="293"/>
      <x:c r="EYS64" s="293"/>
      <x:c r="EYT64" s="293"/>
      <x:c r="EYU64" s="293"/>
      <x:c r="EYV64" s="293"/>
      <x:c r="EYW64" s="293"/>
      <x:c r="EYX64" s="293"/>
      <x:c r="EYY64" s="293"/>
      <x:c r="EYZ64" s="293"/>
      <x:c r="EZA64" s="293"/>
      <x:c r="EZB64" s="293"/>
      <x:c r="EZC64" s="293"/>
      <x:c r="EZD64" s="293"/>
      <x:c r="EZE64" s="293"/>
      <x:c r="EZF64" s="293"/>
      <x:c r="EZG64" s="293"/>
      <x:c r="EZH64" s="293"/>
      <x:c r="EZI64" s="293"/>
      <x:c r="EZJ64" s="293"/>
      <x:c r="EZK64" s="293"/>
      <x:c r="EZL64" s="293"/>
      <x:c r="EZM64" s="293"/>
      <x:c r="EZN64" s="293"/>
      <x:c r="EZO64" s="293"/>
      <x:c r="EZP64" s="293"/>
      <x:c r="EZQ64" s="293"/>
      <x:c r="EZR64" s="293"/>
      <x:c r="EZS64" s="293"/>
      <x:c r="EZT64" s="293"/>
      <x:c r="EZU64" s="293"/>
      <x:c r="EZV64" s="293"/>
      <x:c r="EZW64" s="293"/>
      <x:c r="EZX64" s="293"/>
      <x:c r="EZY64" s="293"/>
      <x:c r="EZZ64" s="293"/>
      <x:c r="FAA64" s="293"/>
      <x:c r="FAB64" s="293"/>
      <x:c r="FAC64" s="293"/>
      <x:c r="FAD64" s="293"/>
      <x:c r="FAE64" s="293"/>
      <x:c r="FAF64" s="293"/>
      <x:c r="FAG64" s="293"/>
      <x:c r="FAH64" s="293"/>
      <x:c r="FAI64" s="293"/>
      <x:c r="FAJ64" s="293"/>
      <x:c r="FAK64" s="293"/>
      <x:c r="FAL64" s="293"/>
      <x:c r="FAM64" s="293"/>
      <x:c r="FAN64" s="293"/>
      <x:c r="FAO64" s="293"/>
      <x:c r="FAP64" s="293"/>
      <x:c r="FAQ64" s="293"/>
      <x:c r="FAR64" s="293"/>
      <x:c r="FAS64" s="293"/>
      <x:c r="FAT64" s="293"/>
      <x:c r="FAU64" s="293"/>
      <x:c r="FAV64" s="293"/>
      <x:c r="FAW64" s="293"/>
      <x:c r="FAX64" s="293"/>
      <x:c r="FAY64" s="293"/>
      <x:c r="FAZ64" s="293"/>
      <x:c r="FBA64" s="293"/>
      <x:c r="FBB64" s="293"/>
      <x:c r="FBC64" s="293"/>
      <x:c r="FBD64" s="293"/>
      <x:c r="FBE64" s="293"/>
      <x:c r="FBF64" s="293"/>
      <x:c r="FBG64" s="293"/>
      <x:c r="FBH64" s="293"/>
      <x:c r="FBI64" s="293"/>
      <x:c r="FBJ64" s="293"/>
      <x:c r="FBK64" s="293"/>
      <x:c r="FBL64" s="293"/>
      <x:c r="FBM64" s="293"/>
      <x:c r="FBN64" s="293"/>
      <x:c r="FBO64" s="293"/>
      <x:c r="FBP64" s="293"/>
      <x:c r="FBQ64" s="293"/>
      <x:c r="FBR64" s="293"/>
      <x:c r="FBS64" s="293"/>
      <x:c r="FBT64" s="293"/>
      <x:c r="FBU64" s="293"/>
      <x:c r="FBV64" s="293"/>
      <x:c r="FBW64" s="293"/>
      <x:c r="FBX64" s="293"/>
      <x:c r="FBY64" s="293"/>
      <x:c r="FBZ64" s="293"/>
      <x:c r="FCA64" s="293"/>
      <x:c r="FCB64" s="293"/>
      <x:c r="FCC64" s="293"/>
      <x:c r="FCD64" s="293"/>
      <x:c r="FCE64" s="293"/>
      <x:c r="FCF64" s="293"/>
      <x:c r="FCG64" s="293"/>
      <x:c r="FCH64" s="293"/>
      <x:c r="FCI64" s="293"/>
      <x:c r="FCJ64" s="293"/>
      <x:c r="FCK64" s="293"/>
      <x:c r="FCL64" s="293"/>
      <x:c r="FCM64" s="293"/>
      <x:c r="FCN64" s="293"/>
      <x:c r="FCO64" s="293"/>
      <x:c r="FCP64" s="293"/>
      <x:c r="FCQ64" s="293"/>
      <x:c r="FCR64" s="293"/>
      <x:c r="FCS64" s="293"/>
      <x:c r="FCT64" s="293"/>
      <x:c r="FCU64" s="293"/>
      <x:c r="FCV64" s="293"/>
      <x:c r="FCW64" s="293"/>
      <x:c r="FCX64" s="293"/>
      <x:c r="FCY64" s="293"/>
      <x:c r="FCZ64" s="293"/>
      <x:c r="FDA64" s="293"/>
      <x:c r="FDB64" s="293"/>
      <x:c r="FDC64" s="293"/>
      <x:c r="FDD64" s="293"/>
      <x:c r="FDE64" s="293"/>
      <x:c r="FDF64" s="293"/>
      <x:c r="FDG64" s="293"/>
      <x:c r="FDH64" s="293"/>
      <x:c r="FDI64" s="293"/>
      <x:c r="FDJ64" s="293"/>
      <x:c r="FDK64" s="293"/>
      <x:c r="FDL64" s="293"/>
      <x:c r="FDM64" s="293"/>
      <x:c r="FDN64" s="293"/>
      <x:c r="FDO64" s="293"/>
      <x:c r="FDP64" s="293"/>
      <x:c r="FDQ64" s="293"/>
      <x:c r="FDR64" s="293"/>
      <x:c r="FDS64" s="293"/>
      <x:c r="FDT64" s="293"/>
      <x:c r="FDU64" s="293"/>
      <x:c r="FDV64" s="293"/>
      <x:c r="FDW64" s="293"/>
      <x:c r="FDX64" s="293"/>
      <x:c r="FDY64" s="293"/>
      <x:c r="FDZ64" s="293"/>
      <x:c r="FEA64" s="293"/>
      <x:c r="FEB64" s="293"/>
      <x:c r="FEC64" s="293"/>
      <x:c r="FED64" s="293"/>
      <x:c r="FEE64" s="293"/>
      <x:c r="FEF64" s="293"/>
      <x:c r="FEG64" s="293"/>
      <x:c r="FEH64" s="293"/>
      <x:c r="FEI64" s="293"/>
      <x:c r="FEJ64" s="293"/>
      <x:c r="FEK64" s="293"/>
      <x:c r="FEL64" s="293"/>
      <x:c r="FEM64" s="293"/>
      <x:c r="FEN64" s="293"/>
      <x:c r="FEO64" s="293"/>
      <x:c r="FEP64" s="293"/>
      <x:c r="FEQ64" s="293"/>
      <x:c r="FER64" s="293"/>
      <x:c r="FES64" s="293"/>
      <x:c r="FET64" s="293"/>
      <x:c r="FEU64" s="293"/>
      <x:c r="FEV64" s="293"/>
      <x:c r="FEW64" s="293"/>
      <x:c r="FEX64" s="293"/>
      <x:c r="FEY64" s="293"/>
      <x:c r="FEZ64" s="293"/>
      <x:c r="FFA64" s="293"/>
      <x:c r="FFB64" s="293"/>
      <x:c r="FFC64" s="293"/>
      <x:c r="FFD64" s="293"/>
      <x:c r="FFE64" s="293"/>
      <x:c r="FFF64" s="293"/>
      <x:c r="FFG64" s="293"/>
      <x:c r="FFH64" s="293"/>
      <x:c r="FFI64" s="293"/>
      <x:c r="FFJ64" s="293"/>
      <x:c r="FFK64" s="293"/>
      <x:c r="FFL64" s="293"/>
      <x:c r="FFM64" s="293"/>
      <x:c r="FFN64" s="293"/>
      <x:c r="FFO64" s="293"/>
      <x:c r="FFP64" s="293"/>
      <x:c r="FFQ64" s="293"/>
      <x:c r="FFR64" s="293"/>
      <x:c r="FFS64" s="293"/>
      <x:c r="FFT64" s="293"/>
      <x:c r="FFU64" s="293"/>
      <x:c r="FFV64" s="293"/>
      <x:c r="FFW64" s="293"/>
      <x:c r="FFX64" s="293"/>
      <x:c r="FFY64" s="293"/>
      <x:c r="FFZ64" s="293"/>
      <x:c r="FGA64" s="293"/>
      <x:c r="FGB64" s="293"/>
      <x:c r="FGC64" s="293"/>
      <x:c r="FGD64" s="293"/>
      <x:c r="FGE64" s="293"/>
      <x:c r="FGF64" s="293"/>
      <x:c r="FGG64" s="293"/>
      <x:c r="FGH64" s="293"/>
      <x:c r="FGI64" s="293"/>
      <x:c r="FGJ64" s="293"/>
      <x:c r="FGK64" s="293"/>
      <x:c r="FGL64" s="293"/>
      <x:c r="FGM64" s="293"/>
      <x:c r="FGN64" s="293"/>
      <x:c r="FGO64" s="293"/>
      <x:c r="FGP64" s="293"/>
      <x:c r="FGQ64" s="293"/>
      <x:c r="FGR64" s="293"/>
      <x:c r="FGS64" s="293"/>
      <x:c r="FGT64" s="293"/>
      <x:c r="FGU64" s="293"/>
      <x:c r="FGV64" s="293"/>
      <x:c r="FGW64" s="293"/>
      <x:c r="FGX64" s="293"/>
      <x:c r="FGY64" s="293"/>
      <x:c r="FGZ64" s="293"/>
      <x:c r="FHA64" s="293"/>
      <x:c r="FHB64" s="293"/>
      <x:c r="FHC64" s="293"/>
      <x:c r="FHD64" s="293"/>
      <x:c r="FHE64" s="293"/>
      <x:c r="FHF64" s="293"/>
      <x:c r="FHG64" s="293"/>
      <x:c r="FHH64" s="293"/>
      <x:c r="FHI64" s="293"/>
      <x:c r="FHJ64" s="293"/>
      <x:c r="FHK64" s="293"/>
      <x:c r="FHL64" s="293"/>
      <x:c r="FHM64" s="293"/>
      <x:c r="FHN64" s="293"/>
      <x:c r="FHO64" s="293"/>
      <x:c r="FHP64" s="293"/>
      <x:c r="FHQ64" s="293"/>
      <x:c r="FHR64" s="293"/>
      <x:c r="FHS64" s="293"/>
      <x:c r="FHT64" s="293"/>
      <x:c r="FHU64" s="293"/>
      <x:c r="FHV64" s="293"/>
      <x:c r="FHW64" s="293"/>
      <x:c r="FHX64" s="293"/>
      <x:c r="FHY64" s="293"/>
      <x:c r="FHZ64" s="293"/>
      <x:c r="FIA64" s="293"/>
      <x:c r="FIB64" s="293"/>
      <x:c r="FIC64" s="293"/>
      <x:c r="FID64" s="293"/>
      <x:c r="FIE64" s="293"/>
      <x:c r="FIF64" s="293"/>
      <x:c r="FIG64" s="293"/>
      <x:c r="FIH64" s="293"/>
      <x:c r="FII64" s="293"/>
      <x:c r="FIJ64" s="293"/>
      <x:c r="FIK64" s="293"/>
      <x:c r="FIL64" s="293"/>
      <x:c r="FIM64" s="293"/>
      <x:c r="FIN64" s="293"/>
      <x:c r="FIO64" s="293"/>
      <x:c r="FIP64" s="293"/>
      <x:c r="FIQ64" s="293"/>
      <x:c r="FIR64" s="293"/>
      <x:c r="FIS64" s="293"/>
      <x:c r="FIT64" s="293"/>
      <x:c r="FIU64" s="293"/>
      <x:c r="FIV64" s="293"/>
      <x:c r="FIW64" s="293"/>
      <x:c r="FIX64" s="293"/>
      <x:c r="FIY64" s="293"/>
      <x:c r="FIZ64" s="293"/>
      <x:c r="FJA64" s="293"/>
      <x:c r="FJB64" s="293"/>
      <x:c r="FJC64" s="293"/>
      <x:c r="FJD64" s="293"/>
      <x:c r="FJE64" s="293"/>
      <x:c r="FJF64" s="293"/>
      <x:c r="FJG64" s="293"/>
      <x:c r="FJH64" s="293"/>
      <x:c r="FJI64" s="293"/>
      <x:c r="FJJ64" s="293"/>
      <x:c r="FJK64" s="293"/>
      <x:c r="FJL64" s="293"/>
      <x:c r="FJM64" s="293"/>
      <x:c r="FJN64" s="293"/>
      <x:c r="FJO64" s="293"/>
      <x:c r="FJP64" s="293"/>
      <x:c r="FJQ64" s="293"/>
      <x:c r="FJR64" s="293"/>
      <x:c r="FJS64" s="293"/>
      <x:c r="FJT64" s="293"/>
      <x:c r="FJU64" s="293"/>
      <x:c r="FJV64" s="293"/>
      <x:c r="FJW64" s="293"/>
      <x:c r="FJX64" s="293"/>
      <x:c r="FJY64" s="293"/>
      <x:c r="FJZ64" s="293"/>
      <x:c r="FKA64" s="293"/>
      <x:c r="FKB64" s="293"/>
      <x:c r="FKC64" s="293"/>
      <x:c r="FKD64" s="293"/>
      <x:c r="FKE64" s="293"/>
      <x:c r="FKF64" s="293"/>
      <x:c r="FKG64" s="293"/>
      <x:c r="FKH64" s="293"/>
      <x:c r="FKI64" s="293"/>
      <x:c r="FKJ64" s="293"/>
      <x:c r="FKK64" s="293"/>
      <x:c r="FKL64" s="293"/>
      <x:c r="FKM64" s="293"/>
      <x:c r="FKN64" s="293"/>
      <x:c r="FKO64" s="293"/>
      <x:c r="FKP64" s="293"/>
      <x:c r="FKQ64" s="293"/>
      <x:c r="FKR64" s="293"/>
      <x:c r="FKS64" s="293"/>
      <x:c r="FKT64" s="293"/>
      <x:c r="FKU64" s="293"/>
      <x:c r="FKV64" s="293"/>
      <x:c r="FKW64" s="293"/>
      <x:c r="FKX64" s="293"/>
      <x:c r="FKY64" s="293"/>
      <x:c r="FKZ64" s="293"/>
      <x:c r="FLA64" s="293"/>
      <x:c r="FLB64" s="293"/>
      <x:c r="FLC64" s="293"/>
      <x:c r="FLD64" s="293"/>
      <x:c r="FLE64" s="293"/>
      <x:c r="FLF64" s="293"/>
      <x:c r="FLG64" s="293"/>
      <x:c r="FLH64" s="293"/>
      <x:c r="FLI64" s="293"/>
      <x:c r="FLJ64" s="293"/>
      <x:c r="FLK64" s="293"/>
      <x:c r="FLL64" s="293"/>
      <x:c r="FLM64" s="293"/>
      <x:c r="FLN64" s="293"/>
      <x:c r="FLO64" s="293"/>
      <x:c r="FLP64" s="293"/>
      <x:c r="FLQ64" s="293"/>
      <x:c r="FLR64" s="293"/>
      <x:c r="FLS64" s="293"/>
      <x:c r="FLT64" s="293"/>
      <x:c r="FLU64" s="293"/>
      <x:c r="FLV64" s="293"/>
      <x:c r="FLW64" s="293"/>
      <x:c r="FLX64" s="293"/>
      <x:c r="FLY64" s="293"/>
      <x:c r="FLZ64" s="293"/>
      <x:c r="FMA64" s="293"/>
      <x:c r="FMB64" s="293"/>
      <x:c r="FMC64" s="293"/>
      <x:c r="FMD64" s="293"/>
      <x:c r="FME64" s="293"/>
      <x:c r="FMF64" s="293"/>
      <x:c r="FMG64" s="293"/>
      <x:c r="FMH64" s="293"/>
      <x:c r="FMI64" s="293"/>
      <x:c r="FMJ64" s="293"/>
      <x:c r="FMK64" s="293"/>
      <x:c r="FML64" s="293"/>
      <x:c r="FMM64" s="293"/>
      <x:c r="FMN64" s="293"/>
      <x:c r="FMO64" s="293"/>
      <x:c r="FMP64" s="293"/>
      <x:c r="FMQ64" s="293"/>
      <x:c r="FMR64" s="293"/>
      <x:c r="FMS64" s="293"/>
      <x:c r="FMT64" s="293"/>
      <x:c r="FMU64" s="293"/>
      <x:c r="FMV64" s="293"/>
      <x:c r="FMW64" s="293"/>
      <x:c r="FMX64" s="293"/>
      <x:c r="FMY64" s="293"/>
      <x:c r="FMZ64" s="293"/>
      <x:c r="FNA64" s="293"/>
      <x:c r="FNB64" s="293"/>
      <x:c r="FNC64" s="293"/>
      <x:c r="FND64" s="293"/>
      <x:c r="FNE64" s="293"/>
      <x:c r="FNF64" s="293"/>
      <x:c r="FNG64" s="293"/>
      <x:c r="FNH64" s="293"/>
      <x:c r="FNI64" s="293"/>
      <x:c r="FNJ64" s="293"/>
      <x:c r="FNK64" s="293"/>
      <x:c r="FNL64" s="293"/>
      <x:c r="FNM64" s="293"/>
      <x:c r="FNN64" s="293"/>
      <x:c r="FNO64" s="293"/>
      <x:c r="FNP64" s="293"/>
      <x:c r="FNQ64" s="293"/>
      <x:c r="FNR64" s="293"/>
      <x:c r="FNS64" s="293"/>
      <x:c r="FNT64" s="293"/>
      <x:c r="FNU64" s="293"/>
      <x:c r="FNV64" s="293"/>
      <x:c r="FNW64" s="293"/>
      <x:c r="FNX64" s="293"/>
      <x:c r="FNY64" s="293"/>
      <x:c r="FNZ64" s="293"/>
      <x:c r="FOA64" s="293"/>
      <x:c r="FOB64" s="293"/>
      <x:c r="FOC64" s="293"/>
      <x:c r="FOD64" s="293"/>
      <x:c r="FOE64" s="293"/>
      <x:c r="FOF64" s="293"/>
      <x:c r="FOG64" s="293"/>
      <x:c r="FOH64" s="293"/>
      <x:c r="FOI64" s="293"/>
      <x:c r="FOJ64" s="293"/>
      <x:c r="FOK64" s="293"/>
      <x:c r="FOL64" s="293"/>
      <x:c r="FOM64" s="293"/>
      <x:c r="FON64" s="293"/>
      <x:c r="FOO64" s="293"/>
      <x:c r="FOP64" s="293"/>
      <x:c r="FOQ64" s="293"/>
      <x:c r="FOR64" s="293"/>
      <x:c r="FOS64" s="293"/>
      <x:c r="FOT64" s="293"/>
      <x:c r="FOU64" s="293"/>
      <x:c r="FOV64" s="293"/>
      <x:c r="FOW64" s="293"/>
      <x:c r="FOX64" s="293"/>
      <x:c r="FOY64" s="293"/>
      <x:c r="FOZ64" s="293"/>
      <x:c r="FPA64" s="293"/>
      <x:c r="FPB64" s="293"/>
      <x:c r="FPC64" s="293"/>
      <x:c r="FPD64" s="293"/>
      <x:c r="FPE64" s="293"/>
      <x:c r="FPF64" s="293"/>
      <x:c r="FPG64" s="293"/>
      <x:c r="FPH64" s="293"/>
      <x:c r="FPI64" s="293"/>
      <x:c r="FPJ64" s="293"/>
      <x:c r="FPK64" s="293"/>
      <x:c r="FPL64" s="293"/>
      <x:c r="FPM64" s="293"/>
      <x:c r="FPN64" s="293"/>
      <x:c r="FPO64" s="293"/>
      <x:c r="FPP64" s="293"/>
      <x:c r="FPQ64" s="293"/>
      <x:c r="FPR64" s="293"/>
      <x:c r="FPS64" s="293"/>
      <x:c r="FPT64" s="293"/>
      <x:c r="FPU64" s="293"/>
      <x:c r="FPV64" s="293"/>
      <x:c r="FPW64" s="293"/>
      <x:c r="FPX64" s="293"/>
      <x:c r="FPY64" s="293"/>
      <x:c r="FPZ64" s="293"/>
      <x:c r="FQA64" s="293"/>
      <x:c r="FQB64" s="293"/>
      <x:c r="FQC64" s="293"/>
      <x:c r="FQD64" s="293"/>
      <x:c r="FQE64" s="293"/>
      <x:c r="FQF64" s="293"/>
      <x:c r="FQG64" s="293"/>
      <x:c r="FQH64" s="293"/>
      <x:c r="FQI64" s="293"/>
      <x:c r="FQJ64" s="293"/>
      <x:c r="FQK64" s="293"/>
      <x:c r="FQL64" s="293"/>
      <x:c r="FQM64" s="293"/>
      <x:c r="FQN64" s="293"/>
      <x:c r="FQO64" s="293"/>
      <x:c r="FQP64" s="293"/>
      <x:c r="FQQ64" s="293"/>
      <x:c r="FQR64" s="293"/>
      <x:c r="FQS64" s="293"/>
      <x:c r="FQT64" s="293"/>
      <x:c r="FQU64" s="293"/>
      <x:c r="FQV64" s="293"/>
      <x:c r="FQW64" s="293"/>
      <x:c r="FQX64" s="293"/>
      <x:c r="FQY64" s="293"/>
      <x:c r="FQZ64" s="293"/>
      <x:c r="FRA64" s="293"/>
      <x:c r="FRB64" s="293"/>
      <x:c r="FRC64" s="293"/>
      <x:c r="FRD64" s="293"/>
      <x:c r="FRE64" s="293"/>
      <x:c r="FRF64" s="293"/>
      <x:c r="FRG64" s="293"/>
      <x:c r="FRH64" s="293"/>
      <x:c r="FRI64" s="293"/>
      <x:c r="FRJ64" s="293"/>
      <x:c r="FRK64" s="293"/>
      <x:c r="FRL64" s="293"/>
      <x:c r="FRM64" s="293"/>
      <x:c r="FRN64" s="293"/>
      <x:c r="FRO64" s="293"/>
      <x:c r="FRP64" s="293"/>
      <x:c r="FRQ64" s="293"/>
      <x:c r="FRR64" s="293"/>
      <x:c r="FRS64" s="293"/>
      <x:c r="FRT64" s="293"/>
      <x:c r="FRU64" s="293"/>
      <x:c r="FRV64" s="293"/>
      <x:c r="FRW64" s="293"/>
      <x:c r="FRX64" s="293"/>
      <x:c r="FRY64" s="293"/>
      <x:c r="FRZ64" s="293"/>
      <x:c r="FSA64" s="293"/>
      <x:c r="FSB64" s="293"/>
      <x:c r="FSC64" s="293"/>
      <x:c r="FSD64" s="293"/>
      <x:c r="FSE64" s="293"/>
      <x:c r="FSF64" s="293"/>
      <x:c r="FSG64" s="293"/>
      <x:c r="FSH64" s="293"/>
      <x:c r="FSI64" s="293"/>
      <x:c r="FSJ64" s="293"/>
      <x:c r="FSK64" s="293"/>
      <x:c r="FSL64" s="293"/>
      <x:c r="FSM64" s="293"/>
      <x:c r="FSN64" s="293"/>
      <x:c r="FSO64" s="293"/>
      <x:c r="FSP64" s="293"/>
      <x:c r="FSQ64" s="293"/>
      <x:c r="FSR64" s="293"/>
      <x:c r="FSS64" s="293"/>
      <x:c r="FST64" s="293"/>
      <x:c r="FSU64" s="293"/>
      <x:c r="FSV64" s="293"/>
      <x:c r="FSW64" s="293"/>
      <x:c r="FSX64" s="293"/>
      <x:c r="FSY64" s="293"/>
      <x:c r="FSZ64" s="293"/>
      <x:c r="FTA64" s="293"/>
      <x:c r="FTB64" s="293"/>
      <x:c r="FTC64" s="293"/>
      <x:c r="FTD64" s="293"/>
      <x:c r="FTE64" s="293"/>
      <x:c r="FTF64" s="293"/>
      <x:c r="FTG64" s="293"/>
      <x:c r="FTH64" s="293"/>
      <x:c r="FTI64" s="293"/>
      <x:c r="FTJ64" s="293"/>
      <x:c r="FTK64" s="293"/>
      <x:c r="FTL64" s="293"/>
      <x:c r="FTM64" s="293"/>
      <x:c r="FTN64" s="293"/>
      <x:c r="FTO64" s="293"/>
      <x:c r="FTP64" s="293"/>
      <x:c r="FTQ64" s="293"/>
      <x:c r="FTR64" s="293"/>
      <x:c r="FTS64" s="293"/>
      <x:c r="FTT64" s="293"/>
      <x:c r="FTU64" s="293"/>
      <x:c r="FTV64" s="293"/>
      <x:c r="FTW64" s="293"/>
      <x:c r="FTX64" s="293"/>
      <x:c r="FTY64" s="293"/>
      <x:c r="FTZ64" s="293"/>
      <x:c r="FUA64" s="293"/>
      <x:c r="FUB64" s="293"/>
      <x:c r="FUC64" s="293"/>
      <x:c r="FUD64" s="293"/>
      <x:c r="FUE64" s="293"/>
      <x:c r="FUF64" s="293"/>
      <x:c r="FUG64" s="293"/>
      <x:c r="FUH64" s="293"/>
      <x:c r="FUI64" s="293"/>
      <x:c r="FUJ64" s="293"/>
      <x:c r="FUK64" s="293"/>
      <x:c r="FUL64" s="293"/>
      <x:c r="FUM64" s="293"/>
      <x:c r="FUN64" s="293"/>
      <x:c r="FUO64" s="293"/>
      <x:c r="FUP64" s="293"/>
      <x:c r="FUQ64" s="293"/>
      <x:c r="FUR64" s="293"/>
      <x:c r="FUS64" s="293"/>
      <x:c r="FUT64" s="293"/>
      <x:c r="FUU64" s="293"/>
      <x:c r="FUV64" s="293"/>
      <x:c r="FUW64" s="293"/>
      <x:c r="FUX64" s="293"/>
      <x:c r="FUY64" s="293"/>
      <x:c r="FUZ64" s="293"/>
      <x:c r="FVA64" s="293"/>
      <x:c r="FVB64" s="293"/>
      <x:c r="FVC64" s="293"/>
      <x:c r="FVD64" s="293"/>
      <x:c r="FVE64" s="293"/>
      <x:c r="FVF64" s="293"/>
      <x:c r="FVG64" s="293"/>
      <x:c r="FVH64" s="293"/>
      <x:c r="FVI64" s="293"/>
      <x:c r="FVJ64" s="293"/>
      <x:c r="FVK64" s="293"/>
      <x:c r="FVL64" s="293"/>
      <x:c r="FVM64" s="293"/>
      <x:c r="FVN64" s="293"/>
      <x:c r="FVO64" s="293"/>
      <x:c r="FVP64" s="293"/>
      <x:c r="FVQ64" s="293"/>
      <x:c r="FVR64" s="293"/>
      <x:c r="FVS64" s="293"/>
      <x:c r="FVT64" s="293"/>
      <x:c r="FVU64" s="293"/>
      <x:c r="FVV64" s="293"/>
      <x:c r="FVW64" s="293"/>
      <x:c r="FVX64" s="293"/>
      <x:c r="FVY64" s="293"/>
      <x:c r="FVZ64" s="293"/>
      <x:c r="FWA64" s="293"/>
      <x:c r="FWB64" s="293"/>
      <x:c r="FWC64" s="293"/>
      <x:c r="FWD64" s="293"/>
      <x:c r="FWE64" s="293"/>
      <x:c r="FWF64" s="293"/>
      <x:c r="FWG64" s="293"/>
      <x:c r="FWH64" s="293"/>
      <x:c r="FWI64" s="293"/>
      <x:c r="FWJ64" s="293"/>
      <x:c r="FWK64" s="293"/>
      <x:c r="FWL64" s="293"/>
      <x:c r="FWM64" s="293"/>
      <x:c r="FWN64" s="293"/>
      <x:c r="FWO64" s="293"/>
      <x:c r="FWP64" s="293"/>
      <x:c r="FWQ64" s="293"/>
      <x:c r="FWR64" s="293"/>
      <x:c r="FWS64" s="293"/>
      <x:c r="FWT64" s="293"/>
      <x:c r="FWU64" s="293"/>
      <x:c r="FWV64" s="293"/>
      <x:c r="FWW64" s="293"/>
      <x:c r="FWX64" s="293"/>
      <x:c r="FWY64" s="293"/>
      <x:c r="FWZ64" s="293"/>
      <x:c r="FXA64" s="293"/>
      <x:c r="FXB64" s="293"/>
      <x:c r="FXC64" s="293"/>
      <x:c r="FXD64" s="293"/>
      <x:c r="FXE64" s="293"/>
      <x:c r="FXF64" s="293"/>
      <x:c r="FXG64" s="293"/>
      <x:c r="FXH64" s="293"/>
      <x:c r="FXI64" s="293"/>
      <x:c r="FXJ64" s="293"/>
      <x:c r="FXK64" s="293"/>
      <x:c r="FXL64" s="293"/>
      <x:c r="FXM64" s="293"/>
      <x:c r="FXN64" s="293"/>
      <x:c r="FXO64" s="293"/>
      <x:c r="FXP64" s="293"/>
      <x:c r="FXQ64" s="293"/>
      <x:c r="FXR64" s="293"/>
      <x:c r="FXS64" s="293"/>
      <x:c r="FXT64" s="293"/>
      <x:c r="FXU64" s="293"/>
      <x:c r="FXV64" s="293"/>
      <x:c r="FXW64" s="293"/>
      <x:c r="FXX64" s="293"/>
      <x:c r="FXY64" s="293"/>
      <x:c r="FXZ64" s="293"/>
      <x:c r="FYA64" s="293"/>
      <x:c r="FYB64" s="293"/>
      <x:c r="FYC64" s="293"/>
      <x:c r="FYD64" s="293"/>
      <x:c r="FYE64" s="293"/>
      <x:c r="FYF64" s="293"/>
      <x:c r="FYG64" s="293"/>
      <x:c r="FYH64" s="293"/>
      <x:c r="FYI64" s="293"/>
      <x:c r="FYJ64" s="293"/>
      <x:c r="FYK64" s="293"/>
      <x:c r="FYL64" s="293"/>
      <x:c r="FYM64" s="293"/>
      <x:c r="FYN64" s="293"/>
      <x:c r="FYO64" s="293"/>
      <x:c r="FYP64" s="293"/>
      <x:c r="FYQ64" s="293"/>
      <x:c r="FYR64" s="293"/>
      <x:c r="FYS64" s="293"/>
      <x:c r="FYT64" s="293"/>
      <x:c r="FYU64" s="293"/>
      <x:c r="FYV64" s="293"/>
      <x:c r="FYW64" s="293"/>
      <x:c r="FYX64" s="293"/>
      <x:c r="FYY64" s="293"/>
      <x:c r="FYZ64" s="293"/>
      <x:c r="FZA64" s="293"/>
      <x:c r="FZB64" s="293"/>
      <x:c r="FZC64" s="293"/>
      <x:c r="FZD64" s="293"/>
      <x:c r="FZE64" s="293"/>
      <x:c r="FZF64" s="293"/>
      <x:c r="FZG64" s="293"/>
      <x:c r="FZH64" s="293"/>
      <x:c r="FZI64" s="293"/>
      <x:c r="FZJ64" s="293"/>
      <x:c r="FZK64" s="293"/>
      <x:c r="FZL64" s="293"/>
      <x:c r="FZM64" s="293"/>
      <x:c r="FZN64" s="293"/>
      <x:c r="FZO64" s="293"/>
      <x:c r="FZP64" s="293"/>
      <x:c r="FZQ64" s="293"/>
      <x:c r="FZR64" s="293"/>
      <x:c r="FZS64" s="293"/>
      <x:c r="FZT64" s="293"/>
      <x:c r="FZU64" s="293"/>
      <x:c r="FZV64" s="293"/>
      <x:c r="FZW64" s="293"/>
      <x:c r="FZX64" s="293"/>
      <x:c r="FZY64" s="293"/>
      <x:c r="FZZ64" s="293"/>
      <x:c r="GAA64" s="293"/>
      <x:c r="GAB64" s="293"/>
      <x:c r="GAC64" s="293"/>
      <x:c r="GAD64" s="293"/>
      <x:c r="GAE64" s="293"/>
      <x:c r="GAF64" s="293"/>
      <x:c r="GAG64" s="293"/>
      <x:c r="GAH64" s="293"/>
      <x:c r="GAI64" s="293"/>
      <x:c r="GAJ64" s="293"/>
      <x:c r="GAK64" s="293"/>
      <x:c r="GAL64" s="293"/>
      <x:c r="GAM64" s="293"/>
      <x:c r="GAN64" s="293"/>
      <x:c r="GAO64" s="293"/>
      <x:c r="GAP64" s="293"/>
      <x:c r="GAQ64" s="293"/>
      <x:c r="GAR64" s="293"/>
      <x:c r="GAS64" s="293"/>
      <x:c r="GAT64" s="293"/>
      <x:c r="GAU64" s="293"/>
      <x:c r="GAV64" s="293"/>
      <x:c r="GAW64" s="293"/>
      <x:c r="GAX64" s="293"/>
      <x:c r="GAY64" s="293"/>
      <x:c r="GAZ64" s="293"/>
      <x:c r="GBA64" s="293"/>
      <x:c r="GBB64" s="293"/>
      <x:c r="GBC64" s="293"/>
      <x:c r="GBD64" s="293"/>
      <x:c r="GBE64" s="293"/>
      <x:c r="GBF64" s="293"/>
      <x:c r="GBG64" s="293"/>
      <x:c r="GBH64" s="293"/>
      <x:c r="GBI64" s="293"/>
      <x:c r="GBJ64" s="293"/>
      <x:c r="GBK64" s="293"/>
      <x:c r="GBL64" s="293"/>
      <x:c r="GBM64" s="293"/>
      <x:c r="GBN64" s="293"/>
      <x:c r="GBO64" s="293"/>
      <x:c r="GBP64" s="293"/>
      <x:c r="GBQ64" s="293"/>
      <x:c r="GBR64" s="293"/>
      <x:c r="GBS64" s="293"/>
      <x:c r="GBT64" s="293"/>
      <x:c r="GBU64" s="293"/>
      <x:c r="GBV64" s="293"/>
      <x:c r="GBW64" s="293"/>
      <x:c r="GBX64" s="293"/>
      <x:c r="GBY64" s="293"/>
      <x:c r="GBZ64" s="293"/>
      <x:c r="GCA64" s="293"/>
      <x:c r="GCB64" s="293"/>
      <x:c r="GCC64" s="293"/>
      <x:c r="GCD64" s="293"/>
      <x:c r="GCE64" s="293"/>
      <x:c r="GCF64" s="293"/>
      <x:c r="GCG64" s="293"/>
      <x:c r="GCH64" s="293"/>
      <x:c r="GCI64" s="293"/>
      <x:c r="GCJ64" s="293"/>
      <x:c r="GCK64" s="293"/>
      <x:c r="GCL64" s="293"/>
      <x:c r="GCM64" s="293"/>
      <x:c r="GCN64" s="293"/>
      <x:c r="GCO64" s="293"/>
      <x:c r="GCP64" s="293"/>
      <x:c r="GCQ64" s="293"/>
      <x:c r="GCR64" s="293"/>
      <x:c r="GCS64" s="293"/>
      <x:c r="GCT64" s="293"/>
      <x:c r="GCU64" s="293"/>
      <x:c r="GCV64" s="293"/>
      <x:c r="GCW64" s="293"/>
      <x:c r="GCX64" s="293"/>
      <x:c r="GCY64" s="293"/>
      <x:c r="GCZ64" s="293"/>
      <x:c r="GDA64" s="293"/>
      <x:c r="GDB64" s="293"/>
      <x:c r="GDC64" s="293"/>
      <x:c r="GDD64" s="293"/>
      <x:c r="GDE64" s="293"/>
      <x:c r="GDF64" s="293"/>
      <x:c r="GDG64" s="293"/>
      <x:c r="GDH64" s="293"/>
      <x:c r="GDI64" s="293"/>
      <x:c r="GDJ64" s="293"/>
      <x:c r="GDK64" s="293"/>
      <x:c r="GDL64" s="293"/>
      <x:c r="GDM64" s="293"/>
      <x:c r="GDN64" s="293"/>
      <x:c r="GDO64" s="293"/>
      <x:c r="GDP64" s="293"/>
      <x:c r="GDQ64" s="293"/>
      <x:c r="GDR64" s="293"/>
      <x:c r="GDS64" s="293"/>
      <x:c r="GDT64" s="293"/>
      <x:c r="GDU64" s="293"/>
      <x:c r="GDV64" s="293"/>
      <x:c r="GDW64" s="293"/>
      <x:c r="GDX64" s="293"/>
      <x:c r="GDY64" s="293"/>
      <x:c r="GDZ64" s="293"/>
      <x:c r="GEA64" s="293"/>
      <x:c r="GEB64" s="293"/>
      <x:c r="GEC64" s="293"/>
      <x:c r="GED64" s="293"/>
      <x:c r="GEE64" s="293"/>
      <x:c r="GEF64" s="293"/>
      <x:c r="GEG64" s="293"/>
      <x:c r="GEH64" s="293"/>
      <x:c r="GEI64" s="293"/>
      <x:c r="GEJ64" s="293"/>
      <x:c r="GEK64" s="293"/>
      <x:c r="GEL64" s="293"/>
      <x:c r="GEM64" s="293"/>
      <x:c r="GEN64" s="293"/>
      <x:c r="GEO64" s="293"/>
      <x:c r="GEP64" s="293"/>
      <x:c r="GEQ64" s="293"/>
      <x:c r="GER64" s="293"/>
      <x:c r="GES64" s="293"/>
      <x:c r="GET64" s="293"/>
      <x:c r="GEU64" s="293"/>
      <x:c r="GEV64" s="293"/>
      <x:c r="GEW64" s="293"/>
      <x:c r="GEX64" s="293"/>
      <x:c r="GEY64" s="293"/>
      <x:c r="GEZ64" s="293"/>
      <x:c r="GFA64" s="293"/>
      <x:c r="GFB64" s="293"/>
      <x:c r="GFC64" s="293"/>
      <x:c r="GFD64" s="293"/>
      <x:c r="GFE64" s="293"/>
      <x:c r="GFF64" s="293"/>
      <x:c r="GFG64" s="293"/>
      <x:c r="GFH64" s="293"/>
      <x:c r="GFI64" s="293"/>
      <x:c r="GFJ64" s="293"/>
      <x:c r="GFK64" s="293"/>
      <x:c r="GFL64" s="293"/>
      <x:c r="GFM64" s="293"/>
      <x:c r="GFN64" s="293"/>
      <x:c r="GFO64" s="293"/>
      <x:c r="GFP64" s="293"/>
      <x:c r="GFQ64" s="293"/>
      <x:c r="GFR64" s="293"/>
      <x:c r="GFS64" s="293"/>
      <x:c r="GFT64" s="293"/>
      <x:c r="GFU64" s="293"/>
      <x:c r="GFV64" s="293"/>
      <x:c r="GFW64" s="293"/>
      <x:c r="GFX64" s="293"/>
      <x:c r="GFY64" s="293"/>
      <x:c r="GFZ64" s="293"/>
      <x:c r="GGA64" s="293"/>
      <x:c r="GGB64" s="293"/>
      <x:c r="GGC64" s="293"/>
      <x:c r="GGD64" s="293"/>
      <x:c r="GGE64" s="293"/>
      <x:c r="GGF64" s="293"/>
      <x:c r="GGG64" s="293"/>
      <x:c r="GGH64" s="293"/>
      <x:c r="GGI64" s="293"/>
      <x:c r="GGJ64" s="293"/>
      <x:c r="GGK64" s="293"/>
      <x:c r="GGL64" s="293"/>
      <x:c r="GGM64" s="293"/>
      <x:c r="GGN64" s="293"/>
      <x:c r="GGO64" s="293"/>
      <x:c r="GGP64" s="293"/>
      <x:c r="GGQ64" s="293"/>
      <x:c r="GGR64" s="293"/>
      <x:c r="GGS64" s="293"/>
      <x:c r="GGT64" s="293"/>
      <x:c r="GGU64" s="293"/>
      <x:c r="GGV64" s="293"/>
      <x:c r="GGW64" s="293"/>
      <x:c r="GGX64" s="293"/>
      <x:c r="GGY64" s="293"/>
      <x:c r="GGZ64" s="293"/>
      <x:c r="GHA64" s="293"/>
      <x:c r="GHB64" s="293"/>
      <x:c r="GHC64" s="293"/>
      <x:c r="GHD64" s="293"/>
      <x:c r="GHE64" s="293"/>
      <x:c r="GHF64" s="293"/>
      <x:c r="GHG64" s="293"/>
      <x:c r="GHH64" s="293"/>
      <x:c r="GHI64" s="293"/>
      <x:c r="GHJ64" s="293"/>
      <x:c r="GHK64" s="293"/>
      <x:c r="GHL64" s="293"/>
      <x:c r="GHM64" s="293"/>
      <x:c r="GHN64" s="293"/>
      <x:c r="GHO64" s="293"/>
      <x:c r="GHP64" s="293"/>
      <x:c r="GHQ64" s="293"/>
      <x:c r="GHR64" s="293"/>
      <x:c r="GHS64" s="293"/>
      <x:c r="GHT64" s="293"/>
      <x:c r="GHU64" s="293"/>
      <x:c r="GHV64" s="293"/>
      <x:c r="GHW64" s="293"/>
      <x:c r="GHX64" s="293"/>
      <x:c r="GHY64" s="293"/>
      <x:c r="GHZ64" s="293"/>
      <x:c r="GIA64" s="293"/>
      <x:c r="GIB64" s="293"/>
      <x:c r="GIC64" s="293"/>
      <x:c r="GID64" s="293"/>
      <x:c r="GIE64" s="293"/>
      <x:c r="GIF64" s="293"/>
      <x:c r="GIG64" s="293"/>
      <x:c r="GIH64" s="293"/>
      <x:c r="GII64" s="293"/>
      <x:c r="GIJ64" s="293"/>
      <x:c r="GIK64" s="293"/>
      <x:c r="GIL64" s="293"/>
      <x:c r="GIM64" s="293"/>
      <x:c r="GIN64" s="293"/>
      <x:c r="GIO64" s="293"/>
      <x:c r="GIP64" s="293"/>
      <x:c r="GIQ64" s="293"/>
      <x:c r="GIR64" s="293"/>
      <x:c r="GIS64" s="293"/>
      <x:c r="GIT64" s="293"/>
      <x:c r="GIU64" s="293"/>
      <x:c r="GIV64" s="293"/>
      <x:c r="GIW64" s="293"/>
      <x:c r="GIX64" s="293"/>
      <x:c r="GIY64" s="293"/>
      <x:c r="GIZ64" s="293"/>
      <x:c r="GJA64" s="293"/>
      <x:c r="GJB64" s="293"/>
      <x:c r="GJC64" s="293"/>
      <x:c r="GJD64" s="293"/>
      <x:c r="GJE64" s="293"/>
      <x:c r="GJF64" s="293"/>
      <x:c r="GJG64" s="293"/>
      <x:c r="GJH64" s="293"/>
      <x:c r="GJI64" s="293"/>
      <x:c r="GJJ64" s="293"/>
      <x:c r="GJK64" s="293"/>
      <x:c r="GJL64" s="293"/>
      <x:c r="GJM64" s="293"/>
      <x:c r="GJN64" s="293"/>
      <x:c r="GJO64" s="293"/>
      <x:c r="GJP64" s="293"/>
      <x:c r="GJQ64" s="293"/>
      <x:c r="GJR64" s="293"/>
      <x:c r="GJS64" s="293"/>
      <x:c r="GJT64" s="293"/>
      <x:c r="GJU64" s="293"/>
      <x:c r="GJV64" s="293"/>
      <x:c r="GJW64" s="293"/>
      <x:c r="GJX64" s="293"/>
      <x:c r="GJY64" s="293"/>
      <x:c r="GJZ64" s="293"/>
      <x:c r="GKA64" s="293"/>
      <x:c r="GKB64" s="293"/>
      <x:c r="GKC64" s="293"/>
      <x:c r="GKD64" s="293"/>
      <x:c r="GKE64" s="293"/>
      <x:c r="GKF64" s="293"/>
      <x:c r="GKG64" s="293"/>
      <x:c r="GKH64" s="293"/>
      <x:c r="GKI64" s="293"/>
      <x:c r="GKJ64" s="293"/>
      <x:c r="GKK64" s="293"/>
      <x:c r="GKL64" s="293"/>
      <x:c r="GKM64" s="293"/>
      <x:c r="GKN64" s="293"/>
      <x:c r="GKO64" s="293"/>
      <x:c r="GKP64" s="293"/>
      <x:c r="GKQ64" s="293"/>
      <x:c r="GKR64" s="293"/>
      <x:c r="GKS64" s="293"/>
      <x:c r="GKT64" s="293"/>
      <x:c r="GKU64" s="293"/>
      <x:c r="GKV64" s="293"/>
      <x:c r="GKW64" s="293"/>
      <x:c r="GKX64" s="293"/>
      <x:c r="GKY64" s="293"/>
      <x:c r="GKZ64" s="293"/>
      <x:c r="GLA64" s="293"/>
      <x:c r="GLB64" s="293"/>
      <x:c r="GLC64" s="293"/>
      <x:c r="GLD64" s="293"/>
      <x:c r="GLE64" s="293"/>
      <x:c r="GLF64" s="293"/>
      <x:c r="GLG64" s="293"/>
      <x:c r="GLH64" s="293"/>
      <x:c r="GLI64" s="293"/>
      <x:c r="GLJ64" s="293"/>
      <x:c r="GLK64" s="293"/>
      <x:c r="GLL64" s="293"/>
      <x:c r="GLM64" s="293"/>
      <x:c r="GLN64" s="293"/>
      <x:c r="GLO64" s="293"/>
      <x:c r="GLP64" s="293"/>
      <x:c r="GLQ64" s="293"/>
      <x:c r="GLR64" s="293"/>
      <x:c r="GLS64" s="293"/>
      <x:c r="GLT64" s="293"/>
      <x:c r="GLU64" s="293"/>
      <x:c r="GLV64" s="293"/>
      <x:c r="GLW64" s="293"/>
      <x:c r="GLX64" s="293"/>
      <x:c r="GLY64" s="293"/>
      <x:c r="GLZ64" s="293"/>
      <x:c r="GMA64" s="293"/>
      <x:c r="GMB64" s="293"/>
      <x:c r="GMC64" s="293"/>
      <x:c r="GMD64" s="293"/>
      <x:c r="GME64" s="293"/>
      <x:c r="GMF64" s="293"/>
      <x:c r="GMG64" s="293"/>
      <x:c r="GMH64" s="293"/>
      <x:c r="GMI64" s="293"/>
      <x:c r="GMJ64" s="293"/>
      <x:c r="GMK64" s="293"/>
      <x:c r="GML64" s="293"/>
      <x:c r="GMM64" s="293"/>
      <x:c r="GMN64" s="293"/>
      <x:c r="GMO64" s="293"/>
      <x:c r="GMP64" s="293"/>
      <x:c r="GMQ64" s="293"/>
      <x:c r="GMR64" s="293"/>
      <x:c r="GMS64" s="293"/>
      <x:c r="GMT64" s="293"/>
      <x:c r="GMU64" s="293"/>
      <x:c r="GMV64" s="293"/>
      <x:c r="GMW64" s="293"/>
      <x:c r="GMX64" s="293"/>
      <x:c r="GMY64" s="293"/>
      <x:c r="GMZ64" s="293"/>
      <x:c r="GNA64" s="293"/>
      <x:c r="GNB64" s="293"/>
      <x:c r="GNC64" s="293"/>
      <x:c r="GND64" s="293"/>
      <x:c r="GNE64" s="293"/>
      <x:c r="GNF64" s="293"/>
      <x:c r="GNG64" s="293"/>
      <x:c r="GNH64" s="293"/>
      <x:c r="GNI64" s="293"/>
      <x:c r="GNJ64" s="293"/>
      <x:c r="GNK64" s="293"/>
      <x:c r="GNL64" s="293"/>
      <x:c r="GNM64" s="293"/>
      <x:c r="GNN64" s="293"/>
      <x:c r="GNO64" s="293"/>
      <x:c r="GNP64" s="293"/>
      <x:c r="GNQ64" s="293"/>
      <x:c r="GNR64" s="293"/>
      <x:c r="GNS64" s="293"/>
      <x:c r="GNT64" s="293"/>
      <x:c r="GNU64" s="293"/>
      <x:c r="GNV64" s="293"/>
      <x:c r="GNW64" s="293"/>
      <x:c r="GNX64" s="293"/>
      <x:c r="GNY64" s="293"/>
      <x:c r="GNZ64" s="293"/>
      <x:c r="GOA64" s="293"/>
      <x:c r="GOB64" s="293"/>
      <x:c r="GOC64" s="293"/>
      <x:c r="GOD64" s="293"/>
      <x:c r="GOE64" s="293"/>
      <x:c r="GOF64" s="293"/>
      <x:c r="GOG64" s="293"/>
      <x:c r="GOH64" s="293"/>
      <x:c r="GOI64" s="293"/>
      <x:c r="GOJ64" s="293"/>
      <x:c r="GOK64" s="293"/>
      <x:c r="GOL64" s="293"/>
      <x:c r="GOM64" s="293"/>
      <x:c r="GON64" s="293"/>
      <x:c r="GOO64" s="293"/>
      <x:c r="GOP64" s="293"/>
      <x:c r="GOQ64" s="293"/>
      <x:c r="GOR64" s="293"/>
      <x:c r="GOS64" s="293"/>
      <x:c r="GOT64" s="293"/>
      <x:c r="GOU64" s="293"/>
      <x:c r="GOV64" s="293"/>
      <x:c r="GOW64" s="293"/>
      <x:c r="GOX64" s="293"/>
      <x:c r="GOY64" s="293"/>
      <x:c r="GOZ64" s="293"/>
      <x:c r="GPA64" s="293"/>
      <x:c r="GPB64" s="293"/>
      <x:c r="GPC64" s="293"/>
      <x:c r="GPD64" s="293"/>
      <x:c r="GPE64" s="293"/>
      <x:c r="GPF64" s="293"/>
      <x:c r="GPG64" s="293"/>
      <x:c r="GPH64" s="293"/>
      <x:c r="GPI64" s="293"/>
      <x:c r="GPJ64" s="293"/>
      <x:c r="GPK64" s="293"/>
      <x:c r="GPL64" s="293"/>
      <x:c r="GPM64" s="293"/>
      <x:c r="GPN64" s="293"/>
      <x:c r="GPO64" s="293"/>
      <x:c r="GPP64" s="293"/>
      <x:c r="GPQ64" s="293"/>
      <x:c r="GPR64" s="293"/>
      <x:c r="GPS64" s="293"/>
      <x:c r="GPT64" s="293"/>
      <x:c r="GPU64" s="293"/>
      <x:c r="GPV64" s="293"/>
      <x:c r="GPW64" s="293"/>
      <x:c r="GPX64" s="293"/>
      <x:c r="GPY64" s="293"/>
      <x:c r="GPZ64" s="293"/>
      <x:c r="GQA64" s="293"/>
      <x:c r="GQB64" s="293"/>
      <x:c r="GQC64" s="293"/>
      <x:c r="GQD64" s="293"/>
      <x:c r="GQE64" s="293"/>
      <x:c r="GQF64" s="293"/>
      <x:c r="GQG64" s="293"/>
      <x:c r="GQH64" s="293"/>
      <x:c r="GQI64" s="293"/>
      <x:c r="GQJ64" s="293"/>
      <x:c r="GQK64" s="293"/>
      <x:c r="GQL64" s="293"/>
      <x:c r="GQM64" s="293"/>
      <x:c r="GQN64" s="293"/>
      <x:c r="GQO64" s="293"/>
      <x:c r="GQP64" s="293"/>
      <x:c r="GQQ64" s="293"/>
      <x:c r="GQR64" s="293"/>
      <x:c r="GQS64" s="293"/>
      <x:c r="GQT64" s="293"/>
      <x:c r="GQU64" s="293"/>
      <x:c r="GQV64" s="293"/>
      <x:c r="GQW64" s="293"/>
      <x:c r="GQX64" s="293"/>
      <x:c r="GQY64" s="293"/>
      <x:c r="GQZ64" s="293"/>
      <x:c r="GRA64" s="293"/>
      <x:c r="GRB64" s="293"/>
      <x:c r="GRC64" s="293"/>
      <x:c r="GRD64" s="293"/>
      <x:c r="GRE64" s="293"/>
      <x:c r="GRF64" s="293"/>
      <x:c r="GRG64" s="293"/>
      <x:c r="GRH64" s="293"/>
      <x:c r="GRI64" s="293"/>
      <x:c r="GRJ64" s="293"/>
      <x:c r="GRK64" s="293"/>
      <x:c r="GRL64" s="293"/>
      <x:c r="GRM64" s="293"/>
      <x:c r="GRN64" s="293"/>
      <x:c r="GRO64" s="293"/>
      <x:c r="GRP64" s="293"/>
      <x:c r="GRQ64" s="293"/>
      <x:c r="GRR64" s="293"/>
      <x:c r="GRS64" s="293"/>
      <x:c r="GRT64" s="293"/>
      <x:c r="GRU64" s="293"/>
      <x:c r="GRV64" s="293"/>
      <x:c r="GRW64" s="293"/>
      <x:c r="GRX64" s="293"/>
      <x:c r="GRY64" s="293"/>
      <x:c r="GRZ64" s="293"/>
      <x:c r="GSA64" s="293"/>
      <x:c r="GSB64" s="293"/>
      <x:c r="GSC64" s="293"/>
      <x:c r="GSD64" s="293"/>
      <x:c r="GSE64" s="293"/>
      <x:c r="GSF64" s="293"/>
      <x:c r="GSG64" s="293"/>
      <x:c r="GSH64" s="293"/>
      <x:c r="GSI64" s="293"/>
      <x:c r="GSJ64" s="293"/>
      <x:c r="GSK64" s="293"/>
      <x:c r="GSL64" s="293"/>
      <x:c r="GSM64" s="293"/>
      <x:c r="GSN64" s="293"/>
      <x:c r="GSO64" s="293"/>
      <x:c r="GSP64" s="293"/>
      <x:c r="GSQ64" s="293"/>
      <x:c r="GSR64" s="293"/>
      <x:c r="GSS64" s="293"/>
      <x:c r="GST64" s="293"/>
      <x:c r="GSU64" s="293"/>
      <x:c r="GSV64" s="293"/>
      <x:c r="GSW64" s="293"/>
      <x:c r="GSX64" s="293"/>
      <x:c r="GSY64" s="293"/>
      <x:c r="GSZ64" s="293"/>
      <x:c r="GTA64" s="293"/>
      <x:c r="GTB64" s="293"/>
      <x:c r="GTC64" s="293"/>
      <x:c r="GTD64" s="293"/>
      <x:c r="GTE64" s="293"/>
      <x:c r="GTF64" s="293"/>
      <x:c r="GTG64" s="293"/>
      <x:c r="GTH64" s="293"/>
      <x:c r="GTI64" s="293"/>
      <x:c r="GTJ64" s="293"/>
      <x:c r="GTK64" s="293"/>
      <x:c r="GTL64" s="293"/>
      <x:c r="GTM64" s="293"/>
      <x:c r="GTN64" s="293"/>
      <x:c r="GTO64" s="293"/>
      <x:c r="GTP64" s="293"/>
      <x:c r="GTQ64" s="293"/>
      <x:c r="GTR64" s="293"/>
      <x:c r="GTS64" s="293"/>
      <x:c r="GTT64" s="293"/>
      <x:c r="GTU64" s="293"/>
      <x:c r="GTV64" s="293"/>
      <x:c r="GTW64" s="293"/>
      <x:c r="GTX64" s="293"/>
      <x:c r="GTY64" s="293"/>
      <x:c r="GTZ64" s="293"/>
      <x:c r="GUA64" s="293"/>
      <x:c r="GUB64" s="293"/>
      <x:c r="GUC64" s="293"/>
      <x:c r="GUD64" s="293"/>
      <x:c r="GUE64" s="293"/>
      <x:c r="GUF64" s="293"/>
      <x:c r="GUG64" s="293"/>
      <x:c r="GUH64" s="293"/>
      <x:c r="GUI64" s="293"/>
      <x:c r="GUJ64" s="293"/>
      <x:c r="GUK64" s="293"/>
      <x:c r="GUL64" s="293"/>
      <x:c r="GUM64" s="293"/>
      <x:c r="GUN64" s="293"/>
      <x:c r="GUO64" s="293"/>
      <x:c r="GUP64" s="293"/>
      <x:c r="GUQ64" s="293"/>
      <x:c r="GUR64" s="293"/>
      <x:c r="GUS64" s="293"/>
      <x:c r="GUT64" s="293"/>
      <x:c r="GUU64" s="293"/>
      <x:c r="GUV64" s="293"/>
      <x:c r="GUW64" s="293"/>
      <x:c r="GUX64" s="293"/>
      <x:c r="GUY64" s="293"/>
      <x:c r="GUZ64" s="293"/>
      <x:c r="GVA64" s="293"/>
      <x:c r="GVB64" s="293"/>
      <x:c r="GVC64" s="293"/>
      <x:c r="GVD64" s="293"/>
      <x:c r="GVE64" s="293"/>
      <x:c r="GVF64" s="293"/>
      <x:c r="GVG64" s="293"/>
      <x:c r="GVH64" s="293"/>
      <x:c r="GVI64" s="293"/>
      <x:c r="GVJ64" s="293"/>
      <x:c r="GVK64" s="293"/>
      <x:c r="GVL64" s="293"/>
      <x:c r="GVM64" s="293"/>
      <x:c r="GVN64" s="293"/>
      <x:c r="GVO64" s="293"/>
      <x:c r="GVP64" s="293"/>
      <x:c r="GVQ64" s="293"/>
      <x:c r="GVR64" s="293"/>
      <x:c r="GVS64" s="293"/>
      <x:c r="GVT64" s="293"/>
      <x:c r="GVU64" s="293"/>
      <x:c r="GVV64" s="293"/>
      <x:c r="GVW64" s="293"/>
      <x:c r="GVX64" s="293"/>
      <x:c r="GVY64" s="293"/>
      <x:c r="GVZ64" s="293"/>
      <x:c r="GWA64" s="293"/>
      <x:c r="GWB64" s="293"/>
      <x:c r="GWC64" s="293"/>
      <x:c r="GWD64" s="293"/>
      <x:c r="GWE64" s="293"/>
      <x:c r="GWF64" s="293"/>
      <x:c r="GWG64" s="293"/>
      <x:c r="GWH64" s="293"/>
      <x:c r="GWI64" s="293"/>
      <x:c r="GWJ64" s="293"/>
      <x:c r="GWK64" s="293"/>
      <x:c r="GWL64" s="293"/>
      <x:c r="GWM64" s="293"/>
      <x:c r="GWN64" s="293"/>
      <x:c r="GWO64" s="293"/>
      <x:c r="GWP64" s="293"/>
      <x:c r="GWQ64" s="293"/>
      <x:c r="GWR64" s="293"/>
      <x:c r="GWS64" s="293"/>
      <x:c r="GWT64" s="293"/>
      <x:c r="GWU64" s="293"/>
      <x:c r="GWV64" s="293"/>
      <x:c r="GWW64" s="293"/>
      <x:c r="GWX64" s="293"/>
      <x:c r="GWY64" s="293"/>
      <x:c r="GWZ64" s="293"/>
      <x:c r="GXA64" s="293"/>
      <x:c r="GXB64" s="293"/>
      <x:c r="GXC64" s="293"/>
      <x:c r="GXD64" s="293"/>
      <x:c r="GXE64" s="293"/>
      <x:c r="GXF64" s="293"/>
      <x:c r="GXG64" s="293"/>
      <x:c r="GXH64" s="293"/>
      <x:c r="GXI64" s="293"/>
      <x:c r="GXJ64" s="293"/>
      <x:c r="GXK64" s="293"/>
      <x:c r="GXL64" s="293"/>
      <x:c r="GXM64" s="293"/>
      <x:c r="GXN64" s="293"/>
      <x:c r="GXO64" s="293"/>
      <x:c r="GXP64" s="293"/>
      <x:c r="GXQ64" s="293"/>
      <x:c r="GXR64" s="293"/>
      <x:c r="GXS64" s="293"/>
      <x:c r="GXT64" s="293"/>
      <x:c r="GXU64" s="293"/>
      <x:c r="GXV64" s="293"/>
      <x:c r="GXW64" s="293"/>
      <x:c r="GXX64" s="293"/>
      <x:c r="GXY64" s="293"/>
      <x:c r="GXZ64" s="293"/>
      <x:c r="GYA64" s="293"/>
      <x:c r="GYB64" s="293"/>
      <x:c r="GYC64" s="293"/>
      <x:c r="GYD64" s="293"/>
      <x:c r="GYE64" s="293"/>
      <x:c r="GYF64" s="293"/>
      <x:c r="GYG64" s="293"/>
      <x:c r="GYH64" s="293"/>
      <x:c r="GYI64" s="293"/>
      <x:c r="GYJ64" s="293"/>
      <x:c r="GYK64" s="293"/>
      <x:c r="GYL64" s="293"/>
      <x:c r="GYM64" s="293"/>
      <x:c r="GYN64" s="293"/>
      <x:c r="GYO64" s="293"/>
      <x:c r="GYP64" s="293"/>
      <x:c r="GYQ64" s="293"/>
      <x:c r="GYR64" s="293"/>
      <x:c r="GYS64" s="293"/>
      <x:c r="GYT64" s="293"/>
      <x:c r="GYU64" s="293"/>
      <x:c r="GYV64" s="293"/>
      <x:c r="GYW64" s="293"/>
      <x:c r="GYX64" s="293"/>
      <x:c r="GYY64" s="293"/>
      <x:c r="GYZ64" s="293"/>
      <x:c r="GZA64" s="293"/>
      <x:c r="GZB64" s="293"/>
      <x:c r="GZC64" s="293"/>
      <x:c r="GZD64" s="293"/>
      <x:c r="GZE64" s="293"/>
      <x:c r="GZF64" s="293"/>
      <x:c r="GZG64" s="293"/>
      <x:c r="GZH64" s="293"/>
      <x:c r="GZI64" s="293"/>
      <x:c r="GZJ64" s="293"/>
      <x:c r="GZK64" s="293"/>
      <x:c r="GZL64" s="293"/>
      <x:c r="GZM64" s="293"/>
      <x:c r="GZN64" s="293"/>
      <x:c r="GZO64" s="293"/>
      <x:c r="GZP64" s="293"/>
      <x:c r="GZQ64" s="293"/>
      <x:c r="GZR64" s="293"/>
      <x:c r="GZS64" s="293"/>
      <x:c r="GZT64" s="293"/>
      <x:c r="GZU64" s="293"/>
      <x:c r="GZV64" s="293"/>
      <x:c r="GZW64" s="293"/>
      <x:c r="GZX64" s="293"/>
      <x:c r="GZY64" s="293"/>
      <x:c r="GZZ64" s="293"/>
      <x:c r="HAA64" s="293"/>
      <x:c r="HAB64" s="293"/>
      <x:c r="HAC64" s="293"/>
      <x:c r="HAD64" s="293"/>
      <x:c r="HAE64" s="293"/>
      <x:c r="HAF64" s="293"/>
      <x:c r="HAG64" s="293"/>
      <x:c r="HAH64" s="293"/>
      <x:c r="HAI64" s="293"/>
      <x:c r="HAJ64" s="293"/>
      <x:c r="HAK64" s="293"/>
      <x:c r="HAL64" s="293"/>
      <x:c r="HAM64" s="293"/>
      <x:c r="HAN64" s="293"/>
      <x:c r="HAO64" s="293"/>
      <x:c r="HAP64" s="293"/>
      <x:c r="HAQ64" s="293"/>
      <x:c r="HAR64" s="293"/>
      <x:c r="HAS64" s="293"/>
      <x:c r="HAT64" s="293"/>
      <x:c r="HAU64" s="293"/>
      <x:c r="HAV64" s="293"/>
      <x:c r="HAW64" s="293"/>
      <x:c r="HAX64" s="293"/>
      <x:c r="HAY64" s="293"/>
      <x:c r="HAZ64" s="293"/>
      <x:c r="HBA64" s="293"/>
      <x:c r="HBB64" s="293"/>
      <x:c r="HBC64" s="293"/>
      <x:c r="HBD64" s="293"/>
      <x:c r="HBE64" s="293"/>
      <x:c r="HBF64" s="293"/>
      <x:c r="HBG64" s="293"/>
      <x:c r="HBH64" s="293"/>
      <x:c r="HBI64" s="293"/>
      <x:c r="HBJ64" s="293"/>
      <x:c r="HBK64" s="293"/>
      <x:c r="HBL64" s="293"/>
      <x:c r="HBM64" s="293"/>
      <x:c r="HBN64" s="293"/>
      <x:c r="HBO64" s="293"/>
      <x:c r="HBP64" s="293"/>
      <x:c r="HBQ64" s="293"/>
      <x:c r="HBR64" s="293"/>
      <x:c r="HBS64" s="293"/>
      <x:c r="HBT64" s="293"/>
      <x:c r="HBU64" s="293"/>
      <x:c r="HBV64" s="293"/>
      <x:c r="HBW64" s="293"/>
      <x:c r="HBX64" s="293"/>
      <x:c r="HBY64" s="293"/>
      <x:c r="HBZ64" s="293"/>
      <x:c r="HCA64" s="293"/>
      <x:c r="HCB64" s="293"/>
      <x:c r="HCC64" s="293"/>
      <x:c r="HCD64" s="293"/>
      <x:c r="HCE64" s="293"/>
      <x:c r="HCF64" s="293"/>
      <x:c r="HCG64" s="293"/>
      <x:c r="HCH64" s="293"/>
      <x:c r="HCI64" s="293"/>
      <x:c r="HCJ64" s="293"/>
      <x:c r="HCK64" s="293"/>
      <x:c r="HCL64" s="293"/>
      <x:c r="HCM64" s="293"/>
      <x:c r="HCN64" s="293"/>
      <x:c r="HCO64" s="293"/>
      <x:c r="HCP64" s="293"/>
      <x:c r="HCQ64" s="293"/>
      <x:c r="HCR64" s="293"/>
      <x:c r="HCS64" s="293"/>
      <x:c r="HCT64" s="293"/>
      <x:c r="HCU64" s="293"/>
      <x:c r="HCV64" s="293"/>
      <x:c r="HCW64" s="293"/>
      <x:c r="HCX64" s="293"/>
      <x:c r="HCY64" s="293"/>
      <x:c r="HCZ64" s="293"/>
      <x:c r="HDA64" s="293"/>
      <x:c r="HDB64" s="293"/>
      <x:c r="HDC64" s="293"/>
      <x:c r="HDD64" s="293"/>
      <x:c r="HDE64" s="293"/>
      <x:c r="HDF64" s="293"/>
      <x:c r="HDG64" s="293"/>
      <x:c r="HDH64" s="293"/>
      <x:c r="HDI64" s="293"/>
      <x:c r="HDJ64" s="293"/>
      <x:c r="HDK64" s="293"/>
      <x:c r="HDL64" s="293"/>
      <x:c r="HDM64" s="293"/>
      <x:c r="HDN64" s="293"/>
      <x:c r="HDO64" s="293"/>
      <x:c r="HDP64" s="293"/>
      <x:c r="HDQ64" s="293"/>
      <x:c r="HDR64" s="293"/>
      <x:c r="HDS64" s="293"/>
      <x:c r="HDT64" s="293"/>
      <x:c r="HDU64" s="293"/>
      <x:c r="HDV64" s="293"/>
      <x:c r="HDW64" s="293"/>
      <x:c r="HDX64" s="293"/>
      <x:c r="HDY64" s="293"/>
      <x:c r="HDZ64" s="293"/>
      <x:c r="HEA64" s="293"/>
      <x:c r="HEB64" s="293"/>
      <x:c r="HEC64" s="293"/>
      <x:c r="HED64" s="293"/>
      <x:c r="HEE64" s="293"/>
      <x:c r="HEF64" s="293"/>
      <x:c r="HEG64" s="293"/>
      <x:c r="HEH64" s="293"/>
      <x:c r="HEI64" s="293"/>
      <x:c r="HEJ64" s="293"/>
      <x:c r="HEK64" s="293"/>
      <x:c r="HEL64" s="293"/>
      <x:c r="HEM64" s="293"/>
      <x:c r="HEN64" s="293"/>
      <x:c r="HEO64" s="293"/>
      <x:c r="HEP64" s="293"/>
      <x:c r="HEQ64" s="293"/>
      <x:c r="HER64" s="293"/>
      <x:c r="HES64" s="293"/>
      <x:c r="HET64" s="293"/>
      <x:c r="HEU64" s="293"/>
      <x:c r="HEV64" s="293"/>
      <x:c r="HEW64" s="293"/>
      <x:c r="HEX64" s="293"/>
      <x:c r="HEY64" s="293"/>
      <x:c r="HEZ64" s="293"/>
      <x:c r="HFA64" s="293"/>
      <x:c r="HFB64" s="293"/>
      <x:c r="HFC64" s="293"/>
      <x:c r="HFD64" s="293"/>
      <x:c r="HFE64" s="293"/>
      <x:c r="HFF64" s="293"/>
      <x:c r="HFG64" s="293"/>
      <x:c r="HFH64" s="293"/>
      <x:c r="HFI64" s="293"/>
      <x:c r="HFJ64" s="293"/>
      <x:c r="HFK64" s="293"/>
      <x:c r="HFL64" s="293"/>
      <x:c r="HFM64" s="293"/>
      <x:c r="HFN64" s="293"/>
      <x:c r="HFO64" s="293"/>
      <x:c r="HFP64" s="293"/>
      <x:c r="HFQ64" s="293"/>
      <x:c r="HFR64" s="293"/>
      <x:c r="HFS64" s="293"/>
      <x:c r="HFT64" s="293"/>
      <x:c r="HFU64" s="293"/>
      <x:c r="HFV64" s="293"/>
      <x:c r="HFW64" s="293"/>
      <x:c r="HFX64" s="293"/>
      <x:c r="HFY64" s="293"/>
      <x:c r="HFZ64" s="293"/>
      <x:c r="HGA64" s="293"/>
      <x:c r="HGB64" s="293"/>
      <x:c r="HGC64" s="293"/>
      <x:c r="HGD64" s="293"/>
      <x:c r="HGE64" s="293"/>
      <x:c r="HGF64" s="293"/>
      <x:c r="HGG64" s="293"/>
      <x:c r="HGH64" s="293"/>
      <x:c r="HGI64" s="293"/>
      <x:c r="HGJ64" s="293"/>
      <x:c r="HGK64" s="293"/>
      <x:c r="HGL64" s="293"/>
      <x:c r="HGM64" s="293"/>
      <x:c r="HGN64" s="293"/>
      <x:c r="HGO64" s="293"/>
      <x:c r="HGP64" s="293"/>
      <x:c r="HGQ64" s="293"/>
      <x:c r="HGR64" s="293"/>
      <x:c r="HGS64" s="293"/>
      <x:c r="HGT64" s="293"/>
      <x:c r="HGU64" s="293"/>
      <x:c r="HGV64" s="293"/>
      <x:c r="HGW64" s="293"/>
      <x:c r="HGX64" s="293"/>
      <x:c r="HGY64" s="293"/>
      <x:c r="HGZ64" s="293"/>
      <x:c r="HHA64" s="293"/>
      <x:c r="HHB64" s="293"/>
      <x:c r="HHC64" s="293"/>
      <x:c r="HHD64" s="293"/>
      <x:c r="HHE64" s="293"/>
      <x:c r="HHF64" s="293"/>
      <x:c r="HHG64" s="293"/>
      <x:c r="HHH64" s="293"/>
      <x:c r="HHI64" s="293"/>
      <x:c r="HHJ64" s="293"/>
      <x:c r="HHK64" s="293"/>
      <x:c r="HHL64" s="293"/>
      <x:c r="HHM64" s="293"/>
      <x:c r="HHN64" s="293"/>
      <x:c r="HHO64" s="293"/>
      <x:c r="HHP64" s="293"/>
      <x:c r="HHQ64" s="293"/>
      <x:c r="HHR64" s="293"/>
      <x:c r="HHS64" s="293"/>
      <x:c r="HHT64" s="293"/>
      <x:c r="HHU64" s="293"/>
      <x:c r="HHV64" s="293"/>
      <x:c r="HHW64" s="293"/>
      <x:c r="HHX64" s="293"/>
      <x:c r="HHY64" s="293"/>
      <x:c r="HHZ64" s="293"/>
      <x:c r="HIA64" s="293"/>
      <x:c r="HIB64" s="293"/>
      <x:c r="HIC64" s="293"/>
      <x:c r="HID64" s="293"/>
      <x:c r="HIE64" s="293"/>
      <x:c r="HIF64" s="293"/>
      <x:c r="HIG64" s="293"/>
      <x:c r="HIH64" s="293"/>
      <x:c r="HII64" s="293"/>
      <x:c r="HIJ64" s="293"/>
      <x:c r="HIK64" s="293"/>
      <x:c r="HIL64" s="293"/>
      <x:c r="HIM64" s="293"/>
      <x:c r="HIN64" s="293"/>
      <x:c r="HIO64" s="293"/>
      <x:c r="HIP64" s="293"/>
      <x:c r="HIQ64" s="293"/>
      <x:c r="HIR64" s="293"/>
      <x:c r="HIS64" s="293"/>
      <x:c r="HIT64" s="293"/>
      <x:c r="HIU64" s="293"/>
      <x:c r="HIV64" s="293"/>
      <x:c r="HIW64" s="293"/>
      <x:c r="HIX64" s="293"/>
      <x:c r="HIY64" s="293"/>
      <x:c r="HIZ64" s="293"/>
      <x:c r="HJA64" s="293"/>
      <x:c r="HJB64" s="293"/>
      <x:c r="HJC64" s="293"/>
      <x:c r="HJD64" s="293"/>
      <x:c r="HJE64" s="293"/>
      <x:c r="HJF64" s="293"/>
      <x:c r="HJG64" s="293"/>
      <x:c r="HJH64" s="293"/>
      <x:c r="HJI64" s="293"/>
      <x:c r="HJJ64" s="293"/>
      <x:c r="HJK64" s="293"/>
      <x:c r="HJL64" s="293"/>
      <x:c r="HJM64" s="293"/>
      <x:c r="HJN64" s="293"/>
      <x:c r="HJO64" s="293"/>
      <x:c r="HJP64" s="293"/>
      <x:c r="HJQ64" s="293"/>
      <x:c r="HJR64" s="293"/>
      <x:c r="HJS64" s="293"/>
      <x:c r="HJT64" s="293"/>
      <x:c r="HJU64" s="293"/>
      <x:c r="HJV64" s="293"/>
      <x:c r="HJW64" s="293"/>
      <x:c r="HJX64" s="293"/>
      <x:c r="HJY64" s="293"/>
      <x:c r="HJZ64" s="293"/>
      <x:c r="HKA64" s="293"/>
      <x:c r="HKB64" s="293"/>
      <x:c r="HKC64" s="293"/>
      <x:c r="HKD64" s="293"/>
      <x:c r="HKE64" s="293"/>
      <x:c r="HKF64" s="293"/>
      <x:c r="HKG64" s="293"/>
      <x:c r="HKH64" s="293"/>
      <x:c r="HKI64" s="293"/>
      <x:c r="HKJ64" s="293"/>
      <x:c r="HKK64" s="293"/>
      <x:c r="HKL64" s="293"/>
      <x:c r="HKM64" s="293"/>
      <x:c r="HKN64" s="293"/>
      <x:c r="HKO64" s="293"/>
      <x:c r="HKP64" s="293"/>
      <x:c r="HKQ64" s="293"/>
      <x:c r="HKR64" s="293"/>
      <x:c r="HKS64" s="293"/>
      <x:c r="HKT64" s="293"/>
      <x:c r="HKU64" s="293"/>
      <x:c r="HKV64" s="293"/>
      <x:c r="HKW64" s="293"/>
      <x:c r="HKX64" s="293"/>
      <x:c r="HKY64" s="293"/>
      <x:c r="HKZ64" s="293"/>
      <x:c r="HLA64" s="293"/>
      <x:c r="HLB64" s="293"/>
      <x:c r="HLC64" s="293"/>
      <x:c r="HLD64" s="293"/>
      <x:c r="HLE64" s="293"/>
      <x:c r="HLF64" s="293"/>
      <x:c r="HLG64" s="293"/>
      <x:c r="HLH64" s="293"/>
      <x:c r="HLI64" s="293"/>
      <x:c r="HLJ64" s="293"/>
      <x:c r="HLK64" s="293"/>
      <x:c r="HLL64" s="293"/>
      <x:c r="HLM64" s="293"/>
      <x:c r="HLN64" s="293"/>
      <x:c r="HLO64" s="293"/>
      <x:c r="HLP64" s="293"/>
      <x:c r="HLQ64" s="293"/>
      <x:c r="HLR64" s="293"/>
      <x:c r="HLS64" s="293"/>
      <x:c r="HLT64" s="293"/>
      <x:c r="HLU64" s="293"/>
      <x:c r="HLV64" s="293"/>
      <x:c r="HLW64" s="293"/>
      <x:c r="HLX64" s="293"/>
      <x:c r="HLY64" s="293"/>
      <x:c r="HLZ64" s="293"/>
      <x:c r="HMA64" s="293"/>
      <x:c r="HMB64" s="293"/>
      <x:c r="HMC64" s="293"/>
      <x:c r="HMD64" s="293"/>
      <x:c r="HME64" s="293"/>
      <x:c r="HMF64" s="293"/>
      <x:c r="HMG64" s="293"/>
      <x:c r="HMH64" s="293"/>
      <x:c r="HMI64" s="293"/>
      <x:c r="HMJ64" s="293"/>
      <x:c r="HMK64" s="293"/>
      <x:c r="HML64" s="293"/>
      <x:c r="HMM64" s="293"/>
      <x:c r="HMN64" s="293"/>
      <x:c r="HMO64" s="293"/>
      <x:c r="HMP64" s="293"/>
      <x:c r="HMQ64" s="293"/>
      <x:c r="HMR64" s="293"/>
      <x:c r="HMS64" s="293"/>
      <x:c r="HMT64" s="293"/>
      <x:c r="HMU64" s="293"/>
      <x:c r="HMV64" s="293"/>
      <x:c r="HMW64" s="293"/>
      <x:c r="HMX64" s="293"/>
      <x:c r="HMY64" s="293"/>
      <x:c r="HMZ64" s="293"/>
      <x:c r="HNA64" s="293"/>
      <x:c r="HNB64" s="293"/>
      <x:c r="HNC64" s="293"/>
      <x:c r="HND64" s="293"/>
      <x:c r="HNE64" s="293"/>
      <x:c r="HNF64" s="293"/>
      <x:c r="HNG64" s="293"/>
      <x:c r="HNH64" s="293"/>
      <x:c r="HNI64" s="293"/>
      <x:c r="HNJ64" s="293"/>
      <x:c r="HNK64" s="293"/>
      <x:c r="HNL64" s="293"/>
      <x:c r="HNM64" s="293"/>
      <x:c r="HNN64" s="293"/>
      <x:c r="HNO64" s="293"/>
      <x:c r="HNP64" s="293"/>
      <x:c r="HNQ64" s="293"/>
      <x:c r="HNR64" s="293"/>
      <x:c r="HNS64" s="293"/>
      <x:c r="HNT64" s="293"/>
      <x:c r="HNU64" s="293"/>
      <x:c r="HNV64" s="293"/>
      <x:c r="HNW64" s="293"/>
      <x:c r="HNX64" s="293"/>
      <x:c r="HNY64" s="293"/>
      <x:c r="HNZ64" s="293"/>
      <x:c r="HOA64" s="293"/>
      <x:c r="HOB64" s="293"/>
      <x:c r="HOC64" s="293"/>
      <x:c r="HOD64" s="293"/>
      <x:c r="HOE64" s="293"/>
      <x:c r="HOF64" s="293"/>
      <x:c r="HOG64" s="293"/>
      <x:c r="HOH64" s="293"/>
      <x:c r="HOI64" s="293"/>
      <x:c r="HOJ64" s="293"/>
      <x:c r="HOK64" s="293"/>
      <x:c r="HOL64" s="293"/>
      <x:c r="HOM64" s="293"/>
      <x:c r="HON64" s="293"/>
      <x:c r="HOO64" s="293"/>
      <x:c r="HOP64" s="293"/>
      <x:c r="HOQ64" s="293"/>
      <x:c r="HOR64" s="293"/>
      <x:c r="HOS64" s="293"/>
      <x:c r="HOT64" s="293"/>
      <x:c r="HOU64" s="293"/>
      <x:c r="HOV64" s="293"/>
      <x:c r="HOW64" s="293"/>
      <x:c r="HOX64" s="293"/>
      <x:c r="HOY64" s="293"/>
      <x:c r="HOZ64" s="293"/>
      <x:c r="HPA64" s="293"/>
      <x:c r="HPB64" s="293"/>
      <x:c r="HPC64" s="293"/>
      <x:c r="HPD64" s="293"/>
      <x:c r="HPE64" s="293"/>
      <x:c r="HPF64" s="293"/>
      <x:c r="HPG64" s="293"/>
      <x:c r="HPH64" s="293"/>
      <x:c r="HPI64" s="293"/>
      <x:c r="HPJ64" s="293"/>
      <x:c r="HPK64" s="293"/>
      <x:c r="HPL64" s="293"/>
      <x:c r="HPM64" s="293"/>
      <x:c r="HPN64" s="293"/>
      <x:c r="HPO64" s="293"/>
      <x:c r="HPP64" s="293"/>
      <x:c r="HPQ64" s="293"/>
      <x:c r="HPR64" s="293"/>
      <x:c r="HPS64" s="293"/>
      <x:c r="HPT64" s="293"/>
      <x:c r="HPU64" s="293"/>
      <x:c r="HPV64" s="293"/>
      <x:c r="HPW64" s="293"/>
      <x:c r="HPX64" s="293"/>
      <x:c r="HPY64" s="293"/>
      <x:c r="HPZ64" s="293"/>
      <x:c r="HQA64" s="293"/>
      <x:c r="HQB64" s="293"/>
      <x:c r="HQC64" s="293"/>
      <x:c r="HQD64" s="293"/>
      <x:c r="HQE64" s="293"/>
      <x:c r="HQF64" s="293"/>
      <x:c r="HQG64" s="293"/>
      <x:c r="HQH64" s="293"/>
      <x:c r="HQI64" s="293"/>
      <x:c r="HQJ64" s="293"/>
      <x:c r="HQK64" s="293"/>
      <x:c r="HQL64" s="293"/>
      <x:c r="HQM64" s="293"/>
      <x:c r="HQN64" s="293"/>
      <x:c r="HQO64" s="293"/>
      <x:c r="HQP64" s="293"/>
      <x:c r="HQQ64" s="293"/>
      <x:c r="HQR64" s="293"/>
      <x:c r="HQS64" s="293"/>
      <x:c r="HQT64" s="293"/>
      <x:c r="HQU64" s="293"/>
      <x:c r="HQV64" s="293"/>
      <x:c r="HQW64" s="293"/>
      <x:c r="HQX64" s="293"/>
      <x:c r="HQY64" s="293"/>
      <x:c r="HQZ64" s="293"/>
      <x:c r="HRA64" s="293"/>
      <x:c r="HRB64" s="293"/>
      <x:c r="HRC64" s="293"/>
      <x:c r="HRD64" s="293"/>
      <x:c r="HRE64" s="293"/>
      <x:c r="HRF64" s="293"/>
      <x:c r="HRG64" s="293"/>
      <x:c r="HRH64" s="293"/>
      <x:c r="HRI64" s="293"/>
      <x:c r="HRJ64" s="293"/>
      <x:c r="HRK64" s="293"/>
      <x:c r="HRL64" s="293"/>
      <x:c r="HRM64" s="293"/>
      <x:c r="HRN64" s="293"/>
      <x:c r="HRO64" s="293"/>
      <x:c r="HRP64" s="293"/>
      <x:c r="HRQ64" s="293"/>
      <x:c r="HRR64" s="293"/>
      <x:c r="HRS64" s="293"/>
      <x:c r="HRT64" s="293"/>
      <x:c r="HRU64" s="293"/>
      <x:c r="HRV64" s="293"/>
      <x:c r="HRW64" s="293"/>
      <x:c r="HRX64" s="293"/>
      <x:c r="HRY64" s="293"/>
      <x:c r="HRZ64" s="293"/>
      <x:c r="HSA64" s="293"/>
      <x:c r="HSB64" s="293"/>
      <x:c r="HSC64" s="293"/>
      <x:c r="HSD64" s="293"/>
      <x:c r="HSE64" s="293"/>
      <x:c r="HSF64" s="293"/>
      <x:c r="HSG64" s="293"/>
      <x:c r="HSH64" s="293"/>
      <x:c r="HSI64" s="293"/>
      <x:c r="HSJ64" s="293"/>
      <x:c r="HSK64" s="293"/>
      <x:c r="HSL64" s="293"/>
      <x:c r="HSM64" s="293"/>
      <x:c r="HSN64" s="293"/>
      <x:c r="HSO64" s="293"/>
      <x:c r="HSP64" s="293"/>
      <x:c r="HSQ64" s="293"/>
      <x:c r="HSR64" s="293"/>
      <x:c r="HSS64" s="293"/>
      <x:c r="HST64" s="293"/>
      <x:c r="HSU64" s="293"/>
      <x:c r="HSV64" s="293"/>
      <x:c r="HSW64" s="293"/>
      <x:c r="HSX64" s="293"/>
      <x:c r="HSY64" s="293"/>
      <x:c r="HSZ64" s="293"/>
      <x:c r="HTA64" s="293"/>
      <x:c r="HTB64" s="293"/>
      <x:c r="HTC64" s="293"/>
      <x:c r="HTD64" s="293"/>
      <x:c r="HTE64" s="293"/>
      <x:c r="HTF64" s="293"/>
      <x:c r="HTG64" s="293"/>
      <x:c r="HTH64" s="293"/>
      <x:c r="HTI64" s="293"/>
      <x:c r="HTJ64" s="293"/>
      <x:c r="HTK64" s="293"/>
      <x:c r="HTL64" s="293"/>
      <x:c r="HTM64" s="293"/>
      <x:c r="HTN64" s="293"/>
      <x:c r="HTO64" s="293"/>
      <x:c r="HTP64" s="293"/>
      <x:c r="HTQ64" s="293"/>
      <x:c r="HTR64" s="293"/>
      <x:c r="HTS64" s="293"/>
      <x:c r="HTT64" s="293"/>
      <x:c r="HTU64" s="293"/>
      <x:c r="HTV64" s="293"/>
      <x:c r="HTW64" s="293"/>
      <x:c r="HTX64" s="293"/>
      <x:c r="HTY64" s="293"/>
      <x:c r="HTZ64" s="293"/>
      <x:c r="HUA64" s="293"/>
      <x:c r="HUB64" s="293"/>
      <x:c r="HUC64" s="293"/>
      <x:c r="HUD64" s="293"/>
      <x:c r="HUE64" s="293"/>
      <x:c r="HUF64" s="293"/>
      <x:c r="HUG64" s="293"/>
      <x:c r="HUH64" s="293"/>
      <x:c r="HUI64" s="293"/>
      <x:c r="HUJ64" s="293"/>
      <x:c r="HUK64" s="293"/>
      <x:c r="HUL64" s="293"/>
      <x:c r="HUM64" s="293"/>
      <x:c r="HUN64" s="293"/>
      <x:c r="HUO64" s="293"/>
      <x:c r="HUP64" s="293"/>
      <x:c r="HUQ64" s="293"/>
      <x:c r="HUR64" s="293"/>
      <x:c r="HUS64" s="293"/>
      <x:c r="HUT64" s="293"/>
      <x:c r="HUU64" s="293"/>
      <x:c r="HUV64" s="293"/>
      <x:c r="HUW64" s="293"/>
      <x:c r="HUX64" s="293"/>
      <x:c r="HUY64" s="293"/>
      <x:c r="HUZ64" s="293"/>
      <x:c r="HVA64" s="293"/>
      <x:c r="HVB64" s="293"/>
      <x:c r="HVC64" s="293"/>
      <x:c r="HVD64" s="293"/>
      <x:c r="HVE64" s="293"/>
      <x:c r="HVF64" s="293"/>
      <x:c r="HVG64" s="293"/>
      <x:c r="HVH64" s="293"/>
      <x:c r="HVI64" s="293"/>
      <x:c r="HVJ64" s="293"/>
      <x:c r="HVK64" s="293"/>
      <x:c r="HVL64" s="293"/>
      <x:c r="HVM64" s="293"/>
      <x:c r="HVN64" s="293"/>
      <x:c r="HVO64" s="293"/>
      <x:c r="HVP64" s="293"/>
      <x:c r="HVQ64" s="293"/>
      <x:c r="HVR64" s="293"/>
      <x:c r="HVS64" s="293"/>
      <x:c r="HVT64" s="293"/>
      <x:c r="HVU64" s="293"/>
      <x:c r="HVV64" s="293"/>
      <x:c r="HVW64" s="293"/>
      <x:c r="HVX64" s="293"/>
      <x:c r="HVY64" s="293"/>
      <x:c r="HVZ64" s="293"/>
      <x:c r="HWA64" s="293"/>
      <x:c r="HWB64" s="293"/>
      <x:c r="HWC64" s="293"/>
      <x:c r="HWD64" s="293"/>
      <x:c r="HWE64" s="293"/>
      <x:c r="HWF64" s="293"/>
      <x:c r="HWG64" s="293"/>
      <x:c r="HWH64" s="293"/>
      <x:c r="HWI64" s="293"/>
      <x:c r="HWJ64" s="293"/>
      <x:c r="HWK64" s="293"/>
      <x:c r="HWL64" s="293"/>
      <x:c r="HWM64" s="293"/>
      <x:c r="HWN64" s="293"/>
      <x:c r="HWO64" s="293"/>
      <x:c r="HWP64" s="293"/>
      <x:c r="HWQ64" s="293"/>
      <x:c r="HWR64" s="293"/>
      <x:c r="HWS64" s="293"/>
      <x:c r="HWT64" s="293"/>
      <x:c r="HWU64" s="293"/>
      <x:c r="HWV64" s="293"/>
      <x:c r="HWW64" s="293"/>
      <x:c r="HWX64" s="293"/>
      <x:c r="HWY64" s="293"/>
      <x:c r="HWZ64" s="293"/>
      <x:c r="HXA64" s="293"/>
      <x:c r="HXB64" s="293"/>
      <x:c r="HXC64" s="293"/>
      <x:c r="HXD64" s="293"/>
      <x:c r="HXE64" s="293"/>
      <x:c r="HXF64" s="293"/>
      <x:c r="HXG64" s="293"/>
      <x:c r="HXH64" s="293"/>
      <x:c r="HXI64" s="293"/>
      <x:c r="HXJ64" s="293"/>
      <x:c r="HXK64" s="293"/>
      <x:c r="HXL64" s="293"/>
      <x:c r="HXM64" s="293"/>
      <x:c r="HXN64" s="293"/>
      <x:c r="HXO64" s="293"/>
      <x:c r="HXP64" s="293"/>
      <x:c r="HXQ64" s="293"/>
      <x:c r="HXR64" s="293"/>
      <x:c r="HXS64" s="293"/>
      <x:c r="HXT64" s="293"/>
      <x:c r="HXU64" s="293"/>
      <x:c r="HXV64" s="293"/>
      <x:c r="HXW64" s="293"/>
      <x:c r="HXX64" s="293"/>
      <x:c r="HXY64" s="293"/>
      <x:c r="HXZ64" s="293"/>
      <x:c r="HYA64" s="293"/>
      <x:c r="HYB64" s="293"/>
      <x:c r="HYC64" s="293"/>
      <x:c r="HYD64" s="293"/>
      <x:c r="HYE64" s="293"/>
      <x:c r="HYF64" s="293"/>
      <x:c r="HYG64" s="293"/>
      <x:c r="HYH64" s="293"/>
      <x:c r="HYI64" s="293"/>
      <x:c r="HYJ64" s="293"/>
      <x:c r="HYK64" s="293"/>
      <x:c r="HYL64" s="293"/>
      <x:c r="HYM64" s="293"/>
      <x:c r="HYN64" s="293"/>
      <x:c r="HYO64" s="293"/>
      <x:c r="HYP64" s="293"/>
      <x:c r="HYQ64" s="293"/>
      <x:c r="HYR64" s="293"/>
      <x:c r="HYS64" s="293"/>
      <x:c r="HYT64" s="293"/>
      <x:c r="HYU64" s="293"/>
      <x:c r="HYV64" s="293"/>
      <x:c r="HYW64" s="293"/>
      <x:c r="HYX64" s="293"/>
      <x:c r="HYY64" s="293"/>
      <x:c r="HYZ64" s="293"/>
      <x:c r="HZA64" s="293"/>
      <x:c r="HZB64" s="293"/>
      <x:c r="HZC64" s="293"/>
      <x:c r="HZD64" s="293"/>
      <x:c r="HZE64" s="293"/>
      <x:c r="HZF64" s="293"/>
      <x:c r="HZG64" s="293"/>
      <x:c r="HZH64" s="293"/>
      <x:c r="HZI64" s="293"/>
      <x:c r="HZJ64" s="293"/>
      <x:c r="HZK64" s="293"/>
      <x:c r="HZL64" s="293"/>
      <x:c r="HZM64" s="293"/>
      <x:c r="HZN64" s="293"/>
      <x:c r="HZO64" s="293"/>
      <x:c r="HZP64" s="293"/>
      <x:c r="HZQ64" s="293"/>
      <x:c r="HZR64" s="293"/>
      <x:c r="HZS64" s="293"/>
      <x:c r="HZT64" s="293"/>
      <x:c r="HZU64" s="293"/>
      <x:c r="HZV64" s="293"/>
      <x:c r="HZW64" s="293"/>
      <x:c r="HZX64" s="293"/>
      <x:c r="HZY64" s="293"/>
      <x:c r="HZZ64" s="293"/>
      <x:c r="IAA64" s="293"/>
      <x:c r="IAB64" s="293"/>
      <x:c r="IAC64" s="293"/>
      <x:c r="IAD64" s="293"/>
      <x:c r="IAE64" s="293"/>
      <x:c r="IAF64" s="293"/>
      <x:c r="IAG64" s="293"/>
      <x:c r="IAH64" s="293"/>
      <x:c r="IAI64" s="293"/>
      <x:c r="IAJ64" s="293"/>
      <x:c r="IAK64" s="293"/>
      <x:c r="IAL64" s="293"/>
      <x:c r="IAM64" s="293"/>
      <x:c r="IAN64" s="293"/>
      <x:c r="IAO64" s="293"/>
      <x:c r="IAP64" s="293"/>
      <x:c r="IAQ64" s="293"/>
      <x:c r="IAR64" s="293"/>
      <x:c r="IAS64" s="293"/>
      <x:c r="IAT64" s="293"/>
      <x:c r="IAU64" s="293"/>
      <x:c r="IAV64" s="293"/>
      <x:c r="IAW64" s="293"/>
      <x:c r="IAX64" s="293"/>
      <x:c r="IAY64" s="293"/>
      <x:c r="IAZ64" s="293"/>
      <x:c r="IBA64" s="293"/>
      <x:c r="IBB64" s="293"/>
      <x:c r="IBC64" s="293"/>
      <x:c r="IBD64" s="293"/>
      <x:c r="IBE64" s="293"/>
      <x:c r="IBF64" s="293"/>
      <x:c r="IBG64" s="293"/>
      <x:c r="IBH64" s="293"/>
      <x:c r="IBI64" s="293"/>
      <x:c r="IBJ64" s="293"/>
      <x:c r="IBK64" s="293"/>
      <x:c r="IBL64" s="293"/>
      <x:c r="IBM64" s="293"/>
      <x:c r="IBN64" s="293"/>
      <x:c r="IBO64" s="293"/>
      <x:c r="IBP64" s="293"/>
      <x:c r="IBQ64" s="293"/>
      <x:c r="IBR64" s="293"/>
      <x:c r="IBS64" s="293"/>
      <x:c r="IBT64" s="293"/>
      <x:c r="IBU64" s="293"/>
      <x:c r="IBV64" s="293"/>
      <x:c r="IBW64" s="293"/>
      <x:c r="IBX64" s="293"/>
      <x:c r="IBY64" s="293"/>
      <x:c r="IBZ64" s="293"/>
      <x:c r="ICA64" s="293"/>
      <x:c r="ICB64" s="293"/>
      <x:c r="ICC64" s="293"/>
      <x:c r="ICD64" s="293"/>
      <x:c r="ICE64" s="293"/>
      <x:c r="ICF64" s="293"/>
      <x:c r="ICG64" s="293"/>
      <x:c r="ICH64" s="293"/>
      <x:c r="ICI64" s="293"/>
      <x:c r="ICJ64" s="293"/>
      <x:c r="ICK64" s="293"/>
      <x:c r="ICL64" s="293"/>
      <x:c r="ICM64" s="293"/>
      <x:c r="ICN64" s="293"/>
      <x:c r="ICO64" s="293"/>
      <x:c r="ICP64" s="293"/>
      <x:c r="ICQ64" s="293"/>
      <x:c r="ICR64" s="293"/>
      <x:c r="ICS64" s="293"/>
      <x:c r="ICT64" s="293"/>
      <x:c r="ICU64" s="293"/>
      <x:c r="ICV64" s="293"/>
      <x:c r="ICW64" s="293"/>
      <x:c r="ICX64" s="293"/>
      <x:c r="ICY64" s="293"/>
      <x:c r="ICZ64" s="293"/>
      <x:c r="IDA64" s="293"/>
      <x:c r="IDB64" s="293"/>
      <x:c r="IDC64" s="293"/>
      <x:c r="IDD64" s="293"/>
      <x:c r="IDE64" s="293"/>
      <x:c r="IDF64" s="293"/>
      <x:c r="IDG64" s="293"/>
      <x:c r="IDH64" s="293"/>
      <x:c r="IDI64" s="293"/>
      <x:c r="IDJ64" s="293"/>
      <x:c r="IDK64" s="293"/>
      <x:c r="IDL64" s="293"/>
      <x:c r="IDM64" s="293"/>
      <x:c r="IDN64" s="293"/>
      <x:c r="IDO64" s="293"/>
      <x:c r="IDP64" s="293"/>
      <x:c r="IDQ64" s="293"/>
      <x:c r="IDR64" s="293"/>
      <x:c r="IDS64" s="293"/>
      <x:c r="IDT64" s="293"/>
      <x:c r="IDU64" s="293"/>
      <x:c r="IDV64" s="293"/>
      <x:c r="IDW64" s="293"/>
      <x:c r="IDX64" s="293"/>
      <x:c r="IDY64" s="293"/>
      <x:c r="IDZ64" s="293"/>
      <x:c r="IEA64" s="293"/>
      <x:c r="IEB64" s="293"/>
      <x:c r="IEC64" s="293"/>
      <x:c r="IED64" s="293"/>
      <x:c r="IEE64" s="293"/>
      <x:c r="IEF64" s="293"/>
      <x:c r="IEG64" s="293"/>
      <x:c r="IEH64" s="293"/>
      <x:c r="IEI64" s="293"/>
      <x:c r="IEJ64" s="293"/>
      <x:c r="IEK64" s="293"/>
      <x:c r="IEL64" s="293"/>
      <x:c r="IEM64" s="293"/>
      <x:c r="IEN64" s="293"/>
      <x:c r="IEO64" s="293"/>
      <x:c r="IEP64" s="293"/>
      <x:c r="IEQ64" s="293"/>
      <x:c r="IER64" s="293"/>
      <x:c r="IES64" s="293"/>
      <x:c r="IET64" s="293"/>
      <x:c r="IEU64" s="293"/>
      <x:c r="IEV64" s="293"/>
      <x:c r="IEW64" s="293"/>
      <x:c r="IEX64" s="293"/>
      <x:c r="IEY64" s="293"/>
      <x:c r="IEZ64" s="293"/>
      <x:c r="IFA64" s="293"/>
      <x:c r="IFB64" s="293"/>
      <x:c r="IFC64" s="293"/>
      <x:c r="IFD64" s="293"/>
      <x:c r="IFE64" s="293"/>
      <x:c r="IFF64" s="293"/>
      <x:c r="IFG64" s="293"/>
      <x:c r="IFH64" s="293"/>
      <x:c r="IFI64" s="293"/>
      <x:c r="IFJ64" s="293"/>
      <x:c r="IFK64" s="293"/>
      <x:c r="IFL64" s="293"/>
      <x:c r="IFM64" s="293"/>
      <x:c r="IFN64" s="293"/>
      <x:c r="IFO64" s="293"/>
      <x:c r="IFP64" s="293"/>
      <x:c r="IFQ64" s="293"/>
      <x:c r="IFR64" s="293"/>
      <x:c r="IFS64" s="293"/>
      <x:c r="IFT64" s="293"/>
      <x:c r="IFU64" s="293"/>
      <x:c r="IFV64" s="293"/>
      <x:c r="IFW64" s="293"/>
      <x:c r="IFX64" s="293"/>
      <x:c r="IFY64" s="293"/>
      <x:c r="IFZ64" s="293"/>
      <x:c r="IGA64" s="293"/>
      <x:c r="IGB64" s="293"/>
      <x:c r="IGC64" s="293"/>
      <x:c r="IGD64" s="293"/>
      <x:c r="IGE64" s="293"/>
      <x:c r="IGF64" s="293"/>
      <x:c r="IGG64" s="293"/>
      <x:c r="IGH64" s="293"/>
      <x:c r="IGI64" s="293"/>
      <x:c r="IGJ64" s="293"/>
      <x:c r="IGK64" s="293"/>
      <x:c r="IGL64" s="293"/>
      <x:c r="IGM64" s="293"/>
      <x:c r="IGN64" s="293"/>
      <x:c r="IGO64" s="293"/>
      <x:c r="IGP64" s="293"/>
      <x:c r="IGQ64" s="293"/>
      <x:c r="IGR64" s="293"/>
      <x:c r="IGS64" s="293"/>
      <x:c r="IGT64" s="293"/>
      <x:c r="IGU64" s="293"/>
      <x:c r="IGV64" s="293"/>
      <x:c r="IGW64" s="293"/>
      <x:c r="IGX64" s="293"/>
      <x:c r="IGY64" s="293"/>
      <x:c r="IGZ64" s="293"/>
      <x:c r="IHA64" s="293"/>
      <x:c r="IHB64" s="293"/>
      <x:c r="IHC64" s="293"/>
      <x:c r="IHD64" s="293"/>
      <x:c r="IHE64" s="293"/>
      <x:c r="IHF64" s="293"/>
      <x:c r="IHG64" s="293"/>
      <x:c r="IHH64" s="293"/>
      <x:c r="IHI64" s="293"/>
      <x:c r="IHJ64" s="293"/>
      <x:c r="IHK64" s="293"/>
      <x:c r="IHL64" s="293"/>
      <x:c r="IHM64" s="293"/>
      <x:c r="IHN64" s="293"/>
      <x:c r="IHO64" s="293"/>
      <x:c r="IHP64" s="293"/>
      <x:c r="IHQ64" s="293"/>
      <x:c r="IHR64" s="293"/>
      <x:c r="IHS64" s="293"/>
      <x:c r="IHT64" s="293"/>
      <x:c r="IHU64" s="293"/>
      <x:c r="IHV64" s="293"/>
      <x:c r="IHW64" s="293"/>
      <x:c r="IHX64" s="293"/>
      <x:c r="IHY64" s="293"/>
      <x:c r="IHZ64" s="293"/>
      <x:c r="IIA64" s="293"/>
      <x:c r="IIB64" s="293"/>
      <x:c r="IIC64" s="293"/>
      <x:c r="IID64" s="293"/>
      <x:c r="IIE64" s="293"/>
      <x:c r="IIF64" s="293"/>
      <x:c r="IIG64" s="293"/>
      <x:c r="IIH64" s="293"/>
      <x:c r="III64" s="293"/>
      <x:c r="IIJ64" s="293"/>
      <x:c r="IIK64" s="293"/>
      <x:c r="IIL64" s="293"/>
      <x:c r="IIM64" s="293"/>
      <x:c r="IIN64" s="293"/>
      <x:c r="IIO64" s="293"/>
      <x:c r="IIP64" s="293"/>
      <x:c r="IIQ64" s="293"/>
      <x:c r="IIR64" s="293"/>
      <x:c r="IIS64" s="293"/>
      <x:c r="IIT64" s="293"/>
      <x:c r="IIU64" s="293"/>
      <x:c r="IIV64" s="293"/>
      <x:c r="IIW64" s="293"/>
      <x:c r="IIX64" s="293"/>
      <x:c r="IIY64" s="293"/>
      <x:c r="IIZ64" s="293"/>
      <x:c r="IJA64" s="293"/>
      <x:c r="IJB64" s="293"/>
      <x:c r="IJC64" s="293"/>
      <x:c r="IJD64" s="293"/>
      <x:c r="IJE64" s="293"/>
      <x:c r="IJF64" s="293"/>
      <x:c r="IJG64" s="293"/>
      <x:c r="IJH64" s="293"/>
      <x:c r="IJI64" s="293"/>
      <x:c r="IJJ64" s="293"/>
      <x:c r="IJK64" s="293"/>
      <x:c r="IJL64" s="293"/>
      <x:c r="IJM64" s="293"/>
      <x:c r="IJN64" s="293"/>
      <x:c r="IJO64" s="293"/>
      <x:c r="IJP64" s="293"/>
      <x:c r="IJQ64" s="293"/>
      <x:c r="IJR64" s="293"/>
      <x:c r="IJS64" s="293"/>
      <x:c r="IJT64" s="293"/>
      <x:c r="IJU64" s="293"/>
      <x:c r="IJV64" s="293"/>
      <x:c r="IJW64" s="293"/>
      <x:c r="IJX64" s="293"/>
      <x:c r="IJY64" s="293"/>
      <x:c r="IJZ64" s="293"/>
      <x:c r="IKA64" s="293"/>
      <x:c r="IKB64" s="293"/>
      <x:c r="IKC64" s="293"/>
      <x:c r="IKD64" s="293"/>
      <x:c r="IKE64" s="293"/>
      <x:c r="IKF64" s="293"/>
      <x:c r="IKG64" s="293"/>
      <x:c r="IKH64" s="293"/>
      <x:c r="IKI64" s="293"/>
      <x:c r="IKJ64" s="293"/>
      <x:c r="IKK64" s="293"/>
      <x:c r="IKL64" s="293"/>
      <x:c r="IKM64" s="293"/>
      <x:c r="IKN64" s="293"/>
      <x:c r="IKO64" s="293"/>
      <x:c r="IKP64" s="293"/>
      <x:c r="IKQ64" s="293"/>
      <x:c r="IKR64" s="293"/>
      <x:c r="IKS64" s="293"/>
      <x:c r="IKT64" s="293"/>
      <x:c r="IKU64" s="293"/>
      <x:c r="IKV64" s="293"/>
      <x:c r="IKW64" s="293"/>
      <x:c r="IKX64" s="293"/>
      <x:c r="IKY64" s="293"/>
      <x:c r="IKZ64" s="293"/>
      <x:c r="ILA64" s="293"/>
      <x:c r="ILB64" s="293"/>
      <x:c r="ILC64" s="293"/>
      <x:c r="ILD64" s="293"/>
      <x:c r="ILE64" s="293"/>
      <x:c r="ILF64" s="293"/>
      <x:c r="ILG64" s="293"/>
      <x:c r="ILH64" s="293"/>
      <x:c r="ILI64" s="293"/>
      <x:c r="ILJ64" s="293"/>
      <x:c r="ILK64" s="293"/>
      <x:c r="ILL64" s="293"/>
      <x:c r="ILM64" s="293"/>
      <x:c r="ILN64" s="293"/>
      <x:c r="ILO64" s="293"/>
      <x:c r="ILP64" s="293"/>
      <x:c r="ILQ64" s="293"/>
      <x:c r="ILR64" s="293"/>
      <x:c r="ILS64" s="293"/>
      <x:c r="ILT64" s="293"/>
      <x:c r="ILU64" s="293"/>
      <x:c r="ILV64" s="293"/>
      <x:c r="ILW64" s="293"/>
      <x:c r="ILX64" s="293"/>
      <x:c r="ILY64" s="293"/>
      <x:c r="ILZ64" s="293"/>
      <x:c r="IMA64" s="293"/>
      <x:c r="IMB64" s="293"/>
      <x:c r="IMC64" s="293"/>
      <x:c r="IMD64" s="293"/>
      <x:c r="IME64" s="293"/>
      <x:c r="IMF64" s="293"/>
      <x:c r="IMG64" s="293"/>
      <x:c r="IMH64" s="293"/>
      <x:c r="IMI64" s="293"/>
      <x:c r="IMJ64" s="293"/>
      <x:c r="IMK64" s="293"/>
      <x:c r="IML64" s="293"/>
      <x:c r="IMM64" s="293"/>
      <x:c r="IMN64" s="293"/>
      <x:c r="IMO64" s="293"/>
      <x:c r="IMP64" s="293"/>
      <x:c r="IMQ64" s="293"/>
      <x:c r="IMR64" s="293"/>
      <x:c r="IMS64" s="293"/>
      <x:c r="IMT64" s="293"/>
      <x:c r="IMU64" s="293"/>
      <x:c r="IMV64" s="293"/>
      <x:c r="IMW64" s="293"/>
      <x:c r="IMX64" s="293"/>
      <x:c r="IMY64" s="293"/>
      <x:c r="IMZ64" s="293"/>
      <x:c r="INA64" s="293"/>
      <x:c r="INB64" s="293"/>
      <x:c r="INC64" s="293"/>
      <x:c r="IND64" s="293"/>
      <x:c r="INE64" s="293"/>
      <x:c r="INF64" s="293"/>
      <x:c r="ING64" s="293"/>
      <x:c r="INH64" s="293"/>
      <x:c r="INI64" s="293"/>
      <x:c r="INJ64" s="293"/>
      <x:c r="INK64" s="293"/>
      <x:c r="INL64" s="293"/>
      <x:c r="INM64" s="293"/>
      <x:c r="INN64" s="293"/>
      <x:c r="INO64" s="293"/>
      <x:c r="INP64" s="293"/>
      <x:c r="INQ64" s="293"/>
      <x:c r="INR64" s="293"/>
      <x:c r="INS64" s="293"/>
      <x:c r="INT64" s="293"/>
      <x:c r="INU64" s="293"/>
      <x:c r="INV64" s="293"/>
      <x:c r="INW64" s="293"/>
      <x:c r="INX64" s="293"/>
      <x:c r="INY64" s="293"/>
      <x:c r="INZ64" s="293"/>
      <x:c r="IOA64" s="293"/>
      <x:c r="IOB64" s="293"/>
      <x:c r="IOC64" s="293"/>
      <x:c r="IOD64" s="293"/>
      <x:c r="IOE64" s="293"/>
      <x:c r="IOF64" s="293"/>
      <x:c r="IOG64" s="293"/>
      <x:c r="IOH64" s="293"/>
      <x:c r="IOI64" s="293"/>
      <x:c r="IOJ64" s="293"/>
      <x:c r="IOK64" s="293"/>
      <x:c r="IOL64" s="293"/>
      <x:c r="IOM64" s="293"/>
      <x:c r="ION64" s="293"/>
      <x:c r="IOO64" s="293"/>
      <x:c r="IOP64" s="293"/>
      <x:c r="IOQ64" s="293"/>
      <x:c r="IOR64" s="293"/>
      <x:c r="IOS64" s="293"/>
      <x:c r="IOT64" s="293"/>
      <x:c r="IOU64" s="293"/>
      <x:c r="IOV64" s="293"/>
      <x:c r="IOW64" s="293"/>
      <x:c r="IOX64" s="293"/>
      <x:c r="IOY64" s="293"/>
      <x:c r="IOZ64" s="293"/>
      <x:c r="IPA64" s="293"/>
      <x:c r="IPB64" s="293"/>
      <x:c r="IPC64" s="293"/>
      <x:c r="IPD64" s="293"/>
      <x:c r="IPE64" s="293"/>
      <x:c r="IPF64" s="293"/>
      <x:c r="IPG64" s="293"/>
      <x:c r="IPH64" s="293"/>
      <x:c r="IPI64" s="293"/>
      <x:c r="IPJ64" s="293"/>
      <x:c r="IPK64" s="293"/>
      <x:c r="IPL64" s="293"/>
      <x:c r="IPM64" s="293"/>
      <x:c r="IPN64" s="293"/>
      <x:c r="IPO64" s="293"/>
      <x:c r="IPP64" s="293"/>
      <x:c r="IPQ64" s="293"/>
      <x:c r="IPR64" s="293"/>
      <x:c r="IPS64" s="293"/>
      <x:c r="IPT64" s="293"/>
      <x:c r="IPU64" s="293"/>
      <x:c r="IPV64" s="293"/>
      <x:c r="IPW64" s="293"/>
      <x:c r="IPX64" s="293"/>
      <x:c r="IPY64" s="293"/>
      <x:c r="IPZ64" s="293"/>
      <x:c r="IQA64" s="293"/>
      <x:c r="IQB64" s="293"/>
      <x:c r="IQC64" s="293"/>
      <x:c r="IQD64" s="293"/>
      <x:c r="IQE64" s="293"/>
      <x:c r="IQF64" s="293"/>
      <x:c r="IQG64" s="293"/>
      <x:c r="IQH64" s="293"/>
      <x:c r="IQI64" s="293"/>
      <x:c r="IQJ64" s="293"/>
      <x:c r="IQK64" s="293"/>
      <x:c r="IQL64" s="293"/>
      <x:c r="IQM64" s="293"/>
      <x:c r="IQN64" s="293"/>
      <x:c r="IQO64" s="293"/>
      <x:c r="IQP64" s="293"/>
      <x:c r="IQQ64" s="293"/>
      <x:c r="IQR64" s="293"/>
      <x:c r="IQS64" s="293"/>
      <x:c r="IQT64" s="293"/>
      <x:c r="IQU64" s="293"/>
      <x:c r="IQV64" s="293"/>
      <x:c r="IQW64" s="293"/>
      <x:c r="IQX64" s="293"/>
      <x:c r="IQY64" s="293"/>
      <x:c r="IQZ64" s="293"/>
      <x:c r="IRA64" s="293"/>
      <x:c r="IRB64" s="293"/>
      <x:c r="IRC64" s="293"/>
      <x:c r="IRD64" s="293"/>
      <x:c r="IRE64" s="293"/>
      <x:c r="IRF64" s="293"/>
      <x:c r="IRG64" s="293"/>
      <x:c r="IRH64" s="293"/>
      <x:c r="IRI64" s="293"/>
      <x:c r="IRJ64" s="293"/>
      <x:c r="IRK64" s="293"/>
      <x:c r="IRL64" s="293"/>
      <x:c r="IRM64" s="293"/>
      <x:c r="IRN64" s="293"/>
      <x:c r="IRO64" s="293"/>
      <x:c r="IRP64" s="293"/>
      <x:c r="IRQ64" s="293"/>
      <x:c r="IRR64" s="293"/>
      <x:c r="IRS64" s="293"/>
      <x:c r="IRT64" s="293"/>
      <x:c r="IRU64" s="293"/>
      <x:c r="IRV64" s="293"/>
      <x:c r="IRW64" s="293"/>
      <x:c r="IRX64" s="293"/>
      <x:c r="IRY64" s="293"/>
      <x:c r="IRZ64" s="293"/>
      <x:c r="ISA64" s="293"/>
      <x:c r="ISB64" s="293"/>
      <x:c r="ISC64" s="293"/>
      <x:c r="ISD64" s="293"/>
      <x:c r="ISE64" s="293"/>
      <x:c r="ISF64" s="293"/>
      <x:c r="ISG64" s="293"/>
      <x:c r="ISH64" s="293"/>
      <x:c r="ISI64" s="293"/>
      <x:c r="ISJ64" s="293"/>
      <x:c r="ISK64" s="293"/>
      <x:c r="ISL64" s="293"/>
      <x:c r="ISM64" s="293"/>
      <x:c r="ISN64" s="293"/>
      <x:c r="ISO64" s="293"/>
      <x:c r="ISP64" s="293"/>
      <x:c r="ISQ64" s="293"/>
      <x:c r="ISR64" s="293"/>
      <x:c r="ISS64" s="293"/>
      <x:c r="IST64" s="293"/>
      <x:c r="ISU64" s="293"/>
      <x:c r="ISV64" s="293"/>
      <x:c r="ISW64" s="293"/>
      <x:c r="ISX64" s="293"/>
      <x:c r="ISY64" s="293"/>
      <x:c r="ISZ64" s="293"/>
      <x:c r="ITA64" s="293"/>
      <x:c r="ITB64" s="293"/>
      <x:c r="ITC64" s="293"/>
      <x:c r="ITD64" s="293"/>
      <x:c r="ITE64" s="293"/>
      <x:c r="ITF64" s="293"/>
      <x:c r="ITG64" s="293"/>
      <x:c r="ITH64" s="293"/>
      <x:c r="ITI64" s="293"/>
      <x:c r="ITJ64" s="293"/>
      <x:c r="ITK64" s="293"/>
      <x:c r="ITL64" s="293"/>
      <x:c r="ITM64" s="293"/>
      <x:c r="ITN64" s="293"/>
      <x:c r="ITO64" s="293"/>
      <x:c r="ITP64" s="293"/>
      <x:c r="ITQ64" s="293"/>
      <x:c r="ITR64" s="293"/>
      <x:c r="ITS64" s="293"/>
      <x:c r="ITT64" s="293"/>
      <x:c r="ITU64" s="293"/>
      <x:c r="ITV64" s="293"/>
      <x:c r="ITW64" s="293"/>
      <x:c r="ITX64" s="293"/>
      <x:c r="ITY64" s="293"/>
      <x:c r="ITZ64" s="293"/>
      <x:c r="IUA64" s="293"/>
      <x:c r="IUB64" s="293"/>
      <x:c r="IUC64" s="293"/>
      <x:c r="IUD64" s="293"/>
      <x:c r="IUE64" s="293"/>
      <x:c r="IUF64" s="293"/>
      <x:c r="IUG64" s="293"/>
      <x:c r="IUH64" s="293"/>
      <x:c r="IUI64" s="293"/>
      <x:c r="IUJ64" s="293"/>
      <x:c r="IUK64" s="293"/>
      <x:c r="IUL64" s="293"/>
      <x:c r="IUM64" s="293"/>
      <x:c r="IUN64" s="293"/>
      <x:c r="IUO64" s="293"/>
      <x:c r="IUP64" s="293"/>
      <x:c r="IUQ64" s="293"/>
      <x:c r="IUR64" s="293"/>
      <x:c r="IUS64" s="293"/>
      <x:c r="IUT64" s="293"/>
      <x:c r="IUU64" s="293"/>
      <x:c r="IUV64" s="293"/>
      <x:c r="IUW64" s="293"/>
      <x:c r="IUX64" s="293"/>
      <x:c r="IUY64" s="293"/>
      <x:c r="IUZ64" s="293"/>
      <x:c r="IVA64" s="293"/>
      <x:c r="IVB64" s="293"/>
      <x:c r="IVC64" s="293"/>
      <x:c r="IVD64" s="293"/>
      <x:c r="IVE64" s="293"/>
      <x:c r="IVF64" s="293"/>
      <x:c r="IVG64" s="293"/>
      <x:c r="IVH64" s="293"/>
      <x:c r="IVI64" s="293"/>
      <x:c r="IVJ64" s="293"/>
      <x:c r="IVK64" s="293"/>
      <x:c r="IVL64" s="293"/>
      <x:c r="IVM64" s="293"/>
      <x:c r="IVN64" s="293"/>
      <x:c r="IVO64" s="293"/>
      <x:c r="IVP64" s="293"/>
      <x:c r="IVQ64" s="293"/>
      <x:c r="IVR64" s="293"/>
      <x:c r="IVS64" s="293"/>
      <x:c r="IVT64" s="293"/>
      <x:c r="IVU64" s="293"/>
      <x:c r="IVV64" s="293"/>
      <x:c r="IVW64" s="293"/>
      <x:c r="IVX64" s="293"/>
      <x:c r="IVY64" s="293"/>
      <x:c r="IVZ64" s="293"/>
      <x:c r="IWA64" s="293"/>
      <x:c r="IWB64" s="293"/>
      <x:c r="IWC64" s="293"/>
      <x:c r="IWD64" s="293"/>
      <x:c r="IWE64" s="293"/>
      <x:c r="IWF64" s="293"/>
      <x:c r="IWG64" s="293"/>
      <x:c r="IWH64" s="293"/>
      <x:c r="IWI64" s="293"/>
      <x:c r="IWJ64" s="293"/>
      <x:c r="IWK64" s="293"/>
      <x:c r="IWL64" s="293"/>
      <x:c r="IWM64" s="293"/>
      <x:c r="IWN64" s="293"/>
      <x:c r="IWO64" s="293"/>
      <x:c r="IWP64" s="293"/>
      <x:c r="IWQ64" s="293"/>
      <x:c r="IWR64" s="293"/>
      <x:c r="IWS64" s="293"/>
      <x:c r="IWT64" s="293"/>
      <x:c r="IWU64" s="293"/>
      <x:c r="IWV64" s="293"/>
      <x:c r="IWW64" s="293"/>
      <x:c r="IWX64" s="293"/>
      <x:c r="IWY64" s="293"/>
      <x:c r="IWZ64" s="293"/>
      <x:c r="IXA64" s="293"/>
      <x:c r="IXB64" s="293"/>
      <x:c r="IXC64" s="293"/>
      <x:c r="IXD64" s="293"/>
      <x:c r="IXE64" s="293"/>
      <x:c r="IXF64" s="293"/>
      <x:c r="IXG64" s="293"/>
      <x:c r="IXH64" s="293"/>
      <x:c r="IXI64" s="293"/>
      <x:c r="IXJ64" s="293"/>
      <x:c r="IXK64" s="293"/>
      <x:c r="IXL64" s="293"/>
      <x:c r="IXM64" s="293"/>
      <x:c r="IXN64" s="293"/>
      <x:c r="IXO64" s="293"/>
      <x:c r="IXP64" s="293"/>
      <x:c r="IXQ64" s="293"/>
      <x:c r="IXR64" s="293"/>
      <x:c r="IXS64" s="293"/>
      <x:c r="IXT64" s="293"/>
      <x:c r="IXU64" s="293"/>
      <x:c r="IXV64" s="293"/>
      <x:c r="IXW64" s="293"/>
      <x:c r="IXX64" s="293"/>
      <x:c r="IXY64" s="293"/>
      <x:c r="IXZ64" s="293"/>
      <x:c r="IYA64" s="293"/>
      <x:c r="IYB64" s="293"/>
      <x:c r="IYC64" s="293"/>
      <x:c r="IYD64" s="293"/>
      <x:c r="IYE64" s="293"/>
      <x:c r="IYF64" s="293"/>
      <x:c r="IYG64" s="293"/>
      <x:c r="IYH64" s="293"/>
      <x:c r="IYI64" s="293"/>
      <x:c r="IYJ64" s="293"/>
      <x:c r="IYK64" s="293"/>
      <x:c r="IYL64" s="293"/>
      <x:c r="IYM64" s="293"/>
      <x:c r="IYN64" s="293"/>
      <x:c r="IYO64" s="293"/>
      <x:c r="IYP64" s="293"/>
      <x:c r="IYQ64" s="293"/>
      <x:c r="IYR64" s="293"/>
      <x:c r="IYS64" s="293"/>
      <x:c r="IYT64" s="293"/>
      <x:c r="IYU64" s="293"/>
      <x:c r="IYV64" s="293"/>
      <x:c r="IYW64" s="293"/>
      <x:c r="IYX64" s="293"/>
      <x:c r="IYY64" s="293"/>
      <x:c r="IYZ64" s="293"/>
      <x:c r="IZA64" s="293"/>
      <x:c r="IZB64" s="293"/>
      <x:c r="IZC64" s="293"/>
      <x:c r="IZD64" s="293"/>
      <x:c r="IZE64" s="293"/>
      <x:c r="IZF64" s="293"/>
      <x:c r="IZG64" s="293"/>
      <x:c r="IZH64" s="293"/>
      <x:c r="IZI64" s="293"/>
      <x:c r="IZJ64" s="293"/>
      <x:c r="IZK64" s="293"/>
      <x:c r="IZL64" s="293"/>
      <x:c r="IZM64" s="293"/>
      <x:c r="IZN64" s="293"/>
      <x:c r="IZO64" s="293"/>
      <x:c r="IZP64" s="293"/>
      <x:c r="IZQ64" s="293"/>
      <x:c r="IZR64" s="293"/>
      <x:c r="IZS64" s="293"/>
      <x:c r="IZT64" s="293"/>
      <x:c r="IZU64" s="293"/>
      <x:c r="IZV64" s="293"/>
      <x:c r="IZW64" s="293"/>
      <x:c r="IZX64" s="293"/>
      <x:c r="IZY64" s="293"/>
      <x:c r="IZZ64" s="293"/>
      <x:c r="JAA64" s="293"/>
      <x:c r="JAB64" s="293"/>
      <x:c r="JAC64" s="293"/>
      <x:c r="JAD64" s="293"/>
      <x:c r="JAE64" s="293"/>
      <x:c r="JAF64" s="293"/>
      <x:c r="JAG64" s="293"/>
      <x:c r="JAH64" s="293"/>
      <x:c r="JAI64" s="293"/>
      <x:c r="JAJ64" s="293"/>
      <x:c r="JAK64" s="293"/>
      <x:c r="JAL64" s="293"/>
      <x:c r="JAM64" s="293"/>
      <x:c r="JAN64" s="293"/>
      <x:c r="JAO64" s="293"/>
      <x:c r="JAP64" s="293"/>
      <x:c r="JAQ64" s="293"/>
      <x:c r="JAR64" s="293"/>
      <x:c r="JAS64" s="293"/>
      <x:c r="JAT64" s="293"/>
      <x:c r="JAU64" s="293"/>
      <x:c r="JAV64" s="293"/>
      <x:c r="JAW64" s="293"/>
      <x:c r="JAX64" s="293"/>
      <x:c r="JAY64" s="293"/>
      <x:c r="JAZ64" s="293"/>
      <x:c r="JBA64" s="293"/>
      <x:c r="JBB64" s="293"/>
      <x:c r="JBC64" s="293"/>
      <x:c r="JBD64" s="293"/>
      <x:c r="JBE64" s="293"/>
      <x:c r="JBF64" s="293"/>
      <x:c r="JBG64" s="293"/>
      <x:c r="JBH64" s="293"/>
      <x:c r="JBI64" s="293"/>
      <x:c r="JBJ64" s="293"/>
      <x:c r="JBK64" s="293"/>
      <x:c r="JBL64" s="293"/>
      <x:c r="JBM64" s="293"/>
      <x:c r="JBN64" s="293"/>
      <x:c r="JBO64" s="293"/>
      <x:c r="JBP64" s="293"/>
      <x:c r="JBQ64" s="293"/>
      <x:c r="JBR64" s="293"/>
      <x:c r="JBS64" s="293"/>
      <x:c r="JBT64" s="293"/>
      <x:c r="JBU64" s="293"/>
      <x:c r="JBV64" s="293"/>
      <x:c r="JBW64" s="293"/>
      <x:c r="JBX64" s="293"/>
      <x:c r="JBY64" s="293"/>
      <x:c r="JBZ64" s="293"/>
      <x:c r="JCA64" s="293"/>
      <x:c r="JCB64" s="293"/>
      <x:c r="JCC64" s="293"/>
      <x:c r="JCD64" s="293"/>
      <x:c r="JCE64" s="293"/>
      <x:c r="JCF64" s="293"/>
      <x:c r="JCG64" s="293"/>
      <x:c r="JCH64" s="293"/>
      <x:c r="JCI64" s="293"/>
      <x:c r="JCJ64" s="293"/>
      <x:c r="JCK64" s="293"/>
      <x:c r="JCL64" s="293"/>
      <x:c r="JCM64" s="293"/>
      <x:c r="JCN64" s="293"/>
      <x:c r="JCO64" s="293"/>
      <x:c r="JCP64" s="293"/>
      <x:c r="JCQ64" s="293"/>
      <x:c r="JCR64" s="293"/>
      <x:c r="JCS64" s="293"/>
      <x:c r="JCT64" s="293"/>
      <x:c r="JCU64" s="293"/>
      <x:c r="JCV64" s="293"/>
      <x:c r="JCW64" s="293"/>
      <x:c r="JCX64" s="293"/>
      <x:c r="JCY64" s="293"/>
      <x:c r="JCZ64" s="293"/>
      <x:c r="JDA64" s="293"/>
      <x:c r="JDB64" s="293"/>
      <x:c r="JDC64" s="293"/>
      <x:c r="JDD64" s="293"/>
      <x:c r="JDE64" s="293"/>
      <x:c r="JDF64" s="293"/>
      <x:c r="JDG64" s="293"/>
      <x:c r="JDH64" s="293"/>
      <x:c r="JDI64" s="293"/>
      <x:c r="JDJ64" s="293"/>
      <x:c r="JDK64" s="293"/>
      <x:c r="JDL64" s="293"/>
      <x:c r="JDM64" s="293"/>
      <x:c r="JDN64" s="293"/>
      <x:c r="JDO64" s="293"/>
      <x:c r="JDP64" s="293"/>
      <x:c r="JDQ64" s="293"/>
      <x:c r="JDR64" s="293"/>
      <x:c r="JDS64" s="293"/>
      <x:c r="JDT64" s="293"/>
      <x:c r="JDU64" s="293"/>
      <x:c r="JDV64" s="293"/>
      <x:c r="JDW64" s="293"/>
      <x:c r="JDX64" s="293"/>
      <x:c r="JDY64" s="293"/>
      <x:c r="JDZ64" s="293"/>
      <x:c r="JEA64" s="293"/>
      <x:c r="JEB64" s="293"/>
      <x:c r="JEC64" s="293"/>
      <x:c r="JED64" s="293"/>
      <x:c r="JEE64" s="293"/>
      <x:c r="JEF64" s="293"/>
      <x:c r="JEG64" s="293"/>
      <x:c r="JEH64" s="293"/>
      <x:c r="JEI64" s="293"/>
      <x:c r="JEJ64" s="293"/>
      <x:c r="JEK64" s="293"/>
      <x:c r="JEL64" s="293"/>
      <x:c r="JEM64" s="293"/>
      <x:c r="JEN64" s="293"/>
      <x:c r="JEO64" s="293"/>
      <x:c r="JEP64" s="293"/>
      <x:c r="JEQ64" s="293"/>
      <x:c r="JER64" s="293"/>
      <x:c r="JES64" s="293"/>
      <x:c r="JET64" s="293"/>
      <x:c r="JEU64" s="293"/>
      <x:c r="JEV64" s="293"/>
      <x:c r="JEW64" s="293"/>
      <x:c r="JEX64" s="293"/>
      <x:c r="JEY64" s="293"/>
      <x:c r="JEZ64" s="293"/>
      <x:c r="JFA64" s="293"/>
      <x:c r="JFB64" s="293"/>
      <x:c r="JFC64" s="293"/>
      <x:c r="JFD64" s="293"/>
      <x:c r="JFE64" s="293"/>
      <x:c r="JFF64" s="293"/>
      <x:c r="JFG64" s="293"/>
      <x:c r="JFH64" s="293"/>
      <x:c r="JFI64" s="293"/>
      <x:c r="JFJ64" s="293"/>
      <x:c r="JFK64" s="293"/>
      <x:c r="JFL64" s="293"/>
      <x:c r="JFM64" s="293"/>
      <x:c r="JFN64" s="293"/>
      <x:c r="JFO64" s="293"/>
      <x:c r="JFP64" s="293"/>
      <x:c r="JFQ64" s="293"/>
      <x:c r="JFR64" s="293"/>
      <x:c r="JFS64" s="293"/>
      <x:c r="JFT64" s="293"/>
      <x:c r="JFU64" s="293"/>
      <x:c r="JFV64" s="293"/>
      <x:c r="JFW64" s="293"/>
      <x:c r="JFX64" s="293"/>
      <x:c r="JFY64" s="293"/>
      <x:c r="JFZ64" s="293"/>
      <x:c r="JGA64" s="293"/>
      <x:c r="JGB64" s="293"/>
      <x:c r="JGC64" s="293"/>
      <x:c r="JGD64" s="293"/>
      <x:c r="JGE64" s="293"/>
      <x:c r="JGF64" s="293"/>
      <x:c r="JGG64" s="293"/>
      <x:c r="JGH64" s="293"/>
      <x:c r="JGI64" s="293"/>
      <x:c r="JGJ64" s="293"/>
      <x:c r="JGK64" s="293"/>
      <x:c r="JGL64" s="293"/>
      <x:c r="JGM64" s="293"/>
      <x:c r="JGN64" s="293"/>
      <x:c r="JGO64" s="293"/>
      <x:c r="JGP64" s="293"/>
      <x:c r="JGQ64" s="293"/>
      <x:c r="JGR64" s="293"/>
      <x:c r="JGS64" s="293"/>
      <x:c r="JGT64" s="293"/>
      <x:c r="JGU64" s="293"/>
      <x:c r="JGV64" s="293"/>
      <x:c r="JGW64" s="293"/>
      <x:c r="JGX64" s="293"/>
      <x:c r="JGY64" s="293"/>
      <x:c r="JGZ64" s="293"/>
      <x:c r="JHA64" s="293"/>
      <x:c r="JHB64" s="293"/>
      <x:c r="JHC64" s="293"/>
      <x:c r="JHD64" s="293"/>
      <x:c r="JHE64" s="293"/>
      <x:c r="JHF64" s="293"/>
      <x:c r="JHG64" s="293"/>
      <x:c r="JHH64" s="293"/>
      <x:c r="JHI64" s="293"/>
      <x:c r="JHJ64" s="293"/>
      <x:c r="JHK64" s="293"/>
      <x:c r="JHL64" s="293"/>
      <x:c r="JHM64" s="293"/>
      <x:c r="JHN64" s="293"/>
      <x:c r="JHO64" s="293"/>
      <x:c r="JHP64" s="293"/>
      <x:c r="JHQ64" s="293"/>
      <x:c r="JHR64" s="293"/>
      <x:c r="JHS64" s="293"/>
      <x:c r="JHT64" s="293"/>
      <x:c r="JHU64" s="293"/>
      <x:c r="JHV64" s="293"/>
      <x:c r="JHW64" s="293"/>
      <x:c r="JHX64" s="293"/>
      <x:c r="JHY64" s="293"/>
      <x:c r="JHZ64" s="293"/>
      <x:c r="JIA64" s="293"/>
      <x:c r="JIB64" s="293"/>
      <x:c r="JIC64" s="293"/>
      <x:c r="JID64" s="293"/>
      <x:c r="JIE64" s="293"/>
      <x:c r="JIF64" s="293"/>
      <x:c r="JIG64" s="293"/>
      <x:c r="JIH64" s="293"/>
      <x:c r="JII64" s="293"/>
      <x:c r="JIJ64" s="293"/>
      <x:c r="JIK64" s="293"/>
      <x:c r="JIL64" s="293"/>
      <x:c r="JIM64" s="293"/>
      <x:c r="JIN64" s="293"/>
      <x:c r="JIO64" s="293"/>
      <x:c r="JIP64" s="293"/>
      <x:c r="JIQ64" s="293"/>
      <x:c r="JIR64" s="293"/>
      <x:c r="JIS64" s="293"/>
      <x:c r="JIT64" s="293"/>
      <x:c r="JIU64" s="293"/>
      <x:c r="JIV64" s="293"/>
      <x:c r="JIW64" s="293"/>
      <x:c r="JIX64" s="293"/>
      <x:c r="JIY64" s="293"/>
      <x:c r="JIZ64" s="293"/>
      <x:c r="JJA64" s="293"/>
      <x:c r="JJB64" s="293"/>
      <x:c r="JJC64" s="293"/>
      <x:c r="JJD64" s="293"/>
      <x:c r="JJE64" s="293"/>
      <x:c r="JJF64" s="293"/>
      <x:c r="JJG64" s="293"/>
      <x:c r="JJH64" s="293"/>
      <x:c r="JJI64" s="293"/>
      <x:c r="JJJ64" s="293"/>
      <x:c r="JJK64" s="293"/>
      <x:c r="JJL64" s="293"/>
      <x:c r="JJM64" s="293"/>
      <x:c r="JJN64" s="293"/>
      <x:c r="JJO64" s="293"/>
      <x:c r="JJP64" s="293"/>
      <x:c r="JJQ64" s="293"/>
      <x:c r="JJR64" s="293"/>
      <x:c r="JJS64" s="293"/>
      <x:c r="JJT64" s="293"/>
      <x:c r="JJU64" s="293"/>
      <x:c r="JJV64" s="293"/>
      <x:c r="JJW64" s="293"/>
      <x:c r="JJX64" s="293"/>
      <x:c r="JJY64" s="293"/>
      <x:c r="JJZ64" s="293"/>
      <x:c r="JKA64" s="293"/>
      <x:c r="JKB64" s="293"/>
      <x:c r="JKC64" s="293"/>
      <x:c r="JKD64" s="293"/>
      <x:c r="JKE64" s="293"/>
      <x:c r="JKF64" s="293"/>
      <x:c r="JKG64" s="293"/>
      <x:c r="JKH64" s="293"/>
      <x:c r="JKI64" s="293"/>
      <x:c r="JKJ64" s="293"/>
      <x:c r="JKK64" s="293"/>
      <x:c r="JKL64" s="293"/>
      <x:c r="JKM64" s="293"/>
      <x:c r="JKN64" s="293"/>
      <x:c r="JKO64" s="293"/>
      <x:c r="JKP64" s="293"/>
      <x:c r="JKQ64" s="293"/>
      <x:c r="JKR64" s="293"/>
      <x:c r="JKS64" s="293"/>
      <x:c r="JKT64" s="293"/>
      <x:c r="JKU64" s="293"/>
      <x:c r="JKV64" s="293"/>
      <x:c r="JKW64" s="293"/>
      <x:c r="JKX64" s="293"/>
      <x:c r="JKY64" s="293"/>
      <x:c r="JKZ64" s="293"/>
      <x:c r="JLA64" s="293"/>
      <x:c r="JLB64" s="293"/>
      <x:c r="JLC64" s="293"/>
      <x:c r="JLD64" s="293"/>
      <x:c r="JLE64" s="293"/>
      <x:c r="JLF64" s="293"/>
      <x:c r="JLG64" s="293"/>
      <x:c r="JLH64" s="293"/>
      <x:c r="JLI64" s="293"/>
      <x:c r="JLJ64" s="293"/>
      <x:c r="JLK64" s="293"/>
      <x:c r="JLL64" s="293"/>
      <x:c r="JLM64" s="293"/>
      <x:c r="JLN64" s="293"/>
      <x:c r="JLO64" s="293"/>
      <x:c r="JLP64" s="293"/>
      <x:c r="JLQ64" s="293"/>
      <x:c r="JLR64" s="293"/>
      <x:c r="JLS64" s="293"/>
      <x:c r="JLT64" s="293"/>
      <x:c r="JLU64" s="293"/>
      <x:c r="JLV64" s="293"/>
      <x:c r="JLW64" s="293"/>
      <x:c r="JLX64" s="293"/>
      <x:c r="JLY64" s="293"/>
      <x:c r="JLZ64" s="293"/>
      <x:c r="JMA64" s="293"/>
      <x:c r="JMB64" s="293"/>
      <x:c r="JMC64" s="293"/>
      <x:c r="JMD64" s="293"/>
      <x:c r="JME64" s="293"/>
      <x:c r="JMF64" s="293"/>
      <x:c r="JMG64" s="293"/>
      <x:c r="JMH64" s="293"/>
      <x:c r="JMI64" s="293"/>
      <x:c r="JMJ64" s="293"/>
      <x:c r="JMK64" s="293"/>
      <x:c r="JML64" s="293"/>
      <x:c r="JMM64" s="293"/>
      <x:c r="JMN64" s="293"/>
      <x:c r="JMO64" s="293"/>
      <x:c r="JMP64" s="293"/>
      <x:c r="JMQ64" s="293"/>
      <x:c r="JMR64" s="293"/>
      <x:c r="JMS64" s="293"/>
      <x:c r="JMT64" s="293"/>
      <x:c r="JMU64" s="293"/>
      <x:c r="JMV64" s="293"/>
      <x:c r="JMW64" s="293"/>
      <x:c r="JMX64" s="293"/>
      <x:c r="JMY64" s="293"/>
      <x:c r="JMZ64" s="293"/>
      <x:c r="JNA64" s="293"/>
      <x:c r="JNB64" s="293"/>
      <x:c r="JNC64" s="293"/>
      <x:c r="JND64" s="293"/>
      <x:c r="JNE64" s="293"/>
      <x:c r="JNF64" s="293"/>
      <x:c r="JNG64" s="293"/>
      <x:c r="JNH64" s="293"/>
      <x:c r="JNI64" s="293"/>
      <x:c r="JNJ64" s="293"/>
      <x:c r="JNK64" s="293"/>
      <x:c r="JNL64" s="293"/>
      <x:c r="JNM64" s="293"/>
      <x:c r="JNN64" s="293"/>
      <x:c r="JNO64" s="293"/>
      <x:c r="JNP64" s="293"/>
      <x:c r="JNQ64" s="293"/>
      <x:c r="JNR64" s="293"/>
      <x:c r="JNS64" s="293"/>
      <x:c r="JNT64" s="293"/>
      <x:c r="JNU64" s="293"/>
      <x:c r="JNV64" s="293"/>
      <x:c r="JNW64" s="293"/>
      <x:c r="JNX64" s="293"/>
      <x:c r="JNY64" s="293"/>
      <x:c r="JNZ64" s="293"/>
      <x:c r="JOA64" s="293"/>
      <x:c r="JOB64" s="293"/>
      <x:c r="JOC64" s="293"/>
      <x:c r="JOD64" s="293"/>
      <x:c r="JOE64" s="293"/>
      <x:c r="JOF64" s="293"/>
      <x:c r="JOG64" s="293"/>
      <x:c r="JOH64" s="293"/>
      <x:c r="JOI64" s="293"/>
      <x:c r="JOJ64" s="293"/>
      <x:c r="JOK64" s="293"/>
      <x:c r="JOL64" s="293"/>
      <x:c r="JOM64" s="293"/>
      <x:c r="JON64" s="293"/>
      <x:c r="JOO64" s="293"/>
      <x:c r="JOP64" s="293"/>
      <x:c r="JOQ64" s="293"/>
      <x:c r="JOR64" s="293"/>
      <x:c r="JOS64" s="293"/>
      <x:c r="JOT64" s="293"/>
      <x:c r="JOU64" s="293"/>
      <x:c r="JOV64" s="293"/>
      <x:c r="JOW64" s="293"/>
      <x:c r="JOX64" s="293"/>
      <x:c r="JOY64" s="293"/>
      <x:c r="JOZ64" s="293"/>
      <x:c r="JPA64" s="293"/>
      <x:c r="JPB64" s="293"/>
      <x:c r="JPC64" s="293"/>
      <x:c r="JPD64" s="293"/>
      <x:c r="JPE64" s="293"/>
      <x:c r="JPF64" s="293"/>
      <x:c r="JPG64" s="293"/>
      <x:c r="JPH64" s="293"/>
      <x:c r="JPI64" s="293"/>
      <x:c r="JPJ64" s="293"/>
      <x:c r="JPK64" s="293"/>
      <x:c r="JPL64" s="293"/>
      <x:c r="JPM64" s="293"/>
      <x:c r="JPN64" s="293"/>
      <x:c r="JPO64" s="293"/>
      <x:c r="JPP64" s="293"/>
      <x:c r="JPQ64" s="293"/>
      <x:c r="JPR64" s="293"/>
      <x:c r="JPS64" s="293"/>
      <x:c r="JPT64" s="293"/>
      <x:c r="JPU64" s="293"/>
      <x:c r="JPV64" s="293"/>
      <x:c r="JPW64" s="293"/>
      <x:c r="JPX64" s="293"/>
      <x:c r="JPY64" s="293"/>
      <x:c r="JPZ64" s="293"/>
      <x:c r="JQA64" s="293"/>
      <x:c r="JQB64" s="293"/>
      <x:c r="JQC64" s="293"/>
      <x:c r="JQD64" s="293"/>
      <x:c r="JQE64" s="293"/>
      <x:c r="JQF64" s="293"/>
      <x:c r="JQG64" s="293"/>
      <x:c r="JQH64" s="293"/>
      <x:c r="JQI64" s="293"/>
      <x:c r="JQJ64" s="293"/>
      <x:c r="JQK64" s="293"/>
      <x:c r="JQL64" s="293"/>
      <x:c r="JQM64" s="293"/>
      <x:c r="JQN64" s="293"/>
      <x:c r="JQO64" s="293"/>
      <x:c r="JQP64" s="293"/>
      <x:c r="JQQ64" s="293"/>
      <x:c r="JQR64" s="293"/>
      <x:c r="JQS64" s="293"/>
      <x:c r="JQT64" s="293"/>
      <x:c r="JQU64" s="293"/>
      <x:c r="JQV64" s="293"/>
      <x:c r="JQW64" s="293"/>
      <x:c r="JQX64" s="293"/>
      <x:c r="JQY64" s="293"/>
      <x:c r="JQZ64" s="293"/>
      <x:c r="JRA64" s="293"/>
      <x:c r="JRB64" s="293"/>
      <x:c r="JRC64" s="293"/>
      <x:c r="JRD64" s="293"/>
      <x:c r="JRE64" s="293"/>
      <x:c r="JRF64" s="293"/>
      <x:c r="JRG64" s="293"/>
      <x:c r="JRH64" s="293"/>
      <x:c r="JRI64" s="293"/>
      <x:c r="JRJ64" s="293"/>
      <x:c r="JRK64" s="293"/>
      <x:c r="JRL64" s="293"/>
      <x:c r="JRM64" s="293"/>
      <x:c r="JRN64" s="293"/>
      <x:c r="JRO64" s="293"/>
      <x:c r="JRP64" s="293"/>
      <x:c r="JRQ64" s="293"/>
      <x:c r="JRR64" s="293"/>
      <x:c r="JRS64" s="293"/>
      <x:c r="JRT64" s="293"/>
      <x:c r="JRU64" s="293"/>
      <x:c r="JRV64" s="293"/>
      <x:c r="JRW64" s="293"/>
      <x:c r="JRX64" s="293"/>
      <x:c r="JRY64" s="293"/>
      <x:c r="JRZ64" s="293"/>
      <x:c r="JSA64" s="293"/>
      <x:c r="JSB64" s="293"/>
      <x:c r="JSC64" s="293"/>
      <x:c r="JSD64" s="293"/>
      <x:c r="JSE64" s="293"/>
      <x:c r="JSF64" s="293"/>
      <x:c r="JSG64" s="293"/>
      <x:c r="JSH64" s="293"/>
      <x:c r="JSI64" s="293"/>
      <x:c r="JSJ64" s="293"/>
      <x:c r="JSK64" s="293"/>
      <x:c r="JSL64" s="293"/>
      <x:c r="JSM64" s="293"/>
      <x:c r="JSN64" s="293"/>
      <x:c r="JSO64" s="293"/>
      <x:c r="JSP64" s="293"/>
      <x:c r="JSQ64" s="293"/>
      <x:c r="JSR64" s="293"/>
      <x:c r="JSS64" s="293"/>
      <x:c r="JST64" s="293"/>
      <x:c r="JSU64" s="293"/>
      <x:c r="JSV64" s="293"/>
      <x:c r="JSW64" s="293"/>
      <x:c r="JSX64" s="293"/>
      <x:c r="JSY64" s="293"/>
      <x:c r="JSZ64" s="293"/>
      <x:c r="JTA64" s="293"/>
      <x:c r="JTB64" s="293"/>
      <x:c r="JTC64" s="293"/>
      <x:c r="JTD64" s="293"/>
      <x:c r="JTE64" s="293"/>
      <x:c r="JTF64" s="293"/>
      <x:c r="JTG64" s="293"/>
      <x:c r="JTH64" s="293"/>
      <x:c r="JTI64" s="293"/>
      <x:c r="JTJ64" s="293"/>
      <x:c r="JTK64" s="293"/>
      <x:c r="JTL64" s="293"/>
      <x:c r="JTM64" s="293"/>
      <x:c r="JTN64" s="293"/>
      <x:c r="JTO64" s="293"/>
      <x:c r="JTP64" s="293"/>
      <x:c r="JTQ64" s="293"/>
      <x:c r="JTR64" s="293"/>
      <x:c r="JTS64" s="293"/>
      <x:c r="JTT64" s="293"/>
      <x:c r="JTU64" s="293"/>
      <x:c r="JTV64" s="293"/>
      <x:c r="JTW64" s="293"/>
      <x:c r="JTX64" s="293"/>
      <x:c r="JTY64" s="293"/>
      <x:c r="JTZ64" s="293"/>
      <x:c r="JUA64" s="293"/>
      <x:c r="JUB64" s="293"/>
      <x:c r="JUC64" s="293"/>
      <x:c r="JUD64" s="293"/>
      <x:c r="JUE64" s="293"/>
      <x:c r="JUF64" s="293"/>
      <x:c r="JUG64" s="293"/>
      <x:c r="JUH64" s="293"/>
      <x:c r="JUI64" s="293"/>
      <x:c r="JUJ64" s="293"/>
      <x:c r="JUK64" s="293"/>
      <x:c r="JUL64" s="293"/>
      <x:c r="JUM64" s="293"/>
      <x:c r="JUN64" s="293"/>
      <x:c r="JUO64" s="293"/>
      <x:c r="JUP64" s="293"/>
      <x:c r="JUQ64" s="293"/>
      <x:c r="JUR64" s="293"/>
      <x:c r="JUS64" s="293"/>
      <x:c r="JUT64" s="293"/>
      <x:c r="JUU64" s="293"/>
      <x:c r="JUV64" s="293"/>
      <x:c r="JUW64" s="293"/>
      <x:c r="JUX64" s="293"/>
      <x:c r="JUY64" s="293"/>
      <x:c r="JUZ64" s="293"/>
      <x:c r="JVA64" s="293"/>
      <x:c r="JVB64" s="293"/>
      <x:c r="JVC64" s="293"/>
      <x:c r="JVD64" s="293"/>
      <x:c r="JVE64" s="293"/>
      <x:c r="JVF64" s="293"/>
      <x:c r="JVG64" s="293"/>
      <x:c r="JVH64" s="293"/>
      <x:c r="JVI64" s="293"/>
      <x:c r="JVJ64" s="293"/>
      <x:c r="JVK64" s="293"/>
      <x:c r="JVL64" s="293"/>
      <x:c r="JVM64" s="293"/>
      <x:c r="JVN64" s="293"/>
      <x:c r="JVO64" s="293"/>
      <x:c r="JVP64" s="293"/>
      <x:c r="JVQ64" s="293"/>
      <x:c r="JVR64" s="293"/>
      <x:c r="JVS64" s="293"/>
      <x:c r="JVT64" s="293"/>
      <x:c r="JVU64" s="293"/>
      <x:c r="JVV64" s="293"/>
      <x:c r="JVW64" s="293"/>
      <x:c r="JVX64" s="293"/>
      <x:c r="JVY64" s="293"/>
      <x:c r="JVZ64" s="293"/>
      <x:c r="JWA64" s="293"/>
      <x:c r="JWB64" s="293"/>
      <x:c r="JWC64" s="293"/>
      <x:c r="JWD64" s="293"/>
      <x:c r="JWE64" s="293"/>
      <x:c r="JWF64" s="293"/>
      <x:c r="JWG64" s="293"/>
      <x:c r="JWH64" s="293"/>
      <x:c r="JWI64" s="293"/>
      <x:c r="JWJ64" s="293"/>
      <x:c r="JWK64" s="293"/>
      <x:c r="JWL64" s="293"/>
      <x:c r="JWM64" s="293"/>
      <x:c r="JWN64" s="293"/>
      <x:c r="JWO64" s="293"/>
      <x:c r="JWP64" s="293"/>
      <x:c r="JWQ64" s="293"/>
      <x:c r="JWR64" s="293"/>
      <x:c r="JWS64" s="293"/>
      <x:c r="JWT64" s="293"/>
      <x:c r="JWU64" s="293"/>
      <x:c r="JWV64" s="293"/>
      <x:c r="JWW64" s="293"/>
      <x:c r="JWX64" s="293"/>
      <x:c r="JWY64" s="293"/>
      <x:c r="JWZ64" s="293"/>
      <x:c r="JXA64" s="293"/>
      <x:c r="JXB64" s="293"/>
      <x:c r="JXC64" s="293"/>
      <x:c r="JXD64" s="293"/>
      <x:c r="JXE64" s="293"/>
      <x:c r="JXF64" s="293"/>
      <x:c r="JXG64" s="293"/>
      <x:c r="JXH64" s="293"/>
      <x:c r="JXI64" s="293"/>
      <x:c r="JXJ64" s="293"/>
      <x:c r="JXK64" s="293"/>
      <x:c r="JXL64" s="293"/>
      <x:c r="JXM64" s="293"/>
      <x:c r="JXN64" s="293"/>
      <x:c r="JXO64" s="293"/>
      <x:c r="JXP64" s="293"/>
      <x:c r="JXQ64" s="293"/>
      <x:c r="JXR64" s="293"/>
      <x:c r="JXS64" s="293"/>
      <x:c r="JXT64" s="293"/>
      <x:c r="JXU64" s="293"/>
      <x:c r="JXV64" s="293"/>
      <x:c r="JXW64" s="293"/>
      <x:c r="JXX64" s="293"/>
      <x:c r="JXY64" s="293"/>
      <x:c r="JXZ64" s="293"/>
      <x:c r="JYA64" s="293"/>
      <x:c r="JYB64" s="293"/>
      <x:c r="JYC64" s="293"/>
      <x:c r="JYD64" s="293"/>
      <x:c r="JYE64" s="293"/>
      <x:c r="JYF64" s="293"/>
      <x:c r="JYG64" s="293"/>
      <x:c r="JYH64" s="293"/>
      <x:c r="JYI64" s="293"/>
      <x:c r="JYJ64" s="293"/>
      <x:c r="JYK64" s="293"/>
      <x:c r="JYL64" s="293"/>
      <x:c r="JYM64" s="293"/>
      <x:c r="JYN64" s="293"/>
      <x:c r="JYO64" s="293"/>
      <x:c r="JYP64" s="293"/>
      <x:c r="JYQ64" s="293"/>
      <x:c r="JYR64" s="293"/>
      <x:c r="JYS64" s="293"/>
      <x:c r="JYT64" s="293"/>
      <x:c r="JYU64" s="293"/>
      <x:c r="JYV64" s="293"/>
      <x:c r="JYW64" s="293"/>
      <x:c r="JYX64" s="293"/>
      <x:c r="JYY64" s="293"/>
      <x:c r="JYZ64" s="293"/>
      <x:c r="JZA64" s="293"/>
      <x:c r="JZB64" s="293"/>
      <x:c r="JZC64" s="293"/>
      <x:c r="JZD64" s="293"/>
      <x:c r="JZE64" s="293"/>
      <x:c r="JZF64" s="293"/>
      <x:c r="JZG64" s="293"/>
      <x:c r="JZH64" s="293"/>
      <x:c r="JZI64" s="293"/>
      <x:c r="JZJ64" s="293"/>
      <x:c r="JZK64" s="293"/>
      <x:c r="JZL64" s="293"/>
      <x:c r="JZM64" s="293"/>
      <x:c r="JZN64" s="293"/>
      <x:c r="JZO64" s="293"/>
      <x:c r="JZP64" s="293"/>
      <x:c r="JZQ64" s="293"/>
      <x:c r="JZR64" s="293"/>
      <x:c r="JZS64" s="293"/>
      <x:c r="JZT64" s="293"/>
      <x:c r="JZU64" s="293"/>
      <x:c r="JZV64" s="293"/>
      <x:c r="JZW64" s="293"/>
      <x:c r="JZX64" s="293"/>
      <x:c r="JZY64" s="293"/>
      <x:c r="JZZ64" s="293"/>
      <x:c r="KAA64" s="293"/>
      <x:c r="KAB64" s="293"/>
      <x:c r="KAC64" s="293"/>
      <x:c r="KAD64" s="293"/>
      <x:c r="KAE64" s="293"/>
      <x:c r="KAF64" s="293"/>
      <x:c r="KAG64" s="293"/>
      <x:c r="KAH64" s="293"/>
      <x:c r="KAI64" s="293"/>
      <x:c r="KAJ64" s="293"/>
      <x:c r="KAK64" s="293"/>
      <x:c r="KAL64" s="293"/>
      <x:c r="KAM64" s="293"/>
      <x:c r="KAN64" s="293"/>
      <x:c r="KAO64" s="293"/>
      <x:c r="KAP64" s="293"/>
      <x:c r="KAQ64" s="293"/>
      <x:c r="KAR64" s="293"/>
      <x:c r="KAS64" s="293"/>
      <x:c r="KAT64" s="293"/>
      <x:c r="KAU64" s="293"/>
      <x:c r="KAV64" s="293"/>
      <x:c r="KAW64" s="293"/>
      <x:c r="KAX64" s="293"/>
      <x:c r="KAY64" s="293"/>
      <x:c r="KAZ64" s="293"/>
      <x:c r="KBA64" s="293"/>
      <x:c r="KBB64" s="293"/>
      <x:c r="KBC64" s="293"/>
      <x:c r="KBD64" s="293"/>
      <x:c r="KBE64" s="293"/>
      <x:c r="KBF64" s="293"/>
      <x:c r="KBG64" s="293"/>
      <x:c r="KBH64" s="293"/>
      <x:c r="KBI64" s="293"/>
      <x:c r="KBJ64" s="293"/>
      <x:c r="KBK64" s="293"/>
      <x:c r="KBL64" s="293"/>
      <x:c r="KBM64" s="293"/>
      <x:c r="KBN64" s="293"/>
      <x:c r="KBO64" s="293"/>
      <x:c r="KBP64" s="293"/>
      <x:c r="KBQ64" s="293"/>
      <x:c r="KBR64" s="293"/>
      <x:c r="KBS64" s="293"/>
      <x:c r="KBT64" s="293"/>
      <x:c r="KBU64" s="293"/>
      <x:c r="KBV64" s="293"/>
      <x:c r="KBW64" s="293"/>
      <x:c r="KBX64" s="293"/>
      <x:c r="KBY64" s="293"/>
      <x:c r="KBZ64" s="293"/>
      <x:c r="KCA64" s="293"/>
      <x:c r="KCB64" s="293"/>
      <x:c r="KCC64" s="293"/>
      <x:c r="KCD64" s="293"/>
      <x:c r="KCE64" s="293"/>
      <x:c r="KCF64" s="293"/>
      <x:c r="KCG64" s="293"/>
      <x:c r="KCH64" s="293"/>
      <x:c r="KCI64" s="293"/>
      <x:c r="KCJ64" s="293"/>
      <x:c r="KCK64" s="293"/>
      <x:c r="KCL64" s="293"/>
      <x:c r="KCM64" s="293"/>
      <x:c r="KCN64" s="293"/>
      <x:c r="KCO64" s="293"/>
      <x:c r="KCP64" s="293"/>
      <x:c r="KCQ64" s="293"/>
      <x:c r="KCR64" s="293"/>
      <x:c r="KCS64" s="293"/>
      <x:c r="KCT64" s="293"/>
      <x:c r="KCU64" s="293"/>
      <x:c r="KCV64" s="293"/>
      <x:c r="KCW64" s="293"/>
      <x:c r="KCX64" s="293"/>
      <x:c r="KCY64" s="293"/>
      <x:c r="KCZ64" s="293"/>
      <x:c r="KDA64" s="293"/>
      <x:c r="KDB64" s="293"/>
      <x:c r="KDC64" s="293"/>
      <x:c r="KDD64" s="293"/>
      <x:c r="KDE64" s="293"/>
      <x:c r="KDF64" s="293"/>
      <x:c r="KDG64" s="293"/>
      <x:c r="KDH64" s="293"/>
      <x:c r="KDI64" s="293"/>
      <x:c r="KDJ64" s="293"/>
      <x:c r="KDK64" s="293"/>
      <x:c r="KDL64" s="293"/>
      <x:c r="KDM64" s="293"/>
      <x:c r="KDN64" s="293"/>
      <x:c r="KDO64" s="293"/>
      <x:c r="KDP64" s="293"/>
      <x:c r="KDQ64" s="293"/>
      <x:c r="KDR64" s="293"/>
      <x:c r="KDS64" s="293"/>
      <x:c r="KDT64" s="293"/>
      <x:c r="KDU64" s="293"/>
      <x:c r="KDV64" s="293"/>
      <x:c r="KDW64" s="293"/>
      <x:c r="KDX64" s="293"/>
      <x:c r="KDY64" s="293"/>
      <x:c r="KDZ64" s="293"/>
      <x:c r="KEA64" s="293"/>
      <x:c r="KEB64" s="293"/>
      <x:c r="KEC64" s="293"/>
      <x:c r="KED64" s="293"/>
      <x:c r="KEE64" s="293"/>
      <x:c r="KEF64" s="293"/>
      <x:c r="KEG64" s="293"/>
      <x:c r="KEH64" s="293"/>
      <x:c r="KEI64" s="293"/>
      <x:c r="KEJ64" s="293"/>
      <x:c r="KEK64" s="293"/>
      <x:c r="KEL64" s="293"/>
      <x:c r="KEM64" s="293"/>
      <x:c r="KEN64" s="293"/>
      <x:c r="KEO64" s="293"/>
      <x:c r="KEP64" s="293"/>
      <x:c r="KEQ64" s="293"/>
      <x:c r="KER64" s="293"/>
      <x:c r="KES64" s="293"/>
      <x:c r="KET64" s="293"/>
      <x:c r="KEU64" s="293"/>
      <x:c r="KEV64" s="293"/>
      <x:c r="KEW64" s="293"/>
      <x:c r="KEX64" s="293"/>
      <x:c r="KEY64" s="293"/>
      <x:c r="KEZ64" s="293"/>
      <x:c r="KFA64" s="293"/>
      <x:c r="KFB64" s="293"/>
      <x:c r="KFC64" s="293"/>
      <x:c r="KFD64" s="293"/>
      <x:c r="KFE64" s="293"/>
      <x:c r="KFF64" s="293"/>
      <x:c r="KFG64" s="293"/>
      <x:c r="KFH64" s="293"/>
      <x:c r="KFI64" s="293"/>
      <x:c r="KFJ64" s="293"/>
      <x:c r="KFK64" s="293"/>
      <x:c r="KFL64" s="293"/>
      <x:c r="KFM64" s="293"/>
      <x:c r="KFN64" s="293"/>
      <x:c r="KFO64" s="293"/>
      <x:c r="KFP64" s="293"/>
      <x:c r="KFQ64" s="293"/>
      <x:c r="KFR64" s="293"/>
      <x:c r="KFS64" s="293"/>
      <x:c r="KFT64" s="293"/>
      <x:c r="KFU64" s="293"/>
      <x:c r="KFV64" s="293"/>
      <x:c r="KFW64" s="293"/>
      <x:c r="KFX64" s="293"/>
      <x:c r="KFY64" s="293"/>
      <x:c r="KFZ64" s="293"/>
      <x:c r="KGA64" s="293"/>
      <x:c r="KGB64" s="293"/>
      <x:c r="KGC64" s="293"/>
      <x:c r="KGD64" s="293"/>
      <x:c r="KGE64" s="293"/>
      <x:c r="KGF64" s="293"/>
      <x:c r="KGG64" s="293"/>
      <x:c r="KGH64" s="293"/>
      <x:c r="KGI64" s="293"/>
      <x:c r="KGJ64" s="293"/>
      <x:c r="KGK64" s="293"/>
      <x:c r="KGL64" s="293"/>
      <x:c r="KGM64" s="293"/>
      <x:c r="KGN64" s="293"/>
      <x:c r="KGO64" s="293"/>
      <x:c r="KGP64" s="293"/>
      <x:c r="KGQ64" s="293"/>
      <x:c r="KGR64" s="293"/>
      <x:c r="KGS64" s="293"/>
      <x:c r="KGT64" s="293"/>
      <x:c r="KGU64" s="293"/>
      <x:c r="KGV64" s="293"/>
      <x:c r="KGW64" s="293"/>
      <x:c r="KGX64" s="293"/>
      <x:c r="KGY64" s="293"/>
      <x:c r="KGZ64" s="293"/>
      <x:c r="KHA64" s="293"/>
      <x:c r="KHB64" s="293"/>
      <x:c r="KHC64" s="293"/>
      <x:c r="KHD64" s="293"/>
      <x:c r="KHE64" s="293"/>
      <x:c r="KHF64" s="293"/>
      <x:c r="KHG64" s="293"/>
      <x:c r="KHH64" s="293"/>
      <x:c r="KHI64" s="293"/>
      <x:c r="KHJ64" s="293"/>
      <x:c r="KHK64" s="293"/>
      <x:c r="KHL64" s="293"/>
      <x:c r="KHM64" s="293"/>
      <x:c r="KHN64" s="293"/>
      <x:c r="KHO64" s="293"/>
      <x:c r="KHP64" s="293"/>
      <x:c r="KHQ64" s="293"/>
      <x:c r="KHR64" s="293"/>
      <x:c r="KHS64" s="293"/>
      <x:c r="KHT64" s="293"/>
      <x:c r="KHU64" s="293"/>
      <x:c r="KHV64" s="293"/>
      <x:c r="KHW64" s="293"/>
      <x:c r="KHX64" s="293"/>
      <x:c r="KHY64" s="293"/>
      <x:c r="KHZ64" s="293"/>
      <x:c r="KIA64" s="293"/>
      <x:c r="KIB64" s="293"/>
      <x:c r="KIC64" s="293"/>
      <x:c r="KID64" s="293"/>
      <x:c r="KIE64" s="293"/>
      <x:c r="KIF64" s="293"/>
      <x:c r="KIG64" s="293"/>
      <x:c r="KIH64" s="293"/>
      <x:c r="KII64" s="293"/>
      <x:c r="KIJ64" s="293"/>
      <x:c r="KIK64" s="293"/>
      <x:c r="KIL64" s="293"/>
      <x:c r="KIM64" s="293"/>
      <x:c r="KIN64" s="293"/>
      <x:c r="KIO64" s="293"/>
      <x:c r="KIP64" s="293"/>
      <x:c r="KIQ64" s="293"/>
      <x:c r="KIR64" s="293"/>
      <x:c r="KIS64" s="293"/>
      <x:c r="KIT64" s="293"/>
      <x:c r="KIU64" s="293"/>
      <x:c r="KIV64" s="293"/>
      <x:c r="KIW64" s="293"/>
      <x:c r="KIX64" s="293"/>
      <x:c r="KIY64" s="293"/>
      <x:c r="KIZ64" s="293"/>
      <x:c r="KJA64" s="293"/>
      <x:c r="KJB64" s="293"/>
      <x:c r="KJC64" s="293"/>
      <x:c r="KJD64" s="293"/>
      <x:c r="KJE64" s="293"/>
      <x:c r="KJF64" s="293"/>
      <x:c r="KJG64" s="293"/>
      <x:c r="KJH64" s="293"/>
      <x:c r="KJI64" s="293"/>
      <x:c r="KJJ64" s="293"/>
      <x:c r="KJK64" s="293"/>
      <x:c r="KJL64" s="293"/>
      <x:c r="KJM64" s="293"/>
      <x:c r="KJN64" s="293"/>
      <x:c r="KJO64" s="293"/>
      <x:c r="KJP64" s="293"/>
      <x:c r="KJQ64" s="293"/>
      <x:c r="KJR64" s="293"/>
      <x:c r="KJS64" s="293"/>
      <x:c r="KJT64" s="293"/>
      <x:c r="KJU64" s="293"/>
      <x:c r="KJV64" s="293"/>
      <x:c r="KJW64" s="293"/>
      <x:c r="KJX64" s="293"/>
      <x:c r="KJY64" s="293"/>
      <x:c r="KJZ64" s="293"/>
      <x:c r="KKA64" s="293"/>
      <x:c r="KKB64" s="293"/>
      <x:c r="KKC64" s="293"/>
      <x:c r="KKD64" s="293"/>
      <x:c r="KKE64" s="293"/>
      <x:c r="KKF64" s="293"/>
      <x:c r="KKG64" s="293"/>
      <x:c r="KKH64" s="293"/>
      <x:c r="KKI64" s="293"/>
      <x:c r="KKJ64" s="293"/>
      <x:c r="KKK64" s="293"/>
      <x:c r="KKL64" s="293"/>
      <x:c r="KKM64" s="293"/>
      <x:c r="KKN64" s="293"/>
      <x:c r="KKO64" s="293"/>
      <x:c r="KKP64" s="293"/>
      <x:c r="KKQ64" s="293"/>
      <x:c r="KKR64" s="293"/>
      <x:c r="KKS64" s="293"/>
      <x:c r="KKT64" s="293"/>
      <x:c r="KKU64" s="293"/>
      <x:c r="KKV64" s="293"/>
      <x:c r="KKW64" s="293"/>
      <x:c r="KKX64" s="293"/>
      <x:c r="KKY64" s="293"/>
      <x:c r="KKZ64" s="293"/>
      <x:c r="KLA64" s="293"/>
      <x:c r="KLB64" s="293"/>
      <x:c r="KLC64" s="293"/>
      <x:c r="KLD64" s="293"/>
      <x:c r="KLE64" s="293"/>
      <x:c r="KLF64" s="293"/>
      <x:c r="KLG64" s="293"/>
      <x:c r="KLH64" s="293"/>
      <x:c r="KLI64" s="293"/>
      <x:c r="KLJ64" s="293"/>
      <x:c r="KLK64" s="293"/>
      <x:c r="KLL64" s="293"/>
      <x:c r="KLM64" s="293"/>
      <x:c r="KLN64" s="293"/>
      <x:c r="KLO64" s="293"/>
      <x:c r="KLP64" s="293"/>
      <x:c r="KLQ64" s="293"/>
      <x:c r="KLR64" s="293"/>
      <x:c r="KLS64" s="293"/>
      <x:c r="KLT64" s="293"/>
      <x:c r="KLU64" s="293"/>
      <x:c r="KLV64" s="293"/>
      <x:c r="KLW64" s="293"/>
      <x:c r="KLX64" s="293"/>
      <x:c r="KLY64" s="293"/>
      <x:c r="KLZ64" s="293"/>
      <x:c r="KMA64" s="293"/>
      <x:c r="KMB64" s="293"/>
      <x:c r="KMC64" s="293"/>
      <x:c r="KMD64" s="293"/>
      <x:c r="KME64" s="293"/>
      <x:c r="KMF64" s="293"/>
      <x:c r="KMG64" s="293"/>
      <x:c r="KMH64" s="293"/>
      <x:c r="KMI64" s="293"/>
      <x:c r="KMJ64" s="293"/>
      <x:c r="KMK64" s="293"/>
      <x:c r="KML64" s="293"/>
      <x:c r="KMM64" s="293"/>
      <x:c r="KMN64" s="293"/>
      <x:c r="KMO64" s="293"/>
      <x:c r="KMP64" s="293"/>
      <x:c r="KMQ64" s="293"/>
      <x:c r="KMR64" s="293"/>
      <x:c r="KMS64" s="293"/>
      <x:c r="KMT64" s="293"/>
      <x:c r="KMU64" s="293"/>
      <x:c r="KMV64" s="293"/>
      <x:c r="KMW64" s="293"/>
      <x:c r="KMX64" s="293"/>
      <x:c r="KMY64" s="293"/>
      <x:c r="KMZ64" s="293"/>
      <x:c r="KNA64" s="293"/>
      <x:c r="KNB64" s="293"/>
      <x:c r="KNC64" s="293"/>
      <x:c r="KND64" s="293"/>
      <x:c r="KNE64" s="293"/>
      <x:c r="KNF64" s="293"/>
      <x:c r="KNG64" s="293"/>
      <x:c r="KNH64" s="293"/>
      <x:c r="KNI64" s="293"/>
      <x:c r="KNJ64" s="293"/>
      <x:c r="KNK64" s="293"/>
      <x:c r="KNL64" s="293"/>
      <x:c r="KNM64" s="293"/>
      <x:c r="KNN64" s="293"/>
      <x:c r="KNO64" s="293"/>
      <x:c r="KNP64" s="293"/>
      <x:c r="KNQ64" s="293"/>
      <x:c r="KNR64" s="293"/>
      <x:c r="KNS64" s="293"/>
      <x:c r="KNT64" s="293"/>
      <x:c r="KNU64" s="293"/>
      <x:c r="KNV64" s="293"/>
      <x:c r="KNW64" s="293"/>
      <x:c r="KNX64" s="293"/>
      <x:c r="KNY64" s="293"/>
      <x:c r="KNZ64" s="293"/>
      <x:c r="KOA64" s="293"/>
      <x:c r="KOB64" s="293"/>
      <x:c r="KOC64" s="293"/>
      <x:c r="KOD64" s="293"/>
      <x:c r="KOE64" s="293"/>
      <x:c r="KOF64" s="293"/>
      <x:c r="KOG64" s="293"/>
      <x:c r="KOH64" s="293"/>
      <x:c r="KOI64" s="293"/>
      <x:c r="KOJ64" s="293"/>
      <x:c r="KOK64" s="293"/>
      <x:c r="KOL64" s="293"/>
      <x:c r="KOM64" s="293"/>
      <x:c r="KON64" s="293"/>
      <x:c r="KOO64" s="293"/>
      <x:c r="KOP64" s="293"/>
      <x:c r="KOQ64" s="293"/>
      <x:c r="KOR64" s="293"/>
      <x:c r="KOS64" s="293"/>
      <x:c r="KOT64" s="293"/>
      <x:c r="KOU64" s="293"/>
      <x:c r="KOV64" s="293"/>
      <x:c r="KOW64" s="293"/>
      <x:c r="KOX64" s="293"/>
      <x:c r="KOY64" s="293"/>
      <x:c r="KOZ64" s="293"/>
      <x:c r="KPA64" s="293"/>
      <x:c r="KPB64" s="293"/>
      <x:c r="KPC64" s="293"/>
      <x:c r="KPD64" s="293"/>
      <x:c r="KPE64" s="293"/>
      <x:c r="KPF64" s="293"/>
      <x:c r="KPG64" s="293"/>
      <x:c r="KPH64" s="293"/>
      <x:c r="KPI64" s="293"/>
      <x:c r="KPJ64" s="293"/>
      <x:c r="KPK64" s="293"/>
      <x:c r="KPL64" s="293"/>
      <x:c r="KPM64" s="293"/>
      <x:c r="KPN64" s="293"/>
      <x:c r="KPO64" s="293"/>
      <x:c r="KPP64" s="293"/>
      <x:c r="KPQ64" s="293"/>
      <x:c r="KPR64" s="293"/>
      <x:c r="KPS64" s="293"/>
      <x:c r="KPT64" s="293"/>
      <x:c r="KPU64" s="293"/>
      <x:c r="KPV64" s="293"/>
      <x:c r="KPW64" s="293"/>
      <x:c r="KPX64" s="293"/>
      <x:c r="KPY64" s="293"/>
      <x:c r="KPZ64" s="293"/>
      <x:c r="KQA64" s="293"/>
      <x:c r="KQB64" s="293"/>
      <x:c r="KQC64" s="293"/>
      <x:c r="KQD64" s="293"/>
      <x:c r="KQE64" s="293"/>
      <x:c r="KQF64" s="293"/>
      <x:c r="KQG64" s="293"/>
      <x:c r="KQH64" s="293"/>
      <x:c r="KQI64" s="293"/>
      <x:c r="KQJ64" s="293"/>
      <x:c r="KQK64" s="293"/>
      <x:c r="KQL64" s="293"/>
      <x:c r="KQM64" s="293"/>
      <x:c r="KQN64" s="293"/>
      <x:c r="KQO64" s="293"/>
      <x:c r="KQP64" s="293"/>
      <x:c r="KQQ64" s="293"/>
      <x:c r="KQR64" s="293"/>
      <x:c r="KQS64" s="293"/>
      <x:c r="KQT64" s="293"/>
      <x:c r="KQU64" s="293"/>
      <x:c r="KQV64" s="293"/>
      <x:c r="KQW64" s="293"/>
      <x:c r="KQX64" s="293"/>
      <x:c r="KQY64" s="293"/>
      <x:c r="KQZ64" s="293"/>
      <x:c r="KRA64" s="293"/>
      <x:c r="KRB64" s="293"/>
      <x:c r="KRC64" s="293"/>
      <x:c r="KRD64" s="293"/>
      <x:c r="KRE64" s="293"/>
      <x:c r="KRF64" s="293"/>
      <x:c r="KRG64" s="293"/>
      <x:c r="KRH64" s="293"/>
      <x:c r="KRI64" s="293"/>
      <x:c r="KRJ64" s="293"/>
      <x:c r="KRK64" s="293"/>
      <x:c r="KRL64" s="293"/>
      <x:c r="KRM64" s="293"/>
      <x:c r="KRN64" s="293"/>
      <x:c r="KRO64" s="293"/>
      <x:c r="KRP64" s="293"/>
      <x:c r="KRQ64" s="293"/>
      <x:c r="KRR64" s="293"/>
      <x:c r="KRS64" s="293"/>
      <x:c r="KRT64" s="293"/>
      <x:c r="KRU64" s="293"/>
      <x:c r="KRV64" s="293"/>
      <x:c r="KRW64" s="293"/>
      <x:c r="KRX64" s="293"/>
      <x:c r="KRY64" s="293"/>
      <x:c r="KRZ64" s="293"/>
      <x:c r="KSA64" s="293"/>
      <x:c r="KSB64" s="293"/>
      <x:c r="KSC64" s="293"/>
      <x:c r="KSD64" s="293"/>
      <x:c r="KSE64" s="293"/>
      <x:c r="KSF64" s="293"/>
      <x:c r="KSG64" s="293"/>
      <x:c r="KSH64" s="293"/>
      <x:c r="KSI64" s="293"/>
      <x:c r="KSJ64" s="293"/>
      <x:c r="KSK64" s="293"/>
      <x:c r="KSL64" s="293"/>
      <x:c r="KSM64" s="293"/>
      <x:c r="KSN64" s="293"/>
      <x:c r="KSO64" s="293"/>
      <x:c r="KSP64" s="293"/>
      <x:c r="KSQ64" s="293"/>
      <x:c r="KSR64" s="293"/>
      <x:c r="KSS64" s="293"/>
      <x:c r="KST64" s="293"/>
      <x:c r="KSU64" s="293"/>
      <x:c r="KSV64" s="293"/>
      <x:c r="KSW64" s="293"/>
      <x:c r="KSX64" s="293"/>
      <x:c r="KSY64" s="293"/>
      <x:c r="KSZ64" s="293"/>
      <x:c r="KTA64" s="293"/>
      <x:c r="KTB64" s="293"/>
      <x:c r="KTC64" s="293"/>
      <x:c r="KTD64" s="293"/>
      <x:c r="KTE64" s="293"/>
      <x:c r="KTF64" s="293"/>
      <x:c r="KTG64" s="293"/>
      <x:c r="KTH64" s="293"/>
      <x:c r="KTI64" s="293"/>
      <x:c r="KTJ64" s="293"/>
      <x:c r="KTK64" s="293"/>
      <x:c r="KTL64" s="293"/>
      <x:c r="KTM64" s="293"/>
      <x:c r="KTN64" s="293"/>
      <x:c r="KTO64" s="293"/>
      <x:c r="KTP64" s="293"/>
      <x:c r="KTQ64" s="293"/>
      <x:c r="KTR64" s="293"/>
      <x:c r="KTS64" s="293"/>
      <x:c r="KTT64" s="293"/>
      <x:c r="KTU64" s="293"/>
      <x:c r="KTV64" s="293"/>
      <x:c r="KTW64" s="293"/>
      <x:c r="KTX64" s="293"/>
      <x:c r="KTY64" s="293"/>
      <x:c r="KTZ64" s="293"/>
      <x:c r="KUA64" s="293"/>
      <x:c r="KUB64" s="293"/>
      <x:c r="KUC64" s="293"/>
      <x:c r="KUD64" s="293"/>
      <x:c r="KUE64" s="293"/>
      <x:c r="KUF64" s="293"/>
      <x:c r="KUG64" s="293"/>
      <x:c r="KUH64" s="293"/>
      <x:c r="KUI64" s="293"/>
      <x:c r="KUJ64" s="293"/>
      <x:c r="KUK64" s="293"/>
      <x:c r="KUL64" s="293"/>
      <x:c r="KUM64" s="293"/>
      <x:c r="KUN64" s="293"/>
      <x:c r="KUO64" s="293"/>
      <x:c r="KUP64" s="293"/>
      <x:c r="KUQ64" s="293"/>
      <x:c r="KUR64" s="293"/>
      <x:c r="KUS64" s="293"/>
      <x:c r="KUT64" s="293"/>
      <x:c r="KUU64" s="293"/>
      <x:c r="KUV64" s="293"/>
      <x:c r="KUW64" s="293"/>
      <x:c r="KUX64" s="293"/>
      <x:c r="KUY64" s="293"/>
      <x:c r="KUZ64" s="293"/>
      <x:c r="KVA64" s="293"/>
      <x:c r="KVB64" s="293"/>
      <x:c r="KVC64" s="293"/>
      <x:c r="KVD64" s="293"/>
      <x:c r="KVE64" s="293"/>
      <x:c r="KVF64" s="293"/>
      <x:c r="KVG64" s="293"/>
      <x:c r="KVH64" s="293"/>
      <x:c r="KVI64" s="293"/>
      <x:c r="KVJ64" s="293"/>
      <x:c r="KVK64" s="293"/>
      <x:c r="KVL64" s="293"/>
      <x:c r="KVM64" s="293"/>
      <x:c r="KVN64" s="293"/>
      <x:c r="KVO64" s="293"/>
      <x:c r="KVP64" s="293"/>
      <x:c r="KVQ64" s="293"/>
      <x:c r="KVR64" s="293"/>
      <x:c r="KVS64" s="293"/>
      <x:c r="KVT64" s="293"/>
      <x:c r="KVU64" s="293"/>
      <x:c r="KVV64" s="293"/>
      <x:c r="KVW64" s="293"/>
      <x:c r="KVX64" s="293"/>
      <x:c r="KVY64" s="293"/>
      <x:c r="KVZ64" s="293"/>
      <x:c r="KWA64" s="293"/>
      <x:c r="KWB64" s="293"/>
      <x:c r="KWC64" s="293"/>
      <x:c r="KWD64" s="293"/>
      <x:c r="KWE64" s="293"/>
      <x:c r="KWF64" s="293"/>
      <x:c r="KWG64" s="293"/>
      <x:c r="KWH64" s="293"/>
      <x:c r="KWI64" s="293"/>
      <x:c r="KWJ64" s="293"/>
      <x:c r="KWK64" s="293"/>
      <x:c r="KWL64" s="293"/>
      <x:c r="KWM64" s="293"/>
      <x:c r="KWN64" s="293"/>
      <x:c r="KWO64" s="293"/>
      <x:c r="KWP64" s="293"/>
      <x:c r="KWQ64" s="293"/>
      <x:c r="KWR64" s="293"/>
      <x:c r="KWS64" s="293"/>
      <x:c r="KWT64" s="293"/>
      <x:c r="KWU64" s="293"/>
      <x:c r="KWV64" s="293"/>
      <x:c r="KWW64" s="293"/>
      <x:c r="KWX64" s="293"/>
      <x:c r="KWY64" s="293"/>
      <x:c r="KWZ64" s="293"/>
      <x:c r="KXA64" s="293"/>
      <x:c r="KXB64" s="293"/>
      <x:c r="KXC64" s="293"/>
      <x:c r="KXD64" s="293"/>
      <x:c r="KXE64" s="293"/>
      <x:c r="KXF64" s="293"/>
      <x:c r="KXG64" s="293"/>
      <x:c r="KXH64" s="293"/>
      <x:c r="KXI64" s="293"/>
      <x:c r="KXJ64" s="293"/>
      <x:c r="KXK64" s="293"/>
      <x:c r="KXL64" s="293"/>
      <x:c r="KXM64" s="293"/>
      <x:c r="KXN64" s="293"/>
      <x:c r="KXO64" s="293"/>
      <x:c r="KXP64" s="293"/>
      <x:c r="KXQ64" s="293"/>
      <x:c r="KXR64" s="293"/>
      <x:c r="KXS64" s="293"/>
      <x:c r="KXT64" s="293"/>
      <x:c r="KXU64" s="293"/>
      <x:c r="KXV64" s="293"/>
      <x:c r="KXW64" s="293"/>
      <x:c r="KXX64" s="293"/>
      <x:c r="KXY64" s="293"/>
      <x:c r="KXZ64" s="293"/>
      <x:c r="KYA64" s="293"/>
      <x:c r="KYB64" s="293"/>
      <x:c r="KYC64" s="293"/>
      <x:c r="KYD64" s="293"/>
      <x:c r="KYE64" s="293"/>
      <x:c r="KYF64" s="293"/>
      <x:c r="KYG64" s="293"/>
      <x:c r="KYH64" s="293"/>
      <x:c r="KYI64" s="293"/>
      <x:c r="KYJ64" s="293"/>
      <x:c r="KYK64" s="293"/>
      <x:c r="KYL64" s="293"/>
      <x:c r="KYM64" s="293"/>
      <x:c r="KYN64" s="293"/>
      <x:c r="KYO64" s="293"/>
      <x:c r="KYP64" s="293"/>
      <x:c r="KYQ64" s="293"/>
      <x:c r="KYR64" s="293"/>
      <x:c r="KYS64" s="293"/>
      <x:c r="KYT64" s="293"/>
      <x:c r="KYU64" s="293"/>
      <x:c r="KYV64" s="293"/>
      <x:c r="KYW64" s="293"/>
      <x:c r="KYX64" s="293"/>
      <x:c r="KYY64" s="293"/>
      <x:c r="KYZ64" s="293"/>
      <x:c r="KZA64" s="293"/>
      <x:c r="KZB64" s="293"/>
      <x:c r="KZC64" s="293"/>
      <x:c r="KZD64" s="293"/>
      <x:c r="KZE64" s="293"/>
      <x:c r="KZF64" s="293"/>
      <x:c r="KZG64" s="293"/>
      <x:c r="KZH64" s="293"/>
      <x:c r="KZI64" s="293"/>
      <x:c r="KZJ64" s="293"/>
      <x:c r="KZK64" s="293"/>
      <x:c r="KZL64" s="293"/>
      <x:c r="KZM64" s="293"/>
      <x:c r="KZN64" s="293"/>
      <x:c r="KZO64" s="293"/>
      <x:c r="KZP64" s="293"/>
      <x:c r="KZQ64" s="293"/>
      <x:c r="KZR64" s="293"/>
      <x:c r="KZS64" s="293"/>
      <x:c r="KZT64" s="293"/>
      <x:c r="KZU64" s="293"/>
      <x:c r="KZV64" s="293"/>
      <x:c r="KZW64" s="293"/>
      <x:c r="KZX64" s="293"/>
      <x:c r="KZY64" s="293"/>
      <x:c r="KZZ64" s="293"/>
      <x:c r="LAA64" s="293"/>
      <x:c r="LAB64" s="293"/>
      <x:c r="LAC64" s="293"/>
      <x:c r="LAD64" s="293"/>
      <x:c r="LAE64" s="293"/>
      <x:c r="LAF64" s="293"/>
      <x:c r="LAG64" s="293"/>
      <x:c r="LAH64" s="293"/>
      <x:c r="LAI64" s="293"/>
      <x:c r="LAJ64" s="293"/>
      <x:c r="LAK64" s="293"/>
      <x:c r="LAL64" s="293"/>
      <x:c r="LAM64" s="293"/>
      <x:c r="LAN64" s="293"/>
      <x:c r="LAO64" s="293"/>
      <x:c r="LAP64" s="293"/>
      <x:c r="LAQ64" s="293"/>
      <x:c r="LAR64" s="293"/>
      <x:c r="LAS64" s="293"/>
      <x:c r="LAT64" s="293"/>
      <x:c r="LAU64" s="293"/>
      <x:c r="LAV64" s="293"/>
      <x:c r="LAW64" s="293"/>
      <x:c r="LAX64" s="293"/>
      <x:c r="LAY64" s="293"/>
      <x:c r="LAZ64" s="293"/>
      <x:c r="LBA64" s="293"/>
      <x:c r="LBB64" s="293"/>
      <x:c r="LBC64" s="293"/>
      <x:c r="LBD64" s="293"/>
      <x:c r="LBE64" s="293"/>
      <x:c r="LBF64" s="293"/>
      <x:c r="LBG64" s="293"/>
      <x:c r="LBH64" s="293"/>
      <x:c r="LBI64" s="293"/>
      <x:c r="LBJ64" s="293"/>
      <x:c r="LBK64" s="293"/>
      <x:c r="LBL64" s="293"/>
      <x:c r="LBM64" s="293"/>
      <x:c r="LBN64" s="293"/>
      <x:c r="LBO64" s="293"/>
      <x:c r="LBP64" s="293"/>
      <x:c r="LBQ64" s="293"/>
      <x:c r="LBR64" s="293"/>
      <x:c r="LBS64" s="293"/>
      <x:c r="LBT64" s="293"/>
      <x:c r="LBU64" s="293"/>
      <x:c r="LBV64" s="293"/>
      <x:c r="LBW64" s="293"/>
      <x:c r="LBX64" s="293"/>
      <x:c r="LBY64" s="293"/>
      <x:c r="LBZ64" s="293"/>
      <x:c r="LCA64" s="293"/>
      <x:c r="LCB64" s="293"/>
      <x:c r="LCC64" s="293"/>
      <x:c r="LCD64" s="293"/>
      <x:c r="LCE64" s="293"/>
      <x:c r="LCF64" s="293"/>
      <x:c r="LCG64" s="293"/>
      <x:c r="LCH64" s="293"/>
      <x:c r="LCI64" s="293"/>
      <x:c r="LCJ64" s="293"/>
      <x:c r="LCK64" s="293"/>
      <x:c r="LCL64" s="293"/>
      <x:c r="LCM64" s="293"/>
      <x:c r="LCN64" s="293"/>
      <x:c r="LCO64" s="293"/>
      <x:c r="LCP64" s="293"/>
      <x:c r="LCQ64" s="293"/>
      <x:c r="LCR64" s="293"/>
      <x:c r="LCS64" s="293"/>
      <x:c r="LCT64" s="293"/>
      <x:c r="LCU64" s="293"/>
      <x:c r="LCV64" s="293"/>
      <x:c r="LCW64" s="293"/>
      <x:c r="LCX64" s="293"/>
      <x:c r="LCY64" s="293"/>
      <x:c r="LCZ64" s="293"/>
      <x:c r="LDA64" s="293"/>
      <x:c r="LDB64" s="293"/>
      <x:c r="LDC64" s="293"/>
      <x:c r="LDD64" s="293"/>
      <x:c r="LDE64" s="293"/>
      <x:c r="LDF64" s="293"/>
      <x:c r="LDG64" s="293"/>
      <x:c r="LDH64" s="293"/>
      <x:c r="LDI64" s="293"/>
      <x:c r="LDJ64" s="293"/>
      <x:c r="LDK64" s="293"/>
      <x:c r="LDL64" s="293"/>
      <x:c r="LDM64" s="293"/>
      <x:c r="LDN64" s="293"/>
      <x:c r="LDO64" s="293"/>
      <x:c r="LDP64" s="293"/>
      <x:c r="LDQ64" s="293"/>
      <x:c r="LDR64" s="293"/>
      <x:c r="LDS64" s="293"/>
      <x:c r="LDT64" s="293"/>
      <x:c r="LDU64" s="293"/>
      <x:c r="LDV64" s="293"/>
      <x:c r="LDW64" s="293"/>
      <x:c r="LDX64" s="293"/>
      <x:c r="LDY64" s="293"/>
      <x:c r="LDZ64" s="293"/>
      <x:c r="LEA64" s="293"/>
      <x:c r="LEB64" s="293"/>
      <x:c r="LEC64" s="293"/>
      <x:c r="LED64" s="293"/>
      <x:c r="LEE64" s="293"/>
      <x:c r="LEF64" s="293"/>
      <x:c r="LEG64" s="293"/>
      <x:c r="LEH64" s="293"/>
      <x:c r="LEI64" s="293"/>
      <x:c r="LEJ64" s="293"/>
      <x:c r="LEK64" s="293"/>
      <x:c r="LEL64" s="293"/>
      <x:c r="LEM64" s="293"/>
      <x:c r="LEN64" s="293"/>
      <x:c r="LEO64" s="293"/>
      <x:c r="LEP64" s="293"/>
      <x:c r="LEQ64" s="293"/>
      <x:c r="LER64" s="293"/>
      <x:c r="LES64" s="293"/>
      <x:c r="LET64" s="293"/>
      <x:c r="LEU64" s="293"/>
      <x:c r="LEV64" s="293"/>
      <x:c r="LEW64" s="293"/>
      <x:c r="LEX64" s="293"/>
      <x:c r="LEY64" s="293"/>
      <x:c r="LEZ64" s="293"/>
      <x:c r="LFA64" s="293"/>
      <x:c r="LFB64" s="293"/>
      <x:c r="LFC64" s="293"/>
      <x:c r="LFD64" s="293"/>
      <x:c r="LFE64" s="293"/>
      <x:c r="LFF64" s="293"/>
      <x:c r="LFG64" s="293"/>
      <x:c r="LFH64" s="293"/>
      <x:c r="LFI64" s="293"/>
      <x:c r="LFJ64" s="293"/>
      <x:c r="LFK64" s="293"/>
      <x:c r="LFL64" s="293"/>
      <x:c r="LFM64" s="293"/>
      <x:c r="LFN64" s="293"/>
      <x:c r="LFO64" s="293"/>
      <x:c r="LFP64" s="293"/>
      <x:c r="LFQ64" s="293"/>
      <x:c r="LFR64" s="293"/>
      <x:c r="LFS64" s="293"/>
      <x:c r="LFT64" s="293"/>
      <x:c r="LFU64" s="293"/>
      <x:c r="LFV64" s="293"/>
      <x:c r="LFW64" s="293"/>
      <x:c r="LFX64" s="293"/>
      <x:c r="LFY64" s="293"/>
      <x:c r="LFZ64" s="293"/>
      <x:c r="LGA64" s="293"/>
      <x:c r="LGB64" s="293"/>
      <x:c r="LGC64" s="293"/>
      <x:c r="LGD64" s="293"/>
      <x:c r="LGE64" s="293"/>
      <x:c r="LGF64" s="293"/>
      <x:c r="LGG64" s="293"/>
      <x:c r="LGH64" s="293"/>
      <x:c r="LGI64" s="293"/>
      <x:c r="LGJ64" s="293"/>
      <x:c r="LGK64" s="293"/>
      <x:c r="LGL64" s="293"/>
      <x:c r="LGM64" s="293"/>
      <x:c r="LGN64" s="293"/>
      <x:c r="LGO64" s="293"/>
      <x:c r="LGP64" s="293"/>
      <x:c r="LGQ64" s="293"/>
      <x:c r="LGR64" s="293"/>
      <x:c r="LGS64" s="293"/>
      <x:c r="LGT64" s="293"/>
      <x:c r="LGU64" s="293"/>
      <x:c r="LGV64" s="293"/>
      <x:c r="LGW64" s="293"/>
      <x:c r="LGX64" s="293"/>
      <x:c r="LGY64" s="293"/>
      <x:c r="LGZ64" s="293"/>
      <x:c r="LHA64" s="293"/>
      <x:c r="LHB64" s="293"/>
      <x:c r="LHC64" s="293"/>
      <x:c r="LHD64" s="293"/>
      <x:c r="LHE64" s="293"/>
      <x:c r="LHF64" s="293"/>
      <x:c r="LHG64" s="293"/>
      <x:c r="LHH64" s="293"/>
      <x:c r="LHI64" s="293"/>
      <x:c r="LHJ64" s="293"/>
      <x:c r="LHK64" s="293"/>
      <x:c r="LHL64" s="293"/>
      <x:c r="LHM64" s="293"/>
      <x:c r="LHN64" s="293"/>
      <x:c r="LHO64" s="293"/>
      <x:c r="LHP64" s="293"/>
      <x:c r="LHQ64" s="293"/>
      <x:c r="LHR64" s="293"/>
      <x:c r="LHS64" s="293"/>
      <x:c r="LHT64" s="293"/>
      <x:c r="LHU64" s="293"/>
      <x:c r="LHV64" s="293"/>
      <x:c r="LHW64" s="293"/>
      <x:c r="LHX64" s="293"/>
      <x:c r="LHY64" s="293"/>
      <x:c r="LHZ64" s="293"/>
      <x:c r="LIA64" s="293"/>
      <x:c r="LIB64" s="293"/>
      <x:c r="LIC64" s="293"/>
      <x:c r="LID64" s="293"/>
      <x:c r="LIE64" s="293"/>
      <x:c r="LIF64" s="293"/>
      <x:c r="LIG64" s="293"/>
      <x:c r="LIH64" s="293"/>
      <x:c r="LII64" s="293"/>
      <x:c r="LIJ64" s="293"/>
      <x:c r="LIK64" s="293"/>
      <x:c r="LIL64" s="293"/>
      <x:c r="LIM64" s="293"/>
      <x:c r="LIN64" s="293"/>
      <x:c r="LIO64" s="293"/>
      <x:c r="LIP64" s="293"/>
      <x:c r="LIQ64" s="293"/>
      <x:c r="LIR64" s="293"/>
      <x:c r="LIS64" s="293"/>
      <x:c r="LIT64" s="293"/>
      <x:c r="LIU64" s="293"/>
      <x:c r="LIV64" s="293"/>
      <x:c r="LIW64" s="293"/>
      <x:c r="LIX64" s="293"/>
      <x:c r="LIY64" s="293"/>
      <x:c r="LIZ64" s="293"/>
      <x:c r="LJA64" s="293"/>
      <x:c r="LJB64" s="293"/>
      <x:c r="LJC64" s="293"/>
      <x:c r="LJD64" s="293"/>
      <x:c r="LJE64" s="293"/>
      <x:c r="LJF64" s="293"/>
      <x:c r="LJG64" s="293"/>
      <x:c r="LJH64" s="293"/>
      <x:c r="LJI64" s="293"/>
      <x:c r="LJJ64" s="293"/>
      <x:c r="LJK64" s="293"/>
      <x:c r="LJL64" s="293"/>
      <x:c r="LJM64" s="293"/>
      <x:c r="LJN64" s="293"/>
      <x:c r="LJO64" s="293"/>
      <x:c r="LJP64" s="293"/>
      <x:c r="LJQ64" s="293"/>
      <x:c r="LJR64" s="293"/>
      <x:c r="LJS64" s="293"/>
      <x:c r="LJT64" s="293"/>
      <x:c r="LJU64" s="293"/>
      <x:c r="LJV64" s="293"/>
      <x:c r="LJW64" s="293"/>
      <x:c r="LJX64" s="293"/>
      <x:c r="LJY64" s="293"/>
      <x:c r="LJZ64" s="293"/>
      <x:c r="LKA64" s="293"/>
      <x:c r="LKB64" s="293"/>
      <x:c r="LKC64" s="293"/>
      <x:c r="LKD64" s="293"/>
      <x:c r="LKE64" s="293"/>
      <x:c r="LKF64" s="293"/>
      <x:c r="LKG64" s="293"/>
      <x:c r="LKH64" s="293"/>
      <x:c r="LKI64" s="293"/>
      <x:c r="LKJ64" s="293"/>
      <x:c r="LKK64" s="293"/>
      <x:c r="LKL64" s="293"/>
      <x:c r="LKM64" s="293"/>
      <x:c r="LKN64" s="293"/>
      <x:c r="LKO64" s="293"/>
      <x:c r="LKP64" s="293"/>
      <x:c r="LKQ64" s="293"/>
      <x:c r="LKR64" s="293"/>
      <x:c r="LKS64" s="293"/>
      <x:c r="LKT64" s="293"/>
      <x:c r="LKU64" s="293"/>
      <x:c r="LKV64" s="293"/>
      <x:c r="LKW64" s="293"/>
      <x:c r="LKX64" s="293"/>
      <x:c r="LKY64" s="293"/>
      <x:c r="LKZ64" s="293"/>
      <x:c r="LLA64" s="293"/>
      <x:c r="LLB64" s="293"/>
      <x:c r="LLC64" s="293"/>
      <x:c r="LLD64" s="293"/>
      <x:c r="LLE64" s="293"/>
      <x:c r="LLF64" s="293"/>
      <x:c r="LLG64" s="293"/>
      <x:c r="LLH64" s="293"/>
      <x:c r="LLI64" s="293"/>
      <x:c r="LLJ64" s="293"/>
      <x:c r="LLK64" s="293"/>
      <x:c r="LLL64" s="293"/>
      <x:c r="LLM64" s="293"/>
      <x:c r="LLN64" s="293"/>
      <x:c r="LLO64" s="293"/>
      <x:c r="LLP64" s="293"/>
      <x:c r="LLQ64" s="293"/>
      <x:c r="LLR64" s="293"/>
      <x:c r="LLS64" s="293"/>
      <x:c r="LLT64" s="293"/>
      <x:c r="LLU64" s="293"/>
      <x:c r="LLV64" s="293"/>
      <x:c r="LLW64" s="293"/>
      <x:c r="LLX64" s="293"/>
      <x:c r="LLY64" s="293"/>
      <x:c r="LLZ64" s="293"/>
      <x:c r="LMA64" s="293"/>
      <x:c r="LMB64" s="293"/>
      <x:c r="LMC64" s="293"/>
      <x:c r="LMD64" s="293"/>
      <x:c r="LME64" s="293"/>
      <x:c r="LMF64" s="293"/>
      <x:c r="LMG64" s="293"/>
      <x:c r="LMH64" s="293"/>
      <x:c r="LMI64" s="293"/>
      <x:c r="LMJ64" s="293"/>
      <x:c r="LMK64" s="293"/>
      <x:c r="LML64" s="293"/>
      <x:c r="LMM64" s="293"/>
      <x:c r="LMN64" s="293"/>
      <x:c r="LMO64" s="293"/>
      <x:c r="LMP64" s="293"/>
      <x:c r="LMQ64" s="293"/>
      <x:c r="LMR64" s="293"/>
      <x:c r="LMS64" s="293"/>
      <x:c r="LMT64" s="293"/>
      <x:c r="LMU64" s="293"/>
      <x:c r="LMV64" s="293"/>
      <x:c r="LMW64" s="293"/>
      <x:c r="LMX64" s="293"/>
      <x:c r="LMY64" s="293"/>
      <x:c r="LMZ64" s="293"/>
      <x:c r="LNA64" s="293"/>
      <x:c r="LNB64" s="293"/>
      <x:c r="LNC64" s="293"/>
      <x:c r="LND64" s="293"/>
      <x:c r="LNE64" s="293"/>
      <x:c r="LNF64" s="293"/>
      <x:c r="LNG64" s="293"/>
      <x:c r="LNH64" s="293"/>
      <x:c r="LNI64" s="293"/>
      <x:c r="LNJ64" s="293"/>
      <x:c r="LNK64" s="293"/>
      <x:c r="LNL64" s="293"/>
      <x:c r="LNM64" s="293"/>
      <x:c r="LNN64" s="293"/>
      <x:c r="LNO64" s="293"/>
      <x:c r="LNP64" s="293"/>
      <x:c r="LNQ64" s="293"/>
      <x:c r="LNR64" s="293"/>
      <x:c r="LNS64" s="293"/>
      <x:c r="LNT64" s="293"/>
      <x:c r="LNU64" s="293"/>
      <x:c r="LNV64" s="293"/>
      <x:c r="LNW64" s="293"/>
      <x:c r="LNX64" s="293"/>
      <x:c r="LNY64" s="293"/>
      <x:c r="LNZ64" s="293"/>
      <x:c r="LOA64" s="293"/>
      <x:c r="LOB64" s="293"/>
      <x:c r="LOC64" s="293"/>
      <x:c r="LOD64" s="293"/>
      <x:c r="LOE64" s="293"/>
      <x:c r="LOF64" s="293"/>
      <x:c r="LOG64" s="293"/>
      <x:c r="LOH64" s="293"/>
      <x:c r="LOI64" s="293"/>
      <x:c r="LOJ64" s="293"/>
      <x:c r="LOK64" s="293"/>
      <x:c r="LOL64" s="293"/>
      <x:c r="LOM64" s="293"/>
      <x:c r="LON64" s="293"/>
      <x:c r="LOO64" s="293"/>
      <x:c r="LOP64" s="293"/>
      <x:c r="LOQ64" s="293"/>
      <x:c r="LOR64" s="293"/>
      <x:c r="LOS64" s="293"/>
      <x:c r="LOT64" s="293"/>
      <x:c r="LOU64" s="293"/>
      <x:c r="LOV64" s="293"/>
      <x:c r="LOW64" s="293"/>
      <x:c r="LOX64" s="293"/>
      <x:c r="LOY64" s="293"/>
      <x:c r="LOZ64" s="293"/>
      <x:c r="LPA64" s="293"/>
      <x:c r="LPB64" s="293"/>
      <x:c r="LPC64" s="293"/>
      <x:c r="LPD64" s="293"/>
      <x:c r="LPE64" s="293"/>
      <x:c r="LPF64" s="293"/>
      <x:c r="LPG64" s="293"/>
      <x:c r="LPH64" s="293"/>
      <x:c r="LPI64" s="293"/>
      <x:c r="LPJ64" s="293"/>
      <x:c r="LPK64" s="293"/>
      <x:c r="LPL64" s="293"/>
      <x:c r="LPM64" s="293"/>
      <x:c r="LPN64" s="293"/>
      <x:c r="LPO64" s="293"/>
      <x:c r="LPP64" s="293"/>
      <x:c r="LPQ64" s="293"/>
      <x:c r="LPR64" s="293"/>
      <x:c r="LPS64" s="293"/>
      <x:c r="LPT64" s="293"/>
      <x:c r="LPU64" s="293"/>
      <x:c r="LPV64" s="293"/>
      <x:c r="LPW64" s="293"/>
      <x:c r="LPX64" s="293"/>
      <x:c r="LPY64" s="293"/>
      <x:c r="LPZ64" s="293"/>
      <x:c r="LQA64" s="293"/>
      <x:c r="LQB64" s="293"/>
      <x:c r="LQC64" s="293"/>
      <x:c r="LQD64" s="293"/>
      <x:c r="LQE64" s="293"/>
      <x:c r="LQF64" s="293"/>
      <x:c r="LQG64" s="293"/>
      <x:c r="LQH64" s="293"/>
      <x:c r="LQI64" s="293"/>
      <x:c r="LQJ64" s="293"/>
      <x:c r="LQK64" s="293"/>
      <x:c r="LQL64" s="293"/>
      <x:c r="LQM64" s="293"/>
      <x:c r="LQN64" s="293"/>
      <x:c r="LQO64" s="293"/>
      <x:c r="LQP64" s="293"/>
      <x:c r="LQQ64" s="293"/>
      <x:c r="LQR64" s="293"/>
      <x:c r="LQS64" s="293"/>
      <x:c r="LQT64" s="293"/>
      <x:c r="LQU64" s="293"/>
      <x:c r="LQV64" s="293"/>
      <x:c r="LQW64" s="293"/>
      <x:c r="LQX64" s="293"/>
      <x:c r="LQY64" s="293"/>
      <x:c r="LQZ64" s="293"/>
      <x:c r="LRA64" s="293"/>
      <x:c r="LRB64" s="293"/>
      <x:c r="LRC64" s="293"/>
      <x:c r="LRD64" s="293"/>
      <x:c r="LRE64" s="293"/>
      <x:c r="LRF64" s="293"/>
      <x:c r="LRG64" s="293"/>
      <x:c r="LRH64" s="293"/>
      <x:c r="LRI64" s="293"/>
      <x:c r="LRJ64" s="293"/>
      <x:c r="LRK64" s="293"/>
      <x:c r="LRL64" s="293"/>
      <x:c r="LRM64" s="293"/>
      <x:c r="LRN64" s="293"/>
      <x:c r="LRO64" s="293"/>
      <x:c r="LRP64" s="293"/>
      <x:c r="LRQ64" s="293"/>
      <x:c r="LRR64" s="293"/>
      <x:c r="LRS64" s="293"/>
      <x:c r="LRT64" s="293"/>
      <x:c r="LRU64" s="293"/>
      <x:c r="LRV64" s="293"/>
      <x:c r="LRW64" s="293"/>
      <x:c r="LRX64" s="293"/>
      <x:c r="LRY64" s="293"/>
      <x:c r="LRZ64" s="293"/>
      <x:c r="LSA64" s="293"/>
      <x:c r="LSB64" s="293"/>
      <x:c r="LSC64" s="293"/>
      <x:c r="LSD64" s="293"/>
      <x:c r="LSE64" s="293"/>
      <x:c r="LSF64" s="293"/>
      <x:c r="LSG64" s="293"/>
      <x:c r="LSH64" s="293"/>
      <x:c r="LSI64" s="293"/>
      <x:c r="LSJ64" s="293"/>
      <x:c r="LSK64" s="293"/>
      <x:c r="LSL64" s="293"/>
      <x:c r="LSM64" s="293"/>
      <x:c r="LSN64" s="293"/>
      <x:c r="LSO64" s="293"/>
      <x:c r="LSP64" s="293"/>
      <x:c r="LSQ64" s="293"/>
      <x:c r="LSR64" s="293"/>
      <x:c r="LSS64" s="293"/>
      <x:c r="LST64" s="293"/>
      <x:c r="LSU64" s="293"/>
      <x:c r="LSV64" s="293"/>
      <x:c r="LSW64" s="293"/>
      <x:c r="LSX64" s="293"/>
      <x:c r="LSY64" s="293"/>
      <x:c r="LSZ64" s="293"/>
      <x:c r="LTA64" s="293"/>
      <x:c r="LTB64" s="293"/>
      <x:c r="LTC64" s="293"/>
      <x:c r="LTD64" s="293"/>
      <x:c r="LTE64" s="293"/>
      <x:c r="LTF64" s="293"/>
      <x:c r="LTG64" s="293"/>
      <x:c r="LTH64" s="293"/>
      <x:c r="LTI64" s="293"/>
      <x:c r="LTJ64" s="293"/>
      <x:c r="LTK64" s="293"/>
      <x:c r="LTL64" s="293"/>
      <x:c r="LTM64" s="293"/>
      <x:c r="LTN64" s="293"/>
      <x:c r="LTO64" s="293"/>
      <x:c r="LTP64" s="293"/>
      <x:c r="LTQ64" s="293"/>
      <x:c r="LTR64" s="293"/>
      <x:c r="LTS64" s="293"/>
      <x:c r="LTT64" s="293"/>
      <x:c r="LTU64" s="293"/>
      <x:c r="LTV64" s="293"/>
      <x:c r="LTW64" s="293"/>
      <x:c r="LTX64" s="293"/>
      <x:c r="LTY64" s="293"/>
      <x:c r="LTZ64" s="293"/>
      <x:c r="LUA64" s="293"/>
      <x:c r="LUB64" s="293"/>
      <x:c r="LUC64" s="293"/>
      <x:c r="LUD64" s="293"/>
      <x:c r="LUE64" s="293"/>
      <x:c r="LUF64" s="293"/>
      <x:c r="LUG64" s="293"/>
      <x:c r="LUH64" s="293"/>
      <x:c r="LUI64" s="293"/>
      <x:c r="LUJ64" s="293"/>
      <x:c r="LUK64" s="293"/>
      <x:c r="LUL64" s="293"/>
      <x:c r="LUM64" s="293"/>
      <x:c r="LUN64" s="293"/>
      <x:c r="LUO64" s="293"/>
      <x:c r="LUP64" s="293"/>
      <x:c r="LUQ64" s="293"/>
      <x:c r="LUR64" s="293"/>
      <x:c r="LUS64" s="293"/>
      <x:c r="LUT64" s="293"/>
      <x:c r="LUU64" s="293"/>
      <x:c r="LUV64" s="293"/>
      <x:c r="LUW64" s="293"/>
      <x:c r="LUX64" s="293"/>
      <x:c r="LUY64" s="293"/>
      <x:c r="LUZ64" s="293"/>
      <x:c r="LVA64" s="293"/>
      <x:c r="LVB64" s="293"/>
      <x:c r="LVC64" s="293"/>
      <x:c r="LVD64" s="293"/>
      <x:c r="LVE64" s="293"/>
      <x:c r="LVF64" s="293"/>
      <x:c r="LVG64" s="293"/>
      <x:c r="LVH64" s="293"/>
      <x:c r="LVI64" s="293"/>
      <x:c r="LVJ64" s="293"/>
      <x:c r="LVK64" s="293"/>
      <x:c r="LVL64" s="293"/>
      <x:c r="LVM64" s="293"/>
      <x:c r="LVN64" s="293"/>
      <x:c r="LVO64" s="293"/>
      <x:c r="LVP64" s="293"/>
      <x:c r="LVQ64" s="293"/>
      <x:c r="LVR64" s="293"/>
      <x:c r="LVS64" s="293"/>
      <x:c r="LVT64" s="293"/>
      <x:c r="LVU64" s="293"/>
      <x:c r="LVV64" s="293"/>
      <x:c r="LVW64" s="293"/>
      <x:c r="LVX64" s="293"/>
      <x:c r="LVY64" s="293"/>
      <x:c r="LVZ64" s="293"/>
      <x:c r="LWA64" s="293"/>
      <x:c r="LWB64" s="293"/>
      <x:c r="LWC64" s="293"/>
      <x:c r="LWD64" s="293"/>
      <x:c r="LWE64" s="293"/>
      <x:c r="LWF64" s="293"/>
      <x:c r="LWG64" s="293"/>
      <x:c r="LWH64" s="293"/>
      <x:c r="LWI64" s="293"/>
      <x:c r="LWJ64" s="293"/>
      <x:c r="LWK64" s="293"/>
      <x:c r="LWL64" s="293"/>
      <x:c r="LWM64" s="293"/>
      <x:c r="LWN64" s="293"/>
      <x:c r="LWO64" s="293"/>
      <x:c r="LWP64" s="293"/>
      <x:c r="LWQ64" s="293"/>
      <x:c r="LWR64" s="293"/>
      <x:c r="LWS64" s="293"/>
      <x:c r="LWT64" s="293"/>
      <x:c r="LWU64" s="293"/>
      <x:c r="LWV64" s="293"/>
      <x:c r="LWW64" s="293"/>
      <x:c r="LWX64" s="293"/>
      <x:c r="LWY64" s="293"/>
      <x:c r="LWZ64" s="293"/>
      <x:c r="LXA64" s="293"/>
      <x:c r="LXB64" s="293"/>
      <x:c r="LXC64" s="293"/>
      <x:c r="LXD64" s="293"/>
      <x:c r="LXE64" s="293"/>
      <x:c r="LXF64" s="293"/>
      <x:c r="LXG64" s="293"/>
      <x:c r="LXH64" s="293"/>
      <x:c r="LXI64" s="293"/>
      <x:c r="LXJ64" s="293"/>
      <x:c r="LXK64" s="293"/>
      <x:c r="LXL64" s="293"/>
      <x:c r="LXM64" s="293"/>
      <x:c r="LXN64" s="293"/>
      <x:c r="LXO64" s="293"/>
      <x:c r="LXP64" s="293"/>
      <x:c r="LXQ64" s="293"/>
      <x:c r="LXR64" s="293"/>
      <x:c r="LXS64" s="293"/>
      <x:c r="LXT64" s="293"/>
      <x:c r="LXU64" s="293"/>
      <x:c r="LXV64" s="293"/>
      <x:c r="LXW64" s="293"/>
      <x:c r="LXX64" s="293"/>
      <x:c r="LXY64" s="293"/>
      <x:c r="LXZ64" s="293"/>
      <x:c r="LYA64" s="293"/>
      <x:c r="LYB64" s="293"/>
      <x:c r="LYC64" s="293"/>
      <x:c r="LYD64" s="293"/>
      <x:c r="LYE64" s="293"/>
      <x:c r="LYF64" s="293"/>
      <x:c r="LYG64" s="293"/>
      <x:c r="LYH64" s="293"/>
      <x:c r="LYI64" s="293"/>
      <x:c r="LYJ64" s="293"/>
      <x:c r="LYK64" s="293"/>
      <x:c r="LYL64" s="293"/>
      <x:c r="LYM64" s="293"/>
      <x:c r="LYN64" s="293"/>
      <x:c r="LYO64" s="293"/>
      <x:c r="LYP64" s="293"/>
      <x:c r="LYQ64" s="293"/>
      <x:c r="LYR64" s="293"/>
      <x:c r="LYS64" s="293"/>
      <x:c r="LYT64" s="293"/>
      <x:c r="LYU64" s="293"/>
      <x:c r="LYV64" s="293"/>
      <x:c r="LYW64" s="293"/>
      <x:c r="LYX64" s="293"/>
      <x:c r="LYY64" s="293"/>
      <x:c r="LYZ64" s="293"/>
      <x:c r="LZA64" s="293"/>
      <x:c r="LZB64" s="293"/>
      <x:c r="LZC64" s="293"/>
      <x:c r="LZD64" s="293"/>
      <x:c r="LZE64" s="293"/>
      <x:c r="LZF64" s="293"/>
      <x:c r="LZG64" s="293"/>
      <x:c r="LZH64" s="293"/>
      <x:c r="LZI64" s="293"/>
      <x:c r="LZJ64" s="293"/>
      <x:c r="LZK64" s="293"/>
      <x:c r="LZL64" s="293"/>
      <x:c r="LZM64" s="293"/>
      <x:c r="LZN64" s="293"/>
      <x:c r="LZO64" s="293"/>
      <x:c r="LZP64" s="293"/>
      <x:c r="LZQ64" s="293"/>
      <x:c r="LZR64" s="293"/>
      <x:c r="LZS64" s="293"/>
      <x:c r="LZT64" s="293"/>
      <x:c r="LZU64" s="293"/>
      <x:c r="LZV64" s="293"/>
      <x:c r="LZW64" s="293"/>
      <x:c r="LZX64" s="293"/>
      <x:c r="LZY64" s="293"/>
      <x:c r="LZZ64" s="293"/>
      <x:c r="MAA64" s="293"/>
      <x:c r="MAB64" s="293"/>
      <x:c r="MAC64" s="293"/>
      <x:c r="MAD64" s="293"/>
      <x:c r="MAE64" s="293"/>
      <x:c r="MAF64" s="293"/>
      <x:c r="MAG64" s="293"/>
      <x:c r="MAH64" s="293"/>
      <x:c r="MAI64" s="293"/>
      <x:c r="MAJ64" s="293"/>
      <x:c r="MAK64" s="293"/>
      <x:c r="MAL64" s="293"/>
      <x:c r="MAM64" s="293"/>
      <x:c r="MAN64" s="293"/>
      <x:c r="MAO64" s="293"/>
      <x:c r="MAP64" s="293"/>
      <x:c r="MAQ64" s="293"/>
      <x:c r="MAR64" s="293"/>
      <x:c r="MAS64" s="293"/>
      <x:c r="MAT64" s="293"/>
      <x:c r="MAU64" s="293"/>
      <x:c r="MAV64" s="293"/>
      <x:c r="MAW64" s="293"/>
      <x:c r="MAX64" s="293"/>
      <x:c r="MAY64" s="293"/>
      <x:c r="MAZ64" s="293"/>
      <x:c r="MBA64" s="293"/>
      <x:c r="MBB64" s="293"/>
      <x:c r="MBC64" s="293"/>
      <x:c r="MBD64" s="293"/>
      <x:c r="MBE64" s="293"/>
      <x:c r="MBF64" s="293"/>
      <x:c r="MBG64" s="293"/>
      <x:c r="MBH64" s="293"/>
      <x:c r="MBI64" s="293"/>
      <x:c r="MBJ64" s="293"/>
      <x:c r="MBK64" s="293"/>
      <x:c r="MBL64" s="293"/>
      <x:c r="MBM64" s="293"/>
      <x:c r="MBN64" s="293"/>
      <x:c r="MBO64" s="293"/>
      <x:c r="MBP64" s="293"/>
      <x:c r="MBQ64" s="293"/>
      <x:c r="MBR64" s="293"/>
      <x:c r="MBS64" s="293"/>
      <x:c r="MBT64" s="293"/>
      <x:c r="MBU64" s="293"/>
      <x:c r="MBV64" s="293"/>
      <x:c r="MBW64" s="293"/>
      <x:c r="MBX64" s="293"/>
      <x:c r="MBY64" s="293"/>
      <x:c r="MBZ64" s="293"/>
      <x:c r="MCA64" s="293"/>
      <x:c r="MCB64" s="293"/>
      <x:c r="MCC64" s="293"/>
      <x:c r="MCD64" s="293"/>
      <x:c r="MCE64" s="293"/>
      <x:c r="MCF64" s="293"/>
      <x:c r="MCG64" s="293"/>
      <x:c r="MCH64" s="293"/>
      <x:c r="MCI64" s="293"/>
      <x:c r="MCJ64" s="293"/>
      <x:c r="MCK64" s="293"/>
      <x:c r="MCL64" s="293"/>
      <x:c r="MCM64" s="293"/>
      <x:c r="MCN64" s="293"/>
      <x:c r="MCO64" s="293"/>
      <x:c r="MCP64" s="293"/>
      <x:c r="MCQ64" s="293"/>
      <x:c r="MCR64" s="293"/>
      <x:c r="MCS64" s="293"/>
      <x:c r="MCT64" s="293"/>
      <x:c r="MCU64" s="293"/>
      <x:c r="MCV64" s="293"/>
      <x:c r="MCW64" s="293"/>
      <x:c r="MCX64" s="293"/>
      <x:c r="MCY64" s="293"/>
      <x:c r="MCZ64" s="293"/>
      <x:c r="MDA64" s="293"/>
      <x:c r="MDB64" s="293"/>
      <x:c r="MDC64" s="293"/>
      <x:c r="MDD64" s="293"/>
      <x:c r="MDE64" s="293"/>
      <x:c r="MDF64" s="293"/>
      <x:c r="MDG64" s="293"/>
      <x:c r="MDH64" s="293"/>
      <x:c r="MDI64" s="293"/>
      <x:c r="MDJ64" s="293"/>
      <x:c r="MDK64" s="293"/>
      <x:c r="MDL64" s="293"/>
      <x:c r="MDM64" s="293"/>
      <x:c r="MDN64" s="293"/>
      <x:c r="MDO64" s="293"/>
      <x:c r="MDP64" s="293"/>
      <x:c r="MDQ64" s="293"/>
      <x:c r="MDR64" s="293"/>
      <x:c r="MDS64" s="293"/>
      <x:c r="MDT64" s="293"/>
      <x:c r="MDU64" s="293"/>
      <x:c r="MDV64" s="293"/>
      <x:c r="MDW64" s="293"/>
      <x:c r="MDX64" s="293"/>
      <x:c r="MDY64" s="293"/>
      <x:c r="MDZ64" s="293"/>
      <x:c r="MEA64" s="293"/>
      <x:c r="MEB64" s="293"/>
      <x:c r="MEC64" s="293"/>
      <x:c r="MED64" s="293"/>
      <x:c r="MEE64" s="293"/>
      <x:c r="MEF64" s="293"/>
      <x:c r="MEG64" s="293"/>
      <x:c r="MEH64" s="293"/>
      <x:c r="MEI64" s="293"/>
      <x:c r="MEJ64" s="293"/>
      <x:c r="MEK64" s="293"/>
      <x:c r="MEL64" s="293"/>
      <x:c r="MEM64" s="293"/>
      <x:c r="MEN64" s="293"/>
      <x:c r="MEO64" s="293"/>
      <x:c r="MEP64" s="293"/>
      <x:c r="MEQ64" s="293"/>
      <x:c r="MER64" s="293"/>
      <x:c r="MES64" s="293"/>
      <x:c r="MET64" s="293"/>
      <x:c r="MEU64" s="293"/>
      <x:c r="MEV64" s="293"/>
      <x:c r="MEW64" s="293"/>
      <x:c r="MEX64" s="293"/>
      <x:c r="MEY64" s="293"/>
      <x:c r="MEZ64" s="293"/>
      <x:c r="MFA64" s="293"/>
      <x:c r="MFB64" s="293"/>
      <x:c r="MFC64" s="293"/>
      <x:c r="MFD64" s="293"/>
      <x:c r="MFE64" s="293"/>
      <x:c r="MFF64" s="293"/>
      <x:c r="MFG64" s="293"/>
      <x:c r="MFH64" s="293"/>
      <x:c r="MFI64" s="293"/>
      <x:c r="MFJ64" s="293"/>
      <x:c r="MFK64" s="293"/>
      <x:c r="MFL64" s="293"/>
      <x:c r="MFM64" s="293"/>
      <x:c r="MFN64" s="293"/>
      <x:c r="MFO64" s="293"/>
      <x:c r="MFP64" s="293"/>
      <x:c r="MFQ64" s="293"/>
      <x:c r="MFR64" s="293"/>
      <x:c r="MFS64" s="293"/>
      <x:c r="MFT64" s="293"/>
      <x:c r="MFU64" s="293"/>
      <x:c r="MFV64" s="293"/>
      <x:c r="MFW64" s="293"/>
      <x:c r="MFX64" s="293"/>
      <x:c r="MFY64" s="293"/>
      <x:c r="MFZ64" s="293"/>
      <x:c r="MGA64" s="293"/>
      <x:c r="MGB64" s="293"/>
      <x:c r="MGC64" s="293"/>
      <x:c r="MGD64" s="293"/>
      <x:c r="MGE64" s="293"/>
      <x:c r="MGF64" s="293"/>
      <x:c r="MGG64" s="293"/>
      <x:c r="MGH64" s="293"/>
      <x:c r="MGI64" s="293"/>
      <x:c r="MGJ64" s="293"/>
      <x:c r="MGK64" s="293"/>
      <x:c r="MGL64" s="293"/>
      <x:c r="MGM64" s="293"/>
      <x:c r="MGN64" s="293"/>
      <x:c r="MGO64" s="293"/>
      <x:c r="MGP64" s="293"/>
      <x:c r="MGQ64" s="293"/>
      <x:c r="MGR64" s="293"/>
      <x:c r="MGS64" s="293"/>
      <x:c r="MGT64" s="293"/>
      <x:c r="MGU64" s="293"/>
      <x:c r="MGV64" s="293"/>
      <x:c r="MGW64" s="293"/>
      <x:c r="MGX64" s="293"/>
      <x:c r="MGY64" s="293"/>
      <x:c r="MGZ64" s="293"/>
      <x:c r="MHA64" s="293"/>
      <x:c r="MHB64" s="293"/>
      <x:c r="MHC64" s="293"/>
      <x:c r="MHD64" s="293"/>
      <x:c r="MHE64" s="293"/>
      <x:c r="MHF64" s="293"/>
      <x:c r="MHG64" s="293"/>
      <x:c r="MHH64" s="293"/>
      <x:c r="MHI64" s="293"/>
      <x:c r="MHJ64" s="293"/>
      <x:c r="MHK64" s="293"/>
      <x:c r="MHL64" s="293"/>
      <x:c r="MHM64" s="293"/>
      <x:c r="MHN64" s="293"/>
      <x:c r="MHO64" s="293"/>
      <x:c r="MHP64" s="293"/>
      <x:c r="MHQ64" s="293"/>
      <x:c r="MHR64" s="293"/>
      <x:c r="MHS64" s="293"/>
      <x:c r="MHT64" s="293"/>
      <x:c r="MHU64" s="293"/>
      <x:c r="MHV64" s="293"/>
      <x:c r="MHW64" s="293"/>
      <x:c r="MHX64" s="293"/>
      <x:c r="MHY64" s="293"/>
      <x:c r="MHZ64" s="293"/>
      <x:c r="MIA64" s="293"/>
      <x:c r="MIB64" s="293"/>
      <x:c r="MIC64" s="293"/>
      <x:c r="MID64" s="293"/>
      <x:c r="MIE64" s="293"/>
      <x:c r="MIF64" s="293"/>
      <x:c r="MIG64" s="293"/>
      <x:c r="MIH64" s="293"/>
      <x:c r="MII64" s="293"/>
      <x:c r="MIJ64" s="293"/>
      <x:c r="MIK64" s="293"/>
      <x:c r="MIL64" s="293"/>
      <x:c r="MIM64" s="293"/>
      <x:c r="MIN64" s="293"/>
      <x:c r="MIO64" s="293"/>
      <x:c r="MIP64" s="293"/>
      <x:c r="MIQ64" s="293"/>
      <x:c r="MIR64" s="293"/>
      <x:c r="MIS64" s="293"/>
      <x:c r="MIT64" s="293"/>
      <x:c r="MIU64" s="293"/>
      <x:c r="MIV64" s="293"/>
      <x:c r="MIW64" s="293"/>
      <x:c r="MIX64" s="293"/>
      <x:c r="MIY64" s="293"/>
      <x:c r="MIZ64" s="293"/>
      <x:c r="MJA64" s="293"/>
      <x:c r="MJB64" s="293"/>
      <x:c r="MJC64" s="293"/>
      <x:c r="MJD64" s="293"/>
      <x:c r="MJE64" s="293"/>
      <x:c r="MJF64" s="293"/>
      <x:c r="MJG64" s="293"/>
      <x:c r="MJH64" s="293"/>
      <x:c r="MJI64" s="293"/>
      <x:c r="MJJ64" s="293"/>
      <x:c r="MJK64" s="293"/>
      <x:c r="MJL64" s="293"/>
      <x:c r="MJM64" s="293"/>
      <x:c r="MJN64" s="293"/>
      <x:c r="MJO64" s="293"/>
      <x:c r="MJP64" s="293"/>
      <x:c r="MJQ64" s="293"/>
      <x:c r="MJR64" s="293"/>
      <x:c r="MJS64" s="293"/>
      <x:c r="MJT64" s="293"/>
      <x:c r="MJU64" s="293"/>
      <x:c r="MJV64" s="293"/>
      <x:c r="MJW64" s="293"/>
      <x:c r="MJX64" s="293"/>
      <x:c r="MJY64" s="293"/>
      <x:c r="MJZ64" s="293"/>
      <x:c r="MKA64" s="293"/>
      <x:c r="MKB64" s="293"/>
      <x:c r="MKC64" s="293"/>
      <x:c r="MKD64" s="293"/>
      <x:c r="MKE64" s="293"/>
      <x:c r="MKF64" s="293"/>
      <x:c r="MKG64" s="293"/>
      <x:c r="MKH64" s="293"/>
      <x:c r="MKI64" s="293"/>
      <x:c r="MKJ64" s="293"/>
      <x:c r="MKK64" s="293"/>
      <x:c r="MKL64" s="293"/>
      <x:c r="MKM64" s="293"/>
      <x:c r="MKN64" s="293"/>
      <x:c r="MKO64" s="293"/>
      <x:c r="MKP64" s="293"/>
      <x:c r="MKQ64" s="293"/>
      <x:c r="MKR64" s="293"/>
      <x:c r="MKS64" s="293"/>
      <x:c r="MKT64" s="293"/>
      <x:c r="MKU64" s="293"/>
      <x:c r="MKV64" s="293"/>
      <x:c r="MKW64" s="293"/>
      <x:c r="MKX64" s="293"/>
      <x:c r="MKY64" s="293"/>
      <x:c r="MKZ64" s="293"/>
      <x:c r="MLA64" s="293"/>
      <x:c r="MLB64" s="293"/>
      <x:c r="MLC64" s="293"/>
      <x:c r="MLD64" s="293"/>
      <x:c r="MLE64" s="293"/>
      <x:c r="MLF64" s="293"/>
      <x:c r="MLG64" s="293"/>
      <x:c r="MLH64" s="293"/>
      <x:c r="MLI64" s="293"/>
      <x:c r="MLJ64" s="293"/>
      <x:c r="MLK64" s="293"/>
      <x:c r="MLL64" s="293"/>
      <x:c r="MLM64" s="293"/>
      <x:c r="MLN64" s="293"/>
      <x:c r="MLO64" s="293"/>
      <x:c r="MLP64" s="293"/>
      <x:c r="MLQ64" s="293"/>
      <x:c r="MLR64" s="293"/>
      <x:c r="MLS64" s="293"/>
      <x:c r="MLT64" s="293"/>
      <x:c r="MLU64" s="293"/>
      <x:c r="MLV64" s="293"/>
      <x:c r="MLW64" s="293"/>
      <x:c r="MLX64" s="293"/>
      <x:c r="MLY64" s="293"/>
      <x:c r="MLZ64" s="293"/>
      <x:c r="MMA64" s="293"/>
      <x:c r="MMB64" s="293"/>
      <x:c r="MMC64" s="293"/>
      <x:c r="MMD64" s="293"/>
      <x:c r="MME64" s="293"/>
      <x:c r="MMF64" s="293"/>
      <x:c r="MMG64" s="293"/>
      <x:c r="MMH64" s="293"/>
      <x:c r="MMI64" s="293"/>
      <x:c r="MMJ64" s="293"/>
      <x:c r="MMK64" s="293"/>
      <x:c r="MML64" s="293"/>
      <x:c r="MMM64" s="293"/>
      <x:c r="MMN64" s="293"/>
      <x:c r="MMO64" s="293"/>
      <x:c r="MMP64" s="293"/>
      <x:c r="MMQ64" s="293"/>
      <x:c r="MMR64" s="293"/>
      <x:c r="MMS64" s="293"/>
      <x:c r="MMT64" s="293"/>
      <x:c r="MMU64" s="293"/>
      <x:c r="MMV64" s="293"/>
      <x:c r="MMW64" s="293"/>
      <x:c r="MMX64" s="293"/>
      <x:c r="MMY64" s="293"/>
      <x:c r="MMZ64" s="293"/>
      <x:c r="MNA64" s="293"/>
      <x:c r="MNB64" s="293"/>
      <x:c r="MNC64" s="293"/>
      <x:c r="MND64" s="293"/>
      <x:c r="MNE64" s="293"/>
      <x:c r="MNF64" s="293"/>
      <x:c r="MNG64" s="293"/>
      <x:c r="MNH64" s="293"/>
      <x:c r="MNI64" s="293"/>
      <x:c r="MNJ64" s="293"/>
      <x:c r="MNK64" s="293"/>
      <x:c r="MNL64" s="293"/>
      <x:c r="MNM64" s="293"/>
      <x:c r="MNN64" s="293"/>
      <x:c r="MNO64" s="293"/>
      <x:c r="MNP64" s="293"/>
      <x:c r="MNQ64" s="293"/>
      <x:c r="MNR64" s="293"/>
      <x:c r="MNS64" s="293"/>
      <x:c r="MNT64" s="293"/>
      <x:c r="MNU64" s="293"/>
      <x:c r="MNV64" s="293"/>
      <x:c r="MNW64" s="293"/>
      <x:c r="MNX64" s="293"/>
      <x:c r="MNY64" s="293"/>
      <x:c r="MNZ64" s="293"/>
      <x:c r="MOA64" s="293"/>
      <x:c r="MOB64" s="293"/>
      <x:c r="MOC64" s="293"/>
      <x:c r="MOD64" s="293"/>
      <x:c r="MOE64" s="293"/>
      <x:c r="MOF64" s="293"/>
      <x:c r="MOG64" s="293"/>
      <x:c r="MOH64" s="293"/>
      <x:c r="MOI64" s="293"/>
      <x:c r="MOJ64" s="293"/>
      <x:c r="MOK64" s="293"/>
      <x:c r="MOL64" s="293"/>
      <x:c r="MOM64" s="293"/>
      <x:c r="MON64" s="293"/>
      <x:c r="MOO64" s="293"/>
      <x:c r="MOP64" s="293"/>
      <x:c r="MOQ64" s="293"/>
      <x:c r="MOR64" s="293"/>
      <x:c r="MOS64" s="293"/>
      <x:c r="MOT64" s="293"/>
      <x:c r="MOU64" s="293"/>
      <x:c r="MOV64" s="293"/>
      <x:c r="MOW64" s="293"/>
      <x:c r="MOX64" s="293"/>
      <x:c r="MOY64" s="293"/>
      <x:c r="MOZ64" s="293"/>
      <x:c r="MPA64" s="293"/>
      <x:c r="MPB64" s="293"/>
      <x:c r="MPC64" s="293"/>
      <x:c r="MPD64" s="293"/>
      <x:c r="MPE64" s="293"/>
      <x:c r="MPF64" s="293"/>
      <x:c r="MPG64" s="293"/>
      <x:c r="MPH64" s="293"/>
      <x:c r="MPI64" s="293"/>
      <x:c r="MPJ64" s="293"/>
      <x:c r="MPK64" s="293"/>
      <x:c r="MPL64" s="293"/>
      <x:c r="MPM64" s="293"/>
      <x:c r="MPN64" s="293"/>
      <x:c r="MPO64" s="293"/>
      <x:c r="MPP64" s="293"/>
      <x:c r="MPQ64" s="293"/>
      <x:c r="MPR64" s="293"/>
      <x:c r="MPS64" s="293"/>
      <x:c r="MPT64" s="293"/>
      <x:c r="MPU64" s="293"/>
      <x:c r="MPV64" s="293"/>
      <x:c r="MPW64" s="293"/>
      <x:c r="MPX64" s="293"/>
      <x:c r="MPY64" s="293"/>
      <x:c r="MPZ64" s="293"/>
      <x:c r="MQA64" s="293"/>
      <x:c r="MQB64" s="293"/>
      <x:c r="MQC64" s="293"/>
      <x:c r="MQD64" s="293"/>
      <x:c r="MQE64" s="293"/>
      <x:c r="MQF64" s="293"/>
      <x:c r="MQG64" s="293"/>
      <x:c r="MQH64" s="293"/>
      <x:c r="MQI64" s="293"/>
      <x:c r="MQJ64" s="293"/>
      <x:c r="MQK64" s="293"/>
      <x:c r="MQL64" s="293"/>
      <x:c r="MQM64" s="293"/>
      <x:c r="MQN64" s="293"/>
      <x:c r="MQO64" s="293"/>
      <x:c r="MQP64" s="293"/>
      <x:c r="MQQ64" s="293"/>
      <x:c r="MQR64" s="293"/>
      <x:c r="MQS64" s="293"/>
      <x:c r="MQT64" s="293"/>
      <x:c r="MQU64" s="293"/>
      <x:c r="MQV64" s="293"/>
      <x:c r="MQW64" s="293"/>
      <x:c r="MQX64" s="293"/>
      <x:c r="MQY64" s="293"/>
      <x:c r="MQZ64" s="293"/>
      <x:c r="MRA64" s="293"/>
      <x:c r="MRB64" s="293"/>
      <x:c r="MRC64" s="293"/>
      <x:c r="MRD64" s="293"/>
      <x:c r="MRE64" s="293"/>
      <x:c r="MRF64" s="293"/>
      <x:c r="MRG64" s="293"/>
      <x:c r="MRH64" s="293"/>
      <x:c r="MRI64" s="293"/>
      <x:c r="MRJ64" s="293"/>
      <x:c r="MRK64" s="293"/>
      <x:c r="MRL64" s="293"/>
      <x:c r="MRM64" s="293"/>
      <x:c r="MRN64" s="293"/>
      <x:c r="MRO64" s="293"/>
      <x:c r="MRP64" s="293"/>
      <x:c r="MRQ64" s="293"/>
      <x:c r="MRR64" s="293"/>
      <x:c r="MRS64" s="293"/>
      <x:c r="MRT64" s="293"/>
      <x:c r="MRU64" s="293"/>
      <x:c r="MRV64" s="293"/>
      <x:c r="MRW64" s="293"/>
      <x:c r="MRX64" s="293"/>
      <x:c r="MRY64" s="293"/>
      <x:c r="MRZ64" s="293"/>
      <x:c r="MSA64" s="293"/>
      <x:c r="MSB64" s="293"/>
      <x:c r="MSC64" s="293"/>
      <x:c r="MSD64" s="293"/>
      <x:c r="MSE64" s="293"/>
      <x:c r="MSF64" s="293"/>
      <x:c r="MSG64" s="293"/>
      <x:c r="MSH64" s="293"/>
      <x:c r="MSI64" s="293"/>
      <x:c r="MSJ64" s="293"/>
      <x:c r="MSK64" s="293"/>
      <x:c r="MSL64" s="293"/>
      <x:c r="MSM64" s="293"/>
      <x:c r="MSN64" s="293"/>
      <x:c r="MSO64" s="293"/>
      <x:c r="MSP64" s="293"/>
      <x:c r="MSQ64" s="293"/>
      <x:c r="MSR64" s="293"/>
      <x:c r="MSS64" s="293"/>
      <x:c r="MST64" s="293"/>
      <x:c r="MSU64" s="293"/>
      <x:c r="MSV64" s="293"/>
      <x:c r="MSW64" s="293"/>
      <x:c r="MSX64" s="293"/>
      <x:c r="MSY64" s="293"/>
      <x:c r="MSZ64" s="293"/>
      <x:c r="MTA64" s="293"/>
      <x:c r="MTB64" s="293"/>
      <x:c r="MTC64" s="293"/>
      <x:c r="MTD64" s="293"/>
      <x:c r="MTE64" s="293"/>
      <x:c r="MTF64" s="293"/>
      <x:c r="MTG64" s="293"/>
      <x:c r="MTH64" s="293"/>
      <x:c r="MTI64" s="293"/>
      <x:c r="MTJ64" s="293"/>
      <x:c r="MTK64" s="293"/>
      <x:c r="MTL64" s="293"/>
      <x:c r="MTM64" s="293"/>
      <x:c r="MTN64" s="293"/>
      <x:c r="MTO64" s="293"/>
      <x:c r="MTP64" s="293"/>
      <x:c r="MTQ64" s="293"/>
      <x:c r="MTR64" s="293"/>
      <x:c r="MTS64" s="293"/>
      <x:c r="MTT64" s="293"/>
      <x:c r="MTU64" s="293"/>
      <x:c r="MTV64" s="293"/>
      <x:c r="MTW64" s="293"/>
      <x:c r="MTX64" s="293"/>
      <x:c r="MTY64" s="293"/>
      <x:c r="MTZ64" s="293"/>
      <x:c r="MUA64" s="293"/>
      <x:c r="MUB64" s="293"/>
      <x:c r="MUC64" s="293"/>
      <x:c r="MUD64" s="293"/>
      <x:c r="MUE64" s="293"/>
      <x:c r="MUF64" s="293"/>
      <x:c r="MUG64" s="293"/>
      <x:c r="MUH64" s="293"/>
      <x:c r="MUI64" s="293"/>
      <x:c r="MUJ64" s="293"/>
      <x:c r="MUK64" s="293"/>
      <x:c r="MUL64" s="293"/>
      <x:c r="MUM64" s="293"/>
      <x:c r="MUN64" s="293"/>
      <x:c r="MUO64" s="293"/>
      <x:c r="MUP64" s="293"/>
      <x:c r="MUQ64" s="293"/>
      <x:c r="MUR64" s="293"/>
      <x:c r="MUS64" s="293"/>
      <x:c r="MUT64" s="293"/>
      <x:c r="MUU64" s="293"/>
      <x:c r="MUV64" s="293"/>
      <x:c r="MUW64" s="293"/>
      <x:c r="MUX64" s="293"/>
      <x:c r="MUY64" s="293"/>
      <x:c r="MUZ64" s="293"/>
      <x:c r="MVA64" s="293"/>
      <x:c r="MVB64" s="293"/>
      <x:c r="MVC64" s="293"/>
      <x:c r="MVD64" s="293"/>
      <x:c r="MVE64" s="293"/>
      <x:c r="MVF64" s="293"/>
      <x:c r="MVG64" s="293"/>
      <x:c r="MVH64" s="293"/>
      <x:c r="MVI64" s="293"/>
      <x:c r="MVJ64" s="293"/>
      <x:c r="MVK64" s="293"/>
      <x:c r="MVL64" s="293"/>
      <x:c r="MVM64" s="293"/>
      <x:c r="MVN64" s="293"/>
      <x:c r="MVO64" s="293"/>
      <x:c r="MVP64" s="293"/>
      <x:c r="MVQ64" s="293"/>
      <x:c r="MVR64" s="293"/>
      <x:c r="MVS64" s="293"/>
      <x:c r="MVT64" s="293"/>
      <x:c r="MVU64" s="293"/>
      <x:c r="MVV64" s="293"/>
      <x:c r="MVW64" s="293"/>
      <x:c r="MVX64" s="293"/>
      <x:c r="MVY64" s="293"/>
      <x:c r="MVZ64" s="293"/>
      <x:c r="MWA64" s="293"/>
      <x:c r="MWB64" s="293"/>
      <x:c r="MWC64" s="293"/>
      <x:c r="MWD64" s="293"/>
      <x:c r="MWE64" s="293"/>
      <x:c r="MWF64" s="293"/>
      <x:c r="MWG64" s="293"/>
      <x:c r="MWH64" s="293"/>
      <x:c r="MWI64" s="293"/>
      <x:c r="MWJ64" s="293"/>
      <x:c r="MWK64" s="293"/>
      <x:c r="MWL64" s="293"/>
      <x:c r="MWM64" s="293"/>
      <x:c r="MWN64" s="293"/>
      <x:c r="MWO64" s="293"/>
      <x:c r="MWP64" s="293"/>
      <x:c r="MWQ64" s="293"/>
      <x:c r="MWR64" s="293"/>
      <x:c r="MWS64" s="293"/>
      <x:c r="MWT64" s="293"/>
      <x:c r="MWU64" s="293"/>
      <x:c r="MWV64" s="293"/>
      <x:c r="MWW64" s="293"/>
      <x:c r="MWX64" s="293"/>
      <x:c r="MWY64" s="293"/>
      <x:c r="MWZ64" s="293"/>
      <x:c r="MXA64" s="293"/>
      <x:c r="MXB64" s="293"/>
      <x:c r="MXC64" s="293"/>
      <x:c r="MXD64" s="293"/>
      <x:c r="MXE64" s="293"/>
      <x:c r="MXF64" s="293"/>
      <x:c r="MXG64" s="293"/>
      <x:c r="MXH64" s="293"/>
      <x:c r="MXI64" s="293"/>
      <x:c r="MXJ64" s="293"/>
      <x:c r="MXK64" s="293"/>
      <x:c r="MXL64" s="293"/>
      <x:c r="MXM64" s="293"/>
      <x:c r="MXN64" s="293"/>
      <x:c r="MXO64" s="293"/>
      <x:c r="MXP64" s="293"/>
      <x:c r="MXQ64" s="293"/>
      <x:c r="MXR64" s="293"/>
      <x:c r="MXS64" s="293"/>
      <x:c r="MXT64" s="293"/>
      <x:c r="MXU64" s="293"/>
      <x:c r="MXV64" s="293"/>
      <x:c r="MXW64" s="293"/>
      <x:c r="MXX64" s="293"/>
      <x:c r="MXY64" s="293"/>
      <x:c r="MXZ64" s="293"/>
      <x:c r="MYA64" s="293"/>
      <x:c r="MYB64" s="293"/>
      <x:c r="MYC64" s="293"/>
      <x:c r="MYD64" s="293"/>
      <x:c r="MYE64" s="293"/>
      <x:c r="MYF64" s="293"/>
      <x:c r="MYG64" s="293"/>
      <x:c r="MYH64" s="293"/>
      <x:c r="MYI64" s="293"/>
      <x:c r="MYJ64" s="293"/>
      <x:c r="MYK64" s="293"/>
      <x:c r="MYL64" s="293"/>
      <x:c r="MYM64" s="293"/>
      <x:c r="MYN64" s="293"/>
      <x:c r="MYO64" s="293"/>
      <x:c r="MYP64" s="293"/>
      <x:c r="MYQ64" s="293"/>
      <x:c r="MYR64" s="293"/>
      <x:c r="MYS64" s="293"/>
      <x:c r="MYT64" s="293"/>
      <x:c r="MYU64" s="293"/>
      <x:c r="MYV64" s="293"/>
      <x:c r="MYW64" s="293"/>
      <x:c r="MYX64" s="293"/>
      <x:c r="MYY64" s="293"/>
      <x:c r="MYZ64" s="293"/>
      <x:c r="MZA64" s="293"/>
      <x:c r="MZB64" s="293"/>
      <x:c r="MZC64" s="293"/>
      <x:c r="MZD64" s="293"/>
      <x:c r="MZE64" s="293"/>
      <x:c r="MZF64" s="293"/>
      <x:c r="MZG64" s="293"/>
      <x:c r="MZH64" s="293"/>
      <x:c r="MZI64" s="293"/>
      <x:c r="MZJ64" s="293"/>
      <x:c r="MZK64" s="293"/>
      <x:c r="MZL64" s="293"/>
      <x:c r="MZM64" s="293"/>
      <x:c r="MZN64" s="293"/>
      <x:c r="MZO64" s="293"/>
      <x:c r="MZP64" s="293"/>
      <x:c r="MZQ64" s="293"/>
      <x:c r="MZR64" s="293"/>
      <x:c r="MZS64" s="293"/>
      <x:c r="MZT64" s="293"/>
      <x:c r="MZU64" s="293"/>
      <x:c r="MZV64" s="293"/>
      <x:c r="MZW64" s="293"/>
      <x:c r="MZX64" s="293"/>
      <x:c r="MZY64" s="293"/>
      <x:c r="MZZ64" s="293"/>
      <x:c r="NAA64" s="293"/>
      <x:c r="NAB64" s="293"/>
      <x:c r="NAC64" s="293"/>
      <x:c r="NAD64" s="293"/>
      <x:c r="NAE64" s="293"/>
      <x:c r="NAF64" s="293"/>
      <x:c r="NAG64" s="293"/>
      <x:c r="NAH64" s="293"/>
      <x:c r="NAI64" s="293"/>
      <x:c r="NAJ64" s="293"/>
      <x:c r="NAK64" s="293"/>
      <x:c r="NAL64" s="293"/>
      <x:c r="NAM64" s="293"/>
      <x:c r="NAN64" s="293"/>
      <x:c r="NAO64" s="293"/>
      <x:c r="NAP64" s="293"/>
      <x:c r="NAQ64" s="293"/>
      <x:c r="NAR64" s="293"/>
      <x:c r="NAS64" s="293"/>
      <x:c r="NAT64" s="293"/>
      <x:c r="NAU64" s="293"/>
      <x:c r="NAV64" s="293"/>
      <x:c r="NAW64" s="293"/>
      <x:c r="NAX64" s="293"/>
      <x:c r="NAY64" s="293"/>
      <x:c r="NAZ64" s="293"/>
      <x:c r="NBA64" s="293"/>
      <x:c r="NBB64" s="293"/>
      <x:c r="NBC64" s="293"/>
      <x:c r="NBD64" s="293"/>
      <x:c r="NBE64" s="293"/>
      <x:c r="NBF64" s="293"/>
      <x:c r="NBG64" s="293"/>
      <x:c r="NBH64" s="293"/>
      <x:c r="NBI64" s="293"/>
      <x:c r="NBJ64" s="293"/>
      <x:c r="NBK64" s="293"/>
      <x:c r="NBL64" s="293"/>
      <x:c r="NBM64" s="293"/>
      <x:c r="NBN64" s="293"/>
      <x:c r="NBO64" s="293"/>
      <x:c r="NBP64" s="293"/>
      <x:c r="NBQ64" s="293"/>
      <x:c r="NBR64" s="293"/>
      <x:c r="NBS64" s="293"/>
      <x:c r="NBT64" s="293"/>
      <x:c r="NBU64" s="293"/>
      <x:c r="NBV64" s="293"/>
      <x:c r="NBW64" s="293"/>
      <x:c r="NBX64" s="293"/>
      <x:c r="NBY64" s="293"/>
      <x:c r="NBZ64" s="293"/>
      <x:c r="NCA64" s="293"/>
      <x:c r="NCB64" s="293"/>
      <x:c r="NCC64" s="293"/>
      <x:c r="NCD64" s="293"/>
      <x:c r="NCE64" s="293"/>
      <x:c r="NCF64" s="293"/>
      <x:c r="NCG64" s="293"/>
      <x:c r="NCH64" s="293"/>
      <x:c r="NCI64" s="293"/>
      <x:c r="NCJ64" s="293"/>
      <x:c r="NCK64" s="293"/>
      <x:c r="NCL64" s="293"/>
      <x:c r="NCM64" s="293"/>
      <x:c r="NCN64" s="293"/>
      <x:c r="NCO64" s="293"/>
      <x:c r="NCP64" s="293"/>
      <x:c r="NCQ64" s="293"/>
      <x:c r="NCR64" s="293"/>
      <x:c r="NCS64" s="293"/>
      <x:c r="NCT64" s="293"/>
      <x:c r="NCU64" s="293"/>
      <x:c r="NCV64" s="293"/>
      <x:c r="NCW64" s="293"/>
      <x:c r="NCX64" s="293"/>
      <x:c r="NCY64" s="293"/>
      <x:c r="NCZ64" s="293"/>
      <x:c r="NDA64" s="293"/>
      <x:c r="NDB64" s="293"/>
      <x:c r="NDC64" s="293"/>
      <x:c r="NDD64" s="293"/>
      <x:c r="NDE64" s="293"/>
      <x:c r="NDF64" s="293"/>
      <x:c r="NDG64" s="293"/>
      <x:c r="NDH64" s="293"/>
      <x:c r="NDI64" s="293"/>
      <x:c r="NDJ64" s="293"/>
      <x:c r="NDK64" s="293"/>
      <x:c r="NDL64" s="293"/>
      <x:c r="NDM64" s="293"/>
      <x:c r="NDN64" s="293"/>
      <x:c r="NDO64" s="293"/>
      <x:c r="NDP64" s="293"/>
      <x:c r="NDQ64" s="293"/>
      <x:c r="NDR64" s="293"/>
      <x:c r="NDS64" s="293"/>
      <x:c r="NDT64" s="293"/>
      <x:c r="NDU64" s="293"/>
      <x:c r="NDV64" s="293"/>
      <x:c r="NDW64" s="293"/>
      <x:c r="NDX64" s="293"/>
      <x:c r="NDY64" s="293"/>
      <x:c r="NDZ64" s="293"/>
      <x:c r="NEA64" s="293"/>
      <x:c r="NEB64" s="293"/>
      <x:c r="NEC64" s="293"/>
      <x:c r="NED64" s="293"/>
      <x:c r="NEE64" s="293"/>
      <x:c r="NEF64" s="293"/>
      <x:c r="NEG64" s="293"/>
      <x:c r="NEH64" s="293"/>
      <x:c r="NEI64" s="293"/>
      <x:c r="NEJ64" s="293"/>
      <x:c r="NEK64" s="293"/>
      <x:c r="NEL64" s="293"/>
      <x:c r="NEM64" s="293"/>
      <x:c r="NEN64" s="293"/>
      <x:c r="NEO64" s="293"/>
      <x:c r="NEP64" s="293"/>
      <x:c r="NEQ64" s="293"/>
      <x:c r="NER64" s="293"/>
      <x:c r="NES64" s="293"/>
      <x:c r="NET64" s="293"/>
      <x:c r="NEU64" s="293"/>
      <x:c r="NEV64" s="293"/>
      <x:c r="NEW64" s="293"/>
      <x:c r="NEX64" s="293"/>
      <x:c r="NEY64" s="293"/>
      <x:c r="NEZ64" s="293"/>
      <x:c r="NFA64" s="293"/>
      <x:c r="NFB64" s="293"/>
      <x:c r="NFC64" s="293"/>
      <x:c r="NFD64" s="293"/>
      <x:c r="NFE64" s="293"/>
      <x:c r="NFF64" s="293"/>
      <x:c r="NFG64" s="293"/>
      <x:c r="NFH64" s="293"/>
      <x:c r="NFI64" s="293"/>
      <x:c r="NFJ64" s="293"/>
      <x:c r="NFK64" s="293"/>
      <x:c r="NFL64" s="293"/>
      <x:c r="NFM64" s="293"/>
      <x:c r="NFN64" s="293"/>
      <x:c r="NFO64" s="293"/>
      <x:c r="NFP64" s="293"/>
      <x:c r="NFQ64" s="293"/>
      <x:c r="NFR64" s="293"/>
      <x:c r="NFS64" s="293"/>
      <x:c r="NFT64" s="293"/>
      <x:c r="NFU64" s="293"/>
      <x:c r="NFV64" s="293"/>
      <x:c r="NFW64" s="293"/>
      <x:c r="NFX64" s="293"/>
      <x:c r="NFY64" s="293"/>
      <x:c r="NFZ64" s="293"/>
      <x:c r="NGA64" s="293"/>
      <x:c r="NGB64" s="293"/>
      <x:c r="NGC64" s="293"/>
      <x:c r="NGD64" s="293"/>
      <x:c r="NGE64" s="293"/>
      <x:c r="NGF64" s="293"/>
      <x:c r="NGG64" s="293"/>
      <x:c r="NGH64" s="293"/>
      <x:c r="NGI64" s="293"/>
      <x:c r="NGJ64" s="293"/>
      <x:c r="NGK64" s="293"/>
      <x:c r="NGL64" s="293"/>
      <x:c r="NGM64" s="293"/>
      <x:c r="NGN64" s="293"/>
      <x:c r="NGO64" s="293"/>
      <x:c r="NGP64" s="293"/>
      <x:c r="NGQ64" s="293"/>
      <x:c r="NGR64" s="293"/>
      <x:c r="NGS64" s="293"/>
      <x:c r="NGT64" s="293"/>
      <x:c r="NGU64" s="293"/>
      <x:c r="NGV64" s="293"/>
      <x:c r="NGW64" s="293"/>
      <x:c r="NGX64" s="293"/>
      <x:c r="NGY64" s="293"/>
      <x:c r="NGZ64" s="293"/>
      <x:c r="NHA64" s="293"/>
      <x:c r="NHB64" s="293"/>
      <x:c r="NHC64" s="293"/>
      <x:c r="NHD64" s="293"/>
      <x:c r="NHE64" s="293"/>
      <x:c r="NHF64" s="293"/>
      <x:c r="NHG64" s="293"/>
      <x:c r="NHH64" s="293"/>
      <x:c r="NHI64" s="293"/>
      <x:c r="NHJ64" s="293"/>
      <x:c r="NHK64" s="293"/>
      <x:c r="NHL64" s="293"/>
      <x:c r="NHM64" s="293"/>
      <x:c r="NHN64" s="293"/>
      <x:c r="NHO64" s="293"/>
      <x:c r="NHP64" s="293"/>
      <x:c r="NHQ64" s="293"/>
      <x:c r="NHR64" s="293"/>
      <x:c r="NHS64" s="293"/>
      <x:c r="NHT64" s="293"/>
      <x:c r="NHU64" s="293"/>
      <x:c r="NHV64" s="293"/>
      <x:c r="NHW64" s="293"/>
      <x:c r="NHX64" s="293"/>
      <x:c r="NHY64" s="293"/>
      <x:c r="NHZ64" s="293"/>
      <x:c r="NIA64" s="293"/>
      <x:c r="NIB64" s="293"/>
      <x:c r="NIC64" s="293"/>
      <x:c r="NID64" s="293"/>
      <x:c r="NIE64" s="293"/>
      <x:c r="NIF64" s="293"/>
      <x:c r="NIG64" s="293"/>
      <x:c r="NIH64" s="293"/>
      <x:c r="NII64" s="293"/>
      <x:c r="NIJ64" s="293"/>
      <x:c r="NIK64" s="293"/>
      <x:c r="NIL64" s="293"/>
      <x:c r="NIM64" s="293"/>
      <x:c r="NIN64" s="293"/>
      <x:c r="NIO64" s="293"/>
      <x:c r="NIP64" s="293"/>
      <x:c r="NIQ64" s="293"/>
      <x:c r="NIR64" s="293"/>
      <x:c r="NIS64" s="293"/>
      <x:c r="NIT64" s="293"/>
      <x:c r="NIU64" s="293"/>
      <x:c r="NIV64" s="293"/>
      <x:c r="NIW64" s="293"/>
      <x:c r="NIX64" s="293"/>
      <x:c r="NIY64" s="293"/>
      <x:c r="NIZ64" s="293"/>
      <x:c r="NJA64" s="293"/>
      <x:c r="NJB64" s="293"/>
      <x:c r="NJC64" s="293"/>
      <x:c r="NJD64" s="293"/>
      <x:c r="NJE64" s="293"/>
      <x:c r="NJF64" s="293"/>
      <x:c r="NJG64" s="293"/>
      <x:c r="NJH64" s="293"/>
      <x:c r="NJI64" s="293"/>
      <x:c r="NJJ64" s="293"/>
      <x:c r="NJK64" s="293"/>
      <x:c r="NJL64" s="293"/>
      <x:c r="NJM64" s="293"/>
      <x:c r="NJN64" s="293"/>
      <x:c r="NJO64" s="293"/>
      <x:c r="NJP64" s="293"/>
      <x:c r="NJQ64" s="293"/>
      <x:c r="NJR64" s="293"/>
      <x:c r="NJS64" s="293"/>
      <x:c r="NJT64" s="293"/>
      <x:c r="NJU64" s="293"/>
      <x:c r="NJV64" s="293"/>
      <x:c r="NJW64" s="293"/>
      <x:c r="NJX64" s="293"/>
      <x:c r="NJY64" s="293"/>
      <x:c r="NJZ64" s="293"/>
      <x:c r="NKA64" s="293"/>
      <x:c r="NKB64" s="293"/>
      <x:c r="NKC64" s="293"/>
      <x:c r="NKD64" s="293"/>
      <x:c r="NKE64" s="293"/>
      <x:c r="NKF64" s="293"/>
      <x:c r="NKG64" s="293"/>
      <x:c r="NKH64" s="293"/>
      <x:c r="NKI64" s="293"/>
      <x:c r="NKJ64" s="293"/>
      <x:c r="NKK64" s="293"/>
      <x:c r="NKL64" s="293"/>
      <x:c r="NKM64" s="293"/>
      <x:c r="NKN64" s="293"/>
      <x:c r="NKO64" s="293"/>
      <x:c r="NKP64" s="293"/>
      <x:c r="NKQ64" s="293"/>
      <x:c r="NKR64" s="293"/>
      <x:c r="NKS64" s="293"/>
      <x:c r="NKT64" s="293"/>
      <x:c r="NKU64" s="293"/>
      <x:c r="NKV64" s="293"/>
      <x:c r="NKW64" s="293"/>
      <x:c r="NKX64" s="293"/>
      <x:c r="NKY64" s="293"/>
      <x:c r="NKZ64" s="293"/>
      <x:c r="NLA64" s="293"/>
      <x:c r="NLB64" s="293"/>
      <x:c r="NLC64" s="293"/>
      <x:c r="NLD64" s="293"/>
      <x:c r="NLE64" s="293"/>
      <x:c r="NLF64" s="293"/>
      <x:c r="NLG64" s="293"/>
      <x:c r="NLH64" s="293"/>
      <x:c r="NLI64" s="293"/>
      <x:c r="NLJ64" s="293"/>
      <x:c r="NLK64" s="293"/>
      <x:c r="NLL64" s="293"/>
      <x:c r="NLM64" s="293"/>
      <x:c r="NLN64" s="293"/>
      <x:c r="NLO64" s="293"/>
      <x:c r="NLP64" s="293"/>
      <x:c r="NLQ64" s="293"/>
      <x:c r="NLR64" s="293"/>
      <x:c r="NLS64" s="293"/>
      <x:c r="NLT64" s="293"/>
      <x:c r="NLU64" s="293"/>
      <x:c r="NLV64" s="293"/>
      <x:c r="NLW64" s="293"/>
      <x:c r="NLX64" s="293"/>
      <x:c r="NLY64" s="293"/>
      <x:c r="NLZ64" s="293"/>
      <x:c r="NMA64" s="293"/>
      <x:c r="NMB64" s="293"/>
      <x:c r="NMC64" s="293"/>
      <x:c r="NMD64" s="293"/>
      <x:c r="NME64" s="293"/>
      <x:c r="NMF64" s="293"/>
      <x:c r="NMG64" s="293"/>
      <x:c r="NMH64" s="293"/>
      <x:c r="NMI64" s="293"/>
      <x:c r="NMJ64" s="293"/>
      <x:c r="NMK64" s="293"/>
      <x:c r="NML64" s="293"/>
      <x:c r="NMM64" s="293"/>
      <x:c r="NMN64" s="293"/>
      <x:c r="NMO64" s="293"/>
      <x:c r="NMP64" s="293"/>
      <x:c r="NMQ64" s="293"/>
      <x:c r="NMR64" s="293"/>
      <x:c r="NMS64" s="293"/>
      <x:c r="NMT64" s="293"/>
      <x:c r="NMU64" s="293"/>
      <x:c r="NMV64" s="293"/>
      <x:c r="NMW64" s="293"/>
      <x:c r="NMX64" s="293"/>
      <x:c r="NMY64" s="293"/>
      <x:c r="NMZ64" s="293"/>
      <x:c r="NNA64" s="293"/>
      <x:c r="NNB64" s="293"/>
      <x:c r="NNC64" s="293"/>
      <x:c r="NND64" s="293"/>
      <x:c r="NNE64" s="293"/>
      <x:c r="NNF64" s="293"/>
      <x:c r="NNG64" s="293"/>
      <x:c r="NNH64" s="293"/>
      <x:c r="NNI64" s="293"/>
      <x:c r="NNJ64" s="293"/>
      <x:c r="NNK64" s="293"/>
      <x:c r="NNL64" s="293"/>
      <x:c r="NNM64" s="293"/>
      <x:c r="NNN64" s="293"/>
      <x:c r="NNO64" s="293"/>
      <x:c r="NNP64" s="293"/>
      <x:c r="NNQ64" s="293"/>
      <x:c r="NNR64" s="293"/>
      <x:c r="NNS64" s="293"/>
      <x:c r="NNT64" s="293"/>
      <x:c r="NNU64" s="293"/>
      <x:c r="NNV64" s="293"/>
      <x:c r="NNW64" s="293"/>
      <x:c r="NNX64" s="293"/>
      <x:c r="NNY64" s="293"/>
      <x:c r="NNZ64" s="293"/>
      <x:c r="NOA64" s="293"/>
      <x:c r="NOB64" s="293"/>
      <x:c r="NOC64" s="293"/>
      <x:c r="NOD64" s="293"/>
      <x:c r="NOE64" s="293"/>
      <x:c r="NOF64" s="293"/>
      <x:c r="NOG64" s="293"/>
      <x:c r="NOH64" s="293"/>
      <x:c r="NOI64" s="293"/>
      <x:c r="NOJ64" s="293"/>
      <x:c r="NOK64" s="293"/>
      <x:c r="NOL64" s="293"/>
      <x:c r="NOM64" s="293"/>
      <x:c r="NON64" s="293"/>
      <x:c r="NOO64" s="293"/>
      <x:c r="NOP64" s="293"/>
      <x:c r="NOQ64" s="293"/>
      <x:c r="NOR64" s="293"/>
      <x:c r="NOS64" s="293"/>
      <x:c r="NOT64" s="293"/>
      <x:c r="NOU64" s="293"/>
      <x:c r="NOV64" s="293"/>
      <x:c r="NOW64" s="293"/>
      <x:c r="NOX64" s="293"/>
      <x:c r="NOY64" s="293"/>
      <x:c r="NOZ64" s="293"/>
      <x:c r="NPA64" s="293"/>
      <x:c r="NPB64" s="293"/>
      <x:c r="NPC64" s="293"/>
      <x:c r="NPD64" s="293"/>
      <x:c r="NPE64" s="293"/>
      <x:c r="NPF64" s="293"/>
      <x:c r="NPG64" s="293"/>
      <x:c r="NPH64" s="293"/>
      <x:c r="NPI64" s="293"/>
      <x:c r="NPJ64" s="293"/>
      <x:c r="NPK64" s="293"/>
      <x:c r="NPL64" s="293"/>
      <x:c r="NPM64" s="293"/>
      <x:c r="NPN64" s="293"/>
      <x:c r="NPO64" s="293"/>
      <x:c r="NPP64" s="293"/>
      <x:c r="NPQ64" s="293"/>
      <x:c r="NPR64" s="293"/>
      <x:c r="NPS64" s="293"/>
      <x:c r="NPT64" s="293"/>
      <x:c r="NPU64" s="293"/>
      <x:c r="NPV64" s="293"/>
      <x:c r="NPW64" s="293"/>
      <x:c r="NPX64" s="293"/>
      <x:c r="NPY64" s="293"/>
      <x:c r="NPZ64" s="293"/>
      <x:c r="NQA64" s="293"/>
      <x:c r="NQB64" s="293"/>
      <x:c r="NQC64" s="293"/>
      <x:c r="NQD64" s="293"/>
      <x:c r="NQE64" s="293"/>
      <x:c r="NQF64" s="293"/>
      <x:c r="NQG64" s="293"/>
      <x:c r="NQH64" s="293"/>
      <x:c r="NQI64" s="293"/>
      <x:c r="NQJ64" s="293"/>
      <x:c r="NQK64" s="293"/>
      <x:c r="NQL64" s="293"/>
      <x:c r="NQM64" s="293"/>
      <x:c r="NQN64" s="293"/>
      <x:c r="NQO64" s="293"/>
      <x:c r="NQP64" s="293"/>
      <x:c r="NQQ64" s="293"/>
      <x:c r="NQR64" s="293"/>
      <x:c r="NQS64" s="293"/>
      <x:c r="NQT64" s="293"/>
      <x:c r="NQU64" s="293"/>
      <x:c r="NQV64" s="293"/>
      <x:c r="NQW64" s="293"/>
      <x:c r="NQX64" s="293"/>
      <x:c r="NQY64" s="293"/>
      <x:c r="NQZ64" s="293"/>
      <x:c r="NRA64" s="293"/>
      <x:c r="NRB64" s="293"/>
      <x:c r="NRC64" s="293"/>
      <x:c r="NRD64" s="293"/>
      <x:c r="NRE64" s="293"/>
      <x:c r="NRF64" s="293"/>
      <x:c r="NRG64" s="293"/>
      <x:c r="NRH64" s="293"/>
      <x:c r="NRI64" s="293"/>
      <x:c r="NRJ64" s="293"/>
      <x:c r="NRK64" s="293"/>
      <x:c r="NRL64" s="293"/>
      <x:c r="NRM64" s="293"/>
      <x:c r="NRN64" s="293"/>
      <x:c r="NRO64" s="293"/>
      <x:c r="NRP64" s="293"/>
      <x:c r="NRQ64" s="293"/>
      <x:c r="NRR64" s="293"/>
      <x:c r="NRS64" s="293"/>
      <x:c r="NRT64" s="293"/>
      <x:c r="NRU64" s="293"/>
      <x:c r="NRV64" s="293"/>
      <x:c r="NRW64" s="293"/>
      <x:c r="NRX64" s="293"/>
      <x:c r="NRY64" s="293"/>
      <x:c r="NRZ64" s="293"/>
      <x:c r="NSA64" s="293"/>
      <x:c r="NSB64" s="293"/>
      <x:c r="NSC64" s="293"/>
      <x:c r="NSD64" s="293"/>
      <x:c r="NSE64" s="293"/>
      <x:c r="NSF64" s="293"/>
      <x:c r="NSG64" s="293"/>
      <x:c r="NSH64" s="293"/>
      <x:c r="NSI64" s="293"/>
      <x:c r="NSJ64" s="293"/>
      <x:c r="NSK64" s="293"/>
      <x:c r="NSL64" s="293"/>
      <x:c r="NSM64" s="293"/>
      <x:c r="NSN64" s="293"/>
      <x:c r="NSO64" s="293"/>
      <x:c r="NSP64" s="293"/>
      <x:c r="NSQ64" s="293"/>
      <x:c r="NSR64" s="293"/>
      <x:c r="NSS64" s="293"/>
      <x:c r="NST64" s="293"/>
      <x:c r="NSU64" s="293"/>
      <x:c r="NSV64" s="293"/>
      <x:c r="NSW64" s="293"/>
      <x:c r="NSX64" s="293"/>
      <x:c r="NSY64" s="293"/>
      <x:c r="NSZ64" s="293"/>
      <x:c r="NTA64" s="293"/>
      <x:c r="NTB64" s="293"/>
      <x:c r="NTC64" s="293"/>
      <x:c r="NTD64" s="293"/>
      <x:c r="NTE64" s="293"/>
      <x:c r="NTF64" s="293"/>
      <x:c r="NTG64" s="293"/>
      <x:c r="NTH64" s="293"/>
      <x:c r="NTI64" s="293"/>
      <x:c r="NTJ64" s="293"/>
      <x:c r="NTK64" s="293"/>
      <x:c r="NTL64" s="293"/>
      <x:c r="NTM64" s="293"/>
      <x:c r="NTN64" s="293"/>
      <x:c r="NTO64" s="293"/>
      <x:c r="NTP64" s="293"/>
      <x:c r="NTQ64" s="293"/>
      <x:c r="NTR64" s="293"/>
      <x:c r="NTS64" s="293"/>
      <x:c r="NTT64" s="293"/>
      <x:c r="NTU64" s="293"/>
      <x:c r="NTV64" s="293"/>
      <x:c r="NTW64" s="293"/>
      <x:c r="NTX64" s="293"/>
      <x:c r="NTY64" s="293"/>
      <x:c r="NTZ64" s="293"/>
      <x:c r="NUA64" s="293"/>
      <x:c r="NUB64" s="293"/>
      <x:c r="NUC64" s="293"/>
      <x:c r="NUD64" s="293"/>
      <x:c r="NUE64" s="293"/>
      <x:c r="NUF64" s="293"/>
      <x:c r="NUG64" s="293"/>
      <x:c r="NUH64" s="293"/>
      <x:c r="NUI64" s="293"/>
      <x:c r="NUJ64" s="293"/>
      <x:c r="NUK64" s="293"/>
      <x:c r="NUL64" s="293"/>
      <x:c r="NUM64" s="293"/>
      <x:c r="NUN64" s="293"/>
      <x:c r="NUO64" s="293"/>
      <x:c r="NUP64" s="293"/>
      <x:c r="NUQ64" s="293"/>
      <x:c r="NUR64" s="293"/>
      <x:c r="NUS64" s="293"/>
      <x:c r="NUT64" s="293"/>
      <x:c r="NUU64" s="293"/>
      <x:c r="NUV64" s="293"/>
      <x:c r="NUW64" s="293"/>
      <x:c r="NUX64" s="293"/>
      <x:c r="NUY64" s="293"/>
      <x:c r="NUZ64" s="293"/>
      <x:c r="NVA64" s="293"/>
      <x:c r="NVB64" s="293"/>
      <x:c r="NVC64" s="293"/>
      <x:c r="NVD64" s="293"/>
      <x:c r="NVE64" s="293"/>
      <x:c r="NVF64" s="293"/>
      <x:c r="NVG64" s="293"/>
      <x:c r="NVH64" s="293"/>
      <x:c r="NVI64" s="293"/>
      <x:c r="NVJ64" s="293"/>
      <x:c r="NVK64" s="293"/>
      <x:c r="NVL64" s="293"/>
      <x:c r="NVM64" s="293"/>
      <x:c r="NVN64" s="293"/>
      <x:c r="NVO64" s="293"/>
      <x:c r="NVP64" s="293"/>
      <x:c r="NVQ64" s="293"/>
      <x:c r="NVR64" s="293"/>
      <x:c r="NVS64" s="293"/>
      <x:c r="NVT64" s="293"/>
      <x:c r="NVU64" s="293"/>
      <x:c r="NVV64" s="293"/>
      <x:c r="NVW64" s="293"/>
      <x:c r="NVX64" s="293"/>
      <x:c r="NVY64" s="293"/>
      <x:c r="NVZ64" s="293"/>
      <x:c r="NWA64" s="293"/>
      <x:c r="NWB64" s="293"/>
      <x:c r="NWC64" s="293"/>
      <x:c r="NWD64" s="293"/>
      <x:c r="NWE64" s="293"/>
      <x:c r="NWF64" s="293"/>
      <x:c r="NWG64" s="293"/>
      <x:c r="NWH64" s="293"/>
      <x:c r="NWI64" s="293"/>
      <x:c r="NWJ64" s="293"/>
      <x:c r="NWK64" s="293"/>
      <x:c r="NWL64" s="293"/>
      <x:c r="NWM64" s="293"/>
      <x:c r="NWN64" s="293"/>
      <x:c r="NWO64" s="293"/>
      <x:c r="NWP64" s="293"/>
      <x:c r="NWQ64" s="293"/>
      <x:c r="NWR64" s="293"/>
      <x:c r="NWS64" s="293"/>
      <x:c r="NWT64" s="293"/>
      <x:c r="NWU64" s="293"/>
      <x:c r="NWV64" s="293"/>
      <x:c r="NWW64" s="293"/>
      <x:c r="NWX64" s="293"/>
      <x:c r="NWY64" s="293"/>
      <x:c r="NWZ64" s="293"/>
      <x:c r="NXA64" s="293"/>
      <x:c r="NXB64" s="293"/>
      <x:c r="NXC64" s="293"/>
      <x:c r="NXD64" s="293"/>
      <x:c r="NXE64" s="293"/>
      <x:c r="NXF64" s="293"/>
      <x:c r="NXG64" s="293"/>
      <x:c r="NXH64" s="293"/>
      <x:c r="NXI64" s="293"/>
      <x:c r="NXJ64" s="293"/>
      <x:c r="NXK64" s="293"/>
      <x:c r="NXL64" s="293"/>
      <x:c r="NXM64" s="293"/>
      <x:c r="NXN64" s="293"/>
      <x:c r="NXO64" s="293"/>
      <x:c r="NXP64" s="293"/>
      <x:c r="NXQ64" s="293"/>
      <x:c r="NXR64" s="293"/>
      <x:c r="NXS64" s="293"/>
      <x:c r="NXT64" s="293"/>
      <x:c r="NXU64" s="293"/>
      <x:c r="NXV64" s="293"/>
      <x:c r="NXW64" s="293"/>
      <x:c r="NXX64" s="293"/>
      <x:c r="NXY64" s="293"/>
      <x:c r="NXZ64" s="293"/>
      <x:c r="NYA64" s="293"/>
      <x:c r="NYB64" s="293"/>
      <x:c r="NYC64" s="293"/>
      <x:c r="NYD64" s="293"/>
      <x:c r="NYE64" s="293"/>
      <x:c r="NYF64" s="293"/>
      <x:c r="NYG64" s="293"/>
      <x:c r="NYH64" s="293"/>
      <x:c r="NYI64" s="293"/>
      <x:c r="NYJ64" s="293"/>
      <x:c r="NYK64" s="293"/>
      <x:c r="NYL64" s="293"/>
      <x:c r="NYM64" s="293"/>
      <x:c r="NYN64" s="293"/>
      <x:c r="NYO64" s="293"/>
      <x:c r="NYP64" s="293"/>
      <x:c r="NYQ64" s="293"/>
      <x:c r="NYR64" s="293"/>
      <x:c r="NYS64" s="293"/>
      <x:c r="NYT64" s="293"/>
      <x:c r="NYU64" s="293"/>
      <x:c r="NYV64" s="293"/>
      <x:c r="NYW64" s="293"/>
      <x:c r="NYX64" s="293"/>
      <x:c r="NYY64" s="293"/>
      <x:c r="NYZ64" s="293"/>
      <x:c r="NZA64" s="293"/>
      <x:c r="NZB64" s="293"/>
      <x:c r="NZC64" s="293"/>
      <x:c r="NZD64" s="293"/>
      <x:c r="NZE64" s="293"/>
      <x:c r="NZF64" s="293"/>
      <x:c r="NZG64" s="293"/>
      <x:c r="NZH64" s="293"/>
      <x:c r="NZI64" s="293"/>
      <x:c r="NZJ64" s="293"/>
      <x:c r="NZK64" s="293"/>
      <x:c r="NZL64" s="293"/>
      <x:c r="NZM64" s="293"/>
      <x:c r="NZN64" s="293"/>
      <x:c r="NZO64" s="293"/>
      <x:c r="NZP64" s="293"/>
      <x:c r="NZQ64" s="293"/>
      <x:c r="NZR64" s="293"/>
      <x:c r="NZS64" s="293"/>
      <x:c r="NZT64" s="293"/>
      <x:c r="NZU64" s="293"/>
      <x:c r="NZV64" s="293"/>
      <x:c r="NZW64" s="293"/>
      <x:c r="NZX64" s="293"/>
      <x:c r="NZY64" s="293"/>
      <x:c r="NZZ64" s="293"/>
      <x:c r="OAA64" s="293"/>
      <x:c r="OAB64" s="293"/>
      <x:c r="OAC64" s="293"/>
      <x:c r="OAD64" s="293"/>
      <x:c r="OAE64" s="293"/>
      <x:c r="OAF64" s="293"/>
      <x:c r="OAG64" s="293"/>
      <x:c r="OAH64" s="293"/>
      <x:c r="OAI64" s="293"/>
      <x:c r="OAJ64" s="293"/>
      <x:c r="OAK64" s="293"/>
      <x:c r="OAL64" s="293"/>
      <x:c r="OAM64" s="293"/>
      <x:c r="OAN64" s="293"/>
      <x:c r="OAO64" s="293"/>
      <x:c r="OAP64" s="293"/>
      <x:c r="OAQ64" s="293"/>
      <x:c r="OAR64" s="293"/>
      <x:c r="OAS64" s="293"/>
      <x:c r="OAT64" s="293"/>
      <x:c r="OAU64" s="293"/>
      <x:c r="OAV64" s="293"/>
      <x:c r="OAW64" s="293"/>
      <x:c r="OAX64" s="293"/>
      <x:c r="OAY64" s="293"/>
      <x:c r="OAZ64" s="293"/>
      <x:c r="OBA64" s="293"/>
      <x:c r="OBB64" s="293"/>
      <x:c r="OBC64" s="293"/>
      <x:c r="OBD64" s="293"/>
      <x:c r="OBE64" s="293"/>
      <x:c r="OBF64" s="293"/>
      <x:c r="OBG64" s="293"/>
      <x:c r="OBH64" s="293"/>
      <x:c r="OBI64" s="293"/>
      <x:c r="OBJ64" s="293"/>
      <x:c r="OBK64" s="293"/>
      <x:c r="OBL64" s="293"/>
      <x:c r="OBM64" s="293"/>
      <x:c r="OBN64" s="293"/>
      <x:c r="OBO64" s="293"/>
      <x:c r="OBP64" s="293"/>
      <x:c r="OBQ64" s="293"/>
      <x:c r="OBR64" s="293"/>
      <x:c r="OBS64" s="293"/>
      <x:c r="OBT64" s="293"/>
      <x:c r="OBU64" s="293"/>
      <x:c r="OBV64" s="293"/>
      <x:c r="OBW64" s="293"/>
      <x:c r="OBX64" s="293"/>
      <x:c r="OBY64" s="293"/>
      <x:c r="OBZ64" s="293"/>
      <x:c r="OCA64" s="293"/>
      <x:c r="OCB64" s="293"/>
      <x:c r="OCC64" s="293"/>
      <x:c r="OCD64" s="293"/>
      <x:c r="OCE64" s="293"/>
      <x:c r="OCF64" s="293"/>
      <x:c r="OCG64" s="293"/>
      <x:c r="OCH64" s="293"/>
      <x:c r="OCI64" s="293"/>
      <x:c r="OCJ64" s="293"/>
      <x:c r="OCK64" s="293"/>
      <x:c r="OCL64" s="293"/>
      <x:c r="OCM64" s="293"/>
      <x:c r="OCN64" s="293"/>
      <x:c r="OCO64" s="293"/>
      <x:c r="OCP64" s="293"/>
      <x:c r="OCQ64" s="293"/>
      <x:c r="OCR64" s="293"/>
      <x:c r="OCS64" s="293"/>
      <x:c r="OCT64" s="293"/>
      <x:c r="OCU64" s="293"/>
      <x:c r="OCV64" s="293"/>
      <x:c r="OCW64" s="293"/>
      <x:c r="OCX64" s="293"/>
      <x:c r="OCY64" s="293"/>
      <x:c r="OCZ64" s="293"/>
      <x:c r="ODA64" s="293"/>
      <x:c r="ODB64" s="293"/>
      <x:c r="ODC64" s="293"/>
      <x:c r="ODD64" s="293"/>
      <x:c r="ODE64" s="293"/>
      <x:c r="ODF64" s="293"/>
      <x:c r="ODG64" s="293"/>
      <x:c r="ODH64" s="293"/>
      <x:c r="ODI64" s="293"/>
      <x:c r="ODJ64" s="293"/>
      <x:c r="ODK64" s="293"/>
      <x:c r="ODL64" s="293"/>
      <x:c r="ODM64" s="293"/>
      <x:c r="ODN64" s="293"/>
      <x:c r="ODO64" s="293"/>
      <x:c r="ODP64" s="293"/>
      <x:c r="ODQ64" s="293"/>
      <x:c r="ODR64" s="293"/>
      <x:c r="ODS64" s="293"/>
      <x:c r="ODT64" s="293"/>
      <x:c r="ODU64" s="293"/>
      <x:c r="ODV64" s="293"/>
      <x:c r="ODW64" s="293"/>
      <x:c r="ODX64" s="293"/>
      <x:c r="ODY64" s="293"/>
      <x:c r="ODZ64" s="293"/>
      <x:c r="OEA64" s="293"/>
      <x:c r="OEB64" s="293"/>
      <x:c r="OEC64" s="293"/>
      <x:c r="OED64" s="293"/>
      <x:c r="OEE64" s="293"/>
      <x:c r="OEF64" s="293"/>
      <x:c r="OEG64" s="293"/>
      <x:c r="OEH64" s="293"/>
      <x:c r="OEI64" s="293"/>
      <x:c r="OEJ64" s="293"/>
      <x:c r="OEK64" s="293"/>
      <x:c r="OEL64" s="293"/>
      <x:c r="OEM64" s="293"/>
      <x:c r="OEN64" s="293"/>
      <x:c r="OEO64" s="293"/>
      <x:c r="OEP64" s="293"/>
      <x:c r="OEQ64" s="293"/>
      <x:c r="OER64" s="293"/>
      <x:c r="OES64" s="293"/>
      <x:c r="OET64" s="293"/>
      <x:c r="OEU64" s="293"/>
      <x:c r="OEV64" s="293"/>
      <x:c r="OEW64" s="293"/>
      <x:c r="OEX64" s="293"/>
      <x:c r="OEY64" s="293"/>
      <x:c r="OEZ64" s="293"/>
      <x:c r="OFA64" s="293"/>
      <x:c r="OFB64" s="293"/>
      <x:c r="OFC64" s="293"/>
      <x:c r="OFD64" s="293"/>
      <x:c r="OFE64" s="293"/>
      <x:c r="OFF64" s="293"/>
      <x:c r="OFG64" s="293"/>
      <x:c r="OFH64" s="293"/>
      <x:c r="OFI64" s="293"/>
      <x:c r="OFJ64" s="293"/>
      <x:c r="OFK64" s="293"/>
      <x:c r="OFL64" s="293"/>
      <x:c r="OFM64" s="293"/>
      <x:c r="OFN64" s="293"/>
      <x:c r="OFO64" s="293"/>
      <x:c r="OFP64" s="293"/>
      <x:c r="OFQ64" s="293"/>
      <x:c r="OFR64" s="293"/>
      <x:c r="OFS64" s="293"/>
      <x:c r="OFT64" s="293"/>
      <x:c r="OFU64" s="293"/>
      <x:c r="OFV64" s="293"/>
      <x:c r="OFW64" s="293"/>
      <x:c r="OFX64" s="293"/>
      <x:c r="OFY64" s="293"/>
      <x:c r="OFZ64" s="293"/>
      <x:c r="OGA64" s="293"/>
      <x:c r="OGB64" s="293"/>
      <x:c r="OGC64" s="293"/>
      <x:c r="OGD64" s="293"/>
      <x:c r="OGE64" s="293"/>
      <x:c r="OGF64" s="293"/>
      <x:c r="OGG64" s="293"/>
      <x:c r="OGH64" s="293"/>
      <x:c r="OGI64" s="293"/>
      <x:c r="OGJ64" s="293"/>
      <x:c r="OGK64" s="293"/>
      <x:c r="OGL64" s="293"/>
      <x:c r="OGM64" s="293"/>
      <x:c r="OGN64" s="293"/>
      <x:c r="OGO64" s="293"/>
      <x:c r="OGP64" s="293"/>
      <x:c r="OGQ64" s="293"/>
      <x:c r="OGR64" s="293"/>
      <x:c r="OGS64" s="293"/>
      <x:c r="OGT64" s="293"/>
      <x:c r="OGU64" s="293"/>
      <x:c r="OGV64" s="293"/>
      <x:c r="OGW64" s="293"/>
      <x:c r="OGX64" s="293"/>
      <x:c r="OGY64" s="293"/>
      <x:c r="OGZ64" s="293"/>
      <x:c r="OHA64" s="293"/>
      <x:c r="OHB64" s="293"/>
      <x:c r="OHC64" s="293"/>
      <x:c r="OHD64" s="293"/>
      <x:c r="OHE64" s="293"/>
      <x:c r="OHF64" s="293"/>
      <x:c r="OHG64" s="293"/>
      <x:c r="OHH64" s="293"/>
      <x:c r="OHI64" s="293"/>
      <x:c r="OHJ64" s="293"/>
      <x:c r="OHK64" s="293"/>
      <x:c r="OHL64" s="293"/>
      <x:c r="OHM64" s="293"/>
      <x:c r="OHN64" s="293"/>
      <x:c r="OHO64" s="293"/>
      <x:c r="OHP64" s="293"/>
      <x:c r="OHQ64" s="293"/>
      <x:c r="OHR64" s="293"/>
      <x:c r="OHS64" s="293"/>
      <x:c r="OHT64" s="293"/>
      <x:c r="OHU64" s="293"/>
      <x:c r="OHV64" s="293"/>
      <x:c r="OHW64" s="293"/>
      <x:c r="OHX64" s="293"/>
      <x:c r="OHY64" s="293"/>
      <x:c r="OHZ64" s="293"/>
      <x:c r="OIA64" s="293"/>
      <x:c r="OIB64" s="293"/>
      <x:c r="OIC64" s="293"/>
      <x:c r="OID64" s="293"/>
      <x:c r="OIE64" s="293"/>
      <x:c r="OIF64" s="293"/>
      <x:c r="OIG64" s="293"/>
      <x:c r="OIH64" s="293"/>
      <x:c r="OII64" s="293"/>
      <x:c r="OIJ64" s="293"/>
      <x:c r="OIK64" s="293"/>
      <x:c r="OIL64" s="293"/>
      <x:c r="OIM64" s="293"/>
      <x:c r="OIN64" s="293"/>
      <x:c r="OIO64" s="293"/>
      <x:c r="OIP64" s="293"/>
      <x:c r="OIQ64" s="293"/>
      <x:c r="OIR64" s="293"/>
      <x:c r="OIS64" s="293"/>
      <x:c r="OIT64" s="293"/>
      <x:c r="OIU64" s="293"/>
      <x:c r="OIV64" s="293"/>
      <x:c r="OIW64" s="293"/>
      <x:c r="OIX64" s="293"/>
      <x:c r="OIY64" s="293"/>
      <x:c r="OIZ64" s="293"/>
      <x:c r="OJA64" s="293"/>
      <x:c r="OJB64" s="293"/>
      <x:c r="OJC64" s="293"/>
      <x:c r="OJD64" s="293"/>
      <x:c r="OJE64" s="293"/>
      <x:c r="OJF64" s="293"/>
      <x:c r="OJG64" s="293"/>
      <x:c r="OJH64" s="293"/>
      <x:c r="OJI64" s="293"/>
      <x:c r="OJJ64" s="293"/>
      <x:c r="OJK64" s="293"/>
      <x:c r="OJL64" s="293"/>
      <x:c r="OJM64" s="293"/>
      <x:c r="OJN64" s="293"/>
      <x:c r="OJO64" s="293"/>
      <x:c r="OJP64" s="293"/>
      <x:c r="OJQ64" s="293"/>
      <x:c r="OJR64" s="293"/>
      <x:c r="OJS64" s="293"/>
      <x:c r="OJT64" s="293"/>
      <x:c r="OJU64" s="293"/>
      <x:c r="OJV64" s="293"/>
      <x:c r="OJW64" s="293"/>
      <x:c r="OJX64" s="293"/>
      <x:c r="OJY64" s="293"/>
      <x:c r="OJZ64" s="293"/>
      <x:c r="OKA64" s="293"/>
      <x:c r="OKB64" s="293"/>
      <x:c r="OKC64" s="293"/>
      <x:c r="OKD64" s="293"/>
      <x:c r="OKE64" s="293"/>
      <x:c r="OKF64" s="293"/>
      <x:c r="OKG64" s="293"/>
      <x:c r="OKH64" s="293"/>
      <x:c r="OKI64" s="293"/>
      <x:c r="OKJ64" s="293"/>
      <x:c r="OKK64" s="293"/>
      <x:c r="OKL64" s="293"/>
      <x:c r="OKM64" s="293"/>
      <x:c r="OKN64" s="293"/>
      <x:c r="OKO64" s="293"/>
      <x:c r="OKP64" s="293"/>
      <x:c r="OKQ64" s="293"/>
      <x:c r="OKR64" s="293"/>
      <x:c r="OKS64" s="293"/>
      <x:c r="OKT64" s="293"/>
      <x:c r="OKU64" s="293"/>
      <x:c r="OKV64" s="293"/>
      <x:c r="OKW64" s="293"/>
      <x:c r="OKX64" s="293"/>
      <x:c r="OKY64" s="293"/>
      <x:c r="OKZ64" s="293"/>
      <x:c r="OLA64" s="293"/>
      <x:c r="OLB64" s="293"/>
      <x:c r="OLC64" s="293"/>
      <x:c r="OLD64" s="293"/>
      <x:c r="OLE64" s="293"/>
      <x:c r="OLF64" s="293"/>
      <x:c r="OLG64" s="293"/>
      <x:c r="OLH64" s="293"/>
      <x:c r="OLI64" s="293"/>
      <x:c r="OLJ64" s="293"/>
      <x:c r="OLK64" s="293"/>
      <x:c r="OLL64" s="293"/>
      <x:c r="OLM64" s="293"/>
      <x:c r="OLN64" s="293"/>
      <x:c r="OLO64" s="293"/>
      <x:c r="OLP64" s="293"/>
      <x:c r="OLQ64" s="293"/>
      <x:c r="OLR64" s="293"/>
      <x:c r="OLS64" s="293"/>
      <x:c r="OLT64" s="293"/>
      <x:c r="OLU64" s="293"/>
      <x:c r="OLV64" s="293"/>
      <x:c r="OLW64" s="293"/>
      <x:c r="OLX64" s="293"/>
      <x:c r="OLY64" s="293"/>
      <x:c r="OLZ64" s="293"/>
      <x:c r="OMA64" s="293"/>
      <x:c r="OMB64" s="293"/>
      <x:c r="OMC64" s="293"/>
      <x:c r="OMD64" s="293"/>
      <x:c r="OME64" s="293"/>
      <x:c r="OMF64" s="293"/>
      <x:c r="OMG64" s="293"/>
      <x:c r="OMH64" s="293"/>
      <x:c r="OMI64" s="293"/>
      <x:c r="OMJ64" s="293"/>
      <x:c r="OMK64" s="293"/>
      <x:c r="OML64" s="293"/>
      <x:c r="OMM64" s="293"/>
      <x:c r="OMN64" s="293"/>
      <x:c r="OMO64" s="293"/>
      <x:c r="OMP64" s="293"/>
      <x:c r="OMQ64" s="293"/>
      <x:c r="OMR64" s="293"/>
      <x:c r="OMS64" s="293"/>
      <x:c r="OMT64" s="293"/>
      <x:c r="OMU64" s="293"/>
      <x:c r="OMV64" s="293"/>
      <x:c r="OMW64" s="293"/>
      <x:c r="OMX64" s="293"/>
      <x:c r="OMY64" s="293"/>
      <x:c r="OMZ64" s="293"/>
      <x:c r="ONA64" s="293"/>
      <x:c r="ONB64" s="293"/>
      <x:c r="ONC64" s="293"/>
      <x:c r="OND64" s="293"/>
      <x:c r="ONE64" s="293"/>
      <x:c r="ONF64" s="293"/>
      <x:c r="ONG64" s="293"/>
      <x:c r="ONH64" s="293"/>
      <x:c r="ONI64" s="293"/>
      <x:c r="ONJ64" s="293"/>
      <x:c r="ONK64" s="293"/>
      <x:c r="ONL64" s="293"/>
      <x:c r="ONM64" s="293"/>
      <x:c r="ONN64" s="293"/>
      <x:c r="ONO64" s="293"/>
      <x:c r="ONP64" s="293"/>
      <x:c r="ONQ64" s="293"/>
      <x:c r="ONR64" s="293"/>
      <x:c r="ONS64" s="293"/>
      <x:c r="ONT64" s="293"/>
      <x:c r="ONU64" s="293"/>
      <x:c r="ONV64" s="293"/>
      <x:c r="ONW64" s="293"/>
      <x:c r="ONX64" s="293"/>
      <x:c r="ONY64" s="293"/>
      <x:c r="ONZ64" s="293"/>
      <x:c r="OOA64" s="293"/>
      <x:c r="OOB64" s="293"/>
      <x:c r="OOC64" s="293"/>
      <x:c r="OOD64" s="293"/>
      <x:c r="OOE64" s="293"/>
      <x:c r="OOF64" s="293"/>
      <x:c r="OOG64" s="293"/>
      <x:c r="OOH64" s="293"/>
      <x:c r="OOI64" s="293"/>
      <x:c r="OOJ64" s="293"/>
      <x:c r="OOK64" s="293"/>
      <x:c r="OOL64" s="293"/>
      <x:c r="OOM64" s="293"/>
      <x:c r="OON64" s="293"/>
      <x:c r="OOO64" s="293"/>
      <x:c r="OOP64" s="293"/>
      <x:c r="OOQ64" s="293"/>
      <x:c r="OOR64" s="293"/>
      <x:c r="OOS64" s="293"/>
      <x:c r="OOT64" s="293"/>
      <x:c r="OOU64" s="293"/>
      <x:c r="OOV64" s="293"/>
      <x:c r="OOW64" s="293"/>
      <x:c r="OOX64" s="293"/>
      <x:c r="OOY64" s="293"/>
      <x:c r="OOZ64" s="293"/>
      <x:c r="OPA64" s="293"/>
      <x:c r="OPB64" s="293"/>
      <x:c r="OPC64" s="293"/>
      <x:c r="OPD64" s="293"/>
      <x:c r="OPE64" s="293"/>
      <x:c r="OPF64" s="293"/>
      <x:c r="OPG64" s="293"/>
      <x:c r="OPH64" s="293"/>
      <x:c r="OPI64" s="293"/>
      <x:c r="OPJ64" s="293"/>
      <x:c r="OPK64" s="293"/>
      <x:c r="OPL64" s="293"/>
      <x:c r="OPM64" s="293"/>
      <x:c r="OPN64" s="293"/>
      <x:c r="OPO64" s="293"/>
      <x:c r="OPP64" s="293"/>
      <x:c r="OPQ64" s="293"/>
      <x:c r="OPR64" s="293"/>
      <x:c r="OPS64" s="293"/>
      <x:c r="OPT64" s="293"/>
      <x:c r="OPU64" s="293"/>
      <x:c r="OPV64" s="293"/>
      <x:c r="OPW64" s="293"/>
      <x:c r="OPX64" s="293"/>
      <x:c r="OPY64" s="293"/>
      <x:c r="OPZ64" s="293"/>
      <x:c r="OQA64" s="293"/>
      <x:c r="OQB64" s="293"/>
      <x:c r="OQC64" s="293"/>
      <x:c r="OQD64" s="293"/>
      <x:c r="OQE64" s="293"/>
      <x:c r="OQF64" s="293"/>
      <x:c r="OQG64" s="293"/>
      <x:c r="OQH64" s="293"/>
      <x:c r="OQI64" s="293"/>
      <x:c r="OQJ64" s="293"/>
      <x:c r="OQK64" s="293"/>
      <x:c r="OQL64" s="293"/>
      <x:c r="OQM64" s="293"/>
      <x:c r="OQN64" s="293"/>
      <x:c r="OQO64" s="293"/>
      <x:c r="OQP64" s="293"/>
      <x:c r="OQQ64" s="293"/>
      <x:c r="OQR64" s="293"/>
      <x:c r="OQS64" s="293"/>
      <x:c r="OQT64" s="293"/>
      <x:c r="OQU64" s="293"/>
      <x:c r="OQV64" s="293"/>
      <x:c r="OQW64" s="293"/>
      <x:c r="OQX64" s="293"/>
      <x:c r="OQY64" s="293"/>
      <x:c r="OQZ64" s="293"/>
      <x:c r="ORA64" s="293"/>
      <x:c r="ORB64" s="293"/>
      <x:c r="ORC64" s="293"/>
      <x:c r="ORD64" s="293"/>
      <x:c r="ORE64" s="293"/>
      <x:c r="ORF64" s="293"/>
      <x:c r="ORG64" s="293"/>
      <x:c r="ORH64" s="293"/>
      <x:c r="ORI64" s="293"/>
      <x:c r="ORJ64" s="293"/>
      <x:c r="ORK64" s="293"/>
      <x:c r="ORL64" s="293"/>
      <x:c r="ORM64" s="293"/>
      <x:c r="ORN64" s="293"/>
      <x:c r="ORO64" s="293"/>
      <x:c r="ORP64" s="293"/>
      <x:c r="ORQ64" s="293"/>
      <x:c r="ORR64" s="293"/>
      <x:c r="ORS64" s="293"/>
      <x:c r="ORT64" s="293"/>
      <x:c r="ORU64" s="293"/>
      <x:c r="ORV64" s="293"/>
      <x:c r="ORW64" s="293"/>
      <x:c r="ORX64" s="293"/>
      <x:c r="ORY64" s="293"/>
      <x:c r="ORZ64" s="293"/>
      <x:c r="OSA64" s="293"/>
      <x:c r="OSB64" s="293"/>
      <x:c r="OSC64" s="293"/>
      <x:c r="OSD64" s="293"/>
      <x:c r="OSE64" s="293"/>
      <x:c r="OSF64" s="293"/>
      <x:c r="OSG64" s="293"/>
      <x:c r="OSH64" s="293"/>
      <x:c r="OSI64" s="293"/>
      <x:c r="OSJ64" s="293"/>
      <x:c r="OSK64" s="293"/>
      <x:c r="OSL64" s="293"/>
      <x:c r="OSM64" s="293"/>
      <x:c r="OSN64" s="293"/>
      <x:c r="OSO64" s="293"/>
      <x:c r="OSP64" s="293"/>
      <x:c r="OSQ64" s="293"/>
      <x:c r="OSR64" s="293"/>
      <x:c r="OSS64" s="293"/>
      <x:c r="OST64" s="293"/>
      <x:c r="OSU64" s="293"/>
      <x:c r="OSV64" s="293"/>
      <x:c r="OSW64" s="293"/>
      <x:c r="OSX64" s="293"/>
      <x:c r="OSY64" s="293"/>
      <x:c r="OSZ64" s="293"/>
      <x:c r="OTA64" s="293"/>
      <x:c r="OTB64" s="293"/>
      <x:c r="OTC64" s="293"/>
      <x:c r="OTD64" s="293"/>
      <x:c r="OTE64" s="293"/>
      <x:c r="OTF64" s="293"/>
      <x:c r="OTG64" s="293"/>
      <x:c r="OTH64" s="293"/>
      <x:c r="OTI64" s="293"/>
      <x:c r="OTJ64" s="293"/>
      <x:c r="OTK64" s="293"/>
      <x:c r="OTL64" s="293"/>
      <x:c r="OTM64" s="293"/>
      <x:c r="OTN64" s="293"/>
      <x:c r="OTO64" s="293"/>
      <x:c r="OTP64" s="293"/>
      <x:c r="OTQ64" s="293"/>
      <x:c r="OTR64" s="293"/>
      <x:c r="OTS64" s="293"/>
      <x:c r="OTT64" s="293"/>
      <x:c r="OTU64" s="293"/>
      <x:c r="OTV64" s="293"/>
      <x:c r="OTW64" s="293"/>
      <x:c r="OTX64" s="293"/>
      <x:c r="OTY64" s="293"/>
      <x:c r="OTZ64" s="293"/>
      <x:c r="OUA64" s="293"/>
      <x:c r="OUB64" s="293"/>
      <x:c r="OUC64" s="293"/>
      <x:c r="OUD64" s="293"/>
      <x:c r="OUE64" s="293"/>
      <x:c r="OUF64" s="293"/>
      <x:c r="OUG64" s="293"/>
      <x:c r="OUH64" s="293"/>
      <x:c r="OUI64" s="293"/>
      <x:c r="OUJ64" s="293"/>
      <x:c r="OUK64" s="293"/>
      <x:c r="OUL64" s="293"/>
      <x:c r="OUM64" s="293"/>
      <x:c r="OUN64" s="293"/>
      <x:c r="OUO64" s="293"/>
      <x:c r="OUP64" s="293"/>
      <x:c r="OUQ64" s="293"/>
      <x:c r="OUR64" s="293"/>
      <x:c r="OUS64" s="293"/>
      <x:c r="OUT64" s="293"/>
      <x:c r="OUU64" s="293"/>
      <x:c r="OUV64" s="293"/>
      <x:c r="OUW64" s="293"/>
      <x:c r="OUX64" s="293"/>
      <x:c r="OUY64" s="293"/>
      <x:c r="OUZ64" s="293"/>
      <x:c r="OVA64" s="293"/>
      <x:c r="OVB64" s="293"/>
      <x:c r="OVC64" s="293"/>
      <x:c r="OVD64" s="293"/>
      <x:c r="OVE64" s="293"/>
      <x:c r="OVF64" s="293"/>
      <x:c r="OVG64" s="293"/>
      <x:c r="OVH64" s="293"/>
      <x:c r="OVI64" s="293"/>
      <x:c r="OVJ64" s="293"/>
      <x:c r="OVK64" s="293"/>
      <x:c r="OVL64" s="293"/>
      <x:c r="OVM64" s="293"/>
      <x:c r="OVN64" s="293"/>
      <x:c r="OVO64" s="293"/>
      <x:c r="OVP64" s="293"/>
      <x:c r="OVQ64" s="293"/>
      <x:c r="OVR64" s="293"/>
      <x:c r="OVS64" s="293"/>
      <x:c r="OVT64" s="293"/>
      <x:c r="OVU64" s="293"/>
      <x:c r="OVV64" s="293"/>
      <x:c r="OVW64" s="293"/>
      <x:c r="OVX64" s="293"/>
      <x:c r="OVY64" s="293"/>
      <x:c r="OVZ64" s="293"/>
      <x:c r="OWA64" s="293"/>
      <x:c r="OWB64" s="293"/>
      <x:c r="OWC64" s="293"/>
      <x:c r="OWD64" s="293"/>
      <x:c r="OWE64" s="293"/>
      <x:c r="OWF64" s="293"/>
      <x:c r="OWG64" s="293"/>
      <x:c r="OWH64" s="293"/>
      <x:c r="OWI64" s="293"/>
      <x:c r="OWJ64" s="293"/>
      <x:c r="OWK64" s="293"/>
      <x:c r="OWL64" s="293"/>
      <x:c r="OWM64" s="293"/>
      <x:c r="OWN64" s="293"/>
      <x:c r="OWO64" s="293"/>
      <x:c r="OWP64" s="293"/>
      <x:c r="OWQ64" s="293"/>
      <x:c r="OWR64" s="293"/>
      <x:c r="OWS64" s="293"/>
      <x:c r="OWT64" s="293"/>
      <x:c r="OWU64" s="293"/>
      <x:c r="OWV64" s="293"/>
      <x:c r="OWW64" s="293"/>
      <x:c r="OWX64" s="293"/>
      <x:c r="OWY64" s="293"/>
      <x:c r="OWZ64" s="293"/>
      <x:c r="OXA64" s="293"/>
      <x:c r="OXB64" s="293"/>
      <x:c r="OXC64" s="293"/>
      <x:c r="OXD64" s="293"/>
      <x:c r="OXE64" s="293"/>
      <x:c r="OXF64" s="293"/>
      <x:c r="OXG64" s="293"/>
      <x:c r="OXH64" s="293"/>
      <x:c r="OXI64" s="293"/>
      <x:c r="OXJ64" s="293"/>
      <x:c r="OXK64" s="293"/>
      <x:c r="OXL64" s="293"/>
      <x:c r="OXM64" s="293"/>
      <x:c r="OXN64" s="293"/>
      <x:c r="OXO64" s="293"/>
      <x:c r="OXP64" s="293"/>
      <x:c r="OXQ64" s="293"/>
      <x:c r="OXR64" s="293"/>
      <x:c r="OXS64" s="293"/>
      <x:c r="OXT64" s="293"/>
      <x:c r="OXU64" s="293"/>
      <x:c r="OXV64" s="293"/>
      <x:c r="OXW64" s="293"/>
      <x:c r="OXX64" s="293"/>
      <x:c r="OXY64" s="293"/>
      <x:c r="OXZ64" s="293"/>
      <x:c r="OYA64" s="293"/>
      <x:c r="OYB64" s="293"/>
      <x:c r="OYC64" s="293"/>
      <x:c r="OYD64" s="293"/>
      <x:c r="OYE64" s="293"/>
      <x:c r="OYF64" s="293"/>
      <x:c r="OYG64" s="293"/>
      <x:c r="OYH64" s="293"/>
      <x:c r="OYI64" s="293"/>
      <x:c r="OYJ64" s="293"/>
      <x:c r="OYK64" s="293"/>
      <x:c r="OYL64" s="293"/>
      <x:c r="OYM64" s="293"/>
      <x:c r="OYN64" s="293"/>
      <x:c r="OYO64" s="293"/>
      <x:c r="OYP64" s="293"/>
      <x:c r="OYQ64" s="293"/>
      <x:c r="OYR64" s="293"/>
      <x:c r="OYS64" s="293"/>
      <x:c r="OYT64" s="293"/>
      <x:c r="OYU64" s="293"/>
      <x:c r="OYV64" s="293"/>
      <x:c r="OYW64" s="293"/>
      <x:c r="OYX64" s="293"/>
      <x:c r="OYY64" s="293"/>
      <x:c r="OYZ64" s="293"/>
      <x:c r="OZA64" s="293"/>
      <x:c r="OZB64" s="293"/>
      <x:c r="OZC64" s="293"/>
      <x:c r="OZD64" s="293"/>
      <x:c r="OZE64" s="293"/>
      <x:c r="OZF64" s="293"/>
      <x:c r="OZG64" s="293"/>
      <x:c r="OZH64" s="293"/>
      <x:c r="OZI64" s="293"/>
      <x:c r="OZJ64" s="293"/>
      <x:c r="OZK64" s="293"/>
      <x:c r="OZL64" s="293"/>
      <x:c r="OZM64" s="293"/>
      <x:c r="OZN64" s="293"/>
      <x:c r="OZO64" s="293"/>
      <x:c r="OZP64" s="293"/>
      <x:c r="OZQ64" s="293"/>
      <x:c r="OZR64" s="293"/>
      <x:c r="OZS64" s="293"/>
      <x:c r="OZT64" s="293"/>
      <x:c r="OZU64" s="293"/>
      <x:c r="OZV64" s="293"/>
      <x:c r="OZW64" s="293"/>
      <x:c r="OZX64" s="293"/>
      <x:c r="OZY64" s="293"/>
      <x:c r="OZZ64" s="293"/>
      <x:c r="PAA64" s="293"/>
      <x:c r="PAB64" s="293"/>
      <x:c r="PAC64" s="293"/>
      <x:c r="PAD64" s="293"/>
      <x:c r="PAE64" s="293"/>
      <x:c r="PAF64" s="293"/>
      <x:c r="PAG64" s="293"/>
      <x:c r="PAH64" s="293"/>
      <x:c r="PAI64" s="293"/>
      <x:c r="PAJ64" s="293"/>
      <x:c r="PAK64" s="293"/>
      <x:c r="PAL64" s="293"/>
      <x:c r="PAM64" s="293"/>
      <x:c r="PAN64" s="293"/>
      <x:c r="PAO64" s="293"/>
      <x:c r="PAP64" s="293"/>
      <x:c r="PAQ64" s="293"/>
      <x:c r="PAR64" s="293"/>
      <x:c r="PAS64" s="293"/>
      <x:c r="PAT64" s="293"/>
      <x:c r="PAU64" s="293"/>
      <x:c r="PAV64" s="293"/>
      <x:c r="PAW64" s="293"/>
      <x:c r="PAX64" s="293"/>
      <x:c r="PAY64" s="293"/>
      <x:c r="PAZ64" s="293"/>
      <x:c r="PBA64" s="293"/>
      <x:c r="PBB64" s="293"/>
      <x:c r="PBC64" s="293"/>
      <x:c r="PBD64" s="293"/>
      <x:c r="PBE64" s="293"/>
      <x:c r="PBF64" s="293"/>
      <x:c r="PBG64" s="293"/>
      <x:c r="PBH64" s="293"/>
      <x:c r="PBI64" s="293"/>
      <x:c r="PBJ64" s="293"/>
      <x:c r="PBK64" s="293"/>
      <x:c r="PBL64" s="293"/>
      <x:c r="PBM64" s="293"/>
      <x:c r="PBN64" s="293"/>
      <x:c r="PBO64" s="293"/>
      <x:c r="PBP64" s="293"/>
      <x:c r="PBQ64" s="293"/>
      <x:c r="PBR64" s="293"/>
      <x:c r="PBS64" s="293"/>
      <x:c r="PBT64" s="293"/>
      <x:c r="PBU64" s="293"/>
      <x:c r="PBV64" s="293"/>
      <x:c r="PBW64" s="293"/>
      <x:c r="PBX64" s="293"/>
      <x:c r="PBY64" s="293"/>
      <x:c r="PBZ64" s="293"/>
      <x:c r="PCA64" s="293"/>
      <x:c r="PCB64" s="293"/>
      <x:c r="PCC64" s="293"/>
      <x:c r="PCD64" s="293"/>
      <x:c r="PCE64" s="293"/>
      <x:c r="PCF64" s="293"/>
      <x:c r="PCG64" s="293"/>
      <x:c r="PCH64" s="293"/>
      <x:c r="PCI64" s="293"/>
      <x:c r="PCJ64" s="293"/>
      <x:c r="PCK64" s="293"/>
      <x:c r="PCL64" s="293"/>
      <x:c r="PCM64" s="293"/>
      <x:c r="PCN64" s="293"/>
      <x:c r="PCO64" s="293"/>
      <x:c r="PCP64" s="293"/>
      <x:c r="PCQ64" s="293"/>
      <x:c r="PCR64" s="293"/>
      <x:c r="PCS64" s="293"/>
      <x:c r="PCT64" s="293"/>
      <x:c r="PCU64" s="293"/>
      <x:c r="PCV64" s="293"/>
      <x:c r="PCW64" s="293"/>
      <x:c r="PCX64" s="293"/>
      <x:c r="PCY64" s="293"/>
      <x:c r="PCZ64" s="293"/>
      <x:c r="PDA64" s="293"/>
      <x:c r="PDB64" s="293"/>
      <x:c r="PDC64" s="293"/>
      <x:c r="PDD64" s="293"/>
      <x:c r="PDE64" s="293"/>
      <x:c r="PDF64" s="293"/>
      <x:c r="PDG64" s="293"/>
      <x:c r="PDH64" s="293"/>
      <x:c r="PDI64" s="293"/>
      <x:c r="PDJ64" s="293"/>
      <x:c r="PDK64" s="293"/>
      <x:c r="PDL64" s="293"/>
      <x:c r="PDM64" s="293"/>
      <x:c r="PDN64" s="293"/>
      <x:c r="PDO64" s="293"/>
      <x:c r="PDP64" s="293"/>
      <x:c r="PDQ64" s="293"/>
      <x:c r="PDR64" s="293"/>
      <x:c r="PDS64" s="293"/>
      <x:c r="PDT64" s="293"/>
      <x:c r="PDU64" s="293"/>
      <x:c r="PDV64" s="293"/>
      <x:c r="PDW64" s="293"/>
      <x:c r="PDX64" s="293"/>
      <x:c r="PDY64" s="293"/>
      <x:c r="PDZ64" s="293"/>
      <x:c r="PEA64" s="293"/>
      <x:c r="PEB64" s="293"/>
      <x:c r="PEC64" s="293"/>
      <x:c r="PED64" s="293"/>
      <x:c r="PEE64" s="293"/>
      <x:c r="PEF64" s="293"/>
      <x:c r="PEG64" s="293"/>
      <x:c r="PEH64" s="293"/>
      <x:c r="PEI64" s="293"/>
      <x:c r="PEJ64" s="293"/>
      <x:c r="PEK64" s="293"/>
      <x:c r="PEL64" s="293"/>
      <x:c r="PEM64" s="293"/>
      <x:c r="PEN64" s="293"/>
      <x:c r="PEO64" s="293"/>
      <x:c r="PEP64" s="293"/>
      <x:c r="PEQ64" s="293"/>
      <x:c r="PER64" s="293"/>
      <x:c r="PES64" s="293"/>
      <x:c r="PET64" s="293"/>
      <x:c r="PEU64" s="293"/>
      <x:c r="PEV64" s="293"/>
      <x:c r="PEW64" s="293"/>
      <x:c r="PEX64" s="293"/>
      <x:c r="PEY64" s="293"/>
      <x:c r="PEZ64" s="293"/>
      <x:c r="PFA64" s="293"/>
      <x:c r="PFB64" s="293"/>
      <x:c r="PFC64" s="293"/>
      <x:c r="PFD64" s="293"/>
      <x:c r="PFE64" s="293"/>
      <x:c r="PFF64" s="293"/>
      <x:c r="PFG64" s="293"/>
      <x:c r="PFH64" s="293"/>
      <x:c r="PFI64" s="293"/>
      <x:c r="PFJ64" s="293"/>
      <x:c r="PFK64" s="293"/>
      <x:c r="PFL64" s="293"/>
      <x:c r="PFM64" s="293"/>
      <x:c r="PFN64" s="293"/>
      <x:c r="PFO64" s="293"/>
      <x:c r="PFP64" s="293"/>
      <x:c r="PFQ64" s="293"/>
      <x:c r="PFR64" s="293"/>
      <x:c r="PFS64" s="293"/>
      <x:c r="PFT64" s="293"/>
      <x:c r="PFU64" s="293"/>
      <x:c r="PFV64" s="293"/>
      <x:c r="PFW64" s="293"/>
      <x:c r="PFX64" s="293"/>
      <x:c r="PFY64" s="293"/>
      <x:c r="PFZ64" s="293"/>
      <x:c r="PGA64" s="293"/>
      <x:c r="PGB64" s="293"/>
      <x:c r="PGC64" s="293"/>
      <x:c r="PGD64" s="293"/>
      <x:c r="PGE64" s="293"/>
      <x:c r="PGF64" s="293"/>
      <x:c r="PGG64" s="293"/>
      <x:c r="PGH64" s="293"/>
      <x:c r="PGI64" s="293"/>
      <x:c r="PGJ64" s="293"/>
      <x:c r="PGK64" s="293"/>
      <x:c r="PGL64" s="293"/>
      <x:c r="PGM64" s="293"/>
      <x:c r="PGN64" s="293"/>
      <x:c r="PGO64" s="293"/>
      <x:c r="PGP64" s="293"/>
      <x:c r="PGQ64" s="293"/>
      <x:c r="PGR64" s="293"/>
      <x:c r="PGS64" s="293"/>
      <x:c r="PGT64" s="293"/>
      <x:c r="PGU64" s="293"/>
      <x:c r="PGV64" s="293"/>
      <x:c r="PGW64" s="293"/>
      <x:c r="PGX64" s="293"/>
      <x:c r="PGY64" s="293"/>
      <x:c r="PGZ64" s="293"/>
      <x:c r="PHA64" s="293"/>
      <x:c r="PHB64" s="293"/>
      <x:c r="PHC64" s="293"/>
      <x:c r="PHD64" s="293"/>
      <x:c r="PHE64" s="293"/>
      <x:c r="PHF64" s="293"/>
      <x:c r="PHG64" s="293"/>
      <x:c r="PHH64" s="293"/>
      <x:c r="PHI64" s="293"/>
      <x:c r="PHJ64" s="293"/>
      <x:c r="PHK64" s="293"/>
      <x:c r="PHL64" s="293"/>
      <x:c r="PHM64" s="293"/>
      <x:c r="PHN64" s="293"/>
      <x:c r="PHO64" s="293"/>
      <x:c r="PHP64" s="293"/>
      <x:c r="PHQ64" s="293"/>
      <x:c r="PHR64" s="293"/>
      <x:c r="PHS64" s="293"/>
      <x:c r="PHT64" s="293"/>
      <x:c r="PHU64" s="293"/>
      <x:c r="PHV64" s="293"/>
      <x:c r="PHW64" s="293"/>
      <x:c r="PHX64" s="293"/>
      <x:c r="PHY64" s="293"/>
      <x:c r="PHZ64" s="293"/>
      <x:c r="PIA64" s="293"/>
      <x:c r="PIB64" s="293"/>
      <x:c r="PIC64" s="293"/>
      <x:c r="PID64" s="293"/>
      <x:c r="PIE64" s="293"/>
      <x:c r="PIF64" s="293"/>
      <x:c r="PIG64" s="293"/>
      <x:c r="PIH64" s="293"/>
      <x:c r="PII64" s="293"/>
      <x:c r="PIJ64" s="293"/>
      <x:c r="PIK64" s="293"/>
      <x:c r="PIL64" s="293"/>
      <x:c r="PIM64" s="293"/>
      <x:c r="PIN64" s="293"/>
      <x:c r="PIO64" s="293"/>
      <x:c r="PIP64" s="293"/>
      <x:c r="PIQ64" s="293"/>
      <x:c r="PIR64" s="293"/>
      <x:c r="PIS64" s="293"/>
      <x:c r="PIT64" s="293"/>
      <x:c r="PIU64" s="293"/>
      <x:c r="PIV64" s="293"/>
      <x:c r="PIW64" s="293"/>
      <x:c r="PIX64" s="293"/>
      <x:c r="PIY64" s="293"/>
      <x:c r="PIZ64" s="293"/>
      <x:c r="PJA64" s="293"/>
      <x:c r="PJB64" s="293"/>
      <x:c r="PJC64" s="293"/>
      <x:c r="PJD64" s="293"/>
      <x:c r="PJE64" s="293"/>
      <x:c r="PJF64" s="293"/>
      <x:c r="PJG64" s="293"/>
      <x:c r="PJH64" s="293"/>
      <x:c r="PJI64" s="293"/>
      <x:c r="PJJ64" s="293"/>
      <x:c r="PJK64" s="293"/>
      <x:c r="PJL64" s="293"/>
      <x:c r="PJM64" s="293"/>
      <x:c r="PJN64" s="293"/>
      <x:c r="PJO64" s="293"/>
      <x:c r="PJP64" s="293"/>
      <x:c r="PJQ64" s="293"/>
      <x:c r="PJR64" s="293"/>
      <x:c r="PJS64" s="293"/>
      <x:c r="PJT64" s="293"/>
      <x:c r="PJU64" s="293"/>
      <x:c r="PJV64" s="293"/>
      <x:c r="PJW64" s="293"/>
      <x:c r="PJX64" s="293"/>
      <x:c r="PJY64" s="293"/>
      <x:c r="PJZ64" s="293"/>
      <x:c r="PKA64" s="293"/>
      <x:c r="PKB64" s="293"/>
      <x:c r="PKC64" s="293"/>
      <x:c r="PKD64" s="293"/>
      <x:c r="PKE64" s="293"/>
      <x:c r="PKF64" s="293"/>
      <x:c r="PKG64" s="293"/>
      <x:c r="PKH64" s="293"/>
      <x:c r="PKI64" s="293"/>
      <x:c r="PKJ64" s="293"/>
      <x:c r="PKK64" s="293"/>
      <x:c r="PKL64" s="293"/>
      <x:c r="PKM64" s="293"/>
      <x:c r="PKN64" s="293"/>
      <x:c r="PKO64" s="293"/>
      <x:c r="PKP64" s="293"/>
      <x:c r="PKQ64" s="293"/>
      <x:c r="PKR64" s="293"/>
      <x:c r="PKS64" s="293"/>
      <x:c r="PKT64" s="293"/>
      <x:c r="PKU64" s="293"/>
      <x:c r="PKV64" s="293"/>
      <x:c r="PKW64" s="293"/>
      <x:c r="PKX64" s="293"/>
      <x:c r="PKY64" s="293"/>
      <x:c r="PKZ64" s="293"/>
      <x:c r="PLA64" s="293"/>
      <x:c r="PLB64" s="293"/>
      <x:c r="PLC64" s="293"/>
      <x:c r="PLD64" s="293"/>
      <x:c r="PLE64" s="293"/>
      <x:c r="PLF64" s="293"/>
      <x:c r="PLG64" s="293"/>
      <x:c r="PLH64" s="293"/>
      <x:c r="PLI64" s="293"/>
      <x:c r="PLJ64" s="293"/>
      <x:c r="PLK64" s="293"/>
      <x:c r="PLL64" s="293"/>
      <x:c r="PLM64" s="293"/>
      <x:c r="PLN64" s="293"/>
      <x:c r="PLO64" s="293"/>
      <x:c r="PLP64" s="293"/>
      <x:c r="PLQ64" s="293"/>
      <x:c r="PLR64" s="293"/>
      <x:c r="PLS64" s="293"/>
      <x:c r="PLT64" s="293"/>
      <x:c r="PLU64" s="293"/>
      <x:c r="PLV64" s="293"/>
      <x:c r="PLW64" s="293"/>
      <x:c r="PLX64" s="293"/>
      <x:c r="PLY64" s="293"/>
      <x:c r="PLZ64" s="293"/>
      <x:c r="PMA64" s="293"/>
      <x:c r="PMB64" s="293"/>
      <x:c r="PMC64" s="293"/>
      <x:c r="PMD64" s="293"/>
      <x:c r="PME64" s="293"/>
      <x:c r="PMF64" s="293"/>
      <x:c r="PMG64" s="293"/>
      <x:c r="PMH64" s="293"/>
      <x:c r="PMI64" s="293"/>
      <x:c r="PMJ64" s="293"/>
      <x:c r="PMK64" s="293"/>
      <x:c r="PML64" s="293"/>
      <x:c r="PMM64" s="293"/>
      <x:c r="PMN64" s="293"/>
      <x:c r="PMO64" s="293"/>
      <x:c r="PMP64" s="293"/>
      <x:c r="PMQ64" s="293"/>
      <x:c r="PMR64" s="293"/>
      <x:c r="PMS64" s="293"/>
      <x:c r="PMT64" s="293"/>
      <x:c r="PMU64" s="293"/>
      <x:c r="PMV64" s="293"/>
      <x:c r="PMW64" s="293"/>
      <x:c r="PMX64" s="293"/>
      <x:c r="PMY64" s="293"/>
      <x:c r="PMZ64" s="293"/>
      <x:c r="PNA64" s="293"/>
      <x:c r="PNB64" s="293"/>
      <x:c r="PNC64" s="293"/>
      <x:c r="PND64" s="293"/>
      <x:c r="PNE64" s="293"/>
      <x:c r="PNF64" s="293"/>
      <x:c r="PNG64" s="293"/>
      <x:c r="PNH64" s="293"/>
      <x:c r="PNI64" s="293"/>
      <x:c r="PNJ64" s="293"/>
      <x:c r="PNK64" s="293"/>
      <x:c r="PNL64" s="293"/>
      <x:c r="PNM64" s="293"/>
      <x:c r="PNN64" s="293"/>
      <x:c r="PNO64" s="293"/>
      <x:c r="PNP64" s="293"/>
      <x:c r="PNQ64" s="293"/>
      <x:c r="PNR64" s="293"/>
      <x:c r="PNS64" s="293"/>
      <x:c r="PNT64" s="293"/>
      <x:c r="PNU64" s="293"/>
      <x:c r="PNV64" s="293"/>
      <x:c r="PNW64" s="293"/>
      <x:c r="PNX64" s="293"/>
      <x:c r="PNY64" s="293"/>
      <x:c r="PNZ64" s="293"/>
      <x:c r="POA64" s="293"/>
      <x:c r="POB64" s="293"/>
      <x:c r="POC64" s="293"/>
      <x:c r="POD64" s="293"/>
      <x:c r="POE64" s="293"/>
      <x:c r="POF64" s="293"/>
      <x:c r="POG64" s="293"/>
      <x:c r="POH64" s="293"/>
      <x:c r="POI64" s="293"/>
      <x:c r="POJ64" s="293"/>
      <x:c r="POK64" s="293"/>
      <x:c r="POL64" s="293"/>
      <x:c r="POM64" s="293"/>
      <x:c r="PON64" s="293"/>
      <x:c r="POO64" s="293"/>
      <x:c r="POP64" s="293"/>
      <x:c r="POQ64" s="293"/>
      <x:c r="POR64" s="293"/>
      <x:c r="POS64" s="293"/>
      <x:c r="POT64" s="293"/>
      <x:c r="POU64" s="293"/>
      <x:c r="POV64" s="293"/>
      <x:c r="POW64" s="293"/>
      <x:c r="POX64" s="293"/>
      <x:c r="POY64" s="293"/>
      <x:c r="POZ64" s="293"/>
      <x:c r="PPA64" s="293"/>
      <x:c r="PPB64" s="293"/>
      <x:c r="PPC64" s="293"/>
      <x:c r="PPD64" s="293"/>
      <x:c r="PPE64" s="293"/>
      <x:c r="PPF64" s="293"/>
      <x:c r="PPG64" s="293"/>
      <x:c r="PPH64" s="293"/>
      <x:c r="PPI64" s="293"/>
      <x:c r="PPJ64" s="293"/>
      <x:c r="PPK64" s="293"/>
      <x:c r="PPL64" s="293"/>
      <x:c r="PPM64" s="293"/>
      <x:c r="PPN64" s="293"/>
      <x:c r="PPO64" s="293"/>
      <x:c r="PPP64" s="293"/>
      <x:c r="PPQ64" s="293"/>
      <x:c r="PPR64" s="293"/>
      <x:c r="PPS64" s="293"/>
      <x:c r="PPT64" s="293"/>
      <x:c r="PPU64" s="293"/>
      <x:c r="PPV64" s="293"/>
      <x:c r="PPW64" s="293"/>
      <x:c r="PPX64" s="293"/>
      <x:c r="PPY64" s="293"/>
      <x:c r="PPZ64" s="293"/>
      <x:c r="PQA64" s="293"/>
      <x:c r="PQB64" s="293"/>
      <x:c r="PQC64" s="293"/>
      <x:c r="PQD64" s="293"/>
      <x:c r="PQE64" s="293"/>
      <x:c r="PQF64" s="293"/>
      <x:c r="PQG64" s="293"/>
      <x:c r="PQH64" s="293"/>
      <x:c r="PQI64" s="293"/>
      <x:c r="PQJ64" s="293"/>
      <x:c r="PQK64" s="293"/>
      <x:c r="PQL64" s="293"/>
      <x:c r="PQM64" s="293"/>
      <x:c r="PQN64" s="293"/>
      <x:c r="PQO64" s="293"/>
      <x:c r="PQP64" s="293"/>
      <x:c r="PQQ64" s="293"/>
      <x:c r="PQR64" s="293"/>
      <x:c r="PQS64" s="293"/>
      <x:c r="PQT64" s="293"/>
      <x:c r="PQU64" s="293"/>
      <x:c r="PQV64" s="293"/>
      <x:c r="PQW64" s="293"/>
      <x:c r="PQX64" s="293"/>
      <x:c r="PQY64" s="293"/>
      <x:c r="PQZ64" s="293"/>
      <x:c r="PRA64" s="293"/>
      <x:c r="PRB64" s="293"/>
      <x:c r="PRC64" s="293"/>
      <x:c r="PRD64" s="293"/>
      <x:c r="PRE64" s="293"/>
      <x:c r="PRF64" s="293"/>
      <x:c r="PRG64" s="293"/>
      <x:c r="PRH64" s="293"/>
      <x:c r="PRI64" s="293"/>
      <x:c r="PRJ64" s="293"/>
      <x:c r="PRK64" s="293"/>
      <x:c r="PRL64" s="293"/>
      <x:c r="PRM64" s="293"/>
      <x:c r="PRN64" s="293"/>
      <x:c r="PRO64" s="293"/>
      <x:c r="PRP64" s="293"/>
      <x:c r="PRQ64" s="293"/>
      <x:c r="PRR64" s="293"/>
      <x:c r="PRS64" s="293"/>
      <x:c r="PRT64" s="293"/>
      <x:c r="PRU64" s="293"/>
      <x:c r="PRV64" s="293"/>
      <x:c r="PRW64" s="293"/>
      <x:c r="PRX64" s="293"/>
      <x:c r="PRY64" s="293"/>
      <x:c r="PRZ64" s="293"/>
      <x:c r="PSA64" s="293"/>
      <x:c r="PSB64" s="293"/>
      <x:c r="PSC64" s="293"/>
      <x:c r="PSD64" s="293"/>
      <x:c r="PSE64" s="293"/>
      <x:c r="PSF64" s="293"/>
      <x:c r="PSG64" s="293"/>
      <x:c r="PSH64" s="293"/>
      <x:c r="PSI64" s="293"/>
      <x:c r="PSJ64" s="293"/>
      <x:c r="PSK64" s="293"/>
      <x:c r="PSL64" s="293"/>
      <x:c r="PSM64" s="293"/>
      <x:c r="PSN64" s="293"/>
      <x:c r="PSO64" s="293"/>
      <x:c r="PSP64" s="293"/>
      <x:c r="PSQ64" s="293"/>
      <x:c r="PSR64" s="293"/>
      <x:c r="PSS64" s="293"/>
      <x:c r="PST64" s="293"/>
      <x:c r="PSU64" s="293"/>
      <x:c r="PSV64" s="293"/>
      <x:c r="PSW64" s="293"/>
      <x:c r="PSX64" s="293"/>
      <x:c r="PSY64" s="293"/>
      <x:c r="PSZ64" s="293"/>
      <x:c r="PTA64" s="293"/>
      <x:c r="PTB64" s="293"/>
      <x:c r="PTC64" s="293"/>
      <x:c r="PTD64" s="293"/>
      <x:c r="PTE64" s="293"/>
      <x:c r="PTF64" s="293"/>
      <x:c r="PTG64" s="293"/>
      <x:c r="PTH64" s="293"/>
      <x:c r="PTI64" s="293"/>
      <x:c r="PTJ64" s="293"/>
      <x:c r="PTK64" s="293"/>
      <x:c r="PTL64" s="293"/>
      <x:c r="PTM64" s="293"/>
      <x:c r="PTN64" s="293"/>
      <x:c r="PTO64" s="293"/>
      <x:c r="PTP64" s="293"/>
      <x:c r="PTQ64" s="293"/>
      <x:c r="PTR64" s="293"/>
      <x:c r="PTS64" s="293"/>
      <x:c r="PTT64" s="293"/>
      <x:c r="PTU64" s="293"/>
      <x:c r="PTV64" s="293"/>
      <x:c r="PTW64" s="293"/>
      <x:c r="PTX64" s="293"/>
      <x:c r="PTY64" s="293"/>
      <x:c r="PTZ64" s="293"/>
      <x:c r="PUA64" s="293"/>
      <x:c r="PUB64" s="293"/>
      <x:c r="PUC64" s="293"/>
      <x:c r="PUD64" s="293"/>
      <x:c r="PUE64" s="293"/>
      <x:c r="PUF64" s="293"/>
      <x:c r="PUG64" s="293"/>
      <x:c r="PUH64" s="293"/>
      <x:c r="PUI64" s="293"/>
      <x:c r="PUJ64" s="293"/>
      <x:c r="PUK64" s="293"/>
      <x:c r="PUL64" s="293"/>
      <x:c r="PUM64" s="293"/>
      <x:c r="PUN64" s="293"/>
      <x:c r="PUO64" s="293"/>
      <x:c r="PUP64" s="293"/>
      <x:c r="PUQ64" s="293"/>
      <x:c r="PUR64" s="293"/>
      <x:c r="PUS64" s="293"/>
      <x:c r="PUT64" s="293"/>
      <x:c r="PUU64" s="293"/>
      <x:c r="PUV64" s="293"/>
      <x:c r="PUW64" s="293"/>
      <x:c r="PUX64" s="293"/>
      <x:c r="PUY64" s="293"/>
      <x:c r="PUZ64" s="293"/>
      <x:c r="PVA64" s="293"/>
      <x:c r="PVB64" s="293"/>
      <x:c r="PVC64" s="293"/>
      <x:c r="PVD64" s="293"/>
      <x:c r="PVE64" s="293"/>
      <x:c r="PVF64" s="293"/>
      <x:c r="PVG64" s="293"/>
      <x:c r="PVH64" s="293"/>
      <x:c r="PVI64" s="293"/>
      <x:c r="PVJ64" s="293"/>
      <x:c r="PVK64" s="293"/>
      <x:c r="PVL64" s="293"/>
      <x:c r="PVM64" s="293"/>
      <x:c r="PVN64" s="293"/>
      <x:c r="PVO64" s="293"/>
      <x:c r="PVP64" s="293"/>
      <x:c r="PVQ64" s="293"/>
      <x:c r="PVR64" s="293"/>
      <x:c r="PVS64" s="293"/>
      <x:c r="PVT64" s="293"/>
      <x:c r="PVU64" s="293"/>
      <x:c r="PVV64" s="293"/>
      <x:c r="PVW64" s="293"/>
      <x:c r="PVX64" s="293"/>
      <x:c r="PVY64" s="293"/>
      <x:c r="PVZ64" s="293"/>
      <x:c r="PWA64" s="293"/>
      <x:c r="PWB64" s="293"/>
      <x:c r="PWC64" s="293"/>
      <x:c r="PWD64" s="293"/>
      <x:c r="PWE64" s="293"/>
      <x:c r="PWF64" s="293"/>
      <x:c r="PWG64" s="293"/>
      <x:c r="PWH64" s="293"/>
      <x:c r="PWI64" s="293"/>
      <x:c r="PWJ64" s="293"/>
      <x:c r="PWK64" s="293"/>
      <x:c r="PWL64" s="293"/>
      <x:c r="PWM64" s="293"/>
      <x:c r="PWN64" s="293"/>
      <x:c r="PWO64" s="293"/>
      <x:c r="PWP64" s="293"/>
      <x:c r="PWQ64" s="293"/>
      <x:c r="PWR64" s="293"/>
      <x:c r="PWS64" s="293"/>
      <x:c r="PWT64" s="293"/>
      <x:c r="PWU64" s="293"/>
      <x:c r="PWV64" s="293"/>
      <x:c r="PWW64" s="293"/>
      <x:c r="PWX64" s="293"/>
      <x:c r="PWY64" s="293"/>
      <x:c r="PWZ64" s="293"/>
      <x:c r="PXA64" s="293"/>
      <x:c r="PXB64" s="293"/>
      <x:c r="PXC64" s="293"/>
      <x:c r="PXD64" s="293"/>
      <x:c r="PXE64" s="293"/>
      <x:c r="PXF64" s="293"/>
      <x:c r="PXG64" s="293"/>
      <x:c r="PXH64" s="293"/>
      <x:c r="PXI64" s="293"/>
      <x:c r="PXJ64" s="293"/>
      <x:c r="PXK64" s="293"/>
      <x:c r="PXL64" s="293"/>
      <x:c r="PXM64" s="293"/>
      <x:c r="PXN64" s="293"/>
      <x:c r="PXO64" s="293"/>
      <x:c r="PXP64" s="293"/>
      <x:c r="PXQ64" s="293"/>
      <x:c r="PXR64" s="293"/>
      <x:c r="PXS64" s="293"/>
      <x:c r="PXT64" s="293"/>
      <x:c r="PXU64" s="293"/>
      <x:c r="PXV64" s="293"/>
      <x:c r="PXW64" s="293"/>
      <x:c r="PXX64" s="293"/>
      <x:c r="PXY64" s="293"/>
      <x:c r="PXZ64" s="293"/>
      <x:c r="PYA64" s="293"/>
      <x:c r="PYB64" s="293"/>
      <x:c r="PYC64" s="293"/>
      <x:c r="PYD64" s="293"/>
      <x:c r="PYE64" s="293"/>
      <x:c r="PYF64" s="293"/>
      <x:c r="PYG64" s="293"/>
      <x:c r="PYH64" s="293"/>
      <x:c r="PYI64" s="293"/>
      <x:c r="PYJ64" s="293"/>
      <x:c r="PYK64" s="293"/>
      <x:c r="PYL64" s="293"/>
      <x:c r="PYM64" s="293"/>
      <x:c r="PYN64" s="293"/>
      <x:c r="PYO64" s="293"/>
      <x:c r="PYP64" s="293"/>
      <x:c r="PYQ64" s="293"/>
      <x:c r="PYR64" s="293"/>
      <x:c r="PYS64" s="293"/>
      <x:c r="PYT64" s="293"/>
      <x:c r="PYU64" s="293"/>
      <x:c r="PYV64" s="293"/>
      <x:c r="PYW64" s="293"/>
      <x:c r="PYX64" s="293"/>
      <x:c r="PYY64" s="293"/>
      <x:c r="PYZ64" s="293"/>
      <x:c r="PZA64" s="293"/>
      <x:c r="PZB64" s="293"/>
      <x:c r="PZC64" s="293"/>
      <x:c r="PZD64" s="293"/>
      <x:c r="PZE64" s="293"/>
      <x:c r="PZF64" s="293"/>
      <x:c r="PZG64" s="293"/>
      <x:c r="PZH64" s="293"/>
      <x:c r="PZI64" s="293"/>
      <x:c r="PZJ64" s="293"/>
      <x:c r="PZK64" s="293"/>
      <x:c r="PZL64" s="293"/>
      <x:c r="PZM64" s="293"/>
      <x:c r="PZN64" s="293"/>
      <x:c r="PZO64" s="293"/>
      <x:c r="PZP64" s="293"/>
      <x:c r="PZQ64" s="293"/>
      <x:c r="PZR64" s="293"/>
      <x:c r="PZS64" s="293"/>
      <x:c r="PZT64" s="293"/>
      <x:c r="PZU64" s="293"/>
      <x:c r="PZV64" s="293"/>
      <x:c r="PZW64" s="293"/>
      <x:c r="PZX64" s="293"/>
      <x:c r="PZY64" s="293"/>
      <x:c r="PZZ64" s="293"/>
      <x:c r="QAA64" s="293"/>
      <x:c r="QAB64" s="293"/>
      <x:c r="QAC64" s="293"/>
      <x:c r="QAD64" s="293"/>
      <x:c r="QAE64" s="293"/>
      <x:c r="QAF64" s="293"/>
      <x:c r="QAG64" s="293"/>
      <x:c r="QAH64" s="293"/>
      <x:c r="QAI64" s="293"/>
      <x:c r="QAJ64" s="293"/>
      <x:c r="QAK64" s="293"/>
      <x:c r="QAL64" s="293"/>
      <x:c r="QAM64" s="293"/>
      <x:c r="QAN64" s="293"/>
      <x:c r="QAO64" s="293"/>
      <x:c r="QAP64" s="293"/>
      <x:c r="QAQ64" s="293"/>
      <x:c r="QAR64" s="293"/>
      <x:c r="QAS64" s="293"/>
      <x:c r="QAT64" s="293"/>
      <x:c r="QAU64" s="293"/>
      <x:c r="QAV64" s="293"/>
      <x:c r="QAW64" s="293"/>
      <x:c r="QAX64" s="293"/>
      <x:c r="QAY64" s="293"/>
      <x:c r="QAZ64" s="293"/>
      <x:c r="QBA64" s="293"/>
      <x:c r="QBB64" s="293"/>
      <x:c r="QBC64" s="293"/>
      <x:c r="QBD64" s="293"/>
      <x:c r="QBE64" s="293"/>
      <x:c r="QBF64" s="293"/>
      <x:c r="QBG64" s="293"/>
      <x:c r="QBH64" s="293"/>
      <x:c r="QBI64" s="293"/>
      <x:c r="QBJ64" s="293"/>
      <x:c r="QBK64" s="293"/>
      <x:c r="QBL64" s="293"/>
      <x:c r="QBM64" s="293"/>
      <x:c r="QBN64" s="293"/>
      <x:c r="QBO64" s="293"/>
      <x:c r="QBP64" s="293"/>
      <x:c r="QBQ64" s="293"/>
      <x:c r="QBR64" s="293"/>
      <x:c r="QBS64" s="293"/>
      <x:c r="QBT64" s="293"/>
      <x:c r="QBU64" s="293"/>
      <x:c r="QBV64" s="293"/>
      <x:c r="QBW64" s="293"/>
      <x:c r="QBX64" s="293"/>
      <x:c r="QBY64" s="293"/>
      <x:c r="QBZ64" s="293"/>
      <x:c r="QCA64" s="293"/>
      <x:c r="QCB64" s="293"/>
      <x:c r="QCC64" s="293"/>
      <x:c r="QCD64" s="293"/>
      <x:c r="QCE64" s="293"/>
      <x:c r="QCF64" s="293"/>
      <x:c r="QCG64" s="293"/>
      <x:c r="QCH64" s="293"/>
      <x:c r="QCI64" s="293"/>
      <x:c r="QCJ64" s="293"/>
      <x:c r="QCK64" s="293"/>
      <x:c r="QCL64" s="293"/>
      <x:c r="QCM64" s="293"/>
      <x:c r="QCN64" s="293"/>
      <x:c r="QCO64" s="293"/>
      <x:c r="QCP64" s="293"/>
      <x:c r="QCQ64" s="293"/>
      <x:c r="QCR64" s="293"/>
      <x:c r="QCS64" s="293"/>
      <x:c r="QCT64" s="293"/>
      <x:c r="QCU64" s="293"/>
      <x:c r="QCV64" s="293"/>
      <x:c r="QCW64" s="293"/>
      <x:c r="QCX64" s="293"/>
      <x:c r="QCY64" s="293"/>
      <x:c r="QCZ64" s="293"/>
      <x:c r="QDA64" s="293"/>
      <x:c r="QDB64" s="293"/>
      <x:c r="QDC64" s="293"/>
      <x:c r="QDD64" s="293"/>
      <x:c r="QDE64" s="293"/>
      <x:c r="QDF64" s="293"/>
      <x:c r="QDG64" s="293"/>
      <x:c r="QDH64" s="293"/>
      <x:c r="QDI64" s="293"/>
      <x:c r="QDJ64" s="293"/>
      <x:c r="QDK64" s="293"/>
      <x:c r="QDL64" s="293"/>
      <x:c r="QDM64" s="293"/>
      <x:c r="QDN64" s="293"/>
      <x:c r="QDO64" s="293"/>
      <x:c r="QDP64" s="293"/>
      <x:c r="QDQ64" s="293"/>
      <x:c r="QDR64" s="293"/>
      <x:c r="QDS64" s="293"/>
      <x:c r="QDT64" s="293"/>
      <x:c r="QDU64" s="293"/>
      <x:c r="QDV64" s="293"/>
      <x:c r="QDW64" s="293"/>
      <x:c r="QDX64" s="293"/>
      <x:c r="QDY64" s="293"/>
      <x:c r="QDZ64" s="293"/>
      <x:c r="QEA64" s="293"/>
      <x:c r="QEB64" s="293"/>
      <x:c r="QEC64" s="293"/>
      <x:c r="QED64" s="293"/>
      <x:c r="QEE64" s="293"/>
      <x:c r="QEF64" s="293"/>
      <x:c r="QEG64" s="293"/>
      <x:c r="QEH64" s="293"/>
      <x:c r="QEI64" s="293"/>
      <x:c r="QEJ64" s="293"/>
      <x:c r="QEK64" s="293"/>
      <x:c r="QEL64" s="293"/>
      <x:c r="QEM64" s="293"/>
      <x:c r="QEN64" s="293"/>
      <x:c r="QEO64" s="293"/>
      <x:c r="QEP64" s="293"/>
      <x:c r="QEQ64" s="293"/>
      <x:c r="QER64" s="293"/>
      <x:c r="QES64" s="293"/>
      <x:c r="QET64" s="293"/>
      <x:c r="QEU64" s="293"/>
      <x:c r="QEV64" s="293"/>
      <x:c r="QEW64" s="293"/>
      <x:c r="QEX64" s="293"/>
      <x:c r="QEY64" s="293"/>
      <x:c r="QEZ64" s="293"/>
      <x:c r="QFA64" s="293"/>
      <x:c r="QFB64" s="293"/>
      <x:c r="QFC64" s="293"/>
      <x:c r="QFD64" s="293"/>
      <x:c r="QFE64" s="293"/>
      <x:c r="QFF64" s="293"/>
      <x:c r="QFG64" s="293"/>
      <x:c r="QFH64" s="293"/>
      <x:c r="QFI64" s="293"/>
      <x:c r="QFJ64" s="293"/>
      <x:c r="QFK64" s="293"/>
      <x:c r="QFL64" s="293"/>
      <x:c r="QFM64" s="293"/>
      <x:c r="QFN64" s="293"/>
      <x:c r="QFO64" s="293"/>
      <x:c r="QFP64" s="293"/>
      <x:c r="QFQ64" s="293"/>
      <x:c r="QFR64" s="293"/>
      <x:c r="QFS64" s="293"/>
      <x:c r="QFT64" s="293"/>
      <x:c r="QFU64" s="293"/>
      <x:c r="QFV64" s="293"/>
      <x:c r="QFW64" s="293"/>
      <x:c r="QFX64" s="293"/>
      <x:c r="QFY64" s="293"/>
      <x:c r="QFZ64" s="293"/>
      <x:c r="QGA64" s="293"/>
      <x:c r="QGB64" s="293"/>
      <x:c r="QGC64" s="293"/>
      <x:c r="QGD64" s="293"/>
      <x:c r="QGE64" s="293"/>
      <x:c r="QGF64" s="293"/>
      <x:c r="QGG64" s="293"/>
      <x:c r="QGH64" s="293"/>
      <x:c r="QGI64" s="293"/>
      <x:c r="QGJ64" s="293"/>
      <x:c r="QGK64" s="293"/>
      <x:c r="QGL64" s="293"/>
      <x:c r="QGM64" s="293"/>
      <x:c r="QGN64" s="293"/>
      <x:c r="QGO64" s="293"/>
      <x:c r="QGP64" s="293"/>
      <x:c r="QGQ64" s="293"/>
      <x:c r="QGR64" s="293"/>
      <x:c r="QGS64" s="293"/>
      <x:c r="QGT64" s="293"/>
      <x:c r="QGU64" s="293"/>
      <x:c r="QGV64" s="293"/>
      <x:c r="QGW64" s="293"/>
      <x:c r="QGX64" s="293"/>
      <x:c r="QGY64" s="293"/>
      <x:c r="QGZ64" s="293"/>
      <x:c r="QHA64" s="293"/>
      <x:c r="QHB64" s="293"/>
      <x:c r="QHC64" s="293"/>
      <x:c r="QHD64" s="293"/>
      <x:c r="QHE64" s="293"/>
      <x:c r="QHF64" s="293"/>
      <x:c r="QHG64" s="293"/>
      <x:c r="QHH64" s="293"/>
      <x:c r="QHI64" s="293"/>
      <x:c r="QHJ64" s="293"/>
      <x:c r="QHK64" s="293"/>
      <x:c r="QHL64" s="293"/>
      <x:c r="QHM64" s="293"/>
      <x:c r="QHN64" s="293"/>
      <x:c r="QHO64" s="293"/>
      <x:c r="QHP64" s="293"/>
      <x:c r="QHQ64" s="293"/>
      <x:c r="QHR64" s="293"/>
      <x:c r="QHS64" s="293"/>
      <x:c r="QHT64" s="293"/>
      <x:c r="QHU64" s="293"/>
      <x:c r="QHV64" s="293"/>
      <x:c r="QHW64" s="293"/>
      <x:c r="QHX64" s="293"/>
      <x:c r="QHY64" s="293"/>
      <x:c r="QHZ64" s="293"/>
      <x:c r="QIA64" s="293"/>
      <x:c r="QIB64" s="293"/>
      <x:c r="QIC64" s="293"/>
      <x:c r="QID64" s="293"/>
      <x:c r="QIE64" s="293"/>
      <x:c r="QIF64" s="293"/>
      <x:c r="QIG64" s="293"/>
      <x:c r="QIH64" s="293"/>
      <x:c r="QII64" s="293"/>
      <x:c r="QIJ64" s="293"/>
      <x:c r="QIK64" s="293"/>
      <x:c r="QIL64" s="293"/>
      <x:c r="QIM64" s="293"/>
      <x:c r="QIN64" s="293"/>
      <x:c r="QIO64" s="293"/>
      <x:c r="QIP64" s="293"/>
      <x:c r="QIQ64" s="293"/>
      <x:c r="QIR64" s="293"/>
      <x:c r="QIS64" s="293"/>
      <x:c r="QIT64" s="293"/>
      <x:c r="QIU64" s="293"/>
      <x:c r="QIV64" s="293"/>
      <x:c r="QIW64" s="293"/>
      <x:c r="QIX64" s="293"/>
      <x:c r="QIY64" s="293"/>
      <x:c r="QIZ64" s="293"/>
      <x:c r="QJA64" s="293"/>
      <x:c r="QJB64" s="293"/>
      <x:c r="QJC64" s="293"/>
      <x:c r="QJD64" s="293"/>
      <x:c r="QJE64" s="293"/>
      <x:c r="QJF64" s="293"/>
      <x:c r="QJG64" s="293"/>
      <x:c r="QJH64" s="293"/>
      <x:c r="QJI64" s="293"/>
      <x:c r="QJJ64" s="293"/>
      <x:c r="QJK64" s="293"/>
      <x:c r="QJL64" s="293"/>
      <x:c r="QJM64" s="293"/>
      <x:c r="QJN64" s="293"/>
      <x:c r="QJO64" s="293"/>
      <x:c r="QJP64" s="293"/>
      <x:c r="QJQ64" s="293"/>
      <x:c r="QJR64" s="293"/>
      <x:c r="QJS64" s="293"/>
      <x:c r="QJT64" s="293"/>
      <x:c r="QJU64" s="293"/>
      <x:c r="QJV64" s="293"/>
      <x:c r="QJW64" s="293"/>
      <x:c r="QJX64" s="293"/>
      <x:c r="QJY64" s="293"/>
      <x:c r="QJZ64" s="293"/>
      <x:c r="QKA64" s="293"/>
      <x:c r="QKB64" s="293"/>
      <x:c r="QKC64" s="293"/>
      <x:c r="QKD64" s="293"/>
      <x:c r="QKE64" s="293"/>
      <x:c r="QKF64" s="293"/>
      <x:c r="QKG64" s="293"/>
      <x:c r="QKH64" s="293"/>
      <x:c r="QKI64" s="293"/>
      <x:c r="QKJ64" s="293"/>
      <x:c r="QKK64" s="293"/>
      <x:c r="QKL64" s="293"/>
      <x:c r="QKM64" s="293"/>
      <x:c r="QKN64" s="293"/>
      <x:c r="QKO64" s="293"/>
      <x:c r="QKP64" s="293"/>
      <x:c r="QKQ64" s="293"/>
      <x:c r="QKR64" s="293"/>
      <x:c r="QKS64" s="293"/>
      <x:c r="QKT64" s="293"/>
      <x:c r="QKU64" s="293"/>
      <x:c r="QKV64" s="293"/>
      <x:c r="QKW64" s="293"/>
      <x:c r="QKX64" s="293"/>
      <x:c r="QKY64" s="293"/>
      <x:c r="QKZ64" s="293"/>
      <x:c r="QLA64" s="293"/>
      <x:c r="QLB64" s="293"/>
      <x:c r="QLC64" s="293"/>
      <x:c r="QLD64" s="293"/>
      <x:c r="QLE64" s="293"/>
      <x:c r="QLF64" s="293"/>
      <x:c r="QLG64" s="293"/>
      <x:c r="QLH64" s="293"/>
      <x:c r="QLI64" s="293"/>
      <x:c r="QLJ64" s="293"/>
      <x:c r="QLK64" s="293"/>
      <x:c r="QLL64" s="293"/>
      <x:c r="QLM64" s="293"/>
      <x:c r="QLN64" s="293"/>
      <x:c r="QLO64" s="293"/>
      <x:c r="QLP64" s="293"/>
      <x:c r="QLQ64" s="293"/>
      <x:c r="QLR64" s="293"/>
      <x:c r="QLS64" s="293"/>
      <x:c r="QLT64" s="293"/>
      <x:c r="QLU64" s="293"/>
      <x:c r="QLV64" s="293"/>
      <x:c r="QLW64" s="293"/>
      <x:c r="QLX64" s="293"/>
      <x:c r="QLY64" s="293"/>
      <x:c r="QLZ64" s="293"/>
      <x:c r="QMA64" s="293"/>
      <x:c r="QMB64" s="293"/>
      <x:c r="QMC64" s="293"/>
      <x:c r="QMD64" s="293"/>
      <x:c r="QME64" s="293"/>
      <x:c r="QMF64" s="293"/>
      <x:c r="QMG64" s="293"/>
      <x:c r="QMH64" s="293"/>
      <x:c r="QMI64" s="293"/>
      <x:c r="QMJ64" s="293"/>
      <x:c r="QMK64" s="293"/>
      <x:c r="QML64" s="293"/>
      <x:c r="QMM64" s="293"/>
      <x:c r="QMN64" s="293"/>
      <x:c r="QMO64" s="293"/>
      <x:c r="QMP64" s="293"/>
      <x:c r="QMQ64" s="293"/>
      <x:c r="QMR64" s="293"/>
      <x:c r="QMS64" s="293"/>
      <x:c r="QMT64" s="293"/>
      <x:c r="QMU64" s="293"/>
      <x:c r="QMV64" s="293"/>
      <x:c r="QMW64" s="293"/>
      <x:c r="QMX64" s="293"/>
      <x:c r="QMY64" s="293"/>
      <x:c r="QMZ64" s="293"/>
      <x:c r="QNA64" s="293"/>
      <x:c r="QNB64" s="293"/>
      <x:c r="QNC64" s="293"/>
      <x:c r="QND64" s="293"/>
      <x:c r="QNE64" s="293"/>
      <x:c r="QNF64" s="293"/>
      <x:c r="QNG64" s="293"/>
      <x:c r="QNH64" s="293"/>
      <x:c r="QNI64" s="293"/>
      <x:c r="QNJ64" s="293"/>
      <x:c r="QNK64" s="293"/>
      <x:c r="QNL64" s="293"/>
      <x:c r="QNM64" s="293"/>
      <x:c r="QNN64" s="293"/>
      <x:c r="QNO64" s="293"/>
      <x:c r="QNP64" s="293"/>
      <x:c r="QNQ64" s="293"/>
      <x:c r="QNR64" s="293"/>
      <x:c r="QNS64" s="293"/>
      <x:c r="QNT64" s="293"/>
      <x:c r="QNU64" s="293"/>
      <x:c r="QNV64" s="293"/>
      <x:c r="QNW64" s="293"/>
      <x:c r="QNX64" s="293"/>
      <x:c r="QNY64" s="293"/>
      <x:c r="QNZ64" s="293"/>
      <x:c r="QOA64" s="293"/>
      <x:c r="QOB64" s="293"/>
      <x:c r="QOC64" s="293"/>
      <x:c r="QOD64" s="293"/>
      <x:c r="QOE64" s="293"/>
      <x:c r="QOF64" s="293"/>
      <x:c r="QOG64" s="293"/>
      <x:c r="QOH64" s="293"/>
      <x:c r="QOI64" s="293"/>
      <x:c r="QOJ64" s="293"/>
      <x:c r="QOK64" s="293"/>
      <x:c r="QOL64" s="293"/>
      <x:c r="QOM64" s="293"/>
      <x:c r="QON64" s="293"/>
      <x:c r="QOO64" s="293"/>
      <x:c r="QOP64" s="293"/>
      <x:c r="QOQ64" s="293"/>
      <x:c r="QOR64" s="293"/>
      <x:c r="QOS64" s="293"/>
      <x:c r="QOT64" s="293"/>
      <x:c r="QOU64" s="293"/>
      <x:c r="QOV64" s="293"/>
      <x:c r="QOW64" s="293"/>
      <x:c r="QOX64" s="293"/>
      <x:c r="QOY64" s="293"/>
      <x:c r="QOZ64" s="293"/>
      <x:c r="QPA64" s="293"/>
      <x:c r="QPB64" s="293"/>
      <x:c r="QPC64" s="293"/>
      <x:c r="QPD64" s="293"/>
      <x:c r="QPE64" s="293"/>
      <x:c r="QPF64" s="293"/>
      <x:c r="QPG64" s="293"/>
      <x:c r="QPH64" s="293"/>
      <x:c r="QPI64" s="293"/>
      <x:c r="QPJ64" s="293"/>
      <x:c r="QPK64" s="293"/>
      <x:c r="QPL64" s="293"/>
      <x:c r="QPM64" s="293"/>
      <x:c r="QPN64" s="293"/>
      <x:c r="QPO64" s="293"/>
      <x:c r="QPP64" s="293"/>
      <x:c r="QPQ64" s="293"/>
      <x:c r="QPR64" s="293"/>
      <x:c r="QPS64" s="293"/>
      <x:c r="QPT64" s="293"/>
      <x:c r="QPU64" s="293"/>
      <x:c r="QPV64" s="293"/>
      <x:c r="QPW64" s="293"/>
      <x:c r="QPX64" s="293"/>
      <x:c r="QPY64" s="293"/>
      <x:c r="QPZ64" s="293"/>
      <x:c r="QQA64" s="293"/>
      <x:c r="QQB64" s="293"/>
      <x:c r="QQC64" s="293"/>
      <x:c r="QQD64" s="293"/>
      <x:c r="QQE64" s="293"/>
      <x:c r="QQF64" s="293"/>
      <x:c r="QQG64" s="293"/>
      <x:c r="QQH64" s="293"/>
      <x:c r="QQI64" s="293"/>
      <x:c r="QQJ64" s="293"/>
      <x:c r="QQK64" s="293"/>
      <x:c r="QQL64" s="293"/>
      <x:c r="QQM64" s="293"/>
      <x:c r="QQN64" s="293"/>
      <x:c r="QQO64" s="293"/>
      <x:c r="QQP64" s="293"/>
      <x:c r="QQQ64" s="293"/>
      <x:c r="QQR64" s="293"/>
      <x:c r="QQS64" s="293"/>
      <x:c r="QQT64" s="293"/>
      <x:c r="QQU64" s="293"/>
      <x:c r="QQV64" s="293"/>
      <x:c r="QQW64" s="293"/>
      <x:c r="QQX64" s="293"/>
      <x:c r="QQY64" s="293"/>
      <x:c r="QQZ64" s="293"/>
      <x:c r="QRA64" s="293"/>
      <x:c r="QRB64" s="293"/>
      <x:c r="QRC64" s="293"/>
      <x:c r="QRD64" s="293"/>
      <x:c r="QRE64" s="293"/>
      <x:c r="QRF64" s="293"/>
      <x:c r="QRG64" s="293"/>
      <x:c r="QRH64" s="293"/>
      <x:c r="QRI64" s="293"/>
      <x:c r="QRJ64" s="293"/>
      <x:c r="QRK64" s="293"/>
      <x:c r="QRL64" s="293"/>
      <x:c r="QRM64" s="293"/>
      <x:c r="QRN64" s="293"/>
      <x:c r="QRO64" s="293"/>
      <x:c r="QRP64" s="293"/>
      <x:c r="QRQ64" s="293"/>
      <x:c r="QRR64" s="293"/>
      <x:c r="QRS64" s="293"/>
      <x:c r="QRT64" s="293"/>
      <x:c r="QRU64" s="293"/>
      <x:c r="QRV64" s="293"/>
      <x:c r="QRW64" s="293"/>
      <x:c r="QRX64" s="293"/>
      <x:c r="QRY64" s="293"/>
      <x:c r="QRZ64" s="293"/>
      <x:c r="QSA64" s="293"/>
      <x:c r="QSB64" s="293"/>
      <x:c r="QSC64" s="293"/>
      <x:c r="QSD64" s="293"/>
      <x:c r="QSE64" s="293"/>
      <x:c r="QSF64" s="293"/>
      <x:c r="QSG64" s="293"/>
      <x:c r="QSH64" s="293"/>
      <x:c r="QSI64" s="293"/>
      <x:c r="QSJ64" s="293"/>
      <x:c r="QSK64" s="293"/>
      <x:c r="QSL64" s="293"/>
      <x:c r="QSM64" s="293"/>
      <x:c r="QSN64" s="293"/>
      <x:c r="QSO64" s="293"/>
      <x:c r="QSP64" s="293"/>
      <x:c r="QSQ64" s="293"/>
      <x:c r="QSR64" s="293"/>
      <x:c r="QSS64" s="293"/>
      <x:c r="QST64" s="293"/>
      <x:c r="QSU64" s="293"/>
      <x:c r="QSV64" s="293"/>
      <x:c r="QSW64" s="293"/>
      <x:c r="QSX64" s="293"/>
      <x:c r="QSY64" s="293"/>
      <x:c r="QSZ64" s="293"/>
      <x:c r="QTA64" s="293"/>
      <x:c r="QTB64" s="293"/>
      <x:c r="QTC64" s="293"/>
      <x:c r="QTD64" s="293"/>
      <x:c r="QTE64" s="293"/>
      <x:c r="QTF64" s="293"/>
      <x:c r="QTG64" s="293"/>
      <x:c r="QTH64" s="293"/>
      <x:c r="QTI64" s="293"/>
      <x:c r="QTJ64" s="293"/>
      <x:c r="QTK64" s="293"/>
      <x:c r="QTL64" s="293"/>
      <x:c r="QTM64" s="293"/>
      <x:c r="QTN64" s="293"/>
      <x:c r="QTO64" s="293"/>
      <x:c r="QTP64" s="293"/>
      <x:c r="QTQ64" s="293"/>
      <x:c r="QTR64" s="293"/>
      <x:c r="QTS64" s="293"/>
      <x:c r="QTT64" s="293"/>
      <x:c r="QTU64" s="293"/>
      <x:c r="QTV64" s="293"/>
      <x:c r="QTW64" s="293"/>
      <x:c r="QTX64" s="293"/>
      <x:c r="QTY64" s="293"/>
      <x:c r="QTZ64" s="293"/>
      <x:c r="QUA64" s="293"/>
      <x:c r="QUB64" s="293"/>
      <x:c r="QUC64" s="293"/>
      <x:c r="QUD64" s="293"/>
      <x:c r="QUE64" s="293"/>
      <x:c r="QUF64" s="293"/>
      <x:c r="QUG64" s="293"/>
      <x:c r="QUH64" s="293"/>
      <x:c r="QUI64" s="293"/>
      <x:c r="QUJ64" s="293"/>
      <x:c r="QUK64" s="293"/>
      <x:c r="QUL64" s="293"/>
      <x:c r="QUM64" s="293"/>
      <x:c r="QUN64" s="293"/>
      <x:c r="QUO64" s="293"/>
      <x:c r="QUP64" s="293"/>
      <x:c r="QUQ64" s="293"/>
      <x:c r="QUR64" s="293"/>
      <x:c r="QUS64" s="293"/>
      <x:c r="QUT64" s="293"/>
      <x:c r="QUU64" s="293"/>
      <x:c r="QUV64" s="293"/>
      <x:c r="QUW64" s="293"/>
      <x:c r="QUX64" s="293"/>
      <x:c r="QUY64" s="293"/>
      <x:c r="QUZ64" s="293"/>
      <x:c r="QVA64" s="293"/>
      <x:c r="QVB64" s="293"/>
      <x:c r="QVC64" s="293"/>
      <x:c r="QVD64" s="293"/>
      <x:c r="QVE64" s="293"/>
      <x:c r="QVF64" s="293"/>
      <x:c r="QVG64" s="293"/>
      <x:c r="QVH64" s="293"/>
      <x:c r="QVI64" s="293"/>
      <x:c r="QVJ64" s="293"/>
      <x:c r="QVK64" s="293"/>
      <x:c r="QVL64" s="293"/>
      <x:c r="QVM64" s="293"/>
      <x:c r="QVN64" s="293"/>
      <x:c r="QVO64" s="293"/>
      <x:c r="QVP64" s="293"/>
      <x:c r="QVQ64" s="293"/>
      <x:c r="QVR64" s="293"/>
      <x:c r="QVS64" s="293"/>
      <x:c r="QVT64" s="293"/>
      <x:c r="QVU64" s="293"/>
      <x:c r="QVV64" s="293"/>
      <x:c r="QVW64" s="293"/>
      <x:c r="QVX64" s="293"/>
      <x:c r="QVY64" s="293"/>
      <x:c r="QVZ64" s="293"/>
      <x:c r="QWA64" s="293"/>
      <x:c r="QWB64" s="293"/>
      <x:c r="QWC64" s="293"/>
      <x:c r="QWD64" s="293"/>
      <x:c r="QWE64" s="293"/>
      <x:c r="QWF64" s="293"/>
      <x:c r="QWG64" s="293"/>
      <x:c r="QWH64" s="293"/>
      <x:c r="QWI64" s="293"/>
      <x:c r="QWJ64" s="293"/>
      <x:c r="QWK64" s="293"/>
      <x:c r="QWL64" s="293"/>
      <x:c r="QWM64" s="293"/>
      <x:c r="QWN64" s="293"/>
      <x:c r="QWO64" s="293"/>
      <x:c r="QWP64" s="293"/>
      <x:c r="QWQ64" s="293"/>
      <x:c r="QWR64" s="293"/>
      <x:c r="QWS64" s="293"/>
      <x:c r="QWT64" s="293"/>
      <x:c r="QWU64" s="293"/>
      <x:c r="QWV64" s="293"/>
      <x:c r="QWW64" s="293"/>
      <x:c r="QWX64" s="293"/>
      <x:c r="QWY64" s="293"/>
      <x:c r="QWZ64" s="293"/>
      <x:c r="QXA64" s="293"/>
      <x:c r="QXB64" s="293"/>
      <x:c r="QXC64" s="293"/>
      <x:c r="QXD64" s="293"/>
      <x:c r="QXE64" s="293"/>
      <x:c r="QXF64" s="293"/>
      <x:c r="QXG64" s="293"/>
      <x:c r="QXH64" s="293"/>
      <x:c r="QXI64" s="293"/>
      <x:c r="QXJ64" s="293"/>
      <x:c r="QXK64" s="293"/>
      <x:c r="QXL64" s="293"/>
      <x:c r="QXM64" s="293"/>
      <x:c r="QXN64" s="293"/>
      <x:c r="QXO64" s="293"/>
      <x:c r="QXP64" s="293"/>
      <x:c r="QXQ64" s="293"/>
      <x:c r="QXR64" s="293"/>
      <x:c r="QXS64" s="293"/>
      <x:c r="QXT64" s="293"/>
      <x:c r="QXU64" s="293"/>
      <x:c r="QXV64" s="293"/>
      <x:c r="QXW64" s="293"/>
      <x:c r="QXX64" s="293"/>
      <x:c r="QXY64" s="293"/>
      <x:c r="QXZ64" s="293"/>
      <x:c r="QYA64" s="293"/>
      <x:c r="QYB64" s="293"/>
      <x:c r="QYC64" s="293"/>
      <x:c r="QYD64" s="293"/>
      <x:c r="QYE64" s="293"/>
      <x:c r="QYF64" s="293"/>
      <x:c r="QYG64" s="293"/>
      <x:c r="QYH64" s="293"/>
      <x:c r="QYI64" s="293"/>
      <x:c r="QYJ64" s="293"/>
      <x:c r="QYK64" s="293"/>
      <x:c r="QYL64" s="293"/>
      <x:c r="QYM64" s="293"/>
      <x:c r="QYN64" s="293"/>
      <x:c r="QYO64" s="293"/>
      <x:c r="QYP64" s="293"/>
      <x:c r="QYQ64" s="293"/>
      <x:c r="QYR64" s="293"/>
      <x:c r="QYS64" s="293"/>
      <x:c r="QYT64" s="293"/>
      <x:c r="QYU64" s="293"/>
      <x:c r="QYV64" s="293"/>
      <x:c r="QYW64" s="293"/>
      <x:c r="QYX64" s="293"/>
      <x:c r="QYY64" s="293"/>
      <x:c r="QYZ64" s="293"/>
      <x:c r="QZA64" s="293"/>
      <x:c r="QZB64" s="293"/>
      <x:c r="QZC64" s="293"/>
      <x:c r="QZD64" s="293"/>
      <x:c r="QZE64" s="293"/>
      <x:c r="QZF64" s="293"/>
      <x:c r="QZG64" s="293"/>
      <x:c r="QZH64" s="293"/>
      <x:c r="QZI64" s="293"/>
      <x:c r="QZJ64" s="293"/>
      <x:c r="QZK64" s="293"/>
      <x:c r="QZL64" s="293"/>
      <x:c r="QZM64" s="293"/>
      <x:c r="QZN64" s="293"/>
      <x:c r="QZO64" s="293"/>
      <x:c r="QZP64" s="293"/>
      <x:c r="QZQ64" s="293"/>
      <x:c r="QZR64" s="293"/>
      <x:c r="QZS64" s="293"/>
      <x:c r="QZT64" s="293"/>
      <x:c r="QZU64" s="293"/>
      <x:c r="QZV64" s="293"/>
      <x:c r="QZW64" s="293"/>
      <x:c r="QZX64" s="293"/>
      <x:c r="QZY64" s="293"/>
      <x:c r="QZZ64" s="293"/>
      <x:c r="RAA64" s="293"/>
      <x:c r="RAB64" s="293"/>
      <x:c r="RAC64" s="293"/>
      <x:c r="RAD64" s="293"/>
      <x:c r="RAE64" s="293"/>
      <x:c r="RAF64" s="293"/>
      <x:c r="RAG64" s="293"/>
      <x:c r="RAH64" s="293"/>
      <x:c r="RAI64" s="293"/>
      <x:c r="RAJ64" s="293"/>
      <x:c r="RAK64" s="293"/>
      <x:c r="RAL64" s="293"/>
      <x:c r="RAM64" s="293"/>
      <x:c r="RAN64" s="293"/>
      <x:c r="RAO64" s="293"/>
      <x:c r="RAP64" s="293"/>
      <x:c r="RAQ64" s="293"/>
      <x:c r="RAR64" s="293"/>
      <x:c r="RAS64" s="293"/>
      <x:c r="RAT64" s="293"/>
      <x:c r="RAU64" s="293"/>
      <x:c r="RAV64" s="293"/>
      <x:c r="RAW64" s="293"/>
      <x:c r="RAX64" s="293"/>
      <x:c r="RAY64" s="293"/>
      <x:c r="RAZ64" s="293"/>
      <x:c r="RBA64" s="293"/>
      <x:c r="RBB64" s="293"/>
      <x:c r="RBC64" s="293"/>
      <x:c r="RBD64" s="293"/>
      <x:c r="RBE64" s="293"/>
      <x:c r="RBF64" s="293"/>
      <x:c r="RBG64" s="293"/>
      <x:c r="RBH64" s="293"/>
      <x:c r="RBI64" s="293"/>
      <x:c r="RBJ64" s="293"/>
      <x:c r="RBK64" s="293"/>
      <x:c r="RBL64" s="293"/>
      <x:c r="RBM64" s="293"/>
      <x:c r="RBN64" s="293"/>
      <x:c r="RBO64" s="293"/>
      <x:c r="RBP64" s="293"/>
      <x:c r="RBQ64" s="293"/>
      <x:c r="RBR64" s="293"/>
      <x:c r="RBS64" s="293"/>
      <x:c r="RBT64" s="293"/>
      <x:c r="RBU64" s="293"/>
      <x:c r="RBV64" s="293"/>
      <x:c r="RBW64" s="293"/>
      <x:c r="RBX64" s="293"/>
      <x:c r="RBY64" s="293"/>
      <x:c r="RBZ64" s="293"/>
      <x:c r="RCA64" s="293"/>
      <x:c r="RCB64" s="293"/>
      <x:c r="RCC64" s="293"/>
      <x:c r="RCD64" s="293"/>
      <x:c r="RCE64" s="293"/>
      <x:c r="RCF64" s="293"/>
      <x:c r="RCG64" s="293"/>
      <x:c r="RCH64" s="293"/>
      <x:c r="RCI64" s="293"/>
      <x:c r="RCJ64" s="293"/>
      <x:c r="RCK64" s="293"/>
      <x:c r="RCL64" s="293"/>
      <x:c r="RCM64" s="293"/>
      <x:c r="RCN64" s="293"/>
      <x:c r="RCO64" s="293"/>
      <x:c r="RCP64" s="293"/>
      <x:c r="RCQ64" s="293"/>
      <x:c r="RCR64" s="293"/>
      <x:c r="RCS64" s="293"/>
      <x:c r="RCT64" s="293"/>
      <x:c r="RCU64" s="293"/>
      <x:c r="RCV64" s="293"/>
      <x:c r="RCW64" s="293"/>
      <x:c r="RCX64" s="293"/>
      <x:c r="RCY64" s="293"/>
      <x:c r="RCZ64" s="293"/>
      <x:c r="RDA64" s="293"/>
      <x:c r="RDB64" s="293"/>
      <x:c r="RDC64" s="293"/>
      <x:c r="RDD64" s="293"/>
      <x:c r="RDE64" s="293"/>
      <x:c r="RDF64" s="293"/>
      <x:c r="RDG64" s="293"/>
      <x:c r="RDH64" s="293"/>
      <x:c r="RDI64" s="293"/>
      <x:c r="RDJ64" s="293"/>
      <x:c r="RDK64" s="293"/>
      <x:c r="RDL64" s="293"/>
      <x:c r="RDM64" s="293"/>
      <x:c r="RDN64" s="293"/>
      <x:c r="RDO64" s="293"/>
      <x:c r="RDP64" s="293"/>
      <x:c r="RDQ64" s="293"/>
      <x:c r="RDR64" s="293"/>
      <x:c r="RDS64" s="293"/>
      <x:c r="RDT64" s="293"/>
      <x:c r="RDU64" s="293"/>
      <x:c r="RDV64" s="293"/>
      <x:c r="RDW64" s="293"/>
      <x:c r="RDX64" s="293"/>
      <x:c r="RDY64" s="293"/>
      <x:c r="RDZ64" s="293"/>
      <x:c r="REA64" s="293"/>
      <x:c r="REB64" s="293"/>
      <x:c r="REC64" s="293"/>
      <x:c r="RED64" s="293"/>
      <x:c r="REE64" s="293"/>
      <x:c r="REF64" s="293"/>
      <x:c r="REG64" s="293"/>
      <x:c r="REH64" s="293"/>
      <x:c r="REI64" s="293"/>
      <x:c r="REJ64" s="293"/>
      <x:c r="REK64" s="293"/>
      <x:c r="REL64" s="293"/>
      <x:c r="REM64" s="293"/>
      <x:c r="REN64" s="293"/>
      <x:c r="REO64" s="293"/>
      <x:c r="REP64" s="293"/>
      <x:c r="REQ64" s="293"/>
      <x:c r="RER64" s="293"/>
      <x:c r="RES64" s="293"/>
      <x:c r="RET64" s="293"/>
      <x:c r="REU64" s="293"/>
      <x:c r="REV64" s="293"/>
      <x:c r="REW64" s="293"/>
      <x:c r="REX64" s="293"/>
      <x:c r="REY64" s="293"/>
      <x:c r="REZ64" s="293"/>
      <x:c r="RFA64" s="293"/>
      <x:c r="RFB64" s="293"/>
      <x:c r="RFC64" s="293"/>
      <x:c r="RFD64" s="293"/>
      <x:c r="RFE64" s="293"/>
      <x:c r="RFF64" s="293"/>
      <x:c r="RFG64" s="293"/>
      <x:c r="RFH64" s="293"/>
      <x:c r="RFI64" s="293"/>
      <x:c r="RFJ64" s="293"/>
      <x:c r="RFK64" s="293"/>
      <x:c r="RFL64" s="293"/>
      <x:c r="RFM64" s="293"/>
      <x:c r="RFN64" s="293"/>
      <x:c r="RFO64" s="293"/>
      <x:c r="RFP64" s="293"/>
      <x:c r="RFQ64" s="293"/>
      <x:c r="RFR64" s="293"/>
      <x:c r="RFS64" s="293"/>
      <x:c r="RFT64" s="293"/>
      <x:c r="RFU64" s="293"/>
      <x:c r="RFV64" s="293"/>
      <x:c r="RFW64" s="293"/>
      <x:c r="RFX64" s="293"/>
      <x:c r="RFY64" s="293"/>
      <x:c r="RFZ64" s="293"/>
      <x:c r="RGA64" s="293"/>
      <x:c r="RGB64" s="293"/>
      <x:c r="RGC64" s="293"/>
      <x:c r="RGD64" s="293"/>
      <x:c r="RGE64" s="293"/>
      <x:c r="RGF64" s="293"/>
      <x:c r="RGG64" s="293"/>
      <x:c r="RGH64" s="293"/>
      <x:c r="RGI64" s="293"/>
      <x:c r="RGJ64" s="293"/>
      <x:c r="RGK64" s="293"/>
      <x:c r="RGL64" s="293"/>
      <x:c r="RGM64" s="293"/>
      <x:c r="RGN64" s="293"/>
      <x:c r="RGO64" s="293"/>
      <x:c r="RGP64" s="293"/>
      <x:c r="RGQ64" s="293"/>
      <x:c r="RGR64" s="293"/>
      <x:c r="RGS64" s="293"/>
      <x:c r="RGT64" s="293"/>
      <x:c r="RGU64" s="293"/>
      <x:c r="RGV64" s="293"/>
      <x:c r="RGW64" s="293"/>
      <x:c r="RGX64" s="293"/>
      <x:c r="RGY64" s="293"/>
      <x:c r="RGZ64" s="293"/>
      <x:c r="RHA64" s="293"/>
      <x:c r="RHB64" s="293"/>
      <x:c r="RHC64" s="293"/>
      <x:c r="RHD64" s="293"/>
      <x:c r="RHE64" s="293"/>
      <x:c r="RHF64" s="293"/>
      <x:c r="RHG64" s="293"/>
      <x:c r="RHH64" s="293"/>
      <x:c r="RHI64" s="293"/>
      <x:c r="RHJ64" s="293"/>
      <x:c r="RHK64" s="293"/>
      <x:c r="RHL64" s="293"/>
      <x:c r="RHM64" s="293"/>
      <x:c r="RHN64" s="293"/>
      <x:c r="RHO64" s="293"/>
      <x:c r="RHP64" s="293"/>
      <x:c r="RHQ64" s="293"/>
      <x:c r="RHR64" s="293"/>
      <x:c r="RHS64" s="293"/>
      <x:c r="RHT64" s="293"/>
      <x:c r="RHU64" s="293"/>
      <x:c r="RHV64" s="293"/>
      <x:c r="RHW64" s="293"/>
      <x:c r="RHX64" s="293"/>
      <x:c r="RHY64" s="293"/>
      <x:c r="RHZ64" s="293"/>
      <x:c r="RIA64" s="293"/>
      <x:c r="RIB64" s="293"/>
      <x:c r="RIC64" s="293"/>
      <x:c r="RID64" s="293"/>
      <x:c r="RIE64" s="293"/>
      <x:c r="RIF64" s="293"/>
      <x:c r="RIG64" s="293"/>
      <x:c r="RIH64" s="293"/>
      <x:c r="RII64" s="293"/>
      <x:c r="RIJ64" s="293"/>
      <x:c r="RIK64" s="293"/>
      <x:c r="RIL64" s="293"/>
      <x:c r="RIM64" s="293"/>
      <x:c r="RIN64" s="293"/>
      <x:c r="RIO64" s="293"/>
      <x:c r="RIP64" s="293"/>
      <x:c r="RIQ64" s="293"/>
      <x:c r="RIR64" s="293"/>
      <x:c r="RIS64" s="293"/>
      <x:c r="RIT64" s="293"/>
      <x:c r="RIU64" s="293"/>
      <x:c r="RIV64" s="293"/>
      <x:c r="RIW64" s="293"/>
      <x:c r="RIX64" s="293"/>
      <x:c r="RIY64" s="293"/>
      <x:c r="RIZ64" s="293"/>
      <x:c r="RJA64" s="293"/>
      <x:c r="RJB64" s="293"/>
      <x:c r="RJC64" s="293"/>
      <x:c r="RJD64" s="293"/>
      <x:c r="RJE64" s="293"/>
      <x:c r="RJF64" s="293"/>
      <x:c r="RJG64" s="293"/>
      <x:c r="RJH64" s="293"/>
      <x:c r="RJI64" s="293"/>
      <x:c r="RJJ64" s="293"/>
      <x:c r="RJK64" s="293"/>
      <x:c r="RJL64" s="293"/>
      <x:c r="RJM64" s="293"/>
      <x:c r="RJN64" s="293"/>
      <x:c r="RJO64" s="293"/>
      <x:c r="RJP64" s="293"/>
      <x:c r="RJQ64" s="293"/>
      <x:c r="RJR64" s="293"/>
      <x:c r="RJS64" s="293"/>
      <x:c r="RJT64" s="293"/>
      <x:c r="RJU64" s="293"/>
      <x:c r="RJV64" s="293"/>
      <x:c r="RJW64" s="293"/>
      <x:c r="RJX64" s="293"/>
      <x:c r="RJY64" s="293"/>
      <x:c r="RJZ64" s="293"/>
      <x:c r="RKA64" s="293"/>
      <x:c r="RKB64" s="293"/>
      <x:c r="RKC64" s="293"/>
      <x:c r="RKD64" s="293"/>
      <x:c r="RKE64" s="293"/>
      <x:c r="RKF64" s="293"/>
      <x:c r="RKG64" s="293"/>
      <x:c r="RKH64" s="293"/>
      <x:c r="RKI64" s="293"/>
      <x:c r="RKJ64" s="293"/>
      <x:c r="RKK64" s="293"/>
      <x:c r="RKL64" s="293"/>
      <x:c r="RKM64" s="293"/>
      <x:c r="RKN64" s="293"/>
      <x:c r="RKO64" s="293"/>
      <x:c r="RKP64" s="293"/>
      <x:c r="RKQ64" s="293"/>
      <x:c r="RKR64" s="293"/>
      <x:c r="RKS64" s="293"/>
      <x:c r="RKT64" s="293"/>
      <x:c r="RKU64" s="293"/>
      <x:c r="RKV64" s="293"/>
      <x:c r="RKW64" s="293"/>
      <x:c r="RKX64" s="293"/>
      <x:c r="RKY64" s="293"/>
      <x:c r="RKZ64" s="293"/>
      <x:c r="RLA64" s="293"/>
      <x:c r="RLB64" s="293"/>
      <x:c r="RLC64" s="293"/>
      <x:c r="RLD64" s="293"/>
      <x:c r="RLE64" s="293"/>
      <x:c r="RLF64" s="293"/>
      <x:c r="RLG64" s="293"/>
      <x:c r="RLH64" s="293"/>
      <x:c r="RLI64" s="293"/>
      <x:c r="RLJ64" s="293"/>
      <x:c r="RLK64" s="293"/>
      <x:c r="RLL64" s="293"/>
      <x:c r="RLM64" s="293"/>
      <x:c r="RLN64" s="293"/>
      <x:c r="RLO64" s="293"/>
      <x:c r="RLP64" s="293"/>
      <x:c r="RLQ64" s="293"/>
      <x:c r="RLR64" s="293"/>
      <x:c r="RLS64" s="293"/>
      <x:c r="RLT64" s="293"/>
      <x:c r="RLU64" s="293"/>
      <x:c r="RLV64" s="293"/>
      <x:c r="RLW64" s="293"/>
      <x:c r="RLX64" s="293"/>
      <x:c r="RLY64" s="293"/>
      <x:c r="RLZ64" s="293"/>
      <x:c r="RMA64" s="293"/>
      <x:c r="RMB64" s="293"/>
      <x:c r="RMC64" s="293"/>
      <x:c r="RMD64" s="293"/>
      <x:c r="RME64" s="293"/>
      <x:c r="RMF64" s="293"/>
      <x:c r="RMG64" s="293"/>
      <x:c r="RMH64" s="293"/>
      <x:c r="RMI64" s="293"/>
      <x:c r="RMJ64" s="293"/>
      <x:c r="RMK64" s="293"/>
      <x:c r="RML64" s="293"/>
      <x:c r="RMM64" s="293"/>
      <x:c r="RMN64" s="293"/>
      <x:c r="RMO64" s="293"/>
      <x:c r="RMP64" s="293"/>
      <x:c r="RMQ64" s="293"/>
      <x:c r="RMR64" s="293"/>
      <x:c r="RMS64" s="293"/>
      <x:c r="RMT64" s="293"/>
      <x:c r="RMU64" s="293"/>
      <x:c r="RMV64" s="293"/>
      <x:c r="RMW64" s="293"/>
      <x:c r="RMX64" s="293"/>
      <x:c r="RMY64" s="293"/>
      <x:c r="RMZ64" s="293"/>
      <x:c r="RNA64" s="293"/>
      <x:c r="RNB64" s="293"/>
      <x:c r="RNC64" s="293"/>
      <x:c r="RND64" s="293"/>
      <x:c r="RNE64" s="293"/>
      <x:c r="RNF64" s="293"/>
      <x:c r="RNG64" s="293"/>
      <x:c r="RNH64" s="293"/>
      <x:c r="RNI64" s="293"/>
      <x:c r="RNJ64" s="293"/>
      <x:c r="RNK64" s="293"/>
      <x:c r="RNL64" s="293"/>
      <x:c r="RNM64" s="293"/>
      <x:c r="RNN64" s="293"/>
      <x:c r="RNO64" s="293"/>
      <x:c r="RNP64" s="293"/>
      <x:c r="RNQ64" s="293"/>
      <x:c r="RNR64" s="293"/>
      <x:c r="RNS64" s="293"/>
      <x:c r="RNT64" s="293"/>
      <x:c r="RNU64" s="293"/>
      <x:c r="RNV64" s="293"/>
      <x:c r="RNW64" s="293"/>
      <x:c r="RNX64" s="293"/>
      <x:c r="RNY64" s="293"/>
      <x:c r="RNZ64" s="293"/>
      <x:c r="ROA64" s="293"/>
      <x:c r="ROB64" s="293"/>
      <x:c r="ROC64" s="293"/>
      <x:c r="ROD64" s="293"/>
      <x:c r="ROE64" s="293"/>
      <x:c r="ROF64" s="293"/>
      <x:c r="ROG64" s="293"/>
      <x:c r="ROH64" s="293"/>
      <x:c r="ROI64" s="293"/>
      <x:c r="ROJ64" s="293"/>
      <x:c r="ROK64" s="293"/>
      <x:c r="ROL64" s="293"/>
      <x:c r="ROM64" s="293"/>
      <x:c r="RON64" s="293"/>
      <x:c r="ROO64" s="293"/>
      <x:c r="ROP64" s="293"/>
      <x:c r="ROQ64" s="293"/>
      <x:c r="ROR64" s="293"/>
      <x:c r="ROS64" s="293"/>
      <x:c r="ROT64" s="293"/>
      <x:c r="ROU64" s="293"/>
      <x:c r="ROV64" s="293"/>
      <x:c r="ROW64" s="293"/>
      <x:c r="ROX64" s="293"/>
      <x:c r="ROY64" s="293"/>
      <x:c r="ROZ64" s="293"/>
      <x:c r="RPA64" s="293"/>
      <x:c r="RPB64" s="293"/>
      <x:c r="RPC64" s="293"/>
      <x:c r="RPD64" s="293"/>
      <x:c r="RPE64" s="293"/>
      <x:c r="RPF64" s="293"/>
      <x:c r="RPG64" s="293"/>
      <x:c r="RPH64" s="293"/>
      <x:c r="RPI64" s="293"/>
      <x:c r="RPJ64" s="293"/>
      <x:c r="RPK64" s="293"/>
      <x:c r="RPL64" s="293"/>
      <x:c r="RPM64" s="293"/>
      <x:c r="RPN64" s="293"/>
      <x:c r="RPO64" s="293"/>
      <x:c r="RPP64" s="293"/>
      <x:c r="RPQ64" s="293"/>
      <x:c r="RPR64" s="293"/>
      <x:c r="RPS64" s="293"/>
      <x:c r="RPT64" s="293"/>
      <x:c r="RPU64" s="293"/>
      <x:c r="RPV64" s="293"/>
      <x:c r="RPW64" s="293"/>
      <x:c r="RPX64" s="293"/>
      <x:c r="RPY64" s="293"/>
      <x:c r="RPZ64" s="293"/>
      <x:c r="RQA64" s="293"/>
      <x:c r="RQB64" s="293"/>
      <x:c r="RQC64" s="293"/>
      <x:c r="RQD64" s="293"/>
      <x:c r="RQE64" s="293"/>
      <x:c r="RQF64" s="293"/>
      <x:c r="RQG64" s="293"/>
      <x:c r="RQH64" s="293"/>
      <x:c r="RQI64" s="293"/>
      <x:c r="RQJ64" s="293"/>
      <x:c r="RQK64" s="293"/>
      <x:c r="RQL64" s="293"/>
      <x:c r="RQM64" s="293"/>
      <x:c r="RQN64" s="293"/>
      <x:c r="RQO64" s="293"/>
      <x:c r="RQP64" s="293"/>
      <x:c r="RQQ64" s="293"/>
      <x:c r="RQR64" s="293"/>
      <x:c r="RQS64" s="293"/>
      <x:c r="RQT64" s="293"/>
      <x:c r="RQU64" s="293"/>
      <x:c r="RQV64" s="293"/>
      <x:c r="RQW64" s="293"/>
      <x:c r="RQX64" s="293"/>
      <x:c r="RQY64" s="293"/>
      <x:c r="RQZ64" s="293"/>
      <x:c r="RRA64" s="293"/>
      <x:c r="RRB64" s="293"/>
      <x:c r="RRC64" s="293"/>
      <x:c r="RRD64" s="293"/>
      <x:c r="RRE64" s="293"/>
      <x:c r="RRF64" s="293"/>
      <x:c r="RRG64" s="293"/>
      <x:c r="RRH64" s="293"/>
      <x:c r="RRI64" s="293"/>
      <x:c r="RRJ64" s="293"/>
      <x:c r="RRK64" s="293"/>
      <x:c r="RRL64" s="293"/>
      <x:c r="RRM64" s="293"/>
      <x:c r="RRN64" s="293"/>
      <x:c r="RRO64" s="293"/>
      <x:c r="RRP64" s="293"/>
      <x:c r="RRQ64" s="293"/>
      <x:c r="RRR64" s="293"/>
      <x:c r="RRS64" s="293"/>
      <x:c r="RRT64" s="293"/>
      <x:c r="RRU64" s="293"/>
      <x:c r="RRV64" s="293"/>
      <x:c r="RRW64" s="293"/>
      <x:c r="RRX64" s="293"/>
      <x:c r="RRY64" s="293"/>
      <x:c r="RRZ64" s="293"/>
      <x:c r="RSA64" s="293"/>
      <x:c r="RSB64" s="293"/>
      <x:c r="RSC64" s="293"/>
      <x:c r="RSD64" s="293"/>
      <x:c r="RSE64" s="293"/>
      <x:c r="RSF64" s="293"/>
      <x:c r="RSG64" s="293"/>
      <x:c r="RSH64" s="293"/>
      <x:c r="RSI64" s="293"/>
      <x:c r="RSJ64" s="293"/>
      <x:c r="RSK64" s="293"/>
      <x:c r="RSL64" s="293"/>
      <x:c r="RSM64" s="293"/>
      <x:c r="RSN64" s="293"/>
      <x:c r="RSO64" s="293"/>
      <x:c r="RSP64" s="293"/>
      <x:c r="RSQ64" s="293"/>
      <x:c r="RSR64" s="293"/>
      <x:c r="RSS64" s="293"/>
      <x:c r="RST64" s="293"/>
      <x:c r="RSU64" s="293"/>
      <x:c r="RSV64" s="293"/>
      <x:c r="RSW64" s="293"/>
      <x:c r="RSX64" s="293"/>
      <x:c r="RSY64" s="293"/>
      <x:c r="RSZ64" s="293"/>
      <x:c r="RTA64" s="293"/>
      <x:c r="RTB64" s="293"/>
      <x:c r="RTC64" s="293"/>
      <x:c r="RTD64" s="293"/>
      <x:c r="RTE64" s="293"/>
      <x:c r="RTF64" s="293"/>
      <x:c r="RTG64" s="293"/>
      <x:c r="RTH64" s="293"/>
      <x:c r="RTI64" s="293"/>
      <x:c r="RTJ64" s="293"/>
      <x:c r="RTK64" s="293"/>
      <x:c r="RTL64" s="293"/>
      <x:c r="RTM64" s="293"/>
      <x:c r="RTN64" s="293"/>
      <x:c r="RTO64" s="293"/>
      <x:c r="RTP64" s="293"/>
      <x:c r="RTQ64" s="293"/>
      <x:c r="RTR64" s="293"/>
      <x:c r="RTS64" s="293"/>
      <x:c r="RTT64" s="293"/>
      <x:c r="RTU64" s="293"/>
      <x:c r="RTV64" s="293"/>
      <x:c r="RTW64" s="293"/>
      <x:c r="RTX64" s="293"/>
      <x:c r="RTY64" s="293"/>
      <x:c r="RTZ64" s="293"/>
      <x:c r="RUA64" s="293"/>
      <x:c r="RUB64" s="293"/>
      <x:c r="RUC64" s="293"/>
      <x:c r="RUD64" s="293"/>
      <x:c r="RUE64" s="293"/>
      <x:c r="RUF64" s="293"/>
      <x:c r="RUG64" s="293"/>
      <x:c r="RUH64" s="293"/>
      <x:c r="RUI64" s="293"/>
      <x:c r="RUJ64" s="293"/>
      <x:c r="RUK64" s="293"/>
      <x:c r="RUL64" s="293"/>
      <x:c r="RUM64" s="293"/>
      <x:c r="RUN64" s="293"/>
      <x:c r="RUO64" s="293"/>
      <x:c r="RUP64" s="293"/>
      <x:c r="RUQ64" s="293"/>
      <x:c r="RUR64" s="293"/>
      <x:c r="RUS64" s="293"/>
      <x:c r="RUT64" s="293"/>
      <x:c r="RUU64" s="293"/>
      <x:c r="RUV64" s="293"/>
      <x:c r="RUW64" s="293"/>
      <x:c r="RUX64" s="293"/>
      <x:c r="RUY64" s="293"/>
      <x:c r="RUZ64" s="293"/>
      <x:c r="RVA64" s="293"/>
      <x:c r="RVB64" s="293"/>
      <x:c r="RVC64" s="293"/>
      <x:c r="RVD64" s="293"/>
      <x:c r="RVE64" s="293"/>
      <x:c r="RVF64" s="293"/>
      <x:c r="RVG64" s="293"/>
      <x:c r="RVH64" s="293"/>
      <x:c r="RVI64" s="293"/>
      <x:c r="RVJ64" s="293"/>
      <x:c r="RVK64" s="293"/>
      <x:c r="RVL64" s="293"/>
      <x:c r="RVM64" s="293"/>
      <x:c r="RVN64" s="293"/>
      <x:c r="RVO64" s="293"/>
      <x:c r="RVP64" s="293"/>
      <x:c r="RVQ64" s="293"/>
      <x:c r="RVR64" s="293"/>
      <x:c r="RVS64" s="293"/>
      <x:c r="RVT64" s="293"/>
      <x:c r="RVU64" s="293"/>
      <x:c r="RVV64" s="293"/>
      <x:c r="RVW64" s="293"/>
      <x:c r="RVX64" s="293"/>
      <x:c r="RVY64" s="293"/>
      <x:c r="RVZ64" s="293"/>
      <x:c r="RWA64" s="293"/>
      <x:c r="RWB64" s="293"/>
      <x:c r="RWC64" s="293"/>
      <x:c r="RWD64" s="293"/>
      <x:c r="RWE64" s="293"/>
      <x:c r="RWF64" s="293"/>
      <x:c r="RWG64" s="293"/>
      <x:c r="RWH64" s="293"/>
      <x:c r="RWI64" s="293"/>
      <x:c r="RWJ64" s="293"/>
      <x:c r="RWK64" s="293"/>
      <x:c r="RWL64" s="293"/>
      <x:c r="RWM64" s="293"/>
      <x:c r="RWN64" s="293"/>
      <x:c r="RWO64" s="293"/>
      <x:c r="RWP64" s="293"/>
      <x:c r="RWQ64" s="293"/>
      <x:c r="RWR64" s="293"/>
      <x:c r="RWS64" s="293"/>
      <x:c r="RWT64" s="293"/>
      <x:c r="RWU64" s="293"/>
      <x:c r="RWV64" s="293"/>
      <x:c r="RWW64" s="293"/>
      <x:c r="RWX64" s="293"/>
      <x:c r="RWY64" s="293"/>
      <x:c r="RWZ64" s="293"/>
      <x:c r="RXA64" s="293"/>
      <x:c r="RXB64" s="293"/>
      <x:c r="RXC64" s="293"/>
      <x:c r="RXD64" s="293"/>
      <x:c r="RXE64" s="293"/>
      <x:c r="RXF64" s="293"/>
      <x:c r="RXG64" s="293"/>
      <x:c r="RXH64" s="293"/>
      <x:c r="RXI64" s="293"/>
      <x:c r="RXJ64" s="293"/>
      <x:c r="RXK64" s="293"/>
      <x:c r="RXL64" s="293"/>
      <x:c r="RXM64" s="293"/>
      <x:c r="RXN64" s="293"/>
      <x:c r="RXO64" s="293"/>
      <x:c r="RXP64" s="293"/>
      <x:c r="RXQ64" s="293"/>
      <x:c r="RXR64" s="293"/>
      <x:c r="RXS64" s="293"/>
      <x:c r="RXT64" s="293"/>
      <x:c r="RXU64" s="293"/>
      <x:c r="RXV64" s="293"/>
      <x:c r="RXW64" s="293"/>
      <x:c r="RXX64" s="293"/>
      <x:c r="RXY64" s="293"/>
      <x:c r="RXZ64" s="293"/>
      <x:c r="RYA64" s="293"/>
      <x:c r="RYB64" s="293"/>
      <x:c r="RYC64" s="293"/>
      <x:c r="RYD64" s="293"/>
      <x:c r="RYE64" s="293"/>
      <x:c r="RYF64" s="293"/>
      <x:c r="RYG64" s="293"/>
      <x:c r="RYH64" s="293"/>
      <x:c r="RYI64" s="293"/>
      <x:c r="RYJ64" s="293"/>
      <x:c r="RYK64" s="293"/>
      <x:c r="RYL64" s="293"/>
      <x:c r="RYM64" s="293"/>
      <x:c r="RYN64" s="293"/>
      <x:c r="RYO64" s="293"/>
      <x:c r="RYP64" s="293"/>
      <x:c r="RYQ64" s="293"/>
      <x:c r="RYR64" s="293"/>
      <x:c r="RYS64" s="293"/>
      <x:c r="RYT64" s="293"/>
      <x:c r="RYU64" s="293"/>
      <x:c r="RYV64" s="293"/>
      <x:c r="RYW64" s="293"/>
      <x:c r="RYX64" s="293"/>
      <x:c r="RYY64" s="293"/>
      <x:c r="RYZ64" s="293"/>
      <x:c r="RZA64" s="293"/>
      <x:c r="RZB64" s="293"/>
      <x:c r="RZC64" s="293"/>
      <x:c r="RZD64" s="293"/>
      <x:c r="RZE64" s="293"/>
      <x:c r="RZF64" s="293"/>
      <x:c r="RZG64" s="293"/>
      <x:c r="RZH64" s="293"/>
      <x:c r="RZI64" s="293"/>
      <x:c r="RZJ64" s="293"/>
      <x:c r="RZK64" s="293"/>
      <x:c r="RZL64" s="293"/>
      <x:c r="RZM64" s="293"/>
      <x:c r="RZN64" s="293"/>
      <x:c r="RZO64" s="293"/>
      <x:c r="RZP64" s="293"/>
      <x:c r="RZQ64" s="293"/>
      <x:c r="RZR64" s="293"/>
      <x:c r="RZS64" s="293"/>
      <x:c r="RZT64" s="293"/>
      <x:c r="RZU64" s="293"/>
      <x:c r="RZV64" s="293"/>
      <x:c r="RZW64" s="293"/>
      <x:c r="RZX64" s="293"/>
      <x:c r="RZY64" s="293"/>
      <x:c r="RZZ64" s="293"/>
      <x:c r="SAA64" s="293"/>
      <x:c r="SAB64" s="293"/>
      <x:c r="SAC64" s="293"/>
      <x:c r="SAD64" s="293"/>
      <x:c r="SAE64" s="293"/>
      <x:c r="SAF64" s="293"/>
      <x:c r="SAG64" s="293"/>
      <x:c r="SAH64" s="293"/>
      <x:c r="SAI64" s="293"/>
      <x:c r="SAJ64" s="293"/>
      <x:c r="SAK64" s="293"/>
      <x:c r="SAL64" s="293"/>
      <x:c r="SAM64" s="293"/>
      <x:c r="SAN64" s="293"/>
      <x:c r="SAO64" s="293"/>
      <x:c r="SAP64" s="293"/>
      <x:c r="SAQ64" s="293"/>
      <x:c r="SAR64" s="293"/>
      <x:c r="SAS64" s="293"/>
      <x:c r="SAT64" s="293"/>
      <x:c r="SAU64" s="293"/>
      <x:c r="SAV64" s="293"/>
      <x:c r="SAW64" s="293"/>
      <x:c r="SAX64" s="293"/>
      <x:c r="SAY64" s="293"/>
      <x:c r="SAZ64" s="293"/>
      <x:c r="SBA64" s="293"/>
      <x:c r="SBB64" s="293"/>
      <x:c r="SBC64" s="293"/>
      <x:c r="SBD64" s="293"/>
      <x:c r="SBE64" s="293"/>
      <x:c r="SBF64" s="293"/>
      <x:c r="SBG64" s="293"/>
      <x:c r="SBH64" s="293"/>
      <x:c r="SBI64" s="293"/>
      <x:c r="SBJ64" s="293"/>
      <x:c r="SBK64" s="293"/>
      <x:c r="SBL64" s="293"/>
      <x:c r="SBM64" s="293"/>
      <x:c r="SBN64" s="293"/>
      <x:c r="SBO64" s="293"/>
      <x:c r="SBP64" s="293"/>
      <x:c r="SBQ64" s="293"/>
      <x:c r="SBR64" s="293"/>
      <x:c r="SBS64" s="293"/>
      <x:c r="SBT64" s="293"/>
      <x:c r="SBU64" s="293"/>
      <x:c r="SBV64" s="293"/>
      <x:c r="SBW64" s="293"/>
      <x:c r="SBX64" s="293"/>
      <x:c r="SBY64" s="293"/>
      <x:c r="SBZ64" s="293"/>
      <x:c r="SCA64" s="293"/>
      <x:c r="SCB64" s="293"/>
      <x:c r="SCC64" s="293"/>
      <x:c r="SCD64" s="293"/>
      <x:c r="SCE64" s="293"/>
      <x:c r="SCF64" s="293"/>
      <x:c r="SCG64" s="293"/>
      <x:c r="SCH64" s="293"/>
      <x:c r="SCI64" s="293"/>
      <x:c r="SCJ64" s="293"/>
      <x:c r="SCK64" s="293"/>
      <x:c r="SCL64" s="293"/>
      <x:c r="SCM64" s="293"/>
      <x:c r="SCN64" s="293"/>
      <x:c r="SCO64" s="293"/>
      <x:c r="SCP64" s="293"/>
      <x:c r="SCQ64" s="293"/>
      <x:c r="SCR64" s="293"/>
      <x:c r="SCS64" s="293"/>
      <x:c r="SCT64" s="293"/>
      <x:c r="SCU64" s="293"/>
      <x:c r="SCV64" s="293"/>
      <x:c r="SCW64" s="293"/>
      <x:c r="SCX64" s="293"/>
      <x:c r="SCY64" s="293"/>
      <x:c r="SCZ64" s="293"/>
      <x:c r="SDA64" s="293"/>
      <x:c r="SDB64" s="293"/>
      <x:c r="SDC64" s="293"/>
      <x:c r="SDD64" s="293"/>
      <x:c r="SDE64" s="293"/>
      <x:c r="SDF64" s="293"/>
      <x:c r="SDG64" s="293"/>
      <x:c r="SDH64" s="293"/>
      <x:c r="SDI64" s="293"/>
      <x:c r="SDJ64" s="293"/>
      <x:c r="SDK64" s="293"/>
      <x:c r="SDL64" s="293"/>
      <x:c r="SDM64" s="293"/>
      <x:c r="SDN64" s="293"/>
      <x:c r="SDO64" s="293"/>
      <x:c r="SDP64" s="293"/>
      <x:c r="SDQ64" s="293"/>
      <x:c r="SDR64" s="293"/>
      <x:c r="SDS64" s="293"/>
      <x:c r="SDT64" s="293"/>
      <x:c r="SDU64" s="293"/>
      <x:c r="SDV64" s="293"/>
      <x:c r="SDW64" s="293"/>
      <x:c r="SDX64" s="293"/>
      <x:c r="SDY64" s="293"/>
      <x:c r="SDZ64" s="293"/>
      <x:c r="SEA64" s="293"/>
      <x:c r="SEB64" s="293"/>
      <x:c r="SEC64" s="293"/>
      <x:c r="SED64" s="293"/>
      <x:c r="SEE64" s="293"/>
      <x:c r="SEF64" s="293"/>
      <x:c r="SEG64" s="293"/>
      <x:c r="SEH64" s="293"/>
      <x:c r="SEI64" s="293"/>
      <x:c r="SEJ64" s="293"/>
      <x:c r="SEK64" s="293"/>
      <x:c r="SEL64" s="293"/>
      <x:c r="SEM64" s="293"/>
      <x:c r="SEN64" s="293"/>
      <x:c r="SEO64" s="293"/>
      <x:c r="SEP64" s="293"/>
      <x:c r="SEQ64" s="293"/>
      <x:c r="SER64" s="293"/>
      <x:c r="SES64" s="293"/>
      <x:c r="SET64" s="293"/>
      <x:c r="SEU64" s="293"/>
      <x:c r="SEV64" s="293"/>
      <x:c r="SEW64" s="293"/>
      <x:c r="SEX64" s="293"/>
      <x:c r="SEY64" s="293"/>
      <x:c r="SEZ64" s="293"/>
      <x:c r="SFA64" s="293"/>
      <x:c r="SFB64" s="293"/>
      <x:c r="SFC64" s="293"/>
      <x:c r="SFD64" s="293"/>
      <x:c r="SFE64" s="293"/>
      <x:c r="SFF64" s="293"/>
      <x:c r="SFG64" s="293"/>
      <x:c r="SFH64" s="293"/>
      <x:c r="SFI64" s="293"/>
      <x:c r="SFJ64" s="293"/>
      <x:c r="SFK64" s="293"/>
      <x:c r="SFL64" s="293"/>
      <x:c r="SFM64" s="293"/>
      <x:c r="SFN64" s="293"/>
      <x:c r="SFO64" s="293"/>
      <x:c r="SFP64" s="293"/>
      <x:c r="SFQ64" s="293"/>
      <x:c r="SFR64" s="293"/>
      <x:c r="SFS64" s="293"/>
      <x:c r="SFT64" s="293"/>
      <x:c r="SFU64" s="293"/>
      <x:c r="SFV64" s="293"/>
      <x:c r="SFW64" s="293"/>
      <x:c r="SFX64" s="293"/>
      <x:c r="SFY64" s="293"/>
      <x:c r="SFZ64" s="293"/>
      <x:c r="SGA64" s="293"/>
      <x:c r="SGB64" s="293"/>
      <x:c r="SGC64" s="293"/>
      <x:c r="SGD64" s="293"/>
      <x:c r="SGE64" s="293"/>
      <x:c r="SGF64" s="293"/>
      <x:c r="SGG64" s="293"/>
      <x:c r="SGH64" s="293"/>
      <x:c r="SGI64" s="293"/>
      <x:c r="SGJ64" s="293"/>
      <x:c r="SGK64" s="293"/>
      <x:c r="SGL64" s="293"/>
      <x:c r="SGM64" s="293"/>
      <x:c r="SGN64" s="293"/>
      <x:c r="SGO64" s="293"/>
      <x:c r="SGP64" s="293"/>
      <x:c r="SGQ64" s="293"/>
      <x:c r="SGR64" s="293"/>
      <x:c r="SGS64" s="293"/>
      <x:c r="SGT64" s="293"/>
      <x:c r="SGU64" s="293"/>
      <x:c r="SGV64" s="293"/>
      <x:c r="SGW64" s="293"/>
      <x:c r="SGX64" s="293"/>
      <x:c r="SGY64" s="293"/>
      <x:c r="SGZ64" s="293"/>
      <x:c r="SHA64" s="293"/>
      <x:c r="SHB64" s="293"/>
      <x:c r="SHC64" s="293"/>
      <x:c r="SHD64" s="293"/>
      <x:c r="SHE64" s="293"/>
      <x:c r="SHF64" s="293"/>
      <x:c r="SHG64" s="293"/>
      <x:c r="SHH64" s="293"/>
      <x:c r="SHI64" s="293"/>
      <x:c r="SHJ64" s="293"/>
      <x:c r="SHK64" s="293"/>
      <x:c r="SHL64" s="293"/>
      <x:c r="SHM64" s="293"/>
      <x:c r="SHN64" s="293"/>
      <x:c r="SHO64" s="293"/>
      <x:c r="SHP64" s="293"/>
      <x:c r="SHQ64" s="293"/>
      <x:c r="SHR64" s="293"/>
      <x:c r="SHS64" s="293"/>
      <x:c r="SHT64" s="293"/>
      <x:c r="SHU64" s="293"/>
      <x:c r="SHV64" s="293"/>
      <x:c r="SHW64" s="293"/>
      <x:c r="SHX64" s="293"/>
      <x:c r="SHY64" s="293"/>
      <x:c r="SHZ64" s="293"/>
      <x:c r="SIA64" s="293"/>
      <x:c r="SIB64" s="293"/>
      <x:c r="SIC64" s="293"/>
      <x:c r="SID64" s="293"/>
      <x:c r="SIE64" s="293"/>
      <x:c r="SIF64" s="293"/>
      <x:c r="SIG64" s="293"/>
      <x:c r="SIH64" s="293"/>
      <x:c r="SII64" s="293"/>
      <x:c r="SIJ64" s="293"/>
      <x:c r="SIK64" s="293"/>
      <x:c r="SIL64" s="293"/>
      <x:c r="SIM64" s="293"/>
      <x:c r="SIN64" s="293"/>
      <x:c r="SIO64" s="293"/>
      <x:c r="SIP64" s="293"/>
      <x:c r="SIQ64" s="293"/>
      <x:c r="SIR64" s="293"/>
      <x:c r="SIS64" s="293"/>
      <x:c r="SIT64" s="293"/>
      <x:c r="SIU64" s="293"/>
      <x:c r="SIV64" s="293"/>
      <x:c r="SIW64" s="293"/>
      <x:c r="SIX64" s="293"/>
      <x:c r="SIY64" s="293"/>
      <x:c r="SIZ64" s="293"/>
      <x:c r="SJA64" s="293"/>
      <x:c r="SJB64" s="293"/>
      <x:c r="SJC64" s="293"/>
      <x:c r="SJD64" s="293"/>
      <x:c r="SJE64" s="293"/>
      <x:c r="SJF64" s="293"/>
      <x:c r="SJG64" s="293"/>
      <x:c r="SJH64" s="293"/>
      <x:c r="SJI64" s="293"/>
      <x:c r="SJJ64" s="293"/>
      <x:c r="SJK64" s="293"/>
      <x:c r="SJL64" s="293"/>
      <x:c r="SJM64" s="293"/>
      <x:c r="SJN64" s="293"/>
      <x:c r="SJO64" s="293"/>
      <x:c r="SJP64" s="293"/>
      <x:c r="SJQ64" s="293"/>
      <x:c r="SJR64" s="293"/>
      <x:c r="SJS64" s="293"/>
      <x:c r="SJT64" s="293"/>
      <x:c r="SJU64" s="293"/>
      <x:c r="SJV64" s="293"/>
      <x:c r="SJW64" s="293"/>
      <x:c r="SJX64" s="293"/>
      <x:c r="SJY64" s="293"/>
      <x:c r="SJZ64" s="293"/>
      <x:c r="SKA64" s="293"/>
      <x:c r="SKB64" s="293"/>
      <x:c r="SKC64" s="293"/>
      <x:c r="SKD64" s="293"/>
      <x:c r="SKE64" s="293"/>
      <x:c r="SKF64" s="293"/>
      <x:c r="SKG64" s="293"/>
      <x:c r="SKH64" s="293"/>
      <x:c r="SKI64" s="293"/>
      <x:c r="SKJ64" s="293"/>
      <x:c r="SKK64" s="293"/>
      <x:c r="SKL64" s="293"/>
      <x:c r="SKM64" s="293"/>
      <x:c r="SKN64" s="293"/>
      <x:c r="SKO64" s="293"/>
      <x:c r="SKP64" s="293"/>
      <x:c r="SKQ64" s="293"/>
      <x:c r="SKR64" s="293"/>
      <x:c r="SKS64" s="293"/>
      <x:c r="SKT64" s="293"/>
      <x:c r="SKU64" s="293"/>
      <x:c r="SKV64" s="293"/>
      <x:c r="SKW64" s="293"/>
      <x:c r="SKX64" s="293"/>
      <x:c r="SKY64" s="293"/>
      <x:c r="SKZ64" s="293"/>
      <x:c r="SLA64" s="293"/>
      <x:c r="SLB64" s="293"/>
      <x:c r="SLC64" s="293"/>
      <x:c r="SLD64" s="293"/>
      <x:c r="SLE64" s="293"/>
      <x:c r="SLF64" s="293"/>
      <x:c r="SLG64" s="293"/>
      <x:c r="SLH64" s="293"/>
      <x:c r="SLI64" s="293"/>
      <x:c r="SLJ64" s="293"/>
      <x:c r="SLK64" s="293"/>
      <x:c r="SLL64" s="293"/>
      <x:c r="SLM64" s="293"/>
      <x:c r="SLN64" s="293"/>
      <x:c r="SLO64" s="293"/>
      <x:c r="SLP64" s="293"/>
      <x:c r="SLQ64" s="293"/>
      <x:c r="SLR64" s="293"/>
      <x:c r="SLS64" s="293"/>
      <x:c r="SLT64" s="293"/>
      <x:c r="SLU64" s="293"/>
      <x:c r="SLV64" s="293"/>
      <x:c r="SLW64" s="293"/>
      <x:c r="SLX64" s="293"/>
      <x:c r="SLY64" s="293"/>
      <x:c r="SLZ64" s="293"/>
      <x:c r="SMA64" s="293"/>
      <x:c r="SMB64" s="293"/>
      <x:c r="SMC64" s="293"/>
      <x:c r="SMD64" s="293"/>
      <x:c r="SME64" s="293"/>
      <x:c r="SMF64" s="293"/>
      <x:c r="SMG64" s="293"/>
      <x:c r="SMH64" s="293"/>
      <x:c r="SMI64" s="293"/>
      <x:c r="SMJ64" s="293"/>
      <x:c r="SMK64" s="293"/>
      <x:c r="SML64" s="293"/>
      <x:c r="SMM64" s="293"/>
      <x:c r="SMN64" s="293"/>
      <x:c r="SMO64" s="293"/>
      <x:c r="SMP64" s="293"/>
      <x:c r="SMQ64" s="293"/>
      <x:c r="SMR64" s="293"/>
      <x:c r="SMS64" s="293"/>
      <x:c r="SMT64" s="293"/>
      <x:c r="SMU64" s="293"/>
      <x:c r="SMV64" s="293"/>
      <x:c r="SMW64" s="293"/>
      <x:c r="SMX64" s="293"/>
      <x:c r="SMY64" s="293"/>
      <x:c r="SMZ64" s="293"/>
      <x:c r="SNA64" s="293"/>
      <x:c r="SNB64" s="293"/>
      <x:c r="SNC64" s="293"/>
      <x:c r="SND64" s="293"/>
      <x:c r="SNE64" s="293"/>
      <x:c r="SNF64" s="293"/>
      <x:c r="SNG64" s="293"/>
      <x:c r="SNH64" s="293"/>
      <x:c r="SNI64" s="293"/>
      <x:c r="SNJ64" s="293"/>
      <x:c r="SNK64" s="293"/>
      <x:c r="SNL64" s="293"/>
      <x:c r="SNM64" s="293"/>
      <x:c r="SNN64" s="293"/>
      <x:c r="SNO64" s="293"/>
      <x:c r="SNP64" s="293"/>
      <x:c r="SNQ64" s="293"/>
      <x:c r="SNR64" s="293"/>
      <x:c r="SNS64" s="293"/>
      <x:c r="SNT64" s="293"/>
      <x:c r="SNU64" s="293"/>
      <x:c r="SNV64" s="293"/>
      <x:c r="SNW64" s="293"/>
      <x:c r="SNX64" s="293"/>
      <x:c r="SNY64" s="293"/>
      <x:c r="SNZ64" s="293"/>
      <x:c r="SOA64" s="293"/>
      <x:c r="SOB64" s="293"/>
      <x:c r="SOC64" s="293"/>
      <x:c r="SOD64" s="293"/>
      <x:c r="SOE64" s="293"/>
      <x:c r="SOF64" s="293"/>
      <x:c r="SOG64" s="293"/>
      <x:c r="SOH64" s="293"/>
      <x:c r="SOI64" s="293"/>
      <x:c r="SOJ64" s="293"/>
      <x:c r="SOK64" s="293"/>
      <x:c r="SOL64" s="293"/>
      <x:c r="SOM64" s="293"/>
      <x:c r="SON64" s="293"/>
      <x:c r="SOO64" s="293"/>
      <x:c r="SOP64" s="293"/>
      <x:c r="SOQ64" s="293"/>
      <x:c r="SOR64" s="293"/>
      <x:c r="SOS64" s="293"/>
      <x:c r="SOT64" s="293"/>
      <x:c r="SOU64" s="293"/>
      <x:c r="SOV64" s="293"/>
      <x:c r="SOW64" s="293"/>
      <x:c r="SOX64" s="293"/>
      <x:c r="SOY64" s="293"/>
      <x:c r="SOZ64" s="293"/>
      <x:c r="SPA64" s="293"/>
      <x:c r="SPB64" s="293"/>
      <x:c r="SPC64" s="293"/>
      <x:c r="SPD64" s="293"/>
      <x:c r="SPE64" s="293"/>
      <x:c r="SPF64" s="293"/>
      <x:c r="SPG64" s="293"/>
      <x:c r="SPH64" s="293"/>
      <x:c r="SPI64" s="293"/>
      <x:c r="SPJ64" s="293"/>
      <x:c r="SPK64" s="293"/>
      <x:c r="SPL64" s="293"/>
      <x:c r="SPM64" s="293"/>
      <x:c r="SPN64" s="293"/>
      <x:c r="SPO64" s="293"/>
      <x:c r="SPP64" s="293"/>
      <x:c r="SPQ64" s="293"/>
      <x:c r="SPR64" s="293"/>
      <x:c r="SPS64" s="293"/>
      <x:c r="SPT64" s="293"/>
      <x:c r="SPU64" s="293"/>
      <x:c r="SPV64" s="293"/>
      <x:c r="SPW64" s="293"/>
      <x:c r="SPX64" s="293"/>
      <x:c r="SPY64" s="293"/>
      <x:c r="SPZ64" s="293"/>
      <x:c r="SQA64" s="293"/>
      <x:c r="SQB64" s="293"/>
      <x:c r="SQC64" s="293"/>
      <x:c r="SQD64" s="293"/>
      <x:c r="SQE64" s="293"/>
      <x:c r="SQF64" s="293"/>
      <x:c r="SQG64" s="293"/>
      <x:c r="SQH64" s="293"/>
      <x:c r="SQI64" s="293"/>
      <x:c r="SQJ64" s="293"/>
      <x:c r="SQK64" s="293"/>
      <x:c r="SQL64" s="293"/>
      <x:c r="SQM64" s="293"/>
      <x:c r="SQN64" s="293"/>
      <x:c r="SQO64" s="293"/>
      <x:c r="SQP64" s="293"/>
      <x:c r="SQQ64" s="293"/>
      <x:c r="SQR64" s="293"/>
      <x:c r="SQS64" s="293"/>
      <x:c r="SQT64" s="293"/>
      <x:c r="SQU64" s="293"/>
      <x:c r="SQV64" s="293"/>
      <x:c r="SQW64" s="293"/>
      <x:c r="SQX64" s="293"/>
      <x:c r="SQY64" s="293"/>
      <x:c r="SQZ64" s="293"/>
      <x:c r="SRA64" s="293"/>
      <x:c r="SRB64" s="293"/>
      <x:c r="SRC64" s="293"/>
      <x:c r="SRD64" s="293"/>
      <x:c r="SRE64" s="293"/>
      <x:c r="SRF64" s="293"/>
      <x:c r="SRG64" s="293"/>
      <x:c r="SRH64" s="293"/>
      <x:c r="SRI64" s="293"/>
      <x:c r="SRJ64" s="293"/>
      <x:c r="SRK64" s="293"/>
      <x:c r="SRL64" s="293"/>
      <x:c r="SRM64" s="293"/>
      <x:c r="SRN64" s="293"/>
      <x:c r="SRO64" s="293"/>
      <x:c r="SRP64" s="293"/>
      <x:c r="SRQ64" s="293"/>
      <x:c r="SRR64" s="293"/>
      <x:c r="SRS64" s="293"/>
      <x:c r="SRT64" s="293"/>
      <x:c r="SRU64" s="293"/>
      <x:c r="SRV64" s="293"/>
      <x:c r="SRW64" s="293"/>
      <x:c r="SRX64" s="293"/>
      <x:c r="SRY64" s="293"/>
      <x:c r="SRZ64" s="293"/>
      <x:c r="SSA64" s="293"/>
      <x:c r="SSB64" s="293"/>
      <x:c r="SSC64" s="293"/>
      <x:c r="SSD64" s="293"/>
      <x:c r="SSE64" s="293"/>
      <x:c r="SSF64" s="293"/>
      <x:c r="SSG64" s="293"/>
      <x:c r="SSH64" s="293"/>
      <x:c r="SSI64" s="293"/>
      <x:c r="SSJ64" s="293"/>
      <x:c r="SSK64" s="293"/>
      <x:c r="SSL64" s="293"/>
      <x:c r="SSM64" s="293"/>
      <x:c r="SSN64" s="293"/>
      <x:c r="SSO64" s="293"/>
      <x:c r="SSP64" s="293"/>
      <x:c r="SSQ64" s="293"/>
      <x:c r="SSR64" s="293"/>
      <x:c r="SSS64" s="293"/>
      <x:c r="SST64" s="293"/>
      <x:c r="SSU64" s="293"/>
      <x:c r="SSV64" s="293"/>
      <x:c r="SSW64" s="293"/>
      <x:c r="SSX64" s="293"/>
      <x:c r="SSY64" s="293"/>
      <x:c r="SSZ64" s="293"/>
      <x:c r="STA64" s="293"/>
      <x:c r="STB64" s="293"/>
      <x:c r="STC64" s="293"/>
      <x:c r="STD64" s="293"/>
      <x:c r="STE64" s="293"/>
      <x:c r="STF64" s="293"/>
      <x:c r="STG64" s="293"/>
      <x:c r="STH64" s="293"/>
      <x:c r="STI64" s="293"/>
      <x:c r="STJ64" s="293"/>
      <x:c r="STK64" s="293"/>
      <x:c r="STL64" s="293"/>
      <x:c r="STM64" s="293"/>
      <x:c r="STN64" s="293"/>
      <x:c r="STO64" s="293"/>
      <x:c r="STP64" s="293"/>
      <x:c r="STQ64" s="293"/>
      <x:c r="STR64" s="293"/>
      <x:c r="STS64" s="293"/>
      <x:c r="STT64" s="293"/>
      <x:c r="STU64" s="293"/>
      <x:c r="STV64" s="293"/>
      <x:c r="STW64" s="293"/>
      <x:c r="STX64" s="293"/>
      <x:c r="STY64" s="293"/>
      <x:c r="STZ64" s="293"/>
      <x:c r="SUA64" s="293"/>
      <x:c r="SUB64" s="293"/>
      <x:c r="SUC64" s="293"/>
      <x:c r="SUD64" s="293"/>
      <x:c r="SUE64" s="293"/>
      <x:c r="SUF64" s="293"/>
      <x:c r="SUG64" s="293"/>
      <x:c r="SUH64" s="293"/>
      <x:c r="SUI64" s="293"/>
      <x:c r="SUJ64" s="293"/>
      <x:c r="SUK64" s="293"/>
      <x:c r="SUL64" s="293"/>
      <x:c r="SUM64" s="293"/>
      <x:c r="SUN64" s="293"/>
      <x:c r="SUO64" s="293"/>
      <x:c r="SUP64" s="293"/>
      <x:c r="SUQ64" s="293"/>
      <x:c r="SUR64" s="293"/>
      <x:c r="SUS64" s="293"/>
      <x:c r="SUT64" s="293"/>
      <x:c r="SUU64" s="293"/>
      <x:c r="SUV64" s="293"/>
      <x:c r="SUW64" s="293"/>
      <x:c r="SUX64" s="293"/>
      <x:c r="SUY64" s="293"/>
      <x:c r="SUZ64" s="293"/>
      <x:c r="SVA64" s="293"/>
      <x:c r="SVB64" s="293"/>
      <x:c r="SVC64" s="293"/>
      <x:c r="SVD64" s="293"/>
      <x:c r="SVE64" s="293"/>
      <x:c r="SVF64" s="293"/>
      <x:c r="SVG64" s="293"/>
      <x:c r="SVH64" s="293"/>
      <x:c r="SVI64" s="293"/>
      <x:c r="SVJ64" s="293"/>
      <x:c r="SVK64" s="293"/>
      <x:c r="SVL64" s="293"/>
      <x:c r="SVM64" s="293"/>
      <x:c r="SVN64" s="293"/>
      <x:c r="SVO64" s="293"/>
      <x:c r="SVP64" s="293"/>
      <x:c r="SVQ64" s="293"/>
      <x:c r="SVR64" s="293"/>
      <x:c r="SVS64" s="293"/>
      <x:c r="SVT64" s="293"/>
      <x:c r="SVU64" s="293"/>
      <x:c r="SVV64" s="293"/>
      <x:c r="SVW64" s="293"/>
      <x:c r="SVX64" s="293"/>
      <x:c r="SVY64" s="293"/>
      <x:c r="SVZ64" s="293"/>
      <x:c r="SWA64" s="293"/>
      <x:c r="SWB64" s="293"/>
      <x:c r="SWC64" s="293"/>
      <x:c r="SWD64" s="293"/>
      <x:c r="SWE64" s="293"/>
      <x:c r="SWF64" s="293"/>
      <x:c r="SWG64" s="293"/>
      <x:c r="SWH64" s="293"/>
      <x:c r="SWI64" s="293"/>
      <x:c r="SWJ64" s="293"/>
      <x:c r="SWK64" s="293"/>
      <x:c r="SWL64" s="293"/>
      <x:c r="SWM64" s="293"/>
      <x:c r="SWN64" s="293"/>
      <x:c r="SWO64" s="293"/>
      <x:c r="SWP64" s="293"/>
      <x:c r="SWQ64" s="293"/>
      <x:c r="SWR64" s="293"/>
      <x:c r="SWS64" s="293"/>
      <x:c r="SWT64" s="293"/>
      <x:c r="SWU64" s="293"/>
      <x:c r="SWV64" s="293"/>
      <x:c r="SWW64" s="293"/>
      <x:c r="SWX64" s="293"/>
      <x:c r="SWY64" s="293"/>
      <x:c r="SWZ64" s="293"/>
      <x:c r="SXA64" s="293"/>
      <x:c r="SXB64" s="293"/>
      <x:c r="SXC64" s="293"/>
      <x:c r="SXD64" s="293"/>
      <x:c r="SXE64" s="293"/>
      <x:c r="SXF64" s="293"/>
      <x:c r="SXG64" s="293"/>
      <x:c r="SXH64" s="293"/>
      <x:c r="SXI64" s="293"/>
      <x:c r="SXJ64" s="293"/>
      <x:c r="SXK64" s="293"/>
      <x:c r="SXL64" s="293"/>
      <x:c r="SXM64" s="293"/>
      <x:c r="SXN64" s="293"/>
      <x:c r="SXO64" s="293"/>
      <x:c r="SXP64" s="293"/>
      <x:c r="SXQ64" s="293"/>
      <x:c r="SXR64" s="293"/>
      <x:c r="SXS64" s="293"/>
      <x:c r="SXT64" s="293"/>
      <x:c r="SXU64" s="293"/>
      <x:c r="SXV64" s="293"/>
      <x:c r="SXW64" s="293"/>
      <x:c r="SXX64" s="293"/>
      <x:c r="SXY64" s="293"/>
      <x:c r="SXZ64" s="293"/>
      <x:c r="SYA64" s="293"/>
      <x:c r="SYB64" s="293"/>
      <x:c r="SYC64" s="293"/>
      <x:c r="SYD64" s="293"/>
      <x:c r="SYE64" s="293"/>
      <x:c r="SYF64" s="293"/>
      <x:c r="SYG64" s="293"/>
      <x:c r="SYH64" s="293"/>
      <x:c r="SYI64" s="293"/>
      <x:c r="SYJ64" s="293"/>
      <x:c r="SYK64" s="293"/>
      <x:c r="SYL64" s="293"/>
      <x:c r="SYM64" s="293"/>
      <x:c r="SYN64" s="293"/>
      <x:c r="SYO64" s="293"/>
      <x:c r="SYP64" s="293"/>
      <x:c r="SYQ64" s="293"/>
      <x:c r="SYR64" s="293"/>
      <x:c r="SYS64" s="293"/>
      <x:c r="SYT64" s="293"/>
      <x:c r="SYU64" s="293"/>
      <x:c r="SYV64" s="293"/>
      <x:c r="SYW64" s="293"/>
      <x:c r="SYX64" s="293"/>
      <x:c r="SYY64" s="293"/>
      <x:c r="SYZ64" s="293"/>
      <x:c r="SZA64" s="293"/>
      <x:c r="SZB64" s="293"/>
      <x:c r="SZC64" s="293"/>
      <x:c r="SZD64" s="293"/>
      <x:c r="SZE64" s="293"/>
      <x:c r="SZF64" s="293"/>
      <x:c r="SZG64" s="293"/>
      <x:c r="SZH64" s="293"/>
      <x:c r="SZI64" s="293"/>
      <x:c r="SZJ64" s="293"/>
      <x:c r="SZK64" s="293"/>
      <x:c r="SZL64" s="293"/>
      <x:c r="SZM64" s="293"/>
      <x:c r="SZN64" s="293"/>
      <x:c r="SZO64" s="293"/>
      <x:c r="SZP64" s="293"/>
      <x:c r="SZQ64" s="293"/>
      <x:c r="SZR64" s="293"/>
      <x:c r="SZS64" s="293"/>
      <x:c r="SZT64" s="293"/>
      <x:c r="SZU64" s="293"/>
      <x:c r="SZV64" s="293"/>
      <x:c r="SZW64" s="293"/>
      <x:c r="SZX64" s="293"/>
      <x:c r="SZY64" s="293"/>
      <x:c r="SZZ64" s="293"/>
      <x:c r="TAA64" s="293"/>
      <x:c r="TAB64" s="293"/>
      <x:c r="TAC64" s="293"/>
      <x:c r="TAD64" s="293"/>
      <x:c r="TAE64" s="293"/>
      <x:c r="TAF64" s="293"/>
      <x:c r="TAG64" s="293"/>
      <x:c r="TAH64" s="293"/>
      <x:c r="TAI64" s="293"/>
      <x:c r="TAJ64" s="293"/>
      <x:c r="TAK64" s="293"/>
      <x:c r="TAL64" s="293"/>
      <x:c r="TAM64" s="293"/>
      <x:c r="TAN64" s="293"/>
      <x:c r="TAO64" s="293"/>
      <x:c r="TAP64" s="293"/>
      <x:c r="TAQ64" s="293"/>
      <x:c r="TAR64" s="293"/>
      <x:c r="TAS64" s="293"/>
      <x:c r="TAT64" s="293"/>
      <x:c r="TAU64" s="293"/>
      <x:c r="TAV64" s="293"/>
      <x:c r="TAW64" s="293"/>
      <x:c r="TAX64" s="293"/>
      <x:c r="TAY64" s="293"/>
      <x:c r="TAZ64" s="293"/>
      <x:c r="TBA64" s="293"/>
      <x:c r="TBB64" s="293"/>
      <x:c r="TBC64" s="293"/>
      <x:c r="TBD64" s="293"/>
      <x:c r="TBE64" s="293"/>
      <x:c r="TBF64" s="293"/>
      <x:c r="TBG64" s="293"/>
      <x:c r="TBH64" s="293"/>
      <x:c r="TBI64" s="293"/>
      <x:c r="TBJ64" s="293"/>
      <x:c r="TBK64" s="293"/>
      <x:c r="TBL64" s="293"/>
      <x:c r="TBM64" s="293"/>
      <x:c r="TBN64" s="293"/>
      <x:c r="TBO64" s="293"/>
      <x:c r="TBP64" s="293"/>
      <x:c r="TBQ64" s="293"/>
      <x:c r="TBR64" s="293"/>
      <x:c r="TBS64" s="293"/>
      <x:c r="TBT64" s="293"/>
      <x:c r="TBU64" s="293"/>
      <x:c r="TBV64" s="293"/>
      <x:c r="TBW64" s="293"/>
      <x:c r="TBX64" s="293"/>
      <x:c r="TBY64" s="293"/>
      <x:c r="TBZ64" s="293"/>
      <x:c r="TCA64" s="293"/>
      <x:c r="TCB64" s="293"/>
      <x:c r="TCC64" s="293"/>
      <x:c r="TCD64" s="293"/>
      <x:c r="TCE64" s="293"/>
      <x:c r="TCF64" s="293"/>
      <x:c r="TCG64" s="293"/>
      <x:c r="TCH64" s="293"/>
      <x:c r="TCI64" s="293"/>
      <x:c r="TCJ64" s="293"/>
      <x:c r="TCK64" s="293"/>
      <x:c r="TCL64" s="293"/>
      <x:c r="TCM64" s="293"/>
      <x:c r="TCN64" s="293"/>
      <x:c r="TCO64" s="293"/>
      <x:c r="TCP64" s="293"/>
      <x:c r="TCQ64" s="293"/>
      <x:c r="TCR64" s="293"/>
      <x:c r="TCS64" s="293"/>
      <x:c r="TCT64" s="293"/>
      <x:c r="TCU64" s="293"/>
      <x:c r="TCV64" s="293"/>
      <x:c r="TCW64" s="293"/>
      <x:c r="TCX64" s="293"/>
      <x:c r="TCY64" s="293"/>
      <x:c r="TCZ64" s="293"/>
      <x:c r="TDA64" s="293"/>
      <x:c r="TDB64" s="293"/>
      <x:c r="TDC64" s="293"/>
      <x:c r="TDD64" s="293"/>
      <x:c r="TDE64" s="293"/>
      <x:c r="TDF64" s="293"/>
      <x:c r="TDG64" s="293"/>
      <x:c r="TDH64" s="293"/>
      <x:c r="TDI64" s="293"/>
      <x:c r="TDJ64" s="293"/>
      <x:c r="TDK64" s="293"/>
      <x:c r="TDL64" s="293"/>
      <x:c r="TDM64" s="293"/>
      <x:c r="TDN64" s="293"/>
      <x:c r="TDO64" s="293"/>
      <x:c r="TDP64" s="293"/>
      <x:c r="TDQ64" s="293"/>
      <x:c r="TDR64" s="293"/>
      <x:c r="TDS64" s="293"/>
      <x:c r="TDT64" s="293"/>
      <x:c r="TDU64" s="293"/>
      <x:c r="TDV64" s="293"/>
      <x:c r="TDW64" s="293"/>
      <x:c r="TDX64" s="293"/>
      <x:c r="TDY64" s="293"/>
      <x:c r="TDZ64" s="293"/>
      <x:c r="TEA64" s="293"/>
      <x:c r="TEB64" s="293"/>
      <x:c r="TEC64" s="293"/>
      <x:c r="TED64" s="293"/>
      <x:c r="TEE64" s="293"/>
      <x:c r="TEF64" s="293"/>
      <x:c r="TEG64" s="293"/>
      <x:c r="TEH64" s="293"/>
      <x:c r="TEI64" s="293"/>
      <x:c r="TEJ64" s="293"/>
      <x:c r="TEK64" s="293"/>
      <x:c r="TEL64" s="293"/>
      <x:c r="TEM64" s="293"/>
      <x:c r="TEN64" s="293"/>
      <x:c r="TEO64" s="293"/>
      <x:c r="TEP64" s="293"/>
      <x:c r="TEQ64" s="293"/>
      <x:c r="TER64" s="293"/>
      <x:c r="TES64" s="293"/>
      <x:c r="TET64" s="293"/>
      <x:c r="TEU64" s="293"/>
      <x:c r="TEV64" s="293"/>
      <x:c r="TEW64" s="293"/>
      <x:c r="TEX64" s="293"/>
      <x:c r="TEY64" s="293"/>
      <x:c r="TEZ64" s="293"/>
      <x:c r="TFA64" s="293"/>
      <x:c r="TFB64" s="293"/>
      <x:c r="TFC64" s="293"/>
      <x:c r="TFD64" s="293"/>
      <x:c r="TFE64" s="293"/>
      <x:c r="TFF64" s="293"/>
      <x:c r="TFG64" s="293"/>
      <x:c r="TFH64" s="293"/>
      <x:c r="TFI64" s="293"/>
      <x:c r="TFJ64" s="293"/>
      <x:c r="TFK64" s="293"/>
      <x:c r="TFL64" s="293"/>
      <x:c r="TFM64" s="293"/>
      <x:c r="TFN64" s="293"/>
      <x:c r="TFO64" s="293"/>
      <x:c r="TFP64" s="293"/>
      <x:c r="TFQ64" s="293"/>
      <x:c r="TFR64" s="293"/>
      <x:c r="TFS64" s="293"/>
      <x:c r="TFT64" s="293"/>
      <x:c r="TFU64" s="293"/>
      <x:c r="TFV64" s="293"/>
      <x:c r="TFW64" s="293"/>
      <x:c r="TFX64" s="293"/>
      <x:c r="TFY64" s="293"/>
      <x:c r="TFZ64" s="293"/>
      <x:c r="TGA64" s="293"/>
      <x:c r="TGB64" s="293"/>
      <x:c r="TGC64" s="293"/>
      <x:c r="TGD64" s="293"/>
      <x:c r="TGE64" s="293"/>
      <x:c r="TGF64" s="293"/>
      <x:c r="TGG64" s="293"/>
      <x:c r="TGH64" s="293"/>
      <x:c r="TGI64" s="293"/>
      <x:c r="TGJ64" s="293"/>
      <x:c r="TGK64" s="293"/>
      <x:c r="TGL64" s="293"/>
      <x:c r="TGM64" s="293"/>
      <x:c r="TGN64" s="293"/>
      <x:c r="TGO64" s="293"/>
      <x:c r="TGP64" s="293"/>
      <x:c r="TGQ64" s="293"/>
      <x:c r="TGR64" s="293"/>
      <x:c r="TGS64" s="293"/>
      <x:c r="TGT64" s="293"/>
      <x:c r="TGU64" s="293"/>
      <x:c r="TGV64" s="293"/>
      <x:c r="TGW64" s="293"/>
      <x:c r="TGX64" s="293"/>
      <x:c r="TGY64" s="293"/>
      <x:c r="TGZ64" s="293"/>
      <x:c r="THA64" s="293"/>
      <x:c r="THB64" s="293"/>
      <x:c r="THC64" s="293"/>
      <x:c r="THD64" s="293"/>
      <x:c r="THE64" s="293"/>
      <x:c r="THF64" s="293"/>
      <x:c r="THG64" s="293"/>
      <x:c r="THH64" s="293"/>
      <x:c r="THI64" s="293"/>
      <x:c r="THJ64" s="293"/>
      <x:c r="THK64" s="293"/>
      <x:c r="THL64" s="293"/>
      <x:c r="THM64" s="293"/>
      <x:c r="THN64" s="293"/>
      <x:c r="THO64" s="293"/>
      <x:c r="THP64" s="293"/>
      <x:c r="THQ64" s="293"/>
      <x:c r="THR64" s="293"/>
      <x:c r="THS64" s="293"/>
      <x:c r="THT64" s="293"/>
      <x:c r="THU64" s="293"/>
      <x:c r="THV64" s="293"/>
      <x:c r="THW64" s="293"/>
      <x:c r="THX64" s="293"/>
      <x:c r="THY64" s="293"/>
      <x:c r="THZ64" s="293"/>
      <x:c r="TIA64" s="293"/>
      <x:c r="TIB64" s="293"/>
      <x:c r="TIC64" s="293"/>
      <x:c r="TID64" s="293"/>
      <x:c r="TIE64" s="293"/>
      <x:c r="TIF64" s="293"/>
      <x:c r="TIG64" s="293"/>
      <x:c r="TIH64" s="293"/>
      <x:c r="TII64" s="293"/>
      <x:c r="TIJ64" s="293"/>
      <x:c r="TIK64" s="293"/>
      <x:c r="TIL64" s="293"/>
      <x:c r="TIM64" s="293"/>
      <x:c r="TIN64" s="293"/>
      <x:c r="TIO64" s="293"/>
      <x:c r="TIP64" s="293"/>
      <x:c r="TIQ64" s="293"/>
      <x:c r="TIR64" s="293"/>
      <x:c r="TIS64" s="293"/>
      <x:c r="TIT64" s="293"/>
      <x:c r="TIU64" s="293"/>
      <x:c r="TIV64" s="293"/>
      <x:c r="TIW64" s="293"/>
      <x:c r="TIX64" s="293"/>
      <x:c r="TIY64" s="293"/>
      <x:c r="TIZ64" s="293"/>
      <x:c r="TJA64" s="293"/>
      <x:c r="TJB64" s="293"/>
      <x:c r="TJC64" s="293"/>
      <x:c r="TJD64" s="293"/>
      <x:c r="TJE64" s="293"/>
      <x:c r="TJF64" s="293"/>
      <x:c r="TJG64" s="293"/>
      <x:c r="TJH64" s="293"/>
      <x:c r="TJI64" s="293"/>
      <x:c r="TJJ64" s="293"/>
      <x:c r="TJK64" s="293"/>
      <x:c r="TJL64" s="293"/>
      <x:c r="TJM64" s="293"/>
      <x:c r="TJN64" s="293"/>
      <x:c r="TJO64" s="293"/>
      <x:c r="TJP64" s="293"/>
      <x:c r="TJQ64" s="293"/>
      <x:c r="TJR64" s="293"/>
      <x:c r="TJS64" s="293"/>
      <x:c r="TJT64" s="293"/>
      <x:c r="TJU64" s="293"/>
      <x:c r="TJV64" s="293"/>
      <x:c r="TJW64" s="293"/>
      <x:c r="TJX64" s="293"/>
      <x:c r="TJY64" s="293"/>
      <x:c r="TJZ64" s="293"/>
      <x:c r="TKA64" s="293"/>
      <x:c r="TKB64" s="293"/>
      <x:c r="TKC64" s="293"/>
      <x:c r="TKD64" s="293"/>
      <x:c r="TKE64" s="293"/>
      <x:c r="TKF64" s="293"/>
      <x:c r="TKG64" s="293"/>
      <x:c r="TKH64" s="293"/>
      <x:c r="TKI64" s="293"/>
      <x:c r="TKJ64" s="293"/>
      <x:c r="TKK64" s="293"/>
      <x:c r="TKL64" s="293"/>
      <x:c r="TKM64" s="293"/>
      <x:c r="TKN64" s="293"/>
      <x:c r="TKO64" s="293"/>
      <x:c r="TKP64" s="293"/>
      <x:c r="TKQ64" s="293"/>
      <x:c r="TKR64" s="293"/>
      <x:c r="TKS64" s="293"/>
      <x:c r="TKT64" s="293"/>
      <x:c r="TKU64" s="293"/>
      <x:c r="TKV64" s="293"/>
      <x:c r="TKW64" s="293"/>
      <x:c r="TKX64" s="293"/>
      <x:c r="TKY64" s="293"/>
      <x:c r="TKZ64" s="293"/>
      <x:c r="TLA64" s="293"/>
      <x:c r="TLB64" s="293"/>
      <x:c r="TLC64" s="293"/>
      <x:c r="TLD64" s="293"/>
      <x:c r="TLE64" s="293"/>
      <x:c r="TLF64" s="293"/>
      <x:c r="TLG64" s="293"/>
      <x:c r="TLH64" s="293"/>
      <x:c r="TLI64" s="293"/>
      <x:c r="TLJ64" s="293"/>
      <x:c r="TLK64" s="293"/>
      <x:c r="TLL64" s="293"/>
      <x:c r="TLM64" s="293"/>
      <x:c r="TLN64" s="293"/>
      <x:c r="TLO64" s="293"/>
      <x:c r="TLP64" s="293"/>
      <x:c r="TLQ64" s="293"/>
      <x:c r="TLR64" s="293"/>
      <x:c r="TLS64" s="293"/>
      <x:c r="TLT64" s="293"/>
      <x:c r="TLU64" s="293"/>
      <x:c r="TLV64" s="293"/>
      <x:c r="TLW64" s="293"/>
      <x:c r="TLX64" s="293"/>
      <x:c r="TLY64" s="293"/>
      <x:c r="TLZ64" s="293"/>
      <x:c r="TMA64" s="293"/>
      <x:c r="TMB64" s="293"/>
      <x:c r="TMC64" s="293"/>
      <x:c r="TMD64" s="293"/>
      <x:c r="TME64" s="293"/>
      <x:c r="TMF64" s="293"/>
      <x:c r="TMG64" s="293"/>
      <x:c r="TMH64" s="293"/>
      <x:c r="TMI64" s="293"/>
      <x:c r="TMJ64" s="293"/>
      <x:c r="TMK64" s="293"/>
      <x:c r="TML64" s="293"/>
      <x:c r="TMM64" s="293"/>
      <x:c r="TMN64" s="293"/>
      <x:c r="TMO64" s="293"/>
      <x:c r="TMP64" s="293"/>
      <x:c r="TMQ64" s="293"/>
      <x:c r="TMR64" s="293"/>
      <x:c r="TMS64" s="293"/>
      <x:c r="TMT64" s="293"/>
      <x:c r="TMU64" s="293"/>
      <x:c r="TMV64" s="293"/>
      <x:c r="TMW64" s="293"/>
      <x:c r="TMX64" s="293"/>
      <x:c r="TMY64" s="293"/>
      <x:c r="TMZ64" s="293"/>
      <x:c r="TNA64" s="293"/>
      <x:c r="TNB64" s="293"/>
      <x:c r="TNC64" s="293"/>
      <x:c r="TND64" s="293"/>
      <x:c r="TNE64" s="293"/>
      <x:c r="TNF64" s="293"/>
      <x:c r="TNG64" s="293"/>
      <x:c r="TNH64" s="293"/>
      <x:c r="TNI64" s="293"/>
      <x:c r="TNJ64" s="293"/>
      <x:c r="TNK64" s="293"/>
      <x:c r="TNL64" s="293"/>
      <x:c r="TNM64" s="293"/>
      <x:c r="TNN64" s="293"/>
      <x:c r="TNO64" s="293"/>
      <x:c r="TNP64" s="293"/>
      <x:c r="TNQ64" s="293"/>
      <x:c r="TNR64" s="293"/>
      <x:c r="TNS64" s="293"/>
      <x:c r="TNT64" s="293"/>
      <x:c r="TNU64" s="293"/>
      <x:c r="TNV64" s="293"/>
      <x:c r="TNW64" s="293"/>
      <x:c r="TNX64" s="293"/>
      <x:c r="TNY64" s="293"/>
      <x:c r="TNZ64" s="293"/>
      <x:c r="TOA64" s="293"/>
      <x:c r="TOB64" s="293"/>
      <x:c r="TOC64" s="293"/>
      <x:c r="TOD64" s="293"/>
      <x:c r="TOE64" s="293"/>
      <x:c r="TOF64" s="293"/>
      <x:c r="TOG64" s="293"/>
      <x:c r="TOH64" s="293"/>
      <x:c r="TOI64" s="293"/>
      <x:c r="TOJ64" s="293"/>
      <x:c r="TOK64" s="293"/>
      <x:c r="TOL64" s="293"/>
      <x:c r="TOM64" s="293"/>
      <x:c r="TON64" s="293"/>
      <x:c r="TOO64" s="293"/>
      <x:c r="TOP64" s="293"/>
      <x:c r="TOQ64" s="293"/>
      <x:c r="TOR64" s="293"/>
      <x:c r="TOS64" s="293"/>
      <x:c r="TOT64" s="293"/>
      <x:c r="TOU64" s="293"/>
      <x:c r="TOV64" s="293"/>
      <x:c r="TOW64" s="293"/>
      <x:c r="TOX64" s="293"/>
      <x:c r="TOY64" s="293"/>
      <x:c r="TOZ64" s="293"/>
      <x:c r="TPA64" s="293"/>
      <x:c r="TPB64" s="293"/>
      <x:c r="TPC64" s="293"/>
      <x:c r="TPD64" s="293"/>
      <x:c r="TPE64" s="293"/>
      <x:c r="TPF64" s="293"/>
      <x:c r="TPG64" s="293"/>
      <x:c r="TPH64" s="293"/>
      <x:c r="TPI64" s="293"/>
      <x:c r="TPJ64" s="293"/>
      <x:c r="TPK64" s="293"/>
      <x:c r="TPL64" s="293"/>
      <x:c r="TPM64" s="293"/>
      <x:c r="TPN64" s="293"/>
      <x:c r="TPO64" s="293"/>
      <x:c r="TPP64" s="293"/>
      <x:c r="TPQ64" s="293"/>
      <x:c r="TPR64" s="293"/>
      <x:c r="TPS64" s="293"/>
      <x:c r="TPT64" s="293"/>
      <x:c r="TPU64" s="293"/>
      <x:c r="TPV64" s="293"/>
      <x:c r="TPW64" s="293"/>
      <x:c r="TPX64" s="293"/>
      <x:c r="TPY64" s="293"/>
      <x:c r="TPZ64" s="293"/>
      <x:c r="TQA64" s="293"/>
      <x:c r="TQB64" s="293"/>
      <x:c r="TQC64" s="293"/>
      <x:c r="TQD64" s="293"/>
      <x:c r="TQE64" s="293"/>
      <x:c r="TQF64" s="293"/>
      <x:c r="TQG64" s="293"/>
      <x:c r="TQH64" s="293"/>
      <x:c r="TQI64" s="293"/>
      <x:c r="TQJ64" s="293"/>
      <x:c r="TQK64" s="293"/>
      <x:c r="TQL64" s="293"/>
      <x:c r="TQM64" s="293"/>
      <x:c r="TQN64" s="293"/>
      <x:c r="TQO64" s="293"/>
      <x:c r="TQP64" s="293"/>
      <x:c r="TQQ64" s="293"/>
      <x:c r="TQR64" s="293"/>
      <x:c r="TQS64" s="293"/>
      <x:c r="TQT64" s="293"/>
      <x:c r="TQU64" s="293"/>
      <x:c r="TQV64" s="293"/>
      <x:c r="TQW64" s="293"/>
      <x:c r="TQX64" s="293"/>
      <x:c r="TQY64" s="293"/>
      <x:c r="TQZ64" s="293"/>
      <x:c r="TRA64" s="293"/>
      <x:c r="TRB64" s="293"/>
      <x:c r="TRC64" s="293"/>
      <x:c r="TRD64" s="293"/>
      <x:c r="TRE64" s="293"/>
      <x:c r="TRF64" s="293"/>
      <x:c r="TRG64" s="293"/>
      <x:c r="TRH64" s="293"/>
      <x:c r="TRI64" s="293"/>
      <x:c r="TRJ64" s="293"/>
      <x:c r="TRK64" s="293"/>
      <x:c r="TRL64" s="293"/>
      <x:c r="TRM64" s="293"/>
      <x:c r="TRN64" s="293"/>
      <x:c r="TRO64" s="293"/>
      <x:c r="TRP64" s="293"/>
      <x:c r="TRQ64" s="293"/>
      <x:c r="TRR64" s="293"/>
      <x:c r="TRS64" s="293"/>
      <x:c r="TRT64" s="293"/>
      <x:c r="TRU64" s="293"/>
      <x:c r="TRV64" s="293"/>
      <x:c r="TRW64" s="293"/>
      <x:c r="TRX64" s="293"/>
      <x:c r="TRY64" s="293"/>
      <x:c r="TRZ64" s="293"/>
      <x:c r="TSA64" s="293"/>
      <x:c r="TSB64" s="293"/>
      <x:c r="TSC64" s="293"/>
      <x:c r="TSD64" s="293"/>
      <x:c r="TSE64" s="293"/>
      <x:c r="TSF64" s="293"/>
      <x:c r="TSG64" s="293"/>
      <x:c r="TSH64" s="293"/>
      <x:c r="TSI64" s="293"/>
      <x:c r="TSJ64" s="293"/>
      <x:c r="TSK64" s="293"/>
      <x:c r="TSL64" s="293"/>
      <x:c r="TSM64" s="293"/>
      <x:c r="TSN64" s="293"/>
      <x:c r="TSO64" s="293"/>
      <x:c r="TSP64" s="293"/>
      <x:c r="TSQ64" s="293"/>
      <x:c r="TSR64" s="293"/>
      <x:c r="TSS64" s="293"/>
      <x:c r="TST64" s="293"/>
      <x:c r="TSU64" s="293"/>
      <x:c r="TSV64" s="293"/>
      <x:c r="TSW64" s="293"/>
      <x:c r="TSX64" s="293"/>
      <x:c r="TSY64" s="293"/>
      <x:c r="TSZ64" s="293"/>
      <x:c r="TTA64" s="293"/>
      <x:c r="TTB64" s="293"/>
      <x:c r="TTC64" s="293"/>
      <x:c r="TTD64" s="293"/>
      <x:c r="TTE64" s="293"/>
      <x:c r="TTF64" s="293"/>
      <x:c r="TTG64" s="293"/>
      <x:c r="TTH64" s="293"/>
      <x:c r="TTI64" s="293"/>
      <x:c r="TTJ64" s="293"/>
      <x:c r="TTK64" s="293"/>
      <x:c r="TTL64" s="293"/>
      <x:c r="TTM64" s="293"/>
      <x:c r="TTN64" s="293"/>
      <x:c r="TTO64" s="293"/>
      <x:c r="TTP64" s="293"/>
      <x:c r="TTQ64" s="293"/>
      <x:c r="TTR64" s="293"/>
      <x:c r="TTS64" s="293"/>
      <x:c r="TTT64" s="293"/>
      <x:c r="TTU64" s="293"/>
      <x:c r="TTV64" s="293"/>
      <x:c r="TTW64" s="293"/>
      <x:c r="TTX64" s="293"/>
      <x:c r="TTY64" s="293"/>
      <x:c r="TTZ64" s="293"/>
      <x:c r="TUA64" s="293"/>
      <x:c r="TUB64" s="293"/>
      <x:c r="TUC64" s="293"/>
      <x:c r="TUD64" s="293"/>
      <x:c r="TUE64" s="293"/>
      <x:c r="TUF64" s="293"/>
      <x:c r="TUG64" s="293"/>
      <x:c r="TUH64" s="293"/>
      <x:c r="TUI64" s="293"/>
      <x:c r="TUJ64" s="293"/>
      <x:c r="TUK64" s="293"/>
      <x:c r="TUL64" s="293"/>
      <x:c r="TUM64" s="293"/>
      <x:c r="TUN64" s="293"/>
      <x:c r="TUO64" s="293"/>
      <x:c r="TUP64" s="293"/>
      <x:c r="TUQ64" s="293"/>
      <x:c r="TUR64" s="293"/>
      <x:c r="TUS64" s="293"/>
      <x:c r="TUT64" s="293"/>
      <x:c r="TUU64" s="293"/>
      <x:c r="TUV64" s="293"/>
      <x:c r="TUW64" s="293"/>
      <x:c r="TUX64" s="293"/>
      <x:c r="TUY64" s="293"/>
      <x:c r="TUZ64" s="293"/>
      <x:c r="TVA64" s="293"/>
      <x:c r="TVB64" s="293"/>
      <x:c r="TVC64" s="293"/>
      <x:c r="TVD64" s="293"/>
      <x:c r="TVE64" s="293"/>
      <x:c r="TVF64" s="293"/>
      <x:c r="TVG64" s="293"/>
      <x:c r="TVH64" s="293"/>
      <x:c r="TVI64" s="293"/>
      <x:c r="TVJ64" s="293"/>
      <x:c r="TVK64" s="293"/>
      <x:c r="TVL64" s="293"/>
      <x:c r="TVM64" s="293"/>
      <x:c r="TVN64" s="293"/>
      <x:c r="TVO64" s="293"/>
      <x:c r="TVP64" s="293"/>
      <x:c r="TVQ64" s="293"/>
      <x:c r="TVR64" s="293"/>
      <x:c r="TVS64" s="293"/>
      <x:c r="TVT64" s="293"/>
      <x:c r="TVU64" s="293"/>
      <x:c r="TVV64" s="293"/>
      <x:c r="TVW64" s="293"/>
      <x:c r="TVX64" s="293"/>
      <x:c r="TVY64" s="293"/>
      <x:c r="TVZ64" s="293"/>
      <x:c r="TWA64" s="293"/>
      <x:c r="TWB64" s="293"/>
      <x:c r="TWC64" s="293"/>
      <x:c r="TWD64" s="293"/>
      <x:c r="TWE64" s="293"/>
      <x:c r="TWF64" s="293"/>
      <x:c r="TWG64" s="293"/>
      <x:c r="TWH64" s="293"/>
      <x:c r="TWI64" s="293"/>
      <x:c r="TWJ64" s="293"/>
      <x:c r="TWK64" s="293"/>
      <x:c r="TWL64" s="293"/>
      <x:c r="TWM64" s="293"/>
      <x:c r="TWN64" s="293"/>
      <x:c r="TWO64" s="293"/>
      <x:c r="TWP64" s="293"/>
      <x:c r="TWQ64" s="293"/>
      <x:c r="TWR64" s="293"/>
      <x:c r="TWS64" s="293"/>
      <x:c r="TWT64" s="293"/>
      <x:c r="TWU64" s="293"/>
      <x:c r="TWV64" s="293"/>
      <x:c r="TWW64" s="293"/>
      <x:c r="TWX64" s="293"/>
      <x:c r="TWY64" s="293"/>
      <x:c r="TWZ64" s="293"/>
      <x:c r="TXA64" s="293"/>
      <x:c r="TXB64" s="293"/>
      <x:c r="TXC64" s="293"/>
      <x:c r="TXD64" s="293"/>
      <x:c r="TXE64" s="293"/>
      <x:c r="TXF64" s="293"/>
      <x:c r="TXG64" s="293"/>
      <x:c r="TXH64" s="293"/>
      <x:c r="TXI64" s="293"/>
      <x:c r="TXJ64" s="293"/>
      <x:c r="TXK64" s="293"/>
      <x:c r="TXL64" s="293"/>
      <x:c r="TXM64" s="293"/>
      <x:c r="TXN64" s="293"/>
      <x:c r="TXO64" s="293"/>
      <x:c r="TXP64" s="293"/>
      <x:c r="TXQ64" s="293"/>
      <x:c r="TXR64" s="293"/>
      <x:c r="TXS64" s="293"/>
      <x:c r="TXT64" s="293"/>
      <x:c r="TXU64" s="293"/>
      <x:c r="TXV64" s="293"/>
      <x:c r="TXW64" s="293"/>
      <x:c r="TXX64" s="293"/>
      <x:c r="TXY64" s="293"/>
      <x:c r="TXZ64" s="293"/>
      <x:c r="TYA64" s="293"/>
      <x:c r="TYB64" s="293"/>
      <x:c r="TYC64" s="293"/>
      <x:c r="TYD64" s="293"/>
      <x:c r="TYE64" s="293"/>
      <x:c r="TYF64" s="293"/>
      <x:c r="TYG64" s="293"/>
      <x:c r="TYH64" s="293"/>
      <x:c r="TYI64" s="293"/>
      <x:c r="TYJ64" s="293"/>
      <x:c r="TYK64" s="293"/>
      <x:c r="TYL64" s="293"/>
      <x:c r="TYM64" s="293"/>
      <x:c r="TYN64" s="293"/>
      <x:c r="TYO64" s="293"/>
      <x:c r="TYP64" s="293"/>
      <x:c r="TYQ64" s="293"/>
      <x:c r="TYR64" s="293"/>
      <x:c r="TYS64" s="293"/>
      <x:c r="TYT64" s="293"/>
      <x:c r="TYU64" s="293"/>
      <x:c r="TYV64" s="293"/>
      <x:c r="TYW64" s="293"/>
      <x:c r="TYX64" s="293"/>
      <x:c r="TYY64" s="293"/>
      <x:c r="TYZ64" s="293"/>
      <x:c r="TZA64" s="293"/>
      <x:c r="TZB64" s="293"/>
      <x:c r="TZC64" s="293"/>
      <x:c r="TZD64" s="293"/>
      <x:c r="TZE64" s="293"/>
      <x:c r="TZF64" s="293"/>
      <x:c r="TZG64" s="293"/>
      <x:c r="TZH64" s="293"/>
      <x:c r="TZI64" s="293"/>
      <x:c r="TZJ64" s="293"/>
      <x:c r="TZK64" s="293"/>
      <x:c r="TZL64" s="293"/>
      <x:c r="TZM64" s="293"/>
      <x:c r="TZN64" s="293"/>
      <x:c r="TZO64" s="293"/>
      <x:c r="TZP64" s="293"/>
      <x:c r="TZQ64" s="293"/>
      <x:c r="TZR64" s="293"/>
      <x:c r="TZS64" s="293"/>
      <x:c r="TZT64" s="293"/>
      <x:c r="TZU64" s="293"/>
      <x:c r="TZV64" s="293"/>
      <x:c r="TZW64" s="293"/>
      <x:c r="TZX64" s="293"/>
      <x:c r="TZY64" s="293"/>
      <x:c r="TZZ64" s="293"/>
      <x:c r="UAA64" s="293"/>
      <x:c r="UAB64" s="293"/>
      <x:c r="UAC64" s="293"/>
      <x:c r="UAD64" s="293"/>
      <x:c r="UAE64" s="293"/>
      <x:c r="UAF64" s="293"/>
      <x:c r="UAG64" s="293"/>
      <x:c r="UAH64" s="293"/>
      <x:c r="UAI64" s="293"/>
      <x:c r="UAJ64" s="293"/>
      <x:c r="UAK64" s="293"/>
      <x:c r="UAL64" s="293"/>
      <x:c r="UAM64" s="293"/>
      <x:c r="UAN64" s="293"/>
      <x:c r="UAO64" s="293"/>
      <x:c r="UAP64" s="293"/>
      <x:c r="UAQ64" s="293"/>
      <x:c r="UAR64" s="293"/>
      <x:c r="UAS64" s="293"/>
      <x:c r="UAT64" s="293"/>
      <x:c r="UAU64" s="293"/>
      <x:c r="UAV64" s="293"/>
      <x:c r="UAW64" s="293"/>
      <x:c r="UAX64" s="293"/>
      <x:c r="UAY64" s="293"/>
      <x:c r="UAZ64" s="293"/>
      <x:c r="UBA64" s="293"/>
      <x:c r="UBB64" s="293"/>
      <x:c r="UBC64" s="293"/>
      <x:c r="UBD64" s="293"/>
      <x:c r="UBE64" s="293"/>
      <x:c r="UBF64" s="293"/>
      <x:c r="UBG64" s="293"/>
      <x:c r="UBH64" s="293"/>
      <x:c r="UBI64" s="293"/>
      <x:c r="UBJ64" s="293"/>
      <x:c r="UBK64" s="293"/>
      <x:c r="UBL64" s="293"/>
      <x:c r="UBM64" s="293"/>
      <x:c r="UBN64" s="293"/>
      <x:c r="UBO64" s="293"/>
      <x:c r="UBP64" s="293"/>
      <x:c r="UBQ64" s="293"/>
      <x:c r="UBR64" s="293"/>
      <x:c r="UBS64" s="293"/>
      <x:c r="UBT64" s="293"/>
      <x:c r="UBU64" s="293"/>
      <x:c r="UBV64" s="293"/>
      <x:c r="UBW64" s="293"/>
      <x:c r="UBX64" s="293"/>
      <x:c r="UBY64" s="293"/>
      <x:c r="UBZ64" s="293"/>
      <x:c r="UCA64" s="293"/>
      <x:c r="UCB64" s="293"/>
      <x:c r="UCC64" s="293"/>
      <x:c r="UCD64" s="293"/>
      <x:c r="UCE64" s="293"/>
      <x:c r="UCF64" s="293"/>
      <x:c r="UCG64" s="293"/>
      <x:c r="UCH64" s="293"/>
      <x:c r="UCI64" s="293"/>
      <x:c r="UCJ64" s="293"/>
      <x:c r="UCK64" s="293"/>
      <x:c r="UCL64" s="293"/>
      <x:c r="UCM64" s="293"/>
      <x:c r="UCN64" s="293"/>
      <x:c r="UCO64" s="293"/>
      <x:c r="UCP64" s="293"/>
      <x:c r="UCQ64" s="293"/>
      <x:c r="UCR64" s="293"/>
      <x:c r="UCS64" s="293"/>
      <x:c r="UCT64" s="293"/>
      <x:c r="UCU64" s="293"/>
      <x:c r="UCV64" s="293"/>
      <x:c r="UCW64" s="293"/>
      <x:c r="UCX64" s="293"/>
      <x:c r="UCY64" s="293"/>
      <x:c r="UCZ64" s="293"/>
      <x:c r="UDA64" s="293"/>
      <x:c r="UDB64" s="293"/>
      <x:c r="UDC64" s="293"/>
      <x:c r="UDD64" s="293"/>
      <x:c r="UDE64" s="293"/>
      <x:c r="UDF64" s="293"/>
      <x:c r="UDG64" s="293"/>
      <x:c r="UDH64" s="293"/>
      <x:c r="UDI64" s="293"/>
      <x:c r="UDJ64" s="293"/>
      <x:c r="UDK64" s="293"/>
      <x:c r="UDL64" s="293"/>
      <x:c r="UDM64" s="293"/>
      <x:c r="UDN64" s="293"/>
      <x:c r="UDO64" s="293"/>
      <x:c r="UDP64" s="293"/>
      <x:c r="UDQ64" s="293"/>
      <x:c r="UDR64" s="293"/>
      <x:c r="UDS64" s="293"/>
      <x:c r="UDT64" s="293"/>
      <x:c r="UDU64" s="293"/>
      <x:c r="UDV64" s="293"/>
      <x:c r="UDW64" s="293"/>
      <x:c r="UDX64" s="293"/>
      <x:c r="UDY64" s="293"/>
      <x:c r="UDZ64" s="293"/>
      <x:c r="UEA64" s="293"/>
      <x:c r="UEB64" s="293"/>
      <x:c r="UEC64" s="293"/>
      <x:c r="UED64" s="293"/>
      <x:c r="UEE64" s="293"/>
      <x:c r="UEF64" s="293"/>
      <x:c r="UEG64" s="293"/>
      <x:c r="UEH64" s="293"/>
      <x:c r="UEI64" s="293"/>
      <x:c r="UEJ64" s="293"/>
      <x:c r="UEK64" s="293"/>
      <x:c r="UEL64" s="293"/>
      <x:c r="UEM64" s="293"/>
      <x:c r="UEN64" s="293"/>
      <x:c r="UEO64" s="293"/>
      <x:c r="UEP64" s="293"/>
      <x:c r="UEQ64" s="293"/>
      <x:c r="UER64" s="293"/>
      <x:c r="UES64" s="293"/>
      <x:c r="UET64" s="293"/>
      <x:c r="UEU64" s="293"/>
      <x:c r="UEV64" s="293"/>
      <x:c r="UEW64" s="293"/>
      <x:c r="UEX64" s="293"/>
      <x:c r="UEY64" s="293"/>
      <x:c r="UEZ64" s="293"/>
      <x:c r="UFA64" s="293"/>
      <x:c r="UFB64" s="293"/>
      <x:c r="UFC64" s="293"/>
      <x:c r="UFD64" s="293"/>
      <x:c r="UFE64" s="293"/>
      <x:c r="UFF64" s="293"/>
      <x:c r="UFG64" s="293"/>
      <x:c r="UFH64" s="293"/>
      <x:c r="UFI64" s="293"/>
      <x:c r="UFJ64" s="293"/>
      <x:c r="UFK64" s="293"/>
      <x:c r="UFL64" s="293"/>
      <x:c r="UFM64" s="293"/>
      <x:c r="UFN64" s="293"/>
      <x:c r="UFO64" s="293"/>
      <x:c r="UFP64" s="293"/>
      <x:c r="UFQ64" s="293"/>
      <x:c r="UFR64" s="293"/>
      <x:c r="UFS64" s="293"/>
      <x:c r="UFT64" s="293"/>
      <x:c r="UFU64" s="293"/>
      <x:c r="UFV64" s="293"/>
      <x:c r="UFW64" s="293"/>
      <x:c r="UFX64" s="293"/>
      <x:c r="UFY64" s="293"/>
      <x:c r="UFZ64" s="293"/>
      <x:c r="UGA64" s="293"/>
      <x:c r="UGB64" s="293"/>
      <x:c r="UGC64" s="293"/>
      <x:c r="UGD64" s="293"/>
      <x:c r="UGE64" s="293"/>
      <x:c r="UGF64" s="293"/>
      <x:c r="UGG64" s="293"/>
      <x:c r="UGH64" s="293"/>
      <x:c r="UGI64" s="293"/>
      <x:c r="UGJ64" s="293"/>
      <x:c r="UGK64" s="293"/>
      <x:c r="UGL64" s="293"/>
      <x:c r="UGM64" s="293"/>
      <x:c r="UGN64" s="293"/>
      <x:c r="UGO64" s="293"/>
      <x:c r="UGP64" s="293"/>
      <x:c r="UGQ64" s="293"/>
      <x:c r="UGR64" s="293"/>
      <x:c r="UGS64" s="293"/>
      <x:c r="UGT64" s="293"/>
      <x:c r="UGU64" s="293"/>
      <x:c r="UGV64" s="293"/>
      <x:c r="UGW64" s="293"/>
      <x:c r="UGX64" s="293"/>
      <x:c r="UGY64" s="293"/>
      <x:c r="UGZ64" s="293"/>
      <x:c r="UHA64" s="293"/>
      <x:c r="UHB64" s="293"/>
      <x:c r="UHC64" s="293"/>
      <x:c r="UHD64" s="293"/>
      <x:c r="UHE64" s="293"/>
      <x:c r="UHF64" s="293"/>
      <x:c r="UHG64" s="293"/>
      <x:c r="UHH64" s="293"/>
      <x:c r="UHI64" s="293"/>
      <x:c r="UHJ64" s="293"/>
      <x:c r="UHK64" s="293"/>
      <x:c r="UHL64" s="293"/>
      <x:c r="UHM64" s="293"/>
      <x:c r="UHN64" s="293"/>
      <x:c r="UHO64" s="293"/>
      <x:c r="UHP64" s="293"/>
      <x:c r="UHQ64" s="293"/>
      <x:c r="UHR64" s="293"/>
      <x:c r="UHS64" s="293"/>
      <x:c r="UHT64" s="293"/>
      <x:c r="UHU64" s="293"/>
      <x:c r="UHV64" s="293"/>
      <x:c r="UHW64" s="293"/>
      <x:c r="UHX64" s="293"/>
      <x:c r="UHY64" s="293"/>
      <x:c r="UHZ64" s="293"/>
      <x:c r="UIA64" s="293"/>
      <x:c r="UIB64" s="293"/>
      <x:c r="UIC64" s="293"/>
      <x:c r="UID64" s="293"/>
      <x:c r="UIE64" s="293"/>
      <x:c r="UIF64" s="293"/>
      <x:c r="UIG64" s="293"/>
      <x:c r="UIH64" s="293"/>
      <x:c r="UII64" s="293"/>
      <x:c r="UIJ64" s="293"/>
      <x:c r="UIK64" s="293"/>
      <x:c r="UIL64" s="293"/>
      <x:c r="UIM64" s="293"/>
      <x:c r="UIN64" s="293"/>
      <x:c r="UIO64" s="293"/>
      <x:c r="UIP64" s="293"/>
      <x:c r="UIQ64" s="293"/>
      <x:c r="UIR64" s="293"/>
      <x:c r="UIS64" s="293"/>
      <x:c r="UIT64" s="293"/>
      <x:c r="UIU64" s="293"/>
      <x:c r="UIV64" s="293"/>
      <x:c r="UIW64" s="293"/>
      <x:c r="UIX64" s="293"/>
      <x:c r="UIY64" s="293"/>
      <x:c r="UIZ64" s="293"/>
      <x:c r="UJA64" s="293"/>
      <x:c r="UJB64" s="293"/>
      <x:c r="UJC64" s="293"/>
      <x:c r="UJD64" s="293"/>
      <x:c r="UJE64" s="293"/>
      <x:c r="UJF64" s="293"/>
      <x:c r="UJG64" s="293"/>
      <x:c r="UJH64" s="293"/>
      <x:c r="UJI64" s="293"/>
      <x:c r="UJJ64" s="293"/>
      <x:c r="UJK64" s="293"/>
      <x:c r="UJL64" s="293"/>
      <x:c r="UJM64" s="293"/>
      <x:c r="UJN64" s="293"/>
      <x:c r="UJO64" s="293"/>
      <x:c r="UJP64" s="293"/>
      <x:c r="UJQ64" s="293"/>
      <x:c r="UJR64" s="293"/>
      <x:c r="UJS64" s="293"/>
      <x:c r="UJT64" s="293"/>
      <x:c r="UJU64" s="293"/>
      <x:c r="UJV64" s="293"/>
      <x:c r="UJW64" s="293"/>
      <x:c r="UJX64" s="293"/>
      <x:c r="UJY64" s="293"/>
      <x:c r="UJZ64" s="293"/>
      <x:c r="UKA64" s="293"/>
      <x:c r="UKB64" s="293"/>
      <x:c r="UKC64" s="293"/>
      <x:c r="UKD64" s="293"/>
      <x:c r="UKE64" s="293"/>
      <x:c r="UKF64" s="293"/>
      <x:c r="UKG64" s="293"/>
      <x:c r="UKH64" s="293"/>
      <x:c r="UKI64" s="293"/>
      <x:c r="UKJ64" s="293"/>
      <x:c r="UKK64" s="293"/>
      <x:c r="UKL64" s="293"/>
      <x:c r="UKM64" s="293"/>
      <x:c r="UKN64" s="293"/>
      <x:c r="UKO64" s="293"/>
      <x:c r="UKP64" s="293"/>
      <x:c r="UKQ64" s="293"/>
      <x:c r="UKR64" s="293"/>
      <x:c r="UKS64" s="293"/>
      <x:c r="UKT64" s="293"/>
      <x:c r="UKU64" s="293"/>
      <x:c r="UKV64" s="293"/>
      <x:c r="UKW64" s="293"/>
      <x:c r="UKX64" s="293"/>
      <x:c r="UKY64" s="293"/>
      <x:c r="UKZ64" s="293"/>
      <x:c r="ULA64" s="293"/>
      <x:c r="ULB64" s="293"/>
      <x:c r="ULC64" s="293"/>
      <x:c r="ULD64" s="293"/>
      <x:c r="ULE64" s="293"/>
      <x:c r="ULF64" s="293"/>
      <x:c r="ULG64" s="293"/>
      <x:c r="ULH64" s="293"/>
      <x:c r="ULI64" s="293"/>
      <x:c r="ULJ64" s="293"/>
      <x:c r="ULK64" s="293"/>
      <x:c r="ULL64" s="293"/>
      <x:c r="ULM64" s="293"/>
      <x:c r="ULN64" s="293"/>
      <x:c r="ULO64" s="293"/>
      <x:c r="ULP64" s="293"/>
      <x:c r="ULQ64" s="293"/>
      <x:c r="ULR64" s="293"/>
      <x:c r="ULS64" s="293"/>
      <x:c r="ULT64" s="293"/>
      <x:c r="ULU64" s="293"/>
      <x:c r="ULV64" s="293"/>
      <x:c r="ULW64" s="293"/>
      <x:c r="ULX64" s="293"/>
      <x:c r="ULY64" s="293"/>
      <x:c r="ULZ64" s="293"/>
      <x:c r="UMA64" s="293"/>
      <x:c r="UMB64" s="293"/>
      <x:c r="UMC64" s="293"/>
      <x:c r="UMD64" s="293"/>
      <x:c r="UME64" s="293"/>
      <x:c r="UMF64" s="293"/>
      <x:c r="UMG64" s="293"/>
      <x:c r="UMH64" s="293"/>
      <x:c r="UMI64" s="293"/>
      <x:c r="UMJ64" s="293"/>
      <x:c r="UMK64" s="293"/>
      <x:c r="UML64" s="293"/>
      <x:c r="UMM64" s="293"/>
      <x:c r="UMN64" s="293"/>
      <x:c r="UMO64" s="293"/>
      <x:c r="UMP64" s="293"/>
      <x:c r="UMQ64" s="293"/>
      <x:c r="UMR64" s="293"/>
      <x:c r="UMS64" s="293"/>
      <x:c r="UMT64" s="293"/>
      <x:c r="UMU64" s="293"/>
      <x:c r="UMV64" s="293"/>
      <x:c r="UMW64" s="293"/>
      <x:c r="UMX64" s="293"/>
      <x:c r="UMY64" s="293"/>
      <x:c r="UMZ64" s="293"/>
      <x:c r="UNA64" s="293"/>
      <x:c r="UNB64" s="293"/>
      <x:c r="UNC64" s="293"/>
      <x:c r="UND64" s="293"/>
      <x:c r="UNE64" s="293"/>
      <x:c r="UNF64" s="293"/>
      <x:c r="UNG64" s="293"/>
      <x:c r="UNH64" s="293"/>
      <x:c r="UNI64" s="293"/>
      <x:c r="UNJ64" s="293"/>
      <x:c r="UNK64" s="293"/>
      <x:c r="UNL64" s="293"/>
      <x:c r="UNM64" s="293"/>
      <x:c r="UNN64" s="293"/>
      <x:c r="UNO64" s="293"/>
      <x:c r="UNP64" s="293"/>
      <x:c r="UNQ64" s="293"/>
      <x:c r="UNR64" s="293"/>
      <x:c r="UNS64" s="293"/>
      <x:c r="UNT64" s="293"/>
      <x:c r="UNU64" s="293"/>
      <x:c r="UNV64" s="293"/>
      <x:c r="UNW64" s="293"/>
      <x:c r="UNX64" s="293"/>
      <x:c r="UNY64" s="293"/>
      <x:c r="UNZ64" s="293"/>
      <x:c r="UOA64" s="293"/>
      <x:c r="UOB64" s="293"/>
      <x:c r="UOC64" s="293"/>
      <x:c r="UOD64" s="293"/>
      <x:c r="UOE64" s="293"/>
      <x:c r="UOF64" s="293"/>
      <x:c r="UOG64" s="293"/>
      <x:c r="UOH64" s="293"/>
      <x:c r="UOI64" s="293"/>
      <x:c r="UOJ64" s="293"/>
      <x:c r="UOK64" s="293"/>
      <x:c r="UOL64" s="293"/>
      <x:c r="UOM64" s="293"/>
      <x:c r="UON64" s="293"/>
      <x:c r="UOO64" s="293"/>
      <x:c r="UOP64" s="293"/>
      <x:c r="UOQ64" s="293"/>
      <x:c r="UOR64" s="293"/>
      <x:c r="UOS64" s="293"/>
      <x:c r="UOT64" s="293"/>
      <x:c r="UOU64" s="293"/>
      <x:c r="UOV64" s="293"/>
      <x:c r="UOW64" s="293"/>
      <x:c r="UOX64" s="293"/>
      <x:c r="UOY64" s="293"/>
      <x:c r="UOZ64" s="293"/>
      <x:c r="UPA64" s="293"/>
      <x:c r="UPB64" s="293"/>
      <x:c r="UPC64" s="293"/>
      <x:c r="UPD64" s="293"/>
      <x:c r="UPE64" s="293"/>
      <x:c r="UPF64" s="293"/>
      <x:c r="UPG64" s="293"/>
      <x:c r="UPH64" s="293"/>
      <x:c r="UPI64" s="293"/>
      <x:c r="UPJ64" s="293"/>
      <x:c r="UPK64" s="293"/>
      <x:c r="UPL64" s="293"/>
      <x:c r="UPM64" s="293"/>
      <x:c r="UPN64" s="293"/>
      <x:c r="UPO64" s="293"/>
      <x:c r="UPP64" s="293"/>
      <x:c r="UPQ64" s="293"/>
      <x:c r="UPR64" s="293"/>
      <x:c r="UPS64" s="293"/>
      <x:c r="UPT64" s="293"/>
      <x:c r="UPU64" s="293"/>
      <x:c r="UPV64" s="293"/>
      <x:c r="UPW64" s="293"/>
      <x:c r="UPX64" s="293"/>
      <x:c r="UPY64" s="293"/>
      <x:c r="UPZ64" s="293"/>
      <x:c r="UQA64" s="293"/>
      <x:c r="UQB64" s="293"/>
      <x:c r="UQC64" s="293"/>
      <x:c r="UQD64" s="293"/>
      <x:c r="UQE64" s="293"/>
      <x:c r="UQF64" s="293"/>
      <x:c r="UQG64" s="293"/>
      <x:c r="UQH64" s="293"/>
      <x:c r="UQI64" s="293"/>
      <x:c r="UQJ64" s="293"/>
      <x:c r="UQK64" s="293"/>
      <x:c r="UQL64" s="293"/>
      <x:c r="UQM64" s="293"/>
      <x:c r="UQN64" s="293"/>
      <x:c r="UQO64" s="293"/>
      <x:c r="UQP64" s="293"/>
      <x:c r="UQQ64" s="293"/>
      <x:c r="UQR64" s="293"/>
      <x:c r="UQS64" s="293"/>
      <x:c r="UQT64" s="293"/>
      <x:c r="UQU64" s="293"/>
      <x:c r="UQV64" s="293"/>
      <x:c r="UQW64" s="293"/>
      <x:c r="UQX64" s="293"/>
      <x:c r="UQY64" s="293"/>
      <x:c r="UQZ64" s="293"/>
      <x:c r="URA64" s="293"/>
      <x:c r="URB64" s="293"/>
      <x:c r="URC64" s="293"/>
      <x:c r="URD64" s="293"/>
      <x:c r="URE64" s="293"/>
      <x:c r="URF64" s="293"/>
      <x:c r="URG64" s="293"/>
      <x:c r="URH64" s="293"/>
      <x:c r="URI64" s="293"/>
      <x:c r="URJ64" s="293"/>
      <x:c r="URK64" s="293"/>
      <x:c r="URL64" s="293"/>
      <x:c r="URM64" s="293"/>
      <x:c r="URN64" s="293"/>
      <x:c r="URO64" s="293"/>
      <x:c r="URP64" s="293"/>
      <x:c r="URQ64" s="293"/>
      <x:c r="URR64" s="293"/>
      <x:c r="URS64" s="293"/>
      <x:c r="URT64" s="293"/>
      <x:c r="URU64" s="293"/>
      <x:c r="URV64" s="293"/>
      <x:c r="URW64" s="293"/>
      <x:c r="URX64" s="293"/>
      <x:c r="URY64" s="293"/>
      <x:c r="URZ64" s="293"/>
      <x:c r="USA64" s="293"/>
      <x:c r="USB64" s="293"/>
      <x:c r="USC64" s="293"/>
      <x:c r="USD64" s="293"/>
      <x:c r="USE64" s="293"/>
      <x:c r="USF64" s="293"/>
      <x:c r="USG64" s="293"/>
      <x:c r="USH64" s="293"/>
      <x:c r="USI64" s="293"/>
      <x:c r="USJ64" s="293"/>
      <x:c r="USK64" s="293"/>
      <x:c r="USL64" s="293"/>
      <x:c r="USM64" s="293"/>
      <x:c r="USN64" s="293"/>
      <x:c r="USO64" s="293"/>
      <x:c r="USP64" s="293"/>
      <x:c r="USQ64" s="293"/>
      <x:c r="USR64" s="293"/>
      <x:c r="USS64" s="293"/>
      <x:c r="UST64" s="293"/>
      <x:c r="USU64" s="293"/>
      <x:c r="USV64" s="293"/>
      <x:c r="USW64" s="293"/>
      <x:c r="USX64" s="293"/>
      <x:c r="USY64" s="293"/>
      <x:c r="USZ64" s="293"/>
      <x:c r="UTA64" s="293"/>
      <x:c r="UTB64" s="293"/>
      <x:c r="UTC64" s="293"/>
      <x:c r="UTD64" s="293"/>
      <x:c r="UTE64" s="293"/>
      <x:c r="UTF64" s="293"/>
      <x:c r="UTG64" s="293"/>
      <x:c r="UTH64" s="293"/>
      <x:c r="UTI64" s="293"/>
      <x:c r="UTJ64" s="293"/>
      <x:c r="UTK64" s="293"/>
      <x:c r="UTL64" s="293"/>
      <x:c r="UTM64" s="293"/>
      <x:c r="UTN64" s="293"/>
      <x:c r="UTO64" s="293"/>
      <x:c r="UTP64" s="293"/>
      <x:c r="UTQ64" s="293"/>
      <x:c r="UTR64" s="293"/>
      <x:c r="UTS64" s="293"/>
      <x:c r="UTT64" s="293"/>
      <x:c r="UTU64" s="293"/>
      <x:c r="UTV64" s="293"/>
      <x:c r="UTW64" s="293"/>
      <x:c r="UTX64" s="293"/>
      <x:c r="UTY64" s="293"/>
      <x:c r="UTZ64" s="293"/>
      <x:c r="UUA64" s="293"/>
      <x:c r="UUB64" s="293"/>
      <x:c r="UUC64" s="293"/>
      <x:c r="UUD64" s="293"/>
      <x:c r="UUE64" s="293"/>
      <x:c r="UUF64" s="293"/>
      <x:c r="UUG64" s="293"/>
      <x:c r="UUH64" s="293"/>
      <x:c r="UUI64" s="293"/>
      <x:c r="UUJ64" s="293"/>
      <x:c r="UUK64" s="293"/>
      <x:c r="UUL64" s="293"/>
      <x:c r="UUM64" s="293"/>
      <x:c r="UUN64" s="293"/>
      <x:c r="UUO64" s="293"/>
      <x:c r="UUP64" s="293"/>
      <x:c r="UUQ64" s="293"/>
      <x:c r="UUR64" s="293"/>
      <x:c r="UUS64" s="293"/>
      <x:c r="UUT64" s="293"/>
      <x:c r="UUU64" s="293"/>
      <x:c r="UUV64" s="293"/>
      <x:c r="UUW64" s="293"/>
      <x:c r="UUX64" s="293"/>
      <x:c r="UUY64" s="293"/>
      <x:c r="UUZ64" s="293"/>
      <x:c r="UVA64" s="293"/>
      <x:c r="UVB64" s="293"/>
      <x:c r="UVC64" s="293"/>
      <x:c r="UVD64" s="293"/>
      <x:c r="UVE64" s="293"/>
      <x:c r="UVF64" s="293"/>
      <x:c r="UVG64" s="293"/>
      <x:c r="UVH64" s="293"/>
      <x:c r="UVI64" s="293"/>
      <x:c r="UVJ64" s="293"/>
      <x:c r="UVK64" s="293"/>
      <x:c r="UVL64" s="293"/>
      <x:c r="UVM64" s="293"/>
      <x:c r="UVN64" s="293"/>
      <x:c r="UVO64" s="293"/>
      <x:c r="UVP64" s="293"/>
      <x:c r="UVQ64" s="293"/>
      <x:c r="UVR64" s="293"/>
      <x:c r="UVS64" s="293"/>
      <x:c r="UVT64" s="293"/>
      <x:c r="UVU64" s="293"/>
      <x:c r="UVV64" s="293"/>
      <x:c r="UVW64" s="293"/>
      <x:c r="UVX64" s="293"/>
      <x:c r="UVY64" s="293"/>
      <x:c r="UVZ64" s="293"/>
      <x:c r="UWA64" s="293"/>
      <x:c r="UWB64" s="293"/>
      <x:c r="UWC64" s="293"/>
      <x:c r="UWD64" s="293"/>
      <x:c r="UWE64" s="293"/>
      <x:c r="UWF64" s="293"/>
      <x:c r="UWG64" s="293"/>
      <x:c r="UWH64" s="293"/>
      <x:c r="UWI64" s="293"/>
      <x:c r="UWJ64" s="293"/>
      <x:c r="UWK64" s="293"/>
      <x:c r="UWL64" s="293"/>
      <x:c r="UWM64" s="293"/>
      <x:c r="UWN64" s="293"/>
      <x:c r="UWO64" s="293"/>
      <x:c r="UWP64" s="293"/>
      <x:c r="UWQ64" s="293"/>
      <x:c r="UWR64" s="293"/>
      <x:c r="UWS64" s="293"/>
      <x:c r="UWT64" s="293"/>
      <x:c r="UWU64" s="293"/>
      <x:c r="UWV64" s="293"/>
      <x:c r="UWW64" s="293"/>
      <x:c r="UWX64" s="293"/>
      <x:c r="UWY64" s="293"/>
      <x:c r="UWZ64" s="293"/>
      <x:c r="UXA64" s="293"/>
      <x:c r="UXB64" s="293"/>
      <x:c r="UXC64" s="293"/>
      <x:c r="UXD64" s="293"/>
      <x:c r="UXE64" s="293"/>
      <x:c r="UXF64" s="293"/>
      <x:c r="UXG64" s="293"/>
      <x:c r="UXH64" s="293"/>
      <x:c r="UXI64" s="293"/>
      <x:c r="UXJ64" s="293"/>
      <x:c r="UXK64" s="293"/>
      <x:c r="UXL64" s="293"/>
      <x:c r="UXM64" s="293"/>
      <x:c r="UXN64" s="293"/>
      <x:c r="UXO64" s="293"/>
      <x:c r="UXP64" s="293"/>
      <x:c r="UXQ64" s="293"/>
      <x:c r="UXR64" s="293"/>
      <x:c r="UXS64" s="293"/>
      <x:c r="UXT64" s="293"/>
      <x:c r="UXU64" s="293"/>
      <x:c r="UXV64" s="293"/>
      <x:c r="UXW64" s="293"/>
      <x:c r="UXX64" s="293"/>
      <x:c r="UXY64" s="293"/>
      <x:c r="UXZ64" s="293"/>
      <x:c r="UYA64" s="293"/>
      <x:c r="UYB64" s="293"/>
      <x:c r="UYC64" s="293"/>
      <x:c r="UYD64" s="293"/>
      <x:c r="UYE64" s="293"/>
      <x:c r="UYF64" s="293"/>
      <x:c r="UYG64" s="293"/>
      <x:c r="UYH64" s="293"/>
      <x:c r="UYI64" s="293"/>
      <x:c r="UYJ64" s="293"/>
      <x:c r="UYK64" s="293"/>
      <x:c r="UYL64" s="293"/>
      <x:c r="UYM64" s="293"/>
      <x:c r="UYN64" s="293"/>
      <x:c r="UYO64" s="293"/>
      <x:c r="UYP64" s="293"/>
      <x:c r="UYQ64" s="293"/>
      <x:c r="UYR64" s="293"/>
      <x:c r="UYS64" s="293"/>
      <x:c r="UYT64" s="293"/>
      <x:c r="UYU64" s="293"/>
      <x:c r="UYV64" s="293"/>
      <x:c r="UYW64" s="293"/>
      <x:c r="UYX64" s="293"/>
      <x:c r="UYY64" s="293"/>
      <x:c r="UYZ64" s="293"/>
      <x:c r="UZA64" s="293"/>
      <x:c r="UZB64" s="293"/>
      <x:c r="UZC64" s="293"/>
      <x:c r="UZD64" s="293"/>
      <x:c r="UZE64" s="293"/>
      <x:c r="UZF64" s="293"/>
      <x:c r="UZG64" s="293"/>
      <x:c r="UZH64" s="293"/>
      <x:c r="UZI64" s="293"/>
      <x:c r="UZJ64" s="293"/>
      <x:c r="UZK64" s="293"/>
      <x:c r="UZL64" s="293"/>
      <x:c r="UZM64" s="293"/>
      <x:c r="UZN64" s="293"/>
      <x:c r="UZO64" s="293"/>
      <x:c r="UZP64" s="293"/>
      <x:c r="UZQ64" s="293"/>
      <x:c r="UZR64" s="293"/>
      <x:c r="UZS64" s="293"/>
      <x:c r="UZT64" s="293"/>
      <x:c r="UZU64" s="293"/>
      <x:c r="UZV64" s="293"/>
      <x:c r="UZW64" s="293"/>
      <x:c r="UZX64" s="293"/>
      <x:c r="UZY64" s="293"/>
      <x:c r="UZZ64" s="293"/>
      <x:c r="VAA64" s="293"/>
      <x:c r="VAB64" s="293"/>
      <x:c r="VAC64" s="293"/>
      <x:c r="VAD64" s="293"/>
      <x:c r="VAE64" s="293"/>
      <x:c r="VAF64" s="293"/>
      <x:c r="VAG64" s="293"/>
      <x:c r="VAH64" s="293"/>
      <x:c r="VAI64" s="293"/>
      <x:c r="VAJ64" s="293"/>
      <x:c r="VAK64" s="293"/>
      <x:c r="VAL64" s="293"/>
      <x:c r="VAM64" s="293"/>
      <x:c r="VAN64" s="293"/>
      <x:c r="VAO64" s="293"/>
      <x:c r="VAP64" s="293"/>
      <x:c r="VAQ64" s="293"/>
      <x:c r="VAR64" s="293"/>
      <x:c r="VAS64" s="293"/>
      <x:c r="VAT64" s="293"/>
      <x:c r="VAU64" s="293"/>
      <x:c r="VAV64" s="293"/>
      <x:c r="VAW64" s="293"/>
      <x:c r="VAX64" s="293"/>
      <x:c r="VAY64" s="293"/>
      <x:c r="VAZ64" s="293"/>
      <x:c r="VBA64" s="293"/>
      <x:c r="VBB64" s="293"/>
      <x:c r="VBC64" s="293"/>
      <x:c r="VBD64" s="293"/>
      <x:c r="VBE64" s="293"/>
      <x:c r="VBF64" s="293"/>
      <x:c r="VBG64" s="293"/>
      <x:c r="VBH64" s="293"/>
      <x:c r="VBI64" s="293"/>
      <x:c r="VBJ64" s="293"/>
      <x:c r="VBK64" s="293"/>
      <x:c r="VBL64" s="293"/>
      <x:c r="VBM64" s="293"/>
      <x:c r="VBN64" s="293"/>
      <x:c r="VBO64" s="293"/>
      <x:c r="VBP64" s="293"/>
      <x:c r="VBQ64" s="293"/>
      <x:c r="VBR64" s="293"/>
      <x:c r="VBS64" s="293"/>
      <x:c r="VBT64" s="293"/>
      <x:c r="VBU64" s="293"/>
      <x:c r="VBV64" s="293"/>
      <x:c r="VBW64" s="293"/>
      <x:c r="VBX64" s="293"/>
      <x:c r="VBY64" s="293"/>
      <x:c r="VBZ64" s="293"/>
      <x:c r="VCA64" s="293"/>
      <x:c r="VCB64" s="293"/>
      <x:c r="VCC64" s="293"/>
      <x:c r="VCD64" s="293"/>
      <x:c r="VCE64" s="293"/>
      <x:c r="VCF64" s="293"/>
      <x:c r="VCG64" s="293"/>
      <x:c r="VCH64" s="293"/>
      <x:c r="VCI64" s="293"/>
      <x:c r="VCJ64" s="293"/>
      <x:c r="VCK64" s="293"/>
      <x:c r="VCL64" s="293"/>
      <x:c r="VCM64" s="293"/>
      <x:c r="VCN64" s="293"/>
      <x:c r="VCO64" s="293"/>
      <x:c r="VCP64" s="293"/>
      <x:c r="VCQ64" s="293"/>
      <x:c r="VCR64" s="293"/>
      <x:c r="VCS64" s="293"/>
      <x:c r="VCT64" s="293"/>
      <x:c r="VCU64" s="293"/>
      <x:c r="VCV64" s="293"/>
      <x:c r="VCW64" s="293"/>
      <x:c r="VCX64" s="293"/>
      <x:c r="VCY64" s="293"/>
      <x:c r="VCZ64" s="293"/>
      <x:c r="VDA64" s="293"/>
      <x:c r="VDB64" s="293"/>
      <x:c r="VDC64" s="293"/>
      <x:c r="VDD64" s="293"/>
      <x:c r="VDE64" s="293"/>
      <x:c r="VDF64" s="293"/>
      <x:c r="VDG64" s="293"/>
      <x:c r="VDH64" s="293"/>
      <x:c r="VDI64" s="293"/>
      <x:c r="VDJ64" s="293"/>
      <x:c r="VDK64" s="293"/>
      <x:c r="VDL64" s="293"/>
      <x:c r="VDM64" s="293"/>
      <x:c r="VDN64" s="293"/>
      <x:c r="VDO64" s="293"/>
      <x:c r="VDP64" s="293"/>
      <x:c r="VDQ64" s="293"/>
      <x:c r="VDR64" s="293"/>
      <x:c r="VDS64" s="293"/>
      <x:c r="VDT64" s="293"/>
      <x:c r="VDU64" s="293"/>
      <x:c r="VDV64" s="293"/>
      <x:c r="VDW64" s="293"/>
      <x:c r="VDX64" s="293"/>
      <x:c r="VDY64" s="293"/>
      <x:c r="VDZ64" s="293"/>
      <x:c r="VEA64" s="293"/>
      <x:c r="VEB64" s="293"/>
      <x:c r="VEC64" s="293"/>
      <x:c r="VED64" s="293"/>
      <x:c r="VEE64" s="293"/>
      <x:c r="VEF64" s="293"/>
      <x:c r="VEG64" s="293"/>
      <x:c r="VEH64" s="293"/>
      <x:c r="VEI64" s="293"/>
      <x:c r="VEJ64" s="293"/>
      <x:c r="VEK64" s="293"/>
      <x:c r="VEL64" s="293"/>
      <x:c r="VEM64" s="293"/>
      <x:c r="VEN64" s="293"/>
      <x:c r="VEO64" s="293"/>
      <x:c r="VEP64" s="293"/>
      <x:c r="VEQ64" s="293"/>
      <x:c r="VER64" s="293"/>
      <x:c r="VES64" s="293"/>
      <x:c r="VET64" s="293"/>
      <x:c r="VEU64" s="293"/>
      <x:c r="VEV64" s="293"/>
      <x:c r="VEW64" s="293"/>
      <x:c r="VEX64" s="293"/>
      <x:c r="VEY64" s="293"/>
      <x:c r="VEZ64" s="293"/>
      <x:c r="VFA64" s="293"/>
      <x:c r="VFB64" s="293"/>
      <x:c r="VFC64" s="293"/>
      <x:c r="VFD64" s="293"/>
      <x:c r="VFE64" s="293"/>
      <x:c r="VFF64" s="293"/>
      <x:c r="VFG64" s="293"/>
      <x:c r="VFH64" s="293"/>
      <x:c r="VFI64" s="293"/>
      <x:c r="VFJ64" s="293"/>
      <x:c r="VFK64" s="293"/>
      <x:c r="VFL64" s="293"/>
      <x:c r="VFM64" s="293"/>
      <x:c r="VFN64" s="293"/>
      <x:c r="VFO64" s="293"/>
      <x:c r="VFP64" s="293"/>
      <x:c r="VFQ64" s="293"/>
      <x:c r="VFR64" s="293"/>
      <x:c r="VFS64" s="293"/>
      <x:c r="VFT64" s="293"/>
      <x:c r="VFU64" s="293"/>
      <x:c r="VFV64" s="293"/>
      <x:c r="VFW64" s="293"/>
      <x:c r="VFX64" s="293"/>
      <x:c r="VFY64" s="293"/>
      <x:c r="VFZ64" s="293"/>
      <x:c r="VGA64" s="293"/>
      <x:c r="VGB64" s="293"/>
      <x:c r="VGC64" s="293"/>
      <x:c r="VGD64" s="293"/>
      <x:c r="VGE64" s="293"/>
      <x:c r="VGF64" s="293"/>
      <x:c r="VGG64" s="293"/>
      <x:c r="VGH64" s="293"/>
      <x:c r="VGI64" s="293"/>
      <x:c r="VGJ64" s="293"/>
      <x:c r="VGK64" s="293"/>
      <x:c r="VGL64" s="293"/>
      <x:c r="VGM64" s="293"/>
      <x:c r="VGN64" s="293"/>
      <x:c r="VGO64" s="293"/>
      <x:c r="VGP64" s="293"/>
      <x:c r="VGQ64" s="293"/>
      <x:c r="VGR64" s="293"/>
      <x:c r="VGS64" s="293"/>
      <x:c r="VGT64" s="293"/>
      <x:c r="VGU64" s="293"/>
      <x:c r="VGV64" s="293"/>
      <x:c r="VGW64" s="293"/>
      <x:c r="VGX64" s="293"/>
      <x:c r="VGY64" s="293"/>
      <x:c r="VGZ64" s="293"/>
      <x:c r="VHA64" s="293"/>
      <x:c r="VHB64" s="293"/>
      <x:c r="VHC64" s="293"/>
      <x:c r="VHD64" s="293"/>
      <x:c r="VHE64" s="293"/>
      <x:c r="VHF64" s="293"/>
      <x:c r="VHG64" s="293"/>
      <x:c r="VHH64" s="293"/>
      <x:c r="VHI64" s="293"/>
      <x:c r="VHJ64" s="293"/>
      <x:c r="VHK64" s="293"/>
      <x:c r="VHL64" s="293"/>
      <x:c r="VHM64" s="293"/>
      <x:c r="VHN64" s="293"/>
      <x:c r="VHO64" s="293"/>
      <x:c r="VHP64" s="293"/>
      <x:c r="VHQ64" s="293"/>
      <x:c r="VHR64" s="293"/>
      <x:c r="VHS64" s="293"/>
      <x:c r="VHT64" s="293"/>
      <x:c r="VHU64" s="293"/>
      <x:c r="VHV64" s="293"/>
      <x:c r="VHW64" s="293"/>
      <x:c r="VHX64" s="293"/>
      <x:c r="VHY64" s="293"/>
      <x:c r="VHZ64" s="293"/>
      <x:c r="VIA64" s="293"/>
      <x:c r="VIB64" s="293"/>
      <x:c r="VIC64" s="293"/>
      <x:c r="VID64" s="293"/>
      <x:c r="VIE64" s="293"/>
      <x:c r="VIF64" s="293"/>
      <x:c r="VIG64" s="293"/>
      <x:c r="VIH64" s="293"/>
      <x:c r="VII64" s="293"/>
      <x:c r="VIJ64" s="293"/>
      <x:c r="VIK64" s="293"/>
      <x:c r="VIL64" s="293"/>
      <x:c r="VIM64" s="293"/>
      <x:c r="VIN64" s="293"/>
      <x:c r="VIO64" s="293"/>
      <x:c r="VIP64" s="293"/>
      <x:c r="VIQ64" s="293"/>
      <x:c r="VIR64" s="293"/>
      <x:c r="VIS64" s="293"/>
      <x:c r="VIT64" s="293"/>
      <x:c r="VIU64" s="293"/>
      <x:c r="VIV64" s="293"/>
      <x:c r="VIW64" s="293"/>
      <x:c r="VIX64" s="293"/>
      <x:c r="VIY64" s="293"/>
      <x:c r="VIZ64" s="293"/>
      <x:c r="VJA64" s="293"/>
      <x:c r="VJB64" s="293"/>
      <x:c r="VJC64" s="293"/>
      <x:c r="VJD64" s="293"/>
      <x:c r="VJE64" s="293"/>
      <x:c r="VJF64" s="293"/>
      <x:c r="VJG64" s="293"/>
      <x:c r="VJH64" s="293"/>
      <x:c r="VJI64" s="293"/>
      <x:c r="VJJ64" s="293"/>
      <x:c r="VJK64" s="293"/>
      <x:c r="VJL64" s="293"/>
      <x:c r="VJM64" s="293"/>
      <x:c r="VJN64" s="293"/>
      <x:c r="VJO64" s="293"/>
      <x:c r="VJP64" s="293"/>
      <x:c r="VJQ64" s="293"/>
      <x:c r="VJR64" s="293"/>
      <x:c r="VJS64" s="293"/>
      <x:c r="VJT64" s="293"/>
      <x:c r="VJU64" s="293"/>
      <x:c r="VJV64" s="293"/>
      <x:c r="VJW64" s="293"/>
      <x:c r="VJX64" s="293"/>
      <x:c r="VJY64" s="293"/>
      <x:c r="VJZ64" s="293"/>
      <x:c r="VKA64" s="293"/>
      <x:c r="VKB64" s="293"/>
      <x:c r="VKC64" s="293"/>
      <x:c r="VKD64" s="293"/>
      <x:c r="VKE64" s="293"/>
      <x:c r="VKF64" s="293"/>
      <x:c r="VKG64" s="293"/>
      <x:c r="VKH64" s="293"/>
      <x:c r="VKI64" s="293"/>
      <x:c r="VKJ64" s="293"/>
      <x:c r="VKK64" s="293"/>
      <x:c r="VKL64" s="293"/>
      <x:c r="VKM64" s="293"/>
      <x:c r="VKN64" s="293"/>
      <x:c r="VKO64" s="293"/>
      <x:c r="VKP64" s="293"/>
      <x:c r="VKQ64" s="293"/>
      <x:c r="VKR64" s="293"/>
      <x:c r="VKS64" s="293"/>
      <x:c r="VKT64" s="293"/>
      <x:c r="VKU64" s="293"/>
      <x:c r="VKV64" s="293"/>
      <x:c r="VKW64" s="293"/>
      <x:c r="VKX64" s="293"/>
      <x:c r="VKY64" s="293"/>
      <x:c r="VKZ64" s="293"/>
      <x:c r="VLA64" s="293"/>
      <x:c r="VLB64" s="293"/>
      <x:c r="VLC64" s="293"/>
      <x:c r="VLD64" s="293"/>
      <x:c r="VLE64" s="293"/>
      <x:c r="VLF64" s="293"/>
      <x:c r="VLG64" s="293"/>
      <x:c r="VLH64" s="293"/>
      <x:c r="VLI64" s="293"/>
      <x:c r="VLJ64" s="293"/>
      <x:c r="VLK64" s="293"/>
      <x:c r="VLL64" s="293"/>
      <x:c r="VLM64" s="293"/>
      <x:c r="VLN64" s="293"/>
      <x:c r="VLO64" s="293"/>
      <x:c r="VLP64" s="293"/>
      <x:c r="VLQ64" s="293"/>
      <x:c r="VLR64" s="293"/>
      <x:c r="VLS64" s="293"/>
      <x:c r="VLT64" s="293"/>
      <x:c r="VLU64" s="293"/>
      <x:c r="VLV64" s="293"/>
      <x:c r="VLW64" s="293"/>
      <x:c r="VLX64" s="293"/>
      <x:c r="VLY64" s="293"/>
      <x:c r="VLZ64" s="293"/>
      <x:c r="VMA64" s="293"/>
      <x:c r="VMB64" s="293"/>
      <x:c r="VMC64" s="293"/>
      <x:c r="VMD64" s="293"/>
      <x:c r="VME64" s="293"/>
      <x:c r="VMF64" s="293"/>
      <x:c r="VMG64" s="293"/>
      <x:c r="VMH64" s="293"/>
      <x:c r="VMI64" s="293"/>
      <x:c r="VMJ64" s="293"/>
      <x:c r="VMK64" s="293"/>
      <x:c r="VML64" s="293"/>
      <x:c r="VMM64" s="293"/>
      <x:c r="VMN64" s="293"/>
      <x:c r="VMO64" s="293"/>
      <x:c r="VMP64" s="293"/>
      <x:c r="VMQ64" s="293"/>
      <x:c r="VMR64" s="293"/>
      <x:c r="VMS64" s="293"/>
      <x:c r="VMT64" s="293"/>
      <x:c r="VMU64" s="293"/>
      <x:c r="VMV64" s="293"/>
      <x:c r="VMW64" s="293"/>
      <x:c r="VMX64" s="293"/>
      <x:c r="VMY64" s="293"/>
      <x:c r="VMZ64" s="293"/>
      <x:c r="VNA64" s="293"/>
      <x:c r="VNB64" s="293"/>
      <x:c r="VNC64" s="293"/>
      <x:c r="VND64" s="293"/>
      <x:c r="VNE64" s="293"/>
      <x:c r="VNF64" s="293"/>
      <x:c r="VNG64" s="293"/>
      <x:c r="VNH64" s="293"/>
      <x:c r="VNI64" s="293"/>
      <x:c r="VNJ64" s="293"/>
      <x:c r="VNK64" s="293"/>
      <x:c r="VNL64" s="293"/>
      <x:c r="VNM64" s="293"/>
      <x:c r="VNN64" s="293"/>
      <x:c r="VNO64" s="293"/>
      <x:c r="VNP64" s="293"/>
      <x:c r="VNQ64" s="293"/>
      <x:c r="VNR64" s="293"/>
      <x:c r="VNS64" s="293"/>
      <x:c r="VNT64" s="293"/>
      <x:c r="VNU64" s="293"/>
      <x:c r="VNV64" s="293"/>
      <x:c r="VNW64" s="293"/>
      <x:c r="VNX64" s="293"/>
      <x:c r="VNY64" s="293"/>
      <x:c r="VNZ64" s="293"/>
      <x:c r="VOA64" s="293"/>
      <x:c r="VOB64" s="293"/>
      <x:c r="VOC64" s="293"/>
      <x:c r="VOD64" s="293"/>
      <x:c r="VOE64" s="293"/>
      <x:c r="VOF64" s="293"/>
      <x:c r="VOG64" s="293"/>
      <x:c r="VOH64" s="293"/>
      <x:c r="VOI64" s="293"/>
      <x:c r="VOJ64" s="293"/>
      <x:c r="VOK64" s="293"/>
      <x:c r="VOL64" s="293"/>
      <x:c r="VOM64" s="293"/>
      <x:c r="VON64" s="293"/>
      <x:c r="VOO64" s="293"/>
      <x:c r="VOP64" s="293"/>
      <x:c r="VOQ64" s="293"/>
      <x:c r="VOR64" s="293"/>
      <x:c r="VOS64" s="293"/>
      <x:c r="VOT64" s="293"/>
      <x:c r="VOU64" s="293"/>
      <x:c r="VOV64" s="293"/>
      <x:c r="VOW64" s="293"/>
      <x:c r="VOX64" s="293"/>
      <x:c r="VOY64" s="293"/>
      <x:c r="VOZ64" s="293"/>
      <x:c r="VPA64" s="293"/>
      <x:c r="VPB64" s="293"/>
      <x:c r="VPC64" s="293"/>
      <x:c r="VPD64" s="293"/>
      <x:c r="VPE64" s="293"/>
      <x:c r="VPF64" s="293"/>
      <x:c r="VPG64" s="293"/>
      <x:c r="VPH64" s="293"/>
      <x:c r="VPI64" s="293"/>
      <x:c r="VPJ64" s="293"/>
      <x:c r="VPK64" s="293"/>
      <x:c r="VPL64" s="293"/>
      <x:c r="VPM64" s="293"/>
      <x:c r="VPN64" s="293"/>
      <x:c r="VPO64" s="293"/>
      <x:c r="VPP64" s="293"/>
      <x:c r="VPQ64" s="293"/>
      <x:c r="VPR64" s="293"/>
      <x:c r="VPS64" s="293"/>
      <x:c r="VPT64" s="293"/>
      <x:c r="VPU64" s="293"/>
      <x:c r="VPV64" s="293"/>
      <x:c r="VPW64" s="293"/>
      <x:c r="VPX64" s="293"/>
      <x:c r="VPY64" s="293"/>
      <x:c r="VPZ64" s="293"/>
      <x:c r="VQA64" s="293"/>
      <x:c r="VQB64" s="293"/>
      <x:c r="VQC64" s="293"/>
      <x:c r="VQD64" s="293"/>
      <x:c r="VQE64" s="293"/>
      <x:c r="VQF64" s="293"/>
      <x:c r="VQG64" s="293"/>
      <x:c r="VQH64" s="293"/>
      <x:c r="VQI64" s="293"/>
      <x:c r="VQJ64" s="293"/>
      <x:c r="VQK64" s="293"/>
      <x:c r="VQL64" s="293"/>
      <x:c r="VQM64" s="293"/>
      <x:c r="VQN64" s="293"/>
      <x:c r="VQO64" s="293"/>
      <x:c r="VQP64" s="293"/>
      <x:c r="VQQ64" s="293"/>
      <x:c r="VQR64" s="293"/>
      <x:c r="VQS64" s="293"/>
      <x:c r="VQT64" s="293"/>
      <x:c r="VQU64" s="293"/>
      <x:c r="VQV64" s="293"/>
      <x:c r="VQW64" s="293"/>
      <x:c r="VQX64" s="293"/>
      <x:c r="VQY64" s="293"/>
      <x:c r="VQZ64" s="293"/>
      <x:c r="VRA64" s="293"/>
      <x:c r="VRB64" s="293"/>
      <x:c r="VRC64" s="293"/>
      <x:c r="VRD64" s="293"/>
      <x:c r="VRE64" s="293"/>
      <x:c r="VRF64" s="293"/>
      <x:c r="VRG64" s="293"/>
      <x:c r="VRH64" s="293"/>
      <x:c r="VRI64" s="293"/>
      <x:c r="VRJ64" s="293"/>
      <x:c r="VRK64" s="293"/>
      <x:c r="VRL64" s="293"/>
      <x:c r="VRM64" s="293"/>
      <x:c r="VRN64" s="293"/>
      <x:c r="VRO64" s="293"/>
      <x:c r="VRP64" s="293"/>
      <x:c r="VRQ64" s="293"/>
      <x:c r="VRR64" s="293"/>
      <x:c r="VRS64" s="293"/>
      <x:c r="VRT64" s="293"/>
      <x:c r="VRU64" s="293"/>
      <x:c r="VRV64" s="293"/>
      <x:c r="VRW64" s="293"/>
      <x:c r="VRX64" s="293"/>
      <x:c r="VRY64" s="293"/>
      <x:c r="VRZ64" s="293"/>
      <x:c r="VSA64" s="293"/>
      <x:c r="VSB64" s="293"/>
      <x:c r="VSC64" s="293"/>
      <x:c r="VSD64" s="293"/>
      <x:c r="VSE64" s="293"/>
      <x:c r="VSF64" s="293"/>
      <x:c r="VSG64" s="293"/>
      <x:c r="VSH64" s="293"/>
      <x:c r="VSI64" s="293"/>
      <x:c r="VSJ64" s="293"/>
      <x:c r="VSK64" s="293"/>
      <x:c r="VSL64" s="293"/>
      <x:c r="VSM64" s="293"/>
      <x:c r="VSN64" s="293"/>
      <x:c r="VSO64" s="293"/>
      <x:c r="VSP64" s="293"/>
      <x:c r="VSQ64" s="293"/>
      <x:c r="VSR64" s="293"/>
      <x:c r="VSS64" s="293"/>
      <x:c r="VST64" s="293"/>
      <x:c r="VSU64" s="293"/>
      <x:c r="VSV64" s="293"/>
      <x:c r="VSW64" s="293"/>
      <x:c r="VSX64" s="293"/>
      <x:c r="VSY64" s="293"/>
      <x:c r="VSZ64" s="293"/>
      <x:c r="VTA64" s="293"/>
      <x:c r="VTB64" s="293"/>
      <x:c r="VTC64" s="293"/>
      <x:c r="VTD64" s="293"/>
      <x:c r="VTE64" s="293"/>
      <x:c r="VTF64" s="293"/>
      <x:c r="VTG64" s="293"/>
      <x:c r="VTH64" s="293"/>
      <x:c r="VTI64" s="293"/>
      <x:c r="VTJ64" s="293"/>
      <x:c r="VTK64" s="293"/>
      <x:c r="VTL64" s="293"/>
      <x:c r="VTM64" s="293"/>
      <x:c r="VTN64" s="293"/>
      <x:c r="VTO64" s="293"/>
      <x:c r="VTP64" s="293"/>
      <x:c r="VTQ64" s="293"/>
      <x:c r="VTR64" s="293"/>
      <x:c r="VTS64" s="293"/>
      <x:c r="VTT64" s="293"/>
      <x:c r="VTU64" s="293"/>
      <x:c r="VTV64" s="293"/>
      <x:c r="VTW64" s="293"/>
      <x:c r="VTX64" s="293"/>
      <x:c r="VTY64" s="293"/>
      <x:c r="VTZ64" s="293"/>
      <x:c r="VUA64" s="293"/>
      <x:c r="VUB64" s="293"/>
      <x:c r="VUC64" s="293"/>
      <x:c r="VUD64" s="293"/>
      <x:c r="VUE64" s="293"/>
      <x:c r="VUF64" s="293"/>
      <x:c r="VUG64" s="293"/>
      <x:c r="VUH64" s="293"/>
      <x:c r="VUI64" s="293"/>
      <x:c r="VUJ64" s="293"/>
      <x:c r="VUK64" s="293"/>
      <x:c r="VUL64" s="293"/>
      <x:c r="VUM64" s="293"/>
      <x:c r="VUN64" s="293"/>
      <x:c r="VUO64" s="293"/>
      <x:c r="VUP64" s="293"/>
      <x:c r="VUQ64" s="293"/>
      <x:c r="VUR64" s="293"/>
      <x:c r="VUS64" s="293"/>
      <x:c r="VUT64" s="293"/>
      <x:c r="VUU64" s="293"/>
      <x:c r="VUV64" s="293"/>
      <x:c r="VUW64" s="293"/>
      <x:c r="VUX64" s="293"/>
      <x:c r="VUY64" s="293"/>
      <x:c r="VUZ64" s="293"/>
      <x:c r="VVA64" s="293"/>
      <x:c r="VVB64" s="293"/>
      <x:c r="VVC64" s="293"/>
      <x:c r="VVD64" s="293"/>
      <x:c r="VVE64" s="293"/>
      <x:c r="VVF64" s="293"/>
      <x:c r="VVG64" s="293"/>
      <x:c r="VVH64" s="293"/>
      <x:c r="VVI64" s="293"/>
      <x:c r="VVJ64" s="293"/>
      <x:c r="VVK64" s="293"/>
      <x:c r="VVL64" s="293"/>
      <x:c r="VVM64" s="293"/>
      <x:c r="VVN64" s="293"/>
      <x:c r="VVO64" s="293"/>
      <x:c r="VVP64" s="293"/>
      <x:c r="VVQ64" s="293"/>
      <x:c r="VVR64" s="293"/>
      <x:c r="VVS64" s="293"/>
      <x:c r="VVT64" s="293"/>
      <x:c r="VVU64" s="293"/>
      <x:c r="VVV64" s="293"/>
      <x:c r="VVW64" s="293"/>
      <x:c r="VVX64" s="293"/>
      <x:c r="VVY64" s="293"/>
      <x:c r="VVZ64" s="293"/>
      <x:c r="VWA64" s="293"/>
      <x:c r="VWB64" s="293"/>
      <x:c r="VWC64" s="293"/>
      <x:c r="VWD64" s="293"/>
      <x:c r="VWE64" s="293"/>
      <x:c r="VWF64" s="293"/>
      <x:c r="VWG64" s="293"/>
      <x:c r="VWH64" s="293"/>
      <x:c r="VWI64" s="293"/>
      <x:c r="VWJ64" s="293"/>
      <x:c r="VWK64" s="293"/>
      <x:c r="VWL64" s="293"/>
      <x:c r="VWM64" s="293"/>
      <x:c r="VWN64" s="293"/>
      <x:c r="VWO64" s="293"/>
      <x:c r="VWP64" s="293"/>
      <x:c r="VWQ64" s="293"/>
      <x:c r="VWR64" s="293"/>
      <x:c r="VWS64" s="293"/>
      <x:c r="VWT64" s="293"/>
      <x:c r="VWU64" s="293"/>
      <x:c r="VWV64" s="293"/>
      <x:c r="VWW64" s="293"/>
      <x:c r="VWX64" s="293"/>
      <x:c r="VWY64" s="293"/>
      <x:c r="VWZ64" s="293"/>
      <x:c r="VXA64" s="293"/>
      <x:c r="VXB64" s="293"/>
      <x:c r="VXC64" s="293"/>
      <x:c r="VXD64" s="293"/>
      <x:c r="VXE64" s="293"/>
      <x:c r="VXF64" s="293"/>
      <x:c r="VXG64" s="293"/>
      <x:c r="VXH64" s="293"/>
      <x:c r="VXI64" s="293"/>
      <x:c r="VXJ64" s="293"/>
      <x:c r="VXK64" s="293"/>
      <x:c r="VXL64" s="293"/>
      <x:c r="VXM64" s="293"/>
      <x:c r="VXN64" s="293"/>
      <x:c r="VXO64" s="293"/>
      <x:c r="VXP64" s="293"/>
      <x:c r="VXQ64" s="293"/>
      <x:c r="VXR64" s="293"/>
      <x:c r="VXS64" s="293"/>
      <x:c r="VXT64" s="293"/>
      <x:c r="VXU64" s="293"/>
      <x:c r="VXV64" s="293"/>
      <x:c r="VXW64" s="293"/>
      <x:c r="VXX64" s="293"/>
      <x:c r="VXY64" s="293"/>
      <x:c r="VXZ64" s="293"/>
      <x:c r="VYA64" s="293"/>
      <x:c r="VYB64" s="293"/>
      <x:c r="VYC64" s="293"/>
      <x:c r="VYD64" s="293"/>
      <x:c r="VYE64" s="293"/>
      <x:c r="VYF64" s="293"/>
      <x:c r="VYG64" s="293"/>
      <x:c r="VYH64" s="293"/>
      <x:c r="VYI64" s="293"/>
      <x:c r="VYJ64" s="293"/>
      <x:c r="VYK64" s="293"/>
      <x:c r="VYL64" s="293"/>
      <x:c r="VYM64" s="293"/>
      <x:c r="VYN64" s="293"/>
      <x:c r="VYO64" s="293"/>
      <x:c r="VYP64" s="293"/>
      <x:c r="VYQ64" s="293"/>
      <x:c r="VYR64" s="293"/>
      <x:c r="VYS64" s="293"/>
      <x:c r="VYT64" s="293"/>
      <x:c r="VYU64" s="293"/>
      <x:c r="VYV64" s="293"/>
      <x:c r="VYW64" s="293"/>
      <x:c r="VYX64" s="293"/>
      <x:c r="VYY64" s="293"/>
      <x:c r="VYZ64" s="293"/>
      <x:c r="VZA64" s="293"/>
      <x:c r="VZB64" s="293"/>
      <x:c r="VZC64" s="293"/>
      <x:c r="VZD64" s="293"/>
      <x:c r="VZE64" s="293"/>
      <x:c r="VZF64" s="293"/>
      <x:c r="VZG64" s="293"/>
      <x:c r="VZH64" s="293"/>
      <x:c r="VZI64" s="293"/>
      <x:c r="VZJ64" s="293"/>
      <x:c r="VZK64" s="293"/>
      <x:c r="VZL64" s="293"/>
      <x:c r="VZM64" s="293"/>
      <x:c r="VZN64" s="293"/>
      <x:c r="VZO64" s="293"/>
      <x:c r="VZP64" s="293"/>
      <x:c r="VZQ64" s="293"/>
      <x:c r="VZR64" s="293"/>
      <x:c r="VZS64" s="293"/>
      <x:c r="VZT64" s="293"/>
      <x:c r="VZU64" s="293"/>
      <x:c r="VZV64" s="293"/>
      <x:c r="VZW64" s="293"/>
      <x:c r="VZX64" s="293"/>
      <x:c r="VZY64" s="293"/>
      <x:c r="VZZ64" s="293"/>
      <x:c r="WAA64" s="293"/>
      <x:c r="WAB64" s="293"/>
      <x:c r="WAC64" s="293"/>
      <x:c r="WAD64" s="293"/>
      <x:c r="WAE64" s="293"/>
      <x:c r="WAF64" s="293"/>
      <x:c r="WAG64" s="293"/>
      <x:c r="WAH64" s="293"/>
      <x:c r="WAI64" s="293"/>
      <x:c r="WAJ64" s="293"/>
      <x:c r="WAK64" s="293"/>
      <x:c r="WAL64" s="293"/>
      <x:c r="WAM64" s="293"/>
      <x:c r="WAN64" s="293"/>
      <x:c r="WAO64" s="293"/>
      <x:c r="WAP64" s="293"/>
      <x:c r="WAQ64" s="293"/>
      <x:c r="WAR64" s="293"/>
      <x:c r="WAS64" s="293"/>
      <x:c r="WAT64" s="293"/>
      <x:c r="WAU64" s="293"/>
      <x:c r="WAV64" s="293"/>
      <x:c r="WAW64" s="293"/>
      <x:c r="WAX64" s="293"/>
      <x:c r="WAY64" s="293"/>
      <x:c r="WAZ64" s="293"/>
      <x:c r="WBA64" s="293"/>
      <x:c r="WBB64" s="293"/>
      <x:c r="WBC64" s="293"/>
      <x:c r="WBD64" s="293"/>
      <x:c r="WBE64" s="293"/>
      <x:c r="WBF64" s="293"/>
      <x:c r="WBG64" s="293"/>
      <x:c r="WBH64" s="293"/>
      <x:c r="WBI64" s="293"/>
      <x:c r="WBJ64" s="293"/>
      <x:c r="WBK64" s="293"/>
      <x:c r="WBL64" s="293"/>
      <x:c r="WBM64" s="293"/>
      <x:c r="WBN64" s="293"/>
      <x:c r="WBO64" s="293"/>
      <x:c r="WBP64" s="293"/>
      <x:c r="WBQ64" s="293"/>
      <x:c r="WBR64" s="293"/>
      <x:c r="WBS64" s="293"/>
      <x:c r="WBT64" s="293"/>
      <x:c r="WBU64" s="293"/>
      <x:c r="WBV64" s="293"/>
      <x:c r="WBW64" s="293"/>
      <x:c r="WBX64" s="293"/>
      <x:c r="WBY64" s="293"/>
      <x:c r="WBZ64" s="293"/>
      <x:c r="WCA64" s="293"/>
      <x:c r="WCB64" s="293"/>
      <x:c r="WCC64" s="293"/>
      <x:c r="WCD64" s="293"/>
      <x:c r="WCE64" s="293"/>
      <x:c r="WCF64" s="293"/>
      <x:c r="WCG64" s="293"/>
      <x:c r="WCH64" s="293"/>
      <x:c r="WCI64" s="293"/>
      <x:c r="WCJ64" s="293"/>
      <x:c r="WCK64" s="293"/>
      <x:c r="WCL64" s="293"/>
      <x:c r="WCM64" s="293"/>
      <x:c r="WCN64" s="293"/>
      <x:c r="WCO64" s="293"/>
      <x:c r="WCP64" s="293"/>
      <x:c r="WCQ64" s="293"/>
      <x:c r="WCR64" s="293"/>
      <x:c r="WCS64" s="293"/>
      <x:c r="WCT64" s="293"/>
      <x:c r="WCU64" s="293"/>
      <x:c r="WCV64" s="293"/>
      <x:c r="WCW64" s="293"/>
      <x:c r="WCX64" s="293"/>
      <x:c r="WCY64" s="293"/>
      <x:c r="WCZ64" s="293"/>
      <x:c r="WDA64" s="293"/>
      <x:c r="WDB64" s="293"/>
      <x:c r="WDC64" s="293"/>
      <x:c r="WDD64" s="293"/>
      <x:c r="WDE64" s="293"/>
      <x:c r="WDF64" s="293"/>
      <x:c r="WDG64" s="293"/>
      <x:c r="WDH64" s="293"/>
      <x:c r="WDI64" s="293"/>
      <x:c r="WDJ64" s="293"/>
      <x:c r="WDK64" s="293"/>
      <x:c r="WDL64" s="293"/>
      <x:c r="WDM64" s="293"/>
      <x:c r="WDN64" s="293"/>
      <x:c r="WDO64" s="293"/>
      <x:c r="WDP64" s="293"/>
      <x:c r="WDQ64" s="293"/>
      <x:c r="WDR64" s="293"/>
      <x:c r="WDS64" s="293"/>
      <x:c r="WDT64" s="293"/>
      <x:c r="WDU64" s="293"/>
      <x:c r="WDV64" s="293"/>
      <x:c r="WDW64" s="293"/>
      <x:c r="WDX64" s="293"/>
      <x:c r="WDY64" s="293"/>
      <x:c r="WDZ64" s="293"/>
      <x:c r="WEA64" s="293"/>
      <x:c r="WEB64" s="293"/>
      <x:c r="WEC64" s="293"/>
      <x:c r="WED64" s="293"/>
      <x:c r="WEE64" s="293"/>
      <x:c r="WEF64" s="293"/>
      <x:c r="WEG64" s="293"/>
      <x:c r="WEH64" s="293"/>
      <x:c r="WEI64" s="293"/>
      <x:c r="WEJ64" s="293"/>
      <x:c r="WEK64" s="293"/>
      <x:c r="WEL64" s="293"/>
      <x:c r="WEM64" s="293"/>
      <x:c r="WEN64" s="293"/>
      <x:c r="WEO64" s="293"/>
      <x:c r="WEP64" s="293"/>
      <x:c r="WEQ64" s="293"/>
      <x:c r="WER64" s="293"/>
      <x:c r="WES64" s="293"/>
      <x:c r="WET64" s="293"/>
      <x:c r="WEU64" s="293"/>
      <x:c r="WEV64" s="293"/>
      <x:c r="WEW64" s="293"/>
      <x:c r="WEX64" s="293"/>
      <x:c r="WEY64" s="293"/>
      <x:c r="WEZ64" s="293"/>
      <x:c r="WFA64" s="293"/>
      <x:c r="WFB64" s="293"/>
      <x:c r="WFC64" s="293"/>
      <x:c r="WFD64" s="293"/>
      <x:c r="WFE64" s="293"/>
      <x:c r="WFF64" s="293"/>
      <x:c r="WFG64" s="293"/>
      <x:c r="WFH64" s="293"/>
      <x:c r="WFI64" s="293"/>
      <x:c r="WFJ64" s="293"/>
      <x:c r="WFK64" s="293"/>
      <x:c r="WFL64" s="293"/>
      <x:c r="WFM64" s="293"/>
      <x:c r="WFN64" s="293"/>
      <x:c r="WFO64" s="293"/>
      <x:c r="WFP64" s="293"/>
      <x:c r="WFQ64" s="293"/>
      <x:c r="WFR64" s="293"/>
      <x:c r="WFS64" s="293"/>
      <x:c r="WFT64" s="293"/>
      <x:c r="WFU64" s="293"/>
      <x:c r="WFV64" s="293"/>
      <x:c r="WFW64" s="293"/>
      <x:c r="WFX64" s="293"/>
      <x:c r="WFY64" s="293"/>
      <x:c r="WFZ64" s="293"/>
      <x:c r="WGA64" s="293"/>
      <x:c r="WGB64" s="293"/>
      <x:c r="WGC64" s="293"/>
      <x:c r="WGD64" s="293"/>
      <x:c r="WGE64" s="293"/>
      <x:c r="WGF64" s="293"/>
      <x:c r="WGG64" s="293"/>
      <x:c r="WGH64" s="293"/>
      <x:c r="WGI64" s="293"/>
      <x:c r="WGJ64" s="293"/>
      <x:c r="WGK64" s="293"/>
      <x:c r="WGL64" s="293"/>
      <x:c r="WGM64" s="293"/>
      <x:c r="WGN64" s="293"/>
      <x:c r="WGO64" s="293"/>
      <x:c r="WGP64" s="293"/>
      <x:c r="WGQ64" s="293"/>
      <x:c r="WGR64" s="293"/>
      <x:c r="WGS64" s="293"/>
      <x:c r="WGT64" s="293"/>
      <x:c r="WGU64" s="293"/>
      <x:c r="WGV64" s="293"/>
      <x:c r="WGW64" s="293"/>
      <x:c r="WGX64" s="293"/>
      <x:c r="WGY64" s="293"/>
      <x:c r="WGZ64" s="293"/>
      <x:c r="WHA64" s="293"/>
      <x:c r="WHB64" s="293"/>
      <x:c r="WHC64" s="293"/>
      <x:c r="WHD64" s="293"/>
      <x:c r="WHE64" s="293"/>
      <x:c r="WHF64" s="293"/>
      <x:c r="WHG64" s="293"/>
      <x:c r="WHH64" s="293"/>
      <x:c r="WHI64" s="293"/>
      <x:c r="WHJ64" s="293"/>
      <x:c r="WHK64" s="293"/>
      <x:c r="WHL64" s="293"/>
      <x:c r="WHM64" s="293"/>
      <x:c r="WHN64" s="293"/>
      <x:c r="WHO64" s="293"/>
      <x:c r="WHP64" s="293"/>
      <x:c r="WHQ64" s="293"/>
      <x:c r="WHR64" s="293"/>
      <x:c r="WHS64" s="293"/>
      <x:c r="WHT64" s="293"/>
      <x:c r="WHU64" s="293"/>
      <x:c r="WHV64" s="293"/>
      <x:c r="WHW64" s="293"/>
      <x:c r="WHX64" s="293"/>
      <x:c r="WHY64" s="293"/>
      <x:c r="WHZ64" s="293"/>
      <x:c r="WIA64" s="293"/>
      <x:c r="WIB64" s="293"/>
      <x:c r="WIC64" s="293"/>
      <x:c r="WID64" s="293"/>
      <x:c r="WIE64" s="293"/>
      <x:c r="WIF64" s="293"/>
      <x:c r="WIG64" s="293"/>
      <x:c r="WIH64" s="293"/>
      <x:c r="WII64" s="293"/>
      <x:c r="WIJ64" s="293"/>
      <x:c r="WIK64" s="293"/>
      <x:c r="WIL64" s="293"/>
      <x:c r="WIM64" s="293"/>
      <x:c r="WIN64" s="293"/>
      <x:c r="WIO64" s="293"/>
      <x:c r="WIP64" s="293"/>
      <x:c r="WIQ64" s="293"/>
      <x:c r="WIR64" s="293"/>
      <x:c r="WIS64" s="293"/>
      <x:c r="WIT64" s="293"/>
      <x:c r="WIU64" s="293"/>
      <x:c r="WIV64" s="293"/>
      <x:c r="WIW64" s="293"/>
      <x:c r="WIX64" s="293"/>
      <x:c r="WIY64" s="293"/>
      <x:c r="WIZ64" s="293"/>
      <x:c r="WJA64" s="293"/>
      <x:c r="WJB64" s="293"/>
      <x:c r="WJC64" s="293"/>
      <x:c r="WJD64" s="293"/>
      <x:c r="WJE64" s="293"/>
      <x:c r="WJF64" s="293"/>
      <x:c r="WJG64" s="293"/>
      <x:c r="WJH64" s="293"/>
      <x:c r="WJI64" s="293"/>
      <x:c r="WJJ64" s="293"/>
      <x:c r="WJK64" s="293"/>
      <x:c r="WJL64" s="293"/>
      <x:c r="WJM64" s="293"/>
      <x:c r="WJN64" s="293"/>
      <x:c r="WJO64" s="293"/>
      <x:c r="WJP64" s="293"/>
      <x:c r="WJQ64" s="293"/>
      <x:c r="WJR64" s="293"/>
      <x:c r="WJS64" s="293"/>
      <x:c r="WJT64" s="293"/>
      <x:c r="WJU64" s="293"/>
      <x:c r="WJV64" s="293"/>
      <x:c r="WJW64" s="293"/>
      <x:c r="WJX64" s="293"/>
      <x:c r="WJY64" s="293"/>
      <x:c r="WJZ64" s="293"/>
      <x:c r="WKA64" s="293"/>
      <x:c r="WKB64" s="293"/>
      <x:c r="WKC64" s="293"/>
      <x:c r="WKD64" s="293"/>
      <x:c r="WKE64" s="293"/>
      <x:c r="WKF64" s="293"/>
      <x:c r="WKG64" s="293"/>
      <x:c r="WKH64" s="293"/>
      <x:c r="WKI64" s="293"/>
      <x:c r="WKJ64" s="293"/>
      <x:c r="WKK64" s="293"/>
      <x:c r="WKL64" s="293"/>
      <x:c r="WKM64" s="293"/>
      <x:c r="WKN64" s="293"/>
      <x:c r="WKO64" s="293"/>
      <x:c r="WKP64" s="293"/>
      <x:c r="WKQ64" s="293"/>
      <x:c r="WKR64" s="293"/>
      <x:c r="WKS64" s="293"/>
      <x:c r="WKT64" s="293"/>
      <x:c r="WKU64" s="293"/>
      <x:c r="WKV64" s="293"/>
      <x:c r="WKW64" s="293"/>
      <x:c r="WKX64" s="293"/>
      <x:c r="WKY64" s="293"/>
      <x:c r="WKZ64" s="293"/>
      <x:c r="WLA64" s="293"/>
      <x:c r="WLB64" s="293"/>
      <x:c r="WLC64" s="293"/>
      <x:c r="WLD64" s="293"/>
      <x:c r="WLE64" s="293"/>
      <x:c r="WLF64" s="293"/>
      <x:c r="WLG64" s="293"/>
      <x:c r="WLH64" s="293"/>
      <x:c r="WLI64" s="293"/>
      <x:c r="WLJ64" s="293"/>
      <x:c r="WLK64" s="293"/>
      <x:c r="WLL64" s="293"/>
      <x:c r="WLM64" s="293"/>
      <x:c r="WLN64" s="293"/>
      <x:c r="WLO64" s="293"/>
      <x:c r="WLP64" s="293"/>
      <x:c r="WLQ64" s="293"/>
      <x:c r="WLR64" s="293"/>
      <x:c r="WLS64" s="293"/>
      <x:c r="WLT64" s="293"/>
      <x:c r="WLU64" s="293"/>
      <x:c r="WLV64" s="293"/>
      <x:c r="WLW64" s="293"/>
      <x:c r="WLX64" s="293"/>
      <x:c r="WLY64" s="293"/>
      <x:c r="WLZ64" s="293"/>
      <x:c r="WMA64" s="293"/>
      <x:c r="WMB64" s="293"/>
      <x:c r="WMC64" s="293"/>
      <x:c r="WMD64" s="293"/>
      <x:c r="WME64" s="293"/>
      <x:c r="WMF64" s="293"/>
      <x:c r="WMG64" s="293"/>
      <x:c r="WMH64" s="293"/>
      <x:c r="WMI64" s="293"/>
      <x:c r="WMJ64" s="293"/>
      <x:c r="WMK64" s="293"/>
      <x:c r="WML64" s="293"/>
      <x:c r="WMM64" s="293"/>
      <x:c r="WMN64" s="293"/>
      <x:c r="WMO64" s="293"/>
      <x:c r="WMP64" s="293"/>
      <x:c r="WMQ64" s="293"/>
      <x:c r="WMR64" s="293"/>
      <x:c r="WMS64" s="293"/>
      <x:c r="WMT64" s="293"/>
      <x:c r="WMU64" s="293"/>
      <x:c r="WMV64" s="293"/>
      <x:c r="WMW64" s="293"/>
      <x:c r="WMX64" s="293"/>
      <x:c r="WMY64" s="293"/>
      <x:c r="WMZ64" s="293"/>
      <x:c r="WNA64" s="293"/>
      <x:c r="WNB64" s="293"/>
      <x:c r="WNC64" s="293"/>
      <x:c r="WND64" s="293"/>
      <x:c r="WNE64" s="293"/>
      <x:c r="WNF64" s="293"/>
      <x:c r="WNG64" s="293"/>
      <x:c r="WNH64" s="293"/>
      <x:c r="WNI64" s="293"/>
      <x:c r="WNJ64" s="293"/>
      <x:c r="WNK64" s="293"/>
      <x:c r="WNL64" s="293"/>
      <x:c r="WNM64" s="293"/>
      <x:c r="WNN64" s="293"/>
      <x:c r="WNO64" s="293"/>
      <x:c r="WNP64" s="293"/>
      <x:c r="WNQ64" s="293"/>
      <x:c r="WNR64" s="293"/>
      <x:c r="WNS64" s="293"/>
      <x:c r="WNT64" s="293"/>
      <x:c r="WNU64" s="293"/>
      <x:c r="WNV64" s="293"/>
      <x:c r="WNW64" s="293"/>
      <x:c r="WNX64" s="293"/>
      <x:c r="WNY64" s="293"/>
      <x:c r="WNZ64" s="293"/>
      <x:c r="WOA64" s="293"/>
      <x:c r="WOB64" s="293"/>
      <x:c r="WOC64" s="293"/>
      <x:c r="WOD64" s="293"/>
      <x:c r="WOE64" s="293"/>
      <x:c r="WOF64" s="293"/>
      <x:c r="WOG64" s="293"/>
      <x:c r="WOH64" s="293"/>
      <x:c r="WOI64" s="293"/>
      <x:c r="WOJ64" s="293"/>
      <x:c r="WOK64" s="293"/>
      <x:c r="WOL64" s="293"/>
      <x:c r="WOM64" s="293"/>
      <x:c r="WON64" s="293"/>
      <x:c r="WOO64" s="293"/>
      <x:c r="WOP64" s="293"/>
      <x:c r="WOQ64" s="293"/>
      <x:c r="WOR64" s="293"/>
      <x:c r="WOS64" s="293"/>
      <x:c r="WOT64" s="293"/>
      <x:c r="WOU64" s="293"/>
      <x:c r="WOV64" s="293"/>
      <x:c r="WOW64" s="293"/>
      <x:c r="WOX64" s="293"/>
      <x:c r="WOY64" s="293"/>
      <x:c r="WOZ64" s="293"/>
      <x:c r="WPA64" s="293"/>
      <x:c r="WPB64" s="293"/>
      <x:c r="WPC64" s="293"/>
      <x:c r="WPD64" s="293"/>
      <x:c r="WPE64" s="293"/>
      <x:c r="WPF64" s="293"/>
      <x:c r="WPG64" s="293"/>
      <x:c r="WPH64" s="293"/>
      <x:c r="WPI64" s="293"/>
      <x:c r="WPJ64" s="293"/>
      <x:c r="WPK64" s="293"/>
      <x:c r="WPL64" s="293"/>
      <x:c r="WPM64" s="293"/>
      <x:c r="WPN64" s="293"/>
      <x:c r="WPO64" s="293"/>
      <x:c r="WPP64" s="293"/>
      <x:c r="WPQ64" s="293"/>
      <x:c r="WPR64" s="293"/>
      <x:c r="WPS64" s="293"/>
      <x:c r="WPT64" s="293"/>
      <x:c r="WPU64" s="293"/>
      <x:c r="WPV64" s="293"/>
      <x:c r="WPW64" s="293"/>
      <x:c r="WPX64" s="293"/>
      <x:c r="WPY64" s="293"/>
      <x:c r="WPZ64" s="293"/>
      <x:c r="WQA64" s="293"/>
      <x:c r="WQB64" s="293"/>
      <x:c r="WQC64" s="293"/>
      <x:c r="WQD64" s="293"/>
      <x:c r="WQE64" s="293"/>
      <x:c r="WQF64" s="293"/>
      <x:c r="WQG64" s="293"/>
      <x:c r="WQH64" s="293"/>
      <x:c r="WQI64" s="293"/>
      <x:c r="WQJ64" s="293"/>
      <x:c r="WQK64" s="293"/>
      <x:c r="WQL64" s="293"/>
      <x:c r="WQM64" s="293"/>
      <x:c r="WQN64" s="293"/>
      <x:c r="WQO64" s="293"/>
      <x:c r="WQP64" s="293"/>
      <x:c r="WQQ64" s="293"/>
      <x:c r="WQR64" s="293"/>
      <x:c r="WQS64" s="293"/>
      <x:c r="WQT64" s="293"/>
      <x:c r="WQU64" s="293"/>
      <x:c r="WQV64" s="293"/>
      <x:c r="WQW64" s="293"/>
      <x:c r="WQX64" s="293"/>
      <x:c r="WQY64" s="293"/>
      <x:c r="WQZ64" s="293"/>
      <x:c r="WRA64" s="293"/>
      <x:c r="WRB64" s="293"/>
      <x:c r="WRC64" s="293"/>
      <x:c r="WRD64" s="293"/>
      <x:c r="WRE64" s="293"/>
      <x:c r="WRF64" s="293"/>
      <x:c r="WRG64" s="293"/>
      <x:c r="WRH64" s="293"/>
      <x:c r="WRI64" s="293"/>
      <x:c r="WRJ64" s="293"/>
      <x:c r="WRK64" s="293"/>
      <x:c r="WRL64" s="293"/>
      <x:c r="WRM64" s="293"/>
      <x:c r="WRN64" s="293"/>
      <x:c r="WRO64" s="293"/>
      <x:c r="WRP64" s="293"/>
      <x:c r="WRQ64" s="293"/>
      <x:c r="WRR64" s="293"/>
      <x:c r="WRS64" s="293"/>
      <x:c r="WRT64" s="293"/>
      <x:c r="WRU64" s="293"/>
      <x:c r="WRV64" s="293"/>
      <x:c r="WRW64" s="293"/>
      <x:c r="WRX64" s="293"/>
      <x:c r="WRY64" s="293"/>
      <x:c r="WRZ64" s="293"/>
      <x:c r="WSA64" s="293"/>
      <x:c r="WSB64" s="293"/>
      <x:c r="WSC64" s="293"/>
      <x:c r="WSD64" s="293"/>
      <x:c r="WSE64" s="293"/>
      <x:c r="WSF64" s="293"/>
      <x:c r="WSG64" s="293"/>
      <x:c r="WSH64" s="293"/>
      <x:c r="WSI64" s="293"/>
      <x:c r="WSJ64" s="293"/>
      <x:c r="WSK64" s="293"/>
      <x:c r="WSL64" s="293"/>
      <x:c r="WSM64" s="293"/>
      <x:c r="WSN64" s="293"/>
      <x:c r="WSO64" s="293"/>
      <x:c r="WSP64" s="293"/>
      <x:c r="WSQ64" s="293"/>
      <x:c r="WSR64" s="293"/>
      <x:c r="WSS64" s="293"/>
      <x:c r="WST64" s="293"/>
      <x:c r="WSU64" s="293"/>
      <x:c r="WSV64" s="293"/>
      <x:c r="WSW64" s="293"/>
      <x:c r="WSX64" s="293"/>
      <x:c r="WSY64" s="293"/>
      <x:c r="WSZ64" s="293"/>
      <x:c r="WTA64" s="293"/>
      <x:c r="WTB64" s="293"/>
      <x:c r="WTC64" s="293"/>
      <x:c r="WTD64" s="293"/>
      <x:c r="WTE64" s="293"/>
      <x:c r="WTF64" s="293"/>
      <x:c r="WTG64" s="293"/>
      <x:c r="WTH64" s="293"/>
      <x:c r="WTI64" s="293"/>
      <x:c r="WTJ64" s="293"/>
      <x:c r="WTK64" s="293"/>
      <x:c r="WTL64" s="293"/>
      <x:c r="WTM64" s="293"/>
      <x:c r="WTN64" s="293"/>
      <x:c r="WTO64" s="293"/>
      <x:c r="WTP64" s="293"/>
      <x:c r="WTQ64" s="293"/>
      <x:c r="WTR64" s="293"/>
      <x:c r="WTS64" s="293"/>
      <x:c r="WTT64" s="293"/>
      <x:c r="WTU64" s="293"/>
      <x:c r="WTV64" s="293"/>
      <x:c r="WTW64" s="293"/>
      <x:c r="WTX64" s="293"/>
      <x:c r="WTY64" s="293"/>
      <x:c r="WTZ64" s="293"/>
      <x:c r="WUA64" s="293"/>
      <x:c r="WUB64" s="293"/>
      <x:c r="WUC64" s="293"/>
      <x:c r="WUD64" s="293"/>
      <x:c r="WUE64" s="293"/>
      <x:c r="WUF64" s="293"/>
      <x:c r="WUG64" s="293"/>
      <x:c r="WUH64" s="293"/>
      <x:c r="WUI64" s="293"/>
      <x:c r="WUJ64" s="293"/>
      <x:c r="WUK64" s="293"/>
      <x:c r="WUL64" s="293"/>
      <x:c r="WUM64" s="293"/>
      <x:c r="WUN64" s="293"/>
      <x:c r="WUO64" s="293"/>
      <x:c r="WUP64" s="293"/>
      <x:c r="WUQ64" s="293"/>
      <x:c r="WUR64" s="293"/>
      <x:c r="WUS64" s="293"/>
      <x:c r="WUT64" s="293"/>
      <x:c r="WUU64" s="293"/>
      <x:c r="WUV64" s="293"/>
      <x:c r="WUW64" s="293"/>
      <x:c r="WUX64" s="293"/>
      <x:c r="WUY64" s="293"/>
      <x:c r="WUZ64" s="293"/>
      <x:c r="WVA64" s="293"/>
      <x:c r="WVB64" s="293"/>
      <x:c r="WVC64" s="293"/>
      <x:c r="WVD64" s="293"/>
      <x:c r="WVE64" s="293"/>
      <x:c r="WVF64" s="293"/>
      <x:c r="WVG64" s="293"/>
      <x:c r="WVH64" s="293"/>
      <x:c r="WVI64" s="293"/>
      <x:c r="WVJ64" s="293"/>
      <x:c r="WVK64" s="293"/>
      <x:c r="WVL64" s="293"/>
      <x:c r="WVM64" s="293"/>
      <x:c r="WVN64" s="293"/>
      <x:c r="WVO64" s="293"/>
      <x:c r="WVP64" s="293"/>
      <x:c r="WVQ64" s="293"/>
      <x:c r="WVR64" s="293"/>
      <x:c r="WVS64" s="293"/>
      <x:c r="WVT64" s="293"/>
      <x:c r="WVU64" s="293"/>
      <x:c r="WVV64" s="293"/>
      <x:c r="WVW64" s="293"/>
      <x:c r="WVX64" s="293"/>
      <x:c r="WVY64" s="293"/>
      <x:c r="WVZ64" s="293"/>
      <x:c r="WWA64" s="293"/>
      <x:c r="WWB64" s="293"/>
      <x:c r="WWC64" s="293"/>
      <x:c r="WWD64" s="293"/>
      <x:c r="WWE64" s="293"/>
      <x:c r="WWF64" s="293"/>
      <x:c r="WWG64" s="293"/>
      <x:c r="WWH64" s="293"/>
      <x:c r="WWI64" s="293"/>
      <x:c r="WWJ64" s="293"/>
      <x:c r="WWK64" s="293"/>
      <x:c r="WWL64" s="293"/>
      <x:c r="WWM64" s="293"/>
      <x:c r="WWN64" s="293"/>
      <x:c r="WWO64" s="293"/>
      <x:c r="WWP64" s="293"/>
      <x:c r="WWQ64" s="293"/>
      <x:c r="WWR64" s="293"/>
      <x:c r="WWS64" s="293"/>
      <x:c r="WWT64" s="293"/>
      <x:c r="WWU64" s="293"/>
      <x:c r="WWV64" s="293"/>
      <x:c r="WWW64" s="293"/>
      <x:c r="WWX64" s="293"/>
      <x:c r="WWY64" s="293"/>
      <x:c r="WWZ64" s="293"/>
      <x:c r="WXA64" s="293"/>
      <x:c r="WXB64" s="293"/>
      <x:c r="WXC64" s="293"/>
      <x:c r="WXD64" s="293"/>
      <x:c r="WXE64" s="293"/>
      <x:c r="WXF64" s="293"/>
      <x:c r="WXG64" s="293"/>
      <x:c r="WXH64" s="293"/>
      <x:c r="WXI64" s="293"/>
      <x:c r="WXJ64" s="293"/>
      <x:c r="WXK64" s="293"/>
      <x:c r="WXL64" s="293"/>
      <x:c r="WXM64" s="293"/>
      <x:c r="WXN64" s="293"/>
      <x:c r="WXO64" s="293"/>
      <x:c r="WXP64" s="293"/>
      <x:c r="WXQ64" s="293"/>
      <x:c r="WXR64" s="293"/>
      <x:c r="WXS64" s="293"/>
      <x:c r="WXT64" s="293"/>
      <x:c r="WXU64" s="293"/>
      <x:c r="WXV64" s="293"/>
      <x:c r="WXW64" s="293"/>
      <x:c r="WXX64" s="293"/>
      <x:c r="WXY64" s="293"/>
      <x:c r="WXZ64" s="293"/>
      <x:c r="WYA64" s="293"/>
      <x:c r="WYB64" s="293"/>
      <x:c r="WYC64" s="293"/>
      <x:c r="WYD64" s="293"/>
      <x:c r="WYE64" s="293"/>
      <x:c r="WYF64" s="293"/>
      <x:c r="WYG64" s="293"/>
      <x:c r="WYH64" s="293"/>
      <x:c r="WYI64" s="293"/>
      <x:c r="WYJ64" s="293"/>
      <x:c r="WYK64" s="293"/>
      <x:c r="WYL64" s="293"/>
      <x:c r="WYM64" s="293"/>
      <x:c r="WYN64" s="293"/>
      <x:c r="WYO64" s="293"/>
      <x:c r="WYP64" s="293"/>
      <x:c r="WYQ64" s="293"/>
      <x:c r="WYR64" s="293"/>
      <x:c r="WYS64" s="293"/>
      <x:c r="WYT64" s="293"/>
      <x:c r="WYU64" s="293"/>
      <x:c r="WYV64" s="293"/>
      <x:c r="WYW64" s="293"/>
      <x:c r="WYX64" s="293"/>
      <x:c r="WYY64" s="293"/>
      <x:c r="WYZ64" s="293"/>
      <x:c r="WZA64" s="293"/>
      <x:c r="WZB64" s="293"/>
      <x:c r="WZC64" s="293"/>
      <x:c r="WZD64" s="293"/>
      <x:c r="WZE64" s="293"/>
      <x:c r="WZF64" s="293"/>
      <x:c r="WZG64" s="293"/>
      <x:c r="WZH64" s="293"/>
      <x:c r="WZI64" s="293"/>
      <x:c r="WZJ64" s="293"/>
      <x:c r="WZK64" s="293"/>
      <x:c r="WZL64" s="293"/>
      <x:c r="WZM64" s="293"/>
      <x:c r="WZN64" s="293"/>
      <x:c r="WZO64" s="293"/>
      <x:c r="WZP64" s="293"/>
      <x:c r="WZQ64" s="293"/>
      <x:c r="WZR64" s="293"/>
      <x:c r="WZS64" s="293"/>
      <x:c r="WZT64" s="293"/>
      <x:c r="WZU64" s="293"/>
      <x:c r="WZV64" s="293"/>
      <x:c r="WZW64" s="293"/>
      <x:c r="WZX64" s="293"/>
      <x:c r="WZY64" s="293"/>
      <x:c r="WZZ64" s="293"/>
      <x:c r="XAA64" s="293"/>
      <x:c r="XAB64" s="293"/>
      <x:c r="XAC64" s="293"/>
      <x:c r="XAD64" s="293"/>
      <x:c r="XAE64" s="293"/>
      <x:c r="XAF64" s="293"/>
      <x:c r="XAG64" s="293"/>
      <x:c r="XAH64" s="293"/>
      <x:c r="XAI64" s="293"/>
      <x:c r="XAJ64" s="293"/>
      <x:c r="XAK64" s="293"/>
      <x:c r="XAL64" s="293"/>
      <x:c r="XAM64" s="293"/>
      <x:c r="XAN64" s="293"/>
      <x:c r="XAO64" s="293"/>
      <x:c r="XAP64" s="293"/>
      <x:c r="XAQ64" s="293"/>
      <x:c r="XAR64" s="293"/>
      <x:c r="XAS64" s="293"/>
      <x:c r="XAT64" s="293"/>
      <x:c r="XAU64" s="293"/>
      <x:c r="XAV64" s="293"/>
      <x:c r="XAW64" s="293"/>
      <x:c r="XAX64" s="293"/>
      <x:c r="XAY64" s="293"/>
      <x:c r="XAZ64" s="293"/>
      <x:c r="XBA64" s="293"/>
      <x:c r="XBB64" s="293"/>
      <x:c r="XBC64" s="293"/>
      <x:c r="XBD64" s="293"/>
      <x:c r="XBE64" s="293"/>
      <x:c r="XBF64" s="293"/>
      <x:c r="XBG64" s="293"/>
      <x:c r="XBH64" s="293"/>
      <x:c r="XBI64" s="293"/>
      <x:c r="XBJ64" s="293"/>
      <x:c r="XBK64" s="293"/>
      <x:c r="XBL64" s="293"/>
      <x:c r="XBM64" s="293"/>
      <x:c r="XBN64" s="293"/>
      <x:c r="XBO64" s="293"/>
      <x:c r="XBP64" s="293"/>
      <x:c r="XBQ64" s="293"/>
      <x:c r="XBR64" s="293"/>
      <x:c r="XBS64" s="293"/>
      <x:c r="XBT64" s="293"/>
      <x:c r="XBU64" s="293"/>
      <x:c r="XBV64" s="293"/>
      <x:c r="XBW64" s="293"/>
      <x:c r="XBX64" s="293"/>
      <x:c r="XBY64" s="293"/>
      <x:c r="XBZ64" s="293"/>
      <x:c r="XCA64" s="293"/>
      <x:c r="XCB64" s="293"/>
      <x:c r="XCC64" s="293"/>
      <x:c r="XCD64" s="293"/>
      <x:c r="XCE64" s="293"/>
      <x:c r="XCF64" s="293"/>
      <x:c r="XCG64" s="293"/>
      <x:c r="XCH64" s="293"/>
      <x:c r="XCI64" s="293"/>
      <x:c r="XCJ64" s="293"/>
      <x:c r="XCK64" s="293"/>
      <x:c r="XCL64" s="293"/>
      <x:c r="XCM64" s="293"/>
      <x:c r="XCN64" s="293"/>
      <x:c r="XCO64" s="293"/>
      <x:c r="XCP64" s="293"/>
      <x:c r="XCQ64" s="293"/>
      <x:c r="XCR64" s="293"/>
      <x:c r="XCS64" s="293"/>
      <x:c r="XCT64" s="293"/>
      <x:c r="XCU64" s="293"/>
      <x:c r="XCV64" s="293"/>
      <x:c r="XCW64" s="293"/>
      <x:c r="XCX64" s="293"/>
      <x:c r="XCY64" s="293"/>
      <x:c r="XCZ64" s="293"/>
      <x:c r="XDA64" s="293"/>
      <x:c r="XDB64" s="293"/>
      <x:c r="XDC64" s="293"/>
      <x:c r="XDD64" s="293"/>
      <x:c r="XDE64" s="293"/>
      <x:c r="XDF64" s="293"/>
      <x:c r="XDG64" s="293"/>
      <x:c r="XDH64" s="293"/>
      <x:c r="XDI64" s="293"/>
      <x:c r="XDJ64" s="293"/>
      <x:c r="XDK64" s="293"/>
      <x:c r="XDL64" s="293"/>
      <x:c r="XDM64" s="293"/>
      <x:c r="XDN64" s="293"/>
      <x:c r="XDO64" s="293"/>
      <x:c r="XDP64" s="293"/>
      <x:c r="XDQ64" s="293"/>
      <x:c r="XDR64" s="293"/>
      <x:c r="XDS64" s="293"/>
      <x:c r="XDT64" s="293"/>
      <x:c r="XDU64" s="293"/>
      <x:c r="XDV64" s="293"/>
      <x:c r="XDW64" s="293"/>
      <x:c r="XDX64" s="293"/>
      <x:c r="XDY64" s="293"/>
      <x:c r="XDZ64" s="293"/>
      <x:c r="XEA64" s="293"/>
      <x:c r="XEB64" s="293"/>
      <x:c r="XEC64" s="293"/>
      <x:c r="XED64" s="293"/>
      <x:c r="XEE64" s="293"/>
      <x:c r="XEF64" s="293"/>
      <x:c r="XEG64" s="293"/>
      <x:c r="XEH64" s="293"/>
      <x:c r="XEI64" s="293"/>
      <x:c r="XEJ64" s="293"/>
      <x:c r="XEK64" s="293"/>
      <x:c r="XEL64" s="293"/>
      <x:c r="XEM64" s="293"/>
      <x:c r="XEN64" s="293"/>
      <x:c r="XEO64" s="293"/>
      <x:c r="XEP64" s="293"/>
      <x:c r="XEQ64" s="293"/>
      <x:c r="XER64" s="293"/>
      <x:c r="XES64" s="293"/>
      <x:c r="XET64" s="293"/>
      <x:c r="XEU64" s="293"/>
      <x:c r="XEV64" s="293"/>
      <x:c r="XEW64" s="293"/>
      <x:c r="XEX64" s="293"/>
      <x:c r="XEY64" s="293"/>
      <x:c r="XEZ64" s="293"/>
      <x:c r="XFA64" s="293"/>
      <x:c r="XFB64" s="293"/>
      <x:c r="XFC64" s="293"/>
    </x:row>
    <x:row r="65" spans="1:16383" ht="117.75" customHeight="1" s="125" customFormat="1" x14ac:dyDescent="0.25">
      <x:c r="A65" s="60"/>
      <x:c r="B65" s="123" t="s">
        <x:v>303</x:v>
      </x:c>
      <x:c r="C65" s="124" t="s">
        <x:v>304</x:v>
      </x:c>
      <x:c r="D65" s="106"/>
      <x:c r="E65" s="107"/>
      <x:c r="F65" s="106"/>
      <x:c r="G65" s="108"/>
      <x:c r="H65" s="106"/>
      <x:c r="I65" s="107"/>
      <x:c r="J65" s="106"/>
      <x:c r="K65" s="108"/>
      <x:c r="L65" s="60"/>
      <x:c r="M65" s="108"/>
      <x:c r="N65" s="60"/>
      <x:c r="O65" s="108"/>
      <x:c r="P65" s="108"/>
      <x:c r="Q65" s="108"/>
      <x:c r="R65" s="108"/>
      <x:c r="S65" s="21"/>
      <x:c r="T65" s="108">
        <x:v>0.05</x:v>
      </x:c>
      <x:c r="U65" s="113"/>
      <x:c r="V65" s="113"/>
      <x:c r="W65" s="292"/>
      <x:c r="X65" s="293"/>
      <x:c r="Y65" s="293"/>
      <x:c r="Z65" s="293"/>
      <x:c r="AA65" s="293"/>
      <x:c r="AB65" s="293"/>
      <x:c r="AC65" s="293"/>
      <x:c r="AD65" s="293"/>
      <x:c r="AE65" s="293"/>
      <x:c r="AF65" s="293"/>
      <x:c r="AG65" s="293"/>
      <x:c r="AH65" s="293"/>
      <x:c r="AI65" s="293"/>
      <x:c r="AJ65" s="293"/>
      <x:c r="AK65" s="293"/>
      <x:c r="AL65" s="293"/>
      <x:c r="AM65" s="293"/>
      <x:c r="AN65" s="293"/>
      <x:c r="AO65" s="293"/>
      <x:c r="AP65" s="293"/>
      <x:c r="AQ65" s="293"/>
      <x:c r="AR65" s="293"/>
      <x:c r="AS65" s="293"/>
      <x:c r="AT65" s="293"/>
      <x:c r="AU65" s="293"/>
      <x:c r="AV65" s="293"/>
      <x:c r="AW65" s="293"/>
      <x:c r="AX65" s="293"/>
      <x:c r="AY65" s="293"/>
      <x:c r="AZ65" s="293"/>
      <x:c r="BA65" s="293"/>
      <x:c r="BB65" s="293"/>
      <x:c r="BC65" s="293"/>
      <x:c r="BD65" s="293"/>
      <x:c r="BE65" s="293"/>
      <x:c r="BF65" s="293"/>
      <x:c r="BG65" s="293"/>
      <x:c r="BH65" s="293"/>
      <x:c r="BI65" s="293"/>
      <x:c r="BJ65" s="293"/>
      <x:c r="BK65" s="293"/>
      <x:c r="BL65" s="293"/>
      <x:c r="BM65" s="293"/>
      <x:c r="BN65" s="293"/>
      <x:c r="BO65" s="293"/>
      <x:c r="BP65" s="293"/>
      <x:c r="BQ65" s="293"/>
      <x:c r="BR65" s="293"/>
      <x:c r="BS65" s="293"/>
      <x:c r="BT65" s="293"/>
      <x:c r="BU65" s="293"/>
      <x:c r="BV65" s="293"/>
      <x:c r="BW65" s="293"/>
      <x:c r="BX65" s="293"/>
      <x:c r="BY65" s="293"/>
      <x:c r="BZ65" s="293"/>
      <x:c r="CA65" s="293"/>
      <x:c r="CB65" s="293"/>
      <x:c r="CC65" s="293"/>
      <x:c r="CD65" s="293"/>
      <x:c r="CE65" s="293"/>
      <x:c r="CF65" s="293"/>
      <x:c r="CG65" s="293"/>
      <x:c r="CH65" s="293"/>
      <x:c r="CI65" s="293"/>
      <x:c r="CJ65" s="293"/>
      <x:c r="CK65" s="293"/>
      <x:c r="CL65" s="293"/>
      <x:c r="CM65" s="293"/>
      <x:c r="CN65" s="293"/>
      <x:c r="CO65" s="293"/>
      <x:c r="CP65" s="293"/>
      <x:c r="CQ65" s="293"/>
      <x:c r="CR65" s="293"/>
      <x:c r="CS65" s="293"/>
      <x:c r="CT65" s="293"/>
      <x:c r="CU65" s="293"/>
      <x:c r="CV65" s="293"/>
      <x:c r="CW65" s="293"/>
      <x:c r="CX65" s="293"/>
      <x:c r="CY65" s="293"/>
      <x:c r="CZ65" s="293"/>
      <x:c r="DA65" s="293"/>
      <x:c r="DB65" s="293"/>
      <x:c r="DC65" s="293"/>
      <x:c r="DD65" s="293"/>
      <x:c r="DE65" s="293"/>
      <x:c r="DF65" s="293"/>
      <x:c r="DG65" s="293"/>
      <x:c r="DH65" s="293"/>
      <x:c r="DI65" s="293"/>
      <x:c r="DJ65" s="293"/>
      <x:c r="DK65" s="293"/>
      <x:c r="DL65" s="293"/>
      <x:c r="DM65" s="293"/>
      <x:c r="DN65" s="293"/>
      <x:c r="DO65" s="293"/>
      <x:c r="DP65" s="293"/>
      <x:c r="DQ65" s="293"/>
      <x:c r="DR65" s="293"/>
      <x:c r="DS65" s="293"/>
      <x:c r="DT65" s="293"/>
      <x:c r="DU65" s="293"/>
      <x:c r="DV65" s="293"/>
      <x:c r="DW65" s="293"/>
      <x:c r="DX65" s="293"/>
      <x:c r="DY65" s="293"/>
      <x:c r="DZ65" s="293"/>
      <x:c r="EA65" s="293"/>
      <x:c r="EB65" s="293"/>
      <x:c r="EC65" s="293"/>
      <x:c r="ED65" s="293"/>
      <x:c r="EE65" s="293"/>
      <x:c r="EF65" s="293"/>
      <x:c r="EG65" s="293"/>
      <x:c r="EH65" s="293"/>
      <x:c r="EI65" s="293"/>
      <x:c r="EJ65" s="293"/>
      <x:c r="EK65" s="293"/>
      <x:c r="EL65" s="293"/>
      <x:c r="EM65" s="293"/>
      <x:c r="EN65" s="293"/>
      <x:c r="EO65" s="293"/>
      <x:c r="EP65" s="293"/>
      <x:c r="EQ65" s="293"/>
      <x:c r="ER65" s="293"/>
      <x:c r="ES65" s="293"/>
      <x:c r="ET65" s="293"/>
      <x:c r="EU65" s="293"/>
      <x:c r="EV65" s="293"/>
      <x:c r="EW65" s="293"/>
      <x:c r="EX65" s="293"/>
      <x:c r="EY65" s="293"/>
      <x:c r="EZ65" s="293"/>
      <x:c r="FA65" s="293"/>
      <x:c r="FB65" s="293"/>
      <x:c r="FC65" s="293"/>
      <x:c r="FD65" s="293"/>
      <x:c r="FE65" s="293"/>
      <x:c r="FF65" s="293"/>
      <x:c r="FG65" s="293"/>
      <x:c r="FH65" s="293"/>
      <x:c r="FI65" s="293"/>
      <x:c r="FJ65" s="293"/>
      <x:c r="FK65" s="293"/>
      <x:c r="FL65" s="293"/>
      <x:c r="FM65" s="293"/>
      <x:c r="FN65" s="293"/>
      <x:c r="FO65" s="293"/>
      <x:c r="FP65" s="293"/>
      <x:c r="FQ65" s="293"/>
      <x:c r="FR65" s="293"/>
      <x:c r="FS65" s="293"/>
      <x:c r="FT65" s="293"/>
      <x:c r="FU65" s="293"/>
      <x:c r="FV65" s="293"/>
      <x:c r="FW65" s="293"/>
      <x:c r="FX65" s="293"/>
      <x:c r="FY65" s="293"/>
      <x:c r="FZ65" s="293"/>
      <x:c r="GA65" s="293"/>
      <x:c r="GB65" s="293"/>
      <x:c r="GC65" s="293"/>
      <x:c r="GD65" s="293"/>
      <x:c r="GE65" s="293"/>
      <x:c r="GF65" s="293"/>
      <x:c r="GG65" s="293"/>
      <x:c r="GH65" s="293"/>
      <x:c r="GI65" s="293"/>
      <x:c r="GJ65" s="293"/>
      <x:c r="GK65" s="293"/>
      <x:c r="GL65" s="293"/>
      <x:c r="GM65" s="293"/>
      <x:c r="GN65" s="293"/>
      <x:c r="GO65" s="293"/>
      <x:c r="GP65" s="293"/>
      <x:c r="GQ65" s="293"/>
      <x:c r="GR65" s="293"/>
      <x:c r="GS65" s="293"/>
      <x:c r="GT65" s="293"/>
      <x:c r="GU65" s="293"/>
      <x:c r="GV65" s="293"/>
      <x:c r="GW65" s="293"/>
      <x:c r="GX65" s="293"/>
      <x:c r="GY65" s="293"/>
      <x:c r="GZ65" s="293"/>
      <x:c r="HA65" s="293"/>
      <x:c r="HB65" s="293"/>
      <x:c r="HC65" s="293"/>
      <x:c r="HD65" s="293"/>
      <x:c r="HE65" s="293"/>
      <x:c r="HF65" s="293"/>
      <x:c r="HG65" s="293"/>
      <x:c r="HH65" s="293"/>
      <x:c r="HI65" s="293"/>
      <x:c r="HJ65" s="293"/>
      <x:c r="HK65" s="293"/>
      <x:c r="HL65" s="293"/>
      <x:c r="HM65" s="293"/>
      <x:c r="HN65" s="293"/>
      <x:c r="HO65" s="293"/>
      <x:c r="HP65" s="293"/>
      <x:c r="HQ65" s="293"/>
      <x:c r="HR65" s="293"/>
      <x:c r="HS65" s="293"/>
      <x:c r="HT65" s="293"/>
      <x:c r="HU65" s="293"/>
      <x:c r="HV65" s="293"/>
      <x:c r="HW65" s="293"/>
      <x:c r="HX65" s="293"/>
      <x:c r="HY65" s="293"/>
      <x:c r="HZ65" s="293"/>
      <x:c r="IA65" s="293"/>
      <x:c r="IB65" s="293"/>
      <x:c r="IC65" s="293"/>
      <x:c r="ID65" s="293"/>
      <x:c r="IE65" s="293"/>
      <x:c r="IF65" s="293"/>
      <x:c r="IG65" s="293"/>
      <x:c r="IH65" s="293"/>
      <x:c r="II65" s="293"/>
      <x:c r="IJ65" s="293"/>
      <x:c r="IK65" s="293"/>
      <x:c r="IL65" s="293"/>
      <x:c r="IM65" s="293"/>
      <x:c r="IN65" s="293"/>
      <x:c r="IO65" s="293"/>
      <x:c r="IP65" s="293"/>
      <x:c r="IQ65" s="293"/>
      <x:c r="IR65" s="293"/>
      <x:c r="IS65" s="293"/>
      <x:c r="IT65" s="293"/>
      <x:c r="IU65" s="293"/>
      <x:c r="IV65" s="293"/>
      <x:c r="IW65" s="293"/>
      <x:c r="IX65" s="293"/>
      <x:c r="IY65" s="293"/>
      <x:c r="IZ65" s="293"/>
      <x:c r="JA65" s="293"/>
      <x:c r="JB65" s="293"/>
      <x:c r="JC65" s="293"/>
      <x:c r="JD65" s="293"/>
      <x:c r="JE65" s="293"/>
      <x:c r="JF65" s="293"/>
      <x:c r="JG65" s="293"/>
      <x:c r="JH65" s="293"/>
      <x:c r="JI65" s="293"/>
      <x:c r="JJ65" s="293"/>
      <x:c r="JK65" s="293"/>
      <x:c r="JL65" s="293"/>
      <x:c r="JM65" s="293"/>
      <x:c r="JN65" s="293"/>
      <x:c r="JO65" s="293"/>
      <x:c r="JP65" s="293"/>
      <x:c r="JQ65" s="293"/>
      <x:c r="JR65" s="293"/>
      <x:c r="JS65" s="293"/>
      <x:c r="JT65" s="293"/>
      <x:c r="JU65" s="293"/>
      <x:c r="JV65" s="293"/>
      <x:c r="JW65" s="293"/>
      <x:c r="JX65" s="293"/>
      <x:c r="JY65" s="293"/>
      <x:c r="JZ65" s="293"/>
      <x:c r="KA65" s="293"/>
      <x:c r="KB65" s="293"/>
      <x:c r="KC65" s="293"/>
      <x:c r="KD65" s="293"/>
      <x:c r="KE65" s="293"/>
      <x:c r="KF65" s="293"/>
      <x:c r="KG65" s="293"/>
      <x:c r="KH65" s="293"/>
      <x:c r="KI65" s="293"/>
      <x:c r="KJ65" s="293"/>
      <x:c r="KK65" s="293"/>
      <x:c r="KL65" s="293"/>
      <x:c r="KM65" s="293"/>
      <x:c r="KN65" s="293"/>
      <x:c r="KO65" s="293"/>
      <x:c r="KP65" s="293"/>
      <x:c r="KQ65" s="293"/>
      <x:c r="KR65" s="293"/>
      <x:c r="KS65" s="293"/>
      <x:c r="KT65" s="293"/>
      <x:c r="KU65" s="293"/>
      <x:c r="KV65" s="293"/>
      <x:c r="KW65" s="293"/>
      <x:c r="KX65" s="293"/>
      <x:c r="KY65" s="293"/>
      <x:c r="KZ65" s="293"/>
      <x:c r="LA65" s="293"/>
      <x:c r="LB65" s="293"/>
      <x:c r="LC65" s="293"/>
      <x:c r="LD65" s="293"/>
      <x:c r="LE65" s="293"/>
      <x:c r="LF65" s="293"/>
      <x:c r="LG65" s="293"/>
      <x:c r="LH65" s="293"/>
      <x:c r="LI65" s="293"/>
      <x:c r="LJ65" s="293"/>
      <x:c r="LK65" s="293"/>
      <x:c r="LL65" s="293"/>
      <x:c r="LM65" s="293"/>
      <x:c r="LN65" s="293"/>
      <x:c r="LO65" s="293"/>
      <x:c r="LP65" s="293"/>
      <x:c r="LQ65" s="293"/>
      <x:c r="LR65" s="293"/>
      <x:c r="LS65" s="293"/>
      <x:c r="LT65" s="293"/>
      <x:c r="LU65" s="293"/>
      <x:c r="LV65" s="293"/>
      <x:c r="LW65" s="293"/>
      <x:c r="LX65" s="293"/>
      <x:c r="LY65" s="293"/>
      <x:c r="LZ65" s="293"/>
      <x:c r="MA65" s="293"/>
      <x:c r="MB65" s="293"/>
      <x:c r="MC65" s="293"/>
      <x:c r="MD65" s="293"/>
      <x:c r="ME65" s="293"/>
      <x:c r="MF65" s="293"/>
      <x:c r="MG65" s="293"/>
      <x:c r="MH65" s="293"/>
      <x:c r="MI65" s="293"/>
      <x:c r="MJ65" s="293"/>
      <x:c r="MK65" s="293"/>
      <x:c r="ML65" s="293"/>
      <x:c r="MM65" s="293"/>
      <x:c r="MN65" s="293"/>
      <x:c r="MO65" s="293"/>
      <x:c r="MP65" s="293"/>
      <x:c r="MQ65" s="293"/>
      <x:c r="MR65" s="293"/>
      <x:c r="MS65" s="293"/>
      <x:c r="MT65" s="293"/>
      <x:c r="MU65" s="293"/>
      <x:c r="MV65" s="293"/>
      <x:c r="MW65" s="293"/>
      <x:c r="MX65" s="293"/>
      <x:c r="MY65" s="293"/>
      <x:c r="MZ65" s="293"/>
      <x:c r="NA65" s="293"/>
      <x:c r="NB65" s="293"/>
      <x:c r="NC65" s="293"/>
      <x:c r="ND65" s="293"/>
      <x:c r="NE65" s="293"/>
      <x:c r="NF65" s="293"/>
      <x:c r="NG65" s="293"/>
      <x:c r="NH65" s="293"/>
      <x:c r="NI65" s="293"/>
      <x:c r="NJ65" s="293"/>
      <x:c r="NK65" s="293"/>
      <x:c r="NL65" s="293"/>
      <x:c r="NM65" s="293"/>
      <x:c r="NN65" s="293"/>
      <x:c r="NO65" s="293"/>
      <x:c r="NP65" s="293"/>
      <x:c r="NQ65" s="293"/>
      <x:c r="NR65" s="293"/>
      <x:c r="NS65" s="293"/>
      <x:c r="NT65" s="293"/>
      <x:c r="NU65" s="293"/>
      <x:c r="NV65" s="293"/>
      <x:c r="NW65" s="293"/>
      <x:c r="NX65" s="293"/>
      <x:c r="NY65" s="293"/>
      <x:c r="NZ65" s="293"/>
      <x:c r="OA65" s="293"/>
      <x:c r="OB65" s="293"/>
      <x:c r="OC65" s="293"/>
      <x:c r="OD65" s="293"/>
      <x:c r="OE65" s="293"/>
      <x:c r="OF65" s="293"/>
      <x:c r="OG65" s="293"/>
      <x:c r="OH65" s="293"/>
      <x:c r="OI65" s="293"/>
      <x:c r="OJ65" s="293"/>
      <x:c r="OK65" s="293"/>
      <x:c r="OL65" s="293"/>
      <x:c r="OM65" s="293"/>
      <x:c r="ON65" s="293"/>
      <x:c r="OO65" s="293"/>
      <x:c r="OP65" s="293"/>
      <x:c r="OQ65" s="293"/>
      <x:c r="OR65" s="293"/>
      <x:c r="OS65" s="293"/>
      <x:c r="OT65" s="293"/>
      <x:c r="OU65" s="293"/>
      <x:c r="OV65" s="293"/>
      <x:c r="OW65" s="293"/>
      <x:c r="OX65" s="293"/>
      <x:c r="OY65" s="293"/>
      <x:c r="OZ65" s="293"/>
      <x:c r="PA65" s="293"/>
      <x:c r="PB65" s="293"/>
      <x:c r="PC65" s="293"/>
      <x:c r="PD65" s="293"/>
      <x:c r="PE65" s="293"/>
      <x:c r="PF65" s="293"/>
      <x:c r="PG65" s="293"/>
      <x:c r="PH65" s="293"/>
      <x:c r="PI65" s="293"/>
      <x:c r="PJ65" s="293"/>
      <x:c r="PK65" s="293"/>
      <x:c r="PL65" s="293"/>
      <x:c r="PM65" s="293"/>
      <x:c r="PN65" s="293"/>
      <x:c r="PO65" s="293"/>
      <x:c r="PP65" s="293"/>
      <x:c r="PQ65" s="293"/>
      <x:c r="PR65" s="293"/>
      <x:c r="PS65" s="293"/>
      <x:c r="PT65" s="293"/>
      <x:c r="PU65" s="293"/>
      <x:c r="PV65" s="293"/>
      <x:c r="PW65" s="293"/>
      <x:c r="PX65" s="293"/>
      <x:c r="PY65" s="293"/>
      <x:c r="PZ65" s="293"/>
      <x:c r="QA65" s="293"/>
      <x:c r="QB65" s="293"/>
      <x:c r="QC65" s="293"/>
      <x:c r="QD65" s="293"/>
      <x:c r="QE65" s="293"/>
      <x:c r="QF65" s="293"/>
      <x:c r="QG65" s="293"/>
      <x:c r="QH65" s="293"/>
      <x:c r="QI65" s="293"/>
      <x:c r="QJ65" s="293"/>
      <x:c r="QK65" s="293"/>
      <x:c r="QL65" s="293"/>
      <x:c r="QM65" s="293"/>
      <x:c r="QN65" s="293"/>
      <x:c r="QO65" s="293"/>
      <x:c r="QP65" s="293"/>
      <x:c r="QQ65" s="293"/>
      <x:c r="QR65" s="293"/>
      <x:c r="QS65" s="293"/>
      <x:c r="QT65" s="293"/>
      <x:c r="QU65" s="293"/>
      <x:c r="QV65" s="293"/>
      <x:c r="QW65" s="293"/>
      <x:c r="QX65" s="293"/>
      <x:c r="QY65" s="293"/>
      <x:c r="QZ65" s="293"/>
      <x:c r="RA65" s="293"/>
      <x:c r="RB65" s="293"/>
      <x:c r="RC65" s="293"/>
      <x:c r="RD65" s="293"/>
      <x:c r="RE65" s="293"/>
      <x:c r="RF65" s="293"/>
      <x:c r="RG65" s="293"/>
      <x:c r="RH65" s="293"/>
      <x:c r="RI65" s="293"/>
      <x:c r="RJ65" s="293"/>
      <x:c r="RK65" s="293"/>
      <x:c r="RL65" s="293"/>
      <x:c r="RM65" s="293"/>
      <x:c r="RN65" s="293"/>
      <x:c r="RO65" s="293"/>
      <x:c r="RP65" s="293"/>
      <x:c r="RQ65" s="293"/>
      <x:c r="RR65" s="293"/>
      <x:c r="RS65" s="293"/>
      <x:c r="RT65" s="293"/>
      <x:c r="RU65" s="293"/>
      <x:c r="RV65" s="293"/>
      <x:c r="RW65" s="293"/>
      <x:c r="RX65" s="293"/>
      <x:c r="RY65" s="293"/>
      <x:c r="RZ65" s="293"/>
      <x:c r="SA65" s="293"/>
      <x:c r="SB65" s="293"/>
      <x:c r="SC65" s="293"/>
      <x:c r="SD65" s="293"/>
      <x:c r="SE65" s="293"/>
      <x:c r="SF65" s="293"/>
      <x:c r="SG65" s="293"/>
      <x:c r="SH65" s="293"/>
      <x:c r="SI65" s="293"/>
      <x:c r="SJ65" s="293"/>
      <x:c r="SK65" s="293"/>
      <x:c r="SL65" s="293"/>
      <x:c r="SM65" s="293"/>
      <x:c r="SN65" s="293"/>
      <x:c r="SO65" s="293"/>
      <x:c r="SP65" s="293"/>
      <x:c r="SQ65" s="293"/>
      <x:c r="SR65" s="293"/>
      <x:c r="SS65" s="293"/>
      <x:c r="ST65" s="293"/>
      <x:c r="SU65" s="293"/>
      <x:c r="SV65" s="293"/>
      <x:c r="SW65" s="293"/>
      <x:c r="SX65" s="293"/>
      <x:c r="SY65" s="293"/>
      <x:c r="SZ65" s="293"/>
      <x:c r="TA65" s="293"/>
      <x:c r="TB65" s="293"/>
      <x:c r="TC65" s="293"/>
      <x:c r="TD65" s="293"/>
      <x:c r="TE65" s="293"/>
      <x:c r="TF65" s="293"/>
      <x:c r="TG65" s="293"/>
      <x:c r="TH65" s="293"/>
      <x:c r="TI65" s="293"/>
      <x:c r="TJ65" s="293"/>
      <x:c r="TK65" s="293"/>
      <x:c r="TL65" s="293"/>
      <x:c r="TM65" s="293"/>
      <x:c r="TN65" s="293"/>
      <x:c r="TO65" s="293"/>
      <x:c r="TP65" s="293"/>
      <x:c r="TQ65" s="293"/>
      <x:c r="TR65" s="293"/>
      <x:c r="TS65" s="293"/>
      <x:c r="TT65" s="293"/>
      <x:c r="TU65" s="293"/>
      <x:c r="TV65" s="293"/>
      <x:c r="TW65" s="293"/>
      <x:c r="TX65" s="293"/>
      <x:c r="TY65" s="293"/>
      <x:c r="TZ65" s="293"/>
      <x:c r="UA65" s="293"/>
      <x:c r="UB65" s="293"/>
      <x:c r="UC65" s="293"/>
      <x:c r="UD65" s="293"/>
      <x:c r="UE65" s="293"/>
      <x:c r="UF65" s="293"/>
      <x:c r="UG65" s="293"/>
      <x:c r="UH65" s="293"/>
      <x:c r="UI65" s="293"/>
      <x:c r="UJ65" s="293"/>
      <x:c r="UK65" s="293"/>
      <x:c r="UL65" s="293"/>
      <x:c r="UM65" s="293"/>
      <x:c r="UN65" s="293"/>
      <x:c r="UO65" s="293"/>
      <x:c r="UP65" s="293"/>
      <x:c r="UQ65" s="293"/>
      <x:c r="UR65" s="293"/>
      <x:c r="US65" s="293"/>
      <x:c r="UT65" s="293"/>
      <x:c r="UU65" s="293"/>
      <x:c r="UV65" s="293"/>
      <x:c r="UW65" s="293"/>
      <x:c r="UX65" s="293"/>
      <x:c r="UY65" s="293"/>
      <x:c r="UZ65" s="293"/>
      <x:c r="VA65" s="293"/>
      <x:c r="VB65" s="293"/>
      <x:c r="VC65" s="293"/>
      <x:c r="VD65" s="293"/>
      <x:c r="VE65" s="293"/>
      <x:c r="VF65" s="293"/>
      <x:c r="VG65" s="293"/>
      <x:c r="VH65" s="293"/>
      <x:c r="VI65" s="293"/>
      <x:c r="VJ65" s="293"/>
      <x:c r="VK65" s="293"/>
      <x:c r="VL65" s="293"/>
      <x:c r="VM65" s="293"/>
      <x:c r="VN65" s="293"/>
      <x:c r="VO65" s="293"/>
      <x:c r="VP65" s="293"/>
      <x:c r="VQ65" s="293"/>
      <x:c r="VR65" s="293"/>
      <x:c r="VS65" s="293"/>
      <x:c r="VT65" s="293"/>
      <x:c r="VU65" s="293"/>
      <x:c r="VV65" s="293"/>
      <x:c r="VW65" s="293"/>
      <x:c r="VX65" s="293"/>
      <x:c r="VY65" s="293"/>
      <x:c r="VZ65" s="293"/>
      <x:c r="WA65" s="293"/>
      <x:c r="WB65" s="293"/>
      <x:c r="WC65" s="293"/>
      <x:c r="WD65" s="293"/>
      <x:c r="WE65" s="293"/>
      <x:c r="WF65" s="293"/>
      <x:c r="WG65" s="293"/>
      <x:c r="WH65" s="293"/>
      <x:c r="WI65" s="293"/>
      <x:c r="WJ65" s="293"/>
      <x:c r="WK65" s="293"/>
      <x:c r="WL65" s="293"/>
      <x:c r="WM65" s="293"/>
      <x:c r="WN65" s="293"/>
      <x:c r="WO65" s="293"/>
      <x:c r="WP65" s="293"/>
      <x:c r="WQ65" s="293"/>
      <x:c r="WR65" s="293"/>
      <x:c r="WS65" s="293"/>
      <x:c r="WT65" s="293"/>
      <x:c r="WU65" s="293"/>
      <x:c r="WV65" s="293"/>
      <x:c r="WW65" s="293"/>
      <x:c r="WX65" s="293"/>
      <x:c r="WY65" s="293"/>
      <x:c r="WZ65" s="293"/>
      <x:c r="XA65" s="293"/>
      <x:c r="XB65" s="293"/>
      <x:c r="XC65" s="293"/>
      <x:c r="XD65" s="293"/>
      <x:c r="XE65" s="293"/>
      <x:c r="XF65" s="293"/>
      <x:c r="XG65" s="293"/>
      <x:c r="XH65" s="293"/>
      <x:c r="XI65" s="293"/>
      <x:c r="XJ65" s="293"/>
      <x:c r="XK65" s="293"/>
      <x:c r="XL65" s="293"/>
      <x:c r="XM65" s="293"/>
      <x:c r="XN65" s="293"/>
      <x:c r="XO65" s="293"/>
      <x:c r="XP65" s="293"/>
      <x:c r="XQ65" s="293"/>
      <x:c r="XR65" s="293"/>
      <x:c r="XS65" s="293"/>
      <x:c r="XT65" s="293"/>
      <x:c r="XU65" s="293"/>
      <x:c r="XV65" s="293"/>
      <x:c r="XW65" s="293"/>
      <x:c r="XX65" s="293"/>
      <x:c r="XY65" s="293"/>
      <x:c r="XZ65" s="293"/>
      <x:c r="YA65" s="293"/>
      <x:c r="YB65" s="293"/>
      <x:c r="YC65" s="293"/>
      <x:c r="YD65" s="293"/>
      <x:c r="YE65" s="293"/>
      <x:c r="YF65" s="293"/>
      <x:c r="YG65" s="293"/>
      <x:c r="YH65" s="293"/>
      <x:c r="YI65" s="293"/>
      <x:c r="YJ65" s="293"/>
      <x:c r="YK65" s="293"/>
      <x:c r="YL65" s="293"/>
      <x:c r="YM65" s="293"/>
      <x:c r="YN65" s="293"/>
      <x:c r="YO65" s="293"/>
      <x:c r="YP65" s="293"/>
      <x:c r="YQ65" s="293"/>
      <x:c r="YR65" s="293"/>
      <x:c r="YS65" s="293"/>
      <x:c r="YT65" s="293"/>
      <x:c r="YU65" s="293"/>
      <x:c r="YV65" s="293"/>
      <x:c r="YW65" s="293"/>
      <x:c r="YX65" s="293"/>
      <x:c r="YY65" s="293"/>
      <x:c r="YZ65" s="293"/>
      <x:c r="ZA65" s="293"/>
      <x:c r="ZB65" s="293"/>
      <x:c r="ZC65" s="293"/>
      <x:c r="ZD65" s="293"/>
      <x:c r="ZE65" s="293"/>
      <x:c r="ZF65" s="293"/>
      <x:c r="ZG65" s="293"/>
      <x:c r="ZH65" s="293"/>
      <x:c r="ZI65" s="293"/>
      <x:c r="ZJ65" s="293"/>
      <x:c r="ZK65" s="293"/>
      <x:c r="ZL65" s="293"/>
      <x:c r="ZM65" s="293"/>
      <x:c r="ZN65" s="293"/>
      <x:c r="ZO65" s="293"/>
      <x:c r="ZP65" s="293"/>
      <x:c r="ZQ65" s="293"/>
      <x:c r="ZR65" s="293"/>
      <x:c r="ZS65" s="293"/>
      <x:c r="ZT65" s="293"/>
      <x:c r="ZU65" s="293"/>
      <x:c r="ZV65" s="293"/>
      <x:c r="ZW65" s="293"/>
      <x:c r="ZX65" s="293"/>
      <x:c r="ZY65" s="293"/>
      <x:c r="ZZ65" s="293"/>
      <x:c r="AAA65" s="293"/>
      <x:c r="AAB65" s="293"/>
      <x:c r="AAC65" s="293"/>
      <x:c r="AAD65" s="293"/>
      <x:c r="AAE65" s="293"/>
      <x:c r="AAF65" s="293"/>
      <x:c r="AAG65" s="293"/>
      <x:c r="AAH65" s="293"/>
      <x:c r="AAI65" s="293"/>
      <x:c r="AAJ65" s="293"/>
      <x:c r="AAK65" s="293"/>
      <x:c r="AAL65" s="293"/>
      <x:c r="AAM65" s="293"/>
      <x:c r="AAN65" s="293"/>
      <x:c r="AAO65" s="293"/>
      <x:c r="AAP65" s="293"/>
      <x:c r="AAQ65" s="293"/>
      <x:c r="AAR65" s="293"/>
      <x:c r="AAS65" s="293"/>
      <x:c r="AAT65" s="293"/>
      <x:c r="AAU65" s="293"/>
      <x:c r="AAV65" s="293"/>
      <x:c r="AAW65" s="293"/>
      <x:c r="AAX65" s="293"/>
      <x:c r="AAY65" s="293"/>
      <x:c r="AAZ65" s="293"/>
      <x:c r="ABA65" s="293"/>
      <x:c r="ABB65" s="293"/>
      <x:c r="ABC65" s="293"/>
      <x:c r="ABD65" s="293"/>
      <x:c r="ABE65" s="293"/>
      <x:c r="ABF65" s="293"/>
      <x:c r="ABG65" s="293"/>
      <x:c r="ABH65" s="293"/>
      <x:c r="ABI65" s="293"/>
      <x:c r="ABJ65" s="293"/>
      <x:c r="ABK65" s="293"/>
      <x:c r="ABL65" s="293"/>
      <x:c r="ABM65" s="293"/>
      <x:c r="ABN65" s="293"/>
      <x:c r="ABO65" s="293"/>
      <x:c r="ABP65" s="293"/>
      <x:c r="ABQ65" s="293"/>
      <x:c r="ABR65" s="293"/>
      <x:c r="ABS65" s="293"/>
      <x:c r="ABT65" s="293"/>
      <x:c r="ABU65" s="293"/>
      <x:c r="ABV65" s="293"/>
      <x:c r="ABW65" s="293"/>
      <x:c r="ABX65" s="293"/>
      <x:c r="ABY65" s="293"/>
      <x:c r="ABZ65" s="293"/>
      <x:c r="ACA65" s="293"/>
      <x:c r="ACB65" s="293"/>
      <x:c r="ACC65" s="293"/>
      <x:c r="ACD65" s="293"/>
      <x:c r="ACE65" s="293"/>
      <x:c r="ACF65" s="293"/>
      <x:c r="ACG65" s="293"/>
      <x:c r="ACH65" s="293"/>
      <x:c r="ACI65" s="293"/>
      <x:c r="ACJ65" s="293"/>
      <x:c r="ACK65" s="293"/>
      <x:c r="ACL65" s="293"/>
      <x:c r="ACM65" s="293"/>
      <x:c r="ACN65" s="293"/>
      <x:c r="ACO65" s="293"/>
      <x:c r="ACP65" s="293"/>
      <x:c r="ACQ65" s="293"/>
      <x:c r="ACR65" s="293"/>
      <x:c r="ACS65" s="293"/>
      <x:c r="ACT65" s="293"/>
      <x:c r="ACU65" s="293"/>
      <x:c r="ACV65" s="293"/>
      <x:c r="ACW65" s="293"/>
      <x:c r="ACX65" s="293"/>
      <x:c r="ACY65" s="293"/>
      <x:c r="ACZ65" s="293"/>
      <x:c r="ADA65" s="293"/>
      <x:c r="ADB65" s="293"/>
      <x:c r="ADC65" s="293"/>
      <x:c r="ADD65" s="293"/>
      <x:c r="ADE65" s="293"/>
      <x:c r="ADF65" s="293"/>
      <x:c r="ADG65" s="293"/>
      <x:c r="ADH65" s="293"/>
      <x:c r="ADI65" s="293"/>
      <x:c r="ADJ65" s="293"/>
      <x:c r="ADK65" s="293"/>
      <x:c r="ADL65" s="293"/>
      <x:c r="ADM65" s="293"/>
      <x:c r="ADN65" s="293"/>
      <x:c r="ADO65" s="293"/>
      <x:c r="ADP65" s="293"/>
      <x:c r="ADQ65" s="293"/>
      <x:c r="ADR65" s="293"/>
      <x:c r="ADS65" s="293"/>
      <x:c r="ADT65" s="293"/>
      <x:c r="ADU65" s="293"/>
      <x:c r="ADV65" s="293"/>
      <x:c r="ADW65" s="293"/>
      <x:c r="ADX65" s="293"/>
      <x:c r="ADY65" s="293"/>
      <x:c r="ADZ65" s="293"/>
      <x:c r="AEA65" s="293"/>
      <x:c r="AEB65" s="293"/>
      <x:c r="AEC65" s="293"/>
      <x:c r="AED65" s="293"/>
      <x:c r="AEE65" s="293"/>
      <x:c r="AEF65" s="293"/>
      <x:c r="AEG65" s="293"/>
      <x:c r="AEH65" s="293"/>
      <x:c r="AEI65" s="293"/>
      <x:c r="AEJ65" s="293"/>
      <x:c r="AEK65" s="293"/>
      <x:c r="AEL65" s="293"/>
      <x:c r="AEM65" s="293"/>
      <x:c r="AEN65" s="293"/>
      <x:c r="AEO65" s="293"/>
      <x:c r="AEP65" s="293"/>
      <x:c r="AEQ65" s="293"/>
      <x:c r="AER65" s="293"/>
      <x:c r="AES65" s="293"/>
      <x:c r="AET65" s="293"/>
      <x:c r="AEU65" s="293"/>
      <x:c r="AEV65" s="293"/>
      <x:c r="AEW65" s="293"/>
      <x:c r="AEX65" s="293"/>
      <x:c r="AEY65" s="293"/>
      <x:c r="AEZ65" s="293"/>
      <x:c r="AFA65" s="293"/>
      <x:c r="AFB65" s="293"/>
      <x:c r="AFC65" s="293"/>
      <x:c r="AFD65" s="293"/>
      <x:c r="AFE65" s="293"/>
      <x:c r="AFF65" s="293"/>
      <x:c r="AFG65" s="293"/>
      <x:c r="AFH65" s="293"/>
      <x:c r="AFI65" s="293"/>
      <x:c r="AFJ65" s="293"/>
      <x:c r="AFK65" s="293"/>
      <x:c r="AFL65" s="293"/>
      <x:c r="AFM65" s="293"/>
      <x:c r="AFN65" s="293"/>
      <x:c r="AFO65" s="293"/>
      <x:c r="AFP65" s="293"/>
      <x:c r="AFQ65" s="293"/>
      <x:c r="AFR65" s="293"/>
      <x:c r="AFS65" s="293"/>
      <x:c r="AFT65" s="293"/>
      <x:c r="AFU65" s="293"/>
      <x:c r="AFV65" s="293"/>
      <x:c r="AFW65" s="293"/>
      <x:c r="AFX65" s="293"/>
      <x:c r="AFY65" s="293"/>
      <x:c r="AFZ65" s="293"/>
      <x:c r="AGA65" s="293"/>
      <x:c r="AGB65" s="293"/>
      <x:c r="AGC65" s="293"/>
      <x:c r="AGD65" s="293"/>
      <x:c r="AGE65" s="293"/>
      <x:c r="AGF65" s="293"/>
      <x:c r="AGG65" s="293"/>
      <x:c r="AGH65" s="293"/>
      <x:c r="AGI65" s="293"/>
      <x:c r="AGJ65" s="293"/>
      <x:c r="AGK65" s="293"/>
      <x:c r="AGL65" s="293"/>
      <x:c r="AGM65" s="293"/>
      <x:c r="AGN65" s="293"/>
      <x:c r="AGO65" s="293"/>
      <x:c r="AGP65" s="293"/>
      <x:c r="AGQ65" s="293"/>
      <x:c r="AGR65" s="293"/>
      <x:c r="AGS65" s="293"/>
      <x:c r="AGT65" s="293"/>
      <x:c r="AGU65" s="293"/>
      <x:c r="AGV65" s="293"/>
      <x:c r="AGW65" s="293"/>
      <x:c r="AGX65" s="293"/>
      <x:c r="AGY65" s="293"/>
      <x:c r="AGZ65" s="293"/>
      <x:c r="AHA65" s="293"/>
      <x:c r="AHB65" s="293"/>
      <x:c r="AHC65" s="293"/>
      <x:c r="AHD65" s="293"/>
      <x:c r="AHE65" s="293"/>
      <x:c r="AHF65" s="293"/>
      <x:c r="AHG65" s="293"/>
      <x:c r="AHH65" s="293"/>
      <x:c r="AHI65" s="293"/>
      <x:c r="AHJ65" s="293"/>
      <x:c r="AHK65" s="293"/>
      <x:c r="AHL65" s="293"/>
      <x:c r="AHM65" s="293"/>
      <x:c r="AHN65" s="293"/>
      <x:c r="AHO65" s="293"/>
      <x:c r="AHP65" s="293"/>
      <x:c r="AHQ65" s="293"/>
      <x:c r="AHR65" s="293"/>
      <x:c r="AHS65" s="293"/>
      <x:c r="AHT65" s="293"/>
      <x:c r="AHU65" s="293"/>
      <x:c r="AHV65" s="293"/>
      <x:c r="AHW65" s="293"/>
      <x:c r="AHX65" s="293"/>
      <x:c r="AHY65" s="293"/>
      <x:c r="AHZ65" s="293"/>
      <x:c r="AIA65" s="293"/>
      <x:c r="AIB65" s="293"/>
      <x:c r="AIC65" s="293"/>
      <x:c r="AID65" s="293"/>
      <x:c r="AIE65" s="293"/>
      <x:c r="AIF65" s="293"/>
      <x:c r="AIG65" s="293"/>
      <x:c r="AIH65" s="293"/>
      <x:c r="AII65" s="293"/>
      <x:c r="AIJ65" s="293"/>
      <x:c r="AIK65" s="293"/>
      <x:c r="AIL65" s="293"/>
      <x:c r="AIM65" s="293"/>
      <x:c r="AIN65" s="293"/>
      <x:c r="AIO65" s="293"/>
      <x:c r="AIP65" s="293"/>
      <x:c r="AIQ65" s="293"/>
      <x:c r="AIR65" s="293"/>
      <x:c r="AIS65" s="293"/>
      <x:c r="AIT65" s="293"/>
      <x:c r="AIU65" s="293"/>
      <x:c r="AIV65" s="293"/>
      <x:c r="AIW65" s="293"/>
      <x:c r="AIX65" s="293"/>
      <x:c r="AIY65" s="293"/>
      <x:c r="AIZ65" s="293"/>
      <x:c r="AJA65" s="293"/>
      <x:c r="AJB65" s="293"/>
      <x:c r="AJC65" s="293"/>
      <x:c r="AJD65" s="293"/>
      <x:c r="AJE65" s="293"/>
      <x:c r="AJF65" s="293"/>
      <x:c r="AJG65" s="293"/>
      <x:c r="AJH65" s="293"/>
      <x:c r="AJI65" s="293"/>
      <x:c r="AJJ65" s="293"/>
      <x:c r="AJK65" s="293"/>
      <x:c r="AJL65" s="293"/>
      <x:c r="AJM65" s="293"/>
      <x:c r="AJN65" s="293"/>
      <x:c r="AJO65" s="293"/>
      <x:c r="AJP65" s="293"/>
      <x:c r="AJQ65" s="293"/>
      <x:c r="AJR65" s="293"/>
      <x:c r="AJS65" s="293"/>
      <x:c r="AJT65" s="293"/>
      <x:c r="AJU65" s="293"/>
      <x:c r="AJV65" s="293"/>
      <x:c r="AJW65" s="293"/>
      <x:c r="AJX65" s="293"/>
      <x:c r="AJY65" s="293"/>
      <x:c r="AJZ65" s="293"/>
      <x:c r="AKA65" s="293"/>
      <x:c r="AKB65" s="293"/>
      <x:c r="AKC65" s="293"/>
      <x:c r="AKD65" s="293"/>
      <x:c r="AKE65" s="293"/>
      <x:c r="AKF65" s="293"/>
      <x:c r="AKG65" s="293"/>
      <x:c r="AKH65" s="293"/>
      <x:c r="AKI65" s="293"/>
      <x:c r="AKJ65" s="293"/>
      <x:c r="AKK65" s="293"/>
      <x:c r="AKL65" s="293"/>
      <x:c r="AKM65" s="293"/>
      <x:c r="AKN65" s="293"/>
      <x:c r="AKO65" s="293"/>
      <x:c r="AKP65" s="293"/>
      <x:c r="AKQ65" s="293"/>
      <x:c r="AKR65" s="293"/>
      <x:c r="AKS65" s="293"/>
      <x:c r="AKT65" s="293"/>
      <x:c r="AKU65" s="293"/>
      <x:c r="AKV65" s="293"/>
      <x:c r="AKW65" s="293"/>
      <x:c r="AKX65" s="293"/>
      <x:c r="AKY65" s="293"/>
      <x:c r="AKZ65" s="293"/>
      <x:c r="ALA65" s="293"/>
      <x:c r="ALB65" s="293"/>
      <x:c r="ALC65" s="293"/>
      <x:c r="ALD65" s="293"/>
      <x:c r="ALE65" s="293"/>
      <x:c r="ALF65" s="293"/>
      <x:c r="ALG65" s="293"/>
      <x:c r="ALH65" s="293"/>
      <x:c r="ALI65" s="293"/>
      <x:c r="ALJ65" s="293"/>
      <x:c r="ALK65" s="293"/>
      <x:c r="ALL65" s="293"/>
      <x:c r="ALM65" s="293"/>
      <x:c r="ALN65" s="293"/>
      <x:c r="ALO65" s="293"/>
      <x:c r="ALP65" s="293"/>
      <x:c r="ALQ65" s="293"/>
      <x:c r="ALR65" s="293"/>
      <x:c r="ALS65" s="293"/>
      <x:c r="ALT65" s="293"/>
      <x:c r="ALU65" s="293"/>
      <x:c r="ALV65" s="293"/>
      <x:c r="ALW65" s="293"/>
      <x:c r="ALX65" s="293"/>
      <x:c r="ALY65" s="293"/>
      <x:c r="ALZ65" s="293"/>
      <x:c r="AMA65" s="293"/>
      <x:c r="AMB65" s="293"/>
      <x:c r="AMC65" s="293"/>
      <x:c r="AMD65" s="293"/>
      <x:c r="AME65" s="293"/>
      <x:c r="AMF65" s="293"/>
      <x:c r="AMG65" s="293"/>
      <x:c r="AMH65" s="293"/>
      <x:c r="AMI65" s="293"/>
      <x:c r="AMJ65" s="293"/>
      <x:c r="AMK65" s="293"/>
      <x:c r="AML65" s="293"/>
      <x:c r="AMM65" s="293"/>
      <x:c r="AMN65" s="293"/>
      <x:c r="AMO65" s="293"/>
      <x:c r="AMP65" s="293"/>
      <x:c r="AMQ65" s="293"/>
      <x:c r="AMR65" s="293"/>
      <x:c r="AMS65" s="293"/>
      <x:c r="AMT65" s="293"/>
      <x:c r="AMU65" s="293"/>
      <x:c r="AMV65" s="293"/>
      <x:c r="AMW65" s="293"/>
      <x:c r="AMX65" s="293"/>
      <x:c r="AMY65" s="293"/>
      <x:c r="AMZ65" s="293"/>
      <x:c r="ANA65" s="293"/>
      <x:c r="ANB65" s="293"/>
      <x:c r="ANC65" s="293"/>
      <x:c r="AND65" s="293"/>
      <x:c r="ANE65" s="293"/>
      <x:c r="ANF65" s="293"/>
      <x:c r="ANG65" s="293"/>
      <x:c r="ANH65" s="293"/>
      <x:c r="ANI65" s="293"/>
      <x:c r="ANJ65" s="293"/>
      <x:c r="ANK65" s="293"/>
      <x:c r="ANL65" s="293"/>
      <x:c r="ANM65" s="293"/>
      <x:c r="ANN65" s="293"/>
      <x:c r="ANO65" s="293"/>
      <x:c r="ANP65" s="293"/>
      <x:c r="ANQ65" s="293"/>
      <x:c r="ANR65" s="293"/>
      <x:c r="ANS65" s="293"/>
      <x:c r="ANT65" s="293"/>
      <x:c r="ANU65" s="293"/>
      <x:c r="ANV65" s="293"/>
      <x:c r="ANW65" s="293"/>
      <x:c r="ANX65" s="293"/>
      <x:c r="ANY65" s="293"/>
      <x:c r="ANZ65" s="293"/>
      <x:c r="AOA65" s="293"/>
      <x:c r="AOB65" s="293"/>
      <x:c r="AOC65" s="293"/>
      <x:c r="AOD65" s="293"/>
      <x:c r="AOE65" s="293"/>
      <x:c r="AOF65" s="293"/>
      <x:c r="AOG65" s="293"/>
      <x:c r="AOH65" s="293"/>
      <x:c r="AOI65" s="293"/>
      <x:c r="AOJ65" s="293"/>
      <x:c r="AOK65" s="293"/>
      <x:c r="AOL65" s="293"/>
      <x:c r="AOM65" s="293"/>
      <x:c r="AON65" s="293"/>
      <x:c r="AOO65" s="293"/>
      <x:c r="AOP65" s="293"/>
      <x:c r="AOQ65" s="293"/>
      <x:c r="AOR65" s="293"/>
      <x:c r="AOS65" s="293"/>
      <x:c r="AOT65" s="293"/>
      <x:c r="AOU65" s="293"/>
      <x:c r="AOV65" s="293"/>
      <x:c r="AOW65" s="293"/>
      <x:c r="AOX65" s="293"/>
      <x:c r="AOY65" s="293"/>
      <x:c r="AOZ65" s="293"/>
      <x:c r="APA65" s="293"/>
      <x:c r="APB65" s="293"/>
      <x:c r="APC65" s="293"/>
      <x:c r="APD65" s="293"/>
      <x:c r="APE65" s="293"/>
      <x:c r="APF65" s="293"/>
      <x:c r="APG65" s="293"/>
      <x:c r="APH65" s="293"/>
      <x:c r="API65" s="293"/>
      <x:c r="APJ65" s="293"/>
      <x:c r="APK65" s="293"/>
      <x:c r="APL65" s="293"/>
      <x:c r="APM65" s="293"/>
      <x:c r="APN65" s="293"/>
      <x:c r="APO65" s="293"/>
      <x:c r="APP65" s="293"/>
      <x:c r="APQ65" s="293"/>
      <x:c r="APR65" s="293"/>
      <x:c r="APS65" s="293"/>
      <x:c r="APT65" s="293"/>
      <x:c r="APU65" s="293"/>
      <x:c r="APV65" s="293"/>
      <x:c r="APW65" s="293"/>
      <x:c r="APX65" s="293"/>
      <x:c r="APY65" s="293"/>
      <x:c r="APZ65" s="293"/>
      <x:c r="AQA65" s="293"/>
      <x:c r="AQB65" s="293"/>
      <x:c r="AQC65" s="293"/>
      <x:c r="AQD65" s="293"/>
      <x:c r="AQE65" s="293"/>
      <x:c r="AQF65" s="293"/>
      <x:c r="AQG65" s="293"/>
      <x:c r="AQH65" s="293"/>
      <x:c r="AQI65" s="293"/>
      <x:c r="AQJ65" s="293"/>
      <x:c r="AQK65" s="293"/>
      <x:c r="AQL65" s="293"/>
      <x:c r="AQM65" s="293"/>
      <x:c r="AQN65" s="293"/>
      <x:c r="AQO65" s="293"/>
      <x:c r="AQP65" s="293"/>
      <x:c r="AQQ65" s="293"/>
      <x:c r="AQR65" s="293"/>
      <x:c r="AQS65" s="293"/>
      <x:c r="AQT65" s="293"/>
      <x:c r="AQU65" s="293"/>
      <x:c r="AQV65" s="293"/>
      <x:c r="AQW65" s="293"/>
      <x:c r="AQX65" s="293"/>
      <x:c r="AQY65" s="293"/>
      <x:c r="AQZ65" s="293"/>
      <x:c r="ARA65" s="293"/>
      <x:c r="ARB65" s="293"/>
      <x:c r="ARC65" s="293"/>
      <x:c r="ARD65" s="293"/>
      <x:c r="ARE65" s="293"/>
      <x:c r="ARF65" s="293"/>
      <x:c r="ARG65" s="293"/>
      <x:c r="ARH65" s="293"/>
      <x:c r="ARI65" s="293"/>
      <x:c r="ARJ65" s="293"/>
      <x:c r="ARK65" s="293"/>
      <x:c r="ARL65" s="293"/>
      <x:c r="ARM65" s="293"/>
      <x:c r="ARN65" s="293"/>
      <x:c r="ARO65" s="293"/>
      <x:c r="ARP65" s="293"/>
      <x:c r="ARQ65" s="293"/>
      <x:c r="ARR65" s="293"/>
      <x:c r="ARS65" s="293"/>
      <x:c r="ART65" s="293"/>
      <x:c r="ARU65" s="293"/>
      <x:c r="ARV65" s="293"/>
      <x:c r="ARW65" s="293"/>
      <x:c r="ARX65" s="293"/>
      <x:c r="ARY65" s="293"/>
      <x:c r="ARZ65" s="293"/>
      <x:c r="ASA65" s="293"/>
      <x:c r="ASB65" s="293"/>
      <x:c r="ASC65" s="293"/>
      <x:c r="ASD65" s="293"/>
      <x:c r="ASE65" s="293"/>
      <x:c r="ASF65" s="293"/>
      <x:c r="ASG65" s="293"/>
      <x:c r="ASH65" s="293"/>
      <x:c r="ASI65" s="293"/>
      <x:c r="ASJ65" s="293"/>
      <x:c r="ASK65" s="293"/>
      <x:c r="ASL65" s="293"/>
      <x:c r="ASM65" s="293"/>
      <x:c r="ASN65" s="293"/>
      <x:c r="ASO65" s="293"/>
      <x:c r="ASP65" s="293"/>
      <x:c r="ASQ65" s="293"/>
      <x:c r="ASR65" s="293"/>
      <x:c r="ASS65" s="293"/>
      <x:c r="AST65" s="293"/>
      <x:c r="ASU65" s="293"/>
      <x:c r="ASV65" s="293"/>
      <x:c r="ASW65" s="293"/>
      <x:c r="ASX65" s="293"/>
      <x:c r="ASY65" s="293"/>
      <x:c r="ASZ65" s="293"/>
      <x:c r="ATA65" s="293"/>
      <x:c r="ATB65" s="293"/>
      <x:c r="ATC65" s="293"/>
      <x:c r="ATD65" s="293"/>
      <x:c r="ATE65" s="293"/>
      <x:c r="ATF65" s="293"/>
      <x:c r="ATG65" s="293"/>
      <x:c r="ATH65" s="293"/>
      <x:c r="ATI65" s="293"/>
      <x:c r="ATJ65" s="293"/>
      <x:c r="ATK65" s="293"/>
      <x:c r="ATL65" s="293"/>
      <x:c r="ATM65" s="293"/>
      <x:c r="ATN65" s="293"/>
      <x:c r="ATO65" s="293"/>
      <x:c r="ATP65" s="293"/>
      <x:c r="ATQ65" s="293"/>
      <x:c r="ATR65" s="293"/>
      <x:c r="ATS65" s="293"/>
      <x:c r="ATT65" s="293"/>
      <x:c r="ATU65" s="293"/>
      <x:c r="ATV65" s="293"/>
      <x:c r="ATW65" s="293"/>
      <x:c r="ATX65" s="293"/>
      <x:c r="ATY65" s="293"/>
      <x:c r="ATZ65" s="293"/>
      <x:c r="AUA65" s="293"/>
      <x:c r="AUB65" s="293"/>
      <x:c r="AUC65" s="293"/>
      <x:c r="AUD65" s="293"/>
      <x:c r="AUE65" s="293"/>
      <x:c r="AUF65" s="293"/>
      <x:c r="AUG65" s="293"/>
      <x:c r="AUH65" s="293"/>
      <x:c r="AUI65" s="293"/>
      <x:c r="AUJ65" s="293"/>
      <x:c r="AUK65" s="293"/>
      <x:c r="AUL65" s="293"/>
      <x:c r="AUM65" s="293"/>
      <x:c r="AUN65" s="293"/>
      <x:c r="AUO65" s="293"/>
      <x:c r="AUP65" s="293"/>
      <x:c r="AUQ65" s="293"/>
      <x:c r="AUR65" s="293"/>
      <x:c r="AUS65" s="293"/>
      <x:c r="AUT65" s="293"/>
      <x:c r="AUU65" s="293"/>
      <x:c r="AUV65" s="293"/>
      <x:c r="AUW65" s="293"/>
      <x:c r="AUX65" s="293"/>
      <x:c r="AUY65" s="293"/>
      <x:c r="AUZ65" s="293"/>
      <x:c r="AVA65" s="293"/>
      <x:c r="AVB65" s="293"/>
      <x:c r="AVC65" s="293"/>
      <x:c r="AVD65" s="293"/>
      <x:c r="AVE65" s="293"/>
      <x:c r="AVF65" s="293"/>
      <x:c r="AVG65" s="293"/>
      <x:c r="AVH65" s="293"/>
      <x:c r="AVI65" s="293"/>
      <x:c r="AVJ65" s="293"/>
      <x:c r="AVK65" s="293"/>
      <x:c r="AVL65" s="293"/>
      <x:c r="AVM65" s="293"/>
      <x:c r="AVN65" s="293"/>
      <x:c r="AVO65" s="293"/>
      <x:c r="AVP65" s="293"/>
      <x:c r="AVQ65" s="293"/>
      <x:c r="AVR65" s="293"/>
      <x:c r="AVS65" s="293"/>
      <x:c r="AVT65" s="293"/>
      <x:c r="AVU65" s="293"/>
      <x:c r="AVV65" s="293"/>
      <x:c r="AVW65" s="293"/>
      <x:c r="AVX65" s="293"/>
      <x:c r="AVY65" s="293"/>
      <x:c r="AVZ65" s="293"/>
      <x:c r="AWA65" s="293"/>
      <x:c r="AWB65" s="293"/>
      <x:c r="AWC65" s="293"/>
      <x:c r="AWD65" s="293"/>
      <x:c r="AWE65" s="293"/>
      <x:c r="AWF65" s="293"/>
      <x:c r="AWG65" s="293"/>
      <x:c r="AWH65" s="293"/>
      <x:c r="AWI65" s="293"/>
      <x:c r="AWJ65" s="293"/>
      <x:c r="AWK65" s="293"/>
      <x:c r="AWL65" s="293"/>
      <x:c r="AWM65" s="293"/>
      <x:c r="AWN65" s="293"/>
      <x:c r="AWO65" s="293"/>
      <x:c r="AWP65" s="293"/>
      <x:c r="AWQ65" s="293"/>
      <x:c r="AWR65" s="293"/>
      <x:c r="AWS65" s="293"/>
      <x:c r="AWT65" s="293"/>
      <x:c r="AWU65" s="293"/>
      <x:c r="AWV65" s="293"/>
      <x:c r="AWW65" s="293"/>
      <x:c r="AWX65" s="293"/>
      <x:c r="AWY65" s="293"/>
      <x:c r="AWZ65" s="293"/>
      <x:c r="AXA65" s="293"/>
      <x:c r="AXB65" s="293"/>
      <x:c r="AXC65" s="293"/>
      <x:c r="AXD65" s="293"/>
      <x:c r="AXE65" s="293"/>
      <x:c r="AXF65" s="293"/>
      <x:c r="AXG65" s="293"/>
      <x:c r="AXH65" s="293"/>
      <x:c r="AXI65" s="293"/>
      <x:c r="AXJ65" s="293"/>
      <x:c r="AXK65" s="293"/>
      <x:c r="AXL65" s="293"/>
      <x:c r="AXM65" s="293"/>
      <x:c r="AXN65" s="293"/>
      <x:c r="AXO65" s="293"/>
      <x:c r="AXP65" s="293"/>
      <x:c r="AXQ65" s="293"/>
      <x:c r="AXR65" s="293"/>
      <x:c r="AXS65" s="293"/>
      <x:c r="AXT65" s="293"/>
      <x:c r="AXU65" s="293"/>
      <x:c r="AXV65" s="293"/>
      <x:c r="AXW65" s="293"/>
      <x:c r="AXX65" s="293"/>
      <x:c r="AXY65" s="293"/>
      <x:c r="AXZ65" s="293"/>
      <x:c r="AYA65" s="293"/>
      <x:c r="AYB65" s="293"/>
      <x:c r="AYC65" s="293"/>
      <x:c r="AYD65" s="293"/>
      <x:c r="AYE65" s="293"/>
      <x:c r="AYF65" s="293"/>
      <x:c r="AYG65" s="293"/>
      <x:c r="AYH65" s="293"/>
      <x:c r="AYI65" s="293"/>
      <x:c r="AYJ65" s="293"/>
      <x:c r="AYK65" s="293"/>
      <x:c r="AYL65" s="293"/>
      <x:c r="AYM65" s="293"/>
      <x:c r="AYN65" s="293"/>
      <x:c r="AYO65" s="293"/>
      <x:c r="AYP65" s="293"/>
      <x:c r="AYQ65" s="293"/>
      <x:c r="AYR65" s="293"/>
      <x:c r="AYS65" s="293"/>
      <x:c r="AYT65" s="293"/>
      <x:c r="AYU65" s="293"/>
      <x:c r="AYV65" s="293"/>
      <x:c r="AYW65" s="293"/>
      <x:c r="AYX65" s="293"/>
      <x:c r="AYY65" s="293"/>
      <x:c r="AYZ65" s="293"/>
      <x:c r="AZA65" s="293"/>
      <x:c r="AZB65" s="293"/>
      <x:c r="AZC65" s="293"/>
      <x:c r="AZD65" s="293"/>
      <x:c r="AZE65" s="293"/>
      <x:c r="AZF65" s="293"/>
      <x:c r="AZG65" s="293"/>
      <x:c r="AZH65" s="293"/>
      <x:c r="AZI65" s="293"/>
      <x:c r="AZJ65" s="293"/>
      <x:c r="AZK65" s="293"/>
      <x:c r="AZL65" s="293"/>
      <x:c r="AZM65" s="293"/>
      <x:c r="AZN65" s="293"/>
      <x:c r="AZO65" s="293"/>
      <x:c r="AZP65" s="293"/>
      <x:c r="AZQ65" s="293"/>
      <x:c r="AZR65" s="293"/>
      <x:c r="AZS65" s="293"/>
      <x:c r="AZT65" s="293"/>
      <x:c r="AZU65" s="293"/>
      <x:c r="AZV65" s="293"/>
      <x:c r="AZW65" s="293"/>
      <x:c r="AZX65" s="293"/>
      <x:c r="AZY65" s="293"/>
      <x:c r="AZZ65" s="293"/>
      <x:c r="BAA65" s="293"/>
      <x:c r="BAB65" s="293"/>
      <x:c r="BAC65" s="293"/>
      <x:c r="BAD65" s="293"/>
      <x:c r="BAE65" s="293"/>
      <x:c r="BAF65" s="293"/>
      <x:c r="BAG65" s="293"/>
      <x:c r="BAH65" s="293"/>
      <x:c r="BAI65" s="293"/>
      <x:c r="BAJ65" s="293"/>
      <x:c r="BAK65" s="293"/>
      <x:c r="BAL65" s="293"/>
      <x:c r="BAM65" s="293"/>
      <x:c r="BAN65" s="293"/>
      <x:c r="BAO65" s="293"/>
      <x:c r="BAP65" s="293"/>
      <x:c r="BAQ65" s="293"/>
      <x:c r="BAR65" s="293"/>
      <x:c r="BAS65" s="293"/>
      <x:c r="BAT65" s="293"/>
      <x:c r="BAU65" s="293"/>
      <x:c r="BAV65" s="293"/>
      <x:c r="BAW65" s="293"/>
      <x:c r="BAX65" s="293"/>
      <x:c r="BAY65" s="293"/>
      <x:c r="BAZ65" s="293"/>
      <x:c r="BBA65" s="293"/>
      <x:c r="BBB65" s="293"/>
      <x:c r="BBC65" s="293"/>
      <x:c r="BBD65" s="293"/>
      <x:c r="BBE65" s="293"/>
      <x:c r="BBF65" s="293"/>
      <x:c r="BBG65" s="293"/>
      <x:c r="BBH65" s="293"/>
      <x:c r="BBI65" s="293"/>
      <x:c r="BBJ65" s="293"/>
      <x:c r="BBK65" s="293"/>
      <x:c r="BBL65" s="293"/>
      <x:c r="BBM65" s="293"/>
      <x:c r="BBN65" s="293"/>
      <x:c r="BBO65" s="293"/>
      <x:c r="BBP65" s="293"/>
      <x:c r="BBQ65" s="293"/>
      <x:c r="BBR65" s="293"/>
      <x:c r="BBS65" s="293"/>
      <x:c r="BBT65" s="293"/>
      <x:c r="BBU65" s="293"/>
      <x:c r="BBV65" s="293"/>
      <x:c r="BBW65" s="293"/>
      <x:c r="BBX65" s="293"/>
      <x:c r="BBY65" s="293"/>
      <x:c r="BBZ65" s="293"/>
      <x:c r="BCA65" s="293"/>
      <x:c r="BCB65" s="293"/>
      <x:c r="BCC65" s="293"/>
      <x:c r="BCD65" s="293"/>
      <x:c r="BCE65" s="293"/>
      <x:c r="BCF65" s="293"/>
      <x:c r="BCG65" s="293"/>
      <x:c r="BCH65" s="293"/>
      <x:c r="BCI65" s="293"/>
      <x:c r="BCJ65" s="293"/>
      <x:c r="BCK65" s="293"/>
      <x:c r="BCL65" s="293"/>
      <x:c r="BCM65" s="293"/>
      <x:c r="BCN65" s="293"/>
      <x:c r="BCO65" s="293"/>
      <x:c r="BCP65" s="293"/>
      <x:c r="BCQ65" s="293"/>
      <x:c r="BCR65" s="293"/>
      <x:c r="BCS65" s="293"/>
      <x:c r="BCT65" s="293"/>
      <x:c r="BCU65" s="293"/>
      <x:c r="BCV65" s="293"/>
      <x:c r="BCW65" s="293"/>
      <x:c r="BCX65" s="293"/>
      <x:c r="BCY65" s="293"/>
      <x:c r="BCZ65" s="293"/>
      <x:c r="BDA65" s="293"/>
      <x:c r="BDB65" s="293"/>
      <x:c r="BDC65" s="293"/>
      <x:c r="BDD65" s="293"/>
      <x:c r="BDE65" s="293"/>
      <x:c r="BDF65" s="293"/>
      <x:c r="BDG65" s="293"/>
      <x:c r="BDH65" s="293"/>
      <x:c r="BDI65" s="293"/>
      <x:c r="BDJ65" s="293"/>
      <x:c r="BDK65" s="293"/>
      <x:c r="BDL65" s="293"/>
      <x:c r="BDM65" s="293"/>
      <x:c r="BDN65" s="293"/>
      <x:c r="BDO65" s="293"/>
      <x:c r="BDP65" s="293"/>
      <x:c r="BDQ65" s="293"/>
      <x:c r="BDR65" s="293"/>
      <x:c r="BDS65" s="293"/>
      <x:c r="BDT65" s="293"/>
      <x:c r="BDU65" s="293"/>
      <x:c r="BDV65" s="293"/>
      <x:c r="BDW65" s="293"/>
      <x:c r="BDX65" s="293"/>
      <x:c r="BDY65" s="293"/>
      <x:c r="BDZ65" s="293"/>
      <x:c r="BEA65" s="293"/>
      <x:c r="BEB65" s="293"/>
      <x:c r="BEC65" s="293"/>
      <x:c r="BED65" s="293"/>
      <x:c r="BEE65" s="293"/>
      <x:c r="BEF65" s="293"/>
      <x:c r="BEG65" s="293"/>
      <x:c r="BEH65" s="293"/>
      <x:c r="BEI65" s="293"/>
      <x:c r="BEJ65" s="293"/>
      <x:c r="BEK65" s="293"/>
      <x:c r="BEL65" s="293"/>
      <x:c r="BEM65" s="293"/>
      <x:c r="BEN65" s="293"/>
      <x:c r="BEO65" s="293"/>
      <x:c r="BEP65" s="293"/>
      <x:c r="BEQ65" s="293"/>
      <x:c r="BER65" s="293"/>
      <x:c r="BES65" s="293"/>
      <x:c r="BET65" s="293"/>
      <x:c r="BEU65" s="293"/>
      <x:c r="BEV65" s="293"/>
      <x:c r="BEW65" s="293"/>
      <x:c r="BEX65" s="293"/>
      <x:c r="BEY65" s="293"/>
      <x:c r="BEZ65" s="293"/>
      <x:c r="BFA65" s="293"/>
      <x:c r="BFB65" s="293"/>
      <x:c r="BFC65" s="293"/>
      <x:c r="BFD65" s="293"/>
      <x:c r="BFE65" s="293"/>
      <x:c r="BFF65" s="293"/>
      <x:c r="BFG65" s="293"/>
      <x:c r="BFH65" s="293"/>
      <x:c r="BFI65" s="293"/>
      <x:c r="BFJ65" s="293"/>
      <x:c r="BFK65" s="293"/>
      <x:c r="BFL65" s="293"/>
      <x:c r="BFM65" s="293"/>
      <x:c r="BFN65" s="293"/>
      <x:c r="BFO65" s="293"/>
      <x:c r="BFP65" s="293"/>
      <x:c r="BFQ65" s="293"/>
      <x:c r="BFR65" s="293"/>
      <x:c r="BFS65" s="293"/>
      <x:c r="BFT65" s="293"/>
      <x:c r="BFU65" s="293"/>
      <x:c r="BFV65" s="293"/>
      <x:c r="BFW65" s="293"/>
      <x:c r="BFX65" s="293"/>
      <x:c r="BFY65" s="293"/>
      <x:c r="BFZ65" s="293"/>
      <x:c r="BGA65" s="293"/>
      <x:c r="BGB65" s="293"/>
      <x:c r="BGC65" s="293"/>
      <x:c r="BGD65" s="293"/>
      <x:c r="BGE65" s="293"/>
      <x:c r="BGF65" s="293"/>
      <x:c r="BGG65" s="293"/>
      <x:c r="BGH65" s="293"/>
      <x:c r="BGI65" s="293"/>
      <x:c r="BGJ65" s="293"/>
      <x:c r="BGK65" s="293"/>
      <x:c r="BGL65" s="293"/>
      <x:c r="BGM65" s="293"/>
      <x:c r="BGN65" s="293"/>
      <x:c r="BGO65" s="293"/>
      <x:c r="BGP65" s="293"/>
      <x:c r="BGQ65" s="293"/>
      <x:c r="BGR65" s="293"/>
      <x:c r="BGS65" s="293"/>
      <x:c r="BGT65" s="293"/>
      <x:c r="BGU65" s="293"/>
      <x:c r="BGV65" s="293"/>
      <x:c r="BGW65" s="293"/>
      <x:c r="BGX65" s="293"/>
      <x:c r="BGY65" s="293"/>
      <x:c r="BGZ65" s="293"/>
      <x:c r="BHA65" s="293"/>
      <x:c r="BHB65" s="293"/>
      <x:c r="BHC65" s="293"/>
      <x:c r="BHD65" s="293"/>
      <x:c r="BHE65" s="293"/>
      <x:c r="BHF65" s="293"/>
      <x:c r="BHG65" s="293"/>
      <x:c r="BHH65" s="293"/>
      <x:c r="BHI65" s="293"/>
      <x:c r="BHJ65" s="293"/>
      <x:c r="BHK65" s="293"/>
      <x:c r="BHL65" s="293"/>
      <x:c r="BHM65" s="293"/>
      <x:c r="BHN65" s="293"/>
      <x:c r="BHO65" s="293"/>
      <x:c r="BHP65" s="293"/>
      <x:c r="BHQ65" s="293"/>
      <x:c r="BHR65" s="293"/>
      <x:c r="BHS65" s="293"/>
      <x:c r="BHT65" s="293"/>
      <x:c r="BHU65" s="293"/>
      <x:c r="BHV65" s="293"/>
      <x:c r="BHW65" s="293"/>
      <x:c r="BHX65" s="293"/>
      <x:c r="BHY65" s="293"/>
      <x:c r="BHZ65" s="293"/>
      <x:c r="BIA65" s="293"/>
      <x:c r="BIB65" s="293"/>
      <x:c r="BIC65" s="293"/>
      <x:c r="BID65" s="293"/>
      <x:c r="BIE65" s="293"/>
      <x:c r="BIF65" s="293"/>
      <x:c r="BIG65" s="293"/>
      <x:c r="BIH65" s="293"/>
      <x:c r="BII65" s="293"/>
      <x:c r="BIJ65" s="293"/>
      <x:c r="BIK65" s="293"/>
      <x:c r="BIL65" s="293"/>
      <x:c r="BIM65" s="293"/>
      <x:c r="BIN65" s="293"/>
      <x:c r="BIO65" s="293"/>
      <x:c r="BIP65" s="293"/>
      <x:c r="BIQ65" s="293"/>
      <x:c r="BIR65" s="293"/>
      <x:c r="BIS65" s="293"/>
      <x:c r="BIT65" s="293"/>
      <x:c r="BIU65" s="293"/>
      <x:c r="BIV65" s="293"/>
      <x:c r="BIW65" s="293"/>
      <x:c r="BIX65" s="293"/>
      <x:c r="BIY65" s="293"/>
      <x:c r="BIZ65" s="293"/>
      <x:c r="BJA65" s="293"/>
      <x:c r="BJB65" s="293"/>
      <x:c r="BJC65" s="293"/>
      <x:c r="BJD65" s="293"/>
      <x:c r="BJE65" s="293"/>
      <x:c r="BJF65" s="293"/>
      <x:c r="BJG65" s="293"/>
      <x:c r="BJH65" s="293"/>
      <x:c r="BJI65" s="293"/>
      <x:c r="BJJ65" s="293"/>
      <x:c r="BJK65" s="293"/>
      <x:c r="BJL65" s="293"/>
      <x:c r="BJM65" s="293"/>
      <x:c r="BJN65" s="293"/>
      <x:c r="BJO65" s="293"/>
      <x:c r="BJP65" s="293"/>
      <x:c r="BJQ65" s="293"/>
      <x:c r="BJR65" s="293"/>
      <x:c r="BJS65" s="293"/>
      <x:c r="BJT65" s="293"/>
      <x:c r="BJU65" s="293"/>
      <x:c r="BJV65" s="293"/>
      <x:c r="BJW65" s="293"/>
      <x:c r="BJX65" s="293"/>
      <x:c r="BJY65" s="293"/>
      <x:c r="BJZ65" s="293"/>
      <x:c r="BKA65" s="293"/>
      <x:c r="BKB65" s="293"/>
      <x:c r="BKC65" s="293"/>
      <x:c r="BKD65" s="293"/>
      <x:c r="BKE65" s="293"/>
      <x:c r="BKF65" s="293"/>
      <x:c r="BKG65" s="293"/>
      <x:c r="BKH65" s="293"/>
      <x:c r="BKI65" s="293"/>
      <x:c r="BKJ65" s="293"/>
      <x:c r="BKK65" s="293"/>
      <x:c r="BKL65" s="293"/>
      <x:c r="BKM65" s="293"/>
      <x:c r="BKN65" s="293"/>
      <x:c r="BKO65" s="293"/>
      <x:c r="BKP65" s="293"/>
      <x:c r="BKQ65" s="293"/>
      <x:c r="BKR65" s="293"/>
      <x:c r="BKS65" s="293"/>
      <x:c r="BKT65" s="293"/>
      <x:c r="BKU65" s="293"/>
      <x:c r="BKV65" s="293"/>
      <x:c r="BKW65" s="293"/>
      <x:c r="BKX65" s="293"/>
      <x:c r="BKY65" s="293"/>
      <x:c r="BKZ65" s="293"/>
      <x:c r="BLA65" s="293"/>
      <x:c r="BLB65" s="293"/>
      <x:c r="BLC65" s="293"/>
      <x:c r="BLD65" s="293"/>
      <x:c r="BLE65" s="293"/>
      <x:c r="BLF65" s="293"/>
      <x:c r="BLG65" s="293"/>
      <x:c r="BLH65" s="293"/>
      <x:c r="BLI65" s="293"/>
      <x:c r="BLJ65" s="293"/>
      <x:c r="BLK65" s="293"/>
      <x:c r="BLL65" s="293"/>
      <x:c r="BLM65" s="293"/>
      <x:c r="BLN65" s="293"/>
      <x:c r="BLO65" s="293"/>
      <x:c r="BLP65" s="293"/>
      <x:c r="BLQ65" s="293"/>
      <x:c r="BLR65" s="293"/>
      <x:c r="BLS65" s="293"/>
      <x:c r="BLT65" s="293"/>
      <x:c r="BLU65" s="293"/>
      <x:c r="BLV65" s="293"/>
      <x:c r="BLW65" s="293"/>
      <x:c r="BLX65" s="293"/>
      <x:c r="BLY65" s="293"/>
      <x:c r="BLZ65" s="293"/>
      <x:c r="BMA65" s="293"/>
      <x:c r="BMB65" s="293"/>
      <x:c r="BMC65" s="293"/>
      <x:c r="BMD65" s="293"/>
      <x:c r="BME65" s="293"/>
      <x:c r="BMF65" s="293"/>
      <x:c r="BMG65" s="293"/>
      <x:c r="BMH65" s="293"/>
      <x:c r="BMI65" s="293"/>
      <x:c r="BMJ65" s="293"/>
      <x:c r="BMK65" s="293"/>
      <x:c r="BML65" s="293"/>
      <x:c r="BMM65" s="293"/>
      <x:c r="BMN65" s="293"/>
      <x:c r="BMO65" s="293"/>
      <x:c r="BMP65" s="293"/>
      <x:c r="BMQ65" s="293"/>
      <x:c r="BMR65" s="293"/>
      <x:c r="BMS65" s="293"/>
      <x:c r="BMT65" s="293"/>
      <x:c r="BMU65" s="293"/>
      <x:c r="BMV65" s="293"/>
      <x:c r="BMW65" s="293"/>
      <x:c r="BMX65" s="293"/>
      <x:c r="BMY65" s="293"/>
      <x:c r="BMZ65" s="293"/>
      <x:c r="BNA65" s="293"/>
      <x:c r="BNB65" s="293"/>
      <x:c r="BNC65" s="293"/>
      <x:c r="BND65" s="293"/>
      <x:c r="BNE65" s="293"/>
      <x:c r="BNF65" s="293"/>
      <x:c r="BNG65" s="293"/>
      <x:c r="BNH65" s="293"/>
      <x:c r="BNI65" s="293"/>
      <x:c r="BNJ65" s="293"/>
      <x:c r="BNK65" s="293"/>
      <x:c r="BNL65" s="293"/>
      <x:c r="BNM65" s="293"/>
      <x:c r="BNN65" s="293"/>
      <x:c r="BNO65" s="293"/>
      <x:c r="BNP65" s="293"/>
      <x:c r="BNQ65" s="293"/>
      <x:c r="BNR65" s="293"/>
      <x:c r="BNS65" s="293"/>
      <x:c r="BNT65" s="293"/>
      <x:c r="BNU65" s="293"/>
      <x:c r="BNV65" s="293"/>
      <x:c r="BNW65" s="293"/>
      <x:c r="BNX65" s="293"/>
      <x:c r="BNY65" s="293"/>
      <x:c r="BNZ65" s="293"/>
      <x:c r="BOA65" s="293"/>
      <x:c r="BOB65" s="293"/>
      <x:c r="BOC65" s="293"/>
      <x:c r="BOD65" s="293"/>
      <x:c r="BOE65" s="293"/>
      <x:c r="BOF65" s="293"/>
      <x:c r="BOG65" s="293"/>
      <x:c r="BOH65" s="293"/>
      <x:c r="BOI65" s="293"/>
      <x:c r="BOJ65" s="293"/>
      <x:c r="BOK65" s="293"/>
      <x:c r="BOL65" s="293"/>
      <x:c r="BOM65" s="293"/>
      <x:c r="BON65" s="293"/>
      <x:c r="BOO65" s="293"/>
      <x:c r="BOP65" s="293"/>
      <x:c r="BOQ65" s="293"/>
      <x:c r="BOR65" s="293"/>
      <x:c r="BOS65" s="293"/>
      <x:c r="BOT65" s="293"/>
      <x:c r="BOU65" s="293"/>
      <x:c r="BOV65" s="293"/>
      <x:c r="BOW65" s="293"/>
      <x:c r="BOX65" s="293"/>
      <x:c r="BOY65" s="293"/>
      <x:c r="BOZ65" s="293"/>
      <x:c r="BPA65" s="293"/>
      <x:c r="BPB65" s="293"/>
      <x:c r="BPC65" s="293"/>
      <x:c r="BPD65" s="293"/>
      <x:c r="BPE65" s="293"/>
      <x:c r="BPF65" s="293"/>
      <x:c r="BPG65" s="293"/>
      <x:c r="BPH65" s="293"/>
      <x:c r="BPI65" s="293"/>
      <x:c r="BPJ65" s="293"/>
      <x:c r="BPK65" s="293"/>
      <x:c r="BPL65" s="293"/>
      <x:c r="BPM65" s="293"/>
      <x:c r="BPN65" s="293"/>
      <x:c r="BPO65" s="293"/>
      <x:c r="BPP65" s="293"/>
      <x:c r="BPQ65" s="293"/>
      <x:c r="BPR65" s="293"/>
      <x:c r="BPS65" s="293"/>
      <x:c r="BPT65" s="293"/>
      <x:c r="BPU65" s="293"/>
      <x:c r="BPV65" s="293"/>
      <x:c r="BPW65" s="293"/>
      <x:c r="BPX65" s="293"/>
      <x:c r="BPY65" s="293"/>
      <x:c r="BPZ65" s="293"/>
      <x:c r="BQA65" s="293"/>
      <x:c r="BQB65" s="293"/>
      <x:c r="BQC65" s="293"/>
      <x:c r="BQD65" s="293"/>
      <x:c r="BQE65" s="293"/>
      <x:c r="BQF65" s="293"/>
      <x:c r="BQG65" s="293"/>
      <x:c r="BQH65" s="293"/>
      <x:c r="BQI65" s="293"/>
      <x:c r="BQJ65" s="293"/>
      <x:c r="BQK65" s="293"/>
      <x:c r="BQL65" s="293"/>
      <x:c r="BQM65" s="293"/>
      <x:c r="BQN65" s="293"/>
      <x:c r="BQO65" s="293"/>
      <x:c r="BQP65" s="293"/>
      <x:c r="BQQ65" s="293"/>
      <x:c r="BQR65" s="293"/>
      <x:c r="BQS65" s="293"/>
      <x:c r="BQT65" s="293"/>
      <x:c r="BQU65" s="293"/>
      <x:c r="BQV65" s="293"/>
      <x:c r="BQW65" s="293"/>
      <x:c r="BQX65" s="293"/>
      <x:c r="BQY65" s="293"/>
      <x:c r="BQZ65" s="293"/>
      <x:c r="BRA65" s="293"/>
      <x:c r="BRB65" s="293"/>
      <x:c r="BRC65" s="293"/>
      <x:c r="BRD65" s="293"/>
      <x:c r="BRE65" s="293"/>
      <x:c r="BRF65" s="293"/>
      <x:c r="BRG65" s="293"/>
      <x:c r="BRH65" s="293"/>
      <x:c r="BRI65" s="293"/>
      <x:c r="BRJ65" s="293"/>
      <x:c r="BRK65" s="293"/>
      <x:c r="BRL65" s="293"/>
      <x:c r="BRM65" s="293"/>
      <x:c r="BRN65" s="293"/>
      <x:c r="BRO65" s="293"/>
      <x:c r="BRP65" s="293"/>
      <x:c r="BRQ65" s="293"/>
      <x:c r="BRR65" s="293"/>
      <x:c r="BRS65" s="293"/>
      <x:c r="BRT65" s="293"/>
      <x:c r="BRU65" s="293"/>
      <x:c r="BRV65" s="293"/>
      <x:c r="BRW65" s="293"/>
      <x:c r="BRX65" s="293"/>
      <x:c r="BRY65" s="293"/>
      <x:c r="BRZ65" s="293"/>
      <x:c r="BSA65" s="293"/>
      <x:c r="BSB65" s="293"/>
      <x:c r="BSC65" s="293"/>
      <x:c r="BSD65" s="293"/>
      <x:c r="BSE65" s="293"/>
      <x:c r="BSF65" s="293"/>
      <x:c r="BSG65" s="293"/>
      <x:c r="BSH65" s="293"/>
      <x:c r="BSI65" s="293"/>
      <x:c r="BSJ65" s="293"/>
      <x:c r="BSK65" s="293"/>
      <x:c r="BSL65" s="293"/>
      <x:c r="BSM65" s="293"/>
      <x:c r="BSN65" s="293"/>
      <x:c r="BSO65" s="293"/>
      <x:c r="BSP65" s="293"/>
      <x:c r="BSQ65" s="293"/>
      <x:c r="BSR65" s="293"/>
      <x:c r="BSS65" s="293"/>
      <x:c r="BST65" s="293"/>
      <x:c r="BSU65" s="293"/>
      <x:c r="BSV65" s="293"/>
      <x:c r="BSW65" s="293"/>
      <x:c r="BSX65" s="293"/>
      <x:c r="BSY65" s="293"/>
      <x:c r="BSZ65" s="293"/>
      <x:c r="BTA65" s="293"/>
      <x:c r="BTB65" s="293"/>
      <x:c r="BTC65" s="293"/>
      <x:c r="BTD65" s="293"/>
      <x:c r="BTE65" s="293"/>
      <x:c r="BTF65" s="293"/>
      <x:c r="BTG65" s="293"/>
      <x:c r="BTH65" s="293"/>
      <x:c r="BTI65" s="293"/>
      <x:c r="BTJ65" s="293"/>
      <x:c r="BTK65" s="293"/>
      <x:c r="BTL65" s="293"/>
      <x:c r="BTM65" s="293"/>
      <x:c r="BTN65" s="293"/>
      <x:c r="BTO65" s="293"/>
      <x:c r="BTP65" s="293"/>
      <x:c r="BTQ65" s="293"/>
      <x:c r="BTR65" s="293"/>
      <x:c r="BTS65" s="293"/>
      <x:c r="BTT65" s="293"/>
      <x:c r="BTU65" s="293"/>
      <x:c r="BTV65" s="293"/>
      <x:c r="BTW65" s="293"/>
      <x:c r="BTX65" s="293"/>
      <x:c r="BTY65" s="293"/>
      <x:c r="BTZ65" s="293"/>
      <x:c r="BUA65" s="293"/>
      <x:c r="BUB65" s="293"/>
      <x:c r="BUC65" s="293"/>
      <x:c r="BUD65" s="293"/>
      <x:c r="BUE65" s="293"/>
      <x:c r="BUF65" s="293"/>
      <x:c r="BUG65" s="293"/>
      <x:c r="BUH65" s="293"/>
      <x:c r="BUI65" s="293"/>
      <x:c r="BUJ65" s="293"/>
      <x:c r="BUK65" s="293"/>
      <x:c r="BUL65" s="293"/>
      <x:c r="BUM65" s="293"/>
      <x:c r="BUN65" s="293"/>
      <x:c r="BUO65" s="293"/>
      <x:c r="BUP65" s="293"/>
      <x:c r="BUQ65" s="293"/>
      <x:c r="BUR65" s="293"/>
      <x:c r="BUS65" s="293"/>
      <x:c r="BUT65" s="293"/>
      <x:c r="BUU65" s="293"/>
      <x:c r="BUV65" s="293"/>
      <x:c r="BUW65" s="293"/>
      <x:c r="BUX65" s="293"/>
      <x:c r="BUY65" s="293"/>
      <x:c r="BUZ65" s="293"/>
      <x:c r="BVA65" s="293"/>
      <x:c r="BVB65" s="293"/>
      <x:c r="BVC65" s="293"/>
      <x:c r="BVD65" s="293"/>
      <x:c r="BVE65" s="293"/>
      <x:c r="BVF65" s="293"/>
      <x:c r="BVG65" s="293"/>
      <x:c r="BVH65" s="293"/>
      <x:c r="BVI65" s="293"/>
      <x:c r="BVJ65" s="293"/>
      <x:c r="BVK65" s="293"/>
      <x:c r="BVL65" s="293"/>
      <x:c r="BVM65" s="293"/>
      <x:c r="BVN65" s="293"/>
      <x:c r="BVO65" s="293"/>
      <x:c r="BVP65" s="293"/>
      <x:c r="BVQ65" s="293"/>
      <x:c r="BVR65" s="293"/>
      <x:c r="BVS65" s="293"/>
      <x:c r="BVT65" s="293"/>
      <x:c r="BVU65" s="293"/>
      <x:c r="BVV65" s="293"/>
      <x:c r="BVW65" s="293"/>
      <x:c r="BVX65" s="293"/>
      <x:c r="BVY65" s="293"/>
      <x:c r="BVZ65" s="293"/>
      <x:c r="BWA65" s="293"/>
      <x:c r="BWB65" s="293"/>
      <x:c r="BWC65" s="293"/>
      <x:c r="BWD65" s="293"/>
      <x:c r="BWE65" s="293"/>
      <x:c r="BWF65" s="293"/>
      <x:c r="BWG65" s="293"/>
      <x:c r="BWH65" s="293"/>
      <x:c r="BWI65" s="293"/>
      <x:c r="BWJ65" s="293"/>
      <x:c r="BWK65" s="293"/>
      <x:c r="BWL65" s="293"/>
      <x:c r="BWM65" s="293"/>
      <x:c r="BWN65" s="293"/>
      <x:c r="BWO65" s="293"/>
      <x:c r="BWP65" s="293"/>
      <x:c r="BWQ65" s="293"/>
      <x:c r="BWR65" s="293"/>
      <x:c r="BWS65" s="293"/>
      <x:c r="BWT65" s="293"/>
      <x:c r="BWU65" s="293"/>
      <x:c r="BWV65" s="293"/>
      <x:c r="BWW65" s="293"/>
      <x:c r="BWX65" s="293"/>
      <x:c r="BWY65" s="293"/>
      <x:c r="BWZ65" s="293"/>
      <x:c r="BXA65" s="293"/>
      <x:c r="BXB65" s="293"/>
      <x:c r="BXC65" s="293"/>
      <x:c r="BXD65" s="293"/>
      <x:c r="BXE65" s="293"/>
      <x:c r="BXF65" s="293"/>
      <x:c r="BXG65" s="293"/>
      <x:c r="BXH65" s="293"/>
      <x:c r="BXI65" s="293"/>
      <x:c r="BXJ65" s="293"/>
      <x:c r="BXK65" s="293"/>
      <x:c r="BXL65" s="293"/>
      <x:c r="BXM65" s="293"/>
      <x:c r="BXN65" s="293"/>
      <x:c r="BXO65" s="293"/>
      <x:c r="BXP65" s="293"/>
      <x:c r="BXQ65" s="293"/>
      <x:c r="BXR65" s="293"/>
      <x:c r="BXS65" s="293"/>
      <x:c r="BXT65" s="293"/>
      <x:c r="BXU65" s="293"/>
      <x:c r="BXV65" s="293"/>
      <x:c r="BXW65" s="293"/>
      <x:c r="BXX65" s="293"/>
      <x:c r="BXY65" s="293"/>
      <x:c r="BXZ65" s="293"/>
      <x:c r="BYA65" s="293"/>
      <x:c r="BYB65" s="293"/>
      <x:c r="BYC65" s="293"/>
      <x:c r="BYD65" s="293"/>
      <x:c r="BYE65" s="293"/>
      <x:c r="BYF65" s="293"/>
      <x:c r="BYG65" s="293"/>
      <x:c r="BYH65" s="293"/>
      <x:c r="BYI65" s="293"/>
      <x:c r="BYJ65" s="293"/>
      <x:c r="BYK65" s="293"/>
      <x:c r="BYL65" s="293"/>
      <x:c r="BYM65" s="293"/>
      <x:c r="BYN65" s="293"/>
      <x:c r="BYO65" s="293"/>
      <x:c r="BYP65" s="293"/>
      <x:c r="BYQ65" s="293"/>
      <x:c r="BYR65" s="293"/>
      <x:c r="BYS65" s="293"/>
      <x:c r="BYT65" s="293"/>
      <x:c r="BYU65" s="293"/>
      <x:c r="BYV65" s="293"/>
      <x:c r="BYW65" s="293"/>
      <x:c r="BYX65" s="293"/>
      <x:c r="BYY65" s="293"/>
      <x:c r="BYZ65" s="293"/>
      <x:c r="BZA65" s="293"/>
      <x:c r="BZB65" s="293"/>
      <x:c r="BZC65" s="293"/>
      <x:c r="BZD65" s="293"/>
      <x:c r="BZE65" s="293"/>
      <x:c r="BZF65" s="293"/>
      <x:c r="BZG65" s="293"/>
      <x:c r="BZH65" s="293"/>
      <x:c r="BZI65" s="293"/>
      <x:c r="BZJ65" s="293"/>
      <x:c r="BZK65" s="293"/>
      <x:c r="BZL65" s="293"/>
      <x:c r="BZM65" s="293"/>
      <x:c r="BZN65" s="293"/>
      <x:c r="BZO65" s="293"/>
      <x:c r="BZP65" s="293"/>
      <x:c r="BZQ65" s="293"/>
      <x:c r="BZR65" s="293"/>
      <x:c r="BZS65" s="293"/>
      <x:c r="BZT65" s="293"/>
      <x:c r="BZU65" s="293"/>
      <x:c r="BZV65" s="293"/>
      <x:c r="BZW65" s="293"/>
      <x:c r="BZX65" s="293"/>
      <x:c r="BZY65" s="293"/>
      <x:c r="BZZ65" s="293"/>
      <x:c r="CAA65" s="293"/>
      <x:c r="CAB65" s="293"/>
      <x:c r="CAC65" s="293"/>
      <x:c r="CAD65" s="293"/>
      <x:c r="CAE65" s="293"/>
      <x:c r="CAF65" s="293"/>
      <x:c r="CAG65" s="293"/>
      <x:c r="CAH65" s="293"/>
      <x:c r="CAI65" s="293"/>
      <x:c r="CAJ65" s="293"/>
      <x:c r="CAK65" s="293"/>
      <x:c r="CAL65" s="293"/>
      <x:c r="CAM65" s="293"/>
      <x:c r="CAN65" s="293"/>
      <x:c r="CAO65" s="293"/>
      <x:c r="CAP65" s="293"/>
      <x:c r="CAQ65" s="293"/>
      <x:c r="CAR65" s="293"/>
      <x:c r="CAS65" s="293"/>
      <x:c r="CAT65" s="293"/>
      <x:c r="CAU65" s="293"/>
      <x:c r="CAV65" s="293"/>
      <x:c r="CAW65" s="293"/>
      <x:c r="CAX65" s="293"/>
      <x:c r="CAY65" s="293"/>
      <x:c r="CAZ65" s="293"/>
      <x:c r="CBA65" s="293"/>
      <x:c r="CBB65" s="293"/>
      <x:c r="CBC65" s="293"/>
      <x:c r="CBD65" s="293"/>
      <x:c r="CBE65" s="293"/>
      <x:c r="CBF65" s="293"/>
      <x:c r="CBG65" s="293"/>
      <x:c r="CBH65" s="293"/>
      <x:c r="CBI65" s="293"/>
      <x:c r="CBJ65" s="293"/>
      <x:c r="CBK65" s="293"/>
      <x:c r="CBL65" s="293"/>
      <x:c r="CBM65" s="293"/>
      <x:c r="CBN65" s="293"/>
      <x:c r="CBO65" s="293"/>
      <x:c r="CBP65" s="293"/>
      <x:c r="CBQ65" s="293"/>
      <x:c r="CBR65" s="293"/>
      <x:c r="CBS65" s="293"/>
      <x:c r="CBT65" s="293"/>
      <x:c r="CBU65" s="293"/>
      <x:c r="CBV65" s="293"/>
      <x:c r="CBW65" s="293"/>
      <x:c r="CBX65" s="293"/>
      <x:c r="CBY65" s="293"/>
      <x:c r="CBZ65" s="293"/>
      <x:c r="CCA65" s="293"/>
      <x:c r="CCB65" s="293"/>
      <x:c r="CCC65" s="293"/>
      <x:c r="CCD65" s="293"/>
      <x:c r="CCE65" s="293"/>
      <x:c r="CCF65" s="293"/>
      <x:c r="CCG65" s="293"/>
      <x:c r="CCH65" s="293"/>
      <x:c r="CCI65" s="293"/>
      <x:c r="CCJ65" s="293"/>
      <x:c r="CCK65" s="293"/>
      <x:c r="CCL65" s="293"/>
      <x:c r="CCM65" s="293"/>
      <x:c r="CCN65" s="293"/>
      <x:c r="CCO65" s="293"/>
      <x:c r="CCP65" s="293"/>
      <x:c r="CCQ65" s="293"/>
      <x:c r="CCR65" s="293"/>
      <x:c r="CCS65" s="293"/>
      <x:c r="CCT65" s="293"/>
      <x:c r="CCU65" s="293"/>
      <x:c r="CCV65" s="293"/>
      <x:c r="CCW65" s="293"/>
      <x:c r="CCX65" s="293"/>
      <x:c r="CCY65" s="293"/>
      <x:c r="CCZ65" s="293"/>
      <x:c r="CDA65" s="293"/>
      <x:c r="CDB65" s="293"/>
      <x:c r="CDC65" s="293"/>
      <x:c r="CDD65" s="293"/>
      <x:c r="CDE65" s="293"/>
      <x:c r="CDF65" s="293"/>
      <x:c r="CDG65" s="293"/>
      <x:c r="CDH65" s="293"/>
      <x:c r="CDI65" s="293"/>
      <x:c r="CDJ65" s="293"/>
      <x:c r="CDK65" s="293"/>
      <x:c r="CDL65" s="293"/>
      <x:c r="CDM65" s="293"/>
      <x:c r="CDN65" s="293"/>
      <x:c r="CDO65" s="293"/>
      <x:c r="CDP65" s="293"/>
      <x:c r="CDQ65" s="293"/>
      <x:c r="CDR65" s="293"/>
      <x:c r="CDS65" s="293"/>
      <x:c r="CDT65" s="293"/>
      <x:c r="CDU65" s="293"/>
      <x:c r="CDV65" s="293"/>
      <x:c r="CDW65" s="293"/>
      <x:c r="CDX65" s="293"/>
      <x:c r="CDY65" s="293"/>
      <x:c r="CDZ65" s="293"/>
      <x:c r="CEA65" s="293"/>
      <x:c r="CEB65" s="293"/>
      <x:c r="CEC65" s="293"/>
      <x:c r="CED65" s="293"/>
      <x:c r="CEE65" s="293"/>
      <x:c r="CEF65" s="293"/>
      <x:c r="CEG65" s="293"/>
      <x:c r="CEH65" s="293"/>
      <x:c r="CEI65" s="293"/>
      <x:c r="CEJ65" s="293"/>
      <x:c r="CEK65" s="293"/>
      <x:c r="CEL65" s="293"/>
      <x:c r="CEM65" s="293"/>
      <x:c r="CEN65" s="293"/>
      <x:c r="CEO65" s="293"/>
      <x:c r="CEP65" s="293"/>
      <x:c r="CEQ65" s="293"/>
      <x:c r="CER65" s="293"/>
      <x:c r="CES65" s="293"/>
      <x:c r="CET65" s="293"/>
      <x:c r="CEU65" s="293"/>
      <x:c r="CEV65" s="293"/>
      <x:c r="CEW65" s="293"/>
      <x:c r="CEX65" s="293"/>
      <x:c r="CEY65" s="293"/>
      <x:c r="CEZ65" s="293"/>
      <x:c r="CFA65" s="293"/>
      <x:c r="CFB65" s="293"/>
      <x:c r="CFC65" s="293"/>
      <x:c r="CFD65" s="293"/>
      <x:c r="CFE65" s="293"/>
      <x:c r="CFF65" s="293"/>
      <x:c r="CFG65" s="293"/>
      <x:c r="CFH65" s="293"/>
      <x:c r="CFI65" s="293"/>
      <x:c r="CFJ65" s="293"/>
      <x:c r="CFK65" s="293"/>
      <x:c r="CFL65" s="293"/>
      <x:c r="CFM65" s="293"/>
      <x:c r="CFN65" s="293"/>
      <x:c r="CFO65" s="293"/>
      <x:c r="CFP65" s="293"/>
      <x:c r="CFQ65" s="293"/>
      <x:c r="CFR65" s="293"/>
      <x:c r="CFS65" s="293"/>
      <x:c r="CFT65" s="293"/>
      <x:c r="CFU65" s="293"/>
      <x:c r="CFV65" s="293"/>
      <x:c r="CFW65" s="293"/>
      <x:c r="CFX65" s="293"/>
      <x:c r="CFY65" s="293"/>
      <x:c r="CFZ65" s="293"/>
      <x:c r="CGA65" s="293"/>
      <x:c r="CGB65" s="293"/>
      <x:c r="CGC65" s="293"/>
      <x:c r="CGD65" s="293"/>
      <x:c r="CGE65" s="293"/>
      <x:c r="CGF65" s="293"/>
      <x:c r="CGG65" s="293"/>
      <x:c r="CGH65" s="293"/>
      <x:c r="CGI65" s="293"/>
      <x:c r="CGJ65" s="293"/>
      <x:c r="CGK65" s="293"/>
      <x:c r="CGL65" s="293"/>
      <x:c r="CGM65" s="293"/>
      <x:c r="CGN65" s="293"/>
      <x:c r="CGO65" s="293"/>
      <x:c r="CGP65" s="293"/>
      <x:c r="CGQ65" s="293"/>
      <x:c r="CGR65" s="293"/>
      <x:c r="CGS65" s="293"/>
      <x:c r="CGT65" s="293"/>
      <x:c r="CGU65" s="293"/>
      <x:c r="CGV65" s="293"/>
      <x:c r="CGW65" s="293"/>
      <x:c r="CGX65" s="293"/>
      <x:c r="CGY65" s="293"/>
      <x:c r="CGZ65" s="293"/>
      <x:c r="CHA65" s="293"/>
      <x:c r="CHB65" s="293"/>
      <x:c r="CHC65" s="293"/>
      <x:c r="CHD65" s="293"/>
      <x:c r="CHE65" s="293"/>
      <x:c r="CHF65" s="293"/>
      <x:c r="CHG65" s="293"/>
      <x:c r="CHH65" s="293"/>
      <x:c r="CHI65" s="293"/>
      <x:c r="CHJ65" s="293"/>
      <x:c r="CHK65" s="293"/>
      <x:c r="CHL65" s="293"/>
      <x:c r="CHM65" s="293"/>
      <x:c r="CHN65" s="293"/>
      <x:c r="CHO65" s="293"/>
      <x:c r="CHP65" s="293"/>
      <x:c r="CHQ65" s="293"/>
      <x:c r="CHR65" s="293"/>
      <x:c r="CHS65" s="293"/>
      <x:c r="CHT65" s="293"/>
      <x:c r="CHU65" s="293"/>
      <x:c r="CHV65" s="293"/>
      <x:c r="CHW65" s="293"/>
      <x:c r="CHX65" s="293"/>
      <x:c r="CHY65" s="293"/>
      <x:c r="CHZ65" s="293"/>
      <x:c r="CIA65" s="293"/>
      <x:c r="CIB65" s="293"/>
      <x:c r="CIC65" s="293"/>
      <x:c r="CID65" s="293"/>
      <x:c r="CIE65" s="293"/>
      <x:c r="CIF65" s="293"/>
      <x:c r="CIG65" s="293"/>
      <x:c r="CIH65" s="293"/>
      <x:c r="CII65" s="293"/>
      <x:c r="CIJ65" s="293"/>
      <x:c r="CIK65" s="293"/>
      <x:c r="CIL65" s="293"/>
      <x:c r="CIM65" s="293"/>
      <x:c r="CIN65" s="293"/>
      <x:c r="CIO65" s="293"/>
      <x:c r="CIP65" s="293"/>
      <x:c r="CIQ65" s="293"/>
      <x:c r="CIR65" s="293"/>
      <x:c r="CIS65" s="293"/>
      <x:c r="CIT65" s="293"/>
      <x:c r="CIU65" s="293"/>
      <x:c r="CIV65" s="293"/>
      <x:c r="CIW65" s="293"/>
      <x:c r="CIX65" s="293"/>
      <x:c r="CIY65" s="293"/>
      <x:c r="CIZ65" s="293"/>
      <x:c r="CJA65" s="293"/>
      <x:c r="CJB65" s="293"/>
      <x:c r="CJC65" s="293"/>
      <x:c r="CJD65" s="293"/>
      <x:c r="CJE65" s="293"/>
      <x:c r="CJF65" s="293"/>
      <x:c r="CJG65" s="293"/>
      <x:c r="CJH65" s="293"/>
      <x:c r="CJI65" s="293"/>
      <x:c r="CJJ65" s="293"/>
      <x:c r="CJK65" s="293"/>
      <x:c r="CJL65" s="293"/>
      <x:c r="CJM65" s="293"/>
      <x:c r="CJN65" s="293"/>
      <x:c r="CJO65" s="293"/>
      <x:c r="CJP65" s="293"/>
      <x:c r="CJQ65" s="293"/>
      <x:c r="CJR65" s="293"/>
      <x:c r="CJS65" s="293"/>
      <x:c r="CJT65" s="293"/>
      <x:c r="CJU65" s="293"/>
      <x:c r="CJV65" s="293"/>
      <x:c r="CJW65" s="293"/>
      <x:c r="CJX65" s="293"/>
      <x:c r="CJY65" s="293"/>
      <x:c r="CJZ65" s="293"/>
      <x:c r="CKA65" s="293"/>
      <x:c r="CKB65" s="293"/>
      <x:c r="CKC65" s="293"/>
      <x:c r="CKD65" s="293"/>
      <x:c r="CKE65" s="293"/>
      <x:c r="CKF65" s="293"/>
      <x:c r="CKG65" s="293"/>
      <x:c r="CKH65" s="293"/>
      <x:c r="CKI65" s="293"/>
      <x:c r="CKJ65" s="293"/>
      <x:c r="CKK65" s="293"/>
      <x:c r="CKL65" s="293"/>
      <x:c r="CKM65" s="293"/>
      <x:c r="CKN65" s="293"/>
      <x:c r="CKO65" s="293"/>
      <x:c r="CKP65" s="293"/>
      <x:c r="CKQ65" s="293"/>
      <x:c r="CKR65" s="293"/>
      <x:c r="CKS65" s="293"/>
      <x:c r="CKT65" s="293"/>
      <x:c r="CKU65" s="293"/>
      <x:c r="CKV65" s="293"/>
      <x:c r="CKW65" s="293"/>
      <x:c r="CKX65" s="293"/>
      <x:c r="CKY65" s="293"/>
      <x:c r="CKZ65" s="293"/>
      <x:c r="CLA65" s="293"/>
      <x:c r="CLB65" s="293"/>
      <x:c r="CLC65" s="293"/>
      <x:c r="CLD65" s="293"/>
      <x:c r="CLE65" s="293"/>
      <x:c r="CLF65" s="293"/>
      <x:c r="CLG65" s="293"/>
      <x:c r="CLH65" s="293"/>
      <x:c r="CLI65" s="293"/>
      <x:c r="CLJ65" s="293"/>
      <x:c r="CLK65" s="293"/>
      <x:c r="CLL65" s="293"/>
      <x:c r="CLM65" s="293"/>
      <x:c r="CLN65" s="293"/>
      <x:c r="CLO65" s="293"/>
      <x:c r="CLP65" s="293"/>
      <x:c r="CLQ65" s="293"/>
      <x:c r="CLR65" s="293"/>
      <x:c r="CLS65" s="293"/>
      <x:c r="CLT65" s="293"/>
      <x:c r="CLU65" s="293"/>
      <x:c r="CLV65" s="293"/>
      <x:c r="CLW65" s="293"/>
      <x:c r="CLX65" s="293"/>
      <x:c r="CLY65" s="293"/>
      <x:c r="CLZ65" s="293"/>
      <x:c r="CMA65" s="293"/>
      <x:c r="CMB65" s="293"/>
      <x:c r="CMC65" s="293"/>
      <x:c r="CMD65" s="293"/>
      <x:c r="CME65" s="293"/>
      <x:c r="CMF65" s="293"/>
      <x:c r="CMG65" s="293"/>
      <x:c r="CMH65" s="293"/>
      <x:c r="CMI65" s="293"/>
      <x:c r="CMJ65" s="293"/>
      <x:c r="CMK65" s="293"/>
      <x:c r="CML65" s="293"/>
      <x:c r="CMM65" s="293"/>
      <x:c r="CMN65" s="293"/>
      <x:c r="CMO65" s="293"/>
      <x:c r="CMP65" s="293"/>
      <x:c r="CMQ65" s="293"/>
      <x:c r="CMR65" s="293"/>
      <x:c r="CMS65" s="293"/>
      <x:c r="CMT65" s="293"/>
      <x:c r="CMU65" s="293"/>
      <x:c r="CMV65" s="293"/>
      <x:c r="CMW65" s="293"/>
      <x:c r="CMX65" s="293"/>
      <x:c r="CMY65" s="293"/>
      <x:c r="CMZ65" s="293"/>
      <x:c r="CNA65" s="293"/>
      <x:c r="CNB65" s="293"/>
      <x:c r="CNC65" s="293"/>
      <x:c r="CND65" s="293"/>
      <x:c r="CNE65" s="293"/>
      <x:c r="CNF65" s="293"/>
      <x:c r="CNG65" s="293"/>
      <x:c r="CNH65" s="293"/>
      <x:c r="CNI65" s="293"/>
      <x:c r="CNJ65" s="293"/>
      <x:c r="CNK65" s="293"/>
      <x:c r="CNL65" s="293"/>
      <x:c r="CNM65" s="293"/>
      <x:c r="CNN65" s="293"/>
      <x:c r="CNO65" s="293"/>
      <x:c r="CNP65" s="293"/>
      <x:c r="CNQ65" s="293"/>
      <x:c r="CNR65" s="293"/>
      <x:c r="CNS65" s="293"/>
      <x:c r="CNT65" s="293"/>
      <x:c r="CNU65" s="293"/>
      <x:c r="CNV65" s="293"/>
      <x:c r="CNW65" s="293"/>
      <x:c r="CNX65" s="293"/>
      <x:c r="CNY65" s="293"/>
      <x:c r="CNZ65" s="293"/>
      <x:c r="COA65" s="293"/>
      <x:c r="COB65" s="293"/>
      <x:c r="COC65" s="293"/>
      <x:c r="COD65" s="293"/>
      <x:c r="COE65" s="293"/>
      <x:c r="COF65" s="293"/>
      <x:c r="COG65" s="293"/>
      <x:c r="COH65" s="293"/>
      <x:c r="COI65" s="293"/>
      <x:c r="COJ65" s="293"/>
      <x:c r="COK65" s="293"/>
      <x:c r="COL65" s="293"/>
      <x:c r="COM65" s="293"/>
      <x:c r="CON65" s="293"/>
      <x:c r="COO65" s="293"/>
      <x:c r="COP65" s="293"/>
      <x:c r="COQ65" s="293"/>
      <x:c r="COR65" s="293"/>
      <x:c r="COS65" s="293"/>
      <x:c r="COT65" s="293"/>
      <x:c r="COU65" s="293"/>
      <x:c r="COV65" s="293"/>
      <x:c r="COW65" s="293"/>
      <x:c r="COX65" s="293"/>
      <x:c r="COY65" s="293"/>
      <x:c r="COZ65" s="293"/>
      <x:c r="CPA65" s="293"/>
      <x:c r="CPB65" s="293"/>
      <x:c r="CPC65" s="293"/>
      <x:c r="CPD65" s="293"/>
      <x:c r="CPE65" s="293"/>
      <x:c r="CPF65" s="293"/>
      <x:c r="CPG65" s="293"/>
      <x:c r="CPH65" s="293"/>
      <x:c r="CPI65" s="293"/>
      <x:c r="CPJ65" s="293"/>
      <x:c r="CPK65" s="293"/>
      <x:c r="CPL65" s="293"/>
      <x:c r="CPM65" s="293"/>
      <x:c r="CPN65" s="293"/>
      <x:c r="CPO65" s="293"/>
      <x:c r="CPP65" s="293"/>
      <x:c r="CPQ65" s="293"/>
      <x:c r="CPR65" s="293"/>
      <x:c r="CPS65" s="293"/>
      <x:c r="CPT65" s="293"/>
      <x:c r="CPU65" s="293"/>
      <x:c r="CPV65" s="293"/>
      <x:c r="CPW65" s="293"/>
      <x:c r="CPX65" s="293"/>
      <x:c r="CPY65" s="293"/>
      <x:c r="CPZ65" s="293"/>
      <x:c r="CQA65" s="293"/>
      <x:c r="CQB65" s="293"/>
      <x:c r="CQC65" s="293"/>
      <x:c r="CQD65" s="293"/>
      <x:c r="CQE65" s="293"/>
      <x:c r="CQF65" s="293"/>
      <x:c r="CQG65" s="293"/>
      <x:c r="CQH65" s="293"/>
      <x:c r="CQI65" s="293"/>
      <x:c r="CQJ65" s="293"/>
      <x:c r="CQK65" s="293"/>
      <x:c r="CQL65" s="293"/>
      <x:c r="CQM65" s="293"/>
      <x:c r="CQN65" s="293"/>
      <x:c r="CQO65" s="293"/>
      <x:c r="CQP65" s="293"/>
      <x:c r="CQQ65" s="293"/>
      <x:c r="CQR65" s="293"/>
      <x:c r="CQS65" s="293"/>
      <x:c r="CQT65" s="293"/>
      <x:c r="CQU65" s="293"/>
      <x:c r="CQV65" s="293"/>
      <x:c r="CQW65" s="293"/>
      <x:c r="CQX65" s="293"/>
      <x:c r="CQY65" s="293"/>
      <x:c r="CQZ65" s="293"/>
      <x:c r="CRA65" s="293"/>
      <x:c r="CRB65" s="293"/>
      <x:c r="CRC65" s="293"/>
      <x:c r="CRD65" s="293"/>
      <x:c r="CRE65" s="293"/>
      <x:c r="CRF65" s="293"/>
      <x:c r="CRG65" s="293"/>
      <x:c r="CRH65" s="293"/>
      <x:c r="CRI65" s="293"/>
      <x:c r="CRJ65" s="293"/>
      <x:c r="CRK65" s="293"/>
      <x:c r="CRL65" s="293"/>
      <x:c r="CRM65" s="293"/>
      <x:c r="CRN65" s="293"/>
      <x:c r="CRO65" s="293"/>
      <x:c r="CRP65" s="293"/>
      <x:c r="CRQ65" s="293"/>
      <x:c r="CRR65" s="293"/>
      <x:c r="CRS65" s="293"/>
      <x:c r="CRT65" s="293"/>
      <x:c r="CRU65" s="293"/>
      <x:c r="CRV65" s="293"/>
      <x:c r="CRW65" s="293"/>
      <x:c r="CRX65" s="293"/>
      <x:c r="CRY65" s="293"/>
      <x:c r="CRZ65" s="293"/>
      <x:c r="CSA65" s="293"/>
      <x:c r="CSB65" s="293"/>
      <x:c r="CSC65" s="293"/>
      <x:c r="CSD65" s="293"/>
      <x:c r="CSE65" s="293"/>
      <x:c r="CSF65" s="293"/>
      <x:c r="CSG65" s="293"/>
      <x:c r="CSH65" s="293"/>
      <x:c r="CSI65" s="293"/>
      <x:c r="CSJ65" s="293"/>
      <x:c r="CSK65" s="293"/>
      <x:c r="CSL65" s="293"/>
      <x:c r="CSM65" s="293"/>
      <x:c r="CSN65" s="293"/>
      <x:c r="CSO65" s="293"/>
      <x:c r="CSP65" s="293"/>
      <x:c r="CSQ65" s="293"/>
      <x:c r="CSR65" s="293"/>
      <x:c r="CSS65" s="293"/>
      <x:c r="CST65" s="293"/>
      <x:c r="CSU65" s="293"/>
      <x:c r="CSV65" s="293"/>
      <x:c r="CSW65" s="293"/>
      <x:c r="CSX65" s="293"/>
      <x:c r="CSY65" s="293"/>
      <x:c r="CSZ65" s="293"/>
      <x:c r="CTA65" s="293"/>
      <x:c r="CTB65" s="293"/>
      <x:c r="CTC65" s="293"/>
      <x:c r="CTD65" s="293"/>
      <x:c r="CTE65" s="293"/>
      <x:c r="CTF65" s="293"/>
      <x:c r="CTG65" s="293"/>
      <x:c r="CTH65" s="293"/>
      <x:c r="CTI65" s="293"/>
      <x:c r="CTJ65" s="293"/>
      <x:c r="CTK65" s="293"/>
      <x:c r="CTL65" s="293"/>
      <x:c r="CTM65" s="293"/>
      <x:c r="CTN65" s="293"/>
      <x:c r="CTO65" s="293"/>
      <x:c r="CTP65" s="293"/>
      <x:c r="CTQ65" s="293"/>
      <x:c r="CTR65" s="293"/>
      <x:c r="CTS65" s="293"/>
      <x:c r="CTT65" s="293"/>
      <x:c r="CTU65" s="293"/>
      <x:c r="CTV65" s="293"/>
      <x:c r="CTW65" s="293"/>
      <x:c r="CTX65" s="293"/>
      <x:c r="CTY65" s="293"/>
      <x:c r="CTZ65" s="293"/>
      <x:c r="CUA65" s="293"/>
      <x:c r="CUB65" s="293"/>
      <x:c r="CUC65" s="293"/>
      <x:c r="CUD65" s="293"/>
      <x:c r="CUE65" s="293"/>
      <x:c r="CUF65" s="293"/>
      <x:c r="CUG65" s="293"/>
      <x:c r="CUH65" s="293"/>
      <x:c r="CUI65" s="293"/>
      <x:c r="CUJ65" s="293"/>
      <x:c r="CUK65" s="293"/>
      <x:c r="CUL65" s="293"/>
      <x:c r="CUM65" s="293"/>
      <x:c r="CUN65" s="293"/>
      <x:c r="CUO65" s="293"/>
      <x:c r="CUP65" s="293"/>
      <x:c r="CUQ65" s="293"/>
      <x:c r="CUR65" s="293"/>
      <x:c r="CUS65" s="293"/>
      <x:c r="CUT65" s="293"/>
      <x:c r="CUU65" s="293"/>
      <x:c r="CUV65" s="293"/>
      <x:c r="CUW65" s="293"/>
      <x:c r="CUX65" s="293"/>
      <x:c r="CUY65" s="293"/>
      <x:c r="CUZ65" s="293"/>
      <x:c r="CVA65" s="293"/>
      <x:c r="CVB65" s="293"/>
      <x:c r="CVC65" s="293"/>
      <x:c r="CVD65" s="293"/>
      <x:c r="CVE65" s="293"/>
      <x:c r="CVF65" s="293"/>
      <x:c r="CVG65" s="293"/>
      <x:c r="CVH65" s="293"/>
      <x:c r="CVI65" s="293"/>
      <x:c r="CVJ65" s="293"/>
      <x:c r="CVK65" s="293"/>
      <x:c r="CVL65" s="293"/>
      <x:c r="CVM65" s="293"/>
      <x:c r="CVN65" s="293"/>
      <x:c r="CVO65" s="293"/>
      <x:c r="CVP65" s="293"/>
      <x:c r="CVQ65" s="293"/>
      <x:c r="CVR65" s="293"/>
      <x:c r="CVS65" s="293"/>
      <x:c r="CVT65" s="293"/>
      <x:c r="CVU65" s="293"/>
      <x:c r="CVV65" s="293"/>
      <x:c r="CVW65" s="293"/>
      <x:c r="CVX65" s="293"/>
      <x:c r="CVY65" s="293"/>
      <x:c r="CVZ65" s="293"/>
      <x:c r="CWA65" s="293"/>
      <x:c r="CWB65" s="293"/>
      <x:c r="CWC65" s="293"/>
      <x:c r="CWD65" s="293"/>
      <x:c r="CWE65" s="293"/>
      <x:c r="CWF65" s="293"/>
      <x:c r="CWG65" s="293"/>
      <x:c r="CWH65" s="293"/>
      <x:c r="CWI65" s="293"/>
      <x:c r="CWJ65" s="293"/>
      <x:c r="CWK65" s="293"/>
      <x:c r="CWL65" s="293"/>
      <x:c r="CWM65" s="293"/>
      <x:c r="CWN65" s="293"/>
      <x:c r="CWO65" s="293"/>
      <x:c r="CWP65" s="293"/>
      <x:c r="CWQ65" s="293"/>
      <x:c r="CWR65" s="293"/>
      <x:c r="CWS65" s="293"/>
      <x:c r="CWT65" s="293"/>
      <x:c r="CWU65" s="293"/>
      <x:c r="CWV65" s="293"/>
      <x:c r="CWW65" s="293"/>
      <x:c r="CWX65" s="293"/>
      <x:c r="CWY65" s="293"/>
      <x:c r="CWZ65" s="293"/>
      <x:c r="CXA65" s="293"/>
      <x:c r="CXB65" s="293"/>
      <x:c r="CXC65" s="293"/>
      <x:c r="CXD65" s="293"/>
      <x:c r="CXE65" s="293"/>
      <x:c r="CXF65" s="293"/>
      <x:c r="CXG65" s="293"/>
      <x:c r="CXH65" s="293"/>
      <x:c r="CXI65" s="293"/>
      <x:c r="CXJ65" s="293"/>
      <x:c r="CXK65" s="293"/>
      <x:c r="CXL65" s="293"/>
      <x:c r="CXM65" s="293"/>
      <x:c r="CXN65" s="293"/>
      <x:c r="CXO65" s="293"/>
      <x:c r="CXP65" s="293"/>
      <x:c r="CXQ65" s="293"/>
      <x:c r="CXR65" s="293"/>
      <x:c r="CXS65" s="293"/>
      <x:c r="CXT65" s="293"/>
      <x:c r="CXU65" s="293"/>
      <x:c r="CXV65" s="293"/>
      <x:c r="CXW65" s="293"/>
      <x:c r="CXX65" s="293"/>
      <x:c r="CXY65" s="293"/>
      <x:c r="CXZ65" s="293"/>
      <x:c r="CYA65" s="293"/>
      <x:c r="CYB65" s="293"/>
      <x:c r="CYC65" s="293"/>
      <x:c r="CYD65" s="293"/>
      <x:c r="CYE65" s="293"/>
      <x:c r="CYF65" s="293"/>
      <x:c r="CYG65" s="293"/>
      <x:c r="CYH65" s="293"/>
      <x:c r="CYI65" s="293"/>
      <x:c r="CYJ65" s="293"/>
      <x:c r="CYK65" s="293"/>
      <x:c r="CYL65" s="293"/>
      <x:c r="CYM65" s="293"/>
      <x:c r="CYN65" s="293"/>
      <x:c r="CYO65" s="293"/>
      <x:c r="CYP65" s="293"/>
      <x:c r="CYQ65" s="293"/>
      <x:c r="CYR65" s="293"/>
      <x:c r="CYS65" s="293"/>
      <x:c r="CYT65" s="293"/>
      <x:c r="CYU65" s="293"/>
      <x:c r="CYV65" s="293"/>
      <x:c r="CYW65" s="293"/>
      <x:c r="CYX65" s="293"/>
      <x:c r="CYY65" s="293"/>
      <x:c r="CYZ65" s="293"/>
      <x:c r="CZA65" s="293"/>
      <x:c r="CZB65" s="293"/>
      <x:c r="CZC65" s="293"/>
      <x:c r="CZD65" s="293"/>
      <x:c r="CZE65" s="293"/>
      <x:c r="CZF65" s="293"/>
      <x:c r="CZG65" s="293"/>
      <x:c r="CZH65" s="293"/>
      <x:c r="CZI65" s="293"/>
      <x:c r="CZJ65" s="293"/>
      <x:c r="CZK65" s="293"/>
      <x:c r="CZL65" s="293"/>
      <x:c r="CZM65" s="293"/>
      <x:c r="CZN65" s="293"/>
      <x:c r="CZO65" s="293"/>
      <x:c r="CZP65" s="293"/>
      <x:c r="CZQ65" s="293"/>
      <x:c r="CZR65" s="293"/>
      <x:c r="CZS65" s="293"/>
      <x:c r="CZT65" s="293"/>
      <x:c r="CZU65" s="293"/>
      <x:c r="CZV65" s="293"/>
      <x:c r="CZW65" s="293"/>
      <x:c r="CZX65" s="293"/>
      <x:c r="CZY65" s="293"/>
      <x:c r="CZZ65" s="293"/>
      <x:c r="DAA65" s="293"/>
      <x:c r="DAB65" s="293"/>
      <x:c r="DAC65" s="293"/>
      <x:c r="DAD65" s="293"/>
      <x:c r="DAE65" s="293"/>
      <x:c r="DAF65" s="293"/>
      <x:c r="DAG65" s="293"/>
      <x:c r="DAH65" s="293"/>
      <x:c r="DAI65" s="293"/>
      <x:c r="DAJ65" s="293"/>
      <x:c r="DAK65" s="293"/>
      <x:c r="DAL65" s="293"/>
      <x:c r="DAM65" s="293"/>
      <x:c r="DAN65" s="293"/>
      <x:c r="DAO65" s="293"/>
      <x:c r="DAP65" s="293"/>
      <x:c r="DAQ65" s="293"/>
      <x:c r="DAR65" s="293"/>
      <x:c r="DAS65" s="293"/>
      <x:c r="DAT65" s="293"/>
      <x:c r="DAU65" s="293"/>
      <x:c r="DAV65" s="293"/>
      <x:c r="DAW65" s="293"/>
      <x:c r="DAX65" s="293"/>
      <x:c r="DAY65" s="293"/>
      <x:c r="DAZ65" s="293"/>
      <x:c r="DBA65" s="293"/>
      <x:c r="DBB65" s="293"/>
      <x:c r="DBC65" s="293"/>
      <x:c r="DBD65" s="293"/>
      <x:c r="DBE65" s="293"/>
      <x:c r="DBF65" s="293"/>
      <x:c r="DBG65" s="293"/>
      <x:c r="DBH65" s="293"/>
      <x:c r="DBI65" s="293"/>
      <x:c r="DBJ65" s="293"/>
      <x:c r="DBK65" s="293"/>
      <x:c r="DBL65" s="293"/>
      <x:c r="DBM65" s="293"/>
      <x:c r="DBN65" s="293"/>
      <x:c r="DBO65" s="293"/>
      <x:c r="DBP65" s="293"/>
      <x:c r="DBQ65" s="293"/>
      <x:c r="DBR65" s="293"/>
      <x:c r="DBS65" s="293"/>
      <x:c r="DBT65" s="293"/>
      <x:c r="DBU65" s="293"/>
      <x:c r="DBV65" s="293"/>
      <x:c r="DBW65" s="293"/>
      <x:c r="DBX65" s="293"/>
      <x:c r="DBY65" s="293"/>
      <x:c r="DBZ65" s="293"/>
      <x:c r="DCA65" s="293"/>
      <x:c r="DCB65" s="293"/>
      <x:c r="DCC65" s="293"/>
      <x:c r="DCD65" s="293"/>
      <x:c r="DCE65" s="293"/>
      <x:c r="DCF65" s="293"/>
      <x:c r="DCG65" s="293"/>
      <x:c r="DCH65" s="293"/>
      <x:c r="DCI65" s="293"/>
      <x:c r="DCJ65" s="293"/>
      <x:c r="DCK65" s="293"/>
      <x:c r="DCL65" s="293"/>
      <x:c r="DCM65" s="293"/>
      <x:c r="DCN65" s="293"/>
      <x:c r="DCO65" s="293"/>
      <x:c r="DCP65" s="293"/>
      <x:c r="DCQ65" s="293"/>
      <x:c r="DCR65" s="293"/>
      <x:c r="DCS65" s="293"/>
      <x:c r="DCT65" s="293"/>
      <x:c r="DCU65" s="293"/>
      <x:c r="DCV65" s="293"/>
      <x:c r="DCW65" s="293"/>
      <x:c r="DCX65" s="293"/>
      <x:c r="DCY65" s="293"/>
      <x:c r="DCZ65" s="293"/>
      <x:c r="DDA65" s="293"/>
      <x:c r="DDB65" s="293"/>
      <x:c r="DDC65" s="293"/>
      <x:c r="DDD65" s="293"/>
      <x:c r="DDE65" s="293"/>
      <x:c r="DDF65" s="293"/>
      <x:c r="DDG65" s="293"/>
      <x:c r="DDH65" s="293"/>
      <x:c r="DDI65" s="293"/>
      <x:c r="DDJ65" s="293"/>
      <x:c r="DDK65" s="293"/>
      <x:c r="DDL65" s="293"/>
      <x:c r="DDM65" s="293"/>
      <x:c r="DDN65" s="293"/>
      <x:c r="DDO65" s="293"/>
      <x:c r="DDP65" s="293"/>
      <x:c r="DDQ65" s="293"/>
      <x:c r="DDR65" s="293"/>
      <x:c r="DDS65" s="293"/>
      <x:c r="DDT65" s="293"/>
      <x:c r="DDU65" s="293"/>
      <x:c r="DDV65" s="293"/>
      <x:c r="DDW65" s="293"/>
      <x:c r="DDX65" s="293"/>
      <x:c r="DDY65" s="293"/>
      <x:c r="DDZ65" s="293"/>
      <x:c r="DEA65" s="293"/>
      <x:c r="DEB65" s="293"/>
      <x:c r="DEC65" s="293"/>
      <x:c r="DED65" s="293"/>
      <x:c r="DEE65" s="293"/>
      <x:c r="DEF65" s="293"/>
      <x:c r="DEG65" s="293"/>
      <x:c r="DEH65" s="293"/>
      <x:c r="DEI65" s="293"/>
      <x:c r="DEJ65" s="293"/>
      <x:c r="DEK65" s="293"/>
      <x:c r="DEL65" s="293"/>
      <x:c r="DEM65" s="293"/>
      <x:c r="DEN65" s="293"/>
      <x:c r="DEO65" s="293"/>
      <x:c r="DEP65" s="293"/>
      <x:c r="DEQ65" s="293"/>
      <x:c r="DER65" s="293"/>
      <x:c r="DES65" s="293"/>
      <x:c r="DET65" s="293"/>
      <x:c r="DEU65" s="293"/>
      <x:c r="DEV65" s="293"/>
      <x:c r="DEW65" s="293"/>
      <x:c r="DEX65" s="293"/>
      <x:c r="DEY65" s="293"/>
      <x:c r="DEZ65" s="293"/>
      <x:c r="DFA65" s="293"/>
      <x:c r="DFB65" s="293"/>
      <x:c r="DFC65" s="293"/>
      <x:c r="DFD65" s="293"/>
      <x:c r="DFE65" s="293"/>
      <x:c r="DFF65" s="293"/>
      <x:c r="DFG65" s="293"/>
      <x:c r="DFH65" s="293"/>
      <x:c r="DFI65" s="293"/>
      <x:c r="DFJ65" s="293"/>
      <x:c r="DFK65" s="293"/>
      <x:c r="DFL65" s="293"/>
      <x:c r="DFM65" s="293"/>
      <x:c r="DFN65" s="293"/>
      <x:c r="DFO65" s="293"/>
      <x:c r="DFP65" s="293"/>
      <x:c r="DFQ65" s="293"/>
      <x:c r="DFR65" s="293"/>
      <x:c r="DFS65" s="293"/>
      <x:c r="DFT65" s="293"/>
      <x:c r="DFU65" s="293"/>
      <x:c r="DFV65" s="293"/>
      <x:c r="DFW65" s="293"/>
      <x:c r="DFX65" s="293"/>
      <x:c r="DFY65" s="293"/>
      <x:c r="DFZ65" s="293"/>
      <x:c r="DGA65" s="293"/>
      <x:c r="DGB65" s="293"/>
      <x:c r="DGC65" s="293"/>
      <x:c r="DGD65" s="293"/>
      <x:c r="DGE65" s="293"/>
      <x:c r="DGF65" s="293"/>
      <x:c r="DGG65" s="293"/>
      <x:c r="DGH65" s="293"/>
      <x:c r="DGI65" s="293"/>
      <x:c r="DGJ65" s="293"/>
      <x:c r="DGK65" s="293"/>
      <x:c r="DGL65" s="293"/>
      <x:c r="DGM65" s="293"/>
      <x:c r="DGN65" s="293"/>
      <x:c r="DGO65" s="293"/>
      <x:c r="DGP65" s="293"/>
      <x:c r="DGQ65" s="293"/>
      <x:c r="DGR65" s="293"/>
      <x:c r="DGS65" s="293"/>
      <x:c r="DGT65" s="293"/>
      <x:c r="DGU65" s="293"/>
      <x:c r="DGV65" s="293"/>
      <x:c r="DGW65" s="293"/>
      <x:c r="DGX65" s="293"/>
      <x:c r="DGY65" s="293"/>
      <x:c r="DGZ65" s="293"/>
      <x:c r="DHA65" s="293"/>
      <x:c r="DHB65" s="293"/>
      <x:c r="DHC65" s="293"/>
      <x:c r="DHD65" s="293"/>
      <x:c r="DHE65" s="293"/>
      <x:c r="DHF65" s="293"/>
      <x:c r="DHG65" s="293"/>
      <x:c r="DHH65" s="293"/>
      <x:c r="DHI65" s="293"/>
      <x:c r="DHJ65" s="293"/>
      <x:c r="DHK65" s="293"/>
      <x:c r="DHL65" s="293"/>
      <x:c r="DHM65" s="293"/>
      <x:c r="DHN65" s="293"/>
      <x:c r="DHO65" s="293"/>
      <x:c r="DHP65" s="293"/>
      <x:c r="DHQ65" s="293"/>
      <x:c r="DHR65" s="293"/>
      <x:c r="DHS65" s="293"/>
      <x:c r="DHT65" s="293"/>
      <x:c r="DHU65" s="293"/>
      <x:c r="DHV65" s="293"/>
      <x:c r="DHW65" s="293"/>
      <x:c r="DHX65" s="293"/>
      <x:c r="DHY65" s="293"/>
      <x:c r="DHZ65" s="293"/>
      <x:c r="DIA65" s="293"/>
      <x:c r="DIB65" s="293"/>
      <x:c r="DIC65" s="293"/>
      <x:c r="DID65" s="293"/>
      <x:c r="DIE65" s="293"/>
      <x:c r="DIF65" s="293"/>
      <x:c r="DIG65" s="293"/>
      <x:c r="DIH65" s="293"/>
      <x:c r="DII65" s="293"/>
      <x:c r="DIJ65" s="293"/>
      <x:c r="DIK65" s="293"/>
      <x:c r="DIL65" s="293"/>
      <x:c r="DIM65" s="293"/>
      <x:c r="DIN65" s="293"/>
      <x:c r="DIO65" s="293"/>
      <x:c r="DIP65" s="293"/>
      <x:c r="DIQ65" s="293"/>
      <x:c r="DIR65" s="293"/>
      <x:c r="DIS65" s="293"/>
      <x:c r="DIT65" s="293"/>
      <x:c r="DIU65" s="293"/>
      <x:c r="DIV65" s="293"/>
      <x:c r="DIW65" s="293"/>
      <x:c r="DIX65" s="293"/>
      <x:c r="DIY65" s="293"/>
      <x:c r="DIZ65" s="293"/>
      <x:c r="DJA65" s="293"/>
      <x:c r="DJB65" s="293"/>
      <x:c r="DJC65" s="293"/>
      <x:c r="DJD65" s="293"/>
      <x:c r="DJE65" s="293"/>
      <x:c r="DJF65" s="293"/>
      <x:c r="DJG65" s="293"/>
      <x:c r="DJH65" s="293"/>
      <x:c r="DJI65" s="293"/>
      <x:c r="DJJ65" s="293"/>
      <x:c r="DJK65" s="293"/>
      <x:c r="DJL65" s="293"/>
      <x:c r="DJM65" s="293"/>
      <x:c r="DJN65" s="293"/>
      <x:c r="DJO65" s="293"/>
      <x:c r="DJP65" s="293"/>
      <x:c r="DJQ65" s="293"/>
      <x:c r="DJR65" s="293"/>
      <x:c r="DJS65" s="293"/>
      <x:c r="DJT65" s="293"/>
      <x:c r="DJU65" s="293"/>
      <x:c r="DJV65" s="293"/>
      <x:c r="DJW65" s="293"/>
      <x:c r="DJX65" s="293"/>
      <x:c r="DJY65" s="293"/>
      <x:c r="DJZ65" s="293"/>
      <x:c r="DKA65" s="293"/>
      <x:c r="DKB65" s="293"/>
      <x:c r="DKC65" s="293"/>
      <x:c r="DKD65" s="293"/>
      <x:c r="DKE65" s="293"/>
      <x:c r="DKF65" s="293"/>
      <x:c r="DKG65" s="293"/>
      <x:c r="DKH65" s="293"/>
      <x:c r="DKI65" s="293"/>
      <x:c r="DKJ65" s="293"/>
      <x:c r="DKK65" s="293"/>
      <x:c r="DKL65" s="293"/>
      <x:c r="DKM65" s="293"/>
      <x:c r="DKN65" s="293"/>
      <x:c r="DKO65" s="293"/>
      <x:c r="DKP65" s="293"/>
      <x:c r="DKQ65" s="293"/>
      <x:c r="DKR65" s="293"/>
      <x:c r="DKS65" s="293"/>
      <x:c r="DKT65" s="293"/>
      <x:c r="DKU65" s="293"/>
      <x:c r="DKV65" s="293"/>
      <x:c r="DKW65" s="293"/>
      <x:c r="DKX65" s="293"/>
      <x:c r="DKY65" s="293"/>
      <x:c r="DKZ65" s="293"/>
      <x:c r="DLA65" s="293"/>
      <x:c r="DLB65" s="293"/>
      <x:c r="DLC65" s="293"/>
      <x:c r="DLD65" s="293"/>
      <x:c r="DLE65" s="293"/>
      <x:c r="DLF65" s="293"/>
      <x:c r="DLG65" s="293"/>
      <x:c r="DLH65" s="293"/>
      <x:c r="DLI65" s="293"/>
      <x:c r="DLJ65" s="293"/>
      <x:c r="DLK65" s="293"/>
      <x:c r="DLL65" s="293"/>
      <x:c r="DLM65" s="293"/>
      <x:c r="DLN65" s="293"/>
      <x:c r="DLO65" s="293"/>
      <x:c r="DLP65" s="293"/>
      <x:c r="DLQ65" s="293"/>
      <x:c r="DLR65" s="293"/>
      <x:c r="DLS65" s="293"/>
      <x:c r="DLT65" s="293"/>
      <x:c r="DLU65" s="293"/>
      <x:c r="DLV65" s="293"/>
      <x:c r="DLW65" s="293"/>
      <x:c r="DLX65" s="293"/>
      <x:c r="DLY65" s="293"/>
      <x:c r="DLZ65" s="293"/>
      <x:c r="DMA65" s="293"/>
      <x:c r="DMB65" s="293"/>
      <x:c r="DMC65" s="293"/>
      <x:c r="DMD65" s="293"/>
      <x:c r="DME65" s="293"/>
      <x:c r="DMF65" s="293"/>
      <x:c r="DMG65" s="293"/>
      <x:c r="DMH65" s="293"/>
      <x:c r="DMI65" s="293"/>
      <x:c r="DMJ65" s="293"/>
      <x:c r="DMK65" s="293"/>
      <x:c r="DML65" s="293"/>
      <x:c r="DMM65" s="293"/>
      <x:c r="DMN65" s="293"/>
      <x:c r="DMO65" s="293"/>
      <x:c r="DMP65" s="293"/>
      <x:c r="DMQ65" s="293"/>
      <x:c r="DMR65" s="293"/>
      <x:c r="DMS65" s="293"/>
      <x:c r="DMT65" s="293"/>
      <x:c r="DMU65" s="293"/>
      <x:c r="DMV65" s="293"/>
      <x:c r="DMW65" s="293"/>
      <x:c r="DMX65" s="293"/>
      <x:c r="DMY65" s="293"/>
      <x:c r="DMZ65" s="293"/>
      <x:c r="DNA65" s="293"/>
      <x:c r="DNB65" s="293"/>
      <x:c r="DNC65" s="293"/>
      <x:c r="DND65" s="293"/>
      <x:c r="DNE65" s="293"/>
      <x:c r="DNF65" s="293"/>
      <x:c r="DNG65" s="293"/>
      <x:c r="DNH65" s="293"/>
      <x:c r="DNI65" s="293"/>
      <x:c r="DNJ65" s="293"/>
      <x:c r="DNK65" s="293"/>
      <x:c r="DNL65" s="293"/>
      <x:c r="DNM65" s="293"/>
      <x:c r="DNN65" s="293"/>
      <x:c r="DNO65" s="293"/>
      <x:c r="DNP65" s="293"/>
      <x:c r="DNQ65" s="293"/>
      <x:c r="DNR65" s="293"/>
      <x:c r="DNS65" s="293"/>
      <x:c r="DNT65" s="293"/>
      <x:c r="DNU65" s="293"/>
      <x:c r="DNV65" s="293"/>
      <x:c r="DNW65" s="293"/>
      <x:c r="DNX65" s="293"/>
      <x:c r="DNY65" s="293"/>
      <x:c r="DNZ65" s="293"/>
      <x:c r="DOA65" s="293"/>
      <x:c r="DOB65" s="293"/>
      <x:c r="DOC65" s="293"/>
      <x:c r="DOD65" s="293"/>
      <x:c r="DOE65" s="293"/>
      <x:c r="DOF65" s="293"/>
      <x:c r="DOG65" s="293"/>
      <x:c r="DOH65" s="293"/>
      <x:c r="DOI65" s="293"/>
      <x:c r="DOJ65" s="293"/>
      <x:c r="DOK65" s="293"/>
      <x:c r="DOL65" s="293"/>
      <x:c r="DOM65" s="293"/>
      <x:c r="DON65" s="293"/>
      <x:c r="DOO65" s="293"/>
      <x:c r="DOP65" s="293"/>
      <x:c r="DOQ65" s="293"/>
      <x:c r="DOR65" s="293"/>
      <x:c r="DOS65" s="293"/>
      <x:c r="DOT65" s="293"/>
      <x:c r="DOU65" s="293"/>
      <x:c r="DOV65" s="293"/>
      <x:c r="DOW65" s="293"/>
      <x:c r="DOX65" s="293"/>
      <x:c r="DOY65" s="293"/>
      <x:c r="DOZ65" s="293"/>
      <x:c r="DPA65" s="293"/>
      <x:c r="DPB65" s="293"/>
      <x:c r="DPC65" s="293"/>
      <x:c r="DPD65" s="293"/>
      <x:c r="DPE65" s="293"/>
      <x:c r="DPF65" s="293"/>
      <x:c r="DPG65" s="293"/>
      <x:c r="DPH65" s="293"/>
      <x:c r="DPI65" s="293"/>
      <x:c r="DPJ65" s="293"/>
      <x:c r="DPK65" s="293"/>
      <x:c r="DPL65" s="293"/>
      <x:c r="DPM65" s="293"/>
      <x:c r="DPN65" s="293"/>
      <x:c r="DPO65" s="293"/>
      <x:c r="DPP65" s="293"/>
      <x:c r="DPQ65" s="293"/>
      <x:c r="DPR65" s="293"/>
      <x:c r="DPS65" s="293"/>
      <x:c r="DPT65" s="293"/>
      <x:c r="DPU65" s="293"/>
      <x:c r="DPV65" s="293"/>
      <x:c r="DPW65" s="293"/>
      <x:c r="DPX65" s="293"/>
      <x:c r="DPY65" s="293"/>
      <x:c r="DPZ65" s="293"/>
      <x:c r="DQA65" s="293"/>
      <x:c r="DQB65" s="293"/>
      <x:c r="DQC65" s="293"/>
      <x:c r="DQD65" s="293"/>
      <x:c r="DQE65" s="293"/>
      <x:c r="DQF65" s="293"/>
      <x:c r="DQG65" s="293"/>
      <x:c r="DQH65" s="293"/>
      <x:c r="DQI65" s="293"/>
      <x:c r="DQJ65" s="293"/>
      <x:c r="DQK65" s="293"/>
      <x:c r="DQL65" s="293"/>
      <x:c r="DQM65" s="293"/>
      <x:c r="DQN65" s="293"/>
      <x:c r="DQO65" s="293"/>
      <x:c r="DQP65" s="293"/>
      <x:c r="DQQ65" s="293"/>
      <x:c r="DQR65" s="293"/>
      <x:c r="DQS65" s="293"/>
      <x:c r="DQT65" s="293"/>
      <x:c r="DQU65" s="293"/>
      <x:c r="DQV65" s="293"/>
      <x:c r="DQW65" s="293"/>
      <x:c r="DQX65" s="293"/>
      <x:c r="DQY65" s="293"/>
      <x:c r="DQZ65" s="293"/>
      <x:c r="DRA65" s="293"/>
      <x:c r="DRB65" s="293"/>
      <x:c r="DRC65" s="293"/>
      <x:c r="DRD65" s="293"/>
      <x:c r="DRE65" s="293"/>
      <x:c r="DRF65" s="293"/>
      <x:c r="DRG65" s="293"/>
      <x:c r="DRH65" s="293"/>
      <x:c r="DRI65" s="293"/>
      <x:c r="DRJ65" s="293"/>
      <x:c r="DRK65" s="293"/>
      <x:c r="DRL65" s="293"/>
      <x:c r="DRM65" s="293"/>
      <x:c r="DRN65" s="293"/>
      <x:c r="DRO65" s="293"/>
      <x:c r="DRP65" s="293"/>
      <x:c r="DRQ65" s="293"/>
      <x:c r="DRR65" s="293"/>
      <x:c r="DRS65" s="293"/>
      <x:c r="DRT65" s="293"/>
      <x:c r="DRU65" s="293"/>
      <x:c r="DRV65" s="293"/>
      <x:c r="DRW65" s="293"/>
      <x:c r="DRX65" s="293"/>
      <x:c r="DRY65" s="293"/>
      <x:c r="DRZ65" s="293"/>
      <x:c r="DSA65" s="293"/>
      <x:c r="DSB65" s="293"/>
      <x:c r="DSC65" s="293"/>
      <x:c r="DSD65" s="293"/>
      <x:c r="DSE65" s="293"/>
      <x:c r="DSF65" s="293"/>
      <x:c r="DSG65" s="293"/>
      <x:c r="DSH65" s="293"/>
      <x:c r="DSI65" s="293"/>
      <x:c r="DSJ65" s="293"/>
      <x:c r="DSK65" s="293"/>
      <x:c r="DSL65" s="293"/>
      <x:c r="DSM65" s="293"/>
      <x:c r="DSN65" s="293"/>
      <x:c r="DSO65" s="293"/>
      <x:c r="DSP65" s="293"/>
      <x:c r="DSQ65" s="293"/>
      <x:c r="DSR65" s="293"/>
      <x:c r="DSS65" s="293"/>
      <x:c r="DST65" s="293"/>
      <x:c r="DSU65" s="293"/>
      <x:c r="DSV65" s="293"/>
      <x:c r="DSW65" s="293"/>
      <x:c r="DSX65" s="293"/>
      <x:c r="DSY65" s="293"/>
      <x:c r="DSZ65" s="293"/>
      <x:c r="DTA65" s="293"/>
      <x:c r="DTB65" s="293"/>
      <x:c r="DTC65" s="293"/>
      <x:c r="DTD65" s="293"/>
      <x:c r="DTE65" s="293"/>
      <x:c r="DTF65" s="293"/>
      <x:c r="DTG65" s="293"/>
      <x:c r="DTH65" s="293"/>
      <x:c r="DTI65" s="293"/>
      <x:c r="DTJ65" s="293"/>
      <x:c r="DTK65" s="293"/>
      <x:c r="DTL65" s="293"/>
      <x:c r="DTM65" s="293"/>
      <x:c r="DTN65" s="293"/>
      <x:c r="DTO65" s="293"/>
      <x:c r="DTP65" s="293"/>
      <x:c r="DTQ65" s="293"/>
      <x:c r="DTR65" s="293"/>
      <x:c r="DTS65" s="293"/>
      <x:c r="DTT65" s="293"/>
      <x:c r="DTU65" s="293"/>
      <x:c r="DTV65" s="293"/>
      <x:c r="DTW65" s="293"/>
      <x:c r="DTX65" s="293"/>
      <x:c r="DTY65" s="293"/>
      <x:c r="DTZ65" s="293"/>
      <x:c r="DUA65" s="293"/>
      <x:c r="DUB65" s="293"/>
      <x:c r="DUC65" s="293"/>
      <x:c r="DUD65" s="293"/>
      <x:c r="DUE65" s="293"/>
      <x:c r="DUF65" s="293"/>
      <x:c r="DUG65" s="293"/>
      <x:c r="DUH65" s="293"/>
      <x:c r="DUI65" s="293"/>
      <x:c r="DUJ65" s="293"/>
      <x:c r="DUK65" s="293"/>
      <x:c r="DUL65" s="293"/>
      <x:c r="DUM65" s="293"/>
      <x:c r="DUN65" s="293"/>
      <x:c r="DUO65" s="293"/>
      <x:c r="DUP65" s="293"/>
      <x:c r="DUQ65" s="293"/>
      <x:c r="DUR65" s="293"/>
      <x:c r="DUS65" s="293"/>
      <x:c r="DUT65" s="293"/>
      <x:c r="DUU65" s="293"/>
      <x:c r="DUV65" s="293"/>
      <x:c r="DUW65" s="293"/>
      <x:c r="DUX65" s="293"/>
      <x:c r="DUY65" s="293"/>
      <x:c r="DUZ65" s="293"/>
      <x:c r="DVA65" s="293"/>
      <x:c r="DVB65" s="293"/>
      <x:c r="DVC65" s="293"/>
      <x:c r="DVD65" s="293"/>
      <x:c r="DVE65" s="293"/>
      <x:c r="DVF65" s="293"/>
      <x:c r="DVG65" s="293"/>
      <x:c r="DVH65" s="293"/>
      <x:c r="DVI65" s="293"/>
      <x:c r="DVJ65" s="293"/>
      <x:c r="DVK65" s="293"/>
      <x:c r="DVL65" s="293"/>
      <x:c r="DVM65" s="293"/>
      <x:c r="DVN65" s="293"/>
      <x:c r="DVO65" s="293"/>
      <x:c r="DVP65" s="293"/>
      <x:c r="DVQ65" s="293"/>
      <x:c r="DVR65" s="293"/>
      <x:c r="DVS65" s="293"/>
      <x:c r="DVT65" s="293"/>
      <x:c r="DVU65" s="293"/>
      <x:c r="DVV65" s="293"/>
      <x:c r="DVW65" s="293"/>
      <x:c r="DVX65" s="293"/>
      <x:c r="DVY65" s="293"/>
      <x:c r="DVZ65" s="293"/>
      <x:c r="DWA65" s="293"/>
      <x:c r="DWB65" s="293"/>
      <x:c r="DWC65" s="293"/>
      <x:c r="DWD65" s="293"/>
      <x:c r="DWE65" s="293"/>
      <x:c r="DWF65" s="293"/>
      <x:c r="DWG65" s="293"/>
      <x:c r="DWH65" s="293"/>
      <x:c r="DWI65" s="293"/>
      <x:c r="DWJ65" s="293"/>
      <x:c r="DWK65" s="293"/>
      <x:c r="DWL65" s="293"/>
      <x:c r="DWM65" s="293"/>
      <x:c r="DWN65" s="293"/>
      <x:c r="DWO65" s="293"/>
      <x:c r="DWP65" s="293"/>
      <x:c r="DWQ65" s="293"/>
      <x:c r="DWR65" s="293"/>
      <x:c r="DWS65" s="293"/>
      <x:c r="DWT65" s="293"/>
      <x:c r="DWU65" s="293"/>
      <x:c r="DWV65" s="293"/>
      <x:c r="DWW65" s="293"/>
      <x:c r="DWX65" s="293"/>
      <x:c r="DWY65" s="293"/>
      <x:c r="DWZ65" s="293"/>
      <x:c r="DXA65" s="293"/>
      <x:c r="DXB65" s="293"/>
      <x:c r="DXC65" s="293"/>
      <x:c r="DXD65" s="293"/>
      <x:c r="DXE65" s="293"/>
      <x:c r="DXF65" s="293"/>
      <x:c r="DXG65" s="293"/>
      <x:c r="DXH65" s="293"/>
      <x:c r="DXI65" s="293"/>
      <x:c r="DXJ65" s="293"/>
      <x:c r="DXK65" s="293"/>
      <x:c r="DXL65" s="293"/>
      <x:c r="DXM65" s="293"/>
      <x:c r="DXN65" s="293"/>
      <x:c r="DXO65" s="293"/>
      <x:c r="DXP65" s="293"/>
      <x:c r="DXQ65" s="293"/>
      <x:c r="DXR65" s="293"/>
      <x:c r="DXS65" s="293"/>
      <x:c r="DXT65" s="293"/>
      <x:c r="DXU65" s="293"/>
      <x:c r="DXV65" s="293"/>
      <x:c r="DXW65" s="293"/>
      <x:c r="DXX65" s="293"/>
      <x:c r="DXY65" s="293"/>
      <x:c r="DXZ65" s="293"/>
      <x:c r="DYA65" s="293"/>
      <x:c r="DYB65" s="293"/>
      <x:c r="DYC65" s="293"/>
      <x:c r="DYD65" s="293"/>
      <x:c r="DYE65" s="293"/>
      <x:c r="DYF65" s="293"/>
      <x:c r="DYG65" s="293"/>
      <x:c r="DYH65" s="293"/>
      <x:c r="DYI65" s="293"/>
      <x:c r="DYJ65" s="293"/>
      <x:c r="DYK65" s="293"/>
      <x:c r="DYL65" s="293"/>
      <x:c r="DYM65" s="293"/>
      <x:c r="DYN65" s="293"/>
      <x:c r="DYO65" s="293"/>
      <x:c r="DYP65" s="293"/>
      <x:c r="DYQ65" s="293"/>
      <x:c r="DYR65" s="293"/>
      <x:c r="DYS65" s="293"/>
      <x:c r="DYT65" s="293"/>
      <x:c r="DYU65" s="293"/>
      <x:c r="DYV65" s="293"/>
      <x:c r="DYW65" s="293"/>
      <x:c r="DYX65" s="293"/>
      <x:c r="DYY65" s="293"/>
      <x:c r="DYZ65" s="293"/>
      <x:c r="DZA65" s="293"/>
      <x:c r="DZB65" s="293"/>
      <x:c r="DZC65" s="293"/>
      <x:c r="DZD65" s="293"/>
      <x:c r="DZE65" s="293"/>
      <x:c r="DZF65" s="293"/>
      <x:c r="DZG65" s="293"/>
      <x:c r="DZH65" s="293"/>
      <x:c r="DZI65" s="293"/>
      <x:c r="DZJ65" s="293"/>
      <x:c r="DZK65" s="293"/>
      <x:c r="DZL65" s="293"/>
      <x:c r="DZM65" s="293"/>
      <x:c r="DZN65" s="293"/>
      <x:c r="DZO65" s="293"/>
      <x:c r="DZP65" s="293"/>
      <x:c r="DZQ65" s="293"/>
      <x:c r="DZR65" s="293"/>
      <x:c r="DZS65" s="293"/>
      <x:c r="DZT65" s="293"/>
      <x:c r="DZU65" s="293"/>
      <x:c r="DZV65" s="293"/>
      <x:c r="DZW65" s="293"/>
      <x:c r="DZX65" s="293"/>
      <x:c r="DZY65" s="293"/>
      <x:c r="DZZ65" s="293"/>
      <x:c r="EAA65" s="293"/>
      <x:c r="EAB65" s="293"/>
      <x:c r="EAC65" s="293"/>
      <x:c r="EAD65" s="293"/>
      <x:c r="EAE65" s="293"/>
      <x:c r="EAF65" s="293"/>
      <x:c r="EAG65" s="293"/>
      <x:c r="EAH65" s="293"/>
      <x:c r="EAI65" s="293"/>
      <x:c r="EAJ65" s="293"/>
      <x:c r="EAK65" s="293"/>
      <x:c r="EAL65" s="293"/>
      <x:c r="EAM65" s="293"/>
      <x:c r="EAN65" s="293"/>
      <x:c r="EAO65" s="293"/>
      <x:c r="EAP65" s="293"/>
      <x:c r="EAQ65" s="293"/>
      <x:c r="EAR65" s="293"/>
      <x:c r="EAS65" s="293"/>
      <x:c r="EAT65" s="293"/>
      <x:c r="EAU65" s="293"/>
      <x:c r="EAV65" s="293"/>
      <x:c r="EAW65" s="293"/>
      <x:c r="EAX65" s="293"/>
      <x:c r="EAY65" s="293"/>
      <x:c r="EAZ65" s="293"/>
      <x:c r="EBA65" s="293"/>
      <x:c r="EBB65" s="293"/>
      <x:c r="EBC65" s="293"/>
      <x:c r="EBD65" s="293"/>
      <x:c r="EBE65" s="293"/>
      <x:c r="EBF65" s="293"/>
      <x:c r="EBG65" s="293"/>
      <x:c r="EBH65" s="293"/>
      <x:c r="EBI65" s="293"/>
      <x:c r="EBJ65" s="293"/>
      <x:c r="EBK65" s="293"/>
      <x:c r="EBL65" s="293"/>
      <x:c r="EBM65" s="293"/>
      <x:c r="EBN65" s="293"/>
      <x:c r="EBO65" s="293"/>
      <x:c r="EBP65" s="293"/>
      <x:c r="EBQ65" s="293"/>
      <x:c r="EBR65" s="293"/>
      <x:c r="EBS65" s="293"/>
      <x:c r="EBT65" s="293"/>
      <x:c r="EBU65" s="293"/>
      <x:c r="EBV65" s="293"/>
      <x:c r="EBW65" s="293"/>
      <x:c r="EBX65" s="293"/>
      <x:c r="EBY65" s="293"/>
      <x:c r="EBZ65" s="293"/>
      <x:c r="ECA65" s="293"/>
      <x:c r="ECB65" s="293"/>
      <x:c r="ECC65" s="293"/>
      <x:c r="ECD65" s="293"/>
      <x:c r="ECE65" s="293"/>
      <x:c r="ECF65" s="293"/>
      <x:c r="ECG65" s="293"/>
      <x:c r="ECH65" s="293"/>
      <x:c r="ECI65" s="293"/>
      <x:c r="ECJ65" s="293"/>
      <x:c r="ECK65" s="293"/>
      <x:c r="ECL65" s="293"/>
      <x:c r="ECM65" s="293"/>
      <x:c r="ECN65" s="293"/>
      <x:c r="ECO65" s="293"/>
      <x:c r="ECP65" s="293"/>
      <x:c r="ECQ65" s="293"/>
      <x:c r="ECR65" s="293"/>
      <x:c r="ECS65" s="293"/>
      <x:c r="ECT65" s="293"/>
      <x:c r="ECU65" s="293"/>
      <x:c r="ECV65" s="293"/>
      <x:c r="ECW65" s="293"/>
      <x:c r="ECX65" s="293"/>
      <x:c r="ECY65" s="293"/>
      <x:c r="ECZ65" s="293"/>
      <x:c r="EDA65" s="293"/>
      <x:c r="EDB65" s="293"/>
      <x:c r="EDC65" s="293"/>
      <x:c r="EDD65" s="293"/>
      <x:c r="EDE65" s="293"/>
      <x:c r="EDF65" s="293"/>
      <x:c r="EDG65" s="293"/>
      <x:c r="EDH65" s="293"/>
      <x:c r="EDI65" s="293"/>
      <x:c r="EDJ65" s="293"/>
      <x:c r="EDK65" s="293"/>
      <x:c r="EDL65" s="293"/>
      <x:c r="EDM65" s="293"/>
      <x:c r="EDN65" s="293"/>
      <x:c r="EDO65" s="293"/>
      <x:c r="EDP65" s="293"/>
      <x:c r="EDQ65" s="293"/>
      <x:c r="EDR65" s="293"/>
      <x:c r="EDS65" s="293"/>
      <x:c r="EDT65" s="293"/>
      <x:c r="EDU65" s="293"/>
      <x:c r="EDV65" s="293"/>
      <x:c r="EDW65" s="293"/>
      <x:c r="EDX65" s="293"/>
      <x:c r="EDY65" s="293"/>
      <x:c r="EDZ65" s="293"/>
      <x:c r="EEA65" s="293"/>
      <x:c r="EEB65" s="293"/>
      <x:c r="EEC65" s="293"/>
      <x:c r="EED65" s="293"/>
      <x:c r="EEE65" s="293"/>
      <x:c r="EEF65" s="293"/>
      <x:c r="EEG65" s="293"/>
      <x:c r="EEH65" s="293"/>
      <x:c r="EEI65" s="293"/>
      <x:c r="EEJ65" s="293"/>
      <x:c r="EEK65" s="293"/>
      <x:c r="EEL65" s="293"/>
      <x:c r="EEM65" s="293"/>
      <x:c r="EEN65" s="293"/>
      <x:c r="EEO65" s="293"/>
      <x:c r="EEP65" s="293"/>
      <x:c r="EEQ65" s="293"/>
      <x:c r="EER65" s="293"/>
      <x:c r="EES65" s="293"/>
      <x:c r="EET65" s="293"/>
      <x:c r="EEU65" s="293"/>
      <x:c r="EEV65" s="293"/>
      <x:c r="EEW65" s="293"/>
      <x:c r="EEX65" s="293"/>
      <x:c r="EEY65" s="293"/>
      <x:c r="EEZ65" s="293"/>
      <x:c r="EFA65" s="293"/>
      <x:c r="EFB65" s="293"/>
      <x:c r="EFC65" s="293"/>
      <x:c r="EFD65" s="293"/>
      <x:c r="EFE65" s="293"/>
      <x:c r="EFF65" s="293"/>
      <x:c r="EFG65" s="293"/>
      <x:c r="EFH65" s="293"/>
      <x:c r="EFI65" s="293"/>
      <x:c r="EFJ65" s="293"/>
      <x:c r="EFK65" s="293"/>
      <x:c r="EFL65" s="293"/>
      <x:c r="EFM65" s="293"/>
      <x:c r="EFN65" s="293"/>
      <x:c r="EFO65" s="293"/>
      <x:c r="EFP65" s="293"/>
      <x:c r="EFQ65" s="293"/>
      <x:c r="EFR65" s="293"/>
      <x:c r="EFS65" s="293"/>
      <x:c r="EFT65" s="293"/>
      <x:c r="EFU65" s="293"/>
      <x:c r="EFV65" s="293"/>
      <x:c r="EFW65" s="293"/>
      <x:c r="EFX65" s="293"/>
      <x:c r="EFY65" s="293"/>
      <x:c r="EFZ65" s="293"/>
      <x:c r="EGA65" s="293"/>
      <x:c r="EGB65" s="293"/>
      <x:c r="EGC65" s="293"/>
      <x:c r="EGD65" s="293"/>
      <x:c r="EGE65" s="293"/>
      <x:c r="EGF65" s="293"/>
      <x:c r="EGG65" s="293"/>
      <x:c r="EGH65" s="293"/>
      <x:c r="EGI65" s="293"/>
      <x:c r="EGJ65" s="293"/>
      <x:c r="EGK65" s="293"/>
      <x:c r="EGL65" s="293"/>
      <x:c r="EGM65" s="293"/>
      <x:c r="EGN65" s="293"/>
      <x:c r="EGO65" s="293"/>
      <x:c r="EGP65" s="293"/>
      <x:c r="EGQ65" s="293"/>
      <x:c r="EGR65" s="293"/>
      <x:c r="EGS65" s="293"/>
      <x:c r="EGT65" s="293"/>
      <x:c r="EGU65" s="293"/>
      <x:c r="EGV65" s="293"/>
      <x:c r="EGW65" s="293"/>
      <x:c r="EGX65" s="293"/>
      <x:c r="EGY65" s="293"/>
      <x:c r="EGZ65" s="293"/>
      <x:c r="EHA65" s="293"/>
      <x:c r="EHB65" s="293"/>
      <x:c r="EHC65" s="293"/>
      <x:c r="EHD65" s="293"/>
      <x:c r="EHE65" s="293"/>
      <x:c r="EHF65" s="293"/>
      <x:c r="EHG65" s="293"/>
      <x:c r="EHH65" s="293"/>
      <x:c r="EHI65" s="293"/>
      <x:c r="EHJ65" s="293"/>
      <x:c r="EHK65" s="293"/>
      <x:c r="EHL65" s="293"/>
      <x:c r="EHM65" s="293"/>
      <x:c r="EHN65" s="293"/>
      <x:c r="EHO65" s="293"/>
      <x:c r="EHP65" s="293"/>
      <x:c r="EHQ65" s="293"/>
      <x:c r="EHR65" s="293"/>
      <x:c r="EHS65" s="293"/>
      <x:c r="EHT65" s="293"/>
      <x:c r="EHU65" s="293"/>
      <x:c r="EHV65" s="293"/>
      <x:c r="EHW65" s="293"/>
      <x:c r="EHX65" s="293"/>
      <x:c r="EHY65" s="293"/>
      <x:c r="EHZ65" s="293"/>
      <x:c r="EIA65" s="293"/>
      <x:c r="EIB65" s="293"/>
      <x:c r="EIC65" s="293"/>
      <x:c r="EID65" s="293"/>
      <x:c r="EIE65" s="293"/>
      <x:c r="EIF65" s="293"/>
      <x:c r="EIG65" s="293"/>
      <x:c r="EIH65" s="293"/>
      <x:c r="EII65" s="293"/>
      <x:c r="EIJ65" s="293"/>
      <x:c r="EIK65" s="293"/>
      <x:c r="EIL65" s="293"/>
      <x:c r="EIM65" s="293"/>
      <x:c r="EIN65" s="293"/>
      <x:c r="EIO65" s="293"/>
      <x:c r="EIP65" s="293"/>
      <x:c r="EIQ65" s="293"/>
      <x:c r="EIR65" s="293"/>
      <x:c r="EIS65" s="293"/>
      <x:c r="EIT65" s="293"/>
      <x:c r="EIU65" s="293"/>
      <x:c r="EIV65" s="293"/>
      <x:c r="EIW65" s="293"/>
      <x:c r="EIX65" s="293"/>
      <x:c r="EIY65" s="293"/>
      <x:c r="EIZ65" s="293"/>
      <x:c r="EJA65" s="293"/>
      <x:c r="EJB65" s="293"/>
      <x:c r="EJC65" s="293"/>
      <x:c r="EJD65" s="293"/>
      <x:c r="EJE65" s="293"/>
      <x:c r="EJF65" s="293"/>
      <x:c r="EJG65" s="293"/>
      <x:c r="EJH65" s="293"/>
      <x:c r="EJI65" s="293"/>
      <x:c r="EJJ65" s="293"/>
      <x:c r="EJK65" s="293"/>
      <x:c r="EJL65" s="293"/>
      <x:c r="EJM65" s="293"/>
      <x:c r="EJN65" s="293"/>
      <x:c r="EJO65" s="293"/>
      <x:c r="EJP65" s="293"/>
      <x:c r="EJQ65" s="293"/>
      <x:c r="EJR65" s="293"/>
      <x:c r="EJS65" s="293"/>
      <x:c r="EJT65" s="293"/>
      <x:c r="EJU65" s="293"/>
      <x:c r="EJV65" s="293"/>
      <x:c r="EJW65" s="293"/>
      <x:c r="EJX65" s="293"/>
      <x:c r="EJY65" s="293"/>
      <x:c r="EJZ65" s="293"/>
      <x:c r="EKA65" s="293"/>
      <x:c r="EKB65" s="293"/>
      <x:c r="EKC65" s="293"/>
      <x:c r="EKD65" s="293"/>
      <x:c r="EKE65" s="293"/>
      <x:c r="EKF65" s="293"/>
      <x:c r="EKG65" s="293"/>
      <x:c r="EKH65" s="293"/>
      <x:c r="EKI65" s="293"/>
      <x:c r="EKJ65" s="293"/>
      <x:c r="EKK65" s="293"/>
      <x:c r="EKL65" s="293"/>
      <x:c r="EKM65" s="293"/>
      <x:c r="EKN65" s="293"/>
      <x:c r="EKO65" s="293"/>
      <x:c r="EKP65" s="293"/>
      <x:c r="EKQ65" s="293"/>
      <x:c r="EKR65" s="293"/>
      <x:c r="EKS65" s="293"/>
      <x:c r="EKT65" s="293"/>
      <x:c r="EKU65" s="293"/>
      <x:c r="EKV65" s="293"/>
      <x:c r="EKW65" s="293"/>
      <x:c r="EKX65" s="293"/>
      <x:c r="EKY65" s="293"/>
      <x:c r="EKZ65" s="293"/>
      <x:c r="ELA65" s="293"/>
      <x:c r="ELB65" s="293"/>
      <x:c r="ELC65" s="293"/>
      <x:c r="ELD65" s="293"/>
      <x:c r="ELE65" s="293"/>
      <x:c r="ELF65" s="293"/>
      <x:c r="ELG65" s="293"/>
      <x:c r="ELH65" s="293"/>
      <x:c r="ELI65" s="293"/>
      <x:c r="ELJ65" s="293"/>
      <x:c r="ELK65" s="293"/>
      <x:c r="ELL65" s="293"/>
      <x:c r="ELM65" s="293"/>
      <x:c r="ELN65" s="293"/>
      <x:c r="ELO65" s="293"/>
      <x:c r="ELP65" s="293"/>
      <x:c r="ELQ65" s="293"/>
      <x:c r="ELR65" s="293"/>
      <x:c r="ELS65" s="293"/>
      <x:c r="ELT65" s="293"/>
      <x:c r="ELU65" s="293"/>
      <x:c r="ELV65" s="293"/>
      <x:c r="ELW65" s="293"/>
      <x:c r="ELX65" s="293"/>
      <x:c r="ELY65" s="293"/>
      <x:c r="ELZ65" s="293"/>
      <x:c r="EMA65" s="293"/>
      <x:c r="EMB65" s="293"/>
      <x:c r="EMC65" s="293"/>
      <x:c r="EMD65" s="293"/>
      <x:c r="EME65" s="293"/>
      <x:c r="EMF65" s="293"/>
      <x:c r="EMG65" s="293"/>
      <x:c r="EMH65" s="293"/>
      <x:c r="EMI65" s="293"/>
      <x:c r="EMJ65" s="293"/>
      <x:c r="EMK65" s="293"/>
      <x:c r="EML65" s="293"/>
      <x:c r="EMM65" s="293"/>
      <x:c r="EMN65" s="293"/>
      <x:c r="EMO65" s="293"/>
      <x:c r="EMP65" s="293"/>
      <x:c r="EMQ65" s="293"/>
      <x:c r="EMR65" s="293"/>
      <x:c r="EMS65" s="293"/>
      <x:c r="EMT65" s="293"/>
      <x:c r="EMU65" s="293"/>
      <x:c r="EMV65" s="293"/>
      <x:c r="EMW65" s="293"/>
      <x:c r="EMX65" s="293"/>
      <x:c r="EMY65" s="293"/>
      <x:c r="EMZ65" s="293"/>
      <x:c r="ENA65" s="293"/>
      <x:c r="ENB65" s="293"/>
      <x:c r="ENC65" s="293"/>
      <x:c r="END65" s="293"/>
      <x:c r="ENE65" s="293"/>
      <x:c r="ENF65" s="293"/>
      <x:c r="ENG65" s="293"/>
      <x:c r="ENH65" s="293"/>
      <x:c r="ENI65" s="293"/>
      <x:c r="ENJ65" s="293"/>
      <x:c r="ENK65" s="293"/>
      <x:c r="ENL65" s="293"/>
      <x:c r="ENM65" s="293"/>
      <x:c r="ENN65" s="293"/>
      <x:c r="ENO65" s="293"/>
      <x:c r="ENP65" s="293"/>
      <x:c r="ENQ65" s="293"/>
      <x:c r="ENR65" s="293"/>
      <x:c r="ENS65" s="293"/>
      <x:c r="ENT65" s="293"/>
      <x:c r="ENU65" s="293"/>
      <x:c r="ENV65" s="293"/>
      <x:c r="ENW65" s="293"/>
      <x:c r="ENX65" s="293"/>
      <x:c r="ENY65" s="293"/>
      <x:c r="ENZ65" s="293"/>
      <x:c r="EOA65" s="293"/>
      <x:c r="EOB65" s="293"/>
      <x:c r="EOC65" s="293"/>
      <x:c r="EOD65" s="293"/>
      <x:c r="EOE65" s="293"/>
      <x:c r="EOF65" s="293"/>
      <x:c r="EOG65" s="293"/>
      <x:c r="EOH65" s="293"/>
      <x:c r="EOI65" s="293"/>
      <x:c r="EOJ65" s="293"/>
      <x:c r="EOK65" s="293"/>
      <x:c r="EOL65" s="293"/>
      <x:c r="EOM65" s="293"/>
      <x:c r="EON65" s="293"/>
      <x:c r="EOO65" s="293"/>
      <x:c r="EOP65" s="293"/>
      <x:c r="EOQ65" s="293"/>
      <x:c r="EOR65" s="293"/>
      <x:c r="EOS65" s="293"/>
      <x:c r="EOT65" s="293"/>
      <x:c r="EOU65" s="293"/>
      <x:c r="EOV65" s="293"/>
      <x:c r="EOW65" s="293"/>
      <x:c r="EOX65" s="293"/>
      <x:c r="EOY65" s="293"/>
      <x:c r="EOZ65" s="293"/>
      <x:c r="EPA65" s="293"/>
      <x:c r="EPB65" s="293"/>
      <x:c r="EPC65" s="293"/>
      <x:c r="EPD65" s="293"/>
      <x:c r="EPE65" s="293"/>
      <x:c r="EPF65" s="293"/>
      <x:c r="EPG65" s="293"/>
      <x:c r="EPH65" s="293"/>
      <x:c r="EPI65" s="293"/>
      <x:c r="EPJ65" s="293"/>
      <x:c r="EPK65" s="293"/>
      <x:c r="EPL65" s="293"/>
      <x:c r="EPM65" s="293"/>
      <x:c r="EPN65" s="293"/>
      <x:c r="EPO65" s="293"/>
      <x:c r="EPP65" s="293"/>
      <x:c r="EPQ65" s="293"/>
      <x:c r="EPR65" s="293"/>
      <x:c r="EPS65" s="293"/>
      <x:c r="EPT65" s="293"/>
      <x:c r="EPU65" s="293"/>
      <x:c r="EPV65" s="293"/>
      <x:c r="EPW65" s="293"/>
      <x:c r="EPX65" s="293"/>
      <x:c r="EPY65" s="293"/>
      <x:c r="EPZ65" s="293"/>
      <x:c r="EQA65" s="293"/>
      <x:c r="EQB65" s="293"/>
      <x:c r="EQC65" s="293"/>
      <x:c r="EQD65" s="293"/>
      <x:c r="EQE65" s="293"/>
      <x:c r="EQF65" s="293"/>
      <x:c r="EQG65" s="293"/>
      <x:c r="EQH65" s="293"/>
      <x:c r="EQI65" s="293"/>
      <x:c r="EQJ65" s="293"/>
      <x:c r="EQK65" s="293"/>
      <x:c r="EQL65" s="293"/>
      <x:c r="EQM65" s="293"/>
      <x:c r="EQN65" s="293"/>
      <x:c r="EQO65" s="293"/>
      <x:c r="EQP65" s="293"/>
      <x:c r="EQQ65" s="293"/>
      <x:c r="EQR65" s="293"/>
      <x:c r="EQS65" s="293"/>
      <x:c r="EQT65" s="293"/>
      <x:c r="EQU65" s="293"/>
      <x:c r="EQV65" s="293"/>
      <x:c r="EQW65" s="293"/>
      <x:c r="EQX65" s="293"/>
      <x:c r="EQY65" s="293"/>
      <x:c r="EQZ65" s="293"/>
      <x:c r="ERA65" s="293"/>
      <x:c r="ERB65" s="293"/>
      <x:c r="ERC65" s="293"/>
      <x:c r="ERD65" s="293"/>
      <x:c r="ERE65" s="293"/>
      <x:c r="ERF65" s="293"/>
      <x:c r="ERG65" s="293"/>
      <x:c r="ERH65" s="293"/>
      <x:c r="ERI65" s="293"/>
      <x:c r="ERJ65" s="293"/>
      <x:c r="ERK65" s="293"/>
      <x:c r="ERL65" s="293"/>
      <x:c r="ERM65" s="293"/>
      <x:c r="ERN65" s="293"/>
      <x:c r="ERO65" s="293"/>
      <x:c r="ERP65" s="293"/>
      <x:c r="ERQ65" s="293"/>
      <x:c r="ERR65" s="293"/>
      <x:c r="ERS65" s="293"/>
      <x:c r="ERT65" s="293"/>
      <x:c r="ERU65" s="293"/>
      <x:c r="ERV65" s="293"/>
      <x:c r="ERW65" s="293"/>
      <x:c r="ERX65" s="293"/>
      <x:c r="ERY65" s="293"/>
      <x:c r="ERZ65" s="293"/>
      <x:c r="ESA65" s="293"/>
      <x:c r="ESB65" s="293"/>
      <x:c r="ESC65" s="293"/>
      <x:c r="ESD65" s="293"/>
      <x:c r="ESE65" s="293"/>
      <x:c r="ESF65" s="293"/>
      <x:c r="ESG65" s="293"/>
      <x:c r="ESH65" s="293"/>
      <x:c r="ESI65" s="293"/>
      <x:c r="ESJ65" s="293"/>
      <x:c r="ESK65" s="293"/>
      <x:c r="ESL65" s="293"/>
      <x:c r="ESM65" s="293"/>
      <x:c r="ESN65" s="293"/>
      <x:c r="ESO65" s="293"/>
      <x:c r="ESP65" s="293"/>
      <x:c r="ESQ65" s="293"/>
      <x:c r="ESR65" s="293"/>
      <x:c r="ESS65" s="293"/>
      <x:c r="EST65" s="293"/>
      <x:c r="ESU65" s="293"/>
      <x:c r="ESV65" s="293"/>
      <x:c r="ESW65" s="293"/>
      <x:c r="ESX65" s="293"/>
      <x:c r="ESY65" s="293"/>
      <x:c r="ESZ65" s="293"/>
      <x:c r="ETA65" s="293"/>
      <x:c r="ETB65" s="293"/>
      <x:c r="ETC65" s="293"/>
      <x:c r="ETD65" s="293"/>
      <x:c r="ETE65" s="293"/>
      <x:c r="ETF65" s="293"/>
      <x:c r="ETG65" s="293"/>
      <x:c r="ETH65" s="293"/>
      <x:c r="ETI65" s="293"/>
      <x:c r="ETJ65" s="293"/>
      <x:c r="ETK65" s="293"/>
      <x:c r="ETL65" s="293"/>
      <x:c r="ETM65" s="293"/>
      <x:c r="ETN65" s="293"/>
      <x:c r="ETO65" s="293"/>
      <x:c r="ETP65" s="293"/>
      <x:c r="ETQ65" s="293"/>
      <x:c r="ETR65" s="293"/>
      <x:c r="ETS65" s="293"/>
      <x:c r="ETT65" s="293"/>
      <x:c r="ETU65" s="293"/>
      <x:c r="ETV65" s="293"/>
      <x:c r="ETW65" s="293"/>
      <x:c r="ETX65" s="293"/>
      <x:c r="ETY65" s="293"/>
      <x:c r="ETZ65" s="293"/>
      <x:c r="EUA65" s="293"/>
      <x:c r="EUB65" s="293"/>
      <x:c r="EUC65" s="293"/>
      <x:c r="EUD65" s="293"/>
      <x:c r="EUE65" s="293"/>
      <x:c r="EUF65" s="293"/>
      <x:c r="EUG65" s="293"/>
      <x:c r="EUH65" s="293"/>
      <x:c r="EUI65" s="293"/>
      <x:c r="EUJ65" s="293"/>
      <x:c r="EUK65" s="293"/>
      <x:c r="EUL65" s="293"/>
      <x:c r="EUM65" s="293"/>
      <x:c r="EUN65" s="293"/>
      <x:c r="EUO65" s="293"/>
      <x:c r="EUP65" s="293"/>
      <x:c r="EUQ65" s="293"/>
      <x:c r="EUR65" s="293"/>
      <x:c r="EUS65" s="293"/>
      <x:c r="EUT65" s="293"/>
      <x:c r="EUU65" s="293"/>
      <x:c r="EUV65" s="293"/>
      <x:c r="EUW65" s="293"/>
      <x:c r="EUX65" s="293"/>
      <x:c r="EUY65" s="293"/>
      <x:c r="EUZ65" s="293"/>
      <x:c r="EVA65" s="293"/>
      <x:c r="EVB65" s="293"/>
      <x:c r="EVC65" s="293"/>
      <x:c r="EVD65" s="293"/>
      <x:c r="EVE65" s="293"/>
      <x:c r="EVF65" s="293"/>
      <x:c r="EVG65" s="293"/>
      <x:c r="EVH65" s="293"/>
      <x:c r="EVI65" s="293"/>
      <x:c r="EVJ65" s="293"/>
      <x:c r="EVK65" s="293"/>
      <x:c r="EVL65" s="293"/>
      <x:c r="EVM65" s="293"/>
      <x:c r="EVN65" s="293"/>
      <x:c r="EVO65" s="293"/>
      <x:c r="EVP65" s="293"/>
      <x:c r="EVQ65" s="293"/>
      <x:c r="EVR65" s="293"/>
      <x:c r="EVS65" s="293"/>
      <x:c r="EVT65" s="293"/>
      <x:c r="EVU65" s="293"/>
      <x:c r="EVV65" s="293"/>
      <x:c r="EVW65" s="293"/>
      <x:c r="EVX65" s="293"/>
      <x:c r="EVY65" s="293"/>
      <x:c r="EVZ65" s="293"/>
      <x:c r="EWA65" s="293"/>
      <x:c r="EWB65" s="293"/>
      <x:c r="EWC65" s="293"/>
      <x:c r="EWD65" s="293"/>
      <x:c r="EWE65" s="293"/>
      <x:c r="EWF65" s="293"/>
      <x:c r="EWG65" s="293"/>
      <x:c r="EWH65" s="293"/>
      <x:c r="EWI65" s="293"/>
      <x:c r="EWJ65" s="293"/>
      <x:c r="EWK65" s="293"/>
      <x:c r="EWL65" s="293"/>
      <x:c r="EWM65" s="293"/>
      <x:c r="EWN65" s="293"/>
      <x:c r="EWO65" s="293"/>
      <x:c r="EWP65" s="293"/>
      <x:c r="EWQ65" s="293"/>
      <x:c r="EWR65" s="293"/>
      <x:c r="EWS65" s="293"/>
      <x:c r="EWT65" s="293"/>
      <x:c r="EWU65" s="293"/>
      <x:c r="EWV65" s="293"/>
      <x:c r="EWW65" s="293"/>
      <x:c r="EWX65" s="293"/>
      <x:c r="EWY65" s="293"/>
      <x:c r="EWZ65" s="293"/>
      <x:c r="EXA65" s="293"/>
      <x:c r="EXB65" s="293"/>
      <x:c r="EXC65" s="293"/>
      <x:c r="EXD65" s="293"/>
      <x:c r="EXE65" s="293"/>
      <x:c r="EXF65" s="293"/>
      <x:c r="EXG65" s="293"/>
      <x:c r="EXH65" s="293"/>
      <x:c r="EXI65" s="293"/>
      <x:c r="EXJ65" s="293"/>
      <x:c r="EXK65" s="293"/>
      <x:c r="EXL65" s="293"/>
      <x:c r="EXM65" s="293"/>
      <x:c r="EXN65" s="293"/>
      <x:c r="EXO65" s="293"/>
      <x:c r="EXP65" s="293"/>
      <x:c r="EXQ65" s="293"/>
      <x:c r="EXR65" s="293"/>
      <x:c r="EXS65" s="293"/>
      <x:c r="EXT65" s="293"/>
      <x:c r="EXU65" s="293"/>
      <x:c r="EXV65" s="293"/>
      <x:c r="EXW65" s="293"/>
      <x:c r="EXX65" s="293"/>
      <x:c r="EXY65" s="293"/>
      <x:c r="EXZ65" s="293"/>
      <x:c r="EYA65" s="293"/>
      <x:c r="EYB65" s="293"/>
      <x:c r="EYC65" s="293"/>
      <x:c r="EYD65" s="293"/>
      <x:c r="EYE65" s="293"/>
      <x:c r="EYF65" s="293"/>
      <x:c r="EYG65" s="293"/>
      <x:c r="EYH65" s="293"/>
      <x:c r="EYI65" s="293"/>
      <x:c r="EYJ65" s="293"/>
      <x:c r="EYK65" s="293"/>
      <x:c r="EYL65" s="293"/>
      <x:c r="EYM65" s="293"/>
      <x:c r="EYN65" s="293"/>
      <x:c r="EYO65" s="293"/>
      <x:c r="EYP65" s="293"/>
      <x:c r="EYQ65" s="293"/>
      <x:c r="EYR65" s="293"/>
      <x:c r="EYS65" s="293"/>
      <x:c r="EYT65" s="293"/>
      <x:c r="EYU65" s="293"/>
      <x:c r="EYV65" s="293"/>
      <x:c r="EYW65" s="293"/>
      <x:c r="EYX65" s="293"/>
      <x:c r="EYY65" s="293"/>
      <x:c r="EYZ65" s="293"/>
      <x:c r="EZA65" s="293"/>
      <x:c r="EZB65" s="293"/>
      <x:c r="EZC65" s="293"/>
      <x:c r="EZD65" s="293"/>
      <x:c r="EZE65" s="293"/>
      <x:c r="EZF65" s="293"/>
      <x:c r="EZG65" s="293"/>
      <x:c r="EZH65" s="293"/>
      <x:c r="EZI65" s="293"/>
      <x:c r="EZJ65" s="293"/>
      <x:c r="EZK65" s="293"/>
      <x:c r="EZL65" s="293"/>
      <x:c r="EZM65" s="293"/>
      <x:c r="EZN65" s="293"/>
      <x:c r="EZO65" s="293"/>
      <x:c r="EZP65" s="293"/>
      <x:c r="EZQ65" s="293"/>
      <x:c r="EZR65" s="293"/>
      <x:c r="EZS65" s="293"/>
      <x:c r="EZT65" s="293"/>
      <x:c r="EZU65" s="293"/>
      <x:c r="EZV65" s="293"/>
      <x:c r="EZW65" s="293"/>
      <x:c r="EZX65" s="293"/>
      <x:c r="EZY65" s="293"/>
      <x:c r="EZZ65" s="293"/>
      <x:c r="FAA65" s="293"/>
      <x:c r="FAB65" s="293"/>
      <x:c r="FAC65" s="293"/>
      <x:c r="FAD65" s="293"/>
      <x:c r="FAE65" s="293"/>
      <x:c r="FAF65" s="293"/>
      <x:c r="FAG65" s="293"/>
      <x:c r="FAH65" s="293"/>
      <x:c r="FAI65" s="293"/>
      <x:c r="FAJ65" s="293"/>
      <x:c r="FAK65" s="293"/>
      <x:c r="FAL65" s="293"/>
      <x:c r="FAM65" s="293"/>
      <x:c r="FAN65" s="293"/>
      <x:c r="FAO65" s="293"/>
      <x:c r="FAP65" s="293"/>
      <x:c r="FAQ65" s="293"/>
      <x:c r="FAR65" s="293"/>
      <x:c r="FAS65" s="293"/>
      <x:c r="FAT65" s="293"/>
      <x:c r="FAU65" s="293"/>
      <x:c r="FAV65" s="293"/>
      <x:c r="FAW65" s="293"/>
      <x:c r="FAX65" s="293"/>
      <x:c r="FAY65" s="293"/>
      <x:c r="FAZ65" s="293"/>
      <x:c r="FBA65" s="293"/>
      <x:c r="FBB65" s="293"/>
      <x:c r="FBC65" s="293"/>
      <x:c r="FBD65" s="293"/>
      <x:c r="FBE65" s="293"/>
      <x:c r="FBF65" s="293"/>
      <x:c r="FBG65" s="293"/>
      <x:c r="FBH65" s="293"/>
      <x:c r="FBI65" s="293"/>
      <x:c r="FBJ65" s="293"/>
      <x:c r="FBK65" s="293"/>
      <x:c r="FBL65" s="293"/>
      <x:c r="FBM65" s="293"/>
      <x:c r="FBN65" s="293"/>
      <x:c r="FBO65" s="293"/>
      <x:c r="FBP65" s="293"/>
      <x:c r="FBQ65" s="293"/>
      <x:c r="FBR65" s="293"/>
      <x:c r="FBS65" s="293"/>
      <x:c r="FBT65" s="293"/>
      <x:c r="FBU65" s="293"/>
      <x:c r="FBV65" s="293"/>
      <x:c r="FBW65" s="293"/>
      <x:c r="FBX65" s="293"/>
      <x:c r="FBY65" s="293"/>
      <x:c r="FBZ65" s="293"/>
      <x:c r="FCA65" s="293"/>
      <x:c r="FCB65" s="293"/>
      <x:c r="FCC65" s="293"/>
      <x:c r="FCD65" s="293"/>
      <x:c r="FCE65" s="293"/>
      <x:c r="FCF65" s="293"/>
      <x:c r="FCG65" s="293"/>
      <x:c r="FCH65" s="293"/>
      <x:c r="FCI65" s="293"/>
      <x:c r="FCJ65" s="293"/>
      <x:c r="FCK65" s="293"/>
      <x:c r="FCL65" s="293"/>
      <x:c r="FCM65" s="293"/>
      <x:c r="FCN65" s="293"/>
      <x:c r="FCO65" s="293"/>
      <x:c r="FCP65" s="293"/>
      <x:c r="FCQ65" s="293"/>
      <x:c r="FCR65" s="293"/>
      <x:c r="FCS65" s="293"/>
      <x:c r="FCT65" s="293"/>
      <x:c r="FCU65" s="293"/>
      <x:c r="FCV65" s="293"/>
      <x:c r="FCW65" s="293"/>
      <x:c r="FCX65" s="293"/>
      <x:c r="FCY65" s="293"/>
      <x:c r="FCZ65" s="293"/>
      <x:c r="FDA65" s="293"/>
      <x:c r="FDB65" s="293"/>
      <x:c r="FDC65" s="293"/>
      <x:c r="FDD65" s="293"/>
      <x:c r="FDE65" s="293"/>
      <x:c r="FDF65" s="293"/>
      <x:c r="FDG65" s="293"/>
      <x:c r="FDH65" s="293"/>
      <x:c r="FDI65" s="293"/>
      <x:c r="FDJ65" s="293"/>
      <x:c r="FDK65" s="293"/>
      <x:c r="FDL65" s="293"/>
      <x:c r="FDM65" s="293"/>
      <x:c r="FDN65" s="293"/>
      <x:c r="FDO65" s="293"/>
      <x:c r="FDP65" s="293"/>
      <x:c r="FDQ65" s="293"/>
      <x:c r="FDR65" s="293"/>
      <x:c r="FDS65" s="293"/>
      <x:c r="FDT65" s="293"/>
      <x:c r="FDU65" s="293"/>
      <x:c r="FDV65" s="293"/>
      <x:c r="FDW65" s="293"/>
      <x:c r="FDX65" s="293"/>
      <x:c r="FDY65" s="293"/>
      <x:c r="FDZ65" s="293"/>
      <x:c r="FEA65" s="293"/>
      <x:c r="FEB65" s="293"/>
      <x:c r="FEC65" s="293"/>
      <x:c r="FED65" s="293"/>
      <x:c r="FEE65" s="293"/>
      <x:c r="FEF65" s="293"/>
      <x:c r="FEG65" s="293"/>
      <x:c r="FEH65" s="293"/>
      <x:c r="FEI65" s="293"/>
      <x:c r="FEJ65" s="293"/>
      <x:c r="FEK65" s="293"/>
      <x:c r="FEL65" s="293"/>
      <x:c r="FEM65" s="293"/>
      <x:c r="FEN65" s="293"/>
      <x:c r="FEO65" s="293"/>
      <x:c r="FEP65" s="293"/>
      <x:c r="FEQ65" s="293"/>
      <x:c r="FER65" s="293"/>
      <x:c r="FES65" s="293"/>
      <x:c r="FET65" s="293"/>
      <x:c r="FEU65" s="293"/>
      <x:c r="FEV65" s="293"/>
      <x:c r="FEW65" s="293"/>
      <x:c r="FEX65" s="293"/>
      <x:c r="FEY65" s="293"/>
      <x:c r="FEZ65" s="293"/>
      <x:c r="FFA65" s="293"/>
      <x:c r="FFB65" s="293"/>
      <x:c r="FFC65" s="293"/>
      <x:c r="FFD65" s="293"/>
      <x:c r="FFE65" s="293"/>
      <x:c r="FFF65" s="293"/>
      <x:c r="FFG65" s="293"/>
      <x:c r="FFH65" s="293"/>
      <x:c r="FFI65" s="293"/>
      <x:c r="FFJ65" s="293"/>
      <x:c r="FFK65" s="293"/>
      <x:c r="FFL65" s="293"/>
      <x:c r="FFM65" s="293"/>
      <x:c r="FFN65" s="293"/>
      <x:c r="FFO65" s="293"/>
      <x:c r="FFP65" s="293"/>
      <x:c r="FFQ65" s="293"/>
      <x:c r="FFR65" s="293"/>
      <x:c r="FFS65" s="293"/>
      <x:c r="FFT65" s="293"/>
      <x:c r="FFU65" s="293"/>
      <x:c r="FFV65" s="293"/>
      <x:c r="FFW65" s="293"/>
      <x:c r="FFX65" s="293"/>
      <x:c r="FFY65" s="293"/>
      <x:c r="FFZ65" s="293"/>
      <x:c r="FGA65" s="293"/>
      <x:c r="FGB65" s="293"/>
      <x:c r="FGC65" s="293"/>
      <x:c r="FGD65" s="293"/>
      <x:c r="FGE65" s="293"/>
      <x:c r="FGF65" s="293"/>
      <x:c r="FGG65" s="293"/>
      <x:c r="FGH65" s="293"/>
      <x:c r="FGI65" s="293"/>
      <x:c r="FGJ65" s="293"/>
      <x:c r="FGK65" s="293"/>
      <x:c r="FGL65" s="293"/>
      <x:c r="FGM65" s="293"/>
      <x:c r="FGN65" s="293"/>
      <x:c r="FGO65" s="293"/>
      <x:c r="FGP65" s="293"/>
      <x:c r="FGQ65" s="293"/>
      <x:c r="FGR65" s="293"/>
      <x:c r="FGS65" s="293"/>
      <x:c r="FGT65" s="293"/>
      <x:c r="FGU65" s="293"/>
      <x:c r="FGV65" s="293"/>
      <x:c r="FGW65" s="293"/>
      <x:c r="FGX65" s="293"/>
      <x:c r="FGY65" s="293"/>
      <x:c r="FGZ65" s="293"/>
      <x:c r="FHA65" s="293"/>
      <x:c r="FHB65" s="293"/>
      <x:c r="FHC65" s="293"/>
      <x:c r="FHD65" s="293"/>
      <x:c r="FHE65" s="293"/>
      <x:c r="FHF65" s="293"/>
      <x:c r="FHG65" s="293"/>
      <x:c r="FHH65" s="293"/>
      <x:c r="FHI65" s="293"/>
      <x:c r="FHJ65" s="293"/>
      <x:c r="FHK65" s="293"/>
      <x:c r="FHL65" s="293"/>
      <x:c r="FHM65" s="293"/>
      <x:c r="FHN65" s="293"/>
      <x:c r="FHO65" s="293"/>
      <x:c r="FHP65" s="293"/>
      <x:c r="FHQ65" s="293"/>
      <x:c r="FHR65" s="293"/>
      <x:c r="FHS65" s="293"/>
      <x:c r="FHT65" s="293"/>
      <x:c r="FHU65" s="293"/>
      <x:c r="FHV65" s="293"/>
      <x:c r="FHW65" s="293"/>
      <x:c r="FHX65" s="293"/>
      <x:c r="FHY65" s="293"/>
      <x:c r="FHZ65" s="293"/>
      <x:c r="FIA65" s="293"/>
      <x:c r="FIB65" s="293"/>
      <x:c r="FIC65" s="293"/>
      <x:c r="FID65" s="293"/>
      <x:c r="FIE65" s="293"/>
      <x:c r="FIF65" s="293"/>
      <x:c r="FIG65" s="293"/>
      <x:c r="FIH65" s="293"/>
      <x:c r="FII65" s="293"/>
      <x:c r="FIJ65" s="293"/>
      <x:c r="FIK65" s="293"/>
      <x:c r="FIL65" s="293"/>
      <x:c r="FIM65" s="293"/>
      <x:c r="FIN65" s="293"/>
      <x:c r="FIO65" s="293"/>
      <x:c r="FIP65" s="293"/>
      <x:c r="FIQ65" s="293"/>
      <x:c r="FIR65" s="293"/>
      <x:c r="FIS65" s="293"/>
      <x:c r="FIT65" s="293"/>
      <x:c r="FIU65" s="293"/>
      <x:c r="FIV65" s="293"/>
      <x:c r="FIW65" s="293"/>
      <x:c r="FIX65" s="293"/>
      <x:c r="FIY65" s="293"/>
      <x:c r="FIZ65" s="293"/>
      <x:c r="FJA65" s="293"/>
      <x:c r="FJB65" s="293"/>
      <x:c r="FJC65" s="293"/>
      <x:c r="FJD65" s="293"/>
      <x:c r="FJE65" s="293"/>
      <x:c r="FJF65" s="293"/>
      <x:c r="FJG65" s="293"/>
      <x:c r="FJH65" s="293"/>
      <x:c r="FJI65" s="293"/>
      <x:c r="FJJ65" s="293"/>
      <x:c r="FJK65" s="293"/>
      <x:c r="FJL65" s="293"/>
      <x:c r="FJM65" s="293"/>
      <x:c r="FJN65" s="293"/>
      <x:c r="FJO65" s="293"/>
      <x:c r="FJP65" s="293"/>
      <x:c r="FJQ65" s="293"/>
      <x:c r="FJR65" s="293"/>
      <x:c r="FJS65" s="293"/>
      <x:c r="FJT65" s="293"/>
      <x:c r="FJU65" s="293"/>
      <x:c r="FJV65" s="293"/>
      <x:c r="FJW65" s="293"/>
      <x:c r="FJX65" s="293"/>
      <x:c r="FJY65" s="293"/>
      <x:c r="FJZ65" s="293"/>
      <x:c r="FKA65" s="293"/>
      <x:c r="FKB65" s="293"/>
      <x:c r="FKC65" s="293"/>
      <x:c r="FKD65" s="293"/>
      <x:c r="FKE65" s="293"/>
      <x:c r="FKF65" s="293"/>
      <x:c r="FKG65" s="293"/>
      <x:c r="FKH65" s="293"/>
      <x:c r="FKI65" s="293"/>
      <x:c r="FKJ65" s="293"/>
      <x:c r="FKK65" s="293"/>
      <x:c r="FKL65" s="293"/>
      <x:c r="FKM65" s="293"/>
      <x:c r="FKN65" s="293"/>
      <x:c r="FKO65" s="293"/>
      <x:c r="FKP65" s="293"/>
      <x:c r="FKQ65" s="293"/>
      <x:c r="FKR65" s="293"/>
      <x:c r="FKS65" s="293"/>
      <x:c r="FKT65" s="293"/>
      <x:c r="FKU65" s="293"/>
      <x:c r="FKV65" s="293"/>
      <x:c r="FKW65" s="293"/>
      <x:c r="FKX65" s="293"/>
      <x:c r="FKY65" s="293"/>
      <x:c r="FKZ65" s="293"/>
      <x:c r="FLA65" s="293"/>
      <x:c r="FLB65" s="293"/>
      <x:c r="FLC65" s="293"/>
      <x:c r="FLD65" s="293"/>
      <x:c r="FLE65" s="293"/>
      <x:c r="FLF65" s="293"/>
      <x:c r="FLG65" s="293"/>
      <x:c r="FLH65" s="293"/>
      <x:c r="FLI65" s="293"/>
      <x:c r="FLJ65" s="293"/>
      <x:c r="FLK65" s="293"/>
      <x:c r="FLL65" s="293"/>
      <x:c r="FLM65" s="293"/>
      <x:c r="FLN65" s="293"/>
      <x:c r="FLO65" s="293"/>
      <x:c r="FLP65" s="293"/>
      <x:c r="FLQ65" s="293"/>
      <x:c r="FLR65" s="293"/>
      <x:c r="FLS65" s="293"/>
      <x:c r="FLT65" s="293"/>
      <x:c r="FLU65" s="293"/>
      <x:c r="FLV65" s="293"/>
      <x:c r="FLW65" s="293"/>
      <x:c r="FLX65" s="293"/>
      <x:c r="FLY65" s="293"/>
      <x:c r="FLZ65" s="293"/>
      <x:c r="FMA65" s="293"/>
      <x:c r="FMB65" s="293"/>
      <x:c r="FMC65" s="293"/>
      <x:c r="FMD65" s="293"/>
      <x:c r="FME65" s="293"/>
      <x:c r="FMF65" s="293"/>
      <x:c r="FMG65" s="293"/>
      <x:c r="FMH65" s="293"/>
      <x:c r="FMI65" s="293"/>
      <x:c r="FMJ65" s="293"/>
      <x:c r="FMK65" s="293"/>
      <x:c r="FML65" s="293"/>
      <x:c r="FMM65" s="293"/>
      <x:c r="FMN65" s="293"/>
      <x:c r="FMO65" s="293"/>
      <x:c r="FMP65" s="293"/>
      <x:c r="FMQ65" s="293"/>
      <x:c r="FMR65" s="293"/>
      <x:c r="FMS65" s="293"/>
      <x:c r="FMT65" s="293"/>
      <x:c r="FMU65" s="293"/>
      <x:c r="FMV65" s="293"/>
      <x:c r="FMW65" s="293"/>
      <x:c r="FMX65" s="293"/>
      <x:c r="FMY65" s="293"/>
      <x:c r="FMZ65" s="293"/>
      <x:c r="FNA65" s="293"/>
      <x:c r="FNB65" s="293"/>
      <x:c r="FNC65" s="293"/>
      <x:c r="FND65" s="293"/>
      <x:c r="FNE65" s="293"/>
      <x:c r="FNF65" s="293"/>
      <x:c r="FNG65" s="293"/>
      <x:c r="FNH65" s="293"/>
      <x:c r="FNI65" s="293"/>
      <x:c r="FNJ65" s="293"/>
      <x:c r="FNK65" s="293"/>
      <x:c r="FNL65" s="293"/>
      <x:c r="FNM65" s="293"/>
      <x:c r="FNN65" s="293"/>
      <x:c r="FNO65" s="293"/>
      <x:c r="FNP65" s="293"/>
      <x:c r="FNQ65" s="293"/>
      <x:c r="FNR65" s="293"/>
      <x:c r="FNS65" s="293"/>
      <x:c r="FNT65" s="293"/>
      <x:c r="FNU65" s="293"/>
      <x:c r="FNV65" s="293"/>
      <x:c r="FNW65" s="293"/>
      <x:c r="FNX65" s="293"/>
      <x:c r="FNY65" s="293"/>
      <x:c r="FNZ65" s="293"/>
      <x:c r="FOA65" s="293"/>
      <x:c r="FOB65" s="293"/>
      <x:c r="FOC65" s="293"/>
      <x:c r="FOD65" s="293"/>
      <x:c r="FOE65" s="293"/>
      <x:c r="FOF65" s="293"/>
      <x:c r="FOG65" s="293"/>
      <x:c r="FOH65" s="293"/>
      <x:c r="FOI65" s="293"/>
      <x:c r="FOJ65" s="293"/>
      <x:c r="FOK65" s="293"/>
      <x:c r="FOL65" s="293"/>
      <x:c r="FOM65" s="293"/>
      <x:c r="FON65" s="293"/>
      <x:c r="FOO65" s="293"/>
      <x:c r="FOP65" s="293"/>
      <x:c r="FOQ65" s="293"/>
      <x:c r="FOR65" s="293"/>
      <x:c r="FOS65" s="293"/>
      <x:c r="FOT65" s="293"/>
      <x:c r="FOU65" s="293"/>
      <x:c r="FOV65" s="293"/>
      <x:c r="FOW65" s="293"/>
      <x:c r="FOX65" s="293"/>
      <x:c r="FOY65" s="293"/>
      <x:c r="FOZ65" s="293"/>
      <x:c r="FPA65" s="293"/>
      <x:c r="FPB65" s="293"/>
      <x:c r="FPC65" s="293"/>
      <x:c r="FPD65" s="293"/>
      <x:c r="FPE65" s="293"/>
      <x:c r="FPF65" s="293"/>
      <x:c r="FPG65" s="293"/>
      <x:c r="FPH65" s="293"/>
      <x:c r="FPI65" s="293"/>
      <x:c r="FPJ65" s="293"/>
      <x:c r="FPK65" s="293"/>
      <x:c r="FPL65" s="293"/>
      <x:c r="FPM65" s="293"/>
      <x:c r="FPN65" s="293"/>
      <x:c r="FPO65" s="293"/>
      <x:c r="FPP65" s="293"/>
      <x:c r="FPQ65" s="293"/>
      <x:c r="FPR65" s="293"/>
      <x:c r="FPS65" s="293"/>
      <x:c r="FPT65" s="293"/>
      <x:c r="FPU65" s="293"/>
      <x:c r="FPV65" s="293"/>
      <x:c r="FPW65" s="293"/>
      <x:c r="FPX65" s="293"/>
      <x:c r="FPY65" s="293"/>
      <x:c r="FPZ65" s="293"/>
      <x:c r="FQA65" s="293"/>
      <x:c r="FQB65" s="293"/>
      <x:c r="FQC65" s="293"/>
      <x:c r="FQD65" s="293"/>
      <x:c r="FQE65" s="293"/>
      <x:c r="FQF65" s="293"/>
      <x:c r="FQG65" s="293"/>
      <x:c r="FQH65" s="293"/>
      <x:c r="FQI65" s="293"/>
      <x:c r="FQJ65" s="293"/>
      <x:c r="FQK65" s="293"/>
      <x:c r="FQL65" s="293"/>
      <x:c r="FQM65" s="293"/>
      <x:c r="FQN65" s="293"/>
      <x:c r="FQO65" s="293"/>
      <x:c r="FQP65" s="293"/>
      <x:c r="FQQ65" s="293"/>
      <x:c r="FQR65" s="293"/>
      <x:c r="FQS65" s="293"/>
      <x:c r="FQT65" s="293"/>
      <x:c r="FQU65" s="293"/>
      <x:c r="FQV65" s="293"/>
      <x:c r="FQW65" s="293"/>
      <x:c r="FQX65" s="293"/>
      <x:c r="FQY65" s="293"/>
      <x:c r="FQZ65" s="293"/>
      <x:c r="FRA65" s="293"/>
      <x:c r="FRB65" s="293"/>
      <x:c r="FRC65" s="293"/>
      <x:c r="FRD65" s="293"/>
      <x:c r="FRE65" s="293"/>
      <x:c r="FRF65" s="293"/>
      <x:c r="FRG65" s="293"/>
      <x:c r="FRH65" s="293"/>
      <x:c r="FRI65" s="293"/>
      <x:c r="FRJ65" s="293"/>
      <x:c r="FRK65" s="293"/>
      <x:c r="FRL65" s="293"/>
      <x:c r="FRM65" s="293"/>
      <x:c r="FRN65" s="293"/>
      <x:c r="FRO65" s="293"/>
      <x:c r="FRP65" s="293"/>
      <x:c r="FRQ65" s="293"/>
      <x:c r="FRR65" s="293"/>
      <x:c r="FRS65" s="293"/>
      <x:c r="FRT65" s="293"/>
      <x:c r="FRU65" s="293"/>
      <x:c r="FRV65" s="293"/>
      <x:c r="FRW65" s="293"/>
      <x:c r="FRX65" s="293"/>
      <x:c r="FRY65" s="293"/>
      <x:c r="FRZ65" s="293"/>
      <x:c r="FSA65" s="293"/>
      <x:c r="FSB65" s="293"/>
      <x:c r="FSC65" s="293"/>
      <x:c r="FSD65" s="293"/>
      <x:c r="FSE65" s="293"/>
      <x:c r="FSF65" s="293"/>
      <x:c r="FSG65" s="293"/>
      <x:c r="FSH65" s="293"/>
      <x:c r="FSI65" s="293"/>
      <x:c r="FSJ65" s="293"/>
      <x:c r="FSK65" s="293"/>
      <x:c r="FSL65" s="293"/>
      <x:c r="FSM65" s="293"/>
      <x:c r="FSN65" s="293"/>
      <x:c r="FSO65" s="293"/>
      <x:c r="FSP65" s="293"/>
      <x:c r="FSQ65" s="293"/>
      <x:c r="FSR65" s="293"/>
      <x:c r="FSS65" s="293"/>
      <x:c r="FST65" s="293"/>
      <x:c r="FSU65" s="293"/>
      <x:c r="FSV65" s="293"/>
      <x:c r="FSW65" s="293"/>
      <x:c r="FSX65" s="293"/>
      <x:c r="FSY65" s="293"/>
      <x:c r="FSZ65" s="293"/>
      <x:c r="FTA65" s="293"/>
      <x:c r="FTB65" s="293"/>
      <x:c r="FTC65" s="293"/>
      <x:c r="FTD65" s="293"/>
      <x:c r="FTE65" s="293"/>
      <x:c r="FTF65" s="293"/>
      <x:c r="FTG65" s="293"/>
      <x:c r="FTH65" s="293"/>
      <x:c r="FTI65" s="293"/>
      <x:c r="FTJ65" s="293"/>
      <x:c r="FTK65" s="293"/>
      <x:c r="FTL65" s="293"/>
      <x:c r="FTM65" s="293"/>
      <x:c r="FTN65" s="293"/>
      <x:c r="FTO65" s="293"/>
      <x:c r="FTP65" s="293"/>
      <x:c r="FTQ65" s="293"/>
      <x:c r="FTR65" s="293"/>
      <x:c r="FTS65" s="293"/>
      <x:c r="FTT65" s="293"/>
      <x:c r="FTU65" s="293"/>
      <x:c r="FTV65" s="293"/>
      <x:c r="FTW65" s="293"/>
      <x:c r="FTX65" s="293"/>
      <x:c r="FTY65" s="293"/>
      <x:c r="FTZ65" s="293"/>
      <x:c r="FUA65" s="293"/>
      <x:c r="FUB65" s="293"/>
      <x:c r="FUC65" s="293"/>
      <x:c r="FUD65" s="293"/>
      <x:c r="FUE65" s="293"/>
      <x:c r="FUF65" s="293"/>
      <x:c r="FUG65" s="293"/>
      <x:c r="FUH65" s="293"/>
      <x:c r="FUI65" s="293"/>
      <x:c r="FUJ65" s="293"/>
      <x:c r="FUK65" s="293"/>
      <x:c r="FUL65" s="293"/>
      <x:c r="FUM65" s="293"/>
      <x:c r="FUN65" s="293"/>
      <x:c r="FUO65" s="293"/>
      <x:c r="FUP65" s="293"/>
      <x:c r="FUQ65" s="293"/>
      <x:c r="FUR65" s="293"/>
      <x:c r="FUS65" s="293"/>
      <x:c r="FUT65" s="293"/>
      <x:c r="FUU65" s="293"/>
      <x:c r="FUV65" s="293"/>
      <x:c r="FUW65" s="293"/>
      <x:c r="FUX65" s="293"/>
      <x:c r="FUY65" s="293"/>
      <x:c r="FUZ65" s="293"/>
      <x:c r="FVA65" s="293"/>
      <x:c r="FVB65" s="293"/>
      <x:c r="FVC65" s="293"/>
      <x:c r="FVD65" s="293"/>
      <x:c r="FVE65" s="293"/>
      <x:c r="FVF65" s="293"/>
      <x:c r="FVG65" s="293"/>
      <x:c r="FVH65" s="293"/>
      <x:c r="FVI65" s="293"/>
      <x:c r="FVJ65" s="293"/>
      <x:c r="FVK65" s="293"/>
      <x:c r="FVL65" s="293"/>
      <x:c r="FVM65" s="293"/>
      <x:c r="FVN65" s="293"/>
      <x:c r="FVO65" s="293"/>
      <x:c r="FVP65" s="293"/>
      <x:c r="FVQ65" s="293"/>
      <x:c r="FVR65" s="293"/>
      <x:c r="FVS65" s="293"/>
      <x:c r="FVT65" s="293"/>
      <x:c r="FVU65" s="293"/>
      <x:c r="FVV65" s="293"/>
      <x:c r="FVW65" s="293"/>
      <x:c r="FVX65" s="293"/>
      <x:c r="FVY65" s="293"/>
      <x:c r="FVZ65" s="293"/>
      <x:c r="FWA65" s="293"/>
      <x:c r="FWB65" s="293"/>
      <x:c r="FWC65" s="293"/>
      <x:c r="FWD65" s="293"/>
      <x:c r="FWE65" s="293"/>
      <x:c r="FWF65" s="293"/>
      <x:c r="FWG65" s="293"/>
      <x:c r="FWH65" s="293"/>
      <x:c r="FWI65" s="293"/>
      <x:c r="FWJ65" s="293"/>
      <x:c r="FWK65" s="293"/>
      <x:c r="FWL65" s="293"/>
      <x:c r="FWM65" s="293"/>
      <x:c r="FWN65" s="293"/>
      <x:c r="FWO65" s="293"/>
      <x:c r="FWP65" s="293"/>
      <x:c r="FWQ65" s="293"/>
      <x:c r="FWR65" s="293"/>
      <x:c r="FWS65" s="293"/>
      <x:c r="FWT65" s="293"/>
      <x:c r="FWU65" s="293"/>
      <x:c r="FWV65" s="293"/>
      <x:c r="FWW65" s="293"/>
      <x:c r="FWX65" s="293"/>
      <x:c r="FWY65" s="293"/>
      <x:c r="FWZ65" s="293"/>
      <x:c r="FXA65" s="293"/>
      <x:c r="FXB65" s="293"/>
      <x:c r="FXC65" s="293"/>
      <x:c r="FXD65" s="293"/>
      <x:c r="FXE65" s="293"/>
      <x:c r="FXF65" s="293"/>
      <x:c r="FXG65" s="293"/>
      <x:c r="FXH65" s="293"/>
      <x:c r="FXI65" s="293"/>
      <x:c r="FXJ65" s="293"/>
      <x:c r="FXK65" s="293"/>
      <x:c r="FXL65" s="293"/>
      <x:c r="FXM65" s="293"/>
      <x:c r="FXN65" s="293"/>
      <x:c r="FXO65" s="293"/>
      <x:c r="FXP65" s="293"/>
      <x:c r="FXQ65" s="293"/>
      <x:c r="FXR65" s="293"/>
      <x:c r="FXS65" s="293"/>
      <x:c r="FXT65" s="293"/>
      <x:c r="FXU65" s="293"/>
      <x:c r="FXV65" s="293"/>
      <x:c r="FXW65" s="293"/>
      <x:c r="FXX65" s="293"/>
      <x:c r="FXY65" s="293"/>
      <x:c r="FXZ65" s="293"/>
      <x:c r="FYA65" s="293"/>
      <x:c r="FYB65" s="293"/>
      <x:c r="FYC65" s="293"/>
      <x:c r="FYD65" s="293"/>
      <x:c r="FYE65" s="293"/>
      <x:c r="FYF65" s="293"/>
      <x:c r="FYG65" s="293"/>
      <x:c r="FYH65" s="293"/>
      <x:c r="FYI65" s="293"/>
      <x:c r="FYJ65" s="293"/>
      <x:c r="FYK65" s="293"/>
      <x:c r="FYL65" s="293"/>
      <x:c r="FYM65" s="293"/>
      <x:c r="FYN65" s="293"/>
      <x:c r="FYO65" s="293"/>
      <x:c r="FYP65" s="293"/>
      <x:c r="FYQ65" s="293"/>
      <x:c r="FYR65" s="293"/>
      <x:c r="FYS65" s="293"/>
      <x:c r="FYT65" s="293"/>
      <x:c r="FYU65" s="293"/>
      <x:c r="FYV65" s="293"/>
      <x:c r="FYW65" s="293"/>
      <x:c r="FYX65" s="293"/>
      <x:c r="FYY65" s="293"/>
      <x:c r="FYZ65" s="293"/>
      <x:c r="FZA65" s="293"/>
      <x:c r="FZB65" s="293"/>
      <x:c r="FZC65" s="293"/>
      <x:c r="FZD65" s="293"/>
      <x:c r="FZE65" s="293"/>
      <x:c r="FZF65" s="293"/>
      <x:c r="FZG65" s="293"/>
      <x:c r="FZH65" s="293"/>
      <x:c r="FZI65" s="293"/>
      <x:c r="FZJ65" s="293"/>
      <x:c r="FZK65" s="293"/>
      <x:c r="FZL65" s="293"/>
      <x:c r="FZM65" s="293"/>
      <x:c r="FZN65" s="293"/>
      <x:c r="FZO65" s="293"/>
      <x:c r="FZP65" s="293"/>
      <x:c r="FZQ65" s="293"/>
      <x:c r="FZR65" s="293"/>
      <x:c r="FZS65" s="293"/>
      <x:c r="FZT65" s="293"/>
      <x:c r="FZU65" s="293"/>
      <x:c r="FZV65" s="293"/>
      <x:c r="FZW65" s="293"/>
      <x:c r="FZX65" s="293"/>
      <x:c r="FZY65" s="293"/>
      <x:c r="FZZ65" s="293"/>
      <x:c r="GAA65" s="293"/>
      <x:c r="GAB65" s="293"/>
      <x:c r="GAC65" s="293"/>
      <x:c r="GAD65" s="293"/>
      <x:c r="GAE65" s="293"/>
      <x:c r="GAF65" s="293"/>
      <x:c r="GAG65" s="293"/>
      <x:c r="GAH65" s="293"/>
      <x:c r="GAI65" s="293"/>
      <x:c r="GAJ65" s="293"/>
      <x:c r="GAK65" s="293"/>
      <x:c r="GAL65" s="293"/>
      <x:c r="GAM65" s="293"/>
      <x:c r="GAN65" s="293"/>
      <x:c r="GAO65" s="293"/>
      <x:c r="GAP65" s="293"/>
      <x:c r="GAQ65" s="293"/>
      <x:c r="GAR65" s="293"/>
      <x:c r="GAS65" s="293"/>
      <x:c r="GAT65" s="293"/>
      <x:c r="GAU65" s="293"/>
      <x:c r="GAV65" s="293"/>
      <x:c r="GAW65" s="293"/>
      <x:c r="GAX65" s="293"/>
      <x:c r="GAY65" s="293"/>
      <x:c r="GAZ65" s="293"/>
      <x:c r="GBA65" s="293"/>
      <x:c r="GBB65" s="293"/>
      <x:c r="GBC65" s="293"/>
      <x:c r="GBD65" s="293"/>
      <x:c r="GBE65" s="293"/>
      <x:c r="GBF65" s="293"/>
      <x:c r="GBG65" s="293"/>
      <x:c r="GBH65" s="293"/>
      <x:c r="GBI65" s="293"/>
      <x:c r="GBJ65" s="293"/>
      <x:c r="GBK65" s="293"/>
      <x:c r="GBL65" s="293"/>
      <x:c r="GBM65" s="293"/>
      <x:c r="GBN65" s="293"/>
      <x:c r="GBO65" s="293"/>
      <x:c r="GBP65" s="293"/>
      <x:c r="GBQ65" s="293"/>
      <x:c r="GBR65" s="293"/>
      <x:c r="GBS65" s="293"/>
      <x:c r="GBT65" s="293"/>
      <x:c r="GBU65" s="293"/>
      <x:c r="GBV65" s="293"/>
      <x:c r="GBW65" s="293"/>
      <x:c r="GBX65" s="293"/>
      <x:c r="GBY65" s="293"/>
      <x:c r="GBZ65" s="293"/>
      <x:c r="GCA65" s="293"/>
      <x:c r="GCB65" s="293"/>
      <x:c r="GCC65" s="293"/>
      <x:c r="GCD65" s="293"/>
      <x:c r="GCE65" s="293"/>
      <x:c r="GCF65" s="293"/>
      <x:c r="GCG65" s="293"/>
      <x:c r="GCH65" s="293"/>
      <x:c r="GCI65" s="293"/>
      <x:c r="GCJ65" s="293"/>
      <x:c r="GCK65" s="293"/>
      <x:c r="GCL65" s="293"/>
      <x:c r="GCM65" s="293"/>
      <x:c r="GCN65" s="293"/>
      <x:c r="GCO65" s="293"/>
      <x:c r="GCP65" s="293"/>
      <x:c r="GCQ65" s="293"/>
      <x:c r="GCR65" s="293"/>
      <x:c r="GCS65" s="293"/>
      <x:c r="GCT65" s="293"/>
      <x:c r="GCU65" s="293"/>
      <x:c r="GCV65" s="293"/>
      <x:c r="GCW65" s="293"/>
      <x:c r="GCX65" s="293"/>
      <x:c r="GCY65" s="293"/>
      <x:c r="GCZ65" s="293"/>
      <x:c r="GDA65" s="293"/>
      <x:c r="GDB65" s="293"/>
      <x:c r="GDC65" s="293"/>
      <x:c r="GDD65" s="293"/>
      <x:c r="GDE65" s="293"/>
      <x:c r="GDF65" s="293"/>
      <x:c r="GDG65" s="293"/>
      <x:c r="GDH65" s="293"/>
      <x:c r="GDI65" s="293"/>
      <x:c r="GDJ65" s="293"/>
      <x:c r="GDK65" s="293"/>
      <x:c r="GDL65" s="293"/>
      <x:c r="GDM65" s="293"/>
      <x:c r="GDN65" s="293"/>
      <x:c r="GDO65" s="293"/>
      <x:c r="GDP65" s="293"/>
      <x:c r="GDQ65" s="293"/>
      <x:c r="GDR65" s="293"/>
      <x:c r="GDS65" s="293"/>
      <x:c r="GDT65" s="293"/>
      <x:c r="GDU65" s="293"/>
      <x:c r="GDV65" s="293"/>
      <x:c r="GDW65" s="293"/>
      <x:c r="GDX65" s="293"/>
      <x:c r="GDY65" s="293"/>
      <x:c r="GDZ65" s="293"/>
      <x:c r="GEA65" s="293"/>
      <x:c r="GEB65" s="293"/>
      <x:c r="GEC65" s="293"/>
      <x:c r="GED65" s="293"/>
      <x:c r="GEE65" s="293"/>
      <x:c r="GEF65" s="293"/>
      <x:c r="GEG65" s="293"/>
      <x:c r="GEH65" s="293"/>
      <x:c r="GEI65" s="293"/>
      <x:c r="GEJ65" s="293"/>
      <x:c r="GEK65" s="293"/>
      <x:c r="GEL65" s="293"/>
      <x:c r="GEM65" s="293"/>
      <x:c r="GEN65" s="293"/>
      <x:c r="GEO65" s="293"/>
      <x:c r="GEP65" s="293"/>
      <x:c r="GEQ65" s="293"/>
      <x:c r="GER65" s="293"/>
      <x:c r="GES65" s="293"/>
      <x:c r="GET65" s="293"/>
      <x:c r="GEU65" s="293"/>
      <x:c r="GEV65" s="293"/>
      <x:c r="GEW65" s="293"/>
      <x:c r="GEX65" s="293"/>
      <x:c r="GEY65" s="293"/>
      <x:c r="GEZ65" s="293"/>
      <x:c r="GFA65" s="293"/>
      <x:c r="GFB65" s="293"/>
      <x:c r="GFC65" s="293"/>
      <x:c r="GFD65" s="293"/>
      <x:c r="GFE65" s="293"/>
      <x:c r="GFF65" s="293"/>
      <x:c r="GFG65" s="293"/>
      <x:c r="GFH65" s="293"/>
      <x:c r="GFI65" s="293"/>
      <x:c r="GFJ65" s="293"/>
      <x:c r="GFK65" s="293"/>
      <x:c r="GFL65" s="293"/>
      <x:c r="GFM65" s="293"/>
      <x:c r="GFN65" s="293"/>
      <x:c r="GFO65" s="293"/>
      <x:c r="GFP65" s="293"/>
      <x:c r="GFQ65" s="293"/>
      <x:c r="GFR65" s="293"/>
      <x:c r="GFS65" s="293"/>
      <x:c r="GFT65" s="293"/>
      <x:c r="GFU65" s="293"/>
      <x:c r="GFV65" s="293"/>
      <x:c r="GFW65" s="293"/>
      <x:c r="GFX65" s="293"/>
      <x:c r="GFY65" s="293"/>
      <x:c r="GFZ65" s="293"/>
      <x:c r="GGA65" s="293"/>
      <x:c r="GGB65" s="293"/>
      <x:c r="GGC65" s="293"/>
      <x:c r="GGD65" s="293"/>
      <x:c r="GGE65" s="293"/>
      <x:c r="GGF65" s="293"/>
      <x:c r="GGG65" s="293"/>
      <x:c r="GGH65" s="293"/>
      <x:c r="GGI65" s="293"/>
      <x:c r="GGJ65" s="293"/>
      <x:c r="GGK65" s="293"/>
      <x:c r="GGL65" s="293"/>
      <x:c r="GGM65" s="293"/>
      <x:c r="GGN65" s="293"/>
      <x:c r="GGO65" s="293"/>
      <x:c r="GGP65" s="293"/>
      <x:c r="GGQ65" s="293"/>
      <x:c r="GGR65" s="293"/>
      <x:c r="GGS65" s="293"/>
      <x:c r="GGT65" s="293"/>
      <x:c r="GGU65" s="293"/>
      <x:c r="GGV65" s="293"/>
      <x:c r="GGW65" s="293"/>
      <x:c r="GGX65" s="293"/>
      <x:c r="GGY65" s="293"/>
      <x:c r="GGZ65" s="293"/>
      <x:c r="GHA65" s="293"/>
      <x:c r="GHB65" s="293"/>
      <x:c r="GHC65" s="293"/>
      <x:c r="GHD65" s="293"/>
      <x:c r="GHE65" s="293"/>
      <x:c r="GHF65" s="293"/>
      <x:c r="GHG65" s="293"/>
      <x:c r="GHH65" s="293"/>
      <x:c r="GHI65" s="293"/>
      <x:c r="GHJ65" s="293"/>
      <x:c r="GHK65" s="293"/>
      <x:c r="GHL65" s="293"/>
      <x:c r="GHM65" s="293"/>
      <x:c r="GHN65" s="293"/>
      <x:c r="GHO65" s="293"/>
      <x:c r="GHP65" s="293"/>
      <x:c r="GHQ65" s="293"/>
      <x:c r="GHR65" s="293"/>
      <x:c r="GHS65" s="293"/>
      <x:c r="GHT65" s="293"/>
      <x:c r="GHU65" s="293"/>
      <x:c r="GHV65" s="293"/>
      <x:c r="GHW65" s="293"/>
      <x:c r="GHX65" s="293"/>
      <x:c r="GHY65" s="293"/>
      <x:c r="GHZ65" s="293"/>
      <x:c r="GIA65" s="293"/>
      <x:c r="GIB65" s="293"/>
      <x:c r="GIC65" s="293"/>
      <x:c r="GID65" s="293"/>
      <x:c r="GIE65" s="293"/>
      <x:c r="GIF65" s="293"/>
      <x:c r="GIG65" s="293"/>
      <x:c r="GIH65" s="293"/>
      <x:c r="GII65" s="293"/>
      <x:c r="GIJ65" s="293"/>
      <x:c r="GIK65" s="293"/>
      <x:c r="GIL65" s="293"/>
      <x:c r="GIM65" s="293"/>
      <x:c r="GIN65" s="293"/>
      <x:c r="GIO65" s="293"/>
      <x:c r="GIP65" s="293"/>
      <x:c r="GIQ65" s="293"/>
      <x:c r="GIR65" s="293"/>
      <x:c r="GIS65" s="293"/>
      <x:c r="GIT65" s="293"/>
      <x:c r="GIU65" s="293"/>
      <x:c r="GIV65" s="293"/>
      <x:c r="GIW65" s="293"/>
      <x:c r="GIX65" s="293"/>
      <x:c r="GIY65" s="293"/>
      <x:c r="GIZ65" s="293"/>
      <x:c r="GJA65" s="293"/>
      <x:c r="GJB65" s="293"/>
      <x:c r="GJC65" s="293"/>
      <x:c r="GJD65" s="293"/>
      <x:c r="GJE65" s="293"/>
      <x:c r="GJF65" s="293"/>
      <x:c r="GJG65" s="293"/>
      <x:c r="GJH65" s="293"/>
      <x:c r="GJI65" s="293"/>
      <x:c r="GJJ65" s="293"/>
      <x:c r="GJK65" s="293"/>
      <x:c r="GJL65" s="293"/>
      <x:c r="GJM65" s="293"/>
      <x:c r="GJN65" s="293"/>
      <x:c r="GJO65" s="293"/>
      <x:c r="GJP65" s="293"/>
      <x:c r="GJQ65" s="293"/>
      <x:c r="GJR65" s="293"/>
      <x:c r="GJS65" s="293"/>
      <x:c r="GJT65" s="293"/>
      <x:c r="GJU65" s="293"/>
      <x:c r="GJV65" s="293"/>
      <x:c r="GJW65" s="293"/>
      <x:c r="GJX65" s="293"/>
      <x:c r="GJY65" s="293"/>
      <x:c r="GJZ65" s="293"/>
      <x:c r="GKA65" s="293"/>
      <x:c r="GKB65" s="293"/>
      <x:c r="GKC65" s="293"/>
      <x:c r="GKD65" s="293"/>
      <x:c r="GKE65" s="293"/>
      <x:c r="GKF65" s="293"/>
      <x:c r="GKG65" s="293"/>
      <x:c r="GKH65" s="293"/>
      <x:c r="GKI65" s="293"/>
      <x:c r="GKJ65" s="293"/>
      <x:c r="GKK65" s="293"/>
      <x:c r="GKL65" s="293"/>
      <x:c r="GKM65" s="293"/>
      <x:c r="GKN65" s="293"/>
      <x:c r="GKO65" s="293"/>
      <x:c r="GKP65" s="293"/>
      <x:c r="GKQ65" s="293"/>
      <x:c r="GKR65" s="293"/>
      <x:c r="GKS65" s="293"/>
      <x:c r="GKT65" s="293"/>
      <x:c r="GKU65" s="293"/>
      <x:c r="GKV65" s="293"/>
      <x:c r="GKW65" s="293"/>
      <x:c r="GKX65" s="293"/>
      <x:c r="GKY65" s="293"/>
      <x:c r="GKZ65" s="293"/>
      <x:c r="GLA65" s="293"/>
      <x:c r="GLB65" s="293"/>
      <x:c r="GLC65" s="293"/>
      <x:c r="GLD65" s="293"/>
      <x:c r="GLE65" s="293"/>
      <x:c r="GLF65" s="293"/>
      <x:c r="GLG65" s="293"/>
      <x:c r="GLH65" s="293"/>
      <x:c r="GLI65" s="293"/>
      <x:c r="GLJ65" s="293"/>
      <x:c r="GLK65" s="293"/>
      <x:c r="GLL65" s="293"/>
      <x:c r="GLM65" s="293"/>
      <x:c r="GLN65" s="293"/>
      <x:c r="GLO65" s="293"/>
      <x:c r="GLP65" s="293"/>
      <x:c r="GLQ65" s="293"/>
      <x:c r="GLR65" s="293"/>
      <x:c r="GLS65" s="293"/>
      <x:c r="GLT65" s="293"/>
      <x:c r="GLU65" s="293"/>
      <x:c r="GLV65" s="293"/>
      <x:c r="GLW65" s="293"/>
      <x:c r="GLX65" s="293"/>
      <x:c r="GLY65" s="293"/>
      <x:c r="GLZ65" s="293"/>
      <x:c r="GMA65" s="293"/>
      <x:c r="GMB65" s="293"/>
      <x:c r="GMC65" s="293"/>
      <x:c r="GMD65" s="293"/>
      <x:c r="GME65" s="293"/>
      <x:c r="GMF65" s="293"/>
      <x:c r="GMG65" s="293"/>
      <x:c r="GMH65" s="293"/>
      <x:c r="GMI65" s="293"/>
      <x:c r="GMJ65" s="293"/>
      <x:c r="GMK65" s="293"/>
      <x:c r="GML65" s="293"/>
      <x:c r="GMM65" s="293"/>
      <x:c r="GMN65" s="293"/>
      <x:c r="GMO65" s="293"/>
      <x:c r="GMP65" s="293"/>
      <x:c r="GMQ65" s="293"/>
      <x:c r="GMR65" s="293"/>
      <x:c r="GMS65" s="293"/>
      <x:c r="GMT65" s="293"/>
      <x:c r="GMU65" s="293"/>
      <x:c r="GMV65" s="293"/>
      <x:c r="GMW65" s="293"/>
      <x:c r="GMX65" s="293"/>
      <x:c r="GMY65" s="293"/>
      <x:c r="GMZ65" s="293"/>
      <x:c r="GNA65" s="293"/>
      <x:c r="GNB65" s="293"/>
      <x:c r="GNC65" s="293"/>
      <x:c r="GND65" s="293"/>
      <x:c r="GNE65" s="293"/>
      <x:c r="GNF65" s="293"/>
      <x:c r="GNG65" s="293"/>
      <x:c r="GNH65" s="293"/>
      <x:c r="GNI65" s="293"/>
      <x:c r="GNJ65" s="293"/>
      <x:c r="GNK65" s="293"/>
      <x:c r="GNL65" s="293"/>
      <x:c r="GNM65" s="293"/>
      <x:c r="GNN65" s="293"/>
      <x:c r="GNO65" s="293"/>
      <x:c r="GNP65" s="293"/>
      <x:c r="GNQ65" s="293"/>
      <x:c r="GNR65" s="293"/>
      <x:c r="GNS65" s="293"/>
      <x:c r="GNT65" s="293"/>
      <x:c r="GNU65" s="293"/>
      <x:c r="GNV65" s="293"/>
      <x:c r="GNW65" s="293"/>
      <x:c r="GNX65" s="293"/>
      <x:c r="GNY65" s="293"/>
      <x:c r="GNZ65" s="293"/>
      <x:c r="GOA65" s="293"/>
      <x:c r="GOB65" s="293"/>
      <x:c r="GOC65" s="293"/>
      <x:c r="GOD65" s="293"/>
      <x:c r="GOE65" s="293"/>
      <x:c r="GOF65" s="293"/>
      <x:c r="GOG65" s="293"/>
      <x:c r="GOH65" s="293"/>
      <x:c r="GOI65" s="293"/>
      <x:c r="GOJ65" s="293"/>
      <x:c r="GOK65" s="293"/>
      <x:c r="GOL65" s="293"/>
      <x:c r="GOM65" s="293"/>
      <x:c r="GON65" s="293"/>
      <x:c r="GOO65" s="293"/>
      <x:c r="GOP65" s="293"/>
      <x:c r="GOQ65" s="293"/>
      <x:c r="GOR65" s="293"/>
      <x:c r="GOS65" s="293"/>
      <x:c r="GOT65" s="293"/>
      <x:c r="GOU65" s="293"/>
      <x:c r="GOV65" s="293"/>
      <x:c r="GOW65" s="293"/>
      <x:c r="GOX65" s="293"/>
      <x:c r="GOY65" s="293"/>
      <x:c r="GOZ65" s="293"/>
      <x:c r="GPA65" s="293"/>
      <x:c r="GPB65" s="293"/>
      <x:c r="GPC65" s="293"/>
      <x:c r="GPD65" s="293"/>
      <x:c r="GPE65" s="293"/>
      <x:c r="GPF65" s="293"/>
      <x:c r="GPG65" s="293"/>
      <x:c r="GPH65" s="293"/>
      <x:c r="GPI65" s="293"/>
      <x:c r="GPJ65" s="293"/>
      <x:c r="GPK65" s="293"/>
      <x:c r="GPL65" s="293"/>
      <x:c r="GPM65" s="293"/>
      <x:c r="GPN65" s="293"/>
      <x:c r="GPO65" s="293"/>
      <x:c r="GPP65" s="293"/>
      <x:c r="GPQ65" s="293"/>
      <x:c r="GPR65" s="293"/>
      <x:c r="GPS65" s="293"/>
      <x:c r="GPT65" s="293"/>
      <x:c r="GPU65" s="293"/>
      <x:c r="GPV65" s="293"/>
      <x:c r="GPW65" s="293"/>
      <x:c r="GPX65" s="293"/>
      <x:c r="GPY65" s="293"/>
      <x:c r="GPZ65" s="293"/>
      <x:c r="GQA65" s="293"/>
      <x:c r="GQB65" s="293"/>
      <x:c r="GQC65" s="293"/>
      <x:c r="GQD65" s="293"/>
      <x:c r="GQE65" s="293"/>
      <x:c r="GQF65" s="293"/>
      <x:c r="GQG65" s="293"/>
      <x:c r="GQH65" s="293"/>
      <x:c r="GQI65" s="293"/>
      <x:c r="GQJ65" s="293"/>
      <x:c r="GQK65" s="293"/>
      <x:c r="GQL65" s="293"/>
      <x:c r="GQM65" s="293"/>
      <x:c r="GQN65" s="293"/>
      <x:c r="GQO65" s="293"/>
      <x:c r="GQP65" s="293"/>
      <x:c r="GQQ65" s="293"/>
      <x:c r="GQR65" s="293"/>
      <x:c r="GQS65" s="293"/>
      <x:c r="GQT65" s="293"/>
      <x:c r="GQU65" s="293"/>
      <x:c r="GQV65" s="293"/>
      <x:c r="GQW65" s="293"/>
      <x:c r="GQX65" s="293"/>
      <x:c r="GQY65" s="293"/>
      <x:c r="GQZ65" s="293"/>
      <x:c r="GRA65" s="293"/>
      <x:c r="GRB65" s="293"/>
      <x:c r="GRC65" s="293"/>
      <x:c r="GRD65" s="293"/>
      <x:c r="GRE65" s="293"/>
      <x:c r="GRF65" s="293"/>
      <x:c r="GRG65" s="293"/>
      <x:c r="GRH65" s="293"/>
      <x:c r="GRI65" s="293"/>
      <x:c r="GRJ65" s="293"/>
      <x:c r="GRK65" s="293"/>
      <x:c r="GRL65" s="293"/>
      <x:c r="GRM65" s="293"/>
      <x:c r="GRN65" s="293"/>
      <x:c r="GRO65" s="293"/>
      <x:c r="GRP65" s="293"/>
      <x:c r="GRQ65" s="293"/>
      <x:c r="GRR65" s="293"/>
      <x:c r="GRS65" s="293"/>
      <x:c r="GRT65" s="293"/>
      <x:c r="GRU65" s="293"/>
      <x:c r="GRV65" s="293"/>
      <x:c r="GRW65" s="293"/>
      <x:c r="GRX65" s="293"/>
      <x:c r="GRY65" s="293"/>
      <x:c r="GRZ65" s="293"/>
      <x:c r="GSA65" s="293"/>
      <x:c r="GSB65" s="293"/>
      <x:c r="GSC65" s="293"/>
      <x:c r="GSD65" s="293"/>
      <x:c r="GSE65" s="293"/>
      <x:c r="GSF65" s="293"/>
      <x:c r="GSG65" s="293"/>
      <x:c r="GSH65" s="293"/>
      <x:c r="GSI65" s="293"/>
      <x:c r="GSJ65" s="293"/>
      <x:c r="GSK65" s="293"/>
      <x:c r="GSL65" s="293"/>
      <x:c r="GSM65" s="293"/>
      <x:c r="GSN65" s="293"/>
      <x:c r="GSO65" s="293"/>
      <x:c r="GSP65" s="293"/>
      <x:c r="GSQ65" s="293"/>
      <x:c r="GSR65" s="293"/>
      <x:c r="GSS65" s="293"/>
      <x:c r="GST65" s="293"/>
      <x:c r="GSU65" s="293"/>
      <x:c r="GSV65" s="293"/>
      <x:c r="GSW65" s="293"/>
      <x:c r="GSX65" s="293"/>
      <x:c r="GSY65" s="293"/>
      <x:c r="GSZ65" s="293"/>
      <x:c r="GTA65" s="293"/>
      <x:c r="GTB65" s="293"/>
      <x:c r="GTC65" s="293"/>
      <x:c r="GTD65" s="293"/>
      <x:c r="GTE65" s="293"/>
      <x:c r="GTF65" s="293"/>
      <x:c r="GTG65" s="293"/>
      <x:c r="GTH65" s="293"/>
      <x:c r="GTI65" s="293"/>
      <x:c r="GTJ65" s="293"/>
      <x:c r="GTK65" s="293"/>
      <x:c r="GTL65" s="293"/>
      <x:c r="GTM65" s="293"/>
      <x:c r="GTN65" s="293"/>
      <x:c r="GTO65" s="293"/>
      <x:c r="GTP65" s="293"/>
      <x:c r="GTQ65" s="293"/>
      <x:c r="GTR65" s="293"/>
      <x:c r="GTS65" s="293"/>
      <x:c r="GTT65" s="293"/>
      <x:c r="GTU65" s="293"/>
      <x:c r="GTV65" s="293"/>
      <x:c r="GTW65" s="293"/>
      <x:c r="GTX65" s="293"/>
      <x:c r="GTY65" s="293"/>
      <x:c r="GTZ65" s="293"/>
      <x:c r="GUA65" s="293"/>
      <x:c r="GUB65" s="293"/>
      <x:c r="GUC65" s="293"/>
      <x:c r="GUD65" s="293"/>
      <x:c r="GUE65" s="293"/>
      <x:c r="GUF65" s="293"/>
      <x:c r="GUG65" s="293"/>
      <x:c r="GUH65" s="293"/>
      <x:c r="GUI65" s="293"/>
      <x:c r="GUJ65" s="293"/>
      <x:c r="GUK65" s="293"/>
      <x:c r="GUL65" s="293"/>
      <x:c r="GUM65" s="293"/>
      <x:c r="GUN65" s="293"/>
      <x:c r="GUO65" s="293"/>
      <x:c r="GUP65" s="293"/>
      <x:c r="GUQ65" s="293"/>
      <x:c r="GUR65" s="293"/>
      <x:c r="GUS65" s="293"/>
      <x:c r="GUT65" s="293"/>
      <x:c r="GUU65" s="293"/>
      <x:c r="GUV65" s="293"/>
      <x:c r="GUW65" s="293"/>
      <x:c r="GUX65" s="293"/>
      <x:c r="GUY65" s="293"/>
      <x:c r="GUZ65" s="293"/>
      <x:c r="GVA65" s="293"/>
      <x:c r="GVB65" s="293"/>
      <x:c r="GVC65" s="293"/>
      <x:c r="GVD65" s="293"/>
      <x:c r="GVE65" s="293"/>
      <x:c r="GVF65" s="293"/>
      <x:c r="GVG65" s="293"/>
      <x:c r="GVH65" s="293"/>
      <x:c r="GVI65" s="293"/>
      <x:c r="GVJ65" s="293"/>
      <x:c r="GVK65" s="293"/>
      <x:c r="GVL65" s="293"/>
      <x:c r="GVM65" s="293"/>
      <x:c r="GVN65" s="293"/>
      <x:c r="GVO65" s="293"/>
      <x:c r="GVP65" s="293"/>
      <x:c r="GVQ65" s="293"/>
      <x:c r="GVR65" s="293"/>
      <x:c r="GVS65" s="293"/>
      <x:c r="GVT65" s="293"/>
      <x:c r="GVU65" s="293"/>
      <x:c r="GVV65" s="293"/>
      <x:c r="GVW65" s="293"/>
      <x:c r="GVX65" s="293"/>
      <x:c r="GVY65" s="293"/>
      <x:c r="GVZ65" s="293"/>
      <x:c r="GWA65" s="293"/>
      <x:c r="GWB65" s="293"/>
      <x:c r="GWC65" s="293"/>
      <x:c r="GWD65" s="293"/>
      <x:c r="GWE65" s="293"/>
      <x:c r="GWF65" s="293"/>
      <x:c r="GWG65" s="293"/>
      <x:c r="GWH65" s="293"/>
      <x:c r="GWI65" s="293"/>
      <x:c r="GWJ65" s="293"/>
      <x:c r="GWK65" s="293"/>
      <x:c r="GWL65" s="293"/>
      <x:c r="GWM65" s="293"/>
      <x:c r="GWN65" s="293"/>
      <x:c r="GWO65" s="293"/>
      <x:c r="GWP65" s="293"/>
      <x:c r="GWQ65" s="293"/>
      <x:c r="GWR65" s="293"/>
      <x:c r="GWS65" s="293"/>
      <x:c r="GWT65" s="293"/>
      <x:c r="GWU65" s="293"/>
      <x:c r="GWV65" s="293"/>
      <x:c r="GWW65" s="293"/>
      <x:c r="GWX65" s="293"/>
      <x:c r="GWY65" s="293"/>
      <x:c r="GWZ65" s="293"/>
      <x:c r="GXA65" s="293"/>
      <x:c r="GXB65" s="293"/>
      <x:c r="GXC65" s="293"/>
      <x:c r="GXD65" s="293"/>
      <x:c r="GXE65" s="293"/>
      <x:c r="GXF65" s="293"/>
      <x:c r="GXG65" s="293"/>
      <x:c r="GXH65" s="293"/>
      <x:c r="GXI65" s="293"/>
      <x:c r="GXJ65" s="293"/>
      <x:c r="GXK65" s="293"/>
      <x:c r="GXL65" s="293"/>
      <x:c r="GXM65" s="293"/>
      <x:c r="GXN65" s="293"/>
      <x:c r="GXO65" s="293"/>
      <x:c r="GXP65" s="293"/>
      <x:c r="GXQ65" s="293"/>
      <x:c r="GXR65" s="293"/>
      <x:c r="GXS65" s="293"/>
      <x:c r="GXT65" s="293"/>
      <x:c r="GXU65" s="293"/>
      <x:c r="GXV65" s="293"/>
      <x:c r="GXW65" s="293"/>
      <x:c r="GXX65" s="293"/>
      <x:c r="GXY65" s="293"/>
      <x:c r="GXZ65" s="293"/>
      <x:c r="GYA65" s="293"/>
      <x:c r="GYB65" s="293"/>
      <x:c r="GYC65" s="293"/>
      <x:c r="GYD65" s="293"/>
      <x:c r="GYE65" s="293"/>
      <x:c r="GYF65" s="293"/>
      <x:c r="GYG65" s="293"/>
      <x:c r="GYH65" s="293"/>
      <x:c r="GYI65" s="293"/>
      <x:c r="GYJ65" s="293"/>
      <x:c r="GYK65" s="293"/>
      <x:c r="GYL65" s="293"/>
      <x:c r="GYM65" s="293"/>
      <x:c r="GYN65" s="293"/>
      <x:c r="GYO65" s="293"/>
      <x:c r="GYP65" s="293"/>
      <x:c r="GYQ65" s="293"/>
      <x:c r="GYR65" s="293"/>
      <x:c r="GYS65" s="293"/>
      <x:c r="GYT65" s="293"/>
      <x:c r="GYU65" s="293"/>
      <x:c r="GYV65" s="293"/>
      <x:c r="GYW65" s="293"/>
      <x:c r="GYX65" s="293"/>
      <x:c r="GYY65" s="293"/>
      <x:c r="GYZ65" s="293"/>
      <x:c r="GZA65" s="293"/>
      <x:c r="GZB65" s="293"/>
      <x:c r="GZC65" s="293"/>
      <x:c r="GZD65" s="293"/>
      <x:c r="GZE65" s="293"/>
      <x:c r="GZF65" s="293"/>
      <x:c r="GZG65" s="293"/>
      <x:c r="GZH65" s="293"/>
      <x:c r="GZI65" s="293"/>
      <x:c r="GZJ65" s="293"/>
      <x:c r="GZK65" s="293"/>
      <x:c r="GZL65" s="293"/>
      <x:c r="GZM65" s="293"/>
      <x:c r="GZN65" s="293"/>
      <x:c r="GZO65" s="293"/>
      <x:c r="GZP65" s="293"/>
      <x:c r="GZQ65" s="293"/>
      <x:c r="GZR65" s="293"/>
      <x:c r="GZS65" s="293"/>
      <x:c r="GZT65" s="293"/>
      <x:c r="GZU65" s="293"/>
      <x:c r="GZV65" s="293"/>
      <x:c r="GZW65" s="293"/>
      <x:c r="GZX65" s="293"/>
      <x:c r="GZY65" s="293"/>
      <x:c r="GZZ65" s="293"/>
      <x:c r="HAA65" s="293"/>
      <x:c r="HAB65" s="293"/>
      <x:c r="HAC65" s="293"/>
      <x:c r="HAD65" s="293"/>
      <x:c r="HAE65" s="293"/>
      <x:c r="HAF65" s="293"/>
      <x:c r="HAG65" s="293"/>
      <x:c r="HAH65" s="293"/>
      <x:c r="HAI65" s="293"/>
      <x:c r="HAJ65" s="293"/>
      <x:c r="HAK65" s="293"/>
      <x:c r="HAL65" s="293"/>
      <x:c r="HAM65" s="293"/>
      <x:c r="HAN65" s="293"/>
      <x:c r="HAO65" s="293"/>
      <x:c r="HAP65" s="293"/>
      <x:c r="HAQ65" s="293"/>
      <x:c r="HAR65" s="293"/>
      <x:c r="HAS65" s="293"/>
      <x:c r="HAT65" s="293"/>
      <x:c r="HAU65" s="293"/>
      <x:c r="HAV65" s="293"/>
      <x:c r="HAW65" s="293"/>
      <x:c r="HAX65" s="293"/>
      <x:c r="HAY65" s="293"/>
      <x:c r="HAZ65" s="293"/>
      <x:c r="HBA65" s="293"/>
      <x:c r="HBB65" s="293"/>
      <x:c r="HBC65" s="293"/>
      <x:c r="HBD65" s="293"/>
      <x:c r="HBE65" s="293"/>
      <x:c r="HBF65" s="293"/>
      <x:c r="HBG65" s="293"/>
      <x:c r="HBH65" s="293"/>
      <x:c r="HBI65" s="293"/>
      <x:c r="HBJ65" s="293"/>
      <x:c r="HBK65" s="293"/>
      <x:c r="HBL65" s="293"/>
      <x:c r="HBM65" s="293"/>
      <x:c r="HBN65" s="293"/>
      <x:c r="HBO65" s="293"/>
      <x:c r="HBP65" s="293"/>
      <x:c r="HBQ65" s="293"/>
      <x:c r="HBR65" s="293"/>
      <x:c r="HBS65" s="293"/>
      <x:c r="HBT65" s="293"/>
      <x:c r="HBU65" s="293"/>
      <x:c r="HBV65" s="293"/>
      <x:c r="HBW65" s="293"/>
      <x:c r="HBX65" s="293"/>
      <x:c r="HBY65" s="293"/>
      <x:c r="HBZ65" s="293"/>
      <x:c r="HCA65" s="293"/>
      <x:c r="HCB65" s="293"/>
      <x:c r="HCC65" s="293"/>
      <x:c r="HCD65" s="293"/>
      <x:c r="HCE65" s="293"/>
      <x:c r="HCF65" s="293"/>
      <x:c r="HCG65" s="293"/>
      <x:c r="HCH65" s="293"/>
      <x:c r="HCI65" s="293"/>
      <x:c r="HCJ65" s="293"/>
      <x:c r="HCK65" s="293"/>
      <x:c r="HCL65" s="293"/>
      <x:c r="HCM65" s="293"/>
      <x:c r="HCN65" s="293"/>
      <x:c r="HCO65" s="293"/>
      <x:c r="HCP65" s="293"/>
      <x:c r="HCQ65" s="293"/>
      <x:c r="HCR65" s="293"/>
      <x:c r="HCS65" s="293"/>
      <x:c r="HCT65" s="293"/>
      <x:c r="HCU65" s="293"/>
      <x:c r="HCV65" s="293"/>
      <x:c r="HCW65" s="293"/>
      <x:c r="HCX65" s="293"/>
      <x:c r="HCY65" s="293"/>
      <x:c r="HCZ65" s="293"/>
      <x:c r="HDA65" s="293"/>
      <x:c r="HDB65" s="293"/>
      <x:c r="HDC65" s="293"/>
      <x:c r="HDD65" s="293"/>
      <x:c r="HDE65" s="293"/>
      <x:c r="HDF65" s="293"/>
      <x:c r="HDG65" s="293"/>
      <x:c r="HDH65" s="293"/>
      <x:c r="HDI65" s="293"/>
      <x:c r="HDJ65" s="293"/>
      <x:c r="HDK65" s="293"/>
      <x:c r="HDL65" s="293"/>
      <x:c r="HDM65" s="293"/>
      <x:c r="HDN65" s="293"/>
      <x:c r="HDO65" s="293"/>
      <x:c r="HDP65" s="293"/>
      <x:c r="HDQ65" s="293"/>
      <x:c r="HDR65" s="293"/>
      <x:c r="HDS65" s="293"/>
      <x:c r="HDT65" s="293"/>
      <x:c r="HDU65" s="293"/>
      <x:c r="HDV65" s="293"/>
      <x:c r="HDW65" s="293"/>
      <x:c r="HDX65" s="293"/>
      <x:c r="HDY65" s="293"/>
      <x:c r="HDZ65" s="293"/>
      <x:c r="HEA65" s="293"/>
      <x:c r="HEB65" s="293"/>
      <x:c r="HEC65" s="293"/>
      <x:c r="HED65" s="293"/>
      <x:c r="HEE65" s="293"/>
      <x:c r="HEF65" s="293"/>
      <x:c r="HEG65" s="293"/>
      <x:c r="HEH65" s="293"/>
      <x:c r="HEI65" s="293"/>
      <x:c r="HEJ65" s="293"/>
      <x:c r="HEK65" s="293"/>
      <x:c r="HEL65" s="293"/>
      <x:c r="HEM65" s="293"/>
      <x:c r="HEN65" s="293"/>
      <x:c r="HEO65" s="293"/>
      <x:c r="HEP65" s="293"/>
      <x:c r="HEQ65" s="293"/>
      <x:c r="HER65" s="293"/>
      <x:c r="HES65" s="293"/>
      <x:c r="HET65" s="293"/>
      <x:c r="HEU65" s="293"/>
      <x:c r="HEV65" s="293"/>
      <x:c r="HEW65" s="293"/>
      <x:c r="HEX65" s="293"/>
      <x:c r="HEY65" s="293"/>
      <x:c r="HEZ65" s="293"/>
      <x:c r="HFA65" s="293"/>
      <x:c r="HFB65" s="293"/>
      <x:c r="HFC65" s="293"/>
      <x:c r="HFD65" s="293"/>
      <x:c r="HFE65" s="293"/>
      <x:c r="HFF65" s="293"/>
      <x:c r="HFG65" s="293"/>
      <x:c r="HFH65" s="293"/>
      <x:c r="HFI65" s="293"/>
      <x:c r="HFJ65" s="293"/>
      <x:c r="HFK65" s="293"/>
      <x:c r="HFL65" s="293"/>
      <x:c r="HFM65" s="293"/>
      <x:c r="HFN65" s="293"/>
      <x:c r="HFO65" s="293"/>
      <x:c r="HFP65" s="293"/>
      <x:c r="HFQ65" s="293"/>
      <x:c r="HFR65" s="293"/>
      <x:c r="HFS65" s="293"/>
      <x:c r="HFT65" s="293"/>
      <x:c r="HFU65" s="293"/>
      <x:c r="HFV65" s="293"/>
      <x:c r="HFW65" s="293"/>
      <x:c r="HFX65" s="293"/>
      <x:c r="HFY65" s="293"/>
      <x:c r="HFZ65" s="293"/>
      <x:c r="HGA65" s="293"/>
      <x:c r="HGB65" s="293"/>
      <x:c r="HGC65" s="293"/>
      <x:c r="HGD65" s="293"/>
      <x:c r="HGE65" s="293"/>
      <x:c r="HGF65" s="293"/>
      <x:c r="HGG65" s="293"/>
      <x:c r="HGH65" s="293"/>
      <x:c r="HGI65" s="293"/>
      <x:c r="HGJ65" s="293"/>
      <x:c r="HGK65" s="293"/>
      <x:c r="HGL65" s="293"/>
      <x:c r="HGM65" s="293"/>
      <x:c r="HGN65" s="293"/>
      <x:c r="HGO65" s="293"/>
      <x:c r="HGP65" s="293"/>
      <x:c r="HGQ65" s="293"/>
      <x:c r="HGR65" s="293"/>
      <x:c r="HGS65" s="293"/>
      <x:c r="HGT65" s="293"/>
      <x:c r="HGU65" s="293"/>
      <x:c r="HGV65" s="293"/>
      <x:c r="HGW65" s="293"/>
      <x:c r="HGX65" s="293"/>
      <x:c r="HGY65" s="293"/>
      <x:c r="HGZ65" s="293"/>
      <x:c r="HHA65" s="293"/>
      <x:c r="HHB65" s="293"/>
      <x:c r="HHC65" s="293"/>
      <x:c r="HHD65" s="293"/>
      <x:c r="HHE65" s="293"/>
      <x:c r="HHF65" s="293"/>
      <x:c r="HHG65" s="293"/>
      <x:c r="HHH65" s="293"/>
      <x:c r="HHI65" s="293"/>
      <x:c r="HHJ65" s="293"/>
      <x:c r="HHK65" s="293"/>
      <x:c r="HHL65" s="293"/>
      <x:c r="HHM65" s="293"/>
      <x:c r="HHN65" s="293"/>
      <x:c r="HHO65" s="293"/>
      <x:c r="HHP65" s="293"/>
      <x:c r="HHQ65" s="293"/>
      <x:c r="HHR65" s="293"/>
      <x:c r="HHS65" s="293"/>
      <x:c r="HHT65" s="293"/>
      <x:c r="HHU65" s="293"/>
      <x:c r="HHV65" s="293"/>
      <x:c r="HHW65" s="293"/>
      <x:c r="HHX65" s="293"/>
      <x:c r="HHY65" s="293"/>
      <x:c r="HHZ65" s="293"/>
      <x:c r="HIA65" s="293"/>
      <x:c r="HIB65" s="293"/>
      <x:c r="HIC65" s="293"/>
      <x:c r="HID65" s="293"/>
      <x:c r="HIE65" s="293"/>
      <x:c r="HIF65" s="293"/>
      <x:c r="HIG65" s="293"/>
      <x:c r="HIH65" s="293"/>
      <x:c r="HII65" s="293"/>
      <x:c r="HIJ65" s="293"/>
      <x:c r="HIK65" s="293"/>
      <x:c r="HIL65" s="293"/>
      <x:c r="HIM65" s="293"/>
      <x:c r="HIN65" s="293"/>
      <x:c r="HIO65" s="293"/>
      <x:c r="HIP65" s="293"/>
      <x:c r="HIQ65" s="293"/>
      <x:c r="HIR65" s="293"/>
      <x:c r="HIS65" s="293"/>
      <x:c r="HIT65" s="293"/>
      <x:c r="HIU65" s="293"/>
      <x:c r="HIV65" s="293"/>
      <x:c r="HIW65" s="293"/>
      <x:c r="HIX65" s="293"/>
      <x:c r="HIY65" s="293"/>
      <x:c r="HIZ65" s="293"/>
      <x:c r="HJA65" s="293"/>
      <x:c r="HJB65" s="293"/>
      <x:c r="HJC65" s="293"/>
      <x:c r="HJD65" s="293"/>
      <x:c r="HJE65" s="293"/>
      <x:c r="HJF65" s="293"/>
      <x:c r="HJG65" s="293"/>
      <x:c r="HJH65" s="293"/>
      <x:c r="HJI65" s="293"/>
      <x:c r="HJJ65" s="293"/>
      <x:c r="HJK65" s="293"/>
      <x:c r="HJL65" s="293"/>
      <x:c r="HJM65" s="293"/>
      <x:c r="HJN65" s="293"/>
      <x:c r="HJO65" s="293"/>
      <x:c r="HJP65" s="293"/>
      <x:c r="HJQ65" s="293"/>
      <x:c r="HJR65" s="293"/>
      <x:c r="HJS65" s="293"/>
      <x:c r="HJT65" s="293"/>
      <x:c r="HJU65" s="293"/>
      <x:c r="HJV65" s="293"/>
      <x:c r="HJW65" s="293"/>
      <x:c r="HJX65" s="293"/>
      <x:c r="HJY65" s="293"/>
      <x:c r="HJZ65" s="293"/>
      <x:c r="HKA65" s="293"/>
      <x:c r="HKB65" s="293"/>
      <x:c r="HKC65" s="293"/>
      <x:c r="HKD65" s="293"/>
      <x:c r="HKE65" s="293"/>
      <x:c r="HKF65" s="293"/>
      <x:c r="HKG65" s="293"/>
      <x:c r="HKH65" s="293"/>
      <x:c r="HKI65" s="293"/>
      <x:c r="HKJ65" s="293"/>
      <x:c r="HKK65" s="293"/>
      <x:c r="HKL65" s="293"/>
      <x:c r="HKM65" s="293"/>
      <x:c r="HKN65" s="293"/>
      <x:c r="HKO65" s="293"/>
      <x:c r="HKP65" s="293"/>
      <x:c r="HKQ65" s="293"/>
      <x:c r="HKR65" s="293"/>
      <x:c r="HKS65" s="293"/>
      <x:c r="HKT65" s="293"/>
      <x:c r="HKU65" s="293"/>
      <x:c r="HKV65" s="293"/>
      <x:c r="HKW65" s="293"/>
      <x:c r="HKX65" s="293"/>
      <x:c r="HKY65" s="293"/>
      <x:c r="HKZ65" s="293"/>
      <x:c r="HLA65" s="293"/>
      <x:c r="HLB65" s="293"/>
      <x:c r="HLC65" s="293"/>
      <x:c r="HLD65" s="293"/>
      <x:c r="HLE65" s="293"/>
      <x:c r="HLF65" s="293"/>
      <x:c r="HLG65" s="293"/>
      <x:c r="HLH65" s="293"/>
      <x:c r="HLI65" s="293"/>
      <x:c r="HLJ65" s="293"/>
      <x:c r="HLK65" s="293"/>
      <x:c r="HLL65" s="293"/>
      <x:c r="HLM65" s="293"/>
      <x:c r="HLN65" s="293"/>
      <x:c r="HLO65" s="293"/>
      <x:c r="HLP65" s="293"/>
      <x:c r="HLQ65" s="293"/>
      <x:c r="HLR65" s="293"/>
      <x:c r="HLS65" s="293"/>
      <x:c r="HLT65" s="293"/>
      <x:c r="HLU65" s="293"/>
      <x:c r="HLV65" s="293"/>
      <x:c r="HLW65" s="293"/>
      <x:c r="HLX65" s="293"/>
      <x:c r="HLY65" s="293"/>
      <x:c r="HLZ65" s="293"/>
      <x:c r="HMA65" s="293"/>
      <x:c r="HMB65" s="293"/>
      <x:c r="HMC65" s="293"/>
      <x:c r="HMD65" s="293"/>
      <x:c r="HME65" s="293"/>
      <x:c r="HMF65" s="293"/>
      <x:c r="HMG65" s="293"/>
      <x:c r="HMH65" s="293"/>
      <x:c r="HMI65" s="293"/>
      <x:c r="HMJ65" s="293"/>
      <x:c r="HMK65" s="293"/>
      <x:c r="HML65" s="293"/>
      <x:c r="HMM65" s="293"/>
      <x:c r="HMN65" s="293"/>
      <x:c r="HMO65" s="293"/>
      <x:c r="HMP65" s="293"/>
      <x:c r="HMQ65" s="293"/>
      <x:c r="HMR65" s="293"/>
      <x:c r="HMS65" s="293"/>
      <x:c r="HMT65" s="293"/>
      <x:c r="HMU65" s="293"/>
      <x:c r="HMV65" s="293"/>
      <x:c r="HMW65" s="293"/>
      <x:c r="HMX65" s="293"/>
      <x:c r="HMY65" s="293"/>
      <x:c r="HMZ65" s="293"/>
      <x:c r="HNA65" s="293"/>
      <x:c r="HNB65" s="293"/>
      <x:c r="HNC65" s="293"/>
      <x:c r="HND65" s="293"/>
      <x:c r="HNE65" s="293"/>
      <x:c r="HNF65" s="293"/>
      <x:c r="HNG65" s="293"/>
      <x:c r="HNH65" s="293"/>
      <x:c r="HNI65" s="293"/>
      <x:c r="HNJ65" s="293"/>
      <x:c r="HNK65" s="293"/>
      <x:c r="HNL65" s="293"/>
      <x:c r="HNM65" s="293"/>
      <x:c r="HNN65" s="293"/>
      <x:c r="HNO65" s="293"/>
      <x:c r="HNP65" s="293"/>
      <x:c r="HNQ65" s="293"/>
      <x:c r="HNR65" s="293"/>
      <x:c r="HNS65" s="293"/>
      <x:c r="HNT65" s="293"/>
      <x:c r="HNU65" s="293"/>
      <x:c r="HNV65" s="293"/>
      <x:c r="HNW65" s="293"/>
      <x:c r="HNX65" s="293"/>
      <x:c r="HNY65" s="293"/>
      <x:c r="HNZ65" s="293"/>
      <x:c r="HOA65" s="293"/>
      <x:c r="HOB65" s="293"/>
      <x:c r="HOC65" s="293"/>
      <x:c r="HOD65" s="293"/>
      <x:c r="HOE65" s="293"/>
      <x:c r="HOF65" s="293"/>
      <x:c r="HOG65" s="293"/>
      <x:c r="HOH65" s="293"/>
      <x:c r="HOI65" s="293"/>
      <x:c r="HOJ65" s="293"/>
      <x:c r="HOK65" s="293"/>
      <x:c r="HOL65" s="293"/>
      <x:c r="HOM65" s="293"/>
      <x:c r="HON65" s="293"/>
      <x:c r="HOO65" s="293"/>
      <x:c r="HOP65" s="293"/>
      <x:c r="HOQ65" s="293"/>
      <x:c r="HOR65" s="293"/>
      <x:c r="HOS65" s="293"/>
      <x:c r="HOT65" s="293"/>
      <x:c r="HOU65" s="293"/>
      <x:c r="HOV65" s="293"/>
      <x:c r="HOW65" s="293"/>
      <x:c r="HOX65" s="293"/>
      <x:c r="HOY65" s="293"/>
      <x:c r="HOZ65" s="293"/>
      <x:c r="HPA65" s="293"/>
      <x:c r="HPB65" s="293"/>
      <x:c r="HPC65" s="293"/>
      <x:c r="HPD65" s="293"/>
      <x:c r="HPE65" s="293"/>
      <x:c r="HPF65" s="293"/>
      <x:c r="HPG65" s="293"/>
      <x:c r="HPH65" s="293"/>
      <x:c r="HPI65" s="293"/>
      <x:c r="HPJ65" s="293"/>
      <x:c r="HPK65" s="293"/>
      <x:c r="HPL65" s="293"/>
      <x:c r="HPM65" s="293"/>
      <x:c r="HPN65" s="293"/>
      <x:c r="HPO65" s="293"/>
      <x:c r="HPP65" s="293"/>
      <x:c r="HPQ65" s="293"/>
      <x:c r="HPR65" s="293"/>
      <x:c r="HPS65" s="293"/>
      <x:c r="HPT65" s="293"/>
      <x:c r="HPU65" s="293"/>
      <x:c r="HPV65" s="293"/>
      <x:c r="HPW65" s="293"/>
      <x:c r="HPX65" s="293"/>
      <x:c r="HPY65" s="293"/>
      <x:c r="HPZ65" s="293"/>
      <x:c r="HQA65" s="293"/>
      <x:c r="HQB65" s="293"/>
      <x:c r="HQC65" s="293"/>
      <x:c r="HQD65" s="293"/>
      <x:c r="HQE65" s="293"/>
      <x:c r="HQF65" s="293"/>
      <x:c r="HQG65" s="293"/>
      <x:c r="HQH65" s="293"/>
      <x:c r="HQI65" s="293"/>
      <x:c r="HQJ65" s="293"/>
      <x:c r="HQK65" s="293"/>
      <x:c r="HQL65" s="293"/>
      <x:c r="HQM65" s="293"/>
      <x:c r="HQN65" s="293"/>
      <x:c r="HQO65" s="293"/>
      <x:c r="HQP65" s="293"/>
      <x:c r="HQQ65" s="293"/>
      <x:c r="HQR65" s="293"/>
      <x:c r="HQS65" s="293"/>
      <x:c r="HQT65" s="293"/>
      <x:c r="HQU65" s="293"/>
      <x:c r="HQV65" s="293"/>
      <x:c r="HQW65" s="293"/>
      <x:c r="HQX65" s="293"/>
      <x:c r="HQY65" s="293"/>
      <x:c r="HQZ65" s="293"/>
      <x:c r="HRA65" s="293"/>
      <x:c r="HRB65" s="293"/>
      <x:c r="HRC65" s="293"/>
      <x:c r="HRD65" s="293"/>
      <x:c r="HRE65" s="293"/>
      <x:c r="HRF65" s="293"/>
      <x:c r="HRG65" s="293"/>
      <x:c r="HRH65" s="293"/>
      <x:c r="HRI65" s="293"/>
      <x:c r="HRJ65" s="293"/>
      <x:c r="HRK65" s="293"/>
      <x:c r="HRL65" s="293"/>
      <x:c r="HRM65" s="293"/>
      <x:c r="HRN65" s="293"/>
      <x:c r="HRO65" s="293"/>
      <x:c r="HRP65" s="293"/>
      <x:c r="HRQ65" s="293"/>
      <x:c r="HRR65" s="293"/>
      <x:c r="HRS65" s="293"/>
      <x:c r="HRT65" s="293"/>
      <x:c r="HRU65" s="293"/>
      <x:c r="HRV65" s="293"/>
      <x:c r="HRW65" s="293"/>
      <x:c r="HRX65" s="293"/>
      <x:c r="HRY65" s="293"/>
      <x:c r="HRZ65" s="293"/>
      <x:c r="HSA65" s="293"/>
      <x:c r="HSB65" s="293"/>
      <x:c r="HSC65" s="293"/>
      <x:c r="HSD65" s="293"/>
      <x:c r="HSE65" s="293"/>
      <x:c r="HSF65" s="293"/>
      <x:c r="HSG65" s="293"/>
      <x:c r="HSH65" s="293"/>
      <x:c r="HSI65" s="293"/>
      <x:c r="HSJ65" s="293"/>
      <x:c r="HSK65" s="293"/>
      <x:c r="HSL65" s="293"/>
      <x:c r="HSM65" s="293"/>
      <x:c r="HSN65" s="293"/>
      <x:c r="HSO65" s="293"/>
      <x:c r="HSP65" s="293"/>
      <x:c r="HSQ65" s="293"/>
      <x:c r="HSR65" s="293"/>
      <x:c r="HSS65" s="293"/>
      <x:c r="HST65" s="293"/>
      <x:c r="HSU65" s="293"/>
      <x:c r="HSV65" s="293"/>
      <x:c r="HSW65" s="293"/>
      <x:c r="HSX65" s="293"/>
      <x:c r="HSY65" s="293"/>
      <x:c r="HSZ65" s="293"/>
      <x:c r="HTA65" s="293"/>
      <x:c r="HTB65" s="293"/>
      <x:c r="HTC65" s="293"/>
      <x:c r="HTD65" s="293"/>
      <x:c r="HTE65" s="293"/>
      <x:c r="HTF65" s="293"/>
      <x:c r="HTG65" s="293"/>
      <x:c r="HTH65" s="293"/>
      <x:c r="HTI65" s="293"/>
      <x:c r="HTJ65" s="293"/>
      <x:c r="HTK65" s="293"/>
      <x:c r="HTL65" s="293"/>
      <x:c r="HTM65" s="293"/>
      <x:c r="HTN65" s="293"/>
      <x:c r="HTO65" s="293"/>
      <x:c r="HTP65" s="293"/>
      <x:c r="HTQ65" s="293"/>
      <x:c r="HTR65" s="293"/>
      <x:c r="HTS65" s="293"/>
      <x:c r="HTT65" s="293"/>
      <x:c r="HTU65" s="293"/>
      <x:c r="HTV65" s="293"/>
      <x:c r="HTW65" s="293"/>
      <x:c r="HTX65" s="293"/>
      <x:c r="HTY65" s="293"/>
      <x:c r="HTZ65" s="293"/>
      <x:c r="HUA65" s="293"/>
      <x:c r="HUB65" s="293"/>
      <x:c r="HUC65" s="293"/>
      <x:c r="HUD65" s="293"/>
      <x:c r="HUE65" s="293"/>
      <x:c r="HUF65" s="293"/>
      <x:c r="HUG65" s="293"/>
      <x:c r="HUH65" s="293"/>
      <x:c r="HUI65" s="293"/>
      <x:c r="HUJ65" s="293"/>
      <x:c r="HUK65" s="293"/>
      <x:c r="HUL65" s="293"/>
      <x:c r="HUM65" s="293"/>
      <x:c r="HUN65" s="293"/>
      <x:c r="HUO65" s="293"/>
      <x:c r="HUP65" s="293"/>
      <x:c r="HUQ65" s="293"/>
      <x:c r="HUR65" s="293"/>
      <x:c r="HUS65" s="293"/>
      <x:c r="HUT65" s="293"/>
      <x:c r="HUU65" s="293"/>
      <x:c r="HUV65" s="293"/>
      <x:c r="HUW65" s="293"/>
      <x:c r="HUX65" s="293"/>
      <x:c r="HUY65" s="293"/>
      <x:c r="HUZ65" s="293"/>
      <x:c r="HVA65" s="293"/>
      <x:c r="HVB65" s="293"/>
      <x:c r="HVC65" s="293"/>
      <x:c r="HVD65" s="293"/>
      <x:c r="HVE65" s="293"/>
      <x:c r="HVF65" s="293"/>
      <x:c r="HVG65" s="293"/>
      <x:c r="HVH65" s="293"/>
      <x:c r="HVI65" s="293"/>
      <x:c r="HVJ65" s="293"/>
      <x:c r="HVK65" s="293"/>
      <x:c r="HVL65" s="293"/>
      <x:c r="HVM65" s="293"/>
      <x:c r="HVN65" s="293"/>
      <x:c r="HVO65" s="293"/>
      <x:c r="HVP65" s="293"/>
      <x:c r="HVQ65" s="293"/>
      <x:c r="HVR65" s="293"/>
      <x:c r="HVS65" s="293"/>
      <x:c r="HVT65" s="293"/>
      <x:c r="HVU65" s="293"/>
      <x:c r="HVV65" s="293"/>
      <x:c r="HVW65" s="293"/>
      <x:c r="HVX65" s="293"/>
      <x:c r="HVY65" s="293"/>
      <x:c r="HVZ65" s="293"/>
      <x:c r="HWA65" s="293"/>
      <x:c r="HWB65" s="293"/>
      <x:c r="HWC65" s="293"/>
      <x:c r="HWD65" s="293"/>
      <x:c r="HWE65" s="293"/>
      <x:c r="HWF65" s="293"/>
      <x:c r="HWG65" s="293"/>
      <x:c r="HWH65" s="293"/>
      <x:c r="HWI65" s="293"/>
      <x:c r="HWJ65" s="293"/>
      <x:c r="HWK65" s="293"/>
      <x:c r="HWL65" s="293"/>
      <x:c r="HWM65" s="293"/>
      <x:c r="HWN65" s="293"/>
      <x:c r="HWO65" s="293"/>
      <x:c r="HWP65" s="293"/>
      <x:c r="HWQ65" s="293"/>
      <x:c r="HWR65" s="293"/>
      <x:c r="HWS65" s="293"/>
      <x:c r="HWT65" s="293"/>
      <x:c r="HWU65" s="293"/>
      <x:c r="HWV65" s="293"/>
      <x:c r="HWW65" s="293"/>
      <x:c r="HWX65" s="293"/>
      <x:c r="HWY65" s="293"/>
      <x:c r="HWZ65" s="293"/>
      <x:c r="HXA65" s="293"/>
      <x:c r="HXB65" s="293"/>
      <x:c r="HXC65" s="293"/>
      <x:c r="HXD65" s="293"/>
      <x:c r="HXE65" s="293"/>
      <x:c r="HXF65" s="293"/>
      <x:c r="HXG65" s="293"/>
      <x:c r="HXH65" s="293"/>
      <x:c r="HXI65" s="293"/>
      <x:c r="HXJ65" s="293"/>
      <x:c r="HXK65" s="293"/>
      <x:c r="HXL65" s="293"/>
      <x:c r="HXM65" s="293"/>
      <x:c r="HXN65" s="293"/>
      <x:c r="HXO65" s="293"/>
      <x:c r="HXP65" s="293"/>
      <x:c r="HXQ65" s="293"/>
      <x:c r="HXR65" s="293"/>
      <x:c r="HXS65" s="293"/>
      <x:c r="HXT65" s="293"/>
      <x:c r="HXU65" s="293"/>
      <x:c r="HXV65" s="293"/>
      <x:c r="HXW65" s="293"/>
      <x:c r="HXX65" s="293"/>
      <x:c r="HXY65" s="293"/>
      <x:c r="HXZ65" s="293"/>
      <x:c r="HYA65" s="293"/>
      <x:c r="HYB65" s="293"/>
      <x:c r="HYC65" s="293"/>
      <x:c r="HYD65" s="293"/>
      <x:c r="HYE65" s="293"/>
      <x:c r="HYF65" s="293"/>
      <x:c r="HYG65" s="293"/>
      <x:c r="HYH65" s="293"/>
      <x:c r="HYI65" s="293"/>
      <x:c r="HYJ65" s="293"/>
      <x:c r="HYK65" s="293"/>
      <x:c r="HYL65" s="293"/>
      <x:c r="HYM65" s="293"/>
      <x:c r="HYN65" s="293"/>
      <x:c r="HYO65" s="293"/>
      <x:c r="HYP65" s="293"/>
      <x:c r="HYQ65" s="293"/>
      <x:c r="HYR65" s="293"/>
      <x:c r="HYS65" s="293"/>
      <x:c r="HYT65" s="293"/>
      <x:c r="HYU65" s="293"/>
      <x:c r="HYV65" s="293"/>
      <x:c r="HYW65" s="293"/>
      <x:c r="HYX65" s="293"/>
      <x:c r="HYY65" s="293"/>
      <x:c r="HYZ65" s="293"/>
      <x:c r="HZA65" s="293"/>
      <x:c r="HZB65" s="293"/>
      <x:c r="HZC65" s="293"/>
      <x:c r="HZD65" s="293"/>
      <x:c r="HZE65" s="293"/>
      <x:c r="HZF65" s="293"/>
      <x:c r="HZG65" s="293"/>
      <x:c r="HZH65" s="293"/>
      <x:c r="HZI65" s="293"/>
      <x:c r="HZJ65" s="293"/>
      <x:c r="HZK65" s="293"/>
      <x:c r="HZL65" s="293"/>
      <x:c r="HZM65" s="293"/>
      <x:c r="HZN65" s="293"/>
      <x:c r="HZO65" s="293"/>
      <x:c r="HZP65" s="293"/>
      <x:c r="HZQ65" s="293"/>
      <x:c r="HZR65" s="293"/>
      <x:c r="HZS65" s="293"/>
      <x:c r="HZT65" s="293"/>
      <x:c r="HZU65" s="293"/>
      <x:c r="HZV65" s="293"/>
      <x:c r="HZW65" s="293"/>
      <x:c r="HZX65" s="293"/>
      <x:c r="HZY65" s="293"/>
      <x:c r="HZZ65" s="293"/>
      <x:c r="IAA65" s="293"/>
      <x:c r="IAB65" s="293"/>
      <x:c r="IAC65" s="293"/>
      <x:c r="IAD65" s="293"/>
      <x:c r="IAE65" s="293"/>
      <x:c r="IAF65" s="293"/>
      <x:c r="IAG65" s="293"/>
      <x:c r="IAH65" s="293"/>
      <x:c r="IAI65" s="293"/>
      <x:c r="IAJ65" s="293"/>
      <x:c r="IAK65" s="293"/>
      <x:c r="IAL65" s="293"/>
      <x:c r="IAM65" s="293"/>
      <x:c r="IAN65" s="293"/>
      <x:c r="IAO65" s="293"/>
      <x:c r="IAP65" s="293"/>
      <x:c r="IAQ65" s="293"/>
      <x:c r="IAR65" s="293"/>
      <x:c r="IAS65" s="293"/>
      <x:c r="IAT65" s="293"/>
      <x:c r="IAU65" s="293"/>
      <x:c r="IAV65" s="293"/>
      <x:c r="IAW65" s="293"/>
      <x:c r="IAX65" s="293"/>
      <x:c r="IAY65" s="293"/>
      <x:c r="IAZ65" s="293"/>
      <x:c r="IBA65" s="293"/>
      <x:c r="IBB65" s="293"/>
      <x:c r="IBC65" s="293"/>
      <x:c r="IBD65" s="293"/>
      <x:c r="IBE65" s="293"/>
      <x:c r="IBF65" s="293"/>
      <x:c r="IBG65" s="293"/>
      <x:c r="IBH65" s="293"/>
      <x:c r="IBI65" s="293"/>
      <x:c r="IBJ65" s="293"/>
      <x:c r="IBK65" s="293"/>
      <x:c r="IBL65" s="293"/>
      <x:c r="IBM65" s="293"/>
      <x:c r="IBN65" s="293"/>
      <x:c r="IBO65" s="293"/>
      <x:c r="IBP65" s="293"/>
      <x:c r="IBQ65" s="293"/>
      <x:c r="IBR65" s="293"/>
      <x:c r="IBS65" s="293"/>
      <x:c r="IBT65" s="293"/>
      <x:c r="IBU65" s="293"/>
      <x:c r="IBV65" s="293"/>
      <x:c r="IBW65" s="293"/>
      <x:c r="IBX65" s="293"/>
      <x:c r="IBY65" s="293"/>
      <x:c r="IBZ65" s="293"/>
      <x:c r="ICA65" s="293"/>
      <x:c r="ICB65" s="293"/>
      <x:c r="ICC65" s="293"/>
      <x:c r="ICD65" s="293"/>
      <x:c r="ICE65" s="293"/>
      <x:c r="ICF65" s="293"/>
      <x:c r="ICG65" s="293"/>
      <x:c r="ICH65" s="293"/>
      <x:c r="ICI65" s="293"/>
      <x:c r="ICJ65" s="293"/>
      <x:c r="ICK65" s="293"/>
      <x:c r="ICL65" s="293"/>
      <x:c r="ICM65" s="293"/>
      <x:c r="ICN65" s="293"/>
      <x:c r="ICO65" s="293"/>
      <x:c r="ICP65" s="293"/>
      <x:c r="ICQ65" s="293"/>
      <x:c r="ICR65" s="293"/>
      <x:c r="ICS65" s="293"/>
      <x:c r="ICT65" s="293"/>
      <x:c r="ICU65" s="293"/>
      <x:c r="ICV65" s="293"/>
      <x:c r="ICW65" s="293"/>
      <x:c r="ICX65" s="293"/>
      <x:c r="ICY65" s="293"/>
      <x:c r="ICZ65" s="293"/>
      <x:c r="IDA65" s="293"/>
      <x:c r="IDB65" s="293"/>
      <x:c r="IDC65" s="293"/>
      <x:c r="IDD65" s="293"/>
      <x:c r="IDE65" s="293"/>
      <x:c r="IDF65" s="293"/>
      <x:c r="IDG65" s="293"/>
      <x:c r="IDH65" s="293"/>
      <x:c r="IDI65" s="293"/>
      <x:c r="IDJ65" s="293"/>
      <x:c r="IDK65" s="293"/>
      <x:c r="IDL65" s="293"/>
      <x:c r="IDM65" s="293"/>
      <x:c r="IDN65" s="293"/>
      <x:c r="IDO65" s="293"/>
      <x:c r="IDP65" s="293"/>
      <x:c r="IDQ65" s="293"/>
      <x:c r="IDR65" s="293"/>
      <x:c r="IDS65" s="293"/>
      <x:c r="IDT65" s="293"/>
      <x:c r="IDU65" s="293"/>
      <x:c r="IDV65" s="293"/>
      <x:c r="IDW65" s="293"/>
      <x:c r="IDX65" s="293"/>
      <x:c r="IDY65" s="293"/>
      <x:c r="IDZ65" s="293"/>
      <x:c r="IEA65" s="293"/>
      <x:c r="IEB65" s="293"/>
      <x:c r="IEC65" s="293"/>
      <x:c r="IED65" s="293"/>
      <x:c r="IEE65" s="293"/>
      <x:c r="IEF65" s="293"/>
      <x:c r="IEG65" s="293"/>
      <x:c r="IEH65" s="293"/>
      <x:c r="IEI65" s="293"/>
      <x:c r="IEJ65" s="293"/>
      <x:c r="IEK65" s="293"/>
      <x:c r="IEL65" s="293"/>
      <x:c r="IEM65" s="293"/>
      <x:c r="IEN65" s="293"/>
      <x:c r="IEO65" s="293"/>
      <x:c r="IEP65" s="293"/>
      <x:c r="IEQ65" s="293"/>
      <x:c r="IER65" s="293"/>
      <x:c r="IES65" s="293"/>
      <x:c r="IET65" s="293"/>
      <x:c r="IEU65" s="293"/>
      <x:c r="IEV65" s="293"/>
      <x:c r="IEW65" s="293"/>
      <x:c r="IEX65" s="293"/>
      <x:c r="IEY65" s="293"/>
      <x:c r="IEZ65" s="293"/>
      <x:c r="IFA65" s="293"/>
      <x:c r="IFB65" s="293"/>
      <x:c r="IFC65" s="293"/>
      <x:c r="IFD65" s="293"/>
      <x:c r="IFE65" s="293"/>
      <x:c r="IFF65" s="293"/>
      <x:c r="IFG65" s="293"/>
      <x:c r="IFH65" s="293"/>
      <x:c r="IFI65" s="293"/>
      <x:c r="IFJ65" s="293"/>
      <x:c r="IFK65" s="293"/>
      <x:c r="IFL65" s="293"/>
      <x:c r="IFM65" s="293"/>
      <x:c r="IFN65" s="293"/>
      <x:c r="IFO65" s="293"/>
      <x:c r="IFP65" s="293"/>
      <x:c r="IFQ65" s="293"/>
      <x:c r="IFR65" s="293"/>
      <x:c r="IFS65" s="293"/>
      <x:c r="IFT65" s="293"/>
      <x:c r="IFU65" s="293"/>
      <x:c r="IFV65" s="293"/>
      <x:c r="IFW65" s="293"/>
      <x:c r="IFX65" s="293"/>
      <x:c r="IFY65" s="293"/>
      <x:c r="IFZ65" s="293"/>
      <x:c r="IGA65" s="293"/>
      <x:c r="IGB65" s="293"/>
      <x:c r="IGC65" s="293"/>
      <x:c r="IGD65" s="293"/>
      <x:c r="IGE65" s="293"/>
      <x:c r="IGF65" s="293"/>
      <x:c r="IGG65" s="293"/>
      <x:c r="IGH65" s="293"/>
      <x:c r="IGI65" s="293"/>
      <x:c r="IGJ65" s="293"/>
      <x:c r="IGK65" s="293"/>
      <x:c r="IGL65" s="293"/>
      <x:c r="IGM65" s="293"/>
      <x:c r="IGN65" s="293"/>
      <x:c r="IGO65" s="293"/>
      <x:c r="IGP65" s="293"/>
      <x:c r="IGQ65" s="293"/>
      <x:c r="IGR65" s="293"/>
      <x:c r="IGS65" s="293"/>
      <x:c r="IGT65" s="293"/>
      <x:c r="IGU65" s="293"/>
      <x:c r="IGV65" s="293"/>
      <x:c r="IGW65" s="293"/>
      <x:c r="IGX65" s="293"/>
      <x:c r="IGY65" s="293"/>
      <x:c r="IGZ65" s="293"/>
      <x:c r="IHA65" s="293"/>
      <x:c r="IHB65" s="293"/>
      <x:c r="IHC65" s="293"/>
      <x:c r="IHD65" s="293"/>
      <x:c r="IHE65" s="293"/>
      <x:c r="IHF65" s="293"/>
      <x:c r="IHG65" s="293"/>
      <x:c r="IHH65" s="293"/>
      <x:c r="IHI65" s="293"/>
      <x:c r="IHJ65" s="293"/>
      <x:c r="IHK65" s="293"/>
      <x:c r="IHL65" s="293"/>
      <x:c r="IHM65" s="293"/>
      <x:c r="IHN65" s="293"/>
      <x:c r="IHO65" s="293"/>
      <x:c r="IHP65" s="293"/>
      <x:c r="IHQ65" s="293"/>
      <x:c r="IHR65" s="293"/>
      <x:c r="IHS65" s="293"/>
      <x:c r="IHT65" s="293"/>
      <x:c r="IHU65" s="293"/>
      <x:c r="IHV65" s="293"/>
      <x:c r="IHW65" s="293"/>
      <x:c r="IHX65" s="293"/>
      <x:c r="IHY65" s="293"/>
      <x:c r="IHZ65" s="293"/>
      <x:c r="IIA65" s="293"/>
      <x:c r="IIB65" s="293"/>
      <x:c r="IIC65" s="293"/>
      <x:c r="IID65" s="293"/>
      <x:c r="IIE65" s="293"/>
      <x:c r="IIF65" s="293"/>
      <x:c r="IIG65" s="293"/>
      <x:c r="IIH65" s="293"/>
      <x:c r="III65" s="293"/>
      <x:c r="IIJ65" s="293"/>
      <x:c r="IIK65" s="293"/>
      <x:c r="IIL65" s="293"/>
      <x:c r="IIM65" s="293"/>
      <x:c r="IIN65" s="293"/>
      <x:c r="IIO65" s="293"/>
      <x:c r="IIP65" s="293"/>
      <x:c r="IIQ65" s="293"/>
      <x:c r="IIR65" s="293"/>
      <x:c r="IIS65" s="293"/>
      <x:c r="IIT65" s="293"/>
      <x:c r="IIU65" s="293"/>
      <x:c r="IIV65" s="293"/>
      <x:c r="IIW65" s="293"/>
      <x:c r="IIX65" s="293"/>
      <x:c r="IIY65" s="293"/>
      <x:c r="IIZ65" s="293"/>
      <x:c r="IJA65" s="293"/>
      <x:c r="IJB65" s="293"/>
      <x:c r="IJC65" s="293"/>
      <x:c r="IJD65" s="293"/>
      <x:c r="IJE65" s="293"/>
      <x:c r="IJF65" s="293"/>
      <x:c r="IJG65" s="293"/>
      <x:c r="IJH65" s="293"/>
      <x:c r="IJI65" s="293"/>
      <x:c r="IJJ65" s="293"/>
      <x:c r="IJK65" s="293"/>
      <x:c r="IJL65" s="293"/>
      <x:c r="IJM65" s="293"/>
      <x:c r="IJN65" s="293"/>
      <x:c r="IJO65" s="293"/>
      <x:c r="IJP65" s="293"/>
      <x:c r="IJQ65" s="293"/>
      <x:c r="IJR65" s="293"/>
      <x:c r="IJS65" s="293"/>
      <x:c r="IJT65" s="293"/>
      <x:c r="IJU65" s="293"/>
      <x:c r="IJV65" s="293"/>
      <x:c r="IJW65" s="293"/>
      <x:c r="IJX65" s="293"/>
      <x:c r="IJY65" s="293"/>
      <x:c r="IJZ65" s="293"/>
      <x:c r="IKA65" s="293"/>
      <x:c r="IKB65" s="293"/>
      <x:c r="IKC65" s="293"/>
      <x:c r="IKD65" s="293"/>
      <x:c r="IKE65" s="293"/>
      <x:c r="IKF65" s="293"/>
      <x:c r="IKG65" s="293"/>
      <x:c r="IKH65" s="293"/>
      <x:c r="IKI65" s="293"/>
      <x:c r="IKJ65" s="293"/>
      <x:c r="IKK65" s="293"/>
      <x:c r="IKL65" s="293"/>
      <x:c r="IKM65" s="293"/>
      <x:c r="IKN65" s="293"/>
      <x:c r="IKO65" s="293"/>
      <x:c r="IKP65" s="293"/>
      <x:c r="IKQ65" s="293"/>
      <x:c r="IKR65" s="293"/>
      <x:c r="IKS65" s="293"/>
      <x:c r="IKT65" s="293"/>
      <x:c r="IKU65" s="293"/>
      <x:c r="IKV65" s="293"/>
      <x:c r="IKW65" s="293"/>
      <x:c r="IKX65" s="293"/>
      <x:c r="IKY65" s="293"/>
      <x:c r="IKZ65" s="293"/>
      <x:c r="ILA65" s="293"/>
      <x:c r="ILB65" s="293"/>
      <x:c r="ILC65" s="293"/>
      <x:c r="ILD65" s="293"/>
      <x:c r="ILE65" s="293"/>
      <x:c r="ILF65" s="293"/>
      <x:c r="ILG65" s="293"/>
      <x:c r="ILH65" s="293"/>
      <x:c r="ILI65" s="293"/>
      <x:c r="ILJ65" s="293"/>
      <x:c r="ILK65" s="293"/>
      <x:c r="ILL65" s="293"/>
      <x:c r="ILM65" s="293"/>
      <x:c r="ILN65" s="293"/>
      <x:c r="ILO65" s="293"/>
      <x:c r="ILP65" s="293"/>
      <x:c r="ILQ65" s="293"/>
      <x:c r="ILR65" s="293"/>
      <x:c r="ILS65" s="293"/>
      <x:c r="ILT65" s="293"/>
      <x:c r="ILU65" s="293"/>
      <x:c r="ILV65" s="293"/>
      <x:c r="ILW65" s="293"/>
      <x:c r="ILX65" s="293"/>
      <x:c r="ILY65" s="293"/>
      <x:c r="ILZ65" s="293"/>
      <x:c r="IMA65" s="293"/>
      <x:c r="IMB65" s="293"/>
      <x:c r="IMC65" s="293"/>
      <x:c r="IMD65" s="293"/>
      <x:c r="IME65" s="293"/>
      <x:c r="IMF65" s="293"/>
      <x:c r="IMG65" s="293"/>
      <x:c r="IMH65" s="293"/>
      <x:c r="IMI65" s="293"/>
      <x:c r="IMJ65" s="293"/>
      <x:c r="IMK65" s="293"/>
      <x:c r="IML65" s="293"/>
      <x:c r="IMM65" s="293"/>
      <x:c r="IMN65" s="293"/>
      <x:c r="IMO65" s="293"/>
      <x:c r="IMP65" s="293"/>
      <x:c r="IMQ65" s="293"/>
      <x:c r="IMR65" s="293"/>
      <x:c r="IMS65" s="293"/>
      <x:c r="IMT65" s="293"/>
      <x:c r="IMU65" s="293"/>
      <x:c r="IMV65" s="293"/>
      <x:c r="IMW65" s="293"/>
      <x:c r="IMX65" s="293"/>
      <x:c r="IMY65" s="293"/>
      <x:c r="IMZ65" s="293"/>
      <x:c r="INA65" s="293"/>
      <x:c r="INB65" s="293"/>
      <x:c r="INC65" s="293"/>
      <x:c r="IND65" s="293"/>
      <x:c r="INE65" s="293"/>
      <x:c r="INF65" s="293"/>
      <x:c r="ING65" s="293"/>
      <x:c r="INH65" s="293"/>
      <x:c r="INI65" s="293"/>
      <x:c r="INJ65" s="293"/>
      <x:c r="INK65" s="293"/>
      <x:c r="INL65" s="293"/>
      <x:c r="INM65" s="293"/>
      <x:c r="INN65" s="293"/>
      <x:c r="INO65" s="293"/>
      <x:c r="INP65" s="293"/>
      <x:c r="INQ65" s="293"/>
      <x:c r="INR65" s="293"/>
      <x:c r="INS65" s="293"/>
      <x:c r="INT65" s="293"/>
      <x:c r="INU65" s="293"/>
      <x:c r="INV65" s="293"/>
      <x:c r="INW65" s="293"/>
      <x:c r="INX65" s="293"/>
      <x:c r="INY65" s="293"/>
      <x:c r="INZ65" s="293"/>
      <x:c r="IOA65" s="293"/>
      <x:c r="IOB65" s="293"/>
      <x:c r="IOC65" s="293"/>
      <x:c r="IOD65" s="293"/>
      <x:c r="IOE65" s="293"/>
      <x:c r="IOF65" s="293"/>
      <x:c r="IOG65" s="293"/>
      <x:c r="IOH65" s="293"/>
      <x:c r="IOI65" s="293"/>
      <x:c r="IOJ65" s="293"/>
      <x:c r="IOK65" s="293"/>
      <x:c r="IOL65" s="293"/>
      <x:c r="IOM65" s="293"/>
      <x:c r="ION65" s="293"/>
      <x:c r="IOO65" s="293"/>
      <x:c r="IOP65" s="293"/>
      <x:c r="IOQ65" s="293"/>
      <x:c r="IOR65" s="293"/>
      <x:c r="IOS65" s="293"/>
      <x:c r="IOT65" s="293"/>
      <x:c r="IOU65" s="293"/>
      <x:c r="IOV65" s="293"/>
      <x:c r="IOW65" s="293"/>
      <x:c r="IOX65" s="293"/>
      <x:c r="IOY65" s="293"/>
      <x:c r="IOZ65" s="293"/>
      <x:c r="IPA65" s="293"/>
      <x:c r="IPB65" s="293"/>
      <x:c r="IPC65" s="293"/>
      <x:c r="IPD65" s="293"/>
      <x:c r="IPE65" s="293"/>
      <x:c r="IPF65" s="293"/>
      <x:c r="IPG65" s="293"/>
      <x:c r="IPH65" s="293"/>
      <x:c r="IPI65" s="293"/>
      <x:c r="IPJ65" s="293"/>
      <x:c r="IPK65" s="293"/>
      <x:c r="IPL65" s="293"/>
      <x:c r="IPM65" s="293"/>
      <x:c r="IPN65" s="293"/>
      <x:c r="IPO65" s="293"/>
      <x:c r="IPP65" s="293"/>
      <x:c r="IPQ65" s="293"/>
      <x:c r="IPR65" s="293"/>
      <x:c r="IPS65" s="293"/>
      <x:c r="IPT65" s="293"/>
      <x:c r="IPU65" s="293"/>
      <x:c r="IPV65" s="293"/>
      <x:c r="IPW65" s="293"/>
      <x:c r="IPX65" s="293"/>
      <x:c r="IPY65" s="293"/>
      <x:c r="IPZ65" s="293"/>
      <x:c r="IQA65" s="293"/>
      <x:c r="IQB65" s="293"/>
      <x:c r="IQC65" s="293"/>
      <x:c r="IQD65" s="293"/>
      <x:c r="IQE65" s="293"/>
      <x:c r="IQF65" s="293"/>
      <x:c r="IQG65" s="293"/>
      <x:c r="IQH65" s="293"/>
      <x:c r="IQI65" s="293"/>
      <x:c r="IQJ65" s="293"/>
      <x:c r="IQK65" s="293"/>
      <x:c r="IQL65" s="293"/>
      <x:c r="IQM65" s="293"/>
      <x:c r="IQN65" s="293"/>
      <x:c r="IQO65" s="293"/>
      <x:c r="IQP65" s="293"/>
      <x:c r="IQQ65" s="293"/>
      <x:c r="IQR65" s="293"/>
      <x:c r="IQS65" s="293"/>
      <x:c r="IQT65" s="293"/>
      <x:c r="IQU65" s="293"/>
      <x:c r="IQV65" s="293"/>
      <x:c r="IQW65" s="293"/>
      <x:c r="IQX65" s="293"/>
      <x:c r="IQY65" s="293"/>
      <x:c r="IQZ65" s="293"/>
      <x:c r="IRA65" s="293"/>
      <x:c r="IRB65" s="293"/>
      <x:c r="IRC65" s="293"/>
      <x:c r="IRD65" s="293"/>
      <x:c r="IRE65" s="293"/>
      <x:c r="IRF65" s="293"/>
      <x:c r="IRG65" s="293"/>
      <x:c r="IRH65" s="293"/>
      <x:c r="IRI65" s="293"/>
      <x:c r="IRJ65" s="293"/>
      <x:c r="IRK65" s="293"/>
      <x:c r="IRL65" s="293"/>
      <x:c r="IRM65" s="293"/>
      <x:c r="IRN65" s="293"/>
      <x:c r="IRO65" s="293"/>
      <x:c r="IRP65" s="293"/>
      <x:c r="IRQ65" s="293"/>
      <x:c r="IRR65" s="293"/>
      <x:c r="IRS65" s="293"/>
      <x:c r="IRT65" s="293"/>
      <x:c r="IRU65" s="293"/>
      <x:c r="IRV65" s="293"/>
      <x:c r="IRW65" s="293"/>
      <x:c r="IRX65" s="293"/>
      <x:c r="IRY65" s="293"/>
      <x:c r="IRZ65" s="293"/>
      <x:c r="ISA65" s="293"/>
      <x:c r="ISB65" s="293"/>
      <x:c r="ISC65" s="293"/>
      <x:c r="ISD65" s="293"/>
      <x:c r="ISE65" s="293"/>
      <x:c r="ISF65" s="293"/>
      <x:c r="ISG65" s="293"/>
      <x:c r="ISH65" s="293"/>
      <x:c r="ISI65" s="293"/>
      <x:c r="ISJ65" s="293"/>
      <x:c r="ISK65" s="293"/>
      <x:c r="ISL65" s="293"/>
      <x:c r="ISM65" s="293"/>
      <x:c r="ISN65" s="293"/>
      <x:c r="ISO65" s="293"/>
      <x:c r="ISP65" s="293"/>
      <x:c r="ISQ65" s="293"/>
      <x:c r="ISR65" s="293"/>
      <x:c r="ISS65" s="293"/>
      <x:c r="IST65" s="293"/>
      <x:c r="ISU65" s="293"/>
      <x:c r="ISV65" s="293"/>
      <x:c r="ISW65" s="293"/>
      <x:c r="ISX65" s="293"/>
      <x:c r="ISY65" s="293"/>
      <x:c r="ISZ65" s="293"/>
      <x:c r="ITA65" s="293"/>
      <x:c r="ITB65" s="293"/>
      <x:c r="ITC65" s="293"/>
      <x:c r="ITD65" s="293"/>
      <x:c r="ITE65" s="293"/>
      <x:c r="ITF65" s="293"/>
      <x:c r="ITG65" s="293"/>
      <x:c r="ITH65" s="293"/>
      <x:c r="ITI65" s="293"/>
      <x:c r="ITJ65" s="293"/>
      <x:c r="ITK65" s="293"/>
      <x:c r="ITL65" s="293"/>
      <x:c r="ITM65" s="293"/>
      <x:c r="ITN65" s="293"/>
      <x:c r="ITO65" s="293"/>
      <x:c r="ITP65" s="293"/>
      <x:c r="ITQ65" s="293"/>
      <x:c r="ITR65" s="293"/>
      <x:c r="ITS65" s="293"/>
      <x:c r="ITT65" s="293"/>
      <x:c r="ITU65" s="293"/>
      <x:c r="ITV65" s="293"/>
      <x:c r="ITW65" s="293"/>
      <x:c r="ITX65" s="293"/>
      <x:c r="ITY65" s="293"/>
      <x:c r="ITZ65" s="293"/>
      <x:c r="IUA65" s="293"/>
      <x:c r="IUB65" s="293"/>
      <x:c r="IUC65" s="293"/>
      <x:c r="IUD65" s="293"/>
      <x:c r="IUE65" s="293"/>
      <x:c r="IUF65" s="293"/>
      <x:c r="IUG65" s="293"/>
      <x:c r="IUH65" s="293"/>
      <x:c r="IUI65" s="293"/>
      <x:c r="IUJ65" s="293"/>
      <x:c r="IUK65" s="293"/>
      <x:c r="IUL65" s="293"/>
      <x:c r="IUM65" s="293"/>
      <x:c r="IUN65" s="293"/>
      <x:c r="IUO65" s="293"/>
      <x:c r="IUP65" s="293"/>
      <x:c r="IUQ65" s="293"/>
      <x:c r="IUR65" s="293"/>
      <x:c r="IUS65" s="293"/>
      <x:c r="IUT65" s="293"/>
      <x:c r="IUU65" s="293"/>
      <x:c r="IUV65" s="293"/>
      <x:c r="IUW65" s="293"/>
      <x:c r="IUX65" s="293"/>
      <x:c r="IUY65" s="293"/>
      <x:c r="IUZ65" s="293"/>
      <x:c r="IVA65" s="293"/>
      <x:c r="IVB65" s="293"/>
      <x:c r="IVC65" s="293"/>
      <x:c r="IVD65" s="293"/>
      <x:c r="IVE65" s="293"/>
      <x:c r="IVF65" s="293"/>
      <x:c r="IVG65" s="293"/>
      <x:c r="IVH65" s="293"/>
      <x:c r="IVI65" s="293"/>
      <x:c r="IVJ65" s="293"/>
      <x:c r="IVK65" s="293"/>
      <x:c r="IVL65" s="293"/>
      <x:c r="IVM65" s="293"/>
      <x:c r="IVN65" s="293"/>
      <x:c r="IVO65" s="293"/>
      <x:c r="IVP65" s="293"/>
      <x:c r="IVQ65" s="293"/>
      <x:c r="IVR65" s="293"/>
      <x:c r="IVS65" s="293"/>
      <x:c r="IVT65" s="293"/>
      <x:c r="IVU65" s="293"/>
      <x:c r="IVV65" s="293"/>
      <x:c r="IVW65" s="293"/>
      <x:c r="IVX65" s="293"/>
      <x:c r="IVY65" s="293"/>
      <x:c r="IVZ65" s="293"/>
      <x:c r="IWA65" s="293"/>
      <x:c r="IWB65" s="293"/>
      <x:c r="IWC65" s="293"/>
      <x:c r="IWD65" s="293"/>
      <x:c r="IWE65" s="293"/>
      <x:c r="IWF65" s="293"/>
      <x:c r="IWG65" s="293"/>
      <x:c r="IWH65" s="293"/>
      <x:c r="IWI65" s="293"/>
      <x:c r="IWJ65" s="293"/>
      <x:c r="IWK65" s="293"/>
      <x:c r="IWL65" s="293"/>
      <x:c r="IWM65" s="293"/>
      <x:c r="IWN65" s="293"/>
      <x:c r="IWO65" s="293"/>
      <x:c r="IWP65" s="293"/>
      <x:c r="IWQ65" s="293"/>
      <x:c r="IWR65" s="293"/>
      <x:c r="IWS65" s="293"/>
      <x:c r="IWT65" s="293"/>
      <x:c r="IWU65" s="293"/>
      <x:c r="IWV65" s="293"/>
      <x:c r="IWW65" s="293"/>
      <x:c r="IWX65" s="293"/>
      <x:c r="IWY65" s="293"/>
      <x:c r="IWZ65" s="293"/>
      <x:c r="IXA65" s="293"/>
      <x:c r="IXB65" s="293"/>
      <x:c r="IXC65" s="293"/>
      <x:c r="IXD65" s="293"/>
      <x:c r="IXE65" s="293"/>
      <x:c r="IXF65" s="293"/>
      <x:c r="IXG65" s="293"/>
      <x:c r="IXH65" s="293"/>
      <x:c r="IXI65" s="293"/>
      <x:c r="IXJ65" s="293"/>
      <x:c r="IXK65" s="293"/>
      <x:c r="IXL65" s="293"/>
      <x:c r="IXM65" s="293"/>
      <x:c r="IXN65" s="293"/>
      <x:c r="IXO65" s="293"/>
      <x:c r="IXP65" s="293"/>
      <x:c r="IXQ65" s="293"/>
      <x:c r="IXR65" s="293"/>
      <x:c r="IXS65" s="293"/>
      <x:c r="IXT65" s="293"/>
      <x:c r="IXU65" s="293"/>
      <x:c r="IXV65" s="293"/>
      <x:c r="IXW65" s="293"/>
      <x:c r="IXX65" s="293"/>
      <x:c r="IXY65" s="293"/>
      <x:c r="IXZ65" s="293"/>
      <x:c r="IYA65" s="293"/>
      <x:c r="IYB65" s="293"/>
      <x:c r="IYC65" s="293"/>
      <x:c r="IYD65" s="293"/>
      <x:c r="IYE65" s="293"/>
      <x:c r="IYF65" s="293"/>
      <x:c r="IYG65" s="293"/>
      <x:c r="IYH65" s="293"/>
      <x:c r="IYI65" s="293"/>
      <x:c r="IYJ65" s="293"/>
      <x:c r="IYK65" s="293"/>
      <x:c r="IYL65" s="293"/>
      <x:c r="IYM65" s="293"/>
      <x:c r="IYN65" s="293"/>
      <x:c r="IYO65" s="293"/>
      <x:c r="IYP65" s="293"/>
      <x:c r="IYQ65" s="293"/>
      <x:c r="IYR65" s="293"/>
      <x:c r="IYS65" s="293"/>
      <x:c r="IYT65" s="293"/>
      <x:c r="IYU65" s="293"/>
      <x:c r="IYV65" s="293"/>
      <x:c r="IYW65" s="293"/>
      <x:c r="IYX65" s="293"/>
      <x:c r="IYY65" s="293"/>
      <x:c r="IYZ65" s="293"/>
      <x:c r="IZA65" s="293"/>
      <x:c r="IZB65" s="293"/>
      <x:c r="IZC65" s="293"/>
      <x:c r="IZD65" s="293"/>
      <x:c r="IZE65" s="293"/>
      <x:c r="IZF65" s="293"/>
      <x:c r="IZG65" s="293"/>
      <x:c r="IZH65" s="293"/>
      <x:c r="IZI65" s="293"/>
      <x:c r="IZJ65" s="293"/>
      <x:c r="IZK65" s="293"/>
      <x:c r="IZL65" s="293"/>
      <x:c r="IZM65" s="293"/>
      <x:c r="IZN65" s="293"/>
      <x:c r="IZO65" s="293"/>
      <x:c r="IZP65" s="293"/>
      <x:c r="IZQ65" s="293"/>
      <x:c r="IZR65" s="293"/>
      <x:c r="IZS65" s="293"/>
      <x:c r="IZT65" s="293"/>
      <x:c r="IZU65" s="293"/>
      <x:c r="IZV65" s="293"/>
      <x:c r="IZW65" s="293"/>
      <x:c r="IZX65" s="293"/>
      <x:c r="IZY65" s="293"/>
      <x:c r="IZZ65" s="293"/>
      <x:c r="JAA65" s="293"/>
      <x:c r="JAB65" s="293"/>
      <x:c r="JAC65" s="293"/>
      <x:c r="JAD65" s="293"/>
      <x:c r="JAE65" s="293"/>
      <x:c r="JAF65" s="293"/>
      <x:c r="JAG65" s="293"/>
      <x:c r="JAH65" s="293"/>
      <x:c r="JAI65" s="293"/>
      <x:c r="JAJ65" s="293"/>
      <x:c r="JAK65" s="293"/>
      <x:c r="JAL65" s="293"/>
      <x:c r="JAM65" s="293"/>
      <x:c r="JAN65" s="293"/>
      <x:c r="JAO65" s="293"/>
      <x:c r="JAP65" s="293"/>
      <x:c r="JAQ65" s="293"/>
      <x:c r="JAR65" s="293"/>
      <x:c r="JAS65" s="293"/>
      <x:c r="JAT65" s="293"/>
      <x:c r="JAU65" s="293"/>
      <x:c r="JAV65" s="293"/>
      <x:c r="JAW65" s="293"/>
      <x:c r="JAX65" s="293"/>
      <x:c r="JAY65" s="293"/>
      <x:c r="JAZ65" s="293"/>
      <x:c r="JBA65" s="293"/>
      <x:c r="JBB65" s="293"/>
      <x:c r="JBC65" s="293"/>
      <x:c r="JBD65" s="293"/>
      <x:c r="JBE65" s="293"/>
      <x:c r="JBF65" s="293"/>
      <x:c r="JBG65" s="293"/>
      <x:c r="JBH65" s="293"/>
      <x:c r="JBI65" s="293"/>
      <x:c r="JBJ65" s="293"/>
      <x:c r="JBK65" s="293"/>
      <x:c r="JBL65" s="293"/>
      <x:c r="JBM65" s="293"/>
      <x:c r="JBN65" s="293"/>
      <x:c r="JBO65" s="293"/>
      <x:c r="JBP65" s="293"/>
      <x:c r="JBQ65" s="293"/>
      <x:c r="JBR65" s="293"/>
      <x:c r="JBS65" s="293"/>
      <x:c r="JBT65" s="293"/>
      <x:c r="JBU65" s="293"/>
      <x:c r="JBV65" s="293"/>
      <x:c r="JBW65" s="293"/>
      <x:c r="JBX65" s="293"/>
      <x:c r="JBY65" s="293"/>
      <x:c r="JBZ65" s="293"/>
      <x:c r="JCA65" s="293"/>
      <x:c r="JCB65" s="293"/>
      <x:c r="JCC65" s="293"/>
      <x:c r="JCD65" s="293"/>
      <x:c r="JCE65" s="293"/>
      <x:c r="JCF65" s="293"/>
      <x:c r="JCG65" s="293"/>
      <x:c r="JCH65" s="293"/>
      <x:c r="JCI65" s="293"/>
      <x:c r="JCJ65" s="293"/>
      <x:c r="JCK65" s="293"/>
      <x:c r="JCL65" s="293"/>
      <x:c r="JCM65" s="293"/>
      <x:c r="JCN65" s="293"/>
      <x:c r="JCO65" s="293"/>
      <x:c r="JCP65" s="293"/>
      <x:c r="JCQ65" s="293"/>
      <x:c r="JCR65" s="293"/>
      <x:c r="JCS65" s="293"/>
      <x:c r="JCT65" s="293"/>
      <x:c r="JCU65" s="293"/>
      <x:c r="JCV65" s="293"/>
      <x:c r="JCW65" s="293"/>
      <x:c r="JCX65" s="293"/>
      <x:c r="JCY65" s="293"/>
      <x:c r="JCZ65" s="293"/>
      <x:c r="JDA65" s="293"/>
      <x:c r="JDB65" s="293"/>
      <x:c r="JDC65" s="293"/>
      <x:c r="JDD65" s="293"/>
      <x:c r="JDE65" s="293"/>
      <x:c r="JDF65" s="293"/>
      <x:c r="JDG65" s="293"/>
      <x:c r="JDH65" s="293"/>
      <x:c r="JDI65" s="293"/>
      <x:c r="JDJ65" s="293"/>
      <x:c r="JDK65" s="293"/>
      <x:c r="JDL65" s="293"/>
      <x:c r="JDM65" s="293"/>
      <x:c r="JDN65" s="293"/>
      <x:c r="JDO65" s="293"/>
      <x:c r="JDP65" s="293"/>
      <x:c r="JDQ65" s="293"/>
      <x:c r="JDR65" s="293"/>
      <x:c r="JDS65" s="293"/>
      <x:c r="JDT65" s="293"/>
      <x:c r="JDU65" s="293"/>
      <x:c r="JDV65" s="293"/>
      <x:c r="JDW65" s="293"/>
      <x:c r="JDX65" s="293"/>
      <x:c r="JDY65" s="293"/>
      <x:c r="JDZ65" s="293"/>
      <x:c r="JEA65" s="293"/>
      <x:c r="JEB65" s="293"/>
      <x:c r="JEC65" s="293"/>
      <x:c r="JED65" s="293"/>
      <x:c r="JEE65" s="293"/>
      <x:c r="JEF65" s="293"/>
      <x:c r="JEG65" s="293"/>
      <x:c r="JEH65" s="293"/>
      <x:c r="JEI65" s="293"/>
      <x:c r="JEJ65" s="293"/>
      <x:c r="JEK65" s="293"/>
      <x:c r="JEL65" s="293"/>
      <x:c r="JEM65" s="293"/>
      <x:c r="JEN65" s="293"/>
      <x:c r="JEO65" s="293"/>
      <x:c r="JEP65" s="293"/>
      <x:c r="JEQ65" s="293"/>
      <x:c r="JER65" s="293"/>
      <x:c r="JES65" s="293"/>
      <x:c r="JET65" s="293"/>
      <x:c r="JEU65" s="293"/>
      <x:c r="JEV65" s="293"/>
      <x:c r="JEW65" s="293"/>
      <x:c r="JEX65" s="293"/>
      <x:c r="JEY65" s="293"/>
      <x:c r="JEZ65" s="293"/>
      <x:c r="JFA65" s="293"/>
      <x:c r="JFB65" s="293"/>
      <x:c r="JFC65" s="293"/>
      <x:c r="JFD65" s="293"/>
      <x:c r="JFE65" s="293"/>
      <x:c r="JFF65" s="293"/>
      <x:c r="JFG65" s="293"/>
      <x:c r="JFH65" s="293"/>
      <x:c r="JFI65" s="293"/>
      <x:c r="JFJ65" s="293"/>
      <x:c r="JFK65" s="293"/>
      <x:c r="JFL65" s="293"/>
      <x:c r="JFM65" s="293"/>
      <x:c r="JFN65" s="293"/>
      <x:c r="JFO65" s="293"/>
      <x:c r="JFP65" s="293"/>
      <x:c r="JFQ65" s="293"/>
      <x:c r="JFR65" s="293"/>
      <x:c r="JFS65" s="293"/>
      <x:c r="JFT65" s="293"/>
      <x:c r="JFU65" s="293"/>
      <x:c r="JFV65" s="293"/>
      <x:c r="JFW65" s="293"/>
      <x:c r="JFX65" s="293"/>
      <x:c r="JFY65" s="293"/>
      <x:c r="JFZ65" s="293"/>
      <x:c r="JGA65" s="293"/>
      <x:c r="JGB65" s="293"/>
      <x:c r="JGC65" s="293"/>
      <x:c r="JGD65" s="293"/>
      <x:c r="JGE65" s="293"/>
      <x:c r="JGF65" s="293"/>
      <x:c r="JGG65" s="293"/>
      <x:c r="JGH65" s="293"/>
      <x:c r="JGI65" s="293"/>
      <x:c r="JGJ65" s="293"/>
      <x:c r="JGK65" s="293"/>
      <x:c r="JGL65" s="293"/>
      <x:c r="JGM65" s="293"/>
      <x:c r="JGN65" s="293"/>
      <x:c r="JGO65" s="293"/>
      <x:c r="JGP65" s="293"/>
      <x:c r="JGQ65" s="293"/>
      <x:c r="JGR65" s="293"/>
      <x:c r="JGS65" s="293"/>
      <x:c r="JGT65" s="293"/>
      <x:c r="JGU65" s="293"/>
      <x:c r="JGV65" s="293"/>
      <x:c r="JGW65" s="293"/>
      <x:c r="JGX65" s="293"/>
      <x:c r="JGY65" s="293"/>
      <x:c r="JGZ65" s="293"/>
      <x:c r="JHA65" s="293"/>
      <x:c r="JHB65" s="293"/>
      <x:c r="JHC65" s="293"/>
      <x:c r="JHD65" s="293"/>
      <x:c r="JHE65" s="293"/>
      <x:c r="JHF65" s="293"/>
      <x:c r="JHG65" s="293"/>
      <x:c r="JHH65" s="293"/>
      <x:c r="JHI65" s="293"/>
      <x:c r="JHJ65" s="293"/>
      <x:c r="JHK65" s="293"/>
      <x:c r="JHL65" s="293"/>
      <x:c r="JHM65" s="293"/>
      <x:c r="JHN65" s="293"/>
      <x:c r="JHO65" s="293"/>
      <x:c r="JHP65" s="293"/>
      <x:c r="JHQ65" s="293"/>
      <x:c r="JHR65" s="293"/>
      <x:c r="JHS65" s="293"/>
      <x:c r="JHT65" s="293"/>
      <x:c r="JHU65" s="293"/>
      <x:c r="JHV65" s="293"/>
      <x:c r="JHW65" s="293"/>
      <x:c r="JHX65" s="293"/>
      <x:c r="JHY65" s="293"/>
      <x:c r="JHZ65" s="293"/>
      <x:c r="JIA65" s="293"/>
      <x:c r="JIB65" s="293"/>
      <x:c r="JIC65" s="293"/>
      <x:c r="JID65" s="293"/>
      <x:c r="JIE65" s="293"/>
      <x:c r="JIF65" s="293"/>
      <x:c r="JIG65" s="293"/>
      <x:c r="JIH65" s="293"/>
      <x:c r="JII65" s="293"/>
      <x:c r="JIJ65" s="293"/>
      <x:c r="JIK65" s="293"/>
      <x:c r="JIL65" s="293"/>
      <x:c r="JIM65" s="293"/>
      <x:c r="JIN65" s="293"/>
      <x:c r="JIO65" s="293"/>
      <x:c r="JIP65" s="293"/>
      <x:c r="JIQ65" s="293"/>
      <x:c r="JIR65" s="293"/>
      <x:c r="JIS65" s="293"/>
      <x:c r="JIT65" s="293"/>
      <x:c r="JIU65" s="293"/>
      <x:c r="JIV65" s="293"/>
      <x:c r="JIW65" s="293"/>
      <x:c r="JIX65" s="293"/>
      <x:c r="JIY65" s="293"/>
      <x:c r="JIZ65" s="293"/>
      <x:c r="JJA65" s="293"/>
      <x:c r="JJB65" s="293"/>
      <x:c r="JJC65" s="293"/>
      <x:c r="JJD65" s="293"/>
      <x:c r="JJE65" s="293"/>
      <x:c r="JJF65" s="293"/>
      <x:c r="JJG65" s="293"/>
      <x:c r="JJH65" s="293"/>
      <x:c r="JJI65" s="293"/>
      <x:c r="JJJ65" s="293"/>
      <x:c r="JJK65" s="293"/>
      <x:c r="JJL65" s="293"/>
      <x:c r="JJM65" s="293"/>
      <x:c r="JJN65" s="293"/>
      <x:c r="JJO65" s="293"/>
      <x:c r="JJP65" s="293"/>
      <x:c r="JJQ65" s="293"/>
      <x:c r="JJR65" s="293"/>
      <x:c r="JJS65" s="293"/>
      <x:c r="JJT65" s="293"/>
      <x:c r="JJU65" s="293"/>
      <x:c r="JJV65" s="293"/>
      <x:c r="JJW65" s="293"/>
      <x:c r="JJX65" s="293"/>
      <x:c r="JJY65" s="293"/>
      <x:c r="JJZ65" s="293"/>
      <x:c r="JKA65" s="293"/>
      <x:c r="JKB65" s="293"/>
      <x:c r="JKC65" s="293"/>
      <x:c r="JKD65" s="293"/>
      <x:c r="JKE65" s="293"/>
      <x:c r="JKF65" s="293"/>
      <x:c r="JKG65" s="293"/>
      <x:c r="JKH65" s="293"/>
      <x:c r="JKI65" s="293"/>
      <x:c r="JKJ65" s="293"/>
      <x:c r="JKK65" s="293"/>
      <x:c r="JKL65" s="293"/>
      <x:c r="JKM65" s="293"/>
      <x:c r="JKN65" s="293"/>
      <x:c r="JKO65" s="293"/>
      <x:c r="JKP65" s="293"/>
      <x:c r="JKQ65" s="293"/>
      <x:c r="JKR65" s="293"/>
      <x:c r="JKS65" s="293"/>
      <x:c r="JKT65" s="293"/>
      <x:c r="JKU65" s="293"/>
      <x:c r="JKV65" s="293"/>
      <x:c r="JKW65" s="293"/>
      <x:c r="JKX65" s="293"/>
      <x:c r="JKY65" s="293"/>
      <x:c r="JKZ65" s="293"/>
      <x:c r="JLA65" s="293"/>
      <x:c r="JLB65" s="293"/>
      <x:c r="JLC65" s="293"/>
      <x:c r="JLD65" s="293"/>
      <x:c r="JLE65" s="293"/>
      <x:c r="JLF65" s="293"/>
      <x:c r="JLG65" s="293"/>
      <x:c r="JLH65" s="293"/>
      <x:c r="JLI65" s="293"/>
      <x:c r="JLJ65" s="293"/>
      <x:c r="JLK65" s="293"/>
      <x:c r="JLL65" s="293"/>
      <x:c r="JLM65" s="293"/>
      <x:c r="JLN65" s="293"/>
      <x:c r="JLO65" s="293"/>
      <x:c r="JLP65" s="293"/>
      <x:c r="JLQ65" s="293"/>
      <x:c r="JLR65" s="293"/>
      <x:c r="JLS65" s="293"/>
      <x:c r="JLT65" s="293"/>
      <x:c r="JLU65" s="293"/>
      <x:c r="JLV65" s="293"/>
      <x:c r="JLW65" s="293"/>
      <x:c r="JLX65" s="293"/>
      <x:c r="JLY65" s="293"/>
      <x:c r="JLZ65" s="293"/>
      <x:c r="JMA65" s="293"/>
      <x:c r="JMB65" s="293"/>
      <x:c r="JMC65" s="293"/>
      <x:c r="JMD65" s="293"/>
      <x:c r="JME65" s="293"/>
      <x:c r="JMF65" s="293"/>
      <x:c r="JMG65" s="293"/>
      <x:c r="JMH65" s="293"/>
      <x:c r="JMI65" s="293"/>
      <x:c r="JMJ65" s="293"/>
      <x:c r="JMK65" s="293"/>
      <x:c r="JML65" s="293"/>
      <x:c r="JMM65" s="293"/>
      <x:c r="JMN65" s="293"/>
      <x:c r="JMO65" s="293"/>
      <x:c r="JMP65" s="293"/>
      <x:c r="JMQ65" s="293"/>
      <x:c r="JMR65" s="293"/>
      <x:c r="JMS65" s="293"/>
      <x:c r="JMT65" s="293"/>
      <x:c r="JMU65" s="293"/>
      <x:c r="JMV65" s="293"/>
      <x:c r="JMW65" s="293"/>
      <x:c r="JMX65" s="293"/>
      <x:c r="JMY65" s="293"/>
      <x:c r="JMZ65" s="293"/>
      <x:c r="JNA65" s="293"/>
      <x:c r="JNB65" s="293"/>
      <x:c r="JNC65" s="293"/>
      <x:c r="JND65" s="293"/>
      <x:c r="JNE65" s="293"/>
      <x:c r="JNF65" s="293"/>
      <x:c r="JNG65" s="293"/>
      <x:c r="JNH65" s="293"/>
      <x:c r="JNI65" s="293"/>
      <x:c r="JNJ65" s="293"/>
      <x:c r="JNK65" s="293"/>
      <x:c r="JNL65" s="293"/>
      <x:c r="JNM65" s="293"/>
      <x:c r="JNN65" s="293"/>
      <x:c r="JNO65" s="293"/>
      <x:c r="JNP65" s="293"/>
      <x:c r="JNQ65" s="293"/>
      <x:c r="JNR65" s="293"/>
      <x:c r="JNS65" s="293"/>
      <x:c r="JNT65" s="293"/>
      <x:c r="JNU65" s="293"/>
      <x:c r="JNV65" s="293"/>
      <x:c r="JNW65" s="293"/>
      <x:c r="JNX65" s="293"/>
      <x:c r="JNY65" s="293"/>
      <x:c r="JNZ65" s="293"/>
      <x:c r="JOA65" s="293"/>
      <x:c r="JOB65" s="293"/>
      <x:c r="JOC65" s="293"/>
      <x:c r="JOD65" s="293"/>
      <x:c r="JOE65" s="293"/>
      <x:c r="JOF65" s="293"/>
      <x:c r="JOG65" s="293"/>
      <x:c r="JOH65" s="293"/>
      <x:c r="JOI65" s="293"/>
      <x:c r="JOJ65" s="293"/>
      <x:c r="JOK65" s="293"/>
      <x:c r="JOL65" s="293"/>
      <x:c r="JOM65" s="293"/>
      <x:c r="JON65" s="293"/>
      <x:c r="JOO65" s="293"/>
      <x:c r="JOP65" s="293"/>
      <x:c r="JOQ65" s="293"/>
      <x:c r="JOR65" s="293"/>
      <x:c r="JOS65" s="293"/>
      <x:c r="JOT65" s="293"/>
      <x:c r="JOU65" s="293"/>
      <x:c r="JOV65" s="293"/>
      <x:c r="JOW65" s="293"/>
      <x:c r="JOX65" s="293"/>
      <x:c r="JOY65" s="293"/>
      <x:c r="JOZ65" s="293"/>
      <x:c r="JPA65" s="293"/>
      <x:c r="JPB65" s="293"/>
      <x:c r="JPC65" s="293"/>
      <x:c r="JPD65" s="293"/>
      <x:c r="JPE65" s="293"/>
      <x:c r="JPF65" s="293"/>
      <x:c r="JPG65" s="293"/>
      <x:c r="JPH65" s="293"/>
      <x:c r="JPI65" s="293"/>
      <x:c r="JPJ65" s="293"/>
      <x:c r="JPK65" s="293"/>
      <x:c r="JPL65" s="293"/>
      <x:c r="JPM65" s="293"/>
      <x:c r="JPN65" s="293"/>
      <x:c r="JPO65" s="293"/>
      <x:c r="JPP65" s="293"/>
      <x:c r="JPQ65" s="293"/>
      <x:c r="JPR65" s="293"/>
      <x:c r="JPS65" s="293"/>
      <x:c r="JPT65" s="293"/>
      <x:c r="JPU65" s="293"/>
      <x:c r="JPV65" s="293"/>
      <x:c r="JPW65" s="293"/>
      <x:c r="JPX65" s="293"/>
      <x:c r="JPY65" s="293"/>
      <x:c r="JPZ65" s="293"/>
      <x:c r="JQA65" s="293"/>
      <x:c r="JQB65" s="293"/>
      <x:c r="JQC65" s="293"/>
      <x:c r="JQD65" s="293"/>
      <x:c r="JQE65" s="293"/>
      <x:c r="JQF65" s="293"/>
      <x:c r="JQG65" s="293"/>
      <x:c r="JQH65" s="293"/>
      <x:c r="JQI65" s="293"/>
      <x:c r="JQJ65" s="293"/>
      <x:c r="JQK65" s="293"/>
      <x:c r="JQL65" s="293"/>
      <x:c r="JQM65" s="293"/>
      <x:c r="JQN65" s="293"/>
      <x:c r="JQO65" s="293"/>
      <x:c r="JQP65" s="293"/>
      <x:c r="JQQ65" s="293"/>
      <x:c r="JQR65" s="293"/>
      <x:c r="JQS65" s="293"/>
      <x:c r="JQT65" s="293"/>
      <x:c r="JQU65" s="293"/>
      <x:c r="JQV65" s="293"/>
      <x:c r="JQW65" s="293"/>
      <x:c r="JQX65" s="293"/>
      <x:c r="JQY65" s="293"/>
      <x:c r="JQZ65" s="293"/>
      <x:c r="JRA65" s="293"/>
      <x:c r="JRB65" s="293"/>
      <x:c r="JRC65" s="293"/>
      <x:c r="JRD65" s="293"/>
      <x:c r="JRE65" s="293"/>
      <x:c r="JRF65" s="293"/>
      <x:c r="JRG65" s="293"/>
      <x:c r="JRH65" s="293"/>
      <x:c r="JRI65" s="293"/>
      <x:c r="JRJ65" s="293"/>
      <x:c r="JRK65" s="293"/>
      <x:c r="JRL65" s="293"/>
      <x:c r="JRM65" s="293"/>
      <x:c r="JRN65" s="293"/>
      <x:c r="JRO65" s="293"/>
      <x:c r="JRP65" s="293"/>
      <x:c r="JRQ65" s="293"/>
      <x:c r="JRR65" s="293"/>
      <x:c r="JRS65" s="293"/>
      <x:c r="JRT65" s="293"/>
      <x:c r="JRU65" s="293"/>
      <x:c r="JRV65" s="293"/>
      <x:c r="JRW65" s="293"/>
      <x:c r="JRX65" s="293"/>
      <x:c r="JRY65" s="293"/>
      <x:c r="JRZ65" s="293"/>
      <x:c r="JSA65" s="293"/>
      <x:c r="JSB65" s="293"/>
      <x:c r="JSC65" s="293"/>
      <x:c r="JSD65" s="293"/>
      <x:c r="JSE65" s="293"/>
      <x:c r="JSF65" s="293"/>
      <x:c r="JSG65" s="293"/>
      <x:c r="JSH65" s="293"/>
      <x:c r="JSI65" s="293"/>
      <x:c r="JSJ65" s="293"/>
      <x:c r="JSK65" s="293"/>
      <x:c r="JSL65" s="293"/>
      <x:c r="JSM65" s="293"/>
      <x:c r="JSN65" s="293"/>
      <x:c r="JSO65" s="293"/>
      <x:c r="JSP65" s="293"/>
      <x:c r="JSQ65" s="293"/>
      <x:c r="JSR65" s="293"/>
      <x:c r="JSS65" s="293"/>
      <x:c r="JST65" s="293"/>
      <x:c r="JSU65" s="293"/>
      <x:c r="JSV65" s="293"/>
      <x:c r="JSW65" s="293"/>
      <x:c r="JSX65" s="293"/>
      <x:c r="JSY65" s="293"/>
      <x:c r="JSZ65" s="293"/>
      <x:c r="JTA65" s="293"/>
      <x:c r="JTB65" s="293"/>
      <x:c r="JTC65" s="293"/>
      <x:c r="JTD65" s="293"/>
      <x:c r="JTE65" s="293"/>
      <x:c r="JTF65" s="293"/>
      <x:c r="JTG65" s="293"/>
      <x:c r="JTH65" s="293"/>
      <x:c r="JTI65" s="293"/>
      <x:c r="JTJ65" s="293"/>
      <x:c r="JTK65" s="293"/>
      <x:c r="JTL65" s="293"/>
      <x:c r="JTM65" s="293"/>
      <x:c r="JTN65" s="293"/>
      <x:c r="JTO65" s="293"/>
      <x:c r="JTP65" s="293"/>
      <x:c r="JTQ65" s="293"/>
      <x:c r="JTR65" s="293"/>
      <x:c r="JTS65" s="293"/>
      <x:c r="JTT65" s="293"/>
      <x:c r="JTU65" s="293"/>
      <x:c r="JTV65" s="293"/>
      <x:c r="JTW65" s="293"/>
      <x:c r="JTX65" s="293"/>
      <x:c r="JTY65" s="293"/>
      <x:c r="JTZ65" s="293"/>
      <x:c r="JUA65" s="293"/>
      <x:c r="JUB65" s="293"/>
      <x:c r="JUC65" s="293"/>
      <x:c r="JUD65" s="293"/>
      <x:c r="JUE65" s="293"/>
      <x:c r="JUF65" s="293"/>
      <x:c r="JUG65" s="293"/>
      <x:c r="JUH65" s="293"/>
      <x:c r="JUI65" s="293"/>
      <x:c r="JUJ65" s="293"/>
      <x:c r="JUK65" s="293"/>
      <x:c r="JUL65" s="293"/>
      <x:c r="JUM65" s="293"/>
      <x:c r="JUN65" s="293"/>
      <x:c r="JUO65" s="293"/>
      <x:c r="JUP65" s="293"/>
      <x:c r="JUQ65" s="293"/>
      <x:c r="JUR65" s="293"/>
      <x:c r="JUS65" s="293"/>
      <x:c r="JUT65" s="293"/>
      <x:c r="JUU65" s="293"/>
      <x:c r="JUV65" s="293"/>
      <x:c r="JUW65" s="293"/>
      <x:c r="JUX65" s="293"/>
      <x:c r="JUY65" s="293"/>
      <x:c r="JUZ65" s="293"/>
      <x:c r="JVA65" s="293"/>
      <x:c r="JVB65" s="293"/>
      <x:c r="JVC65" s="293"/>
      <x:c r="JVD65" s="293"/>
      <x:c r="JVE65" s="293"/>
      <x:c r="JVF65" s="293"/>
      <x:c r="JVG65" s="293"/>
      <x:c r="JVH65" s="293"/>
      <x:c r="JVI65" s="293"/>
      <x:c r="JVJ65" s="293"/>
      <x:c r="JVK65" s="293"/>
      <x:c r="JVL65" s="293"/>
      <x:c r="JVM65" s="293"/>
      <x:c r="JVN65" s="293"/>
      <x:c r="JVO65" s="293"/>
      <x:c r="JVP65" s="293"/>
      <x:c r="JVQ65" s="293"/>
      <x:c r="JVR65" s="293"/>
      <x:c r="JVS65" s="293"/>
      <x:c r="JVT65" s="293"/>
      <x:c r="JVU65" s="293"/>
      <x:c r="JVV65" s="293"/>
      <x:c r="JVW65" s="293"/>
      <x:c r="JVX65" s="293"/>
      <x:c r="JVY65" s="293"/>
      <x:c r="JVZ65" s="293"/>
      <x:c r="JWA65" s="293"/>
      <x:c r="JWB65" s="293"/>
      <x:c r="JWC65" s="293"/>
      <x:c r="JWD65" s="293"/>
      <x:c r="JWE65" s="293"/>
      <x:c r="JWF65" s="293"/>
      <x:c r="JWG65" s="293"/>
      <x:c r="JWH65" s="293"/>
      <x:c r="JWI65" s="293"/>
      <x:c r="JWJ65" s="293"/>
      <x:c r="JWK65" s="293"/>
      <x:c r="JWL65" s="293"/>
      <x:c r="JWM65" s="293"/>
      <x:c r="JWN65" s="293"/>
      <x:c r="JWO65" s="293"/>
      <x:c r="JWP65" s="293"/>
      <x:c r="JWQ65" s="293"/>
      <x:c r="JWR65" s="293"/>
      <x:c r="JWS65" s="293"/>
      <x:c r="JWT65" s="293"/>
      <x:c r="JWU65" s="293"/>
      <x:c r="JWV65" s="293"/>
      <x:c r="JWW65" s="293"/>
      <x:c r="JWX65" s="293"/>
      <x:c r="JWY65" s="293"/>
      <x:c r="JWZ65" s="293"/>
      <x:c r="JXA65" s="293"/>
      <x:c r="JXB65" s="293"/>
      <x:c r="JXC65" s="293"/>
      <x:c r="JXD65" s="293"/>
      <x:c r="JXE65" s="293"/>
      <x:c r="JXF65" s="293"/>
      <x:c r="JXG65" s="293"/>
      <x:c r="JXH65" s="293"/>
      <x:c r="JXI65" s="293"/>
      <x:c r="JXJ65" s="293"/>
      <x:c r="JXK65" s="293"/>
      <x:c r="JXL65" s="293"/>
      <x:c r="JXM65" s="293"/>
      <x:c r="JXN65" s="293"/>
      <x:c r="JXO65" s="293"/>
      <x:c r="JXP65" s="293"/>
      <x:c r="JXQ65" s="293"/>
      <x:c r="JXR65" s="293"/>
      <x:c r="JXS65" s="293"/>
      <x:c r="JXT65" s="293"/>
      <x:c r="JXU65" s="293"/>
      <x:c r="JXV65" s="293"/>
      <x:c r="JXW65" s="293"/>
      <x:c r="JXX65" s="293"/>
      <x:c r="JXY65" s="293"/>
      <x:c r="JXZ65" s="293"/>
      <x:c r="JYA65" s="293"/>
      <x:c r="JYB65" s="293"/>
      <x:c r="JYC65" s="293"/>
      <x:c r="JYD65" s="293"/>
      <x:c r="JYE65" s="293"/>
      <x:c r="JYF65" s="293"/>
      <x:c r="JYG65" s="293"/>
      <x:c r="JYH65" s="293"/>
      <x:c r="JYI65" s="293"/>
      <x:c r="JYJ65" s="293"/>
      <x:c r="JYK65" s="293"/>
      <x:c r="JYL65" s="293"/>
      <x:c r="JYM65" s="293"/>
      <x:c r="JYN65" s="293"/>
      <x:c r="JYO65" s="293"/>
      <x:c r="JYP65" s="293"/>
      <x:c r="JYQ65" s="293"/>
      <x:c r="JYR65" s="293"/>
      <x:c r="JYS65" s="293"/>
      <x:c r="JYT65" s="293"/>
      <x:c r="JYU65" s="293"/>
      <x:c r="JYV65" s="293"/>
      <x:c r="JYW65" s="293"/>
      <x:c r="JYX65" s="293"/>
      <x:c r="JYY65" s="293"/>
      <x:c r="JYZ65" s="293"/>
      <x:c r="JZA65" s="293"/>
      <x:c r="JZB65" s="293"/>
      <x:c r="JZC65" s="293"/>
      <x:c r="JZD65" s="293"/>
      <x:c r="JZE65" s="293"/>
      <x:c r="JZF65" s="293"/>
      <x:c r="JZG65" s="293"/>
      <x:c r="JZH65" s="293"/>
      <x:c r="JZI65" s="293"/>
      <x:c r="JZJ65" s="293"/>
      <x:c r="JZK65" s="293"/>
      <x:c r="JZL65" s="293"/>
      <x:c r="JZM65" s="293"/>
      <x:c r="JZN65" s="293"/>
      <x:c r="JZO65" s="293"/>
      <x:c r="JZP65" s="293"/>
      <x:c r="JZQ65" s="293"/>
      <x:c r="JZR65" s="293"/>
      <x:c r="JZS65" s="293"/>
      <x:c r="JZT65" s="293"/>
      <x:c r="JZU65" s="293"/>
      <x:c r="JZV65" s="293"/>
      <x:c r="JZW65" s="293"/>
      <x:c r="JZX65" s="293"/>
      <x:c r="JZY65" s="293"/>
      <x:c r="JZZ65" s="293"/>
      <x:c r="KAA65" s="293"/>
      <x:c r="KAB65" s="293"/>
      <x:c r="KAC65" s="293"/>
      <x:c r="KAD65" s="293"/>
      <x:c r="KAE65" s="293"/>
      <x:c r="KAF65" s="293"/>
      <x:c r="KAG65" s="293"/>
      <x:c r="KAH65" s="293"/>
      <x:c r="KAI65" s="293"/>
      <x:c r="KAJ65" s="293"/>
      <x:c r="KAK65" s="293"/>
      <x:c r="KAL65" s="293"/>
      <x:c r="KAM65" s="293"/>
      <x:c r="KAN65" s="293"/>
      <x:c r="KAO65" s="293"/>
      <x:c r="KAP65" s="293"/>
      <x:c r="KAQ65" s="293"/>
      <x:c r="KAR65" s="293"/>
      <x:c r="KAS65" s="293"/>
      <x:c r="KAT65" s="293"/>
      <x:c r="KAU65" s="293"/>
      <x:c r="KAV65" s="293"/>
      <x:c r="KAW65" s="293"/>
      <x:c r="KAX65" s="293"/>
      <x:c r="KAY65" s="293"/>
      <x:c r="KAZ65" s="293"/>
      <x:c r="KBA65" s="293"/>
      <x:c r="KBB65" s="293"/>
      <x:c r="KBC65" s="293"/>
      <x:c r="KBD65" s="293"/>
      <x:c r="KBE65" s="293"/>
      <x:c r="KBF65" s="293"/>
      <x:c r="KBG65" s="293"/>
      <x:c r="KBH65" s="293"/>
      <x:c r="KBI65" s="293"/>
      <x:c r="KBJ65" s="293"/>
      <x:c r="KBK65" s="293"/>
      <x:c r="KBL65" s="293"/>
      <x:c r="KBM65" s="293"/>
      <x:c r="KBN65" s="293"/>
      <x:c r="KBO65" s="293"/>
      <x:c r="KBP65" s="293"/>
      <x:c r="KBQ65" s="293"/>
      <x:c r="KBR65" s="293"/>
      <x:c r="KBS65" s="293"/>
      <x:c r="KBT65" s="293"/>
      <x:c r="KBU65" s="293"/>
      <x:c r="KBV65" s="293"/>
      <x:c r="KBW65" s="293"/>
      <x:c r="KBX65" s="293"/>
      <x:c r="KBY65" s="293"/>
      <x:c r="KBZ65" s="293"/>
      <x:c r="KCA65" s="293"/>
      <x:c r="KCB65" s="293"/>
      <x:c r="KCC65" s="293"/>
      <x:c r="KCD65" s="293"/>
      <x:c r="KCE65" s="293"/>
      <x:c r="KCF65" s="293"/>
      <x:c r="KCG65" s="293"/>
      <x:c r="KCH65" s="293"/>
      <x:c r="KCI65" s="293"/>
      <x:c r="KCJ65" s="293"/>
      <x:c r="KCK65" s="293"/>
      <x:c r="KCL65" s="293"/>
      <x:c r="KCM65" s="293"/>
      <x:c r="KCN65" s="293"/>
      <x:c r="KCO65" s="293"/>
      <x:c r="KCP65" s="293"/>
      <x:c r="KCQ65" s="293"/>
      <x:c r="KCR65" s="293"/>
      <x:c r="KCS65" s="293"/>
      <x:c r="KCT65" s="293"/>
      <x:c r="KCU65" s="293"/>
      <x:c r="KCV65" s="293"/>
      <x:c r="KCW65" s="293"/>
      <x:c r="KCX65" s="293"/>
      <x:c r="KCY65" s="293"/>
      <x:c r="KCZ65" s="293"/>
      <x:c r="KDA65" s="293"/>
      <x:c r="KDB65" s="293"/>
      <x:c r="KDC65" s="293"/>
      <x:c r="KDD65" s="293"/>
      <x:c r="KDE65" s="293"/>
      <x:c r="KDF65" s="293"/>
      <x:c r="KDG65" s="293"/>
      <x:c r="KDH65" s="293"/>
      <x:c r="KDI65" s="293"/>
      <x:c r="KDJ65" s="293"/>
      <x:c r="KDK65" s="293"/>
      <x:c r="KDL65" s="293"/>
      <x:c r="KDM65" s="293"/>
      <x:c r="KDN65" s="293"/>
      <x:c r="KDO65" s="293"/>
      <x:c r="KDP65" s="293"/>
      <x:c r="KDQ65" s="293"/>
      <x:c r="KDR65" s="293"/>
      <x:c r="KDS65" s="293"/>
      <x:c r="KDT65" s="293"/>
      <x:c r="KDU65" s="293"/>
      <x:c r="KDV65" s="293"/>
      <x:c r="KDW65" s="293"/>
      <x:c r="KDX65" s="293"/>
      <x:c r="KDY65" s="293"/>
      <x:c r="KDZ65" s="293"/>
      <x:c r="KEA65" s="293"/>
      <x:c r="KEB65" s="293"/>
      <x:c r="KEC65" s="293"/>
      <x:c r="KED65" s="293"/>
      <x:c r="KEE65" s="293"/>
      <x:c r="KEF65" s="293"/>
      <x:c r="KEG65" s="293"/>
      <x:c r="KEH65" s="293"/>
      <x:c r="KEI65" s="293"/>
      <x:c r="KEJ65" s="293"/>
      <x:c r="KEK65" s="293"/>
      <x:c r="KEL65" s="293"/>
      <x:c r="KEM65" s="293"/>
      <x:c r="KEN65" s="293"/>
      <x:c r="KEO65" s="293"/>
      <x:c r="KEP65" s="293"/>
      <x:c r="KEQ65" s="293"/>
      <x:c r="KER65" s="293"/>
      <x:c r="KES65" s="293"/>
      <x:c r="KET65" s="293"/>
      <x:c r="KEU65" s="293"/>
      <x:c r="KEV65" s="293"/>
      <x:c r="KEW65" s="293"/>
      <x:c r="KEX65" s="293"/>
      <x:c r="KEY65" s="293"/>
      <x:c r="KEZ65" s="293"/>
      <x:c r="KFA65" s="293"/>
      <x:c r="KFB65" s="293"/>
      <x:c r="KFC65" s="293"/>
      <x:c r="KFD65" s="293"/>
      <x:c r="KFE65" s="293"/>
      <x:c r="KFF65" s="293"/>
      <x:c r="KFG65" s="293"/>
      <x:c r="KFH65" s="293"/>
      <x:c r="KFI65" s="293"/>
      <x:c r="KFJ65" s="293"/>
      <x:c r="KFK65" s="293"/>
      <x:c r="KFL65" s="293"/>
      <x:c r="KFM65" s="293"/>
      <x:c r="KFN65" s="293"/>
      <x:c r="KFO65" s="293"/>
      <x:c r="KFP65" s="293"/>
      <x:c r="KFQ65" s="293"/>
      <x:c r="KFR65" s="293"/>
      <x:c r="KFS65" s="293"/>
      <x:c r="KFT65" s="293"/>
      <x:c r="KFU65" s="293"/>
      <x:c r="KFV65" s="293"/>
      <x:c r="KFW65" s="293"/>
      <x:c r="KFX65" s="293"/>
      <x:c r="KFY65" s="293"/>
      <x:c r="KFZ65" s="293"/>
      <x:c r="KGA65" s="293"/>
      <x:c r="KGB65" s="293"/>
      <x:c r="KGC65" s="293"/>
      <x:c r="KGD65" s="293"/>
      <x:c r="KGE65" s="293"/>
      <x:c r="KGF65" s="293"/>
      <x:c r="KGG65" s="293"/>
      <x:c r="KGH65" s="293"/>
      <x:c r="KGI65" s="293"/>
      <x:c r="KGJ65" s="293"/>
      <x:c r="KGK65" s="293"/>
      <x:c r="KGL65" s="293"/>
      <x:c r="KGM65" s="293"/>
      <x:c r="KGN65" s="293"/>
      <x:c r="KGO65" s="293"/>
      <x:c r="KGP65" s="293"/>
      <x:c r="KGQ65" s="293"/>
      <x:c r="KGR65" s="293"/>
      <x:c r="KGS65" s="293"/>
      <x:c r="KGT65" s="293"/>
      <x:c r="KGU65" s="293"/>
      <x:c r="KGV65" s="293"/>
      <x:c r="KGW65" s="293"/>
      <x:c r="KGX65" s="293"/>
      <x:c r="KGY65" s="293"/>
      <x:c r="KGZ65" s="293"/>
      <x:c r="KHA65" s="293"/>
      <x:c r="KHB65" s="293"/>
      <x:c r="KHC65" s="293"/>
      <x:c r="KHD65" s="293"/>
      <x:c r="KHE65" s="293"/>
      <x:c r="KHF65" s="293"/>
      <x:c r="KHG65" s="293"/>
      <x:c r="KHH65" s="293"/>
      <x:c r="KHI65" s="293"/>
      <x:c r="KHJ65" s="293"/>
      <x:c r="KHK65" s="293"/>
      <x:c r="KHL65" s="293"/>
      <x:c r="KHM65" s="293"/>
      <x:c r="KHN65" s="293"/>
      <x:c r="KHO65" s="293"/>
      <x:c r="KHP65" s="293"/>
      <x:c r="KHQ65" s="293"/>
      <x:c r="KHR65" s="293"/>
      <x:c r="KHS65" s="293"/>
      <x:c r="KHT65" s="293"/>
      <x:c r="KHU65" s="293"/>
      <x:c r="KHV65" s="293"/>
      <x:c r="KHW65" s="293"/>
      <x:c r="KHX65" s="293"/>
      <x:c r="KHY65" s="293"/>
      <x:c r="KHZ65" s="293"/>
      <x:c r="KIA65" s="293"/>
      <x:c r="KIB65" s="293"/>
      <x:c r="KIC65" s="293"/>
      <x:c r="KID65" s="293"/>
      <x:c r="KIE65" s="293"/>
      <x:c r="KIF65" s="293"/>
      <x:c r="KIG65" s="293"/>
      <x:c r="KIH65" s="293"/>
      <x:c r="KII65" s="293"/>
      <x:c r="KIJ65" s="293"/>
      <x:c r="KIK65" s="293"/>
      <x:c r="KIL65" s="293"/>
      <x:c r="KIM65" s="293"/>
      <x:c r="KIN65" s="293"/>
      <x:c r="KIO65" s="293"/>
      <x:c r="KIP65" s="293"/>
      <x:c r="KIQ65" s="293"/>
      <x:c r="KIR65" s="293"/>
      <x:c r="KIS65" s="293"/>
      <x:c r="KIT65" s="293"/>
      <x:c r="KIU65" s="293"/>
      <x:c r="KIV65" s="293"/>
      <x:c r="KIW65" s="293"/>
      <x:c r="KIX65" s="293"/>
      <x:c r="KIY65" s="293"/>
      <x:c r="KIZ65" s="293"/>
      <x:c r="KJA65" s="293"/>
      <x:c r="KJB65" s="293"/>
      <x:c r="KJC65" s="293"/>
      <x:c r="KJD65" s="293"/>
      <x:c r="KJE65" s="293"/>
      <x:c r="KJF65" s="293"/>
      <x:c r="KJG65" s="293"/>
      <x:c r="KJH65" s="293"/>
      <x:c r="KJI65" s="293"/>
      <x:c r="KJJ65" s="293"/>
      <x:c r="KJK65" s="293"/>
      <x:c r="KJL65" s="293"/>
      <x:c r="KJM65" s="293"/>
      <x:c r="KJN65" s="293"/>
      <x:c r="KJO65" s="293"/>
      <x:c r="KJP65" s="293"/>
      <x:c r="KJQ65" s="293"/>
      <x:c r="KJR65" s="293"/>
      <x:c r="KJS65" s="293"/>
      <x:c r="KJT65" s="293"/>
      <x:c r="KJU65" s="293"/>
      <x:c r="KJV65" s="293"/>
      <x:c r="KJW65" s="293"/>
      <x:c r="KJX65" s="293"/>
      <x:c r="KJY65" s="293"/>
      <x:c r="KJZ65" s="293"/>
      <x:c r="KKA65" s="293"/>
      <x:c r="KKB65" s="293"/>
      <x:c r="KKC65" s="293"/>
      <x:c r="KKD65" s="293"/>
      <x:c r="KKE65" s="293"/>
      <x:c r="KKF65" s="293"/>
      <x:c r="KKG65" s="293"/>
      <x:c r="KKH65" s="293"/>
      <x:c r="KKI65" s="293"/>
      <x:c r="KKJ65" s="293"/>
      <x:c r="KKK65" s="293"/>
      <x:c r="KKL65" s="293"/>
      <x:c r="KKM65" s="293"/>
      <x:c r="KKN65" s="293"/>
      <x:c r="KKO65" s="293"/>
      <x:c r="KKP65" s="293"/>
      <x:c r="KKQ65" s="293"/>
      <x:c r="KKR65" s="293"/>
      <x:c r="KKS65" s="293"/>
      <x:c r="KKT65" s="293"/>
      <x:c r="KKU65" s="293"/>
      <x:c r="KKV65" s="293"/>
      <x:c r="KKW65" s="293"/>
      <x:c r="KKX65" s="293"/>
      <x:c r="KKY65" s="293"/>
      <x:c r="KKZ65" s="293"/>
      <x:c r="KLA65" s="293"/>
      <x:c r="KLB65" s="293"/>
      <x:c r="KLC65" s="293"/>
      <x:c r="KLD65" s="293"/>
      <x:c r="KLE65" s="293"/>
      <x:c r="KLF65" s="293"/>
      <x:c r="KLG65" s="293"/>
      <x:c r="KLH65" s="293"/>
      <x:c r="KLI65" s="293"/>
      <x:c r="KLJ65" s="293"/>
      <x:c r="KLK65" s="293"/>
      <x:c r="KLL65" s="293"/>
      <x:c r="KLM65" s="293"/>
      <x:c r="KLN65" s="293"/>
      <x:c r="KLO65" s="293"/>
      <x:c r="KLP65" s="293"/>
      <x:c r="KLQ65" s="293"/>
      <x:c r="KLR65" s="293"/>
      <x:c r="KLS65" s="293"/>
      <x:c r="KLT65" s="293"/>
      <x:c r="KLU65" s="293"/>
      <x:c r="KLV65" s="293"/>
      <x:c r="KLW65" s="293"/>
      <x:c r="KLX65" s="293"/>
      <x:c r="KLY65" s="293"/>
      <x:c r="KLZ65" s="293"/>
      <x:c r="KMA65" s="293"/>
      <x:c r="KMB65" s="293"/>
      <x:c r="KMC65" s="293"/>
      <x:c r="KMD65" s="293"/>
      <x:c r="KME65" s="293"/>
      <x:c r="KMF65" s="293"/>
      <x:c r="KMG65" s="293"/>
      <x:c r="KMH65" s="293"/>
      <x:c r="KMI65" s="293"/>
      <x:c r="KMJ65" s="293"/>
      <x:c r="KMK65" s="293"/>
      <x:c r="KML65" s="293"/>
      <x:c r="KMM65" s="293"/>
      <x:c r="KMN65" s="293"/>
      <x:c r="KMO65" s="293"/>
      <x:c r="KMP65" s="293"/>
      <x:c r="KMQ65" s="293"/>
      <x:c r="KMR65" s="293"/>
      <x:c r="KMS65" s="293"/>
      <x:c r="KMT65" s="293"/>
      <x:c r="KMU65" s="293"/>
      <x:c r="KMV65" s="293"/>
      <x:c r="KMW65" s="293"/>
      <x:c r="KMX65" s="293"/>
      <x:c r="KMY65" s="293"/>
      <x:c r="KMZ65" s="293"/>
      <x:c r="KNA65" s="293"/>
      <x:c r="KNB65" s="293"/>
      <x:c r="KNC65" s="293"/>
      <x:c r="KND65" s="293"/>
      <x:c r="KNE65" s="293"/>
      <x:c r="KNF65" s="293"/>
      <x:c r="KNG65" s="293"/>
      <x:c r="KNH65" s="293"/>
      <x:c r="KNI65" s="293"/>
      <x:c r="KNJ65" s="293"/>
      <x:c r="KNK65" s="293"/>
      <x:c r="KNL65" s="293"/>
      <x:c r="KNM65" s="293"/>
      <x:c r="KNN65" s="293"/>
      <x:c r="KNO65" s="293"/>
      <x:c r="KNP65" s="293"/>
      <x:c r="KNQ65" s="293"/>
      <x:c r="KNR65" s="293"/>
      <x:c r="KNS65" s="293"/>
      <x:c r="KNT65" s="293"/>
      <x:c r="KNU65" s="293"/>
      <x:c r="KNV65" s="293"/>
      <x:c r="KNW65" s="293"/>
      <x:c r="KNX65" s="293"/>
      <x:c r="KNY65" s="293"/>
      <x:c r="KNZ65" s="293"/>
      <x:c r="KOA65" s="293"/>
      <x:c r="KOB65" s="293"/>
      <x:c r="KOC65" s="293"/>
      <x:c r="KOD65" s="293"/>
      <x:c r="KOE65" s="293"/>
      <x:c r="KOF65" s="293"/>
      <x:c r="KOG65" s="293"/>
      <x:c r="KOH65" s="293"/>
      <x:c r="KOI65" s="293"/>
      <x:c r="KOJ65" s="293"/>
      <x:c r="KOK65" s="293"/>
      <x:c r="KOL65" s="293"/>
      <x:c r="KOM65" s="293"/>
      <x:c r="KON65" s="293"/>
      <x:c r="KOO65" s="293"/>
      <x:c r="KOP65" s="293"/>
      <x:c r="KOQ65" s="293"/>
      <x:c r="KOR65" s="293"/>
      <x:c r="KOS65" s="293"/>
      <x:c r="KOT65" s="293"/>
      <x:c r="KOU65" s="293"/>
      <x:c r="KOV65" s="293"/>
      <x:c r="KOW65" s="293"/>
      <x:c r="KOX65" s="293"/>
      <x:c r="KOY65" s="293"/>
      <x:c r="KOZ65" s="293"/>
      <x:c r="KPA65" s="293"/>
      <x:c r="KPB65" s="293"/>
      <x:c r="KPC65" s="293"/>
      <x:c r="KPD65" s="293"/>
      <x:c r="KPE65" s="293"/>
      <x:c r="KPF65" s="293"/>
      <x:c r="KPG65" s="293"/>
      <x:c r="KPH65" s="293"/>
      <x:c r="KPI65" s="293"/>
      <x:c r="KPJ65" s="293"/>
      <x:c r="KPK65" s="293"/>
      <x:c r="KPL65" s="293"/>
      <x:c r="KPM65" s="293"/>
      <x:c r="KPN65" s="293"/>
      <x:c r="KPO65" s="293"/>
      <x:c r="KPP65" s="293"/>
      <x:c r="KPQ65" s="293"/>
      <x:c r="KPR65" s="293"/>
      <x:c r="KPS65" s="293"/>
      <x:c r="KPT65" s="293"/>
      <x:c r="KPU65" s="293"/>
      <x:c r="KPV65" s="293"/>
      <x:c r="KPW65" s="293"/>
      <x:c r="KPX65" s="293"/>
      <x:c r="KPY65" s="293"/>
      <x:c r="KPZ65" s="293"/>
      <x:c r="KQA65" s="293"/>
      <x:c r="KQB65" s="293"/>
      <x:c r="KQC65" s="293"/>
      <x:c r="KQD65" s="293"/>
      <x:c r="KQE65" s="293"/>
      <x:c r="KQF65" s="293"/>
      <x:c r="KQG65" s="293"/>
      <x:c r="KQH65" s="293"/>
      <x:c r="KQI65" s="293"/>
      <x:c r="KQJ65" s="293"/>
      <x:c r="KQK65" s="293"/>
      <x:c r="KQL65" s="293"/>
      <x:c r="KQM65" s="293"/>
      <x:c r="KQN65" s="293"/>
      <x:c r="KQO65" s="293"/>
      <x:c r="KQP65" s="293"/>
      <x:c r="KQQ65" s="293"/>
      <x:c r="KQR65" s="293"/>
      <x:c r="KQS65" s="293"/>
      <x:c r="KQT65" s="293"/>
      <x:c r="KQU65" s="293"/>
      <x:c r="KQV65" s="293"/>
      <x:c r="KQW65" s="293"/>
      <x:c r="KQX65" s="293"/>
      <x:c r="KQY65" s="293"/>
      <x:c r="KQZ65" s="293"/>
      <x:c r="KRA65" s="293"/>
      <x:c r="KRB65" s="293"/>
      <x:c r="KRC65" s="293"/>
      <x:c r="KRD65" s="293"/>
      <x:c r="KRE65" s="293"/>
      <x:c r="KRF65" s="293"/>
      <x:c r="KRG65" s="293"/>
      <x:c r="KRH65" s="293"/>
      <x:c r="KRI65" s="293"/>
      <x:c r="KRJ65" s="293"/>
      <x:c r="KRK65" s="293"/>
      <x:c r="KRL65" s="293"/>
      <x:c r="KRM65" s="293"/>
      <x:c r="KRN65" s="293"/>
      <x:c r="KRO65" s="293"/>
      <x:c r="KRP65" s="293"/>
      <x:c r="KRQ65" s="293"/>
      <x:c r="KRR65" s="293"/>
      <x:c r="KRS65" s="293"/>
      <x:c r="KRT65" s="293"/>
      <x:c r="KRU65" s="293"/>
      <x:c r="KRV65" s="293"/>
      <x:c r="KRW65" s="293"/>
      <x:c r="KRX65" s="293"/>
      <x:c r="KRY65" s="293"/>
      <x:c r="KRZ65" s="293"/>
      <x:c r="KSA65" s="293"/>
      <x:c r="KSB65" s="293"/>
      <x:c r="KSC65" s="293"/>
      <x:c r="KSD65" s="293"/>
      <x:c r="KSE65" s="293"/>
      <x:c r="KSF65" s="293"/>
      <x:c r="KSG65" s="293"/>
      <x:c r="KSH65" s="293"/>
      <x:c r="KSI65" s="293"/>
      <x:c r="KSJ65" s="293"/>
      <x:c r="KSK65" s="293"/>
      <x:c r="KSL65" s="293"/>
      <x:c r="KSM65" s="293"/>
      <x:c r="KSN65" s="293"/>
      <x:c r="KSO65" s="293"/>
      <x:c r="KSP65" s="293"/>
      <x:c r="KSQ65" s="293"/>
      <x:c r="KSR65" s="293"/>
      <x:c r="KSS65" s="293"/>
      <x:c r="KST65" s="293"/>
      <x:c r="KSU65" s="293"/>
      <x:c r="KSV65" s="293"/>
      <x:c r="KSW65" s="293"/>
      <x:c r="KSX65" s="293"/>
      <x:c r="KSY65" s="293"/>
      <x:c r="KSZ65" s="293"/>
      <x:c r="KTA65" s="293"/>
      <x:c r="KTB65" s="293"/>
      <x:c r="KTC65" s="293"/>
      <x:c r="KTD65" s="293"/>
      <x:c r="KTE65" s="293"/>
      <x:c r="KTF65" s="293"/>
      <x:c r="KTG65" s="293"/>
      <x:c r="KTH65" s="293"/>
      <x:c r="KTI65" s="293"/>
      <x:c r="KTJ65" s="293"/>
      <x:c r="KTK65" s="293"/>
      <x:c r="KTL65" s="293"/>
      <x:c r="KTM65" s="293"/>
      <x:c r="KTN65" s="293"/>
      <x:c r="KTO65" s="293"/>
      <x:c r="KTP65" s="293"/>
      <x:c r="KTQ65" s="293"/>
      <x:c r="KTR65" s="293"/>
      <x:c r="KTS65" s="293"/>
      <x:c r="KTT65" s="293"/>
      <x:c r="KTU65" s="293"/>
      <x:c r="KTV65" s="293"/>
      <x:c r="KTW65" s="293"/>
      <x:c r="KTX65" s="293"/>
      <x:c r="KTY65" s="293"/>
      <x:c r="KTZ65" s="293"/>
      <x:c r="KUA65" s="293"/>
      <x:c r="KUB65" s="293"/>
      <x:c r="KUC65" s="293"/>
      <x:c r="KUD65" s="293"/>
      <x:c r="KUE65" s="293"/>
      <x:c r="KUF65" s="293"/>
      <x:c r="KUG65" s="293"/>
      <x:c r="KUH65" s="293"/>
      <x:c r="KUI65" s="293"/>
      <x:c r="KUJ65" s="293"/>
      <x:c r="KUK65" s="293"/>
      <x:c r="KUL65" s="293"/>
      <x:c r="KUM65" s="293"/>
      <x:c r="KUN65" s="293"/>
      <x:c r="KUO65" s="293"/>
      <x:c r="KUP65" s="293"/>
      <x:c r="KUQ65" s="293"/>
      <x:c r="KUR65" s="293"/>
      <x:c r="KUS65" s="293"/>
      <x:c r="KUT65" s="293"/>
      <x:c r="KUU65" s="293"/>
      <x:c r="KUV65" s="293"/>
      <x:c r="KUW65" s="293"/>
      <x:c r="KUX65" s="293"/>
      <x:c r="KUY65" s="293"/>
      <x:c r="KUZ65" s="293"/>
      <x:c r="KVA65" s="293"/>
      <x:c r="KVB65" s="293"/>
      <x:c r="KVC65" s="293"/>
      <x:c r="KVD65" s="293"/>
      <x:c r="KVE65" s="293"/>
      <x:c r="KVF65" s="293"/>
      <x:c r="KVG65" s="293"/>
      <x:c r="KVH65" s="293"/>
      <x:c r="KVI65" s="293"/>
      <x:c r="KVJ65" s="293"/>
      <x:c r="KVK65" s="293"/>
      <x:c r="KVL65" s="293"/>
      <x:c r="KVM65" s="293"/>
      <x:c r="KVN65" s="293"/>
      <x:c r="KVO65" s="293"/>
      <x:c r="KVP65" s="293"/>
      <x:c r="KVQ65" s="293"/>
      <x:c r="KVR65" s="293"/>
      <x:c r="KVS65" s="293"/>
      <x:c r="KVT65" s="293"/>
      <x:c r="KVU65" s="293"/>
      <x:c r="KVV65" s="293"/>
      <x:c r="KVW65" s="293"/>
      <x:c r="KVX65" s="293"/>
      <x:c r="KVY65" s="293"/>
      <x:c r="KVZ65" s="293"/>
      <x:c r="KWA65" s="293"/>
      <x:c r="KWB65" s="293"/>
      <x:c r="KWC65" s="293"/>
      <x:c r="KWD65" s="293"/>
      <x:c r="KWE65" s="293"/>
      <x:c r="KWF65" s="293"/>
      <x:c r="KWG65" s="293"/>
      <x:c r="KWH65" s="293"/>
      <x:c r="KWI65" s="293"/>
      <x:c r="KWJ65" s="293"/>
      <x:c r="KWK65" s="293"/>
      <x:c r="KWL65" s="293"/>
      <x:c r="KWM65" s="293"/>
      <x:c r="KWN65" s="293"/>
      <x:c r="KWO65" s="293"/>
      <x:c r="KWP65" s="293"/>
      <x:c r="KWQ65" s="293"/>
      <x:c r="KWR65" s="293"/>
      <x:c r="KWS65" s="293"/>
      <x:c r="KWT65" s="293"/>
      <x:c r="KWU65" s="293"/>
      <x:c r="KWV65" s="293"/>
      <x:c r="KWW65" s="293"/>
      <x:c r="KWX65" s="293"/>
      <x:c r="KWY65" s="293"/>
      <x:c r="KWZ65" s="293"/>
      <x:c r="KXA65" s="293"/>
      <x:c r="KXB65" s="293"/>
      <x:c r="KXC65" s="293"/>
      <x:c r="KXD65" s="293"/>
      <x:c r="KXE65" s="293"/>
      <x:c r="KXF65" s="293"/>
      <x:c r="KXG65" s="293"/>
      <x:c r="KXH65" s="293"/>
      <x:c r="KXI65" s="293"/>
      <x:c r="KXJ65" s="293"/>
      <x:c r="KXK65" s="293"/>
      <x:c r="KXL65" s="293"/>
      <x:c r="KXM65" s="293"/>
      <x:c r="KXN65" s="293"/>
      <x:c r="KXO65" s="293"/>
      <x:c r="KXP65" s="293"/>
      <x:c r="KXQ65" s="293"/>
      <x:c r="KXR65" s="293"/>
      <x:c r="KXS65" s="293"/>
      <x:c r="KXT65" s="293"/>
      <x:c r="KXU65" s="293"/>
      <x:c r="KXV65" s="293"/>
      <x:c r="KXW65" s="293"/>
      <x:c r="KXX65" s="293"/>
      <x:c r="KXY65" s="293"/>
      <x:c r="KXZ65" s="293"/>
      <x:c r="KYA65" s="293"/>
      <x:c r="KYB65" s="293"/>
      <x:c r="KYC65" s="293"/>
      <x:c r="KYD65" s="293"/>
      <x:c r="KYE65" s="293"/>
      <x:c r="KYF65" s="293"/>
      <x:c r="KYG65" s="293"/>
      <x:c r="KYH65" s="293"/>
      <x:c r="KYI65" s="293"/>
      <x:c r="KYJ65" s="293"/>
      <x:c r="KYK65" s="293"/>
      <x:c r="KYL65" s="293"/>
      <x:c r="KYM65" s="293"/>
      <x:c r="KYN65" s="293"/>
      <x:c r="KYO65" s="293"/>
      <x:c r="KYP65" s="293"/>
      <x:c r="KYQ65" s="293"/>
      <x:c r="KYR65" s="293"/>
      <x:c r="KYS65" s="293"/>
      <x:c r="KYT65" s="293"/>
      <x:c r="KYU65" s="293"/>
      <x:c r="KYV65" s="293"/>
      <x:c r="KYW65" s="293"/>
      <x:c r="KYX65" s="293"/>
      <x:c r="KYY65" s="293"/>
      <x:c r="KYZ65" s="293"/>
      <x:c r="KZA65" s="293"/>
      <x:c r="KZB65" s="293"/>
      <x:c r="KZC65" s="293"/>
      <x:c r="KZD65" s="293"/>
      <x:c r="KZE65" s="293"/>
      <x:c r="KZF65" s="293"/>
      <x:c r="KZG65" s="293"/>
      <x:c r="KZH65" s="293"/>
      <x:c r="KZI65" s="293"/>
      <x:c r="KZJ65" s="293"/>
      <x:c r="KZK65" s="293"/>
      <x:c r="KZL65" s="293"/>
      <x:c r="KZM65" s="293"/>
      <x:c r="KZN65" s="293"/>
      <x:c r="KZO65" s="293"/>
      <x:c r="KZP65" s="293"/>
      <x:c r="KZQ65" s="293"/>
      <x:c r="KZR65" s="293"/>
      <x:c r="KZS65" s="293"/>
      <x:c r="KZT65" s="293"/>
      <x:c r="KZU65" s="293"/>
      <x:c r="KZV65" s="293"/>
      <x:c r="KZW65" s="293"/>
      <x:c r="KZX65" s="293"/>
      <x:c r="KZY65" s="293"/>
      <x:c r="KZZ65" s="293"/>
      <x:c r="LAA65" s="293"/>
      <x:c r="LAB65" s="293"/>
      <x:c r="LAC65" s="293"/>
      <x:c r="LAD65" s="293"/>
      <x:c r="LAE65" s="293"/>
      <x:c r="LAF65" s="293"/>
      <x:c r="LAG65" s="293"/>
      <x:c r="LAH65" s="293"/>
      <x:c r="LAI65" s="293"/>
      <x:c r="LAJ65" s="293"/>
      <x:c r="LAK65" s="293"/>
      <x:c r="LAL65" s="293"/>
      <x:c r="LAM65" s="293"/>
      <x:c r="LAN65" s="293"/>
      <x:c r="LAO65" s="293"/>
      <x:c r="LAP65" s="293"/>
      <x:c r="LAQ65" s="293"/>
      <x:c r="LAR65" s="293"/>
      <x:c r="LAS65" s="293"/>
      <x:c r="LAT65" s="293"/>
      <x:c r="LAU65" s="293"/>
      <x:c r="LAV65" s="293"/>
      <x:c r="LAW65" s="293"/>
      <x:c r="LAX65" s="293"/>
      <x:c r="LAY65" s="293"/>
      <x:c r="LAZ65" s="293"/>
      <x:c r="LBA65" s="293"/>
      <x:c r="LBB65" s="293"/>
      <x:c r="LBC65" s="293"/>
      <x:c r="LBD65" s="293"/>
      <x:c r="LBE65" s="293"/>
      <x:c r="LBF65" s="293"/>
      <x:c r="LBG65" s="293"/>
      <x:c r="LBH65" s="293"/>
      <x:c r="LBI65" s="293"/>
      <x:c r="LBJ65" s="293"/>
      <x:c r="LBK65" s="293"/>
      <x:c r="LBL65" s="293"/>
      <x:c r="LBM65" s="293"/>
      <x:c r="LBN65" s="293"/>
      <x:c r="LBO65" s="293"/>
      <x:c r="LBP65" s="293"/>
      <x:c r="LBQ65" s="293"/>
      <x:c r="LBR65" s="293"/>
      <x:c r="LBS65" s="293"/>
      <x:c r="LBT65" s="293"/>
      <x:c r="LBU65" s="293"/>
      <x:c r="LBV65" s="293"/>
      <x:c r="LBW65" s="293"/>
      <x:c r="LBX65" s="293"/>
      <x:c r="LBY65" s="293"/>
      <x:c r="LBZ65" s="293"/>
      <x:c r="LCA65" s="293"/>
      <x:c r="LCB65" s="293"/>
      <x:c r="LCC65" s="293"/>
      <x:c r="LCD65" s="293"/>
      <x:c r="LCE65" s="293"/>
      <x:c r="LCF65" s="293"/>
      <x:c r="LCG65" s="293"/>
      <x:c r="LCH65" s="293"/>
      <x:c r="LCI65" s="293"/>
      <x:c r="LCJ65" s="293"/>
      <x:c r="LCK65" s="293"/>
      <x:c r="LCL65" s="293"/>
      <x:c r="LCM65" s="293"/>
      <x:c r="LCN65" s="293"/>
      <x:c r="LCO65" s="293"/>
      <x:c r="LCP65" s="293"/>
      <x:c r="LCQ65" s="293"/>
      <x:c r="LCR65" s="293"/>
      <x:c r="LCS65" s="293"/>
      <x:c r="LCT65" s="293"/>
      <x:c r="LCU65" s="293"/>
      <x:c r="LCV65" s="293"/>
      <x:c r="LCW65" s="293"/>
      <x:c r="LCX65" s="293"/>
      <x:c r="LCY65" s="293"/>
      <x:c r="LCZ65" s="293"/>
      <x:c r="LDA65" s="293"/>
      <x:c r="LDB65" s="293"/>
      <x:c r="LDC65" s="293"/>
      <x:c r="LDD65" s="293"/>
      <x:c r="LDE65" s="293"/>
      <x:c r="LDF65" s="293"/>
      <x:c r="LDG65" s="293"/>
      <x:c r="LDH65" s="293"/>
      <x:c r="LDI65" s="293"/>
      <x:c r="LDJ65" s="293"/>
      <x:c r="LDK65" s="293"/>
      <x:c r="LDL65" s="293"/>
      <x:c r="LDM65" s="293"/>
      <x:c r="LDN65" s="293"/>
      <x:c r="LDO65" s="293"/>
      <x:c r="LDP65" s="293"/>
      <x:c r="LDQ65" s="293"/>
      <x:c r="LDR65" s="293"/>
      <x:c r="LDS65" s="293"/>
      <x:c r="LDT65" s="293"/>
      <x:c r="LDU65" s="293"/>
      <x:c r="LDV65" s="293"/>
      <x:c r="LDW65" s="293"/>
      <x:c r="LDX65" s="293"/>
      <x:c r="LDY65" s="293"/>
      <x:c r="LDZ65" s="293"/>
      <x:c r="LEA65" s="293"/>
      <x:c r="LEB65" s="293"/>
      <x:c r="LEC65" s="293"/>
      <x:c r="LED65" s="293"/>
      <x:c r="LEE65" s="293"/>
      <x:c r="LEF65" s="293"/>
      <x:c r="LEG65" s="293"/>
      <x:c r="LEH65" s="293"/>
      <x:c r="LEI65" s="293"/>
      <x:c r="LEJ65" s="293"/>
      <x:c r="LEK65" s="293"/>
      <x:c r="LEL65" s="293"/>
      <x:c r="LEM65" s="293"/>
      <x:c r="LEN65" s="293"/>
      <x:c r="LEO65" s="293"/>
      <x:c r="LEP65" s="293"/>
      <x:c r="LEQ65" s="293"/>
      <x:c r="LER65" s="293"/>
      <x:c r="LES65" s="293"/>
      <x:c r="LET65" s="293"/>
      <x:c r="LEU65" s="293"/>
      <x:c r="LEV65" s="293"/>
      <x:c r="LEW65" s="293"/>
      <x:c r="LEX65" s="293"/>
      <x:c r="LEY65" s="293"/>
      <x:c r="LEZ65" s="293"/>
      <x:c r="LFA65" s="293"/>
      <x:c r="LFB65" s="293"/>
      <x:c r="LFC65" s="293"/>
      <x:c r="LFD65" s="293"/>
      <x:c r="LFE65" s="293"/>
      <x:c r="LFF65" s="293"/>
      <x:c r="LFG65" s="293"/>
      <x:c r="LFH65" s="293"/>
      <x:c r="LFI65" s="293"/>
      <x:c r="LFJ65" s="293"/>
      <x:c r="LFK65" s="293"/>
      <x:c r="LFL65" s="293"/>
      <x:c r="LFM65" s="293"/>
      <x:c r="LFN65" s="293"/>
      <x:c r="LFO65" s="293"/>
      <x:c r="LFP65" s="293"/>
      <x:c r="LFQ65" s="293"/>
      <x:c r="LFR65" s="293"/>
      <x:c r="LFS65" s="293"/>
      <x:c r="LFT65" s="293"/>
      <x:c r="LFU65" s="293"/>
      <x:c r="LFV65" s="293"/>
      <x:c r="LFW65" s="293"/>
      <x:c r="LFX65" s="293"/>
      <x:c r="LFY65" s="293"/>
      <x:c r="LFZ65" s="293"/>
      <x:c r="LGA65" s="293"/>
      <x:c r="LGB65" s="293"/>
      <x:c r="LGC65" s="293"/>
      <x:c r="LGD65" s="293"/>
      <x:c r="LGE65" s="293"/>
      <x:c r="LGF65" s="293"/>
      <x:c r="LGG65" s="293"/>
      <x:c r="LGH65" s="293"/>
      <x:c r="LGI65" s="293"/>
      <x:c r="LGJ65" s="293"/>
      <x:c r="LGK65" s="293"/>
      <x:c r="LGL65" s="293"/>
      <x:c r="LGM65" s="293"/>
      <x:c r="LGN65" s="293"/>
      <x:c r="LGO65" s="293"/>
      <x:c r="LGP65" s="293"/>
      <x:c r="LGQ65" s="293"/>
      <x:c r="LGR65" s="293"/>
      <x:c r="LGS65" s="293"/>
      <x:c r="LGT65" s="293"/>
      <x:c r="LGU65" s="293"/>
      <x:c r="LGV65" s="293"/>
      <x:c r="LGW65" s="293"/>
      <x:c r="LGX65" s="293"/>
      <x:c r="LGY65" s="293"/>
      <x:c r="LGZ65" s="293"/>
      <x:c r="LHA65" s="293"/>
      <x:c r="LHB65" s="293"/>
      <x:c r="LHC65" s="293"/>
      <x:c r="LHD65" s="293"/>
      <x:c r="LHE65" s="293"/>
      <x:c r="LHF65" s="293"/>
      <x:c r="LHG65" s="293"/>
      <x:c r="LHH65" s="293"/>
      <x:c r="LHI65" s="293"/>
      <x:c r="LHJ65" s="293"/>
      <x:c r="LHK65" s="293"/>
      <x:c r="LHL65" s="293"/>
      <x:c r="LHM65" s="293"/>
      <x:c r="LHN65" s="293"/>
      <x:c r="LHO65" s="293"/>
      <x:c r="LHP65" s="293"/>
      <x:c r="LHQ65" s="293"/>
      <x:c r="LHR65" s="293"/>
      <x:c r="LHS65" s="293"/>
      <x:c r="LHT65" s="293"/>
      <x:c r="LHU65" s="293"/>
      <x:c r="LHV65" s="293"/>
      <x:c r="LHW65" s="293"/>
      <x:c r="LHX65" s="293"/>
      <x:c r="LHY65" s="293"/>
      <x:c r="LHZ65" s="293"/>
      <x:c r="LIA65" s="293"/>
      <x:c r="LIB65" s="293"/>
      <x:c r="LIC65" s="293"/>
      <x:c r="LID65" s="293"/>
      <x:c r="LIE65" s="293"/>
      <x:c r="LIF65" s="293"/>
      <x:c r="LIG65" s="293"/>
      <x:c r="LIH65" s="293"/>
      <x:c r="LII65" s="293"/>
      <x:c r="LIJ65" s="293"/>
      <x:c r="LIK65" s="293"/>
      <x:c r="LIL65" s="293"/>
      <x:c r="LIM65" s="293"/>
      <x:c r="LIN65" s="293"/>
      <x:c r="LIO65" s="293"/>
      <x:c r="LIP65" s="293"/>
      <x:c r="LIQ65" s="293"/>
      <x:c r="LIR65" s="293"/>
      <x:c r="LIS65" s="293"/>
      <x:c r="LIT65" s="293"/>
      <x:c r="LIU65" s="293"/>
      <x:c r="LIV65" s="293"/>
      <x:c r="LIW65" s="293"/>
      <x:c r="LIX65" s="293"/>
      <x:c r="LIY65" s="293"/>
      <x:c r="LIZ65" s="293"/>
      <x:c r="LJA65" s="293"/>
      <x:c r="LJB65" s="293"/>
      <x:c r="LJC65" s="293"/>
      <x:c r="LJD65" s="293"/>
      <x:c r="LJE65" s="293"/>
      <x:c r="LJF65" s="293"/>
      <x:c r="LJG65" s="293"/>
      <x:c r="LJH65" s="293"/>
      <x:c r="LJI65" s="293"/>
      <x:c r="LJJ65" s="293"/>
      <x:c r="LJK65" s="293"/>
      <x:c r="LJL65" s="293"/>
      <x:c r="LJM65" s="293"/>
      <x:c r="LJN65" s="293"/>
      <x:c r="LJO65" s="293"/>
      <x:c r="LJP65" s="293"/>
      <x:c r="LJQ65" s="293"/>
      <x:c r="LJR65" s="293"/>
      <x:c r="LJS65" s="293"/>
      <x:c r="LJT65" s="293"/>
      <x:c r="LJU65" s="293"/>
      <x:c r="LJV65" s="293"/>
      <x:c r="LJW65" s="293"/>
      <x:c r="LJX65" s="293"/>
      <x:c r="LJY65" s="293"/>
      <x:c r="LJZ65" s="293"/>
      <x:c r="LKA65" s="293"/>
      <x:c r="LKB65" s="293"/>
      <x:c r="LKC65" s="293"/>
      <x:c r="LKD65" s="293"/>
      <x:c r="LKE65" s="293"/>
      <x:c r="LKF65" s="293"/>
      <x:c r="LKG65" s="293"/>
      <x:c r="LKH65" s="293"/>
      <x:c r="LKI65" s="293"/>
      <x:c r="LKJ65" s="293"/>
      <x:c r="LKK65" s="293"/>
      <x:c r="LKL65" s="293"/>
      <x:c r="LKM65" s="293"/>
      <x:c r="LKN65" s="293"/>
      <x:c r="LKO65" s="293"/>
      <x:c r="LKP65" s="293"/>
      <x:c r="LKQ65" s="293"/>
      <x:c r="LKR65" s="293"/>
      <x:c r="LKS65" s="293"/>
      <x:c r="LKT65" s="293"/>
      <x:c r="LKU65" s="293"/>
      <x:c r="LKV65" s="293"/>
      <x:c r="LKW65" s="293"/>
      <x:c r="LKX65" s="293"/>
      <x:c r="LKY65" s="293"/>
      <x:c r="LKZ65" s="293"/>
      <x:c r="LLA65" s="293"/>
      <x:c r="LLB65" s="293"/>
      <x:c r="LLC65" s="293"/>
      <x:c r="LLD65" s="293"/>
      <x:c r="LLE65" s="293"/>
      <x:c r="LLF65" s="293"/>
      <x:c r="LLG65" s="293"/>
      <x:c r="LLH65" s="293"/>
      <x:c r="LLI65" s="293"/>
      <x:c r="LLJ65" s="293"/>
      <x:c r="LLK65" s="293"/>
      <x:c r="LLL65" s="293"/>
      <x:c r="LLM65" s="293"/>
      <x:c r="LLN65" s="293"/>
      <x:c r="LLO65" s="293"/>
      <x:c r="LLP65" s="293"/>
      <x:c r="LLQ65" s="293"/>
      <x:c r="LLR65" s="293"/>
      <x:c r="LLS65" s="293"/>
      <x:c r="LLT65" s="293"/>
      <x:c r="LLU65" s="293"/>
      <x:c r="LLV65" s="293"/>
      <x:c r="LLW65" s="293"/>
      <x:c r="LLX65" s="293"/>
      <x:c r="LLY65" s="293"/>
      <x:c r="LLZ65" s="293"/>
      <x:c r="LMA65" s="293"/>
      <x:c r="LMB65" s="293"/>
      <x:c r="LMC65" s="293"/>
      <x:c r="LMD65" s="293"/>
      <x:c r="LME65" s="293"/>
      <x:c r="LMF65" s="293"/>
      <x:c r="LMG65" s="293"/>
      <x:c r="LMH65" s="293"/>
      <x:c r="LMI65" s="293"/>
      <x:c r="LMJ65" s="293"/>
      <x:c r="LMK65" s="293"/>
      <x:c r="LML65" s="293"/>
      <x:c r="LMM65" s="293"/>
      <x:c r="LMN65" s="293"/>
      <x:c r="LMO65" s="293"/>
      <x:c r="LMP65" s="293"/>
      <x:c r="LMQ65" s="293"/>
      <x:c r="LMR65" s="293"/>
      <x:c r="LMS65" s="293"/>
      <x:c r="LMT65" s="293"/>
      <x:c r="LMU65" s="293"/>
      <x:c r="LMV65" s="293"/>
      <x:c r="LMW65" s="293"/>
      <x:c r="LMX65" s="293"/>
      <x:c r="LMY65" s="293"/>
      <x:c r="LMZ65" s="293"/>
      <x:c r="LNA65" s="293"/>
      <x:c r="LNB65" s="293"/>
      <x:c r="LNC65" s="293"/>
      <x:c r="LND65" s="293"/>
      <x:c r="LNE65" s="293"/>
      <x:c r="LNF65" s="293"/>
      <x:c r="LNG65" s="293"/>
      <x:c r="LNH65" s="293"/>
      <x:c r="LNI65" s="293"/>
      <x:c r="LNJ65" s="293"/>
      <x:c r="LNK65" s="293"/>
      <x:c r="LNL65" s="293"/>
      <x:c r="LNM65" s="293"/>
      <x:c r="LNN65" s="293"/>
      <x:c r="LNO65" s="293"/>
      <x:c r="LNP65" s="293"/>
      <x:c r="LNQ65" s="293"/>
      <x:c r="LNR65" s="293"/>
      <x:c r="LNS65" s="293"/>
      <x:c r="LNT65" s="293"/>
      <x:c r="LNU65" s="293"/>
      <x:c r="LNV65" s="293"/>
      <x:c r="LNW65" s="293"/>
      <x:c r="LNX65" s="293"/>
      <x:c r="LNY65" s="293"/>
      <x:c r="LNZ65" s="293"/>
      <x:c r="LOA65" s="293"/>
      <x:c r="LOB65" s="293"/>
      <x:c r="LOC65" s="293"/>
      <x:c r="LOD65" s="293"/>
      <x:c r="LOE65" s="293"/>
      <x:c r="LOF65" s="293"/>
      <x:c r="LOG65" s="293"/>
      <x:c r="LOH65" s="293"/>
      <x:c r="LOI65" s="293"/>
      <x:c r="LOJ65" s="293"/>
      <x:c r="LOK65" s="293"/>
      <x:c r="LOL65" s="293"/>
      <x:c r="LOM65" s="293"/>
      <x:c r="LON65" s="293"/>
      <x:c r="LOO65" s="293"/>
      <x:c r="LOP65" s="293"/>
      <x:c r="LOQ65" s="293"/>
      <x:c r="LOR65" s="293"/>
      <x:c r="LOS65" s="293"/>
      <x:c r="LOT65" s="293"/>
      <x:c r="LOU65" s="293"/>
      <x:c r="LOV65" s="293"/>
      <x:c r="LOW65" s="293"/>
      <x:c r="LOX65" s="293"/>
      <x:c r="LOY65" s="293"/>
      <x:c r="LOZ65" s="293"/>
      <x:c r="LPA65" s="293"/>
      <x:c r="LPB65" s="293"/>
      <x:c r="LPC65" s="293"/>
      <x:c r="LPD65" s="293"/>
      <x:c r="LPE65" s="293"/>
      <x:c r="LPF65" s="293"/>
      <x:c r="LPG65" s="293"/>
      <x:c r="LPH65" s="293"/>
      <x:c r="LPI65" s="293"/>
      <x:c r="LPJ65" s="293"/>
      <x:c r="LPK65" s="293"/>
      <x:c r="LPL65" s="293"/>
      <x:c r="LPM65" s="293"/>
      <x:c r="LPN65" s="293"/>
      <x:c r="LPO65" s="293"/>
      <x:c r="LPP65" s="293"/>
      <x:c r="LPQ65" s="293"/>
      <x:c r="LPR65" s="293"/>
      <x:c r="LPS65" s="293"/>
      <x:c r="LPT65" s="293"/>
      <x:c r="LPU65" s="293"/>
      <x:c r="LPV65" s="293"/>
      <x:c r="LPW65" s="293"/>
      <x:c r="LPX65" s="293"/>
      <x:c r="LPY65" s="293"/>
      <x:c r="LPZ65" s="293"/>
      <x:c r="LQA65" s="293"/>
      <x:c r="LQB65" s="293"/>
      <x:c r="LQC65" s="293"/>
      <x:c r="LQD65" s="293"/>
      <x:c r="LQE65" s="293"/>
      <x:c r="LQF65" s="293"/>
      <x:c r="LQG65" s="293"/>
      <x:c r="LQH65" s="293"/>
      <x:c r="LQI65" s="293"/>
      <x:c r="LQJ65" s="293"/>
      <x:c r="LQK65" s="293"/>
      <x:c r="LQL65" s="293"/>
      <x:c r="LQM65" s="293"/>
      <x:c r="LQN65" s="293"/>
      <x:c r="LQO65" s="293"/>
      <x:c r="LQP65" s="293"/>
      <x:c r="LQQ65" s="293"/>
      <x:c r="LQR65" s="293"/>
      <x:c r="LQS65" s="293"/>
      <x:c r="LQT65" s="293"/>
      <x:c r="LQU65" s="293"/>
      <x:c r="LQV65" s="293"/>
      <x:c r="LQW65" s="293"/>
      <x:c r="LQX65" s="293"/>
      <x:c r="LQY65" s="293"/>
      <x:c r="LQZ65" s="293"/>
      <x:c r="LRA65" s="293"/>
      <x:c r="LRB65" s="293"/>
      <x:c r="LRC65" s="293"/>
      <x:c r="LRD65" s="293"/>
      <x:c r="LRE65" s="293"/>
      <x:c r="LRF65" s="293"/>
      <x:c r="LRG65" s="293"/>
      <x:c r="LRH65" s="293"/>
      <x:c r="LRI65" s="293"/>
      <x:c r="LRJ65" s="293"/>
      <x:c r="LRK65" s="293"/>
      <x:c r="LRL65" s="293"/>
      <x:c r="LRM65" s="293"/>
      <x:c r="LRN65" s="293"/>
      <x:c r="LRO65" s="293"/>
      <x:c r="LRP65" s="293"/>
      <x:c r="LRQ65" s="293"/>
      <x:c r="LRR65" s="293"/>
      <x:c r="LRS65" s="293"/>
      <x:c r="LRT65" s="293"/>
      <x:c r="LRU65" s="293"/>
      <x:c r="LRV65" s="293"/>
      <x:c r="LRW65" s="293"/>
      <x:c r="LRX65" s="293"/>
      <x:c r="LRY65" s="293"/>
      <x:c r="LRZ65" s="293"/>
      <x:c r="LSA65" s="293"/>
      <x:c r="LSB65" s="293"/>
      <x:c r="LSC65" s="293"/>
      <x:c r="LSD65" s="293"/>
      <x:c r="LSE65" s="293"/>
      <x:c r="LSF65" s="293"/>
      <x:c r="LSG65" s="293"/>
      <x:c r="LSH65" s="293"/>
      <x:c r="LSI65" s="293"/>
      <x:c r="LSJ65" s="293"/>
      <x:c r="LSK65" s="293"/>
      <x:c r="LSL65" s="293"/>
      <x:c r="LSM65" s="293"/>
      <x:c r="LSN65" s="293"/>
      <x:c r="LSO65" s="293"/>
      <x:c r="LSP65" s="293"/>
      <x:c r="LSQ65" s="293"/>
      <x:c r="LSR65" s="293"/>
      <x:c r="LSS65" s="293"/>
      <x:c r="LST65" s="293"/>
      <x:c r="LSU65" s="293"/>
      <x:c r="LSV65" s="293"/>
      <x:c r="LSW65" s="293"/>
      <x:c r="LSX65" s="293"/>
      <x:c r="LSY65" s="293"/>
      <x:c r="LSZ65" s="293"/>
      <x:c r="LTA65" s="293"/>
      <x:c r="LTB65" s="293"/>
      <x:c r="LTC65" s="293"/>
      <x:c r="LTD65" s="293"/>
      <x:c r="LTE65" s="293"/>
      <x:c r="LTF65" s="293"/>
      <x:c r="LTG65" s="293"/>
      <x:c r="LTH65" s="293"/>
      <x:c r="LTI65" s="293"/>
      <x:c r="LTJ65" s="293"/>
      <x:c r="LTK65" s="293"/>
      <x:c r="LTL65" s="293"/>
      <x:c r="LTM65" s="293"/>
      <x:c r="LTN65" s="293"/>
      <x:c r="LTO65" s="293"/>
      <x:c r="LTP65" s="293"/>
      <x:c r="LTQ65" s="293"/>
      <x:c r="LTR65" s="293"/>
      <x:c r="LTS65" s="293"/>
      <x:c r="LTT65" s="293"/>
      <x:c r="LTU65" s="293"/>
      <x:c r="LTV65" s="293"/>
      <x:c r="LTW65" s="293"/>
      <x:c r="LTX65" s="293"/>
      <x:c r="LTY65" s="293"/>
      <x:c r="LTZ65" s="293"/>
      <x:c r="LUA65" s="293"/>
      <x:c r="LUB65" s="293"/>
      <x:c r="LUC65" s="293"/>
      <x:c r="LUD65" s="293"/>
      <x:c r="LUE65" s="293"/>
      <x:c r="LUF65" s="293"/>
      <x:c r="LUG65" s="293"/>
      <x:c r="LUH65" s="293"/>
      <x:c r="LUI65" s="293"/>
      <x:c r="LUJ65" s="293"/>
      <x:c r="LUK65" s="293"/>
      <x:c r="LUL65" s="293"/>
      <x:c r="LUM65" s="293"/>
      <x:c r="LUN65" s="293"/>
      <x:c r="LUO65" s="293"/>
      <x:c r="LUP65" s="293"/>
      <x:c r="LUQ65" s="293"/>
      <x:c r="LUR65" s="293"/>
      <x:c r="LUS65" s="293"/>
      <x:c r="LUT65" s="293"/>
      <x:c r="LUU65" s="293"/>
      <x:c r="LUV65" s="293"/>
      <x:c r="LUW65" s="293"/>
      <x:c r="LUX65" s="293"/>
      <x:c r="LUY65" s="293"/>
      <x:c r="LUZ65" s="293"/>
      <x:c r="LVA65" s="293"/>
      <x:c r="LVB65" s="293"/>
      <x:c r="LVC65" s="293"/>
      <x:c r="LVD65" s="293"/>
      <x:c r="LVE65" s="293"/>
      <x:c r="LVF65" s="293"/>
      <x:c r="LVG65" s="293"/>
      <x:c r="LVH65" s="293"/>
      <x:c r="LVI65" s="293"/>
      <x:c r="LVJ65" s="293"/>
      <x:c r="LVK65" s="293"/>
      <x:c r="LVL65" s="293"/>
      <x:c r="LVM65" s="293"/>
      <x:c r="LVN65" s="293"/>
      <x:c r="LVO65" s="293"/>
      <x:c r="LVP65" s="293"/>
      <x:c r="LVQ65" s="293"/>
      <x:c r="LVR65" s="293"/>
      <x:c r="LVS65" s="293"/>
      <x:c r="LVT65" s="293"/>
      <x:c r="LVU65" s="293"/>
      <x:c r="LVV65" s="293"/>
      <x:c r="LVW65" s="293"/>
      <x:c r="LVX65" s="293"/>
      <x:c r="LVY65" s="293"/>
      <x:c r="LVZ65" s="293"/>
      <x:c r="LWA65" s="293"/>
      <x:c r="LWB65" s="293"/>
      <x:c r="LWC65" s="293"/>
      <x:c r="LWD65" s="293"/>
      <x:c r="LWE65" s="293"/>
      <x:c r="LWF65" s="293"/>
      <x:c r="LWG65" s="293"/>
      <x:c r="LWH65" s="293"/>
      <x:c r="LWI65" s="293"/>
      <x:c r="LWJ65" s="293"/>
      <x:c r="LWK65" s="293"/>
      <x:c r="LWL65" s="293"/>
      <x:c r="LWM65" s="293"/>
      <x:c r="LWN65" s="293"/>
      <x:c r="LWO65" s="293"/>
      <x:c r="LWP65" s="293"/>
      <x:c r="LWQ65" s="293"/>
      <x:c r="LWR65" s="293"/>
      <x:c r="LWS65" s="293"/>
      <x:c r="LWT65" s="293"/>
      <x:c r="LWU65" s="293"/>
      <x:c r="LWV65" s="293"/>
      <x:c r="LWW65" s="293"/>
      <x:c r="LWX65" s="293"/>
      <x:c r="LWY65" s="293"/>
      <x:c r="LWZ65" s="293"/>
      <x:c r="LXA65" s="293"/>
      <x:c r="LXB65" s="293"/>
      <x:c r="LXC65" s="293"/>
      <x:c r="LXD65" s="293"/>
      <x:c r="LXE65" s="293"/>
      <x:c r="LXF65" s="293"/>
      <x:c r="LXG65" s="293"/>
      <x:c r="LXH65" s="293"/>
      <x:c r="LXI65" s="293"/>
      <x:c r="LXJ65" s="293"/>
      <x:c r="LXK65" s="293"/>
      <x:c r="LXL65" s="293"/>
      <x:c r="LXM65" s="293"/>
      <x:c r="LXN65" s="293"/>
      <x:c r="LXO65" s="293"/>
      <x:c r="LXP65" s="293"/>
      <x:c r="LXQ65" s="293"/>
      <x:c r="LXR65" s="293"/>
      <x:c r="LXS65" s="293"/>
      <x:c r="LXT65" s="293"/>
      <x:c r="LXU65" s="293"/>
      <x:c r="LXV65" s="293"/>
      <x:c r="LXW65" s="293"/>
      <x:c r="LXX65" s="293"/>
      <x:c r="LXY65" s="293"/>
      <x:c r="LXZ65" s="293"/>
      <x:c r="LYA65" s="293"/>
      <x:c r="LYB65" s="293"/>
      <x:c r="LYC65" s="293"/>
      <x:c r="LYD65" s="293"/>
      <x:c r="LYE65" s="293"/>
      <x:c r="LYF65" s="293"/>
      <x:c r="LYG65" s="293"/>
      <x:c r="LYH65" s="293"/>
      <x:c r="LYI65" s="293"/>
      <x:c r="LYJ65" s="293"/>
      <x:c r="LYK65" s="293"/>
      <x:c r="LYL65" s="293"/>
      <x:c r="LYM65" s="293"/>
      <x:c r="LYN65" s="293"/>
      <x:c r="LYO65" s="293"/>
      <x:c r="LYP65" s="293"/>
      <x:c r="LYQ65" s="293"/>
      <x:c r="LYR65" s="293"/>
      <x:c r="LYS65" s="293"/>
      <x:c r="LYT65" s="293"/>
      <x:c r="LYU65" s="293"/>
      <x:c r="LYV65" s="293"/>
      <x:c r="LYW65" s="293"/>
      <x:c r="LYX65" s="293"/>
      <x:c r="LYY65" s="293"/>
      <x:c r="LYZ65" s="293"/>
      <x:c r="LZA65" s="293"/>
      <x:c r="LZB65" s="293"/>
      <x:c r="LZC65" s="293"/>
      <x:c r="LZD65" s="293"/>
      <x:c r="LZE65" s="293"/>
      <x:c r="LZF65" s="293"/>
      <x:c r="LZG65" s="293"/>
      <x:c r="LZH65" s="293"/>
      <x:c r="LZI65" s="293"/>
      <x:c r="LZJ65" s="293"/>
      <x:c r="LZK65" s="293"/>
      <x:c r="LZL65" s="293"/>
      <x:c r="LZM65" s="293"/>
      <x:c r="LZN65" s="293"/>
      <x:c r="LZO65" s="293"/>
      <x:c r="LZP65" s="293"/>
      <x:c r="LZQ65" s="293"/>
      <x:c r="LZR65" s="293"/>
      <x:c r="LZS65" s="293"/>
      <x:c r="LZT65" s="293"/>
      <x:c r="LZU65" s="293"/>
      <x:c r="LZV65" s="293"/>
      <x:c r="LZW65" s="293"/>
      <x:c r="LZX65" s="293"/>
      <x:c r="LZY65" s="293"/>
      <x:c r="LZZ65" s="293"/>
      <x:c r="MAA65" s="293"/>
      <x:c r="MAB65" s="293"/>
      <x:c r="MAC65" s="293"/>
      <x:c r="MAD65" s="293"/>
      <x:c r="MAE65" s="293"/>
      <x:c r="MAF65" s="293"/>
      <x:c r="MAG65" s="293"/>
      <x:c r="MAH65" s="293"/>
      <x:c r="MAI65" s="293"/>
      <x:c r="MAJ65" s="293"/>
      <x:c r="MAK65" s="293"/>
      <x:c r="MAL65" s="293"/>
      <x:c r="MAM65" s="293"/>
      <x:c r="MAN65" s="293"/>
      <x:c r="MAO65" s="293"/>
      <x:c r="MAP65" s="293"/>
      <x:c r="MAQ65" s="293"/>
      <x:c r="MAR65" s="293"/>
      <x:c r="MAS65" s="293"/>
      <x:c r="MAT65" s="293"/>
      <x:c r="MAU65" s="293"/>
      <x:c r="MAV65" s="293"/>
      <x:c r="MAW65" s="293"/>
      <x:c r="MAX65" s="293"/>
      <x:c r="MAY65" s="293"/>
      <x:c r="MAZ65" s="293"/>
      <x:c r="MBA65" s="293"/>
      <x:c r="MBB65" s="293"/>
      <x:c r="MBC65" s="293"/>
      <x:c r="MBD65" s="293"/>
      <x:c r="MBE65" s="293"/>
      <x:c r="MBF65" s="293"/>
      <x:c r="MBG65" s="293"/>
      <x:c r="MBH65" s="293"/>
      <x:c r="MBI65" s="293"/>
      <x:c r="MBJ65" s="293"/>
      <x:c r="MBK65" s="293"/>
      <x:c r="MBL65" s="293"/>
      <x:c r="MBM65" s="293"/>
      <x:c r="MBN65" s="293"/>
      <x:c r="MBO65" s="293"/>
      <x:c r="MBP65" s="293"/>
      <x:c r="MBQ65" s="293"/>
      <x:c r="MBR65" s="293"/>
      <x:c r="MBS65" s="293"/>
      <x:c r="MBT65" s="293"/>
      <x:c r="MBU65" s="293"/>
      <x:c r="MBV65" s="293"/>
      <x:c r="MBW65" s="293"/>
      <x:c r="MBX65" s="293"/>
      <x:c r="MBY65" s="293"/>
      <x:c r="MBZ65" s="293"/>
      <x:c r="MCA65" s="293"/>
      <x:c r="MCB65" s="293"/>
      <x:c r="MCC65" s="293"/>
      <x:c r="MCD65" s="293"/>
      <x:c r="MCE65" s="293"/>
      <x:c r="MCF65" s="293"/>
      <x:c r="MCG65" s="293"/>
      <x:c r="MCH65" s="293"/>
      <x:c r="MCI65" s="293"/>
      <x:c r="MCJ65" s="293"/>
      <x:c r="MCK65" s="293"/>
      <x:c r="MCL65" s="293"/>
      <x:c r="MCM65" s="293"/>
      <x:c r="MCN65" s="293"/>
      <x:c r="MCO65" s="293"/>
      <x:c r="MCP65" s="293"/>
      <x:c r="MCQ65" s="293"/>
      <x:c r="MCR65" s="293"/>
      <x:c r="MCS65" s="293"/>
      <x:c r="MCT65" s="293"/>
      <x:c r="MCU65" s="293"/>
      <x:c r="MCV65" s="293"/>
      <x:c r="MCW65" s="293"/>
      <x:c r="MCX65" s="293"/>
      <x:c r="MCY65" s="293"/>
      <x:c r="MCZ65" s="293"/>
      <x:c r="MDA65" s="293"/>
      <x:c r="MDB65" s="293"/>
      <x:c r="MDC65" s="293"/>
      <x:c r="MDD65" s="293"/>
      <x:c r="MDE65" s="293"/>
      <x:c r="MDF65" s="293"/>
      <x:c r="MDG65" s="293"/>
      <x:c r="MDH65" s="293"/>
      <x:c r="MDI65" s="293"/>
      <x:c r="MDJ65" s="293"/>
      <x:c r="MDK65" s="293"/>
      <x:c r="MDL65" s="293"/>
      <x:c r="MDM65" s="293"/>
      <x:c r="MDN65" s="293"/>
      <x:c r="MDO65" s="293"/>
      <x:c r="MDP65" s="293"/>
      <x:c r="MDQ65" s="293"/>
      <x:c r="MDR65" s="293"/>
      <x:c r="MDS65" s="293"/>
      <x:c r="MDT65" s="293"/>
      <x:c r="MDU65" s="293"/>
      <x:c r="MDV65" s="293"/>
      <x:c r="MDW65" s="293"/>
      <x:c r="MDX65" s="293"/>
      <x:c r="MDY65" s="293"/>
      <x:c r="MDZ65" s="293"/>
      <x:c r="MEA65" s="293"/>
      <x:c r="MEB65" s="293"/>
      <x:c r="MEC65" s="293"/>
      <x:c r="MED65" s="293"/>
      <x:c r="MEE65" s="293"/>
      <x:c r="MEF65" s="293"/>
      <x:c r="MEG65" s="293"/>
      <x:c r="MEH65" s="293"/>
      <x:c r="MEI65" s="293"/>
      <x:c r="MEJ65" s="293"/>
      <x:c r="MEK65" s="293"/>
      <x:c r="MEL65" s="293"/>
      <x:c r="MEM65" s="293"/>
      <x:c r="MEN65" s="293"/>
      <x:c r="MEO65" s="293"/>
      <x:c r="MEP65" s="293"/>
      <x:c r="MEQ65" s="293"/>
      <x:c r="MER65" s="293"/>
      <x:c r="MES65" s="293"/>
      <x:c r="MET65" s="293"/>
      <x:c r="MEU65" s="293"/>
      <x:c r="MEV65" s="293"/>
      <x:c r="MEW65" s="293"/>
      <x:c r="MEX65" s="293"/>
      <x:c r="MEY65" s="293"/>
      <x:c r="MEZ65" s="293"/>
      <x:c r="MFA65" s="293"/>
      <x:c r="MFB65" s="293"/>
      <x:c r="MFC65" s="293"/>
      <x:c r="MFD65" s="293"/>
      <x:c r="MFE65" s="293"/>
      <x:c r="MFF65" s="293"/>
      <x:c r="MFG65" s="293"/>
      <x:c r="MFH65" s="293"/>
      <x:c r="MFI65" s="293"/>
      <x:c r="MFJ65" s="293"/>
      <x:c r="MFK65" s="293"/>
      <x:c r="MFL65" s="293"/>
      <x:c r="MFM65" s="293"/>
      <x:c r="MFN65" s="293"/>
      <x:c r="MFO65" s="293"/>
      <x:c r="MFP65" s="293"/>
      <x:c r="MFQ65" s="293"/>
      <x:c r="MFR65" s="293"/>
      <x:c r="MFS65" s="293"/>
      <x:c r="MFT65" s="293"/>
      <x:c r="MFU65" s="293"/>
      <x:c r="MFV65" s="293"/>
      <x:c r="MFW65" s="293"/>
      <x:c r="MFX65" s="293"/>
      <x:c r="MFY65" s="293"/>
      <x:c r="MFZ65" s="293"/>
      <x:c r="MGA65" s="293"/>
      <x:c r="MGB65" s="293"/>
      <x:c r="MGC65" s="293"/>
      <x:c r="MGD65" s="293"/>
      <x:c r="MGE65" s="293"/>
      <x:c r="MGF65" s="293"/>
      <x:c r="MGG65" s="293"/>
      <x:c r="MGH65" s="293"/>
      <x:c r="MGI65" s="293"/>
      <x:c r="MGJ65" s="293"/>
      <x:c r="MGK65" s="293"/>
      <x:c r="MGL65" s="293"/>
      <x:c r="MGM65" s="293"/>
      <x:c r="MGN65" s="293"/>
      <x:c r="MGO65" s="293"/>
      <x:c r="MGP65" s="293"/>
      <x:c r="MGQ65" s="293"/>
      <x:c r="MGR65" s="293"/>
      <x:c r="MGS65" s="293"/>
      <x:c r="MGT65" s="293"/>
      <x:c r="MGU65" s="293"/>
      <x:c r="MGV65" s="293"/>
      <x:c r="MGW65" s="293"/>
      <x:c r="MGX65" s="293"/>
      <x:c r="MGY65" s="293"/>
      <x:c r="MGZ65" s="293"/>
      <x:c r="MHA65" s="293"/>
      <x:c r="MHB65" s="293"/>
      <x:c r="MHC65" s="293"/>
      <x:c r="MHD65" s="293"/>
      <x:c r="MHE65" s="293"/>
      <x:c r="MHF65" s="293"/>
      <x:c r="MHG65" s="293"/>
      <x:c r="MHH65" s="293"/>
      <x:c r="MHI65" s="293"/>
      <x:c r="MHJ65" s="293"/>
      <x:c r="MHK65" s="293"/>
      <x:c r="MHL65" s="293"/>
      <x:c r="MHM65" s="293"/>
      <x:c r="MHN65" s="293"/>
      <x:c r="MHO65" s="293"/>
      <x:c r="MHP65" s="293"/>
      <x:c r="MHQ65" s="293"/>
      <x:c r="MHR65" s="293"/>
      <x:c r="MHS65" s="293"/>
      <x:c r="MHT65" s="293"/>
      <x:c r="MHU65" s="293"/>
      <x:c r="MHV65" s="293"/>
      <x:c r="MHW65" s="293"/>
      <x:c r="MHX65" s="293"/>
      <x:c r="MHY65" s="293"/>
      <x:c r="MHZ65" s="293"/>
      <x:c r="MIA65" s="293"/>
      <x:c r="MIB65" s="293"/>
      <x:c r="MIC65" s="293"/>
      <x:c r="MID65" s="293"/>
      <x:c r="MIE65" s="293"/>
      <x:c r="MIF65" s="293"/>
      <x:c r="MIG65" s="293"/>
      <x:c r="MIH65" s="293"/>
      <x:c r="MII65" s="293"/>
      <x:c r="MIJ65" s="293"/>
      <x:c r="MIK65" s="293"/>
      <x:c r="MIL65" s="293"/>
      <x:c r="MIM65" s="293"/>
      <x:c r="MIN65" s="293"/>
      <x:c r="MIO65" s="293"/>
      <x:c r="MIP65" s="293"/>
      <x:c r="MIQ65" s="293"/>
      <x:c r="MIR65" s="293"/>
      <x:c r="MIS65" s="293"/>
      <x:c r="MIT65" s="293"/>
      <x:c r="MIU65" s="293"/>
      <x:c r="MIV65" s="293"/>
      <x:c r="MIW65" s="293"/>
      <x:c r="MIX65" s="293"/>
      <x:c r="MIY65" s="293"/>
      <x:c r="MIZ65" s="293"/>
      <x:c r="MJA65" s="293"/>
      <x:c r="MJB65" s="293"/>
      <x:c r="MJC65" s="293"/>
      <x:c r="MJD65" s="293"/>
      <x:c r="MJE65" s="293"/>
      <x:c r="MJF65" s="293"/>
      <x:c r="MJG65" s="293"/>
      <x:c r="MJH65" s="293"/>
      <x:c r="MJI65" s="293"/>
      <x:c r="MJJ65" s="293"/>
      <x:c r="MJK65" s="293"/>
      <x:c r="MJL65" s="293"/>
      <x:c r="MJM65" s="293"/>
      <x:c r="MJN65" s="293"/>
      <x:c r="MJO65" s="293"/>
      <x:c r="MJP65" s="293"/>
      <x:c r="MJQ65" s="293"/>
      <x:c r="MJR65" s="293"/>
      <x:c r="MJS65" s="293"/>
      <x:c r="MJT65" s="293"/>
      <x:c r="MJU65" s="293"/>
      <x:c r="MJV65" s="293"/>
      <x:c r="MJW65" s="293"/>
      <x:c r="MJX65" s="293"/>
      <x:c r="MJY65" s="293"/>
      <x:c r="MJZ65" s="293"/>
      <x:c r="MKA65" s="293"/>
      <x:c r="MKB65" s="293"/>
      <x:c r="MKC65" s="293"/>
      <x:c r="MKD65" s="293"/>
      <x:c r="MKE65" s="293"/>
      <x:c r="MKF65" s="293"/>
      <x:c r="MKG65" s="293"/>
      <x:c r="MKH65" s="293"/>
      <x:c r="MKI65" s="293"/>
      <x:c r="MKJ65" s="293"/>
      <x:c r="MKK65" s="293"/>
      <x:c r="MKL65" s="293"/>
      <x:c r="MKM65" s="293"/>
      <x:c r="MKN65" s="293"/>
      <x:c r="MKO65" s="293"/>
      <x:c r="MKP65" s="293"/>
      <x:c r="MKQ65" s="293"/>
      <x:c r="MKR65" s="293"/>
      <x:c r="MKS65" s="293"/>
      <x:c r="MKT65" s="293"/>
      <x:c r="MKU65" s="293"/>
      <x:c r="MKV65" s="293"/>
      <x:c r="MKW65" s="293"/>
      <x:c r="MKX65" s="293"/>
      <x:c r="MKY65" s="293"/>
      <x:c r="MKZ65" s="293"/>
      <x:c r="MLA65" s="293"/>
      <x:c r="MLB65" s="293"/>
      <x:c r="MLC65" s="293"/>
      <x:c r="MLD65" s="293"/>
      <x:c r="MLE65" s="293"/>
      <x:c r="MLF65" s="293"/>
      <x:c r="MLG65" s="293"/>
      <x:c r="MLH65" s="293"/>
      <x:c r="MLI65" s="293"/>
      <x:c r="MLJ65" s="293"/>
      <x:c r="MLK65" s="293"/>
      <x:c r="MLL65" s="293"/>
      <x:c r="MLM65" s="293"/>
      <x:c r="MLN65" s="293"/>
      <x:c r="MLO65" s="293"/>
      <x:c r="MLP65" s="293"/>
      <x:c r="MLQ65" s="293"/>
      <x:c r="MLR65" s="293"/>
      <x:c r="MLS65" s="293"/>
      <x:c r="MLT65" s="293"/>
      <x:c r="MLU65" s="293"/>
      <x:c r="MLV65" s="293"/>
      <x:c r="MLW65" s="293"/>
      <x:c r="MLX65" s="293"/>
      <x:c r="MLY65" s="293"/>
      <x:c r="MLZ65" s="293"/>
      <x:c r="MMA65" s="293"/>
      <x:c r="MMB65" s="293"/>
      <x:c r="MMC65" s="293"/>
      <x:c r="MMD65" s="293"/>
      <x:c r="MME65" s="293"/>
      <x:c r="MMF65" s="293"/>
      <x:c r="MMG65" s="293"/>
      <x:c r="MMH65" s="293"/>
      <x:c r="MMI65" s="293"/>
      <x:c r="MMJ65" s="293"/>
      <x:c r="MMK65" s="293"/>
      <x:c r="MML65" s="293"/>
      <x:c r="MMM65" s="293"/>
      <x:c r="MMN65" s="293"/>
      <x:c r="MMO65" s="293"/>
      <x:c r="MMP65" s="293"/>
      <x:c r="MMQ65" s="293"/>
      <x:c r="MMR65" s="293"/>
      <x:c r="MMS65" s="293"/>
      <x:c r="MMT65" s="293"/>
      <x:c r="MMU65" s="293"/>
      <x:c r="MMV65" s="293"/>
      <x:c r="MMW65" s="293"/>
      <x:c r="MMX65" s="293"/>
      <x:c r="MMY65" s="293"/>
      <x:c r="MMZ65" s="293"/>
      <x:c r="MNA65" s="293"/>
      <x:c r="MNB65" s="293"/>
      <x:c r="MNC65" s="293"/>
      <x:c r="MND65" s="293"/>
      <x:c r="MNE65" s="293"/>
      <x:c r="MNF65" s="293"/>
      <x:c r="MNG65" s="293"/>
      <x:c r="MNH65" s="293"/>
      <x:c r="MNI65" s="293"/>
      <x:c r="MNJ65" s="293"/>
      <x:c r="MNK65" s="293"/>
      <x:c r="MNL65" s="293"/>
      <x:c r="MNM65" s="293"/>
      <x:c r="MNN65" s="293"/>
      <x:c r="MNO65" s="293"/>
      <x:c r="MNP65" s="293"/>
      <x:c r="MNQ65" s="293"/>
      <x:c r="MNR65" s="293"/>
      <x:c r="MNS65" s="293"/>
      <x:c r="MNT65" s="293"/>
      <x:c r="MNU65" s="293"/>
      <x:c r="MNV65" s="293"/>
      <x:c r="MNW65" s="293"/>
      <x:c r="MNX65" s="293"/>
      <x:c r="MNY65" s="293"/>
      <x:c r="MNZ65" s="293"/>
      <x:c r="MOA65" s="293"/>
      <x:c r="MOB65" s="293"/>
      <x:c r="MOC65" s="293"/>
      <x:c r="MOD65" s="293"/>
      <x:c r="MOE65" s="293"/>
      <x:c r="MOF65" s="293"/>
      <x:c r="MOG65" s="293"/>
      <x:c r="MOH65" s="293"/>
      <x:c r="MOI65" s="293"/>
      <x:c r="MOJ65" s="293"/>
      <x:c r="MOK65" s="293"/>
      <x:c r="MOL65" s="293"/>
      <x:c r="MOM65" s="293"/>
      <x:c r="MON65" s="293"/>
      <x:c r="MOO65" s="293"/>
      <x:c r="MOP65" s="293"/>
      <x:c r="MOQ65" s="293"/>
      <x:c r="MOR65" s="293"/>
      <x:c r="MOS65" s="293"/>
      <x:c r="MOT65" s="293"/>
      <x:c r="MOU65" s="293"/>
      <x:c r="MOV65" s="293"/>
      <x:c r="MOW65" s="293"/>
      <x:c r="MOX65" s="293"/>
      <x:c r="MOY65" s="293"/>
      <x:c r="MOZ65" s="293"/>
      <x:c r="MPA65" s="293"/>
      <x:c r="MPB65" s="293"/>
      <x:c r="MPC65" s="293"/>
      <x:c r="MPD65" s="293"/>
      <x:c r="MPE65" s="293"/>
      <x:c r="MPF65" s="293"/>
      <x:c r="MPG65" s="293"/>
      <x:c r="MPH65" s="293"/>
      <x:c r="MPI65" s="293"/>
      <x:c r="MPJ65" s="293"/>
      <x:c r="MPK65" s="293"/>
      <x:c r="MPL65" s="293"/>
      <x:c r="MPM65" s="293"/>
      <x:c r="MPN65" s="293"/>
      <x:c r="MPO65" s="293"/>
      <x:c r="MPP65" s="293"/>
      <x:c r="MPQ65" s="293"/>
      <x:c r="MPR65" s="293"/>
      <x:c r="MPS65" s="293"/>
      <x:c r="MPT65" s="293"/>
      <x:c r="MPU65" s="293"/>
      <x:c r="MPV65" s="293"/>
      <x:c r="MPW65" s="293"/>
      <x:c r="MPX65" s="293"/>
      <x:c r="MPY65" s="293"/>
      <x:c r="MPZ65" s="293"/>
      <x:c r="MQA65" s="293"/>
      <x:c r="MQB65" s="293"/>
      <x:c r="MQC65" s="293"/>
      <x:c r="MQD65" s="293"/>
      <x:c r="MQE65" s="293"/>
      <x:c r="MQF65" s="293"/>
      <x:c r="MQG65" s="293"/>
      <x:c r="MQH65" s="293"/>
      <x:c r="MQI65" s="293"/>
      <x:c r="MQJ65" s="293"/>
      <x:c r="MQK65" s="293"/>
      <x:c r="MQL65" s="293"/>
      <x:c r="MQM65" s="293"/>
      <x:c r="MQN65" s="293"/>
      <x:c r="MQO65" s="293"/>
      <x:c r="MQP65" s="293"/>
      <x:c r="MQQ65" s="293"/>
      <x:c r="MQR65" s="293"/>
      <x:c r="MQS65" s="293"/>
      <x:c r="MQT65" s="293"/>
      <x:c r="MQU65" s="293"/>
      <x:c r="MQV65" s="293"/>
      <x:c r="MQW65" s="293"/>
      <x:c r="MQX65" s="293"/>
      <x:c r="MQY65" s="293"/>
      <x:c r="MQZ65" s="293"/>
      <x:c r="MRA65" s="293"/>
      <x:c r="MRB65" s="293"/>
      <x:c r="MRC65" s="293"/>
      <x:c r="MRD65" s="293"/>
      <x:c r="MRE65" s="293"/>
      <x:c r="MRF65" s="293"/>
      <x:c r="MRG65" s="293"/>
      <x:c r="MRH65" s="293"/>
      <x:c r="MRI65" s="293"/>
      <x:c r="MRJ65" s="293"/>
      <x:c r="MRK65" s="293"/>
      <x:c r="MRL65" s="293"/>
      <x:c r="MRM65" s="293"/>
      <x:c r="MRN65" s="293"/>
      <x:c r="MRO65" s="293"/>
      <x:c r="MRP65" s="293"/>
      <x:c r="MRQ65" s="293"/>
      <x:c r="MRR65" s="293"/>
      <x:c r="MRS65" s="293"/>
      <x:c r="MRT65" s="293"/>
      <x:c r="MRU65" s="293"/>
      <x:c r="MRV65" s="293"/>
      <x:c r="MRW65" s="293"/>
      <x:c r="MRX65" s="293"/>
      <x:c r="MRY65" s="293"/>
      <x:c r="MRZ65" s="293"/>
      <x:c r="MSA65" s="293"/>
      <x:c r="MSB65" s="293"/>
      <x:c r="MSC65" s="293"/>
      <x:c r="MSD65" s="293"/>
      <x:c r="MSE65" s="293"/>
      <x:c r="MSF65" s="293"/>
      <x:c r="MSG65" s="293"/>
      <x:c r="MSH65" s="293"/>
      <x:c r="MSI65" s="293"/>
      <x:c r="MSJ65" s="293"/>
      <x:c r="MSK65" s="293"/>
      <x:c r="MSL65" s="293"/>
      <x:c r="MSM65" s="293"/>
      <x:c r="MSN65" s="293"/>
      <x:c r="MSO65" s="293"/>
      <x:c r="MSP65" s="293"/>
      <x:c r="MSQ65" s="293"/>
      <x:c r="MSR65" s="293"/>
      <x:c r="MSS65" s="293"/>
      <x:c r="MST65" s="293"/>
      <x:c r="MSU65" s="293"/>
      <x:c r="MSV65" s="293"/>
      <x:c r="MSW65" s="293"/>
      <x:c r="MSX65" s="293"/>
      <x:c r="MSY65" s="293"/>
      <x:c r="MSZ65" s="293"/>
      <x:c r="MTA65" s="293"/>
      <x:c r="MTB65" s="293"/>
      <x:c r="MTC65" s="293"/>
      <x:c r="MTD65" s="293"/>
      <x:c r="MTE65" s="293"/>
      <x:c r="MTF65" s="293"/>
      <x:c r="MTG65" s="293"/>
      <x:c r="MTH65" s="293"/>
      <x:c r="MTI65" s="293"/>
      <x:c r="MTJ65" s="293"/>
      <x:c r="MTK65" s="293"/>
      <x:c r="MTL65" s="293"/>
      <x:c r="MTM65" s="293"/>
      <x:c r="MTN65" s="293"/>
      <x:c r="MTO65" s="293"/>
      <x:c r="MTP65" s="293"/>
      <x:c r="MTQ65" s="293"/>
      <x:c r="MTR65" s="293"/>
      <x:c r="MTS65" s="293"/>
      <x:c r="MTT65" s="293"/>
      <x:c r="MTU65" s="293"/>
      <x:c r="MTV65" s="293"/>
      <x:c r="MTW65" s="293"/>
      <x:c r="MTX65" s="293"/>
      <x:c r="MTY65" s="293"/>
      <x:c r="MTZ65" s="293"/>
      <x:c r="MUA65" s="293"/>
      <x:c r="MUB65" s="293"/>
      <x:c r="MUC65" s="293"/>
      <x:c r="MUD65" s="293"/>
      <x:c r="MUE65" s="293"/>
      <x:c r="MUF65" s="293"/>
      <x:c r="MUG65" s="293"/>
      <x:c r="MUH65" s="293"/>
      <x:c r="MUI65" s="293"/>
      <x:c r="MUJ65" s="293"/>
      <x:c r="MUK65" s="293"/>
      <x:c r="MUL65" s="293"/>
      <x:c r="MUM65" s="293"/>
      <x:c r="MUN65" s="293"/>
      <x:c r="MUO65" s="293"/>
      <x:c r="MUP65" s="293"/>
      <x:c r="MUQ65" s="293"/>
      <x:c r="MUR65" s="293"/>
      <x:c r="MUS65" s="293"/>
      <x:c r="MUT65" s="293"/>
      <x:c r="MUU65" s="293"/>
      <x:c r="MUV65" s="293"/>
      <x:c r="MUW65" s="293"/>
      <x:c r="MUX65" s="293"/>
      <x:c r="MUY65" s="293"/>
      <x:c r="MUZ65" s="293"/>
      <x:c r="MVA65" s="293"/>
      <x:c r="MVB65" s="293"/>
      <x:c r="MVC65" s="293"/>
      <x:c r="MVD65" s="293"/>
      <x:c r="MVE65" s="293"/>
      <x:c r="MVF65" s="293"/>
      <x:c r="MVG65" s="293"/>
      <x:c r="MVH65" s="293"/>
      <x:c r="MVI65" s="293"/>
      <x:c r="MVJ65" s="293"/>
      <x:c r="MVK65" s="293"/>
      <x:c r="MVL65" s="293"/>
      <x:c r="MVM65" s="293"/>
      <x:c r="MVN65" s="293"/>
      <x:c r="MVO65" s="293"/>
      <x:c r="MVP65" s="293"/>
      <x:c r="MVQ65" s="293"/>
      <x:c r="MVR65" s="293"/>
      <x:c r="MVS65" s="293"/>
      <x:c r="MVT65" s="293"/>
      <x:c r="MVU65" s="293"/>
      <x:c r="MVV65" s="293"/>
      <x:c r="MVW65" s="293"/>
      <x:c r="MVX65" s="293"/>
      <x:c r="MVY65" s="293"/>
      <x:c r="MVZ65" s="293"/>
      <x:c r="MWA65" s="293"/>
      <x:c r="MWB65" s="293"/>
      <x:c r="MWC65" s="293"/>
      <x:c r="MWD65" s="293"/>
      <x:c r="MWE65" s="293"/>
      <x:c r="MWF65" s="293"/>
      <x:c r="MWG65" s="293"/>
      <x:c r="MWH65" s="293"/>
      <x:c r="MWI65" s="293"/>
      <x:c r="MWJ65" s="293"/>
      <x:c r="MWK65" s="293"/>
      <x:c r="MWL65" s="293"/>
      <x:c r="MWM65" s="293"/>
      <x:c r="MWN65" s="293"/>
      <x:c r="MWO65" s="293"/>
      <x:c r="MWP65" s="293"/>
      <x:c r="MWQ65" s="293"/>
      <x:c r="MWR65" s="293"/>
      <x:c r="MWS65" s="293"/>
      <x:c r="MWT65" s="293"/>
      <x:c r="MWU65" s="293"/>
      <x:c r="MWV65" s="293"/>
      <x:c r="MWW65" s="293"/>
      <x:c r="MWX65" s="293"/>
      <x:c r="MWY65" s="293"/>
      <x:c r="MWZ65" s="293"/>
      <x:c r="MXA65" s="293"/>
      <x:c r="MXB65" s="293"/>
      <x:c r="MXC65" s="293"/>
      <x:c r="MXD65" s="293"/>
      <x:c r="MXE65" s="293"/>
      <x:c r="MXF65" s="293"/>
      <x:c r="MXG65" s="293"/>
      <x:c r="MXH65" s="293"/>
      <x:c r="MXI65" s="293"/>
      <x:c r="MXJ65" s="293"/>
      <x:c r="MXK65" s="293"/>
      <x:c r="MXL65" s="293"/>
      <x:c r="MXM65" s="293"/>
      <x:c r="MXN65" s="293"/>
      <x:c r="MXO65" s="293"/>
      <x:c r="MXP65" s="293"/>
      <x:c r="MXQ65" s="293"/>
      <x:c r="MXR65" s="293"/>
      <x:c r="MXS65" s="293"/>
      <x:c r="MXT65" s="293"/>
      <x:c r="MXU65" s="293"/>
      <x:c r="MXV65" s="293"/>
      <x:c r="MXW65" s="293"/>
      <x:c r="MXX65" s="293"/>
      <x:c r="MXY65" s="293"/>
      <x:c r="MXZ65" s="293"/>
      <x:c r="MYA65" s="293"/>
      <x:c r="MYB65" s="293"/>
      <x:c r="MYC65" s="293"/>
      <x:c r="MYD65" s="293"/>
      <x:c r="MYE65" s="293"/>
      <x:c r="MYF65" s="293"/>
      <x:c r="MYG65" s="293"/>
      <x:c r="MYH65" s="293"/>
      <x:c r="MYI65" s="293"/>
      <x:c r="MYJ65" s="293"/>
      <x:c r="MYK65" s="293"/>
      <x:c r="MYL65" s="293"/>
      <x:c r="MYM65" s="293"/>
      <x:c r="MYN65" s="293"/>
      <x:c r="MYO65" s="293"/>
      <x:c r="MYP65" s="293"/>
      <x:c r="MYQ65" s="293"/>
      <x:c r="MYR65" s="293"/>
      <x:c r="MYS65" s="293"/>
      <x:c r="MYT65" s="293"/>
      <x:c r="MYU65" s="293"/>
      <x:c r="MYV65" s="293"/>
      <x:c r="MYW65" s="293"/>
      <x:c r="MYX65" s="293"/>
      <x:c r="MYY65" s="293"/>
      <x:c r="MYZ65" s="293"/>
      <x:c r="MZA65" s="293"/>
      <x:c r="MZB65" s="293"/>
      <x:c r="MZC65" s="293"/>
      <x:c r="MZD65" s="293"/>
      <x:c r="MZE65" s="293"/>
      <x:c r="MZF65" s="293"/>
      <x:c r="MZG65" s="293"/>
      <x:c r="MZH65" s="293"/>
      <x:c r="MZI65" s="293"/>
      <x:c r="MZJ65" s="293"/>
      <x:c r="MZK65" s="293"/>
      <x:c r="MZL65" s="293"/>
      <x:c r="MZM65" s="293"/>
      <x:c r="MZN65" s="293"/>
      <x:c r="MZO65" s="293"/>
      <x:c r="MZP65" s="293"/>
      <x:c r="MZQ65" s="293"/>
      <x:c r="MZR65" s="293"/>
      <x:c r="MZS65" s="293"/>
      <x:c r="MZT65" s="293"/>
      <x:c r="MZU65" s="293"/>
      <x:c r="MZV65" s="293"/>
      <x:c r="MZW65" s="293"/>
      <x:c r="MZX65" s="293"/>
      <x:c r="MZY65" s="293"/>
      <x:c r="MZZ65" s="293"/>
      <x:c r="NAA65" s="293"/>
      <x:c r="NAB65" s="293"/>
      <x:c r="NAC65" s="293"/>
      <x:c r="NAD65" s="293"/>
      <x:c r="NAE65" s="293"/>
      <x:c r="NAF65" s="293"/>
      <x:c r="NAG65" s="293"/>
      <x:c r="NAH65" s="293"/>
      <x:c r="NAI65" s="293"/>
      <x:c r="NAJ65" s="293"/>
      <x:c r="NAK65" s="293"/>
      <x:c r="NAL65" s="293"/>
      <x:c r="NAM65" s="293"/>
      <x:c r="NAN65" s="293"/>
      <x:c r="NAO65" s="293"/>
      <x:c r="NAP65" s="293"/>
      <x:c r="NAQ65" s="293"/>
      <x:c r="NAR65" s="293"/>
      <x:c r="NAS65" s="293"/>
      <x:c r="NAT65" s="293"/>
      <x:c r="NAU65" s="293"/>
      <x:c r="NAV65" s="293"/>
      <x:c r="NAW65" s="293"/>
      <x:c r="NAX65" s="293"/>
      <x:c r="NAY65" s="293"/>
      <x:c r="NAZ65" s="293"/>
      <x:c r="NBA65" s="293"/>
      <x:c r="NBB65" s="293"/>
      <x:c r="NBC65" s="293"/>
      <x:c r="NBD65" s="293"/>
      <x:c r="NBE65" s="293"/>
      <x:c r="NBF65" s="293"/>
      <x:c r="NBG65" s="293"/>
      <x:c r="NBH65" s="293"/>
      <x:c r="NBI65" s="293"/>
      <x:c r="NBJ65" s="293"/>
      <x:c r="NBK65" s="293"/>
      <x:c r="NBL65" s="293"/>
      <x:c r="NBM65" s="293"/>
      <x:c r="NBN65" s="293"/>
      <x:c r="NBO65" s="293"/>
      <x:c r="NBP65" s="293"/>
      <x:c r="NBQ65" s="293"/>
      <x:c r="NBR65" s="293"/>
      <x:c r="NBS65" s="293"/>
      <x:c r="NBT65" s="293"/>
      <x:c r="NBU65" s="293"/>
      <x:c r="NBV65" s="293"/>
      <x:c r="NBW65" s="293"/>
      <x:c r="NBX65" s="293"/>
      <x:c r="NBY65" s="293"/>
      <x:c r="NBZ65" s="293"/>
      <x:c r="NCA65" s="293"/>
      <x:c r="NCB65" s="293"/>
      <x:c r="NCC65" s="293"/>
      <x:c r="NCD65" s="293"/>
      <x:c r="NCE65" s="293"/>
      <x:c r="NCF65" s="293"/>
      <x:c r="NCG65" s="293"/>
      <x:c r="NCH65" s="293"/>
      <x:c r="NCI65" s="293"/>
      <x:c r="NCJ65" s="293"/>
      <x:c r="NCK65" s="293"/>
      <x:c r="NCL65" s="293"/>
      <x:c r="NCM65" s="293"/>
      <x:c r="NCN65" s="293"/>
      <x:c r="NCO65" s="293"/>
      <x:c r="NCP65" s="293"/>
      <x:c r="NCQ65" s="293"/>
      <x:c r="NCR65" s="293"/>
      <x:c r="NCS65" s="293"/>
      <x:c r="NCT65" s="293"/>
      <x:c r="NCU65" s="293"/>
      <x:c r="NCV65" s="293"/>
      <x:c r="NCW65" s="293"/>
      <x:c r="NCX65" s="293"/>
      <x:c r="NCY65" s="293"/>
      <x:c r="NCZ65" s="293"/>
      <x:c r="NDA65" s="293"/>
      <x:c r="NDB65" s="293"/>
      <x:c r="NDC65" s="293"/>
      <x:c r="NDD65" s="293"/>
      <x:c r="NDE65" s="293"/>
      <x:c r="NDF65" s="293"/>
      <x:c r="NDG65" s="293"/>
      <x:c r="NDH65" s="293"/>
      <x:c r="NDI65" s="293"/>
      <x:c r="NDJ65" s="293"/>
      <x:c r="NDK65" s="293"/>
      <x:c r="NDL65" s="293"/>
      <x:c r="NDM65" s="293"/>
      <x:c r="NDN65" s="293"/>
      <x:c r="NDO65" s="293"/>
      <x:c r="NDP65" s="293"/>
      <x:c r="NDQ65" s="293"/>
      <x:c r="NDR65" s="293"/>
      <x:c r="NDS65" s="293"/>
      <x:c r="NDT65" s="293"/>
      <x:c r="NDU65" s="293"/>
      <x:c r="NDV65" s="293"/>
      <x:c r="NDW65" s="293"/>
      <x:c r="NDX65" s="293"/>
      <x:c r="NDY65" s="293"/>
      <x:c r="NDZ65" s="293"/>
      <x:c r="NEA65" s="293"/>
      <x:c r="NEB65" s="293"/>
      <x:c r="NEC65" s="293"/>
      <x:c r="NED65" s="293"/>
      <x:c r="NEE65" s="293"/>
      <x:c r="NEF65" s="293"/>
      <x:c r="NEG65" s="293"/>
      <x:c r="NEH65" s="293"/>
      <x:c r="NEI65" s="293"/>
      <x:c r="NEJ65" s="293"/>
      <x:c r="NEK65" s="293"/>
      <x:c r="NEL65" s="293"/>
      <x:c r="NEM65" s="293"/>
      <x:c r="NEN65" s="293"/>
      <x:c r="NEO65" s="293"/>
      <x:c r="NEP65" s="293"/>
      <x:c r="NEQ65" s="293"/>
      <x:c r="NER65" s="293"/>
      <x:c r="NES65" s="293"/>
      <x:c r="NET65" s="293"/>
      <x:c r="NEU65" s="293"/>
      <x:c r="NEV65" s="293"/>
      <x:c r="NEW65" s="293"/>
      <x:c r="NEX65" s="293"/>
      <x:c r="NEY65" s="293"/>
      <x:c r="NEZ65" s="293"/>
      <x:c r="NFA65" s="293"/>
      <x:c r="NFB65" s="293"/>
      <x:c r="NFC65" s="293"/>
      <x:c r="NFD65" s="293"/>
      <x:c r="NFE65" s="293"/>
      <x:c r="NFF65" s="293"/>
      <x:c r="NFG65" s="293"/>
      <x:c r="NFH65" s="293"/>
      <x:c r="NFI65" s="293"/>
      <x:c r="NFJ65" s="293"/>
      <x:c r="NFK65" s="293"/>
      <x:c r="NFL65" s="293"/>
      <x:c r="NFM65" s="293"/>
      <x:c r="NFN65" s="293"/>
      <x:c r="NFO65" s="293"/>
      <x:c r="NFP65" s="293"/>
      <x:c r="NFQ65" s="293"/>
      <x:c r="NFR65" s="293"/>
      <x:c r="NFS65" s="293"/>
      <x:c r="NFT65" s="293"/>
      <x:c r="NFU65" s="293"/>
      <x:c r="NFV65" s="293"/>
      <x:c r="NFW65" s="293"/>
      <x:c r="NFX65" s="293"/>
      <x:c r="NFY65" s="293"/>
      <x:c r="NFZ65" s="293"/>
      <x:c r="NGA65" s="293"/>
      <x:c r="NGB65" s="293"/>
      <x:c r="NGC65" s="293"/>
      <x:c r="NGD65" s="293"/>
      <x:c r="NGE65" s="293"/>
      <x:c r="NGF65" s="293"/>
      <x:c r="NGG65" s="293"/>
      <x:c r="NGH65" s="293"/>
      <x:c r="NGI65" s="293"/>
      <x:c r="NGJ65" s="293"/>
      <x:c r="NGK65" s="293"/>
      <x:c r="NGL65" s="293"/>
      <x:c r="NGM65" s="293"/>
      <x:c r="NGN65" s="293"/>
      <x:c r="NGO65" s="293"/>
      <x:c r="NGP65" s="293"/>
      <x:c r="NGQ65" s="293"/>
      <x:c r="NGR65" s="293"/>
      <x:c r="NGS65" s="293"/>
      <x:c r="NGT65" s="293"/>
      <x:c r="NGU65" s="293"/>
      <x:c r="NGV65" s="293"/>
      <x:c r="NGW65" s="293"/>
      <x:c r="NGX65" s="293"/>
      <x:c r="NGY65" s="293"/>
      <x:c r="NGZ65" s="293"/>
      <x:c r="NHA65" s="293"/>
      <x:c r="NHB65" s="293"/>
      <x:c r="NHC65" s="293"/>
      <x:c r="NHD65" s="293"/>
      <x:c r="NHE65" s="293"/>
      <x:c r="NHF65" s="293"/>
      <x:c r="NHG65" s="293"/>
      <x:c r="NHH65" s="293"/>
      <x:c r="NHI65" s="293"/>
      <x:c r="NHJ65" s="293"/>
      <x:c r="NHK65" s="293"/>
      <x:c r="NHL65" s="293"/>
      <x:c r="NHM65" s="293"/>
      <x:c r="NHN65" s="293"/>
      <x:c r="NHO65" s="293"/>
      <x:c r="NHP65" s="293"/>
      <x:c r="NHQ65" s="293"/>
      <x:c r="NHR65" s="293"/>
      <x:c r="NHS65" s="293"/>
      <x:c r="NHT65" s="293"/>
      <x:c r="NHU65" s="293"/>
      <x:c r="NHV65" s="293"/>
      <x:c r="NHW65" s="293"/>
      <x:c r="NHX65" s="293"/>
      <x:c r="NHY65" s="293"/>
      <x:c r="NHZ65" s="293"/>
      <x:c r="NIA65" s="293"/>
      <x:c r="NIB65" s="293"/>
      <x:c r="NIC65" s="293"/>
      <x:c r="NID65" s="293"/>
      <x:c r="NIE65" s="293"/>
      <x:c r="NIF65" s="293"/>
      <x:c r="NIG65" s="293"/>
      <x:c r="NIH65" s="293"/>
      <x:c r="NII65" s="293"/>
      <x:c r="NIJ65" s="293"/>
      <x:c r="NIK65" s="293"/>
      <x:c r="NIL65" s="293"/>
      <x:c r="NIM65" s="293"/>
      <x:c r="NIN65" s="293"/>
      <x:c r="NIO65" s="293"/>
      <x:c r="NIP65" s="293"/>
      <x:c r="NIQ65" s="293"/>
      <x:c r="NIR65" s="293"/>
      <x:c r="NIS65" s="293"/>
      <x:c r="NIT65" s="293"/>
      <x:c r="NIU65" s="293"/>
      <x:c r="NIV65" s="293"/>
      <x:c r="NIW65" s="293"/>
      <x:c r="NIX65" s="293"/>
      <x:c r="NIY65" s="293"/>
      <x:c r="NIZ65" s="293"/>
      <x:c r="NJA65" s="293"/>
      <x:c r="NJB65" s="293"/>
      <x:c r="NJC65" s="293"/>
      <x:c r="NJD65" s="293"/>
      <x:c r="NJE65" s="293"/>
      <x:c r="NJF65" s="293"/>
      <x:c r="NJG65" s="293"/>
      <x:c r="NJH65" s="293"/>
      <x:c r="NJI65" s="293"/>
      <x:c r="NJJ65" s="293"/>
      <x:c r="NJK65" s="293"/>
      <x:c r="NJL65" s="293"/>
      <x:c r="NJM65" s="293"/>
      <x:c r="NJN65" s="293"/>
      <x:c r="NJO65" s="293"/>
      <x:c r="NJP65" s="293"/>
      <x:c r="NJQ65" s="293"/>
      <x:c r="NJR65" s="293"/>
      <x:c r="NJS65" s="293"/>
      <x:c r="NJT65" s="293"/>
      <x:c r="NJU65" s="293"/>
      <x:c r="NJV65" s="293"/>
      <x:c r="NJW65" s="293"/>
      <x:c r="NJX65" s="293"/>
      <x:c r="NJY65" s="293"/>
      <x:c r="NJZ65" s="293"/>
      <x:c r="NKA65" s="293"/>
      <x:c r="NKB65" s="293"/>
      <x:c r="NKC65" s="293"/>
      <x:c r="NKD65" s="293"/>
      <x:c r="NKE65" s="293"/>
      <x:c r="NKF65" s="293"/>
      <x:c r="NKG65" s="293"/>
      <x:c r="NKH65" s="293"/>
      <x:c r="NKI65" s="293"/>
      <x:c r="NKJ65" s="293"/>
      <x:c r="NKK65" s="293"/>
      <x:c r="NKL65" s="293"/>
      <x:c r="NKM65" s="293"/>
      <x:c r="NKN65" s="293"/>
      <x:c r="NKO65" s="293"/>
      <x:c r="NKP65" s="293"/>
      <x:c r="NKQ65" s="293"/>
      <x:c r="NKR65" s="293"/>
      <x:c r="NKS65" s="293"/>
      <x:c r="NKT65" s="293"/>
      <x:c r="NKU65" s="293"/>
      <x:c r="NKV65" s="293"/>
      <x:c r="NKW65" s="293"/>
      <x:c r="NKX65" s="293"/>
      <x:c r="NKY65" s="293"/>
      <x:c r="NKZ65" s="293"/>
      <x:c r="NLA65" s="293"/>
      <x:c r="NLB65" s="293"/>
      <x:c r="NLC65" s="293"/>
      <x:c r="NLD65" s="293"/>
      <x:c r="NLE65" s="293"/>
      <x:c r="NLF65" s="293"/>
      <x:c r="NLG65" s="293"/>
      <x:c r="NLH65" s="293"/>
      <x:c r="NLI65" s="293"/>
      <x:c r="NLJ65" s="293"/>
      <x:c r="NLK65" s="293"/>
      <x:c r="NLL65" s="293"/>
      <x:c r="NLM65" s="293"/>
      <x:c r="NLN65" s="293"/>
      <x:c r="NLO65" s="293"/>
      <x:c r="NLP65" s="293"/>
      <x:c r="NLQ65" s="293"/>
      <x:c r="NLR65" s="293"/>
      <x:c r="NLS65" s="293"/>
      <x:c r="NLT65" s="293"/>
      <x:c r="NLU65" s="293"/>
      <x:c r="NLV65" s="293"/>
      <x:c r="NLW65" s="293"/>
      <x:c r="NLX65" s="293"/>
      <x:c r="NLY65" s="293"/>
      <x:c r="NLZ65" s="293"/>
      <x:c r="NMA65" s="293"/>
      <x:c r="NMB65" s="293"/>
      <x:c r="NMC65" s="293"/>
      <x:c r="NMD65" s="293"/>
      <x:c r="NME65" s="293"/>
      <x:c r="NMF65" s="293"/>
      <x:c r="NMG65" s="293"/>
      <x:c r="NMH65" s="293"/>
      <x:c r="NMI65" s="293"/>
      <x:c r="NMJ65" s="293"/>
      <x:c r="NMK65" s="293"/>
      <x:c r="NML65" s="293"/>
      <x:c r="NMM65" s="293"/>
      <x:c r="NMN65" s="293"/>
      <x:c r="NMO65" s="293"/>
      <x:c r="NMP65" s="293"/>
      <x:c r="NMQ65" s="293"/>
      <x:c r="NMR65" s="293"/>
      <x:c r="NMS65" s="293"/>
      <x:c r="NMT65" s="293"/>
      <x:c r="NMU65" s="293"/>
      <x:c r="NMV65" s="293"/>
      <x:c r="NMW65" s="293"/>
      <x:c r="NMX65" s="293"/>
      <x:c r="NMY65" s="293"/>
      <x:c r="NMZ65" s="293"/>
      <x:c r="NNA65" s="293"/>
      <x:c r="NNB65" s="293"/>
      <x:c r="NNC65" s="293"/>
      <x:c r="NND65" s="293"/>
      <x:c r="NNE65" s="293"/>
      <x:c r="NNF65" s="293"/>
      <x:c r="NNG65" s="293"/>
      <x:c r="NNH65" s="293"/>
      <x:c r="NNI65" s="293"/>
      <x:c r="NNJ65" s="293"/>
      <x:c r="NNK65" s="293"/>
      <x:c r="NNL65" s="293"/>
      <x:c r="NNM65" s="293"/>
      <x:c r="NNN65" s="293"/>
      <x:c r="NNO65" s="293"/>
      <x:c r="NNP65" s="293"/>
      <x:c r="NNQ65" s="293"/>
      <x:c r="NNR65" s="293"/>
      <x:c r="NNS65" s="293"/>
      <x:c r="NNT65" s="293"/>
      <x:c r="NNU65" s="293"/>
      <x:c r="NNV65" s="293"/>
      <x:c r="NNW65" s="293"/>
      <x:c r="NNX65" s="293"/>
      <x:c r="NNY65" s="293"/>
      <x:c r="NNZ65" s="293"/>
      <x:c r="NOA65" s="293"/>
      <x:c r="NOB65" s="293"/>
      <x:c r="NOC65" s="293"/>
      <x:c r="NOD65" s="293"/>
      <x:c r="NOE65" s="293"/>
      <x:c r="NOF65" s="293"/>
      <x:c r="NOG65" s="293"/>
      <x:c r="NOH65" s="293"/>
      <x:c r="NOI65" s="293"/>
      <x:c r="NOJ65" s="293"/>
      <x:c r="NOK65" s="293"/>
      <x:c r="NOL65" s="293"/>
      <x:c r="NOM65" s="293"/>
      <x:c r="NON65" s="293"/>
      <x:c r="NOO65" s="293"/>
      <x:c r="NOP65" s="293"/>
      <x:c r="NOQ65" s="293"/>
      <x:c r="NOR65" s="293"/>
      <x:c r="NOS65" s="293"/>
      <x:c r="NOT65" s="293"/>
      <x:c r="NOU65" s="293"/>
      <x:c r="NOV65" s="293"/>
      <x:c r="NOW65" s="293"/>
      <x:c r="NOX65" s="293"/>
      <x:c r="NOY65" s="293"/>
      <x:c r="NOZ65" s="293"/>
      <x:c r="NPA65" s="293"/>
      <x:c r="NPB65" s="293"/>
      <x:c r="NPC65" s="293"/>
      <x:c r="NPD65" s="293"/>
      <x:c r="NPE65" s="293"/>
      <x:c r="NPF65" s="293"/>
      <x:c r="NPG65" s="293"/>
      <x:c r="NPH65" s="293"/>
      <x:c r="NPI65" s="293"/>
      <x:c r="NPJ65" s="293"/>
      <x:c r="NPK65" s="293"/>
      <x:c r="NPL65" s="293"/>
      <x:c r="NPM65" s="293"/>
      <x:c r="NPN65" s="293"/>
      <x:c r="NPO65" s="293"/>
      <x:c r="NPP65" s="293"/>
      <x:c r="NPQ65" s="293"/>
      <x:c r="NPR65" s="293"/>
      <x:c r="NPS65" s="293"/>
      <x:c r="NPT65" s="293"/>
      <x:c r="NPU65" s="293"/>
      <x:c r="NPV65" s="293"/>
      <x:c r="NPW65" s="293"/>
      <x:c r="NPX65" s="293"/>
      <x:c r="NPY65" s="293"/>
      <x:c r="NPZ65" s="293"/>
      <x:c r="NQA65" s="293"/>
      <x:c r="NQB65" s="293"/>
      <x:c r="NQC65" s="293"/>
      <x:c r="NQD65" s="293"/>
      <x:c r="NQE65" s="293"/>
      <x:c r="NQF65" s="293"/>
      <x:c r="NQG65" s="293"/>
      <x:c r="NQH65" s="293"/>
      <x:c r="NQI65" s="293"/>
      <x:c r="NQJ65" s="293"/>
      <x:c r="NQK65" s="293"/>
      <x:c r="NQL65" s="293"/>
      <x:c r="NQM65" s="293"/>
      <x:c r="NQN65" s="293"/>
      <x:c r="NQO65" s="293"/>
      <x:c r="NQP65" s="293"/>
      <x:c r="NQQ65" s="293"/>
      <x:c r="NQR65" s="293"/>
      <x:c r="NQS65" s="293"/>
      <x:c r="NQT65" s="293"/>
      <x:c r="NQU65" s="293"/>
      <x:c r="NQV65" s="293"/>
      <x:c r="NQW65" s="293"/>
      <x:c r="NQX65" s="293"/>
      <x:c r="NQY65" s="293"/>
      <x:c r="NQZ65" s="293"/>
      <x:c r="NRA65" s="293"/>
      <x:c r="NRB65" s="293"/>
      <x:c r="NRC65" s="293"/>
      <x:c r="NRD65" s="293"/>
      <x:c r="NRE65" s="293"/>
      <x:c r="NRF65" s="293"/>
      <x:c r="NRG65" s="293"/>
      <x:c r="NRH65" s="293"/>
      <x:c r="NRI65" s="293"/>
      <x:c r="NRJ65" s="293"/>
      <x:c r="NRK65" s="293"/>
      <x:c r="NRL65" s="293"/>
      <x:c r="NRM65" s="293"/>
      <x:c r="NRN65" s="293"/>
      <x:c r="NRO65" s="293"/>
      <x:c r="NRP65" s="293"/>
      <x:c r="NRQ65" s="293"/>
      <x:c r="NRR65" s="293"/>
      <x:c r="NRS65" s="293"/>
      <x:c r="NRT65" s="293"/>
      <x:c r="NRU65" s="293"/>
      <x:c r="NRV65" s="293"/>
      <x:c r="NRW65" s="293"/>
      <x:c r="NRX65" s="293"/>
      <x:c r="NRY65" s="293"/>
      <x:c r="NRZ65" s="293"/>
      <x:c r="NSA65" s="293"/>
      <x:c r="NSB65" s="293"/>
      <x:c r="NSC65" s="293"/>
      <x:c r="NSD65" s="293"/>
      <x:c r="NSE65" s="293"/>
      <x:c r="NSF65" s="293"/>
      <x:c r="NSG65" s="293"/>
      <x:c r="NSH65" s="293"/>
      <x:c r="NSI65" s="293"/>
      <x:c r="NSJ65" s="293"/>
      <x:c r="NSK65" s="293"/>
      <x:c r="NSL65" s="293"/>
      <x:c r="NSM65" s="293"/>
      <x:c r="NSN65" s="293"/>
      <x:c r="NSO65" s="293"/>
      <x:c r="NSP65" s="293"/>
      <x:c r="NSQ65" s="293"/>
      <x:c r="NSR65" s="293"/>
      <x:c r="NSS65" s="293"/>
      <x:c r="NST65" s="293"/>
      <x:c r="NSU65" s="293"/>
      <x:c r="NSV65" s="293"/>
      <x:c r="NSW65" s="293"/>
      <x:c r="NSX65" s="293"/>
      <x:c r="NSY65" s="293"/>
      <x:c r="NSZ65" s="293"/>
      <x:c r="NTA65" s="293"/>
      <x:c r="NTB65" s="293"/>
      <x:c r="NTC65" s="293"/>
      <x:c r="NTD65" s="293"/>
      <x:c r="NTE65" s="293"/>
      <x:c r="NTF65" s="293"/>
      <x:c r="NTG65" s="293"/>
      <x:c r="NTH65" s="293"/>
      <x:c r="NTI65" s="293"/>
      <x:c r="NTJ65" s="293"/>
      <x:c r="NTK65" s="293"/>
      <x:c r="NTL65" s="293"/>
      <x:c r="NTM65" s="293"/>
      <x:c r="NTN65" s="293"/>
      <x:c r="NTO65" s="293"/>
      <x:c r="NTP65" s="293"/>
      <x:c r="NTQ65" s="293"/>
      <x:c r="NTR65" s="293"/>
      <x:c r="NTS65" s="293"/>
      <x:c r="NTT65" s="293"/>
      <x:c r="NTU65" s="293"/>
      <x:c r="NTV65" s="293"/>
      <x:c r="NTW65" s="293"/>
      <x:c r="NTX65" s="293"/>
      <x:c r="NTY65" s="293"/>
      <x:c r="NTZ65" s="293"/>
      <x:c r="NUA65" s="293"/>
      <x:c r="NUB65" s="293"/>
      <x:c r="NUC65" s="293"/>
      <x:c r="NUD65" s="293"/>
      <x:c r="NUE65" s="293"/>
      <x:c r="NUF65" s="293"/>
      <x:c r="NUG65" s="293"/>
      <x:c r="NUH65" s="293"/>
      <x:c r="NUI65" s="293"/>
      <x:c r="NUJ65" s="293"/>
      <x:c r="NUK65" s="293"/>
      <x:c r="NUL65" s="293"/>
      <x:c r="NUM65" s="293"/>
      <x:c r="NUN65" s="293"/>
      <x:c r="NUO65" s="293"/>
      <x:c r="NUP65" s="293"/>
      <x:c r="NUQ65" s="293"/>
      <x:c r="NUR65" s="293"/>
      <x:c r="NUS65" s="293"/>
      <x:c r="NUT65" s="293"/>
      <x:c r="NUU65" s="293"/>
      <x:c r="NUV65" s="293"/>
      <x:c r="NUW65" s="293"/>
      <x:c r="NUX65" s="293"/>
      <x:c r="NUY65" s="293"/>
      <x:c r="NUZ65" s="293"/>
      <x:c r="NVA65" s="293"/>
      <x:c r="NVB65" s="293"/>
      <x:c r="NVC65" s="293"/>
      <x:c r="NVD65" s="293"/>
      <x:c r="NVE65" s="293"/>
      <x:c r="NVF65" s="293"/>
      <x:c r="NVG65" s="293"/>
      <x:c r="NVH65" s="293"/>
      <x:c r="NVI65" s="293"/>
      <x:c r="NVJ65" s="293"/>
      <x:c r="NVK65" s="293"/>
      <x:c r="NVL65" s="293"/>
      <x:c r="NVM65" s="293"/>
      <x:c r="NVN65" s="293"/>
      <x:c r="NVO65" s="293"/>
      <x:c r="NVP65" s="293"/>
      <x:c r="NVQ65" s="293"/>
      <x:c r="NVR65" s="293"/>
      <x:c r="NVS65" s="293"/>
      <x:c r="NVT65" s="293"/>
      <x:c r="NVU65" s="293"/>
      <x:c r="NVV65" s="293"/>
      <x:c r="NVW65" s="293"/>
      <x:c r="NVX65" s="293"/>
      <x:c r="NVY65" s="293"/>
      <x:c r="NVZ65" s="293"/>
      <x:c r="NWA65" s="293"/>
      <x:c r="NWB65" s="293"/>
      <x:c r="NWC65" s="293"/>
      <x:c r="NWD65" s="293"/>
      <x:c r="NWE65" s="293"/>
      <x:c r="NWF65" s="293"/>
      <x:c r="NWG65" s="293"/>
      <x:c r="NWH65" s="293"/>
      <x:c r="NWI65" s="293"/>
      <x:c r="NWJ65" s="293"/>
      <x:c r="NWK65" s="293"/>
      <x:c r="NWL65" s="293"/>
      <x:c r="NWM65" s="293"/>
      <x:c r="NWN65" s="293"/>
      <x:c r="NWO65" s="293"/>
      <x:c r="NWP65" s="293"/>
      <x:c r="NWQ65" s="293"/>
      <x:c r="NWR65" s="293"/>
      <x:c r="NWS65" s="293"/>
      <x:c r="NWT65" s="293"/>
      <x:c r="NWU65" s="293"/>
      <x:c r="NWV65" s="293"/>
      <x:c r="NWW65" s="293"/>
      <x:c r="NWX65" s="293"/>
      <x:c r="NWY65" s="293"/>
      <x:c r="NWZ65" s="293"/>
      <x:c r="NXA65" s="293"/>
      <x:c r="NXB65" s="293"/>
      <x:c r="NXC65" s="293"/>
      <x:c r="NXD65" s="293"/>
      <x:c r="NXE65" s="293"/>
      <x:c r="NXF65" s="293"/>
      <x:c r="NXG65" s="293"/>
      <x:c r="NXH65" s="293"/>
      <x:c r="NXI65" s="293"/>
      <x:c r="NXJ65" s="293"/>
      <x:c r="NXK65" s="293"/>
      <x:c r="NXL65" s="293"/>
      <x:c r="NXM65" s="293"/>
      <x:c r="NXN65" s="293"/>
      <x:c r="NXO65" s="293"/>
      <x:c r="NXP65" s="293"/>
      <x:c r="NXQ65" s="293"/>
      <x:c r="NXR65" s="293"/>
      <x:c r="NXS65" s="293"/>
      <x:c r="NXT65" s="293"/>
      <x:c r="NXU65" s="293"/>
      <x:c r="NXV65" s="293"/>
      <x:c r="NXW65" s="293"/>
      <x:c r="NXX65" s="293"/>
      <x:c r="NXY65" s="293"/>
      <x:c r="NXZ65" s="293"/>
      <x:c r="NYA65" s="293"/>
      <x:c r="NYB65" s="293"/>
      <x:c r="NYC65" s="293"/>
      <x:c r="NYD65" s="293"/>
      <x:c r="NYE65" s="293"/>
      <x:c r="NYF65" s="293"/>
      <x:c r="NYG65" s="293"/>
      <x:c r="NYH65" s="293"/>
      <x:c r="NYI65" s="293"/>
      <x:c r="NYJ65" s="293"/>
      <x:c r="NYK65" s="293"/>
      <x:c r="NYL65" s="293"/>
      <x:c r="NYM65" s="293"/>
      <x:c r="NYN65" s="293"/>
      <x:c r="NYO65" s="293"/>
      <x:c r="NYP65" s="293"/>
      <x:c r="NYQ65" s="293"/>
      <x:c r="NYR65" s="293"/>
      <x:c r="NYS65" s="293"/>
      <x:c r="NYT65" s="293"/>
      <x:c r="NYU65" s="293"/>
      <x:c r="NYV65" s="293"/>
      <x:c r="NYW65" s="293"/>
      <x:c r="NYX65" s="293"/>
      <x:c r="NYY65" s="293"/>
      <x:c r="NYZ65" s="293"/>
      <x:c r="NZA65" s="293"/>
      <x:c r="NZB65" s="293"/>
      <x:c r="NZC65" s="293"/>
      <x:c r="NZD65" s="293"/>
      <x:c r="NZE65" s="293"/>
      <x:c r="NZF65" s="293"/>
      <x:c r="NZG65" s="293"/>
      <x:c r="NZH65" s="293"/>
      <x:c r="NZI65" s="293"/>
      <x:c r="NZJ65" s="293"/>
      <x:c r="NZK65" s="293"/>
      <x:c r="NZL65" s="293"/>
      <x:c r="NZM65" s="293"/>
      <x:c r="NZN65" s="293"/>
      <x:c r="NZO65" s="293"/>
      <x:c r="NZP65" s="293"/>
      <x:c r="NZQ65" s="293"/>
      <x:c r="NZR65" s="293"/>
      <x:c r="NZS65" s="293"/>
      <x:c r="NZT65" s="293"/>
      <x:c r="NZU65" s="293"/>
      <x:c r="NZV65" s="293"/>
      <x:c r="NZW65" s="293"/>
      <x:c r="NZX65" s="293"/>
      <x:c r="NZY65" s="293"/>
      <x:c r="NZZ65" s="293"/>
      <x:c r="OAA65" s="293"/>
      <x:c r="OAB65" s="293"/>
      <x:c r="OAC65" s="293"/>
      <x:c r="OAD65" s="293"/>
      <x:c r="OAE65" s="293"/>
      <x:c r="OAF65" s="293"/>
      <x:c r="OAG65" s="293"/>
      <x:c r="OAH65" s="293"/>
      <x:c r="OAI65" s="293"/>
      <x:c r="OAJ65" s="293"/>
      <x:c r="OAK65" s="293"/>
      <x:c r="OAL65" s="293"/>
      <x:c r="OAM65" s="293"/>
      <x:c r="OAN65" s="293"/>
      <x:c r="OAO65" s="293"/>
      <x:c r="OAP65" s="293"/>
      <x:c r="OAQ65" s="293"/>
      <x:c r="OAR65" s="293"/>
      <x:c r="OAS65" s="293"/>
      <x:c r="OAT65" s="293"/>
      <x:c r="OAU65" s="293"/>
      <x:c r="OAV65" s="293"/>
      <x:c r="OAW65" s="293"/>
      <x:c r="OAX65" s="293"/>
      <x:c r="OAY65" s="293"/>
      <x:c r="OAZ65" s="293"/>
      <x:c r="OBA65" s="293"/>
      <x:c r="OBB65" s="293"/>
      <x:c r="OBC65" s="293"/>
      <x:c r="OBD65" s="293"/>
      <x:c r="OBE65" s="293"/>
      <x:c r="OBF65" s="293"/>
      <x:c r="OBG65" s="293"/>
      <x:c r="OBH65" s="293"/>
      <x:c r="OBI65" s="293"/>
      <x:c r="OBJ65" s="293"/>
      <x:c r="OBK65" s="293"/>
      <x:c r="OBL65" s="293"/>
      <x:c r="OBM65" s="293"/>
      <x:c r="OBN65" s="293"/>
      <x:c r="OBO65" s="293"/>
      <x:c r="OBP65" s="293"/>
      <x:c r="OBQ65" s="293"/>
      <x:c r="OBR65" s="293"/>
      <x:c r="OBS65" s="293"/>
      <x:c r="OBT65" s="293"/>
      <x:c r="OBU65" s="293"/>
      <x:c r="OBV65" s="293"/>
      <x:c r="OBW65" s="293"/>
      <x:c r="OBX65" s="293"/>
      <x:c r="OBY65" s="293"/>
      <x:c r="OBZ65" s="293"/>
      <x:c r="OCA65" s="293"/>
      <x:c r="OCB65" s="293"/>
      <x:c r="OCC65" s="293"/>
      <x:c r="OCD65" s="293"/>
      <x:c r="OCE65" s="293"/>
      <x:c r="OCF65" s="293"/>
      <x:c r="OCG65" s="293"/>
      <x:c r="OCH65" s="293"/>
      <x:c r="OCI65" s="293"/>
      <x:c r="OCJ65" s="293"/>
      <x:c r="OCK65" s="293"/>
      <x:c r="OCL65" s="293"/>
      <x:c r="OCM65" s="293"/>
      <x:c r="OCN65" s="293"/>
      <x:c r="OCO65" s="293"/>
      <x:c r="OCP65" s="293"/>
      <x:c r="OCQ65" s="293"/>
      <x:c r="OCR65" s="293"/>
      <x:c r="OCS65" s="293"/>
      <x:c r="OCT65" s="293"/>
      <x:c r="OCU65" s="293"/>
      <x:c r="OCV65" s="293"/>
      <x:c r="OCW65" s="293"/>
      <x:c r="OCX65" s="293"/>
      <x:c r="OCY65" s="293"/>
      <x:c r="OCZ65" s="293"/>
      <x:c r="ODA65" s="293"/>
      <x:c r="ODB65" s="293"/>
      <x:c r="ODC65" s="293"/>
      <x:c r="ODD65" s="293"/>
      <x:c r="ODE65" s="293"/>
      <x:c r="ODF65" s="293"/>
      <x:c r="ODG65" s="293"/>
      <x:c r="ODH65" s="293"/>
      <x:c r="ODI65" s="293"/>
      <x:c r="ODJ65" s="293"/>
      <x:c r="ODK65" s="293"/>
      <x:c r="ODL65" s="293"/>
      <x:c r="ODM65" s="293"/>
      <x:c r="ODN65" s="293"/>
      <x:c r="ODO65" s="293"/>
      <x:c r="ODP65" s="293"/>
      <x:c r="ODQ65" s="293"/>
      <x:c r="ODR65" s="293"/>
      <x:c r="ODS65" s="293"/>
      <x:c r="ODT65" s="293"/>
      <x:c r="ODU65" s="293"/>
      <x:c r="ODV65" s="293"/>
      <x:c r="ODW65" s="293"/>
      <x:c r="ODX65" s="293"/>
      <x:c r="ODY65" s="293"/>
      <x:c r="ODZ65" s="293"/>
      <x:c r="OEA65" s="293"/>
      <x:c r="OEB65" s="293"/>
      <x:c r="OEC65" s="293"/>
      <x:c r="OED65" s="293"/>
      <x:c r="OEE65" s="293"/>
      <x:c r="OEF65" s="293"/>
      <x:c r="OEG65" s="293"/>
      <x:c r="OEH65" s="293"/>
      <x:c r="OEI65" s="293"/>
      <x:c r="OEJ65" s="293"/>
      <x:c r="OEK65" s="293"/>
      <x:c r="OEL65" s="293"/>
      <x:c r="OEM65" s="293"/>
      <x:c r="OEN65" s="293"/>
      <x:c r="OEO65" s="293"/>
      <x:c r="OEP65" s="293"/>
      <x:c r="OEQ65" s="293"/>
      <x:c r="OER65" s="293"/>
      <x:c r="OES65" s="293"/>
      <x:c r="OET65" s="293"/>
      <x:c r="OEU65" s="293"/>
      <x:c r="OEV65" s="293"/>
      <x:c r="OEW65" s="293"/>
      <x:c r="OEX65" s="293"/>
      <x:c r="OEY65" s="293"/>
      <x:c r="OEZ65" s="293"/>
      <x:c r="OFA65" s="293"/>
      <x:c r="OFB65" s="293"/>
      <x:c r="OFC65" s="293"/>
      <x:c r="OFD65" s="293"/>
      <x:c r="OFE65" s="293"/>
      <x:c r="OFF65" s="293"/>
      <x:c r="OFG65" s="293"/>
      <x:c r="OFH65" s="293"/>
      <x:c r="OFI65" s="293"/>
      <x:c r="OFJ65" s="293"/>
      <x:c r="OFK65" s="293"/>
      <x:c r="OFL65" s="293"/>
      <x:c r="OFM65" s="293"/>
      <x:c r="OFN65" s="293"/>
      <x:c r="OFO65" s="293"/>
      <x:c r="OFP65" s="293"/>
      <x:c r="OFQ65" s="293"/>
      <x:c r="OFR65" s="293"/>
      <x:c r="OFS65" s="293"/>
      <x:c r="OFT65" s="293"/>
      <x:c r="OFU65" s="293"/>
      <x:c r="OFV65" s="293"/>
      <x:c r="OFW65" s="293"/>
      <x:c r="OFX65" s="293"/>
      <x:c r="OFY65" s="293"/>
      <x:c r="OFZ65" s="293"/>
      <x:c r="OGA65" s="293"/>
      <x:c r="OGB65" s="293"/>
      <x:c r="OGC65" s="293"/>
      <x:c r="OGD65" s="293"/>
      <x:c r="OGE65" s="293"/>
      <x:c r="OGF65" s="293"/>
      <x:c r="OGG65" s="293"/>
      <x:c r="OGH65" s="293"/>
      <x:c r="OGI65" s="293"/>
      <x:c r="OGJ65" s="293"/>
      <x:c r="OGK65" s="293"/>
      <x:c r="OGL65" s="293"/>
      <x:c r="OGM65" s="293"/>
      <x:c r="OGN65" s="293"/>
      <x:c r="OGO65" s="293"/>
      <x:c r="OGP65" s="293"/>
      <x:c r="OGQ65" s="293"/>
      <x:c r="OGR65" s="293"/>
      <x:c r="OGS65" s="293"/>
      <x:c r="OGT65" s="293"/>
      <x:c r="OGU65" s="293"/>
      <x:c r="OGV65" s="293"/>
      <x:c r="OGW65" s="293"/>
      <x:c r="OGX65" s="293"/>
      <x:c r="OGY65" s="293"/>
      <x:c r="OGZ65" s="293"/>
      <x:c r="OHA65" s="293"/>
      <x:c r="OHB65" s="293"/>
      <x:c r="OHC65" s="293"/>
      <x:c r="OHD65" s="293"/>
      <x:c r="OHE65" s="293"/>
      <x:c r="OHF65" s="293"/>
      <x:c r="OHG65" s="293"/>
      <x:c r="OHH65" s="293"/>
      <x:c r="OHI65" s="293"/>
      <x:c r="OHJ65" s="293"/>
      <x:c r="OHK65" s="293"/>
      <x:c r="OHL65" s="293"/>
      <x:c r="OHM65" s="293"/>
      <x:c r="OHN65" s="293"/>
      <x:c r="OHO65" s="293"/>
      <x:c r="OHP65" s="293"/>
      <x:c r="OHQ65" s="293"/>
      <x:c r="OHR65" s="293"/>
      <x:c r="OHS65" s="293"/>
      <x:c r="OHT65" s="293"/>
      <x:c r="OHU65" s="293"/>
      <x:c r="OHV65" s="293"/>
      <x:c r="OHW65" s="293"/>
      <x:c r="OHX65" s="293"/>
      <x:c r="OHY65" s="293"/>
      <x:c r="OHZ65" s="293"/>
      <x:c r="OIA65" s="293"/>
      <x:c r="OIB65" s="293"/>
      <x:c r="OIC65" s="293"/>
      <x:c r="OID65" s="293"/>
      <x:c r="OIE65" s="293"/>
      <x:c r="OIF65" s="293"/>
      <x:c r="OIG65" s="293"/>
      <x:c r="OIH65" s="293"/>
      <x:c r="OII65" s="293"/>
      <x:c r="OIJ65" s="293"/>
      <x:c r="OIK65" s="293"/>
      <x:c r="OIL65" s="293"/>
      <x:c r="OIM65" s="293"/>
      <x:c r="OIN65" s="293"/>
      <x:c r="OIO65" s="293"/>
      <x:c r="OIP65" s="293"/>
      <x:c r="OIQ65" s="293"/>
      <x:c r="OIR65" s="293"/>
      <x:c r="OIS65" s="293"/>
      <x:c r="OIT65" s="293"/>
      <x:c r="OIU65" s="293"/>
      <x:c r="OIV65" s="293"/>
      <x:c r="OIW65" s="293"/>
      <x:c r="OIX65" s="293"/>
      <x:c r="OIY65" s="293"/>
      <x:c r="OIZ65" s="293"/>
      <x:c r="OJA65" s="293"/>
      <x:c r="OJB65" s="293"/>
      <x:c r="OJC65" s="293"/>
      <x:c r="OJD65" s="293"/>
      <x:c r="OJE65" s="293"/>
      <x:c r="OJF65" s="293"/>
      <x:c r="OJG65" s="293"/>
      <x:c r="OJH65" s="293"/>
      <x:c r="OJI65" s="293"/>
      <x:c r="OJJ65" s="293"/>
      <x:c r="OJK65" s="293"/>
      <x:c r="OJL65" s="293"/>
      <x:c r="OJM65" s="293"/>
      <x:c r="OJN65" s="293"/>
      <x:c r="OJO65" s="293"/>
      <x:c r="OJP65" s="293"/>
      <x:c r="OJQ65" s="293"/>
      <x:c r="OJR65" s="293"/>
      <x:c r="OJS65" s="293"/>
      <x:c r="OJT65" s="293"/>
      <x:c r="OJU65" s="293"/>
      <x:c r="OJV65" s="293"/>
      <x:c r="OJW65" s="293"/>
      <x:c r="OJX65" s="293"/>
      <x:c r="OJY65" s="293"/>
      <x:c r="OJZ65" s="293"/>
      <x:c r="OKA65" s="293"/>
      <x:c r="OKB65" s="293"/>
      <x:c r="OKC65" s="293"/>
      <x:c r="OKD65" s="293"/>
      <x:c r="OKE65" s="293"/>
      <x:c r="OKF65" s="293"/>
      <x:c r="OKG65" s="293"/>
      <x:c r="OKH65" s="293"/>
      <x:c r="OKI65" s="293"/>
      <x:c r="OKJ65" s="293"/>
      <x:c r="OKK65" s="293"/>
      <x:c r="OKL65" s="293"/>
      <x:c r="OKM65" s="293"/>
      <x:c r="OKN65" s="293"/>
      <x:c r="OKO65" s="293"/>
      <x:c r="OKP65" s="293"/>
      <x:c r="OKQ65" s="293"/>
      <x:c r="OKR65" s="293"/>
      <x:c r="OKS65" s="293"/>
      <x:c r="OKT65" s="293"/>
      <x:c r="OKU65" s="293"/>
      <x:c r="OKV65" s="293"/>
      <x:c r="OKW65" s="293"/>
      <x:c r="OKX65" s="293"/>
      <x:c r="OKY65" s="293"/>
      <x:c r="OKZ65" s="293"/>
      <x:c r="OLA65" s="293"/>
      <x:c r="OLB65" s="293"/>
      <x:c r="OLC65" s="293"/>
      <x:c r="OLD65" s="293"/>
      <x:c r="OLE65" s="293"/>
      <x:c r="OLF65" s="293"/>
      <x:c r="OLG65" s="293"/>
      <x:c r="OLH65" s="293"/>
      <x:c r="OLI65" s="293"/>
      <x:c r="OLJ65" s="293"/>
      <x:c r="OLK65" s="293"/>
      <x:c r="OLL65" s="293"/>
      <x:c r="OLM65" s="293"/>
      <x:c r="OLN65" s="293"/>
      <x:c r="OLO65" s="293"/>
      <x:c r="OLP65" s="293"/>
      <x:c r="OLQ65" s="293"/>
      <x:c r="OLR65" s="293"/>
      <x:c r="OLS65" s="293"/>
      <x:c r="OLT65" s="293"/>
      <x:c r="OLU65" s="293"/>
      <x:c r="OLV65" s="293"/>
      <x:c r="OLW65" s="293"/>
      <x:c r="OLX65" s="293"/>
      <x:c r="OLY65" s="293"/>
      <x:c r="OLZ65" s="293"/>
      <x:c r="OMA65" s="293"/>
      <x:c r="OMB65" s="293"/>
      <x:c r="OMC65" s="293"/>
      <x:c r="OMD65" s="293"/>
      <x:c r="OME65" s="293"/>
      <x:c r="OMF65" s="293"/>
      <x:c r="OMG65" s="293"/>
      <x:c r="OMH65" s="293"/>
      <x:c r="OMI65" s="293"/>
      <x:c r="OMJ65" s="293"/>
      <x:c r="OMK65" s="293"/>
      <x:c r="OML65" s="293"/>
      <x:c r="OMM65" s="293"/>
      <x:c r="OMN65" s="293"/>
      <x:c r="OMO65" s="293"/>
      <x:c r="OMP65" s="293"/>
      <x:c r="OMQ65" s="293"/>
      <x:c r="OMR65" s="293"/>
      <x:c r="OMS65" s="293"/>
      <x:c r="OMT65" s="293"/>
      <x:c r="OMU65" s="293"/>
      <x:c r="OMV65" s="293"/>
      <x:c r="OMW65" s="293"/>
      <x:c r="OMX65" s="293"/>
      <x:c r="OMY65" s="293"/>
      <x:c r="OMZ65" s="293"/>
      <x:c r="ONA65" s="293"/>
      <x:c r="ONB65" s="293"/>
      <x:c r="ONC65" s="293"/>
      <x:c r="OND65" s="293"/>
      <x:c r="ONE65" s="293"/>
      <x:c r="ONF65" s="293"/>
      <x:c r="ONG65" s="293"/>
      <x:c r="ONH65" s="293"/>
      <x:c r="ONI65" s="293"/>
      <x:c r="ONJ65" s="293"/>
      <x:c r="ONK65" s="293"/>
      <x:c r="ONL65" s="293"/>
      <x:c r="ONM65" s="293"/>
      <x:c r="ONN65" s="293"/>
      <x:c r="ONO65" s="293"/>
      <x:c r="ONP65" s="293"/>
      <x:c r="ONQ65" s="293"/>
      <x:c r="ONR65" s="293"/>
      <x:c r="ONS65" s="293"/>
      <x:c r="ONT65" s="293"/>
      <x:c r="ONU65" s="293"/>
      <x:c r="ONV65" s="293"/>
      <x:c r="ONW65" s="293"/>
      <x:c r="ONX65" s="293"/>
      <x:c r="ONY65" s="293"/>
      <x:c r="ONZ65" s="293"/>
      <x:c r="OOA65" s="293"/>
      <x:c r="OOB65" s="293"/>
      <x:c r="OOC65" s="293"/>
      <x:c r="OOD65" s="293"/>
      <x:c r="OOE65" s="293"/>
      <x:c r="OOF65" s="293"/>
      <x:c r="OOG65" s="293"/>
      <x:c r="OOH65" s="293"/>
      <x:c r="OOI65" s="293"/>
      <x:c r="OOJ65" s="293"/>
      <x:c r="OOK65" s="293"/>
      <x:c r="OOL65" s="293"/>
      <x:c r="OOM65" s="293"/>
      <x:c r="OON65" s="293"/>
      <x:c r="OOO65" s="293"/>
      <x:c r="OOP65" s="293"/>
      <x:c r="OOQ65" s="293"/>
      <x:c r="OOR65" s="293"/>
      <x:c r="OOS65" s="293"/>
      <x:c r="OOT65" s="293"/>
      <x:c r="OOU65" s="293"/>
      <x:c r="OOV65" s="293"/>
      <x:c r="OOW65" s="293"/>
      <x:c r="OOX65" s="293"/>
      <x:c r="OOY65" s="293"/>
      <x:c r="OOZ65" s="293"/>
      <x:c r="OPA65" s="293"/>
      <x:c r="OPB65" s="293"/>
      <x:c r="OPC65" s="293"/>
      <x:c r="OPD65" s="293"/>
      <x:c r="OPE65" s="293"/>
      <x:c r="OPF65" s="293"/>
      <x:c r="OPG65" s="293"/>
      <x:c r="OPH65" s="293"/>
      <x:c r="OPI65" s="293"/>
      <x:c r="OPJ65" s="293"/>
      <x:c r="OPK65" s="293"/>
      <x:c r="OPL65" s="293"/>
      <x:c r="OPM65" s="293"/>
      <x:c r="OPN65" s="293"/>
      <x:c r="OPO65" s="293"/>
      <x:c r="OPP65" s="293"/>
      <x:c r="OPQ65" s="293"/>
      <x:c r="OPR65" s="293"/>
      <x:c r="OPS65" s="293"/>
      <x:c r="OPT65" s="293"/>
      <x:c r="OPU65" s="293"/>
      <x:c r="OPV65" s="293"/>
      <x:c r="OPW65" s="293"/>
      <x:c r="OPX65" s="293"/>
      <x:c r="OPY65" s="293"/>
      <x:c r="OPZ65" s="293"/>
      <x:c r="OQA65" s="293"/>
      <x:c r="OQB65" s="293"/>
      <x:c r="OQC65" s="293"/>
      <x:c r="OQD65" s="293"/>
      <x:c r="OQE65" s="293"/>
      <x:c r="OQF65" s="293"/>
      <x:c r="OQG65" s="293"/>
      <x:c r="OQH65" s="293"/>
      <x:c r="OQI65" s="293"/>
      <x:c r="OQJ65" s="293"/>
      <x:c r="OQK65" s="293"/>
      <x:c r="OQL65" s="293"/>
      <x:c r="OQM65" s="293"/>
      <x:c r="OQN65" s="293"/>
      <x:c r="OQO65" s="293"/>
      <x:c r="OQP65" s="293"/>
      <x:c r="OQQ65" s="293"/>
      <x:c r="OQR65" s="293"/>
      <x:c r="OQS65" s="293"/>
      <x:c r="OQT65" s="293"/>
      <x:c r="OQU65" s="293"/>
      <x:c r="OQV65" s="293"/>
      <x:c r="OQW65" s="293"/>
      <x:c r="OQX65" s="293"/>
      <x:c r="OQY65" s="293"/>
      <x:c r="OQZ65" s="293"/>
      <x:c r="ORA65" s="293"/>
      <x:c r="ORB65" s="293"/>
      <x:c r="ORC65" s="293"/>
      <x:c r="ORD65" s="293"/>
      <x:c r="ORE65" s="293"/>
      <x:c r="ORF65" s="293"/>
      <x:c r="ORG65" s="293"/>
      <x:c r="ORH65" s="293"/>
      <x:c r="ORI65" s="293"/>
      <x:c r="ORJ65" s="293"/>
      <x:c r="ORK65" s="293"/>
      <x:c r="ORL65" s="293"/>
      <x:c r="ORM65" s="293"/>
      <x:c r="ORN65" s="293"/>
      <x:c r="ORO65" s="293"/>
      <x:c r="ORP65" s="293"/>
      <x:c r="ORQ65" s="293"/>
      <x:c r="ORR65" s="293"/>
      <x:c r="ORS65" s="293"/>
      <x:c r="ORT65" s="293"/>
      <x:c r="ORU65" s="293"/>
      <x:c r="ORV65" s="293"/>
      <x:c r="ORW65" s="293"/>
      <x:c r="ORX65" s="293"/>
      <x:c r="ORY65" s="293"/>
      <x:c r="ORZ65" s="293"/>
      <x:c r="OSA65" s="293"/>
      <x:c r="OSB65" s="293"/>
      <x:c r="OSC65" s="293"/>
      <x:c r="OSD65" s="293"/>
      <x:c r="OSE65" s="293"/>
      <x:c r="OSF65" s="293"/>
      <x:c r="OSG65" s="293"/>
      <x:c r="OSH65" s="293"/>
      <x:c r="OSI65" s="293"/>
      <x:c r="OSJ65" s="293"/>
      <x:c r="OSK65" s="293"/>
      <x:c r="OSL65" s="293"/>
      <x:c r="OSM65" s="293"/>
      <x:c r="OSN65" s="293"/>
      <x:c r="OSO65" s="293"/>
      <x:c r="OSP65" s="293"/>
      <x:c r="OSQ65" s="293"/>
      <x:c r="OSR65" s="293"/>
      <x:c r="OSS65" s="293"/>
      <x:c r="OST65" s="293"/>
      <x:c r="OSU65" s="293"/>
      <x:c r="OSV65" s="293"/>
      <x:c r="OSW65" s="293"/>
      <x:c r="OSX65" s="293"/>
      <x:c r="OSY65" s="293"/>
      <x:c r="OSZ65" s="293"/>
      <x:c r="OTA65" s="293"/>
      <x:c r="OTB65" s="293"/>
      <x:c r="OTC65" s="293"/>
      <x:c r="OTD65" s="293"/>
      <x:c r="OTE65" s="293"/>
      <x:c r="OTF65" s="293"/>
      <x:c r="OTG65" s="293"/>
      <x:c r="OTH65" s="293"/>
      <x:c r="OTI65" s="293"/>
      <x:c r="OTJ65" s="293"/>
      <x:c r="OTK65" s="293"/>
      <x:c r="OTL65" s="293"/>
      <x:c r="OTM65" s="293"/>
      <x:c r="OTN65" s="293"/>
      <x:c r="OTO65" s="293"/>
      <x:c r="OTP65" s="293"/>
      <x:c r="OTQ65" s="293"/>
      <x:c r="OTR65" s="293"/>
      <x:c r="OTS65" s="293"/>
      <x:c r="OTT65" s="293"/>
      <x:c r="OTU65" s="293"/>
      <x:c r="OTV65" s="293"/>
      <x:c r="OTW65" s="293"/>
      <x:c r="OTX65" s="293"/>
      <x:c r="OTY65" s="293"/>
      <x:c r="OTZ65" s="293"/>
      <x:c r="OUA65" s="293"/>
      <x:c r="OUB65" s="293"/>
      <x:c r="OUC65" s="293"/>
      <x:c r="OUD65" s="293"/>
      <x:c r="OUE65" s="293"/>
      <x:c r="OUF65" s="293"/>
      <x:c r="OUG65" s="293"/>
      <x:c r="OUH65" s="293"/>
      <x:c r="OUI65" s="293"/>
      <x:c r="OUJ65" s="293"/>
      <x:c r="OUK65" s="293"/>
      <x:c r="OUL65" s="293"/>
      <x:c r="OUM65" s="293"/>
      <x:c r="OUN65" s="293"/>
      <x:c r="OUO65" s="293"/>
      <x:c r="OUP65" s="293"/>
      <x:c r="OUQ65" s="293"/>
      <x:c r="OUR65" s="293"/>
      <x:c r="OUS65" s="293"/>
      <x:c r="OUT65" s="293"/>
      <x:c r="OUU65" s="293"/>
      <x:c r="OUV65" s="293"/>
      <x:c r="OUW65" s="293"/>
      <x:c r="OUX65" s="293"/>
      <x:c r="OUY65" s="293"/>
      <x:c r="OUZ65" s="293"/>
      <x:c r="OVA65" s="293"/>
      <x:c r="OVB65" s="293"/>
      <x:c r="OVC65" s="293"/>
      <x:c r="OVD65" s="293"/>
      <x:c r="OVE65" s="293"/>
      <x:c r="OVF65" s="293"/>
      <x:c r="OVG65" s="293"/>
      <x:c r="OVH65" s="293"/>
      <x:c r="OVI65" s="293"/>
      <x:c r="OVJ65" s="293"/>
      <x:c r="OVK65" s="293"/>
      <x:c r="OVL65" s="293"/>
      <x:c r="OVM65" s="293"/>
      <x:c r="OVN65" s="293"/>
      <x:c r="OVO65" s="293"/>
      <x:c r="OVP65" s="293"/>
      <x:c r="OVQ65" s="293"/>
      <x:c r="OVR65" s="293"/>
      <x:c r="OVS65" s="293"/>
      <x:c r="OVT65" s="293"/>
      <x:c r="OVU65" s="293"/>
      <x:c r="OVV65" s="293"/>
      <x:c r="OVW65" s="293"/>
      <x:c r="OVX65" s="293"/>
      <x:c r="OVY65" s="293"/>
      <x:c r="OVZ65" s="293"/>
      <x:c r="OWA65" s="293"/>
      <x:c r="OWB65" s="293"/>
      <x:c r="OWC65" s="293"/>
      <x:c r="OWD65" s="293"/>
      <x:c r="OWE65" s="293"/>
      <x:c r="OWF65" s="293"/>
      <x:c r="OWG65" s="293"/>
      <x:c r="OWH65" s="293"/>
      <x:c r="OWI65" s="293"/>
      <x:c r="OWJ65" s="293"/>
      <x:c r="OWK65" s="293"/>
      <x:c r="OWL65" s="293"/>
      <x:c r="OWM65" s="293"/>
      <x:c r="OWN65" s="293"/>
      <x:c r="OWO65" s="293"/>
      <x:c r="OWP65" s="293"/>
      <x:c r="OWQ65" s="293"/>
      <x:c r="OWR65" s="293"/>
      <x:c r="OWS65" s="293"/>
      <x:c r="OWT65" s="293"/>
      <x:c r="OWU65" s="293"/>
      <x:c r="OWV65" s="293"/>
      <x:c r="OWW65" s="293"/>
      <x:c r="OWX65" s="293"/>
      <x:c r="OWY65" s="293"/>
      <x:c r="OWZ65" s="293"/>
      <x:c r="OXA65" s="293"/>
      <x:c r="OXB65" s="293"/>
      <x:c r="OXC65" s="293"/>
      <x:c r="OXD65" s="293"/>
      <x:c r="OXE65" s="293"/>
      <x:c r="OXF65" s="293"/>
      <x:c r="OXG65" s="293"/>
      <x:c r="OXH65" s="293"/>
      <x:c r="OXI65" s="293"/>
      <x:c r="OXJ65" s="293"/>
      <x:c r="OXK65" s="293"/>
      <x:c r="OXL65" s="293"/>
      <x:c r="OXM65" s="293"/>
      <x:c r="OXN65" s="293"/>
      <x:c r="OXO65" s="293"/>
      <x:c r="OXP65" s="293"/>
      <x:c r="OXQ65" s="293"/>
      <x:c r="OXR65" s="293"/>
      <x:c r="OXS65" s="293"/>
      <x:c r="OXT65" s="293"/>
      <x:c r="OXU65" s="293"/>
      <x:c r="OXV65" s="293"/>
      <x:c r="OXW65" s="293"/>
      <x:c r="OXX65" s="293"/>
      <x:c r="OXY65" s="293"/>
      <x:c r="OXZ65" s="293"/>
      <x:c r="OYA65" s="293"/>
      <x:c r="OYB65" s="293"/>
      <x:c r="OYC65" s="293"/>
      <x:c r="OYD65" s="293"/>
      <x:c r="OYE65" s="293"/>
      <x:c r="OYF65" s="293"/>
      <x:c r="OYG65" s="293"/>
      <x:c r="OYH65" s="293"/>
      <x:c r="OYI65" s="293"/>
      <x:c r="OYJ65" s="293"/>
      <x:c r="OYK65" s="293"/>
      <x:c r="OYL65" s="293"/>
      <x:c r="OYM65" s="293"/>
      <x:c r="OYN65" s="293"/>
      <x:c r="OYO65" s="293"/>
      <x:c r="OYP65" s="293"/>
      <x:c r="OYQ65" s="293"/>
      <x:c r="OYR65" s="293"/>
      <x:c r="OYS65" s="293"/>
      <x:c r="OYT65" s="293"/>
      <x:c r="OYU65" s="293"/>
      <x:c r="OYV65" s="293"/>
      <x:c r="OYW65" s="293"/>
      <x:c r="OYX65" s="293"/>
      <x:c r="OYY65" s="293"/>
      <x:c r="OYZ65" s="293"/>
      <x:c r="OZA65" s="293"/>
      <x:c r="OZB65" s="293"/>
      <x:c r="OZC65" s="293"/>
      <x:c r="OZD65" s="293"/>
      <x:c r="OZE65" s="293"/>
      <x:c r="OZF65" s="293"/>
      <x:c r="OZG65" s="293"/>
      <x:c r="OZH65" s="293"/>
      <x:c r="OZI65" s="293"/>
      <x:c r="OZJ65" s="293"/>
      <x:c r="OZK65" s="293"/>
      <x:c r="OZL65" s="293"/>
      <x:c r="OZM65" s="293"/>
      <x:c r="OZN65" s="293"/>
      <x:c r="OZO65" s="293"/>
      <x:c r="OZP65" s="293"/>
      <x:c r="OZQ65" s="293"/>
      <x:c r="OZR65" s="293"/>
      <x:c r="OZS65" s="293"/>
      <x:c r="OZT65" s="293"/>
      <x:c r="OZU65" s="293"/>
      <x:c r="OZV65" s="293"/>
      <x:c r="OZW65" s="293"/>
      <x:c r="OZX65" s="293"/>
      <x:c r="OZY65" s="293"/>
      <x:c r="OZZ65" s="293"/>
      <x:c r="PAA65" s="293"/>
      <x:c r="PAB65" s="293"/>
      <x:c r="PAC65" s="293"/>
      <x:c r="PAD65" s="293"/>
      <x:c r="PAE65" s="293"/>
      <x:c r="PAF65" s="293"/>
      <x:c r="PAG65" s="293"/>
      <x:c r="PAH65" s="293"/>
      <x:c r="PAI65" s="293"/>
      <x:c r="PAJ65" s="293"/>
      <x:c r="PAK65" s="293"/>
      <x:c r="PAL65" s="293"/>
      <x:c r="PAM65" s="293"/>
      <x:c r="PAN65" s="293"/>
      <x:c r="PAO65" s="293"/>
      <x:c r="PAP65" s="293"/>
      <x:c r="PAQ65" s="293"/>
      <x:c r="PAR65" s="293"/>
      <x:c r="PAS65" s="293"/>
      <x:c r="PAT65" s="293"/>
      <x:c r="PAU65" s="293"/>
      <x:c r="PAV65" s="293"/>
      <x:c r="PAW65" s="293"/>
      <x:c r="PAX65" s="293"/>
      <x:c r="PAY65" s="293"/>
      <x:c r="PAZ65" s="293"/>
      <x:c r="PBA65" s="293"/>
      <x:c r="PBB65" s="293"/>
      <x:c r="PBC65" s="293"/>
      <x:c r="PBD65" s="293"/>
      <x:c r="PBE65" s="293"/>
      <x:c r="PBF65" s="293"/>
      <x:c r="PBG65" s="293"/>
      <x:c r="PBH65" s="293"/>
      <x:c r="PBI65" s="293"/>
      <x:c r="PBJ65" s="293"/>
      <x:c r="PBK65" s="293"/>
      <x:c r="PBL65" s="293"/>
      <x:c r="PBM65" s="293"/>
      <x:c r="PBN65" s="293"/>
      <x:c r="PBO65" s="293"/>
      <x:c r="PBP65" s="293"/>
      <x:c r="PBQ65" s="293"/>
      <x:c r="PBR65" s="293"/>
      <x:c r="PBS65" s="293"/>
      <x:c r="PBT65" s="293"/>
      <x:c r="PBU65" s="293"/>
      <x:c r="PBV65" s="293"/>
      <x:c r="PBW65" s="293"/>
      <x:c r="PBX65" s="293"/>
      <x:c r="PBY65" s="293"/>
      <x:c r="PBZ65" s="293"/>
      <x:c r="PCA65" s="293"/>
      <x:c r="PCB65" s="293"/>
      <x:c r="PCC65" s="293"/>
      <x:c r="PCD65" s="293"/>
      <x:c r="PCE65" s="293"/>
      <x:c r="PCF65" s="293"/>
      <x:c r="PCG65" s="293"/>
      <x:c r="PCH65" s="293"/>
      <x:c r="PCI65" s="293"/>
      <x:c r="PCJ65" s="293"/>
      <x:c r="PCK65" s="293"/>
      <x:c r="PCL65" s="293"/>
      <x:c r="PCM65" s="293"/>
      <x:c r="PCN65" s="293"/>
      <x:c r="PCO65" s="293"/>
      <x:c r="PCP65" s="293"/>
      <x:c r="PCQ65" s="293"/>
      <x:c r="PCR65" s="293"/>
      <x:c r="PCS65" s="293"/>
      <x:c r="PCT65" s="293"/>
      <x:c r="PCU65" s="293"/>
      <x:c r="PCV65" s="293"/>
      <x:c r="PCW65" s="293"/>
      <x:c r="PCX65" s="293"/>
      <x:c r="PCY65" s="293"/>
      <x:c r="PCZ65" s="293"/>
      <x:c r="PDA65" s="293"/>
      <x:c r="PDB65" s="293"/>
      <x:c r="PDC65" s="293"/>
      <x:c r="PDD65" s="293"/>
      <x:c r="PDE65" s="293"/>
      <x:c r="PDF65" s="293"/>
      <x:c r="PDG65" s="293"/>
      <x:c r="PDH65" s="293"/>
      <x:c r="PDI65" s="293"/>
      <x:c r="PDJ65" s="293"/>
      <x:c r="PDK65" s="293"/>
      <x:c r="PDL65" s="293"/>
      <x:c r="PDM65" s="293"/>
      <x:c r="PDN65" s="293"/>
      <x:c r="PDO65" s="293"/>
      <x:c r="PDP65" s="293"/>
      <x:c r="PDQ65" s="293"/>
      <x:c r="PDR65" s="293"/>
      <x:c r="PDS65" s="293"/>
      <x:c r="PDT65" s="293"/>
      <x:c r="PDU65" s="293"/>
      <x:c r="PDV65" s="293"/>
      <x:c r="PDW65" s="293"/>
      <x:c r="PDX65" s="293"/>
      <x:c r="PDY65" s="293"/>
      <x:c r="PDZ65" s="293"/>
      <x:c r="PEA65" s="293"/>
      <x:c r="PEB65" s="293"/>
      <x:c r="PEC65" s="293"/>
      <x:c r="PED65" s="293"/>
      <x:c r="PEE65" s="293"/>
      <x:c r="PEF65" s="293"/>
      <x:c r="PEG65" s="293"/>
      <x:c r="PEH65" s="293"/>
      <x:c r="PEI65" s="293"/>
      <x:c r="PEJ65" s="293"/>
      <x:c r="PEK65" s="293"/>
      <x:c r="PEL65" s="293"/>
      <x:c r="PEM65" s="293"/>
      <x:c r="PEN65" s="293"/>
      <x:c r="PEO65" s="293"/>
      <x:c r="PEP65" s="293"/>
      <x:c r="PEQ65" s="293"/>
      <x:c r="PER65" s="293"/>
      <x:c r="PES65" s="293"/>
      <x:c r="PET65" s="293"/>
      <x:c r="PEU65" s="293"/>
      <x:c r="PEV65" s="293"/>
      <x:c r="PEW65" s="293"/>
      <x:c r="PEX65" s="293"/>
      <x:c r="PEY65" s="293"/>
      <x:c r="PEZ65" s="293"/>
      <x:c r="PFA65" s="293"/>
      <x:c r="PFB65" s="293"/>
      <x:c r="PFC65" s="293"/>
      <x:c r="PFD65" s="293"/>
      <x:c r="PFE65" s="293"/>
      <x:c r="PFF65" s="293"/>
      <x:c r="PFG65" s="293"/>
      <x:c r="PFH65" s="293"/>
      <x:c r="PFI65" s="293"/>
      <x:c r="PFJ65" s="293"/>
      <x:c r="PFK65" s="293"/>
      <x:c r="PFL65" s="293"/>
      <x:c r="PFM65" s="293"/>
      <x:c r="PFN65" s="293"/>
      <x:c r="PFO65" s="293"/>
      <x:c r="PFP65" s="293"/>
      <x:c r="PFQ65" s="293"/>
      <x:c r="PFR65" s="293"/>
      <x:c r="PFS65" s="293"/>
      <x:c r="PFT65" s="293"/>
      <x:c r="PFU65" s="293"/>
      <x:c r="PFV65" s="293"/>
      <x:c r="PFW65" s="293"/>
      <x:c r="PFX65" s="293"/>
      <x:c r="PFY65" s="293"/>
      <x:c r="PFZ65" s="293"/>
      <x:c r="PGA65" s="293"/>
      <x:c r="PGB65" s="293"/>
      <x:c r="PGC65" s="293"/>
      <x:c r="PGD65" s="293"/>
      <x:c r="PGE65" s="293"/>
      <x:c r="PGF65" s="293"/>
      <x:c r="PGG65" s="293"/>
      <x:c r="PGH65" s="293"/>
      <x:c r="PGI65" s="293"/>
      <x:c r="PGJ65" s="293"/>
      <x:c r="PGK65" s="293"/>
      <x:c r="PGL65" s="293"/>
      <x:c r="PGM65" s="293"/>
      <x:c r="PGN65" s="293"/>
      <x:c r="PGO65" s="293"/>
      <x:c r="PGP65" s="293"/>
      <x:c r="PGQ65" s="293"/>
      <x:c r="PGR65" s="293"/>
      <x:c r="PGS65" s="293"/>
      <x:c r="PGT65" s="293"/>
      <x:c r="PGU65" s="293"/>
      <x:c r="PGV65" s="293"/>
      <x:c r="PGW65" s="293"/>
      <x:c r="PGX65" s="293"/>
      <x:c r="PGY65" s="293"/>
      <x:c r="PGZ65" s="293"/>
      <x:c r="PHA65" s="293"/>
      <x:c r="PHB65" s="293"/>
      <x:c r="PHC65" s="293"/>
      <x:c r="PHD65" s="293"/>
      <x:c r="PHE65" s="293"/>
      <x:c r="PHF65" s="293"/>
      <x:c r="PHG65" s="293"/>
      <x:c r="PHH65" s="293"/>
      <x:c r="PHI65" s="293"/>
      <x:c r="PHJ65" s="293"/>
      <x:c r="PHK65" s="293"/>
      <x:c r="PHL65" s="293"/>
      <x:c r="PHM65" s="293"/>
      <x:c r="PHN65" s="293"/>
      <x:c r="PHO65" s="293"/>
      <x:c r="PHP65" s="293"/>
      <x:c r="PHQ65" s="293"/>
      <x:c r="PHR65" s="293"/>
      <x:c r="PHS65" s="293"/>
      <x:c r="PHT65" s="293"/>
      <x:c r="PHU65" s="293"/>
      <x:c r="PHV65" s="293"/>
      <x:c r="PHW65" s="293"/>
      <x:c r="PHX65" s="293"/>
      <x:c r="PHY65" s="293"/>
      <x:c r="PHZ65" s="293"/>
      <x:c r="PIA65" s="293"/>
      <x:c r="PIB65" s="293"/>
      <x:c r="PIC65" s="293"/>
      <x:c r="PID65" s="293"/>
      <x:c r="PIE65" s="293"/>
      <x:c r="PIF65" s="293"/>
      <x:c r="PIG65" s="293"/>
      <x:c r="PIH65" s="293"/>
      <x:c r="PII65" s="293"/>
      <x:c r="PIJ65" s="293"/>
      <x:c r="PIK65" s="293"/>
      <x:c r="PIL65" s="293"/>
      <x:c r="PIM65" s="293"/>
      <x:c r="PIN65" s="293"/>
      <x:c r="PIO65" s="293"/>
      <x:c r="PIP65" s="293"/>
      <x:c r="PIQ65" s="293"/>
      <x:c r="PIR65" s="293"/>
      <x:c r="PIS65" s="293"/>
      <x:c r="PIT65" s="293"/>
      <x:c r="PIU65" s="293"/>
      <x:c r="PIV65" s="293"/>
      <x:c r="PIW65" s="293"/>
      <x:c r="PIX65" s="293"/>
      <x:c r="PIY65" s="293"/>
      <x:c r="PIZ65" s="293"/>
      <x:c r="PJA65" s="293"/>
      <x:c r="PJB65" s="293"/>
      <x:c r="PJC65" s="293"/>
      <x:c r="PJD65" s="293"/>
      <x:c r="PJE65" s="293"/>
      <x:c r="PJF65" s="293"/>
      <x:c r="PJG65" s="293"/>
      <x:c r="PJH65" s="293"/>
      <x:c r="PJI65" s="293"/>
      <x:c r="PJJ65" s="293"/>
      <x:c r="PJK65" s="293"/>
      <x:c r="PJL65" s="293"/>
      <x:c r="PJM65" s="293"/>
      <x:c r="PJN65" s="293"/>
      <x:c r="PJO65" s="293"/>
      <x:c r="PJP65" s="293"/>
      <x:c r="PJQ65" s="293"/>
      <x:c r="PJR65" s="293"/>
      <x:c r="PJS65" s="293"/>
      <x:c r="PJT65" s="293"/>
      <x:c r="PJU65" s="293"/>
      <x:c r="PJV65" s="293"/>
      <x:c r="PJW65" s="293"/>
      <x:c r="PJX65" s="293"/>
      <x:c r="PJY65" s="293"/>
      <x:c r="PJZ65" s="293"/>
      <x:c r="PKA65" s="293"/>
      <x:c r="PKB65" s="293"/>
      <x:c r="PKC65" s="293"/>
      <x:c r="PKD65" s="293"/>
      <x:c r="PKE65" s="293"/>
      <x:c r="PKF65" s="293"/>
      <x:c r="PKG65" s="293"/>
      <x:c r="PKH65" s="293"/>
      <x:c r="PKI65" s="293"/>
      <x:c r="PKJ65" s="293"/>
      <x:c r="PKK65" s="293"/>
      <x:c r="PKL65" s="293"/>
      <x:c r="PKM65" s="293"/>
      <x:c r="PKN65" s="293"/>
      <x:c r="PKO65" s="293"/>
      <x:c r="PKP65" s="293"/>
      <x:c r="PKQ65" s="293"/>
      <x:c r="PKR65" s="293"/>
      <x:c r="PKS65" s="293"/>
      <x:c r="PKT65" s="293"/>
      <x:c r="PKU65" s="293"/>
      <x:c r="PKV65" s="293"/>
      <x:c r="PKW65" s="293"/>
      <x:c r="PKX65" s="293"/>
      <x:c r="PKY65" s="293"/>
      <x:c r="PKZ65" s="293"/>
      <x:c r="PLA65" s="293"/>
      <x:c r="PLB65" s="293"/>
      <x:c r="PLC65" s="293"/>
      <x:c r="PLD65" s="293"/>
      <x:c r="PLE65" s="293"/>
      <x:c r="PLF65" s="293"/>
      <x:c r="PLG65" s="293"/>
      <x:c r="PLH65" s="293"/>
      <x:c r="PLI65" s="293"/>
      <x:c r="PLJ65" s="293"/>
      <x:c r="PLK65" s="293"/>
      <x:c r="PLL65" s="293"/>
      <x:c r="PLM65" s="293"/>
      <x:c r="PLN65" s="293"/>
      <x:c r="PLO65" s="293"/>
      <x:c r="PLP65" s="293"/>
      <x:c r="PLQ65" s="293"/>
      <x:c r="PLR65" s="293"/>
      <x:c r="PLS65" s="293"/>
      <x:c r="PLT65" s="293"/>
      <x:c r="PLU65" s="293"/>
      <x:c r="PLV65" s="293"/>
      <x:c r="PLW65" s="293"/>
      <x:c r="PLX65" s="293"/>
      <x:c r="PLY65" s="293"/>
      <x:c r="PLZ65" s="293"/>
      <x:c r="PMA65" s="293"/>
      <x:c r="PMB65" s="293"/>
      <x:c r="PMC65" s="293"/>
      <x:c r="PMD65" s="293"/>
      <x:c r="PME65" s="293"/>
      <x:c r="PMF65" s="293"/>
      <x:c r="PMG65" s="293"/>
      <x:c r="PMH65" s="293"/>
      <x:c r="PMI65" s="293"/>
      <x:c r="PMJ65" s="293"/>
      <x:c r="PMK65" s="293"/>
      <x:c r="PML65" s="293"/>
      <x:c r="PMM65" s="293"/>
      <x:c r="PMN65" s="293"/>
      <x:c r="PMO65" s="293"/>
      <x:c r="PMP65" s="293"/>
      <x:c r="PMQ65" s="293"/>
      <x:c r="PMR65" s="293"/>
      <x:c r="PMS65" s="293"/>
      <x:c r="PMT65" s="293"/>
      <x:c r="PMU65" s="293"/>
      <x:c r="PMV65" s="293"/>
      <x:c r="PMW65" s="293"/>
      <x:c r="PMX65" s="293"/>
      <x:c r="PMY65" s="293"/>
      <x:c r="PMZ65" s="293"/>
      <x:c r="PNA65" s="293"/>
      <x:c r="PNB65" s="293"/>
      <x:c r="PNC65" s="293"/>
      <x:c r="PND65" s="293"/>
      <x:c r="PNE65" s="293"/>
      <x:c r="PNF65" s="293"/>
      <x:c r="PNG65" s="293"/>
      <x:c r="PNH65" s="293"/>
      <x:c r="PNI65" s="293"/>
      <x:c r="PNJ65" s="293"/>
      <x:c r="PNK65" s="293"/>
      <x:c r="PNL65" s="293"/>
      <x:c r="PNM65" s="293"/>
      <x:c r="PNN65" s="293"/>
      <x:c r="PNO65" s="293"/>
      <x:c r="PNP65" s="293"/>
      <x:c r="PNQ65" s="293"/>
      <x:c r="PNR65" s="293"/>
      <x:c r="PNS65" s="293"/>
      <x:c r="PNT65" s="293"/>
      <x:c r="PNU65" s="293"/>
      <x:c r="PNV65" s="293"/>
      <x:c r="PNW65" s="293"/>
      <x:c r="PNX65" s="293"/>
      <x:c r="PNY65" s="293"/>
      <x:c r="PNZ65" s="293"/>
      <x:c r="POA65" s="293"/>
      <x:c r="POB65" s="293"/>
      <x:c r="POC65" s="293"/>
      <x:c r="POD65" s="293"/>
      <x:c r="POE65" s="293"/>
      <x:c r="POF65" s="293"/>
      <x:c r="POG65" s="293"/>
      <x:c r="POH65" s="293"/>
      <x:c r="POI65" s="293"/>
      <x:c r="POJ65" s="293"/>
      <x:c r="POK65" s="293"/>
      <x:c r="POL65" s="293"/>
      <x:c r="POM65" s="293"/>
      <x:c r="PON65" s="293"/>
      <x:c r="POO65" s="293"/>
      <x:c r="POP65" s="293"/>
      <x:c r="POQ65" s="293"/>
      <x:c r="POR65" s="293"/>
      <x:c r="POS65" s="293"/>
      <x:c r="POT65" s="293"/>
      <x:c r="POU65" s="293"/>
      <x:c r="POV65" s="293"/>
      <x:c r="POW65" s="293"/>
      <x:c r="POX65" s="293"/>
      <x:c r="POY65" s="293"/>
      <x:c r="POZ65" s="293"/>
      <x:c r="PPA65" s="293"/>
      <x:c r="PPB65" s="293"/>
      <x:c r="PPC65" s="293"/>
      <x:c r="PPD65" s="293"/>
      <x:c r="PPE65" s="293"/>
      <x:c r="PPF65" s="293"/>
      <x:c r="PPG65" s="293"/>
      <x:c r="PPH65" s="293"/>
      <x:c r="PPI65" s="293"/>
      <x:c r="PPJ65" s="293"/>
      <x:c r="PPK65" s="293"/>
      <x:c r="PPL65" s="293"/>
      <x:c r="PPM65" s="293"/>
      <x:c r="PPN65" s="293"/>
      <x:c r="PPO65" s="293"/>
      <x:c r="PPP65" s="293"/>
      <x:c r="PPQ65" s="293"/>
      <x:c r="PPR65" s="293"/>
      <x:c r="PPS65" s="293"/>
      <x:c r="PPT65" s="293"/>
      <x:c r="PPU65" s="293"/>
      <x:c r="PPV65" s="293"/>
      <x:c r="PPW65" s="293"/>
      <x:c r="PPX65" s="293"/>
      <x:c r="PPY65" s="293"/>
      <x:c r="PPZ65" s="293"/>
      <x:c r="PQA65" s="293"/>
      <x:c r="PQB65" s="293"/>
      <x:c r="PQC65" s="293"/>
      <x:c r="PQD65" s="293"/>
      <x:c r="PQE65" s="293"/>
      <x:c r="PQF65" s="293"/>
      <x:c r="PQG65" s="293"/>
      <x:c r="PQH65" s="293"/>
      <x:c r="PQI65" s="293"/>
      <x:c r="PQJ65" s="293"/>
      <x:c r="PQK65" s="293"/>
      <x:c r="PQL65" s="293"/>
      <x:c r="PQM65" s="293"/>
      <x:c r="PQN65" s="293"/>
      <x:c r="PQO65" s="293"/>
      <x:c r="PQP65" s="293"/>
      <x:c r="PQQ65" s="293"/>
      <x:c r="PQR65" s="293"/>
      <x:c r="PQS65" s="293"/>
      <x:c r="PQT65" s="293"/>
      <x:c r="PQU65" s="293"/>
      <x:c r="PQV65" s="293"/>
      <x:c r="PQW65" s="293"/>
      <x:c r="PQX65" s="293"/>
      <x:c r="PQY65" s="293"/>
      <x:c r="PQZ65" s="293"/>
      <x:c r="PRA65" s="293"/>
      <x:c r="PRB65" s="293"/>
      <x:c r="PRC65" s="293"/>
      <x:c r="PRD65" s="293"/>
      <x:c r="PRE65" s="293"/>
      <x:c r="PRF65" s="293"/>
      <x:c r="PRG65" s="293"/>
      <x:c r="PRH65" s="293"/>
      <x:c r="PRI65" s="293"/>
      <x:c r="PRJ65" s="293"/>
      <x:c r="PRK65" s="293"/>
      <x:c r="PRL65" s="293"/>
      <x:c r="PRM65" s="293"/>
      <x:c r="PRN65" s="293"/>
      <x:c r="PRO65" s="293"/>
      <x:c r="PRP65" s="293"/>
      <x:c r="PRQ65" s="293"/>
      <x:c r="PRR65" s="293"/>
      <x:c r="PRS65" s="293"/>
      <x:c r="PRT65" s="293"/>
      <x:c r="PRU65" s="293"/>
      <x:c r="PRV65" s="293"/>
      <x:c r="PRW65" s="293"/>
      <x:c r="PRX65" s="293"/>
      <x:c r="PRY65" s="293"/>
      <x:c r="PRZ65" s="293"/>
      <x:c r="PSA65" s="293"/>
      <x:c r="PSB65" s="293"/>
      <x:c r="PSC65" s="293"/>
      <x:c r="PSD65" s="293"/>
      <x:c r="PSE65" s="293"/>
      <x:c r="PSF65" s="293"/>
      <x:c r="PSG65" s="293"/>
      <x:c r="PSH65" s="293"/>
      <x:c r="PSI65" s="293"/>
      <x:c r="PSJ65" s="293"/>
      <x:c r="PSK65" s="293"/>
      <x:c r="PSL65" s="293"/>
      <x:c r="PSM65" s="293"/>
      <x:c r="PSN65" s="293"/>
      <x:c r="PSO65" s="293"/>
      <x:c r="PSP65" s="293"/>
      <x:c r="PSQ65" s="293"/>
      <x:c r="PSR65" s="293"/>
      <x:c r="PSS65" s="293"/>
      <x:c r="PST65" s="293"/>
      <x:c r="PSU65" s="293"/>
      <x:c r="PSV65" s="293"/>
      <x:c r="PSW65" s="293"/>
      <x:c r="PSX65" s="293"/>
      <x:c r="PSY65" s="293"/>
      <x:c r="PSZ65" s="293"/>
      <x:c r="PTA65" s="293"/>
      <x:c r="PTB65" s="293"/>
      <x:c r="PTC65" s="293"/>
      <x:c r="PTD65" s="293"/>
      <x:c r="PTE65" s="293"/>
      <x:c r="PTF65" s="293"/>
      <x:c r="PTG65" s="293"/>
      <x:c r="PTH65" s="293"/>
      <x:c r="PTI65" s="293"/>
      <x:c r="PTJ65" s="293"/>
      <x:c r="PTK65" s="293"/>
      <x:c r="PTL65" s="293"/>
      <x:c r="PTM65" s="293"/>
      <x:c r="PTN65" s="293"/>
      <x:c r="PTO65" s="293"/>
      <x:c r="PTP65" s="293"/>
      <x:c r="PTQ65" s="293"/>
      <x:c r="PTR65" s="293"/>
      <x:c r="PTS65" s="293"/>
      <x:c r="PTT65" s="293"/>
      <x:c r="PTU65" s="293"/>
      <x:c r="PTV65" s="293"/>
      <x:c r="PTW65" s="293"/>
      <x:c r="PTX65" s="293"/>
      <x:c r="PTY65" s="293"/>
      <x:c r="PTZ65" s="293"/>
      <x:c r="PUA65" s="293"/>
      <x:c r="PUB65" s="293"/>
      <x:c r="PUC65" s="293"/>
      <x:c r="PUD65" s="293"/>
      <x:c r="PUE65" s="293"/>
      <x:c r="PUF65" s="293"/>
      <x:c r="PUG65" s="293"/>
      <x:c r="PUH65" s="293"/>
      <x:c r="PUI65" s="293"/>
      <x:c r="PUJ65" s="293"/>
      <x:c r="PUK65" s="293"/>
      <x:c r="PUL65" s="293"/>
      <x:c r="PUM65" s="293"/>
      <x:c r="PUN65" s="293"/>
      <x:c r="PUO65" s="293"/>
      <x:c r="PUP65" s="293"/>
      <x:c r="PUQ65" s="293"/>
      <x:c r="PUR65" s="293"/>
      <x:c r="PUS65" s="293"/>
      <x:c r="PUT65" s="293"/>
      <x:c r="PUU65" s="293"/>
      <x:c r="PUV65" s="293"/>
      <x:c r="PUW65" s="293"/>
      <x:c r="PUX65" s="293"/>
      <x:c r="PUY65" s="293"/>
      <x:c r="PUZ65" s="293"/>
      <x:c r="PVA65" s="293"/>
      <x:c r="PVB65" s="293"/>
      <x:c r="PVC65" s="293"/>
      <x:c r="PVD65" s="293"/>
      <x:c r="PVE65" s="293"/>
      <x:c r="PVF65" s="293"/>
      <x:c r="PVG65" s="293"/>
      <x:c r="PVH65" s="293"/>
      <x:c r="PVI65" s="293"/>
      <x:c r="PVJ65" s="293"/>
      <x:c r="PVK65" s="293"/>
      <x:c r="PVL65" s="293"/>
      <x:c r="PVM65" s="293"/>
      <x:c r="PVN65" s="293"/>
      <x:c r="PVO65" s="293"/>
      <x:c r="PVP65" s="293"/>
      <x:c r="PVQ65" s="293"/>
      <x:c r="PVR65" s="293"/>
      <x:c r="PVS65" s="293"/>
      <x:c r="PVT65" s="293"/>
      <x:c r="PVU65" s="293"/>
      <x:c r="PVV65" s="293"/>
      <x:c r="PVW65" s="293"/>
      <x:c r="PVX65" s="293"/>
      <x:c r="PVY65" s="293"/>
      <x:c r="PVZ65" s="293"/>
      <x:c r="PWA65" s="293"/>
      <x:c r="PWB65" s="293"/>
      <x:c r="PWC65" s="293"/>
      <x:c r="PWD65" s="293"/>
      <x:c r="PWE65" s="293"/>
      <x:c r="PWF65" s="293"/>
      <x:c r="PWG65" s="293"/>
      <x:c r="PWH65" s="293"/>
      <x:c r="PWI65" s="293"/>
      <x:c r="PWJ65" s="293"/>
      <x:c r="PWK65" s="293"/>
      <x:c r="PWL65" s="293"/>
      <x:c r="PWM65" s="293"/>
      <x:c r="PWN65" s="293"/>
      <x:c r="PWO65" s="293"/>
      <x:c r="PWP65" s="293"/>
      <x:c r="PWQ65" s="293"/>
      <x:c r="PWR65" s="293"/>
      <x:c r="PWS65" s="293"/>
      <x:c r="PWT65" s="293"/>
      <x:c r="PWU65" s="293"/>
      <x:c r="PWV65" s="293"/>
      <x:c r="PWW65" s="293"/>
      <x:c r="PWX65" s="293"/>
      <x:c r="PWY65" s="293"/>
      <x:c r="PWZ65" s="293"/>
      <x:c r="PXA65" s="293"/>
      <x:c r="PXB65" s="293"/>
      <x:c r="PXC65" s="293"/>
      <x:c r="PXD65" s="293"/>
      <x:c r="PXE65" s="293"/>
      <x:c r="PXF65" s="293"/>
      <x:c r="PXG65" s="293"/>
      <x:c r="PXH65" s="293"/>
      <x:c r="PXI65" s="293"/>
      <x:c r="PXJ65" s="293"/>
      <x:c r="PXK65" s="293"/>
      <x:c r="PXL65" s="293"/>
      <x:c r="PXM65" s="293"/>
      <x:c r="PXN65" s="293"/>
      <x:c r="PXO65" s="293"/>
      <x:c r="PXP65" s="293"/>
      <x:c r="PXQ65" s="293"/>
      <x:c r="PXR65" s="293"/>
      <x:c r="PXS65" s="293"/>
      <x:c r="PXT65" s="293"/>
      <x:c r="PXU65" s="293"/>
      <x:c r="PXV65" s="293"/>
      <x:c r="PXW65" s="293"/>
      <x:c r="PXX65" s="293"/>
      <x:c r="PXY65" s="293"/>
      <x:c r="PXZ65" s="293"/>
      <x:c r="PYA65" s="293"/>
      <x:c r="PYB65" s="293"/>
      <x:c r="PYC65" s="293"/>
      <x:c r="PYD65" s="293"/>
      <x:c r="PYE65" s="293"/>
      <x:c r="PYF65" s="293"/>
      <x:c r="PYG65" s="293"/>
      <x:c r="PYH65" s="293"/>
      <x:c r="PYI65" s="293"/>
      <x:c r="PYJ65" s="293"/>
      <x:c r="PYK65" s="293"/>
      <x:c r="PYL65" s="293"/>
      <x:c r="PYM65" s="293"/>
      <x:c r="PYN65" s="293"/>
      <x:c r="PYO65" s="293"/>
      <x:c r="PYP65" s="293"/>
      <x:c r="PYQ65" s="293"/>
      <x:c r="PYR65" s="293"/>
      <x:c r="PYS65" s="293"/>
      <x:c r="PYT65" s="293"/>
      <x:c r="PYU65" s="293"/>
      <x:c r="PYV65" s="293"/>
      <x:c r="PYW65" s="293"/>
      <x:c r="PYX65" s="293"/>
      <x:c r="PYY65" s="293"/>
      <x:c r="PYZ65" s="293"/>
      <x:c r="PZA65" s="293"/>
      <x:c r="PZB65" s="293"/>
      <x:c r="PZC65" s="293"/>
      <x:c r="PZD65" s="293"/>
      <x:c r="PZE65" s="293"/>
      <x:c r="PZF65" s="293"/>
      <x:c r="PZG65" s="293"/>
      <x:c r="PZH65" s="293"/>
      <x:c r="PZI65" s="293"/>
      <x:c r="PZJ65" s="293"/>
      <x:c r="PZK65" s="293"/>
      <x:c r="PZL65" s="293"/>
      <x:c r="PZM65" s="293"/>
      <x:c r="PZN65" s="293"/>
      <x:c r="PZO65" s="293"/>
      <x:c r="PZP65" s="293"/>
      <x:c r="PZQ65" s="293"/>
      <x:c r="PZR65" s="293"/>
      <x:c r="PZS65" s="293"/>
      <x:c r="PZT65" s="293"/>
      <x:c r="PZU65" s="293"/>
      <x:c r="PZV65" s="293"/>
      <x:c r="PZW65" s="293"/>
      <x:c r="PZX65" s="293"/>
      <x:c r="PZY65" s="293"/>
      <x:c r="PZZ65" s="293"/>
      <x:c r="QAA65" s="293"/>
      <x:c r="QAB65" s="293"/>
      <x:c r="QAC65" s="293"/>
      <x:c r="QAD65" s="293"/>
      <x:c r="QAE65" s="293"/>
      <x:c r="QAF65" s="293"/>
      <x:c r="QAG65" s="293"/>
      <x:c r="QAH65" s="293"/>
      <x:c r="QAI65" s="293"/>
      <x:c r="QAJ65" s="293"/>
      <x:c r="QAK65" s="293"/>
      <x:c r="QAL65" s="293"/>
      <x:c r="QAM65" s="293"/>
      <x:c r="QAN65" s="293"/>
      <x:c r="QAO65" s="293"/>
      <x:c r="QAP65" s="293"/>
      <x:c r="QAQ65" s="293"/>
      <x:c r="QAR65" s="293"/>
      <x:c r="QAS65" s="293"/>
      <x:c r="QAT65" s="293"/>
      <x:c r="QAU65" s="293"/>
      <x:c r="QAV65" s="293"/>
      <x:c r="QAW65" s="293"/>
      <x:c r="QAX65" s="293"/>
      <x:c r="QAY65" s="293"/>
      <x:c r="QAZ65" s="293"/>
      <x:c r="QBA65" s="293"/>
      <x:c r="QBB65" s="293"/>
      <x:c r="QBC65" s="293"/>
      <x:c r="QBD65" s="293"/>
      <x:c r="QBE65" s="293"/>
      <x:c r="QBF65" s="293"/>
      <x:c r="QBG65" s="293"/>
      <x:c r="QBH65" s="293"/>
      <x:c r="QBI65" s="293"/>
      <x:c r="QBJ65" s="293"/>
      <x:c r="QBK65" s="293"/>
      <x:c r="QBL65" s="293"/>
      <x:c r="QBM65" s="293"/>
      <x:c r="QBN65" s="293"/>
      <x:c r="QBO65" s="293"/>
      <x:c r="QBP65" s="293"/>
      <x:c r="QBQ65" s="293"/>
      <x:c r="QBR65" s="293"/>
      <x:c r="QBS65" s="293"/>
      <x:c r="QBT65" s="293"/>
      <x:c r="QBU65" s="293"/>
      <x:c r="QBV65" s="293"/>
      <x:c r="QBW65" s="293"/>
      <x:c r="QBX65" s="293"/>
      <x:c r="QBY65" s="293"/>
      <x:c r="QBZ65" s="293"/>
      <x:c r="QCA65" s="293"/>
      <x:c r="QCB65" s="293"/>
      <x:c r="QCC65" s="293"/>
      <x:c r="QCD65" s="293"/>
      <x:c r="QCE65" s="293"/>
      <x:c r="QCF65" s="293"/>
      <x:c r="QCG65" s="293"/>
      <x:c r="QCH65" s="293"/>
      <x:c r="QCI65" s="293"/>
      <x:c r="QCJ65" s="293"/>
      <x:c r="QCK65" s="293"/>
      <x:c r="QCL65" s="293"/>
      <x:c r="QCM65" s="293"/>
      <x:c r="QCN65" s="293"/>
      <x:c r="QCO65" s="293"/>
      <x:c r="QCP65" s="293"/>
      <x:c r="QCQ65" s="293"/>
      <x:c r="QCR65" s="293"/>
      <x:c r="QCS65" s="293"/>
      <x:c r="QCT65" s="293"/>
      <x:c r="QCU65" s="293"/>
      <x:c r="QCV65" s="293"/>
      <x:c r="QCW65" s="293"/>
      <x:c r="QCX65" s="293"/>
      <x:c r="QCY65" s="293"/>
      <x:c r="QCZ65" s="293"/>
      <x:c r="QDA65" s="293"/>
      <x:c r="QDB65" s="293"/>
      <x:c r="QDC65" s="293"/>
      <x:c r="QDD65" s="293"/>
      <x:c r="QDE65" s="293"/>
      <x:c r="QDF65" s="293"/>
      <x:c r="QDG65" s="293"/>
      <x:c r="QDH65" s="293"/>
      <x:c r="QDI65" s="293"/>
      <x:c r="QDJ65" s="293"/>
      <x:c r="QDK65" s="293"/>
      <x:c r="QDL65" s="293"/>
      <x:c r="QDM65" s="293"/>
      <x:c r="QDN65" s="293"/>
      <x:c r="QDO65" s="293"/>
      <x:c r="QDP65" s="293"/>
      <x:c r="QDQ65" s="293"/>
      <x:c r="QDR65" s="293"/>
      <x:c r="QDS65" s="293"/>
      <x:c r="QDT65" s="293"/>
      <x:c r="QDU65" s="293"/>
      <x:c r="QDV65" s="293"/>
      <x:c r="QDW65" s="293"/>
      <x:c r="QDX65" s="293"/>
      <x:c r="QDY65" s="293"/>
      <x:c r="QDZ65" s="293"/>
      <x:c r="QEA65" s="293"/>
      <x:c r="QEB65" s="293"/>
      <x:c r="QEC65" s="293"/>
      <x:c r="QED65" s="293"/>
      <x:c r="QEE65" s="293"/>
      <x:c r="QEF65" s="293"/>
      <x:c r="QEG65" s="293"/>
      <x:c r="QEH65" s="293"/>
      <x:c r="QEI65" s="293"/>
      <x:c r="QEJ65" s="293"/>
      <x:c r="QEK65" s="293"/>
      <x:c r="QEL65" s="293"/>
      <x:c r="QEM65" s="293"/>
      <x:c r="QEN65" s="293"/>
      <x:c r="QEO65" s="293"/>
      <x:c r="QEP65" s="293"/>
      <x:c r="QEQ65" s="293"/>
      <x:c r="QER65" s="293"/>
      <x:c r="QES65" s="293"/>
      <x:c r="QET65" s="293"/>
      <x:c r="QEU65" s="293"/>
      <x:c r="QEV65" s="293"/>
      <x:c r="QEW65" s="293"/>
      <x:c r="QEX65" s="293"/>
      <x:c r="QEY65" s="293"/>
      <x:c r="QEZ65" s="293"/>
      <x:c r="QFA65" s="293"/>
      <x:c r="QFB65" s="293"/>
      <x:c r="QFC65" s="293"/>
      <x:c r="QFD65" s="293"/>
      <x:c r="QFE65" s="293"/>
      <x:c r="QFF65" s="293"/>
      <x:c r="QFG65" s="293"/>
      <x:c r="QFH65" s="293"/>
      <x:c r="QFI65" s="293"/>
      <x:c r="QFJ65" s="293"/>
      <x:c r="QFK65" s="293"/>
      <x:c r="QFL65" s="293"/>
      <x:c r="QFM65" s="293"/>
      <x:c r="QFN65" s="293"/>
      <x:c r="QFO65" s="293"/>
      <x:c r="QFP65" s="293"/>
      <x:c r="QFQ65" s="293"/>
      <x:c r="QFR65" s="293"/>
      <x:c r="QFS65" s="293"/>
      <x:c r="QFT65" s="293"/>
      <x:c r="QFU65" s="293"/>
      <x:c r="QFV65" s="293"/>
      <x:c r="QFW65" s="293"/>
      <x:c r="QFX65" s="293"/>
      <x:c r="QFY65" s="293"/>
      <x:c r="QFZ65" s="293"/>
      <x:c r="QGA65" s="293"/>
      <x:c r="QGB65" s="293"/>
      <x:c r="QGC65" s="293"/>
      <x:c r="QGD65" s="293"/>
      <x:c r="QGE65" s="293"/>
      <x:c r="QGF65" s="293"/>
      <x:c r="QGG65" s="293"/>
      <x:c r="QGH65" s="293"/>
      <x:c r="QGI65" s="293"/>
      <x:c r="QGJ65" s="293"/>
      <x:c r="QGK65" s="293"/>
      <x:c r="QGL65" s="293"/>
      <x:c r="QGM65" s="293"/>
      <x:c r="QGN65" s="293"/>
      <x:c r="QGO65" s="293"/>
      <x:c r="QGP65" s="293"/>
      <x:c r="QGQ65" s="293"/>
      <x:c r="QGR65" s="293"/>
      <x:c r="QGS65" s="293"/>
      <x:c r="QGT65" s="293"/>
      <x:c r="QGU65" s="293"/>
      <x:c r="QGV65" s="293"/>
      <x:c r="QGW65" s="293"/>
      <x:c r="QGX65" s="293"/>
      <x:c r="QGY65" s="293"/>
      <x:c r="QGZ65" s="293"/>
      <x:c r="QHA65" s="293"/>
      <x:c r="QHB65" s="293"/>
      <x:c r="QHC65" s="293"/>
      <x:c r="QHD65" s="293"/>
      <x:c r="QHE65" s="293"/>
      <x:c r="QHF65" s="293"/>
      <x:c r="QHG65" s="293"/>
      <x:c r="QHH65" s="293"/>
      <x:c r="QHI65" s="293"/>
      <x:c r="QHJ65" s="293"/>
      <x:c r="QHK65" s="293"/>
      <x:c r="QHL65" s="293"/>
      <x:c r="QHM65" s="293"/>
      <x:c r="QHN65" s="293"/>
      <x:c r="QHO65" s="293"/>
      <x:c r="QHP65" s="293"/>
      <x:c r="QHQ65" s="293"/>
      <x:c r="QHR65" s="293"/>
      <x:c r="QHS65" s="293"/>
      <x:c r="QHT65" s="293"/>
      <x:c r="QHU65" s="293"/>
      <x:c r="QHV65" s="293"/>
      <x:c r="QHW65" s="293"/>
      <x:c r="QHX65" s="293"/>
      <x:c r="QHY65" s="293"/>
      <x:c r="QHZ65" s="293"/>
      <x:c r="QIA65" s="293"/>
      <x:c r="QIB65" s="293"/>
      <x:c r="QIC65" s="293"/>
      <x:c r="QID65" s="293"/>
      <x:c r="QIE65" s="293"/>
      <x:c r="QIF65" s="293"/>
      <x:c r="QIG65" s="293"/>
      <x:c r="QIH65" s="293"/>
      <x:c r="QII65" s="293"/>
      <x:c r="QIJ65" s="293"/>
      <x:c r="QIK65" s="293"/>
      <x:c r="QIL65" s="293"/>
      <x:c r="QIM65" s="293"/>
      <x:c r="QIN65" s="293"/>
      <x:c r="QIO65" s="293"/>
      <x:c r="QIP65" s="293"/>
      <x:c r="QIQ65" s="293"/>
      <x:c r="QIR65" s="293"/>
      <x:c r="QIS65" s="293"/>
      <x:c r="QIT65" s="293"/>
      <x:c r="QIU65" s="293"/>
      <x:c r="QIV65" s="293"/>
      <x:c r="QIW65" s="293"/>
      <x:c r="QIX65" s="293"/>
      <x:c r="QIY65" s="293"/>
      <x:c r="QIZ65" s="293"/>
      <x:c r="QJA65" s="293"/>
      <x:c r="QJB65" s="293"/>
      <x:c r="QJC65" s="293"/>
      <x:c r="QJD65" s="293"/>
      <x:c r="QJE65" s="293"/>
      <x:c r="QJF65" s="293"/>
      <x:c r="QJG65" s="293"/>
      <x:c r="QJH65" s="293"/>
      <x:c r="QJI65" s="293"/>
      <x:c r="QJJ65" s="293"/>
      <x:c r="QJK65" s="293"/>
      <x:c r="QJL65" s="293"/>
      <x:c r="QJM65" s="293"/>
      <x:c r="QJN65" s="293"/>
      <x:c r="QJO65" s="293"/>
      <x:c r="QJP65" s="293"/>
      <x:c r="QJQ65" s="293"/>
      <x:c r="QJR65" s="293"/>
      <x:c r="QJS65" s="293"/>
      <x:c r="QJT65" s="293"/>
      <x:c r="QJU65" s="293"/>
      <x:c r="QJV65" s="293"/>
      <x:c r="QJW65" s="293"/>
      <x:c r="QJX65" s="293"/>
      <x:c r="QJY65" s="293"/>
      <x:c r="QJZ65" s="293"/>
      <x:c r="QKA65" s="293"/>
      <x:c r="QKB65" s="293"/>
      <x:c r="QKC65" s="293"/>
      <x:c r="QKD65" s="293"/>
      <x:c r="QKE65" s="293"/>
      <x:c r="QKF65" s="293"/>
      <x:c r="QKG65" s="293"/>
      <x:c r="QKH65" s="293"/>
      <x:c r="QKI65" s="293"/>
      <x:c r="QKJ65" s="293"/>
      <x:c r="QKK65" s="293"/>
      <x:c r="QKL65" s="293"/>
      <x:c r="QKM65" s="293"/>
      <x:c r="QKN65" s="293"/>
      <x:c r="QKO65" s="293"/>
      <x:c r="QKP65" s="293"/>
      <x:c r="QKQ65" s="293"/>
      <x:c r="QKR65" s="293"/>
      <x:c r="QKS65" s="293"/>
      <x:c r="QKT65" s="293"/>
      <x:c r="QKU65" s="293"/>
      <x:c r="QKV65" s="293"/>
      <x:c r="QKW65" s="293"/>
      <x:c r="QKX65" s="293"/>
      <x:c r="QKY65" s="293"/>
      <x:c r="QKZ65" s="293"/>
      <x:c r="QLA65" s="293"/>
      <x:c r="QLB65" s="293"/>
      <x:c r="QLC65" s="293"/>
      <x:c r="QLD65" s="293"/>
      <x:c r="QLE65" s="293"/>
      <x:c r="QLF65" s="293"/>
      <x:c r="QLG65" s="293"/>
      <x:c r="QLH65" s="293"/>
      <x:c r="QLI65" s="293"/>
      <x:c r="QLJ65" s="293"/>
      <x:c r="QLK65" s="293"/>
      <x:c r="QLL65" s="293"/>
      <x:c r="QLM65" s="293"/>
      <x:c r="QLN65" s="293"/>
      <x:c r="QLO65" s="293"/>
      <x:c r="QLP65" s="293"/>
      <x:c r="QLQ65" s="293"/>
      <x:c r="QLR65" s="293"/>
      <x:c r="QLS65" s="293"/>
      <x:c r="QLT65" s="293"/>
      <x:c r="QLU65" s="293"/>
      <x:c r="QLV65" s="293"/>
      <x:c r="QLW65" s="293"/>
      <x:c r="QLX65" s="293"/>
      <x:c r="QLY65" s="293"/>
      <x:c r="QLZ65" s="293"/>
      <x:c r="QMA65" s="293"/>
      <x:c r="QMB65" s="293"/>
      <x:c r="QMC65" s="293"/>
      <x:c r="QMD65" s="293"/>
      <x:c r="QME65" s="293"/>
      <x:c r="QMF65" s="293"/>
      <x:c r="QMG65" s="293"/>
      <x:c r="QMH65" s="293"/>
      <x:c r="QMI65" s="293"/>
      <x:c r="QMJ65" s="293"/>
      <x:c r="QMK65" s="293"/>
      <x:c r="QML65" s="293"/>
      <x:c r="QMM65" s="293"/>
      <x:c r="QMN65" s="293"/>
      <x:c r="QMO65" s="293"/>
      <x:c r="QMP65" s="293"/>
      <x:c r="QMQ65" s="293"/>
      <x:c r="QMR65" s="293"/>
      <x:c r="QMS65" s="293"/>
      <x:c r="QMT65" s="293"/>
      <x:c r="QMU65" s="293"/>
      <x:c r="QMV65" s="293"/>
      <x:c r="QMW65" s="293"/>
      <x:c r="QMX65" s="293"/>
      <x:c r="QMY65" s="293"/>
      <x:c r="QMZ65" s="293"/>
      <x:c r="QNA65" s="293"/>
      <x:c r="QNB65" s="293"/>
      <x:c r="QNC65" s="293"/>
      <x:c r="QND65" s="293"/>
      <x:c r="QNE65" s="293"/>
      <x:c r="QNF65" s="293"/>
      <x:c r="QNG65" s="293"/>
      <x:c r="QNH65" s="293"/>
      <x:c r="QNI65" s="293"/>
      <x:c r="QNJ65" s="293"/>
      <x:c r="QNK65" s="293"/>
      <x:c r="QNL65" s="293"/>
      <x:c r="QNM65" s="293"/>
      <x:c r="QNN65" s="293"/>
      <x:c r="QNO65" s="293"/>
      <x:c r="QNP65" s="293"/>
      <x:c r="QNQ65" s="293"/>
      <x:c r="QNR65" s="293"/>
      <x:c r="QNS65" s="293"/>
      <x:c r="QNT65" s="293"/>
      <x:c r="QNU65" s="293"/>
      <x:c r="QNV65" s="293"/>
      <x:c r="QNW65" s="293"/>
      <x:c r="QNX65" s="293"/>
      <x:c r="QNY65" s="293"/>
      <x:c r="QNZ65" s="293"/>
      <x:c r="QOA65" s="293"/>
      <x:c r="QOB65" s="293"/>
      <x:c r="QOC65" s="293"/>
      <x:c r="QOD65" s="293"/>
      <x:c r="QOE65" s="293"/>
      <x:c r="QOF65" s="293"/>
      <x:c r="QOG65" s="293"/>
      <x:c r="QOH65" s="293"/>
      <x:c r="QOI65" s="293"/>
      <x:c r="QOJ65" s="293"/>
      <x:c r="QOK65" s="293"/>
      <x:c r="QOL65" s="293"/>
      <x:c r="QOM65" s="293"/>
      <x:c r="QON65" s="293"/>
      <x:c r="QOO65" s="293"/>
      <x:c r="QOP65" s="293"/>
      <x:c r="QOQ65" s="293"/>
      <x:c r="QOR65" s="293"/>
      <x:c r="QOS65" s="293"/>
      <x:c r="QOT65" s="293"/>
      <x:c r="QOU65" s="293"/>
      <x:c r="QOV65" s="293"/>
      <x:c r="QOW65" s="293"/>
      <x:c r="QOX65" s="293"/>
      <x:c r="QOY65" s="293"/>
      <x:c r="QOZ65" s="293"/>
      <x:c r="QPA65" s="293"/>
      <x:c r="QPB65" s="293"/>
      <x:c r="QPC65" s="293"/>
      <x:c r="QPD65" s="293"/>
      <x:c r="QPE65" s="293"/>
      <x:c r="QPF65" s="293"/>
      <x:c r="QPG65" s="293"/>
      <x:c r="QPH65" s="293"/>
      <x:c r="QPI65" s="293"/>
      <x:c r="QPJ65" s="293"/>
      <x:c r="QPK65" s="293"/>
      <x:c r="QPL65" s="293"/>
      <x:c r="QPM65" s="293"/>
      <x:c r="QPN65" s="293"/>
      <x:c r="QPO65" s="293"/>
      <x:c r="QPP65" s="293"/>
      <x:c r="QPQ65" s="293"/>
      <x:c r="QPR65" s="293"/>
      <x:c r="QPS65" s="293"/>
      <x:c r="QPT65" s="293"/>
      <x:c r="QPU65" s="293"/>
      <x:c r="QPV65" s="293"/>
      <x:c r="QPW65" s="293"/>
      <x:c r="QPX65" s="293"/>
      <x:c r="QPY65" s="293"/>
      <x:c r="QPZ65" s="293"/>
      <x:c r="QQA65" s="293"/>
      <x:c r="QQB65" s="293"/>
      <x:c r="QQC65" s="293"/>
      <x:c r="QQD65" s="293"/>
      <x:c r="QQE65" s="293"/>
      <x:c r="QQF65" s="293"/>
      <x:c r="QQG65" s="293"/>
      <x:c r="QQH65" s="293"/>
      <x:c r="QQI65" s="293"/>
      <x:c r="QQJ65" s="293"/>
      <x:c r="QQK65" s="293"/>
      <x:c r="QQL65" s="293"/>
      <x:c r="QQM65" s="293"/>
      <x:c r="QQN65" s="293"/>
      <x:c r="QQO65" s="293"/>
      <x:c r="QQP65" s="293"/>
      <x:c r="QQQ65" s="293"/>
      <x:c r="QQR65" s="293"/>
      <x:c r="QQS65" s="293"/>
      <x:c r="QQT65" s="293"/>
      <x:c r="QQU65" s="293"/>
      <x:c r="QQV65" s="293"/>
      <x:c r="QQW65" s="293"/>
      <x:c r="QQX65" s="293"/>
      <x:c r="QQY65" s="293"/>
      <x:c r="QQZ65" s="293"/>
      <x:c r="QRA65" s="293"/>
      <x:c r="QRB65" s="293"/>
      <x:c r="QRC65" s="293"/>
      <x:c r="QRD65" s="293"/>
      <x:c r="QRE65" s="293"/>
      <x:c r="QRF65" s="293"/>
      <x:c r="QRG65" s="293"/>
      <x:c r="QRH65" s="293"/>
      <x:c r="QRI65" s="293"/>
      <x:c r="QRJ65" s="293"/>
      <x:c r="QRK65" s="293"/>
      <x:c r="QRL65" s="293"/>
      <x:c r="QRM65" s="293"/>
      <x:c r="QRN65" s="293"/>
      <x:c r="QRO65" s="293"/>
      <x:c r="QRP65" s="293"/>
      <x:c r="QRQ65" s="293"/>
      <x:c r="QRR65" s="293"/>
      <x:c r="QRS65" s="293"/>
      <x:c r="QRT65" s="293"/>
      <x:c r="QRU65" s="293"/>
      <x:c r="QRV65" s="293"/>
      <x:c r="QRW65" s="293"/>
      <x:c r="QRX65" s="293"/>
      <x:c r="QRY65" s="293"/>
      <x:c r="QRZ65" s="293"/>
      <x:c r="QSA65" s="293"/>
      <x:c r="QSB65" s="293"/>
      <x:c r="QSC65" s="293"/>
      <x:c r="QSD65" s="293"/>
      <x:c r="QSE65" s="293"/>
      <x:c r="QSF65" s="293"/>
      <x:c r="QSG65" s="293"/>
      <x:c r="QSH65" s="293"/>
      <x:c r="QSI65" s="293"/>
      <x:c r="QSJ65" s="293"/>
      <x:c r="QSK65" s="293"/>
      <x:c r="QSL65" s="293"/>
      <x:c r="QSM65" s="293"/>
      <x:c r="QSN65" s="293"/>
      <x:c r="QSO65" s="293"/>
      <x:c r="QSP65" s="293"/>
      <x:c r="QSQ65" s="293"/>
      <x:c r="QSR65" s="293"/>
      <x:c r="QSS65" s="293"/>
      <x:c r="QST65" s="293"/>
      <x:c r="QSU65" s="293"/>
      <x:c r="QSV65" s="293"/>
      <x:c r="QSW65" s="293"/>
      <x:c r="QSX65" s="293"/>
      <x:c r="QSY65" s="293"/>
      <x:c r="QSZ65" s="293"/>
      <x:c r="QTA65" s="293"/>
      <x:c r="QTB65" s="293"/>
      <x:c r="QTC65" s="293"/>
      <x:c r="QTD65" s="293"/>
      <x:c r="QTE65" s="293"/>
      <x:c r="QTF65" s="293"/>
      <x:c r="QTG65" s="293"/>
      <x:c r="QTH65" s="293"/>
      <x:c r="QTI65" s="293"/>
      <x:c r="QTJ65" s="293"/>
      <x:c r="QTK65" s="293"/>
      <x:c r="QTL65" s="293"/>
      <x:c r="QTM65" s="293"/>
      <x:c r="QTN65" s="293"/>
      <x:c r="QTO65" s="293"/>
      <x:c r="QTP65" s="293"/>
      <x:c r="QTQ65" s="293"/>
      <x:c r="QTR65" s="293"/>
      <x:c r="QTS65" s="293"/>
      <x:c r="QTT65" s="293"/>
      <x:c r="QTU65" s="293"/>
      <x:c r="QTV65" s="293"/>
      <x:c r="QTW65" s="293"/>
      <x:c r="QTX65" s="293"/>
      <x:c r="QTY65" s="293"/>
      <x:c r="QTZ65" s="293"/>
      <x:c r="QUA65" s="293"/>
      <x:c r="QUB65" s="293"/>
      <x:c r="QUC65" s="293"/>
      <x:c r="QUD65" s="293"/>
      <x:c r="QUE65" s="293"/>
      <x:c r="QUF65" s="293"/>
      <x:c r="QUG65" s="293"/>
      <x:c r="QUH65" s="293"/>
      <x:c r="QUI65" s="293"/>
      <x:c r="QUJ65" s="293"/>
      <x:c r="QUK65" s="293"/>
      <x:c r="QUL65" s="293"/>
      <x:c r="QUM65" s="293"/>
      <x:c r="QUN65" s="293"/>
      <x:c r="QUO65" s="293"/>
      <x:c r="QUP65" s="293"/>
      <x:c r="QUQ65" s="293"/>
      <x:c r="QUR65" s="293"/>
      <x:c r="QUS65" s="293"/>
      <x:c r="QUT65" s="293"/>
      <x:c r="QUU65" s="293"/>
      <x:c r="QUV65" s="293"/>
      <x:c r="QUW65" s="293"/>
      <x:c r="QUX65" s="293"/>
      <x:c r="QUY65" s="293"/>
      <x:c r="QUZ65" s="293"/>
      <x:c r="QVA65" s="293"/>
      <x:c r="QVB65" s="293"/>
      <x:c r="QVC65" s="293"/>
      <x:c r="QVD65" s="293"/>
      <x:c r="QVE65" s="293"/>
      <x:c r="QVF65" s="293"/>
      <x:c r="QVG65" s="293"/>
      <x:c r="QVH65" s="293"/>
      <x:c r="QVI65" s="293"/>
      <x:c r="QVJ65" s="293"/>
      <x:c r="QVK65" s="293"/>
      <x:c r="QVL65" s="293"/>
      <x:c r="QVM65" s="293"/>
      <x:c r="QVN65" s="293"/>
      <x:c r="QVO65" s="293"/>
      <x:c r="QVP65" s="293"/>
      <x:c r="QVQ65" s="293"/>
      <x:c r="QVR65" s="293"/>
      <x:c r="QVS65" s="293"/>
      <x:c r="QVT65" s="293"/>
      <x:c r="QVU65" s="293"/>
      <x:c r="QVV65" s="293"/>
      <x:c r="QVW65" s="293"/>
      <x:c r="QVX65" s="293"/>
      <x:c r="QVY65" s="293"/>
      <x:c r="QVZ65" s="293"/>
      <x:c r="QWA65" s="293"/>
      <x:c r="QWB65" s="293"/>
      <x:c r="QWC65" s="293"/>
      <x:c r="QWD65" s="293"/>
      <x:c r="QWE65" s="293"/>
      <x:c r="QWF65" s="293"/>
      <x:c r="QWG65" s="293"/>
      <x:c r="QWH65" s="293"/>
      <x:c r="QWI65" s="293"/>
      <x:c r="QWJ65" s="293"/>
      <x:c r="QWK65" s="293"/>
      <x:c r="QWL65" s="293"/>
      <x:c r="QWM65" s="293"/>
      <x:c r="QWN65" s="293"/>
      <x:c r="QWO65" s="293"/>
      <x:c r="QWP65" s="293"/>
      <x:c r="QWQ65" s="293"/>
      <x:c r="QWR65" s="293"/>
      <x:c r="QWS65" s="293"/>
      <x:c r="QWT65" s="293"/>
      <x:c r="QWU65" s="293"/>
      <x:c r="QWV65" s="293"/>
      <x:c r="QWW65" s="293"/>
      <x:c r="QWX65" s="293"/>
      <x:c r="QWY65" s="293"/>
      <x:c r="QWZ65" s="293"/>
      <x:c r="QXA65" s="293"/>
      <x:c r="QXB65" s="293"/>
      <x:c r="QXC65" s="293"/>
      <x:c r="QXD65" s="293"/>
      <x:c r="QXE65" s="293"/>
      <x:c r="QXF65" s="293"/>
      <x:c r="QXG65" s="293"/>
      <x:c r="QXH65" s="293"/>
      <x:c r="QXI65" s="293"/>
      <x:c r="QXJ65" s="293"/>
      <x:c r="QXK65" s="293"/>
      <x:c r="QXL65" s="293"/>
      <x:c r="QXM65" s="293"/>
      <x:c r="QXN65" s="293"/>
      <x:c r="QXO65" s="293"/>
      <x:c r="QXP65" s="293"/>
      <x:c r="QXQ65" s="293"/>
      <x:c r="QXR65" s="293"/>
      <x:c r="QXS65" s="293"/>
      <x:c r="QXT65" s="293"/>
      <x:c r="QXU65" s="293"/>
      <x:c r="QXV65" s="293"/>
      <x:c r="QXW65" s="293"/>
      <x:c r="QXX65" s="293"/>
      <x:c r="QXY65" s="293"/>
      <x:c r="QXZ65" s="293"/>
      <x:c r="QYA65" s="293"/>
      <x:c r="QYB65" s="293"/>
      <x:c r="QYC65" s="293"/>
      <x:c r="QYD65" s="293"/>
      <x:c r="QYE65" s="293"/>
      <x:c r="QYF65" s="293"/>
      <x:c r="QYG65" s="293"/>
      <x:c r="QYH65" s="293"/>
      <x:c r="QYI65" s="293"/>
      <x:c r="QYJ65" s="293"/>
      <x:c r="QYK65" s="293"/>
      <x:c r="QYL65" s="293"/>
      <x:c r="QYM65" s="293"/>
      <x:c r="QYN65" s="293"/>
      <x:c r="QYO65" s="293"/>
      <x:c r="QYP65" s="293"/>
      <x:c r="QYQ65" s="293"/>
      <x:c r="QYR65" s="293"/>
      <x:c r="QYS65" s="293"/>
      <x:c r="QYT65" s="293"/>
      <x:c r="QYU65" s="293"/>
      <x:c r="QYV65" s="293"/>
      <x:c r="QYW65" s="293"/>
      <x:c r="QYX65" s="293"/>
      <x:c r="QYY65" s="293"/>
      <x:c r="QYZ65" s="293"/>
      <x:c r="QZA65" s="293"/>
      <x:c r="QZB65" s="293"/>
      <x:c r="QZC65" s="293"/>
      <x:c r="QZD65" s="293"/>
      <x:c r="QZE65" s="293"/>
      <x:c r="QZF65" s="293"/>
      <x:c r="QZG65" s="293"/>
      <x:c r="QZH65" s="293"/>
      <x:c r="QZI65" s="293"/>
      <x:c r="QZJ65" s="293"/>
      <x:c r="QZK65" s="293"/>
      <x:c r="QZL65" s="293"/>
      <x:c r="QZM65" s="293"/>
      <x:c r="QZN65" s="293"/>
      <x:c r="QZO65" s="293"/>
      <x:c r="QZP65" s="293"/>
      <x:c r="QZQ65" s="293"/>
      <x:c r="QZR65" s="293"/>
      <x:c r="QZS65" s="293"/>
      <x:c r="QZT65" s="293"/>
      <x:c r="QZU65" s="293"/>
      <x:c r="QZV65" s="293"/>
      <x:c r="QZW65" s="293"/>
      <x:c r="QZX65" s="293"/>
      <x:c r="QZY65" s="293"/>
      <x:c r="QZZ65" s="293"/>
      <x:c r="RAA65" s="293"/>
      <x:c r="RAB65" s="293"/>
      <x:c r="RAC65" s="293"/>
      <x:c r="RAD65" s="293"/>
      <x:c r="RAE65" s="293"/>
      <x:c r="RAF65" s="293"/>
      <x:c r="RAG65" s="293"/>
      <x:c r="RAH65" s="293"/>
      <x:c r="RAI65" s="293"/>
      <x:c r="RAJ65" s="293"/>
      <x:c r="RAK65" s="293"/>
      <x:c r="RAL65" s="293"/>
      <x:c r="RAM65" s="293"/>
      <x:c r="RAN65" s="293"/>
      <x:c r="RAO65" s="293"/>
      <x:c r="RAP65" s="293"/>
      <x:c r="RAQ65" s="293"/>
      <x:c r="RAR65" s="293"/>
      <x:c r="RAS65" s="293"/>
      <x:c r="RAT65" s="293"/>
      <x:c r="RAU65" s="293"/>
      <x:c r="RAV65" s="293"/>
      <x:c r="RAW65" s="293"/>
      <x:c r="RAX65" s="293"/>
      <x:c r="RAY65" s="293"/>
      <x:c r="RAZ65" s="293"/>
      <x:c r="RBA65" s="293"/>
      <x:c r="RBB65" s="293"/>
      <x:c r="RBC65" s="293"/>
      <x:c r="RBD65" s="293"/>
      <x:c r="RBE65" s="293"/>
      <x:c r="RBF65" s="293"/>
      <x:c r="RBG65" s="293"/>
      <x:c r="RBH65" s="293"/>
      <x:c r="RBI65" s="293"/>
      <x:c r="RBJ65" s="293"/>
      <x:c r="RBK65" s="293"/>
      <x:c r="RBL65" s="293"/>
      <x:c r="RBM65" s="293"/>
      <x:c r="RBN65" s="293"/>
      <x:c r="RBO65" s="293"/>
      <x:c r="RBP65" s="293"/>
      <x:c r="RBQ65" s="293"/>
      <x:c r="RBR65" s="293"/>
      <x:c r="RBS65" s="293"/>
      <x:c r="RBT65" s="293"/>
      <x:c r="RBU65" s="293"/>
      <x:c r="RBV65" s="293"/>
      <x:c r="RBW65" s="293"/>
      <x:c r="RBX65" s="293"/>
      <x:c r="RBY65" s="293"/>
      <x:c r="RBZ65" s="293"/>
      <x:c r="RCA65" s="293"/>
      <x:c r="RCB65" s="293"/>
      <x:c r="RCC65" s="293"/>
      <x:c r="RCD65" s="293"/>
      <x:c r="RCE65" s="293"/>
      <x:c r="RCF65" s="293"/>
      <x:c r="RCG65" s="293"/>
      <x:c r="RCH65" s="293"/>
      <x:c r="RCI65" s="293"/>
      <x:c r="RCJ65" s="293"/>
      <x:c r="RCK65" s="293"/>
      <x:c r="RCL65" s="293"/>
      <x:c r="RCM65" s="293"/>
      <x:c r="RCN65" s="293"/>
      <x:c r="RCO65" s="293"/>
      <x:c r="RCP65" s="293"/>
      <x:c r="RCQ65" s="293"/>
      <x:c r="RCR65" s="293"/>
      <x:c r="RCS65" s="293"/>
      <x:c r="RCT65" s="293"/>
      <x:c r="RCU65" s="293"/>
      <x:c r="RCV65" s="293"/>
      <x:c r="RCW65" s="293"/>
      <x:c r="RCX65" s="293"/>
      <x:c r="RCY65" s="293"/>
      <x:c r="RCZ65" s="293"/>
      <x:c r="RDA65" s="293"/>
      <x:c r="RDB65" s="293"/>
      <x:c r="RDC65" s="293"/>
      <x:c r="RDD65" s="293"/>
      <x:c r="RDE65" s="293"/>
      <x:c r="RDF65" s="293"/>
      <x:c r="RDG65" s="293"/>
      <x:c r="RDH65" s="293"/>
      <x:c r="RDI65" s="293"/>
      <x:c r="RDJ65" s="293"/>
      <x:c r="RDK65" s="293"/>
      <x:c r="RDL65" s="293"/>
      <x:c r="RDM65" s="293"/>
      <x:c r="RDN65" s="293"/>
      <x:c r="RDO65" s="293"/>
      <x:c r="RDP65" s="293"/>
      <x:c r="RDQ65" s="293"/>
      <x:c r="RDR65" s="293"/>
      <x:c r="RDS65" s="293"/>
      <x:c r="RDT65" s="293"/>
      <x:c r="RDU65" s="293"/>
      <x:c r="RDV65" s="293"/>
      <x:c r="RDW65" s="293"/>
      <x:c r="RDX65" s="293"/>
      <x:c r="RDY65" s="293"/>
      <x:c r="RDZ65" s="293"/>
      <x:c r="REA65" s="293"/>
      <x:c r="REB65" s="293"/>
      <x:c r="REC65" s="293"/>
      <x:c r="RED65" s="293"/>
      <x:c r="REE65" s="293"/>
      <x:c r="REF65" s="293"/>
      <x:c r="REG65" s="293"/>
      <x:c r="REH65" s="293"/>
      <x:c r="REI65" s="293"/>
      <x:c r="REJ65" s="293"/>
      <x:c r="REK65" s="293"/>
      <x:c r="REL65" s="293"/>
      <x:c r="REM65" s="293"/>
      <x:c r="REN65" s="293"/>
      <x:c r="REO65" s="293"/>
      <x:c r="REP65" s="293"/>
      <x:c r="REQ65" s="293"/>
      <x:c r="RER65" s="293"/>
      <x:c r="RES65" s="293"/>
      <x:c r="RET65" s="293"/>
      <x:c r="REU65" s="293"/>
      <x:c r="REV65" s="293"/>
      <x:c r="REW65" s="293"/>
      <x:c r="REX65" s="293"/>
      <x:c r="REY65" s="293"/>
      <x:c r="REZ65" s="293"/>
      <x:c r="RFA65" s="293"/>
      <x:c r="RFB65" s="293"/>
      <x:c r="RFC65" s="293"/>
      <x:c r="RFD65" s="293"/>
      <x:c r="RFE65" s="293"/>
      <x:c r="RFF65" s="293"/>
      <x:c r="RFG65" s="293"/>
      <x:c r="RFH65" s="293"/>
      <x:c r="RFI65" s="293"/>
      <x:c r="RFJ65" s="293"/>
      <x:c r="RFK65" s="293"/>
      <x:c r="RFL65" s="293"/>
      <x:c r="RFM65" s="293"/>
      <x:c r="RFN65" s="293"/>
      <x:c r="RFO65" s="293"/>
      <x:c r="RFP65" s="293"/>
      <x:c r="RFQ65" s="293"/>
      <x:c r="RFR65" s="293"/>
      <x:c r="RFS65" s="293"/>
      <x:c r="RFT65" s="293"/>
      <x:c r="RFU65" s="293"/>
      <x:c r="RFV65" s="293"/>
      <x:c r="RFW65" s="293"/>
      <x:c r="RFX65" s="293"/>
      <x:c r="RFY65" s="293"/>
      <x:c r="RFZ65" s="293"/>
      <x:c r="RGA65" s="293"/>
      <x:c r="RGB65" s="293"/>
      <x:c r="RGC65" s="293"/>
      <x:c r="RGD65" s="293"/>
      <x:c r="RGE65" s="293"/>
      <x:c r="RGF65" s="293"/>
      <x:c r="RGG65" s="293"/>
      <x:c r="RGH65" s="293"/>
      <x:c r="RGI65" s="293"/>
      <x:c r="RGJ65" s="293"/>
      <x:c r="RGK65" s="293"/>
      <x:c r="RGL65" s="293"/>
      <x:c r="RGM65" s="293"/>
      <x:c r="RGN65" s="293"/>
      <x:c r="RGO65" s="293"/>
      <x:c r="RGP65" s="293"/>
      <x:c r="RGQ65" s="293"/>
      <x:c r="RGR65" s="293"/>
      <x:c r="RGS65" s="293"/>
      <x:c r="RGT65" s="293"/>
      <x:c r="RGU65" s="293"/>
      <x:c r="RGV65" s="293"/>
      <x:c r="RGW65" s="293"/>
      <x:c r="RGX65" s="293"/>
      <x:c r="RGY65" s="293"/>
      <x:c r="RGZ65" s="293"/>
      <x:c r="RHA65" s="293"/>
      <x:c r="RHB65" s="293"/>
      <x:c r="RHC65" s="293"/>
      <x:c r="RHD65" s="293"/>
      <x:c r="RHE65" s="293"/>
      <x:c r="RHF65" s="293"/>
      <x:c r="RHG65" s="293"/>
      <x:c r="RHH65" s="293"/>
      <x:c r="RHI65" s="293"/>
      <x:c r="RHJ65" s="293"/>
      <x:c r="RHK65" s="293"/>
      <x:c r="RHL65" s="293"/>
      <x:c r="RHM65" s="293"/>
      <x:c r="RHN65" s="293"/>
      <x:c r="RHO65" s="293"/>
      <x:c r="RHP65" s="293"/>
      <x:c r="RHQ65" s="293"/>
      <x:c r="RHR65" s="293"/>
      <x:c r="RHS65" s="293"/>
      <x:c r="RHT65" s="293"/>
      <x:c r="RHU65" s="293"/>
      <x:c r="RHV65" s="293"/>
      <x:c r="RHW65" s="293"/>
      <x:c r="RHX65" s="293"/>
      <x:c r="RHY65" s="293"/>
      <x:c r="RHZ65" s="293"/>
      <x:c r="RIA65" s="293"/>
      <x:c r="RIB65" s="293"/>
      <x:c r="RIC65" s="293"/>
      <x:c r="RID65" s="293"/>
      <x:c r="RIE65" s="293"/>
      <x:c r="RIF65" s="293"/>
      <x:c r="RIG65" s="293"/>
      <x:c r="RIH65" s="293"/>
      <x:c r="RII65" s="293"/>
      <x:c r="RIJ65" s="293"/>
      <x:c r="RIK65" s="293"/>
      <x:c r="RIL65" s="293"/>
      <x:c r="RIM65" s="293"/>
      <x:c r="RIN65" s="293"/>
      <x:c r="RIO65" s="293"/>
      <x:c r="RIP65" s="293"/>
      <x:c r="RIQ65" s="293"/>
      <x:c r="RIR65" s="293"/>
      <x:c r="RIS65" s="293"/>
      <x:c r="RIT65" s="293"/>
      <x:c r="RIU65" s="293"/>
      <x:c r="RIV65" s="293"/>
      <x:c r="RIW65" s="293"/>
      <x:c r="RIX65" s="293"/>
      <x:c r="RIY65" s="293"/>
      <x:c r="RIZ65" s="293"/>
      <x:c r="RJA65" s="293"/>
      <x:c r="RJB65" s="293"/>
      <x:c r="RJC65" s="293"/>
      <x:c r="RJD65" s="293"/>
      <x:c r="RJE65" s="293"/>
      <x:c r="RJF65" s="293"/>
      <x:c r="RJG65" s="293"/>
      <x:c r="RJH65" s="293"/>
      <x:c r="RJI65" s="293"/>
      <x:c r="RJJ65" s="293"/>
      <x:c r="RJK65" s="293"/>
      <x:c r="RJL65" s="293"/>
      <x:c r="RJM65" s="293"/>
      <x:c r="RJN65" s="293"/>
      <x:c r="RJO65" s="293"/>
      <x:c r="RJP65" s="293"/>
      <x:c r="RJQ65" s="293"/>
      <x:c r="RJR65" s="293"/>
      <x:c r="RJS65" s="293"/>
      <x:c r="RJT65" s="293"/>
      <x:c r="RJU65" s="293"/>
      <x:c r="RJV65" s="293"/>
      <x:c r="RJW65" s="293"/>
      <x:c r="RJX65" s="293"/>
      <x:c r="RJY65" s="293"/>
      <x:c r="RJZ65" s="293"/>
      <x:c r="RKA65" s="293"/>
      <x:c r="RKB65" s="293"/>
      <x:c r="RKC65" s="293"/>
      <x:c r="RKD65" s="293"/>
      <x:c r="RKE65" s="293"/>
      <x:c r="RKF65" s="293"/>
      <x:c r="RKG65" s="293"/>
      <x:c r="RKH65" s="293"/>
      <x:c r="RKI65" s="293"/>
      <x:c r="RKJ65" s="293"/>
      <x:c r="RKK65" s="293"/>
      <x:c r="RKL65" s="293"/>
      <x:c r="RKM65" s="293"/>
      <x:c r="RKN65" s="293"/>
      <x:c r="RKO65" s="293"/>
      <x:c r="RKP65" s="293"/>
      <x:c r="RKQ65" s="293"/>
      <x:c r="RKR65" s="293"/>
      <x:c r="RKS65" s="293"/>
      <x:c r="RKT65" s="293"/>
      <x:c r="RKU65" s="293"/>
      <x:c r="RKV65" s="293"/>
      <x:c r="RKW65" s="293"/>
      <x:c r="RKX65" s="293"/>
      <x:c r="RKY65" s="293"/>
      <x:c r="RKZ65" s="293"/>
      <x:c r="RLA65" s="293"/>
      <x:c r="RLB65" s="293"/>
      <x:c r="RLC65" s="293"/>
      <x:c r="RLD65" s="293"/>
      <x:c r="RLE65" s="293"/>
      <x:c r="RLF65" s="293"/>
      <x:c r="RLG65" s="293"/>
      <x:c r="RLH65" s="293"/>
      <x:c r="RLI65" s="293"/>
      <x:c r="RLJ65" s="293"/>
      <x:c r="RLK65" s="293"/>
      <x:c r="RLL65" s="293"/>
      <x:c r="RLM65" s="293"/>
      <x:c r="RLN65" s="293"/>
      <x:c r="RLO65" s="293"/>
      <x:c r="RLP65" s="293"/>
      <x:c r="RLQ65" s="293"/>
      <x:c r="RLR65" s="293"/>
      <x:c r="RLS65" s="293"/>
      <x:c r="RLT65" s="293"/>
      <x:c r="RLU65" s="293"/>
      <x:c r="RLV65" s="293"/>
      <x:c r="RLW65" s="293"/>
      <x:c r="RLX65" s="293"/>
      <x:c r="RLY65" s="293"/>
      <x:c r="RLZ65" s="293"/>
      <x:c r="RMA65" s="293"/>
      <x:c r="RMB65" s="293"/>
      <x:c r="RMC65" s="293"/>
      <x:c r="RMD65" s="293"/>
      <x:c r="RME65" s="293"/>
      <x:c r="RMF65" s="293"/>
      <x:c r="RMG65" s="293"/>
      <x:c r="RMH65" s="293"/>
      <x:c r="RMI65" s="293"/>
      <x:c r="RMJ65" s="293"/>
      <x:c r="RMK65" s="293"/>
      <x:c r="RML65" s="293"/>
      <x:c r="RMM65" s="293"/>
      <x:c r="RMN65" s="293"/>
      <x:c r="RMO65" s="293"/>
      <x:c r="RMP65" s="293"/>
      <x:c r="RMQ65" s="293"/>
      <x:c r="RMR65" s="293"/>
      <x:c r="RMS65" s="293"/>
      <x:c r="RMT65" s="293"/>
      <x:c r="RMU65" s="293"/>
      <x:c r="RMV65" s="293"/>
      <x:c r="RMW65" s="293"/>
      <x:c r="RMX65" s="293"/>
      <x:c r="RMY65" s="293"/>
      <x:c r="RMZ65" s="293"/>
      <x:c r="RNA65" s="293"/>
      <x:c r="RNB65" s="293"/>
      <x:c r="RNC65" s="293"/>
      <x:c r="RND65" s="293"/>
      <x:c r="RNE65" s="293"/>
      <x:c r="RNF65" s="293"/>
      <x:c r="RNG65" s="293"/>
      <x:c r="RNH65" s="293"/>
      <x:c r="RNI65" s="293"/>
      <x:c r="RNJ65" s="293"/>
      <x:c r="RNK65" s="293"/>
      <x:c r="RNL65" s="293"/>
      <x:c r="RNM65" s="293"/>
      <x:c r="RNN65" s="293"/>
      <x:c r="RNO65" s="293"/>
      <x:c r="RNP65" s="293"/>
      <x:c r="RNQ65" s="293"/>
      <x:c r="RNR65" s="293"/>
      <x:c r="RNS65" s="293"/>
      <x:c r="RNT65" s="293"/>
      <x:c r="RNU65" s="293"/>
      <x:c r="RNV65" s="293"/>
      <x:c r="RNW65" s="293"/>
      <x:c r="RNX65" s="293"/>
      <x:c r="RNY65" s="293"/>
      <x:c r="RNZ65" s="293"/>
      <x:c r="ROA65" s="293"/>
      <x:c r="ROB65" s="293"/>
      <x:c r="ROC65" s="293"/>
      <x:c r="ROD65" s="293"/>
      <x:c r="ROE65" s="293"/>
      <x:c r="ROF65" s="293"/>
      <x:c r="ROG65" s="293"/>
      <x:c r="ROH65" s="293"/>
      <x:c r="ROI65" s="293"/>
      <x:c r="ROJ65" s="293"/>
      <x:c r="ROK65" s="293"/>
      <x:c r="ROL65" s="293"/>
      <x:c r="ROM65" s="293"/>
      <x:c r="RON65" s="293"/>
      <x:c r="ROO65" s="293"/>
      <x:c r="ROP65" s="293"/>
      <x:c r="ROQ65" s="293"/>
      <x:c r="ROR65" s="293"/>
      <x:c r="ROS65" s="293"/>
      <x:c r="ROT65" s="293"/>
      <x:c r="ROU65" s="293"/>
      <x:c r="ROV65" s="293"/>
      <x:c r="ROW65" s="293"/>
      <x:c r="ROX65" s="293"/>
      <x:c r="ROY65" s="293"/>
      <x:c r="ROZ65" s="293"/>
      <x:c r="RPA65" s="293"/>
      <x:c r="RPB65" s="293"/>
      <x:c r="RPC65" s="293"/>
      <x:c r="RPD65" s="293"/>
      <x:c r="RPE65" s="293"/>
      <x:c r="RPF65" s="293"/>
      <x:c r="RPG65" s="293"/>
      <x:c r="RPH65" s="293"/>
      <x:c r="RPI65" s="293"/>
      <x:c r="RPJ65" s="293"/>
      <x:c r="RPK65" s="293"/>
      <x:c r="RPL65" s="293"/>
      <x:c r="RPM65" s="293"/>
      <x:c r="RPN65" s="293"/>
      <x:c r="RPO65" s="293"/>
      <x:c r="RPP65" s="293"/>
      <x:c r="RPQ65" s="293"/>
      <x:c r="RPR65" s="293"/>
      <x:c r="RPS65" s="293"/>
      <x:c r="RPT65" s="293"/>
      <x:c r="RPU65" s="293"/>
      <x:c r="RPV65" s="293"/>
      <x:c r="RPW65" s="293"/>
      <x:c r="RPX65" s="293"/>
      <x:c r="RPY65" s="293"/>
      <x:c r="RPZ65" s="293"/>
      <x:c r="RQA65" s="293"/>
      <x:c r="RQB65" s="293"/>
      <x:c r="RQC65" s="293"/>
      <x:c r="RQD65" s="293"/>
      <x:c r="RQE65" s="293"/>
      <x:c r="RQF65" s="293"/>
      <x:c r="RQG65" s="293"/>
      <x:c r="RQH65" s="293"/>
      <x:c r="RQI65" s="293"/>
      <x:c r="RQJ65" s="293"/>
      <x:c r="RQK65" s="293"/>
      <x:c r="RQL65" s="293"/>
      <x:c r="RQM65" s="293"/>
      <x:c r="RQN65" s="293"/>
      <x:c r="RQO65" s="293"/>
      <x:c r="RQP65" s="293"/>
      <x:c r="RQQ65" s="293"/>
      <x:c r="RQR65" s="293"/>
      <x:c r="RQS65" s="293"/>
      <x:c r="RQT65" s="293"/>
      <x:c r="RQU65" s="293"/>
      <x:c r="RQV65" s="293"/>
      <x:c r="RQW65" s="293"/>
      <x:c r="RQX65" s="293"/>
      <x:c r="RQY65" s="293"/>
      <x:c r="RQZ65" s="293"/>
      <x:c r="RRA65" s="293"/>
      <x:c r="RRB65" s="293"/>
      <x:c r="RRC65" s="293"/>
      <x:c r="RRD65" s="293"/>
      <x:c r="RRE65" s="293"/>
      <x:c r="RRF65" s="293"/>
      <x:c r="RRG65" s="293"/>
      <x:c r="RRH65" s="293"/>
      <x:c r="RRI65" s="293"/>
      <x:c r="RRJ65" s="293"/>
      <x:c r="RRK65" s="293"/>
      <x:c r="RRL65" s="293"/>
      <x:c r="RRM65" s="293"/>
      <x:c r="RRN65" s="293"/>
      <x:c r="RRO65" s="293"/>
      <x:c r="RRP65" s="293"/>
      <x:c r="RRQ65" s="293"/>
      <x:c r="RRR65" s="293"/>
      <x:c r="RRS65" s="293"/>
      <x:c r="RRT65" s="293"/>
      <x:c r="RRU65" s="293"/>
      <x:c r="RRV65" s="293"/>
      <x:c r="RRW65" s="293"/>
      <x:c r="RRX65" s="293"/>
      <x:c r="RRY65" s="293"/>
      <x:c r="RRZ65" s="293"/>
      <x:c r="RSA65" s="293"/>
      <x:c r="RSB65" s="293"/>
      <x:c r="RSC65" s="293"/>
      <x:c r="RSD65" s="293"/>
      <x:c r="RSE65" s="293"/>
      <x:c r="RSF65" s="293"/>
      <x:c r="RSG65" s="293"/>
      <x:c r="RSH65" s="293"/>
      <x:c r="RSI65" s="293"/>
      <x:c r="RSJ65" s="293"/>
      <x:c r="RSK65" s="293"/>
      <x:c r="RSL65" s="293"/>
      <x:c r="RSM65" s="293"/>
      <x:c r="RSN65" s="293"/>
      <x:c r="RSO65" s="293"/>
      <x:c r="RSP65" s="293"/>
      <x:c r="RSQ65" s="293"/>
      <x:c r="RSR65" s="293"/>
      <x:c r="RSS65" s="293"/>
      <x:c r="RST65" s="293"/>
      <x:c r="RSU65" s="293"/>
      <x:c r="RSV65" s="293"/>
      <x:c r="RSW65" s="293"/>
      <x:c r="RSX65" s="293"/>
      <x:c r="RSY65" s="293"/>
      <x:c r="RSZ65" s="293"/>
      <x:c r="RTA65" s="293"/>
      <x:c r="RTB65" s="293"/>
      <x:c r="RTC65" s="293"/>
      <x:c r="RTD65" s="293"/>
      <x:c r="RTE65" s="293"/>
      <x:c r="RTF65" s="293"/>
      <x:c r="RTG65" s="293"/>
      <x:c r="RTH65" s="293"/>
      <x:c r="RTI65" s="293"/>
      <x:c r="RTJ65" s="293"/>
      <x:c r="RTK65" s="293"/>
      <x:c r="RTL65" s="293"/>
      <x:c r="RTM65" s="293"/>
      <x:c r="RTN65" s="293"/>
      <x:c r="RTO65" s="293"/>
      <x:c r="RTP65" s="293"/>
      <x:c r="RTQ65" s="293"/>
      <x:c r="RTR65" s="293"/>
      <x:c r="RTS65" s="293"/>
      <x:c r="RTT65" s="293"/>
      <x:c r="RTU65" s="293"/>
      <x:c r="RTV65" s="293"/>
      <x:c r="RTW65" s="293"/>
      <x:c r="RTX65" s="293"/>
      <x:c r="RTY65" s="293"/>
      <x:c r="RTZ65" s="293"/>
      <x:c r="RUA65" s="293"/>
      <x:c r="RUB65" s="293"/>
      <x:c r="RUC65" s="293"/>
      <x:c r="RUD65" s="293"/>
      <x:c r="RUE65" s="293"/>
      <x:c r="RUF65" s="293"/>
      <x:c r="RUG65" s="293"/>
      <x:c r="RUH65" s="293"/>
      <x:c r="RUI65" s="293"/>
      <x:c r="RUJ65" s="293"/>
      <x:c r="RUK65" s="293"/>
      <x:c r="RUL65" s="293"/>
      <x:c r="RUM65" s="293"/>
      <x:c r="RUN65" s="293"/>
      <x:c r="RUO65" s="293"/>
      <x:c r="RUP65" s="293"/>
      <x:c r="RUQ65" s="293"/>
      <x:c r="RUR65" s="293"/>
      <x:c r="RUS65" s="293"/>
      <x:c r="RUT65" s="293"/>
      <x:c r="RUU65" s="293"/>
      <x:c r="RUV65" s="293"/>
      <x:c r="RUW65" s="293"/>
      <x:c r="RUX65" s="293"/>
      <x:c r="RUY65" s="293"/>
      <x:c r="RUZ65" s="293"/>
      <x:c r="RVA65" s="293"/>
      <x:c r="RVB65" s="293"/>
      <x:c r="RVC65" s="293"/>
      <x:c r="RVD65" s="293"/>
      <x:c r="RVE65" s="293"/>
      <x:c r="RVF65" s="293"/>
      <x:c r="RVG65" s="293"/>
      <x:c r="RVH65" s="293"/>
      <x:c r="RVI65" s="293"/>
      <x:c r="RVJ65" s="293"/>
      <x:c r="RVK65" s="293"/>
      <x:c r="RVL65" s="293"/>
      <x:c r="RVM65" s="293"/>
      <x:c r="RVN65" s="293"/>
      <x:c r="RVO65" s="293"/>
      <x:c r="RVP65" s="293"/>
      <x:c r="RVQ65" s="293"/>
      <x:c r="RVR65" s="293"/>
      <x:c r="RVS65" s="293"/>
      <x:c r="RVT65" s="293"/>
      <x:c r="RVU65" s="293"/>
      <x:c r="RVV65" s="293"/>
      <x:c r="RVW65" s="293"/>
      <x:c r="RVX65" s="293"/>
      <x:c r="RVY65" s="293"/>
      <x:c r="RVZ65" s="293"/>
      <x:c r="RWA65" s="293"/>
      <x:c r="RWB65" s="293"/>
      <x:c r="RWC65" s="293"/>
      <x:c r="RWD65" s="293"/>
      <x:c r="RWE65" s="293"/>
      <x:c r="RWF65" s="293"/>
      <x:c r="RWG65" s="293"/>
      <x:c r="RWH65" s="293"/>
      <x:c r="RWI65" s="293"/>
      <x:c r="RWJ65" s="293"/>
      <x:c r="RWK65" s="293"/>
      <x:c r="RWL65" s="293"/>
      <x:c r="RWM65" s="293"/>
      <x:c r="RWN65" s="293"/>
      <x:c r="RWO65" s="293"/>
      <x:c r="RWP65" s="293"/>
      <x:c r="RWQ65" s="293"/>
      <x:c r="RWR65" s="293"/>
      <x:c r="RWS65" s="293"/>
      <x:c r="RWT65" s="293"/>
      <x:c r="RWU65" s="293"/>
      <x:c r="RWV65" s="293"/>
      <x:c r="RWW65" s="293"/>
      <x:c r="RWX65" s="293"/>
      <x:c r="RWY65" s="293"/>
      <x:c r="RWZ65" s="293"/>
      <x:c r="RXA65" s="293"/>
      <x:c r="RXB65" s="293"/>
      <x:c r="RXC65" s="293"/>
      <x:c r="RXD65" s="293"/>
      <x:c r="RXE65" s="293"/>
      <x:c r="RXF65" s="293"/>
      <x:c r="RXG65" s="293"/>
      <x:c r="RXH65" s="293"/>
      <x:c r="RXI65" s="293"/>
      <x:c r="RXJ65" s="293"/>
      <x:c r="RXK65" s="293"/>
      <x:c r="RXL65" s="293"/>
      <x:c r="RXM65" s="293"/>
      <x:c r="RXN65" s="293"/>
      <x:c r="RXO65" s="293"/>
      <x:c r="RXP65" s="293"/>
      <x:c r="RXQ65" s="293"/>
      <x:c r="RXR65" s="293"/>
      <x:c r="RXS65" s="293"/>
      <x:c r="RXT65" s="293"/>
      <x:c r="RXU65" s="293"/>
      <x:c r="RXV65" s="293"/>
      <x:c r="RXW65" s="293"/>
      <x:c r="RXX65" s="293"/>
      <x:c r="RXY65" s="293"/>
      <x:c r="RXZ65" s="293"/>
      <x:c r="RYA65" s="293"/>
      <x:c r="RYB65" s="293"/>
      <x:c r="RYC65" s="293"/>
      <x:c r="RYD65" s="293"/>
      <x:c r="RYE65" s="293"/>
      <x:c r="RYF65" s="293"/>
      <x:c r="RYG65" s="293"/>
      <x:c r="RYH65" s="293"/>
      <x:c r="RYI65" s="293"/>
      <x:c r="RYJ65" s="293"/>
      <x:c r="RYK65" s="293"/>
      <x:c r="RYL65" s="293"/>
      <x:c r="RYM65" s="293"/>
      <x:c r="RYN65" s="293"/>
      <x:c r="RYO65" s="293"/>
      <x:c r="RYP65" s="293"/>
      <x:c r="RYQ65" s="293"/>
      <x:c r="RYR65" s="293"/>
      <x:c r="RYS65" s="293"/>
      <x:c r="RYT65" s="293"/>
      <x:c r="RYU65" s="293"/>
      <x:c r="RYV65" s="293"/>
      <x:c r="RYW65" s="293"/>
      <x:c r="RYX65" s="293"/>
      <x:c r="RYY65" s="293"/>
      <x:c r="RYZ65" s="293"/>
      <x:c r="RZA65" s="293"/>
      <x:c r="RZB65" s="293"/>
      <x:c r="RZC65" s="293"/>
      <x:c r="RZD65" s="293"/>
      <x:c r="RZE65" s="293"/>
      <x:c r="RZF65" s="293"/>
      <x:c r="RZG65" s="293"/>
      <x:c r="RZH65" s="293"/>
      <x:c r="RZI65" s="293"/>
      <x:c r="RZJ65" s="293"/>
      <x:c r="RZK65" s="293"/>
      <x:c r="RZL65" s="293"/>
      <x:c r="RZM65" s="293"/>
      <x:c r="RZN65" s="293"/>
      <x:c r="RZO65" s="293"/>
      <x:c r="RZP65" s="293"/>
      <x:c r="RZQ65" s="293"/>
      <x:c r="RZR65" s="293"/>
      <x:c r="RZS65" s="293"/>
      <x:c r="RZT65" s="293"/>
      <x:c r="RZU65" s="293"/>
      <x:c r="RZV65" s="293"/>
      <x:c r="RZW65" s="293"/>
      <x:c r="RZX65" s="293"/>
      <x:c r="RZY65" s="293"/>
      <x:c r="RZZ65" s="293"/>
      <x:c r="SAA65" s="293"/>
      <x:c r="SAB65" s="293"/>
      <x:c r="SAC65" s="293"/>
      <x:c r="SAD65" s="293"/>
      <x:c r="SAE65" s="293"/>
      <x:c r="SAF65" s="293"/>
      <x:c r="SAG65" s="293"/>
      <x:c r="SAH65" s="293"/>
      <x:c r="SAI65" s="293"/>
      <x:c r="SAJ65" s="293"/>
      <x:c r="SAK65" s="293"/>
      <x:c r="SAL65" s="293"/>
      <x:c r="SAM65" s="293"/>
      <x:c r="SAN65" s="293"/>
      <x:c r="SAO65" s="293"/>
      <x:c r="SAP65" s="293"/>
      <x:c r="SAQ65" s="293"/>
      <x:c r="SAR65" s="293"/>
      <x:c r="SAS65" s="293"/>
      <x:c r="SAT65" s="293"/>
      <x:c r="SAU65" s="293"/>
      <x:c r="SAV65" s="293"/>
      <x:c r="SAW65" s="293"/>
      <x:c r="SAX65" s="293"/>
      <x:c r="SAY65" s="293"/>
      <x:c r="SAZ65" s="293"/>
      <x:c r="SBA65" s="293"/>
      <x:c r="SBB65" s="293"/>
      <x:c r="SBC65" s="293"/>
      <x:c r="SBD65" s="293"/>
      <x:c r="SBE65" s="293"/>
      <x:c r="SBF65" s="293"/>
      <x:c r="SBG65" s="293"/>
      <x:c r="SBH65" s="293"/>
      <x:c r="SBI65" s="293"/>
      <x:c r="SBJ65" s="293"/>
      <x:c r="SBK65" s="293"/>
      <x:c r="SBL65" s="293"/>
      <x:c r="SBM65" s="293"/>
      <x:c r="SBN65" s="293"/>
      <x:c r="SBO65" s="293"/>
      <x:c r="SBP65" s="293"/>
      <x:c r="SBQ65" s="293"/>
      <x:c r="SBR65" s="293"/>
      <x:c r="SBS65" s="293"/>
      <x:c r="SBT65" s="293"/>
      <x:c r="SBU65" s="293"/>
      <x:c r="SBV65" s="293"/>
      <x:c r="SBW65" s="293"/>
      <x:c r="SBX65" s="293"/>
      <x:c r="SBY65" s="293"/>
      <x:c r="SBZ65" s="293"/>
      <x:c r="SCA65" s="293"/>
      <x:c r="SCB65" s="293"/>
      <x:c r="SCC65" s="293"/>
      <x:c r="SCD65" s="293"/>
      <x:c r="SCE65" s="293"/>
      <x:c r="SCF65" s="293"/>
      <x:c r="SCG65" s="293"/>
      <x:c r="SCH65" s="293"/>
      <x:c r="SCI65" s="293"/>
      <x:c r="SCJ65" s="293"/>
      <x:c r="SCK65" s="293"/>
      <x:c r="SCL65" s="293"/>
      <x:c r="SCM65" s="293"/>
      <x:c r="SCN65" s="293"/>
      <x:c r="SCO65" s="293"/>
      <x:c r="SCP65" s="293"/>
      <x:c r="SCQ65" s="293"/>
      <x:c r="SCR65" s="293"/>
      <x:c r="SCS65" s="293"/>
      <x:c r="SCT65" s="293"/>
      <x:c r="SCU65" s="293"/>
      <x:c r="SCV65" s="293"/>
      <x:c r="SCW65" s="293"/>
      <x:c r="SCX65" s="293"/>
      <x:c r="SCY65" s="293"/>
      <x:c r="SCZ65" s="293"/>
      <x:c r="SDA65" s="293"/>
      <x:c r="SDB65" s="293"/>
      <x:c r="SDC65" s="293"/>
      <x:c r="SDD65" s="293"/>
      <x:c r="SDE65" s="293"/>
      <x:c r="SDF65" s="293"/>
      <x:c r="SDG65" s="293"/>
      <x:c r="SDH65" s="293"/>
      <x:c r="SDI65" s="293"/>
      <x:c r="SDJ65" s="293"/>
      <x:c r="SDK65" s="293"/>
      <x:c r="SDL65" s="293"/>
      <x:c r="SDM65" s="293"/>
      <x:c r="SDN65" s="293"/>
      <x:c r="SDO65" s="293"/>
      <x:c r="SDP65" s="293"/>
      <x:c r="SDQ65" s="293"/>
      <x:c r="SDR65" s="293"/>
      <x:c r="SDS65" s="293"/>
      <x:c r="SDT65" s="293"/>
      <x:c r="SDU65" s="293"/>
      <x:c r="SDV65" s="293"/>
      <x:c r="SDW65" s="293"/>
      <x:c r="SDX65" s="293"/>
      <x:c r="SDY65" s="293"/>
      <x:c r="SDZ65" s="293"/>
      <x:c r="SEA65" s="293"/>
      <x:c r="SEB65" s="293"/>
      <x:c r="SEC65" s="293"/>
      <x:c r="SED65" s="293"/>
      <x:c r="SEE65" s="293"/>
      <x:c r="SEF65" s="293"/>
      <x:c r="SEG65" s="293"/>
      <x:c r="SEH65" s="293"/>
      <x:c r="SEI65" s="293"/>
      <x:c r="SEJ65" s="293"/>
      <x:c r="SEK65" s="293"/>
      <x:c r="SEL65" s="293"/>
      <x:c r="SEM65" s="293"/>
      <x:c r="SEN65" s="293"/>
      <x:c r="SEO65" s="293"/>
      <x:c r="SEP65" s="293"/>
      <x:c r="SEQ65" s="293"/>
      <x:c r="SER65" s="293"/>
      <x:c r="SES65" s="293"/>
      <x:c r="SET65" s="293"/>
      <x:c r="SEU65" s="293"/>
      <x:c r="SEV65" s="293"/>
      <x:c r="SEW65" s="293"/>
      <x:c r="SEX65" s="293"/>
      <x:c r="SEY65" s="293"/>
      <x:c r="SEZ65" s="293"/>
      <x:c r="SFA65" s="293"/>
      <x:c r="SFB65" s="293"/>
      <x:c r="SFC65" s="293"/>
      <x:c r="SFD65" s="293"/>
      <x:c r="SFE65" s="293"/>
      <x:c r="SFF65" s="293"/>
      <x:c r="SFG65" s="293"/>
      <x:c r="SFH65" s="293"/>
      <x:c r="SFI65" s="293"/>
      <x:c r="SFJ65" s="293"/>
      <x:c r="SFK65" s="293"/>
      <x:c r="SFL65" s="293"/>
      <x:c r="SFM65" s="293"/>
      <x:c r="SFN65" s="293"/>
      <x:c r="SFO65" s="293"/>
      <x:c r="SFP65" s="293"/>
      <x:c r="SFQ65" s="293"/>
      <x:c r="SFR65" s="293"/>
      <x:c r="SFS65" s="293"/>
      <x:c r="SFT65" s="293"/>
      <x:c r="SFU65" s="293"/>
      <x:c r="SFV65" s="293"/>
      <x:c r="SFW65" s="293"/>
      <x:c r="SFX65" s="293"/>
      <x:c r="SFY65" s="293"/>
      <x:c r="SFZ65" s="293"/>
      <x:c r="SGA65" s="293"/>
      <x:c r="SGB65" s="293"/>
      <x:c r="SGC65" s="293"/>
      <x:c r="SGD65" s="293"/>
      <x:c r="SGE65" s="293"/>
      <x:c r="SGF65" s="293"/>
      <x:c r="SGG65" s="293"/>
      <x:c r="SGH65" s="293"/>
      <x:c r="SGI65" s="293"/>
      <x:c r="SGJ65" s="293"/>
      <x:c r="SGK65" s="293"/>
      <x:c r="SGL65" s="293"/>
      <x:c r="SGM65" s="293"/>
      <x:c r="SGN65" s="293"/>
      <x:c r="SGO65" s="293"/>
      <x:c r="SGP65" s="293"/>
      <x:c r="SGQ65" s="293"/>
      <x:c r="SGR65" s="293"/>
      <x:c r="SGS65" s="293"/>
      <x:c r="SGT65" s="293"/>
      <x:c r="SGU65" s="293"/>
      <x:c r="SGV65" s="293"/>
      <x:c r="SGW65" s="293"/>
      <x:c r="SGX65" s="293"/>
      <x:c r="SGY65" s="293"/>
      <x:c r="SGZ65" s="293"/>
      <x:c r="SHA65" s="293"/>
      <x:c r="SHB65" s="293"/>
      <x:c r="SHC65" s="293"/>
      <x:c r="SHD65" s="293"/>
      <x:c r="SHE65" s="293"/>
      <x:c r="SHF65" s="293"/>
      <x:c r="SHG65" s="293"/>
      <x:c r="SHH65" s="293"/>
      <x:c r="SHI65" s="293"/>
      <x:c r="SHJ65" s="293"/>
      <x:c r="SHK65" s="293"/>
      <x:c r="SHL65" s="293"/>
      <x:c r="SHM65" s="293"/>
      <x:c r="SHN65" s="293"/>
      <x:c r="SHO65" s="293"/>
      <x:c r="SHP65" s="293"/>
      <x:c r="SHQ65" s="293"/>
      <x:c r="SHR65" s="293"/>
      <x:c r="SHS65" s="293"/>
      <x:c r="SHT65" s="293"/>
      <x:c r="SHU65" s="293"/>
      <x:c r="SHV65" s="293"/>
      <x:c r="SHW65" s="293"/>
      <x:c r="SHX65" s="293"/>
      <x:c r="SHY65" s="293"/>
      <x:c r="SHZ65" s="293"/>
      <x:c r="SIA65" s="293"/>
      <x:c r="SIB65" s="293"/>
      <x:c r="SIC65" s="293"/>
      <x:c r="SID65" s="293"/>
      <x:c r="SIE65" s="293"/>
      <x:c r="SIF65" s="293"/>
      <x:c r="SIG65" s="293"/>
      <x:c r="SIH65" s="293"/>
      <x:c r="SII65" s="293"/>
      <x:c r="SIJ65" s="293"/>
      <x:c r="SIK65" s="293"/>
      <x:c r="SIL65" s="293"/>
      <x:c r="SIM65" s="293"/>
      <x:c r="SIN65" s="293"/>
      <x:c r="SIO65" s="293"/>
      <x:c r="SIP65" s="293"/>
      <x:c r="SIQ65" s="293"/>
      <x:c r="SIR65" s="293"/>
      <x:c r="SIS65" s="293"/>
      <x:c r="SIT65" s="293"/>
      <x:c r="SIU65" s="293"/>
      <x:c r="SIV65" s="293"/>
      <x:c r="SIW65" s="293"/>
      <x:c r="SIX65" s="293"/>
      <x:c r="SIY65" s="293"/>
      <x:c r="SIZ65" s="293"/>
      <x:c r="SJA65" s="293"/>
      <x:c r="SJB65" s="293"/>
      <x:c r="SJC65" s="293"/>
      <x:c r="SJD65" s="293"/>
      <x:c r="SJE65" s="293"/>
      <x:c r="SJF65" s="293"/>
      <x:c r="SJG65" s="293"/>
      <x:c r="SJH65" s="293"/>
      <x:c r="SJI65" s="293"/>
      <x:c r="SJJ65" s="293"/>
      <x:c r="SJK65" s="293"/>
      <x:c r="SJL65" s="293"/>
      <x:c r="SJM65" s="293"/>
      <x:c r="SJN65" s="293"/>
      <x:c r="SJO65" s="293"/>
      <x:c r="SJP65" s="293"/>
      <x:c r="SJQ65" s="293"/>
      <x:c r="SJR65" s="293"/>
      <x:c r="SJS65" s="293"/>
      <x:c r="SJT65" s="293"/>
      <x:c r="SJU65" s="293"/>
      <x:c r="SJV65" s="293"/>
      <x:c r="SJW65" s="293"/>
      <x:c r="SJX65" s="293"/>
      <x:c r="SJY65" s="293"/>
      <x:c r="SJZ65" s="293"/>
      <x:c r="SKA65" s="293"/>
      <x:c r="SKB65" s="293"/>
      <x:c r="SKC65" s="293"/>
      <x:c r="SKD65" s="293"/>
      <x:c r="SKE65" s="293"/>
      <x:c r="SKF65" s="293"/>
      <x:c r="SKG65" s="293"/>
      <x:c r="SKH65" s="293"/>
      <x:c r="SKI65" s="293"/>
      <x:c r="SKJ65" s="293"/>
      <x:c r="SKK65" s="293"/>
      <x:c r="SKL65" s="293"/>
      <x:c r="SKM65" s="293"/>
      <x:c r="SKN65" s="293"/>
      <x:c r="SKO65" s="293"/>
      <x:c r="SKP65" s="293"/>
      <x:c r="SKQ65" s="293"/>
      <x:c r="SKR65" s="293"/>
      <x:c r="SKS65" s="293"/>
      <x:c r="SKT65" s="293"/>
      <x:c r="SKU65" s="293"/>
      <x:c r="SKV65" s="293"/>
      <x:c r="SKW65" s="293"/>
      <x:c r="SKX65" s="293"/>
      <x:c r="SKY65" s="293"/>
      <x:c r="SKZ65" s="293"/>
      <x:c r="SLA65" s="293"/>
      <x:c r="SLB65" s="293"/>
      <x:c r="SLC65" s="293"/>
      <x:c r="SLD65" s="293"/>
      <x:c r="SLE65" s="293"/>
      <x:c r="SLF65" s="293"/>
      <x:c r="SLG65" s="293"/>
      <x:c r="SLH65" s="293"/>
      <x:c r="SLI65" s="293"/>
      <x:c r="SLJ65" s="293"/>
      <x:c r="SLK65" s="293"/>
      <x:c r="SLL65" s="293"/>
      <x:c r="SLM65" s="293"/>
      <x:c r="SLN65" s="293"/>
      <x:c r="SLO65" s="293"/>
      <x:c r="SLP65" s="293"/>
      <x:c r="SLQ65" s="293"/>
      <x:c r="SLR65" s="293"/>
      <x:c r="SLS65" s="293"/>
      <x:c r="SLT65" s="293"/>
      <x:c r="SLU65" s="293"/>
      <x:c r="SLV65" s="293"/>
      <x:c r="SLW65" s="293"/>
      <x:c r="SLX65" s="293"/>
      <x:c r="SLY65" s="293"/>
      <x:c r="SLZ65" s="293"/>
      <x:c r="SMA65" s="293"/>
      <x:c r="SMB65" s="293"/>
      <x:c r="SMC65" s="293"/>
      <x:c r="SMD65" s="293"/>
      <x:c r="SME65" s="293"/>
      <x:c r="SMF65" s="293"/>
      <x:c r="SMG65" s="293"/>
      <x:c r="SMH65" s="293"/>
      <x:c r="SMI65" s="293"/>
      <x:c r="SMJ65" s="293"/>
      <x:c r="SMK65" s="293"/>
      <x:c r="SML65" s="293"/>
      <x:c r="SMM65" s="293"/>
      <x:c r="SMN65" s="293"/>
      <x:c r="SMO65" s="293"/>
      <x:c r="SMP65" s="293"/>
      <x:c r="SMQ65" s="293"/>
      <x:c r="SMR65" s="293"/>
      <x:c r="SMS65" s="293"/>
      <x:c r="SMT65" s="293"/>
      <x:c r="SMU65" s="293"/>
      <x:c r="SMV65" s="293"/>
      <x:c r="SMW65" s="293"/>
      <x:c r="SMX65" s="293"/>
      <x:c r="SMY65" s="293"/>
      <x:c r="SMZ65" s="293"/>
      <x:c r="SNA65" s="293"/>
      <x:c r="SNB65" s="293"/>
      <x:c r="SNC65" s="293"/>
      <x:c r="SND65" s="293"/>
      <x:c r="SNE65" s="293"/>
      <x:c r="SNF65" s="293"/>
      <x:c r="SNG65" s="293"/>
      <x:c r="SNH65" s="293"/>
      <x:c r="SNI65" s="293"/>
      <x:c r="SNJ65" s="293"/>
      <x:c r="SNK65" s="293"/>
      <x:c r="SNL65" s="293"/>
      <x:c r="SNM65" s="293"/>
      <x:c r="SNN65" s="293"/>
      <x:c r="SNO65" s="293"/>
      <x:c r="SNP65" s="293"/>
      <x:c r="SNQ65" s="293"/>
      <x:c r="SNR65" s="293"/>
      <x:c r="SNS65" s="293"/>
      <x:c r="SNT65" s="293"/>
      <x:c r="SNU65" s="293"/>
      <x:c r="SNV65" s="293"/>
      <x:c r="SNW65" s="293"/>
      <x:c r="SNX65" s="293"/>
      <x:c r="SNY65" s="293"/>
      <x:c r="SNZ65" s="293"/>
      <x:c r="SOA65" s="293"/>
      <x:c r="SOB65" s="293"/>
      <x:c r="SOC65" s="293"/>
      <x:c r="SOD65" s="293"/>
      <x:c r="SOE65" s="293"/>
      <x:c r="SOF65" s="293"/>
      <x:c r="SOG65" s="293"/>
      <x:c r="SOH65" s="293"/>
      <x:c r="SOI65" s="293"/>
      <x:c r="SOJ65" s="293"/>
      <x:c r="SOK65" s="293"/>
      <x:c r="SOL65" s="293"/>
      <x:c r="SOM65" s="293"/>
      <x:c r="SON65" s="293"/>
      <x:c r="SOO65" s="293"/>
      <x:c r="SOP65" s="293"/>
      <x:c r="SOQ65" s="293"/>
      <x:c r="SOR65" s="293"/>
      <x:c r="SOS65" s="293"/>
      <x:c r="SOT65" s="293"/>
      <x:c r="SOU65" s="293"/>
      <x:c r="SOV65" s="293"/>
      <x:c r="SOW65" s="293"/>
      <x:c r="SOX65" s="293"/>
      <x:c r="SOY65" s="293"/>
      <x:c r="SOZ65" s="293"/>
      <x:c r="SPA65" s="293"/>
      <x:c r="SPB65" s="293"/>
      <x:c r="SPC65" s="293"/>
      <x:c r="SPD65" s="293"/>
      <x:c r="SPE65" s="293"/>
      <x:c r="SPF65" s="293"/>
      <x:c r="SPG65" s="293"/>
      <x:c r="SPH65" s="293"/>
      <x:c r="SPI65" s="293"/>
      <x:c r="SPJ65" s="293"/>
      <x:c r="SPK65" s="293"/>
      <x:c r="SPL65" s="293"/>
      <x:c r="SPM65" s="293"/>
      <x:c r="SPN65" s="293"/>
      <x:c r="SPO65" s="293"/>
      <x:c r="SPP65" s="293"/>
      <x:c r="SPQ65" s="293"/>
      <x:c r="SPR65" s="293"/>
      <x:c r="SPS65" s="293"/>
      <x:c r="SPT65" s="293"/>
      <x:c r="SPU65" s="293"/>
      <x:c r="SPV65" s="293"/>
      <x:c r="SPW65" s="293"/>
      <x:c r="SPX65" s="293"/>
      <x:c r="SPY65" s="293"/>
      <x:c r="SPZ65" s="293"/>
      <x:c r="SQA65" s="293"/>
      <x:c r="SQB65" s="293"/>
      <x:c r="SQC65" s="293"/>
      <x:c r="SQD65" s="293"/>
      <x:c r="SQE65" s="293"/>
      <x:c r="SQF65" s="293"/>
      <x:c r="SQG65" s="293"/>
      <x:c r="SQH65" s="293"/>
      <x:c r="SQI65" s="293"/>
      <x:c r="SQJ65" s="293"/>
      <x:c r="SQK65" s="293"/>
      <x:c r="SQL65" s="293"/>
      <x:c r="SQM65" s="293"/>
      <x:c r="SQN65" s="293"/>
      <x:c r="SQO65" s="293"/>
      <x:c r="SQP65" s="293"/>
      <x:c r="SQQ65" s="293"/>
      <x:c r="SQR65" s="293"/>
      <x:c r="SQS65" s="293"/>
      <x:c r="SQT65" s="293"/>
      <x:c r="SQU65" s="293"/>
      <x:c r="SQV65" s="293"/>
      <x:c r="SQW65" s="293"/>
      <x:c r="SQX65" s="293"/>
      <x:c r="SQY65" s="293"/>
      <x:c r="SQZ65" s="293"/>
      <x:c r="SRA65" s="293"/>
      <x:c r="SRB65" s="293"/>
      <x:c r="SRC65" s="293"/>
      <x:c r="SRD65" s="293"/>
      <x:c r="SRE65" s="293"/>
      <x:c r="SRF65" s="293"/>
      <x:c r="SRG65" s="293"/>
      <x:c r="SRH65" s="293"/>
      <x:c r="SRI65" s="293"/>
      <x:c r="SRJ65" s="293"/>
      <x:c r="SRK65" s="293"/>
      <x:c r="SRL65" s="293"/>
      <x:c r="SRM65" s="293"/>
      <x:c r="SRN65" s="293"/>
      <x:c r="SRO65" s="293"/>
      <x:c r="SRP65" s="293"/>
      <x:c r="SRQ65" s="293"/>
      <x:c r="SRR65" s="293"/>
      <x:c r="SRS65" s="293"/>
      <x:c r="SRT65" s="293"/>
      <x:c r="SRU65" s="293"/>
      <x:c r="SRV65" s="293"/>
      <x:c r="SRW65" s="293"/>
      <x:c r="SRX65" s="293"/>
      <x:c r="SRY65" s="293"/>
      <x:c r="SRZ65" s="293"/>
      <x:c r="SSA65" s="293"/>
      <x:c r="SSB65" s="293"/>
      <x:c r="SSC65" s="293"/>
      <x:c r="SSD65" s="293"/>
      <x:c r="SSE65" s="293"/>
      <x:c r="SSF65" s="293"/>
      <x:c r="SSG65" s="293"/>
      <x:c r="SSH65" s="293"/>
      <x:c r="SSI65" s="293"/>
      <x:c r="SSJ65" s="293"/>
      <x:c r="SSK65" s="293"/>
      <x:c r="SSL65" s="293"/>
      <x:c r="SSM65" s="293"/>
      <x:c r="SSN65" s="293"/>
      <x:c r="SSO65" s="293"/>
      <x:c r="SSP65" s="293"/>
      <x:c r="SSQ65" s="293"/>
      <x:c r="SSR65" s="293"/>
      <x:c r="SSS65" s="293"/>
      <x:c r="SST65" s="293"/>
      <x:c r="SSU65" s="293"/>
      <x:c r="SSV65" s="293"/>
      <x:c r="SSW65" s="293"/>
      <x:c r="SSX65" s="293"/>
      <x:c r="SSY65" s="293"/>
      <x:c r="SSZ65" s="293"/>
      <x:c r="STA65" s="293"/>
      <x:c r="STB65" s="293"/>
      <x:c r="STC65" s="293"/>
      <x:c r="STD65" s="293"/>
      <x:c r="STE65" s="293"/>
      <x:c r="STF65" s="293"/>
      <x:c r="STG65" s="293"/>
      <x:c r="STH65" s="293"/>
      <x:c r="STI65" s="293"/>
      <x:c r="STJ65" s="293"/>
      <x:c r="STK65" s="293"/>
      <x:c r="STL65" s="293"/>
      <x:c r="STM65" s="293"/>
      <x:c r="STN65" s="293"/>
      <x:c r="STO65" s="293"/>
      <x:c r="STP65" s="293"/>
      <x:c r="STQ65" s="293"/>
      <x:c r="STR65" s="293"/>
      <x:c r="STS65" s="293"/>
      <x:c r="STT65" s="293"/>
      <x:c r="STU65" s="293"/>
      <x:c r="STV65" s="293"/>
      <x:c r="STW65" s="293"/>
      <x:c r="STX65" s="293"/>
      <x:c r="STY65" s="293"/>
      <x:c r="STZ65" s="293"/>
      <x:c r="SUA65" s="293"/>
      <x:c r="SUB65" s="293"/>
      <x:c r="SUC65" s="293"/>
      <x:c r="SUD65" s="293"/>
      <x:c r="SUE65" s="293"/>
      <x:c r="SUF65" s="293"/>
      <x:c r="SUG65" s="293"/>
      <x:c r="SUH65" s="293"/>
      <x:c r="SUI65" s="293"/>
      <x:c r="SUJ65" s="293"/>
      <x:c r="SUK65" s="293"/>
      <x:c r="SUL65" s="293"/>
      <x:c r="SUM65" s="293"/>
      <x:c r="SUN65" s="293"/>
      <x:c r="SUO65" s="293"/>
      <x:c r="SUP65" s="293"/>
      <x:c r="SUQ65" s="293"/>
      <x:c r="SUR65" s="293"/>
      <x:c r="SUS65" s="293"/>
      <x:c r="SUT65" s="293"/>
      <x:c r="SUU65" s="293"/>
      <x:c r="SUV65" s="293"/>
      <x:c r="SUW65" s="293"/>
      <x:c r="SUX65" s="293"/>
      <x:c r="SUY65" s="293"/>
      <x:c r="SUZ65" s="293"/>
      <x:c r="SVA65" s="293"/>
      <x:c r="SVB65" s="293"/>
      <x:c r="SVC65" s="293"/>
      <x:c r="SVD65" s="293"/>
      <x:c r="SVE65" s="293"/>
      <x:c r="SVF65" s="293"/>
      <x:c r="SVG65" s="293"/>
      <x:c r="SVH65" s="293"/>
      <x:c r="SVI65" s="293"/>
      <x:c r="SVJ65" s="293"/>
      <x:c r="SVK65" s="293"/>
      <x:c r="SVL65" s="293"/>
      <x:c r="SVM65" s="293"/>
      <x:c r="SVN65" s="293"/>
      <x:c r="SVO65" s="293"/>
      <x:c r="SVP65" s="293"/>
      <x:c r="SVQ65" s="293"/>
      <x:c r="SVR65" s="293"/>
      <x:c r="SVS65" s="293"/>
      <x:c r="SVT65" s="293"/>
      <x:c r="SVU65" s="293"/>
      <x:c r="SVV65" s="293"/>
      <x:c r="SVW65" s="293"/>
      <x:c r="SVX65" s="293"/>
      <x:c r="SVY65" s="293"/>
      <x:c r="SVZ65" s="293"/>
      <x:c r="SWA65" s="293"/>
      <x:c r="SWB65" s="293"/>
      <x:c r="SWC65" s="293"/>
      <x:c r="SWD65" s="293"/>
      <x:c r="SWE65" s="293"/>
      <x:c r="SWF65" s="293"/>
      <x:c r="SWG65" s="293"/>
      <x:c r="SWH65" s="293"/>
      <x:c r="SWI65" s="293"/>
      <x:c r="SWJ65" s="293"/>
      <x:c r="SWK65" s="293"/>
      <x:c r="SWL65" s="293"/>
      <x:c r="SWM65" s="293"/>
      <x:c r="SWN65" s="293"/>
      <x:c r="SWO65" s="293"/>
      <x:c r="SWP65" s="293"/>
      <x:c r="SWQ65" s="293"/>
      <x:c r="SWR65" s="293"/>
      <x:c r="SWS65" s="293"/>
      <x:c r="SWT65" s="293"/>
      <x:c r="SWU65" s="293"/>
      <x:c r="SWV65" s="293"/>
      <x:c r="SWW65" s="293"/>
      <x:c r="SWX65" s="293"/>
      <x:c r="SWY65" s="293"/>
      <x:c r="SWZ65" s="293"/>
      <x:c r="SXA65" s="293"/>
      <x:c r="SXB65" s="293"/>
      <x:c r="SXC65" s="293"/>
      <x:c r="SXD65" s="293"/>
      <x:c r="SXE65" s="293"/>
      <x:c r="SXF65" s="293"/>
      <x:c r="SXG65" s="293"/>
      <x:c r="SXH65" s="293"/>
      <x:c r="SXI65" s="293"/>
      <x:c r="SXJ65" s="293"/>
      <x:c r="SXK65" s="293"/>
      <x:c r="SXL65" s="293"/>
      <x:c r="SXM65" s="293"/>
      <x:c r="SXN65" s="293"/>
      <x:c r="SXO65" s="293"/>
      <x:c r="SXP65" s="293"/>
      <x:c r="SXQ65" s="293"/>
      <x:c r="SXR65" s="293"/>
      <x:c r="SXS65" s="293"/>
      <x:c r="SXT65" s="293"/>
      <x:c r="SXU65" s="293"/>
      <x:c r="SXV65" s="293"/>
      <x:c r="SXW65" s="293"/>
      <x:c r="SXX65" s="293"/>
      <x:c r="SXY65" s="293"/>
      <x:c r="SXZ65" s="293"/>
      <x:c r="SYA65" s="293"/>
      <x:c r="SYB65" s="293"/>
      <x:c r="SYC65" s="293"/>
      <x:c r="SYD65" s="293"/>
      <x:c r="SYE65" s="293"/>
      <x:c r="SYF65" s="293"/>
      <x:c r="SYG65" s="293"/>
      <x:c r="SYH65" s="293"/>
      <x:c r="SYI65" s="293"/>
      <x:c r="SYJ65" s="293"/>
      <x:c r="SYK65" s="293"/>
      <x:c r="SYL65" s="293"/>
      <x:c r="SYM65" s="293"/>
      <x:c r="SYN65" s="293"/>
      <x:c r="SYO65" s="293"/>
      <x:c r="SYP65" s="293"/>
      <x:c r="SYQ65" s="293"/>
      <x:c r="SYR65" s="293"/>
      <x:c r="SYS65" s="293"/>
      <x:c r="SYT65" s="293"/>
      <x:c r="SYU65" s="293"/>
      <x:c r="SYV65" s="293"/>
      <x:c r="SYW65" s="293"/>
      <x:c r="SYX65" s="293"/>
      <x:c r="SYY65" s="293"/>
      <x:c r="SYZ65" s="293"/>
      <x:c r="SZA65" s="293"/>
      <x:c r="SZB65" s="293"/>
      <x:c r="SZC65" s="293"/>
      <x:c r="SZD65" s="293"/>
      <x:c r="SZE65" s="293"/>
      <x:c r="SZF65" s="293"/>
      <x:c r="SZG65" s="293"/>
      <x:c r="SZH65" s="293"/>
      <x:c r="SZI65" s="293"/>
      <x:c r="SZJ65" s="293"/>
      <x:c r="SZK65" s="293"/>
      <x:c r="SZL65" s="293"/>
      <x:c r="SZM65" s="293"/>
      <x:c r="SZN65" s="293"/>
      <x:c r="SZO65" s="293"/>
      <x:c r="SZP65" s="293"/>
      <x:c r="SZQ65" s="293"/>
      <x:c r="SZR65" s="293"/>
      <x:c r="SZS65" s="293"/>
      <x:c r="SZT65" s="293"/>
      <x:c r="SZU65" s="293"/>
      <x:c r="SZV65" s="293"/>
      <x:c r="SZW65" s="293"/>
      <x:c r="SZX65" s="293"/>
      <x:c r="SZY65" s="293"/>
      <x:c r="SZZ65" s="293"/>
      <x:c r="TAA65" s="293"/>
      <x:c r="TAB65" s="293"/>
      <x:c r="TAC65" s="293"/>
      <x:c r="TAD65" s="293"/>
      <x:c r="TAE65" s="293"/>
      <x:c r="TAF65" s="293"/>
      <x:c r="TAG65" s="293"/>
      <x:c r="TAH65" s="293"/>
      <x:c r="TAI65" s="293"/>
      <x:c r="TAJ65" s="293"/>
      <x:c r="TAK65" s="293"/>
      <x:c r="TAL65" s="293"/>
      <x:c r="TAM65" s="293"/>
      <x:c r="TAN65" s="293"/>
      <x:c r="TAO65" s="293"/>
      <x:c r="TAP65" s="293"/>
      <x:c r="TAQ65" s="293"/>
      <x:c r="TAR65" s="293"/>
      <x:c r="TAS65" s="293"/>
      <x:c r="TAT65" s="293"/>
      <x:c r="TAU65" s="293"/>
      <x:c r="TAV65" s="293"/>
      <x:c r="TAW65" s="293"/>
      <x:c r="TAX65" s="293"/>
      <x:c r="TAY65" s="293"/>
      <x:c r="TAZ65" s="293"/>
      <x:c r="TBA65" s="293"/>
      <x:c r="TBB65" s="293"/>
      <x:c r="TBC65" s="293"/>
      <x:c r="TBD65" s="293"/>
      <x:c r="TBE65" s="293"/>
      <x:c r="TBF65" s="293"/>
      <x:c r="TBG65" s="293"/>
      <x:c r="TBH65" s="293"/>
      <x:c r="TBI65" s="293"/>
      <x:c r="TBJ65" s="293"/>
      <x:c r="TBK65" s="293"/>
      <x:c r="TBL65" s="293"/>
      <x:c r="TBM65" s="293"/>
      <x:c r="TBN65" s="293"/>
      <x:c r="TBO65" s="293"/>
      <x:c r="TBP65" s="293"/>
      <x:c r="TBQ65" s="293"/>
      <x:c r="TBR65" s="293"/>
      <x:c r="TBS65" s="293"/>
      <x:c r="TBT65" s="293"/>
      <x:c r="TBU65" s="293"/>
      <x:c r="TBV65" s="293"/>
      <x:c r="TBW65" s="293"/>
      <x:c r="TBX65" s="293"/>
      <x:c r="TBY65" s="293"/>
      <x:c r="TBZ65" s="293"/>
      <x:c r="TCA65" s="293"/>
      <x:c r="TCB65" s="293"/>
      <x:c r="TCC65" s="293"/>
      <x:c r="TCD65" s="293"/>
      <x:c r="TCE65" s="293"/>
      <x:c r="TCF65" s="293"/>
      <x:c r="TCG65" s="293"/>
      <x:c r="TCH65" s="293"/>
      <x:c r="TCI65" s="293"/>
      <x:c r="TCJ65" s="293"/>
      <x:c r="TCK65" s="293"/>
      <x:c r="TCL65" s="293"/>
      <x:c r="TCM65" s="293"/>
      <x:c r="TCN65" s="293"/>
      <x:c r="TCO65" s="293"/>
      <x:c r="TCP65" s="293"/>
      <x:c r="TCQ65" s="293"/>
      <x:c r="TCR65" s="293"/>
      <x:c r="TCS65" s="293"/>
      <x:c r="TCT65" s="293"/>
      <x:c r="TCU65" s="293"/>
      <x:c r="TCV65" s="293"/>
      <x:c r="TCW65" s="293"/>
      <x:c r="TCX65" s="293"/>
      <x:c r="TCY65" s="293"/>
      <x:c r="TCZ65" s="293"/>
      <x:c r="TDA65" s="293"/>
      <x:c r="TDB65" s="293"/>
      <x:c r="TDC65" s="293"/>
      <x:c r="TDD65" s="293"/>
      <x:c r="TDE65" s="293"/>
      <x:c r="TDF65" s="293"/>
      <x:c r="TDG65" s="293"/>
      <x:c r="TDH65" s="293"/>
      <x:c r="TDI65" s="293"/>
      <x:c r="TDJ65" s="293"/>
      <x:c r="TDK65" s="293"/>
      <x:c r="TDL65" s="293"/>
      <x:c r="TDM65" s="293"/>
      <x:c r="TDN65" s="293"/>
      <x:c r="TDO65" s="293"/>
      <x:c r="TDP65" s="293"/>
      <x:c r="TDQ65" s="293"/>
      <x:c r="TDR65" s="293"/>
      <x:c r="TDS65" s="293"/>
      <x:c r="TDT65" s="293"/>
      <x:c r="TDU65" s="293"/>
      <x:c r="TDV65" s="293"/>
      <x:c r="TDW65" s="293"/>
      <x:c r="TDX65" s="293"/>
      <x:c r="TDY65" s="293"/>
      <x:c r="TDZ65" s="293"/>
      <x:c r="TEA65" s="293"/>
      <x:c r="TEB65" s="293"/>
      <x:c r="TEC65" s="293"/>
      <x:c r="TED65" s="293"/>
      <x:c r="TEE65" s="293"/>
      <x:c r="TEF65" s="293"/>
      <x:c r="TEG65" s="293"/>
      <x:c r="TEH65" s="293"/>
      <x:c r="TEI65" s="293"/>
      <x:c r="TEJ65" s="293"/>
      <x:c r="TEK65" s="293"/>
      <x:c r="TEL65" s="293"/>
      <x:c r="TEM65" s="293"/>
      <x:c r="TEN65" s="293"/>
      <x:c r="TEO65" s="293"/>
      <x:c r="TEP65" s="293"/>
      <x:c r="TEQ65" s="293"/>
      <x:c r="TER65" s="293"/>
      <x:c r="TES65" s="293"/>
      <x:c r="TET65" s="293"/>
      <x:c r="TEU65" s="293"/>
      <x:c r="TEV65" s="293"/>
      <x:c r="TEW65" s="293"/>
      <x:c r="TEX65" s="293"/>
      <x:c r="TEY65" s="293"/>
      <x:c r="TEZ65" s="293"/>
      <x:c r="TFA65" s="293"/>
      <x:c r="TFB65" s="293"/>
      <x:c r="TFC65" s="293"/>
      <x:c r="TFD65" s="293"/>
      <x:c r="TFE65" s="293"/>
      <x:c r="TFF65" s="293"/>
      <x:c r="TFG65" s="293"/>
      <x:c r="TFH65" s="293"/>
      <x:c r="TFI65" s="293"/>
      <x:c r="TFJ65" s="293"/>
      <x:c r="TFK65" s="293"/>
      <x:c r="TFL65" s="293"/>
      <x:c r="TFM65" s="293"/>
      <x:c r="TFN65" s="293"/>
      <x:c r="TFO65" s="293"/>
      <x:c r="TFP65" s="293"/>
      <x:c r="TFQ65" s="293"/>
      <x:c r="TFR65" s="293"/>
      <x:c r="TFS65" s="293"/>
      <x:c r="TFT65" s="293"/>
      <x:c r="TFU65" s="293"/>
      <x:c r="TFV65" s="293"/>
      <x:c r="TFW65" s="293"/>
      <x:c r="TFX65" s="293"/>
      <x:c r="TFY65" s="293"/>
      <x:c r="TFZ65" s="293"/>
      <x:c r="TGA65" s="293"/>
      <x:c r="TGB65" s="293"/>
      <x:c r="TGC65" s="293"/>
      <x:c r="TGD65" s="293"/>
      <x:c r="TGE65" s="293"/>
      <x:c r="TGF65" s="293"/>
      <x:c r="TGG65" s="293"/>
      <x:c r="TGH65" s="293"/>
      <x:c r="TGI65" s="293"/>
      <x:c r="TGJ65" s="293"/>
      <x:c r="TGK65" s="293"/>
      <x:c r="TGL65" s="293"/>
      <x:c r="TGM65" s="293"/>
      <x:c r="TGN65" s="293"/>
      <x:c r="TGO65" s="293"/>
      <x:c r="TGP65" s="293"/>
      <x:c r="TGQ65" s="293"/>
      <x:c r="TGR65" s="293"/>
      <x:c r="TGS65" s="293"/>
      <x:c r="TGT65" s="293"/>
      <x:c r="TGU65" s="293"/>
      <x:c r="TGV65" s="293"/>
      <x:c r="TGW65" s="293"/>
      <x:c r="TGX65" s="293"/>
      <x:c r="TGY65" s="293"/>
      <x:c r="TGZ65" s="293"/>
      <x:c r="THA65" s="293"/>
      <x:c r="THB65" s="293"/>
      <x:c r="THC65" s="293"/>
      <x:c r="THD65" s="293"/>
      <x:c r="THE65" s="293"/>
      <x:c r="THF65" s="293"/>
      <x:c r="THG65" s="293"/>
      <x:c r="THH65" s="293"/>
      <x:c r="THI65" s="293"/>
      <x:c r="THJ65" s="293"/>
      <x:c r="THK65" s="293"/>
      <x:c r="THL65" s="293"/>
      <x:c r="THM65" s="293"/>
      <x:c r="THN65" s="293"/>
      <x:c r="THO65" s="293"/>
      <x:c r="THP65" s="293"/>
      <x:c r="THQ65" s="293"/>
      <x:c r="THR65" s="293"/>
      <x:c r="THS65" s="293"/>
      <x:c r="THT65" s="293"/>
      <x:c r="THU65" s="293"/>
      <x:c r="THV65" s="293"/>
      <x:c r="THW65" s="293"/>
      <x:c r="THX65" s="293"/>
      <x:c r="THY65" s="293"/>
      <x:c r="THZ65" s="293"/>
      <x:c r="TIA65" s="293"/>
      <x:c r="TIB65" s="293"/>
      <x:c r="TIC65" s="293"/>
      <x:c r="TID65" s="293"/>
      <x:c r="TIE65" s="293"/>
      <x:c r="TIF65" s="293"/>
      <x:c r="TIG65" s="293"/>
      <x:c r="TIH65" s="293"/>
      <x:c r="TII65" s="293"/>
      <x:c r="TIJ65" s="293"/>
      <x:c r="TIK65" s="293"/>
      <x:c r="TIL65" s="293"/>
      <x:c r="TIM65" s="293"/>
      <x:c r="TIN65" s="293"/>
      <x:c r="TIO65" s="293"/>
      <x:c r="TIP65" s="293"/>
      <x:c r="TIQ65" s="293"/>
      <x:c r="TIR65" s="293"/>
      <x:c r="TIS65" s="293"/>
      <x:c r="TIT65" s="293"/>
      <x:c r="TIU65" s="293"/>
      <x:c r="TIV65" s="293"/>
      <x:c r="TIW65" s="293"/>
      <x:c r="TIX65" s="293"/>
      <x:c r="TIY65" s="293"/>
      <x:c r="TIZ65" s="293"/>
      <x:c r="TJA65" s="293"/>
      <x:c r="TJB65" s="293"/>
      <x:c r="TJC65" s="293"/>
      <x:c r="TJD65" s="293"/>
      <x:c r="TJE65" s="293"/>
      <x:c r="TJF65" s="293"/>
      <x:c r="TJG65" s="293"/>
      <x:c r="TJH65" s="293"/>
      <x:c r="TJI65" s="293"/>
      <x:c r="TJJ65" s="293"/>
      <x:c r="TJK65" s="293"/>
      <x:c r="TJL65" s="293"/>
      <x:c r="TJM65" s="293"/>
      <x:c r="TJN65" s="293"/>
      <x:c r="TJO65" s="293"/>
      <x:c r="TJP65" s="293"/>
      <x:c r="TJQ65" s="293"/>
      <x:c r="TJR65" s="293"/>
      <x:c r="TJS65" s="293"/>
      <x:c r="TJT65" s="293"/>
      <x:c r="TJU65" s="293"/>
      <x:c r="TJV65" s="293"/>
      <x:c r="TJW65" s="293"/>
      <x:c r="TJX65" s="293"/>
      <x:c r="TJY65" s="293"/>
      <x:c r="TJZ65" s="293"/>
      <x:c r="TKA65" s="293"/>
      <x:c r="TKB65" s="293"/>
      <x:c r="TKC65" s="293"/>
      <x:c r="TKD65" s="293"/>
      <x:c r="TKE65" s="293"/>
      <x:c r="TKF65" s="293"/>
      <x:c r="TKG65" s="293"/>
      <x:c r="TKH65" s="293"/>
      <x:c r="TKI65" s="293"/>
      <x:c r="TKJ65" s="293"/>
      <x:c r="TKK65" s="293"/>
      <x:c r="TKL65" s="293"/>
      <x:c r="TKM65" s="293"/>
      <x:c r="TKN65" s="293"/>
      <x:c r="TKO65" s="293"/>
      <x:c r="TKP65" s="293"/>
      <x:c r="TKQ65" s="293"/>
      <x:c r="TKR65" s="293"/>
      <x:c r="TKS65" s="293"/>
      <x:c r="TKT65" s="293"/>
      <x:c r="TKU65" s="293"/>
      <x:c r="TKV65" s="293"/>
      <x:c r="TKW65" s="293"/>
      <x:c r="TKX65" s="293"/>
      <x:c r="TKY65" s="293"/>
      <x:c r="TKZ65" s="293"/>
      <x:c r="TLA65" s="293"/>
      <x:c r="TLB65" s="293"/>
      <x:c r="TLC65" s="293"/>
      <x:c r="TLD65" s="293"/>
      <x:c r="TLE65" s="293"/>
      <x:c r="TLF65" s="293"/>
      <x:c r="TLG65" s="293"/>
      <x:c r="TLH65" s="293"/>
      <x:c r="TLI65" s="293"/>
      <x:c r="TLJ65" s="293"/>
      <x:c r="TLK65" s="293"/>
      <x:c r="TLL65" s="293"/>
      <x:c r="TLM65" s="293"/>
      <x:c r="TLN65" s="293"/>
      <x:c r="TLO65" s="293"/>
      <x:c r="TLP65" s="293"/>
      <x:c r="TLQ65" s="293"/>
      <x:c r="TLR65" s="293"/>
      <x:c r="TLS65" s="293"/>
      <x:c r="TLT65" s="293"/>
      <x:c r="TLU65" s="293"/>
      <x:c r="TLV65" s="293"/>
      <x:c r="TLW65" s="293"/>
      <x:c r="TLX65" s="293"/>
      <x:c r="TLY65" s="293"/>
      <x:c r="TLZ65" s="293"/>
      <x:c r="TMA65" s="293"/>
      <x:c r="TMB65" s="293"/>
      <x:c r="TMC65" s="293"/>
      <x:c r="TMD65" s="293"/>
      <x:c r="TME65" s="293"/>
      <x:c r="TMF65" s="293"/>
      <x:c r="TMG65" s="293"/>
      <x:c r="TMH65" s="293"/>
      <x:c r="TMI65" s="293"/>
      <x:c r="TMJ65" s="293"/>
      <x:c r="TMK65" s="293"/>
      <x:c r="TML65" s="293"/>
      <x:c r="TMM65" s="293"/>
      <x:c r="TMN65" s="293"/>
      <x:c r="TMO65" s="293"/>
      <x:c r="TMP65" s="293"/>
      <x:c r="TMQ65" s="293"/>
      <x:c r="TMR65" s="293"/>
      <x:c r="TMS65" s="293"/>
      <x:c r="TMT65" s="293"/>
      <x:c r="TMU65" s="293"/>
      <x:c r="TMV65" s="293"/>
      <x:c r="TMW65" s="293"/>
      <x:c r="TMX65" s="293"/>
      <x:c r="TMY65" s="293"/>
      <x:c r="TMZ65" s="293"/>
      <x:c r="TNA65" s="293"/>
      <x:c r="TNB65" s="293"/>
      <x:c r="TNC65" s="293"/>
      <x:c r="TND65" s="293"/>
      <x:c r="TNE65" s="293"/>
      <x:c r="TNF65" s="293"/>
      <x:c r="TNG65" s="293"/>
      <x:c r="TNH65" s="293"/>
      <x:c r="TNI65" s="293"/>
      <x:c r="TNJ65" s="293"/>
      <x:c r="TNK65" s="293"/>
      <x:c r="TNL65" s="293"/>
      <x:c r="TNM65" s="293"/>
      <x:c r="TNN65" s="293"/>
      <x:c r="TNO65" s="293"/>
      <x:c r="TNP65" s="293"/>
      <x:c r="TNQ65" s="293"/>
      <x:c r="TNR65" s="293"/>
      <x:c r="TNS65" s="293"/>
      <x:c r="TNT65" s="293"/>
      <x:c r="TNU65" s="293"/>
      <x:c r="TNV65" s="293"/>
      <x:c r="TNW65" s="293"/>
      <x:c r="TNX65" s="293"/>
      <x:c r="TNY65" s="293"/>
      <x:c r="TNZ65" s="293"/>
      <x:c r="TOA65" s="293"/>
      <x:c r="TOB65" s="293"/>
      <x:c r="TOC65" s="293"/>
      <x:c r="TOD65" s="293"/>
      <x:c r="TOE65" s="293"/>
      <x:c r="TOF65" s="293"/>
      <x:c r="TOG65" s="293"/>
      <x:c r="TOH65" s="293"/>
      <x:c r="TOI65" s="293"/>
      <x:c r="TOJ65" s="293"/>
      <x:c r="TOK65" s="293"/>
      <x:c r="TOL65" s="293"/>
      <x:c r="TOM65" s="293"/>
      <x:c r="TON65" s="293"/>
      <x:c r="TOO65" s="293"/>
      <x:c r="TOP65" s="293"/>
      <x:c r="TOQ65" s="293"/>
      <x:c r="TOR65" s="293"/>
      <x:c r="TOS65" s="293"/>
      <x:c r="TOT65" s="293"/>
      <x:c r="TOU65" s="293"/>
      <x:c r="TOV65" s="293"/>
      <x:c r="TOW65" s="293"/>
      <x:c r="TOX65" s="293"/>
      <x:c r="TOY65" s="293"/>
      <x:c r="TOZ65" s="293"/>
      <x:c r="TPA65" s="293"/>
      <x:c r="TPB65" s="293"/>
      <x:c r="TPC65" s="293"/>
      <x:c r="TPD65" s="293"/>
      <x:c r="TPE65" s="293"/>
      <x:c r="TPF65" s="293"/>
      <x:c r="TPG65" s="293"/>
      <x:c r="TPH65" s="293"/>
      <x:c r="TPI65" s="293"/>
      <x:c r="TPJ65" s="293"/>
      <x:c r="TPK65" s="293"/>
      <x:c r="TPL65" s="293"/>
      <x:c r="TPM65" s="293"/>
      <x:c r="TPN65" s="293"/>
      <x:c r="TPO65" s="293"/>
      <x:c r="TPP65" s="293"/>
      <x:c r="TPQ65" s="293"/>
      <x:c r="TPR65" s="293"/>
      <x:c r="TPS65" s="293"/>
      <x:c r="TPT65" s="293"/>
      <x:c r="TPU65" s="293"/>
      <x:c r="TPV65" s="293"/>
      <x:c r="TPW65" s="293"/>
      <x:c r="TPX65" s="293"/>
      <x:c r="TPY65" s="293"/>
      <x:c r="TPZ65" s="293"/>
      <x:c r="TQA65" s="293"/>
      <x:c r="TQB65" s="293"/>
      <x:c r="TQC65" s="293"/>
      <x:c r="TQD65" s="293"/>
      <x:c r="TQE65" s="293"/>
      <x:c r="TQF65" s="293"/>
      <x:c r="TQG65" s="293"/>
      <x:c r="TQH65" s="293"/>
      <x:c r="TQI65" s="293"/>
      <x:c r="TQJ65" s="293"/>
      <x:c r="TQK65" s="293"/>
      <x:c r="TQL65" s="293"/>
      <x:c r="TQM65" s="293"/>
      <x:c r="TQN65" s="293"/>
      <x:c r="TQO65" s="293"/>
      <x:c r="TQP65" s="293"/>
      <x:c r="TQQ65" s="293"/>
      <x:c r="TQR65" s="293"/>
      <x:c r="TQS65" s="293"/>
      <x:c r="TQT65" s="293"/>
      <x:c r="TQU65" s="293"/>
      <x:c r="TQV65" s="293"/>
      <x:c r="TQW65" s="293"/>
      <x:c r="TQX65" s="293"/>
      <x:c r="TQY65" s="293"/>
      <x:c r="TQZ65" s="293"/>
      <x:c r="TRA65" s="293"/>
      <x:c r="TRB65" s="293"/>
      <x:c r="TRC65" s="293"/>
      <x:c r="TRD65" s="293"/>
      <x:c r="TRE65" s="293"/>
      <x:c r="TRF65" s="293"/>
      <x:c r="TRG65" s="293"/>
      <x:c r="TRH65" s="293"/>
      <x:c r="TRI65" s="293"/>
      <x:c r="TRJ65" s="293"/>
      <x:c r="TRK65" s="293"/>
      <x:c r="TRL65" s="293"/>
      <x:c r="TRM65" s="293"/>
      <x:c r="TRN65" s="293"/>
      <x:c r="TRO65" s="293"/>
      <x:c r="TRP65" s="293"/>
      <x:c r="TRQ65" s="293"/>
      <x:c r="TRR65" s="293"/>
      <x:c r="TRS65" s="293"/>
      <x:c r="TRT65" s="293"/>
      <x:c r="TRU65" s="293"/>
      <x:c r="TRV65" s="293"/>
      <x:c r="TRW65" s="293"/>
      <x:c r="TRX65" s="293"/>
      <x:c r="TRY65" s="293"/>
      <x:c r="TRZ65" s="293"/>
      <x:c r="TSA65" s="293"/>
      <x:c r="TSB65" s="293"/>
      <x:c r="TSC65" s="293"/>
      <x:c r="TSD65" s="293"/>
      <x:c r="TSE65" s="293"/>
      <x:c r="TSF65" s="293"/>
      <x:c r="TSG65" s="293"/>
      <x:c r="TSH65" s="293"/>
      <x:c r="TSI65" s="293"/>
      <x:c r="TSJ65" s="293"/>
      <x:c r="TSK65" s="293"/>
      <x:c r="TSL65" s="293"/>
      <x:c r="TSM65" s="293"/>
      <x:c r="TSN65" s="293"/>
      <x:c r="TSO65" s="293"/>
      <x:c r="TSP65" s="293"/>
      <x:c r="TSQ65" s="293"/>
      <x:c r="TSR65" s="293"/>
      <x:c r="TSS65" s="293"/>
      <x:c r="TST65" s="293"/>
      <x:c r="TSU65" s="293"/>
      <x:c r="TSV65" s="293"/>
      <x:c r="TSW65" s="293"/>
      <x:c r="TSX65" s="293"/>
      <x:c r="TSY65" s="293"/>
      <x:c r="TSZ65" s="293"/>
      <x:c r="TTA65" s="293"/>
      <x:c r="TTB65" s="293"/>
      <x:c r="TTC65" s="293"/>
      <x:c r="TTD65" s="293"/>
      <x:c r="TTE65" s="293"/>
      <x:c r="TTF65" s="293"/>
      <x:c r="TTG65" s="293"/>
      <x:c r="TTH65" s="293"/>
      <x:c r="TTI65" s="293"/>
      <x:c r="TTJ65" s="293"/>
      <x:c r="TTK65" s="293"/>
      <x:c r="TTL65" s="293"/>
      <x:c r="TTM65" s="293"/>
      <x:c r="TTN65" s="293"/>
      <x:c r="TTO65" s="293"/>
      <x:c r="TTP65" s="293"/>
      <x:c r="TTQ65" s="293"/>
      <x:c r="TTR65" s="293"/>
      <x:c r="TTS65" s="293"/>
      <x:c r="TTT65" s="293"/>
      <x:c r="TTU65" s="293"/>
      <x:c r="TTV65" s="293"/>
      <x:c r="TTW65" s="293"/>
      <x:c r="TTX65" s="293"/>
      <x:c r="TTY65" s="293"/>
      <x:c r="TTZ65" s="293"/>
      <x:c r="TUA65" s="293"/>
      <x:c r="TUB65" s="293"/>
      <x:c r="TUC65" s="293"/>
      <x:c r="TUD65" s="293"/>
      <x:c r="TUE65" s="293"/>
      <x:c r="TUF65" s="293"/>
      <x:c r="TUG65" s="293"/>
      <x:c r="TUH65" s="293"/>
      <x:c r="TUI65" s="293"/>
      <x:c r="TUJ65" s="293"/>
      <x:c r="TUK65" s="293"/>
      <x:c r="TUL65" s="293"/>
      <x:c r="TUM65" s="293"/>
      <x:c r="TUN65" s="293"/>
      <x:c r="TUO65" s="293"/>
      <x:c r="TUP65" s="293"/>
      <x:c r="TUQ65" s="293"/>
      <x:c r="TUR65" s="293"/>
      <x:c r="TUS65" s="293"/>
      <x:c r="TUT65" s="293"/>
      <x:c r="TUU65" s="293"/>
      <x:c r="TUV65" s="293"/>
      <x:c r="TUW65" s="293"/>
      <x:c r="TUX65" s="293"/>
      <x:c r="TUY65" s="293"/>
      <x:c r="TUZ65" s="293"/>
      <x:c r="TVA65" s="293"/>
      <x:c r="TVB65" s="293"/>
      <x:c r="TVC65" s="293"/>
      <x:c r="TVD65" s="293"/>
      <x:c r="TVE65" s="293"/>
      <x:c r="TVF65" s="293"/>
      <x:c r="TVG65" s="293"/>
      <x:c r="TVH65" s="293"/>
      <x:c r="TVI65" s="293"/>
      <x:c r="TVJ65" s="293"/>
      <x:c r="TVK65" s="293"/>
      <x:c r="TVL65" s="293"/>
      <x:c r="TVM65" s="293"/>
      <x:c r="TVN65" s="293"/>
      <x:c r="TVO65" s="293"/>
      <x:c r="TVP65" s="293"/>
      <x:c r="TVQ65" s="293"/>
      <x:c r="TVR65" s="293"/>
      <x:c r="TVS65" s="293"/>
      <x:c r="TVT65" s="293"/>
      <x:c r="TVU65" s="293"/>
      <x:c r="TVV65" s="293"/>
      <x:c r="TVW65" s="293"/>
      <x:c r="TVX65" s="293"/>
      <x:c r="TVY65" s="293"/>
      <x:c r="TVZ65" s="293"/>
      <x:c r="TWA65" s="293"/>
      <x:c r="TWB65" s="293"/>
      <x:c r="TWC65" s="293"/>
      <x:c r="TWD65" s="293"/>
      <x:c r="TWE65" s="293"/>
      <x:c r="TWF65" s="293"/>
      <x:c r="TWG65" s="293"/>
      <x:c r="TWH65" s="293"/>
      <x:c r="TWI65" s="293"/>
      <x:c r="TWJ65" s="293"/>
      <x:c r="TWK65" s="293"/>
      <x:c r="TWL65" s="293"/>
      <x:c r="TWM65" s="293"/>
      <x:c r="TWN65" s="293"/>
      <x:c r="TWO65" s="293"/>
      <x:c r="TWP65" s="293"/>
      <x:c r="TWQ65" s="293"/>
      <x:c r="TWR65" s="293"/>
      <x:c r="TWS65" s="293"/>
      <x:c r="TWT65" s="293"/>
      <x:c r="TWU65" s="293"/>
      <x:c r="TWV65" s="293"/>
      <x:c r="TWW65" s="293"/>
      <x:c r="TWX65" s="293"/>
      <x:c r="TWY65" s="293"/>
      <x:c r="TWZ65" s="293"/>
      <x:c r="TXA65" s="293"/>
      <x:c r="TXB65" s="293"/>
      <x:c r="TXC65" s="293"/>
      <x:c r="TXD65" s="293"/>
      <x:c r="TXE65" s="293"/>
      <x:c r="TXF65" s="293"/>
      <x:c r="TXG65" s="293"/>
      <x:c r="TXH65" s="293"/>
      <x:c r="TXI65" s="293"/>
      <x:c r="TXJ65" s="293"/>
      <x:c r="TXK65" s="293"/>
      <x:c r="TXL65" s="293"/>
      <x:c r="TXM65" s="293"/>
      <x:c r="TXN65" s="293"/>
      <x:c r="TXO65" s="293"/>
      <x:c r="TXP65" s="293"/>
      <x:c r="TXQ65" s="293"/>
      <x:c r="TXR65" s="293"/>
      <x:c r="TXS65" s="293"/>
      <x:c r="TXT65" s="293"/>
      <x:c r="TXU65" s="293"/>
      <x:c r="TXV65" s="293"/>
      <x:c r="TXW65" s="293"/>
      <x:c r="TXX65" s="293"/>
      <x:c r="TXY65" s="293"/>
      <x:c r="TXZ65" s="293"/>
      <x:c r="TYA65" s="293"/>
      <x:c r="TYB65" s="293"/>
      <x:c r="TYC65" s="293"/>
      <x:c r="TYD65" s="293"/>
      <x:c r="TYE65" s="293"/>
      <x:c r="TYF65" s="293"/>
      <x:c r="TYG65" s="293"/>
      <x:c r="TYH65" s="293"/>
      <x:c r="TYI65" s="293"/>
      <x:c r="TYJ65" s="293"/>
      <x:c r="TYK65" s="293"/>
      <x:c r="TYL65" s="293"/>
      <x:c r="TYM65" s="293"/>
      <x:c r="TYN65" s="293"/>
      <x:c r="TYO65" s="293"/>
      <x:c r="TYP65" s="293"/>
      <x:c r="TYQ65" s="293"/>
      <x:c r="TYR65" s="293"/>
      <x:c r="TYS65" s="293"/>
      <x:c r="TYT65" s="293"/>
      <x:c r="TYU65" s="293"/>
      <x:c r="TYV65" s="293"/>
      <x:c r="TYW65" s="293"/>
      <x:c r="TYX65" s="293"/>
      <x:c r="TYY65" s="293"/>
      <x:c r="TYZ65" s="293"/>
      <x:c r="TZA65" s="293"/>
      <x:c r="TZB65" s="293"/>
      <x:c r="TZC65" s="293"/>
      <x:c r="TZD65" s="293"/>
      <x:c r="TZE65" s="293"/>
      <x:c r="TZF65" s="293"/>
      <x:c r="TZG65" s="293"/>
      <x:c r="TZH65" s="293"/>
      <x:c r="TZI65" s="293"/>
      <x:c r="TZJ65" s="293"/>
      <x:c r="TZK65" s="293"/>
      <x:c r="TZL65" s="293"/>
      <x:c r="TZM65" s="293"/>
      <x:c r="TZN65" s="293"/>
      <x:c r="TZO65" s="293"/>
      <x:c r="TZP65" s="293"/>
      <x:c r="TZQ65" s="293"/>
      <x:c r="TZR65" s="293"/>
      <x:c r="TZS65" s="293"/>
      <x:c r="TZT65" s="293"/>
      <x:c r="TZU65" s="293"/>
      <x:c r="TZV65" s="293"/>
      <x:c r="TZW65" s="293"/>
      <x:c r="TZX65" s="293"/>
      <x:c r="TZY65" s="293"/>
      <x:c r="TZZ65" s="293"/>
      <x:c r="UAA65" s="293"/>
      <x:c r="UAB65" s="293"/>
      <x:c r="UAC65" s="293"/>
      <x:c r="UAD65" s="293"/>
      <x:c r="UAE65" s="293"/>
      <x:c r="UAF65" s="293"/>
      <x:c r="UAG65" s="293"/>
      <x:c r="UAH65" s="293"/>
      <x:c r="UAI65" s="293"/>
      <x:c r="UAJ65" s="293"/>
      <x:c r="UAK65" s="293"/>
      <x:c r="UAL65" s="293"/>
      <x:c r="UAM65" s="293"/>
      <x:c r="UAN65" s="293"/>
      <x:c r="UAO65" s="293"/>
      <x:c r="UAP65" s="293"/>
      <x:c r="UAQ65" s="293"/>
      <x:c r="UAR65" s="293"/>
      <x:c r="UAS65" s="293"/>
      <x:c r="UAT65" s="293"/>
      <x:c r="UAU65" s="293"/>
      <x:c r="UAV65" s="293"/>
      <x:c r="UAW65" s="293"/>
      <x:c r="UAX65" s="293"/>
      <x:c r="UAY65" s="293"/>
      <x:c r="UAZ65" s="293"/>
      <x:c r="UBA65" s="293"/>
      <x:c r="UBB65" s="293"/>
      <x:c r="UBC65" s="293"/>
      <x:c r="UBD65" s="293"/>
      <x:c r="UBE65" s="293"/>
      <x:c r="UBF65" s="293"/>
      <x:c r="UBG65" s="293"/>
      <x:c r="UBH65" s="293"/>
      <x:c r="UBI65" s="293"/>
      <x:c r="UBJ65" s="293"/>
      <x:c r="UBK65" s="293"/>
      <x:c r="UBL65" s="293"/>
      <x:c r="UBM65" s="293"/>
      <x:c r="UBN65" s="293"/>
      <x:c r="UBO65" s="293"/>
      <x:c r="UBP65" s="293"/>
      <x:c r="UBQ65" s="293"/>
      <x:c r="UBR65" s="293"/>
      <x:c r="UBS65" s="293"/>
      <x:c r="UBT65" s="293"/>
      <x:c r="UBU65" s="293"/>
      <x:c r="UBV65" s="293"/>
      <x:c r="UBW65" s="293"/>
      <x:c r="UBX65" s="293"/>
      <x:c r="UBY65" s="293"/>
      <x:c r="UBZ65" s="293"/>
      <x:c r="UCA65" s="293"/>
      <x:c r="UCB65" s="293"/>
      <x:c r="UCC65" s="293"/>
      <x:c r="UCD65" s="293"/>
      <x:c r="UCE65" s="293"/>
      <x:c r="UCF65" s="293"/>
      <x:c r="UCG65" s="293"/>
      <x:c r="UCH65" s="293"/>
      <x:c r="UCI65" s="293"/>
      <x:c r="UCJ65" s="293"/>
      <x:c r="UCK65" s="293"/>
      <x:c r="UCL65" s="293"/>
      <x:c r="UCM65" s="293"/>
      <x:c r="UCN65" s="293"/>
      <x:c r="UCO65" s="293"/>
      <x:c r="UCP65" s="293"/>
      <x:c r="UCQ65" s="293"/>
      <x:c r="UCR65" s="293"/>
      <x:c r="UCS65" s="293"/>
      <x:c r="UCT65" s="293"/>
      <x:c r="UCU65" s="293"/>
      <x:c r="UCV65" s="293"/>
      <x:c r="UCW65" s="293"/>
      <x:c r="UCX65" s="293"/>
      <x:c r="UCY65" s="293"/>
      <x:c r="UCZ65" s="293"/>
      <x:c r="UDA65" s="293"/>
      <x:c r="UDB65" s="293"/>
      <x:c r="UDC65" s="293"/>
      <x:c r="UDD65" s="293"/>
      <x:c r="UDE65" s="293"/>
      <x:c r="UDF65" s="293"/>
      <x:c r="UDG65" s="293"/>
      <x:c r="UDH65" s="293"/>
      <x:c r="UDI65" s="293"/>
      <x:c r="UDJ65" s="293"/>
      <x:c r="UDK65" s="293"/>
      <x:c r="UDL65" s="293"/>
      <x:c r="UDM65" s="293"/>
      <x:c r="UDN65" s="293"/>
      <x:c r="UDO65" s="293"/>
      <x:c r="UDP65" s="293"/>
      <x:c r="UDQ65" s="293"/>
      <x:c r="UDR65" s="293"/>
      <x:c r="UDS65" s="293"/>
      <x:c r="UDT65" s="293"/>
      <x:c r="UDU65" s="293"/>
      <x:c r="UDV65" s="293"/>
      <x:c r="UDW65" s="293"/>
      <x:c r="UDX65" s="293"/>
      <x:c r="UDY65" s="293"/>
      <x:c r="UDZ65" s="293"/>
      <x:c r="UEA65" s="293"/>
      <x:c r="UEB65" s="293"/>
      <x:c r="UEC65" s="293"/>
      <x:c r="UED65" s="293"/>
      <x:c r="UEE65" s="293"/>
      <x:c r="UEF65" s="293"/>
      <x:c r="UEG65" s="293"/>
      <x:c r="UEH65" s="293"/>
      <x:c r="UEI65" s="293"/>
      <x:c r="UEJ65" s="293"/>
      <x:c r="UEK65" s="293"/>
      <x:c r="UEL65" s="293"/>
      <x:c r="UEM65" s="293"/>
      <x:c r="UEN65" s="293"/>
      <x:c r="UEO65" s="293"/>
      <x:c r="UEP65" s="293"/>
      <x:c r="UEQ65" s="293"/>
      <x:c r="UER65" s="293"/>
      <x:c r="UES65" s="293"/>
      <x:c r="UET65" s="293"/>
      <x:c r="UEU65" s="293"/>
      <x:c r="UEV65" s="293"/>
      <x:c r="UEW65" s="293"/>
      <x:c r="UEX65" s="293"/>
      <x:c r="UEY65" s="293"/>
      <x:c r="UEZ65" s="293"/>
      <x:c r="UFA65" s="293"/>
      <x:c r="UFB65" s="293"/>
      <x:c r="UFC65" s="293"/>
      <x:c r="UFD65" s="293"/>
      <x:c r="UFE65" s="293"/>
      <x:c r="UFF65" s="293"/>
      <x:c r="UFG65" s="293"/>
      <x:c r="UFH65" s="293"/>
      <x:c r="UFI65" s="293"/>
      <x:c r="UFJ65" s="293"/>
      <x:c r="UFK65" s="293"/>
      <x:c r="UFL65" s="293"/>
      <x:c r="UFM65" s="293"/>
      <x:c r="UFN65" s="293"/>
      <x:c r="UFO65" s="293"/>
      <x:c r="UFP65" s="293"/>
      <x:c r="UFQ65" s="293"/>
      <x:c r="UFR65" s="293"/>
      <x:c r="UFS65" s="293"/>
      <x:c r="UFT65" s="293"/>
      <x:c r="UFU65" s="293"/>
      <x:c r="UFV65" s="293"/>
      <x:c r="UFW65" s="293"/>
      <x:c r="UFX65" s="293"/>
      <x:c r="UFY65" s="293"/>
      <x:c r="UFZ65" s="293"/>
      <x:c r="UGA65" s="293"/>
      <x:c r="UGB65" s="293"/>
      <x:c r="UGC65" s="293"/>
      <x:c r="UGD65" s="293"/>
      <x:c r="UGE65" s="293"/>
      <x:c r="UGF65" s="293"/>
      <x:c r="UGG65" s="293"/>
      <x:c r="UGH65" s="293"/>
      <x:c r="UGI65" s="293"/>
      <x:c r="UGJ65" s="293"/>
      <x:c r="UGK65" s="293"/>
      <x:c r="UGL65" s="293"/>
      <x:c r="UGM65" s="293"/>
      <x:c r="UGN65" s="293"/>
      <x:c r="UGO65" s="293"/>
      <x:c r="UGP65" s="293"/>
      <x:c r="UGQ65" s="293"/>
      <x:c r="UGR65" s="293"/>
      <x:c r="UGS65" s="293"/>
      <x:c r="UGT65" s="293"/>
      <x:c r="UGU65" s="293"/>
      <x:c r="UGV65" s="293"/>
      <x:c r="UGW65" s="293"/>
      <x:c r="UGX65" s="293"/>
      <x:c r="UGY65" s="293"/>
      <x:c r="UGZ65" s="293"/>
      <x:c r="UHA65" s="293"/>
      <x:c r="UHB65" s="293"/>
      <x:c r="UHC65" s="293"/>
      <x:c r="UHD65" s="293"/>
      <x:c r="UHE65" s="293"/>
      <x:c r="UHF65" s="293"/>
      <x:c r="UHG65" s="293"/>
      <x:c r="UHH65" s="293"/>
      <x:c r="UHI65" s="293"/>
      <x:c r="UHJ65" s="293"/>
      <x:c r="UHK65" s="293"/>
      <x:c r="UHL65" s="293"/>
      <x:c r="UHM65" s="293"/>
      <x:c r="UHN65" s="293"/>
      <x:c r="UHO65" s="293"/>
      <x:c r="UHP65" s="293"/>
      <x:c r="UHQ65" s="293"/>
      <x:c r="UHR65" s="293"/>
      <x:c r="UHS65" s="293"/>
      <x:c r="UHT65" s="293"/>
      <x:c r="UHU65" s="293"/>
      <x:c r="UHV65" s="293"/>
      <x:c r="UHW65" s="293"/>
      <x:c r="UHX65" s="293"/>
      <x:c r="UHY65" s="293"/>
      <x:c r="UHZ65" s="293"/>
      <x:c r="UIA65" s="293"/>
      <x:c r="UIB65" s="293"/>
      <x:c r="UIC65" s="293"/>
      <x:c r="UID65" s="293"/>
      <x:c r="UIE65" s="293"/>
      <x:c r="UIF65" s="293"/>
      <x:c r="UIG65" s="293"/>
      <x:c r="UIH65" s="293"/>
      <x:c r="UII65" s="293"/>
      <x:c r="UIJ65" s="293"/>
      <x:c r="UIK65" s="293"/>
      <x:c r="UIL65" s="293"/>
      <x:c r="UIM65" s="293"/>
      <x:c r="UIN65" s="293"/>
      <x:c r="UIO65" s="293"/>
      <x:c r="UIP65" s="293"/>
      <x:c r="UIQ65" s="293"/>
      <x:c r="UIR65" s="293"/>
      <x:c r="UIS65" s="293"/>
      <x:c r="UIT65" s="293"/>
      <x:c r="UIU65" s="293"/>
      <x:c r="UIV65" s="293"/>
      <x:c r="UIW65" s="293"/>
      <x:c r="UIX65" s="293"/>
      <x:c r="UIY65" s="293"/>
      <x:c r="UIZ65" s="293"/>
      <x:c r="UJA65" s="293"/>
      <x:c r="UJB65" s="293"/>
      <x:c r="UJC65" s="293"/>
      <x:c r="UJD65" s="293"/>
      <x:c r="UJE65" s="293"/>
      <x:c r="UJF65" s="293"/>
      <x:c r="UJG65" s="293"/>
      <x:c r="UJH65" s="293"/>
      <x:c r="UJI65" s="293"/>
      <x:c r="UJJ65" s="293"/>
      <x:c r="UJK65" s="293"/>
      <x:c r="UJL65" s="293"/>
      <x:c r="UJM65" s="293"/>
      <x:c r="UJN65" s="293"/>
      <x:c r="UJO65" s="293"/>
      <x:c r="UJP65" s="293"/>
      <x:c r="UJQ65" s="293"/>
      <x:c r="UJR65" s="293"/>
      <x:c r="UJS65" s="293"/>
      <x:c r="UJT65" s="293"/>
      <x:c r="UJU65" s="293"/>
      <x:c r="UJV65" s="293"/>
      <x:c r="UJW65" s="293"/>
      <x:c r="UJX65" s="293"/>
      <x:c r="UJY65" s="293"/>
      <x:c r="UJZ65" s="293"/>
      <x:c r="UKA65" s="293"/>
      <x:c r="UKB65" s="293"/>
      <x:c r="UKC65" s="293"/>
      <x:c r="UKD65" s="293"/>
      <x:c r="UKE65" s="293"/>
      <x:c r="UKF65" s="293"/>
      <x:c r="UKG65" s="293"/>
      <x:c r="UKH65" s="293"/>
      <x:c r="UKI65" s="293"/>
      <x:c r="UKJ65" s="293"/>
      <x:c r="UKK65" s="293"/>
      <x:c r="UKL65" s="293"/>
      <x:c r="UKM65" s="293"/>
      <x:c r="UKN65" s="293"/>
      <x:c r="UKO65" s="293"/>
      <x:c r="UKP65" s="293"/>
      <x:c r="UKQ65" s="293"/>
      <x:c r="UKR65" s="293"/>
      <x:c r="UKS65" s="293"/>
      <x:c r="UKT65" s="293"/>
      <x:c r="UKU65" s="293"/>
      <x:c r="UKV65" s="293"/>
      <x:c r="UKW65" s="293"/>
      <x:c r="UKX65" s="293"/>
      <x:c r="UKY65" s="293"/>
      <x:c r="UKZ65" s="293"/>
      <x:c r="ULA65" s="293"/>
      <x:c r="ULB65" s="293"/>
      <x:c r="ULC65" s="293"/>
      <x:c r="ULD65" s="293"/>
      <x:c r="ULE65" s="293"/>
      <x:c r="ULF65" s="293"/>
      <x:c r="ULG65" s="293"/>
      <x:c r="ULH65" s="293"/>
      <x:c r="ULI65" s="293"/>
      <x:c r="ULJ65" s="293"/>
      <x:c r="ULK65" s="293"/>
      <x:c r="ULL65" s="293"/>
      <x:c r="ULM65" s="293"/>
      <x:c r="ULN65" s="293"/>
      <x:c r="ULO65" s="293"/>
      <x:c r="ULP65" s="293"/>
      <x:c r="ULQ65" s="293"/>
      <x:c r="ULR65" s="293"/>
      <x:c r="ULS65" s="293"/>
      <x:c r="ULT65" s="293"/>
      <x:c r="ULU65" s="293"/>
      <x:c r="ULV65" s="293"/>
      <x:c r="ULW65" s="293"/>
      <x:c r="ULX65" s="293"/>
      <x:c r="ULY65" s="293"/>
      <x:c r="ULZ65" s="293"/>
      <x:c r="UMA65" s="293"/>
      <x:c r="UMB65" s="293"/>
      <x:c r="UMC65" s="293"/>
      <x:c r="UMD65" s="293"/>
      <x:c r="UME65" s="293"/>
      <x:c r="UMF65" s="293"/>
      <x:c r="UMG65" s="293"/>
      <x:c r="UMH65" s="293"/>
      <x:c r="UMI65" s="293"/>
      <x:c r="UMJ65" s="293"/>
      <x:c r="UMK65" s="293"/>
      <x:c r="UML65" s="293"/>
      <x:c r="UMM65" s="293"/>
      <x:c r="UMN65" s="293"/>
      <x:c r="UMO65" s="293"/>
      <x:c r="UMP65" s="293"/>
      <x:c r="UMQ65" s="293"/>
      <x:c r="UMR65" s="293"/>
      <x:c r="UMS65" s="293"/>
      <x:c r="UMT65" s="293"/>
      <x:c r="UMU65" s="293"/>
      <x:c r="UMV65" s="293"/>
      <x:c r="UMW65" s="293"/>
      <x:c r="UMX65" s="293"/>
      <x:c r="UMY65" s="293"/>
      <x:c r="UMZ65" s="293"/>
      <x:c r="UNA65" s="293"/>
      <x:c r="UNB65" s="293"/>
      <x:c r="UNC65" s="293"/>
      <x:c r="UND65" s="293"/>
      <x:c r="UNE65" s="293"/>
      <x:c r="UNF65" s="293"/>
      <x:c r="UNG65" s="293"/>
      <x:c r="UNH65" s="293"/>
      <x:c r="UNI65" s="293"/>
      <x:c r="UNJ65" s="293"/>
      <x:c r="UNK65" s="293"/>
      <x:c r="UNL65" s="293"/>
      <x:c r="UNM65" s="293"/>
      <x:c r="UNN65" s="293"/>
      <x:c r="UNO65" s="293"/>
      <x:c r="UNP65" s="293"/>
      <x:c r="UNQ65" s="293"/>
      <x:c r="UNR65" s="293"/>
      <x:c r="UNS65" s="293"/>
      <x:c r="UNT65" s="293"/>
      <x:c r="UNU65" s="293"/>
      <x:c r="UNV65" s="293"/>
      <x:c r="UNW65" s="293"/>
      <x:c r="UNX65" s="293"/>
      <x:c r="UNY65" s="293"/>
      <x:c r="UNZ65" s="293"/>
      <x:c r="UOA65" s="293"/>
      <x:c r="UOB65" s="293"/>
      <x:c r="UOC65" s="293"/>
      <x:c r="UOD65" s="293"/>
      <x:c r="UOE65" s="293"/>
      <x:c r="UOF65" s="293"/>
      <x:c r="UOG65" s="293"/>
      <x:c r="UOH65" s="293"/>
      <x:c r="UOI65" s="293"/>
      <x:c r="UOJ65" s="293"/>
      <x:c r="UOK65" s="293"/>
      <x:c r="UOL65" s="293"/>
      <x:c r="UOM65" s="293"/>
      <x:c r="UON65" s="293"/>
      <x:c r="UOO65" s="293"/>
      <x:c r="UOP65" s="293"/>
      <x:c r="UOQ65" s="293"/>
      <x:c r="UOR65" s="293"/>
      <x:c r="UOS65" s="293"/>
      <x:c r="UOT65" s="293"/>
      <x:c r="UOU65" s="293"/>
      <x:c r="UOV65" s="293"/>
      <x:c r="UOW65" s="293"/>
      <x:c r="UOX65" s="293"/>
      <x:c r="UOY65" s="293"/>
      <x:c r="UOZ65" s="293"/>
      <x:c r="UPA65" s="293"/>
      <x:c r="UPB65" s="293"/>
      <x:c r="UPC65" s="293"/>
      <x:c r="UPD65" s="293"/>
      <x:c r="UPE65" s="293"/>
      <x:c r="UPF65" s="293"/>
      <x:c r="UPG65" s="293"/>
      <x:c r="UPH65" s="293"/>
      <x:c r="UPI65" s="293"/>
      <x:c r="UPJ65" s="293"/>
      <x:c r="UPK65" s="293"/>
      <x:c r="UPL65" s="293"/>
      <x:c r="UPM65" s="293"/>
      <x:c r="UPN65" s="293"/>
      <x:c r="UPO65" s="293"/>
      <x:c r="UPP65" s="293"/>
      <x:c r="UPQ65" s="293"/>
      <x:c r="UPR65" s="293"/>
      <x:c r="UPS65" s="293"/>
      <x:c r="UPT65" s="293"/>
      <x:c r="UPU65" s="293"/>
      <x:c r="UPV65" s="293"/>
      <x:c r="UPW65" s="293"/>
      <x:c r="UPX65" s="293"/>
      <x:c r="UPY65" s="293"/>
      <x:c r="UPZ65" s="293"/>
      <x:c r="UQA65" s="293"/>
      <x:c r="UQB65" s="293"/>
      <x:c r="UQC65" s="293"/>
      <x:c r="UQD65" s="293"/>
      <x:c r="UQE65" s="293"/>
      <x:c r="UQF65" s="293"/>
      <x:c r="UQG65" s="293"/>
      <x:c r="UQH65" s="293"/>
      <x:c r="UQI65" s="293"/>
      <x:c r="UQJ65" s="293"/>
      <x:c r="UQK65" s="293"/>
      <x:c r="UQL65" s="293"/>
      <x:c r="UQM65" s="293"/>
      <x:c r="UQN65" s="293"/>
      <x:c r="UQO65" s="293"/>
      <x:c r="UQP65" s="293"/>
      <x:c r="UQQ65" s="293"/>
      <x:c r="UQR65" s="293"/>
      <x:c r="UQS65" s="293"/>
      <x:c r="UQT65" s="293"/>
      <x:c r="UQU65" s="293"/>
      <x:c r="UQV65" s="293"/>
      <x:c r="UQW65" s="293"/>
      <x:c r="UQX65" s="293"/>
      <x:c r="UQY65" s="293"/>
      <x:c r="UQZ65" s="293"/>
      <x:c r="URA65" s="293"/>
      <x:c r="URB65" s="293"/>
      <x:c r="URC65" s="293"/>
      <x:c r="URD65" s="293"/>
      <x:c r="URE65" s="293"/>
      <x:c r="URF65" s="293"/>
      <x:c r="URG65" s="293"/>
      <x:c r="URH65" s="293"/>
      <x:c r="URI65" s="293"/>
      <x:c r="URJ65" s="293"/>
      <x:c r="URK65" s="293"/>
      <x:c r="URL65" s="293"/>
      <x:c r="URM65" s="293"/>
      <x:c r="URN65" s="293"/>
      <x:c r="URO65" s="293"/>
      <x:c r="URP65" s="293"/>
      <x:c r="URQ65" s="293"/>
      <x:c r="URR65" s="293"/>
      <x:c r="URS65" s="293"/>
      <x:c r="URT65" s="293"/>
      <x:c r="URU65" s="293"/>
      <x:c r="URV65" s="293"/>
      <x:c r="URW65" s="293"/>
      <x:c r="URX65" s="293"/>
      <x:c r="URY65" s="293"/>
      <x:c r="URZ65" s="293"/>
      <x:c r="USA65" s="293"/>
      <x:c r="USB65" s="293"/>
      <x:c r="USC65" s="293"/>
      <x:c r="USD65" s="293"/>
      <x:c r="USE65" s="293"/>
      <x:c r="USF65" s="293"/>
      <x:c r="USG65" s="293"/>
      <x:c r="USH65" s="293"/>
      <x:c r="USI65" s="293"/>
      <x:c r="USJ65" s="293"/>
      <x:c r="USK65" s="293"/>
      <x:c r="USL65" s="293"/>
      <x:c r="USM65" s="293"/>
      <x:c r="USN65" s="293"/>
      <x:c r="USO65" s="293"/>
      <x:c r="USP65" s="293"/>
      <x:c r="USQ65" s="293"/>
      <x:c r="USR65" s="293"/>
      <x:c r="USS65" s="293"/>
      <x:c r="UST65" s="293"/>
      <x:c r="USU65" s="293"/>
      <x:c r="USV65" s="293"/>
      <x:c r="USW65" s="293"/>
      <x:c r="USX65" s="293"/>
      <x:c r="USY65" s="293"/>
      <x:c r="USZ65" s="293"/>
      <x:c r="UTA65" s="293"/>
      <x:c r="UTB65" s="293"/>
      <x:c r="UTC65" s="293"/>
      <x:c r="UTD65" s="293"/>
      <x:c r="UTE65" s="293"/>
      <x:c r="UTF65" s="293"/>
      <x:c r="UTG65" s="293"/>
      <x:c r="UTH65" s="293"/>
      <x:c r="UTI65" s="293"/>
      <x:c r="UTJ65" s="293"/>
      <x:c r="UTK65" s="293"/>
      <x:c r="UTL65" s="293"/>
      <x:c r="UTM65" s="293"/>
      <x:c r="UTN65" s="293"/>
      <x:c r="UTO65" s="293"/>
      <x:c r="UTP65" s="293"/>
      <x:c r="UTQ65" s="293"/>
      <x:c r="UTR65" s="293"/>
      <x:c r="UTS65" s="293"/>
      <x:c r="UTT65" s="293"/>
      <x:c r="UTU65" s="293"/>
      <x:c r="UTV65" s="293"/>
      <x:c r="UTW65" s="293"/>
      <x:c r="UTX65" s="293"/>
      <x:c r="UTY65" s="293"/>
      <x:c r="UTZ65" s="293"/>
      <x:c r="UUA65" s="293"/>
      <x:c r="UUB65" s="293"/>
      <x:c r="UUC65" s="293"/>
      <x:c r="UUD65" s="293"/>
      <x:c r="UUE65" s="293"/>
      <x:c r="UUF65" s="293"/>
      <x:c r="UUG65" s="293"/>
      <x:c r="UUH65" s="293"/>
      <x:c r="UUI65" s="293"/>
      <x:c r="UUJ65" s="293"/>
      <x:c r="UUK65" s="293"/>
      <x:c r="UUL65" s="293"/>
      <x:c r="UUM65" s="293"/>
      <x:c r="UUN65" s="293"/>
      <x:c r="UUO65" s="293"/>
      <x:c r="UUP65" s="293"/>
      <x:c r="UUQ65" s="293"/>
      <x:c r="UUR65" s="293"/>
      <x:c r="UUS65" s="293"/>
      <x:c r="UUT65" s="293"/>
      <x:c r="UUU65" s="293"/>
      <x:c r="UUV65" s="293"/>
      <x:c r="UUW65" s="293"/>
      <x:c r="UUX65" s="293"/>
      <x:c r="UUY65" s="293"/>
      <x:c r="UUZ65" s="293"/>
      <x:c r="UVA65" s="293"/>
      <x:c r="UVB65" s="293"/>
      <x:c r="UVC65" s="293"/>
      <x:c r="UVD65" s="293"/>
      <x:c r="UVE65" s="293"/>
      <x:c r="UVF65" s="293"/>
      <x:c r="UVG65" s="293"/>
      <x:c r="UVH65" s="293"/>
      <x:c r="UVI65" s="293"/>
      <x:c r="UVJ65" s="293"/>
      <x:c r="UVK65" s="293"/>
      <x:c r="UVL65" s="293"/>
      <x:c r="UVM65" s="293"/>
      <x:c r="UVN65" s="293"/>
      <x:c r="UVO65" s="293"/>
      <x:c r="UVP65" s="293"/>
      <x:c r="UVQ65" s="293"/>
      <x:c r="UVR65" s="293"/>
      <x:c r="UVS65" s="293"/>
      <x:c r="UVT65" s="293"/>
      <x:c r="UVU65" s="293"/>
      <x:c r="UVV65" s="293"/>
      <x:c r="UVW65" s="293"/>
      <x:c r="UVX65" s="293"/>
      <x:c r="UVY65" s="293"/>
      <x:c r="UVZ65" s="293"/>
      <x:c r="UWA65" s="293"/>
      <x:c r="UWB65" s="293"/>
      <x:c r="UWC65" s="293"/>
      <x:c r="UWD65" s="293"/>
      <x:c r="UWE65" s="293"/>
      <x:c r="UWF65" s="293"/>
      <x:c r="UWG65" s="293"/>
      <x:c r="UWH65" s="293"/>
      <x:c r="UWI65" s="293"/>
      <x:c r="UWJ65" s="293"/>
      <x:c r="UWK65" s="293"/>
      <x:c r="UWL65" s="293"/>
      <x:c r="UWM65" s="293"/>
      <x:c r="UWN65" s="293"/>
      <x:c r="UWO65" s="293"/>
      <x:c r="UWP65" s="293"/>
      <x:c r="UWQ65" s="293"/>
      <x:c r="UWR65" s="293"/>
      <x:c r="UWS65" s="293"/>
      <x:c r="UWT65" s="293"/>
      <x:c r="UWU65" s="293"/>
      <x:c r="UWV65" s="293"/>
      <x:c r="UWW65" s="293"/>
      <x:c r="UWX65" s="293"/>
      <x:c r="UWY65" s="293"/>
      <x:c r="UWZ65" s="293"/>
      <x:c r="UXA65" s="293"/>
      <x:c r="UXB65" s="293"/>
      <x:c r="UXC65" s="293"/>
      <x:c r="UXD65" s="293"/>
      <x:c r="UXE65" s="293"/>
      <x:c r="UXF65" s="293"/>
      <x:c r="UXG65" s="293"/>
      <x:c r="UXH65" s="293"/>
      <x:c r="UXI65" s="293"/>
      <x:c r="UXJ65" s="293"/>
      <x:c r="UXK65" s="293"/>
      <x:c r="UXL65" s="293"/>
      <x:c r="UXM65" s="293"/>
      <x:c r="UXN65" s="293"/>
      <x:c r="UXO65" s="293"/>
      <x:c r="UXP65" s="293"/>
      <x:c r="UXQ65" s="293"/>
      <x:c r="UXR65" s="293"/>
      <x:c r="UXS65" s="293"/>
      <x:c r="UXT65" s="293"/>
      <x:c r="UXU65" s="293"/>
      <x:c r="UXV65" s="293"/>
      <x:c r="UXW65" s="293"/>
      <x:c r="UXX65" s="293"/>
      <x:c r="UXY65" s="293"/>
      <x:c r="UXZ65" s="293"/>
      <x:c r="UYA65" s="293"/>
      <x:c r="UYB65" s="293"/>
      <x:c r="UYC65" s="293"/>
      <x:c r="UYD65" s="293"/>
      <x:c r="UYE65" s="293"/>
      <x:c r="UYF65" s="293"/>
      <x:c r="UYG65" s="293"/>
      <x:c r="UYH65" s="293"/>
      <x:c r="UYI65" s="293"/>
      <x:c r="UYJ65" s="293"/>
      <x:c r="UYK65" s="293"/>
      <x:c r="UYL65" s="293"/>
      <x:c r="UYM65" s="293"/>
      <x:c r="UYN65" s="293"/>
      <x:c r="UYO65" s="293"/>
      <x:c r="UYP65" s="293"/>
      <x:c r="UYQ65" s="293"/>
      <x:c r="UYR65" s="293"/>
      <x:c r="UYS65" s="293"/>
      <x:c r="UYT65" s="293"/>
      <x:c r="UYU65" s="293"/>
      <x:c r="UYV65" s="293"/>
      <x:c r="UYW65" s="293"/>
      <x:c r="UYX65" s="293"/>
      <x:c r="UYY65" s="293"/>
      <x:c r="UYZ65" s="293"/>
      <x:c r="UZA65" s="293"/>
      <x:c r="UZB65" s="293"/>
      <x:c r="UZC65" s="293"/>
      <x:c r="UZD65" s="293"/>
      <x:c r="UZE65" s="293"/>
      <x:c r="UZF65" s="293"/>
      <x:c r="UZG65" s="293"/>
      <x:c r="UZH65" s="293"/>
      <x:c r="UZI65" s="293"/>
      <x:c r="UZJ65" s="293"/>
      <x:c r="UZK65" s="293"/>
      <x:c r="UZL65" s="293"/>
      <x:c r="UZM65" s="293"/>
      <x:c r="UZN65" s="293"/>
      <x:c r="UZO65" s="293"/>
      <x:c r="UZP65" s="293"/>
      <x:c r="UZQ65" s="293"/>
      <x:c r="UZR65" s="293"/>
      <x:c r="UZS65" s="293"/>
      <x:c r="UZT65" s="293"/>
      <x:c r="UZU65" s="293"/>
      <x:c r="UZV65" s="293"/>
      <x:c r="UZW65" s="293"/>
      <x:c r="UZX65" s="293"/>
      <x:c r="UZY65" s="293"/>
      <x:c r="UZZ65" s="293"/>
      <x:c r="VAA65" s="293"/>
      <x:c r="VAB65" s="293"/>
      <x:c r="VAC65" s="293"/>
      <x:c r="VAD65" s="293"/>
      <x:c r="VAE65" s="293"/>
      <x:c r="VAF65" s="293"/>
      <x:c r="VAG65" s="293"/>
      <x:c r="VAH65" s="293"/>
      <x:c r="VAI65" s="293"/>
      <x:c r="VAJ65" s="293"/>
      <x:c r="VAK65" s="293"/>
      <x:c r="VAL65" s="293"/>
      <x:c r="VAM65" s="293"/>
      <x:c r="VAN65" s="293"/>
      <x:c r="VAO65" s="293"/>
      <x:c r="VAP65" s="293"/>
      <x:c r="VAQ65" s="293"/>
      <x:c r="VAR65" s="293"/>
      <x:c r="VAS65" s="293"/>
      <x:c r="VAT65" s="293"/>
      <x:c r="VAU65" s="293"/>
      <x:c r="VAV65" s="293"/>
      <x:c r="VAW65" s="293"/>
      <x:c r="VAX65" s="293"/>
      <x:c r="VAY65" s="293"/>
      <x:c r="VAZ65" s="293"/>
      <x:c r="VBA65" s="293"/>
      <x:c r="VBB65" s="293"/>
      <x:c r="VBC65" s="293"/>
      <x:c r="VBD65" s="293"/>
      <x:c r="VBE65" s="293"/>
      <x:c r="VBF65" s="293"/>
      <x:c r="VBG65" s="293"/>
      <x:c r="VBH65" s="293"/>
      <x:c r="VBI65" s="293"/>
      <x:c r="VBJ65" s="293"/>
      <x:c r="VBK65" s="293"/>
      <x:c r="VBL65" s="293"/>
      <x:c r="VBM65" s="293"/>
      <x:c r="VBN65" s="293"/>
      <x:c r="VBO65" s="293"/>
      <x:c r="VBP65" s="293"/>
      <x:c r="VBQ65" s="293"/>
      <x:c r="VBR65" s="293"/>
      <x:c r="VBS65" s="293"/>
      <x:c r="VBT65" s="293"/>
      <x:c r="VBU65" s="293"/>
      <x:c r="VBV65" s="293"/>
      <x:c r="VBW65" s="293"/>
      <x:c r="VBX65" s="293"/>
      <x:c r="VBY65" s="293"/>
      <x:c r="VBZ65" s="293"/>
      <x:c r="VCA65" s="293"/>
      <x:c r="VCB65" s="293"/>
      <x:c r="VCC65" s="293"/>
      <x:c r="VCD65" s="293"/>
      <x:c r="VCE65" s="293"/>
      <x:c r="VCF65" s="293"/>
      <x:c r="VCG65" s="293"/>
      <x:c r="VCH65" s="293"/>
      <x:c r="VCI65" s="293"/>
      <x:c r="VCJ65" s="293"/>
      <x:c r="VCK65" s="293"/>
      <x:c r="VCL65" s="293"/>
      <x:c r="VCM65" s="293"/>
      <x:c r="VCN65" s="293"/>
      <x:c r="VCO65" s="293"/>
      <x:c r="VCP65" s="293"/>
      <x:c r="VCQ65" s="293"/>
      <x:c r="VCR65" s="293"/>
      <x:c r="VCS65" s="293"/>
      <x:c r="VCT65" s="293"/>
      <x:c r="VCU65" s="293"/>
      <x:c r="VCV65" s="293"/>
      <x:c r="VCW65" s="293"/>
      <x:c r="VCX65" s="293"/>
      <x:c r="VCY65" s="293"/>
      <x:c r="VCZ65" s="293"/>
      <x:c r="VDA65" s="293"/>
      <x:c r="VDB65" s="293"/>
      <x:c r="VDC65" s="293"/>
      <x:c r="VDD65" s="293"/>
      <x:c r="VDE65" s="293"/>
      <x:c r="VDF65" s="293"/>
      <x:c r="VDG65" s="293"/>
      <x:c r="VDH65" s="293"/>
      <x:c r="VDI65" s="293"/>
      <x:c r="VDJ65" s="293"/>
      <x:c r="VDK65" s="293"/>
      <x:c r="VDL65" s="293"/>
      <x:c r="VDM65" s="293"/>
      <x:c r="VDN65" s="293"/>
      <x:c r="VDO65" s="293"/>
      <x:c r="VDP65" s="293"/>
      <x:c r="VDQ65" s="293"/>
      <x:c r="VDR65" s="293"/>
      <x:c r="VDS65" s="293"/>
      <x:c r="VDT65" s="293"/>
      <x:c r="VDU65" s="293"/>
      <x:c r="VDV65" s="293"/>
      <x:c r="VDW65" s="293"/>
      <x:c r="VDX65" s="293"/>
      <x:c r="VDY65" s="293"/>
      <x:c r="VDZ65" s="293"/>
      <x:c r="VEA65" s="293"/>
      <x:c r="VEB65" s="293"/>
      <x:c r="VEC65" s="293"/>
      <x:c r="VED65" s="293"/>
      <x:c r="VEE65" s="293"/>
      <x:c r="VEF65" s="293"/>
      <x:c r="VEG65" s="293"/>
      <x:c r="VEH65" s="293"/>
      <x:c r="VEI65" s="293"/>
      <x:c r="VEJ65" s="293"/>
      <x:c r="VEK65" s="293"/>
      <x:c r="VEL65" s="293"/>
      <x:c r="VEM65" s="293"/>
      <x:c r="VEN65" s="293"/>
      <x:c r="VEO65" s="293"/>
      <x:c r="VEP65" s="293"/>
      <x:c r="VEQ65" s="293"/>
      <x:c r="VER65" s="293"/>
      <x:c r="VES65" s="293"/>
      <x:c r="VET65" s="293"/>
      <x:c r="VEU65" s="293"/>
      <x:c r="VEV65" s="293"/>
      <x:c r="VEW65" s="293"/>
      <x:c r="VEX65" s="293"/>
      <x:c r="VEY65" s="293"/>
      <x:c r="VEZ65" s="293"/>
      <x:c r="VFA65" s="293"/>
      <x:c r="VFB65" s="293"/>
      <x:c r="VFC65" s="293"/>
      <x:c r="VFD65" s="293"/>
      <x:c r="VFE65" s="293"/>
      <x:c r="VFF65" s="293"/>
      <x:c r="VFG65" s="293"/>
      <x:c r="VFH65" s="293"/>
      <x:c r="VFI65" s="293"/>
      <x:c r="VFJ65" s="293"/>
      <x:c r="VFK65" s="293"/>
      <x:c r="VFL65" s="293"/>
      <x:c r="VFM65" s="293"/>
      <x:c r="VFN65" s="293"/>
      <x:c r="VFO65" s="293"/>
      <x:c r="VFP65" s="293"/>
      <x:c r="VFQ65" s="293"/>
      <x:c r="VFR65" s="293"/>
      <x:c r="VFS65" s="293"/>
      <x:c r="VFT65" s="293"/>
      <x:c r="VFU65" s="293"/>
      <x:c r="VFV65" s="293"/>
      <x:c r="VFW65" s="293"/>
      <x:c r="VFX65" s="293"/>
      <x:c r="VFY65" s="293"/>
      <x:c r="VFZ65" s="293"/>
      <x:c r="VGA65" s="293"/>
      <x:c r="VGB65" s="293"/>
      <x:c r="VGC65" s="293"/>
      <x:c r="VGD65" s="293"/>
      <x:c r="VGE65" s="293"/>
      <x:c r="VGF65" s="293"/>
      <x:c r="VGG65" s="293"/>
      <x:c r="VGH65" s="293"/>
      <x:c r="VGI65" s="293"/>
      <x:c r="VGJ65" s="293"/>
      <x:c r="VGK65" s="293"/>
      <x:c r="VGL65" s="293"/>
      <x:c r="VGM65" s="293"/>
      <x:c r="VGN65" s="293"/>
      <x:c r="VGO65" s="293"/>
      <x:c r="VGP65" s="293"/>
      <x:c r="VGQ65" s="293"/>
      <x:c r="VGR65" s="293"/>
      <x:c r="VGS65" s="293"/>
      <x:c r="VGT65" s="293"/>
      <x:c r="VGU65" s="293"/>
      <x:c r="VGV65" s="293"/>
      <x:c r="VGW65" s="293"/>
      <x:c r="VGX65" s="293"/>
      <x:c r="VGY65" s="293"/>
      <x:c r="VGZ65" s="293"/>
      <x:c r="VHA65" s="293"/>
      <x:c r="VHB65" s="293"/>
      <x:c r="VHC65" s="293"/>
      <x:c r="VHD65" s="293"/>
      <x:c r="VHE65" s="293"/>
      <x:c r="VHF65" s="293"/>
      <x:c r="VHG65" s="293"/>
      <x:c r="VHH65" s="293"/>
      <x:c r="VHI65" s="293"/>
      <x:c r="VHJ65" s="293"/>
      <x:c r="VHK65" s="293"/>
      <x:c r="VHL65" s="293"/>
      <x:c r="VHM65" s="293"/>
      <x:c r="VHN65" s="293"/>
      <x:c r="VHO65" s="293"/>
      <x:c r="VHP65" s="293"/>
      <x:c r="VHQ65" s="293"/>
      <x:c r="VHR65" s="293"/>
      <x:c r="VHS65" s="293"/>
      <x:c r="VHT65" s="293"/>
      <x:c r="VHU65" s="293"/>
      <x:c r="VHV65" s="293"/>
      <x:c r="VHW65" s="293"/>
      <x:c r="VHX65" s="293"/>
      <x:c r="VHY65" s="293"/>
      <x:c r="VHZ65" s="293"/>
      <x:c r="VIA65" s="293"/>
      <x:c r="VIB65" s="293"/>
      <x:c r="VIC65" s="293"/>
      <x:c r="VID65" s="293"/>
      <x:c r="VIE65" s="293"/>
      <x:c r="VIF65" s="293"/>
      <x:c r="VIG65" s="293"/>
      <x:c r="VIH65" s="293"/>
      <x:c r="VII65" s="293"/>
      <x:c r="VIJ65" s="293"/>
      <x:c r="VIK65" s="293"/>
      <x:c r="VIL65" s="293"/>
      <x:c r="VIM65" s="293"/>
      <x:c r="VIN65" s="293"/>
      <x:c r="VIO65" s="293"/>
      <x:c r="VIP65" s="293"/>
      <x:c r="VIQ65" s="293"/>
      <x:c r="VIR65" s="293"/>
      <x:c r="VIS65" s="293"/>
      <x:c r="VIT65" s="293"/>
      <x:c r="VIU65" s="293"/>
      <x:c r="VIV65" s="293"/>
      <x:c r="VIW65" s="293"/>
      <x:c r="VIX65" s="293"/>
      <x:c r="VIY65" s="293"/>
      <x:c r="VIZ65" s="293"/>
      <x:c r="VJA65" s="293"/>
      <x:c r="VJB65" s="293"/>
      <x:c r="VJC65" s="293"/>
      <x:c r="VJD65" s="293"/>
      <x:c r="VJE65" s="293"/>
      <x:c r="VJF65" s="293"/>
      <x:c r="VJG65" s="293"/>
      <x:c r="VJH65" s="293"/>
      <x:c r="VJI65" s="293"/>
      <x:c r="VJJ65" s="293"/>
      <x:c r="VJK65" s="293"/>
      <x:c r="VJL65" s="293"/>
      <x:c r="VJM65" s="293"/>
      <x:c r="VJN65" s="293"/>
      <x:c r="VJO65" s="293"/>
      <x:c r="VJP65" s="293"/>
      <x:c r="VJQ65" s="293"/>
      <x:c r="VJR65" s="293"/>
      <x:c r="VJS65" s="293"/>
      <x:c r="VJT65" s="293"/>
      <x:c r="VJU65" s="293"/>
      <x:c r="VJV65" s="293"/>
      <x:c r="VJW65" s="293"/>
      <x:c r="VJX65" s="293"/>
      <x:c r="VJY65" s="293"/>
      <x:c r="VJZ65" s="293"/>
      <x:c r="VKA65" s="293"/>
      <x:c r="VKB65" s="293"/>
      <x:c r="VKC65" s="293"/>
      <x:c r="VKD65" s="293"/>
      <x:c r="VKE65" s="293"/>
      <x:c r="VKF65" s="293"/>
      <x:c r="VKG65" s="293"/>
      <x:c r="VKH65" s="293"/>
      <x:c r="VKI65" s="293"/>
      <x:c r="VKJ65" s="293"/>
      <x:c r="VKK65" s="293"/>
      <x:c r="VKL65" s="293"/>
      <x:c r="VKM65" s="293"/>
      <x:c r="VKN65" s="293"/>
      <x:c r="VKO65" s="293"/>
      <x:c r="VKP65" s="293"/>
      <x:c r="VKQ65" s="293"/>
      <x:c r="VKR65" s="293"/>
      <x:c r="VKS65" s="293"/>
      <x:c r="VKT65" s="293"/>
      <x:c r="VKU65" s="293"/>
      <x:c r="VKV65" s="293"/>
      <x:c r="VKW65" s="293"/>
      <x:c r="VKX65" s="293"/>
      <x:c r="VKY65" s="293"/>
      <x:c r="VKZ65" s="293"/>
      <x:c r="VLA65" s="293"/>
      <x:c r="VLB65" s="293"/>
      <x:c r="VLC65" s="293"/>
      <x:c r="VLD65" s="293"/>
      <x:c r="VLE65" s="293"/>
      <x:c r="VLF65" s="293"/>
      <x:c r="VLG65" s="293"/>
      <x:c r="VLH65" s="293"/>
      <x:c r="VLI65" s="293"/>
      <x:c r="VLJ65" s="293"/>
      <x:c r="VLK65" s="293"/>
      <x:c r="VLL65" s="293"/>
      <x:c r="VLM65" s="293"/>
      <x:c r="VLN65" s="293"/>
      <x:c r="VLO65" s="293"/>
      <x:c r="VLP65" s="293"/>
      <x:c r="VLQ65" s="293"/>
      <x:c r="VLR65" s="293"/>
      <x:c r="VLS65" s="293"/>
      <x:c r="VLT65" s="293"/>
      <x:c r="VLU65" s="293"/>
      <x:c r="VLV65" s="293"/>
      <x:c r="VLW65" s="293"/>
      <x:c r="VLX65" s="293"/>
      <x:c r="VLY65" s="293"/>
      <x:c r="VLZ65" s="293"/>
      <x:c r="VMA65" s="293"/>
      <x:c r="VMB65" s="293"/>
      <x:c r="VMC65" s="293"/>
      <x:c r="VMD65" s="293"/>
      <x:c r="VME65" s="293"/>
      <x:c r="VMF65" s="293"/>
      <x:c r="VMG65" s="293"/>
      <x:c r="VMH65" s="293"/>
      <x:c r="VMI65" s="293"/>
      <x:c r="VMJ65" s="293"/>
      <x:c r="VMK65" s="293"/>
      <x:c r="VML65" s="293"/>
      <x:c r="VMM65" s="293"/>
      <x:c r="VMN65" s="293"/>
      <x:c r="VMO65" s="293"/>
      <x:c r="VMP65" s="293"/>
      <x:c r="VMQ65" s="293"/>
      <x:c r="VMR65" s="293"/>
      <x:c r="VMS65" s="293"/>
      <x:c r="VMT65" s="293"/>
      <x:c r="VMU65" s="293"/>
      <x:c r="VMV65" s="293"/>
      <x:c r="VMW65" s="293"/>
      <x:c r="VMX65" s="293"/>
      <x:c r="VMY65" s="293"/>
      <x:c r="VMZ65" s="293"/>
      <x:c r="VNA65" s="293"/>
      <x:c r="VNB65" s="293"/>
      <x:c r="VNC65" s="293"/>
      <x:c r="VND65" s="293"/>
      <x:c r="VNE65" s="293"/>
      <x:c r="VNF65" s="293"/>
      <x:c r="VNG65" s="293"/>
      <x:c r="VNH65" s="293"/>
      <x:c r="VNI65" s="293"/>
      <x:c r="VNJ65" s="293"/>
      <x:c r="VNK65" s="293"/>
      <x:c r="VNL65" s="293"/>
      <x:c r="VNM65" s="293"/>
      <x:c r="VNN65" s="293"/>
      <x:c r="VNO65" s="293"/>
      <x:c r="VNP65" s="293"/>
      <x:c r="VNQ65" s="293"/>
      <x:c r="VNR65" s="293"/>
      <x:c r="VNS65" s="293"/>
      <x:c r="VNT65" s="293"/>
      <x:c r="VNU65" s="293"/>
      <x:c r="VNV65" s="293"/>
      <x:c r="VNW65" s="293"/>
      <x:c r="VNX65" s="293"/>
      <x:c r="VNY65" s="293"/>
      <x:c r="VNZ65" s="293"/>
      <x:c r="VOA65" s="293"/>
      <x:c r="VOB65" s="293"/>
      <x:c r="VOC65" s="293"/>
      <x:c r="VOD65" s="293"/>
      <x:c r="VOE65" s="293"/>
      <x:c r="VOF65" s="293"/>
      <x:c r="VOG65" s="293"/>
      <x:c r="VOH65" s="293"/>
      <x:c r="VOI65" s="293"/>
      <x:c r="VOJ65" s="293"/>
      <x:c r="VOK65" s="293"/>
      <x:c r="VOL65" s="293"/>
      <x:c r="VOM65" s="293"/>
      <x:c r="VON65" s="293"/>
      <x:c r="VOO65" s="293"/>
      <x:c r="VOP65" s="293"/>
      <x:c r="VOQ65" s="293"/>
      <x:c r="VOR65" s="293"/>
      <x:c r="VOS65" s="293"/>
      <x:c r="VOT65" s="293"/>
      <x:c r="VOU65" s="293"/>
      <x:c r="VOV65" s="293"/>
      <x:c r="VOW65" s="293"/>
      <x:c r="VOX65" s="293"/>
      <x:c r="VOY65" s="293"/>
      <x:c r="VOZ65" s="293"/>
      <x:c r="VPA65" s="293"/>
      <x:c r="VPB65" s="293"/>
      <x:c r="VPC65" s="293"/>
      <x:c r="VPD65" s="293"/>
      <x:c r="VPE65" s="293"/>
      <x:c r="VPF65" s="293"/>
      <x:c r="VPG65" s="293"/>
      <x:c r="VPH65" s="293"/>
      <x:c r="VPI65" s="293"/>
      <x:c r="VPJ65" s="293"/>
      <x:c r="VPK65" s="293"/>
      <x:c r="VPL65" s="293"/>
      <x:c r="VPM65" s="293"/>
      <x:c r="VPN65" s="293"/>
      <x:c r="VPO65" s="293"/>
      <x:c r="VPP65" s="293"/>
      <x:c r="VPQ65" s="293"/>
      <x:c r="VPR65" s="293"/>
      <x:c r="VPS65" s="293"/>
      <x:c r="VPT65" s="293"/>
      <x:c r="VPU65" s="293"/>
      <x:c r="VPV65" s="293"/>
      <x:c r="VPW65" s="293"/>
      <x:c r="VPX65" s="293"/>
      <x:c r="VPY65" s="293"/>
      <x:c r="VPZ65" s="293"/>
      <x:c r="VQA65" s="293"/>
      <x:c r="VQB65" s="293"/>
      <x:c r="VQC65" s="293"/>
      <x:c r="VQD65" s="293"/>
      <x:c r="VQE65" s="293"/>
      <x:c r="VQF65" s="293"/>
      <x:c r="VQG65" s="293"/>
      <x:c r="VQH65" s="293"/>
      <x:c r="VQI65" s="293"/>
      <x:c r="VQJ65" s="293"/>
      <x:c r="VQK65" s="293"/>
      <x:c r="VQL65" s="293"/>
      <x:c r="VQM65" s="293"/>
      <x:c r="VQN65" s="293"/>
      <x:c r="VQO65" s="293"/>
      <x:c r="VQP65" s="293"/>
      <x:c r="VQQ65" s="293"/>
      <x:c r="VQR65" s="293"/>
      <x:c r="VQS65" s="293"/>
      <x:c r="VQT65" s="293"/>
      <x:c r="VQU65" s="293"/>
      <x:c r="VQV65" s="293"/>
      <x:c r="VQW65" s="293"/>
      <x:c r="VQX65" s="293"/>
      <x:c r="VQY65" s="293"/>
      <x:c r="VQZ65" s="293"/>
      <x:c r="VRA65" s="293"/>
      <x:c r="VRB65" s="293"/>
      <x:c r="VRC65" s="293"/>
      <x:c r="VRD65" s="293"/>
      <x:c r="VRE65" s="293"/>
      <x:c r="VRF65" s="293"/>
      <x:c r="VRG65" s="293"/>
      <x:c r="VRH65" s="293"/>
      <x:c r="VRI65" s="293"/>
      <x:c r="VRJ65" s="293"/>
      <x:c r="VRK65" s="293"/>
      <x:c r="VRL65" s="293"/>
      <x:c r="VRM65" s="293"/>
      <x:c r="VRN65" s="293"/>
      <x:c r="VRO65" s="293"/>
      <x:c r="VRP65" s="293"/>
      <x:c r="VRQ65" s="293"/>
      <x:c r="VRR65" s="293"/>
      <x:c r="VRS65" s="293"/>
      <x:c r="VRT65" s="293"/>
      <x:c r="VRU65" s="293"/>
      <x:c r="VRV65" s="293"/>
      <x:c r="VRW65" s="293"/>
      <x:c r="VRX65" s="293"/>
      <x:c r="VRY65" s="293"/>
      <x:c r="VRZ65" s="293"/>
      <x:c r="VSA65" s="293"/>
      <x:c r="VSB65" s="293"/>
      <x:c r="VSC65" s="293"/>
      <x:c r="VSD65" s="293"/>
      <x:c r="VSE65" s="293"/>
      <x:c r="VSF65" s="293"/>
      <x:c r="VSG65" s="293"/>
      <x:c r="VSH65" s="293"/>
      <x:c r="VSI65" s="293"/>
      <x:c r="VSJ65" s="293"/>
      <x:c r="VSK65" s="293"/>
      <x:c r="VSL65" s="293"/>
      <x:c r="VSM65" s="293"/>
      <x:c r="VSN65" s="293"/>
      <x:c r="VSO65" s="293"/>
      <x:c r="VSP65" s="293"/>
      <x:c r="VSQ65" s="293"/>
      <x:c r="VSR65" s="293"/>
      <x:c r="VSS65" s="293"/>
      <x:c r="VST65" s="293"/>
      <x:c r="VSU65" s="293"/>
      <x:c r="VSV65" s="293"/>
      <x:c r="VSW65" s="293"/>
      <x:c r="VSX65" s="293"/>
      <x:c r="VSY65" s="293"/>
      <x:c r="VSZ65" s="293"/>
      <x:c r="VTA65" s="293"/>
      <x:c r="VTB65" s="293"/>
      <x:c r="VTC65" s="293"/>
      <x:c r="VTD65" s="293"/>
      <x:c r="VTE65" s="293"/>
      <x:c r="VTF65" s="293"/>
      <x:c r="VTG65" s="293"/>
      <x:c r="VTH65" s="293"/>
      <x:c r="VTI65" s="293"/>
      <x:c r="VTJ65" s="293"/>
      <x:c r="VTK65" s="293"/>
      <x:c r="VTL65" s="293"/>
      <x:c r="VTM65" s="293"/>
      <x:c r="VTN65" s="293"/>
      <x:c r="VTO65" s="293"/>
      <x:c r="VTP65" s="293"/>
      <x:c r="VTQ65" s="293"/>
      <x:c r="VTR65" s="293"/>
      <x:c r="VTS65" s="293"/>
      <x:c r="VTT65" s="293"/>
      <x:c r="VTU65" s="293"/>
      <x:c r="VTV65" s="293"/>
      <x:c r="VTW65" s="293"/>
      <x:c r="VTX65" s="293"/>
      <x:c r="VTY65" s="293"/>
      <x:c r="VTZ65" s="293"/>
      <x:c r="VUA65" s="293"/>
      <x:c r="VUB65" s="293"/>
      <x:c r="VUC65" s="293"/>
      <x:c r="VUD65" s="293"/>
      <x:c r="VUE65" s="293"/>
      <x:c r="VUF65" s="293"/>
      <x:c r="VUG65" s="293"/>
      <x:c r="VUH65" s="293"/>
      <x:c r="VUI65" s="293"/>
      <x:c r="VUJ65" s="293"/>
      <x:c r="VUK65" s="293"/>
      <x:c r="VUL65" s="293"/>
      <x:c r="VUM65" s="293"/>
      <x:c r="VUN65" s="293"/>
      <x:c r="VUO65" s="293"/>
      <x:c r="VUP65" s="293"/>
      <x:c r="VUQ65" s="293"/>
      <x:c r="VUR65" s="293"/>
      <x:c r="VUS65" s="293"/>
      <x:c r="VUT65" s="293"/>
      <x:c r="VUU65" s="293"/>
      <x:c r="VUV65" s="293"/>
      <x:c r="VUW65" s="293"/>
      <x:c r="VUX65" s="293"/>
      <x:c r="VUY65" s="293"/>
      <x:c r="VUZ65" s="293"/>
      <x:c r="VVA65" s="293"/>
      <x:c r="VVB65" s="293"/>
      <x:c r="VVC65" s="293"/>
      <x:c r="VVD65" s="293"/>
      <x:c r="VVE65" s="293"/>
      <x:c r="VVF65" s="293"/>
      <x:c r="VVG65" s="293"/>
      <x:c r="VVH65" s="293"/>
      <x:c r="VVI65" s="293"/>
      <x:c r="VVJ65" s="293"/>
      <x:c r="VVK65" s="293"/>
      <x:c r="VVL65" s="293"/>
      <x:c r="VVM65" s="293"/>
      <x:c r="VVN65" s="293"/>
      <x:c r="VVO65" s="293"/>
      <x:c r="VVP65" s="293"/>
      <x:c r="VVQ65" s="293"/>
      <x:c r="VVR65" s="293"/>
      <x:c r="VVS65" s="293"/>
      <x:c r="VVT65" s="293"/>
      <x:c r="VVU65" s="293"/>
      <x:c r="VVV65" s="293"/>
      <x:c r="VVW65" s="293"/>
      <x:c r="VVX65" s="293"/>
      <x:c r="VVY65" s="293"/>
      <x:c r="VVZ65" s="293"/>
      <x:c r="VWA65" s="293"/>
      <x:c r="VWB65" s="293"/>
      <x:c r="VWC65" s="293"/>
      <x:c r="VWD65" s="293"/>
      <x:c r="VWE65" s="293"/>
      <x:c r="VWF65" s="293"/>
      <x:c r="VWG65" s="293"/>
      <x:c r="VWH65" s="293"/>
      <x:c r="VWI65" s="293"/>
      <x:c r="VWJ65" s="293"/>
      <x:c r="VWK65" s="293"/>
      <x:c r="VWL65" s="293"/>
      <x:c r="VWM65" s="293"/>
      <x:c r="VWN65" s="293"/>
      <x:c r="VWO65" s="293"/>
      <x:c r="VWP65" s="293"/>
      <x:c r="VWQ65" s="293"/>
      <x:c r="VWR65" s="293"/>
      <x:c r="VWS65" s="293"/>
      <x:c r="VWT65" s="293"/>
      <x:c r="VWU65" s="293"/>
      <x:c r="VWV65" s="293"/>
      <x:c r="VWW65" s="293"/>
      <x:c r="VWX65" s="293"/>
      <x:c r="VWY65" s="293"/>
      <x:c r="VWZ65" s="293"/>
      <x:c r="VXA65" s="293"/>
      <x:c r="VXB65" s="293"/>
      <x:c r="VXC65" s="293"/>
      <x:c r="VXD65" s="293"/>
      <x:c r="VXE65" s="293"/>
      <x:c r="VXF65" s="293"/>
      <x:c r="VXG65" s="293"/>
      <x:c r="VXH65" s="293"/>
      <x:c r="VXI65" s="293"/>
      <x:c r="VXJ65" s="293"/>
      <x:c r="VXK65" s="293"/>
      <x:c r="VXL65" s="293"/>
      <x:c r="VXM65" s="293"/>
      <x:c r="VXN65" s="293"/>
      <x:c r="VXO65" s="293"/>
      <x:c r="VXP65" s="293"/>
      <x:c r="VXQ65" s="293"/>
      <x:c r="VXR65" s="293"/>
      <x:c r="VXS65" s="293"/>
      <x:c r="VXT65" s="293"/>
      <x:c r="VXU65" s="293"/>
      <x:c r="VXV65" s="293"/>
      <x:c r="VXW65" s="293"/>
      <x:c r="VXX65" s="293"/>
      <x:c r="VXY65" s="293"/>
      <x:c r="VXZ65" s="293"/>
      <x:c r="VYA65" s="293"/>
      <x:c r="VYB65" s="293"/>
      <x:c r="VYC65" s="293"/>
      <x:c r="VYD65" s="293"/>
      <x:c r="VYE65" s="293"/>
      <x:c r="VYF65" s="293"/>
      <x:c r="VYG65" s="293"/>
      <x:c r="VYH65" s="293"/>
      <x:c r="VYI65" s="293"/>
      <x:c r="VYJ65" s="293"/>
      <x:c r="VYK65" s="293"/>
      <x:c r="VYL65" s="293"/>
      <x:c r="VYM65" s="293"/>
      <x:c r="VYN65" s="293"/>
      <x:c r="VYO65" s="293"/>
      <x:c r="VYP65" s="293"/>
      <x:c r="VYQ65" s="293"/>
      <x:c r="VYR65" s="293"/>
      <x:c r="VYS65" s="293"/>
      <x:c r="VYT65" s="293"/>
      <x:c r="VYU65" s="293"/>
      <x:c r="VYV65" s="293"/>
      <x:c r="VYW65" s="293"/>
      <x:c r="VYX65" s="293"/>
      <x:c r="VYY65" s="293"/>
      <x:c r="VYZ65" s="293"/>
      <x:c r="VZA65" s="293"/>
      <x:c r="VZB65" s="293"/>
      <x:c r="VZC65" s="293"/>
      <x:c r="VZD65" s="293"/>
      <x:c r="VZE65" s="293"/>
      <x:c r="VZF65" s="293"/>
      <x:c r="VZG65" s="293"/>
      <x:c r="VZH65" s="293"/>
      <x:c r="VZI65" s="293"/>
      <x:c r="VZJ65" s="293"/>
      <x:c r="VZK65" s="293"/>
      <x:c r="VZL65" s="293"/>
      <x:c r="VZM65" s="293"/>
      <x:c r="VZN65" s="293"/>
      <x:c r="VZO65" s="293"/>
      <x:c r="VZP65" s="293"/>
      <x:c r="VZQ65" s="293"/>
      <x:c r="VZR65" s="293"/>
      <x:c r="VZS65" s="293"/>
      <x:c r="VZT65" s="293"/>
      <x:c r="VZU65" s="293"/>
      <x:c r="VZV65" s="293"/>
      <x:c r="VZW65" s="293"/>
      <x:c r="VZX65" s="293"/>
      <x:c r="VZY65" s="293"/>
      <x:c r="VZZ65" s="293"/>
      <x:c r="WAA65" s="293"/>
      <x:c r="WAB65" s="293"/>
      <x:c r="WAC65" s="293"/>
      <x:c r="WAD65" s="293"/>
      <x:c r="WAE65" s="293"/>
      <x:c r="WAF65" s="293"/>
      <x:c r="WAG65" s="293"/>
      <x:c r="WAH65" s="293"/>
      <x:c r="WAI65" s="293"/>
      <x:c r="WAJ65" s="293"/>
      <x:c r="WAK65" s="293"/>
      <x:c r="WAL65" s="293"/>
      <x:c r="WAM65" s="293"/>
      <x:c r="WAN65" s="293"/>
      <x:c r="WAO65" s="293"/>
      <x:c r="WAP65" s="293"/>
      <x:c r="WAQ65" s="293"/>
      <x:c r="WAR65" s="293"/>
      <x:c r="WAS65" s="293"/>
      <x:c r="WAT65" s="293"/>
      <x:c r="WAU65" s="293"/>
      <x:c r="WAV65" s="293"/>
      <x:c r="WAW65" s="293"/>
      <x:c r="WAX65" s="293"/>
      <x:c r="WAY65" s="293"/>
      <x:c r="WAZ65" s="293"/>
      <x:c r="WBA65" s="293"/>
      <x:c r="WBB65" s="293"/>
      <x:c r="WBC65" s="293"/>
      <x:c r="WBD65" s="293"/>
      <x:c r="WBE65" s="293"/>
      <x:c r="WBF65" s="293"/>
      <x:c r="WBG65" s="293"/>
      <x:c r="WBH65" s="293"/>
      <x:c r="WBI65" s="293"/>
      <x:c r="WBJ65" s="293"/>
      <x:c r="WBK65" s="293"/>
      <x:c r="WBL65" s="293"/>
      <x:c r="WBM65" s="293"/>
      <x:c r="WBN65" s="293"/>
      <x:c r="WBO65" s="293"/>
      <x:c r="WBP65" s="293"/>
      <x:c r="WBQ65" s="293"/>
      <x:c r="WBR65" s="293"/>
      <x:c r="WBS65" s="293"/>
      <x:c r="WBT65" s="293"/>
      <x:c r="WBU65" s="293"/>
      <x:c r="WBV65" s="293"/>
      <x:c r="WBW65" s="293"/>
      <x:c r="WBX65" s="293"/>
      <x:c r="WBY65" s="293"/>
      <x:c r="WBZ65" s="293"/>
      <x:c r="WCA65" s="293"/>
      <x:c r="WCB65" s="293"/>
      <x:c r="WCC65" s="293"/>
      <x:c r="WCD65" s="293"/>
      <x:c r="WCE65" s="293"/>
      <x:c r="WCF65" s="293"/>
      <x:c r="WCG65" s="293"/>
      <x:c r="WCH65" s="293"/>
      <x:c r="WCI65" s="293"/>
      <x:c r="WCJ65" s="293"/>
      <x:c r="WCK65" s="293"/>
      <x:c r="WCL65" s="293"/>
      <x:c r="WCM65" s="293"/>
      <x:c r="WCN65" s="293"/>
      <x:c r="WCO65" s="293"/>
      <x:c r="WCP65" s="293"/>
      <x:c r="WCQ65" s="293"/>
      <x:c r="WCR65" s="293"/>
      <x:c r="WCS65" s="293"/>
      <x:c r="WCT65" s="293"/>
      <x:c r="WCU65" s="293"/>
      <x:c r="WCV65" s="293"/>
      <x:c r="WCW65" s="293"/>
      <x:c r="WCX65" s="293"/>
      <x:c r="WCY65" s="293"/>
      <x:c r="WCZ65" s="293"/>
      <x:c r="WDA65" s="293"/>
      <x:c r="WDB65" s="293"/>
      <x:c r="WDC65" s="293"/>
      <x:c r="WDD65" s="293"/>
      <x:c r="WDE65" s="293"/>
      <x:c r="WDF65" s="293"/>
      <x:c r="WDG65" s="293"/>
      <x:c r="WDH65" s="293"/>
      <x:c r="WDI65" s="293"/>
      <x:c r="WDJ65" s="293"/>
      <x:c r="WDK65" s="293"/>
      <x:c r="WDL65" s="293"/>
      <x:c r="WDM65" s="293"/>
      <x:c r="WDN65" s="293"/>
      <x:c r="WDO65" s="293"/>
      <x:c r="WDP65" s="293"/>
      <x:c r="WDQ65" s="293"/>
      <x:c r="WDR65" s="293"/>
      <x:c r="WDS65" s="293"/>
      <x:c r="WDT65" s="293"/>
      <x:c r="WDU65" s="293"/>
      <x:c r="WDV65" s="293"/>
      <x:c r="WDW65" s="293"/>
      <x:c r="WDX65" s="293"/>
      <x:c r="WDY65" s="293"/>
      <x:c r="WDZ65" s="293"/>
      <x:c r="WEA65" s="293"/>
      <x:c r="WEB65" s="293"/>
      <x:c r="WEC65" s="293"/>
      <x:c r="WED65" s="293"/>
      <x:c r="WEE65" s="293"/>
      <x:c r="WEF65" s="293"/>
      <x:c r="WEG65" s="293"/>
      <x:c r="WEH65" s="293"/>
      <x:c r="WEI65" s="293"/>
      <x:c r="WEJ65" s="293"/>
      <x:c r="WEK65" s="293"/>
      <x:c r="WEL65" s="293"/>
      <x:c r="WEM65" s="293"/>
      <x:c r="WEN65" s="293"/>
      <x:c r="WEO65" s="293"/>
      <x:c r="WEP65" s="293"/>
      <x:c r="WEQ65" s="293"/>
      <x:c r="WER65" s="293"/>
      <x:c r="WES65" s="293"/>
      <x:c r="WET65" s="293"/>
      <x:c r="WEU65" s="293"/>
      <x:c r="WEV65" s="293"/>
      <x:c r="WEW65" s="293"/>
      <x:c r="WEX65" s="293"/>
      <x:c r="WEY65" s="293"/>
      <x:c r="WEZ65" s="293"/>
      <x:c r="WFA65" s="293"/>
      <x:c r="WFB65" s="293"/>
      <x:c r="WFC65" s="293"/>
      <x:c r="WFD65" s="293"/>
      <x:c r="WFE65" s="293"/>
      <x:c r="WFF65" s="293"/>
      <x:c r="WFG65" s="293"/>
      <x:c r="WFH65" s="293"/>
      <x:c r="WFI65" s="293"/>
      <x:c r="WFJ65" s="293"/>
      <x:c r="WFK65" s="293"/>
      <x:c r="WFL65" s="293"/>
      <x:c r="WFM65" s="293"/>
      <x:c r="WFN65" s="293"/>
      <x:c r="WFO65" s="293"/>
      <x:c r="WFP65" s="293"/>
      <x:c r="WFQ65" s="293"/>
      <x:c r="WFR65" s="293"/>
      <x:c r="WFS65" s="293"/>
      <x:c r="WFT65" s="293"/>
      <x:c r="WFU65" s="293"/>
      <x:c r="WFV65" s="293"/>
      <x:c r="WFW65" s="293"/>
      <x:c r="WFX65" s="293"/>
      <x:c r="WFY65" s="293"/>
      <x:c r="WFZ65" s="293"/>
      <x:c r="WGA65" s="293"/>
      <x:c r="WGB65" s="293"/>
      <x:c r="WGC65" s="293"/>
      <x:c r="WGD65" s="293"/>
      <x:c r="WGE65" s="293"/>
      <x:c r="WGF65" s="293"/>
      <x:c r="WGG65" s="293"/>
      <x:c r="WGH65" s="293"/>
      <x:c r="WGI65" s="293"/>
      <x:c r="WGJ65" s="293"/>
      <x:c r="WGK65" s="293"/>
      <x:c r="WGL65" s="293"/>
      <x:c r="WGM65" s="293"/>
      <x:c r="WGN65" s="293"/>
      <x:c r="WGO65" s="293"/>
      <x:c r="WGP65" s="293"/>
      <x:c r="WGQ65" s="293"/>
      <x:c r="WGR65" s="293"/>
      <x:c r="WGS65" s="293"/>
      <x:c r="WGT65" s="293"/>
      <x:c r="WGU65" s="293"/>
      <x:c r="WGV65" s="293"/>
      <x:c r="WGW65" s="293"/>
      <x:c r="WGX65" s="293"/>
      <x:c r="WGY65" s="293"/>
      <x:c r="WGZ65" s="293"/>
      <x:c r="WHA65" s="293"/>
      <x:c r="WHB65" s="293"/>
      <x:c r="WHC65" s="293"/>
      <x:c r="WHD65" s="293"/>
      <x:c r="WHE65" s="293"/>
      <x:c r="WHF65" s="293"/>
      <x:c r="WHG65" s="293"/>
      <x:c r="WHH65" s="293"/>
      <x:c r="WHI65" s="293"/>
      <x:c r="WHJ65" s="293"/>
      <x:c r="WHK65" s="293"/>
      <x:c r="WHL65" s="293"/>
      <x:c r="WHM65" s="293"/>
      <x:c r="WHN65" s="293"/>
      <x:c r="WHO65" s="293"/>
      <x:c r="WHP65" s="293"/>
      <x:c r="WHQ65" s="293"/>
      <x:c r="WHR65" s="293"/>
      <x:c r="WHS65" s="293"/>
      <x:c r="WHT65" s="293"/>
      <x:c r="WHU65" s="293"/>
      <x:c r="WHV65" s="293"/>
      <x:c r="WHW65" s="293"/>
      <x:c r="WHX65" s="293"/>
      <x:c r="WHY65" s="293"/>
      <x:c r="WHZ65" s="293"/>
      <x:c r="WIA65" s="293"/>
      <x:c r="WIB65" s="293"/>
      <x:c r="WIC65" s="293"/>
      <x:c r="WID65" s="293"/>
      <x:c r="WIE65" s="293"/>
      <x:c r="WIF65" s="293"/>
      <x:c r="WIG65" s="293"/>
      <x:c r="WIH65" s="293"/>
      <x:c r="WII65" s="293"/>
      <x:c r="WIJ65" s="293"/>
      <x:c r="WIK65" s="293"/>
      <x:c r="WIL65" s="293"/>
      <x:c r="WIM65" s="293"/>
      <x:c r="WIN65" s="293"/>
      <x:c r="WIO65" s="293"/>
      <x:c r="WIP65" s="293"/>
      <x:c r="WIQ65" s="293"/>
      <x:c r="WIR65" s="293"/>
      <x:c r="WIS65" s="293"/>
      <x:c r="WIT65" s="293"/>
      <x:c r="WIU65" s="293"/>
      <x:c r="WIV65" s="293"/>
      <x:c r="WIW65" s="293"/>
      <x:c r="WIX65" s="293"/>
      <x:c r="WIY65" s="293"/>
      <x:c r="WIZ65" s="293"/>
      <x:c r="WJA65" s="293"/>
      <x:c r="WJB65" s="293"/>
      <x:c r="WJC65" s="293"/>
      <x:c r="WJD65" s="293"/>
      <x:c r="WJE65" s="293"/>
      <x:c r="WJF65" s="293"/>
      <x:c r="WJG65" s="293"/>
      <x:c r="WJH65" s="293"/>
      <x:c r="WJI65" s="293"/>
      <x:c r="WJJ65" s="293"/>
      <x:c r="WJK65" s="293"/>
      <x:c r="WJL65" s="293"/>
      <x:c r="WJM65" s="293"/>
      <x:c r="WJN65" s="293"/>
      <x:c r="WJO65" s="293"/>
      <x:c r="WJP65" s="293"/>
      <x:c r="WJQ65" s="293"/>
      <x:c r="WJR65" s="293"/>
      <x:c r="WJS65" s="293"/>
      <x:c r="WJT65" s="293"/>
      <x:c r="WJU65" s="293"/>
      <x:c r="WJV65" s="293"/>
      <x:c r="WJW65" s="293"/>
      <x:c r="WJX65" s="293"/>
      <x:c r="WJY65" s="293"/>
      <x:c r="WJZ65" s="293"/>
      <x:c r="WKA65" s="293"/>
      <x:c r="WKB65" s="293"/>
      <x:c r="WKC65" s="293"/>
      <x:c r="WKD65" s="293"/>
      <x:c r="WKE65" s="293"/>
      <x:c r="WKF65" s="293"/>
      <x:c r="WKG65" s="293"/>
      <x:c r="WKH65" s="293"/>
      <x:c r="WKI65" s="293"/>
      <x:c r="WKJ65" s="293"/>
      <x:c r="WKK65" s="293"/>
      <x:c r="WKL65" s="293"/>
      <x:c r="WKM65" s="293"/>
      <x:c r="WKN65" s="293"/>
      <x:c r="WKO65" s="293"/>
      <x:c r="WKP65" s="293"/>
      <x:c r="WKQ65" s="293"/>
      <x:c r="WKR65" s="293"/>
      <x:c r="WKS65" s="293"/>
      <x:c r="WKT65" s="293"/>
      <x:c r="WKU65" s="293"/>
      <x:c r="WKV65" s="293"/>
      <x:c r="WKW65" s="293"/>
      <x:c r="WKX65" s="293"/>
      <x:c r="WKY65" s="293"/>
      <x:c r="WKZ65" s="293"/>
      <x:c r="WLA65" s="293"/>
      <x:c r="WLB65" s="293"/>
      <x:c r="WLC65" s="293"/>
      <x:c r="WLD65" s="293"/>
      <x:c r="WLE65" s="293"/>
      <x:c r="WLF65" s="293"/>
      <x:c r="WLG65" s="293"/>
      <x:c r="WLH65" s="293"/>
      <x:c r="WLI65" s="293"/>
      <x:c r="WLJ65" s="293"/>
      <x:c r="WLK65" s="293"/>
      <x:c r="WLL65" s="293"/>
      <x:c r="WLM65" s="293"/>
      <x:c r="WLN65" s="293"/>
      <x:c r="WLO65" s="293"/>
      <x:c r="WLP65" s="293"/>
      <x:c r="WLQ65" s="293"/>
      <x:c r="WLR65" s="293"/>
      <x:c r="WLS65" s="293"/>
      <x:c r="WLT65" s="293"/>
      <x:c r="WLU65" s="293"/>
      <x:c r="WLV65" s="293"/>
      <x:c r="WLW65" s="293"/>
      <x:c r="WLX65" s="293"/>
      <x:c r="WLY65" s="293"/>
      <x:c r="WLZ65" s="293"/>
      <x:c r="WMA65" s="293"/>
      <x:c r="WMB65" s="293"/>
      <x:c r="WMC65" s="293"/>
      <x:c r="WMD65" s="293"/>
      <x:c r="WME65" s="293"/>
      <x:c r="WMF65" s="293"/>
      <x:c r="WMG65" s="293"/>
      <x:c r="WMH65" s="293"/>
      <x:c r="WMI65" s="293"/>
      <x:c r="WMJ65" s="293"/>
      <x:c r="WMK65" s="293"/>
      <x:c r="WML65" s="293"/>
      <x:c r="WMM65" s="293"/>
      <x:c r="WMN65" s="293"/>
      <x:c r="WMO65" s="293"/>
      <x:c r="WMP65" s="293"/>
      <x:c r="WMQ65" s="293"/>
      <x:c r="WMR65" s="293"/>
      <x:c r="WMS65" s="293"/>
      <x:c r="WMT65" s="293"/>
      <x:c r="WMU65" s="293"/>
      <x:c r="WMV65" s="293"/>
      <x:c r="WMW65" s="293"/>
      <x:c r="WMX65" s="293"/>
      <x:c r="WMY65" s="293"/>
      <x:c r="WMZ65" s="293"/>
      <x:c r="WNA65" s="293"/>
      <x:c r="WNB65" s="293"/>
      <x:c r="WNC65" s="293"/>
      <x:c r="WND65" s="293"/>
      <x:c r="WNE65" s="293"/>
      <x:c r="WNF65" s="293"/>
      <x:c r="WNG65" s="293"/>
      <x:c r="WNH65" s="293"/>
      <x:c r="WNI65" s="293"/>
      <x:c r="WNJ65" s="293"/>
      <x:c r="WNK65" s="293"/>
      <x:c r="WNL65" s="293"/>
      <x:c r="WNM65" s="293"/>
      <x:c r="WNN65" s="293"/>
      <x:c r="WNO65" s="293"/>
      <x:c r="WNP65" s="293"/>
      <x:c r="WNQ65" s="293"/>
      <x:c r="WNR65" s="293"/>
      <x:c r="WNS65" s="293"/>
      <x:c r="WNT65" s="293"/>
      <x:c r="WNU65" s="293"/>
      <x:c r="WNV65" s="293"/>
      <x:c r="WNW65" s="293"/>
      <x:c r="WNX65" s="293"/>
      <x:c r="WNY65" s="293"/>
      <x:c r="WNZ65" s="293"/>
      <x:c r="WOA65" s="293"/>
      <x:c r="WOB65" s="293"/>
      <x:c r="WOC65" s="293"/>
      <x:c r="WOD65" s="293"/>
      <x:c r="WOE65" s="293"/>
      <x:c r="WOF65" s="293"/>
      <x:c r="WOG65" s="293"/>
      <x:c r="WOH65" s="293"/>
      <x:c r="WOI65" s="293"/>
      <x:c r="WOJ65" s="293"/>
      <x:c r="WOK65" s="293"/>
      <x:c r="WOL65" s="293"/>
      <x:c r="WOM65" s="293"/>
      <x:c r="WON65" s="293"/>
      <x:c r="WOO65" s="293"/>
      <x:c r="WOP65" s="293"/>
      <x:c r="WOQ65" s="293"/>
      <x:c r="WOR65" s="293"/>
      <x:c r="WOS65" s="293"/>
      <x:c r="WOT65" s="293"/>
      <x:c r="WOU65" s="293"/>
      <x:c r="WOV65" s="293"/>
      <x:c r="WOW65" s="293"/>
      <x:c r="WOX65" s="293"/>
      <x:c r="WOY65" s="293"/>
      <x:c r="WOZ65" s="293"/>
      <x:c r="WPA65" s="293"/>
      <x:c r="WPB65" s="293"/>
      <x:c r="WPC65" s="293"/>
      <x:c r="WPD65" s="293"/>
      <x:c r="WPE65" s="293"/>
      <x:c r="WPF65" s="293"/>
      <x:c r="WPG65" s="293"/>
      <x:c r="WPH65" s="293"/>
      <x:c r="WPI65" s="293"/>
      <x:c r="WPJ65" s="293"/>
      <x:c r="WPK65" s="293"/>
      <x:c r="WPL65" s="293"/>
      <x:c r="WPM65" s="293"/>
      <x:c r="WPN65" s="293"/>
      <x:c r="WPO65" s="293"/>
      <x:c r="WPP65" s="293"/>
      <x:c r="WPQ65" s="293"/>
      <x:c r="WPR65" s="293"/>
      <x:c r="WPS65" s="293"/>
      <x:c r="WPT65" s="293"/>
      <x:c r="WPU65" s="293"/>
      <x:c r="WPV65" s="293"/>
      <x:c r="WPW65" s="293"/>
      <x:c r="WPX65" s="293"/>
      <x:c r="WPY65" s="293"/>
      <x:c r="WPZ65" s="293"/>
      <x:c r="WQA65" s="293"/>
      <x:c r="WQB65" s="293"/>
      <x:c r="WQC65" s="293"/>
      <x:c r="WQD65" s="293"/>
      <x:c r="WQE65" s="293"/>
      <x:c r="WQF65" s="293"/>
      <x:c r="WQG65" s="293"/>
      <x:c r="WQH65" s="293"/>
      <x:c r="WQI65" s="293"/>
      <x:c r="WQJ65" s="293"/>
      <x:c r="WQK65" s="293"/>
      <x:c r="WQL65" s="293"/>
      <x:c r="WQM65" s="293"/>
      <x:c r="WQN65" s="293"/>
      <x:c r="WQO65" s="293"/>
      <x:c r="WQP65" s="293"/>
      <x:c r="WQQ65" s="293"/>
      <x:c r="WQR65" s="293"/>
      <x:c r="WQS65" s="293"/>
      <x:c r="WQT65" s="293"/>
      <x:c r="WQU65" s="293"/>
      <x:c r="WQV65" s="293"/>
      <x:c r="WQW65" s="293"/>
      <x:c r="WQX65" s="293"/>
      <x:c r="WQY65" s="293"/>
      <x:c r="WQZ65" s="293"/>
      <x:c r="WRA65" s="293"/>
      <x:c r="WRB65" s="293"/>
      <x:c r="WRC65" s="293"/>
      <x:c r="WRD65" s="293"/>
      <x:c r="WRE65" s="293"/>
      <x:c r="WRF65" s="293"/>
      <x:c r="WRG65" s="293"/>
      <x:c r="WRH65" s="293"/>
      <x:c r="WRI65" s="293"/>
      <x:c r="WRJ65" s="293"/>
      <x:c r="WRK65" s="293"/>
      <x:c r="WRL65" s="293"/>
      <x:c r="WRM65" s="293"/>
      <x:c r="WRN65" s="293"/>
      <x:c r="WRO65" s="293"/>
      <x:c r="WRP65" s="293"/>
      <x:c r="WRQ65" s="293"/>
      <x:c r="WRR65" s="293"/>
      <x:c r="WRS65" s="293"/>
      <x:c r="WRT65" s="293"/>
      <x:c r="WRU65" s="293"/>
      <x:c r="WRV65" s="293"/>
      <x:c r="WRW65" s="293"/>
      <x:c r="WRX65" s="293"/>
      <x:c r="WRY65" s="293"/>
      <x:c r="WRZ65" s="293"/>
      <x:c r="WSA65" s="293"/>
      <x:c r="WSB65" s="293"/>
      <x:c r="WSC65" s="293"/>
      <x:c r="WSD65" s="293"/>
      <x:c r="WSE65" s="293"/>
      <x:c r="WSF65" s="293"/>
      <x:c r="WSG65" s="293"/>
      <x:c r="WSH65" s="293"/>
      <x:c r="WSI65" s="293"/>
      <x:c r="WSJ65" s="293"/>
      <x:c r="WSK65" s="293"/>
      <x:c r="WSL65" s="293"/>
      <x:c r="WSM65" s="293"/>
      <x:c r="WSN65" s="293"/>
      <x:c r="WSO65" s="293"/>
      <x:c r="WSP65" s="293"/>
      <x:c r="WSQ65" s="293"/>
      <x:c r="WSR65" s="293"/>
      <x:c r="WSS65" s="293"/>
      <x:c r="WST65" s="293"/>
      <x:c r="WSU65" s="293"/>
      <x:c r="WSV65" s="293"/>
      <x:c r="WSW65" s="293"/>
      <x:c r="WSX65" s="293"/>
      <x:c r="WSY65" s="293"/>
      <x:c r="WSZ65" s="293"/>
      <x:c r="WTA65" s="293"/>
      <x:c r="WTB65" s="293"/>
      <x:c r="WTC65" s="293"/>
      <x:c r="WTD65" s="293"/>
      <x:c r="WTE65" s="293"/>
      <x:c r="WTF65" s="293"/>
      <x:c r="WTG65" s="293"/>
      <x:c r="WTH65" s="293"/>
      <x:c r="WTI65" s="293"/>
      <x:c r="WTJ65" s="293"/>
      <x:c r="WTK65" s="293"/>
      <x:c r="WTL65" s="293"/>
      <x:c r="WTM65" s="293"/>
      <x:c r="WTN65" s="293"/>
      <x:c r="WTO65" s="293"/>
      <x:c r="WTP65" s="293"/>
      <x:c r="WTQ65" s="293"/>
      <x:c r="WTR65" s="293"/>
      <x:c r="WTS65" s="293"/>
      <x:c r="WTT65" s="293"/>
      <x:c r="WTU65" s="293"/>
      <x:c r="WTV65" s="293"/>
      <x:c r="WTW65" s="293"/>
      <x:c r="WTX65" s="293"/>
      <x:c r="WTY65" s="293"/>
      <x:c r="WTZ65" s="293"/>
      <x:c r="WUA65" s="293"/>
      <x:c r="WUB65" s="293"/>
      <x:c r="WUC65" s="293"/>
      <x:c r="WUD65" s="293"/>
      <x:c r="WUE65" s="293"/>
      <x:c r="WUF65" s="293"/>
      <x:c r="WUG65" s="293"/>
      <x:c r="WUH65" s="293"/>
      <x:c r="WUI65" s="293"/>
      <x:c r="WUJ65" s="293"/>
      <x:c r="WUK65" s="293"/>
      <x:c r="WUL65" s="293"/>
      <x:c r="WUM65" s="293"/>
      <x:c r="WUN65" s="293"/>
      <x:c r="WUO65" s="293"/>
      <x:c r="WUP65" s="293"/>
      <x:c r="WUQ65" s="293"/>
      <x:c r="WUR65" s="293"/>
      <x:c r="WUS65" s="293"/>
      <x:c r="WUT65" s="293"/>
      <x:c r="WUU65" s="293"/>
      <x:c r="WUV65" s="293"/>
      <x:c r="WUW65" s="293"/>
      <x:c r="WUX65" s="293"/>
      <x:c r="WUY65" s="293"/>
      <x:c r="WUZ65" s="293"/>
      <x:c r="WVA65" s="293"/>
      <x:c r="WVB65" s="293"/>
      <x:c r="WVC65" s="293"/>
      <x:c r="WVD65" s="293"/>
      <x:c r="WVE65" s="293"/>
      <x:c r="WVF65" s="293"/>
      <x:c r="WVG65" s="293"/>
      <x:c r="WVH65" s="293"/>
      <x:c r="WVI65" s="293"/>
      <x:c r="WVJ65" s="293"/>
      <x:c r="WVK65" s="293"/>
      <x:c r="WVL65" s="293"/>
      <x:c r="WVM65" s="293"/>
      <x:c r="WVN65" s="293"/>
      <x:c r="WVO65" s="293"/>
      <x:c r="WVP65" s="293"/>
      <x:c r="WVQ65" s="293"/>
      <x:c r="WVR65" s="293"/>
      <x:c r="WVS65" s="293"/>
      <x:c r="WVT65" s="293"/>
      <x:c r="WVU65" s="293"/>
      <x:c r="WVV65" s="293"/>
      <x:c r="WVW65" s="293"/>
      <x:c r="WVX65" s="293"/>
      <x:c r="WVY65" s="293"/>
      <x:c r="WVZ65" s="293"/>
      <x:c r="WWA65" s="293"/>
      <x:c r="WWB65" s="293"/>
      <x:c r="WWC65" s="293"/>
      <x:c r="WWD65" s="293"/>
      <x:c r="WWE65" s="293"/>
      <x:c r="WWF65" s="293"/>
      <x:c r="WWG65" s="293"/>
      <x:c r="WWH65" s="293"/>
      <x:c r="WWI65" s="293"/>
      <x:c r="WWJ65" s="293"/>
      <x:c r="WWK65" s="293"/>
      <x:c r="WWL65" s="293"/>
      <x:c r="WWM65" s="293"/>
      <x:c r="WWN65" s="293"/>
      <x:c r="WWO65" s="293"/>
      <x:c r="WWP65" s="293"/>
      <x:c r="WWQ65" s="293"/>
      <x:c r="WWR65" s="293"/>
      <x:c r="WWS65" s="293"/>
      <x:c r="WWT65" s="293"/>
      <x:c r="WWU65" s="293"/>
      <x:c r="WWV65" s="293"/>
      <x:c r="WWW65" s="293"/>
      <x:c r="WWX65" s="293"/>
      <x:c r="WWY65" s="293"/>
      <x:c r="WWZ65" s="293"/>
      <x:c r="WXA65" s="293"/>
      <x:c r="WXB65" s="293"/>
      <x:c r="WXC65" s="293"/>
      <x:c r="WXD65" s="293"/>
      <x:c r="WXE65" s="293"/>
      <x:c r="WXF65" s="293"/>
      <x:c r="WXG65" s="293"/>
      <x:c r="WXH65" s="293"/>
      <x:c r="WXI65" s="293"/>
      <x:c r="WXJ65" s="293"/>
      <x:c r="WXK65" s="293"/>
      <x:c r="WXL65" s="293"/>
      <x:c r="WXM65" s="293"/>
      <x:c r="WXN65" s="293"/>
      <x:c r="WXO65" s="293"/>
      <x:c r="WXP65" s="293"/>
      <x:c r="WXQ65" s="293"/>
      <x:c r="WXR65" s="293"/>
      <x:c r="WXS65" s="293"/>
      <x:c r="WXT65" s="293"/>
      <x:c r="WXU65" s="293"/>
      <x:c r="WXV65" s="293"/>
      <x:c r="WXW65" s="293"/>
      <x:c r="WXX65" s="293"/>
      <x:c r="WXY65" s="293"/>
      <x:c r="WXZ65" s="293"/>
      <x:c r="WYA65" s="293"/>
      <x:c r="WYB65" s="293"/>
      <x:c r="WYC65" s="293"/>
      <x:c r="WYD65" s="293"/>
      <x:c r="WYE65" s="293"/>
      <x:c r="WYF65" s="293"/>
      <x:c r="WYG65" s="293"/>
      <x:c r="WYH65" s="293"/>
      <x:c r="WYI65" s="293"/>
      <x:c r="WYJ65" s="293"/>
      <x:c r="WYK65" s="293"/>
      <x:c r="WYL65" s="293"/>
      <x:c r="WYM65" s="293"/>
      <x:c r="WYN65" s="293"/>
      <x:c r="WYO65" s="293"/>
      <x:c r="WYP65" s="293"/>
      <x:c r="WYQ65" s="293"/>
      <x:c r="WYR65" s="293"/>
      <x:c r="WYS65" s="293"/>
      <x:c r="WYT65" s="293"/>
      <x:c r="WYU65" s="293"/>
      <x:c r="WYV65" s="293"/>
      <x:c r="WYW65" s="293"/>
      <x:c r="WYX65" s="293"/>
      <x:c r="WYY65" s="293"/>
      <x:c r="WYZ65" s="293"/>
      <x:c r="WZA65" s="293"/>
      <x:c r="WZB65" s="293"/>
      <x:c r="WZC65" s="293"/>
      <x:c r="WZD65" s="293"/>
      <x:c r="WZE65" s="293"/>
      <x:c r="WZF65" s="293"/>
      <x:c r="WZG65" s="293"/>
      <x:c r="WZH65" s="293"/>
      <x:c r="WZI65" s="293"/>
      <x:c r="WZJ65" s="293"/>
      <x:c r="WZK65" s="293"/>
      <x:c r="WZL65" s="293"/>
      <x:c r="WZM65" s="293"/>
      <x:c r="WZN65" s="293"/>
      <x:c r="WZO65" s="293"/>
      <x:c r="WZP65" s="293"/>
      <x:c r="WZQ65" s="293"/>
      <x:c r="WZR65" s="293"/>
      <x:c r="WZS65" s="293"/>
      <x:c r="WZT65" s="293"/>
      <x:c r="WZU65" s="293"/>
      <x:c r="WZV65" s="293"/>
      <x:c r="WZW65" s="293"/>
      <x:c r="WZX65" s="293"/>
      <x:c r="WZY65" s="293"/>
      <x:c r="WZZ65" s="293"/>
      <x:c r="XAA65" s="293"/>
      <x:c r="XAB65" s="293"/>
      <x:c r="XAC65" s="293"/>
      <x:c r="XAD65" s="293"/>
      <x:c r="XAE65" s="293"/>
      <x:c r="XAF65" s="293"/>
      <x:c r="XAG65" s="293"/>
      <x:c r="XAH65" s="293"/>
      <x:c r="XAI65" s="293"/>
      <x:c r="XAJ65" s="293"/>
      <x:c r="XAK65" s="293"/>
      <x:c r="XAL65" s="293"/>
      <x:c r="XAM65" s="293"/>
      <x:c r="XAN65" s="293"/>
      <x:c r="XAO65" s="293"/>
      <x:c r="XAP65" s="293"/>
      <x:c r="XAQ65" s="293"/>
      <x:c r="XAR65" s="293"/>
      <x:c r="XAS65" s="293"/>
      <x:c r="XAT65" s="293"/>
      <x:c r="XAU65" s="293"/>
      <x:c r="XAV65" s="293"/>
      <x:c r="XAW65" s="293"/>
      <x:c r="XAX65" s="293"/>
      <x:c r="XAY65" s="293"/>
      <x:c r="XAZ65" s="293"/>
      <x:c r="XBA65" s="293"/>
      <x:c r="XBB65" s="293"/>
      <x:c r="XBC65" s="293"/>
      <x:c r="XBD65" s="293"/>
      <x:c r="XBE65" s="293"/>
      <x:c r="XBF65" s="293"/>
      <x:c r="XBG65" s="293"/>
      <x:c r="XBH65" s="293"/>
      <x:c r="XBI65" s="293"/>
      <x:c r="XBJ65" s="293"/>
      <x:c r="XBK65" s="293"/>
      <x:c r="XBL65" s="293"/>
      <x:c r="XBM65" s="293"/>
      <x:c r="XBN65" s="293"/>
      <x:c r="XBO65" s="293"/>
      <x:c r="XBP65" s="293"/>
      <x:c r="XBQ65" s="293"/>
      <x:c r="XBR65" s="293"/>
      <x:c r="XBS65" s="293"/>
      <x:c r="XBT65" s="293"/>
      <x:c r="XBU65" s="293"/>
      <x:c r="XBV65" s="293"/>
      <x:c r="XBW65" s="293"/>
      <x:c r="XBX65" s="293"/>
      <x:c r="XBY65" s="293"/>
      <x:c r="XBZ65" s="293"/>
      <x:c r="XCA65" s="293"/>
      <x:c r="XCB65" s="293"/>
      <x:c r="XCC65" s="293"/>
      <x:c r="XCD65" s="293"/>
      <x:c r="XCE65" s="293"/>
      <x:c r="XCF65" s="293"/>
      <x:c r="XCG65" s="293"/>
      <x:c r="XCH65" s="293"/>
      <x:c r="XCI65" s="293"/>
      <x:c r="XCJ65" s="293"/>
      <x:c r="XCK65" s="293"/>
      <x:c r="XCL65" s="293"/>
      <x:c r="XCM65" s="293"/>
      <x:c r="XCN65" s="293"/>
      <x:c r="XCO65" s="293"/>
      <x:c r="XCP65" s="293"/>
      <x:c r="XCQ65" s="293"/>
      <x:c r="XCR65" s="293"/>
      <x:c r="XCS65" s="293"/>
      <x:c r="XCT65" s="293"/>
      <x:c r="XCU65" s="293"/>
      <x:c r="XCV65" s="293"/>
      <x:c r="XCW65" s="293"/>
      <x:c r="XCX65" s="293"/>
      <x:c r="XCY65" s="293"/>
      <x:c r="XCZ65" s="293"/>
      <x:c r="XDA65" s="293"/>
      <x:c r="XDB65" s="293"/>
      <x:c r="XDC65" s="293"/>
      <x:c r="XDD65" s="293"/>
      <x:c r="XDE65" s="293"/>
      <x:c r="XDF65" s="293"/>
      <x:c r="XDG65" s="293"/>
      <x:c r="XDH65" s="293"/>
      <x:c r="XDI65" s="293"/>
      <x:c r="XDJ65" s="293"/>
      <x:c r="XDK65" s="293"/>
      <x:c r="XDL65" s="293"/>
      <x:c r="XDM65" s="293"/>
      <x:c r="XDN65" s="293"/>
      <x:c r="XDO65" s="293"/>
      <x:c r="XDP65" s="293"/>
      <x:c r="XDQ65" s="293"/>
      <x:c r="XDR65" s="293"/>
      <x:c r="XDS65" s="293"/>
      <x:c r="XDT65" s="293"/>
      <x:c r="XDU65" s="293"/>
      <x:c r="XDV65" s="293"/>
      <x:c r="XDW65" s="293"/>
      <x:c r="XDX65" s="293"/>
      <x:c r="XDY65" s="293"/>
      <x:c r="XDZ65" s="293"/>
      <x:c r="XEA65" s="293"/>
      <x:c r="XEB65" s="293"/>
      <x:c r="XEC65" s="293"/>
      <x:c r="XED65" s="293"/>
      <x:c r="XEE65" s="293"/>
      <x:c r="XEF65" s="293"/>
      <x:c r="XEG65" s="293"/>
      <x:c r="XEH65" s="293"/>
      <x:c r="XEI65" s="293"/>
      <x:c r="XEJ65" s="293"/>
      <x:c r="XEK65" s="293"/>
      <x:c r="XEL65" s="293"/>
      <x:c r="XEM65" s="293"/>
      <x:c r="XEN65" s="293"/>
      <x:c r="XEO65" s="293"/>
      <x:c r="XEP65" s="293"/>
      <x:c r="XEQ65" s="293"/>
      <x:c r="XER65" s="293"/>
      <x:c r="XES65" s="293"/>
      <x:c r="XET65" s="293"/>
      <x:c r="XEU65" s="293"/>
      <x:c r="XEV65" s="293"/>
      <x:c r="XEW65" s="293"/>
      <x:c r="XEX65" s="293"/>
      <x:c r="XEY65" s="293"/>
      <x:c r="XEZ65" s="293"/>
      <x:c r="XFA65" s="293"/>
      <x:c r="XFB65" s="293"/>
      <x:c r="XFC65" s="293"/>
    </x:row>
    <x:row r="66" spans="1:16383" ht="117.75" customHeight="1" s="125" customFormat="1" x14ac:dyDescent="0.25">
      <x:c r="A66" s="60"/>
      <x:c r="B66" s="123" t="s">
        <x:v>305</x:v>
      </x:c>
      <x:c r="C66" s="124" t="s">
        <x:v>306</x:v>
      </x:c>
      <x:c r="D66" s="106"/>
      <x:c r="E66" s="107"/>
      <x:c r="F66" s="106"/>
      <x:c r="G66" s="108"/>
      <x:c r="H66" s="106"/>
      <x:c r="I66" s="107"/>
      <x:c r="J66" s="106"/>
      <x:c r="K66" s="108"/>
      <x:c r="L66" s="60"/>
      <x:c r="M66" s="108"/>
      <x:c r="N66" s="60"/>
      <x:c r="O66" s="108"/>
      <x:c r="P66" s="108"/>
      <x:c r="Q66" s="108"/>
      <x:c r="R66" s="108"/>
      <x:c r="S66" s="21"/>
      <x:c r="T66" s="108">
        <x:v>0.9</x:v>
      </x:c>
      <x:c r="U66" s="113"/>
      <x:c r="V66" s="113"/>
      <x:c r="W66" s="292"/>
      <x:c r="X66" s="293"/>
      <x:c r="Y66" s="293"/>
      <x:c r="Z66" s="293"/>
      <x:c r="AA66" s="293"/>
      <x:c r="AB66" s="293"/>
      <x:c r="AC66" s="293"/>
      <x:c r="AD66" s="293"/>
      <x:c r="AE66" s="293"/>
      <x:c r="AF66" s="293"/>
      <x:c r="AG66" s="293"/>
      <x:c r="AH66" s="293"/>
      <x:c r="AI66" s="293"/>
      <x:c r="AJ66" s="293"/>
      <x:c r="AK66" s="293"/>
      <x:c r="AL66" s="293"/>
      <x:c r="AM66" s="293"/>
      <x:c r="AN66" s="293"/>
      <x:c r="AO66" s="293"/>
      <x:c r="AP66" s="293"/>
      <x:c r="AQ66" s="293"/>
      <x:c r="AR66" s="293"/>
      <x:c r="AS66" s="293"/>
      <x:c r="AT66" s="293"/>
      <x:c r="AU66" s="293"/>
      <x:c r="AV66" s="293"/>
      <x:c r="AW66" s="293"/>
      <x:c r="AX66" s="293"/>
      <x:c r="AY66" s="293"/>
      <x:c r="AZ66" s="293"/>
      <x:c r="BA66" s="293"/>
      <x:c r="BB66" s="293"/>
      <x:c r="BC66" s="293"/>
      <x:c r="BD66" s="293"/>
      <x:c r="BE66" s="293"/>
      <x:c r="BF66" s="293"/>
      <x:c r="BG66" s="293"/>
      <x:c r="BH66" s="293"/>
      <x:c r="BI66" s="293"/>
      <x:c r="BJ66" s="293"/>
      <x:c r="BK66" s="293"/>
      <x:c r="BL66" s="293"/>
      <x:c r="BM66" s="293"/>
      <x:c r="BN66" s="293"/>
      <x:c r="BO66" s="293"/>
      <x:c r="BP66" s="293"/>
      <x:c r="BQ66" s="293"/>
      <x:c r="BR66" s="293"/>
      <x:c r="BS66" s="293"/>
      <x:c r="BT66" s="293"/>
      <x:c r="BU66" s="293"/>
      <x:c r="BV66" s="293"/>
      <x:c r="BW66" s="293"/>
      <x:c r="BX66" s="293"/>
      <x:c r="BY66" s="293"/>
      <x:c r="BZ66" s="293"/>
      <x:c r="CA66" s="293"/>
      <x:c r="CB66" s="293"/>
      <x:c r="CC66" s="293"/>
      <x:c r="CD66" s="293"/>
      <x:c r="CE66" s="293"/>
      <x:c r="CF66" s="293"/>
      <x:c r="CG66" s="293"/>
      <x:c r="CH66" s="293"/>
      <x:c r="CI66" s="293"/>
      <x:c r="CJ66" s="293"/>
      <x:c r="CK66" s="293"/>
      <x:c r="CL66" s="293"/>
      <x:c r="CM66" s="293"/>
      <x:c r="CN66" s="293"/>
      <x:c r="CO66" s="293"/>
      <x:c r="CP66" s="293"/>
      <x:c r="CQ66" s="293"/>
      <x:c r="CR66" s="293"/>
      <x:c r="CS66" s="293"/>
      <x:c r="CT66" s="293"/>
      <x:c r="CU66" s="293"/>
      <x:c r="CV66" s="293"/>
      <x:c r="CW66" s="293"/>
      <x:c r="CX66" s="293"/>
      <x:c r="CY66" s="293"/>
      <x:c r="CZ66" s="293"/>
      <x:c r="DA66" s="293"/>
      <x:c r="DB66" s="293"/>
      <x:c r="DC66" s="293"/>
      <x:c r="DD66" s="293"/>
      <x:c r="DE66" s="293"/>
      <x:c r="DF66" s="293"/>
      <x:c r="DG66" s="293"/>
      <x:c r="DH66" s="293"/>
      <x:c r="DI66" s="293"/>
      <x:c r="DJ66" s="293"/>
      <x:c r="DK66" s="293"/>
      <x:c r="DL66" s="293"/>
      <x:c r="DM66" s="293"/>
      <x:c r="DN66" s="293"/>
      <x:c r="DO66" s="293"/>
      <x:c r="DP66" s="293"/>
      <x:c r="DQ66" s="293"/>
      <x:c r="DR66" s="293"/>
      <x:c r="DS66" s="293"/>
      <x:c r="DT66" s="293"/>
      <x:c r="DU66" s="293"/>
      <x:c r="DV66" s="293"/>
      <x:c r="DW66" s="293"/>
      <x:c r="DX66" s="293"/>
      <x:c r="DY66" s="293"/>
      <x:c r="DZ66" s="293"/>
      <x:c r="EA66" s="293"/>
      <x:c r="EB66" s="293"/>
      <x:c r="EC66" s="293"/>
      <x:c r="ED66" s="293"/>
      <x:c r="EE66" s="293"/>
      <x:c r="EF66" s="293"/>
      <x:c r="EG66" s="293"/>
      <x:c r="EH66" s="293"/>
      <x:c r="EI66" s="293"/>
      <x:c r="EJ66" s="293"/>
      <x:c r="EK66" s="293"/>
      <x:c r="EL66" s="293"/>
      <x:c r="EM66" s="293"/>
      <x:c r="EN66" s="293"/>
      <x:c r="EO66" s="293"/>
      <x:c r="EP66" s="293"/>
      <x:c r="EQ66" s="293"/>
      <x:c r="ER66" s="293"/>
      <x:c r="ES66" s="293"/>
      <x:c r="ET66" s="293"/>
      <x:c r="EU66" s="293"/>
      <x:c r="EV66" s="293"/>
      <x:c r="EW66" s="293"/>
      <x:c r="EX66" s="293"/>
      <x:c r="EY66" s="293"/>
      <x:c r="EZ66" s="293"/>
      <x:c r="FA66" s="293"/>
      <x:c r="FB66" s="293"/>
      <x:c r="FC66" s="293"/>
      <x:c r="FD66" s="293"/>
      <x:c r="FE66" s="293"/>
      <x:c r="FF66" s="293"/>
      <x:c r="FG66" s="293"/>
      <x:c r="FH66" s="293"/>
      <x:c r="FI66" s="293"/>
      <x:c r="FJ66" s="293"/>
      <x:c r="FK66" s="293"/>
      <x:c r="FL66" s="293"/>
      <x:c r="FM66" s="293"/>
      <x:c r="FN66" s="293"/>
      <x:c r="FO66" s="293"/>
      <x:c r="FP66" s="293"/>
      <x:c r="FQ66" s="293"/>
      <x:c r="FR66" s="293"/>
      <x:c r="FS66" s="293"/>
      <x:c r="FT66" s="293"/>
      <x:c r="FU66" s="293"/>
      <x:c r="FV66" s="293"/>
      <x:c r="FW66" s="293"/>
      <x:c r="FX66" s="293"/>
      <x:c r="FY66" s="293"/>
      <x:c r="FZ66" s="293"/>
      <x:c r="GA66" s="293"/>
      <x:c r="GB66" s="293"/>
      <x:c r="GC66" s="293"/>
      <x:c r="GD66" s="293"/>
      <x:c r="GE66" s="293"/>
      <x:c r="GF66" s="293"/>
      <x:c r="GG66" s="293"/>
      <x:c r="GH66" s="293"/>
      <x:c r="GI66" s="293"/>
      <x:c r="GJ66" s="293"/>
      <x:c r="GK66" s="293"/>
      <x:c r="GL66" s="293"/>
      <x:c r="GM66" s="293"/>
      <x:c r="GN66" s="293"/>
      <x:c r="GO66" s="293"/>
      <x:c r="GP66" s="293"/>
      <x:c r="GQ66" s="293"/>
      <x:c r="GR66" s="293"/>
      <x:c r="GS66" s="293"/>
      <x:c r="GT66" s="293"/>
      <x:c r="GU66" s="293"/>
      <x:c r="GV66" s="293"/>
      <x:c r="GW66" s="293"/>
      <x:c r="GX66" s="293"/>
      <x:c r="GY66" s="293"/>
      <x:c r="GZ66" s="293"/>
      <x:c r="HA66" s="293"/>
      <x:c r="HB66" s="293"/>
      <x:c r="HC66" s="293"/>
      <x:c r="HD66" s="293"/>
      <x:c r="HE66" s="293"/>
      <x:c r="HF66" s="293"/>
      <x:c r="HG66" s="293"/>
      <x:c r="HH66" s="293"/>
      <x:c r="HI66" s="293"/>
      <x:c r="HJ66" s="293"/>
      <x:c r="HK66" s="293"/>
      <x:c r="HL66" s="293"/>
      <x:c r="HM66" s="293"/>
      <x:c r="HN66" s="293"/>
      <x:c r="HO66" s="293"/>
      <x:c r="HP66" s="293"/>
      <x:c r="HQ66" s="293"/>
      <x:c r="HR66" s="293"/>
      <x:c r="HS66" s="293"/>
      <x:c r="HT66" s="293"/>
      <x:c r="HU66" s="293"/>
      <x:c r="HV66" s="293"/>
      <x:c r="HW66" s="293"/>
      <x:c r="HX66" s="293"/>
      <x:c r="HY66" s="293"/>
      <x:c r="HZ66" s="293"/>
      <x:c r="IA66" s="293"/>
      <x:c r="IB66" s="293"/>
      <x:c r="IC66" s="293"/>
      <x:c r="ID66" s="293"/>
      <x:c r="IE66" s="293"/>
      <x:c r="IF66" s="293"/>
      <x:c r="IG66" s="293"/>
      <x:c r="IH66" s="293"/>
      <x:c r="II66" s="293"/>
      <x:c r="IJ66" s="293"/>
      <x:c r="IK66" s="293"/>
      <x:c r="IL66" s="293"/>
      <x:c r="IM66" s="293"/>
      <x:c r="IN66" s="293"/>
      <x:c r="IO66" s="293"/>
      <x:c r="IP66" s="293"/>
      <x:c r="IQ66" s="293"/>
      <x:c r="IR66" s="293"/>
      <x:c r="IS66" s="293"/>
      <x:c r="IT66" s="293"/>
      <x:c r="IU66" s="293"/>
      <x:c r="IV66" s="293"/>
      <x:c r="IW66" s="293"/>
      <x:c r="IX66" s="293"/>
      <x:c r="IY66" s="293"/>
      <x:c r="IZ66" s="293"/>
      <x:c r="JA66" s="293"/>
      <x:c r="JB66" s="293"/>
      <x:c r="JC66" s="293"/>
      <x:c r="JD66" s="293"/>
      <x:c r="JE66" s="293"/>
      <x:c r="JF66" s="293"/>
      <x:c r="JG66" s="293"/>
      <x:c r="JH66" s="293"/>
      <x:c r="JI66" s="293"/>
      <x:c r="JJ66" s="293"/>
      <x:c r="JK66" s="293"/>
      <x:c r="JL66" s="293"/>
      <x:c r="JM66" s="293"/>
      <x:c r="JN66" s="293"/>
      <x:c r="JO66" s="293"/>
      <x:c r="JP66" s="293"/>
      <x:c r="JQ66" s="293"/>
      <x:c r="JR66" s="293"/>
      <x:c r="JS66" s="293"/>
      <x:c r="JT66" s="293"/>
      <x:c r="JU66" s="293"/>
      <x:c r="JV66" s="293"/>
      <x:c r="JW66" s="293"/>
      <x:c r="JX66" s="293"/>
      <x:c r="JY66" s="293"/>
      <x:c r="JZ66" s="293"/>
      <x:c r="KA66" s="293"/>
      <x:c r="KB66" s="293"/>
      <x:c r="KC66" s="293"/>
      <x:c r="KD66" s="293"/>
      <x:c r="KE66" s="293"/>
      <x:c r="KF66" s="293"/>
      <x:c r="KG66" s="293"/>
      <x:c r="KH66" s="293"/>
      <x:c r="KI66" s="293"/>
      <x:c r="KJ66" s="293"/>
      <x:c r="KK66" s="293"/>
      <x:c r="KL66" s="293"/>
      <x:c r="KM66" s="293"/>
      <x:c r="KN66" s="293"/>
      <x:c r="KO66" s="293"/>
      <x:c r="KP66" s="293"/>
      <x:c r="KQ66" s="293"/>
      <x:c r="KR66" s="293"/>
      <x:c r="KS66" s="293"/>
      <x:c r="KT66" s="293"/>
      <x:c r="KU66" s="293"/>
      <x:c r="KV66" s="293"/>
      <x:c r="KW66" s="293"/>
      <x:c r="KX66" s="293"/>
      <x:c r="KY66" s="293"/>
      <x:c r="KZ66" s="293"/>
      <x:c r="LA66" s="293"/>
      <x:c r="LB66" s="293"/>
      <x:c r="LC66" s="293"/>
      <x:c r="LD66" s="293"/>
      <x:c r="LE66" s="293"/>
      <x:c r="LF66" s="293"/>
      <x:c r="LG66" s="293"/>
      <x:c r="LH66" s="293"/>
      <x:c r="LI66" s="293"/>
      <x:c r="LJ66" s="293"/>
      <x:c r="LK66" s="293"/>
      <x:c r="LL66" s="293"/>
      <x:c r="LM66" s="293"/>
      <x:c r="LN66" s="293"/>
      <x:c r="LO66" s="293"/>
      <x:c r="LP66" s="293"/>
      <x:c r="LQ66" s="293"/>
      <x:c r="LR66" s="293"/>
      <x:c r="LS66" s="293"/>
      <x:c r="LT66" s="293"/>
      <x:c r="LU66" s="293"/>
      <x:c r="LV66" s="293"/>
      <x:c r="LW66" s="293"/>
      <x:c r="LX66" s="293"/>
      <x:c r="LY66" s="293"/>
      <x:c r="LZ66" s="293"/>
      <x:c r="MA66" s="293"/>
      <x:c r="MB66" s="293"/>
      <x:c r="MC66" s="293"/>
      <x:c r="MD66" s="293"/>
      <x:c r="ME66" s="293"/>
      <x:c r="MF66" s="293"/>
      <x:c r="MG66" s="293"/>
      <x:c r="MH66" s="293"/>
      <x:c r="MI66" s="293"/>
      <x:c r="MJ66" s="293"/>
      <x:c r="MK66" s="293"/>
      <x:c r="ML66" s="293"/>
      <x:c r="MM66" s="293"/>
      <x:c r="MN66" s="293"/>
      <x:c r="MO66" s="293"/>
      <x:c r="MP66" s="293"/>
      <x:c r="MQ66" s="293"/>
      <x:c r="MR66" s="293"/>
      <x:c r="MS66" s="293"/>
      <x:c r="MT66" s="293"/>
      <x:c r="MU66" s="293"/>
      <x:c r="MV66" s="293"/>
      <x:c r="MW66" s="293"/>
      <x:c r="MX66" s="293"/>
      <x:c r="MY66" s="293"/>
      <x:c r="MZ66" s="293"/>
      <x:c r="NA66" s="293"/>
      <x:c r="NB66" s="293"/>
      <x:c r="NC66" s="293"/>
      <x:c r="ND66" s="293"/>
      <x:c r="NE66" s="293"/>
      <x:c r="NF66" s="293"/>
      <x:c r="NG66" s="293"/>
      <x:c r="NH66" s="293"/>
      <x:c r="NI66" s="293"/>
      <x:c r="NJ66" s="293"/>
      <x:c r="NK66" s="293"/>
      <x:c r="NL66" s="293"/>
      <x:c r="NM66" s="293"/>
      <x:c r="NN66" s="293"/>
      <x:c r="NO66" s="293"/>
      <x:c r="NP66" s="293"/>
      <x:c r="NQ66" s="293"/>
      <x:c r="NR66" s="293"/>
      <x:c r="NS66" s="293"/>
      <x:c r="NT66" s="293"/>
      <x:c r="NU66" s="293"/>
      <x:c r="NV66" s="293"/>
      <x:c r="NW66" s="293"/>
      <x:c r="NX66" s="293"/>
      <x:c r="NY66" s="293"/>
      <x:c r="NZ66" s="293"/>
      <x:c r="OA66" s="293"/>
      <x:c r="OB66" s="293"/>
      <x:c r="OC66" s="293"/>
      <x:c r="OD66" s="293"/>
      <x:c r="OE66" s="293"/>
      <x:c r="OF66" s="293"/>
      <x:c r="OG66" s="293"/>
      <x:c r="OH66" s="293"/>
      <x:c r="OI66" s="293"/>
      <x:c r="OJ66" s="293"/>
      <x:c r="OK66" s="293"/>
      <x:c r="OL66" s="293"/>
      <x:c r="OM66" s="293"/>
      <x:c r="ON66" s="293"/>
      <x:c r="OO66" s="293"/>
      <x:c r="OP66" s="293"/>
      <x:c r="OQ66" s="293"/>
      <x:c r="OR66" s="293"/>
      <x:c r="OS66" s="293"/>
      <x:c r="OT66" s="293"/>
      <x:c r="OU66" s="293"/>
      <x:c r="OV66" s="293"/>
      <x:c r="OW66" s="293"/>
      <x:c r="OX66" s="293"/>
      <x:c r="OY66" s="293"/>
      <x:c r="OZ66" s="293"/>
      <x:c r="PA66" s="293"/>
      <x:c r="PB66" s="293"/>
      <x:c r="PC66" s="293"/>
      <x:c r="PD66" s="293"/>
      <x:c r="PE66" s="293"/>
      <x:c r="PF66" s="293"/>
      <x:c r="PG66" s="293"/>
      <x:c r="PH66" s="293"/>
      <x:c r="PI66" s="293"/>
      <x:c r="PJ66" s="293"/>
      <x:c r="PK66" s="293"/>
      <x:c r="PL66" s="293"/>
      <x:c r="PM66" s="293"/>
      <x:c r="PN66" s="293"/>
      <x:c r="PO66" s="293"/>
      <x:c r="PP66" s="293"/>
      <x:c r="PQ66" s="293"/>
      <x:c r="PR66" s="293"/>
      <x:c r="PS66" s="293"/>
      <x:c r="PT66" s="293"/>
      <x:c r="PU66" s="293"/>
      <x:c r="PV66" s="293"/>
      <x:c r="PW66" s="293"/>
      <x:c r="PX66" s="293"/>
      <x:c r="PY66" s="293"/>
      <x:c r="PZ66" s="293"/>
      <x:c r="QA66" s="293"/>
      <x:c r="QB66" s="293"/>
      <x:c r="QC66" s="293"/>
      <x:c r="QD66" s="293"/>
      <x:c r="QE66" s="293"/>
      <x:c r="QF66" s="293"/>
      <x:c r="QG66" s="293"/>
      <x:c r="QH66" s="293"/>
      <x:c r="QI66" s="293"/>
      <x:c r="QJ66" s="293"/>
      <x:c r="QK66" s="293"/>
      <x:c r="QL66" s="293"/>
      <x:c r="QM66" s="293"/>
      <x:c r="QN66" s="293"/>
      <x:c r="QO66" s="293"/>
      <x:c r="QP66" s="293"/>
      <x:c r="QQ66" s="293"/>
      <x:c r="QR66" s="293"/>
      <x:c r="QS66" s="293"/>
      <x:c r="QT66" s="293"/>
      <x:c r="QU66" s="293"/>
      <x:c r="QV66" s="293"/>
      <x:c r="QW66" s="293"/>
      <x:c r="QX66" s="293"/>
      <x:c r="QY66" s="293"/>
      <x:c r="QZ66" s="293"/>
      <x:c r="RA66" s="293"/>
      <x:c r="RB66" s="293"/>
      <x:c r="RC66" s="293"/>
      <x:c r="RD66" s="293"/>
      <x:c r="RE66" s="293"/>
      <x:c r="RF66" s="293"/>
      <x:c r="RG66" s="293"/>
      <x:c r="RH66" s="293"/>
      <x:c r="RI66" s="293"/>
      <x:c r="RJ66" s="293"/>
      <x:c r="RK66" s="293"/>
      <x:c r="RL66" s="293"/>
      <x:c r="RM66" s="293"/>
      <x:c r="RN66" s="293"/>
      <x:c r="RO66" s="293"/>
      <x:c r="RP66" s="293"/>
      <x:c r="RQ66" s="293"/>
      <x:c r="RR66" s="293"/>
      <x:c r="RS66" s="293"/>
      <x:c r="RT66" s="293"/>
      <x:c r="RU66" s="293"/>
      <x:c r="RV66" s="293"/>
      <x:c r="RW66" s="293"/>
      <x:c r="RX66" s="293"/>
      <x:c r="RY66" s="293"/>
      <x:c r="RZ66" s="293"/>
      <x:c r="SA66" s="293"/>
      <x:c r="SB66" s="293"/>
      <x:c r="SC66" s="293"/>
      <x:c r="SD66" s="293"/>
      <x:c r="SE66" s="293"/>
      <x:c r="SF66" s="293"/>
      <x:c r="SG66" s="293"/>
      <x:c r="SH66" s="293"/>
      <x:c r="SI66" s="293"/>
      <x:c r="SJ66" s="293"/>
      <x:c r="SK66" s="293"/>
      <x:c r="SL66" s="293"/>
      <x:c r="SM66" s="293"/>
      <x:c r="SN66" s="293"/>
      <x:c r="SO66" s="293"/>
      <x:c r="SP66" s="293"/>
      <x:c r="SQ66" s="293"/>
      <x:c r="SR66" s="293"/>
      <x:c r="SS66" s="293"/>
      <x:c r="ST66" s="293"/>
      <x:c r="SU66" s="293"/>
      <x:c r="SV66" s="293"/>
      <x:c r="SW66" s="293"/>
      <x:c r="SX66" s="293"/>
      <x:c r="SY66" s="293"/>
      <x:c r="SZ66" s="293"/>
      <x:c r="TA66" s="293"/>
      <x:c r="TB66" s="293"/>
      <x:c r="TC66" s="293"/>
      <x:c r="TD66" s="293"/>
      <x:c r="TE66" s="293"/>
      <x:c r="TF66" s="293"/>
      <x:c r="TG66" s="293"/>
      <x:c r="TH66" s="293"/>
      <x:c r="TI66" s="293"/>
      <x:c r="TJ66" s="293"/>
      <x:c r="TK66" s="293"/>
      <x:c r="TL66" s="293"/>
      <x:c r="TM66" s="293"/>
      <x:c r="TN66" s="293"/>
      <x:c r="TO66" s="293"/>
      <x:c r="TP66" s="293"/>
      <x:c r="TQ66" s="293"/>
      <x:c r="TR66" s="293"/>
      <x:c r="TS66" s="293"/>
      <x:c r="TT66" s="293"/>
      <x:c r="TU66" s="293"/>
      <x:c r="TV66" s="293"/>
      <x:c r="TW66" s="293"/>
      <x:c r="TX66" s="293"/>
      <x:c r="TY66" s="293"/>
      <x:c r="TZ66" s="293"/>
      <x:c r="UA66" s="293"/>
      <x:c r="UB66" s="293"/>
      <x:c r="UC66" s="293"/>
      <x:c r="UD66" s="293"/>
      <x:c r="UE66" s="293"/>
      <x:c r="UF66" s="293"/>
      <x:c r="UG66" s="293"/>
      <x:c r="UH66" s="293"/>
      <x:c r="UI66" s="293"/>
      <x:c r="UJ66" s="293"/>
      <x:c r="UK66" s="293"/>
      <x:c r="UL66" s="293"/>
      <x:c r="UM66" s="293"/>
      <x:c r="UN66" s="293"/>
      <x:c r="UO66" s="293"/>
      <x:c r="UP66" s="293"/>
      <x:c r="UQ66" s="293"/>
      <x:c r="UR66" s="293"/>
      <x:c r="US66" s="293"/>
      <x:c r="UT66" s="293"/>
      <x:c r="UU66" s="293"/>
      <x:c r="UV66" s="293"/>
      <x:c r="UW66" s="293"/>
      <x:c r="UX66" s="293"/>
      <x:c r="UY66" s="293"/>
      <x:c r="UZ66" s="293"/>
      <x:c r="VA66" s="293"/>
      <x:c r="VB66" s="293"/>
      <x:c r="VC66" s="293"/>
      <x:c r="VD66" s="293"/>
      <x:c r="VE66" s="293"/>
      <x:c r="VF66" s="293"/>
      <x:c r="VG66" s="293"/>
      <x:c r="VH66" s="293"/>
      <x:c r="VI66" s="293"/>
      <x:c r="VJ66" s="293"/>
      <x:c r="VK66" s="293"/>
      <x:c r="VL66" s="293"/>
      <x:c r="VM66" s="293"/>
      <x:c r="VN66" s="293"/>
      <x:c r="VO66" s="293"/>
      <x:c r="VP66" s="293"/>
      <x:c r="VQ66" s="293"/>
      <x:c r="VR66" s="293"/>
      <x:c r="VS66" s="293"/>
      <x:c r="VT66" s="293"/>
      <x:c r="VU66" s="293"/>
      <x:c r="VV66" s="293"/>
      <x:c r="VW66" s="293"/>
      <x:c r="VX66" s="293"/>
      <x:c r="VY66" s="293"/>
      <x:c r="VZ66" s="293"/>
      <x:c r="WA66" s="293"/>
      <x:c r="WB66" s="293"/>
      <x:c r="WC66" s="293"/>
      <x:c r="WD66" s="293"/>
      <x:c r="WE66" s="293"/>
      <x:c r="WF66" s="293"/>
      <x:c r="WG66" s="293"/>
      <x:c r="WH66" s="293"/>
      <x:c r="WI66" s="293"/>
      <x:c r="WJ66" s="293"/>
      <x:c r="WK66" s="293"/>
      <x:c r="WL66" s="293"/>
      <x:c r="WM66" s="293"/>
      <x:c r="WN66" s="293"/>
      <x:c r="WO66" s="293"/>
      <x:c r="WP66" s="293"/>
      <x:c r="WQ66" s="293"/>
      <x:c r="WR66" s="293"/>
      <x:c r="WS66" s="293"/>
      <x:c r="WT66" s="293"/>
      <x:c r="WU66" s="293"/>
      <x:c r="WV66" s="293"/>
      <x:c r="WW66" s="293"/>
      <x:c r="WX66" s="293"/>
      <x:c r="WY66" s="293"/>
      <x:c r="WZ66" s="293"/>
      <x:c r="XA66" s="293"/>
      <x:c r="XB66" s="293"/>
      <x:c r="XC66" s="293"/>
      <x:c r="XD66" s="293"/>
      <x:c r="XE66" s="293"/>
      <x:c r="XF66" s="293"/>
      <x:c r="XG66" s="293"/>
      <x:c r="XH66" s="293"/>
      <x:c r="XI66" s="293"/>
      <x:c r="XJ66" s="293"/>
      <x:c r="XK66" s="293"/>
      <x:c r="XL66" s="293"/>
      <x:c r="XM66" s="293"/>
      <x:c r="XN66" s="293"/>
      <x:c r="XO66" s="293"/>
      <x:c r="XP66" s="293"/>
      <x:c r="XQ66" s="293"/>
      <x:c r="XR66" s="293"/>
      <x:c r="XS66" s="293"/>
      <x:c r="XT66" s="293"/>
      <x:c r="XU66" s="293"/>
      <x:c r="XV66" s="293"/>
      <x:c r="XW66" s="293"/>
      <x:c r="XX66" s="293"/>
      <x:c r="XY66" s="293"/>
      <x:c r="XZ66" s="293"/>
      <x:c r="YA66" s="293"/>
      <x:c r="YB66" s="293"/>
      <x:c r="YC66" s="293"/>
      <x:c r="YD66" s="293"/>
      <x:c r="YE66" s="293"/>
      <x:c r="YF66" s="293"/>
      <x:c r="YG66" s="293"/>
      <x:c r="YH66" s="293"/>
      <x:c r="YI66" s="293"/>
      <x:c r="YJ66" s="293"/>
      <x:c r="YK66" s="293"/>
      <x:c r="YL66" s="293"/>
      <x:c r="YM66" s="293"/>
      <x:c r="YN66" s="293"/>
      <x:c r="YO66" s="293"/>
      <x:c r="YP66" s="293"/>
      <x:c r="YQ66" s="293"/>
      <x:c r="YR66" s="293"/>
      <x:c r="YS66" s="293"/>
      <x:c r="YT66" s="293"/>
      <x:c r="YU66" s="293"/>
      <x:c r="YV66" s="293"/>
      <x:c r="YW66" s="293"/>
      <x:c r="YX66" s="293"/>
      <x:c r="YY66" s="293"/>
      <x:c r="YZ66" s="293"/>
      <x:c r="ZA66" s="293"/>
      <x:c r="ZB66" s="293"/>
      <x:c r="ZC66" s="293"/>
      <x:c r="ZD66" s="293"/>
      <x:c r="ZE66" s="293"/>
      <x:c r="ZF66" s="293"/>
      <x:c r="ZG66" s="293"/>
      <x:c r="ZH66" s="293"/>
      <x:c r="ZI66" s="293"/>
      <x:c r="ZJ66" s="293"/>
      <x:c r="ZK66" s="293"/>
      <x:c r="ZL66" s="293"/>
      <x:c r="ZM66" s="293"/>
      <x:c r="ZN66" s="293"/>
      <x:c r="ZO66" s="293"/>
      <x:c r="ZP66" s="293"/>
      <x:c r="ZQ66" s="293"/>
      <x:c r="ZR66" s="293"/>
      <x:c r="ZS66" s="293"/>
      <x:c r="ZT66" s="293"/>
      <x:c r="ZU66" s="293"/>
      <x:c r="ZV66" s="293"/>
      <x:c r="ZW66" s="293"/>
      <x:c r="ZX66" s="293"/>
      <x:c r="ZY66" s="293"/>
      <x:c r="ZZ66" s="293"/>
      <x:c r="AAA66" s="293"/>
      <x:c r="AAB66" s="293"/>
      <x:c r="AAC66" s="293"/>
      <x:c r="AAD66" s="293"/>
      <x:c r="AAE66" s="293"/>
      <x:c r="AAF66" s="293"/>
      <x:c r="AAG66" s="293"/>
      <x:c r="AAH66" s="293"/>
      <x:c r="AAI66" s="293"/>
      <x:c r="AAJ66" s="293"/>
      <x:c r="AAK66" s="293"/>
      <x:c r="AAL66" s="293"/>
      <x:c r="AAM66" s="293"/>
      <x:c r="AAN66" s="293"/>
      <x:c r="AAO66" s="293"/>
      <x:c r="AAP66" s="293"/>
      <x:c r="AAQ66" s="293"/>
      <x:c r="AAR66" s="293"/>
      <x:c r="AAS66" s="293"/>
      <x:c r="AAT66" s="293"/>
      <x:c r="AAU66" s="293"/>
      <x:c r="AAV66" s="293"/>
      <x:c r="AAW66" s="293"/>
      <x:c r="AAX66" s="293"/>
      <x:c r="AAY66" s="293"/>
      <x:c r="AAZ66" s="293"/>
      <x:c r="ABA66" s="293"/>
      <x:c r="ABB66" s="293"/>
      <x:c r="ABC66" s="293"/>
      <x:c r="ABD66" s="293"/>
      <x:c r="ABE66" s="293"/>
      <x:c r="ABF66" s="293"/>
      <x:c r="ABG66" s="293"/>
      <x:c r="ABH66" s="293"/>
      <x:c r="ABI66" s="293"/>
      <x:c r="ABJ66" s="293"/>
      <x:c r="ABK66" s="293"/>
      <x:c r="ABL66" s="293"/>
      <x:c r="ABM66" s="293"/>
      <x:c r="ABN66" s="293"/>
      <x:c r="ABO66" s="293"/>
      <x:c r="ABP66" s="293"/>
      <x:c r="ABQ66" s="293"/>
      <x:c r="ABR66" s="293"/>
      <x:c r="ABS66" s="293"/>
      <x:c r="ABT66" s="293"/>
      <x:c r="ABU66" s="293"/>
      <x:c r="ABV66" s="293"/>
      <x:c r="ABW66" s="293"/>
      <x:c r="ABX66" s="293"/>
      <x:c r="ABY66" s="293"/>
      <x:c r="ABZ66" s="293"/>
      <x:c r="ACA66" s="293"/>
      <x:c r="ACB66" s="293"/>
      <x:c r="ACC66" s="293"/>
      <x:c r="ACD66" s="293"/>
      <x:c r="ACE66" s="293"/>
      <x:c r="ACF66" s="293"/>
      <x:c r="ACG66" s="293"/>
      <x:c r="ACH66" s="293"/>
      <x:c r="ACI66" s="293"/>
      <x:c r="ACJ66" s="293"/>
      <x:c r="ACK66" s="293"/>
      <x:c r="ACL66" s="293"/>
      <x:c r="ACM66" s="293"/>
      <x:c r="ACN66" s="293"/>
      <x:c r="ACO66" s="293"/>
      <x:c r="ACP66" s="293"/>
      <x:c r="ACQ66" s="293"/>
      <x:c r="ACR66" s="293"/>
      <x:c r="ACS66" s="293"/>
      <x:c r="ACT66" s="293"/>
      <x:c r="ACU66" s="293"/>
      <x:c r="ACV66" s="293"/>
      <x:c r="ACW66" s="293"/>
      <x:c r="ACX66" s="293"/>
      <x:c r="ACY66" s="293"/>
      <x:c r="ACZ66" s="293"/>
      <x:c r="ADA66" s="293"/>
      <x:c r="ADB66" s="293"/>
      <x:c r="ADC66" s="293"/>
      <x:c r="ADD66" s="293"/>
      <x:c r="ADE66" s="293"/>
      <x:c r="ADF66" s="293"/>
      <x:c r="ADG66" s="293"/>
      <x:c r="ADH66" s="293"/>
      <x:c r="ADI66" s="293"/>
      <x:c r="ADJ66" s="293"/>
      <x:c r="ADK66" s="293"/>
      <x:c r="ADL66" s="293"/>
      <x:c r="ADM66" s="293"/>
      <x:c r="ADN66" s="293"/>
      <x:c r="ADO66" s="293"/>
      <x:c r="ADP66" s="293"/>
      <x:c r="ADQ66" s="293"/>
      <x:c r="ADR66" s="293"/>
      <x:c r="ADS66" s="293"/>
      <x:c r="ADT66" s="293"/>
      <x:c r="ADU66" s="293"/>
      <x:c r="ADV66" s="293"/>
      <x:c r="ADW66" s="293"/>
      <x:c r="ADX66" s="293"/>
      <x:c r="ADY66" s="293"/>
      <x:c r="ADZ66" s="293"/>
      <x:c r="AEA66" s="293"/>
      <x:c r="AEB66" s="293"/>
      <x:c r="AEC66" s="293"/>
      <x:c r="AED66" s="293"/>
      <x:c r="AEE66" s="293"/>
      <x:c r="AEF66" s="293"/>
      <x:c r="AEG66" s="293"/>
      <x:c r="AEH66" s="293"/>
      <x:c r="AEI66" s="293"/>
      <x:c r="AEJ66" s="293"/>
      <x:c r="AEK66" s="293"/>
      <x:c r="AEL66" s="293"/>
      <x:c r="AEM66" s="293"/>
      <x:c r="AEN66" s="293"/>
      <x:c r="AEO66" s="293"/>
      <x:c r="AEP66" s="293"/>
      <x:c r="AEQ66" s="293"/>
      <x:c r="AER66" s="293"/>
      <x:c r="AES66" s="293"/>
      <x:c r="AET66" s="293"/>
      <x:c r="AEU66" s="293"/>
      <x:c r="AEV66" s="293"/>
      <x:c r="AEW66" s="293"/>
      <x:c r="AEX66" s="293"/>
      <x:c r="AEY66" s="293"/>
      <x:c r="AEZ66" s="293"/>
      <x:c r="AFA66" s="293"/>
      <x:c r="AFB66" s="293"/>
      <x:c r="AFC66" s="293"/>
      <x:c r="AFD66" s="293"/>
      <x:c r="AFE66" s="293"/>
      <x:c r="AFF66" s="293"/>
      <x:c r="AFG66" s="293"/>
      <x:c r="AFH66" s="293"/>
      <x:c r="AFI66" s="293"/>
      <x:c r="AFJ66" s="293"/>
      <x:c r="AFK66" s="293"/>
      <x:c r="AFL66" s="293"/>
      <x:c r="AFM66" s="293"/>
      <x:c r="AFN66" s="293"/>
      <x:c r="AFO66" s="293"/>
      <x:c r="AFP66" s="293"/>
      <x:c r="AFQ66" s="293"/>
      <x:c r="AFR66" s="293"/>
      <x:c r="AFS66" s="293"/>
      <x:c r="AFT66" s="293"/>
      <x:c r="AFU66" s="293"/>
      <x:c r="AFV66" s="293"/>
      <x:c r="AFW66" s="293"/>
      <x:c r="AFX66" s="293"/>
      <x:c r="AFY66" s="293"/>
      <x:c r="AFZ66" s="293"/>
      <x:c r="AGA66" s="293"/>
      <x:c r="AGB66" s="293"/>
      <x:c r="AGC66" s="293"/>
      <x:c r="AGD66" s="293"/>
      <x:c r="AGE66" s="293"/>
      <x:c r="AGF66" s="293"/>
      <x:c r="AGG66" s="293"/>
      <x:c r="AGH66" s="293"/>
      <x:c r="AGI66" s="293"/>
      <x:c r="AGJ66" s="293"/>
      <x:c r="AGK66" s="293"/>
      <x:c r="AGL66" s="293"/>
      <x:c r="AGM66" s="293"/>
      <x:c r="AGN66" s="293"/>
      <x:c r="AGO66" s="293"/>
      <x:c r="AGP66" s="293"/>
      <x:c r="AGQ66" s="293"/>
      <x:c r="AGR66" s="293"/>
      <x:c r="AGS66" s="293"/>
      <x:c r="AGT66" s="293"/>
      <x:c r="AGU66" s="293"/>
      <x:c r="AGV66" s="293"/>
      <x:c r="AGW66" s="293"/>
      <x:c r="AGX66" s="293"/>
      <x:c r="AGY66" s="293"/>
      <x:c r="AGZ66" s="293"/>
      <x:c r="AHA66" s="293"/>
      <x:c r="AHB66" s="293"/>
      <x:c r="AHC66" s="293"/>
      <x:c r="AHD66" s="293"/>
      <x:c r="AHE66" s="293"/>
      <x:c r="AHF66" s="293"/>
      <x:c r="AHG66" s="293"/>
      <x:c r="AHH66" s="293"/>
      <x:c r="AHI66" s="293"/>
      <x:c r="AHJ66" s="293"/>
      <x:c r="AHK66" s="293"/>
      <x:c r="AHL66" s="293"/>
      <x:c r="AHM66" s="293"/>
      <x:c r="AHN66" s="293"/>
      <x:c r="AHO66" s="293"/>
      <x:c r="AHP66" s="293"/>
      <x:c r="AHQ66" s="293"/>
      <x:c r="AHR66" s="293"/>
      <x:c r="AHS66" s="293"/>
      <x:c r="AHT66" s="293"/>
      <x:c r="AHU66" s="293"/>
      <x:c r="AHV66" s="293"/>
      <x:c r="AHW66" s="293"/>
      <x:c r="AHX66" s="293"/>
      <x:c r="AHY66" s="293"/>
      <x:c r="AHZ66" s="293"/>
      <x:c r="AIA66" s="293"/>
      <x:c r="AIB66" s="293"/>
      <x:c r="AIC66" s="293"/>
      <x:c r="AID66" s="293"/>
      <x:c r="AIE66" s="293"/>
      <x:c r="AIF66" s="293"/>
      <x:c r="AIG66" s="293"/>
      <x:c r="AIH66" s="293"/>
      <x:c r="AII66" s="293"/>
      <x:c r="AIJ66" s="293"/>
      <x:c r="AIK66" s="293"/>
      <x:c r="AIL66" s="293"/>
      <x:c r="AIM66" s="293"/>
      <x:c r="AIN66" s="293"/>
      <x:c r="AIO66" s="293"/>
      <x:c r="AIP66" s="293"/>
      <x:c r="AIQ66" s="293"/>
      <x:c r="AIR66" s="293"/>
      <x:c r="AIS66" s="293"/>
      <x:c r="AIT66" s="293"/>
      <x:c r="AIU66" s="293"/>
      <x:c r="AIV66" s="293"/>
      <x:c r="AIW66" s="293"/>
      <x:c r="AIX66" s="293"/>
      <x:c r="AIY66" s="293"/>
      <x:c r="AIZ66" s="293"/>
      <x:c r="AJA66" s="293"/>
      <x:c r="AJB66" s="293"/>
      <x:c r="AJC66" s="293"/>
      <x:c r="AJD66" s="293"/>
      <x:c r="AJE66" s="293"/>
      <x:c r="AJF66" s="293"/>
      <x:c r="AJG66" s="293"/>
      <x:c r="AJH66" s="293"/>
      <x:c r="AJI66" s="293"/>
      <x:c r="AJJ66" s="293"/>
      <x:c r="AJK66" s="293"/>
      <x:c r="AJL66" s="293"/>
      <x:c r="AJM66" s="293"/>
      <x:c r="AJN66" s="293"/>
      <x:c r="AJO66" s="293"/>
      <x:c r="AJP66" s="293"/>
      <x:c r="AJQ66" s="293"/>
      <x:c r="AJR66" s="293"/>
      <x:c r="AJS66" s="293"/>
      <x:c r="AJT66" s="293"/>
      <x:c r="AJU66" s="293"/>
      <x:c r="AJV66" s="293"/>
      <x:c r="AJW66" s="293"/>
      <x:c r="AJX66" s="293"/>
      <x:c r="AJY66" s="293"/>
      <x:c r="AJZ66" s="293"/>
      <x:c r="AKA66" s="293"/>
      <x:c r="AKB66" s="293"/>
      <x:c r="AKC66" s="293"/>
      <x:c r="AKD66" s="293"/>
      <x:c r="AKE66" s="293"/>
      <x:c r="AKF66" s="293"/>
      <x:c r="AKG66" s="293"/>
      <x:c r="AKH66" s="293"/>
      <x:c r="AKI66" s="293"/>
      <x:c r="AKJ66" s="293"/>
      <x:c r="AKK66" s="293"/>
      <x:c r="AKL66" s="293"/>
      <x:c r="AKM66" s="293"/>
      <x:c r="AKN66" s="293"/>
      <x:c r="AKO66" s="293"/>
      <x:c r="AKP66" s="293"/>
      <x:c r="AKQ66" s="293"/>
      <x:c r="AKR66" s="293"/>
      <x:c r="AKS66" s="293"/>
      <x:c r="AKT66" s="293"/>
      <x:c r="AKU66" s="293"/>
      <x:c r="AKV66" s="293"/>
      <x:c r="AKW66" s="293"/>
      <x:c r="AKX66" s="293"/>
      <x:c r="AKY66" s="293"/>
      <x:c r="AKZ66" s="293"/>
      <x:c r="ALA66" s="293"/>
      <x:c r="ALB66" s="293"/>
      <x:c r="ALC66" s="293"/>
      <x:c r="ALD66" s="293"/>
      <x:c r="ALE66" s="293"/>
      <x:c r="ALF66" s="293"/>
      <x:c r="ALG66" s="293"/>
      <x:c r="ALH66" s="293"/>
      <x:c r="ALI66" s="293"/>
      <x:c r="ALJ66" s="293"/>
      <x:c r="ALK66" s="293"/>
      <x:c r="ALL66" s="293"/>
      <x:c r="ALM66" s="293"/>
      <x:c r="ALN66" s="293"/>
      <x:c r="ALO66" s="293"/>
      <x:c r="ALP66" s="293"/>
      <x:c r="ALQ66" s="293"/>
      <x:c r="ALR66" s="293"/>
      <x:c r="ALS66" s="293"/>
      <x:c r="ALT66" s="293"/>
      <x:c r="ALU66" s="293"/>
      <x:c r="ALV66" s="293"/>
      <x:c r="ALW66" s="293"/>
      <x:c r="ALX66" s="293"/>
      <x:c r="ALY66" s="293"/>
      <x:c r="ALZ66" s="293"/>
      <x:c r="AMA66" s="293"/>
      <x:c r="AMB66" s="293"/>
      <x:c r="AMC66" s="293"/>
      <x:c r="AMD66" s="293"/>
      <x:c r="AME66" s="293"/>
      <x:c r="AMF66" s="293"/>
      <x:c r="AMG66" s="293"/>
      <x:c r="AMH66" s="293"/>
      <x:c r="AMI66" s="293"/>
      <x:c r="AMJ66" s="293"/>
      <x:c r="AMK66" s="293"/>
      <x:c r="AML66" s="293"/>
      <x:c r="AMM66" s="293"/>
      <x:c r="AMN66" s="293"/>
      <x:c r="AMO66" s="293"/>
      <x:c r="AMP66" s="293"/>
      <x:c r="AMQ66" s="293"/>
      <x:c r="AMR66" s="293"/>
      <x:c r="AMS66" s="293"/>
      <x:c r="AMT66" s="293"/>
      <x:c r="AMU66" s="293"/>
      <x:c r="AMV66" s="293"/>
      <x:c r="AMW66" s="293"/>
      <x:c r="AMX66" s="293"/>
      <x:c r="AMY66" s="293"/>
      <x:c r="AMZ66" s="293"/>
      <x:c r="ANA66" s="293"/>
      <x:c r="ANB66" s="293"/>
      <x:c r="ANC66" s="293"/>
      <x:c r="AND66" s="293"/>
      <x:c r="ANE66" s="293"/>
      <x:c r="ANF66" s="293"/>
      <x:c r="ANG66" s="293"/>
      <x:c r="ANH66" s="293"/>
      <x:c r="ANI66" s="293"/>
      <x:c r="ANJ66" s="293"/>
      <x:c r="ANK66" s="293"/>
      <x:c r="ANL66" s="293"/>
      <x:c r="ANM66" s="293"/>
      <x:c r="ANN66" s="293"/>
      <x:c r="ANO66" s="293"/>
      <x:c r="ANP66" s="293"/>
      <x:c r="ANQ66" s="293"/>
      <x:c r="ANR66" s="293"/>
      <x:c r="ANS66" s="293"/>
      <x:c r="ANT66" s="293"/>
      <x:c r="ANU66" s="293"/>
      <x:c r="ANV66" s="293"/>
      <x:c r="ANW66" s="293"/>
      <x:c r="ANX66" s="293"/>
      <x:c r="ANY66" s="293"/>
      <x:c r="ANZ66" s="293"/>
      <x:c r="AOA66" s="293"/>
      <x:c r="AOB66" s="293"/>
      <x:c r="AOC66" s="293"/>
      <x:c r="AOD66" s="293"/>
      <x:c r="AOE66" s="293"/>
      <x:c r="AOF66" s="293"/>
      <x:c r="AOG66" s="293"/>
      <x:c r="AOH66" s="293"/>
      <x:c r="AOI66" s="293"/>
      <x:c r="AOJ66" s="293"/>
      <x:c r="AOK66" s="293"/>
      <x:c r="AOL66" s="293"/>
      <x:c r="AOM66" s="293"/>
      <x:c r="AON66" s="293"/>
      <x:c r="AOO66" s="293"/>
      <x:c r="AOP66" s="293"/>
      <x:c r="AOQ66" s="293"/>
      <x:c r="AOR66" s="293"/>
      <x:c r="AOS66" s="293"/>
      <x:c r="AOT66" s="293"/>
      <x:c r="AOU66" s="293"/>
      <x:c r="AOV66" s="293"/>
      <x:c r="AOW66" s="293"/>
      <x:c r="AOX66" s="293"/>
      <x:c r="AOY66" s="293"/>
      <x:c r="AOZ66" s="293"/>
      <x:c r="APA66" s="293"/>
      <x:c r="APB66" s="293"/>
      <x:c r="APC66" s="293"/>
      <x:c r="APD66" s="293"/>
      <x:c r="APE66" s="293"/>
      <x:c r="APF66" s="293"/>
      <x:c r="APG66" s="293"/>
      <x:c r="APH66" s="293"/>
      <x:c r="API66" s="293"/>
      <x:c r="APJ66" s="293"/>
      <x:c r="APK66" s="293"/>
      <x:c r="APL66" s="293"/>
      <x:c r="APM66" s="293"/>
      <x:c r="APN66" s="293"/>
      <x:c r="APO66" s="293"/>
      <x:c r="APP66" s="293"/>
      <x:c r="APQ66" s="293"/>
      <x:c r="APR66" s="293"/>
      <x:c r="APS66" s="293"/>
      <x:c r="APT66" s="293"/>
      <x:c r="APU66" s="293"/>
      <x:c r="APV66" s="293"/>
      <x:c r="APW66" s="293"/>
      <x:c r="APX66" s="293"/>
      <x:c r="APY66" s="293"/>
      <x:c r="APZ66" s="293"/>
      <x:c r="AQA66" s="293"/>
      <x:c r="AQB66" s="293"/>
      <x:c r="AQC66" s="293"/>
      <x:c r="AQD66" s="293"/>
      <x:c r="AQE66" s="293"/>
      <x:c r="AQF66" s="293"/>
      <x:c r="AQG66" s="293"/>
      <x:c r="AQH66" s="293"/>
      <x:c r="AQI66" s="293"/>
      <x:c r="AQJ66" s="293"/>
      <x:c r="AQK66" s="293"/>
      <x:c r="AQL66" s="293"/>
      <x:c r="AQM66" s="293"/>
      <x:c r="AQN66" s="293"/>
      <x:c r="AQO66" s="293"/>
      <x:c r="AQP66" s="293"/>
      <x:c r="AQQ66" s="293"/>
      <x:c r="AQR66" s="293"/>
      <x:c r="AQS66" s="293"/>
      <x:c r="AQT66" s="293"/>
      <x:c r="AQU66" s="293"/>
      <x:c r="AQV66" s="293"/>
      <x:c r="AQW66" s="293"/>
      <x:c r="AQX66" s="293"/>
      <x:c r="AQY66" s="293"/>
      <x:c r="AQZ66" s="293"/>
      <x:c r="ARA66" s="293"/>
      <x:c r="ARB66" s="293"/>
      <x:c r="ARC66" s="293"/>
      <x:c r="ARD66" s="293"/>
      <x:c r="ARE66" s="293"/>
      <x:c r="ARF66" s="293"/>
      <x:c r="ARG66" s="293"/>
      <x:c r="ARH66" s="293"/>
      <x:c r="ARI66" s="293"/>
      <x:c r="ARJ66" s="293"/>
      <x:c r="ARK66" s="293"/>
      <x:c r="ARL66" s="293"/>
      <x:c r="ARM66" s="293"/>
      <x:c r="ARN66" s="293"/>
      <x:c r="ARO66" s="293"/>
      <x:c r="ARP66" s="293"/>
      <x:c r="ARQ66" s="293"/>
      <x:c r="ARR66" s="293"/>
      <x:c r="ARS66" s="293"/>
      <x:c r="ART66" s="293"/>
      <x:c r="ARU66" s="293"/>
      <x:c r="ARV66" s="293"/>
      <x:c r="ARW66" s="293"/>
      <x:c r="ARX66" s="293"/>
      <x:c r="ARY66" s="293"/>
      <x:c r="ARZ66" s="293"/>
      <x:c r="ASA66" s="293"/>
      <x:c r="ASB66" s="293"/>
      <x:c r="ASC66" s="293"/>
      <x:c r="ASD66" s="293"/>
      <x:c r="ASE66" s="293"/>
      <x:c r="ASF66" s="293"/>
      <x:c r="ASG66" s="293"/>
      <x:c r="ASH66" s="293"/>
      <x:c r="ASI66" s="293"/>
      <x:c r="ASJ66" s="293"/>
      <x:c r="ASK66" s="293"/>
      <x:c r="ASL66" s="293"/>
      <x:c r="ASM66" s="293"/>
      <x:c r="ASN66" s="293"/>
      <x:c r="ASO66" s="293"/>
      <x:c r="ASP66" s="293"/>
      <x:c r="ASQ66" s="293"/>
      <x:c r="ASR66" s="293"/>
      <x:c r="ASS66" s="293"/>
      <x:c r="AST66" s="293"/>
      <x:c r="ASU66" s="293"/>
      <x:c r="ASV66" s="293"/>
      <x:c r="ASW66" s="293"/>
      <x:c r="ASX66" s="293"/>
      <x:c r="ASY66" s="293"/>
      <x:c r="ASZ66" s="293"/>
      <x:c r="ATA66" s="293"/>
      <x:c r="ATB66" s="293"/>
      <x:c r="ATC66" s="293"/>
      <x:c r="ATD66" s="293"/>
      <x:c r="ATE66" s="293"/>
      <x:c r="ATF66" s="293"/>
      <x:c r="ATG66" s="293"/>
      <x:c r="ATH66" s="293"/>
      <x:c r="ATI66" s="293"/>
      <x:c r="ATJ66" s="293"/>
      <x:c r="ATK66" s="293"/>
      <x:c r="ATL66" s="293"/>
      <x:c r="ATM66" s="293"/>
      <x:c r="ATN66" s="293"/>
      <x:c r="ATO66" s="293"/>
      <x:c r="ATP66" s="293"/>
      <x:c r="ATQ66" s="293"/>
      <x:c r="ATR66" s="293"/>
      <x:c r="ATS66" s="293"/>
      <x:c r="ATT66" s="293"/>
      <x:c r="ATU66" s="293"/>
      <x:c r="ATV66" s="293"/>
      <x:c r="ATW66" s="293"/>
      <x:c r="ATX66" s="293"/>
      <x:c r="ATY66" s="293"/>
      <x:c r="ATZ66" s="293"/>
      <x:c r="AUA66" s="293"/>
      <x:c r="AUB66" s="293"/>
      <x:c r="AUC66" s="293"/>
      <x:c r="AUD66" s="293"/>
      <x:c r="AUE66" s="293"/>
      <x:c r="AUF66" s="293"/>
      <x:c r="AUG66" s="293"/>
      <x:c r="AUH66" s="293"/>
      <x:c r="AUI66" s="293"/>
      <x:c r="AUJ66" s="293"/>
      <x:c r="AUK66" s="293"/>
      <x:c r="AUL66" s="293"/>
      <x:c r="AUM66" s="293"/>
      <x:c r="AUN66" s="293"/>
      <x:c r="AUO66" s="293"/>
      <x:c r="AUP66" s="293"/>
      <x:c r="AUQ66" s="293"/>
      <x:c r="AUR66" s="293"/>
      <x:c r="AUS66" s="293"/>
      <x:c r="AUT66" s="293"/>
      <x:c r="AUU66" s="293"/>
      <x:c r="AUV66" s="293"/>
      <x:c r="AUW66" s="293"/>
      <x:c r="AUX66" s="293"/>
      <x:c r="AUY66" s="293"/>
      <x:c r="AUZ66" s="293"/>
      <x:c r="AVA66" s="293"/>
      <x:c r="AVB66" s="293"/>
      <x:c r="AVC66" s="293"/>
      <x:c r="AVD66" s="293"/>
      <x:c r="AVE66" s="293"/>
      <x:c r="AVF66" s="293"/>
      <x:c r="AVG66" s="293"/>
      <x:c r="AVH66" s="293"/>
      <x:c r="AVI66" s="293"/>
      <x:c r="AVJ66" s="293"/>
      <x:c r="AVK66" s="293"/>
      <x:c r="AVL66" s="293"/>
      <x:c r="AVM66" s="293"/>
      <x:c r="AVN66" s="293"/>
      <x:c r="AVO66" s="293"/>
      <x:c r="AVP66" s="293"/>
      <x:c r="AVQ66" s="293"/>
      <x:c r="AVR66" s="293"/>
      <x:c r="AVS66" s="293"/>
      <x:c r="AVT66" s="293"/>
      <x:c r="AVU66" s="293"/>
      <x:c r="AVV66" s="293"/>
      <x:c r="AVW66" s="293"/>
      <x:c r="AVX66" s="293"/>
      <x:c r="AVY66" s="293"/>
      <x:c r="AVZ66" s="293"/>
      <x:c r="AWA66" s="293"/>
      <x:c r="AWB66" s="293"/>
      <x:c r="AWC66" s="293"/>
      <x:c r="AWD66" s="293"/>
      <x:c r="AWE66" s="293"/>
      <x:c r="AWF66" s="293"/>
      <x:c r="AWG66" s="293"/>
      <x:c r="AWH66" s="293"/>
      <x:c r="AWI66" s="293"/>
      <x:c r="AWJ66" s="293"/>
      <x:c r="AWK66" s="293"/>
      <x:c r="AWL66" s="293"/>
      <x:c r="AWM66" s="293"/>
      <x:c r="AWN66" s="293"/>
      <x:c r="AWO66" s="293"/>
      <x:c r="AWP66" s="293"/>
      <x:c r="AWQ66" s="293"/>
      <x:c r="AWR66" s="293"/>
      <x:c r="AWS66" s="293"/>
      <x:c r="AWT66" s="293"/>
      <x:c r="AWU66" s="293"/>
      <x:c r="AWV66" s="293"/>
      <x:c r="AWW66" s="293"/>
      <x:c r="AWX66" s="293"/>
      <x:c r="AWY66" s="293"/>
      <x:c r="AWZ66" s="293"/>
      <x:c r="AXA66" s="293"/>
      <x:c r="AXB66" s="293"/>
      <x:c r="AXC66" s="293"/>
      <x:c r="AXD66" s="293"/>
      <x:c r="AXE66" s="293"/>
      <x:c r="AXF66" s="293"/>
      <x:c r="AXG66" s="293"/>
      <x:c r="AXH66" s="293"/>
      <x:c r="AXI66" s="293"/>
      <x:c r="AXJ66" s="293"/>
      <x:c r="AXK66" s="293"/>
      <x:c r="AXL66" s="293"/>
      <x:c r="AXM66" s="293"/>
      <x:c r="AXN66" s="293"/>
      <x:c r="AXO66" s="293"/>
      <x:c r="AXP66" s="293"/>
      <x:c r="AXQ66" s="293"/>
      <x:c r="AXR66" s="293"/>
      <x:c r="AXS66" s="293"/>
      <x:c r="AXT66" s="293"/>
      <x:c r="AXU66" s="293"/>
      <x:c r="AXV66" s="293"/>
      <x:c r="AXW66" s="293"/>
      <x:c r="AXX66" s="293"/>
      <x:c r="AXY66" s="293"/>
      <x:c r="AXZ66" s="293"/>
      <x:c r="AYA66" s="293"/>
      <x:c r="AYB66" s="293"/>
      <x:c r="AYC66" s="293"/>
      <x:c r="AYD66" s="293"/>
      <x:c r="AYE66" s="293"/>
      <x:c r="AYF66" s="293"/>
      <x:c r="AYG66" s="293"/>
      <x:c r="AYH66" s="293"/>
      <x:c r="AYI66" s="293"/>
      <x:c r="AYJ66" s="293"/>
      <x:c r="AYK66" s="293"/>
      <x:c r="AYL66" s="293"/>
      <x:c r="AYM66" s="293"/>
      <x:c r="AYN66" s="293"/>
      <x:c r="AYO66" s="293"/>
      <x:c r="AYP66" s="293"/>
      <x:c r="AYQ66" s="293"/>
      <x:c r="AYR66" s="293"/>
      <x:c r="AYS66" s="293"/>
      <x:c r="AYT66" s="293"/>
      <x:c r="AYU66" s="293"/>
      <x:c r="AYV66" s="293"/>
      <x:c r="AYW66" s="293"/>
      <x:c r="AYX66" s="293"/>
      <x:c r="AYY66" s="293"/>
      <x:c r="AYZ66" s="293"/>
      <x:c r="AZA66" s="293"/>
      <x:c r="AZB66" s="293"/>
      <x:c r="AZC66" s="293"/>
      <x:c r="AZD66" s="293"/>
      <x:c r="AZE66" s="293"/>
      <x:c r="AZF66" s="293"/>
      <x:c r="AZG66" s="293"/>
      <x:c r="AZH66" s="293"/>
      <x:c r="AZI66" s="293"/>
      <x:c r="AZJ66" s="293"/>
      <x:c r="AZK66" s="293"/>
      <x:c r="AZL66" s="293"/>
      <x:c r="AZM66" s="293"/>
      <x:c r="AZN66" s="293"/>
      <x:c r="AZO66" s="293"/>
      <x:c r="AZP66" s="293"/>
      <x:c r="AZQ66" s="293"/>
      <x:c r="AZR66" s="293"/>
      <x:c r="AZS66" s="293"/>
      <x:c r="AZT66" s="293"/>
      <x:c r="AZU66" s="293"/>
      <x:c r="AZV66" s="293"/>
      <x:c r="AZW66" s="293"/>
      <x:c r="AZX66" s="293"/>
      <x:c r="AZY66" s="293"/>
      <x:c r="AZZ66" s="293"/>
      <x:c r="BAA66" s="293"/>
      <x:c r="BAB66" s="293"/>
      <x:c r="BAC66" s="293"/>
      <x:c r="BAD66" s="293"/>
      <x:c r="BAE66" s="293"/>
      <x:c r="BAF66" s="293"/>
      <x:c r="BAG66" s="293"/>
      <x:c r="BAH66" s="293"/>
      <x:c r="BAI66" s="293"/>
      <x:c r="BAJ66" s="293"/>
      <x:c r="BAK66" s="293"/>
      <x:c r="BAL66" s="293"/>
      <x:c r="BAM66" s="293"/>
      <x:c r="BAN66" s="293"/>
      <x:c r="BAO66" s="293"/>
      <x:c r="BAP66" s="293"/>
      <x:c r="BAQ66" s="293"/>
      <x:c r="BAR66" s="293"/>
      <x:c r="BAS66" s="293"/>
      <x:c r="BAT66" s="293"/>
      <x:c r="BAU66" s="293"/>
      <x:c r="BAV66" s="293"/>
      <x:c r="BAW66" s="293"/>
      <x:c r="BAX66" s="293"/>
      <x:c r="BAY66" s="293"/>
      <x:c r="BAZ66" s="293"/>
      <x:c r="BBA66" s="293"/>
      <x:c r="BBB66" s="293"/>
      <x:c r="BBC66" s="293"/>
      <x:c r="BBD66" s="293"/>
      <x:c r="BBE66" s="293"/>
      <x:c r="BBF66" s="293"/>
      <x:c r="BBG66" s="293"/>
      <x:c r="BBH66" s="293"/>
      <x:c r="BBI66" s="293"/>
      <x:c r="BBJ66" s="293"/>
      <x:c r="BBK66" s="293"/>
      <x:c r="BBL66" s="293"/>
      <x:c r="BBM66" s="293"/>
      <x:c r="BBN66" s="293"/>
      <x:c r="BBO66" s="293"/>
      <x:c r="BBP66" s="293"/>
      <x:c r="BBQ66" s="293"/>
      <x:c r="BBR66" s="293"/>
      <x:c r="BBS66" s="293"/>
      <x:c r="BBT66" s="293"/>
      <x:c r="BBU66" s="293"/>
      <x:c r="BBV66" s="293"/>
      <x:c r="BBW66" s="293"/>
      <x:c r="BBX66" s="293"/>
      <x:c r="BBY66" s="293"/>
      <x:c r="BBZ66" s="293"/>
      <x:c r="BCA66" s="293"/>
      <x:c r="BCB66" s="293"/>
      <x:c r="BCC66" s="293"/>
      <x:c r="BCD66" s="293"/>
      <x:c r="BCE66" s="293"/>
      <x:c r="BCF66" s="293"/>
      <x:c r="BCG66" s="293"/>
      <x:c r="BCH66" s="293"/>
      <x:c r="BCI66" s="293"/>
      <x:c r="BCJ66" s="293"/>
      <x:c r="BCK66" s="293"/>
      <x:c r="BCL66" s="293"/>
      <x:c r="BCM66" s="293"/>
      <x:c r="BCN66" s="293"/>
      <x:c r="BCO66" s="293"/>
      <x:c r="BCP66" s="293"/>
      <x:c r="BCQ66" s="293"/>
      <x:c r="BCR66" s="293"/>
      <x:c r="BCS66" s="293"/>
      <x:c r="BCT66" s="293"/>
      <x:c r="BCU66" s="293"/>
      <x:c r="BCV66" s="293"/>
      <x:c r="BCW66" s="293"/>
      <x:c r="BCX66" s="293"/>
      <x:c r="BCY66" s="293"/>
      <x:c r="BCZ66" s="293"/>
      <x:c r="BDA66" s="293"/>
      <x:c r="BDB66" s="293"/>
      <x:c r="BDC66" s="293"/>
      <x:c r="BDD66" s="293"/>
      <x:c r="BDE66" s="293"/>
      <x:c r="BDF66" s="293"/>
      <x:c r="BDG66" s="293"/>
      <x:c r="BDH66" s="293"/>
      <x:c r="BDI66" s="293"/>
      <x:c r="BDJ66" s="293"/>
      <x:c r="BDK66" s="293"/>
      <x:c r="BDL66" s="293"/>
      <x:c r="BDM66" s="293"/>
      <x:c r="BDN66" s="293"/>
      <x:c r="BDO66" s="293"/>
      <x:c r="BDP66" s="293"/>
      <x:c r="BDQ66" s="293"/>
      <x:c r="BDR66" s="293"/>
      <x:c r="BDS66" s="293"/>
      <x:c r="BDT66" s="293"/>
      <x:c r="BDU66" s="293"/>
      <x:c r="BDV66" s="293"/>
      <x:c r="BDW66" s="293"/>
      <x:c r="BDX66" s="293"/>
      <x:c r="BDY66" s="293"/>
      <x:c r="BDZ66" s="293"/>
      <x:c r="BEA66" s="293"/>
      <x:c r="BEB66" s="293"/>
      <x:c r="BEC66" s="293"/>
      <x:c r="BED66" s="293"/>
      <x:c r="BEE66" s="293"/>
      <x:c r="BEF66" s="293"/>
      <x:c r="BEG66" s="293"/>
      <x:c r="BEH66" s="293"/>
      <x:c r="BEI66" s="293"/>
      <x:c r="BEJ66" s="293"/>
      <x:c r="BEK66" s="293"/>
      <x:c r="BEL66" s="293"/>
      <x:c r="BEM66" s="293"/>
      <x:c r="BEN66" s="293"/>
      <x:c r="BEO66" s="293"/>
      <x:c r="BEP66" s="293"/>
      <x:c r="BEQ66" s="293"/>
      <x:c r="BER66" s="293"/>
      <x:c r="BES66" s="293"/>
      <x:c r="BET66" s="293"/>
      <x:c r="BEU66" s="293"/>
      <x:c r="BEV66" s="293"/>
      <x:c r="BEW66" s="293"/>
      <x:c r="BEX66" s="293"/>
      <x:c r="BEY66" s="293"/>
      <x:c r="BEZ66" s="293"/>
      <x:c r="BFA66" s="293"/>
      <x:c r="BFB66" s="293"/>
      <x:c r="BFC66" s="293"/>
      <x:c r="BFD66" s="293"/>
      <x:c r="BFE66" s="293"/>
      <x:c r="BFF66" s="293"/>
      <x:c r="BFG66" s="293"/>
      <x:c r="BFH66" s="293"/>
      <x:c r="BFI66" s="293"/>
      <x:c r="BFJ66" s="293"/>
      <x:c r="BFK66" s="293"/>
      <x:c r="BFL66" s="293"/>
      <x:c r="BFM66" s="293"/>
      <x:c r="BFN66" s="293"/>
      <x:c r="BFO66" s="293"/>
      <x:c r="BFP66" s="293"/>
      <x:c r="BFQ66" s="293"/>
      <x:c r="BFR66" s="293"/>
      <x:c r="BFS66" s="293"/>
      <x:c r="BFT66" s="293"/>
      <x:c r="BFU66" s="293"/>
      <x:c r="BFV66" s="293"/>
      <x:c r="BFW66" s="293"/>
      <x:c r="BFX66" s="293"/>
      <x:c r="BFY66" s="293"/>
      <x:c r="BFZ66" s="293"/>
      <x:c r="BGA66" s="293"/>
      <x:c r="BGB66" s="293"/>
      <x:c r="BGC66" s="293"/>
      <x:c r="BGD66" s="293"/>
      <x:c r="BGE66" s="293"/>
      <x:c r="BGF66" s="293"/>
      <x:c r="BGG66" s="293"/>
      <x:c r="BGH66" s="293"/>
      <x:c r="BGI66" s="293"/>
      <x:c r="BGJ66" s="293"/>
      <x:c r="BGK66" s="293"/>
      <x:c r="BGL66" s="293"/>
      <x:c r="BGM66" s="293"/>
      <x:c r="BGN66" s="293"/>
      <x:c r="BGO66" s="293"/>
      <x:c r="BGP66" s="293"/>
      <x:c r="BGQ66" s="293"/>
      <x:c r="BGR66" s="293"/>
      <x:c r="BGS66" s="293"/>
      <x:c r="BGT66" s="293"/>
      <x:c r="BGU66" s="293"/>
      <x:c r="BGV66" s="293"/>
      <x:c r="BGW66" s="293"/>
      <x:c r="BGX66" s="293"/>
      <x:c r="BGY66" s="293"/>
      <x:c r="BGZ66" s="293"/>
      <x:c r="BHA66" s="293"/>
      <x:c r="BHB66" s="293"/>
      <x:c r="BHC66" s="293"/>
      <x:c r="BHD66" s="293"/>
      <x:c r="BHE66" s="293"/>
      <x:c r="BHF66" s="293"/>
      <x:c r="BHG66" s="293"/>
      <x:c r="BHH66" s="293"/>
      <x:c r="BHI66" s="293"/>
      <x:c r="BHJ66" s="293"/>
      <x:c r="BHK66" s="293"/>
      <x:c r="BHL66" s="293"/>
      <x:c r="BHM66" s="293"/>
      <x:c r="BHN66" s="293"/>
      <x:c r="BHO66" s="293"/>
      <x:c r="BHP66" s="293"/>
      <x:c r="BHQ66" s="293"/>
      <x:c r="BHR66" s="293"/>
      <x:c r="BHS66" s="293"/>
      <x:c r="BHT66" s="293"/>
      <x:c r="BHU66" s="293"/>
      <x:c r="BHV66" s="293"/>
      <x:c r="BHW66" s="293"/>
      <x:c r="BHX66" s="293"/>
      <x:c r="BHY66" s="293"/>
      <x:c r="BHZ66" s="293"/>
      <x:c r="BIA66" s="293"/>
      <x:c r="BIB66" s="293"/>
      <x:c r="BIC66" s="293"/>
      <x:c r="BID66" s="293"/>
      <x:c r="BIE66" s="293"/>
      <x:c r="BIF66" s="293"/>
      <x:c r="BIG66" s="293"/>
      <x:c r="BIH66" s="293"/>
      <x:c r="BII66" s="293"/>
      <x:c r="BIJ66" s="293"/>
      <x:c r="BIK66" s="293"/>
      <x:c r="BIL66" s="293"/>
      <x:c r="BIM66" s="293"/>
      <x:c r="BIN66" s="293"/>
      <x:c r="BIO66" s="293"/>
      <x:c r="BIP66" s="293"/>
      <x:c r="BIQ66" s="293"/>
      <x:c r="BIR66" s="293"/>
      <x:c r="BIS66" s="293"/>
      <x:c r="BIT66" s="293"/>
      <x:c r="BIU66" s="293"/>
      <x:c r="BIV66" s="293"/>
      <x:c r="BIW66" s="293"/>
      <x:c r="BIX66" s="293"/>
      <x:c r="BIY66" s="293"/>
      <x:c r="BIZ66" s="293"/>
      <x:c r="BJA66" s="293"/>
      <x:c r="BJB66" s="293"/>
      <x:c r="BJC66" s="293"/>
      <x:c r="BJD66" s="293"/>
      <x:c r="BJE66" s="293"/>
      <x:c r="BJF66" s="293"/>
      <x:c r="BJG66" s="293"/>
      <x:c r="BJH66" s="293"/>
      <x:c r="BJI66" s="293"/>
      <x:c r="BJJ66" s="293"/>
      <x:c r="BJK66" s="293"/>
      <x:c r="BJL66" s="293"/>
      <x:c r="BJM66" s="293"/>
      <x:c r="BJN66" s="293"/>
      <x:c r="BJO66" s="293"/>
      <x:c r="BJP66" s="293"/>
      <x:c r="BJQ66" s="293"/>
      <x:c r="BJR66" s="293"/>
      <x:c r="BJS66" s="293"/>
      <x:c r="BJT66" s="293"/>
      <x:c r="BJU66" s="293"/>
      <x:c r="BJV66" s="293"/>
      <x:c r="BJW66" s="293"/>
      <x:c r="BJX66" s="293"/>
      <x:c r="BJY66" s="293"/>
      <x:c r="BJZ66" s="293"/>
      <x:c r="BKA66" s="293"/>
      <x:c r="BKB66" s="293"/>
      <x:c r="BKC66" s="293"/>
      <x:c r="BKD66" s="293"/>
      <x:c r="BKE66" s="293"/>
      <x:c r="BKF66" s="293"/>
      <x:c r="BKG66" s="293"/>
      <x:c r="BKH66" s="293"/>
      <x:c r="BKI66" s="293"/>
      <x:c r="BKJ66" s="293"/>
      <x:c r="BKK66" s="293"/>
      <x:c r="BKL66" s="293"/>
      <x:c r="BKM66" s="293"/>
      <x:c r="BKN66" s="293"/>
      <x:c r="BKO66" s="293"/>
      <x:c r="BKP66" s="293"/>
      <x:c r="BKQ66" s="293"/>
      <x:c r="BKR66" s="293"/>
      <x:c r="BKS66" s="293"/>
      <x:c r="BKT66" s="293"/>
      <x:c r="BKU66" s="293"/>
      <x:c r="BKV66" s="293"/>
      <x:c r="BKW66" s="293"/>
      <x:c r="BKX66" s="293"/>
      <x:c r="BKY66" s="293"/>
      <x:c r="BKZ66" s="293"/>
      <x:c r="BLA66" s="293"/>
      <x:c r="BLB66" s="293"/>
      <x:c r="BLC66" s="293"/>
      <x:c r="BLD66" s="293"/>
      <x:c r="BLE66" s="293"/>
      <x:c r="BLF66" s="293"/>
      <x:c r="BLG66" s="293"/>
      <x:c r="BLH66" s="293"/>
      <x:c r="BLI66" s="293"/>
      <x:c r="BLJ66" s="293"/>
      <x:c r="BLK66" s="293"/>
      <x:c r="BLL66" s="293"/>
      <x:c r="BLM66" s="293"/>
      <x:c r="BLN66" s="293"/>
      <x:c r="BLO66" s="293"/>
      <x:c r="BLP66" s="293"/>
      <x:c r="BLQ66" s="293"/>
      <x:c r="BLR66" s="293"/>
      <x:c r="BLS66" s="293"/>
      <x:c r="BLT66" s="293"/>
      <x:c r="BLU66" s="293"/>
      <x:c r="BLV66" s="293"/>
      <x:c r="BLW66" s="293"/>
      <x:c r="BLX66" s="293"/>
      <x:c r="BLY66" s="293"/>
      <x:c r="BLZ66" s="293"/>
      <x:c r="BMA66" s="293"/>
      <x:c r="BMB66" s="293"/>
      <x:c r="BMC66" s="293"/>
      <x:c r="BMD66" s="293"/>
      <x:c r="BME66" s="293"/>
      <x:c r="BMF66" s="293"/>
      <x:c r="BMG66" s="293"/>
      <x:c r="BMH66" s="293"/>
      <x:c r="BMI66" s="293"/>
      <x:c r="BMJ66" s="293"/>
      <x:c r="BMK66" s="293"/>
      <x:c r="BML66" s="293"/>
      <x:c r="BMM66" s="293"/>
      <x:c r="BMN66" s="293"/>
      <x:c r="BMO66" s="293"/>
      <x:c r="BMP66" s="293"/>
      <x:c r="BMQ66" s="293"/>
      <x:c r="BMR66" s="293"/>
      <x:c r="BMS66" s="293"/>
      <x:c r="BMT66" s="293"/>
      <x:c r="BMU66" s="293"/>
      <x:c r="BMV66" s="293"/>
      <x:c r="BMW66" s="293"/>
      <x:c r="BMX66" s="293"/>
      <x:c r="BMY66" s="293"/>
      <x:c r="BMZ66" s="293"/>
      <x:c r="BNA66" s="293"/>
      <x:c r="BNB66" s="293"/>
      <x:c r="BNC66" s="293"/>
      <x:c r="BND66" s="293"/>
      <x:c r="BNE66" s="293"/>
      <x:c r="BNF66" s="293"/>
      <x:c r="BNG66" s="293"/>
      <x:c r="BNH66" s="293"/>
      <x:c r="BNI66" s="293"/>
      <x:c r="BNJ66" s="293"/>
      <x:c r="BNK66" s="293"/>
      <x:c r="BNL66" s="293"/>
      <x:c r="BNM66" s="293"/>
      <x:c r="BNN66" s="293"/>
      <x:c r="BNO66" s="293"/>
      <x:c r="BNP66" s="293"/>
      <x:c r="BNQ66" s="293"/>
      <x:c r="BNR66" s="293"/>
      <x:c r="BNS66" s="293"/>
      <x:c r="BNT66" s="293"/>
      <x:c r="BNU66" s="293"/>
      <x:c r="BNV66" s="293"/>
      <x:c r="BNW66" s="293"/>
      <x:c r="BNX66" s="293"/>
      <x:c r="BNY66" s="293"/>
      <x:c r="BNZ66" s="293"/>
      <x:c r="BOA66" s="293"/>
      <x:c r="BOB66" s="293"/>
      <x:c r="BOC66" s="293"/>
      <x:c r="BOD66" s="293"/>
      <x:c r="BOE66" s="293"/>
      <x:c r="BOF66" s="293"/>
      <x:c r="BOG66" s="293"/>
      <x:c r="BOH66" s="293"/>
      <x:c r="BOI66" s="293"/>
      <x:c r="BOJ66" s="293"/>
      <x:c r="BOK66" s="293"/>
      <x:c r="BOL66" s="293"/>
      <x:c r="BOM66" s="293"/>
      <x:c r="BON66" s="293"/>
      <x:c r="BOO66" s="293"/>
      <x:c r="BOP66" s="293"/>
      <x:c r="BOQ66" s="293"/>
      <x:c r="BOR66" s="293"/>
      <x:c r="BOS66" s="293"/>
      <x:c r="BOT66" s="293"/>
      <x:c r="BOU66" s="293"/>
      <x:c r="BOV66" s="293"/>
      <x:c r="BOW66" s="293"/>
      <x:c r="BOX66" s="293"/>
      <x:c r="BOY66" s="293"/>
      <x:c r="BOZ66" s="293"/>
      <x:c r="BPA66" s="293"/>
      <x:c r="BPB66" s="293"/>
      <x:c r="BPC66" s="293"/>
      <x:c r="BPD66" s="293"/>
      <x:c r="BPE66" s="293"/>
      <x:c r="BPF66" s="293"/>
      <x:c r="BPG66" s="293"/>
      <x:c r="BPH66" s="293"/>
      <x:c r="BPI66" s="293"/>
      <x:c r="BPJ66" s="293"/>
      <x:c r="BPK66" s="293"/>
      <x:c r="BPL66" s="293"/>
      <x:c r="BPM66" s="293"/>
      <x:c r="BPN66" s="293"/>
      <x:c r="BPO66" s="293"/>
      <x:c r="BPP66" s="293"/>
      <x:c r="BPQ66" s="293"/>
      <x:c r="BPR66" s="293"/>
      <x:c r="BPS66" s="293"/>
      <x:c r="BPT66" s="293"/>
      <x:c r="BPU66" s="293"/>
      <x:c r="BPV66" s="293"/>
      <x:c r="BPW66" s="293"/>
      <x:c r="BPX66" s="293"/>
      <x:c r="BPY66" s="293"/>
      <x:c r="BPZ66" s="293"/>
      <x:c r="BQA66" s="293"/>
      <x:c r="BQB66" s="293"/>
      <x:c r="BQC66" s="293"/>
      <x:c r="BQD66" s="293"/>
      <x:c r="BQE66" s="293"/>
      <x:c r="BQF66" s="293"/>
      <x:c r="BQG66" s="293"/>
      <x:c r="BQH66" s="293"/>
      <x:c r="BQI66" s="293"/>
      <x:c r="BQJ66" s="293"/>
      <x:c r="BQK66" s="293"/>
      <x:c r="BQL66" s="293"/>
      <x:c r="BQM66" s="293"/>
      <x:c r="BQN66" s="293"/>
      <x:c r="BQO66" s="293"/>
      <x:c r="BQP66" s="293"/>
      <x:c r="BQQ66" s="293"/>
      <x:c r="BQR66" s="293"/>
      <x:c r="BQS66" s="293"/>
      <x:c r="BQT66" s="293"/>
      <x:c r="BQU66" s="293"/>
      <x:c r="BQV66" s="293"/>
      <x:c r="BQW66" s="293"/>
      <x:c r="BQX66" s="293"/>
      <x:c r="BQY66" s="293"/>
      <x:c r="BQZ66" s="293"/>
      <x:c r="BRA66" s="293"/>
      <x:c r="BRB66" s="293"/>
      <x:c r="BRC66" s="293"/>
      <x:c r="BRD66" s="293"/>
      <x:c r="BRE66" s="293"/>
      <x:c r="BRF66" s="293"/>
      <x:c r="BRG66" s="293"/>
      <x:c r="BRH66" s="293"/>
      <x:c r="BRI66" s="293"/>
      <x:c r="BRJ66" s="293"/>
      <x:c r="BRK66" s="293"/>
      <x:c r="BRL66" s="293"/>
      <x:c r="BRM66" s="293"/>
      <x:c r="BRN66" s="293"/>
      <x:c r="BRO66" s="293"/>
      <x:c r="BRP66" s="293"/>
      <x:c r="BRQ66" s="293"/>
      <x:c r="BRR66" s="293"/>
      <x:c r="BRS66" s="293"/>
      <x:c r="BRT66" s="293"/>
      <x:c r="BRU66" s="293"/>
      <x:c r="BRV66" s="293"/>
      <x:c r="BRW66" s="293"/>
      <x:c r="BRX66" s="293"/>
      <x:c r="BRY66" s="293"/>
      <x:c r="BRZ66" s="293"/>
      <x:c r="BSA66" s="293"/>
      <x:c r="BSB66" s="293"/>
      <x:c r="BSC66" s="293"/>
      <x:c r="BSD66" s="293"/>
      <x:c r="BSE66" s="293"/>
      <x:c r="BSF66" s="293"/>
      <x:c r="BSG66" s="293"/>
      <x:c r="BSH66" s="293"/>
      <x:c r="BSI66" s="293"/>
      <x:c r="BSJ66" s="293"/>
      <x:c r="BSK66" s="293"/>
      <x:c r="BSL66" s="293"/>
      <x:c r="BSM66" s="293"/>
      <x:c r="BSN66" s="293"/>
      <x:c r="BSO66" s="293"/>
      <x:c r="BSP66" s="293"/>
      <x:c r="BSQ66" s="293"/>
      <x:c r="BSR66" s="293"/>
      <x:c r="BSS66" s="293"/>
      <x:c r="BST66" s="293"/>
      <x:c r="BSU66" s="293"/>
      <x:c r="BSV66" s="293"/>
      <x:c r="BSW66" s="293"/>
      <x:c r="BSX66" s="293"/>
      <x:c r="BSY66" s="293"/>
      <x:c r="BSZ66" s="293"/>
      <x:c r="BTA66" s="293"/>
      <x:c r="BTB66" s="293"/>
      <x:c r="BTC66" s="293"/>
      <x:c r="BTD66" s="293"/>
      <x:c r="BTE66" s="293"/>
      <x:c r="BTF66" s="293"/>
      <x:c r="BTG66" s="293"/>
      <x:c r="BTH66" s="293"/>
      <x:c r="BTI66" s="293"/>
      <x:c r="BTJ66" s="293"/>
      <x:c r="BTK66" s="293"/>
      <x:c r="BTL66" s="293"/>
      <x:c r="BTM66" s="293"/>
      <x:c r="BTN66" s="293"/>
      <x:c r="BTO66" s="293"/>
      <x:c r="BTP66" s="293"/>
      <x:c r="BTQ66" s="293"/>
      <x:c r="BTR66" s="293"/>
      <x:c r="BTS66" s="293"/>
      <x:c r="BTT66" s="293"/>
      <x:c r="BTU66" s="293"/>
      <x:c r="BTV66" s="293"/>
      <x:c r="BTW66" s="293"/>
      <x:c r="BTX66" s="293"/>
      <x:c r="BTY66" s="293"/>
      <x:c r="BTZ66" s="293"/>
      <x:c r="BUA66" s="293"/>
      <x:c r="BUB66" s="293"/>
      <x:c r="BUC66" s="293"/>
      <x:c r="BUD66" s="293"/>
      <x:c r="BUE66" s="293"/>
      <x:c r="BUF66" s="293"/>
      <x:c r="BUG66" s="293"/>
      <x:c r="BUH66" s="293"/>
      <x:c r="BUI66" s="293"/>
      <x:c r="BUJ66" s="293"/>
      <x:c r="BUK66" s="293"/>
      <x:c r="BUL66" s="293"/>
      <x:c r="BUM66" s="293"/>
      <x:c r="BUN66" s="293"/>
      <x:c r="BUO66" s="293"/>
      <x:c r="BUP66" s="293"/>
      <x:c r="BUQ66" s="293"/>
      <x:c r="BUR66" s="293"/>
      <x:c r="BUS66" s="293"/>
      <x:c r="BUT66" s="293"/>
      <x:c r="BUU66" s="293"/>
      <x:c r="BUV66" s="293"/>
      <x:c r="BUW66" s="293"/>
      <x:c r="BUX66" s="293"/>
      <x:c r="BUY66" s="293"/>
      <x:c r="BUZ66" s="293"/>
      <x:c r="BVA66" s="293"/>
      <x:c r="BVB66" s="293"/>
      <x:c r="BVC66" s="293"/>
      <x:c r="BVD66" s="293"/>
      <x:c r="BVE66" s="293"/>
      <x:c r="BVF66" s="293"/>
      <x:c r="BVG66" s="293"/>
      <x:c r="BVH66" s="293"/>
      <x:c r="BVI66" s="293"/>
      <x:c r="BVJ66" s="293"/>
      <x:c r="BVK66" s="293"/>
      <x:c r="BVL66" s="293"/>
      <x:c r="BVM66" s="293"/>
      <x:c r="BVN66" s="293"/>
      <x:c r="BVO66" s="293"/>
      <x:c r="BVP66" s="293"/>
      <x:c r="BVQ66" s="293"/>
      <x:c r="BVR66" s="293"/>
      <x:c r="BVS66" s="293"/>
      <x:c r="BVT66" s="293"/>
      <x:c r="BVU66" s="293"/>
      <x:c r="BVV66" s="293"/>
      <x:c r="BVW66" s="293"/>
      <x:c r="BVX66" s="293"/>
      <x:c r="BVY66" s="293"/>
      <x:c r="BVZ66" s="293"/>
      <x:c r="BWA66" s="293"/>
      <x:c r="BWB66" s="293"/>
      <x:c r="BWC66" s="293"/>
      <x:c r="BWD66" s="293"/>
      <x:c r="BWE66" s="293"/>
      <x:c r="BWF66" s="293"/>
      <x:c r="BWG66" s="293"/>
      <x:c r="BWH66" s="293"/>
      <x:c r="BWI66" s="293"/>
      <x:c r="BWJ66" s="293"/>
      <x:c r="BWK66" s="293"/>
      <x:c r="BWL66" s="293"/>
      <x:c r="BWM66" s="293"/>
      <x:c r="BWN66" s="293"/>
      <x:c r="BWO66" s="293"/>
      <x:c r="BWP66" s="293"/>
      <x:c r="BWQ66" s="293"/>
      <x:c r="BWR66" s="293"/>
      <x:c r="BWS66" s="293"/>
      <x:c r="BWT66" s="293"/>
      <x:c r="BWU66" s="293"/>
      <x:c r="BWV66" s="293"/>
      <x:c r="BWW66" s="293"/>
      <x:c r="BWX66" s="293"/>
      <x:c r="BWY66" s="293"/>
      <x:c r="BWZ66" s="293"/>
      <x:c r="BXA66" s="293"/>
      <x:c r="BXB66" s="293"/>
      <x:c r="BXC66" s="293"/>
      <x:c r="BXD66" s="293"/>
      <x:c r="BXE66" s="293"/>
      <x:c r="BXF66" s="293"/>
      <x:c r="BXG66" s="293"/>
      <x:c r="BXH66" s="293"/>
      <x:c r="BXI66" s="293"/>
      <x:c r="BXJ66" s="293"/>
      <x:c r="BXK66" s="293"/>
      <x:c r="BXL66" s="293"/>
      <x:c r="BXM66" s="293"/>
      <x:c r="BXN66" s="293"/>
      <x:c r="BXO66" s="293"/>
      <x:c r="BXP66" s="293"/>
      <x:c r="BXQ66" s="293"/>
      <x:c r="BXR66" s="293"/>
      <x:c r="BXS66" s="293"/>
      <x:c r="BXT66" s="293"/>
      <x:c r="BXU66" s="293"/>
      <x:c r="BXV66" s="293"/>
      <x:c r="BXW66" s="293"/>
      <x:c r="BXX66" s="293"/>
      <x:c r="BXY66" s="293"/>
      <x:c r="BXZ66" s="293"/>
      <x:c r="BYA66" s="293"/>
      <x:c r="BYB66" s="293"/>
      <x:c r="BYC66" s="293"/>
      <x:c r="BYD66" s="293"/>
      <x:c r="BYE66" s="293"/>
      <x:c r="BYF66" s="293"/>
      <x:c r="BYG66" s="293"/>
      <x:c r="BYH66" s="293"/>
      <x:c r="BYI66" s="293"/>
      <x:c r="BYJ66" s="293"/>
      <x:c r="BYK66" s="293"/>
      <x:c r="BYL66" s="293"/>
      <x:c r="BYM66" s="293"/>
      <x:c r="BYN66" s="293"/>
      <x:c r="BYO66" s="293"/>
      <x:c r="BYP66" s="293"/>
      <x:c r="BYQ66" s="293"/>
      <x:c r="BYR66" s="293"/>
      <x:c r="BYS66" s="293"/>
      <x:c r="BYT66" s="293"/>
      <x:c r="BYU66" s="293"/>
      <x:c r="BYV66" s="293"/>
      <x:c r="BYW66" s="293"/>
      <x:c r="BYX66" s="293"/>
      <x:c r="BYY66" s="293"/>
      <x:c r="BYZ66" s="293"/>
      <x:c r="BZA66" s="293"/>
      <x:c r="BZB66" s="293"/>
      <x:c r="BZC66" s="293"/>
      <x:c r="BZD66" s="293"/>
      <x:c r="BZE66" s="293"/>
      <x:c r="BZF66" s="293"/>
      <x:c r="BZG66" s="293"/>
      <x:c r="BZH66" s="293"/>
      <x:c r="BZI66" s="293"/>
      <x:c r="BZJ66" s="293"/>
      <x:c r="BZK66" s="293"/>
      <x:c r="BZL66" s="293"/>
      <x:c r="BZM66" s="293"/>
      <x:c r="BZN66" s="293"/>
      <x:c r="BZO66" s="293"/>
      <x:c r="BZP66" s="293"/>
      <x:c r="BZQ66" s="293"/>
      <x:c r="BZR66" s="293"/>
      <x:c r="BZS66" s="293"/>
      <x:c r="BZT66" s="293"/>
      <x:c r="BZU66" s="293"/>
      <x:c r="BZV66" s="293"/>
      <x:c r="BZW66" s="293"/>
      <x:c r="BZX66" s="293"/>
      <x:c r="BZY66" s="293"/>
      <x:c r="BZZ66" s="293"/>
      <x:c r="CAA66" s="293"/>
      <x:c r="CAB66" s="293"/>
      <x:c r="CAC66" s="293"/>
      <x:c r="CAD66" s="293"/>
      <x:c r="CAE66" s="293"/>
      <x:c r="CAF66" s="293"/>
      <x:c r="CAG66" s="293"/>
      <x:c r="CAH66" s="293"/>
      <x:c r="CAI66" s="293"/>
      <x:c r="CAJ66" s="293"/>
      <x:c r="CAK66" s="293"/>
      <x:c r="CAL66" s="293"/>
      <x:c r="CAM66" s="293"/>
      <x:c r="CAN66" s="293"/>
      <x:c r="CAO66" s="293"/>
      <x:c r="CAP66" s="293"/>
      <x:c r="CAQ66" s="293"/>
      <x:c r="CAR66" s="293"/>
      <x:c r="CAS66" s="293"/>
      <x:c r="CAT66" s="293"/>
      <x:c r="CAU66" s="293"/>
      <x:c r="CAV66" s="293"/>
      <x:c r="CAW66" s="293"/>
      <x:c r="CAX66" s="293"/>
      <x:c r="CAY66" s="293"/>
      <x:c r="CAZ66" s="293"/>
      <x:c r="CBA66" s="293"/>
      <x:c r="CBB66" s="293"/>
      <x:c r="CBC66" s="293"/>
      <x:c r="CBD66" s="293"/>
      <x:c r="CBE66" s="293"/>
      <x:c r="CBF66" s="293"/>
      <x:c r="CBG66" s="293"/>
      <x:c r="CBH66" s="293"/>
      <x:c r="CBI66" s="293"/>
      <x:c r="CBJ66" s="293"/>
      <x:c r="CBK66" s="293"/>
      <x:c r="CBL66" s="293"/>
      <x:c r="CBM66" s="293"/>
      <x:c r="CBN66" s="293"/>
      <x:c r="CBO66" s="293"/>
      <x:c r="CBP66" s="293"/>
      <x:c r="CBQ66" s="293"/>
      <x:c r="CBR66" s="293"/>
      <x:c r="CBS66" s="293"/>
      <x:c r="CBT66" s="293"/>
      <x:c r="CBU66" s="293"/>
      <x:c r="CBV66" s="293"/>
      <x:c r="CBW66" s="293"/>
      <x:c r="CBX66" s="293"/>
      <x:c r="CBY66" s="293"/>
      <x:c r="CBZ66" s="293"/>
      <x:c r="CCA66" s="293"/>
      <x:c r="CCB66" s="293"/>
      <x:c r="CCC66" s="293"/>
      <x:c r="CCD66" s="293"/>
      <x:c r="CCE66" s="293"/>
      <x:c r="CCF66" s="293"/>
      <x:c r="CCG66" s="293"/>
      <x:c r="CCH66" s="293"/>
      <x:c r="CCI66" s="293"/>
      <x:c r="CCJ66" s="293"/>
      <x:c r="CCK66" s="293"/>
      <x:c r="CCL66" s="293"/>
      <x:c r="CCM66" s="293"/>
      <x:c r="CCN66" s="293"/>
      <x:c r="CCO66" s="293"/>
      <x:c r="CCP66" s="293"/>
      <x:c r="CCQ66" s="293"/>
      <x:c r="CCR66" s="293"/>
      <x:c r="CCS66" s="293"/>
      <x:c r="CCT66" s="293"/>
      <x:c r="CCU66" s="293"/>
      <x:c r="CCV66" s="293"/>
      <x:c r="CCW66" s="293"/>
      <x:c r="CCX66" s="293"/>
      <x:c r="CCY66" s="293"/>
      <x:c r="CCZ66" s="293"/>
      <x:c r="CDA66" s="293"/>
      <x:c r="CDB66" s="293"/>
      <x:c r="CDC66" s="293"/>
      <x:c r="CDD66" s="293"/>
      <x:c r="CDE66" s="293"/>
      <x:c r="CDF66" s="293"/>
      <x:c r="CDG66" s="293"/>
      <x:c r="CDH66" s="293"/>
      <x:c r="CDI66" s="293"/>
      <x:c r="CDJ66" s="293"/>
      <x:c r="CDK66" s="293"/>
      <x:c r="CDL66" s="293"/>
      <x:c r="CDM66" s="293"/>
      <x:c r="CDN66" s="293"/>
      <x:c r="CDO66" s="293"/>
      <x:c r="CDP66" s="293"/>
      <x:c r="CDQ66" s="293"/>
      <x:c r="CDR66" s="293"/>
      <x:c r="CDS66" s="293"/>
      <x:c r="CDT66" s="293"/>
      <x:c r="CDU66" s="293"/>
      <x:c r="CDV66" s="293"/>
      <x:c r="CDW66" s="293"/>
      <x:c r="CDX66" s="293"/>
      <x:c r="CDY66" s="293"/>
      <x:c r="CDZ66" s="293"/>
      <x:c r="CEA66" s="293"/>
      <x:c r="CEB66" s="293"/>
      <x:c r="CEC66" s="293"/>
      <x:c r="CED66" s="293"/>
      <x:c r="CEE66" s="293"/>
      <x:c r="CEF66" s="293"/>
      <x:c r="CEG66" s="293"/>
      <x:c r="CEH66" s="293"/>
      <x:c r="CEI66" s="293"/>
      <x:c r="CEJ66" s="293"/>
      <x:c r="CEK66" s="293"/>
      <x:c r="CEL66" s="293"/>
      <x:c r="CEM66" s="293"/>
      <x:c r="CEN66" s="293"/>
      <x:c r="CEO66" s="293"/>
      <x:c r="CEP66" s="293"/>
      <x:c r="CEQ66" s="293"/>
      <x:c r="CER66" s="293"/>
      <x:c r="CES66" s="293"/>
      <x:c r="CET66" s="293"/>
      <x:c r="CEU66" s="293"/>
      <x:c r="CEV66" s="293"/>
      <x:c r="CEW66" s="293"/>
      <x:c r="CEX66" s="293"/>
      <x:c r="CEY66" s="293"/>
      <x:c r="CEZ66" s="293"/>
      <x:c r="CFA66" s="293"/>
      <x:c r="CFB66" s="293"/>
      <x:c r="CFC66" s="293"/>
      <x:c r="CFD66" s="293"/>
      <x:c r="CFE66" s="293"/>
      <x:c r="CFF66" s="293"/>
      <x:c r="CFG66" s="293"/>
      <x:c r="CFH66" s="293"/>
      <x:c r="CFI66" s="293"/>
      <x:c r="CFJ66" s="293"/>
      <x:c r="CFK66" s="293"/>
      <x:c r="CFL66" s="293"/>
      <x:c r="CFM66" s="293"/>
      <x:c r="CFN66" s="293"/>
      <x:c r="CFO66" s="293"/>
      <x:c r="CFP66" s="293"/>
      <x:c r="CFQ66" s="293"/>
      <x:c r="CFR66" s="293"/>
      <x:c r="CFS66" s="293"/>
      <x:c r="CFT66" s="293"/>
      <x:c r="CFU66" s="293"/>
      <x:c r="CFV66" s="293"/>
      <x:c r="CFW66" s="293"/>
      <x:c r="CFX66" s="293"/>
      <x:c r="CFY66" s="293"/>
      <x:c r="CFZ66" s="293"/>
      <x:c r="CGA66" s="293"/>
      <x:c r="CGB66" s="293"/>
      <x:c r="CGC66" s="293"/>
      <x:c r="CGD66" s="293"/>
      <x:c r="CGE66" s="293"/>
      <x:c r="CGF66" s="293"/>
      <x:c r="CGG66" s="293"/>
      <x:c r="CGH66" s="293"/>
      <x:c r="CGI66" s="293"/>
      <x:c r="CGJ66" s="293"/>
      <x:c r="CGK66" s="293"/>
      <x:c r="CGL66" s="293"/>
      <x:c r="CGM66" s="293"/>
      <x:c r="CGN66" s="293"/>
      <x:c r="CGO66" s="293"/>
      <x:c r="CGP66" s="293"/>
      <x:c r="CGQ66" s="293"/>
      <x:c r="CGR66" s="293"/>
      <x:c r="CGS66" s="293"/>
      <x:c r="CGT66" s="293"/>
      <x:c r="CGU66" s="293"/>
      <x:c r="CGV66" s="293"/>
      <x:c r="CGW66" s="293"/>
      <x:c r="CGX66" s="293"/>
      <x:c r="CGY66" s="293"/>
      <x:c r="CGZ66" s="293"/>
      <x:c r="CHA66" s="293"/>
      <x:c r="CHB66" s="293"/>
      <x:c r="CHC66" s="293"/>
      <x:c r="CHD66" s="293"/>
      <x:c r="CHE66" s="293"/>
      <x:c r="CHF66" s="293"/>
      <x:c r="CHG66" s="293"/>
      <x:c r="CHH66" s="293"/>
      <x:c r="CHI66" s="293"/>
      <x:c r="CHJ66" s="293"/>
      <x:c r="CHK66" s="293"/>
      <x:c r="CHL66" s="293"/>
      <x:c r="CHM66" s="293"/>
      <x:c r="CHN66" s="293"/>
      <x:c r="CHO66" s="293"/>
      <x:c r="CHP66" s="293"/>
      <x:c r="CHQ66" s="293"/>
      <x:c r="CHR66" s="293"/>
      <x:c r="CHS66" s="293"/>
      <x:c r="CHT66" s="293"/>
      <x:c r="CHU66" s="293"/>
      <x:c r="CHV66" s="293"/>
      <x:c r="CHW66" s="293"/>
      <x:c r="CHX66" s="293"/>
      <x:c r="CHY66" s="293"/>
      <x:c r="CHZ66" s="293"/>
      <x:c r="CIA66" s="293"/>
      <x:c r="CIB66" s="293"/>
      <x:c r="CIC66" s="293"/>
      <x:c r="CID66" s="293"/>
      <x:c r="CIE66" s="293"/>
      <x:c r="CIF66" s="293"/>
      <x:c r="CIG66" s="293"/>
      <x:c r="CIH66" s="293"/>
      <x:c r="CII66" s="293"/>
      <x:c r="CIJ66" s="293"/>
      <x:c r="CIK66" s="293"/>
      <x:c r="CIL66" s="293"/>
      <x:c r="CIM66" s="293"/>
      <x:c r="CIN66" s="293"/>
      <x:c r="CIO66" s="293"/>
      <x:c r="CIP66" s="293"/>
      <x:c r="CIQ66" s="293"/>
      <x:c r="CIR66" s="293"/>
      <x:c r="CIS66" s="293"/>
      <x:c r="CIT66" s="293"/>
      <x:c r="CIU66" s="293"/>
      <x:c r="CIV66" s="293"/>
      <x:c r="CIW66" s="293"/>
      <x:c r="CIX66" s="293"/>
      <x:c r="CIY66" s="293"/>
      <x:c r="CIZ66" s="293"/>
      <x:c r="CJA66" s="293"/>
      <x:c r="CJB66" s="293"/>
      <x:c r="CJC66" s="293"/>
      <x:c r="CJD66" s="293"/>
      <x:c r="CJE66" s="293"/>
      <x:c r="CJF66" s="293"/>
      <x:c r="CJG66" s="293"/>
      <x:c r="CJH66" s="293"/>
      <x:c r="CJI66" s="293"/>
      <x:c r="CJJ66" s="293"/>
      <x:c r="CJK66" s="293"/>
      <x:c r="CJL66" s="293"/>
      <x:c r="CJM66" s="293"/>
      <x:c r="CJN66" s="293"/>
      <x:c r="CJO66" s="293"/>
      <x:c r="CJP66" s="293"/>
      <x:c r="CJQ66" s="293"/>
      <x:c r="CJR66" s="293"/>
      <x:c r="CJS66" s="293"/>
      <x:c r="CJT66" s="293"/>
      <x:c r="CJU66" s="293"/>
      <x:c r="CJV66" s="293"/>
      <x:c r="CJW66" s="293"/>
      <x:c r="CJX66" s="293"/>
      <x:c r="CJY66" s="293"/>
      <x:c r="CJZ66" s="293"/>
      <x:c r="CKA66" s="293"/>
      <x:c r="CKB66" s="293"/>
      <x:c r="CKC66" s="293"/>
      <x:c r="CKD66" s="293"/>
      <x:c r="CKE66" s="293"/>
      <x:c r="CKF66" s="293"/>
      <x:c r="CKG66" s="293"/>
      <x:c r="CKH66" s="293"/>
      <x:c r="CKI66" s="293"/>
      <x:c r="CKJ66" s="293"/>
      <x:c r="CKK66" s="293"/>
      <x:c r="CKL66" s="293"/>
      <x:c r="CKM66" s="293"/>
      <x:c r="CKN66" s="293"/>
      <x:c r="CKO66" s="293"/>
      <x:c r="CKP66" s="293"/>
      <x:c r="CKQ66" s="293"/>
      <x:c r="CKR66" s="293"/>
      <x:c r="CKS66" s="293"/>
      <x:c r="CKT66" s="293"/>
      <x:c r="CKU66" s="293"/>
      <x:c r="CKV66" s="293"/>
      <x:c r="CKW66" s="293"/>
      <x:c r="CKX66" s="293"/>
      <x:c r="CKY66" s="293"/>
      <x:c r="CKZ66" s="293"/>
      <x:c r="CLA66" s="293"/>
      <x:c r="CLB66" s="293"/>
      <x:c r="CLC66" s="293"/>
      <x:c r="CLD66" s="293"/>
      <x:c r="CLE66" s="293"/>
      <x:c r="CLF66" s="293"/>
      <x:c r="CLG66" s="293"/>
      <x:c r="CLH66" s="293"/>
      <x:c r="CLI66" s="293"/>
      <x:c r="CLJ66" s="293"/>
      <x:c r="CLK66" s="293"/>
      <x:c r="CLL66" s="293"/>
      <x:c r="CLM66" s="293"/>
      <x:c r="CLN66" s="293"/>
      <x:c r="CLO66" s="293"/>
      <x:c r="CLP66" s="293"/>
      <x:c r="CLQ66" s="293"/>
      <x:c r="CLR66" s="293"/>
      <x:c r="CLS66" s="293"/>
      <x:c r="CLT66" s="293"/>
      <x:c r="CLU66" s="293"/>
      <x:c r="CLV66" s="293"/>
      <x:c r="CLW66" s="293"/>
      <x:c r="CLX66" s="293"/>
      <x:c r="CLY66" s="293"/>
      <x:c r="CLZ66" s="293"/>
      <x:c r="CMA66" s="293"/>
      <x:c r="CMB66" s="293"/>
      <x:c r="CMC66" s="293"/>
      <x:c r="CMD66" s="293"/>
      <x:c r="CME66" s="293"/>
      <x:c r="CMF66" s="293"/>
      <x:c r="CMG66" s="293"/>
      <x:c r="CMH66" s="293"/>
      <x:c r="CMI66" s="293"/>
      <x:c r="CMJ66" s="293"/>
      <x:c r="CMK66" s="293"/>
      <x:c r="CML66" s="293"/>
      <x:c r="CMM66" s="293"/>
      <x:c r="CMN66" s="293"/>
      <x:c r="CMO66" s="293"/>
      <x:c r="CMP66" s="293"/>
      <x:c r="CMQ66" s="293"/>
      <x:c r="CMR66" s="293"/>
      <x:c r="CMS66" s="293"/>
      <x:c r="CMT66" s="293"/>
      <x:c r="CMU66" s="293"/>
      <x:c r="CMV66" s="293"/>
      <x:c r="CMW66" s="293"/>
      <x:c r="CMX66" s="293"/>
      <x:c r="CMY66" s="293"/>
      <x:c r="CMZ66" s="293"/>
      <x:c r="CNA66" s="293"/>
      <x:c r="CNB66" s="293"/>
      <x:c r="CNC66" s="293"/>
      <x:c r="CND66" s="293"/>
      <x:c r="CNE66" s="293"/>
      <x:c r="CNF66" s="293"/>
      <x:c r="CNG66" s="293"/>
      <x:c r="CNH66" s="293"/>
      <x:c r="CNI66" s="293"/>
      <x:c r="CNJ66" s="293"/>
      <x:c r="CNK66" s="293"/>
      <x:c r="CNL66" s="293"/>
      <x:c r="CNM66" s="293"/>
      <x:c r="CNN66" s="293"/>
      <x:c r="CNO66" s="293"/>
      <x:c r="CNP66" s="293"/>
      <x:c r="CNQ66" s="293"/>
      <x:c r="CNR66" s="293"/>
      <x:c r="CNS66" s="293"/>
      <x:c r="CNT66" s="293"/>
      <x:c r="CNU66" s="293"/>
      <x:c r="CNV66" s="293"/>
      <x:c r="CNW66" s="293"/>
      <x:c r="CNX66" s="293"/>
      <x:c r="CNY66" s="293"/>
      <x:c r="CNZ66" s="293"/>
      <x:c r="COA66" s="293"/>
      <x:c r="COB66" s="293"/>
      <x:c r="COC66" s="293"/>
      <x:c r="COD66" s="293"/>
      <x:c r="COE66" s="293"/>
      <x:c r="COF66" s="293"/>
      <x:c r="COG66" s="293"/>
      <x:c r="COH66" s="293"/>
      <x:c r="COI66" s="293"/>
      <x:c r="COJ66" s="293"/>
      <x:c r="COK66" s="293"/>
      <x:c r="COL66" s="293"/>
      <x:c r="COM66" s="293"/>
      <x:c r="CON66" s="293"/>
      <x:c r="COO66" s="293"/>
      <x:c r="COP66" s="293"/>
      <x:c r="COQ66" s="293"/>
      <x:c r="COR66" s="293"/>
      <x:c r="COS66" s="293"/>
      <x:c r="COT66" s="293"/>
      <x:c r="COU66" s="293"/>
      <x:c r="COV66" s="293"/>
      <x:c r="COW66" s="293"/>
      <x:c r="COX66" s="293"/>
      <x:c r="COY66" s="293"/>
      <x:c r="COZ66" s="293"/>
      <x:c r="CPA66" s="293"/>
      <x:c r="CPB66" s="293"/>
      <x:c r="CPC66" s="293"/>
      <x:c r="CPD66" s="293"/>
      <x:c r="CPE66" s="293"/>
      <x:c r="CPF66" s="293"/>
      <x:c r="CPG66" s="293"/>
      <x:c r="CPH66" s="293"/>
      <x:c r="CPI66" s="293"/>
      <x:c r="CPJ66" s="293"/>
      <x:c r="CPK66" s="293"/>
      <x:c r="CPL66" s="293"/>
      <x:c r="CPM66" s="293"/>
      <x:c r="CPN66" s="293"/>
      <x:c r="CPO66" s="293"/>
      <x:c r="CPP66" s="293"/>
      <x:c r="CPQ66" s="293"/>
      <x:c r="CPR66" s="293"/>
      <x:c r="CPS66" s="293"/>
      <x:c r="CPT66" s="293"/>
      <x:c r="CPU66" s="293"/>
      <x:c r="CPV66" s="293"/>
      <x:c r="CPW66" s="293"/>
      <x:c r="CPX66" s="293"/>
      <x:c r="CPY66" s="293"/>
      <x:c r="CPZ66" s="293"/>
      <x:c r="CQA66" s="293"/>
      <x:c r="CQB66" s="293"/>
      <x:c r="CQC66" s="293"/>
      <x:c r="CQD66" s="293"/>
      <x:c r="CQE66" s="293"/>
      <x:c r="CQF66" s="293"/>
      <x:c r="CQG66" s="293"/>
      <x:c r="CQH66" s="293"/>
      <x:c r="CQI66" s="293"/>
      <x:c r="CQJ66" s="293"/>
      <x:c r="CQK66" s="293"/>
      <x:c r="CQL66" s="293"/>
      <x:c r="CQM66" s="293"/>
      <x:c r="CQN66" s="293"/>
      <x:c r="CQO66" s="293"/>
      <x:c r="CQP66" s="293"/>
      <x:c r="CQQ66" s="293"/>
      <x:c r="CQR66" s="293"/>
      <x:c r="CQS66" s="293"/>
      <x:c r="CQT66" s="293"/>
      <x:c r="CQU66" s="293"/>
      <x:c r="CQV66" s="293"/>
      <x:c r="CQW66" s="293"/>
      <x:c r="CQX66" s="293"/>
      <x:c r="CQY66" s="293"/>
      <x:c r="CQZ66" s="293"/>
      <x:c r="CRA66" s="293"/>
      <x:c r="CRB66" s="293"/>
      <x:c r="CRC66" s="293"/>
      <x:c r="CRD66" s="293"/>
      <x:c r="CRE66" s="293"/>
      <x:c r="CRF66" s="293"/>
      <x:c r="CRG66" s="293"/>
      <x:c r="CRH66" s="293"/>
      <x:c r="CRI66" s="293"/>
      <x:c r="CRJ66" s="293"/>
      <x:c r="CRK66" s="293"/>
      <x:c r="CRL66" s="293"/>
      <x:c r="CRM66" s="293"/>
      <x:c r="CRN66" s="293"/>
      <x:c r="CRO66" s="293"/>
      <x:c r="CRP66" s="293"/>
      <x:c r="CRQ66" s="293"/>
      <x:c r="CRR66" s="293"/>
      <x:c r="CRS66" s="293"/>
      <x:c r="CRT66" s="293"/>
      <x:c r="CRU66" s="293"/>
      <x:c r="CRV66" s="293"/>
      <x:c r="CRW66" s="293"/>
      <x:c r="CRX66" s="293"/>
      <x:c r="CRY66" s="293"/>
      <x:c r="CRZ66" s="293"/>
      <x:c r="CSA66" s="293"/>
      <x:c r="CSB66" s="293"/>
      <x:c r="CSC66" s="293"/>
      <x:c r="CSD66" s="293"/>
      <x:c r="CSE66" s="293"/>
      <x:c r="CSF66" s="293"/>
      <x:c r="CSG66" s="293"/>
      <x:c r="CSH66" s="293"/>
      <x:c r="CSI66" s="293"/>
      <x:c r="CSJ66" s="293"/>
      <x:c r="CSK66" s="293"/>
      <x:c r="CSL66" s="293"/>
      <x:c r="CSM66" s="293"/>
      <x:c r="CSN66" s="293"/>
      <x:c r="CSO66" s="293"/>
      <x:c r="CSP66" s="293"/>
      <x:c r="CSQ66" s="293"/>
      <x:c r="CSR66" s="293"/>
      <x:c r="CSS66" s="293"/>
      <x:c r="CST66" s="293"/>
      <x:c r="CSU66" s="293"/>
      <x:c r="CSV66" s="293"/>
      <x:c r="CSW66" s="293"/>
      <x:c r="CSX66" s="293"/>
      <x:c r="CSY66" s="293"/>
      <x:c r="CSZ66" s="293"/>
      <x:c r="CTA66" s="293"/>
      <x:c r="CTB66" s="293"/>
      <x:c r="CTC66" s="293"/>
      <x:c r="CTD66" s="293"/>
      <x:c r="CTE66" s="293"/>
      <x:c r="CTF66" s="293"/>
      <x:c r="CTG66" s="293"/>
      <x:c r="CTH66" s="293"/>
      <x:c r="CTI66" s="293"/>
      <x:c r="CTJ66" s="293"/>
      <x:c r="CTK66" s="293"/>
      <x:c r="CTL66" s="293"/>
      <x:c r="CTM66" s="293"/>
      <x:c r="CTN66" s="293"/>
      <x:c r="CTO66" s="293"/>
      <x:c r="CTP66" s="293"/>
      <x:c r="CTQ66" s="293"/>
      <x:c r="CTR66" s="293"/>
      <x:c r="CTS66" s="293"/>
      <x:c r="CTT66" s="293"/>
      <x:c r="CTU66" s="293"/>
      <x:c r="CTV66" s="293"/>
      <x:c r="CTW66" s="293"/>
      <x:c r="CTX66" s="293"/>
      <x:c r="CTY66" s="293"/>
      <x:c r="CTZ66" s="293"/>
      <x:c r="CUA66" s="293"/>
      <x:c r="CUB66" s="293"/>
      <x:c r="CUC66" s="293"/>
      <x:c r="CUD66" s="293"/>
      <x:c r="CUE66" s="293"/>
      <x:c r="CUF66" s="293"/>
      <x:c r="CUG66" s="293"/>
      <x:c r="CUH66" s="293"/>
      <x:c r="CUI66" s="293"/>
      <x:c r="CUJ66" s="293"/>
      <x:c r="CUK66" s="293"/>
      <x:c r="CUL66" s="293"/>
      <x:c r="CUM66" s="293"/>
      <x:c r="CUN66" s="293"/>
      <x:c r="CUO66" s="293"/>
      <x:c r="CUP66" s="293"/>
      <x:c r="CUQ66" s="293"/>
      <x:c r="CUR66" s="293"/>
      <x:c r="CUS66" s="293"/>
      <x:c r="CUT66" s="293"/>
      <x:c r="CUU66" s="293"/>
      <x:c r="CUV66" s="293"/>
      <x:c r="CUW66" s="293"/>
      <x:c r="CUX66" s="293"/>
      <x:c r="CUY66" s="293"/>
      <x:c r="CUZ66" s="293"/>
      <x:c r="CVA66" s="293"/>
      <x:c r="CVB66" s="293"/>
      <x:c r="CVC66" s="293"/>
      <x:c r="CVD66" s="293"/>
      <x:c r="CVE66" s="293"/>
      <x:c r="CVF66" s="293"/>
      <x:c r="CVG66" s="293"/>
      <x:c r="CVH66" s="293"/>
      <x:c r="CVI66" s="293"/>
      <x:c r="CVJ66" s="293"/>
      <x:c r="CVK66" s="293"/>
      <x:c r="CVL66" s="293"/>
      <x:c r="CVM66" s="293"/>
      <x:c r="CVN66" s="293"/>
      <x:c r="CVO66" s="293"/>
      <x:c r="CVP66" s="293"/>
      <x:c r="CVQ66" s="293"/>
      <x:c r="CVR66" s="293"/>
      <x:c r="CVS66" s="293"/>
      <x:c r="CVT66" s="293"/>
      <x:c r="CVU66" s="293"/>
      <x:c r="CVV66" s="293"/>
      <x:c r="CVW66" s="293"/>
      <x:c r="CVX66" s="293"/>
      <x:c r="CVY66" s="293"/>
      <x:c r="CVZ66" s="293"/>
      <x:c r="CWA66" s="293"/>
      <x:c r="CWB66" s="293"/>
      <x:c r="CWC66" s="293"/>
      <x:c r="CWD66" s="293"/>
      <x:c r="CWE66" s="293"/>
      <x:c r="CWF66" s="293"/>
      <x:c r="CWG66" s="293"/>
      <x:c r="CWH66" s="293"/>
      <x:c r="CWI66" s="293"/>
      <x:c r="CWJ66" s="293"/>
      <x:c r="CWK66" s="293"/>
      <x:c r="CWL66" s="293"/>
      <x:c r="CWM66" s="293"/>
      <x:c r="CWN66" s="293"/>
      <x:c r="CWO66" s="293"/>
      <x:c r="CWP66" s="293"/>
      <x:c r="CWQ66" s="293"/>
      <x:c r="CWR66" s="293"/>
      <x:c r="CWS66" s="293"/>
      <x:c r="CWT66" s="293"/>
      <x:c r="CWU66" s="293"/>
      <x:c r="CWV66" s="293"/>
      <x:c r="CWW66" s="293"/>
      <x:c r="CWX66" s="293"/>
      <x:c r="CWY66" s="293"/>
      <x:c r="CWZ66" s="293"/>
      <x:c r="CXA66" s="293"/>
      <x:c r="CXB66" s="293"/>
      <x:c r="CXC66" s="293"/>
      <x:c r="CXD66" s="293"/>
      <x:c r="CXE66" s="293"/>
      <x:c r="CXF66" s="293"/>
      <x:c r="CXG66" s="293"/>
      <x:c r="CXH66" s="293"/>
      <x:c r="CXI66" s="293"/>
      <x:c r="CXJ66" s="293"/>
      <x:c r="CXK66" s="293"/>
      <x:c r="CXL66" s="293"/>
      <x:c r="CXM66" s="293"/>
      <x:c r="CXN66" s="293"/>
      <x:c r="CXO66" s="293"/>
      <x:c r="CXP66" s="293"/>
      <x:c r="CXQ66" s="293"/>
      <x:c r="CXR66" s="293"/>
      <x:c r="CXS66" s="293"/>
      <x:c r="CXT66" s="293"/>
      <x:c r="CXU66" s="293"/>
      <x:c r="CXV66" s="293"/>
      <x:c r="CXW66" s="293"/>
      <x:c r="CXX66" s="293"/>
      <x:c r="CXY66" s="293"/>
      <x:c r="CXZ66" s="293"/>
      <x:c r="CYA66" s="293"/>
      <x:c r="CYB66" s="293"/>
      <x:c r="CYC66" s="293"/>
      <x:c r="CYD66" s="293"/>
      <x:c r="CYE66" s="293"/>
      <x:c r="CYF66" s="293"/>
      <x:c r="CYG66" s="293"/>
      <x:c r="CYH66" s="293"/>
      <x:c r="CYI66" s="293"/>
      <x:c r="CYJ66" s="293"/>
      <x:c r="CYK66" s="293"/>
      <x:c r="CYL66" s="293"/>
      <x:c r="CYM66" s="293"/>
      <x:c r="CYN66" s="293"/>
      <x:c r="CYO66" s="293"/>
      <x:c r="CYP66" s="293"/>
      <x:c r="CYQ66" s="293"/>
      <x:c r="CYR66" s="293"/>
      <x:c r="CYS66" s="293"/>
      <x:c r="CYT66" s="293"/>
      <x:c r="CYU66" s="293"/>
      <x:c r="CYV66" s="293"/>
      <x:c r="CYW66" s="293"/>
      <x:c r="CYX66" s="293"/>
      <x:c r="CYY66" s="293"/>
      <x:c r="CYZ66" s="293"/>
      <x:c r="CZA66" s="293"/>
      <x:c r="CZB66" s="293"/>
      <x:c r="CZC66" s="293"/>
      <x:c r="CZD66" s="293"/>
      <x:c r="CZE66" s="293"/>
      <x:c r="CZF66" s="293"/>
      <x:c r="CZG66" s="293"/>
      <x:c r="CZH66" s="293"/>
      <x:c r="CZI66" s="293"/>
      <x:c r="CZJ66" s="293"/>
      <x:c r="CZK66" s="293"/>
      <x:c r="CZL66" s="293"/>
      <x:c r="CZM66" s="293"/>
      <x:c r="CZN66" s="293"/>
      <x:c r="CZO66" s="293"/>
      <x:c r="CZP66" s="293"/>
      <x:c r="CZQ66" s="293"/>
      <x:c r="CZR66" s="293"/>
      <x:c r="CZS66" s="293"/>
      <x:c r="CZT66" s="293"/>
      <x:c r="CZU66" s="293"/>
      <x:c r="CZV66" s="293"/>
      <x:c r="CZW66" s="293"/>
      <x:c r="CZX66" s="293"/>
      <x:c r="CZY66" s="293"/>
      <x:c r="CZZ66" s="293"/>
      <x:c r="DAA66" s="293"/>
      <x:c r="DAB66" s="293"/>
      <x:c r="DAC66" s="293"/>
      <x:c r="DAD66" s="293"/>
      <x:c r="DAE66" s="293"/>
      <x:c r="DAF66" s="293"/>
      <x:c r="DAG66" s="293"/>
      <x:c r="DAH66" s="293"/>
      <x:c r="DAI66" s="293"/>
      <x:c r="DAJ66" s="293"/>
      <x:c r="DAK66" s="293"/>
      <x:c r="DAL66" s="293"/>
      <x:c r="DAM66" s="293"/>
      <x:c r="DAN66" s="293"/>
      <x:c r="DAO66" s="293"/>
      <x:c r="DAP66" s="293"/>
      <x:c r="DAQ66" s="293"/>
      <x:c r="DAR66" s="293"/>
      <x:c r="DAS66" s="293"/>
      <x:c r="DAT66" s="293"/>
      <x:c r="DAU66" s="293"/>
      <x:c r="DAV66" s="293"/>
      <x:c r="DAW66" s="293"/>
      <x:c r="DAX66" s="293"/>
      <x:c r="DAY66" s="293"/>
      <x:c r="DAZ66" s="293"/>
      <x:c r="DBA66" s="293"/>
      <x:c r="DBB66" s="293"/>
      <x:c r="DBC66" s="293"/>
      <x:c r="DBD66" s="293"/>
      <x:c r="DBE66" s="293"/>
      <x:c r="DBF66" s="293"/>
      <x:c r="DBG66" s="293"/>
      <x:c r="DBH66" s="293"/>
      <x:c r="DBI66" s="293"/>
      <x:c r="DBJ66" s="293"/>
      <x:c r="DBK66" s="293"/>
      <x:c r="DBL66" s="293"/>
      <x:c r="DBM66" s="293"/>
      <x:c r="DBN66" s="293"/>
      <x:c r="DBO66" s="293"/>
      <x:c r="DBP66" s="293"/>
      <x:c r="DBQ66" s="293"/>
      <x:c r="DBR66" s="293"/>
      <x:c r="DBS66" s="293"/>
      <x:c r="DBT66" s="293"/>
      <x:c r="DBU66" s="293"/>
      <x:c r="DBV66" s="293"/>
      <x:c r="DBW66" s="293"/>
      <x:c r="DBX66" s="293"/>
      <x:c r="DBY66" s="293"/>
      <x:c r="DBZ66" s="293"/>
      <x:c r="DCA66" s="293"/>
      <x:c r="DCB66" s="293"/>
      <x:c r="DCC66" s="293"/>
      <x:c r="DCD66" s="293"/>
      <x:c r="DCE66" s="293"/>
      <x:c r="DCF66" s="293"/>
      <x:c r="DCG66" s="293"/>
      <x:c r="DCH66" s="293"/>
      <x:c r="DCI66" s="293"/>
      <x:c r="DCJ66" s="293"/>
      <x:c r="DCK66" s="293"/>
      <x:c r="DCL66" s="293"/>
      <x:c r="DCM66" s="293"/>
      <x:c r="DCN66" s="293"/>
      <x:c r="DCO66" s="293"/>
      <x:c r="DCP66" s="293"/>
      <x:c r="DCQ66" s="293"/>
      <x:c r="DCR66" s="293"/>
      <x:c r="DCS66" s="293"/>
      <x:c r="DCT66" s="293"/>
      <x:c r="DCU66" s="293"/>
      <x:c r="DCV66" s="293"/>
      <x:c r="DCW66" s="293"/>
      <x:c r="DCX66" s="293"/>
      <x:c r="DCY66" s="293"/>
      <x:c r="DCZ66" s="293"/>
      <x:c r="DDA66" s="293"/>
      <x:c r="DDB66" s="293"/>
      <x:c r="DDC66" s="293"/>
      <x:c r="DDD66" s="293"/>
      <x:c r="DDE66" s="293"/>
      <x:c r="DDF66" s="293"/>
      <x:c r="DDG66" s="293"/>
      <x:c r="DDH66" s="293"/>
      <x:c r="DDI66" s="293"/>
      <x:c r="DDJ66" s="293"/>
      <x:c r="DDK66" s="293"/>
      <x:c r="DDL66" s="293"/>
      <x:c r="DDM66" s="293"/>
      <x:c r="DDN66" s="293"/>
      <x:c r="DDO66" s="293"/>
      <x:c r="DDP66" s="293"/>
      <x:c r="DDQ66" s="293"/>
      <x:c r="DDR66" s="293"/>
      <x:c r="DDS66" s="293"/>
      <x:c r="DDT66" s="293"/>
      <x:c r="DDU66" s="293"/>
      <x:c r="DDV66" s="293"/>
      <x:c r="DDW66" s="293"/>
      <x:c r="DDX66" s="293"/>
      <x:c r="DDY66" s="293"/>
      <x:c r="DDZ66" s="293"/>
      <x:c r="DEA66" s="293"/>
      <x:c r="DEB66" s="293"/>
      <x:c r="DEC66" s="293"/>
      <x:c r="DED66" s="293"/>
      <x:c r="DEE66" s="293"/>
      <x:c r="DEF66" s="293"/>
      <x:c r="DEG66" s="293"/>
      <x:c r="DEH66" s="293"/>
      <x:c r="DEI66" s="293"/>
      <x:c r="DEJ66" s="293"/>
      <x:c r="DEK66" s="293"/>
      <x:c r="DEL66" s="293"/>
      <x:c r="DEM66" s="293"/>
      <x:c r="DEN66" s="293"/>
      <x:c r="DEO66" s="293"/>
      <x:c r="DEP66" s="293"/>
      <x:c r="DEQ66" s="293"/>
      <x:c r="DER66" s="293"/>
      <x:c r="DES66" s="293"/>
      <x:c r="DET66" s="293"/>
      <x:c r="DEU66" s="293"/>
      <x:c r="DEV66" s="293"/>
      <x:c r="DEW66" s="293"/>
      <x:c r="DEX66" s="293"/>
      <x:c r="DEY66" s="293"/>
      <x:c r="DEZ66" s="293"/>
      <x:c r="DFA66" s="293"/>
      <x:c r="DFB66" s="293"/>
      <x:c r="DFC66" s="293"/>
      <x:c r="DFD66" s="293"/>
      <x:c r="DFE66" s="293"/>
      <x:c r="DFF66" s="293"/>
      <x:c r="DFG66" s="293"/>
      <x:c r="DFH66" s="293"/>
      <x:c r="DFI66" s="293"/>
      <x:c r="DFJ66" s="293"/>
      <x:c r="DFK66" s="293"/>
      <x:c r="DFL66" s="293"/>
      <x:c r="DFM66" s="293"/>
      <x:c r="DFN66" s="293"/>
      <x:c r="DFO66" s="293"/>
      <x:c r="DFP66" s="293"/>
      <x:c r="DFQ66" s="293"/>
      <x:c r="DFR66" s="293"/>
      <x:c r="DFS66" s="293"/>
      <x:c r="DFT66" s="293"/>
      <x:c r="DFU66" s="293"/>
      <x:c r="DFV66" s="293"/>
      <x:c r="DFW66" s="293"/>
      <x:c r="DFX66" s="293"/>
      <x:c r="DFY66" s="293"/>
      <x:c r="DFZ66" s="293"/>
      <x:c r="DGA66" s="293"/>
      <x:c r="DGB66" s="293"/>
      <x:c r="DGC66" s="293"/>
      <x:c r="DGD66" s="293"/>
      <x:c r="DGE66" s="293"/>
      <x:c r="DGF66" s="293"/>
      <x:c r="DGG66" s="293"/>
      <x:c r="DGH66" s="293"/>
      <x:c r="DGI66" s="293"/>
      <x:c r="DGJ66" s="293"/>
      <x:c r="DGK66" s="293"/>
      <x:c r="DGL66" s="293"/>
      <x:c r="DGM66" s="293"/>
      <x:c r="DGN66" s="293"/>
      <x:c r="DGO66" s="293"/>
      <x:c r="DGP66" s="293"/>
      <x:c r="DGQ66" s="293"/>
      <x:c r="DGR66" s="293"/>
      <x:c r="DGS66" s="293"/>
      <x:c r="DGT66" s="293"/>
      <x:c r="DGU66" s="293"/>
      <x:c r="DGV66" s="293"/>
      <x:c r="DGW66" s="293"/>
      <x:c r="DGX66" s="293"/>
      <x:c r="DGY66" s="293"/>
      <x:c r="DGZ66" s="293"/>
      <x:c r="DHA66" s="293"/>
      <x:c r="DHB66" s="293"/>
      <x:c r="DHC66" s="293"/>
      <x:c r="DHD66" s="293"/>
      <x:c r="DHE66" s="293"/>
      <x:c r="DHF66" s="293"/>
      <x:c r="DHG66" s="293"/>
      <x:c r="DHH66" s="293"/>
      <x:c r="DHI66" s="293"/>
      <x:c r="DHJ66" s="293"/>
      <x:c r="DHK66" s="293"/>
      <x:c r="DHL66" s="293"/>
      <x:c r="DHM66" s="293"/>
      <x:c r="DHN66" s="293"/>
      <x:c r="DHO66" s="293"/>
      <x:c r="DHP66" s="293"/>
      <x:c r="DHQ66" s="293"/>
      <x:c r="DHR66" s="293"/>
      <x:c r="DHS66" s="293"/>
      <x:c r="DHT66" s="293"/>
      <x:c r="DHU66" s="293"/>
      <x:c r="DHV66" s="293"/>
      <x:c r="DHW66" s="293"/>
      <x:c r="DHX66" s="293"/>
      <x:c r="DHY66" s="293"/>
      <x:c r="DHZ66" s="293"/>
      <x:c r="DIA66" s="293"/>
      <x:c r="DIB66" s="293"/>
      <x:c r="DIC66" s="293"/>
      <x:c r="DID66" s="293"/>
      <x:c r="DIE66" s="293"/>
      <x:c r="DIF66" s="293"/>
      <x:c r="DIG66" s="293"/>
      <x:c r="DIH66" s="293"/>
      <x:c r="DII66" s="293"/>
      <x:c r="DIJ66" s="293"/>
      <x:c r="DIK66" s="293"/>
      <x:c r="DIL66" s="293"/>
      <x:c r="DIM66" s="293"/>
      <x:c r="DIN66" s="293"/>
      <x:c r="DIO66" s="293"/>
      <x:c r="DIP66" s="293"/>
      <x:c r="DIQ66" s="293"/>
      <x:c r="DIR66" s="293"/>
      <x:c r="DIS66" s="293"/>
      <x:c r="DIT66" s="293"/>
      <x:c r="DIU66" s="293"/>
      <x:c r="DIV66" s="293"/>
      <x:c r="DIW66" s="293"/>
      <x:c r="DIX66" s="293"/>
      <x:c r="DIY66" s="293"/>
      <x:c r="DIZ66" s="293"/>
      <x:c r="DJA66" s="293"/>
      <x:c r="DJB66" s="293"/>
      <x:c r="DJC66" s="293"/>
      <x:c r="DJD66" s="293"/>
      <x:c r="DJE66" s="293"/>
      <x:c r="DJF66" s="293"/>
      <x:c r="DJG66" s="293"/>
      <x:c r="DJH66" s="293"/>
      <x:c r="DJI66" s="293"/>
      <x:c r="DJJ66" s="293"/>
      <x:c r="DJK66" s="293"/>
      <x:c r="DJL66" s="293"/>
      <x:c r="DJM66" s="293"/>
      <x:c r="DJN66" s="293"/>
      <x:c r="DJO66" s="293"/>
      <x:c r="DJP66" s="293"/>
      <x:c r="DJQ66" s="293"/>
      <x:c r="DJR66" s="293"/>
      <x:c r="DJS66" s="293"/>
      <x:c r="DJT66" s="293"/>
      <x:c r="DJU66" s="293"/>
      <x:c r="DJV66" s="293"/>
      <x:c r="DJW66" s="293"/>
      <x:c r="DJX66" s="293"/>
      <x:c r="DJY66" s="293"/>
      <x:c r="DJZ66" s="293"/>
      <x:c r="DKA66" s="293"/>
      <x:c r="DKB66" s="293"/>
      <x:c r="DKC66" s="293"/>
      <x:c r="DKD66" s="293"/>
      <x:c r="DKE66" s="293"/>
      <x:c r="DKF66" s="293"/>
      <x:c r="DKG66" s="293"/>
      <x:c r="DKH66" s="293"/>
      <x:c r="DKI66" s="293"/>
      <x:c r="DKJ66" s="293"/>
      <x:c r="DKK66" s="293"/>
      <x:c r="DKL66" s="293"/>
      <x:c r="DKM66" s="293"/>
      <x:c r="DKN66" s="293"/>
      <x:c r="DKO66" s="293"/>
      <x:c r="DKP66" s="293"/>
      <x:c r="DKQ66" s="293"/>
      <x:c r="DKR66" s="293"/>
      <x:c r="DKS66" s="293"/>
      <x:c r="DKT66" s="293"/>
      <x:c r="DKU66" s="293"/>
      <x:c r="DKV66" s="293"/>
      <x:c r="DKW66" s="293"/>
      <x:c r="DKX66" s="293"/>
      <x:c r="DKY66" s="293"/>
      <x:c r="DKZ66" s="293"/>
      <x:c r="DLA66" s="293"/>
      <x:c r="DLB66" s="293"/>
      <x:c r="DLC66" s="293"/>
      <x:c r="DLD66" s="293"/>
      <x:c r="DLE66" s="293"/>
      <x:c r="DLF66" s="293"/>
      <x:c r="DLG66" s="293"/>
      <x:c r="DLH66" s="293"/>
      <x:c r="DLI66" s="293"/>
      <x:c r="DLJ66" s="293"/>
      <x:c r="DLK66" s="293"/>
      <x:c r="DLL66" s="293"/>
      <x:c r="DLM66" s="293"/>
      <x:c r="DLN66" s="293"/>
      <x:c r="DLO66" s="293"/>
      <x:c r="DLP66" s="293"/>
      <x:c r="DLQ66" s="293"/>
      <x:c r="DLR66" s="293"/>
      <x:c r="DLS66" s="293"/>
      <x:c r="DLT66" s="293"/>
      <x:c r="DLU66" s="293"/>
      <x:c r="DLV66" s="293"/>
      <x:c r="DLW66" s="293"/>
      <x:c r="DLX66" s="293"/>
      <x:c r="DLY66" s="293"/>
      <x:c r="DLZ66" s="293"/>
      <x:c r="DMA66" s="293"/>
      <x:c r="DMB66" s="293"/>
      <x:c r="DMC66" s="293"/>
      <x:c r="DMD66" s="293"/>
      <x:c r="DME66" s="293"/>
      <x:c r="DMF66" s="293"/>
      <x:c r="DMG66" s="293"/>
      <x:c r="DMH66" s="293"/>
      <x:c r="DMI66" s="293"/>
      <x:c r="DMJ66" s="293"/>
      <x:c r="DMK66" s="293"/>
      <x:c r="DML66" s="293"/>
      <x:c r="DMM66" s="293"/>
      <x:c r="DMN66" s="293"/>
      <x:c r="DMO66" s="293"/>
      <x:c r="DMP66" s="293"/>
      <x:c r="DMQ66" s="293"/>
      <x:c r="DMR66" s="293"/>
      <x:c r="DMS66" s="293"/>
      <x:c r="DMT66" s="293"/>
      <x:c r="DMU66" s="293"/>
      <x:c r="DMV66" s="293"/>
      <x:c r="DMW66" s="293"/>
      <x:c r="DMX66" s="293"/>
      <x:c r="DMY66" s="293"/>
      <x:c r="DMZ66" s="293"/>
      <x:c r="DNA66" s="293"/>
      <x:c r="DNB66" s="293"/>
      <x:c r="DNC66" s="293"/>
      <x:c r="DND66" s="293"/>
      <x:c r="DNE66" s="293"/>
      <x:c r="DNF66" s="293"/>
      <x:c r="DNG66" s="293"/>
      <x:c r="DNH66" s="293"/>
      <x:c r="DNI66" s="293"/>
      <x:c r="DNJ66" s="293"/>
      <x:c r="DNK66" s="293"/>
      <x:c r="DNL66" s="293"/>
      <x:c r="DNM66" s="293"/>
      <x:c r="DNN66" s="293"/>
      <x:c r="DNO66" s="293"/>
      <x:c r="DNP66" s="293"/>
      <x:c r="DNQ66" s="293"/>
      <x:c r="DNR66" s="293"/>
      <x:c r="DNS66" s="293"/>
      <x:c r="DNT66" s="293"/>
      <x:c r="DNU66" s="293"/>
      <x:c r="DNV66" s="293"/>
      <x:c r="DNW66" s="293"/>
      <x:c r="DNX66" s="293"/>
      <x:c r="DNY66" s="293"/>
      <x:c r="DNZ66" s="293"/>
      <x:c r="DOA66" s="293"/>
      <x:c r="DOB66" s="293"/>
      <x:c r="DOC66" s="293"/>
      <x:c r="DOD66" s="293"/>
      <x:c r="DOE66" s="293"/>
      <x:c r="DOF66" s="293"/>
      <x:c r="DOG66" s="293"/>
      <x:c r="DOH66" s="293"/>
      <x:c r="DOI66" s="293"/>
      <x:c r="DOJ66" s="293"/>
      <x:c r="DOK66" s="293"/>
      <x:c r="DOL66" s="293"/>
      <x:c r="DOM66" s="293"/>
      <x:c r="DON66" s="293"/>
      <x:c r="DOO66" s="293"/>
      <x:c r="DOP66" s="293"/>
      <x:c r="DOQ66" s="293"/>
      <x:c r="DOR66" s="293"/>
      <x:c r="DOS66" s="293"/>
      <x:c r="DOT66" s="293"/>
      <x:c r="DOU66" s="293"/>
      <x:c r="DOV66" s="293"/>
      <x:c r="DOW66" s="293"/>
      <x:c r="DOX66" s="293"/>
      <x:c r="DOY66" s="293"/>
      <x:c r="DOZ66" s="293"/>
      <x:c r="DPA66" s="293"/>
      <x:c r="DPB66" s="293"/>
      <x:c r="DPC66" s="293"/>
      <x:c r="DPD66" s="293"/>
      <x:c r="DPE66" s="293"/>
      <x:c r="DPF66" s="293"/>
      <x:c r="DPG66" s="293"/>
      <x:c r="DPH66" s="293"/>
      <x:c r="DPI66" s="293"/>
      <x:c r="DPJ66" s="293"/>
      <x:c r="DPK66" s="293"/>
      <x:c r="DPL66" s="293"/>
      <x:c r="DPM66" s="293"/>
      <x:c r="DPN66" s="293"/>
      <x:c r="DPO66" s="293"/>
      <x:c r="DPP66" s="293"/>
      <x:c r="DPQ66" s="293"/>
      <x:c r="DPR66" s="293"/>
      <x:c r="DPS66" s="293"/>
      <x:c r="DPT66" s="293"/>
      <x:c r="DPU66" s="293"/>
      <x:c r="DPV66" s="293"/>
      <x:c r="DPW66" s="293"/>
      <x:c r="DPX66" s="293"/>
      <x:c r="DPY66" s="293"/>
      <x:c r="DPZ66" s="293"/>
      <x:c r="DQA66" s="293"/>
      <x:c r="DQB66" s="293"/>
      <x:c r="DQC66" s="293"/>
      <x:c r="DQD66" s="293"/>
      <x:c r="DQE66" s="293"/>
      <x:c r="DQF66" s="293"/>
      <x:c r="DQG66" s="293"/>
      <x:c r="DQH66" s="293"/>
      <x:c r="DQI66" s="293"/>
      <x:c r="DQJ66" s="293"/>
      <x:c r="DQK66" s="293"/>
      <x:c r="DQL66" s="293"/>
      <x:c r="DQM66" s="293"/>
      <x:c r="DQN66" s="293"/>
      <x:c r="DQO66" s="293"/>
      <x:c r="DQP66" s="293"/>
      <x:c r="DQQ66" s="293"/>
      <x:c r="DQR66" s="293"/>
      <x:c r="DQS66" s="293"/>
      <x:c r="DQT66" s="293"/>
      <x:c r="DQU66" s="293"/>
      <x:c r="DQV66" s="293"/>
      <x:c r="DQW66" s="293"/>
      <x:c r="DQX66" s="293"/>
      <x:c r="DQY66" s="293"/>
      <x:c r="DQZ66" s="293"/>
      <x:c r="DRA66" s="293"/>
      <x:c r="DRB66" s="293"/>
      <x:c r="DRC66" s="293"/>
      <x:c r="DRD66" s="293"/>
      <x:c r="DRE66" s="293"/>
      <x:c r="DRF66" s="293"/>
      <x:c r="DRG66" s="293"/>
      <x:c r="DRH66" s="293"/>
      <x:c r="DRI66" s="293"/>
      <x:c r="DRJ66" s="293"/>
      <x:c r="DRK66" s="293"/>
      <x:c r="DRL66" s="293"/>
      <x:c r="DRM66" s="293"/>
      <x:c r="DRN66" s="293"/>
      <x:c r="DRO66" s="293"/>
      <x:c r="DRP66" s="293"/>
      <x:c r="DRQ66" s="293"/>
      <x:c r="DRR66" s="293"/>
      <x:c r="DRS66" s="293"/>
      <x:c r="DRT66" s="293"/>
      <x:c r="DRU66" s="293"/>
      <x:c r="DRV66" s="293"/>
      <x:c r="DRW66" s="293"/>
      <x:c r="DRX66" s="293"/>
      <x:c r="DRY66" s="293"/>
      <x:c r="DRZ66" s="293"/>
      <x:c r="DSA66" s="293"/>
      <x:c r="DSB66" s="293"/>
      <x:c r="DSC66" s="293"/>
      <x:c r="DSD66" s="293"/>
      <x:c r="DSE66" s="293"/>
      <x:c r="DSF66" s="293"/>
      <x:c r="DSG66" s="293"/>
      <x:c r="DSH66" s="293"/>
      <x:c r="DSI66" s="293"/>
      <x:c r="DSJ66" s="293"/>
      <x:c r="DSK66" s="293"/>
      <x:c r="DSL66" s="293"/>
      <x:c r="DSM66" s="293"/>
      <x:c r="DSN66" s="293"/>
      <x:c r="DSO66" s="293"/>
      <x:c r="DSP66" s="293"/>
      <x:c r="DSQ66" s="293"/>
      <x:c r="DSR66" s="293"/>
      <x:c r="DSS66" s="293"/>
      <x:c r="DST66" s="293"/>
      <x:c r="DSU66" s="293"/>
      <x:c r="DSV66" s="293"/>
      <x:c r="DSW66" s="293"/>
      <x:c r="DSX66" s="293"/>
      <x:c r="DSY66" s="293"/>
      <x:c r="DSZ66" s="293"/>
      <x:c r="DTA66" s="293"/>
      <x:c r="DTB66" s="293"/>
      <x:c r="DTC66" s="293"/>
      <x:c r="DTD66" s="293"/>
      <x:c r="DTE66" s="293"/>
      <x:c r="DTF66" s="293"/>
      <x:c r="DTG66" s="293"/>
      <x:c r="DTH66" s="293"/>
      <x:c r="DTI66" s="293"/>
      <x:c r="DTJ66" s="293"/>
      <x:c r="DTK66" s="293"/>
      <x:c r="DTL66" s="293"/>
      <x:c r="DTM66" s="293"/>
      <x:c r="DTN66" s="293"/>
      <x:c r="DTO66" s="293"/>
      <x:c r="DTP66" s="293"/>
      <x:c r="DTQ66" s="293"/>
      <x:c r="DTR66" s="293"/>
      <x:c r="DTS66" s="293"/>
      <x:c r="DTT66" s="293"/>
      <x:c r="DTU66" s="293"/>
      <x:c r="DTV66" s="293"/>
      <x:c r="DTW66" s="293"/>
      <x:c r="DTX66" s="293"/>
      <x:c r="DTY66" s="293"/>
      <x:c r="DTZ66" s="293"/>
      <x:c r="DUA66" s="293"/>
      <x:c r="DUB66" s="293"/>
      <x:c r="DUC66" s="293"/>
      <x:c r="DUD66" s="293"/>
      <x:c r="DUE66" s="293"/>
      <x:c r="DUF66" s="293"/>
      <x:c r="DUG66" s="293"/>
      <x:c r="DUH66" s="293"/>
      <x:c r="DUI66" s="293"/>
      <x:c r="DUJ66" s="293"/>
      <x:c r="DUK66" s="293"/>
      <x:c r="DUL66" s="293"/>
      <x:c r="DUM66" s="293"/>
      <x:c r="DUN66" s="293"/>
      <x:c r="DUO66" s="293"/>
      <x:c r="DUP66" s="293"/>
      <x:c r="DUQ66" s="293"/>
      <x:c r="DUR66" s="293"/>
      <x:c r="DUS66" s="293"/>
      <x:c r="DUT66" s="293"/>
      <x:c r="DUU66" s="293"/>
      <x:c r="DUV66" s="293"/>
      <x:c r="DUW66" s="293"/>
      <x:c r="DUX66" s="293"/>
      <x:c r="DUY66" s="293"/>
      <x:c r="DUZ66" s="293"/>
      <x:c r="DVA66" s="293"/>
      <x:c r="DVB66" s="293"/>
      <x:c r="DVC66" s="293"/>
      <x:c r="DVD66" s="293"/>
      <x:c r="DVE66" s="293"/>
      <x:c r="DVF66" s="293"/>
      <x:c r="DVG66" s="293"/>
      <x:c r="DVH66" s="293"/>
      <x:c r="DVI66" s="293"/>
      <x:c r="DVJ66" s="293"/>
      <x:c r="DVK66" s="293"/>
      <x:c r="DVL66" s="293"/>
      <x:c r="DVM66" s="293"/>
      <x:c r="DVN66" s="293"/>
      <x:c r="DVO66" s="293"/>
      <x:c r="DVP66" s="293"/>
      <x:c r="DVQ66" s="293"/>
      <x:c r="DVR66" s="293"/>
      <x:c r="DVS66" s="293"/>
      <x:c r="DVT66" s="293"/>
      <x:c r="DVU66" s="293"/>
      <x:c r="DVV66" s="293"/>
      <x:c r="DVW66" s="293"/>
      <x:c r="DVX66" s="293"/>
      <x:c r="DVY66" s="293"/>
      <x:c r="DVZ66" s="293"/>
      <x:c r="DWA66" s="293"/>
      <x:c r="DWB66" s="293"/>
      <x:c r="DWC66" s="293"/>
      <x:c r="DWD66" s="293"/>
      <x:c r="DWE66" s="293"/>
      <x:c r="DWF66" s="293"/>
      <x:c r="DWG66" s="293"/>
      <x:c r="DWH66" s="293"/>
      <x:c r="DWI66" s="293"/>
      <x:c r="DWJ66" s="293"/>
      <x:c r="DWK66" s="293"/>
      <x:c r="DWL66" s="293"/>
      <x:c r="DWM66" s="293"/>
      <x:c r="DWN66" s="293"/>
      <x:c r="DWO66" s="293"/>
      <x:c r="DWP66" s="293"/>
      <x:c r="DWQ66" s="293"/>
      <x:c r="DWR66" s="293"/>
      <x:c r="DWS66" s="293"/>
      <x:c r="DWT66" s="293"/>
      <x:c r="DWU66" s="293"/>
      <x:c r="DWV66" s="293"/>
      <x:c r="DWW66" s="293"/>
      <x:c r="DWX66" s="293"/>
      <x:c r="DWY66" s="293"/>
      <x:c r="DWZ66" s="293"/>
      <x:c r="DXA66" s="293"/>
      <x:c r="DXB66" s="293"/>
      <x:c r="DXC66" s="293"/>
      <x:c r="DXD66" s="293"/>
      <x:c r="DXE66" s="293"/>
      <x:c r="DXF66" s="293"/>
      <x:c r="DXG66" s="293"/>
      <x:c r="DXH66" s="293"/>
      <x:c r="DXI66" s="293"/>
      <x:c r="DXJ66" s="293"/>
      <x:c r="DXK66" s="293"/>
      <x:c r="DXL66" s="293"/>
      <x:c r="DXM66" s="293"/>
      <x:c r="DXN66" s="293"/>
      <x:c r="DXO66" s="293"/>
      <x:c r="DXP66" s="293"/>
      <x:c r="DXQ66" s="293"/>
      <x:c r="DXR66" s="293"/>
      <x:c r="DXS66" s="293"/>
      <x:c r="DXT66" s="293"/>
      <x:c r="DXU66" s="293"/>
      <x:c r="DXV66" s="293"/>
      <x:c r="DXW66" s="293"/>
      <x:c r="DXX66" s="293"/>
      <x:c r="DXY66" s="293"/>
      <x:c r="DXZ66" s="293"/>
      <x:c r="DYA66" s="293"/>
      <x:c r="DYB66" s="293"/>
      <x:c r="DYC66" s="293"/>
      <x:c r="DYD66" s="293"/>
      <x:c r="DYE66" s="293"/>
      <x:c r="DYF66" s="293"/>
      <x:c r="DYG66" s="293"/>
      <x:c r="DYH66" s="293"/>
      <x:c r="DYI66" s="293"/>
      <x:c r="DYJ66" s="293"/>
      <x:c r="DYK66" s="293"/>
      <x:c r="DYL66" s="293"/>
      <x:c r="DYM66" s="293"/>
      <x:c r="DYN66" s="293"/>
      <x:c r="DYO66" s="293"/>
      <x:c r="DYP66" s="293"/>
      <x:c r="DYQ66" s="293"/>
      <x:c r="DYR66" s="293"/>
      <x:c r="DYS66" s="293"/>
      <x:c r="DYT66" s="293"/>
      <x:c r="DYU66" s="293"/>
      <x:c r="DYV66" s="293"/>
      <x:c r="DYW66" s="293"/>
      <x:c r="DYX66" s="293"/>
      <x:c r="DYY66" s="293"/>
      <x:c r="DYZ66" s="293"/>
      <x:c r="DZA66" s="293"/>
      <x:c r="DZB66" s="293"/>
      <x:c r="DZC66" s="293"/>
      <x:c r="DZD66" s="293"/>
      <x:c r="DZE66" s="293"/>
      <x:c r="DZF66" s="293"/>
      <x:c r="DZG66" s="293"/>
      <x:c r="DZH66" s="293"/>
      <x:c r="DZI66" s="293"/>
      <x:c r="DZJ66" s="293"/>
      <x:c r="DZK66" s="293"/>
      <x:c r="DZL66" s="293"/>
      <x:c r="DZM66" s="293"/>
      <x:c r="DZN66" s="293"/>
      <x:c r="DZO66" s="293"/>
      <x:c r="DZP66" s="293"/>
      <x:c r="DZQ66" s="293"/>
      <x:c r="DZR66" s="293"/>
      <x:c r="DZS66" s="293"/>
      <x:c r="DZT66" s="293"/>
      <x:c r="DZU66" s="293"/>
      <x:c r="DZV66" s="293"/>
      <x:c r="DZW66" s="293"/>
      <x:c r="DZX66" s="293"/>
      <x:c r="DZY66" s="293"/>
      <x:c r="DZZ66" s="293"/>
      <x:c r="EAA66" s="293"/>
      <x:c r="EAB66" s="293"/>
      <x:c r="EAC66" s="293"/>
      <x:c r="EAD66" s="293"/>
      <x:c r="EAE66" s="293"/>
      <x:c r="EAF66" s="293"/>
      <x:c r="EAG66" s="293"/>
      <x:c r="EAH66" s="293"/>
      <x:c r="EAI66" s="293"/>
      <x:c r="EAJ66" s="293"/>
      <x:c r="EAK66" s="293"/>
      <x:c r="EAL66" s="293"/>
      <x:c r="EAM66" s="293"/>
      <x:c r="EAN66" s="293"/>
      <x:c r="EAO66" s="293"/>
      <x:c r="EAP66" s="293"/>
      <x:c r="EAQ66" s="293"/>
      <x:c r="EAR66" s="293"/>
      <x:c r="EAS66" s="293"/>
      <x:c r="EAT66" s="293"/>
      <x:c r="EAU66" s="293"/>
      <x:c r="EAV66" s="293"/>
      <x:c r="EAW66" s="293"/>
      <x:c r="EAX66" s="293"/>
      <x:c r="EAY66" s="293"/>
      <x:c r="EAZ66" s="293"/>
      <x:c r="EBA66" s="293"/>
      <x:c r="EBB66" s="293"/>
      <x:c r="EBC66" s="293"/>
      <x:c r="EBD66" s="293"/>
      <x:c r="EBE66" s="293"/>
      <x:c r="EBF66" s="293"/>
      <x:c r="EBG66" s="293"/>
      <x:c r="EBH66" s="293"/>
      <x:c r="EBI66" s="293"/>
      <x:c r="EBJ66" s="293"/>
      <x:c r="EBK66" s="293"/>
      <x:c r="EBL66" s="293"/>
      <x:c r="EBM66" s="293"/>
      <x:c r="EBN66" s="293"/>
      <x:c r="EBO66" s="293"/>
      <x:c r="EBP66" s="293"/>
      <x:c r="EBQ66" s="293"/>
      <x:c r="EBR66" s="293"/>
      <x:c r="EBS66" s="293"/>
      <x:c r="EBT66" s="293"/>
      <x:c r="EBU66" s="293"/>
      <x:c r="EBV66" s="293"/>
      <x:c r="EBW66" s="293"/>
      <x:c r="EBX66" s="293"/>
      <x:c r="EBY66" s="293"/>
      <x:c r="EBZ66" s="293"/>
      <x:c r="ECA66" s="293"/>
      <x:c r="ECB66" s="293"/>
      <x:c r="ECC66" s="293"/>
      <x:c r="ECD66" s="293"/>
      <x:c r="ECE66" s="293"/>
      <x:c r="ECF66" s="293"/>
      <x:c r="ECG66" s="293"/>
      <x:c r="ECH66" s="293"/>
      <x:c r="ECI66" s="293"/>
      <x:c r="ECJ66" s="293"/>
      <x:c r="ECK66" s="293"/>
      <x:c r="ECL66" s="293"/>
      <x:c r="ECM66" s="293"/>
      <x:c r="ECN66" s="293"/>
      <x:c r="ECO66" s="293"/>
      <x:c r="ECP66" s="293"/>
      <x:c r="ECQ66" s="293"/>
      <x:c r="ECR66" s="293"/>
      <x:c r="ECS66" s="293"/>
      <x:c r="ECT66" s="293"/>
      <x:c r="ECU66" s="293"/>
      <x:c r="ECV66" s="293"/>
      <x:c r="ECW66" s="293"/>
      <x:c r="ECX66" s="293"/>
      <x:c r="ECY66" s="293"/>
      <x:c r="ECZ66" s="293"/>
      <x:c r="EDA66" s="293"/>
      <x:c r="EDB66" s="293"/>
      <x:c r="EDC66" s="293"/>
      <x:c r="EDD66" s="293"/>
      <x:c r="EDE66" s="293"/>
      <x:c r="EDF66" s="293"/>
      <x:c r="EDG66" s="293"/>
      <x:c r="EDH66" s="293"/>
      <x:c r="EDI66" s="293"/>
      <x:c r="EDJ66" s="293"/>
      <x:c r="EDK66" s="293"/>
      <x:c r="EDL66" s="293"/>
      <x:c r="EDM66" s="293"/>
      <x:c r="EDN66" s="293"/>
      <x:c r="EDO66" s="293"/>
      <x:c r="EDP66" s="293"/>
      <x:c r="EDQ66" s="293"/>
      <x:c r="EDR66" s="293"/>
      <x:c r="EDS66" s="293"/>
      <x:c r="EDT66" s="293"/>
      <x:c r="EDU66" s="293"/>
      <x:c r="EDV66" s="293"/>
      <x:c r="EDW66" s="293"/>
      <x:c r="EDX66" s="293"/>
      <x:c r="EDY66" s="293"/>
      <x:c r="EDZ66" s="293"/>
      <x:c r="EEA66" s="293"/>
      <x:c r="EEB66" s="293"/>
      <x:c r="EEC66" s="293"/>
      <x:c r="EED66" s="293"/>
      <x:c r="EEE66" s="293"/>
      <x:c r="EEF66" s="293"/>
      <x:c r="EEG66" s="293"/>
      <x:c r="EEH66" s="293"/>
      <x:c r="EEI66" s="293"/>
      <x:c r="EEJ66" s="293"/>
      <x:c r="EEK66" s="293"/>
      <x:c r="EEL66" s="293"/>
      <x:c r="EEM66" s="293"/>
      <x:c r="EEN66" s="293"/>
      <x:c r="EEO66" s="293"/>
      <x:c r="EEP66" s="293"/>
      <x:c r="EEQ66" s="293"/>
      <x:c r="EER66" s="293"/>
      <x:c r="EES66" s="293"/>
      <x:c r="EET66" s="293"/>
      <x:c r="EEU66" s="293"/>
      <x:c r="EEV66" s="293"/>
      <x:c r="EEW66" s="293"/>
      <x:c r="EEX66" s="293"/>
      <x:c r="EEY66" s="293"/>
      <x:c r="EEZ66" s="293"/>
      <x:c r="EFA66" s="293"/>
      <x:c r="EFB66" s="293"/>
      <x:c r="EFC66" s="293"/>
      <x:c r="EFD66" s="293"/>
      <x:c r="EFE66" s="293"/>
      <x:c r="EFF66" s="293"/>
      <x:c r="EFG66" s="293"/>
      <x:c r="EFH66" s="293"/>
      <x:c r="EFI66" s="293"/>
      <x:c r="EFJ66" s="293"/>
      <x:c r="EFK66" s="293"/>
      <x:c r="EFL66" s="293"/>
      <x:c r="EFM66" s="293"/>
      <x:c r="EFN66" s="293"/>
      <x:c r="EFO66" s="293"/>
      <x:c r="EFP66" s="293"/>
      <x:c r="EFQ66" s="293"/>
      <x:c r="EFR66" s="293"/>
      <x:c r="EFS66" s="293"/>
      <x:c r="EFT66" s="293"/>
      <x:c r="EFU66" s="293"/>
      <x:c r="EFV66" s="293"/>
      <x:c r="EFW66" s="293"/>
      <x:c r="EFX66" s="293"/>
      <x:c r="EFY66" s="293"/>
      <x:c r="EFZ66" s="293"/>
      <x:c r="EGA66" s="293"/>
      <x:c r="EGB66" s="293"/>
      <x:c r="EGC66" s="293"/>
      <x:c r="EGD66" s="293"/>
      <x:c r="EGE66" s="293"/>
      <x:c r="EGF66" s="293"/>
      <x:c r="EGG66" s="293"/>
      <x:c r="EGH66" s="293"/>
      <x:c r="EGI66" s="293"/>
      <x:c r="EGJ66" s="293"/>
      <x:c r="EGK66" s="293"/>
      <x:c r="EGL66" s="293"/>
      <x:c r="EGM66" s="293"/>
      <x:c r="EGN66" s="293"/>
      <x:c r="EGO66" s="293"/>
      <x:c r="EGP66" s="293"/>
      <x:c r="EGQ66" s="293"/>
      <x:c r="EGR66" s="293"/>
      <x:c r="EGS66" s="293"/>
      <x:c r="EGT66" s="293"/>
      <x:c r="EGU66" s="293"/>
      <x:c r="EGV66" s="293"/>
      <x:c r="EGW66" s="293"/>
      <x:c r="EGX66" s="293"/>
      <x:c r="EGY66" s="293"/>
      <x:c r="EGZ66" s="293"/>
      <x:c r="EHA66" s="293"/>
      <x:c r="EHB66" s="293"/>
      <x:c r="EHC66" s="293"/>
      <x:c r="EHD66" s="293"/>
      <x:c r="EHE66" s="293"/>
      <x:c r="EHF66" s="293"/>
      <x:c r="EHG66" s="293"/>
      <x:c r="EHH66" s="293"/>
      <x:c r="EHI66" s="293"/>
      <x:c r="EHJ66" s="293"/>
      <x:c r="EHK66" s="293"/>
      <x:c r="EHL66" s="293"/>
      <x:c r="EHM66" s="293"/>
      <x:c r="EHN66" s="293"/>
      <x:c r="EHO66" s="293"/>
      <x:c r="EHP66" s="293"/>
      <x:c r="EHQ66" s="293"/>
      <x:c r="EHR66" s="293"/>
      <x:c r="EHS66" s="293"/>
      <x:c r="EHT66" s="293"/>
      <x:c r="EHU66" s="293"/>
      <x:c r="EHV66" s="293"/>
      <x:c r="EHW66" s="293"/>
      <x:c r="EHX66" s="293"/>
      <x:c r="EHY66" s="293"/>
      <x:c r="EHZ66" s="293"/>
      <x:c r="EIA66" s="293"/>
      <x:c r="EIB66" s="293"/>
      <x:c r="EIC66" s="293"/>
      <x:c r="EID66" s="293"/>
      <x:c r="EIE66" s="293"/>
      <x:c r="EIF66" s="293"/>
      <x:c r="EIG66" s="293"/>
      <x:c r="EIH66" s="293"/>
      <x:c r="EII66" s="293"/>
      <x:c r="EIJ66" s="293"/>
      <x:c r="EIK66" s="293"/>
      <x:c r="EIL66" s="293"/>
      <x:c r="EIM66" s="293"/>
      <x:c r="EIN66" s="293"/>
      <x:c r="EIO66" s="293"/>
      <x:c r="EIP66" s="293"/>
      <x:c r="EIQ66" s="293"/>
      <x:c r="EIR66" s="293"/>
      <x:c r="EIS66" s="293"/>
      <x:c r="EIT66" s="293"/>
      <x:c r="EIU66" s="293"/>
      <x:c r="EIV66" s="293"/>
      <x:c r="EIW66" s="293"/>
      <x:c r="EIX66" s="293"/>
      <x:c r="EIY66" s="293"/>
      <x:c r="EIZ66" s="293"/>
      <x:c r="EJA66" s="293"/>
      <x:c r="EJB66" s="293"/>
      <x:c r="EJC66" s="293"/>
      <x:c r="EJD66" s="293"/>
      <x:c r="EJE66" s="293"/>
      <x:c r="EJF66" s="293"/>
      <x:c r="EJG66" s="293"/>
      <x:c r="EJH66" s="293"/>
      <x:c r="EJI66" s="293"/>
      <x:c r="EJJ66" s="293"/>
      <x:c r="EJK66" s="293"/>
      <x:c r="EJL66" s="293"/>
      <x:c r="EJM66" s="293"/>
      <x:c r="EJN66" s="293"/>
      <x:c r="EJO66" s="293"/>
      <x:c r="EJP66" s="293"/>
      <x:c r="EJQ66" s="293"/>
      <x:c r="EJR66" s="293"/>
      <x:c r="EJS66" s="293"/>
      <x:c r="EJT66" s="293"/>
      <x:c r="EJU66" s="293"/>
      <x:c r="EJV66" s="293"/>
      <x:c r="EJW66" s="293"/>
      <x:c r="EJX66" s="293"/>
      <x:c r="EJY66" s="293"/>
      <x:c r="EJZ66" s="293"/>
      <x:c r="EKA66" s="293"/>
      <x:c r="EKB66" s="293"/>
      <x:c r="EKC66" s="293"/>
      <x:c r="EKD66" s="293"/>
      <x:c r="EKE66" s="293"/>
      <x:c r="EKF66" s="293"/>
      <x:c r="EKG66" s="293"/>
      <x:c r="EKH66" s="293"/>
      <x:c r="EKI66" s="293"/>
      <x:c r="EKJ66" s="293"/>
      <x:c r="EKK66" s="293"/>
      <x:c r="EKL66" s="293"/>
      <x:c r="EKM66" s="293"/>
      <x:c r="EKN66" s="293"/>
      <x:c r="EKO66" s="293"/>
      <x:c r="EKP66" s="293"/>
      <x:c r="EKQ66" s="293"/>
      <x:c r="EKR66" s="293"/>
      <x:c r="EKS66" s="293"/>
      <x:c r="EKT66" s="293"/>
      <x:c r="EKU66" s="293"/>
      <x:c r="EKV66" s="293"/>
      <x:c r="EKW66" s="293"/>
      <x:c r="EKX66" s="293"/>
      <x:c r="EKY66" s="293"/>
      <x:c r="EKZ66" s="293"/>
      <x:c r="ELA66" s="293"/>
      <x:c r="ELB66" s="293"/>
      <x:c r="ELC66" s="293"/>
      <x:c r="ELD66" s="293"/>
      <x:c r="ELE66" s="293"/>
      <x:c r="ELF66" s="293"/>
      <x:c r="ELG66" s="293"/>
      <x:c r="ELH66" s="293"/>
      <x:c r="ELI66" s="293"/>
      <x:c r="ELJ66" s="293"/>
      <x:c r="ELK66" s="293"/>
      <x:c r="ELL66" s="293"/>
      <x:c r="ELM66" s="293"/>
      <x:c r="ELN66" s="293"/>
      <x:c r="ELO66" s="293"/>
      <x:c r="ELP66" s="293"/>
      <x:c r="ELQ66" s="293"/>
      <x:c r="ELR66" s="293"/>
      <x:c r="ELS66" s="293"/>
      <x:c r="ELT66" s="293"/>
      <x:c r="ELU66" s="293"/>
      <x:c r="ELV66" s="293"/>
      <x:c r="ELW66" s="293"/>
      <x:c r="ELX66" s="293"/>
      <x:c r="ELY66" s="293"/>
      <x:c r="ELZ66" s="293"/>
      <x:c r="EMA66" s="293"/>
      <x:c r="EMB66" s="293"/>
      <x:c r="EMC66" s="293"/>
      <x:c r="EMD66" s="293"/>
      <x:c r="EME66" s="293"/>
      <x:c r="EMF66" s="293"/>
      <x:c r="EMG66" s="293"/>
      <x:c r="EMH66" s="293"/>
      <x:c r="EMI66" s="293"/>
      <x:c r="EMJ66" s="293"/>
      <x:c r="EMK66" s="293"/>
      <x:c r="EML66" s="293"/>
      <x:c r="EMM66" s="293"/>
      <x:c r="EMN66" s="293"/>
      <x:c r="EMO66" s="293"/>
      <x:c r="EMP66" s="293"/>
      <x:c r="EMQ66" s="293"/>
      <x:c r="EMR66" s="293"/>
      <x:c r="EMS66" s="293"/>
      <x:c r="EMT66" s="293"/>
      <x:c r="EMU66" s="293"/>
      <x:c r="EMV66" s="293"/>
      <x:c r="EMW66" s="293"/>
      <x:c r="EMX66" s="293"/>
      <x:c r="EMY66" s="293"/>
      <x:c r="EMZ66" s="293"/>
      <x:c r="ENA66" s="293"/>
      <x:c r="ENB66" s="293"/>
      <x:c r="ENC66" s="293"/>
      <x:c r="END66" s="293"/>
      <x:c r="ENE66" s="293"/>
      <x:c r="ENF66" s="293"/>
      <x:c r="ENG66" s="293"/>
      <x:c r="ENH66" s="293"/>
      <x:c r="ENI66" s="293"/>
      <x:c r="ENJ66" s="293"/>
      <x:c r="ENK66" s="293"/>
      <x:c r="ENL66" s="293"/>
      <x:c r="ENM66" s="293"/>
      <x:c r="ENN66" s="293"/>
      <x:c r="ENO66" s="293"/>
      <x:c r="ENP66" s="293"/>
      <x:c r="ENQ66" s="293"/>
      <x:c r="ENR66" s="293"/>
      <x:c r="ENS66" s="293"/>
      <x:c r="ENT66" s="293"/>
      <x:c r="ENU66" s="293"/>
      <x:c r="ENV66" s="293"/>
      <x:c r="ENW66" s="293"/>
      <x:c r="ENX66" s="293"/>
      <x:c r="ENY66" s="293"/>
      <x:c r="ENZ66" s="293"/>
      <x:c r="EOA66" s="293"/>
      <x:c r="EOB66" s="293"/>
      <x:c r="EOC66" s="293"/>
      <x:c r="EOD66" s="293"/>
      <x:c r="EOE66" s="293"/>
      <x:c r="EOF66" s="293"/>
      <x:c r="EOG66" s="293"/>
      <x:c r="EOH66" s="293"/>
      <x:c r="EOI66" s="293"/>
      <x:c r="EOJ66" s="293"/>
      <x:c r="EOK66" s="293"/>
      <x:c r="EOL66" s="293"/>
      <x:c r="EOM66" s="293"/>
      <x:c r="EON66" s="293"/>
      <x:c r="EOO66" s="293"/>
      <x:c r="EOP66" s="293"/>
      <x:c r="EOQ66" s="293"/>
      <x:c r="EOR66" s="293"/>
      <x:c r="EOS66" s="293"/>
      <x:c r="EOT66" s="293"/>
      <x:c r="EOU66" s="293"/>
      <x:c r="EOV66" s="293"/>
      <x:c r="EOW66" s="293"/>
      <x:c r="EOX66" s="293"/>
      <x:c r="EOY66" s="293"/>
      <x:c r="EOZ66" s="293"/>
      <x:c r="EPA66" s="293"/>
      <x:c r="EPB66" s="293"/>
      <x:c r="EPC66" s="293"/>
      <x:c r="EPD66" s="293"/>
      <x:c r="EPE66" s="293"/>
      <x:c r="EPF66" s="293"/>
      <x:c r="EPG66" s="293"/>
      <x:c r="EPH66" s="293"/>
      <x:c r="EPI66" s="293"/>
      <x:c r="EPJ66" s="293"/>
      <x:c r="EPK66" s="293"/>
      <x:c r="EPL66" s="293"/>
      <x:c r="EPM66" s="293"/>
      <x:c r="EPN66" s="293"/>
      <x:c r="EPO66" s="293"/>
      <x:c r="EPP66" s="293"/>
      <x:c r="EPQ66" s="293"/>
      <x:c r="EPR66" s="293"/>
      <x:c r="EPS66" s="293"/>
      <x:c r="EPT66" s="293"/>
      <x:c r="EPU66" s="293"/>
      <x:c r="EPV66" s="293"/>
      <x:c r="EPW66" s="293"/>
      <x:c r="EPX66" s="293"/>
      <x:c r="EPY66" s="293"/>
      <x:c r="EPZ66" s="293"/>
      <x:c r="EQA66" s="293"/>
      <x:c r="EQB66" s="293"/>
      <x:c r="EQC66" s="293"/>
      <x:c r="EQD66" s="293"/>
      <x:c r="EQE66" s="293"/>
      <x:c r="EQF66" s="293"/>
      <x:c r="EQG66" s="293"/>
      <x:c r="EQH66" s="293"/>
      <x:c r="EQI66" s="293"/>
      <x:c r="EQJ66" s="293"/>
      <x:c r="EQK66" s="293"/>
      <x:c r="EQL66" s="293"/>
      <x:c r="EQM66" s="293"/>
      <x:c r="EQN66" s="293"/>
      <x:c r="EQO66" s="293"/>
      <x:c r="EQP66" s="293"/>
      <x:c r="EQQ66" s="293"/>
      <x:c r="EQR66" s="293"/>
      <x:c r="EQS66" s="293"/>
      <x:c r="EQT66" s="293"/>
      <x:c r="EQU66" s="293"/>
      <x:c r="EQV66" s="293"/>
      <x:c r="EQW66" s="293"/>
      <x:c r="EQX66" s="293"/>
      <x:c r="EQY66" s="293"/>
      <x:c r="EQZ66" s="293"/>
      <x:c r="ERA66" s="293"/>
      <x:c r="ERB66" s="293"/>
      <x:c r="ERC66" s="293"/>
      <x:c r="ERD66" s="293"/>
      <x:c r="ERE66" s="293"/>
      <x:c r="ERF66" s="293"/>
      <x:c r="ERG66" s="293"/>
      <x:c r="ERH66" s="293"/>
      <x:c r="ERI66" s="293"/>
      <x:c r="ERJ66" s="293"/>
      <x:c r="ERK66" s="293"/>
      <x:c r="ERL66" s="293"/>
      <x:c r="ERM66" s="293"/>
      <x:c r="ERN66" s="293"/>
      <x:c r="ERO66" s="293"/>
      <x:c r="ERP66" s="293"/>
      <x:c r="ERQ66" s="293"/>
      <x:c r="ERR66" s="293"/>
      <x:c r="ERS66" s="293"/>
      <x:c r="ERT66" s="293"/>
      <x:c r="ERU66" s="293"/>
      <x:c r="ERV66" s="293"/>
      <x:c r="ERW66" s="293"/>
      <x:c r="ERX66" s="293"/>
      <x:c r="ERY66" s="293"/>
      <x:c r="ERZ66" s="293"/>
      <x:c r="ESA66" s="293"/>
      <x:c r="ESB66" s="293"/>
      <x:c r="ESC66" s="293"/>
      <x:c r="ESD66" s="293"/>
      <x:c r="ESE66" s="293"/>
      <x:c r="ESF66" s="293"/>
      <x:c r="ESG66" s="293"/>
      <x:c r="ESH66" s="293"/>
      <x:c r="ESI66" s="293"/>
      <x:c r="ESJ66" s="293"/>
      <x:c r="ESK66" s="293"/>
      <x:c r="ESL66" s="293"/>
      <x:c r="ESM66" s="293"/>
      <x:c r="ESN66" s="293"/>
      <x:c r="ESO66" s="293"/>
      <x:c r="ESP66" s="293"/>
      <x:c r="ESQ66" s="293"/>
      <x:c r="ESR66" s="293"/>
      <x:c r="ESS66" s="293"/>
      <x:c r="EST66" s="293"/>
      <x:c r="ESU66" s="293"/>
      <x:c r="ESV66" s="293"/>
      <x:c r="ESW66" s="293"/>
      <x:c r="ESX66" s="293"/>
      <x:c r="ESY66" s="293"/>
      <x:c r="ESZ66" s="293"/>
      <x:c r="ETA66" s="293"/>
      <x:c r="ETB66" s="293"/>
      <x:c r="ETC66" s="293"/>
      <x:c r="ETD66" s="293"/>
      <x:c r="ETE66" s="293"/>
      <x:c r="ETF66" s="293"/>
      <x:c r="ETG66" s="293"/>
      <x:c r="ETH66" s="293"/>
      <x:c r="ETI66" s="293"/>
      <x:c r="ETJ66" s="293"/>
      <x:c r="ETK66" s="293"/>
      <x:c r="ETL66" s="293"/>
      <x:c r="ETM66" s="293"/>
      <x:c r="ETN66" s="293"/>
      <x:c r="ETO66" s="293"/>
      <x:c r="ETP66" s="293"/>
      <x:c r="ETQ66" s="293"/>
      <x:c r="ETR66" s="293"/>
      <x:c r="ETS66" s="293"/>
      <x:c r="ETT66" s="293"/>
      <x:c r="ETU66" s="293"/>
      <x:c r="ETV66" s="293"/>
      <x:c r="ETW66" s="293"/>
      <x:c r="ETX66" s="293"/>
      <x:c r="ETY66" s="293"/>
      <x:c r="ETZ66" s="293"/>
      <x:c r="EUA66" s="293"/>
      <x:c r="EUB66" s="293"/>
      <x:c r="EUC66" s="293"/>
      <x:c r="EUD66" s="293"/>
      <x:c r="EUE66" s="293"/>
      <x:c r="EUF66" s="293"/>
      <x:c r="EUG66" s="293"/>
      <x:c r="EUH66" s="293"/>
      <x:c r="EUI66" s="293"/>
      <x:c r="EUJ66" s="293"/>
      <x:c r="EUK66" s="293"/>
      <x:c r="EUL66" s="293"/>
      <x:c r="EUM66" s="293"/>
      <x:c r="EUN66" s="293"/>
      <x:c r="EUO66" s="293"/>
      <x:c r="EUP66" s="293"/>
      <x:c r="EUQ66" s="293"/>
      <x:c r="EUR66" s="293"/>
      <x:c r="EUS66" s="293"/>
      <x:c r="EUT66" s="293"/>
      <x:c r="EUU66" s="293"/>
      <x:c r="EUV66" s="293"/>
      <x:c r="EUW66" s="293"/>
      <x:c r="EUX66" s="293"/>
      <x:c r="EUY66" s="293"/>
      <x:c r="EUZ66" s="293"/>
      <x:c r="EVA66" s="293"/>
      <x:c r="EVB66" s="293"/>
      <x:c r="EVC66" s="293"/>
      <x:c r="EVD66" s="293"/>
      <x:c r="EVE66" s="293"/>
      <x:c r="EVF66" s="293"/>
      <x:c r="EVG66" s="293"/>
      <x:c r="EVH66" s="293"/>
      <x:c r="EVI66" s="293"/>
      <x:c r="EVJ66" s="293"/>
      <x:c r="EVK66" s="293"/>
      <x:c r="EVL66" s="293"/>
      <x:c r="EVM66" s="293"/>
      <x:c r="EVN66" s="293"/>
      <x:c r="EVO66" s="293"/>
      <x:c r="EVP66" s="293"/>
      <x:c r="EVQ66" s="293"/>
      <x:c r="EVR66" s="293"/>
      <x:c r="EVS66" s="293"/>
      <x:c r="EVT66" s="293"/>
      <x:c r="EVU66" s="293"/>
      <x:c r="EVV66" s="293"/>
      <x:c r="EVW66" s="293"/>
      <x:c r="EVX66" s="293"/>
      <x:c r="EVY66" s="293"/>
      <x:c r="EVZ66" s="293"/>
      <x:c r="EWA66" s="293"/>
      <x:c r="EWB66" s="293"/>
      <x:c r="EWC66" s="293"/>
      <x:c r="EWD66" s="293"/>
      <x:c r="EWE66" s="293"/>
      <x:c r="EWF66" s="293"/>
      <x:c r="EWG66" s="293"/>
      <x:c r="EWH66" s="293"/>
      <x:c r="EWI66" s="293"/>
      <x:c r="EWJ66" s="293"/>
      <x:c r="EWK66" s="293"/>
      <x:c r="EWL66" s="293"/>
      <x:c r="EWM66" s="293"/>
      <x:c r="EWN66" s="293"/>
      <x:c r="EWO66" s="293"/>
      <x:c r="EWP66" s="293"/>
      <x:c r="EWQ66" s="293"/>
      <x:c r="EWR66" s="293"/>
      <x:c r="EWS66" s="293"/>
      <x:c r="EWT66" s="293"/>
      <x:c r="EWU66" s="293"/>
      <x:c r="EWV66" s="293"/>
      <x:c r="EWW66" s="293"/>
      <x:c r="EWX66" s="293"/>
      <x:c r="EWY66" s="293"/>
      <x:c r="EWZ66" s="293"/>
      <x:c r="EXA66" s="293"/>
      <x:c r="EXB66" s="293"/>
      <x:c r="EXC66" s="293"/>
      <x:c r="EXD66" s="293"/>
      <x:c r="EXE66" s="293"/>
      <x:c r="EXF66" s="293"/>
      <x:c r="EXG66" s="293"/>
      <x:c r="EXH66" s="293"/>
      <x:c r="EXI66" s="293"/>
      <x:c r="EXJ66" s="293"/>
      <x:c r="EXK66" s="293"/>
      <x:c r="EXL66" s="293"/>
      <x:c r="EXM66" s="293"/>
      <x:c r="EXN66" s="293"/>
      <x:c r="EXO66" s="293"/>
      <x:c r="EXP66" s="293"/>
      <x:c r="EXQ66" s="293"/>
      <x:c r="EXR66" s="293"/>
      <x:c r="EXS66" s="293"/>
      <x:c r="EXT66" s="293"/>
      <x:c r="EXU66" s="293"/>
      <x:c r="EXV66" s="293"/>
      <x:c r="EXW66" s="293"/>
      <x:c r="EXX66" s="293"/>
      <x:c r="EXY66" s="293"/>
      <x:c r="EXZ66" s="293"/>
      <x:c r="EYA66" s="293"/>
      <x:c r="EYB66" s="293"/>
      <x:c r="EYC66" s="293"/>
      <x:c r="EYD66" s="293"/>
      <x:c r="EYE66" s="293"/>
      <x:c r="EYF66" s="293"/>
      <x:c r="EYG66" s="293"/>
      <x:c r="EYH66" s="293"/>
      <x:c r="EYI66" s="293"/>
      <x:c r="EYJ66" s="293"/>
      <x:c r="EYK66" s="293"/>
      <x:c r="EYL66" s="293"/>
      <x:c r="EYM66" s="293"/>
      <x:c r="EYN66" s="293"/>
      <x:c r="EYO66" s="293"/>
      <x:c r="EYP66" s="293"/>
      <x:c r="EYQ66" s="293"/>
      <x:c r="EYR66" s="293"/>
      <x:c r="EYS66" s="293"/>
      <x:c r="EYT66" s="293"/>
      <x:c r="EYU66" s="293"/>
      <x:c r="EYV66" s="293"/>
      <x:c r="EYW66" s="293"/>
      <x:c r="EYX66" s="293"/>
      <x:c r="EYY66" s="293"/>
      <x:c r="EYZ66" s="293"/>
      <x:c r="EZA66" s="293"/>
      <x:c r="EZB66" s="293"/>
      <x:c r="EZC66" s="293"/>
      <x:c r="EZD66" s="293"/>
      <x:c r="EZE66" s="293"/>
      <x:c r="EZF66" s="293"/>
      <x:c r="EZG66" s="293"/>
      <x:c r="EZH66" s="293"/>
      <x:c r="EZI66" s="293"/>
      <x:c r="EZJ66" s="293"/>
      <x:c r="EZK66" s="293"/>
      <x:c r="EZL66" s="293"/>
      <x:c r="EZM66" s="293"/>
      <x:c r="EZN66" s="293"/>
      <x:c r="EZO66" s="293"/>
      <x:c r="EZP66" s="293"/>
      <x:c r="EZQ66" s="293"/>
      <x:c r="EZR66" s="293"/>
      <x:c r="EZS66" s="293"/>
      <x:c r="EZT66" s="293"/>
      <x:c r="EZU66" s="293"/>
      <x:c r="EZV66" s="293"/>
      <x:c r="EZW66" s="293"/>
      <x:c r="EZX66" s="293"/>
      <x:c r="EZY66" s="293"/>
      <x:c r="EZZ66" s="293"/>
      <x:c r="FAA66" s="293"/>
      <x:c r="FAB66" s="293"/>
      <x:c r="FAC66" s="293"/>
      <x:c r="FAD66" s="293"/>
      <x:c r="FAE66" s="293"/>
      <x:c r="FAF66" s="293"/>
      <x:c r="FAG66" s="293"/>
      <x:c r="FAH66" s="293"/>
      <x:c r="FAI66" s="293"/>
      <x:c r="FAJ66" s="293"/>
      <x:c r="FAK66" s="293"/>
      <x:c r="FAL66" s="293"/>
      <x:c r="FAM66" s="293"/>
      <x:c r="FAN66" s="293"/>
      <x:c r="FAO66" s="293"/>
      <x:c r="FAP66" s="293"/>
      <x:c r="FAQ66" s="293"/>
      <x:c r="FAR66" s="293"/>
      <x:c r="FAS66" s="293"/>
      <x:c r="FAT66" s="293"/>
      <x:c r="FAU66" s="293"/>
      <x:c r="FAV66" s="293"/>
      <x:c r="FAW66" s="293"/>
      <x:c r="FAX66" s="293"/>
      <x:c r="FAY66" s="293"/>
      <x:c r="FAZ66" s="293"/>
      <x:c r="FBA66" s="293"/>
      <x:c r="FBB66" s="293"/>
      <x:c r="FBC66" s="293"/>
      <x:c r="FBD66" s="293"/>
      <x:c r="FBE66" s="293"/>
      <x:c r="FBF66" s="293"/>
      <x:c r="FBG66" s="293"/>
      <x:c r="FBH66" s="293"/>
      <x:c r="FBI66" s="293"/>
      <x:c r="FBJ66" s="293"/>
      <x:c r="FBK66" s="293"/>
      <x:c r="FBL66" s="293"/>
      <x:c r="FBM66" s="293"/>
      <x:c r="FBN66" s="293"/>
      <x:c r="FBO66" s="293"/>
      <x:c r="FBP66" s="293"/>
      <x:c r="FBQ66" s="293"/>
      <x:c r="FBR66" s="293"/>
      <x:c r="FBS66" s="293"/>
      <x:c r="FBT66" s="293"/>
      <x:c r="FBU66" s="293"/>
      <x:c r="FBV66" s="293"/>
      <x:c r="FBW66" s="293"/>
      <x:c r="FBX66" s="293"/>
      <x:c r="FBY66" s="293"/>
      <x:c r="FBZ66" s="293"/>
      <x:c r="FCA66" s="293"/>
      <x:c r="FCB66" s="293"/>
      <x:c r="FCC66" s="293"/>
      <x:c r="FCD66" s="293"/>
      <x:c r="FCE66" s="293"/>
      <x:c r="FCF66" s="293"/>
      <x:c r="FCG66" s="293"/>
      <x:c r="FCH66" s="293"/>
      <x:c r="FCI66" s="293"/>
      <x:c r="FCJ66" s="293"/>
      <x:c r="FCK66" s="293"/>
      <x:c r="FCL66" s="293"/>
      <x:c r="FCM66" s="293"/>
      <x:c r="FCN66" s="293"/>
      <x:c r="FCO66" s="293"/>
      <x:c r="FCP66" s="293"/>
      <x:c r="FCQ66" s="293"/>
      <x:c r="FCR66" s="293"/>
      <x:c r="FCS66" s="293"/>
      <x:c r="FCT66" s="293"/>
      <x:c r="FCU66" s="293"/>
      <x:c r="FCV66" s="293"/>
      <x:c r="FCW66" s="293"/>
      <x:c r="FCX66" s="293"/>
      <x:c r="FCY66" s="293"/>
      <x:c r="FCZ66" s="293"/>
      <x:c r="FDA66" s="293"/>
      <x:c r="FDB66" s="293"/>
      <x:c r="FDC66" s="293"/>
      <x:c r="FDD66" s="293"/>
      <x:c r="FDE66" s="293"/>
      <x:c r="FDF66" s="293"/>
      <x:c r="FDG66" s="293"/>
      <x:c r="FDH66" s="293"/>
      <x:c r="FDI66" s="293"/>
      <x:c r="FDJ66" s="293"/>
      <x:c r="FDK66" s="293"/>
      <x:c r="FDL66" s="293"/>
      <x:c r="FDM66" s="293"/>
      <x:c r="FDN66" s="293"/>
      <x:c r="FDO66" s="293"/>
      <x:c r="FDP66" s="293"/>
      <x:c r="FDQ66" s="293"/>
      <x:c r="FDR66" s="293"/>
      <x:c r="FDS66" s="293"/>
      <x:c r="FDT66" s="293"/>
      <x:c r="FDU66" s="293"/>
      <x:c r="FDV66" s="293"/>
      <x:c r="FDW66" s="293"/>
      <x:c r="FDX66" s="293"/>
      <x:c r="FDY66" s="293"/>
      <x:c r="FDZ66" s="293"/>
      <x:c r="FEA66" s="293"/>
      <x:c r="FEB66" s="293"/>
      <x:c r="FEC66" s="293"/>
      <x:c r="FED66" s="293"/>
      <x:c r="FEE66" s="293"/>
      <x:c r="FEF66" s="293"/>
      <x:c r="FEG66" s="293"/>
      <x:c r="FEH66" s="293"/>
      <x:c r="FEI66" s="293"/>
      <x:c r="FEJ66" s="293"/>
      <x:c r="FEK66" s="293"/>
      <x:c r="FEL66" s="293"/>
      <x:c r="FEM66" s="293"/>
      <x:c r="FEN66" s="293"/>
      <x:c r="FEO66" s="293"/>
      <x:c r="FEP66" s="293"/>
      <x:c r="FEQ66" s="293"/>
      <x:c r="FER66" s="293"/>
      <x:c r="FES66" s="293"/>
      <x:c r="FET66" s="293"/>
      <x:c r="FEU66" s="293"/>
      <x:c r="FEV66" s="293"/>
      <x:c r="FEW66" s="293"/>
      <x:c r="FEX66" s="293"/>
      <x:c r="FEY66" s="293"/>
      <x:c r="FEZ66" s="293"/>
      <x:c r="FFA66" s="293"/>
      <x:c r="FFB66" s="293"/>
      <x:c r="FFC66" s="293"/>
      <x:c r="FFD66" s="293"/>
      <x:c r="FFE66" s="293"/>
      <x:c r="FFF66" s="293"/>
      <x:c r="FFG66" s="293"/>
      <x:c r="FFH66" s="293"/>
      <x:c r="FFI66" s="293"/>
      <x:c r="FFJ66" s="293"/>
      <x:c r="FFK66" s="293"/>
      <x:c r="FFL66" s="293"/>
      <x:c r="FFM66" s="293"/>
      <x:c r="FFN66" s="293"/>
      <x:c r="FFO66" s="293"/>
      <x:c r="FFP66" s="293"/>
      <x:c r="FFQ66" s="293"/>
      <x:c r="FFR66" s="293"/>
      <x:c r="FFS66" s="293"/>
      <x:c r="FFT66" s="293"/>
      <x:c r="FFU66" s="293"/>
      <x:c r="FFV66" s="293"/>
      <x:c r="FFW66" s="293"/>
      <x:c r="FFX66" s="293"/>
      <x:c r="FFY66" s="293"/>
      <x:c r="FFZ66" s="293"/>
      <x:c r="FGA66" s="293"/>
      <x:c r="FGB66" s="293"/>
      <x:c r="FGC66" s="293"/>
      <x:c r="FGD66" s="293"/>
      <x:c r="FGE66" s="293"/>
      <x:c r="FGF66" s="293"/>
      <x:c r="FGG66" s="293"/>
      <x:c r="FGH66" s="293"/>
      <x:c r="FGI66" s="293"/>
      <x:c r="FGJ66" s="293"/>
      <x:c r="FGK66" s="293"/>
      <x:c r="FGL66" s="293"/>
      <x:c r="FGM66" s="293"/>
      <x:c r="FGN66" s="293"/>
      <x:c r="FGO66" s="293"/>
      <x:c r="FGP66" s="293"/>
      <x:c r="FGQ66" s="293"/>
      <x:c r="FGR66" s="293"/>
      <x:c r="FGS66" s="293"/>
      <x:c r="FGT66" s="293"/>
      <x:c r="FGU66" s="293"/>
      <x:c r="FGV66" s="293"/>
      <x:c r="FGW66" s="293"/>
      <x:c r="FGX66" s="293"/>
      <x:c r="FGY66" s="293"/>
      <x:c r="FGZ66" s="293"/>
      <x:c r="FHA66" s="293"/>
      <x:c r="FHB66" s="293"/>
      <x:c r="FHC66" s="293"/>
      <x:c r="FHD66" s="293"/>
      <x:c r="FHE66" s="293"/>
      <x:c r="FHF66" s="293"/>
      <x:c r="FHG66" s="293"/>
      <x:c r="FHH66" s="293"/>
      <x:c r="FHI66" s="293"/>
      <x:c r="FHJ66" s="293"/>
      <x:c r="FHK66" s="293"/>
      <x:c r="FHL66" s="293"/>
      <x:c r="FHM66" s="293"/>
      <x:c r="FHN66" s="293"/>
      <x:c r="FHO66" s="293"/>
      <x:c r="FHP66" s="293"/>
      <x:c r="FHQ66" s="293"/>
      <x:c r="FHR66" s="293"/>
      <x:c r="FHS66" s="293"/>
      <x:c r="FHT66" s="293"/>
      <x:c r="FHU66" s="293"/>
      <x:c r="FHV66" s="293"/>
      <x:c r="FHW66" s="293"/>
      <x:c r="FHX66" s="293"/>
      <x:c r="FHY66" s="293"/>
      <x:c r="FHZ66" s="293"/>
      <x:c r="FIA66" s="293"/>
      <x:c r="FIB66" s="293"/>
      <x:c r="FIC66" s="293"/>
      <x:c r="FID66" s="293"/>
      <x:c r="FIE66" s="293"/>
      <x:c r="FIF66" s="293"/>
      <x:c r="FIG66" s="293"/>
      <x:c r="FIH66" s="293"/>
      <x:c r="FII66" s="293"/>
      <x:c r="FIJ66" s="293"/>
      <x:c r="FIK66" s="293"/>
      <x:c r="FIL66" s="293"/>
      <x:c r="FIM66" s="293"/>
      <x:c r="FIN66" s="293"/>
      <x:c r="FIO66" s="293"/>
      <x:c r="FIP66" s="293"/>
      <x:c r="FIQ66" s="293"/>
      <x:c r="FIR66" s="293"/>
      <x:c r="FIS66" s="293"/>
      <x:c r="FIT66" s="293"/>
      <x:c r="FIU66" s="293"/>
      <x:c r="FIV66" s="293"/>
      <x:c r="FIW66" s="293"/>
      <x:c r="FIX66" s="293"/>
      <x:c r="FIY66" s="293"/>
      <x:c r="FIZ66" s="293"/>
      <x:c r="FJA66" s="293"/>
      <x:c r="FJB66" s="293"/>
      <x:c r="FJC66" s="293"/>
      <x:c r="FJD66" s="293"/>
      <x:c r="FJE66" s="293"/>
      <x:c r="FJF66" s="293"/>
      <x:c r="FJG66" s="293"/>
      <x:c r="FJH66" s="293"/>
      <x:c r="FJI66" s="293"/>
      <x:c r="FJJ66" s="293"/>
      <x:c r="FJK66" s="293"/>
      <x:c r="FJL66" s="293"/>
      <x:c r="FJM66" s="293"/>
      <x:c r="FJN66" s="293"/>
      <x:c r="FJO66" s="293"/>
      <x:c r="FJP66" s="293"/>
      <x:c r="FJQ66" s="293"/>
      <x:c r="FJR66" s="293"/>
      <x:c r="FJS66" s="293"/>
      <x:c r="FJT66" s="293"/>
      <x:c r="FJU66" s="293"/>
      <x:c r="FJV66" s="293"/>
      <x:c r="FJW66" s="293"/>
      <x:c r="FJX66" s="293"/>
      <x:c r="FJY66" s="293"/>
      <x:c r="FJZ66" s="293"/>
      <x:c r="FKA66" s="293"/>
      <x:c r="FKB66" s="293"/>
      <x:c r="FKC66" s="293"/>
      <x:c r="FKD66" s="293"/>
      <x:c r="FKE66" s="293"/>
      <x:c r="FKF66" s="293"/>
      <x:c r="FKG66" s="293"/>
      <x:c r="FKH66" s="293"/>
      <x:c r="FKI66" s="293"/>
      <x:c r="FKJ66" s="293"/>
      <x:c r="FKK66" s="293"/>
      <x:c r="FKL66" s="293"/>
      <x:c r="FKM66" s="293"/>
      <x:c r="FKN66" s="293"/>
      <x:c r="FKO66" s="293"/>
      <x:c r="FKP66" s="293"/>
      <x:c r="FKQ66" s="293"/>
      <x:c r="FKR66" s="293"/>
      <x:c r="FKS66" s="293"/>
      <x:c r="FKT66" s="293"/>
      <x:c r="FKU66" s="293"/>
      <x:c r="FKV66" s="293"/>
      <x:c r="FKW66" s="293"/>
      <x:c r="FKX66" s="293"/>
      <x:c r="FKY66" s="293"/>
      <x:c r="FKZ66" s="293"/>
      <x:c r="FLA66" s="293"/>
      <x:c r="FLB66" s="293"/>
      <x:c r="FLC66" s="293"/>
      <x:c r="FLD66" s="293"/>
      <x:c r="FLE66" s="293"/>
      <x:c r="FLF66" s="293"/>
      <x:c r="FLG66" s="293"/>
      <x:c r="FLH66" s="293"/>
      <x:c r="FLI66" s="293"/>
      <x:c r="FLJ66" s="293"/>
      <x:c r="FLK66" s="293"/>
      <x:c r="FLL66" s="293"/>
      <x:c r="FLM66" s="293"/>
      <x:c r="FLN66" s="293"/>
      <x:c r="FLO66" s="293"/>
      <x:c r="FLP66" s="293"/>
      <x:c r="FLQ66" s="293"/>
      <x:c r="FLR66" s="293"/>
      <x:c r="FLS66" s="293"/>
      <x:c r="FLT66" s="293"/>
      <x:c r="FLU66" s="293"/>
      <x:c r="FLV66" s="293"/>
      <x:c r="FLW66" s="293"/>
      <x:c r="FLX66" s="293"/>
      <x:c r="FLY66" s="293"/>
      <x:c r="FLZ66" s="293"/>
      <x:c r="FMA66" s="293"/>
      <x:c r="FMB66" s="293"/>
      <x:c r="FMC66" s="293"/>
      <x:c r="FMD66" s="293"/>
      <x:c r="FME66" s="293"/>
      <x:c r="FMF66" s="293"/>
      <x:c r="FMG66" s="293"/>
      <x:c r="FMH66" s="293"/>
      <x:c r="FMI66" s="293"/>
      <x:c r="FMJ66" s="293"/>
      <x:c r="FMK66" s="293"/>
      <x:c r="FML66" s="293"/>
      <x:c r="FMM66" s="293"/>
      <x:c r="FMN66" s="293"/>
      <x:c r="FMO66" s="293"/>
      <x:c r="FMP66" s="293"/>
      <x:c r="FMQ66" s="293"/>
      <x:c r="FMR66" s="293"/>
      <x:c r="FMS66" s="293"/>
      <x:c r="FMT66" s="293"/>
      <x:c r="FMU66" s="293"/>
      <x:c r="FMV66" s="293"/>
      <x:c r="FMW66" s="293"/>
      <x:c r="FMX66" s="293"/>
      <x:c r="FMY66" s="293"/>
      <x:c r="FMZ66" s="293"/>
      <x:c r="FNA66" s="293"/>
      <x:c r="FNB66" s="293"/>
      <x:c r="FNC66" s="293"/>
      <x:c r="FND66" s="293"/>
      <x:c r="FNE66" s="293"/>
      <x:c r="FNF66" s="293"/>
      <x:c r="FNG66" s="293"/>
      <x:c r="FNH66" s="293"/>
      <x:c r="FNI66" s="293"/>
      <x:c r="FNJ66" s="293"/>
      <x:c r="FNK66" s="293"/>
      <x:c r="FNL66" s="293"/>
      <x:c r="FNM66" s="293"/>
      <x:c r="FNN66" s="293"/>
      <x:c r="FNO66" s="293"/>
      <x:c r="FNP66" s="293"/>
      <x:c r="FNQ66" s="293"/>
      <x:c r="FNR66" s="293"/>
      <x:c r="FNS66" s="293"/>
      <x:c r="FNT66" s="293"/>
      <x:c r="FNU66" s="293"/>
      <x:c r="FNV66" s="293"/>
      <x:c r="FNW66" s="293"/>
      <x:c r="FNX66" s="293"/>
      <x:c r="FNY66" s="293"/>
      <x:c r="FNZ66" s="293"/>
      <x:c r="FOA66" s="293"/>
      <x:c r="FOB66" s="293"/>
      <x:c r="FOC66" s="293"/>
      <x:c r="FOD66" s="293"/>
      <x:c r="FOE66" s="293"/>
      <x:c r="FOF66" s="293"/>
      <x:c r="FOG66" s="293"/>
      <x:c r="FOH66" s="293"/>
      <x:c r="FOI66" s="293"/>
      <x:c r="FOJ66" s="293"/>
      <x:c r="FOK66" s="293"/>
      <x:c r="FOL66" s="293"/>
      <x:c r="FOM66" s="293"/>
      <x:c r="FON66" s="293"/>
      <x:c r="FOO66" s="293"/>
      <x:c r="FOP66" s="293"/>
      <x:c r="FOQ66" s="293"/>
      <x:c r="FOR66" s="293"/>
      <x:c r="FOS66" s="293"/>
      <x:c r="FOT66" s="293"/>
      <x:c r="FOU66" s="293"/>
      <x:c r="FOV66" s="293"/>
      <x:c r="FOW66" s="293"/>
      <x:c r="FOX66" s="293"/>
      <x:c r="FOY66" s="293"/>
      <x:c r="FOZ66" s="293"/>
      <x:c r="FPA66" s="293"/>
      <x:c r="FPB66" s="293"/>
      <x:c r="FPC66" s="293"/>
      <x:c r="FPD66" s="293"/>
      <x:c r="FPE66" s="293"/>
      <x:c r="FPF66" s="293"/>
      <x:c r="FPG66" s="293"/>
      <x:c r="FPH66" s="293"/>
      <x:c r="FPI66" s="293"/>
      <x:c r="FPJ66" s="293"/>
      <x:c r="FPK66" s="293"/>
      <x:c r="FPL66" s="293"/>
      <x:c r="FPM66" s="293"/>
      <x:c r="FPN66" s="293"/>
      <x:c r="FPO66" s="293"/>
      <x:c r="FPP66" s="293"/>
      <x:c r="FPQ66" s="293"/>
      <x:c r="FPR66" s="293"/>
      <x:c r="FPS66" s="293"/>
      <x:c r="FPT66" s="293"/>
      <x:c r="FPU66" s="293"/>
      <x:c r="FPV66" s="293"/>
      <x:c r="FPW66" s="293"/>
      <x:c r="FPX66" s="293"/>
      <x:c r="FPY66" s="293"/>
      <x:c r="FPZ66" s="293"/>
      <x:c r="FQA66" s="293"/>
      <x:c r="FQB66" s="293"/>
      <x:c r="FQC66" s="293"/>
      <x:c r="FQD66" s="293"/>
      <x:c r="FQE66" s="293"/>
      <x:c r="FQF66" s="293"/>
      <x:c r="FQG66" s="293"/>
      <x:c r="FQH66" s="293"/>
      <x:c r="FQI66" s="293"/>
      <x:c r="FQJ66" s="293"/>
      <x:c r="FQK66" s="293"/>
      <x:c r="FQL66" s="293"/>
      <x:c r="FQM66" s="293"/>
      <x:c r="FQN66" s="293"/>
      <x:c r="FQO66" s="293"/>
      <x:c r="FQP66" s="293"/>
      <x:c r="FQQ66" s="293"/>
      <x:c r="FQR66" s="293"/>
      <x:c r="FQS66" s="293"/>
      <x:c r="FQT66" s="293"/>
      <x:c r="FQU66" s="293"/>
      <x:c r="FQV66" s="293"/>
      <x:c r="FQW66" s="293"/>
      <x:c r="FQX66" s="293"/>
      <x:c r="FQY66" s="293"/>
      <x:c r="FQZ66" s="293"/>
      <x:c r="FRA66" s="293"/>
      <x:c r="FRB66" s="293"/>
      <x:c r="FRC66" s="293"/>
      <x:c r="FRD66" s="293"/>
      <x:c r="FRE66" s="293"/>
      <x:c r="FRF66" s="293"/>
      <x:c r="FRG66" s="293"/>
      <x:c r="FRH66" s="293"/>
      <x:c r="FRI66" s="293"/>
      <x:c r="FRJ66" s="293"/>
      <x:c r="FRK66" s="293"/>
      <x:c r="FRL66" s="293"/>
      <x:c r="FRM66" s="293"/>
      <x:c r="FRN66" s="293"/>
      <x:c r="FRO66" s="293"/>
      <x:c r="FRP66" s="293"/>
      <x:c r="FRQ66" s="293"/>
      <x:c r="FRR66" s="293"/>
      <x:c r="FRS66" s="293"/>
      <x:c r="FRT66" s="293"/>
      <x:c r="FRU66" s="293"/>
      <x:c r="FRV66" s="293"/>
      <x:c r="FRW66" s="293"/>
      <x:c r="FRX66" s="293"/>
      <x:c r="FRY66" s="293"/>
      <x:c r="FRZ66" s="293"/>
      <x:c r="FSA66" s="293"/>
      <x:c r="FSB66" s="293"/>
      <x:c r="FSC66" s="293"/>
      <x:c r="FSD66" s="293"/>
      <x:c r="FSE66" s="293"/>
      <x:c r="FSF66" s="293"/>
      <x:c r="FSG66" s="293"/>
      <x:c r="FSH66" s="293"/>
      <x:c r="FSI66" s="293"/>
      <x:c r="FSJ66" s="293"/>
      <x:c r="FSK66" s="293"/>
      <x:c r="FSL66" s="293"/>
      <x:c r="FSM66" s="293"/>
      <x:c r="FSN66" s="293"/>
      <x:c r="FSO66" s="293"/>
      <x:c r="FSP66" s="293"/>
      <x:c r="FSQ66" s="293"/>
      <x:c r="FSR66" s="293"/>
      <x:c r="FSS66" s="293"/>
      <x:c r="FST66" s="293"/>
      <x:c r="FSU66" s="293"/>
      <x:c r="FSV66" s="293"/>
      <x:c r="FSW66" s="293"/>
      <x:c r="FSX66" s="293"/>
      <x:c r="FSY66" s="293"/>
      <x:c r="FSZ66" s="293"/>
      <x:c r="FTA66" s="293"/>
      <x:c r="FTB66" s="293"/>
      <x:c r="FTC66" s="293"/>
      <x:c r="FTD66" s="293"/>
      <x:c r="FTE66" s="293"/>
      <x:c r="FTF66" s="293"/>
      <x:c r="FTG66" s="293"/>
      <x:c r="FTH66" s="293"/>
      <x:c r="FTI66" s="293"/>
      <x:c r="FTJ66" s="293"/>
      <x:c r="FTK66" s="293"/>
      <x:c r="FTL66" s="293"/>
      <x:c r="FTM66" s="293"/>
      <x:c r="FTN66" s="293"/>
      <x:c r="FTO66" s="293"/>
      <x:c r="FTP66" s="293"/>
      <x:c r="FTQ66" s="293"/>
      <x:c r="FTR66" s="293"/>
      <x:c r="FTS66" s="293"/>
      <x:c r="FTT66" s="293"/>
      <x:c r="FTU66" s="293"/>
      <x:c r="FTV66" s="293"/>
      <x:c r="FTW66" s="293"/>
      <x:c r="FTX66" s="293"/>
      <x:c r="FTY66" s="293"/>
      <x:c r="FTZ66" s="293"/>
      <x:c r="FUA66" s="293"/>
      <x:c r="FUB66" s="293"/>
      <x:c r="FUC66" s="293"/>
      <x:c r="FUD66" s="293"/>
      <x:c r="FUE66" s="293"/>
      <x:c r="FUF66" s="293"/>
      <x:c r="FUG66" s="293"/>
      <x:c r="FUH66" s="293"/>
      <x:c r="FUI66" s="293"/>
      <x:c r="FUJ66" s="293"/>
      <x:c r="FUK66" s="293"/>
      <x:c r="FUL66" s="293"/>
      <x:c r="FUM66" s="293"/>
      <x:c r="FUN66" s="293"/>
      <x:c r="FUO66" s="293"/>
      <x:c r="FUP66" s="293"/>
      <x:c r="FUQ66" s="293"/>
      <x:c r="FUR66" s="293"/>
      <x:c r="FUS66" s="293"/>
      <x:c r="FUT66" s="293"/>
      <x:c r="FUU66" s="293"/>
      <x:c r="FUV66" s="293"/>
      <x:c r="FUW66" s="293"/>
      <x:c r="FUX66" s="293"/>
      <x:c r="FUY66" s="293"/>
      <x:c r="FUZ66" s="293"/>
      <x:c r="FVA66" s="293"/>
      <x:c r="FVB66" s="293"/>
      <x:c r="FVC66" s="293"/>
      <x:c r="FVD66" s="293"/>
      <x:c r="FVE66" s="293"/>
      <x:c r="FVF66" s="293"/>
      <x:c r="FVG66" s="293"/>
      <x:c r="FVH66" s="293"/>
      <x:c r="FVI66" s="293"/>
      <x:c r="FVJ66" s="293"/>
      <x:c r="FVK66" s="293"/>
      <x:c r="FVL66" s="293"/>
      <x:c r="FVM66" s="293"/>
      <x:c r="FVN66" s="293"/>
      <x:c r="FVO66" s="293"/>
      <x:c r="FVP66" s="293"/>
      <x:c r="FVQ66" s="293"/>
      <x:c r="FVR66" s="293"/>
      <x:c r="FVS66" s="293"/>
      <x:c r="FVT66" s="293"/>
      <x:c r="FVU66" s="293"/>
      <x:c r="FVV66" s="293"/>
      <x:c r="FVW66" s="293"/>
      <x:c r="FVX66" s="293"/>
      <x:c r="FVY66" s="293"/>
      <x:c r="FVZ66" s="293"/>
      <x:c r="FWA66" s="293"/>
      <x:c r="FWB66" s="293"/>
      <x:c r="FWC66" s="293"/>
      <x:c r="FWD66" s="293"/>
      <x:c r="FWE66" s="293"/>
      <x:c r="FWF66" s="293"/>
      <x:c r="FWG66" s="293"/>
      <x:c r="FWH66" s="293"/>
      <x:c r="FWI66" s="293"/>
      <x:c r="FWJ66" s="293"/>
      <x:c r="FWK66" s="293"/>
      <x:c r="FWL66" s="293"/>
      <x:c r="FWM66" s="293"/>
      <x:c r="FWN66" s="293"/>
      <x:c r="FWO66" s="293"/>
      <x:c r="FWP66" s="293"/>
      <x:c r="FWQ66" s="293"/>
      <x:c r="FWR66" s="293"/>
      <x:c r="FWS66" s="293"/>
      <x:c r="FWT66" s="293"/>
      <x:c r="FWU66" s="293"/>
      <x:c r="FWV66" s="293"/>
      <x:c r="FWW66" s="293"/>
      <x:c r="FWX66" s="293"/>
      <x:c r="FWY66" s="293"/>
      <x:c r="FWZ66" s="293"/>
      <x:c r="FXA66" s="293"/>
      <x:c r="FXB66" s="293"/>
      <x:c r="FXC66" s="293"/>
      <x:c r="FXD66" s="293"/>
      <x:c r="FXE66" s="293"/>
      <x:c r="FXF66" s="293"/>
      <x:c r="FXG66" s="293"/>
      <x:c r="FXH66" s="293"/>
      <x:c r="FXI66" s="293"/>
      <x:c r="FXJ66" s="293"/>
      <x:c r="FXK66" s="293"/>
      <x:c r="FXL66" s="293"/>
      <x:c r="FXM66" s="293"/>
      <x:c r="FXN66" s="293"/>
      <x:c r="FXO66" s="293"/>
      <x:c r="FXP66" s="293"/>
      <x:c r="FXQ66" s="293"/>
      <x:c r="FXR66" s="293"/>
      <x:c r="FXS66" s="293"/>
      <x:c r="FXT66" s="293"/>
      <x:c r="FXU66" s="293"/>
      <x:c r="FXV66" s="293"/>
      <x:c r="FXW66" s="293"/>
      <x:c r="FXX66" s="293"/>
      <x:c r="FXY66" s="293"/>
      <x:c r="FXZ66" s="293"/>
      <x:c r="FYA66" s="293"/>
      <x:c r="FYB66" s="293"/>
      <x:c r="FYC66" s="293"/>
      <x:c r="FYD66" s="293"/>
      <x:c r="FYE66" s="293"/>
      <x:c r="FYF66" s="293"/>
      <x:c r="FYG66" s="293"/>
      <x:c r="FYH66" s="293"/>
      <x:c r="FYI66" s="293"/>
      <x:c r="FYJ66" s="293"/>
      <x:c r="FYK66" s="293"/>
      <x:c r="FYL66" s="293"/>
      <x:c r="FYM66" s="293"/>
      <x:c r="FYN66" s="293"/>
      <x:c r="FYO66" s="293"/>
      <x:c r="FYP66" s="293"/>
      <x:c r="FYQ66" s="293"/>
      <x:c r="FYR66" s="293"/>
      <x:c r="FYS66" s="293"/>
      <x:c r="FYT66" s="293"/>
      <x:c r="FYU66" s="293"/>
      <x:c r="FYV66" s="293"/>
      <x:c r="FYW66" s="293"/>
      <x:c r="FYX66" s="293"/>
      <x:c r="FYY66" s="293"/>
      <x:c r="FYZ66" s="293"/>
      <x:c r="FZA66" s="293"/>
      <x:c r="FZB66" s="293"/>
      <x:c r="FZC66" s="293"/>
      <x:c r="FZD66" s="293"/>
      <x:c r="FZE66" s="293"/>
      <x:c r="FZF66" s="293"/>
      <x:c r="FZG66" s="293"/>
      <x:c r="FZH66" s="293"/>
      <x:c r="FZI66" s="293"/>
      <x:c r="FZJ66" s="293"/>
      <x:c r="FZK66" s="293"/>
      <x:c r="FZL66" s="293"/>
      <x:c r="FZM66" s="293"/>
      <x:c r="FZN66" s="293"/>
      <x:c r="FZO66" s="293"/>
      <x:c r="FZP66" s="293"/>
      <x:c r="FZQ66" s="293"/>
      <x:c r="FZR66" s="293"/>
      <x:c r="FZS66" s="293"/>
      <x:c r="FZT66" s="293"/>
      <x:c r="FZU66" s="293"/>
      <x:c r="FZV66" s="293"/>
      <x:c r="FZW66" s="293"/>
      <x:c r="FZX66" s="293"/>
      <x:c r="FZY66" s="293"/>
      <x:c r="FZZ66" s="293"/>
      <x:c r="GAA66" s="293"/>
      <x:c r="GAB66" s="293"/>
      <x:c r="GAC66" s="293"/>
      <x:c r="GAD66" s="293"/>
      <x:c r="GAE66" s="293"/>
      <x:c r="GAF66" s="293"/>
      <x:c r="GAG66" s="293"/>
      <x:c r="GAH66" s="293"/>
      <x:c r="GAI66" s="293"/>
      <x:c r="GAJ66" s="293"/>
      <x:c r="GAK66" s="293"/>
      <x:c r="GAL66" s="293"/>
      <x:c r="GAM66" s="293"/>
      <x:c r="GAN66" s="293"/>
      <x:c r="GAO66" s="293"/>
      <x:c r="GAP66" s="293"/>
      <x:c r="GAQ66" s="293"/>
      <x:c r="GAR66" s="293"/>
      <x:c r="GAS66" s="293"/>
      <x:c r="GAT66" s="293"/>
      <x:c r="GAU66" s="293"/>
      <x:c r="GAV66" s="293"/>
      <x:c r="GAW66" s="293"/>
      <x:c r="GAX66" s="293"/>
      <x:c r="GAY66" s="293"/>
      <x:c r="GAZ66" s="293"/>
      <x:c r="GBA66" s="293"/>
      <x:c r="GBB66" s="293"/>
      <x:c r="GBC66" s="293"/>
      <x:c r="GBD66" s="293"/>
      <x:c r="GBE66" s="293"/>
      <x:c r="GBF66" s="293"/>
      <x:c r="GBG66" s="293"/>
      <x:c r="GBH66" s="293"/>
      <x:c r="GBI66" s="293"/>
      <x:c r="GBJ66" s="293"/>
      <x:c r="GBK66" s="293"/>
      <x:c r="GBL66" s="293"/>
      <x:c r="GBM66" s="293"/>
      <x:c r="GBN66" s="293"/>
      <x:c r="GBO66" s="293"/>
      <x:c r="GBP66" s="293"/>
      <x:c r="GBQ66" s="293"/>
      <x:c r="GBR66" s="293"/>
      <x:c r="GBS66" s="293"/>
      <x:c r="GBT66" s="293"/>
      <x:c r="GBU66" s="293"/>
      <x:c r="GBV66" s="293"/>
      <x:c r="GBW66" s="293"/>
      <x:c r="GBX66" s="293"/>
      <x:c r="GBY66" s="293"/>
      <x:c r="GBZ66" s="293"/>
      <x:c r="GCA66" s="293"/>
      <x:c r="GCB66" s="293"/>
      <x:c r="GCC66" s="293"/>
      <x:c r="GCD66" s="293"/>
      <x:c r="GCE66" s="293"/>
      <x:c r="GCF66" s="293"/>
      <x:c r="GCG66" s="293"/>
      <x:c r="GCH66" s="293"/>
      <x:c r="GCI66" s="293"/>
      <x:c r="GCJ66" s="293"/>
      <x:c r="GCK66" s="293"/>
      <x:c r="GCL66" s="293"/>
      <x:c r="GCM66" s="293"/>
      <x:c r="GCN66" s="293"/>
      <x:c r="GCO66" s="293"/>
      <x:c r="GCP66" s="293"/>
      <x:c r="GCQ66" s="293"/>
      <x:c r="GCR66" s="293"/>
      <x:c r="GCS66" s="293"/>
      <x:c r="GCT66" s="293"/>
      <x:c r="GCU66" s="293"/>
      <x:c r="GCV66" s="293"/>
      <x:c r="GCW66" s="293"/>
      <x:c r="GCX66" s="293"/>
      <x:c r="GCY66" s="293"/>
      <x:c r="GCZ66" s="293"/>
      <x:c r="GDA66" s="293"/>
      <x:c r="GDB66" s="293"/>
      <x:c r="GDC66" s="293"/>
      <x:c r="GDD66" s="293"/>
      <x:c r="GDE66" s="293"/>
      <x:c r="GDF66" s="293"/>
      <x:c r="GDG66" s="293"/>
      <x:c r="GDH66" s="293"/>
      <x:c r="GDI66" s="293"/>
      <x:c r="GDJ66" s="293"/>
      <x:c r="GDK66" s="293"/>
      <x:c r="GDL66" s="293"/>
      <x:c r="GDM66" s="293"/>
      <x:c r="GDN66" s="293"/>
      <x:c r="GDO66" s="293"/>
      <x:c r="GDP66" s="293"/>
      <x:c r="GDQ66" s="293"/>
      <x:c r="GDR66" s="293"/>
      <x:c r="GDS66" s="293"/>
      <x:c r="GDT66" s="293"/>
      <x:c r="GDU66" s="293"/>
      <x:c r="GDV66" s="293"/>
      <x:c r="GDW66" s="293"/>
      <x:c r="GDX66" s="293"/>
      <x:c r="GDY66" s="293"/>
      <x:c r="GDZ66" s="293"/>
      <x:c r="GEA66" s="293"/>
      <x:c r="GEB66" s="293"/>
      <x:c r="GEC66" s="293"/>
      <x:c r="GED66" s="293"/>
      <x:c r="GEE66" s="293"/>
      <x:c r="GEF66" s="293"/>
      <x:c r="GEG66" s="293"/>
      <x:c r="GEH66" s="293"/>
      <x:c r="GEI66" s="293"/>
      <x:c r="GEJ66" s="293"/>
      <x:c r="GEK66" s="293"/>
      <x:c r="GEL66" s="293"/>
      <x:c r="GEM66" s="293"/>
      <x:c r="GEN66" s="293"/>
      <x:c r="GEO66" s="293"/>
      <x:c r="GEP66" s="293"/>
      <x:c r="GEQ66" s="293"/>
      <x:c r="GER66" s="293"/>
      <x:c r="GES66" s="293"/>
      <x:c r="GET66" s="293"/>
      <x:c r="GEU66" s="293"/>
      <x:c r="GEV66" s="293"/>
      <x:c r="GEW66" s="293"/>
      <x:c r="GEX66" s="293"/>
      <x:c r="GEY66" s="293"/>
      <x:c r="GEZ66" s="293"/>
      <x:c r="GFA66" s="293"/>
      <x:c r="GFB66" s="293"/>
      <x:c r="GFC66" s="293"/>
      <x:c r="GFD66" s="293"/>
      <x:c r="GFE66" s="293"/>
      <x:c r="GFF66" s="293"/>
      <x:c r="GFG66" s="293"/>
      <x:c r="GFH66" s="293"/>
      <x:c r="GFI66" s="293"/>
      <x:c r="GFJ66" s="293"/>
      <x:c r="GFK66" s="293"/>
      <x:c r="GFL66" s="293"/>
      <x:c r="GFM66" s="293"/>
      <x:c r="GFN66" s="293"/>
      <x:c r="GFO66" s="293"/>
      <x:c r="GFP66" s="293"/>
      <x:c r="GFQ66" s="293"/>
      <x:c r="GFR66" s="293"/>
      <x:c r="GFS66" s="293"/>
      <x:c r="GFT66" s="293"/>
      <x:c r="GFU66" s="293"/>
      <x:c r="GFV66" s="293"/>
      <x:c r="GFW66" s="293"/>
      <x:c r="GFX66" s="293"/>
      <x:c r="GFY66" s="293"/>
      <x:c r="GFZ66" s="293"/>
      <x:c r="GGA66" s="293"/>
      <x:c r="GGB66" s="293"/>
      <x:c r="GGC66" s="293"/>
      <x:c r="GGD66" s="293"/>
      <x:c r="GGE66" s="293"/>
      <x:c r="GGF66" s="293"/>
      <x:c r="GGG66" s="293"/>
      <x:c r="GGH66" s="293"/>
      <x:c r="GGI66" s="293"/>
      <x:c r="GGJ66" s="293"/>
      <x:c r="GGK66" s="293"/>
      <x:c r="GGL66" s="293"/>
      <x:c r="GGM66" s="293"/>
      <x:c r="GGN66" s="293"/>
      <x:c r="GGO66" s="293"/>
      <x:c r="GGP66" s="293"/>
      <x:c r="GGQ66" s="293"/>
      <x:c r="GGR66" s="293"/>
      <x:c r="GGS66" s="293"/>
      <x:c r="GGT66" s="293"/>
      <x:c r="GGU66" s="293"/>
      <x:c r="GGV66" s="293"/>
      <x:c r="GGW66" s="293"/>
      <x:c r="GGX66" s="293"/>
      <x:c r="GGY66" s="293"/>
      <x:c r="GGZ66" s="293"/>
      <x:c r="GHA66" s="293"/>
      <x:c r="GHB66" s="293"/>
      <x:c r="GHC66" s="293"/>
      <x:c r="GHD66" s="293"/>
      <x:c r="GHE66" s="293"/>
      <x:c r="GHF66" s="293"/>
      <x:c r="GHG66" s="293"/>
      <x:c r="GHH66" s="293"/>
      <x:c r="GHI66" s="293"/>
      <x:c r="GHJ66" s="293"/>
      <x:c r="GHK66" s="293"/>
      <x:c r="GHL66" s="293"/>
      <x:c r="GHM66" s="293"/>
      <x:c r="GHN66" s="293"/>
      <x:c r="GHO66" s="293"/>
      <x:c r="GHP66" s="293"/>
      <x:c r="GHQ66" s="293"/>
      <x:c r="GHR66" s="293"/>
      <x:c r="GHS66" s="293"/>
      <x:c r="GHT66" s="293"/>
      <x:c r="GHU66" s="293"/>
      <x:c r="GHV66" s="293"/>
      <x:c r="GHW66" s="293"/>
      <x:c r="GHX66" s="293"/>
      <x:c r="GHY66" s="293"/>
      <x:c r="GHZ66" s="293"/>
      <x:c r="GIA66" s="293"/>
      <x:c r="GIB66" s="293"/>
      <x:c r="GIC66" s="293"/>
      <x:c r="GID66" s="293"/>
      <x:c r="GIE66" s="293"/>
      <x:c r="GIF66" s="293"/>
      <x:c r="GIG66" s="293"/>
      <x:c r="GIH66" s="293"/>
      <x:c r="GII66" s="293"/>
      <x:c r="GIJ66" s="293"/>
      <x:c r="GIK66" s="293"/>
      <x:c r="GIL66" s="293"/>
      <x:c r="GIM66" s="293"/>
      <x:c r="GIN66" s="293"/>
      <x:c r="GIO66" s="293"/>
      <x:c r="GIP66" s="293"/>
      <x:c r="GIQ66" s="293"/>
      <x:c r="GIR66" s="293"/>
      <x:c r="GIS66" s="293"/>
      <x:c r="GIT66" s="293"/>
      <x:c r="GIU66" s="293"/>
      <x:c r="GIV66" s="293"/>
      <x:c r="GIW66" s="293"/>
      <x:c r="GIX66" s="293"/>
      <x:c r="GIY66" s="293"/>
      <x:c r="GIZ66" s="293"/>
      <x:c r="GJA66" s="293"/>
      <x:c r="GJB66" s="293"/>
      <x:c r="GJC66" s="293"/>
      <x:c r="GJD66" s="293"/>
      <x:c r="GJE66" s="293"/>
      <x:c r="GJF66" s="293"/>
      <x:c r="GJG66" s="293"/>
      <x:c r="GJH66" s="293"/>
      <x:c r="GJI66" s="293"/>
      <x:c r="GJJ66" s="293"/>
      <x:c r="GJK66" s="293"/>
      <x:c r="GJL66" s="293"/>
      <x:c r="GJM66" s="293"/>
      <x:c r="GJN66" s="293"/>
      <x:c r="GJO66" s="293"/>
      <x:c r="GJP66" s="293"/>
      <x:c r="GJQ66" s="293"/>
      <x:c r="GJR66" s="293"/>
      <x:c r="GJS66" s="293"/>
      <x:c r="GJT66" s="293"/>
      <x:c r="GJU66" s="293"/>
      <x:c r="GJV66" s="293"/>
      <x:c r="GJW66" s="293"/>
      <x:c r="GJX66" s="293"/>
      <x:c r="GJY66" s="293"/>
      <x:c r="GJZ66" s="293"/>
      <x:c r="GKA66" s="293"/>
      <x:c r="GKB66" s="293"/>
      <x:c r="GKC66" s="293"/>
      <x:c r="GKD66" s="293"/>
      <x:c r="GKE66" s="293"/>
      <x:c r="GKF66" s="293"/>
      <x:c r="GKG66" s="293"/>
      <x:c r="GKH66" s="293"/>
      <x:c r="GKI66" s="293"/>
      <x:c r="GKJ66" s="293"/>
      <x:c r="GKK66" s="293"/>
      <x:c r="GKL66" s="293"/>
      <x:c r="GKM66" s="293"/>
      <x:c r="GKN66" s="293"/>
      <x:c r="GKO66" s="293"/>
      <x:c r="GKP66" s="293"/>
      <x:c r="GKQ66" s="293"/>
      <x:c r="GKR66" s="293"/>
      <x:c r="GKS66" s="293"/>
      <x:c r="GKT66" s="293"/>
      <x:c r="GKU66" s="293"/>
      <x:c r="GKV66" s="293"/>
      <x:c r="GKW66" s="293"/>
      <x:c r="GKX66" s="293"/>
      <x:c r="GKY66" s="293"/>
      <x:c r="GKZ66" s="293"/>
      <x:c r="GLA66" s="293"/>
      <x:c r="GLB66" s="293"/>
      <x:c r="GLC66" s="293"/>
      <x:c r="GLD66" s="293"/>
      <x:c r="GLE66" s="293"/>
      <x:c r="GLF66" s="293"/>
      <x:c r="GLG66" s="293"/>
      <x:c r="GLH66" s="293"/>
      <x:c r="GLI66" s="293"/>
      <x:c r="GLJ66" s="293"/>
      <x:c r="GLK66" s="293"/>
      <x:c r="GLL66" s="293"/>
      <x:c r="GLM66" s="293"/>
      <x:c r="GLN66" s="293"/>
      <x:c r="GLO66" s="293"/>
      <x:c r="GLP66" s="293"/>
      <x:c r="GLQ66" s="293"/>
      <x:c r="GLR66" s="293"/>
      <x:c r="GLS66" s="293"/>
      <x:c r="GLT66" s="293"/>
      <x:c r="GLU66" s="293"/>
      <x:c r="GLV66" s="293"/>
      <x:c r="GLW66" s="293"/>
      <x:c r="GLX66" s="293"/>
      <x:c r="GLY66" s="293"/>
      <x:c r="GLZ66" s="293"/>
      <x:c r="GMA66" s="293"/>
      <x:c r="GMB66" s="293"/>
      <x:c r="GMC66" s="293"/>
      <x:c r="GMD66" s="293"/>
      <x:c r="GME66" s="293"/>
      <x:c r="GMF66" s="293"/>
      <x:c r="GMG66" s="293"/>
      <x:c r="GMH66" s="293"/>
      <x:c r="GMI66" s="293"/>
      <x:c r="GMJ66" s="293"/>
      <x:c r="GMK66" s="293"/>
      <x:c r="GML66" s="293"/>
      <x:c r="GMM66" s="293"/>
      <x:c r="GMN66" s="293"/>
      <x:c r="GMO66" s="293"/>
      <x:c r="GMP66" s="293"/>
      <x:c r="GMQ66" s="293"/>
      <x:c r="GMR66" s="293"/>
      <x:c r="GMS66" s="293"/>
      <x:c r="GMT66" s="293"/>
      <x:c r="GMU66" s="293"/>
      <x:c r="GMV66" s="293"/>
      <x:c r="GMW66" s="293"/>
      <x:c r="GMX66" s="293"/>
      <x:c r="GMY66" s="293"/>
      <x:c r="GMZ66" s="293"/>
      <x:c r="GNA66" s="293"/>
      <x:c r="GNB66" s="293"/>
      <x:c r="GNC66" s="293"/>
      <x:c r="GND66" s="293"/>
      <x:c r="GNE66" s="293"/>
      <x:c r="GNF66" s="293"/>
      <x:c r="GNG66" s="293"/>
      <x:c r="GNH66" s="293"/>
      <x:c r="GNI66" s="293"/>
      <x:c r="GNJ66" s="293"/>
      <x:c r="GNK66" s="293"/>
      <x:c r="GNL66" s="293"/>
      <x:c r="GNM66" s="293"/>
      <x:c r="GNN66" s="293"/>
      <x:c r="GNO66" s="293"/>
      <x:c r="GNP66" s="293"/>
      <x:c r="GNQ66" s="293"/>
      <x:c r="GNR66" s="293"/>
      <x:c r="GNS66" s="293"/>
      <x:c r="GNT66" s="293"/>
      <x:c r="GNU66" s="293"/>
      <x:c r="GNV66" s="293"/>
      <x:c r="GNW66" s="293"/>
      <x:c r="GNX66" s="293"/>
      <x:c r="GNY66" s="293"/>
      <x:c r="GNZ66" s="293"/>
      <x:c r="GOA66" s="293"/>
      <x:c r="GOB66" s="293"/>
      <x:c r="GOC66" s="293"/>
      <x:c r="GOD66" s="293"/>
      <x:c r="GOE66" s="293"/>
      <x:c r="GOF66" s="293"/>
      <x:c r="GOG66" s="293"/>
      <x:c r="GOH66" s="293"/>
      <x:c r="GOI66" s="293"/>
      <x:c r="GOJ66" s="293"/>
      <x:c r="GOK66" s="293"/>
      <x:c r="GOL66" s="293"/>
      <x:c r="GOM66" s="293"/>
      <x:c r="GON66" s="293"/>
      <x:c r="GOO66" s="293"/>
      <x:c r="GOP66" s="293"/>
      <x:c r="GOQ66" s="293"/>
      <x:c r="GOR66" s="293"/>
      <x:c r="GOS66" s="293"/>
      <x:c r="GOT66" s="293"/>
      <x:c r="GOU66" s="293"/>
      <x:c r="GOV66" s="293"/>
      <x:c r="GOW66" s="293"/>
      <x:c r="GOX66" s="293"/>
      <x:c r="GOY66" s="293"/>
      <x:c r="GOZ66" s="293"/>
      <x:c r="GPA66" s="293"/>
      <x:c r="GPB66" s="293"/>
      <x:c r="GPC66" s="293"/>
      <x:c r="GPD66" s="293"/>
      <x:c r="GPE66" s="293"/>
      <x:c r="GPF66" s="293"/>
      <x:c r="GPG66" s="293"/>
      <x:c r="GPH66" s="293"/>
      <x:c r="GPI66" s="293"/>
      <x:c r="GPJ66" s="293"/>
      <x:c r="GPK66" s="293"/>
      <x:c r="GPL66" s="293"/>
      <x:c r="GPM66" s="293"/>
      <x:c r="GPN66" s="293"/>
      <x:c r="GPO66" s="293"/>
      <x:c r="GPP66" s="293"/>
      <x:c r="GPQ66" s="293"/>
      <x:c r="GPR66" s="293"/>
      <x:c r="GPS66" s="293"/>
      <x:c r="GPT66" s="293"/>
      <x:c r="GPU66" s="293"/>
      <x:c r="GPV66" s="293"/>
      <x:c r="GPW66" s="293"/>
      <x:c r="GPX66" s="293"/>
      <x:c r="GPY66" s="293"/>
      <x:c r="GPZ66" s="293"/>
      <x:c r="GQA66" s="293"/>
      <x:c r="GQB66" s="293"/>
      <x:c r="GQC66" s="293"/>
      <x:c r="GQD66" s="293"/>
      <x:c r="GQE66" s="293"/>
      <x:c r="GQF66" s="293"/>
      <x:c r="GQG66" s="293"/>
      <x:c r="GQH66" s="293"/>
      <x:c r="GQI66" s="293"/>
      <x:c r="GQJ66" s="293"/>
      <x:c r="GQK66" s="293"/>
      <x:c r="GQL66" s="293"/>
      <x:c r="GQM66" s="293"/>
      <x:c r="GQN66" s="293"/>
      <x:c r="GQO66" s="293"/>
      <x:c r="GQP66" s="293"/>
      <x:c r="GQQ66" s="293"/>
      <x:c r="GQR66" s="293"/>
      <x:c r="GQS66" s="293"/>
      <x:c r="GQT66" s="293"/>
      <x:c r="GQU66" s="293"/>
      <x:c r="GQV66" s="293"/>
      <x:c r="GQW66" s="293"/>
      <x:c r="GQX66" s="293"/>
      <x:c r="GQY66" s="293"/>
      <x:c r="GQZ66" s="293"/>
      <x:c r="GRA66" s="293"/>
      <x:c r="GRB66" s="293"/>
      <x:c r="GRC66" s="293"/>
      <x:c r="GRD66" s="293"/>
      <x:c r="GRE66" s="293"/>
      <x:c r="GRF66" s="293"/>
      <x:c r="GRG66" s="293"/>
      <x:c r="GRH66" s="293"/>
      <x:c r="GRI66" s="293"/>
      <x:c r="GRJ66" s="293"/>
      <x:c r="GRK66" s="293"/>
      <x:c r="GRL66" s="293"/>
      <x:c r="GRM66" s="293"/>
      <x:c r="GRN66" s="293"/>
      <x:c r="GRO66" s="293"/>
      <x:c r="GRP66" s="293"/>
      <x:c r="GRQ66" s="293"/>
      <x:c r="GRR66" s="293"/>
      <x:c r="GRS66" s="293"/>
      <x:c r="GRT66" s="293"/>
      <x:c r="GRU66" s="293"/>
      <x:c r="GRV66" s="293"/>
      <x:c r="GRW66" s="293"/>
      <x:c r="GRX66" s="293"/>
      <x:c r="GRY66" s="293"/>
      <x:c r="GRZ66" s="293"/>
      <x:c r="GSA66" s="293"/>
      <x:c r="GSB66" s="293"/>
      <x:c r="GSC66" s="293"/>
      <x:c r="GSD66" s="293"/>
      <x:c r="GSE66" s="293"/>
      <x:c r="GSF66" s="293"/>
      <x:c r="GSG66" s="293"/>
      <x:c r="GSH66" s="293"/>
      <x:c r="GSI66" s="293"/>
      <x:c r="GSJ66" s="293"/>
      <x:c r="GSK66" s="293"/>
      <x:c r="GSL66" s="293"/>
      <x:c r="GSM66" s="293"/>
      <x:c r="GSN66" s="293"/>
      <x:c r="GSO66" s="293"/>
      <x:c r="GSP66" s="293"/>
      <x:c r="GSQ66" s="293"/>
      <x:c r="GSR66" s="293"/>
      <x:c r="GSS66" s="293"/>
      <x:c r="GST66" s="293"/>
      <x:c r="GSU66" s="293"/>
      <x:c r="GSV66" s="293"/>
      <x:c r="GSW66" s="293"/>
      <x:c r="GSX66" s="293"/>
      <x:c r="GSY66" s="293"/>
      <x:c r="GSZ66" s="293"/>
      <x:c r="GTA66" s="293"/>
      <x:c r="GTB66" s="293"/>
      <x:c r="GTC66" s="293"/>
      <x:c r="GTD66" s="293"/>
      <x:c r="GTE66" s="293"/>
      <x:c r="GTF66" s="293"/>
      <x:c r="GTG66" s="293"/>
      <x:c r="GTH66" s="293"/>
      <x:c r="GTI66" s="293"/>
      <x:c r="GTJ66" s="293"/>
      <x:c r="GTK66" s="293"/>
      <x:c r="GTL66" s="293"/>
      <x:c r="GTM66" s="293"/>
      <x:c r="GTN66" s="293"/>
      <x:c r="GTO66" s="293"/>
      <x:c r="GTP66" s="293"/>
      <x:c r="GTQ66" s="293"/>
      <x:c r="GTR66" s="293"/>
      <x:c r="GTS66" s="293"/>
      <x:c r="GTT66" s="293"/>
      <x:c r="GTU66" s="293"/>
      <x:c r="GTV66" s="293"/>
      <x:c r="GTW66" s="293"/>
      <x:c r="GTX66" s="293"/>
      <x:c r="GTY66" s="293"/>
      <x:c r="GTZ66" s="293"/>
      <x:c r="GUA66" s="293"/>
      <x:c r="GUB66" s="293"/>
      <x:c r="GUC66" s="293"/>
      <x:c r="GUD66" s="293"/>
      <x:c r="GUE66" s="293"/>
      <x:c r="GUF66" s="293"/>
      <x:c r="GUG66" s="293"/>
      <x:c r="GUH66" s="293"/>
      <x:c r="GUI66" s="293"/>
      <x:c r="GUJ66" s="293"/>
      <x:c r="GUK66" s="293"/>
      <x:c r="GUL66" s="293"/>
      <x:c r="GUM66" s="293"/>
      <x:c r="GUN66" s="293"/>
      <x:c r="GUO66" s="293"/>
      <x:c r="GUP66" s="293"/>
      <x:c r="GUQ66" s="293"/>
      <x:c r="GUR66" s="293"/>
      <x:c r="GUS66" s="293"/>
      <x:c r="GUT66" s="293"/>
      <x:c r="GUU66" s="293"/>
      <x:c r="GUV66" s="293"/>
      <x:c r="GUW66" s="293"/>
      <x:c r="GUX66" s="293"/>
      <x:c r="GUY66" s="293"/>
      <x:c r="GUZ66" s="293"/>
      <x:c r="GVA66" s="293"/>
      <x:c r="GVB66" s="293"/>
      <x:c r="GVC66" s="293"/>
      <x:c r="GVD66" s="293"/>
      <x:c r="GVE66" s="293"/>
      <x:c r="GVF66" s="293"/>
      <x:c r="GVG66" s="293"/>
      <x:c r="GVH66" s="293"/>
      <x:c r="GVI66" s="293"/>
      <x:c r="GVJ66" s="293"/>
      <x:c r="GVK66" s="293"/>
      <x:c r="GVL66" s="293"/>
      <x:c r="GVM66" s="293"/>
      <x:c r="GVN66" s="293"/>
      <x:c r="GVO66" s="293"/>
      <x:c r="GVP66" s="293"/>
      <x:c r="GVQ66" s="293"/>
      <x:c r="GVR66" s="293"/>
      <x:c r="GVS66" s="293"/>
      <x:c r="GVT66" s="293"/>
      <x:c r="GVU66" s="293"/>
      <x:c r="GVV66" s="293"/>
      <x:c r="GVW66" s="293"/>
      <x:c r="GVX66" s="293"/>
      <x:c r="GVY66" s="293"/>
      <x:c r="GVZ66" s="293"/>
      <x:c r="GWA66" s="293"/>
      <x:c r="GWB66" s="293"/>
      <x:c r="GWC66" s="293"/>
      <x:c r="GWD66" s="293"/>
      <x:c r="GWE66" s="293"/>
      <x:c r="GWF66" s="293"/>
      <x:c r="GWG66" s="293"/>
      <x:c r="GWH66" s="293"/>
      <x:c r="GWI66" s="293"/>
      <x:c r="GWJ66" s="293"/>
      <x:c r="GWK66" s="293"/>
      <x:c r="GWL66" s="293"/>
      <x:c r="GWM66" s="293"/>
      <x:c r="GWN66" s="293"/>
      <x:c r="GWO66" s="293"/>
      <x:c r="GWP66" s="293"/>
      <x:c r="GWQ66" s="293"/>
      <x:c r="GWR66" s="293"/>
      <x:c r="GWS66" s="293"/>
      <x:c r="GWT66" s="293"/>
      <x:c r="GWU66" s="293"/>
      <x:c r="GWV66" s="293"/>
      <x:c r="GWW66" s="293"/>
      <x:c r="GWX66" s="293"/>
      <x:c r="GWY66" s="293"/>
      <x:c r="GWZ66" s="293"/>
      <x:c r="GXA66" s="293"/>
      <x:c r="GXB66" s="293"/>
      <x:c r="GXC66" s="293"/>
      <x:c r="GXD66" s="293"/>
      <x:c r="GXE66" s="293"/>
      <x:c r="GXF66" s="293"/>
      <x:c r="GXG66" s="293"/>
      <x:c r="GXH66" s="293"/>
      <x:c r="GXI66" s="293"/>
      <x:c r="GXJ66" s="293"/>
      <x:c r="GXK66" s="293"/>
      <x:c r="GXL66" s="293"/>
      <x:c r="GXM66" s="293"/>
      <x:c r="GXN66" s="293"/>
      <x:c r="GXO66" s="293"/>
      <x:c r="GXP66" s="293"/>
      <x:c r="GXQ66" s="293"/>
      <x:c r="GXR66" s="293"/>
      <x:c r="GXS66" s="293"/>
      <x:c r="GXT66" s="293"/>
      <x:c r="GXU66" s="293"/>
      <x:c r="GXV66" s="293"/>
      <x:c r="GXW66" s="293"/>
      <x:c r="GXX66" s="293"/>
      <x:c r="GXY66" s="293"/>
      <x:c r="GXZ66" s="293"/>
      <x:c r="GYA66" s="293"/>
      <x:c r="GYB66" s="293"/>
      <x:c r="GYC66" s="293"/>
      <x:c r="GYD66" s="293"/>
      <x:c r="GYE66" s="293"/>
      <x:c r="GYF66" s="293"/>
      <x:c r="GYG66" s="293"/>
      <x:c r="GYH66" s="293"/>
      <x:c r="GYI66" s="293"/>
      <x:c r="GYJ66" s="293"/>
      <x:c r="GYK66" s="293"/>
      <x:c r="GYL66" s="293"/>
      <x:c r="GYM66" s="293"/>
      <x:c r="GYN66" s="293"/>
      <x:c r="GYO66" s="293"/>
      <x:c r="GYP66" s="293"/>
      <x:c r="GYQ66" s="293"/>
      <x:c r="GYR66" s="293"/>
      <x:c r="GYS66" s="293"/>
      <x:c r="GYT66" s="293"/>
      <x:c r="GYU66" s="293"/>
      <x:c r="GYV66" s="293"/>
      <x:c r="GYW66" s="293"/>
      <x:c r="GYX66" s="293"/>
      <x:c r="GYY66" s="293"/>
      <x:c r="GYZ66" s="293"/>
      <x:c r="GZA66" s="293"/>
      <x:c r="GZB66" s="293"/>
      <x:c r="GZC66" s="293"/>
      <x:c r="GZD66" s="293"/>
      <x:c r="GZE66" s="293"/>
      <x:c r="GZF66" s="293"/>
      <x:c r="GZG66" s="293"/>
      <x:c r="GZH66" s="293"/>
      <x:c r="GZI66" s="293"/>
      <x:c r="GZJ66" s="293"/>
      <x:c r="GZK66" s="293"/>
      <x:c r="GZL66" s="293"/>
      <x:c r="GZM66" s="293"/>
      <x:c r="GZN66" s="293"/>
      <x:c r="GZO66" s="293"/>
      <x:c r="GZP66" s="293"/>
      <x:c r="GZQ66" s="293"/>
      <x:c r="GZR66" s="293"/>
      <x:c r="GZS66" s="293"/>
      <x:c r="GZT66" s="293"/>
      <x:c r="GZU66" s="293"/>
      <x:c r="GZV66" s="293"/>
      <x:c r="GZW66" s="293"/>
      <x:c r="GZX66" s="293"/>
      <x:c r="GZY66" s="293"/>
      <x:c r="GZZ66" s="293"/>
      <x:c r="HAA66" s="293"/>
      <x:c r="HAB66" s="293"/>
      <x:c r="HAC66" s="293"/>
      <x:c r="HAD66" s="293"/>
      <x:c r="HAE66" s="293"/>
      <x:c r="HAF66" s="293"/>
      <x:c r="HAG66" s="293"/>
      <x:c r="HAH66" s="293"/>
      <x:c r="HAI66" s="293"/>
      <x:c r="HAJ66" s="293"/>
      <x:c r="HAK66" s="293"/>
      <x:c r="HAL66" s="293"/>
      <x:c r="HAM66" s="293"/>
      <x:c r="HAN66" s="293"/>
      <x:c r="HAO66" s="293"/>
      <x:c r="HAP66" s="293"/>
      <x:c r="HAQ66" s="293"/>
      <x:c r="HAR66" s="293"/>
      <x:c r="HAS66" s="293"/>
      <x:c r="HAT66" s="293"/>
      <x:c r="HAU66" s="293"/>
      <x:c r="HAV66" s="293"/>
      <x:c r="HAW66" s="293"/>
      <x:c r="HAX66" s="293"/>
      <x:c r="HAY66" s="293"/>
      <x:c r="HAZ66" s="293"/>
      <x:c r="HBA66" s="293"/>
      <x:c r="HBB66" s="293"/>
      <x:c r="HBC66" s="293"/>
      <x:c r="HBD66" s="293"/>
      <x:c r="HBE66" s="293"/>
      <x:c r="HBF66" s="293"/>
      <x:c r="HBG66" s="293"/>
      <x:c r="HBH66" s="293"/>
      <x:c r="HBI66" s="293"/>
      <x:c r="HBJ66" s="293"/>
      <x:c r="HBK66" s="293"/>
      <x:c r="HBL66" s="293"/>
      <x:c r="HBM66" s="293"/>
      <x:c r="HBN66" s="293"/>
      <x:c r="HBO66" s="293"/>
      <x:c r="HBP66" s="293"/>
      <x:c r="HBQ66" s="293"/>
      <x:c r="HBR66" s="293"/>
      <x:c r="HBS66" s="293"/>
      <x:c r="HBT66" s="293"/>
      <x:c r="HBU66" s="293"/>
      <x:c r="HBV66" s="293"/>
      <x:c r="HBW66" s="293"/>
      <x:c r="HBX66" s="293"/>
      <x:c r="HBY66" s="293"/>
      <x:c r="HBZ66" s="293"/>
      <x:c r="HCA66" s="293"/>
      <x:c r="HCB66" s="293"/>
      <x:c r="HCC66" s="293"/>
      <x:c r="HCD66" s="293"/>
      <x:c r="HCE66" s="293"/>
      <x:c r="HCF66" s="293"/>
      <x:c r="HCG66" s="293"/>
      <x:c r="HCH66" s="293"/>
      <x:c r="HCI66" s="293"/>
      <x:c r="HCJ66" s="293"/>
      <x:c r="HCK66" s="293"/>
      <x:c r="HCL66" s="293"/>
      <x:c r="HCM66" s="293"/>
      <x:c r="HCN66" s="293"/>
      <x:c r="HCO66" s="293"/>
      <x:c r="HCP66" s="293"/>
      <x:c r="HCQ66" s="293"/>
      <x:c r="HCR66" s="293"/>
      <x:c r="HCS66" s="293"/>
      <x:c r="HCT66" s="293"/>
      <x:c r="HCU66" s="293"/>
      <x:c r="HCV66" s="293"/>
      <x:c r="HCW66" s="293"/>
      <x:c r="HCX66" s="293"/>
      <x:c r="HCY66" s="293"/>
      <x:c r="HCZ66" s="293"/>
      <x:c r="HDA66" s="293"/>
      <x:c r="HDB66" s="293"/>
      <x:c r="HDC66" s="293"/>
      <x:c r="HDD66" s="293"/>
      <x:c r="HDE66" s="293"/>
      <x:c r="HDF66" s="293"/>
      <x:c r="HDG66" s="293"/>
      <x:c r="HDH66" s="293"/>
      <x:c r="HDI66" s="293"/>
      <x:c r="HDJ66" s="293"/>
      <x:c r="HDK66" s="293"/>
      <x:c r="HDL66" s="293"/>
      <x:c r="HDM66" s="293"/>
      <x:c r="HDN66" s="293"/>
      <x:c r="HDO66" s="293"/>
      <x:c r="HDP66" s="293"/>
      <x:c r="HDQ66" s="293"/>
      <x:c r="HDR66" s="293"/>
      <x:c r="HDS66" s="293"/>
      <x:c r="HDT66" s="293"/>
      <x:c r="HDU66" s="293"/>
      <x:c r="HDV66" s="293"/>
      <x:c r="HDW66" s="293"/>
      <x:c r="HDX66" s="293"/>
      <x:c r="HDY66" s="293"/>
      <x:c r="HDZ66" s="293"/>
      <x:c r="HEA66" s="293"/>
      <x:c r="HEB66" s="293"/>
      <x:c r="HEC66" s="293"/>
      <x:c r="HED66" s="293"/>
      <x:c r="HEE66" s="293"/>
      <x:c r="HEF66" s="293"/>
      <x:c r="HEG66" s="293"/>
      <x:c r="HEH66" s="293"/>
      <x:c r="HEI66" s="293"/>
      <x:c r="HEJ66" s="293"/>
      <x:c r="HEK66" s="293"/>
      <x:c r="HEL66" s="293"/>
      <x:c r="HEM66" s="293"/>
      <x:c r="HEN66" s="293"/>
      <x:c r="HEO66" s="293"/>
      <x:c r="HEP66" s="293"/>
      <x:c r="HEQ66" s="293"/>
      <x:c r="HER66" s="293"/>
      <x:c r="HES66" s="293"/>
      <x:c r="HET66" s="293"/>
      <x:c r="HEU66" s="293"/>
      <x:c r="HEV66" s="293"/>
      <x:c r="HEW66" s="293"/>
      <x:c r="HEX66" s="293"/>
      <x:c r="HEY66" s="293"/>
      <x:c r="HEZ66" s="293"/>
      <x:c r="HFA66" s="293"/>
      <x:c r="HFB66" s="293"/>
      <x:c r="HFC66" s="293"/>
      <x:c r="HFD66" s="293"/>
      <x:c r="HFE66" s="293"/>
      <x:c r="HFF66" s="293"/>
      <x:c r="HFG66" s="293"/>
      <x:c r="HFH66" s="293"/>
      <x:c r="HFI66" s="293"/>
      <x:c r="HFJ66" s="293"/>
      <x:c r="HFK66" s="293"/>
      <x:c r="HFL66" s="293"/>
      <x:c r="HFM66" s="293"/>
      <x:c r="HFN66" s="293"/>
      <x:c r="HFO66" s="293"/>
      <x:c r="HFP66" s="293"/>
      <x:c r="HFQ66" s="293"/>
      <x:c r="HFR66" s="293"/>
      <x:c r="HFS66" s="293"/>
      <x:c r="HFT66" s="293"/>
      <x:c r="HFU66" s="293"/>
      <x:c r="HFV66" s="293"/>
      <x:c r="HFW66" s="293"/>
      <x:c r="HFX66" s="293"/>
      <x:c r="HFY66" s="293"/>
      <x:c r="HFZ66" s="293"/>
      <x:c r="HGA66" s="293"/>
      <x:c r="HGB66" s="293"/>
      <x:c r="HGC66" s="293"/>
      <x:c r="HGD66" s="293"/>
      <x:c r="HGE66" s="293"/>
      <x:c r="HGF66" s="293"/>
      <x:c r="HGG66" s="293"/>
      <x:c r="HGH66" s="293"/>
      <x:c r="HGI66" s="293"/>
      <x:c r="HGJ66" s="293"/>
      <x:c r="HGK66" s="293"/>
      <x:c r="HGL66" s="293"/>
      <x:c r="HGM66" s="293"/>
      <x:c r="HGN66" s="293"/>
      <x:c r="HGO66" s="293"/>
      <x:c r="HGP66" s="293"/>
      <x:c r="HGQ66" s="293"/>
      <x:c r="HGR66" s="293"/>
      <x:c r="HGS66" s="293"/>
      <x:c r="HGT66" s="293"/>
      <x:c r="HGU66" s="293"/>
      <x:c r="HGV66" s="293"/>
      <x:c r="HGW66" s="293"/>
      <x:c r="HGX66" s="293"/>
      <x:c r="HGY66" s="293"/>
      <x:c r="HGZ66" s="293"/>
      <x:c r="HHA66" s="293"/>
      <x:c r="HHB66" s="293"/>
      <x:c r="HHC66" s="293"/>
      <x:c r="HHD66" s="293"/>
      <x:c r="HHE66" s="293"/>
      <x:c r="HHF66" s="293"/>
      <x:c r="HHG66" s="293"/>
      <x:c r="HHH66" s="293"/>
      <x:c r="HHI66" s="293"/>
      <x:c r="HHJ66" s="293"/>
      <x:c r="HHK66" s="293"/>
      <x:c r="HHL66" s="293"/>
      <x:c r="HHM66" s="293"/>
      <x:c r="HHN66" s="293"/>
      <x:c r="HHO66" s="293"/>
      <x:c r="HHP66" s="293"/>
      <x:c r="HHQ66" s="293"/>
      <x:c r="HHR66" s="293"/>
      <x:c r="HHS66" s="293"/>
      <x:c r="HHT66" s="293"/>
      <x:c r="HHU66" s="293"/>
      <x:c r="HHV66" s="293"/>
      <x:c r="HHW66" s="293"/>
      <x:c r="HHX66" s="293"/>
      <x:c r="HHY66" s="293"/>
      <x:c r="HHZ66" s="293"/>
      <x:c r="HIA66" s="293"/>
      <x:c r="HIB66" s="293"/>
      <x:c r="HIC66" s="293"/>
      <x:c r="HID66" s="293"/>
      <x:c r="HIE66" s="293"/>
      <x:c r="HIF66" s="293"/>
      <x:c r="HIG66" s="293"/>
      <x:c r="HIH66" s="293"/>
      <x:c r="HII66" s="293"/>
      <x:c r="HIJ66" s="293"/>
      <x:c r="HIK66" s="293"/>
      <x:c r="HIL66" s="293"/>
      <x:c r="HIM66" s="293"/>
      <x:c r="HIN66" s="293"/>
      <x:c r="HIO66" s="293"/>
      <x:c r="HIP66" s="293"/>
      <x:c r="HIQ66" s="293"/>
      <x:c r="HIR66" s="293"/>
      <x:c r="HIS66" s="293"/>
      <x:c r="HIT66" s="293"/>
      <x:c r="HIU66" s="293"/>
      <x:c r="HIV66" s="293"/>
      <x:c r="HIW66" s="293"/>
      <x:c r="HIX66" s="293"/>
      <x:c r="HIY66" s="293"/>
      <x:c r="HIZ66" s="293"/>
      <x:c r="HJA66" s="293"/>
      <x:c r="HJB66" s="293"/>
      <x:c r="HJC66" s="293"/>
      <x:c r="HJD66" s="293"/>
      <x:c r="HJE66" s="293"/>
      <x:c r="HJF66" s="293"/>
      <x:c r="HJG66" s="293"/>
      <x:c r="HJH66" s="293"/>
      <x:c r="HJI66" s="293"/>
      <x:c r="HJJ66" s="293"/>
      <x:c r="HJK66" s="293"/>
      <x:c r="HJL66" s="293"/>
      <x:c r="HJM66" s="293"/>
      <x:c r="HJN66" s="293"/>
      <x:c r="HJO66" s="293"/>
      <x:c r="HJP66" s="293"/>
      <x:c r="HJQ66" s="293"/>
      <x:c r="HJR66" s="293"/>
      <x:c r="HJS66" s="293"/>
      <x:c r="HJT66" s="293"/>
      <x:c r="HJU66" s="293"/>
      <x:c r="HJV66" s="293"/>
      <x:c r="HJW66" s="293"/>
      <x:c r="HJX66" s="293"/>
      <x:c r="HJY66" s="293"/>
      <x:c r="HJZ66" s="293"/>
      <x:c r="HKA66" s="293"/>
      <x:c r="HKB66" s="293"/>
      <x:c r="HKC66" s="293"/>
      <x:c r="HKD66" s="293"/>
      <x:c r="HKE66" s="293"/>
      <x:c r="HKF66" s="293"/>
      <x:c r="HKG66" s="293"/>
      <x:c r="HKH66" s="293"/>
      <x:c r="HKI66" s="293"/>
      <x:c r="HKJ66" s="293"/>
      <x:c r="HKK66" s="293"/>
      <x:c r="HKL66" s="293"/>
      <x:c r="HKM66" s="293"/>
      <x:c r="HKN66" s="293"/>
      <x:c r="HKO66" s="293"/>
      <x:c r="HKP66" s="293"/>
      <x:c r="HKQ66" s="293"/>
      <x:c r="HKR66" s="293"/>
      <x:c r="HKS66" s="293"/>
      <x:c r="HKT66" s="293"/>
      <x:c r="HKU66" s="293"/>
      <x:c r="HKV66" s="293"/>
      <x:c r="HKW66" s="293"/>
      <x:c r="HKX66" s="293"/>
      <x:c r="HKY66" s="293"/>
      <x:c r="HKZ66" s="293"/>
      <x:c r="HLA66" s="293"/>
      <x:c r="HLB66" s="293"/>
      <x:c r="HLC66" s="293"/>
      <x:c r="HLD66" s="293"/>
      <x:c r="HLE66" s="293"/>
      <x:c r="HLF66" s="293"/>
      <x:c r="HLG66" s="293"/>
      <x:c r="HLH66" s="293"/>
      <x:c r="HLI66" s="293"/>
      <x:c r="HLJ66" s="293"/>
      <x:c r="HLK66" s="293"/>
      <x:c r="HLL66" s="293"/>
      <x:c r="HLM66" s="293"/>
      <x:c r="HLN66" s="293"/>
      <x:c r="HLO66" s="293"/>
      <x:c r="HLP66" s="293"/>
      <x:c r="HLQ66" s="293"/>
      <x:c r="HLR66" s="293"/>
      <x:c r="HLS66" s="293"/>
      <x:c r="HLT66" s="293"/>
      <x:c r="HLU66" s="293"/>
      <x:c r="HLV66" s="293"/>
      <x:c r="HLW66" s="293"/>
      <x:c r="HLX66" s="293"/>
      <x:c r="HLY66" s="293"/>
      <x:c r="HLZ66" s="293"/>
      <x:c r="HMA66" s="293"/>
      <x:c r="HMB66" s="293"/>
      <x:c r="HMC66" s="293"/>
      <x:c r="HMD66" s="293"/>
      <x:c r="HME66" s="293"/>
      <x:c r="HMF66" s="293"/>
      <x:c r="HMG66" s="293"/>
      <x:c r="HMH66" s="293"/>
      <x:c r="HMI66" s="293"/>
      <x:c r="HMJ66" s="293"/>
      <x:c r="HMK66" s="293"/>
      <x:c r="HML66" s="293"/>
      <x:c r="HMM66" s="293"/>
      <x:c r="HMN66" s="293"/>
      <x:c r="HMO66" s="293"/>
      <x:c r="HMP66" s="293"/>
      <x:c r="HMQ66" s="293"/>
      <x:c r="HMR66" s="293"/>
      <x:c r="HMS66" s="293"/>
      <x:c r="HMT66" s="293"/>
      <x:c r="HMU66" s="293"/>
      <x:c r="HMV66" s="293"/>
      <x:c r="HMW66" s="293"/>
      <x:c r="HMX66" s="293"/>
      <x:c r="HMY66" s="293"/>
      <x:c r="HMZ66" s="293"/>
      <x:c r="HNA66" s="293"/>
      <x:c r="HNB66" s="293"/>
      <x:c r="HNC66" s="293"/>
      <x:c r="HND66" s="293"/>
      <x:c r="HNE66" s="293"/>
      <x:c r="HNF66" s="293"/>
      <x:c r="HNG66" s="293"/>
      <x:c r="HNH66" s="293"/>
      <x:c r="HNI66" s="293"/>
      <x:c r="HNJ66" s="293"/>
      <x:c r="HNK66" s="293"/>
      <x:c r="HNL66" s="293"/>
      <x:c r="HNM66" s="293"/>
      <x:c r="HNN66" s="293"/>
      <x:c r="HNO66" s="293"/>
      <x:c r="HNP66" s="293"/>
      <x:c r="HNQ66" s="293"/>
      <x:c r="HNR66" s="293"/>
      <x:c r="HNS66" s="293"/>
      <x:c r="HNT66" s="293"/>
      <x:c r="HNU66" s="293"/>
      <x:c r="HNV66" s="293"/>
      <x:c r="HNW66" s="293"/>
      <x:c r="HNX66" s="293"/>
      <x:c r="HNY66" s="293"/>
      <x:c r="HNZ66" s="293"/>
      <x:c r="HOA66" s="293"/>
      <x:c r="HOB66" s="293"/>
      <x:c r="HOC66" s="293"/>
      <x:c r="HOD66" s="293"/>
      <x:c r="HOE66" s="293"/>
      <x:c r="HOF66" s="293"/>
      <x:c r="HOG66" s="293"/>
      <x:c r="HOH66" s="293"/>
      <x:c r="HOI66" s="293"/>
      <x:c r="HOJ66" s="293"/>
      <x:c r="HOK66" s="293"/>
      <x:c r="HOL66" s="293"/>
      <x:c r="HOM66" s="293"/>
      <x:c r="HON66" s="293"/>
      <x:c r="HOO66" s="293"/>
      <x:c r="HOP66" s="293"/>
      <x:c r="HOQ66" s="293"/>
      <x:c r="HOR66" s="293"/>
      <x:c r="HOS66" s="293"/>
      <x:c r="HOT66" s="293"/>
      <x:c r="HOU66" s="293"/>
      <x:c r="HOV66" s="293"/>
      <x:c r="HOW66" s="293"/>
      <x:c r="HOX66" s="293"/>
      <x:c r="HOY66" s="293"/>
      <x:c r="HOZ66" s="293"/>
      <x:c r="HPA66" s="293"/>
      <x:c r="HPB66" s="293"/>
      <x:c r="HPC66" s="293"/>
      <x:c r="HPD66" s="293"/>
      <x:c r="HPE66" s="293"/>
      <x:c r="HPF66" s="293"/>
      <x:c r="HPG66" s="293"/>
      <x:c r="HPH66" s="293"/>
      <x:c r="HPI66" s="293"/>
      <x:c r="HPJ66" s="293"/>
      <x:c r="HPK66" s="293"/>
      <x:c r="HPL66" s="293"/>
      <x:c r="HPM66" s="293"/>
      <x:c r="HPN66" s="293"/>
      <x:c r="HPO66" s="293"/>
      <x:c r="HPP66" s="293"/>
      <x:c r="HPQ66" s="293"/>
      <x:c r="HPR66" s="293"/>
      <x:c r="HPS66" s="293"/>
      <x:c r="HPT66" s="293"/>
      <x:c r="HPU66" s="293"/>
      <x:c r="HPV66" s="293"/>
      <x:c r="HPW66" s="293"/>
      <x:c r="HPX66" s="293"/>
      <x:c r="HPY66" s="293"/>
      <x:c r="HPZ66" s="293"/>
      <x:c r="HQA66" s="293"/>
      <x:c r="HQB66" s="293"/>
      <x:c r="HQC66" s="293"/>
      <x:c r="HQD66" s="293"/>
      <x:c r="HQE66" s="293"/>
      <x:c r="HQF66" s="293"/>
      <x:c r="HQG66" s="293"/>
      <x:c r="HQH66" s="293"/>
      <x:c r="HQI66" s="293"/>
      <x:c r="HQJ66" s="293"/>
      <x:c r="HQK66" s="293"/>
      <x:c r="HQL66" s="293"/>
      <x:c r="HQM66" s="293"/>
      <x:c r="HQN66" s="293"/>
      <x:c r="HQO66" s="293"/>
      <x:c r="HQP66" s="293"/>
      <x:c r="HQQ66" s="293"/>
      <x:c r="HQR66" s="293"/>
      <x:c r="HQS66" s="293"/>
      <x:c r="HQT66" s="293"/>
      <x:c r="HQU66" s="293"/>
      <x:c r="HQV66" s="293"/>
      <x:c r="HQW66" s="293"/>
      <x:c r="HQX66" s="293"/>
      <x:c r="HQY66" s="293"/>
      <x:c r="HQZ66" s="293"/>
      <x:c r="HRA66" s="293"/>
      <x:c r="HRB66" s="293"/>
      <x:c r="HRC66" s="293"/>
      <x:c r="HRD66" s="293"/>
      <x:c r="HRE66" s="293"/>
      <x:c r="HRF66" s="293"/>
      <x:c r="HRG66" s="293"/>
      <x:c r="HRH66" s="293"/>
      <x:c r="HRI66" s="293"/>
      <x:c r="HRJ66" s="293"/>
      <x:c r="HRK66" s="293"/>
      <x:c r="HRL66" s="293"/>
      <x:c r="HRM66" s="293"/>
      <x:c r="HRN66" s="293"/>
      <x:c r="HRO66" s="293"/>
      <x:c r="HRP66" s="293"/>
      <x:c r="HRQ66" s="293"/>
      <x:c r="HRR66" s="293"/>
      <x:c r="HRS66" s="293"/>
      <x:c r="HRT66" s="293"/>
      <x:c r="HRU66" s="293"/>
      <x:c r="HRV66" s="293"/>
      <x:c r="HRW66" s="293"/>
      <x:c r="HRX66" s="293"/>
      <x:c r="HRY66" s="293"/>
      <x:c r="HRZ66" s="293"/>
      <x:c r="HSA66" s="293"/>
      <x:c r="HSB66" s="293"/>
      <x:c r="HSC66" s="293"/>
      <x:c r="HSD66" s="293"/>
      <x:c r="HSE66" s="293"/>
      <x:c r="HSF66" s="293"/>
      <x:c r="HSG66" s="293"/>
      <x:c r="HSH66" s="293"/>
      <x:c r="HSI66" s="293"/>
      <x:c r="HSJ66" s="293"/>
      <x:c r="HSK66" s="293"/>
      <x:c r="HSL66" s="293"/>
      <x:c r="HSM66" s="293"/>
      <x:c r="HSN66" s="293"/>
      <x:c r="HSO66" s="293"/>
      <x:c r="HSP66" s="293"/>
      <x:c r="HSQ66" s="293"/>
      <x:c r="HSR66" s="293"/>
      <x:c r="HSS66" s="293"/>
      <x:c r="HST66" s="293"/>
      <x:c r="HSU66" s="293"/>
      <x:c r="HSV66" s="293"/>
      <x:c r="HSW66" s="293"/>
      <x:c r="HSX66" s="293"/>
      <x:c r="HSY66" s="293"/>
      <x:c r="HSZ66" s="293"/>
      <x:c r="HTA66" s="293"/>
      <x:c r="HTB66" s="293"/>
      <x:c r="HTC66" s="293"/>
      <x:c r="HTD66" s="293"/>
      <x:c r="HTE66" s="293"/>
      <x:c r="HTF66" s="293"/>
      <x:c r="HTG66" s="293"/>
      <x:c r="HTH66" s="293"/>
      <x:c r="HTI66" s="293"/>
      <x:c r="HTJ66" s="293"/>
      <x:c r="HTK66" s="293"/>
      <x:c r="HTL66" s="293"/>
      <x:c r="HTM66" s="293"/>
      <x:c r="HTN66" s="293"/>
      <x:c r="HTO66" s="293"/>
      <x:c r="HTP66" s="293"/>
      <x:c r="HTQ66" s="293"/>
      <x:c r="HTR66" s="293"/>
      <x:c r="HTS66" s="293"/>
      <x:c r="HTT66" s="293"/>
      <x:c r="HTU66" s="293"/>
      <x:c r="HTV66" s="293"/>
      <x:c r="HTW66" s="293"/>
      <x:c r="HTX66" s="293"/>
      <x:c r="HTY66" s="293"/>
      <x:c r="HTZ66" s="293"/>
      <x:c r="HUA66" s="293"/>
      <x:c r="HUB66" s="293"/>
      <x:c r="HUC66" s="293"/>
      <x:c r="HUD66" s="293"/>
      <x:c r="HUE66" s="293"/>
      <x:c r="HUF66" s="293"/>
      <x:c r="HUG66" s="293"/>
      <x:c r="HUH66" s="293"/>
      <x:c r="HUI66" s="293"/>
      <x:c r="HUJ66" s="293"/>
      <x:c r="HUK66" s="293"/>
      <x:c r="HUL66" s="293"/>
      <x:c r="HUM66" s="293"/>
      <x:c r="HUN66" s="293"/>
      <x:c r="HUO66" s="293"/>
      <x:c r="HUP66" s="293"/>
      <x:c r="HUQ66" s="293"/>
      <x:c r="HUR66" s="293"/>
      <x:c r="HUS66" s="293"/>
      <x:c r="HUT66" s="293"/>
      <x:c r="HUU66" s="293"/>
      <x:c r="HUV66" s="293"/>
      <x:c r="HUW66" s="293"/>
      <x:c r="HUX66" s="293"/>
      <x:c r="HUY66" s="293"/>
      <x:c r="HUZ66" s="293"/>
      <x:c r="HVA66" s="293"/>
      <x:c r="HVB66" s="293"/>
      <x:c r="HVC66" s="293"/>
      <x:c r="HVD66" s="293"/>
      <x:c r="HVE66" s="293"/>
      <x:c r="HVF66" s="293"/>
      <x:c r="HVG66" s="293"/>
      <x:c r="HVH66" s="293"/>
      <x:c r="HVI66" s="293"/>
      <x:c r="HVJ66" s="293"/>
      <x:c r="HVK66" s="293"/>
      <x:c r="HVL66" s="293"/>
      <x:c r="HVM66" s="293"/>
      <x:c r="HVN66" s="293"/>
      <x:c r="HVO66" s="293"/>
      <x:c r="HVP66" s="293"/>
      <x:c r="HVQ66" s="293"/>
      <x:c r="HVR66" s="293"/>
      <x:c r="HVS66" s="293"/>
      <x:c r="HVT66" s="293"/>
      <x:c r="HVU66" s="293"/>
      <x:c r="HVV66" s="293"/>
      <x:c r="HVW66" s="293"/>
      <x:c r="HVX66" s="293"/>
      <x:c r="HVY66" s="293"/>
      <x:c r="HVZ66" s="293"/>
      <x:c r="HWA66" s="293"/>
      <x:c r="HWB66" s="293"/>
      <x:c r="HWC66" s="293"/>
      <x:c r="HWD66" s="293"/>
      <x:c r="HWE66" s="293"/>
      <x:c r="HWF66" s="293"/>
      <x:c r="HWG66" s="293"/>
      <x:c r="HWH66" s="293"/>
      <x:c r="HWI66" s="293"/>
      <x:c r="HWJ66" s="293"/>
      <x:c r="HWK66" s="293"/>
      <x:c r="HWL66" s="293"/>
      <x:c r="HWM66" s="293"/>
      <x:c r="HWN66" s="293"/>
      <x:c r="HWO66" s="293"/>
      <x:c r="HWP66" s="293"/>
      <x:c r="HWQ66" s="293"/>
      <x:c r="HWR66" s="293"/>
      <x:c r="HWS66" s="293"/>
      <x:c r="HWT66" s="293"/>
      <x:c r="HWU66" s="293"/>
      <x:c r="HWV66" s="293"/>
      <x:c r="HWW66" s="293"/>
      <x:c r="HWX66" s="293"/>
      <x:c r="HWY66" s="293"/>
      <x:c r="HWZ66" s="293"/>
      <x:c r="HXA66" s="293"/>
      <x:c r="HXB66" s="293"/>
      <x:c r="HXC66" s="293"/>
      <x:c r="HXD66" s="293"/>
      <x:c r="HXE66" s="293"/>
      <x:c r="HXF66" s="293"/>
      <x:c r="HXG66" s="293"/>
      <x:c r="HXH66" s="293"/>
      <x:c r="HXI66" s="293"/>
      <x:c r="HXJ66" s="293"/>
      <x:c r="HXK66" s="293"/>
      <x:c r="HXL66" s="293"/>
      <x:c r="HXM66" s="293"/>
      <x:c r="HXN66" s="293"/>
      <x:c r="HXO66" s="293"/>
      <x:c r="HXP66" s="293"/>
      <x:c r="HXQ66" s="293"/>
      <x:c r="HXR66" s="293"/>
      <x:c r="HXS66" s="293"/>
      <x:c r="HXT66" s="293"/>
      <x:c r="HXU66" s="293"/>
      <x:c r="HXV66" s="293"/>
      <x:c r="HXW66" s="293"/>
      <x:c r="HXX66" s="293"/>
      <x:c r="HXY66" s="293"/>
      <x:c r="HXZ66" s="293"/>
      <x:c r="HYA66" s="293"/>
      <x:c r="HYB66" s="293"/>
      <x:c r="HYC66" s="293"/>
      <x:c r="HYD66" s="293"/>
      <x:c r="HYE66" s="293"/>
      <x:c r="HYF66" s="293"/>
      <x:c r="HYG66" s="293"/>
      <x:c r="HYH66" s="293"/>
      <x:c r="HYI66" s="293"/>
      <x:c r="HYJ66" s="293"/>
      <x:c r="HYK66" s="293"/>
      <x:c r="HYL66" s="293"/>
      <x:c r="HYM66" s="293"/>
      <x:c r="HYN66" s="293"/>
      <x:c r="HYO66" s="293"/>
      <x:c r="HYP66" s="293"/>
      <x:c r="HYQ66" s="293"/>
      <x:c r="HYR66" s="293"/>
      <x:c r="HYS66" s="293"/>
      <x:c r="HYT66" s="293"/>
      <x:c r="HYU66" s="293"/>
      <x:c r="HYV66" s="293"/>
      <x:c r="HYW66" s="293"/>
      <x:c r="HYX66" s="293"/>
      <x:c r="HYY66" s="293"/>
      <x:c r="HYZ66" s="293"/>
      <x:c r="HZA66" s="293"/>
      <x:c r="HZB66" s="293"/>
      <x:c r="HZC66" s="293"/>
      <x:c r="HZD66" s="293"/>
      <x:c r="HZE66" s="293"/>
      <x:c r="HZF66" s="293"/>
      <x:c r="HZG66" s="293"/>
      <x:c r="HZH66" s="293"/>
      <x:c r="HZI66" s="293"/>
      <x:c r="HZJ66" s="293"/>
      <x:c r="HZK66" s="293"/>
      <x:c r="HZL66" s="293"/>
      <x:c r="HZM66" s="293"/>
      <x:c r="HZN66" s="293"/>
      <x:c r="HZO66" s="293"/>
      <x:c r="HZP66" s="293"/>
      <x:c r="HZQ66" s="293"/>
      <x:c r="HZR66" s="293"/>
      <x:c r="HZS66" s="293"/>
      <x:c r="HZT66" s="293"/>
      <x:c r="HZU66" s="293"/>
      <x:c r="HZV66" s="293"/>
      <x:c r="HZW66" s="293"/>
      <x:c r="HZX66" s="293"/>
      <x:c r="HZY66" s="293"/>
      <x:c r="HZZ66" s="293"/>
      <x:c r="IAA66" s="293"/>
      <x:c r="IAB66" s="293"/>
      <x:c r="IAC66" s="293"/>
      <x:c r="IAD66" s="293"/>
      <x:c r="IAE66" s="293"/>
      <x:c r="IAF66" s="293"/>
      <x:c r="IAG66" s="293"/>
      <x:c r="IAH66" s="293"/>
      <x:c r="IAI66" s="293"/>
      <x:c r="IAJ66" s="293"/>
      <x:c r="IAK66" s="293"/>
      <x:c r="IAL66" s="293"/>
      <x:c r="IAM66" s="293"/>
      <x:c r="IAN66" s="293"/>
      <x:c r="IAO66" s="293"/>
      <x:c r="IAP66" s="293"/>
      <x:c r="IAQ66" s="293"/>
      <x:c r="IAR66" s="293"/>
      <x:c r="IAS66" s="293"/>
      <x:c r="IAT66" s="293"/>
      <x:c r="IAU66" s="293"/>
      <x:c r="IAV66" s="293"/>
      <x:c r="IAW66" s="293"/>
      <x:c r="IAX66" s="293"/>
      <x:c r="IAY66" s="293"/>
      <x:c r="IAZ66" s="293"/>
      <x:c r="IBA66" s="293"/>
      <x:c r="IBB66" s="293"/>
      <x:c r="IBC66" s="293"/>
      <x:c r="IBD66" s="293"/>
      <x:c r="IBE66" s="293"/>
      <x:c r="IBF66" s="293"/>
      <x:c r="IBG66" s="293"/>
      <x:c r="IBH66" s="293"/>
      <x:c r="IBI66" s="293"/>
      <x:c r="IBJ66" s="293"/>
      <x:c r="IBK66" s="293"/>
      <x:c r="IBL66" s="293"/>
      <x:c r="IBM66" s="293"/>
      <x:c r="IBN66" s="293"/>
      <x:c r="IBO66" s="293"/>
      <x:c r="IBP66" s="293"/>
      <x:c r="IBQ66" s="293"/>
      <x:c r="IBR66" s="293"/>
      <x:c r="IBS66" s="293"/>
      <x:c r="IBT66" s="293"/>
      <x:c r="IBU66" s="293"/>
      <x:c r="IBV66" s="293"/>
      <x:c r="IBW66" s="293"/>
      <x:c r="IBX66" s="293"/>
      <x:c r="IBY66" s="293"/>
      <x:c r="IBZ66" s="293"/>
      <x:c r="ICA66" s="293"/>
      <x:c r="ICB66" s="293"/>
      <x:c r="ICC66" s="293"/>
      <x:c r="ICD66" s="293"/>
      <x:c r="ICE66" s="293"/>
      <x:c r="ICF66" s="293"/>
      <x:c r="ICG66" s="293"/>
      <x:c r="ICH66" s="293"/>
      <x:c r="ICI66" s="293"/>
      <x:c r="ICJ66" s="293"/>
      <x:c r="ICK66" s="293"/>
      <x:c r="ICL66" s="293"/>
      <x:c r="ICM66" s="293"/>
      <x:c r="ICN66" s="293"/>
      <x:c r="ICO66" s="293"/>
      <x:c r="ICP66" s="293"/>
      <x:c r="ICQ66" s="293"/>
      <x:c r="ICR66" s="293"/>
      <x:c r="ICS66" s="293"/>
      <x:c r="ICT66" s="293"/>
      <x:c r="ICU66" s="293"/>
      <x:c r="ICV66" s="293"/>
      <x:c r="ICW66" s="293"/>
      <x:c r="ICX66" s="293"/>
      <x:c r="ICY66" s="293"/>
      <x:c r="ICZ66" s="293"/>
      <x:c r="IDA66" s="293"/>
      <x:c r="IDB66" s="293"/>
      <x:c r="IDC66" s="293"/>
      <x:c r="IDD66" s="293"/>
      <x:c r="IDE66" s="293"/>
      <x:c r="IDF66" s="293"/>
      <x:c r="IDG66" s="293"/>
      <x:c r="IDH66" s="293"/>
      <x:c r="IDI66" s="293"/>
      <x:c r="IDJ66" s="293"/>
      <x:c r="IDK66" s="293"/>
      <x:c r="IDL66" s="293"/>
      <x:c r="IDM66" s="293"/>
      <x:c r="IDN66" s="293"/>
      <x:c r="IDO66" s="293"/>
      <x:c r="IDP66" s="293"/>
      <x:c r="IDQ66" s="293"/>
      <x:c r="IDR66" s="293"/>
      <x:c r="IDS66" s="293"/>
      <x:c r="IDT66" s="293"/>
      <x:c r="IDU66" s="293"/>
      <x:c r="IDV66" s="293"/>
      <x:c r="IDW66" s="293"/>
      <x:c r="IDX66" s="293"/>
      <x:c r="IDY66" s="293"/>
      <x:c r="IDZ66" s="293"/>
      <x:c r="IEA66" s="293"/>
      <x:c r="IEB66" s="293"/>
      <x:c r="IEC66" s="293"/>
      <x:c r="IED66" s="293"/>
      <x:c r="IEE66" s="293"/>
      <x:c r="IEF66" s="293"/>
      <x:c r="IEG66" s="293"/>
      <x:c r="IEH66" s="293"/>
      <x:c r="IEI66" s="293"/>
      <x:c r="IEJ66" s="293"/>
      <x:c r="IEK66" s="293"/>
      <x:c r="IEL66" s="293"/>
      <x:c r="IEM66" s="293"/>
      <x:c r="IEN66" s="293"/>
      <x:c r="IEO66" s="293"/>
      <x:c r="IEP66" s="293"/>
      <x:c r="IEQ66" s="293"/>
      <x:c r="IER66" s="293"/>
      <x:c r="IES66" s="293"/>
      <x:c r="IET66" s="293"/>
      <x:c r="IEU66" s="293"/>
      <x:c r="IEV66" s="293"/>
      <x:c r="IEW66" s="293"/>
      <x:c r="IEX66" s="293"/>
      <x:c r="IEY66" s="293"/>
      <x:c r="IEZ66" s="293"/>
      <x:c r="IFA66" s="293"/>
      <x:c r="IFB66" s="293"/>
      <x:c r="IFC66" s="293"/>
      <x:c r="IFD66" s="293"/>
      <x:c r="IFE66" s="293"/>
      <x:c r="IFF66" s="293"/>
      <x:c r="IFG66" s="293"/>
      <x:c r="IFH66" s="293"/>
      <x:c r="IFI66" s="293"/>
      <x:c r="IFJ66" s="293"/>
      <x:c r="IFK66" s="293"/>
      <x:c r="IFL66" s="293"/>
      <x:c r="IFM66" s="293"/>
      <x:c r="IFN66" s="293"/>
      <x:c r="IFO66" s="293"/>
      <x:c r="IFP66" s="293"/>
      <x:c r="IFQ66" s="293"/>
      <x:c r="IFR66" s="293"/>
      <x:c r="IFS66" s="293"/>
      <x:c r="IFT66" s="293"/>
      <x:c r="IFU66" s="293"/>
      <x:c r="IFV66" s="293"/>
      <x:c r="IFW66" s="293"/>
      <x:c r="IFX66" s="293"/>
      <x:c r="IFY66" s="293"/>
      <x:c r="IFZ66" s="293"/>
      <x:c r="IGA66" s="293"/>
      <x:c r="IGB66" s="293"/>
      <x:c r="IGC66" s="293"/>
      <x:c r="IGD66" s="293"/>
      <x:c r="IGE66" s="293"/>
      <x:c r="IGF66" s="293"/>
      <x:c r="IGG66" s="293"/>
      <x:c r="IGH66" s="293"/>
      <x:c r="IGI66" s="293"/>
      <x:c r="IGJ66" s="293"/>
      <x:c r="IGK66" s="293"/>
      <x:c r="IGL66" s="293"/>
      <x:c r="IGM66" s="293"/>
      <x:c r="IGN66" s="293"/>
      <x:c r="IGO66" s="293"/>
      <x:c r="IGP66" s="293"/>
      <x:c r="IGQ66" s="293"/>
      <x:c r="IGR66" s="293"/>
      <x:c r="IGS66" s="293"/>
      <x:c r="IGT66" s="293"/>
      <x:c r="IGU66" s="293"/>
      <x:c r="IGV66" s="293"/>
      <x:c r="IGW66" s="293"/>
      <x:c r="IGX66" s="293"/>
      <x:c r="IGY66" s="293"/>
      <x:c r="IGZ66" s="293"/>
      <x:c r="IHA66" s="293"/>
      <x:c r="IHB66" s="293"/>
      <x:c r="IHC66" s="293"/>
      <x:c r="IHD66" s="293"/>
      <x:c r="IHE66" s="293"/>
      <x:c r="IHF66" s="293"/>
      <x:c r="IHG66" s="293"/>
      <x:c r="IHH66" s="293"/>
      <x:c r="IHI66" s="293"/>
      <x:c r="IHJ66" s="293"/>
      <x:c r="IHK66" s="293"/>
      <x:c r="IHL66" s="293"/>
      <x:c r="IHM66" s="293"/>
      <x:c r="IHN66" s="293"/>
      <x:c r="IHO66" s="293"/>
      <x:c r="IHP66" s="293"/>
      <x:c r="IHQ66" s="293"/>
      <x:c r="IHR66" s="293"/>
      <x:c r="IHS66" s="293"/>
      <x:c r="IHT66" s="293"/>
      <x:c r="IHU66" s="293"/>
      <x:c r="IHV66" s="293"/>
      <x:c r="IHW66" s="293"/>
      <x:c r="IHX66" s="293"/>
      <x:c r="IHY66" s="293"/>
      <x:c r="IHZ66" s="293"/>
      <x:c r="IIA66" s="293"/>
      <x:c r="IIB66" s="293"/>
      <x:c r="IIC66" s="293"/>
      <x:c r="IID66" s="293"/>
      <x:c r="IIE66" s="293"/>
      <x:c r="IIF66" s="293"/>
      <x:c r="IIG66" s="293"/>
      <x:c r="IIH66" s="293"/>
      <x:c r="III66" s="293"/>
      <x:c r="IIJ66" s="293"/>
      <x:c r="IIK66" s="293"/>
      <x:c r="IIL66" s="293"/>
      <x:c r="IIM66" s="293"/>
      <x:c r="IIN66" s="293"/>
      <x:c r="IIO66" s="293"/>
      <x:c r="IIP66" s="293"/>
      <x:c r="IIQ66" s="293"/>
      <x:c r="IIR66" s="293"/>
      <x:c r="IIS66" s="293"/>
      <x:c r="IIT66" s="293"/>
      <x:c r="IIU66" s="293"/>
      <x:c r="IIV66" s="293"/>
      <x:c r="IIW66" s="293"/>
      <x:c r="IIX66" s="293"/>
      <x:c r="IIY66" s="293"/>
      <x:c r="IIZ66" s="293"/>
      <x:c r="IJA66" s="293"/>
      <x:c r="IJB66" s="293"/>
      <x:c r="IJC66" s="293"/>
      <x:c r="IJD66" s="293"/>
      <x:c r="IJE66" s="293"/>
      <x:c r="IJF66" s="293"/>
      <x:c r="IJG66" s="293"/>
      <x:c r="IJH66" s="293"/>
      <x:c r="IJI66" s="293"/>
      <x:c r="IJJ66" s="293"/>
      <x:c r="IJK66" s="293"/>
      <x:c r="IJL66" s="293"/>
      <x:c r="IJM66" s="293"/>
      <x:c r="IJN66" s="293"/>
      <x:c r="IJO66" s="293"/>
      <x:c r="IJP66" s="293"/>
      <x:c r="IJQ66" s="293"/>
      <x:c r="IJR66" s="293"/>
      <x:c r="IJS66" s="293"/>
      <x:c r="IJT66" s="293"/>
      <x:c r="IJU66" s="293"/>
      <x:c r="IJV66" s="293"/>
      <x:c r="IJW66" s="293"/>
      <x:c r="IJX66" s="293"/>
      <x:c r="IJY66" s="293"/>
      <x:c r="IJZ66" s="293"/>
      <x:c r="IKA66" s="293"/>
      <x:c r="IKB66" s="293"/>
      <x:c r="IKC66" s="293"/>
      <x:c r="IKD66" s="293"/>
      <x:c r="IKE66" s="293"/>
      <x:c r="IKF66" s="293"/>
      <x:c r="IKG66" s="293"/>
      <x:c r="IKH66" s="293"/>
      <x:c r="IKI66" s="293"/>
      <x:c r="IKJ66" s="293"/>
      <x:c r="IKK66" s="293"/>
      <x:c r="IKL66" s="293"/>
      <x:c r="IKM66" s="293"/>
      <x:c r="IKN66" s="293"/>
      <x:c r="IKO66" s="293"/>
      <x:c r="IKP66" s="293"/>
      <x:c r="IKQ66" s="293"/>
      <x:c r="IKR66" s="293"/>
      <x:c r="IKS66" s="293"/>
      <x:c r="IKT66" s="293"/>
      <x:c r="IKU66" s="293"/>
      <x:c r="IKV66" s="293"/>
      <x:c r="IKW66" s="293"/>
      <x:c r="IKX66" s="293"/>
      <x:c r="IKY66" s="293"/>
      <x:c r="IKZ66" s="293"/>
      <x:c r="ILA66" s="293"/>
      <x:c r="ILB66" s="293"/>
      <x:c r="ILC66" s="293"/>
      <x:c r="ILD66" s="293"/>
      <x:c r="ILE66" s="293"/>
      <x:c r="ILF66" s="293"/>
      <x:c r="ILG66" s="293"/>
      <x:c r="ILH66" s="293"/>
      <x:c r="ILI66" s="293"/>
      <x:c r="ILJ66" s="293"/>
      <x:c r="ILK66" s="293"/>
      <x:c r="ILL66" s="293"/>
      <x:c r="ILM66" s="293"/>
      <x:c r="ILN66" s="293"/>
      <x:c r="ILO66" s="293"/>
      <x:c r="ILP66" s="293"/>
      <x:c r="ILQ66" s="293"/>
      <x:c r="ILR66" s="293"/>
      <x:c r="ILS66" s="293"/>
      <x:c r="ILT66" s="293"/>
      <x:c r="ILU66" s="293"/>
      <x:c r="ILV66" s="293"/>
      <x:c r="ILW66" s="293"/>
      <x:c r="ILX66" s="293"/>
      <x:c r="ILY66" s="293"/>
      <x:c r="ILZ66" s="293"/>
      <x:c r="IMA66" s="293"/>
      <x:c r="IMB66" s="293"/>
      <x:c r="IMC66" s="293"/>
      <x:c r="IMD66" s="293"/>
      <x:c r="IME66" s="293"/>
      <x:c r="IMF66" s="293"/>
      <x:c r="IMG66" s="293"/>
      <x:c r="IMH66" s="293"/>
      <x:c r="IMI66" s="293"/>
      <x:c r="IMJ66" s="293"/>
      <x:c r="IMK66" s="293"/>
      <x:c r="IML66" s="293"/>
      <x:c r="IMM66" s="293"/>
      <x:c r="IMN66" s="293"/>
      <x:c r="IMO66" s="293"/>
      <x:c r="IMP66" s="293"/>
      <x:c r="IMQ66" s="293"/>
      <x:c r="IMR66" s="293"/>
      <x:c r="IMS66" s="293"/>
      <x:c r="IMT66" s="293"/>
      <x:c r="IMU66" s="293"/>
      <x:c r="IMV66" s="293"/>
      <x:c r="IMW66" s="293"/>
      <x:c r="IMX66" s="293"/>
      <x:c r="IMY66" s="293"/>
      <x:c r="IMZ66" s="293"/>
      <x:c r="INA66" s="293"/>
      <x:c r="INB66" s="293"/>
      <x:c r="INC66" s="293"/>
      <x:c r="IND66" s="293"/>
      <x:c r="INE66" s="293"/>
      <x:c r="INF66" s="293"/>
      <x:c r="ING66" s="293"/>
      <x:c r="INH66" s="293"/>
      <x:c r="INI66" s="293"/>
      <x:c r="INJ66" s="293"/>
      <x:c r="INK66" s="293"/>
      <x:c r="INL66" s="293"/>
      <x:c r="INM66" s="293"/>
      <x:c r="INN66" s="293"/>
      <x:c r="INO66" s="293"/>
      <x:c r="INP66" s="293"/>
      <x:c r="INQ66" s="293"/>
      <x:c r="INR66" s="293"/>
      <x:c r="INS66" s="293"/>
      <x:c r="INT66" s="293"/>
      <x:c r="INU66" s="293"/>
      <x:c r="INV66" s="293"/>
      <x:c r="INW66" s="293"/>
      <x:c r="INX66" s="293"/>
      <x:c r="INY66" s="293"/>
      <x:c r="INZ66" s="293"/>
      <x:c r="IOA66" s="293"/>
      <x:c r="IOB66" s="293"/>
      <x:c r="IOC66" s="293"/>
      <x:c r="IOD66" s="293"/>
      <x:c r="IOE66" s="293"/>
      <x:c r="IOF66" s="293"/>
      <x:c r="IOG66" s="293"/>
      <x:c r="IOH66" s="293"/>
      <x:c r="IOI66" s="293"/>
      <x:c r="IOJ66" s="293"/>
      <x:c r="IOK66" s="293"/>
      <x:c r="IOL66" s="293"/>
      <x:c r="IOM66" s="293"/>
      <x:c r="ION66" s="293"/>
      <x:c r="IOO66" s="293"/>
      <x:c r="IOP66" s="293"/>
      <x:c r="IOQ66" s="293"/>
      <x:c r="IOR66" s="293"/>
      <x:c r="IOS66" s="293"/>
      <x:c r="IOT66" s="293"/>
      <x:c r="IOU66" s="293"/>
      <x:c r="IOV66" s="293"/>
      <x:c r="IOW66" s="293"/>
      <x:c r="IOX66" s="293"/>
      <x:c r="IOY66" s="293"/>
      <x:c r="IOZ66" s="293"/>
      <x:c r="IPA66" s="293"/>
      <x:c r="IPB66" s="293"/>
      <x:c r="IPC66" s="293"/>
      <x:c r="IPD66" s="293"/>
      <x:c r="IPE66" s="293"/>
      <x:c r="IPF66" s="293"/>
      <x:c r="IPG66" s="293"/>
      <x:c r="IPH66" s="293"/>
      <x:c r="IPI66" s="293"/>
      <x:c r="IPJ66" s="293"/>
      <x:c r="IPK66" s="293"/>
      <x:c r="IPL66" s="293"/>
      <x:c r="IPM66" s="293"/>
      <x:c r="IPN66" s="293"/>
      <x:c r="IPO66" s="293"/>
      <x:c r="IPP66" s="293"/>
      <x:c r="IPQ66" s="293"/>
      <x:c r="IPR66" s="293"/>
      <x:c r="IPS66" s="293"/>
      <x:c r="IPT66" s="293"/>
      <x:c r="IPU66" s="293"/>
      <x:c r="IPV66" s="293"/>
      <x:c r="IPW66" s="293"/>
      <x:c r="IPX66" s="293"/>
      <x:c r="IPY66" s="293"/>
      <x:c r="IPZ66" s="293"/>
      <x:c r="IQA66" s="293"/>
      <x:c r="IQB66" s="293"/>
      <x:c r="IQC66" s="293"/>
      <x:c r="IQD66" s="293"/>
      <x:c r="IQE66" s="293"/>
      <x:c r="IQF66" s="293"/>
      <x:c r="IQG66" s="293"/>
      <x:c r="IQH66" s="293"/>
      <x:c r="IQI66" s="293"/>
      <x:c r="IQJ66" s="293"/>
      <x:c r="IQK66" s="293"/>
      <x:c r="IQL66" s="293"/>
      <x:c r="IQM66" s="293"/>
      <x:c r="IQN66" s="293"/>
      <x:c r="IQO66" s="293"/>
      <x:c r="IQP66" s="293"/>
      <x:c r="IQQ66" s="293"/>
      <x:c r="IQR66" s="293"/>
      <x:c r="IQS66" s="293"/>
      <x:c r="IQT66" s="293"/>
      <x:c r="IQU66" s="293"/>
      <x:c r="IQV66" s="293"/>
      <x:c r="IQW66" s="293"/>
      <x:c r="IQX66" s="293"/>
      <x:c r="IQY66" s="293"/>
      <x:c r="IQZ66" s="293"/>
      <x:c r="IRA66" s="293"/>
      <x:c r="IRB66" s="293"/>
      <x:c r="IRC66" s="293"/>
      <x:c r="IRD66" s="293"/>
      <x:c r="IRE66" s="293"/>
      <x:c r="IRF66" s="293"/>
      <x:c r="IRG66" s="293"/>
      <x:c r="IRH66" s="293"/>
      <x:c r="IRI66" s="293"/>
      <x:c r="IRJ66" s="293"/>
      <x:c r="IRK66" s="293"/>
      <x:c r="IRL66" s="293"/>
      <x:c r="IRM66" s="293"/>
      <x:c r="IRN66" s="293"/>
      <x:c r="IRO66" s="293"/>
      <x:c r="IRP66" s="293"/>
      <x:c r="IRQ66" s="293"/>
      <x:c r="IRR66" s="293"/>
      <x:c r="IRS66" s="293"/>
      <x:c r="IRT66" s="293"/>
      <x:c r="IRU66" s="293"/>
      <x:c r="IRV66" s="293"/>
      <x:c r="IRW66" s="293"/>
      <x:c r="IRX66" s="293"/>
      <x:c r="IRY66" s="293"/>
      <x:c r="IRZ66" s="293"/>
      <x:c r="ISA66" s="293"/>
      <x:c r="ISB66" s="293"/>
      <x:c r="ISC66" s="293"/>
      <x:c r="ISD66" s="293"/>
      <x:c r="ISE66" s="293"/>
      <x:c r="ISF66" s="293"/>
      <x:c r="ISG66" s="293"/>
      <x:c r="ISH66" s="293"/>
      <x:c r="ISI66" s="293"/>
      <x:c r="ISJ66" s="293"/>
      <x:c r="ISK66" s="293"/>
      <x:c r="ISL66" s="293"/>
      <x:c r="ISM66" s="293"/>
      <x:c r="ISN66" s="293"/>
      <x:c r="ISO66" s="293"/>
      <x:c r="ISP66" s="293"/>
      <x:c r="ISQ66" s="293"/>
      <x:c r="ISR66" s="293"/>
      <x:c r="ISS66" s="293"/>
      <x:c r="IST66" s="293"/>
      <x:c r="ISU66" s="293"/>
      <x:c r="ISV66" s="293"/>
      <x:c r="ISW66" s="293"/>
      <x:c r="ISX66" s="293"/>
      <x:c r="ISY66" s="293"/>
      <x:c r="ISZ66" s="293"/>
      <x:c r="ITA66" s="293"/>
      <x:c r="ITB66" s="293"/>
      <x:c r="ITC66" s="293"/>
      <x:c r="ITD66" s="293"/>
      <x:c r="ITE66" s="293"/>
      <x:c r="ITF66" s="293"/>
      <x:c r="ITG66" s="293"/>
      <x:c r="ITH66" s="293"/>
      <x:c r="ITI66" s="293"/>
      <x:c r="ITJ66" s="293"/>
      <x:c r="ITK66" s="293"/>
      <x:c r="ITL66" s="293"/>
      <x:c r="ITM66" s="293"/>
      <x:c r="ITN66" s="293"/>
      <x:c r="ITO66" s="293"/>
      <x:c r="ITP66" s="293"/>
      <x:c r="ITQ66" s="293"/>
      <x:c r="ITR66" s="293"/>
      <x:c r="ITS66" s="293"/>
      <x:c r="ITT66" s="293"/>
      <x:c r="ITU66" s="293"/>
      <x:c r="ITV66" s="293"/>
      <x:c r="ITW66" s="293"/>
      <x:c r="ITX66" s="293"/>
      <x:c r="ITY66" s="293"/>
      <x:c r="ITZ66" s="293"/>
      <x:c r="IUA66" s="293"/>
      <x:c r="IUB66" s="293"/>
      <x:c r="IUC66" s="293"/>
      <x:c r="IUD66" s="293"/>
      <x:c r="IUE66" s="293"/>
      <x:c r="IUF66" s="293"/>
      <x:c r="IUG66" s="293"/>
      <x:c r="IUH66" s="293"/>
      <x:c r="IUI66" s="293"/>
      <x:c r="IUJ66" s="293"/>
      <x:c r="IUK66" s="293"/>
      <x:c r="IUL66" s="293"/>
      <x:c r="IUM66" s="293"/>
      <x:c r="IUN66" s="293"/>
      <x:c r="IUO66" s="293"/>
      <x:c r="IUP66" s="293"/>
      <x:c r="IUQ66" s="293"/>
      <x:c r="IUR66" s="293"/>
      <x:c r="IUS66" s="293"/>
      <x:c r="IUT66" s="293"/>
      <x:c r="IUU66" s="293"/>
      <x:c r="IUV66" s="293"/>
      <x:c r="IUW66" s="293"/>
      <x:c r="IUX66" s="293"/>
      <x:c r="IUY66" s="293"/>
      <x:c r="IUZ66" s="293"/>
      <x:c r="IVA66" s="293"/>
      <x:c r="IVB66" s="293"/>
      <x:c r="IVC66" s="293"/>
      <x:c r="IVD66" s="293"/>
      <x:c r="IVE66" s="293"/>
      <x:c r="IVF66" s="293"/>
      <x:c r="IVG66" s="293"/>
      <x:c r="IVH66" s="293"/>
      <x:c r="IVI66" s="293"/>
      <x:c r="IVJ66" s="293"/>
      <x:c r="IVK66" s="293"/>
      <x:c r="IVL66" s="293"/>
      <x:c r="IVM66" s="293"/>
      <x:c r="IVN66" s="293"/>
      <x:c r="IVO66" s="293"/>
      <x:c r="IVP66" s="293"/>
      <x:c r="IVQ66" s="293"/>
      <x:c r="IVR66" s="293"/>
      <x:c r="IVS66" s="293"/>
      <x:c r="IVT66" s="293"/>
      <x:c r="IVU66" s="293"/>
      <x:c r="IVV66" s="293"/>
      <x:c r="IVW66" s="293"/>
      <x:c r="IVX66" s="293"/>
      <x:c r="IVY66" s="293"/>
      <x:c r="IVZ66" s="293"/>
      <x:c r="IWA66" s="293"/>
      <x:c r="IWB66" s="293"/>
      <x:c r="IWC66" s="293"/>
      <x:c r="IWD66" s="293"/>
      <x:c r="IWE66" s="293"/>
      <x:c r="IWF66" s="293"/>
      <x:c r="IWG66" s="293"/>
      <x:c r="IWH66" s="293"/>
      <x:c r="IWI66" s="293"/>
      <x:c r="IWJ66" s="293"/>
      <x:c r="IWK66" s="293"/>
      <x:c r="IWL66" s="293"/>
      <x:c r="IWM66" s="293"/>
      <x:c r="IWN66" s="293"/>
      <x:c r="IWO66" s="293"/>
      <x:c r="IWP66" s="293"/>
      <x:c r="IWQ66" s="293"/>
      <x:c r="IWR66" s="293"/>
      <x:c r="IWS66" s="293"/>
      <x:c r="IWT66" s="293"/>
      <x:c r="IWU66" s="293"/>
      <x:c r="IWV66" s="293"/>
      <x:c r="IWW66" s="293"/>
      <x:c r="IWX66" s="293"/>
      <x:c r="IWY66" s="293"/>
      <x:c r="IWZ66" s="293"/>
      <x:c r="IXA66" s="293"/>
      <x:c r="IXB66" s="293"/>
      <x:c r="IXC66" s="293"/>
      <x:c r="IXD66" s="293"/>
      <x:c r="IXE66" s="293"/>
      <x:c r="IXF66" s="293"/>
      <x:c r="IXG66" s="293"/>
      <x:c r="IXH66" s="293"/>
      <x:c r="IXI66" s="293"/>
      <x:c r="IXJ66" s="293"/>
      <x:c r="IXK66" s="293"/>
      <x:c r="IXL66" s="293"/>
      <x:c r="IXM66" s="293"/>
      <x:c r="IXN66" s="293"/>
      <x:c r="IXO66" s="293"/>
      <x:c r="IXP66" s="293"/>
      <x:c r="IXQ66" s="293"/>
      <x:c r="IXR66" s="293"/>
      <x:c r="IXS66" s="293"/>
      <x:c r="IXT66" s="293"/>
      <x:c r="IXU66" s="293"/>
      <x:c r="IXV66" s="293"/>
      <x:c r="IXW66" s="293"/>
      <x:c r="IXX66" s="293"/>
      <x:c r="IXY66" s="293"/>
      <x:c r="IXZ66" s="293"/>
      <x:c r="IYA66" s="293"/>
      <x:c r="IYB66" s="293"/>
      <x:c r="IYC66" s="293"/>
      <x:c r="IYD66" s="293"/>
      <x:c r="IYE66" s="293"/>
      <x:c r="IYF66" s="293"/>
      <x:c r="IYG66" s="293"/>
      <x:c r="IYH66" s="293"/>
      <x:c r="IYI66" s="293"/>
      <x:c r="IYJ66" s="293"/>
      <x:c r="IYK66" s="293"/>
      <x:c r="IYL66" s="293"/>
      <x:c r="IYM66" s="293"/>
      <x:c r="IYN66" s="293"/>
      <x:c r="IYO66" s="293"/>
      <x:c r="IYP66" s="293"/>
      <x:c r="IYQ66" s="293"/>
      <x:c r="IYR66" s="293"/>
      <x:c r="IYS66" s="293"/>
      <x:c r="IYT66" s="293"/>
      <x:c r="IYU66" s="293"/>
      <x:c r="IYV66" s="293"/>
      <x:c r="IYW66" s="293"/>
      <x:c r="IYX66" s="293"/>
      <x:c r="IYY66" s="293"/>
      <x:c r="IYZ66" s="293"/>
      <x:c r="IZA66" s="293"/>
      <x:c r="IZB66" s="293"/>
      <x:c r="IZC66" s="293"/>
      <x:c r="IZD66" s="293"/>
      <x:c r="IZE66" s="293"/>
      <x:c r="IZF66" s="293"/>
      <x:c r="IZG66" s="293"/>
      <x:c r="IZH66" s="293"/>
      <x:c r="IZI66" s="293"/>
      <x:c r="IZJ66" s="293"/>
      <x:c r="IZK66" s="293"/>
      <x:c r="IZL66" s="293"/>
      <x:c r="IZM66" s="293"/>
      <x:c r="IZN66" s="293"/>
      <x:c r="IZO66" s="293"/>
      <x:c r="IZP66" s="293"/>
      <x:c r="IZQ66" s="293"/>
      <x:c r="IZR66" s="293"/>
      <x:c r="IZS66" s="293"/>
      <x:c r="IZT66" s="293"/>
      <x:c r="IZU66" s="293"/>
      <x:c r="IZV66" s="293"/>
      <x:c r="IZW66" s="293"/>
      <x:c r="IZX66" s="293"/>
      <x:c r="IZY66" s="293"/>
      <x:c r="IZZ66" s="293"/>
      <x:c r="JAA66" s="293"/>
      <x:c r="JAB66" s="293"/>
      <x:c r="JAC66" s="293"/>
      <x:c r="JAD66" s="293"/>
      <x:c r="JAE66" s="293"/>
      <x:c r="JAF66" s="293"/>
      <x:c r="JAG66" s="293"/>
      <x:c r="JAH66" s="293"/>
      <x:c r="JAI66" s="293"/>
      <x:c r="JAJ66" s="293"/>
      <x:c r="JAK66" s="293"/>
      <x:c r="JAL66" s="293"/>
      <x:c r="JAM66" s="293"/>
      <x:c r="JAN66" s="293"/>
      <x:c r="JAO66" s="293"/>
      <x:c r="JAP66" s="293"/>
      <x:c r="JAQ66" s="293"/>
      <x:c r="JAR66" s="293"/>
      <x:c r="JAS66" s="293"/>
      <x:c r="JAT66" s="293"/>
      <x:c r="JAU66" s="293"/>
      <x:c r="JAV66" s="293"/>
      <x:c r="JAW66" s="293"/>
      <x:c r="JAX66" s="293"/>
      <x:c r="JAY66" s="293"/>
      <x:c r="JAZ66" s="293"/>
      <x:c r="JBA66" s="293"/>
      <x:c r="JBB66" s="293"/>
      <x:c r="JBC66" s="293"/>
      <x:c r="JBD66" s="293"/>
      <x:c r="JBE66" s="293"/>
      <x:c r="JBF66" s="293"/>
      <x:c r="JBG66" s="293"/>
      <x:c r="JBH66" s="293"/>
      <x:c r="JBI66" s="293"/>
      <x:c r="JBJ66" s="293"/>
      <x:c r="JBK66" s="293"/>
      <x:c r="JBL66" s="293"/>
      <x:c r="JBM66" s="293"/>
      <x:c r="JBN66" s="293"/>
      <x:c r="JBO66" s="293"/>
      <x:c r="JBP66" s="293"/>
      <x:c r="JBQ66" s="293"/>
      <x:c r="JBR66" s="293"/>
      <x:c r="JBS66" s="293"/>
      <x:c r="JBT66" s="293"/>
      <x:c r="JBU66" s="293"/>
      <x:c r="JBV66" s="293"/>
      <x:c r="JBW66" s="293"/>
      <x:c r="JBX66" s="293"/>
      <x:c r="JBY66" s="293"/>
      <x:c r="JBZ66" s="293"/>
      <x:c r="JCA66" s="293"/>
      <x:c r="JCB66" s="293"/>
      <x:c r="JCC66" s="293"/>
      <x:c r="JCD66" s="293"/>
      <x:c r="JCE66" s="293"/>
      <x:c r="JCF66" s="293"/>
      <x:c r="JCG66" s="293"/>
      <x:c r="JCH66" s="293"/>
      <x:c r="JCI66" s="293"/>
      <x:c r="JCJ66" s="293"/>
      <x:c r="JCK66" s="293"/>
      <x:c r="JCL66" s="293"/>
      <x:c r="JCM66" s="293"/>
      <x:c r="JCN66" s="293"/>
      <x:c r="JCO66" s="293"/>
      <x:c r="JCP66" s="293"/>
      <x:c r="JCQ66" s="293"/>
      <x:c r="JCR66" s="293"/>
      <x:c r="JCS66" s="293"/>
      <x:c r="JCT66" s="293"/>
      <x:c r="JCU66" s="293"/>
      <x:c r="JCV66" s="293"/>
      <x:c r="JCW66" s="293"/>
      <x:c r="JCX66" s="293"/>
      <x:c r="JCY66" s="293"/>
      <x:c r="JCZ66" s="293"/>
      <x:c r="JDA66" s="293"/>
      <x:c r="JDB66" s="293"/>
      <x:c r="JDC66" s="293"/>
      <x:c r="JDD66" s="293"/>
      <x:c r="JDE66" s="293"/>
      <x:c r="JDF66" s="293"/>
      <x:c r="JDG66" s="293"/>
      <x:c r="JDH66" s="293"/>
      <x:c r="JDI66" s="293"/>
      <x:c r="JDJ66" s="293"/>
      <x:c r="JDK66" s="293"/>
      <x:c r="JDL66" s="293"/>
      <x:c r="JDM66" s="293"/>
      <x:c r="JDN66" s="293"/>
      <x:c r="JDO66" s="293"/>
      <x:c r="JDP66" s="293"/>
      <x:c r="JDQ66" s="293"/>
      <x:c r="JDR66" s="293"/>
      <x:c r="JDS66" s="293"/>
      <x:c r="JDT66" s="293"/>
      <x:c r="JDU66" s="293"/>
      <x:c r="JDV66" s="293"/>
      <x:c r="JDW66" s="293"/>
      <x:c r="JDX66" s="293"/>
      <x:c r="JDY66" s="293"/>
      <x:c r="JDZ66" s="293"/>
      <x:c r="JEA66" s="293"/>
      <x:c r="JEB66" s="293"/>
      <x:c r="JEC66" s="293"/>
      <x:c r="JED66" s="293"/>
      <x:c r="JEE66" s="293"/>
      <x:c r="JEF66" s="293"/>
      <x:c r="JEG66" s="293"/>
      <x:c r="JEH66" s="293"/>
      <x:c r="JEI66" s="293"/>
      <x:c r="JEJ66" s="293"/>
      <x:c r="JEK66" s="293"/>
      <x:c r="JEL66" s="293"/>
      <x:c r="JEM66" s="293"/>
      <x:c r="JEN66" s="293"/>
      <x:c r="JEO66" s="293"/>
      <x:c r="JEP66" s="293"/>
      <x:c r="JEQ66" s="293"/>
      <x:c r="JER66" s="293"/>
      <x:c r="JES66" s="293"/>
      <x:c r="JET66" s="293"/>
      <x:c r="JEU66" s="293"/>
      <x:c r="JEV66" s="293"/>
      <x:c r="JEW66" s="293"/>
      <x:c r="JEX66" s="293"/>
      <x:c r="JEY66" s="293"/>
      <x:c r="JEZ66" s="293"/>
      <x:c r="JFA66" s="293"/>
      <x:c r="JFB66" s="293"/>
      <x:c r="JFC66" s="293"/>
      <x:c r="JFD66" s="293"/>
      <x:c r="JFE66" s="293"/>
      <x:c r="JFF66" s="293"/>
      <x:c r="JFG66" s="293"/>
      <x:c r="JFH66" s="293"/>
      <x:c r="JFI66" s="293"/>
      <x:c r="JFJ66" s="293"/>
      <x:c r="JFK66" s="293"/>
      <x:c r="JFL66" s="293"/>
      <x:c r="JFM66" s="293"/>
      <x:c r="JFN66" s="293"/>
      <x:c r="JFO66" s="293"/>
      <x:c r="JFP66" s="293"/>
      <x:c r="JFQ66" s="293"/>
      <x:c r="JFR66" s="293"/>
      <x:c r="JFS66" s="293"/>
      <x:c r="JFT66" s="293"/>
      <x:c r="JFU66" s="293"/>
      <x:c r="JFV66" s="293"/>
      <x:c r="JFW66" s="293"/>
      <x:c r="JFX66" s="293"/>
      <x:c r="JFY66" s="293"/>
      <x:c r="JFZ66" s="293"/>
      <x:c r="JGA66" s="293"/>
      <x:c r="JGB66" s="293"/>
      <x:c r="JGC66" s="293"/>
      <x:c r="JGD66" s="293"/>
      <x:c r="JGE66" s="293"/>
      <x:c r="JGF66" s="293"/>
      <x:c r="JGG66" s="293"/>
      <x:c r="JGH66" s="293"/>
      <x:c r="JGI66" s="293"/>
      <x:c r="JGJ66" s="293"/>
      <x:c r="JGK66" s="293"/>
      <x:c r="JGL66" s="293"/>
      <x:c r="JGM66" s="293"/>
      <x:c r="JGN66" s="293"/>
      <x:c r="JGO66" s="293"/>
      <x:c r="JGP66" s="293"/>
      <x:c r="JGQ66" s="293"/>
      <x:c r="JGR66" s="293"/>
      <x:c r="JGS66" s="293"/>
      <x:c r="JGT66" s="293"/>
      <x:c r="JGU66" s="293"/>
      <x:c r="JGV66" s="293"/>
      <x:c r="JGW66" s="293"/>
      <x:c r="JGX66" s="293"/>
      <x:c r="JGY66" s="293"/>
      <x:c r="JGZ66" s="293"/>
      <x:c r="JHA66" s="293"/>
      <x:c r="JHB66" s="293"/>
      <x:c r="JHC66" s="293"/>
      <x:c r="JHD66" s="293"/>
      <x:c r="JHE66" s="293"/>
      <x:c r="JHF66" s="293"/>
      <x:c r="JHG66" s="293"/>
      <x:c r="JHH66" s="293"/>
      <x:c r="JHI66" s="293"/>
      <x:c r="JHJ66" s="293"/>
      <x:c r="JHK66" s="293"/>
      <x:c r="JHL66" s="293"/>
      <x:c r="JHM66" s="293"/>
      <x:c r="JHN66" s="293"/>
      <x:c r="JHO66" s="293"/>
      <x:c r="JHP66" s="293"/>
      <x:c r="JHQ66" s="293"/>
      <x:c r="JHR66" s="293"/>
      <x:c r="JHS66" s="293"/>
      <x:c r="JHT66" s="293"/>
      <x:c r="JHU66" s="293"/>
      <x:c r="JHV66" s="293"/>
      <x:c r="JHW66" s="293"/>
      <x:c r="JHX66" s="293"/>
      <x:c r="JHY66" s="293"/>
      <x:c r="JHZ66" s="293"/>
      <x:c r="JIA66" s="293"/>
      <x:c r="JIB66" s="293"/>
      <x:c r="JIC66" s="293"/>
      <x:c r="JID66" s="293"/>
      <x:c r="JIE66" s="293"/>
      <x:c r="JIF66" s="293"/>
      <x:c r="JIG66" s="293"/>
      <x:c r="JIH66" s="293"/>
      <x:c r="JII66" s="293"/>
      <x:c r="JIJ66" s="293"/>
      <x:c r="JIK66" s="293"/>
      <x:c r="JIL66" s="293"/>
      <x:c r="JIM66" s="293"/>
      <x:c r="JIN66" s="293"/>
      <x:c r="JIO66" s="293"/>
      <x:c r="JIP66" s="293"/>
      <x:c r="JIQ66" s="293"/>
      <x:c r="JIR66" s="293"/>
      <x:c r="JIS66" s="293"/>
      <x:c r="JIT66" s="293"/>
      <x:c r="JIU66" s="293"/>
      <x:c r="JIV66" s="293"/>
      <x:c r="JIW66" s="293"/>
      <x:c r="JIX66" s="293"/>
      <x:c r="JIY66" s="293"/>
      <x:c r="JIZ66" s="293"/>
      <x:c r="JJA66" s="293"/>
      <x:c r="JJB66" s="293"/>
      <x:c r="JJC66" s="293"/>
      <x:c r="JJD66" s="293"/>
      <x:c r="JJE66" s="293"/>
      <x:c r="JJF66" s="293"/>
      <x:c r="JJG66" s="293"/>
      <x:c r="JJH66" s="293"/>
      <x:c r="JJI66" s="293"/>
      <x:c r="JJJ66" s="293"/>
      <x:c r="JJK66" s="293"/>
      <x:c r="JJL66" s="293"/>
      <x:c r="JJM66" s="293"/>
      <x:c r="JJN66" s="293"/>
      <x:c r="JJO66" s="293"/>
      <x:c r="JJP66" s="293"/>
      <x:c r="JJQ66" s="293"/>
      <x:c r="JJR66" s="293"/>
      <x:c r="JJS66" s="293"/>
      <x:c r="JJT66" s="293"/>
      <x:c r="JJU66" s="293"/>
      <x:c r="JJV66" s="293"/>
      <x:c r="JJW66" s="293"/>
      <x:c r="JJX66" s="293"/>
      <x:c r="JJY66" s="293"/>
      <x:c r="JJZ66" s="293"/>
      <x:c r="JKA66" s="293"/>
      <x:c r="JKB66" s="293"/>
      <x:c r="JKC66" s="293"/>
      <x:c r="JKD66" s="293"/>
      <x:c r="JKE66" s="293"/>
      <x:c r="JKF66" s="293"/>
      <x:c r="JKG66" s="293"/>
      <x:c r="JKH66" s="293"/>
      <x:c r="JKI66" s="293"/>
      <x:c r="JKJ66" s="293"/>
      <x:c r="JKK66" s="293"/>
      <x:c r="JKL66" s="293"/>
      <x:c r="JKM66" s="293"/>
      <x:c r="JKN66" s="293"/>
      <x:c r="JKO66" s="293"/>
      <x:c r="JKP66" s="293"/>
      <x:c r="JKQ66" s="293"/>
      <x:c r="JKR66" s="293"/>
      <x:c r="JKS66" s="293"/>
      <x:c r="JKT66" s="293"/>
      <x:c r="JKU66" s="293"/>
      <x:c r="JKV66" s="293"/>
      <x:c r="JKW66" s="293"/>
      <x:c r="JKX66" s="293"/>
      <x:c r="JKY66" s="293"/>
      <x:c r="JKZ66" s="293"/>
      <x:c r="JLA66" s="293"/>
      <x:c r="JLB66" s="293"/>
      <x:c r="JLC66" s="293"/>
      <x:c r="JLD66" s="293"/>
      <x:c r="JLE66" s="293"/>
      <x:c r="JLF66" s="293"/>
      <x:c r="JLG66" s="293"/>
      <x:c r="JLH66" s="293"/>
      <x:c r="JLI66" s="293"/>
      <x:c r="JLJ66" s="293"/>
      <x:c r="JLK66" s="293"/>
      <x:c r="JLL66" s="293"/>
      <x:c r="JLM66" s="293"/>
      <x:c r="JLN66" s="293"/>
      <x:c r="JLO66" s="293"/>
      <x:c r="JLP66" s="293"/>
      <x:c r="JLQ66" s="293"/>
      <x:c r="JLR66" s="293"/>
      <x:c r="JLS66" s="293"/>
      <x:c r="JLT66" s="293"/>
      <x:c r="JLU66" s="293"/>
      <x:c r="JLV66" s="293"/>
      <x:c r="JLW66" s="293"/>
      <x:c r="JLX66" s="293"/>
      <x:c r="JLY66" s="293"/>
      <x:c r="JLZ66" s="293"/>
      <x:c r="JMA66" s="293"/>
      <x:c r="JMB66" s="293"/>
      <x:c r="JMC66" s="293"/>
      <x:c r="JMD66" s="293"/>
      <x:c r="JME66" s="293"/>
      <x:c r="JMF66" s="293"/>
      <x:c r="JMG66" s="293"/>
      <x:c r="JMH66" s="293"/>
      <x:c r="JMI66" s="293"/>
      <x:c r="JMJ66" s="293"/>
      <x:c r="JMK66" s="293"/>
      <x:c r="JML66" s="293"/>
      <x:c r="JMM66" s="293"/>
      <x:c r="JMN66" s="293"/>
      <x:c r="JMO66" s="293"/>
      <x:c r="JMP66" s="293"/>
      <x:c r="JMQ66" s="293"/>
      <x:c r="JMR66" s="293"/>
      <x:c r="JMS66" s="293"/>
      <x:c r="JMT66" s="293"/>
      <x:c r="JMU66" s="293"/>
      <x:c r="JMV66" s="293"/>
      <x:c r="JMW66" s="293"/>
      <x:c r="JMX66" s="293"/>
      <x:c r="JMY66" s="293"/>
      <x:c r="JMZ66" s="293"/>
      <x:c r="JNA66" s="293"/>
      <x:c r="JNB66" s="293"/>
      <x:c r="JNC66" s="293"/>
      <x:c r="JND66" s="293"/>
      <x:c r="JNE66" s="293"/>
      <x:c r="JNF66" s="293"/>
      <x:c r="JNG66" s="293"/>
      <x:c r="JNH66" s="293"/>
      <x:c r="JNI66" s="293"/>
      <x:c r="JNJ66" s="293"/>
      <x:c r="JNK66" s="293"/>
      <x:c r="JNL66" s="293"/>
      <x:c r="JNM66" s="293"/>
      <x:c r="JNN66" s="293"/>
      <x:c r="JNO66" s="293"/>
      <x:c r="JNP66" s="293"/>
      <x:c r="JNQ66" s="293"/>
      <x:c r="JNR66" s="293"/>
      <x:c r="JNS66" s="293"/>
      <x:c r="JNT66" s="293"/>
      <x:c r="JNU66" s="293"/>
      <x:c r="JNV66" s="293"/>
      <x:c r="JNW66" s="293"/>
      <x:c r="JNX66" s="293"/>
      <x:c r="JNY66" s="293"/>
      <x:c r="JNZ66" s="293"/>
      <x:c r="JOA66" s="293"/>
      <x:c r="JOB66" s="293"/>
      <x:c r="JOC66" s="293"/>
      <x:c r="JOD66" s="293"/>
      <x:c r="JOE66" s="293"/>
      <x:c r="JOF66" s="293"/>
      <x:c r="JOG66" s="293"/>
      <x:c r="JOH66" s="293"/>
      <x:c r="JOI66" s="293"/>
      <x:c r="JOJ66" s="293"/>
      <x:c r="JOK66" s="293"/>
      <x:c r="JOL66" s="293"/>
      <x:c r="JOM66" s="293"/>
      <x:c r="JON66" s="293"/>
      <x:c r="JOO66" s="293"/>
      <x:c r="JOP66" s="293"/>
      <x:c r="JOQ66" s="293"/>
      <x:c r="JOR66" s="293"/>
      <x:c r="JOS66" s="293"/>
      <x:c r="JOT66" s="293"/>
      <x:c r="JOU66" s="293"/>
      <x:c r="JOV66" s="293"/>
      <x:c r="JOW66" s="293"/>
      <x:c r="JOX66" s="293"/>
      <x:c r="JOY66" s="293"/>
      <x:c r="JOZ66" s="293"/>
      <x:c r="JPA66" s="293"/>
      <x:c r="JPB66" s="293"/>
      <x:c r="JPC66" s="293"/>
      <x:c r="JPD66" s="293"/>
      <x:c r="JPE66" s="293"/>
      <x:c r="JPF66" s="293"/>
      <x:c r="JPG66" s="293"/>
      <x:c r="JPH66" s="293"/>
      <x:c r="JPI66" s="293"/>
      <x:c r="JPJ66" s="293"/>
      <x:c r="JPK66" s="293"/>
      <x:c r="JPL66" s="293"/>
      <x:c r="JPM66" s="293"/>
      <x:c r="JPN66" s="293"/>
      <x:c r="JPO66" s="293"/>
      <x:c r="JPP66" s="293"/>
      <x:c r="JPQ66" s="293"/>
      <x:c r="JPR66" s="293"/>
      <x:c r="JPS66" s="293"/>
      <x:c r="JPT66" s="293"/>
      <x:c r="JPU66" s="293"/>
      <x:c r="JPV66" s="293"/>
      <x:c r="JPW66" s="293"/>
      <x:c r="JPX66" s="293"/>
      <x:c r="JPY66" s="293"/>
      <x:c r="JPZ66" s="293"/>
      <x:c r="JQA66" s="293"/>
      <x:c r="JQB66" s="293"/>
      <x:c r="JQC66" s="293"/>
      <x:c r="JQD66" s="293"/>
      <x:c r="JQE66" s="293"/>
      <x:c r="JQF66" s="293"/>
      <x:c r="JQG66" s="293"/>
      <x:c r="JQH66" s="293"/>
      <x:c r="JQI66" s="293"/>
      <x:c r="JQJ66" s="293"/>
      <x:c r="JQK66" s="293"/>
      <x:c r="JQL66" s="293"/>
      <x:c r="JQM66" s="293"/>
      <x:c r="JQN66" s="293"/>
      <x:c r="JQO66" s="293"/>
      <x:c r="JQP66" s="293"/>
      <x:c r="JQQ66" s="293"/>
      <x:c r="JQR66" s="293"/>
      <x:c r="JQS66" s="293"/>
      <x:c r="JQT66" s="293"/>
      <x:c r="JQU66" s="293"/>
      <x:c r="JQV66" s="293"/>
      <x:c r="JQW66" s="293"/>
      <x:c r="JQX66" s="293"/>
      <x:c r="JQY66" s="293"/>
      <x:c r="JQZ66" s="293"/>
      <x:c r="JRA66" s="293"/>
      <x:c r="JRB66" s="293"/>
      <x:c r="JRC66" s="293"/>
      <x:c r="JRD66" s="293"/>
      <x:c r="JRE66" s="293"/>
      <x:c r="JRF66" s="293"/>
      <x:c r="JRG66" s="293"/>
      <x:c r="JRH66" s="293"/>
      <x:c r="JRI66" s="293"/>
      <x:c r="JRJ66" s="293"/>
      <x:c r="JRK66" s="293"/>
      <x:c r="JRL66" s="293"/>
      <x:c r="JRM66" s="293"/>
      <x:c r="JRN66" s="293"/>
      <x:c r="JRO66" s="293"/>
      <x:c r="JRP66" s="293"/>
      <x:c r="JRQ66" s="293"/>
      <x:c r="JRR66" s="293"/>
      <x:c r="JRS66" s="293"/>
      <x:c r="JRT66" s="293"/>
      <x:c r="JRU66" s="293"/>
      <x:c r="JRV66" s="293"/>
      <x:c r="JRW66" s="293"/>
      <x:c r="JRX66" s="293"/>
      <x:c r="JRY66" s="293"/>
      <x:c r="JRZ66" s="293"/>
      <x:c r="JSA66" s="293"/>
      <x:c r="JSB66" s="293"/>
      <x:c r="JSC66" s="293"/>
      <x:c r="JSD66" s="293"/>
      <x:c r="JSE66" s="293"/>
      <x:c r="JSF66" s="293"/>
      <x:c r="JSG66" s="293"/>
      <x:c r="JSH66" s="293"/>
      <x:c r="JSI66" s="293"/>
      <x:c r="JSJ66" s="293"/>
      <x:c r="JSK66" s="293"/>
      <x:c r="JSL66" s="293"/>
      <x:c r="JSM66" s="293"/>
      <x:c r="JSN66" s="293"/>
      <x:c r="JSO66" s="293"/>
      <x:c r="JSP66" s="293"/>
      <x:c r="JSQ66" s="293"/>
      <x:c r="JSR66" s="293"/>
      <x:c r="JSS66" s="293"/>
      <x:c r="JST66" s="293"/>
      <x:c r="JSU66" s="293"/>
      <x:c r="JSV66" s="293"/>
      <x:c r="JSW66" s="293"/>
      <x:c r="JSX66" s="293"/>
      <x:c r="JSY66" s="293"/>
      <x:c r="JSZ66" s="293"/>
      <x:c r="JTA66" s="293"/>
      <x:c r="JTB66" s="293"/>
      <x:c r="JTC66" s="293"/>
      <x:c r="JTD66" s="293"/>
      <x:c r="JTE66" s="293"/>
      <x:c r="JTF66" s="293"/>
      <x:c r="JTG66" s="293"/>
      <x:c r="JTH66" s="293"/>
      <x:c r="JTI66" s="293"/>
      <x:c r="JTJ66" s="293"/>
      <x:c r="JTK66" s="293"/>
      <x:c r="JTL66" s="293"/>
      <x:c r="JTM66" s="293"/>
      <x:c r="JTN66" s="293"/>
      <x:c r="JTO66" s="293"/>
      <x:c r="JTP66" s="293"/>
      <x:c r="JTQ66" s="293"/>
      <x:c r="JTR66" s="293"/>
      <x:c r="JTS66" s="293"/>
      <x:c r="JTT66" s="293"/>
      <x:c r="JTU66" s="293"/>
      <x:c r="JTV66" s="293"/>
      <x:c r="JTW66" s="293"/>
      <x:c r="JTX66" s="293"/>
      <x:c r="JTY66" s="293"/>
      <x:c r="JTZ66" s="293"/>
      <x:c r="JUA66" s="293"/>
      <x:c r="JUB66" s="293"/>
      <x:c r="JUC66" s="293"/>
      <x:c r="JUD66" s="293"/>
      <x:c r="JUE66" s="293"/>
      <x:c r="JUF66" s="293"/>
      <x:c r="JUG66" s="293"/>
      <x:c r="JUH66" s="293"/>
      <x:c r="JUI66" s="293"/>
      <x:c r="JUJ66" s="293"/>
      <x:c r="JUK66" s="293"/>
      <x:c r="JUL66" s="293"/>
      <x:c r="JUM66" s="293"/>
      <x:c r="JUN66" s="293"/>
      <x:c r="JUO66" s="293"/>
      <x:c r="JUP66" s="293"/>
      <x:c r="JUQ66" s="293"/>
      <x:c r="JUR66" s="293"/>
      <x:c r="JUS66" s="293"/>
      <x:c r="JUT66" s="293"/>
      <x:c r="JUU66" s="293"/>
      <x:c r="JUV66" s="293"/>
      <x:c r="JUW66" s="293"/>
      <x:c r="JUX66" s="293"/>
      <x:c r="JUY66" s="293"/>
      <x:c r="JUZ66" s="293"/>
      <x:c r="JVA66" s="293"/>
      <x:c r="JVB66" s="293"/>
      <x:c r="JVC66" s="293"/>
      <x:c r="JVD66" s="293"/>
      <x:c r="JVE66" s="293"/>
      <x:c r="JVF66" s="293"/>
      <x:c r="JVG66" s="293"/>
      <x:c r="JVH66" s="293"/>
      <x:c r="JVI66" s="293"/>
      <x:c r="JVJ66" s="293"/>
      <x:c r="JVK66" s="293"/>
      <x:c r="JVL66" s="293"/>
      <x:c r="JVM66" s="293"/>
      <x:c r="JVN66" s="293"/>
      <x:c r="JVO66" s="293"/>
      <x:c r="JVP66" s="293"/>
      <x:c r="JVQ66" s="293"/>
      <x:c r="JVR66" s="293"/>
      <x:c r="JVS66" s="293"/>
      <x:c r="JVT66" s="293"/>
      <x:c r="JVU66" s="293"/>
      <x:c r="JVV66" s="293"/>
      <x:c r="JVW66" s="293"/>
      <x:c r="JVX66" s="293"/>
      <x:c r="JVY66" s="293"/>
      <x:c r="JVZ66" s="293"/>
      <x:c r="JWA66" s="293"/>
      <x:c r="JWB66" s="293"/>
      <x:c r="JWC66" s="293"/>
      <x:c r="JWD66" s="293"/>
      <x:c r="JWE66" s="293"/>
      <x:c r="JWF66" s="293"/>
      <x:c r="JWG66" s="293"/>
      <x:c r="JWH66" s="293"/>
      <x:c r="JWI66" s="293"/>
      <x:c r="JWJ66" s="293"/>
      <x:c r="JWK66" s="293"/>
      <x:c r="JWL66" s="293"/>
      <x:c r="JWM66" s="293"/>
      <x:c r="JWN66" s="293"/>
      <x:c r="JWO66" s="293"/>
      <x:c r="JWP66" s="293"/>
      <x:c r="JWQ66" s="293"/>
      <x:c r="JWR66" s="293"/>
      <x:c r="JWS66" s="293"/>
      <x:c r="JWT66" s="293"/>
      <x:c r="JWU66" s="293"/>
      <x:c r="JWV66" s="293"/>
      <x:c r="JWW66" s="293"/>
      <x:c r="JWX66" s="293"/>
      <x:c r="JWY66" s="293"/>
      <x:c r="JWZ66" s="293"/>
      <x:c r="JXA66" s="293"/>
      <x:c r="JXB66" s="293"/>
      <x:c r="JXC66" s="293"/>
      <x:c r="JXD66" s="293"/>
      <x:c r="JXE66" s="293"/>
      <x:c r="JXF66" s="293"/>
      <x:c r="JXG66" s="293"/>
      <x:c r="JXH66" s="293"/>
      <x:c r="JXI66" s="293"/>
      <x:c r="JXJ66" s="293"/>
      <x:c r="JXK66" s="293"/>
      <x:c r="JXL66" s="293"/>
      <x:c r="JXM66" s="293"/>
      <x:c r="JXN66" s="293"/>
      <x:c r="JXO66" s="293"/>
      <x:c r="JXP66" s="293"/>
      <x:c r="JXQ66" s="293"/>
      <x:c r="JXR66" s="293"/>
      <x:c r="JXS66" s="293"/>
      <x:c r="JXT66" s="293"/>
      <x:c r="JXU66" s="293"/>
      <x:c r="JXV66" s="293"/>
      <x:c r="JXW66" s="293"/>
      <x:c r="JXX66" s="293"/>
      <x:c r="JXY66" s="293"/>
      <x:c r="JXZ66" s="293"/>
      <x:c r="JYA66" s="293"/>
      <x:c r="JYB66" s="293"/>
      <x:c r="JYC66" s="293"/>
      <x:c r="JYD66" s="293"/>
      <x:c r="JYE66" s="293"/>
      <x:c r="JYF66" s="293"/>
      <x:c r="JYG66" s="293"/>
      <x:c r="JYH66" s="293"/>
      <x:c r="JYI66" s="293"/>
      <x:c r="JYJ66" s="293"/>
      <x:c r="JYK66" s="293"/>
      <x:c r="JYL66" s="293"/>
      <x:c r="JYM66" s="293"/>
      <x:c r="JYN66" s="293"/>
      <x:c r="JYO66" s="293"/>
      <x:c r="JYP66" s="293"/>
      <x:c r="JYQ66" s="293"/>
      <x:c r="JYR66" s="293"/>
      <x:c r="JYS66" s="293"/>
      <x:c r="JYT66" s="293"/>
      <x:c r="JYU66" s="293"/>
      <x:c r="JYV66" s="293"/>
      <x:c r="JYW66" s="293"/>
      <x:c r="JYX66" s="293"/>
      <x:c r="JYY66" s="293"/>
      <x:c r="JYZ66" s="293"/>
      <x:c r="JZA66" s="293"/>
      <x:c r="JZB66" s="293"/>
      <x:c r="JZC66" s="293"/>
      <x:c r="JZD66" s="293"/>
      <x:c r="JZE66" s="293"/>
      <x:c r="JZF66" s="293"/>
      <x:c r="JZG66" s="293"/>
      <x:c r="JZH66" s="293"/>
      <x:c r="JZI66" s="293"/>
      <x:c r="JZJ66" s="293"/>
      <x:c r="JZK66" s="293"/>
      <x:c r="JZL66" s="293"/>
      <x:c r="JZM66" s="293"/>
      <x:c r="JZN66" s="293"/>
      <x:c r="JZO66" s="293"/>
      <x:c r="JZP66" s="293"/>
      <x:c r="JZQ66" s="293"/>
      <x:c r="JZR66" s="293"/>
      <x:c r="JZS66" s="293"/>
      <x:c r="JZT66" s="293"/>
      <x:c r="JZU66" s="293"/>
      <x:c r="JZV66" s="293"/>
      <x:c r="JZW66" s="293"/>
      <x:c r="JZX66" s="293"/>
      <x:c r="JZY66" s="293"/>
      <x:c r="JZZ66" s="293"/>
      <x:c r="KAA66" s="293"/>
      <x:c r="KAB66" s="293"/>
      <x:c r="KAC66" s="293"/>
      <x:c r="KAD66" s="293"/>
      <x:c r="KAE66" s="293"/>
      <x:c r="KAF66" s="293"/>
      <x:c r="KAG66" s="293"/>
      <x:c r="KAH66" s="293"/>
      <x:c r="KAI66" s="293"/>
      <x:c r="KAJ66" s="293"/>
      <x:c r="KAK66" s="293"/>
      <x:c r="KAL66" s="293"/>
      <x:c r="KAM66" s="293"/>
      <x:c r="KAN66" s="293"/>
      <x:c r="KAO66" s="293"/>
      <x:c r="KAP66" s="293"/>
      <x:c r="KAQ66" s="293"/>
      <x:c r="KAR66" s="293"/>
      <x:c r="KAS66" s="293"/>
      <x:c r="KAT66" s="293"/>
      <x:c r="KAU66" s="293"/>
      <x:c r="KAV66" s="293"/>
      <x:c r="KAW66" s="293"/>
      <x:c r="KAX66" s="293"/>
      <x:c r="KAY66" s="293"/>
      <x:c r="KAZ66" s="293"/>
      <x:c r="KBA66" s="293"/>
      <x:c r="KBB66" s="293"/>
      <x:c r="KBC66" s="293"/>
      <x:c r="KBD66" s="293"/>
      <x:c r="KBE66" s="293"/>
      <x:c r="KBF66" s="293"/>
      <x:c r="KBG66" s="293"/>
      <x:c r="KBH66" s="293"/>
      <x:c r="KBI66" s="293"/>
      <x:c r="KBJ66" s="293"/>
      <x:c r="KBK66" s="293"/>
      <x:c r="KBL66" s="293"/>
      <x:c r="KBM66" s="293"/>
      <x:c r="KBN66" s="293"/>
      <x:c r="KBO66" s="293"/>
      <x:c r="KBP66" s="293"/>
      <x:c r="KBQ66" s="293"/>
      <x:c r="KBR66" s="293"/>
      <x:c r="KBS66" s="293"/>
      <x:c r="KBT66" s="293"/>
      <x:c r="KBU66" s="293"/>
      <x:c r="KBV66" s="293"/>
      <x:c r="KBW66" s="293"/>
      <x:c r="KBX66" s="293"/>
      <x:c r="KBY66" s="293"/>
      <x:c r="KBZ66" s="293"/>
      <x:c r="KCA66" s="293"/>
      <x:c r="KCB66" s="293"/>
      <x:c r="KCC66" s="293"/>
      <x:c r="KCD66" s="293"/>
      <x:c r="KCE66" s="293"/>
      <x:c r="KCF66" s="293"/>
      <x:c r="KCG66" s="293"/>
      <x:c r="KCH66" s="293"/>
      <x:c r="KCI66" s="293"/>
      <x:c r="KCJ66" s="293"/>
      <x:c r="KCK66" s="293"/>
      <x:c r="KCL66" s="293"/>
      <x:c r="KCM66" s="293"/>
      <x:c r="KCN66" s="293"/>
      <x:c r="KCO66" s="293"/>
      <x:c r="KCP66" s="293"/>
      <x:c r="KCQ66" s="293"/>
      <x:c r="KCR66" s="293"/>
      <x:c r="KCS66" s="293"/>
      <x:c r="KCT66" s="293"/>
      <x:c r="KCU66" s="293"/>
      <x:c r="KCV66" s="293"/>
      <x:c r="KCW66" s="293"/>
      <x:c r="KCX66" s="293"/>
      <x:c r="KCY66" s="293"/>
      <x:c r="KCZ66" s="293"/>
      <x:c r="KDA66" s="293"/>
      <x:c r="KDB66" s="293"/>
      <x:c r="KDC66" s="293"/>
      <x:c r="KDD66" s="293"/>
      <x:c r="KDE66" s="293"/>
      <x:c r="KDF66" s="293"/>
      <x:c r="KDG66" s="293"/>
      <x:c r="KDH66" s="293"/>
      <x:c r="KDI66" s="293"/>
      <x:c r="KDJ66" s="293"/>
      <x:c r="KDK66" s="293"/>
      <x:c r="KDL66" s="293"/>
      <x:c r="KDM66" s="293"/>
      <x:c r="KDN66" s="293"/>
      <x:c r="KDO66" s="293"/>
      <x:c r="KDP66" s="293"/>
      <x:c r="KDQ66" s="293"/>
      <x:c r="KDR66" s="293"/>
      <x:c r="KDS66" s="293"/>
      <x:c r="KDT66" s="293"/>
      <x:c r="KDU66" s="293"/>
      <x:c r="KDV66" s="293"/>
      <x:c r="KDW66" s="293"/>
      <x:c r="KDX66" s="293"/>
      <x:c r="KDY66" s="293"/>
      <x:c r="KDZ66" s="293"/>
      <x:c r="KEA66" s="293"/>
      <x:c r="KEB66" s="293"/>
      <x:c r="KEC66" s="293"/>
      <x:c r="KED66" s="293"/>
      <x:c r="KEE66" s="293"/>
      <x:c r="KEF66" s="293"/>
      <x:c r="KEG66" s="293"/>
      <x:c r="KEH66" s="293"/>
      <x:c r="KEI66" s="293"/>
      <x:c r="KEJ66" s="293"/>
      <x:c r="KEK66" s="293"/>
      <x:c r="KEL66" s="293"/>
      <x:c r="KEM66" s="293"/>
      <x:c r="KEN66" s="293"/>
      <x:c r="KEO66" s="293"/>
      <x:c r="KEP66" s="293"/>
      <x:c r="KEQ66" s="293"/>
      <x:c r="KER66" s="293"/>
      <x:c r="KES66" s="293"/>
      <x:c r="KET66" s="293"/>
      <x:c r="KEU66" s="293"/>
      <x:c r="KEV66" s="293"/>
      <x:c r="KEW66" s="293"/>
      <x:c r="KEX66" s="293"/>
      <x:c r="KEY66" s="293"/>
      <x:c r="KEZ66" s="293"/>
      <x:c r="KFA66" s="293"/>
      <x:c r="KFB66" s="293"/>
      <x:c r="KFC66" s="293"/>
      <x:c r="KFD66" s="293"/>
      <x:c r="KFE66" s="293"/>
      <x:c r="KFF66" s="293"/>
      <x:c r="KFG66" s="293"/>
      <x:c r="KFH66" s="293"/>
      <x:c r="KFI66" s="293"/>
      <x:c r="KFJ66" s="293"/>
      <x:c r="KFK66" s="293"/>
      <x:c r="KFL66" s="293"/>
      <x:c r="KFM66" s="293"/>
      <x:c r="KFN66" s="293"/>
      <x:c r="KFO66" s="293"/>
      <x:c r="KFP66" s="293"/>
      <x:c r="KFQ66" s="293"/>
      <x:c r="KFR66" s="293"/>
      <x:c r="KFS66" s="293"/>
      <x:c r="KFT66" s="293"/>
      <x:c r="KFU66" s="293"/>
      <x:c r="KFV66" s="293"/>
      <x:c r="KFW66" s="293"/>
      <x:c r="KFX66" s="293"/>
      <x:c r="KFY66" s="293"/>
      <x:c r="KFZ66" s="293"/>
      <x:c r="KGA66" s="293"/>
      <x:c r="KGB66" s="293"/>
      <x:c r="KGC66" s="293"/>
      <x:c r="KGD66" s="293"/>
      <x:c r="KGE66" s="293"/>
      <x:c r="KGF66" s="293"/>
      <x:c r="KGG66" s="293"/>
      <x:c r="KGH66" s="293"/>
      <x:c r="KGI66" s="293"/>
      <x:c r="KGJ66" s="293"/>
      <x:c r="KGK66" s="293"/>
      <x:c r="KGL66" s="293"/>
      <x:c r="KGM66" s="293"/>
      <x:c r="KGN66" s="293"/>
      <x:c r="KGO66" s="293"/>
      <x:c r="KGP66" s="293"/>
      <x:c r="KGQ66" s="293"/>
      <x:c r="KGR66" s="293"/>
      <x:c r="KGS66" s="293"/>
      <x:c r="KGT66" s="293"/>
      <x:c r="KGU66" s="293"/>
      <x:c r="KGV66" s="293"/>
      <x:c r="KGW66" s="293"/>
      <x:c r="KGX66" s="293"/>
      <x:c r="KGY66" s="293"/>
      <x:c r="KGZ66" s="293"/>
      <x:c r="KHA66" s="293"/>
      <x:c r="KHB66" s="293"/>
      <x:c r="KHC66" s="293"/>
      <x:c r="KHD66" s="293"/>
      <x:c r="KHE66" s="293"/>
      <x:c r="KHF66" s="293"/>
      <x:c r="KHG66" s="293"/>
      <x:c r="KHH66" s="293"/>
      <x:c r="KHI66" s="293"/>
      <x:c r="KHJ66" s="293"/>
      <x:c r="KHK66" s="293"/>
      <x:c r="KHL66" s="293"/>
      <x:c r="KHM66" s="293"/>
      <x:c r="KHN66" s="293"/>
      <x:c r="KHO66" s="293"/>
      <x:c r="KHP66" s="293"/>
      <x:c r="KHQ66" s="293"/>
      <x:c r="KHR66" s="293"/>
      <x:c r="KHS66" s="293"/>
      <x:c r="KHT66" s="293"/>
      <x:c r="KHU66" s="293"/>
      <x:c r="KHV66" s="293"/>
      <x:c r="KHW66" s="293"/>
      <x:c r="KHX66" s="293"/>
      <x:c r="KHY66" s="293"/>
      <x:c r="KHZ66" s="293"/>
      <x:c r="KIA66" s="293"/>
      <x:c r="KIB66" s="293"/>
      <x:c r="KIC66" s="293"/>
      <x:c r="KID66" s="293"/>
      <x:c r="KIE66" s="293"/>
      <x:c r="KIF66" s="293"/>
      <x:c r="KIG66" s="293"/>
      <x:c r="KIH66" s="293"/>
      <x:c r="KII66" s="293"/>
      <x:c r="KIJ66" s="293"/>
      <x:c r="KIK66" s="293"/>
      <x:c r="KIL66" s="293"/>
      <x:c r="KIM66" s="293"/>
      <x:c r="KIN66" s="293"/>
      <x:c r="KIO66" s="293"/>
      <x:c r="KIP66" s="293"/>
      <x:c r="KIQ66" s="293"/>
      <x:c r="KIR66" s="293"/>
      <x:c r="KIS66" s="293"/>
      <x:c r="KIT66" s="293"/>
      <x:c r="KIU66" s="293"/>
      <x:c r="KIV66" s="293"/>
      <x:c r="KIW66" s="293"/>
      <x:c r="KIX66" s="293"/>
      <x:c r="KIY66" s="293"/>
      <x:c r="KIZ66" s="293"/>
      <x:c r="KJA66" s="293"/>
      <x:c r="KJB66" s="293"/>
      <x:c r="KJC66" s="293"/>
      <x:c r="KJD66" s="293"/>
      <x:c r="KJE66" s="293"/>
      <x:c r="KJF66" s="293"/>
      <x:c r="KJG66" s="293"/>
      <x:c r="KJH66" s="293"/>
      <x:c r="KJI66" s="293"/>
      <x:c r="KJJ66" s="293"/>
      <x:c r="KJK66" s="293"/>
      <x:c r="KJL66" s="293"/>
      <x:c r="KJM66" s="293"/>
      <x:c r="KJN66" s="293"/>
      <x:c r="KJO66" s="293"/>
      <x:c r="KJP66" s="293"/>
      <x:c r="KJQ66" s="293"/>
      <x:c r="KJR66" s="293"/>
      <x:c r="KJS66" s="293"/>
      <x:c r="KJT66" s="293"/>
      <x:c r="KJU66" s="293"/>
      <x:c r="KJV66" s="293"/>
      <x:c r="KJW66" s="293"/>
      <x:c r="KJX66" s="293"/>
      <x:c r="KJY66" s="293"/>
      <x:c r="KJZ66" s="293"/>
      <x:c r="KKA66" s="293"/>
      <x:c r="KKB66" s="293"/>
      <x:c r="KKC66" s="293"/>
      <x:c r="KKD66" s="293"/>
      <x:c r="KKE66" s="293"/>
      <x:c r="KKF66" s="293"/>
      <x:c r="KKG66" s="293"/>
      <x:c r="KKH66" s="293"/>
      <x:c r="KKI66" s="293"/>
      <x:c r="KKJ66" s="293"/>
      <x:c r="KKK66" s="293"/>
      <x:c r="KKL66" s="293"/>
      <x:c r="KKM66" s="293"/>
      <x:c r="KKN66" s="293"/>
      <x:c r="KKO66" s="293"/>
      <x:c r="KKP66" s="293"/>
      <x:c r="KKQ66" s="293"/>
      <x:c r="KKR66" s="293"/>
      <x:c r="KKS66" s="293"/>
      <x:c r="KKT66" s="293"/>
      <x:c r="KKU66" s="293"/>
      <x:c r="KKV66" s="293"/>
      <x:c r="KKW66" s="293"/>
      <x:c r="KKX66" s="293"/>
      <x:c r="KKY66" s="293"/>
      <x:c r="KKZ66" s="293"/>
      <x:c r="KLA66" s="293"/>
      <x:c r="KLB66" s="293"/>
      <x:c r="KLC66" s="293"/>
      <x:c r="KLD66" s="293"/>
      <x:c r="KLE66" s="293"/>
      <x:c r="KLF66" s="293"/>
      <x:c r="KLG66" s="293"/>
      <x:c r="KLH66" s="293"/>
      <x:c r="KLI66" s="293"/>
      <x:c r="KLJ66" s="293"/>
      <x:c r="KLK66" s="293"/>
      <x:c r="KLL66" s="293"/>
      <x:c r="KLM66" s="293"/>
      <x:c r="KLN66" s="293"/>
      <x:c r="KLO66" s="293"/>
      <x:c r="KLP66" s="293"/>
      <x:c r="KLQ66" s="293"/>
      <x:c r="KLR66" s="293"/>
      <x:c r="KLS66" s="293"/>
      <x:c r="KLT66" s="293"/>
      <x:c r="KLU66" s="293"/>
      <x:c r="KLV66" s="293"/>
      <x:c r="KLW66" s="293"/>
      <x:c r="KLX66" s="293"/>
      <x:c r="KLY66" s="293"/>
      <x:c r="KLZ66" s="293"/>
      <x:c r="KMA66" s="293"/>
      <x:c r="KMB66" s="293"/>
      <x:c r="KMC66" s="293"/>
      <x:c r="KMD66" s="293"/>
      <x:c r="KME66" s="293"/>
      <x:c r="KMF66" s="293"/>
      <x:c r="KMG66" s="293"/>
      <x:c r="KMH66" s="293"/>
      <x:c r="KMI66" s="293"/>
      <x:c r="KMJ66" s="293"/>
      <x:c r="KMK66" s="293"/>
      <x:c r="KML66" s="293"/>
      <x:c r="KMM66" s="293"/>
      <x:c r="KMN66" s="293"/>
      <x:c r="KMO66" s="293"/>
      <x:c r="KMP66" s="293"/>
      <x:c r="KMQ66" s="293"/>
      <x:c r="KMR66" s="293"/>
      <x:c r="KMS66" s="293"/>
      <x:c r="KMT66" s="293"/>
      <x:c r="KMU66" s="293"/>
      <x:c r="KMV66" s="293"/>
      <x:c r="KMW66" s="293"/>
      <x:c r="KMX66" s="293"/>
      <x:c r="KMY66" s="293"/>
      <x:c r="KMZ66" s="293"/>
      <x:c r="KNA66" s="293"/>
      <x:c r="KNB66" s="293"/>
      <x:c r="KNC66" s="293"/>
      <x:c r="KND66" s="293"/>
      <x:c r="KNE66" s="293"/>
      <x:c r="KNF66" s="293"/>
      <x:c r="KNG66" s="293"/>
      <x:c r="KNH66" s="293"/>
      <x:c r="KNI66" s="293"/>
      <x:c r="KNJ66" s="293"/>
      <x:c r="KNK66" s="293"/>
      <x:c r="KNL66" s="293"/>
      <x:c r="KNM66" s="293"/>
      <x:c r="KNN66" s="293"/>
      <x:c r="KNO66" s="293"/>
      <x:c r="KNP66" s="293"/>
      <x:c r="KNQ66" s="293"/>
      <x:c r="KNR66" s="293"/>
      <x:c r="KNS66" s="293"/>
      <x:c r="KNT66" s="293"/>
      <x:c r="KNU66" s="293"/>
      <x:c r="KNV66" s="293"/>
      <x:c r="KNW66" s="293"/>
      <x:c r="KNX66" s="293"/>
      <x:c r="KNY66" s="293"/>
      <x:c r="KNZ66" s="293"/>
      <x:c r="KOA66" s="293"/>
      <x:c r="KOB66" s="293"/>
      <x:c r="KOC66" s="293"/>
      <x:c r="KOD66" s="293"/>
      <x:c r="KOE66" s="293"/>
      <x:c r="KOF66" s="293"/>
      <x:c r="KOG66" s="293"/>
      <x:c r="KOH66" s="293"/>
      <x:c r="KOI66" s="293"/>
      <x:c r="KOJ66" s="293"/>
      <x:c r="KOK66" s="293"/>
      <x:c r="KOL66" s="293"/>
      <x:c r="KOM66" s="293"/>
      <x:c r="KON66" s="293"/>
      <x:c r="KOO66" s="293"/>
      <x:c r="KOP66" s="293"/>
      <x:c r="KOQ66" s="293"/>
      <x:c r="KOR66" s="293"/>
      <x:c r="KOS66" s="293"/>
      <x:c r="KOT66" s="293"/>
      <x:c r="KOU66" s="293"/>
      <x:c r="KOV66" s="293"/>
      <x:c r="KOW66" s="293"/>
      <x:c r="KOX66" s="293"/>
      <x:c r="KOY66" s="293"/>
      <x:c r="KOZ66" s="293"/>
      <x:c r="KPA66" s="293"/>
      <x:c r="KPB66" s="293"/>
      <x:c r="KPC66" s="293"/>
      <x:c r="KPD66" s="293"/>
      <x:c r="KPE66" s="293"/>
      <x:c r="KPF66" s="293"/>
      <x:c r="KPG66" s="293"/>
      <x:c r="KPH66" s="293"/>
      <x:c r="KPI66" s="293"/>
      <x:c r="KPJ66" s="293"/>
      <x:c r="KPK66" s="293"/>
      <x:c r="KPL66" s="293"/>
      <x:c r="KPM66" s="293"/>
      <x:c r="KPN66" s="293"/>
      <x:c r="KPO66" s="293"/>
      <x:c r="KPP66" s="293"/>
      <x:c r="KPQ66" s="293"/>
      <x:c r="KPR66" s="293"/>
      <x:c r="KPS66" s="293"/>
      <x:c r="KPT66" s="293"/>
      <x:c r="KPU66" s="293"/>
      <x:c r="KPV66" s="293"/>
      <x:c r="KPW66" s="293"/>
      <x:c r="KPX66" s="293"/>
      <x:c r="KPY66" s="293"/>
      <x:c r="KPZ66" s="293"/>
      <x:c r="KQA66" s="293"/>
      <x:c r="KQB66" s="293"/>
      <x:c r="KQC66" s="293"/>
      <x:c r="KQD66" s="293"/>
      <x:c r="KQE66" s="293"/>
      <x:c r="KQF66" s="293"/>
      <x:c r="KQG66" s="293"/>
      <x:c r="KQH66" s="293"/>
      <x:c r="KQI66" s="293"/>
      <x:c r="KQJ66" s="293"/>
      <x:c r="KQK66" s="293"/>
      <x:c r="KQL66" s="293"/>
      <x:c r="KQM66" s="293"/>
      <x:c r="KQN66" s="293"/>
      <x:c r="KQO66" s="293"/>
      <x:c r="KQP66" s="293"/>
      <x:c r="KQQ66" s="293"/>
      <x:c r="KQR66" s="293"/>
      <x:c r="KQS66" s="293"/>
      <x:c r="KQT66" s="293"/>
      <x:c r="KQU66" s="293"/>
      <x:c r="KQV66" s="293"/>
      <x:c r="KQW66" s="293"/>
      <x:c r="KQX66" s="293"/>
      <x:c r="KQY66" s="293"/>
      <x:c r="KQZ66" s="293"/>
      <x:c r="KRA66" s="293"/>
      <x:c r="KRB66" s="293"/>
      <x:c r="KRC66" s="293"/>
      <x:c r="KRD66" s="293"/>
      <x:c r="KRE66" s="293"/>
      <x:c r="KRF66" s="293"/>
      <x:c r="KRG66" s="293"/>
      <x:c r="KRH66" s="293"/>
      <x:c r="KRI66" s="293"/>
      <x:c r="KRJ66" s="293"/>
      <x:c r="KRK66" s="293"/>
      <x:c r="KRL66" s="293"/>
      <x:c r="KRM66" s="293"/>
      <x:c r="KRN66" s="293"/>
      <x:c r="KRO66" s="293"/>
      <x:c r="KRP66" s="293"/>
      <x:c r="KRQ66" s="293"/>
      <x:c r="KRR66" s="293"/>
      <x:c r="KRS66" s="293"/>
      <x:c r="KRT66" s="293"/>
      <x:c r="KRU66" s="293"/>
      <x:c r="KRV66" s="293"/>
      <x:c r="KRW66" s="293"/>
      <x:c r="KRX66" s="293"/>
      <x:c r="KRY66" s="293"/>
      <x:c r="KRZ66" s="293"/>
      <x:c r="KSA66" s="293"/>
      <x:c r="KSB66" s="293"/>
      <x:c r="KSC66" s="293"/>
      <x:c r="KSD66" s="293"/>
      <x:c r="KSE66" s="293"/>
      <x:c r="KSF66" s="293"/>
      <x:c r="KSG66" s="293"/>
      <x:c r="KSH66" s="293"/>
      <x:c r="KSI66" s="293"/>
      <x:c r="KSJ66" s="293"/>
      <x:c r="KSK66" s="293"/>
      <x:c r="KSL66" s="293"/>
      <x:c r="KSM66" s="293"/>
      <x:c r="KSN66" s="293"/>
      <x:c r="KSO66" s="293"/>
      <x:c r="KSP66" s="293"/>
      <x:c r="KSQ66" s="293"/>
      <x:c r="KSR66" s="293"/>
      <x:c r="KSS66" s="293"/>
      <x:c r="KST66" s="293"/>
      <x:c r="KSU66" s="293"/>
      <x:c r="KSV66" s="293"/>
      <x:c r="KSW66" s="293"/>
      <x:c r="KSX66" s="293"/>
      <x:c r="KSY66" s="293"/>
      <x:c r="KSZ66" s="293"/>
      <x:c r="KTA66" s="293"/>
      <x:c r="KTB66" s="293"/>
      <x:c r="KTC66" s="293"/>
      <x:c r="KTD66" s="293"/>
      <x:c r="KTE66" s="293"/>
      <x:c r="KTF66" s="293"/>
      <x:c r="KTG66" s="293"/>
      <x:c r="KTH66" s="293"/>
      <x:c r="KTI66" s="293"/>
      <x:c r="KTJ66" s="293"/>
      <x:c r="KTK66" s="293"/>
      <x:c r="KTL66" s="293"/>
      <x:c r="KTM66" s="293"/>
      <x:c r="KTN66" s="293"/>
      <x:c r="KTO66" s="293"/>
      <x:c r="KTP66" s="293"/>
      <x:c r="KTQ66" s="293"/>
      <x:c r="KTR66" s="293"/>
      <x:c r="KTS66" s="293"/>
      <x:c r="KTT66" s="293"/>
      <x:c r="KTU66" s="293"/>
      <x:c r="KTV66" s="293"/>
      <x:c r="KTW66" s="293"/>
      <x:c r="KTX66" s="293"/>
      <x:c r="KTY66" s="293"/>
      <x:c r="KTZ66" s="293"/>
      <x:c r="KUA66" s="293"/>
      <x:c r="KUB66" s="293"/>
      <x:c r="KUC66" s="293"/>
      <x:c r="KUD66" s="293"/>
      <x:c r="KUE66" s="293"/>
      <x:c r="KUF66" s="293"/>
      <x:c r="KUG66" s="293"/>
      <x:c r="KUH66" s="293"/>
      <x:c r="KUI66" s="293"/>
      <x:c r="KUJ66" s="293"/>
      <x:c r="KUK66" s="293"/>
      <x:c r="KUL66" s="293"/>
      <x:c r="KUM66" s="293"/>
      <x:c r="KUN66" s="293"/>
      <x:c r="KUO66" s="293"/>
      <x:c r="KUP66" s="293"/>
      <x:c r="KUQ66" s="293"/>
      <x:c r="KUR66" s="293"/>
      <x:c r="KUS66" s="293"/>
      <x:c r="KUT66" s="293"/>
      <x:c r="KUU66" s="293"/>
      <x:c r="KUV66" s="293"/>
      <x:c r="KUW66" s="293"/>
      <x:c r="KUX66" s="293"/>
      <x:c r="KUY66" s="293"/>
      <x:c r="KUZ66" s="293"/>
      <x:c r="KVA66" s="293"/>
      <x:c r="KVB66" s="293"/>
      <x:c r="KVC66" s="293"/>
      <x:c r="KVD66" s="293"/>
      <x:c r="KVE66" s="293"/>
      <x:c r="KVF66" s="293"/>
      <x:c r="KVG66" s="293"/>
      <x:c r="KVH66" s="293"/>
      <x:c r="KVI66" s="293"/>
      <x:c r="KVJ66" s="293"/>
      <x:c r="KVK66" s="293"/>
      <x:c r="KVL66" s="293"/>
      <x:c r="KVM66" s="293"/>
      <x:c r="KVN66" s="293"/>
      <x:c r="KVO66" s="293"/>
      <x:c r="KVP66" s="293"/>
      <x:c r="KVQ66" s="293"/>
      <x:c r="KVR66" s="293"/>
      <x:c r="KVS66" s="293"/>
      <x:c r="KVT66" s="293"/>
      <x:c r="KVU66" s="293"/>
      <x:c r="KVV66" s="293"/>
      <x:c r="KVW66" s="293"/>
      <x:c r="KVX66" s="293"/>
      <x:c r="KVY66" s="293"/>
      <x:c r="KVZ66" s="293"/>
      <x:c r="KWA66" s="293"/>
      <x:c r="KWB66" s="293"/>
      <x:c r="KWC66" s="293"/>
      <x:c r="KWD66" s="293"/>
      <x:c r="KWE66" s="293"/>
      <x:c r="KWF66" s="293"/>
      <x:c r="KWG66" s="293"/>
      <x:c r="KWH66" s="293"/>
      <x:c r="KWI66" s="293"/>
      <x:c r="KWJ66" s="293"/>
      <x:c r="KWK66" s="293"/>
      <x:c r="KWL66" s="293"/>
      <x:c r="KWM66" s="293"/>
      <x:c r="KWN66" s="293"/>
      <x:c r="KWO66" s="293"/>
      <x:c r="KWP66" s="293"/>
      <x:c r="KWQ66" s="293"/>
      <x:c r="KWR66" s="293"/>
      <x:c r="KWS66" s="293"/>
      <x:c r="KWT66" s="293"/>
      <x:c r="KWU66" s="293"/>
      <x:c r="KWV66" s="293"/>
      <x:c r="KWW66" s="293"/>
      <x:c r="KWX66" s="293"/>
      <x:c r="KWY66" s="293"/>
      <x:c r="KWZ66" s="293"/>
      <x:c r="KXA66" s="293"/>
      <x:c r="KXB66" s="293"/>
      <x:c r="KXC66" s="293"/>
      <x:c r="KXD66" s="293"/>
      <x:c r="KXE66" s="293"/>
      <x:c r="KXF66" s="293"/>
      <x:c r="KXG66" s="293"/>
      <x:c r="KXH66" s="293"/>
      <x:c r="KXI66" s="293"/>
      <x:c r="KXJ66" s="293"/>
      <x:c r="KXK66" s="293"/>
      <x:c r="KXL66" s="293"/>
      <x:c r="KXM66" s="293"/>
      <x:c r="KXN66" s="293"/>
      <x:c r="KXO66" s="293"/>
      <x:c r="KXP66" s="293"/>
      <x:c r="KXQ66" s="293"/>
      <x:c r="KXR66" s="293"/>
      <x:c r="KXS66" s="293"/>
      <x:c r="KXT66" s="293"/>
      <x:c r="KXU66" s="293"/>
      <x:c r="KXV66" s="293"/>
      <x:c r="KXW66" s="293"/>
      <x:c r="KXX66" s="293"/>
      <x:c r="KXY66" s="293"/>
      <x:c r="KXZ66" s="293"/>
      <x:c r="KYA66" s="293"/>
      <x:c r="KYB66" s="293"/>
      <x:c r="KYC66" s="293"/>
      <x:c r="KYD66" s="293"/>
      <x:c r="KYE66" s="293"/>
      <x:c r="KYF66" s="293"/>
      <x:c r="KYG66" s="293"/>
      <x:c r="KYH66" s="293"/>
      <x:c r="KYI66" s="293"/>
      <x:c r="KYJ66" s="293"/>
      <x:c r="KYK66" s="293"/>
      <x:c r="KYL66" s="293"/>
      <x:c r="KYM66" s="293"/>
      <x:c r="KYN66" s="293"/>
      <x:c r="KYO66" s="293"/>
      <x:c r="KYP66" s="293"/>
      <x:c r="KYQ66" s="293"/>
      <x:c r="KYR66" s="293"/>
      <x:c r="KYS66" s="293"/>
      <x:c r="KYT66" s="293"/>
      <x:c r="KYU66" s="293"/>
      <x:c r="KYV66" s="293"/>
      <x:c r="KYW66" s="293"/>
      <x:c r="KYX66" s="293"/>
      <x:c r="KYY66" s="293"/>
      <x:c r="KYZ66" s="293"/>
      <x:c r="KZA66" s="293"/>
      <x:c r="KZB66" s="293"/>
      <x:c r="KZC66" s="293"/>
      <x:c r="KZD66" s="293"/>
      <x:c r="KZE66" s="293"/>
      <x:c r="KZF66" s="293"/>
      <x:c r="KZG66" s="293"/>
      <x:c r="KZH66" s="293"/>
      <x:c r="KZI66" s="293"/>
      <x:c r="KZJ66" s="293"/>
      <x:c r="KZK66" s="293"/>
      <x:c r="KZL66" s="293"/>
      <x:c r="KZM66" s="293"/>
      <x:c r="KZN66" s="293"/>
      <x:c r="KZO66" s="293"/>
      <x:c r="KZP66" s="293"/>
      <x:c r="KZQ66" s="293"/>
      <x:c r="KZR66" s="293"/>
      <x:c r="KZS66" s="293"/>
      <x:c r="KZT66" s="293"/>
      <x:c r="KZU66" s="293"/>
      <x:c r="KZV66" s="293"/>
      <x:c r="KZW66" s="293"/>
      <x:c r="KZX66" s="293"/>
      <x:c r="KZY66" s="293"/>
      <x:c r="KZZ66" s="293"/>
      <x:c r="LAA66" s="293"/>
      <x:c r="LAB66" s="293"/>
      <x:c r="LAC66" s="293"/>
      <x:c r="LAD66" s="293"/>
      <x:c r="LAE66" s="293"/>
      <x:c r="LAF66" s="293"/>
      <x:c r="LAG66" s="293"/>
      <x:c r="LAH66" s="293"/>
      <x:c r="LAI66" s="293"/>
      <x:c r="LAJ66" s="293"/>
      <x:c r="LAK66" s="293"/>
      <x:c r="LAL66" s="293"/>
      <x:c r="LAM66" s="293"/>
      <x:c r="LAN66" s="293"/>
      <x:c r="LAO66" s="293"/>
      <x:c r="LAP66" s="293"/>
      <x:c r="LAQ66" s="293"/>
      <x:c r="LAR66" s="293"/>
      <x:c r="LAS66" s="293"/>
      <x:c r="LAT66" s="293"/>
      <x:c r="LAU66" s="293"/>
      <x:c r="LAV66" s="293"/>
      <x:c r="LAW66" s="293"/>
      <x:c r="LAX66" s="293"/>
      <x:c r="LAY66" s="293"/>
      <x:c r="LAZ66" s="293"/>
      <x:c r="LBA66" s="293"/>
      <x:c r="LBB66" s="293"/>
      <x:c r="LBC66" s="293"/>
      <x:c r="LBD66" s="293"/>
      <x:c r="LBE66" s="293"/>
      <x:c r="LBF66" s="293"/>
      <x:c r="LBG66" s="293"/>
      <x:c r="LBH66" s="293"/>
      <x:c r="LBI66" s="293"/>
      <x:c r="LBJ66" s="293"/>
      <x:c r="LBK66" s="293"/>
      <x:c r="LBL66" s="293"/>
      <x:c r="LBM66" s="293"/>
      <x:c r="LBN66" s="293"/>
      <x:c r="LBO66" s="293"/>
      <x:c r="LBP66" s="293"/>
      <x:c r="LBQ66" s="293"/>
      <x:c r="LBR66" s="293"/>
      <x:c r="LBS66" s="293"/>
      <x:c r="LBT66" s="293"/>
      <x:c r="LBU66" s="293"/>
      <x:c r="LBV66" s="293"/>
      <x:c r="LBW66" s="293"/>
      <x:c r="LBX66" s="293"/>
      <x:c r="LBY66" s="293"/>
      <x:c r="LBZ66" s="293"/>
      <x:c r="LCA66" s="293"/>
      <x:c r="LCB66" s="293"/>
      <x:c r="LCC66" s="293"/>
      <x:c r="LCD66" s="293"/>
      <x:c r="LCE66" s="293"/>
      <x:c r="LCF66" s="293"/>
      <x:c r="LCG66" s="293"/>
      <x:c r="LCH66" s="293"/>
      <x:c r="LCI66" s="293"/>
      <x:c r="LCJ66" s="293"/>
      <x:c r="LCK66" s="293"/>
      <x:c r="LCL66" s="293"/>
      <x:c r="LCM66" s="293"/>
      <x:c r="LCN66" s="293"/>
      <x:c r="LCO66" s="293"/>
      <x:c r="LCP66" s="293"/>
      <x:c r="LCQ66" s="293"/>
      <x:c r="LCR66" s="293"/>
      <x:c r="LCS66" s="293"/>
      <x:c r="LCT66" s="293"/>
      <x:c r="LCU66" s="293"/>
      <x:c r="LCV66" s="293"/>
      <x:c r="LCW66" s="293"/>
      <x:c r="LCX66" s="293"/>
      <x:c r="LCY66" s="293"/>
      <x:c r="LCZ66" s="293"/>
      <x:c r="LDA66" s="293"/>
      <x:c r="LDB66" s="293"/>
      <x:c r="LDC66" s="293"/>
      <x:c r="LDD66" s="293"/>
      <x:c r="LDE66" s="293"/>
      <x:c r="LDF66" s="293"/>
      <x:c r="LDG66" s="293"/>
      <x:c r="LDH66" s="293"/>
      <x:c r="LDI66" s="293"/>
      <x:c r="LDJ66" s="293"/>
      <x:c r="LDK66" s="293"/>
      <x:c r="LDL66" s="293"/>
      <x:c r="LDM66" s="293"/>
      <x:c r="LDN66" s="293"/>
      <x:c r="LDO66" s="293"/>
      <x:c r="LDP66" s="293"/>
      <x:c r="LDQ66" s="293"/>
      <x:c r="LDR66" s="293"/>
      <x:c r="LDS66" s="293"/>
      <x:c r="LDT66" s="293"/>
      <x:c r="LDU66" s="293"/>
      <x:c r="LDV66" s="293"/>
      <x:c r="LDW66" s="293"/>
      <x:c r="LDX66" s="293"/>
      <x:c r="LDY66" s="293"/>
      <x:c r="LDZ66" s="293"/>
      <x:c r="LEA66" s="293"/>
      <x:c r="LEB66" s="293"/>
      <x:c r="LEC66" s="293"/>
      <x:c r="LED66" s="293"/>
      <x:c r="LEE66" s="293"/>
      <x:c r="LEF66" s="293"/>
      <x:c r="LEG66" s="293"/>
      <x:c r="LEH66" s="293"/>
      <x:c r="LEI66" s="293"/>
      <x:c r="LEJ66" s="293"/>
      <x:c r="LEK66" s="293"/>
      <x:c r="LEL66" s="293"/>
      <x:c r="LEM66" s="293"/>
      <x:c r="LEN66" s="293"/>
      <x:c r="LEO66" s="293"/>
      <x:c r="LEP66" s="293"/>
      <x:c r="LEQ66" s="293"/>
      <x:c r="LER66" s="293"/>
      <x:c r="LES66" s="293"/>
      <x:c r="LET66" s="293"/>
      <x:c r="LEU66" s="293"/>
      <x:c r="LEV66" s="293"/>
      <x:c r="LEW66" s="293"/>
      <x:c r="LEX66" s="293"/>
      <x:c r="LEY66" s="293"/>
      <x:c r="LEZ66" s="293"/>
      <x:c r="LFA66" s="293"/>
      <x:c r="LFB66" s="293"/>
      <x:c r="LFC66" s="293"/>
      <x:c r="LFD66" s="293"/>
      <x:c r="LFE66" s="293"/>
      <x:c r="LFF66" s="293"/>
      <x:c r="LFG66" s="293"/>
      <x:c r="LFH66" s="293"/>
      <x:c r="LFI66" s="293"/>
      <x:c r="LFJ66" s="293"/>
      <x:c r="LFK66" s="293"/>
      <x:c r="LFL66" s="293"/>
      <x:c r="LFM66" s="293"/>
      <x:c r="LFN66" s="293"/>
      <x:c r="LFO66" s="293"/>
      <x:c r="LFP66" s="293"/>
      <x:c r="LFQ66" s="293"/>
      <x:c r="LFR66" s="293"/>
      <x:c r="LFS66" s="293"/>
      <x:c r="LFT66" s="293"/>
      <x:c r="LFU66" s="293"/>
      <x:c r="LFV66" s="293"/>
      <x:c r="LFW66" s="293"/>
      <x:c r="LFX66" s="293"/>
      <x:c r="LFY66" s="293"/>
      <x:c r="LFZ66" s="293"/>
      <x:c r="LGA66" s="293"/>
      <x:c r="LGB66" s="293"/>
      <x:c r="LGC66" s="293"/>
      <x:c r="LGD66" s="293"/>
      <x:c r="LGE66" s="293"/>
      <x:c r="LGF66" s="293"/>
      <x:c r="LGG66" s="293"/>
      <x:c r="LGH66" s="293"/>
      <x:c r="LGI66" s="293"/>
      <x:c r="LGJ66" s="293"/>
      <x:c r="LGK66" s="293"/>
      <x:c r="LGL66" s="293"/>
      <x:c r="LGM66" s="293"/>
      <x:c r="LGN66" s="293"/>
      <x:c r="LGO66" s="293"/>
      <x:c r="LGP66" s="293"/>
      <x:c r="LGQ66" s="293"/>
      <x:c r="LGR66" s="293"/>
      <x:c r="LGS66" s="293"/>
      <x:c r="LGT66" s="293"/>
      <x:c r="LGU66" s="293"/>
      <x:c r="LGV66" s="293"/>
      <x:c r="LGW66" s="293"/>
      <x:c r="LGX66" s="293"/>
      <x:c r="LGY66" s="293"/>
      <x:c r="LGZ66" s="293"/>
      <x:c r="LHA66" s="293"/>
      <x:c r="LHB66" s="293"/>
      <x:c r="LHC66" s="293"/>
      <x:c r="LHD66" s="293"/>
      <x:c r="LHE66" s="293"/>
      <x:c r="LHF66" s="293"/>
      <x:c r="LHG66" s="293"/>
      <x:c r="LHH66" s="293"/>
      <x:c r="LHI66" s="293"/>
      <x:c r="LHJ66" s="293"/>
      <x:c r="LHK66" s="293"/>
      <x:c r="LHL66" s="293"/>
      <x:c r="LHM66" s="293"/>
      <x:c r="LHN66" s="293"/>
      <x:c r="LHO66" s="293"/>
      <x:c r="LHP66" s="293"/>
      <x:c r="LHQ66" s="293"/>
      <x:c r="LHR66" s="293"/>
      <x:c r="LHS66" s="293"/>
      <x:c r="LHT66" s="293"/>
      <x:c r="LHU66" s="293"/>
      <x:c r="LHV66" s="293"/>
      <x:c r="LHW66" s="293"/>
      <x:c r="LHX66" s="293"/>
      <x:c r="LHY66" s="293"/>
      <x:c r="LHZ66" s="293"/>
      <x:c r="LIA66" s="293"/>
      <x:c r="LIB66" s="293"/>
      <x:c r="LIC66" s="293"/>
      <x:c r="LID66" s="293"/>
      <x:c r="LIE66" s="293"/>
      <x:c r="LIF66" s="293"/>
      <x:c r="LIG66" s="293"/>
      <x:c r="LIH66" s="293"/>
      <x:c r="LII66" s="293"/>
      <x:c r="LIJ66" s="293"/>
      <x:c r="LIK66" s="293"/>
      <x:c r="LIL66" s="293"/>
      <x:c r="LIM66" s="293"/>
      <x:c r="LIN66" s="293"/>
      <x:c r="LIO66" s="293"/>
      <x:c r="LIP66" s="293"/>
      <x:c r="LIQ66" s="293"/>
      <x:c r="LIR66" s="293"/>
      <x:c r="LIS66" s="293"/>
      <x:c r="LIT66" s="293"/>
      <x:c r="LIU66" s="293"/>
      <x:c r="LIV66" s="293"/>
      <x:c r="LIW66" s="293"/>
      <x:c r="LIX66" s="293"/>
      <x:c r="LIY66" s="293"/>
      <x:c r="LIZ66" s="293"/>
      <x:c r="LJA66" s="293"/>
      <x:c r="LJB66" s="293"/>
      <x:c r="LJC66" s="293"/>
      <x:c r="LJD66" s="293"/>
      <x:c r="LJE66" s="293"/>
      <x:c r="LJF66" s="293"/>
      <x:c r="LJG66" s="293"/>
      <x:c r="LJH66" s="293"/>
      <x:c r="LJI66" s="293"/>
      <x:c r="LJJ66" s="293"/>
      <x:c r="LJK66" s="293"/>
      <x:c r="LJL66" s="293"/>
      <x:c r="LJM66" s="293"/>
      <x:c r="LJN66" s="293"/>
      <x:c r="LJO66" s="293"/>
      <x:c r="LJP66" s="293"/>
      <x:c r="LJQ66" s="293"/>
      <x:c r="LJR66" s="293"/>
      <x:c r="LJS66" s="293"/>
      <x:c r="LJT66" s="293"/>
      <x:c r="LJU66" s="293"/>
      <x:c r="LJV66" s="293"/>
      <x:c r="LJW66" s="293"/>
      <x:c r="LJX66" s="293"/>
      <x:c r="LJY66" s="293"/>
      <x:c r="LJZ66" s="293"/>
      <x:c r="LKA66" s="293"/>
      <x:c r="LKB66" s="293"/>
      <x:c r="LKC66" s="293"/>
      <x:c r="LKD66" s="293"/>
      <x:c r="LKE66" s="293"/>
      <x:c r="LKF66" s="293"/>
      <x:c r="LKG66" s="293"/>
      <x:c r="LKH66" s="293"/>
      <x:c r="LKI66" s="293"/>
      <x:c r="LKJ66" s="293"/>
      <x:c r="LKK66" s="293"/>
      <x:c r="LKL66" s="293"/>
      <x:c r="LKM66" s="293"/>
      <x:c r="LKN66" s="293"/>
      <x:c r="LKO66" s="293"/>
      <x:c r="LKP66" s="293"/>
      <x:c r="LKQ66" s="293"/>
      <x:c r="LKR66" s="293"/>
      <x:c r="LKS66" s="293"/>
      <x:c r="LKT66" s="293"/>
      <x:c r="LKU66" s="293"/>
      <x:c r="LKV66" s="293"/>
      <x:c r="LKW66" s="293"/>
      <x:c r="LKX66" s="293"/>
      <x:c r="LKY66" s="293"/>
      <x:c r="LKZ66" s="293"/>
      <x:c r="LLA66" s="293"/>
      <x:c r="LLB66" s="293"/>
      <x:c r="LLC66" s="293"/>
      <x:c r="LLD66" s="293"/>
      <x:c r="LLE66" s="293"/>
      <x:c r="LLF66" s="293"/>
      <x:c r="LLG66" s="293"/>
      <x:c r="LLH66" s="293"/>
      <x:c r="LLI66" s="293"/>
      <x:c r="LLJ66" s="293"/>
      <x:c r="LLK66" s="293"/>
      <x:c r="LLL66" s="293"/>
      <x:c r="LLM66" s="293"/>
      <x:c r="LLN66" s="293"/>
      <x:c r="LLO66" s="293"/>
      <x:c r="LLP66" s="293"/>
      <x:c r="LLQ66" s="293"/>
      <x:c r="LLR66" s="293"/>
      <x:c r="LLS66" s="293"/>
      <x:c r="LLT66" s="293"/>
      <x:c r="LLU66" s="293"/>
      <x:c r="LLV66" s="293"/>
      <x:c r="LLW66" s="293"/>
      <x:c r="LLX66" s="293"/>
      <x:c r="LLY66" s="293"/>
      <x:c r="LLZ66" s="293"/>
      <x:c r="LMA66" s="293"/>
      <x:c r="LMB66" s="293"/>
      <x:c r="LMC66" s="293"/>
      <x:c r="LMD66" s="293"/>
      <x:c r="LME66" s="293"/>
      <x:c r="LMF66" s="293"/>
      <x:c r="LMG66" s="293"/>
      <x:c r="LMH66" s="293"/>
      <x:c r="LMI66" s="293"/>
      <x:c r="LMJ66" s="293"/>
      <x:c r="LMK66" s="293"/>
      <x:c r="LML66" s="293"/>
      <x:c r="LMM66" s="293"/>
      <x:c r="LMN66" s="293"/>
      <x:c r="LMO66" s="293"/>
      <x:c r="LMP66" s="293"/>
      <x:c r="LMQ66" s="293"/>
      <x:c r="LMR66" s="293"/>
      <x:c r="LMS66" s="293"/>
      <x:c r="LMT66" s="293"/>
      <x:c r="LMU66" s="293"/>
      <x:c r="LMV66" s="293"/>
      <x:c r="LMW66" s="293"/>
      <x:c r="LMX66" s="293"/>
      <x:c r="LMY66" s="293"/>
      <x:c r="LMZ66" s="293"/>
      <x:c r="LNA66" s="293"/>
      <x:c r="LNB66" s="293"/>
      <x:c r="LNC66" s="293"/>
      <x:c r="LND66" s="293"/>
      <x:c r="LNE66" s="293"/>
      <x:c r="LNF66" s="293"/>
      <x:c r="LNG66" s="293"/>
      <x:c r="LNH66" s="293"/>
      <x:c r="LNI66" s="293"/>
      <x:c r="LNJ66" s="293"/>
      <x:c r="LNK66" s="293"/>
      <x:c r="LNL66" s="293"/>
      <x:c r="LNM66" s="293"/>
      <x:c r="LNN66" s="293"/>
      <x:c r="LNO66" s="293"/>
      <x:c r="LNP66" s="293"/>
      <x:c r="LNQ66" s="293"/>
      <x:c r="LNR66" s="293"/>
      <x:c r="LNS66" s="293"/>
      <x:c r="LNT66" s="293"/>
      <x:c r="LNU66" s="293"/>
      <x:c r="LNV66" s="293"/>
      <x:c r="LNW66" s="293"/>
      <x:c r="LNX66" s="293"/>
      <x:c r="LNY66" s="293"/>
      <x:c r="LNZ66" s="293"/>
      <x:c r="LOA66" s="293"/>
      <x:c r="LOB66" s="293"/>
      <x:c r="LOC66" s="293"/>
      <x:c r="LOD66" s="293"/>
      <x:c r="LOE66" s="293"/>
      <x:c r="LOF66" s="293"/>
      <x:c r="LOG66" s="293"/>
      <x:c r="LOH66" s="293"/>
      <x:c r="LOI66" s="293"/>
      <x:c r="LOJ66" s="293"/>
      <x:c r="LOK66" s="293"/>
      <x:c r="LOL66" s="293"/>
      <x:c r="LOM66" s="293"/>
      <x:c r="LON66" s="293"/>
      <x:c r="LOO66" s="293"/>
      <x:c r="LOP66" s="293"/>
      <x:c r="LOQ66" s="293"/>
      <x:c r="LOR66" s="293"/>
      <x:c r="LOS66" s="293"/>
      <x:c r="LOT66" s="293"/>
      <x:c r="LOU66" s="293"/>
      <x:c r="LOV66" s="293"/>
      <x:c r="LOW66" s="293"/>
      <x:c r="LOX66" s="293"/>
      <x:c r="LOY66" s="293"/>
      <x:c r="LOZ66" s="293"/>
      <x:c r="LPA66" s="293"/>
      <x:c r="LPB66" s="293"/>
      <x:c r="LPC66" s="293"/>
      <x:c r="LPD66" s="293"/>
      <x:c r="LPE66" s="293"/>
      <x:c r="LPF66" s="293"/>
      <x:c r="LPG66" s="293"/>
      <x:c r="LPH66" s="293"/>
      <x:c r="LPI66" s="293"/>
      <x:c r="LPJ66" s="293"/>
      <x:c r="LPK66" s="293"/>
      <x:c r="LPL66" s="293"/>
      <x:c r="LPM66" s="293"/>
      <x:c r="LPN66" s="293"/>
      <x:c r="LPO66" s="293"/>
      <x:c r="LPP66" s="293"/>
      <x:c r="LPQ66" s="293"/>
      <x:c r="LPR66" s="293"/>
      <x:c r="LPS66" s="293"/>
      <x:c r="LPT66" s="293"/>
      <x:c r="LPU66" s="293"/>
      <x:c r="LPV66" s="293"/>
      <x:c r="LPW66" s="293"/>
      <x:c r="LPX66" s="293"/>
      <x:c r="LPY66" s="293"/>
      <x:c r="LPZ66" s="293"/>
      <x:c r="LQA66" s="293"/>
      <x:c r="LQB66" s="293"/>
      <x:c r="LQC66" s="293"/>
      <x:c r="LQD66" s="293"/>
      <x:c r="LQE66" s="293"/>
      <x:c r="LQF66" s="293"/>
      <x:c r="LQG66" s="293"/>
      <x:c r="LQH66" s="293"/>
      <x:c r="LQI66" s="293"/>
      <x:c r="LQJ66" s="293"/>
      <x:c r="LQK66" s="293"/>
      <x:c r="LQL66" s="293"/>
      <x:c r="LQM66" s="293"/>
      <x:c r="LQN66" s="293"/>
      <x:c r="LQO66" s="293"/>
      <x:c r="LQP66" s="293"/>
      <x:c r="LQQ66" s="293"/>
      <x:c r="LQR66" s="293"/>
      <x:c r="LQS66" s="293"/>
      <x:c r="LQT66" s="293"/>
      <x:c r="LQU66" s="293"/>
      <x:c r="LQV66" s="293"/>
      <x:c r="LQW66" s="293"/>
      <x:c r="LQX66" s="293"/>
      <x:c r="LQY66" s="293"/>
      <x:c r="LQZ66" s="293"/>
      <x:c r="LRA66" s="293"/>
      <x:c r="LRB66" s="293"/>
      <x:c r="LRC66" s="293"/>
      <x:c r="LRD66" s="293"/>
      <x:c r="LRE66" s="293"/>
      <x:c r="LRF66" s="293"/>
      <x:c r="LRG66" s="293"/>
      <x:c r="LRH66" s="293"/>
      <x:c r="LRI66" s="293"/>
      <x:c r="LRJ66" s="293"/>
      <x:c r="LRK66" s="293"/>
      <x:c r="LRL66" s="293"/>
      <x:c r="LRM66" s="293"/>
      <x:c r="LRN66" s="293"/>
      <x:c r="LRO66" s="293"/>
      <x:c r="LRP66" s="293"/>
      <x:c r="LRQ66" s="293"/>
      <x:c r="LRR66" s="293"/>
      <x:c r="LRS66" s="293"/>
      <x:c r="LRT66" s="293"/>
      <x:c r="LRU66" s="293"/>
      <x:c r="LRV66" s="293"/>
      <x:c r="LRW66" s="293"/>
      <x:c r="LRX66" s="293"/>
      <x:c r="LRY66" s="293"/>
      <x:c r="LRZ66" s="293"/>
      <x:c r="LSA66" s="293"/>
      <x:c r="LSB66" s="293"/>
      <x:c r="LSC66" s="293"/>
      <x:c r="LSD66" s="293"/>
      <x:c r="LSE66" s="293"/>
      <x:c r="LSF66" s="293"/>
      <x:c r="LSG66" s="293"/>
      <x:c r="LSH66" s="293"/>
      <x:c r="LSI66" s="293"/>
      <x:c r="LSJ66" s="293"/>
      <x:c r="LSK66" s="293"/>
      <x:c r="LSL66" s="293"/>
      <x:c r="LSM66" s="293"/>
      <x:c r="LSN66" s="293"/>
      <x:c r="LSO66" s="293"/>
      <x:c r="LSP66" s="293"/>
      <x:c r="LSQ66" s="293"/>
      <x:c r="LSR66" s="293"/>
      <x:c r="LSS66" s="293"/>
      <x:c r="LST66" s="293"/>
      <x:c r="LSU66" s="293"/>
      <x:c r="LSV66" s="293"/>
      <x:c r="LSW66" s="293"/>
      <x:c r="LSX66" s="293"/>
      <x:c r="LSY66" s="293"/>
      <x:c r="LSZ66" s="293"/>
      <x:c r="LTA66" s="293"/>
      <x:c r="LTB66" s="293"/>
      <x:c r="LTC66" s="293"/>
      <x:c r="LTD66" s="293"/>
      <x:c r="LTE66" s="293"/>
      <x:c r="LTF66" s="293"/>
      <x:c r="LTG66" s="293"/>
      <x:c r="LTH66" s="293"/>
      <x:c r="LTI66" s="293"/>
      <x:c r="LTJ66" s="293"/>
      <x:c r="LTK66" s="293"/>
      <x:c r="LTL66" s="293"/>
      <x:c r="LTM66" s="293"/>
      <x:c r="LTN66" s="293"/>
      <x:c r="LTO66" s="293"/>
      <x:c r="LTP66" s="293"/>
      <x:c r="LTQ66" s="293"/>
      <x:c r="LTR66" s="293"/>
      <x:c r="LTS66" s="293"/>
      <x:c r="LTT66" s="293"/>
      <x:c r="LTU66" s="293"/>
      <x:c r="LTV66" s="293"/>
      <x:c r="LTW66" s="293"/>
      <x:c r="LTX66" s="293"/>
      <x:c r="LTY66" s="293"/>
      <x:c r="LTZ66" s="293"/>
      <x:c r="LUA66" s="293"/>
      <x:c r="LUB66" s="293"/>
      <x:c r="LUC66" s="293"/>
      <x:c r="LUD66" s="293"/>
      <x:c r="LUE66" s="293"/>
      <x:c r="LUF66" s="293"/>
      <x:c r="LUG66" s="293"/>
      <x:c r="LUH66" s="293"/>
      <x:c r="LUI66" s="293"/>
      <x:c r="LUJ66" s="293"/>
      <x:c r="LUK66" s="293"/>
      <x:c r="LUL66" s="293"/>
      <x:c r="LUM66" s="293"/>
      <x:c r="LUN66" s="293"/>
      <x:c r="LUO66" s="293"/>
      <x:c r="LUP66" s="293"/>
      <x:c r="LUQ66" s="293"/>
      <x:c r="LUR66" s="293"/>
      <x:c r="LUS66" s="293"/>
      <x:c r="LUT66" s="293"/>
      <x:c r="LUU66" s="293"/>
      <x:c r="LUV66" s="293"/>
      <x:c r="LUW66" s="293"/>
      <x:c r="LUX66" s="293"/>
      <x:c r="LUY66" s="293"/>
      <x:c r="LUZ66" s="293"/>
      <x:c r="LVA66" s="293"/>
      <x:c r="LVB66" s="293"/>
      <x:c r="LVC66" s="293"/>
      <x:c r="LVD66" s="293"/>
      <x:c r="LVE66" s="293"/>
      <x:c r="LVF66" s="293"/>
      <x:c r="LVG66" s="293"/>
      <x:c r="LVH66" s="293"/>
      <x:c r="LVI66" s="293"/>
      <x:c r="LVJ66" s="293"/>
      <x:c r="LVK66" s="293"/>
      <x:c r="LVL66" s="293"/>
      <x:c r="LVM66" s="293"/>
      <x:c r="LVN66" s="293"/>
      <x:c r="LVO66" s="293"/>
      <x:c r="LVP66" s="293"/>
      <x:c r="LVQ66" s="293"/>
      <x:c r="LVR66" s="293"/>
      <x:c r="LVS66" s="293"/>
      <x:c r="LVT66" s="293"/>
      <x:c r="LVU66" s="293"/>
      <x:c r="LVV66" s="293"/>
      <x:c r="LVW66" s="293"/>
      <x:c r="LVX66" s="293"/>
      <x:c r="LVY66" s="293"/>
      <x:c r="LVZ66" s="293"/>
      <x:c r="LWA66" s="293"/>
      <x:c r="LWB66" s="293"/>
      <x:c r="LWC66" s="293"/>
      <x:c r="LWD66" s="293"/>
      <x:c r="LWE66" s="293"/>
      <x:c r="LWF66" s="293"/>
      <x:c r="LWG66" s="293"/>
      <x:c r="LWH66" s="293"/>
      <x:c r="LWI66" s="293"/>
      <x:c r="LWJ66" s="293"/>
      <x:c r="LWK66" s="293"/>
      <x:c r="LWL66" s="293"/>
      <x:c r="LWM66" s="293"/>
      <x:c r="LWN66" s="293"/>
      <x:c r="LWO66" s="293"/>
      <x:c r="LWP66" s="293"/>
      <x:c r="LWQ66" s="293"/>
      <x:c r="LWR66" s="293"/>
      <x:c r="LWS66" s="293"/>
      <x:c r="LWT66" s="293"/>
      <x:c r="LWU66" s="293"/>
      <x:c r="LWV66" s="293"/>
      <x:c r="LWW66" s="293"/>
      <x:c r="LWX66" s="293"/>
      <x:c r="LWY66" s="293"/>
      <x:c r="LWZ66" s="293"/>
      <x:c r="LXA66" s="293"/>
      <x:c r="LXB66" s="293"/>
      <x:c r="LXC66" s="293"/>
      <x:c r="LXD66" s="293"/>
      <x:c r="LXE66" s="293"/>
      <x:c r="LXF66" s="293"/>
      <x:c r="LXG66" s="293"/>
      <x:c r="LXH66" s="293"/>
      <x:c r="LXI66" s="293"/>
      <x:c r="LXJ66" s="293"/>
      <x:c r="LXK66" s="293"/>
      <x:c r="LXL66" s="293"/>
      <x:c r="LXM66" s="293"/>
      <x:c r="LXN66" s="293"/>
      <x:c r="LXO66" s="293"/>
      <x:c r="LXP66" s="293"/>
      <x:c r="LXQ66" s="293"/>
      <x:c r="LXR66" s="293"/>
      <x:c r="LXS66" s="293"/>
      <x:c r="LXT66" s="293"/>
      <x:c r="LXU66" s="293"/>
      <x:c r="LXV66" s="293"/>
      <x:c r="LXW66" s="293"/>
      <x:c r="LXX66" s="293"/>
      <x:c r="LXY66" s="293"/>
      <x:c r="LXZ66" s="293"/>
      <x:c r="LYA66" s="293"/>
      <x:c r="LYB66" s="293"/>
      <x:c r="LYC66" s="293"/>
      <x:c r="LYD66" s="293"/>
      <x:c r="LYE66" s="293"/>
      <x:c r="LYF66" s="293"/>
      <x:c r="LYG66" s="293"/>
      <x:c r="LYH66" s="293"/>
      <x:c r="LYI66" s="293"/>
      <x:c r="LYJ66" s="293"/>
      <x:c r="LYK66" s="293"/>
      <x:c r="LYL66" s="293"/>
      <x:c r="LYM66" s="293"/>
      <x:c r="LYN66" s="293"/>
      <x:c r="LYO66" s="293"/>
      <x:c r="LYP66" s="293"/>
      <x:c r="LYQ66" s="293"/>
      <x:c r="LYR66" s="293"/>
      <x:c r="LYS66" s="293"/>
      <x:c r="LYT66" s="293"/>
      <x:c r="LYU66" s="293"/>
      <x:c r="LYV66" s="293"/>
      <x:c r="LYW66" s="293"/>
      <x:c r="LYX66" s="293"/>
      <x:c r="LYY66" s="293"/>
      <x:c r="LYZ66" s="293"/>
      <x:c r="LZA66" s="293"/>
      <x:c r="LZB66" s="293"/>
      <x:c r="LZC66" s="293"/>
      <x:c r="LZD66" s="293"/>
      <x:c r="LZE66" s="293"/>
      <x:c r="LZF66" s="293"/>
      <x:c r="LZG66" s="293"/>
      <x:c r="LZH66" s="293"/>
      <x:c r="LZI66" s="293"/>
      <x:c r="LZJ66" s="293"/>
      <x:c r="LZK66" s="293"/>
      <x:c r="LZL66" s="293"/>
      <x:c r="LZM66" s="293"/>
      <x:c r="LZN66" s="293"/>
      <x:c r="LZO66" s="293"/>
      <x:c r="LZP66" s="293"/>
      <x:c r="LZQ66" s="293"/>
      <x:c r="LZR66" s="293"/>
      <x:c r="LZS66" s="293"/>
      <x:c r="LZT66" s="293"/>
      <x:c r="LZU66" s="293"/>
      <x:c r="LZV66" s="293"/>
      <x:c r="LZW66" s="293"/>
      <x:c r="LZX66" s="293"/>
      <x:c r="LZY66" s="293"/>
      <x:c r="LZZ66" s="293"/>
      <x:c r="MAA66" s="293"/>
      <x:c r="MAB66" s="293"/>
      <x:c r="MAC66" s="293"/>
      <x:c r="MAD66" s="293"/>
      <x:c r="MAE66" s="293"/>
      <x:c r="MAF66" s="293"/>
      <x:c r="MAG66" s="293"/>
      <x:c r="MAH66" s="293"/>
      <x:c r="MAI66" s="293"/>
      <x:c r="MAJ66" s="293"/>
      <x:c r="MAK66" s="293"/>
      <x:c r="MAL66" s="293"/>
      <x:c r="MAM66" s="293"/>
      <x:c r="MAN66" s="293"/>
      <x:c r="MAO66" s="293"/>
      <x:c r="MAP66" s="293"/>
      <x:c r="MAQ66" s="293"/>
      <x:c r="MAR66" s="293"/>
      <x:c r="MAS66" s="293"/>
      <x:c r="MAT66" s="293"/>
      <x:c r="MAU66" s="293"/>
      <x:c r="MAV66" s="293"/>
      <x:c r="MAW66" s="293"/>
      <x:c r="MAX66" s="293"/>
      <x:c r="MAY66" s="293"/>
      <x:c r="MAZ66" s="293"/>
      <x:c r="MBA66" s="293"/>
      <x:c r="MBB66" s="293"/>
      <x:c r="MBC66" s="293"/>
      <x:c r="MBD66" s="293"/>
      <x:c r="MBE66" s="293"/>
      <x:c r="MBF66" s="293"/>
      <x:c r="MBG66" s="293"/>
      <x:c r="MBH66" s="293"/>
      <x:c r="MBI66" s="293"/>
      <x:c r="MBJ66" s="293"/>
      <x:c r="MBK66" s="293"/>
      <x:c r="MBL66" s="293"/>
      <x:c r="MBM66" s="293"/>
      <x:c r="MBN66" s="293"/>
      <x:c r="MBO66" s="293"/>
      <x:c r="MBP66" s="293"/>
      <x:c r="MBQ66" s="293"/>
      <x:c r="MBR66" s="293"/>
      <x:c r="MBS66" s="293"/>
      <x:c r="MBT66" s="293"/>
      <x:c r="MBU66" s="293"/>
      <x:c r="MBV66" s="293"/>
      <x:c r="MBW66" s="293"/>
      <x:c r="MBX66" s="293"/>
      <x:c r="MBY66" s="293"/>
      <x:c r="MBZ66" s="293"/>
      <x:c r="MCA66" s="293"/>
      <x:c r="MCB66" s="293"/>
      <x:c r="MCC66" s="293"/>
      <x:c r="MCD66" s="293"/>
      <x:c r="MCE66" s="293"/>
      <x:c r="MCF66" s="293"/>
      <x:c r="MCG66" s="293"/>
      <x:c r="MCH66" s="293"/>
      <x:c r="MCI66" s="293"/>
      <x:c r="MCJ66" s="293"/>
      <x:c r="MCK66" s="293"/>
      <x:c r="MCL66" s="293"/>
      <x:c r="MCM66" s="293"/>
      <x:c r="MCN66" s="293"/>
      <x:c r="MCO66" s="293"/>
      <x:c r="MCP66" s="293"/>
      <x:c r="MCQ66" s="293"/>
      <x:c r="MCR66" s="293"/>
      <x:c r="MCS66" s="293"/>
      <x:c r="MCT66" s="293"/>
      <x:c r="MCU66" s="293"/>
      <x:c r="MCV66" s="293"/>
      <x:c r="MCW66" s="293"/>
      <x:c r="MCX66" s="293"/>
      <x:c r="MCY66" s="293"/>
      <x:c r="MCZ66" s="293"/>
      <x:c r="MDA66" s="293"/>
      <x:c r="MDB66" s="293"/>
      <x:c r="MDC66" s="293"/>
      <x:c r="MDD66" s="293"/>
      <x:c r="MDE66" s="293"/>
      <x:c r="MDF66" s="293"/>
      <x:c r="MDG66" s="293"/>
      <x:c r="MDH66" s="293"/>
      <x:c r="MDI66" s="293"/>
      <x:c r="MDJ66" s="293"/>
      <x:c r="MDK66" s="293"/>
      <x:c r="MDL66" s="293"/>
      <x:c r="MDM66" s="293"/>
      <x:c r="MDN66" s="293"/>
      <x:c r="MDO66" s="293"/>
      <x:c r="MDP66" s="293"/>
      <x:c r="MDQ66" s="293"/>
      <x:c r="MDR66" s="293"/>
      <x:c r="MDS66" s="293"/>
      <x:c r="MDT66" s="293"/>
      <x:c r="MDU66" s="293"/>
      <x:c r="MDV66" s="293"/>
      <x:c r="MDW66" s="293"/>
      <x:c r="MDX66" s="293"/>
      <x:c r="MDY66" s="293"/>
      <x:c r="MDZ66" s="293"/>
      <x:c r="MEA66" s="293"/>
      <x:c r="MEB66" s="293"/>
      <x:c r="MEC66" s="293"/>
      <x:c r="MED66" s="293"/>
      <x:c r="MEE66" s="293"/>
      <x:c r="MEF66" s="293"/>
      <x:c r="MEG66" s="293"/>
      <x:c r="MEH66" s="293"/>
      <x:c r="MEI66" s="293"/>
      <x:c r="MEJ66" s="293"/>
      <x:c r="MEK66" s="293"/>
      <x:c r="MEL66" s="293"/>
      <x:c r="MEM66" s="293"/>
      <x:c r="MEN66" s="293"/>
      <x:c r="MEO66" s="293"/>
      <x:c r="MEP66" s="293"/>
      <x:c r="MEQ66" s="293"/>
      <x:c r="MER66" s="293"/>
      <x:c r="MES66" s="293"/>
      <x:c r="MET66" s="293"/>
      <x:c r="MEU66" s="293"/>
      <x:c r="MEV66" s="293"/>
      <x:c r="MEW66" s="293"/>
      <x:c r="MEX66" s="293"/>
      <x:c r="MEY66" s="293"/>
      <x:c r="MEZ66" s="293"/>
      <x:c r="MFA66" s="293"/>
      <x:c r="MFB66" s="293"/>
      <x:c r="MFC66" s="293"/>
      <x:c r="MFD66" s="293"/>
      <x:c r="MFE66" s="293"/>
      <x:c r="MFF66" s="293"/>
      <x:c r="MFG66" s="293"/>
      <x:c r="MFH66" s="293"/>
      <x:c r="MFI66" s="293"/>
      <x:c r="MFJ66" s="293"/>
      <x:c r="MFK66" s="293"/>
      <x:c r="MFL66" s="293"/>
      <x:c r="MFM66" s="293"/>
      <x:c r="MFN66" s="293"/>
      <x:c r="MFO66" s="293"/>
      <x:c r="MFP66" s="293"/>
      <x:c r="MFQ66" s="293"/>
      <x:c r="MFR66" s="293"/>
      <x:c r="MFS66" s="293"/>
      <x:c r="MFT66" s="293"/>
      <x:c r="MFU66" s="293"/>
      <x:c r="MFV66" s="293"/>
      <x:c r="MFW66" s="293"/>
      <x:c r="MFX66" s="293"/>
      <x:c r="MFY66" s="293"/>
      <x:c r="MFZ66" s="293"/>
      <x:c r="MGA66" s="293"/>
      <x:c r="MGB66" s="293"/>
      <x:c r="MGC66" s="293"/>
      <x:c r="MGD66" s="293"/>
      <x:c r="MGE66" s="293"/>
      <x:c r="MGF66" s="293"/>
      <x:c r="MGG66" s="293"/>
      <x:c r="MGH66" s="293"/>
      <x:c r="MGI66" s="293"/>
      <x:c r="MGJ66" s="293"/>
      <x:c r="MGK66" s="293"/>
      <x:c r="MGL66" s="293"/>
      <x:c r="MGM66" s="293"/>
      <x:c r="MGN66" s="293"/>
      <x:c r="MGO66" s="293"/>
      <x:c r="MGP66" s="293"/>
      <x:c r="MGQ66" s="293"/>
      <x:c r="MGR66" s="293"/>
      <x:c r="MGS66" s="293"/>
      <x:c r="MGT66" s="293"/>
      <x:c r="MGU66" s="293"/>
      <x:c r="MGV66" s="293"/>
      <x:c r="MGW66" s="293"/>
      <x:c r="MGX66" s="293"/>
      <x:c r="MGY66" s="293"/>
      <x:c r="MGZ66" s="293"/>
      <x:c r="MHA66" s="293"/>
      <x:c r="MHB66" s="293"/>
      <x:c r="MHC66" s="293"/>
      <x:c r="MHD66" s="293"/>
      <x:c r="MHE66" s="293"/>
      <x:c r="MHF66" s="293"/>
      <x:c r="MHG66" s="293"/>
      <x:c r="MHH66" s="293"/>
      <x:c r="MHI66" s="293"/>
      <x:c r="MHJ66" s="293"/>
      <x:c r="MHK66" s="293"/>
      <x:c r="MHL66" s="293"/>
      <x:c r="MHM66" s="293"/>
      <x:c r="MHN66" s="293"/>
      <x:c r="MHO66" s="293"/>
      <x:c r="MHP66" s="293"/>
      <x:c r="MHQ66" s="293"/>
      <x:c r="MHR66" s="293"/>
      <x:c r="MHS66" s="293"/>
      <x:c r="MHT66" s="293"/>
      <x:c r="MHU66" s="293"/>
      <x:c r="MHV66" s="293"/>
      <x:c r="MHW66" s="293"/>
      <x:c r="MHX66" s="293"/>
      <x:c r="MHY66" s="293"/>
      <x:c r="MHZ66" s="293"/>
      <x:c r="MIA66" s="293"/>
      <x:c r="MIB66" s="293"/>
      <x:c r="MIC66" s="293"/>
      <x:c r="MID66" s="293"/>
      <x:c r="MIE66" s="293"/>
      <x:c r="MIF66" s="293"/>
      <x:c r="MIG66" s="293"/>
      <x:c r="MIH66" s="293"/>
      <x:c r="MII66" s="293"/>
      <x:c r="MIJ66" s="293"/>
      <x:c r="MIK66" s="293"/>
      <x:c r="MIL66" s="293"/>
      <x:c r="MIM66" s="293"/>
      <x:c r="MIN66" s="293"/>
      <x:c r="MIO66" s="293"/>
      <x:c r="MIP66" s="293"/>
      <x:c r="MIQ66" s="293"/>
      <x:c r="MIR66" s="293"/>
      <x:c r="MIS66" s="293"/>
      <x:c r="MIT66" s="293"/>
      <x:c r="MIU66" s="293"/>
      <x:c r="MIV66" s="293"/>
      <x:c r="MIW66" s="293"/>
      <x:c r="MIX66" s="293"/>
      <x:c r="MIY66" s="293"/>
      <x:c r="MIZ66" s="293"/>
      <x:c r="MJA66" s="293"/>
      <x:c r="MJB66" s="293"/>
      <x:c r="MJC66" s="293"/>
      <x:c r="MJD66" s="293"/>
      <x:c r="MJE66" s="293"/>
      <x:c r="MJF66" s="293"/>
      <x:c r="MJG66" s="293"/>
      <x:c r="MJH66" s="293"/>
      <x:c r="MJI66" s="293"/>
      <x:c r="MJJ66" s="293"/>
      <x:c r="MJK66" s="293"/>
      <x:c r="MJL66" s="293"/>
      <x:c r="MJM66" s="293"/>
      <x:c r="MJN66" s="293"/>
      <x:c r="MJO66" s="293"/>
      <x:c r="MJP66" s="293"/>
      <x:c r="MJQ66" s="293"/>
      <x:c r="MJR66" s="293"/>
      <x:c r="MJS66" s="293"/>
      <x:c r="MJT66" s="293"/>
      <x:c r="MJU66" s="293"/>
      <x:c r="MJV66" s="293"/>
      <x:c r="MJW66" s="293"/>
      <x:c r="MJX66" s="293"/>
      <x:c r="MJY66" s="293"/>
      <x:c r="MJZ66" s="293"/>
      <x:c r="MKA66" s="293"/>
      <x:c r="MKB66" s="293"/>
      <x:c r="MKC66" s="293"/>
      <x:c r="MKD66" s="293"/>
      <x:c r="MKE66" s="293"/>
      <x:c r="MKF66" s="293"/>
      <x:c r="MKG66" s="293"/>
      <x:c r="MKH66" s="293"/>
      <x:c r="MKI66" s="293"/>
      <x:c r="MKJ66" s="293"/>
      <x:c r="MKK66" s="293"/>
      <x:c r="MKL66" s="293"/>
      <x:c r="MKM66" s="293"/>
      <x:c r="MKN66" s="293"/>
      <x:c r="MKO66" s="293"/>
      <x:c r="MKP66" s="293"/>
      <x:c r="MKQ66" s="293"/>
      <x:c r="MKR66" s="293"/>
      <x:c r="MKS66" s="293"/>
      <x:c r="MKT66" s="293"/>
      <x:c r="MKU66" s="293"/>
      <x:c r="MKV66" s="293"/>
      <x:c r="MKW66" s="293"/>
      <x:c r="MKX66" s="293"/>
      <x:c r="MKY66" s="293"/>
      <x:c r="MKZ66" s="293"/>
      <x:c r="MLA66" s="293"/>
      <x:c r="MLB66" s="293"/>
      <x:c r="MLC66" s="293"/>
      <x:c r="MLD66" s="293"/>
      <x:c r="MLE66" s="293"/>
      <x:c r="MLF66" s="293"/>
      <x:c r="MLG66" s="293"/>
      <x:c r="MLH66" s="293"/>
      <x:c r="MLI66" s="293"/>
      <x:c r="MLJ66" s="293"/>
      <x:c r="MLK66" s="293"/>
      <x:c r="MLL66" s="293"/>
      <x:c r="MLM66" s="293"/>
      <x:c r="MLN66" s="293"/>
      <x:c r="MLO66" s="293"/>
      <x:c r="MLP66" s="293"/>
      <x:c r="MLQ66" s="293"/>
      <x:c r="MLR66" s="293"/>
      <x:c r="MLS66" s="293"/>
      <x:c r="MLT66" s="293"/>
      <x:c r="MLU66" s="293"/>
      <x:c r="MLV66" s="293"/>
      <x:c r="MLW66" s="293"/>
      <x:c r="MLX66" s="293"/>
      <x:c r="MLY66" s="293"/>
      <x:c r="MLZ66" s="293"/>
      <x:c r="MMA66" s="293"/>
      <x:c r="MMB66" s="293"/>
      <x:c r="MMC66" s="293"/>
      <x:c r="MMD66" s="293"/>
      <x:c r="MME66" s="293"/>
      <x:c r="MMF66" s="293"/>
      <x:c r="MMG66" s="293"/>
      <x:c r="MMH66" s="293"/>
      <x:c r="MMI66" s="293"/>
      <x:c r="MMJ66" s="293"/>
      <x:c r="MMK66" s="293"/>
      <x:c r="MML66" s="293"/>
      <x:c r="MMM66" s="293"/>
      <x:c r="MMN66" s="293"/>
      <x:c r="MMO66" s="293"/>
      <x:c r="MMP66" s="293"/>
      <x:c r="MMQ66" s="293"/>
      <x:c r="MMR66" s="293"/>
      <x:c r="MMS66" s="293"/>
      <x:c r="MMT66" s="293"/>
      <x:c r="MMU66" s="293"/>
      <x:c r="MMV66" s="293"/>
      <x:c r="MMW66" s="293"/>
      <x:c r="MMX66" s="293"/>
      <x:c r="MMY66" s="293"/>
      <x:c r="MMZ66" s="293"/>
      <x:c r="MNA66" s="293"/>
      <x:c r="MNB66" s="293"/>
      <x:c r="MNC66" s="293"/>
      <x:c r="MND66" s="293"/>
      <x:c r="MNE66" s="293"/>
      <x:c r="MNF66" s="293"/>
      <x:c r="MNG66" s="293"/>
      <x:c r="MNH66" s="293"/>
      <x:c r="MNI66" s="293"/>
      <x:c r="MNJ66" s="293"/>
      <x:c r="MNK66" s="293"/>
      <x:c r="MNL66" s="293"/>
      <x:c r="MNM66" s="293"/>
      <x:c r="MNN66" s="293"/>
      <x:c r="MNO66" s="293"/>
      <x:c r="MNP66" s="293"/>
      <x:c r="MNQ66" s="293"/>
      <x:c r="MNR66" s="293"/>
      <x:c r="MNS66" s="293"/>
      <x:c r="MNT66" s="293"/>
      <x:c r="MNU66" s="293"/>
      <x:c r="MNV66" s="293"/>
      <x:c r="MNW66" s="293"/>
      <x:c r="MNX66" s="293"/>
      <x:c r="MNY66" s="293"/>
      <x:c r="MNZ66" s="293"/>
      <x:c r="MOA66" s="293"/>
      <x:c r="MOB66" s="293"/>
      <x:c r="MOC66" s="293"/>
      <x:c r="MOD66" s="293"/>
      <x:c r="MOE66" s="293"/>
      <x:c r="MOF66" s="293"/>
      <x:c r="MOG66" s="293"/>
      <x:c r="MOH66" s="293"/>
      <x:c r="MOI66" s="293"/>
      <x:c r="MOJ66" s="293"/>
      <x:c r="MOK66" s="293"/>
      <x:c r="MOL66" s="293"/>
      <x:c r="MOM66" s="293"/>
      <x:c r="MON66" s="293"/>
      <x:c r="MOO66" s="293"/>
      <x:c r="MOP66" s="293"/>
      <x:c r="MOQ66" s="293"/>
      <x:c r="MOR66" s="293"/>
      <x:c r="MOS66" s="293"/>
      <x:c r="MOT66" s="293"/>
      <x:c r="MOU66" s="293"/>
      <x:c r="MOV66" s="293"/>
      <x:c r="MOW66" s="293"/>
      <x:c r="MOX66" s="293"/>
      <x:c r="MOY66" s="293"/>
      <x:c r="MOZ66" s="293"/>
      <x:c r="MPA66" s="293"/>
      <x:c r="MPB66" s="293"/>
      <x:c r="MPC66" s="293"/>
      <x:c r="MPD66" s="293"/>
      <x:c r="MPE66" s="293"/>
      <x:c r="MPF66" s="293"/>
      <x:c r="MPG66" s="293"/>
      <x:c r="MPH66" s="293"/>
      <x:c r="MPI66" s="293"/>
      <x:c r="MPJ66" s="293"/>
      <x:c r="MPK66" s="293"/>
      <x:c r="MPL66" s="293"/>
      <x:c r="MPM66" s="293"/>
      <x:c r="MPN66" s="293"/>
      <x:c r="MPO66" s="293"/>
      <x:c r="MPP66" s="293"/>
      <x:c r="MPQ66" s="293"/>
      <x:c r="MPR66" s="293"/>
      <x:c r="MPS66" s="293"/>
      <x:c r="MPT66" s="293"/>
      <x:c r="MPU66" s="293"/>
      <x:c r="MPV66" s="293"/>
      <x:c r="MPW66" s="293"/>
      <x:c r="MPX66" s="293"/>
      <x:c r="MPY66" s="293"/>
      <x:c r="MPZ66" s="293"/>
      <x:c r="MQA66" s="293"/>
      <x:c r="MQB66" s="293"/>
      <x:c r="MQC66" s="293"/>
      <x:c r="MQD66" s="293"/>
      <x:c r="MQE66" s="293"/>
      <x:c r="MQF66" s="293"/>
      <x:c r="MQG66" s="293"/>
      <x:c r="MQH66" s="293"/>
      <x:c r="MQI66" s="293"/>
      <x:c r="MQJ66" s="293"/>
      <x:c r="MQK66" s="293"/>
      <x:c r="MQL66" s="293"/>
      <x:c r="MQM66" s="293"/>
      <x:c r="MQN66" s="293"/>
      <x:c r="MQO66" s="293"/>
      <x:c r="MQP66" s="293"/>
      <x:c r="MQQ66" s="293"/>
      <x:c r="MQR66" s="293"/>
      <x:c r="MQS66" s="293"/>
      <x:c r="MQT66" s="293"/>
      <x:c r="MQU66" s="293"/>
      <x:c r="MQV66" s="293"/>
      <x:c r="MQW66" s="293"/>
      <x:c r="MQX66" s="293"/>
      <x:c r="MQY66" s="293"/>
      <x:c r="MQZ66" s="293"/>
      <x:c r="MRA66" s="293"/>
      <x:c r="MRB66" s="293"/>
      <x:c r="MRC66" s="293"/>
      <x:c r="MRD66" s="293"/>
      <x:c r="MRE66" s="293"/>
      <x:c r="MRF66" s="293"/>
      <x:c r="MRG66" s="293"/>
      <x:c r="MRH66" s="293"/>
      <x:c r="MRI66" s="293"/>
      <x:c r="MRJ66" s="293"/>
      <x:c r="MRK66" s="293"/>
      <x:c r="MRL66" s="293"/>
      <x:c r="MRM66" s="293"/>
      <x:c r="MRN66" s="293"/>
      <x:c r="MRO66" s="293"/>
      <x:c r="MRP66" s="293"/>
      <x:c r="MRQ66" s="293"/>
      <x:c r="MRR66" s="293"/>
      <x:c r="MRS66" s="293"/>
      <x:c r="MRT66" s="293"/>
      <x:c r="MRU66" s="293"/>
      <x:c r="MRV66" s="293"/>
      <x:c r="MRW66" s="293"/>
      <x:c r="MRX66" s="293"/>
      <x:c r="MRY66" s="293"/>
      <x:c r="MRZ66" s="293"/>
      <x:c r="MSA66" s="293"/>
      <x:c r="MSB66" s="293"/>
      <x:c r="MSC66" s="293"/>
      <x:c r="MSD66" s="293"/>
      <x:c r="MSE66" s="293"/>
      <x:c r="MSF66" s="293"/>
      <x:c r="MSG66" s="293"/>
      <x:c r="MSH66" s="293"/>
      <x:c r="MSI66" s="293"/>
      <x:c r="MSJ66" s="293"/>
      <x:c r="MSK66" s="293"/>
      <x:c r="MSL66" s="293"/>
      <x:c r="MSM66" s="293"/>
      <x:c r="MSN66" s="293"/>
      <x:c r="MSO66" s="293"/>
      <x:c r="MSP66" s="293"/>
      <x:c r="MSQ66" s="293"/>
      <x:c r="MSR66" s="293"/>
      <x:c r="MSS66" s="293"/>
      <x:c r="MST66" s="293"/>
      <x:c r="MSU66" s="293"/>
      <x:c r="MSV66" s="293"/>
      <x:c r="MSW66" s="293"/>
      <x:c r="MSX66" s="293"/>
      <x:c r="MSY66" s="293"/>
      <x:c r="MSZ66" s="293"/>
      <x:c r="MTA66" s="293"/>
      <x:c r="MTB66" s="293"/>
      <x:c r="MTC66" s="293"/>
      <x:c r="MTD66" s="293"/>
      <x:c r="MTE66" s="293"/>
      <x:c r="MTF66" s="293"/>
      <x:c r="MTG66" s="293"/>
      <x:c r="MTH66" s="293"/>
      <x:c r="MTI66" s="293"/>
      <x:c r="MTJ66" s="293"/>
      <x:c r="MTK66" s="293"/>
      <x:c r="MTL66" s="293"/>
      <x:c r="MTM66" s="293"/>
      <x:c r="MTN66" s="293"/>
      <x:c r="MTO66" s="293"/>
      <x:c r="MTP66" s="293"/>
      <x:c r="MTQ66" s="293"/>
      <x:c r="MTR66" s="293"/>
      <x:c r="MTS66" s="293"/>
      <x:c r="MTT66" s="293"/>
      <x:c r="MTU66" s="293"/>
      <x:c r="MTV66" s="293"/>
      <x:c r="MTW66" s="293"/>
      <x:c r="MTX66" s="293"/>
      <x:c r="MTY66" s="293"/>
      <x:c r="MTZ66" s="293"/>
      <x:c r="MUA66" s="293"/>
      <x:c r="MUB66" s="293"/>
      <x:c r="MUC66" s="293"/>
      <x:c r="MUD66" s="293"/>
      <x:c r="MUE66" s="293"/>
      <x:c r="MUF66" s="293"/>
      <x:c r="MUG66" s="293"/>
      <x:c r="MUH66" s="293"/>
      <x:c r="MUI66" s="293"/>
      <x:c r="MUJ66" s="293"/>
      <x:c r="MUK66" s="293"/>
      <x:c r="MUL66" s="293"/>
      <x:c r="MUM66" s="293"/>
      <x:c r="MUN66" s="293"/>
      <x:c r="MUO66" s="293"/>
      <x:c r="MUP66" s="293"/>
      <x:c r="MUQ66" s="293"/>
      <x:c r="MUR66" s="293"/>
      <x:c r="MUS66" s="293"/>
      <x:c r="MUT66" s="293"/>
      <x:c r="MUU66" s="293"/>
      <x:c r="MUV66" s="293"/>
      <x:c r="MUW66" s="293"/>
      <x:c r="MUX66" s="293"/>
      <x:c r="MUY66" s="293"/>
      <x:c r="MUZ66" s="293"/>
      <x:c r="MVA66" s="293"/>
      <x:c r="MVB66" s="293"/>
      <x:c r="MVC66" s="293"/>
      <x:c r="MVD66" s="293"/>
      <x:c r="MVE66" s="293"/>
      <x:c r="MVF66" s="293"/>
      <x:c r="MVG66" s="293"/>
      <x:c r="MVH66" s="293"/>
      <x:c r="MVI66" s="293"/>
      <x:c r="MVJ66" s="293"/>
      <x:c r="MVK66" s="293"/>
      <x:c r="MVL66" s="293"/>
      <x:c r="MVM66" s="293"/>
      <x:c r="MVN66" s="293"/>
      <x:c r="MVO66" s="293"/>
      <x:c r="MVP66" s="293"/>
      <x:c r="MVQ66" s="293"/>
      <x:c r="MVR66" s="293"/>
      <x:c r="MVS66" s="293"/>
      <x:c r="MVT66" s="293"/>
      <x:c r="MVU66" s="293"/>
      <x:c r="MVV66" s="293"/>
      <x:c r="MVW66" s="293"/>
      <x:c r="MVX66" s="293"/>
      <x:c r="MVY66" s="293"/>
      <x:c r="MVZ66" s="293"/>
      <x:c r="MWA66" s="293"/>
      <x:c r="MWB66" s="293"/>
      <x:c r="MWC66" s="293"/>
      <x:c r="MWD66" s="293"/>
      <x:c r="MWE66" s="293"/>
      <x:c r="MWF66" s="293"/>
      <x:c r="MWG66" s="293"/>
      <x:c r="MWH66" s="293"/>
      <x:c r="MWI66" s="293"/>
      <x:c r="MWJ66" s="293"/>
      <x:c r="MWK66" s="293"/>
      <x:c r="MWL66" s="293"/>
      <x:c r="MWM66" s="293"/>
      <x:c r="MWN66" s="293"/>
      <x:c r="MWO66" s="293"/>
      <x:c r="MWP66" s="293"/>
      <x:c r="MWQ66" s="293"/>
      <x:c r="MWR66" s="293"/>
      <x:c r="MWS66" s="293"/>
      <x:c r="MWT66" s="293"/>
      <x:c r="MWU66" s="293"/>
      <x:c r="MWV66" s="293"/>
      <x:c r="MWW66" s="293"/>
      <x:c r="MWX66" s="293"/>
      <x:c r="MWY66" s="293"/>
      <x:c r="MWZ66" s="293"/>
      <x:c r="MXA66" s="293"/>
      <x:c r="MXB66" s="293"/>
      <x:c r="MXC66" s="293"/>
      <x:c r="MXD66" s="293"/>
      <x:c r="MXE66" s="293"/>
      <x:c r="MXF66" s="293"/>
      <x:c r="MXG66" s="293"/>
      <x:c r="MXH66" s="293"/>
      <x:c r="MXI66" s="293"/>
      <x:c r="MXJ66" s="293"/>
      <x:c r="MXK66" s="293"/>
      <x:c r="MXL66" s="293"/>
      <x:c r="MXM66" s="293"/>
      <x:c r="MXN66" s="293"/>
      <x:c r="MXO66" s="293"/>
      <x:c r="MXP66" s="293"/>
      <x:c r="MXQ66" s="293"/>
      <x:c r="MXR66" s="293"/>
      <x:c r="MXS66" s="293"/>
      <x:c r="MXT66" s="293"/>
      <x:c r="MXU66" s="293"/>
      <x:c r="MXV66" s="293"/>
      <x:c r="MXW66" s="293"/>
      <x:c r="MXX66" s="293"/>
      <x:c r="MXY66" s="293"/>
      <x:c r="MXZ66" s="293"/>
      <x:c r="MYA66" s="293"/>
      <x:c r="MYB66" s="293"/>
      <x:c r="MYC66" s="293"/>
      <x:c r="MYD66" s="293"/>
      <x:c r="MYE66" s="293"/>
      <x:c r="MYF66" s="293"/>
      <x:c r="MYG66" s="293"/>
      <x:c r="MYH66" s="293"/>
      <x:c r="MYI66" s="293"/>
      <x:c r="MYJ66" s="293"/>
      <x:c r="MYK66" s="293"/>
      <x:c r="MYL66" s="293"/>
      <x:c r="MYM66" s="293"/>
      <x:c r="MYN66" s="293"/>
      <x:c r="MYO66" s="293"/>
      <x:c r="MYP66" s="293"/>
      <x:c r="MYQ66" s="293"/>
      <x:c r="MYR66" s="293"/>
      <x:c r="MYS66" s="293"/>
      <x:c r="MYT66" s="293"/>
      <x:c r="MYU66" s="293"/>
      <x:c r="MYV66" s="293"/>
      <x:c r="MYW66" s="293"/>
      <x:c r="MYX66" s="293"/>
      <x:c r="MYY66" s="293"/>
      <x:c r="MYZ66" s="293"/>
      <x:c r="MZA66" s="293"/>
      <x:c r="MZB66" s="293"/>
      <x:c r="MZC66" s="293"/>
      <x:c r="MZD66" s="293"/>
      <x:c r="MZE66" s="293"/>
      <x:c r="MZF66" s="293"/>
      <x:c r="MZG66" s="293"/>
      <x:c r="MZH66" s="293"/>
      <x:c r="MZI66" s="293"/>
      <x:c r="MZJ66" s="293"/>
      <x:c r="MZK66" s="293"/>
      <x:c r="MZL66" s="293"/>
      <x:c r="MZM66" s="293"/>
      <x:c r="MZN66" s="293"/>
      <x:c r="MZO66" s="293"/>
      <x:c r="MZP66" s="293"/>
      <x:c r="MZQ66" s="293"/>
      <x:c r="MZR66" s="293"/>
      <x:c r="MZS66" s="293"/>
      <x:c r="MZT66" s="293"/>
      <x:c r="MZU66" s="293"/>
      <x:c r="MZV66" s="293"/>
      <x:c r="MZW66" s="293"/>
      <x:c r="MZX66" s="293"/>
      <x:c r="MZY66" s="293"/>
      <x:c r="MZZ66" s="293"/>
      <x:c r="NAA66" s="293"/>
      <x:c r="NAB66" s="293"/>
      <x:c r="NAC66" s="293"/>
      <x:c r="NAD66" s="293"/>
      <x:c r="NAE66" s="293"/>
      <x:c r="NAF66" s="293"/>
      <x:c r="NAG66" s="293"/>
      <x:c r="NAH66" s="293"/>
      <x:c r="NAI66" s="293"/>
      <x:c r="NAJ66" s="293"/>
      <x:c r="NAK66" s="293"/>
      <x:c r="NAL66" s="293"/>
      <x:c r="NAM66" s="293"/>
      <x:c r="NAN66" s="293"/>
      <x:c r="NAO66" s="293"/>
      <x:c r="NAP66" s="293"/>
      <x:c r="NAQ66" s="293"/>
      <x:c r="NAR66" s="293"/>
      <x:c r="NAS66" s="293"/>
      <x:c r="NAT66" s="293"/>
      <x:c r="NAU66" s="293"/>
      <x:c r="NAV66" s="293"/>
      <x:c r="NAW66" s="293"/>
      <x:c r="NAX66" s="293"/>
      <x:c r="NAY66" s="293"/>
      <x:c r="NAZ66" s="293"/>
      <x:c r="NBA66" s="293"/>
      <x:c r="NBB66" s="293"/>
      <x:c r="NBC66" s="293"/>
      <x:c r="NBD66" s="293"/>
      <x:c r="NBE66" s="293"/>
      <x:c r="NBF66" s="293"/>
      <x:c r="NBG66" s="293"/>
      <x:c r="NBH66" s="293"/>
      <x:c r="NBI66" s="293"/>
      <x:c r="NBJ66" s="293"/>
      <x:c r="NBK66" s="293"/>
      <x:c r="NBL66" s="293"/>
      <x:c r="NBM66" s="293"/>
      <x:c r="NBN66" s="293"/>
      <x:c r="NBO66" s="293"/>
      <x:c r="NBP66" s="293"/>
      <x:c r="NBQ66" s="293"/>
      <x:c r="NBR66" s="293"/>
      <x:c r="NBS66" s="293"/>
      <x:c r="NBT66" s="293"/>
      <x:c r="NBU66" s="293"/>
      <x:c r="NBV66" s="293"/>
      <x:c r="NBW66" s="293"/>
      <x:c r="NBX66" s="293"/>
      <x:c r="NBY66" s="293"/>
      <x:c r="NBZ66" s="293"/>
      <x:c r="NCA66" s="293"/>
      <x:c r="NCB66" s="293"/>
      <x:c r="NCC66" s="293"/>
      <x:c r="NCD66" s="293"/>
      <x:c r="NCE66" s="293"/>
      <x:c r="NCF66" s="293"/>
      <x:c r="NCG66" s="293"/>
      <x:c r="NCH66" s="293"/>
      <x:c r="NCI66" s="293"/>
      <x:c r="NCJ66" s="293"/>
      <x:c r="NCK66" s="293"/>
      <x:c r="NCL66" s="293"/>
      <x:c r="NCM66" s="293"/>
      <x:c r="NCN66" s="293"/>
      <x:c r="NCO66" s="293"/>
      <x:c r="NCP66" s="293"/>
      <x:c r="NCQ66" s="293"/>
      <x:c r="NCR66" s="293"/>
      <x:c r="NCS66" s="293"/>
      <x:c r="NCT66" s="293"/>
      <x:c r="NCU66" s="293"/>
      <x:c r="NCV66" s="293"/>
      <x:c r="NCW66" s="293"/>
      <x:c r="NCX66" s="293"/>
      <x:c r="NCY66" s="293"/>
      <x:c r="NCZ66" s="293"/>
      <x:c r="NDA66" s="293"/>
      <x:c r="NDB66" s="293"/>
      <x:c r="NDC66" s="293"/>
      <x:c r="NDD66" s="293"/>
      <x:c r="NDE66" s="293"/>
      <x:c r="NDF66" s="293"/>
      <x:c r="NDG66" s="293"/>
      <x:c r="NDH66" s="293"/>
      <x:c r="NDI66" s="293"/>
      <x:c r="NDJ66" s="293"/>
      <x:c r="NDK66" s="293"/>
      <x:c r="NDL66" s="293"/>
      <x:c r="NDM66" s="293"/>
      <x:c r="NDN66" s="293"/>
      <x:c r="NDO66" s="293"/>
      <x:c r="NDP66" s="293"/>
      <x:c r="NDQ66" s="293"/>
      <x:c r="NDR66" s="293"/>
      <x:c r="NDS66" s="293"/>
      <x:c r="NDT66" s="293"/>
      <x:c r="NDU66" s="293"/>
      <x:c r="NDV66" s="293"/>
      <x:c r="NDW66" s="293"/>
      <x:c r="NDX66" s="293"/>
      <x:c r="NDY66" s="293"/>
      <x:c r="NDZ66" s="293"/>
      <x:c r="NEA66" s="293"/>
      <x:c r="NEB66" s="293"/>
      <x:c r="NEC66" s="293"/>
      <x:c r="NED66" s="293"/>
      <x:c r="NEE66" s="293"/>
      <x:c r="NEF66" s="293"/>
      <x:c r="NEG66" s="293"/>
      <x:c r="NEH66" s="293"/>
      <x:c r="NEI66" s="293"/>
      <x:c r="NEJ66" s="293"/>
      <x:c r="NEK66" s="293"/>
      <x:c r="NEL66" s="293"/>
      <x:c r="NEM66" s="293"/>
      <x:c r="NEN66" s="293"/>
      <x:c r="NEO66" s="293"/>
      <x:c r="NEP66" s="293"/>
      <x:c r="NEQ66" s="293"/>
      <x:c r="NER66" s="293"/>
      <x:c r="NES66" s="293"/>
      <x:c r="NET66" s="293"/>
      <x:c r="NEU66" s="293"/>
      <x:c r="NEV66" s="293"/>
      <x:c r="NEW66" s="293"/>
      <x:c r="NEX66" s="293"/>
      <x:c r="NEY66" s="293"/>
      <x:c r="NEZ66" s="293"/>
      <x:c r="NFA66" s="293"/>
      <x:c r="NFB66" s="293"/>
      <x:c r="NFC66" s="293"/>
      <x:c r="NFD66" s="293"/>
      <x:c r="NFE66" s="293"/>
      <x:c r="NFF66" s="293"/>
      <x:c r="NFG66" s="293"/>
      <x:c r="NFH66" s="293"/>
      <x:c r="NFI66" s="293"/>
      <x:c r="NFJ66" s="293"/>
      <x:c r="NFK66" s="293"/>
      <x:c r="NFL66" s="293"/>
      <x:c r="NFM66" s="293"/>
      <x:c r="NFN66" s="293"/>
      <x:c r="NFO66" s="293"/>
      <x:c r="NFP66" s="293"/>
      <x:c r="NFQ66" s="293"/>
      <x:c r="NFR66" s="293"/>
      <x:c r="NFS66" s="293"/>
      <x:c r="NFT66" s="293"/>
      <x:c r="NFU66" s="293"/>
      <x:c r="NFV66" s="293"/>
      <x:c r="NFW66" s="293"/>
      <x:c r="NFX66" s="293"/>
      <x:c r="NFY66" s="293"/>
      <x:c r="NFZ66" s="293"/>
      <x:c r="NGA66" s="293"/>
      <x:c r="NGB66" s="293"/>
      <x:c r="NGC66" s="293"/>
      <x:c r="NGD66" s="293"/>
      <x:c r="NGE66" s="293"/>
      <x:c r="NGF66" s="293"/>
      <x:c r="NGG66" s="293"/>
      <x:c r="NGH66" s="293"/>
      <x:c r="NGI66" s="293"/>
      <x:c r="NGJ66" s="293"/>
      <x:c r="NGK66" s="293"/>
      <x:c r="NGL66" s="293"/>
      <x:c r="NGM66" s="293"/>
      <x:c r="NGN66" s="293"/>
      <x:c r="NGO66" s="293"/>
      <x:c r="NGP66" s="293"/>
      <x:c r="NGQ66" s="293"/>
      <x:c r="NGR66" s="293"/>
      <x:c r="NGS66" s="293"/>
      <x:c r="NGT66" s="293"/>
      <x:c r="NGU66" s="293"/>
      <x:c r="NGV66" s="293"/>
      <x:c r="NGW66" s="293"/>
      <x:c r="NGX66" s="293"/>
      <x:c r="NGY66" s="293"/>
      <x:c r="NGZ66" s="293"/>
      <x:c r="NHA66" s="293"/>
      <x:c r="NHB66" s="293"/>
      <x:c r="NHC66" s="293"/>
      <x:c r="NHD66" s="293"/>
      <x:c r="NHE66" s="293"/>
      <x:c r="NHF66" s="293"/>
      <x:c r="NHG66" s="293"/>
      <x:c r="NHH66" s="293"/>
      <x:c r="NHI66" s="293"/>
      <x:c r="NHJ66" s="293"/>
      <x:c r="NHK66" s="293"/>
      <x:c r="NHL66" s="293"/>
      <x:c r="NHM66" s="293"/>
      <x:c r="NHN66" s="293"/>
      <x:c r="NHO66" s="293"/>
      <x:c r="NHP66" s="293"/>
      <x:c r="NHQ66" s="293"/>
      <x:c r="NHR66" s="293"/>
      <x:c r="NHS66" s="293"/>
      <x:c r="NHT66" s="293"/>
      <x:c r="NHU66" s="293"/>
      <x:c r="NHV66" s="293"/>
      <x:c r="NHW66" s="293"/>
      <x:c r="NHX66" s="293"/>
      <x:c r="NHY66" s="293"/>
      <x:c r="NHZ66" s="293"/>
      <x:c r="NIA66" s="293"/>
      <x:c r="NIB66" s="293"/>
      <x:c r="NIC66" s="293"/>
      <x:c r="NID66" s="293"/>
      <x:c r="NIE66" s="293"/>
      <x:c r="NIF66" s="293"/>
      <x:c r="NIG66" s="293"/>
      <x:c r="NIH66" s="293"/>
      <x:c r="NII66" s="293"/>
      <x:c r="NIJ66" s="293"/>
      <x:c r="NIK66" s="293"/>
      <x:c r="NIL66" s="293"/>
      <x:c r="NIM66" s="293"/>
      <x:c r="NIN66" s="293"/>
      <x:c r="NIO66" s="293"/>
      <x:c r="NIP66" s="293"/>
      <x:c r="NIQ66" s="293"/>
      <x:c r="NIR66" s="293"/>
      <x:c r="NIS66" s="293"/>
      <x:c r="NIT66" s="293"/>
      <x:c r="NIU66" s="293"/>
      <x:c r="NIV66" s="293"/>
      <x:c r="NIW66" s="293"/>
      <x:c r="NIX66" s="293"/>
      <x:c r="NIY66" s="293"/>
      <x:c r="NIZ66" s="293"/>
      <x:c r="NJA66" s="293"/>
      <x:c r="NJB66" s="293"/>
      <x:c r="NJC66" s="293"/>
      <x:c r="NJD66" s="293"/>
      <x:c r="NJE66" s="293"/>
      <x:c r="NJF66" s="293"/>
      <x:c r="NJG66" s="293"/>
      <x:c r="NJH66" s="293"/>
      <x:c r="NJI66" s="293"/>
      <x:c r="NJJ66" s="293"/>
      <x:c r="NJK66" s="293"/>
      <x:c r="NJL66" s="293"/>
      <x:c r="NJM66" s="293"/>
      <x:c r="NJN66" s="293"/>
      <x:c r="NJO66" s="293"/>
      <x:c r="NJP66" s="293"/>
      <x:c r="NJQ66" s="293"/>
      <x:c r="NJR66" s="293"/>
      <x:c r="NJS66" s="293"/>
      <x:c r="NJT66" s="293"/>
      <x:c r="NJU66" s="293"/>
      <x:c r="NJV66" s="293"/>
      <x:c r="NJW66" s="293"/>
      <x:c r="NJX66" s="293"/>
      <x:c r="NJY66" s="293"/>
      <x:c r="NJZ66" s="293"/>
      <x:c r="NKA66" s="293"/>
      <x:c r="NKB66" s="293"/>
      <x:c r="NKC66" s="293"/>
      <x:c r="NKD66" s="293"/>
      <x:c r="NKE66" s="293"/>
      <x:c r="NKF66" s="293"/>
      <x:c r="NKG66" s="293"/>
      <x:c r="NKH66" s="293"/>
      <x:c r="NKI66" s="293"/>
      <x:c r="NKJ66" s="293"/>
      <x:c r="NKK66" s="293"/>
      <x:c r="NKL66" s="293"/>
      <x:c r="NKM66" s="293"/>
      <x:c r="NKN66" s="293"/>
      <x:c r="NKO66" s="293"/>
      <x:c r="NKP66" s="293"/>
      <x:c r="NKQ66" s="293"/>
      <x:c r="NKR66" s="293"/>
      <x:c r="NKS66" s="293"/>
      <x:c r="NKT66" s="293"/>
      <x:c r="NKU66" s="293"/>
      <x:c r="NKV66" s="293"/>
      <x:c r="NKW66" s="293"/>
      <x:c r="NKX66" s="293"/>
      <x:c r="NKY66" s="293"/>
      <x:c r="NKZ66" s="293"/>
      <x:c r="NLA66" s="293"/>
      <x:c r="NLB66" s="293"/>
      <x:c r="NLC66" s="293"/>
      <x:c r="NLD66" s="293"/>
      <x:c r="NLE66" s="293"/>
      <x:c r="NLF66" s="293"/>
      <x:c r="NLG66" s="293"/>
      <x:c r="NLH66" s="293"/>
      <x:c r="NLI66" s="293"/>
      <x:c r="NLJ66" s="293"/>
      <x:c r="NLK66" s="293"/>
      <x:c r="NLL66" s="293"/>
      <x:c r="NLM66" s="293"/>
      <x:c r="NLN66" s="293"/>
      <x:c r="NLO66" s="293"/>
      <x:c r="NLP66" s="293"/>
      <x:c r="NLQ66" s="293"/>
      <x:c r="NLR66" s="293"/>
      <x:c r="NLS66" s="293"/>
      <x:c r="NLT66" s="293"/>
      <x:c r="NLU66" s="293"/>
      <x:c r="NLV66" s="293"/>
      <x:c r="NLW66" s="293"/>
      <x:c r="NLX66" s="293"/>
      <x:c r="NLY66" s="293"/>
      <x:c r="NLZ66" s="293"/>
      <x:c r="NMA66" s="293"/>
      <x:c r="NMB66" s="293"/>
      <x:c r="NMC66" s="293"/>
      <x:c r="NMD66" s="293"/>
      <x:c r="NME66" s="293"/>
      <x:c r="NMF66" s="293"/>
      <x:c r="NMG66" s="293"/>
      <x:c r="NMH66" s="293"/>
      <x:c r="NMI66" s="293"/>
      <x:c r="NMJ66" s="293"/>
      <x:c r="NMK66" s="293"/>
      <x:c r="NML66" s="293"/>
      <x:c r="NMM66" s="293"/>
      <x:c r="NMN66" s="293"/>
      <x:c r="NMO66" s="293"/>
      <x:c r="NMP66" s="293"/>
      <x:c r="NMQ66" s="293"/>
      <x:c r="NMR66" s="293"/>
      <x:c r="NMS66" s="293"/>
      <x:c r="NMT66" s="293"/>
      <x:c r="NMU66" s="293"/>
      <x:c r="NMV66" s="293"/>
      <x:c r="NMW66" s="293"/>
      <x:c r="NMX66" s="293"/>
      <x:c r="NMY66" s="293"/>
      <x:c r="NMZ66" s="293"/>
      <x:c r="NNA66" s="293"/>
      <x:c r="NNB66" s="293"/>
      <x:c r="NNC66" s="293"/>
      <x:c r="NND66" s="293"/>
      <x:c r="NNE66" s="293"/>
      <x:c r="NNF66" s="293"/>
      <x:c r="NNG66" s="293"/>
      <x:c r="NNH66" s="293"/>
      <x:c r="NNI66" s="293"/>
      <x:c r="NNJ66" s="293"/>
      <x:c r="NNK66" s="293"/>
      <x:c r="NNL66" s="293"/>
      <x:c r="NNM66" s="293"/>
      <x:c r="NNN66" s="293"/>
      <x:c r="NNO66" s="293"/>
      <x:c r="NNP66" s="293"/>
      <x:c r="NNQ66" s="293"/>
      <x:c r="NNR66" s="293"/>
      <x:c r="NNS66" s="293"/>
      <x:c r="NNT66" s="293"/>
      <x:c r="NNU66" s="293"/>
      <x:c r="NNV66" s="293"/>
      <x:c r="NNW66" s="293"/>
      <x:c r="NNX66" s="293"/>
      <x:c r="NNY66" s="293"/>
      <x:c r="NNZ66" s="293"/>
      <x:c r="NOA66" s="293"/>
      <x:c r="NOB66" s="293"/>
      <x:c r="NOC66" s="293"/>
      <x:c r="NOD66" s="293"/>
      <x:c r="NOE66" s="293"/>
      <x:c r="NOF66" s="293"/>
      <x:c r="NOG66" s="293"/>
      <x:c r="NOH66" s="293"/>
      <x:c r="NOI66" s="293"/>
      <x:c r="NOJ66" s="293"/>
      <x:c r="NOK66" s="293"/>
      <x:c r="NOL66" s="293"/>
      <x:c r="NOM66" s="293"/>
      <x:c r="NON66" s="293"/>
      <x:c r="NOO66" s="293"/>
      <x:c r="NOP66" s="293"/>
      <x:c r="NOQ66" s="293"/>
      <x:c r="NOR66" s="293"/>
      <x:c r="NOS66" s="293"/>
      <x:c r="NOT66" s="293"/>
      <x:c r="NOU66" s="293"/>
      <x:c r="NOV66" s="293"/>
      <x:c r="NOW66" s="293"/>
      <x:c r="NOX66" s="293"/>
      <x:c r="NOY66" s="293"/>
      <x:c r="NOZ66" s="293"/>
      <x:c r="NPA66" s="293"/>
      <x:c r="NPB66" s="293"/>
      <x:c r="NPC66" s="293"/>
      <x:c r="NPD66" s="293"/>
      <x:c r="NPE66" s="293"/>
      <x:c r="NPF66" s="293"/>
      <x:c r="NPG66" s="293"/>
      <x:c r="NPH66" s="293"/>
      <x:c r="NPI66" s="293"/>
      <x:c r="NPJ66" s="293"/>
      <x:c r="NPK66" s="293"/>
      <x:c r="NPL66" s="293"/>
      <x:c r="NPM66" s="293"/>
      <x:c r="NPN66" s="293"/>
      <x:c r="NPO66" s="293"/>
      <x:c r="NPP66" s="293"/>
      <x:c r="NPQ66" s="293"/>
      <x:c r="NPR66" s="293"/>
      <x:c r="NPS66" s="293"/>
      <x:c r="NPT66" s="293"/>
      <x:c r="NPU66" s="293"/>
      <x:c r="NPV66" s="293"/>
      <x:c r="NPW66" s="293"/>
      <x:c r="NPX66" s="293"/>
      <x:c r="NPY66" s="293"/>
      <x:c r="NPZ66" s="293"/>
      <x:c r="NQA66" s="293"/>
      <x:c r="NQB66" s="293"/>
      <x:c r="NQC66" s="293"/>
      <x:c r="NQD66" s="293"/>
      <x:c r="NQE66" s="293"/>
      <x:c r="NQF66" s="293"/>
      <x:c r="NQG66" s="293"/>
      <x:c r="NQH66" s="293"/>
      <x:c r="NQI66" s="293"/>
      <x:c r="NQJ66" s="293"/>
      <x:c r="NQK66" s="293"/>
      <x:c r="NQL66" s="293"/>
      <x:c r="NQM66" s="293"/>
      <x:c r="NQN66" s="293"/>
      <x:c r="NQO66" s="293"/>
      <x:c r="NQP66" s="293"/>
      <x:c r="NQQ66" s="293"/>
      <x:c r="NQR66" s="293"/>
      <x:c r="NQS66" s="293"/>
      <x:c r="NQT66" s="293"/>
      <x:c r="NQU66" s="293"/>
      <x:c r="NQV66" s="293"/>
      <x:c r="NQW66" s="293"/>
      <x:c r="NQX66" s="293"/>
      <x:c r="NQY66" s="293"/>
      <x:c r="NQZ66" s="293"/>
      <x:c r="NRA66" s="293"/>
      <x:c r="NRB66" s="293"/>
      <x:c r="NRC66" s="293"/>
      <x:c r="NRD66" s="293"/>
      <x:c r="NRE66" s="293"/>
      <x:c r="NRF66" s="293"/>
      <x:c r="NRG66" s="293"/>
      <x:c r="NRH66" s="293"/>
      <x:c r="NRI66" s="293"/>
      <x:c r="NRJ66" s="293"/>
      <x:c r="NRK66" s="293"/>
      <x:c r="NRL66" s="293"/>
      <x:c r="NRM66" s="293"/>
      <x:c r="NRN66" s="293"/>
      <x:c r="NRO66" s="293"/>
      <x:c r="NRP66" s="293"/>
      <x:c r="NRQ66" s="293"/>
      <x:c r="NRR66" s="293"/>
      <x:c r="NRS66" s="293"/>
      <x:c r="NRT66" s="293"/>
      <x:c r="NRU66" s="293"/>
      <x:c r="NRV66" s="293"/>
      <x:c r="NRW66" s="293"/>
      <x:c r="NRX66" s="293"/>
      <x:c r="NRY66" s="293"/>
      <x:c r="NRZ66" s="293"/>
      <x:c r="NSA66" s="293"/>
      <x:c r="NSB66" s="293"/>
      <x:c r="NSC66" s="293"/>
      <x:c r="NSD66" s="293"/>
      <x:c r="NSE66" s="293"/>
      <x:c r="NSF66" s="293"/>
      <x:c r="NSG66" s="293"/>
      <x:c r="NSH66" s="293"/>
      <x:c r="NSI66" s="293"/>
      <x:c r="NSJ66" s="293"/>
      <x:c r="NSK66" s="293"/>
      <x:c r="NSL66" s="293"/>
      <x:c r="NSM66" s="293"/>
      <x:c r="NSN66" s="293"/>
      <x:c r="NSO66" s="293"/>
      <x:c r="NSP66" s="293"/>
      <x:c r="NSQ66" s="293"/>
      <x:c r="NSR66" s="293"/>
      <x:c r="NSS66" s="293"/>
      <x:c r="NST66" s="293"/>
      <x:c r="NSU66" s="293"/>
      <x:c r="NSV66" s="293"/>
      <x:c r="NSW66" s="293"/>
      <x:c r="NSX66" s="293"/>
      <x:c r="NSY66" s="293"/>
      <x:c r="NSZ66" s="293"/>
      <x:c r="NTA66" s="293"/>
      <x:c r="NTB66" s="293"/>
      <x:c r="NTC66" s="293"/>
      <x:c r="NTD66" s="293"/>
      <x:c r="NTE66" s="293"/>
      <x:c r="NTF66" s="293"/>
      <x:c r="NTG66" s="293"/>
      <x:c r="NTH66" s="293"/>
      <x:c r="NTI66" s="293"/>
      <x:c r="NTJ66" s="293"/>
      <x:c r="NTK66" s="293"/>
      <x:c r="NTL66" s="293"/>
      <x:c r="NTM66" s="293"/>
      <x:c r="NTN66" s="293"/>
      <x:c r="NTO66" s="293"/>
      <x:c r="NTP66" s="293"/>
      <x:c r="NTQ66" s="293"/>
      <x:c r="NTR66" s="293"/>
      <x:c r="NTS66" s="293"/>
      <x:c r="NTT66" s="293"/>
      <x:c r="NTU66" s="293"/>
      <x:c r="NTV66" s="293"/>
      <x:c r="NTW66" s="293"/>
      <x:c r="NTX66" s="293"/>
      <x:c r="NTY66" s="293"/>
      <x:c r="NTZ66" s="293"/>
      <x:c r="NUA66" s="293"/>
      <x:c r="NUB66" s="293"/>
      <x:c r="NUC66" s="293"/>
      <x:c r="NUD66" s="293"/>
      <x:c r="NUE66" s="293"/>
      <x:c r="NUF66" s="293"/>
      <x:c r="NUG66" s="293"/>
      <x:c r="NUH66" s="293"/>
      <x:c r="NUI66" s="293"/>
      <x:c r="NUJ66" s="293"/>
      <x:c r="NUK66" s="293"/>
      <x:c r="NUL66" s="293"/>
      <x:c r="NUM66" s="293"/>
      <x:c r="NUN66" s="293"/>
      <x:c r="NUO66" s="293"/>
      <x:c r="NUP66" s="293"/>
      <x:c r="NUQ66" s="293"/>
      <x:c r="NUR66" s="293"/>
      <x:c r="NUS66" s="293"/>
      <x:c r="NUT66" s="293"/>
      <x:c r="NUU66" s="293"/>
      <x:c r="NUV66" s="293"/>
      <x:c r="NUW66" s="293"/>
      <x:c r="NUX66" s="293"/>
      <x:c r="NUY66" s="293"/>
      <x:c r="NUZ66" s="293"/>
      <x:c r="NVA66" s="293"/>
      <x:c r="NVB66" s="293"/>
      <x:c r="NVC66" s="293"/>
      <x:c r="NVD66" s="293"/>
      <x:c r="NVE66" s="293"/>
      <x:c r="NVF66" s="293"/>
      <x:c r="NVG66" s="293"/>
      <x:c r="NVH66" s="293"/>
      <x:c r="NVI66" s="293"/>
      <x:c r="NVJ66" s="293"/>
      <x:c r="NVK66" s="293"/>
      <x:c r="NVL66" s="293"/>
      <x:c r="NVM66" s="293"/>
      <x:c r="NVN66" s="293"/>
      <x:c r="NVO66" s="293"/>
      <x:c r="NVP66" s="293"/>
      <x:c r="NVQ66" s="293"/>
      <x:c r="NVR66" s="293"/>
      <x:c r="NVS66" s="293"/>
      <x:c r="NVT66" s="293"/>
      <x:c r="NVU66" s="293"/>
      <x:c r="NVV66" s="293"/>
      <x:c r="NVW66" s="293"/>
      <x:c r="NVX66" s="293"/>
      <x:c r="NVY66" s="293"/>
      <x:c r="NVZ66" s="293"/>
      <x:c r="NWA66" s="293"/>
      <x:c r="NWB66" s="293"/>
      <x:c r="NWC66" s="293"/>
      <x:c r="NWD66" s="293"/>
      <x:c r="NWE66" s="293"/>
      <x:c r="NWF66" s="293"/>
      <x:c r="NWG66" s="293"/>
      <x:c r="NWH66" s="293"/>
      <x:c r="NWI66" s="293"/>
      <x:c r="NWJ66" s="293"/>
      <x:c r="NWK66" s="293"/>
      <x:c r="NWL66" s="293"/>
      <x:c r="NWM66" s="293"/>
      <x:c r="NWN66" s="293"/>
      <x:c r="NWO66" s="293"/>
      <x:c r="NWP66" s="293"/>
      <x:c r="NWQ66" s="293"/>
      <x:c r="NWR66" s="293"/>
      <x:c r="NWS66" s="293"/>
      <x:c r="NWT66" s="293"/>
      <x:c r="NWU66" s="293"/>
      <x:c r="NWV66" s="293"/>
      <x:c r="NWW66" s="293"/>
      <x:c r="NWX66" s="293"/>
      <x:c r="NWY66" s="293"/>
      <x:c r="NWZ66" s="293"/>
      <x:c r="NXA66" s="293"/>
      <x:c r="NXB66" s="293"/>
      <x:c r="NXC66" s="293"/>
      <x:c r="NXD66" s="293"/>
      <x:c r="NXE66" s="293"/>
      <x:c r="NXF66" s="293"/>
      <x:c r="NXG66" s="293"/>
      <x:c r="NXH66" s="293"/>
      <x:c r="NXI66" s="293"/>
      <x:c r="NXJ66" s="293"/>
      <x:c r="NXK66" s="293"/>
      <x:c r="NXL66" s="293"/>
      <x:c r="NXM66" s="293"/>
      <x:c r="NXN66" s="293"/>
      <x:c r="NXO66" s="293"/>
      <x:c r="NXP66" s="293"/>
      <x:c r="NXQ66" s="293"/>
      <x:c r="NXR66" s="293"/>
      <x:c r="NXS66" s="293"/>
      <x:c r="NXT66" s="293"/>
      <x:c r="NXU66" s="293"/>
      <x:c r="NXV66" s="293"/>
      <x:c r="NXW66" s="293"/>
      <x:c r="NXX66" s="293"/>
      <x:c r="NXY66" s="293"/>
      <x:c r="NXZ66" s="293"/>
      <x:c r="NYA66" s="293"/>
      <x:c r="NYB66" s="293"/>
      <x:c r="NYC66" s="293"/>
      <x:c r="NYD66" s="293"/>
      <x:c r="NYE66" s="293"/>
      <x:c r="NYF66" s="293"/>
      <x:c r="NYG66" s="293"/>
      <x:c r="NYH66" s="293"/>
      <x:c r="NYI66" s="293"/>
      <x:c r="NYJ66" s="293"/>
      <x:c r="NYK66" s="293"/>
      <x:c r="NYL66" s="293"/>
      <x:c r="NYM66" s="293"/>
      <x:c r="NYN66" s="293"/>
      <x:c r="NYO66" s="293"/>
      <x:c r="NYP66" s="293"/>
      <x:c r="NYQ66" s="293"/>
      <x:c r="NYR66" s="293"/>
      <x:c r="NYS66" s="293"/>
      <x:c r="NYT66" s="293"/>
      <x:c r="NYU66" s="293"/>
      <x:c r="NYV66" s="293"/>
      <x:c r="NYW66" s="293"/>
      <x:c r="NYX66" s="293"/>
      <x:c r="NYY66" s="293"/>
      <x:c r="NYZ66" s="293"/>
      <x:c r="NZA66" s="293"/>
      <x:c r="NZB66" s="293"/>
      <x:c r="NZC66" s="293"/>
      <x:c r="NZD66" s="293"/>
      <x:c r="NZE66" s="293"/>
      <x:c r="NZF66" s="293"/>
      <x:c r="NZG66" s="293"/>
      <x:c r="NZH66" s="293"/>
      <x:c r="NZI66" s="293"/>
      <x:c r="NZJ66" s="293"/>
      <x:c r="NZK66" s="293"/>
      <x:c r="NZL66" s="293"/>
      <x:c r="NZM66" s="293"/>
      <x:c r="NZN66" s="293"/>
      <x:c r="NZO66" s="293"/>
      <x:c r="NZP66" s="293"/>
      <x:c r="NZQ66" s="293"/>
      <x:c r="NZR66" s="293"/>
      <x:c r="NZS66" s="293"/>
      <x:c r="NZT66" s="293"/>
      <x:c r="NZU66" s="293"/>
      <x:c r="NZV66" s="293"/>
      <x:c r="NZW66" s="293"/>
      <x:c r="NZX66" s="293"/>
      <x:c r="NZY66" s="293"/>
      <x:c r="NZZ66" s="293"/>
      <x:c r="OAA66" s="293"/>
      <x:c r="OAB66" s="293"/>
      <x:c r="OAC66" s="293"/>
      <x:c r="OAD66" s="293"/>
      <x:c r="OAE66" s="293"/>
      <x:c r="OAF66" s="293"/>
      <x:c r="OAG66" s="293"/>
      <x:c r="OAH66" s="293"/>
      <x:c r="OAI66" s="293"/>
      <x:c r="OAJ66" s="293"/>
      <x:c r="OAK66" s="293"/>
      <x:c r="OAL66" s="293"/>
      <x:c r="OAM66" s="293"/>
      <x:c r="OAN66" s="293"/>
      <x:c r="OAO66" s="293"/>
      <x:c r="OAP66" s="293"/>
      <x:c r="OAQ66" s="293"/>
      <x:c r="OAR66" s="293"/>
      <x:c r="OAS66" s="293"/>
      <x:c r="OAT66" s="293"/>
      <x:c r="OAU66" s="293"/>
      <x:c r="OAV66" s="293"/>
      <x:c r="OAW66" s="293"/>
      <x:c r="OAX66" s="293"/>
      <x:c r="OAY66" s="293"/>
      <x:c r="OAZ66" s="293"/>
      <x:c r="OBA66" s="293"/>
      <x:c r="OBB66" s="293"/>
      <x:c r="OBC66" s="293"/>
      <x:c r="OBD66" s="293"/>
      <x:c r="OBE66" s="293"/>
      <x:c r="OBF66" s="293"/>
      <x:c r="OBG66" s="293"/>
      <x:c r="OBH66" s="293"/>
      <x:c r="OBI66" s="293"/>
      <x:c r="OBJ66" s="293"/>
      <x:c r="OBK66" s="293"/>
      <x:c r="OBL66" s="293"/>
      <x:c r="OBM66" s="293"/>
      <x:c r="OBN66" s="293"/>
      <x:c r="OBO66" s="293"/>
      <x:c r="OBP66" s="293"/>
      <x:c r="OBQ66" s="293"/>
      <x:c r="OBR66" s="293"/>
      <x:c r="OBS66" s="293"/>
      <x:c r="OBT66" s="293"/>
      <x:c r="OBU66" s="293"/>
      <x:c r="OBV66" s="293"/>
      <x:c r="OBW66" s="293"/>
      <x:c r="OBX66" s="293"/>
      <x:c r="OBY66" s="293"/>
      <x:c r="OBZ66" s="293"/>
      <x:c r="OCA66" s="293"/>
      <x:c r="OCB66" s="293"/>
      <x:c r="OCC66" s="293"/>
      <x:c r="OCD66" s="293"/>
      <x:c r="OCE66" s="293"/>
      <x:c r="OCF66" s="293"/>
      <x:c r="OCG66" s="293"/>
      <x:c r="OCH66" s="293"/>
      <x:c r="OCI66" s="293"/>
      <x:c r="OCJ66" s="293"/>
      <x:c r="OCK66" s="293"/>
      <x:c r="OCL66" s="293"/>
      <x:c r="OCM66" s="293"/>
      <x:c r="OCN66" s="293"/>
      <x:c r="OCO66" s="293"/>
      <x:c r="OCP66" s="293"/>
      <x:c r="OCQ66" s="293"/>
      <x:c r="OCR66" s="293"/>
      <x:c r="OCS66" s="293"/>
      <x:c r="OCT66" s="293"/>
      <x:c r="OCU66" s="293"/>
      <x:c r="OCV66" s="293"/>
      <x:c r="OCW66" s="293"/>
      <x:c r="OCX66" s="293"/>
      <x:c r="OCY66" s="293"/>
      <x:c r="OCZ66" s="293"/>
      <x:c r="ODA66" s="293"/>
      <x:c r="ODB66" s="293"/>
      <x:c r="ODC66" s="293"/>
      <x:c r="ODD66" s="293"/>
      <x:c r="ODE66" s="293"/>
      <x:c r="ODF66" s="293"/>
      <x:c r="ODG66" s="293"/>
      <x:c r="ODH66" s="293"/>
      <x:c r="ODI66" s="293"/>
      <x:c r="ODJ66" s="293"/>
      <x:c r="ODK66" s="293"/>
      <x:c r="ODL66" s="293"/>
      <x:c r="ODM66" s="293"/>
      <x:c r="ODN66" s="293"/>
      <x:c r="ODO66" s="293"/>
      <x:c r="ODP66" s="293"/>
      <x:c r="ODQ66" s="293"/>
      <x:c r="ODR66" s="293"/>
      <x:c r="ODS66" s="293"/>
      <x:c r="ODT66" s="293"/>
      <x:c r="ODU66" s="293"/>
      <x:c r="ODV66" s="293"/>
      <x:c r="ODW66" s="293"/>
      <x:c r="ODX66" s="293"/>
      <x:c r="ODY66" s="293"/>
      <x:c r="ODZ66" s="293"/>
      <x:c r="OEA66" s="293"/>
      <x:c r="OEB66" s="293"/>
      <x:c r="OEC66" s="293"/>
      <x:c r="OED66" s="293"/>
      <x:c r="OEE66" s="293"/>
      <x:c r="OEF66" s="293"/>
      <x:c r="OEG66" s="293"/>
      <x:c r="OEH66" s="293"/>
      <x:c r="OEI66" s="293"/>
      <x:c r="OEJ66" s="293"/>
      <x:c r="OEK66" s="293"/>
      <x:c r="OEL66" s="293"/>
      <x:c r="OEM66" s="293"/>
      <x:c r="OEN66" s="293"/>
      <x:c r="OEO66" s="293"/>
      <x:c r="OEP66" s="293"/>
      <x:c r="OEQ66" s="293"/>
      <x:c r="OER66" s="293"/>
      <x:c r="OES66" s="293"/>
      <x:c r="OET66" s="293"/>
      <x:c r="OEU66" s="293"/>
      <x:c r="OEV66" s="293"/>
      <x:c r="OEW66" s="293"/>
      <x:c r="OEX66" s="293"/>
      <x:c r="OEY66" s="293"/>
      <x:c r="OEZ66" s="293"/>
      <x:c r="OFA66" s="293"/>
      <x:c r="OFB66" s="293"/>
      <x:c r="OFC66" s="293"/>
      <x:c r="OFD66" s="293"/>
      <x:c r="OFE66" s="293"/>
      <x:c r="OFF66" s="293"/>
      <x:c r="OFG66" s="293"/>
      <x:c r="OFH66" s="293"/>
      <x:c r="OFI66" s="293"/>
      <x:c r="OFJ66" s="293"/>
      <x:c r="OFK66" s="293"/>
      <x:c r="OFL66" s="293"/>
      <x:c r="OFM66" s="293"/>
      <x:c r="OFN66" s="293"/>
      <x:c r="OFO66" s="293"/>
      <x:c r="OFP66" s="293"/>
      <x:c r="OFQ66" s="293"/>
      <x:c r="OFR66" s="293"/>
      <x:c r="OFS66" s="293"/>
      <x:c r="OFT66" s="293"/>
      <x:c r="OFU66" s="293"/>
      <x:c r="OFV66" s="293"/>
      <x:c r="OFW66" s="293"/>
      <x:c r="OFX66" s="293"/>
      <x:c r="OFY66" s="293"/>
      <x:c r="OFZ66" s="293"/>
      <x:c r="OGA66" s="293"/>
      <x:c r="OGB66" s="293"/>
      <x:c r="OGC66" s="293"/>
      <x:c r="OGD66" s="293"/>
      <x:c r="OGE66" s="293"/>
      <x:c r="OGF66" s="293"/>
      <x:c r="OGG66" s="293"/>
      <x:c r="OGH66" s="293"/>
      <x:c r="OGI66" s="293"/>
      <x:c r="OGJ66" s="293"/>
      <x:c r="OGK66" s="293"/>
      <x:c r="OGL66" s="293"/>
      <x:c r="OGM66" s="293"/>
      <x:c r="OGN66" s="293"/>
      <x:c r="OGO66" s="293"/>
      <x:c r="OGP66" s="293"/>
      <x:c r="OGQ66" s="293"/>
      <x:c r="OGR66" s="293"/>
      <x:c r="OGS66" s="293"/>
      <x:c r="OGT66" s="293"/>
      <x:c r="OGU66" s="293"/>
      <x:c r="OGV66" s="293"/>
      <x:c r="OGW66" s="293"/>
      <x:c r="OGX66" s="293"/>
      <x:c r="OGY66" s="293"/>
      <x:c r="OGZ66" s="293"/>
      <x:c r="OHA66" s="293"/>
      <x:c r="OHB66" s="293"/>
      <x:c r="OHC66" s="293"/>
      <x:c r="OHD66" s="293"/>
      <x:c r="OHE66" s="293"/>
      <x:c r="OHF66" s="293"/>
      <x:c r="OHG66" s="293"/>
      <x:c r="OHH66" s="293"/>
      <x:c r="OHI66" s="293"/>
      <x:c r="OHJ66" s="293"/>
      <x:c r="OHK66" s="293"/>
      <x:c r="OHL66" s="293"/>
      <x:c r="OHM66" s="293"/>
      <x:c r="OHN66" s="293"/>
      <x:c r="OHO66" s="293"/>
      <x:c r="OHP66" s="293"/>
      <x:c r="OHQ66" s="293"/>
      <x:c r="OHR66" s="293"/>
      <x:c r="OHS66" s="293"/>
      <x:c r="OHT66" s="293"/>
      <x:c r="OHU66" s="293"/>
      <x:c r="OHV66" s="293"/>
      <x:c r="OHW66" s="293"/>
      <x:c r="OHX66" s="293"/>
      <x:c r="OHY66" s="293"/>
      <x:c r="OHZ66" s="293"/>
      <x:c r="OIA66" s="293"/>
      <x:c r="OIB66" s="293"/>
      <x:c r="OIC66" s="293"/>
      <x:c r="OID66" s="293"/>
      <x:c r="OIE66" s="293"/>
      <x:c r="OIF66" s="293"/>
      <x:c r="OIG66" s="293"/>
      <x:c r="OIH66" s="293"/>
      <x:c r="OII66" s="293"/>
      <x:c r="OIJ66" s="293"/>
      <x:c r="OIK66" s="293"/>
      <x:c r="OIL66" s="293"/>
      <x:c r="OIM66" s="293"/>
      <x:c r="OIN66" s="293"/>
      <x:c r="OIO66" s="293"/>
      <x:c r="OIP66" s="293"/>
      <x:c r="OIQ66" s="293"/>
      <x:c r="OIR66" s="293"/>
      <x:c r="OIS66" s="293"/>
      <x:c r="OIT66" s="293"/>
      <x:c r="OIU66" s="293"/>
      <x:c r="OIV66" s="293"/>
      <x:c r="OIW66" s="293"/>
      <x:c r="OIX66" s="293"/>
      <x:c r="OIY66" s="293"/>
      <x:c r="OIZ66" s="293"/>
      <x:c r="OJA66" s="293"/>
      <x:c r="OJB66" s="293"/>
      <x:c r="OJC66" s="293"/>
      <x:c r="OJD66" s="293"/>
      <x:c r="OJE66" s="293"/>
      <x:c r="OJF66" s="293"/>
      <x:c r="OJG66" s="293"/>
      <x:c r="OJH66" s="293"/>
      <x:c r="OJI66" s="293"/>
      <x:c r="OJJ66" s="293"/>
      <x:c r="OJK66" s="293"/>
      <x:c r="OJL66" s="293"/>
      <x:c r="OJM66" s="293"/>
      <x:c r="OJN66" s="293"/>
      <x:c r="OJO66" s="293"/>
      <x:c r="OJP66" s="293"/>
      <x:c r="OJQ66" s="293"/>
      <x:c r="OJR66" s="293"/>
      <x:c r="OJS66" s="293"/>
      <x:c r="OJT66" s="293"/>
      <x:c r="OJU66" s="293"/>
      <x:c r="OJV66" s="293"/>
      <x:c r="OJW66" s="293"/>
      <x:c r="OJX66" s="293"/>
      <x:c r="OJY66" s="293"/>
      <x:c r="OJZ66" s="293"/>
      <x:c r="OKA66" s="293"/>
      <x:c r="OKB66" s="293"/>
      <x:c r="OKC66" s="293"/>
      <x:c r="OKD66" s="293"/>
      <x:c r="OKE66" s="293"/>
      <x:c r="OKF66" s="293"/>
      <x:c r="OKG66" s="293"/>
      <x:c r="OKH66" s="293"/>
      <x:c r="OKI66" s="293"/>
      <x:c r="OKJ66" s="293"/>
      <x:c r="OKK66" s="293"/>
      <x:c r="OKL66" s="293"/>
      <x:c r="OKM66" s="293"/>
      <x:c r="OKN66" s="293"/>
      <x:c r="OKO66" s="293"/>
      <x:c r="OKP66" s="293"/>
      <x:c r="OKQ66" s="293"/>
      <x:c r="OKR66" s="293"/>
      <x:c r="OKS66" s="293"/>
      <x:c r="OKT66" s="293"/>
      <x:c r="OKU66" s="293"/>
      <x:c r="OKV66" s="293"/>
      <x:c r="OKW66" s="293"/>
      <x:c r="OKX66" s="293"/>
      <x:c r="OKY66" s="293"/>
      <x:c r="OKZ66" s="293"/>
      <x:c r="OLA66" s="293"/>
      <x:c r="OLB66" s="293"/>
      <x:c r="OLC66" s="293"/>
      <x:c r="OLD66" s="293"/>
      <x:c r="OLE66" s="293"/>
      <x:c r="OLF66" s="293"/>
      <x:c r="OLG66" s="293"/>
      <x:c r="OLH66" s="293"/>
      <x:c r="OLI66" s="293"/>
      <x:c r="OLJ66" s="293"/>
      <x:c r="OLK66" s="293"/>
      <x:c r="OLL66" s="293"/>
      <x:c r="OLM66" s="293"/>
      <x:c r="OLN66" s="293"/>
      <x:c r="OLO66" s="293"/>
      <x:c r="OLP66" s="293"/>
      <x:c r="OLQ66" s="293"/>
      <x:c r="OLR66" s="293"/>
      <x:c r="OLS66" s="293"/>
      <x:c r="OLT66" s="293"/>
      <x:c r="OLU66" s="293"/>
      <x:c r="OLV66" s="293"/>
      <x:c r="OLW66" s="293"/>
      <x:c r="OLX66" s="293"/>
      <x:c r="OLY66" s="293"/>
      <x:c r="OLZ66" s="293"/>
      <x:c r="OMA66" s="293"/>
      <x:c r="OMB66" s="293"/>
      <x:c r="OMC66" s="293"/>
      <x:c r="OMD66" s="293"/>
      <x:c r="OME66" s="293"/>
      <x:c r="OMF66" s="293"/>
      <x:c r="OMG66" s="293"/>
      <x:c r="OMH66" s="293"/>
      <x:c r="OMI66" s="293"/>
      <x:c r="OMJ66" s="293"/>
      <x:c r="OMK66" s="293"/>
      <x:c r="OML66" s="293"/>
      <x:c r="OMM66" s="293"/>
      <x:c r="OMN66" s="293"/>
      <x:c r="OMO66" s="293"/>
      <x:c r="OMP66" s="293"/>
      <x:c r="OMQ66" s="293"/>
      <x:c r="OMR66" s="293"/>
      <x:c r="OMS66" s="293"/>
      <x:c r="OMT66" s="293"/>
      <x:c r="OMU66" s="293"/>
      <x:c r="OMV66" s="293"/>
      <x:c r="OMW66" s="293"/>
      <x:c r="OMX66" s="293"/>
      <x:c r="OMY66" s="293"/>
      <x:c r="OMZ66" s="293"/>
      <x:c r="ONA66" s="293"/>
      <x:c r="ONB66" s="293"/>
      <x:c r="ONC66" s="293"/>
      <x:c r="OND66" s="293"/>
      <x:c r="ONE66" s="293"/>
      <x:c r="ONF66" s="293"/>
      <x:c r="ONG66" s="293"/>
      <x:c r="ONH66" s="293"/>
      <x:c r="ONI66" s="293"/>
      <x:c r="ONJ66" s="293"/>
      <x:c r="ONK66" s="293"/>
      <x:c r="ONL66" s="293"/>
      <x:c r="ONM66" s="293"/>
      <x:c r="ONN66" s="293"/>
      <x:c r="ONO66" s="293"/>
      <x:c r="ONP66" s="293"/>
      <x:c r="ONQ66" s="293"/>
      <x:c r="ONR66" s="293"/>
      <x:c r="ONS66" s="293"/>
      <x:c r="ONT66" s="293"/>
      <x:c r="ONU66" s="293"/>
      <x:c r="ONV66" s="293"/>
      <x:c r="ONW66" s="293"/>
      <x:c r="ONX66" s="293"/>
      <x:c r="ONY66" s="293"/>
      <x:c r="ONZ66" s="293"/>
      <x:c r="OOA66" s="293"/>
      <x:c r="OOB66" s="293"/>
      <x:c r="OOC66" s="293"/>
      <x:c r="OOD66" s="293"/>
      <x:c r="OOE66" s="293"/>
      <x:c r="OOF66" s="293"/>
      <x:c r="OOG66" s="293"/>
      <x:c r="OOH66" s="293"/>
      <x:c r="OOI66" s="293"/>
      <x:c r="OOJ66" s="293"/>
      <x:c r="OOK66" s="293"/>
      <x:c r="OOL66" s="293"/>
      <x:c r="OOM66" s="293"/>
      <x:c r="OON66" s="293"/>
      <x:c r="OOO66" s="293"/>
      <x:c r="OOP66" s="293"/>
      <x:c r="OOQ66" s="293"/>
      <x:c r="OOR66" s="293"/>
      <x:c r="OOS66" s="293"/>
      <x:c r="OOT66" s="293"/>
      <x:c r="OOU66" s="293"/>
      <x:c r="OOV66" s="293"/>
      <x:c r="OOW66" s="293"/>
      <x:c r="OOX66" s="293"/>
      <x:c r="OOY66" s="293"/>
      <x:c r="OOZ66" s="293"/>
      <x:c r="OPA66" s="293"/>
      <x:c r="OPB66" s="293"/>
      <x:c r="OPC66" s="293"/>
      <x:c r="OPD66" s="293"/>
      <x:c r="OPE66" s="293"/>
      <x:c r="OPF66" s="293"/>
      <x:c r="OPG66" s="293"/>
      <x:c r="OPH66" s="293"/>
      <x:c r="OPI66" s="293"/>
      <x:c r="OPJ66" s="293"/>
      <x:c r="OPK66" s="293"/>
      <x:c r="OPL66" s="293"/>
      <x:c r="OPM66" s="293"/>
      <x:c r="OPN66" s="293"/>
      <x:c r="OPO66" s="293"/>
      <x:c r="OPP66" s="293"/>
      <x:c r="OPQ66" s="293"/>
      <x:c r="OPR66" s="293"/>
      <x:c r="OPS66" s="293"/>
      <x:c r="OPT66" s="293"/>
      <x:c r="OPU66" s="293"/>
      <x:c r="OPV66" s="293"/>
      <x:c r="OPW66" s="293"/>
      <x:c r="OPX66" s="293"/>
      <x:c r="OPY66" s="293"/>
      <x:c r="OPZ66" s="293"/>
      <x:c r="OQA66" s="293"/>
      <x:c r="OQB66" s="293"/>
      <x:c r="OQC66" s="293"/>
      <x:c r="OQD66" s="293"/>
      <x:c r="OQE66" s="293"/>
      <x:c r="OQF66" s="293"/>
      <x:c r="OQG66" s="293"/>
      <x:c r="OQH66" s="293"/>
      <x:c r="OQI66" s="293"/>
      <x:c r="OQJ66" s="293"/>
      <x:c r="OQK66" s="293"/>
      <x:c r="OQL66" s="293"/>
      <x:c r="OQM66" s="293"/>
      <x:c r="OQN66" s="293"/>
      <x:c r="OQO66" s="293"/>
      <x:c r="OQP66" s="293"/>
      <x:c r="OQQ66" s="293"/>
      <x:c r="OQR66" s="293"/>
      <x:c r="OQS66" s="293"/>
      <x:c r="OQT66" s="293"/>
      <x:c r="OQU66" s="293"/>
      <x:c r="OQV66" s="293"/>
      <x:c r="OQW66" s="293"/>
      <x:c r="OQX66" s="293"/>
      <x:c r="OQY66" s="293"/>
      <x:c r="OQZ66" s="293"/>
      <x:c r="ORA66" s="293"/>
      <x:c r="ORB66" s="293"/>
      <x:c r="ORC66" s="293"/>
      <x:c r="ORD66" s="293"/>
      <x:c r="ORE66" s="293"/>
      <x:c r="ORF66" s="293"/>
      <x:c r="ORG66" s="293"/>
      <x:c r="ORH66" s="293"/>
      <x:c r="ORI66" s="293"/>
      <x:c r="ORJ66" s="293"/>
      <x:c r="ORK66" s="293"/>
      <x:c r="ORL66" s="293"/>
      <x:c r="ORM66" s="293"/>
      <x:c r="ORN66" s="293"/>
      <x:c r="ORO66" s="293"/>
      <x:c r="ORP66" s="293"/>
      <x:c r="ORQ66" s="293"/>
      <x:c r="ORR66" s="293"/>
      <x:c r="ORS66" s="293"/>
      <x:c r="ORT66" s="293"/>
      <x:c r="ORU66" s="293"/>
      <x:c r="ORV66" s="293"/>
      <x:c r="ORW66" s="293"/>
      <x:c r="ORX66" s="293"/>
      <x:c r="ORY66" s="293"/>
      <x:c r="ORZ66" s="293"/>
      <x:c r="OSA66" s="293"/>
      <x:c r="OSB66" s="293"/>
      <x:c r="OSC66" s="293"/>
      <x:c r="OSD66" s="293"/>
      <x:c r="OSE66" s="293"/>
      <x:c r="OSF66" s="293"/>
      <x:c r="OSG66" s="293"/>
      <x:c r="OSH66" s="293"/>
      <x:c r="OSI66" s="293"/>
      <x:c r="OSJ66" s="293"/>
      <x:c r="OSK66" s="293"/>
      <x:c r="OSL66" s="293"/>
      <x:c r="OSM66" s="293"/>
      <x:c r="OSN66" s="293"/>
      <x:c r="OSO66" s="293"/>
      <x:c r="OSP66" s="293"/>
      <x:c r="OSQ66" s="293"/>
      <x:c r="OSR66" s="293"/>
      <x:c r="OSS66" s="293"/>
      <x:c r="OST66" s="293"/>
      <x:c r="OSU66" s="293"/>
      <x:c r="OSV66" s="293"/>
      <x:c r="OSW66" s="293"/>
      <x:c r="OSX66" s="293"/>
      <x:c r="OSY66" s="293"/>
      <x:c r="OSZ66" s="293"/>
      <x:c r="OTA66" s="293"/>
      <x:c r="OTB66" s="293"/>
      <x:c r="OTC66" s="293"/>
      <x:c r="OTD66" s="293"/>
      <x:c r="OTE66" s="293"/>
      <x:c r="OTF66" s="293"/>
      <x:c r="OTG66" s="293"/>
      <x:c r="OTH66" s="293"/>
      <x:c r="OTI66" s="293"/>
      <x:c r="OTJ66" s="293"/>
      <x:c r="OTK66" s="293"/>
      <x:c r="OTL66" s="293"/>
      <x:c r="OTM66" s="293"/>
      <x:c r="OTN66" s="293"/>
      <x:c r="OTO66" s="293"/>
      <x:c r="OTP66" s="293"/>
      <x:c r="OTQ66" s="293"/>
      <x:c r="OTR66" s="293"/>
      <x:c r="OTS66" s="293"/>
      <x:c r="OTT66" s="293"/>
      <x:c r="OTU66" s="293"/>
      <x:c r="OTV66" s="293"/>
      <x:c r="OTW66" s="293"/>
      <x:c r="OTX66" s="293"/>
      <x:c r="OTY66" s="293"/>
      <x:c r="OTZ66" s="293"/>
      <x:c r="OUA66" s="293"/>
      <x:c r="OUB66" s="293"/>
      <x:c r="OUC66" s="293"/>
      <x:c r="OUD66" s="293"/>
      <x:c r="OUE66" s="293"/>
      <x:c r="OUF66" s="293"/>
      <x:c r="OUG66" s="293"/>
      <x:c r="OUH66" s="293"/>
      <x:c r="OUI66" s="293"/>
      <x:c r="OUJ66" s="293"/>
      <x:c r="OUK66" s="293"/>
      <x:c r="OUL66" s="293"/>
      <x:c r="OUM66" s="293"/>
      <x:c r="OUN66" s="293"/>
      <x:c r="OUO66" s="293"/>
      <x:c r="OUP66" s="293"/>
      <x:c r="OUQ66" s="293"/>
      <x:c r="OUR66" s="293"/>
      <x:c r="OUS66" s="293"/>
      <x:c r="OUT66" s="293"/>
      <x:c r="OUU66" s="293"/>
      <x:c r="OUV66" s="293"/>
      <x:c r="OUW66" s="293"/>
      <x:c r="OUX66" s="293"/>
      <x:c r="OUY66" s="293"/>
      <x:c r="OUZ66" s="293"/>
      <x:c r="OVA66" s="293"/>
      <x:c r="OVB66" s="293"/>
      <x:c r="OVC66" s="293"/>
      <x:c r="OVD66" s="293"/>
      <x:c r="OVE66" s="293"/>
      <x:c r="OVF66" s="293"/>
      <x:c r="OVG66" s="293"/>
      <x:c r="OVH66" s="293"/>
      <x:c r="OVI66" s="293"/>
      <x:c r="OVJ66" s="293"/>
      <x:c r="OVK66" s="293"/>
      <x:c r="OVL66" s="293"/>
      <x:c r="OVM66" s="293"/>
      <x:c r="OVN66" s="293"/>
      <x:c r="OVO66" s="293"/>
      <x:c r="OVP66" s="293"/>
      <x:c r="OVQ66" s="293"/>
      <x:c r="OVR66" s="293"/>
      <x:c r="OVS66" s="293"/>
      <x:c r="OVT66" s="293"/>
      <x:c r="OVU66" s="293"/>
      <x:c r="OVV66" s="293"/>
      <x:c r="OVW66" s="293"/>
      <x:c r="OVX66" s="293"/>
      <x:c r="OVY66" s="293"/>
      <x:c r="OVZ66" s="293"/>
      <x:c r="OWA66" s="293"/>
      <x:c r="OWB66" s="293"/>
      <x:c r="OWC66" s="293"/>
      <x:c r="OWD66" s="293"/>
      <x:c r="OWE66" s="293"/>
      <x:c r="OWF66" s="293"/>
      <x:c r="OWG66" s="293"/>
      <x:c r="OWH66" s="293"/>
      <x:c r="OWI66" s="293"/>
      <x:c r="OWJ66" s="293"/>
      <x:c r="OWK66" s="293"/>
      <x:c r="OWL66" s="293"/>
      <x:c r="OWM66" s="293"/>
      <x:c r="OWN66" s="293"/>
      <x:c r="OWO66" s="293"/>
      <x:c r="OWP66" s="293"/>
      <x:c r="OWQ66" s="293"/>
      <x:c r="OWR66" s="293"/>
      <x:c r="OWS66" s="293"/>
      <x:c r="OWT66" s="293"/>
      <x:c r="OWU66" s="293"/>
      <x:c r="OWV66" s="293"/>
      <x:c r="OWW66" s="293"/>
      <x:c r="OWX66" s="293"/>
      <x:c r="OWY66" s="293"/>
      <x:c r="OWZ66" s="293"/>
      <x:c r="OXA66" s="293"/>
      <x:c r="OXB66" s="293"/>
      <x:c r="OXC66" s="293"/>
      <x:c r="OXD66" s="293"/>
      <x:c r="OXE66" s="293"/>
      <x:c r="OXF66" s="293"/>
      <x:c r="OXG66" s="293"/>
      <x:c r="OXH66" s="293"/>
      <x:c r="OXI66" s="293"/>
      <x:c r="OXJ66" s="293"/>
      <x:c r="OXK66" s="293"/>
      <x:c r="OXL66" s="293"/>
      <x:c r="OXM66" s="293"/>
      <x:c r="OXN66" s="293"/>
      <x:c r="OXO66" s="293"/>
      <x:c r="OXP66" s="293"/>
      <x:c r="OXQ66" s="293"/>
      <x:c r="OXR66" s="293"/>
      <x:c r="OXS66" s="293"/>
      <x:c r="OXT66" s="293"/>
      <x:c r="OXU66" s="293"/>
      <x:c r="OXV66" s="293"/>
      <x:c r="OXW66" s="293"/>
      <x:c r="OXX66" s="293"/>
      <x:c r="OXY66" s="293"/>
      <x:c r="OXZ66" s="293"/>
      <x:c r="OYA66" s="293"/>
      <x:c r="OYB66" s="293"/>
      <x:c r="OYC66" s="293"/>
      <x:c r="OYD66" s="293"/>
      <x:c r="OYE66" s="293"/>
      <x:c r="OYF66" s="293"/>
      <x:c r="OYG66" s="293"/>
      <x:c r="OYH66" s="293"/>
      <x:c r="OYI66" s="293"/>
      <x:c r="OYJ66" s="293"/>
      <x:c r="OYK66" s="293"/>
      <x:c r="OYL66" s="293"/>
      <x:c r="OYM66" s="293"/>
      <x:c r="OYN66" s="293"/>
      <x:c r="OYO66" s="293"/>
      <x:c r="OYP66" s="293"/>
      <x:c r="OYQ66" s="293"/>
      <x:c r="OYR66" s="293"/>
      <x:c r="OYS66" s="293"/>
      <x:c r="OYT66" s="293"/>
      <x:c r="OYU66" s="293"/>
      <x:c r="OYV66" s="293"/>
      <x:c r="OYW66" s="293"/>
      <x:c r="OYX66" s="293"/>
      <x:c r="OYY66" s="293"/>
      <x:c r="OYZ66" s="293"/>
      <x:c r="OZA66" s="293"/>
      <x:c r="OZB66" s="293"/>
      <x:c r="OZC66" s="293"/>
      <x:c r="OZD66" s="293"/>
      <x:c r="OZE66" s="293"/>
      <x:c r="OZF66" s="293"/>
      <x:c r="OZG66" s="293"/>
      <x:c r="OZH66" s="293"/>
      <x:c r="OZI66" s="293"/>
      <x:c r="OZJ66" s="293"/>
      <x:c r="OZK66" s="293"/>
      <x:c r="OZL66" s="293"/>
      <x:c r="OZM66" s="293"/>
      <x:c r="OZN66" s="293"/>
      <x:c r="OZO66" s="293"/>
      <x:c r="OZP66" s="293"/>
      <x:c r="OZQ66" s="293"/>
      <x:c r="OZR66" s="293"/>
      <x:c r="OZS66" s="293"/>
      <x:c r="OZT66" s="293"/>
      <x:c r="OZU66" s="293"/>
      <x:c r="OZV66" s="293"/>
      <x:c r="OZW66" s="293"/>
      <x:c r="OZX66" s="293"/>
      <x:c r="OZY66" s="293"/>
      <x:c r="OZZ66" s="293"/>
      <x:c r="PAA66" s="293"/>
      <x:c r="PAB66" s="293"/>
      <x:c r="PAC66" s="293"/>
      <x:c r="PAD66" s="293"/>
      <x:c r="PAE66" s="293"/>
      <x:c r="PAF66" s="293"/>
      <x:c r="PAG66" s="293"/>
      <x:c r="PAH66" s="293"/>
      <x:c r="PAI66" s="293"/>
      <x:c r="PAJ66" s="293"/>
      <x:c r="PAK66" s="293"/>
      <x:c r="PAL66" s="293"/>
      <x:c r="PAM66" s="293"/>
      <x:c r="PAN66" s="293"/>
      <x:c r="PAO66" s="293"/>
      <x:c r="PAP66" s="293"/>
      <x:c r="PAQ66" s="293"/>
      <x:c r="PAR66" s="293"/>
      <x:c r="PAS66" s="293"/>
      <x:c r="PAT66" s="293"/>
      <x:c r="PAU66" s="293"/>
      <x:c r="PAV66" s="293"/>
      <x:c r="PAW66" s="293"/>
      <x:c r="PAX66" s="293"/>
      <x:c r="PAY66" s="293"/>
      <x:c r="PAZ66" s="293"/>
      <x:c r="PBA66" s="293"/>
      <x:c r="PBB66" s="293"/>
      <x:c r="PBC66" s="293"/>
      <x:c r="PBD66" s="293"/>
      <x:c r="PBE66" s="293"/>
      <x:c r="PBF66" s="293"/>
      <x:c r="PBG66" s="293"/>
      <x:c r="PBH66" s="293"/>
      <x:c r="PBI66" s="293"/>
      <x:c r="PBJ66" s="293"/>
      <x:c r="PBK66" s="293"/>
      <x:c r="PBL66" s="293"/>
      <x:c r="PBM66" s="293"/>
      <x:c r="PBN66" s="293"/>
      <x:c r="PBO66" s="293"/>
      <x:c r="PBP66" s="293"/>
      <x:c r="PBQ66" s="293"/>
      <x:c r="PBR66" s="293"/>
      <x:c r="PBS66" s="293"/>
      <x:c r="PBT66" s="293"/>
      <x:c r="PBU66" s="293"/>
      <x:c r="PBV66" s="293"/>
      <x:c r="PBW66" s="293"/>
      <x:c r="PBX66" s="293"/>
      <x:c r="PBY66" s="293"/>
      <x:c r="PBZ66" s="293"/>
      <x:c r="PCA66" s="293"/>
      <x:c r="PCB66" s="293"/>
      <x:c r="PCC66" s="293"/>
      <x:c r="PCD66" s="293"/>
      <x:c r="PCE66" s="293"/>
      <x:c r="PCF66" s="293"/>
      <x:c r="PCG66" s="293"/>
      <x:c r="PCH66" s="293"/>
      <x:c r="PCI66" s="293"/>
      <x:c r="PCJ66" s="293"/>
      <x:c r="PCK66" s="293"/>
      <x:c r="PCL66" s="293"/>
      <x:c r="PCM66" s="293"/>
      <x:c r="PCN66" s="293"/>
      <x:c r="PCO66" s="293"/>
      <x:c r="PCP66" s="293"/>
      <x:c r="PCQ66" s="293"/>
      <x:c r="PCR66" s="293"/>
      <x:c r="PCS66" s="293"/>
      <x:c r="PCT66" s="293"/>
      <x:c r="PCU66" s="293"/>
      <x:c r="PCV66" s="293"/>
      <x:c r="PCW66" s="293"/>
      <x:c r="PCX66" s="293"/>
      <x:c r="PCY66" s="293"/>
      <x:c r="PCZ66" s="293"/>
      <x:c r="PDA66" s="293"/>
      <x:c r="PDB66" s="293"/>
      <x:c r="PDC66" s="293"/>
      <x:c r="PDD66" s="293"/>
      <x:c r="PDE66" s="293"/>
      <x:c r="PDF66" s="293"/>
      <x:c r="PDG66" s="293"/>
      <x:c r="PDH66" s="293"/>
      <x:c r="PDI66" s="293"/>
      <x:c r="PDJ66" s="293"/>
      <x:c r="PDK66" s="293"/>
      <x:c r="PDL66" s="293"/>
      <x:c r="PDM66" s="293"/>
      <x:c r="PDN66" s="293"/>
      <x:c r="PDO66" s="293"/>
      <x:c r="PDP66" s="293"/>
      <x:c r="PDQ66" s="293"/>
      <x:c r="PDR66" s="293"/>
      <x:c r="PDS66" s="293"/>
      <x:c r="PDT66" s="293"/>
      <x:c r="PDU66" s="293"/>
      <x:c r="PDV66" s="293"/>
      <x:c r="PDW66" s="293"/>
      <x:c r="PDX66" s="293"/>
      <x:c r="PDY66" s="293"/>
      <x:c r="PDZ66" s="293"/>
      <x:c r="PEA66" s="293"/>
      <x:c r="PEB66" s="293"/>
      <x:c r="PEC66" s="293"/>
      <x:c r="PED66" s="293"/>
      <x:c r="PEE66" s="293"/>
      <x:c r="PEF66" s="293"/>
      <x:c r="PEG66" s="293"/>
      <x:c r="PEH66" s="293"/>
      <x:c r="PEI66" s="293"/>
      <x:c r="PEJ66" s="293"/>
      <x:c r="PEK66" s="293"/>
      <x:c r="PEL66" s="293"/>
      <x:c r="PEM66" s="293"/>
      <x:c r="PEN66" s="293"/>
      <x:c r="PEO66" s="293"/>
      <x:c r="PEP66" s="293"/>
      <x:c r="PEQ66" s="293"/>
      <x:c r="PER66" s="293"/>
      <x:c r="PES66" s="293"/>
      <x:c r="PET66" s="293"/>
      <x:c r="PEU66" s="293"/>
      <x:c r="PEV66" s="293"/>
      <x:c r="PEW66" s="293"/>
      <x:c r="PEX66" s="293"/>
      <x:c r="PEY66" s="293"/>
      <x:c r="PEZ66" s="293"/>
      <x:c r="PFA66" s="293"/>
      <x:c r="PFB66" s="293"/>
      <x:c r="PFC66" s="293"/>
      <x:c r="PFD66" s="293"/>
      <x:c r="PFE66" s="293"/>
      <x:c r="PFF66" s="293"/>
      <x:c r="PFG66" s="293"/>
      <x:c r="PFH66" s="293"/>
      <x:c r="PFI66" s="293"/>
      <x:c r="PFJ66" s="293"/>
      <x:c r="PFK66" s="293"/>
      <x:c r="PFL66" s="293"/>
      <x:c r="PFM66" s="293"/>
      <x:c r="PFN66" s="293"/>
      <x:c r="PFO66" s="293"/>
      <x:c r="PFP66" s="293"/>
      <x:c r="PFQ66" s="293"/>
      <x:c r="PFR66" s="293"/>
      <x:c r="PFS66" s="293"/>
      <x:c r="PFT66" s="293"/>
      <x:c r="PFU66" s="293"/>
      <x:c r="PFV66" s="293"/>
      <x:c r="PFW66" s="293"/>
      <x:c r="PFX66" s="293"/>
      <x:c r="PFY66" s="293"/>
      <x:c r="PFZ66" s="293"/>
      <x:c r="PGA66" s="293"/>
      <x:c r="PGB66" s="293"/>
      <x:c r="PGC66" s="293"/>
      <x:c r="PGD66" s="293"/>
      <x:c r="PGE66" s="293"/>
      <x:c r="PGF66" s="293"/>
      <x:c r="PGG66" s="293"/>
      <x:c r="PGH66" s="293"/>
      <x:c r="PGI66" s="293"/>
      <x:c r="PGJ66" s="293"/>
      <x:c r="PGK66" s="293"/>
      <x:c r="PGL66" s="293"/>
      <x:c r="PGM66" s="293"/>
      <x:c r="PGN66" s="293"/>
      <x:c r="PGO66" s="293"/>
      <x:c r="PGP66" s="293"/>
      <x:c r="PGQ66" s="293"/>
      <x:c r="PGR66" s="293"/>
      <x:c r="PGS66" s="293"/>
      <x:c r="PGT66" s="293"/>
      <x:c r="PGU66" s="293"/>
      <x:c r="PGV66" s="293"/>
      <x:c r="PGW66" s="293"/>
      <x:c r="PGX66" s="293"/>
      <x:c r="PGY66" s="293"/>
      <x:c r="PGZ66" s="293"/>
      <x:c r="PHA66" s="293"/>
      <x:c r="PHB66" s="293"/>
      <x:c r="PHC66" s="293"/>
      <x:c r="PHD66" s="293"/>
      <x:c r="PHE66" s="293"/>
      <x:c r="PHF66" s="293"/>
      <x:c r="PHG66" s="293"/>
      <x:c r="PHH66" s="293"/>
      <x:c r="PHI66" s="293"/>
      <x:c r="PHJ66" s="293"/>
      <x:c r="PHK66" s="293"/>
      <x:c r="PHL66" s="293"/>
      <x:c r="PHM66" s="293"/>
      <x:c r="PHN66" s="293"/>
      <x:c r="PHO66" s="293"/>
      <x:c r="PHP66" s="293"/>
      <x:c r="PHQ66" s="293"/>
      <x:c r="PHR66" s="293"/>
      <x:c r="PHS66" s="293"/>
      <x:c r="PHT66" s="293"/>
      <x:c r="PHU66" s="293"/>
      <x:c r="PHV66" s="293"/>
      <x:c r="PHW66" s="293"/>
      <x:c r="PHX66" s="293"/>
      <x:c r="PHY66" s="293"/>
      <x:c r="PHZ66" s="293"/>
      <x:c r="PIA66" s="293"/>
      <x:c r="PIB66" s="293"/>
      <x:c r="PIC66" s="293"/>
      <x:c r="PID66" s="293"/>
      <x:c r="PIE66" s="293"/>
      <x:c r="PIF66" s="293"/>
      <x:c r="PIG66" s="293"/>
      <x:c r="PIH66" s="293"/>
      <x:c r="PII66" s="293"/>
      <x:c r="PIJ66" s="293"/>
      <x:c r="PIK66" s="293"/>
      <x:c r="PIL66" s="293"/>
      <x:c r="PIM66" s="293"/>
      <x:c r="PIN66" s="293"/>
      <x:c r="PIO66" s="293"/>
      <x:c r="PIP66" s="293"/>
      <x:c r="PIQ66" s="293"/>
      <x:c r="PIR66" s="293"/>
      <x:c r="PIS66" s="293"/>
      <x:c r="PIT66" s="293"/>
      <x:c r="PIU66" s="293"/>
      <x:c r="PIV66" s="293"/>
      <x:c r="PIW66" s="293"/>
      <x:c r="PIX66" s="293"/>
      <x:c r="PIY66" s="293"/>
      <x:c r="PIZ66" s="293"/>
      <x:c r="PJA66" s="293"/>
      <x:c r="PJB66" s="293"/>
      <x:c r="PJC66" s="293"/>
      <x:c r="PJD66" s="293"/>
      <x:c r="PJE66" s="293"/>
      <x:c r="PJF66" s="293"/>
      <x:c r="PJG66" s="293"/>
      <x:c r="PJH66" s="293"/>
      <x:c r="PJI66" s="293"/>
      <x:c r="PJJ66" s="293"/>
      <x:c r="PJK66" s="293"/>
      <x:c r="PJL66" s="293"/>
      <x:c r="PJM66" s="293"/>
      <x:c r="PJN66" s="293"/>
      <x:c r="PJO66" s="293"/>
      <x:c r="PJP66" s="293"/>
      <x:c r="PJQ66" s="293"/>
      <x:c r="PJR66" s="293"/>
      <x:c r="PJS66" s="293"/>
      <x:c r="PJT66" s="293"/>
      <x:c r="PJU66" s="293"/>
      <x:c r="PJV66" s="293"/>
      <x:c r="PJW66" s="293"/>
      <x:c r="PJX66" s="293"/>
      <x:c r="PJY66" s="293"/>
      <x:c r="PJZ66" s="293"/>
      <x:c r="PKA66" s="293"/>
      <x:c r="PKB66" s="293"/>
      <x:c r="PKC66" s="293"/>
      <x:c r="PKD66" s="293"/>
      <x:c r="PKE66" s="293"/>
      <x:c r="PKF66" s="293"/>
      <x:c r="PKG66" s="293"/>
      <x:c r="PKH66" s="293"/>
      <x:c r="PKI66" s="293"/>
      <x:c r="PKJ66" s="293"/>
      <x:c r="PKK66" s="293"/>
      <x:c r="PKL66" s="293"/>
      <x:c r="PKM66" s="293"/>
      <x:c r="PKN66" s="293"/>
      <x:c r="PKO66" s="293"/>
      <x:c r="PKP66" s="293"/>
      <x:c r="PKQ66" s="293"/>
      <x:c r="PKR66" s="293"/>
      <x:c r="PKS66" s="293"/>
      <x:c r="PKT66" s="293"/>
      <x:c r="PKU66" s="293"/>
      <x:c r="PKV66" s="293"/>
      <x:c r="PKW66" s="293"/>
      <x:c r="PKX66" s="293"/>
      <x:c r="PKY66" s="293"/>
      <x:c r="PKZ66" s="293"/>
      <x:c r="PLA66" s="293"/>
      <x:c r="PLB66" s="293"/>
      <x:c r="PLC66" s="293"/>
      <x:c r="PLD66" s="293"/>
      <x:c r="PLE66" s="293"/>
      <x:c r="PLF66" s="293"/>
      <x:c r="PLG66" s="293"/>
      <x:c r="PLH66" s="293"/>
      <x:c r="PLI66" s="293"/>
      <x:c r="PLJ66" s="293"/>
      <x:c r="PLK66" s="293"/>
      <x:c r="PLL66" s="293"/>
      <x:c r="PLM66" s="293"/>
      <x:c r="PLN66" s="293"/>
      <x:c r="PLO66" s="293"/>
      <x:c r="PLP66" s="293"/>
      <x:c r="PLQ66" s="293"/>
      <x:c r="PLR66" s="293"/>
      <x:c r="PLS66" s="293"/>
      <x:c r="PLT66" s="293"/>
      <x:c r="PLU66" s="293"/>
      <x:c r="PLV66" s="293"/>
      <x:c r="PLW66" s="293"/>
      <x:c r="PLX66" s="293"/>
      <x:c r="PLY66" s="293"/>
      <x:c r="PLZ66" s="293"/>
      <x:c r="PMA66" s="293"/>
      <x:c r="PMB66" s="293"/>
      <x:c r="PMC66" s="293"/>
      <x:c r="PMD66" s="293"/>
      <x:c r="PME66" s="293"/>
      <x:c r="PMF66" s="293"/>
      <x:c r="PMG66" s="293"/>
      <x:c r="PMH66" s="293"/>
      <x:c r="PMI66" s="293"/>
      <x:c r="PMJ66" s="293"/>
      <x:c r="PMK66" s="293"/>
      <x:c r="PML66" s="293"/>
      <x:c r="PMM66" s="293"/>
      <x:c r="PMN66" s="293"/>
      <x:c r="PMO66" s="293"/>
      <x:c r="PMP66" s="293"/>
      <x:c r="PMQ66" s="293"/>
      <x:c r="PMR66" s="293"/>
      <x:c r="PMS66" s="293"/>
      <x:c r="PMT66" s="293"/>
      <x:c r="PMU66" s="293"/>
      <x:c r="PMV66" s="293"/>
      <x:c r="PMW66" s="293"/>
      <x:c r="PMX66" s="293"/>
      <x:c r="PMY66" s="293"/>
      <x:c r="PMZ66" s="293"/>
      <x:c r="PNA66" s="293"/>
      <x:c r="PNB66" s="293"/>
      <x:c r="PNC66" s="293"/>
      <x:c r="PND66" s="293"/>
      <x:c r="PNE66" s="293"/>
      <x:c r="PNF66" s="293"/>
      <x:c r="PNG66" s="293"/>
      <x:c r="PNH66" s="293"/>
      <x:c r="PNI66" s="293"/>
      <x:c r="PNJ66" s="293"/>
      <x:c r="PNK66" s="293"/>
      <x:c r="PNL66" s="293"/>
      <x:c r="PNM66" s="293"/>
      <x:c r="PNN66" s="293"/>
      <x:c r="PNO66" s="293"/>
      <x:c r="PNP66" s="293"/>
      <x:c r="PNQ66" s="293"/>
      <x:c r="PNR66" s="293"/>
      <x:c r="PNS66" s="293"/>
      <x:c r="PNT66" s="293"/>
      <x:c r="PNU66" s="293"/>
      <x:c r="PNV66" s="293"/>
      <x:c r="PNW66" s="293"/>
      <x:c r="PNX66" s="293"/>
      <x:c r="PNY66" s="293"/>
      <x:c r="PNZ66" s="293"/>
      <x:c r="POA66" s="293"/>
      <x:c r="POB66" s="293"/>
      <x:c r="POC66" s="293"/>
      <x:c r="POD66" s="293"/>
      <x:c r="POE66" s="293"/>
      <x:c r="POF66" s="293"/>
      <x:c r="POG66" s="293"/>
      <x:c r="POH66" s="293"/>
      <x:c r="POI66" s="293"/>
      <x:c r="POJ66" s="293"/>
      <x:c r="POK66" s="293"/>
      <x:c r="POL66" s="293"/>
      <x:c r="POM66" s="293"/>
      <x:c r="PON66" s="293"/>
      <x:c r="POO66" s="293"/>
      <x:c r="POP66" s="293"/>
      <x:c r="POQ66" s="293"/>
      <x:c r="POR66" s="293"/>
      <x:c r="POS66" s="293"/>
      <x:c r="POT66" s="293"/>
      <x:c r="POU66" s="293"/>
      <x:c r="POV66" s="293"/>
      <x:c r="POW66" s="293"/>
      <x:c r="POX66" s="293"/>
      <x:c r="POY66" s="293"/>
      <x:c r="POZ66" s="293"/>
      <x:c r="PPA66" s="293"/>
      <x:c r="PPB66" s="293"/>
      <x:c r="PPC66" s="293"/>
      <x:c r="PPD66" s="293"/>
      <x:c r="PPE66" s="293"/>
      <x:c r="PPF66" s="293"/>
      <x:c r="PPG66" s="293"/>
      <x:c r="PPH66" s="293"/>
      <x:c r="PPI66" s="293"/>
      <x:c r="PPJ66" s="293"/>
      <x:c r="PPK66" s="293"/>
      <x:c r="PPL66" s="293"/>
      <x:c r="PPM66" s="293"/>
      <x:c r="PPN66" s="293"/>
      <x:c r="PPO66" s="293"/>
      <x:c r="PPP66" s="293"/>
      <x:c r="PPQ66" s="293"/>
      <x:c r="PPR66" s="293"/>
      <x:c r="PPS66" s="293"/>
      <x:c r="PPT66" s="293"/>
      <x:c r="PPU66" s="293"/>
      <x:c r="PPV66" s="293"/>
      <x:c r="PPW66" s="293"/>
      <x:c r="PPX66" s="293"/>
      <x:c r="PPY66" s="293"/>
      <x:c r="PPZ66" s="293"/>
      <x:c r="PQA66" s="293"/>
      <x:c r="PQB66" s="293"/>
      <x:c r="PQC66" s="293"/>
      <x:c r="PQD66" s="293"/>
      <x:c r="PQE66" s="293"/>
      <x:c r="PQF66" s="293"/>
      <x:c r="PQG66" s="293"/>
      <x:c r="PQH66" s="293"/>
      <x:c r="PQI66" s="293"/>
      <x:c r="PQJ66" s="293"/>
      <x:c r="PQK66" s="293"/>
      <x:c r="PQL66" s="293"/>
      <x:c r="PQM66" s="293"/>
      <x:c r="PQN66" s="293"/>
      <x:c r="PQO66" s="293"/>
      <x:c r="PQP66" s="293"/>
      <x:c r="PQQ66" s="293"/>
      <x:c r="PQR66" s="293"/>
      <x:c r="PQS66" s="293"/>
      <x:c r="PQT66" s="293"/>
      <x:c r="PQU66" s="293"/>
      <x:c r="PQV66" s="293"/>
      <x:c r="PQW66" s="293"/>
      <x:c r="PQX66" s="293"/>
      <x:c r="PQY66" s="293"/>
      <x:c r="PQZ66" s="293"/>
      <x:c r="PRA66" s="293"/>
      <x:c r="PRB66" s="293"/>
      <x:c r="PRC66" s="293"/>
      <x:c r="PRD66" s="293"/>
      <x:c r="PRE66" s="293"/>
      <x:c r="PRF66" s="293"/>
      <x:c r="PRG66" s="293"/>
      <x:c r="PRH66" s="293"/>
      <x:c r="PRI66" s="293"/>
      <x:c r="PRJ66" s="293"/>
      <x:c r="PRK66" s="293"/>
      <x:c r="PRL66" s="293"/>
      <x:c r="PRM66" s="293"/>
      <x:c r="PRN66" s="293"/>
      <x:c r="PRO66" s="293"/>
      <x:c r="PRP66" s="293"/>
      <x:c r="PRQ66" s="293"/>
      <x:c r="PRR66" s="293"/>
      <x:c r="PRS66" s="293"/>
      <x:c r="PRT66" s="293"/>
      <x:c r="PRU66" s="293"/>
      <x:c r="PRV66" s="293"/>
      <x:c r="PRW66" s="293"/>
      <x:c r="PRX66" s="293"/>
      <x:c r="PRY66" s="293"/>
      <x:c r="PRZ66" s="293"/>
      <x:c r="PSA66" s="293"/>
      <x:c r="PSB66" s="293"/>
      <x:c r="PSC66" s="293"/>
      <x:c r="PSD66" s="293"/>
      <x:c r="PSE66" s="293"/>
      <x:c r="PSF66" s="293"/>
      <x:c r="PSG66" s="293"/>
      <x:c r="PSH66" s="293"/>
      <x:c r="PSI66" s="293"/>
      <x:c r="PSJ66" s="293"/>
      <x:c r="PSK66" s="293"/>
      <x:c r="PSL66" s="293"/>
      <x:c r="PSM66" s="293"/>
      <x:c r="PSN66" s="293"/>
      <x:c r="PSO66" s="293"/>
      <x:c r="PSP66" s="293"/>
      <x:c r="PSQ66" s="293"/>
      <x:c r="PSR66" s="293"/>
      <x:c r="PSS66" s="293"/>
      <x:c r="PST66" s="293"/>
      <x:c r="PSU66" s="293"/>
      <x:c r="PSV66" s="293"/>
      <x:c r="PSW66" s="293"/>
      <x:c r="PSX66" s="293"/>
      <x:c r="PSY66" s="293"/>
      <x:c r="PSZ66" s="293"/>
      <x:c r="PTA66" s="293"/>
      <x:c r="PTB66" s="293"/>
      <x:c r="PTC66" s="293"/>
      <x:c r="PTD66" s="293"/>
      <x:c r="PTE66" s="293"/>
      <x:c r="PTF66" s="293"/>
      <x:c r="PTG66" s="293"/>
      <x:c r="PTH66" s="293"/>
      <x:c r="PTI66" s="293"/>
      <x:c r="PTJ66" s="293"/>
      <x:c r="PTK66" s="293"/>
      <x:c r="PTL66" s="293"/>
      <x:c r="PTM66" s="293"/>
      <x:c r="PTN66" s="293"/>
      <x:c r="PTO66" s="293"/>
      <x:c r="PTP66" s="293"/>
      <x:c r="PTQ66" s="293"/>
      <x:c r="PTR66" s="293"/>
      <x:c r="PTS66" s="293"/>
      <x:c r="PTT66" s="293"/>
      <x:c r="PTU66" s="293"/>
      <x:c r="PTV66" s="293"/>
      <x:c r="PTW66" s="293"/>
      <x:c r="PTX66" s="293"/>
      <x:c r="PTY66" s="293"/>
      <x:c r="PTZ66" s="293"/>
      <x:c r="PUA66" s="293"/>
      <x:c r="PUB66" s="293"/>
      <x:c r="PUC66" s="293"/>
      <x:c r="PUD66" s="293"/>
      <x:c r="PUE66" s="293"/>
      <x:c r="PUF66" s="293"/>
      <x:c r="PUG66" s="293"/>
      <x:c r="PUH66" s="293"/>
      <x:c r="PUI66" s="293"/>
      <x:c r="PUJ66" s="293"/>
      <x:c r="PUK66" s="293"/>
      <x:c r="PUL66" s="293"/>
      <x:c r="PUM66" s="293"/>
      <x:c r="PUN66" s="293"/>
      <x:c r="PUO66" s="293"/>
      <x:c r="PUP66" s="293"/>
      <x:c r="PUQ66" s="293"/>
      <x:c r="PUR66" s="293"/>
      <x:c r="PUS66" s="293"/>
      <x:c r="PUT66" s="293"/>
      <x:c r="PUU66" s="293"/>
      <x:c r="PUV66" s="293"/>
      <x:c r="PUW66" s="293"/>
      <x:c r="PUX66" s="293"/>
      <x:c r="PUY66" s="293"/>
      <x:c r="PUZ66" s="293"/>
      <x:c r="PVA66" s="293"/>
      <x:c r="PVB66" s="293"/>
      <x:c r="PVC66" s="293"/>
      <x:c r="PVD66" s="293"/>
      <x:c r="PVE66" s="293"/>
      <x:c r="PVF66" s="293"/>
      <x:c r="PVG66" s="293"/>
      <x:c r="PVH66" s="293"/>
      <x:c r="PVI66" s="293"/>
      <x:c r="PVJ66" s="293"/>
      <x:c r="PVK66" s="293"/>
      <x:c r="PVL66" s="293"/>
      <x:c r="PVM66" s="293"/>
      <x:c r="PVN66" s="293"/>
      <x:c r="PVO66" s="293"/>
      <x:c r="PVP66" s="293"/>
      <x:c r="PVQ66" s="293"/>
      <x:c r="PVR66" s="293"/>
      <x:c r="PVS66" s="293"/>
      <x:c r="PVT66" s="293"/>
      <x:c r="PVU66" s="293"/>
      <x:c r="PVV66" s="293"/>
      <x:c r="PVW66" s="293"/>
      <x:c r="PVX66" s="293"/>
      <x:c r="PVY66" s="293"/>
      <x:c r="PVZ66" s="293"/>
      <x:c r="PWA66" s="293"/>
      <x:c r="PWB66" s="293"/>
      <x:c r="PWC66" s="293"/>
      <x:c r="PWD66" s="293"/>
      <x:c r="PWE66" s="293"/>
      <x:c r="PWF66" s="293"/>
      <x:c r="PWG66" s="293"/>
      <x:c r="PWH66" s="293"/>
      <x:c r="PWI66" s="293"/>
      <x:c r="PWJ66" s="293"/>
      <x:c r="PWK66" s="293"/>
      <x:c r="PWL66" s="293"/>
      <x:c r="PWM66" s="293"/>
      <x:c r="PWN66" s="293"/>
      <x:c r="PWO66" s="293"/>
      <x:c r="PWP66" s="293"/>
      <x:c r="PWQ66" s="293"/>
      <x:c r="PWR66" s="293"/>
      <x:c r="PWS66" s="293"/>
      <x:c r="PWT66" s="293"/>
      <x:c r="PWU66" s="293"/>
      <x:c r="PWV66" s="293"/>
      <x:c r="PWW66" s="293"/>
      <x:c r="PWX66" s="293"/>
      <x:c r="PWY66" s="293"/>
      <x:c r="PWZ66" s="293"/>
      <x:c r="PXA66" s="293"/>
      <x:c r="PXB66" s="293"/>
      <x:c r="PXC66" s="293"/>
      <x:c r="PXD66" s="293"/>
      <x:c r="PXE66" s="293"/>
      <x:c r="PXF66" s="293"/>
      <x:c r="PXG66" s="293"/>
      <x:c r="PXH66" s="293"/>
      <x:c r="PXI66" s="293"/>
      <x:c r="PXJ66" s="293"/>
      <x:c r="PXK66" s="293"/>
      <x:c r="PXL66" s="293"/>
      <x:c r="PXM66" s="293"/>
      <x:c r="PXN66" s="293"/>
      <x:c r="PXO66" s="293"/>
      <x:c r="PXP66" s="293"/>
      <x:c r="PXQ66" s="293"/>
      <x:c r="PXR66" s="293"/>
      <x:c r="PXS66" s="293"/>
      <x:c r="PXT66" s="293"/>
      <x:c r="PXU66" s="293"/>
      <x:c r="PXV66" s="293"/>
      <x:c r="PXW66" s="293"/>
      <x:c r="PXX66" s="293"/>
      <x:c r="PXY66" s="293"/>
      <x:c r="PXZ66" s="293"/>
      <x:c r="PYA66" s="293"/>
      <x:c r="PYB66" s="293"/>
      <x:c r="PYC66" s="293"/>
      <x:c r="PYD66" s="293"/>
      <x:c r="PYE66" s="293"/>
      <x:c r="PYF66" s="293"/>
      <x:c r="PYG66" s="293"/>
      <x:c r="PYH66" s="293"/>
      <x:c r="PYI66" s="293"/>
      <x:c r="PYJ66" s="293"/>
      <x:c r="PYK66" s="293"/>
      <x:c r="PYL66" s="293"/>
      <x:c r="PYM66" s="293"/>
      <x:c r="PYN66" s="293"/>
      <x:c r="PYO66" s="293"/>
      <x:c r="PYP66" s="293"/>
      <x:c r="PYQ66" s="293"/>
      <x:c r="PYR66" s="293"/>
      <x:c r="PYS66" s="293"/>
      <x:c r="PYT66" s="293"/>
      <x:c r="PYU66" s="293"/>
      <x:c r="PYV66" s="293"/>
      <x:c r="PYW66" s="293"/>
      <x:c r="PYX66" s="293"/>
      <x:c r="PYY66" s="293"/>
      <x:c r="PYZ66" s="293"/>
      <x:c r="PZA66" s="293"/>
      <x:c r="PZB66" s="293"/>
      <x:c r="PZC66" s="293"/>
      <x:c r="PZD66" s="293"/>
      <x:c r="PZE66" s="293"/>
      <x:c r="PZF66" s="293"/>
      <x:c r="PZG66" s="293"/>
      <x:c r="PZH66" s="293"/>
      <x:c r="PZI66" s="293"/>
      <x:c r="PZJ66" s="293"/>
      <x:c r="PZK66" s="293"/>
      <x:c r="PZL66" s="293"/>
      <x:c r="PZM66" s="293"/>
      <x:c r="PZN66" s="293"/>
      <x:c r="PZO66" s="293"/>
      <x:c r="PZP66" s="293"/>
      <x:c r="PZQ66" s="293"/>
      <x:c r="PZR66" s="293"/>
      <x:c r="PZS66" s="293"/>
      <x:c r="PZT66" s="293"/>
      <x:c r="PZU66" s="293"/>
      <x:c r="PZV66" s="293"/>
      <x:c r="PZW66" s="293"/>
      <x:c r="PZX66" s="293"/>
      <x:c r="PZY66" s="293"/>
      <x:c r="PZZ66" s="293"/>
      <x:c r="QAA66" s="293"/>
      <x:c r="QAB66" s="293"/>
      <x:c r="QAC66" s="293"/>
      <x:c r="QAD66" s="293"/>
      <x:c r="QAE66" s="293"/>
      <x:c r="QAF66" s="293"/>
      <x:c r="QAG66" s="293"/>
      <x:c r="QAH66" s="293"/>
      <x:c r="QAI66" s="293"/>
      <x:c r="QAJ66" s="293"/>
      <x:c r="QAK66" s="293"/>
      <x:c r="QAL66" s="293"/>
      <x:c r="QAM66" s="293"/>
      <x:c r="QAN66" s="293"/>
      <x:c r="QAO66" s="293"/>
      <x:c r="QAP66" s="293"/>
      <x:c r="QAQ66" s="293"/>
      <x:c r="QAR66" s="293"/>
      <x:c r="QAS66" s="293"/>
      <x:c r="QAT66" s="293"/>
      <x:c r="QAU66" s="293"/>
      <x:c r="QAV66" s="293"/>
      <x:c r="QAW66" s="293"/>
      <x:c r="QAX66" s="293"/>
      <x:c r="QAY66" s="293"/>
      <x:c r="QAZ66" s="293"/>
      <x:c r="QBA66" s="293"/>
      <x:c r="QBB66" s="293"/>
      <x:c r="QBC66" s="293"/>
      <x:c r="QBD66" s="293"/>
      <x:c r="QBE66" s="293"/>
      <x:c r="QBF66" s="293"/>
      <x:c r="QBG66" s="293"/>
      <x:c r="QBH66" s="293"/>
      <x:c r="QBI66" s="293"/>
      <x:c r="QBJ66" s="293"/>
      <x:c r="QBK66" s="293"/>
      <x:c r="QBL66" s="293"/>
      <x:c r="QBM66" s="293"/>
      <x:c r="QBN66" s="293"/>
      <x:c r="QBO66" s="293"/>
      <x:c r="QBP66" s="293"/>
      <x:c r="QBQ66" s="293"/>
      <x:c r="QBR66" s="293"/>
      <x:c r="QBS66" s="293"/>
      <x:c r="QBT66" s="293"/>
      <x:c r="QBU66" s="293"/>
      <x:c r="QBV66" s="293"/>
      <x:c r="QBW66" s="293"/>
      <x:c r="QBX66" s="293"/>
      <x:c r="QBY66" s="293"/>
      <x:c r="QBZ66" s="293"/>
      <x:c r="QCA66" s="293"/>
      <x:c r="QCB66" s="293"/>
      <x:c r="QCC66" s="293"/>
      <x:c r="QCD66" s="293"/>
      <x:c r="QCE66" s="293"/>
      <x:c r="QCF66" s="293"/>
      <x:c r="QCG66" s="293"/>
      <x:c r="QCH66" s="293"/>
      <x:c r="QCI66" s="293"/>
      <x:c r="QCJ66" s="293"/>
      <x:c r="QCK66" s="293"/>
      <x:c r="QCL66" s="293"/>
      <x:c r="QCM66" s="293"/>
      <x:c r="QCN66" s="293"/>
      <x:c r="QCO66" s="293"/>
      <x:c r="QCP66" s="293"/>
      <x:c r="QCQ66" s="293"/>
      <x:c r="QCR66" s="293"/>
      <x:c r="QCS66" s="293"/>
      <x:c r="QCT66" s="293"/>
      <x:c r="QCU66" s="293"/>
      <x:c r="QCV66" s="293"/>
      <x:c r="QCW66" s="293"/>
      <x:c r="QCX66" s="293"/>
      <x:c r="QCY66" s="293"/>
      <x:c r="QCZ66" s="293"/>
      <x:c r="QDA66" s="293"/>
      <x:c r="QDB66" s="293"/>
      <x:c r="QDC66" s="293"/>
      <x:c r="QDD66" s="293"/>
      <x:c r="QDE66" s="293"/>
      <x:c r="QDF66" s="293"/>
      <x:c r="QDG66" s="293"/>
      <x:c r="QDH66" s="293"/>
      <x:c r="QDI66" s="293"/>
      <x:c r="QDJ66" s="293"/>
      <x:c r="QDK66" s="293"/>
      <x:c r="QDL66" s="293"/>
      <x:c r="QDM66" s="293"/>
      <x:c r="QDN66" s="293"/>
      <x:c r="QDO66" s="293"/>
      <x:c r="QDP66" s="293"/>
      <x:c r="QDQ66" s="293"/>
      <x:c r="QDR66" s="293"/>
      <x:c r="QDS66" s="293"/>
      <x:c r="QDT66" s="293"/>
      <x:c r="QDU66" s="293"/>
      <x:c r="QDV66" s="293"/>
      <x:c r="QDW66" s="293"/>
      <x:c r="QDX66" s="293"/>
      <x:c r="QDY66" s="293"/>
      <x:c r="QDZ66" s="293"/>
      <x:c r="QEA66" s="293"/>
      <x:c r="QEB66" s="293"/>
      <x:c r="QEC66" s="293"/>
      <x:c r="QED66" s="293"/>
      <x:c r="QEE66" s="293"/>
      <x:c r="QEF66" s="293"/>
      <x:c r="QEG66" s="293"/>
      <x:c r="QEH66" s="293"/>
      <x:c r="QEI66" s="293"/>
      <x:c r="QEJ66" s="293"/>
      <x:c r="QEK66" s="293"/>
      <x:c r="QEL66" s="293"/>
      <x:c r="QEM66" s="293"/>
      <x:c r="QEN66" s="293"/>
      <x:c r="QEO66" s="293"/>
      <x:c r="QEP66" s="293"/>
      <x:c r="QEQ66" s="293"/>
      <x:c r="QER66" s="293"/>
      <x:c r="QES66" s="293"/>
      <x:c r="QET66" s="293"/>
      <x:c r="QEU66" s="293"/>
      <x:c r="QEV66" s="293"/>
      <x:c r="QEW66" s="293"/>
      <x:c r="QEX66" s="293"/>
      <x:c r="QEY66" s="293"/>
      <x:c r="QEZ66" s="293"/>
      <x:c r="QFA66" s="293"/>
      <x:c r="QFB66" s="293"/>
      <x:c r="QFC66" s="293"/>
      <x:c r="QFD66" s="293"/>
      <x:c r="QFE66" s="293"/>
      <x:c r="QFF66" s="293"/>
      <x:c r="QFG66" s="293"/>
      <x:c r="QFH66" s="293"/>
      <x:c r="QFI66" s="293"/>
      <x:c r="QFJ66" s="293"/>
      <x:c r="QFK66" s="293"/>
      <x:c r="QFL66" s="293"/>
      <x:c r="QFM66" s="293"/>
      <x:c r="QFN66" s="293"/>
      <x:c r="QFO66" s="293"/>
      <x:c r="QFP66" s="293"/>
      <x:c r="QFQ66" s="293"/>
      <x:c r="QFR66" s="293"/>
      <x:c r="QFS66" s="293"/>
      <x:c r="QFT66" s="293"/>
      <x:c r="QFU66" s="293"/>
      <x:c r="QFV66" s="293"/>
      <x:c r="QFW66" s="293"/>
      <x:c r="QFX66" s="293"/>
      <x:c r="QFY66" s="293"/>
      <x:c r="QFZ66" s="293"/>
      <x:c r="QGA66" s="293"/>
      <x:c r="QGB66" s="293"/>
      <x:c r="QGC66" s="293"/>
      <x:c r="QGD66" s="293"/>
      <x:c r="QGE66" s="293"/>
      <x:c r="QGF66" s="293"/>
      <x:c r="QGG66" s="293"/>
      <x:c r="QGH66" s="293"/>
      <x:c r="QGI66" s="293"/>
      <x:c r="QGJ66" s="293"/>
      <x:c r="QGK66" s="293"/>
      <x:c r="QGL66" s="293"/>
      <x:c r="QGM66" s="293"/>
      <x:c r="QGN66" s="293"/>
      <x:c r="QGO66" s="293"/>
      <x:c r="QGP66" s="293"/>
      <x:c r="QGQ66" s="293"/>
      <x:c r="QGR66" s="293"/>
      <x:c r="QGS66" s="293"/>
      <x:c r="QGT66" s="293"/>
      <x:c r="QGU66" s="293"/>
      <x:c r="QGV66" s="293"/>
      <x:c r="QGW66" s="293"/>
      <x:c r="QGX66" s="293"/>
      <x:c r="QGY66" s="293"/>
      <x:c r="QGZ66" s="293"/>
      <x:c r="QHA66" s="293"/>
      <x:c r="QHB66" s="293"/>
      <x:c r="QHC66" s="293"/>
      <x:c r="QHD66" s="293"/>
      <x:c r="QHE66" s="293"/>
      <x:c r="QHF66" s="293"/>
      <x:c r="QHG66" s="293"/>
      <x:c r="QHH66" s="293"/>
      <x:c r="QHI66" s="293"/>
      <x:c r="QHJ66" s="293"/>
      <x:c r="QHK66" s="293"/>
      <x:c r="QHL66" s="293"/>
      <x:c r="QHM66" s="293"/>
      <x:c r="QHN66" s="293"/>
      <x:c r="QHO66" s="293"/>
      <x:c r="QHP66" s="293"/>
      <x:c r="QHQ66" s="293"/>
      <x:c r="QHR66" s="293"/>
      <x:c r="QHS66" s="293"/>
      <x:c r="QHT66" s="293"/>
      <x:c r="QHU66" s="293"/>
      <x:c r="QHV66" s="293"/>
      <x:c r="QHW66" s="293"/>
      <x:c r="QHX66" s="293"/>
      <x:c r="QHY66" s="293"/>
      <x:c r="QHZ66" s="293"/>
      <x:c r="QIA66" s="293"/>
      <x:c r="QIB66" s="293"/>
      <x:c r="QIC66" s="293"/>
      <x:c r="QID66" s="293"/>
      <x:c r="QIE66" s="293"/>
      <x:c r="QIF66" s="293"/>
      <x:c r="QIG66" s="293"/>
      <x:c r="QIH66" s="293"/>
      <x:c r="QII66" s="293"/>
      <x:c r="QIJ66" s="293"/>
      <x:c r="QIK66" s="293"/>
      <x:c r="QIL66" s="293"/>
      <x:c r="QIM66" s="293"/>
      <x:c r="QIN66" s="293"/>
      <x:c r="QIO66" s="293"/>
      <x:c r="QIP66" s="293"/>
      <x:c r="QIQ66" s="293"/>
      <x:c r="QIR66" s="293"/>
      <x:c r="QIS66" s="293"/>
      <x:c r="QIT66" s="293"/>
      <x:c r="QIU66" s="293"/>
      <x:c r="QIV66" s="293"/>
      <x:c r="QIW66" s="293"/>
      <x:c r="QIX66" s="293"/>
      <x:c r="QIY66" s="293"/>
      <x:c r="QIZ66" s="293"/>
      <x:c r="QJA66" s="293"/>
      <x:c r="QJB66" s="293"/>
      <x:c r="QJC66" s="293"/>
      <x:c r="QJD66" s="293"/>
      <x:c r="QJE66" s="293"/>
      <x:c r="QJF66" s="293"/>
      <x:c r="QJG66" s="293"/>
      <x:c r="QJH66" s="293"/>
      <x:c r="QJI66" s="293"/>
      <x:c r="QJJ66" s="293"/>
      <x:c r="QJK66" s="293"/>
      <x:c r="QJL66" s="293"/>
      <x:c r="QJM66" s="293"/>
      <x:c r="QJN66" s="293"/>
      <x:c r="QJO66" s="293"/>
      <x:c r="QJP66" s="293"/>
      <x:c r="QJQ66" s="293"/>
      <x:c r="QJR66" s="293"/>
      <x:c r="QJS66" s="293"/>
      <x:c r="QJT66" s="293"/>
      <x:c r="QJU66" s="293"/>
      <x:c r="QJV66" s="293"/>
      <x:c r="QJW66" s="293"/>
      <x:c r="QJX66" s="293"/>
      <x:c r="QJY66" s="293"/>
      <x:c r="QJZ66" s="293"/>
      <x:c r="QKA66" s="293"/>
      <x:c r="QKB66" s="293"/>
      <x:c r="QKC66" s="293"/>
      <x:c r="QKD66" s="293"/>
      <x:c r="QKE66" s="293"/>
      <x:c r="QKF66" s="293"/>
      <x:c r="QKG66" s="293"/>
      <x:c r="QKH66" s="293"/>
      <x:c r="QKI66" s="293"/>
      <x:c r="QKJ66" s="293"/>
      <x:c r="QKK66" s="293"/>
      <x:c r="QKL66" s="293"/>
      <x:c r="QKM66" s="293"/>
      <x:c r="QKN66" s="293"/>
      <x:c r="QKO66" s="293"/>
      <x:c r="QKP66" s="293"/>
      <x:c r="QKQ66" s="293"/>
      <x:c r="QKR66" s="293"/>
      <x:c r="QKS66" s="293"/>
      <x:c r="QKT66" s="293"/>
      <x:c r="QKU66" s="293"/>
      <x:c r="QKV66" s="293"/>
      <x:c r="QKW66" s="293"/>
      <x:c r="QKX66" s="293"/>
      <x:c r="QKY66" s="293"/>
      <x:c r="QKZ66" s="293"/>
      <x:c r="QLA66" s="293"/>
      <x:c r="QLB66" s="293"/>
      <x:c r="QLC66" s="293"/>
      <x:c r="QLD66" s="293"/>
      <x:c r="QLE66" s="293"/>
      <x:c r="QLF66" s="293"/>
      <x:c r="QLG66" s="293"/>
      <x:c r="QLH66" s="293"/>
      <x:c r="QLI66" s="293"/>
      <x:c r="QLJ66" s="293"/>
      <x:c r="QLK66" s="293"/>
      <x:c r="QLL66" s="293"/>
      <x:c r="QLM66" s="293"/>
      <x:c r="QLN66" s="293"/>
      <x:c r="QLO66" s="293"/>
      <x:c r="QLP66" s="293"/>
      <x:c r="QLQ66" s="293"/>
      <x:c r="QLR66" s="293"/>
      <x:c r="QLS66" s="293"/>
      <x:c r="QLT66" s="293"/>
      <x:c r="QLU66" s="293"/>
      <x:c r="QLV66" s="293"/>
      <x:c r="QLW66" s="293"/>
      <x:c r="QLX66" s="293"/>
      <x:c r="QLY66" s="293"/>
      <x:c r="QLZ66" s="293"/>
      <x:c r="QMA66" s="293"/>
      <x:c r="QMB66" s="293"/>
      <x:c r="QMC66" s="293"/>
      <x:c r="QMD66" s="293"/>
      <x:c r="QME66" s="293"/>
      <x:c r="QMF66" s="293"/>
      <x:c r="QMG66" s="293"/>
      <x:c r="QMH66" s="293"/>
      <x:c r="QMI66" s="293"/>
      <x:c r="QMJ66" s="293"/>
      <x:c r="QMK66" s="293"/>
      <x:c r="QML66" s="293"/>
      <x:c r="QMM66" s="293"/>
      <x:c r="QMN66" s="293"/>
      <x:c r="QMO66" s="293"/>
      <x:c r="QMP66" s="293"/>
      <x:c r="QMQ66" s="293"/>
      <x:c r="QMR66" s="293"/>
      <x:c r="QMS66" s="293"/>
      <x:c r="QMT66" s="293"/>
      <x:c r="QMU66" s="293"/>
      <x:c r="QMV66" s="293"/>
      <x:c r="QMW66" s="293"/>
      <x:c r="QMX66" s="293"/>
      <x:c r="QMY66" s="293"/>
      <x:c r="QMZ66" s="293"/>
      <x:c r="QNA66" s="293"/>
      <x:c r="QNB66" s="293"/>
      <x:c r="QNC66" s="293"/>
      <x:c r="QND66" s="293"/>
      <x:c r="QNE66" s="293"/>
      <x:c r="QNF66" s="293"/>
      <x:c r="QNG66" s="293"/>
      <x:c r="QNH66" s="293"/>
      <x:c r="QNI66" s="293"/>
      <x:c r="QNJ66" s="293"/>
      <x:c r="QNK66" s="293"/>
      <x:c r="QNL66" s="293"/>
      <x:c r="QNM66" s="293"/>
      <x:c r="QNN66" s="293"/>
      <x:c r="QNO66" s="293"/>
      <x:c r="QNP66" s="293"/>
      <x:c r="QNQ66" s="293"/>
      <x:c r="QNR66" s="293"/>
      <x:c r="QNS66" s="293"/>
      <x:c r="QNT66" s="293"/>
      <x:c r="QNU66" s="293"/>
      <x:c r="QNV66" s="293"/>
      <x:c r="QNW66" s="293"/>
      <x:c r="QNX66" s="293"/>
      <x:c r="QNY66" s="293"/>
      <x:c r="QNZ66" s="293"/>
      <x:c r="QOA66" s="293"/>
      <x:c r="QOB66" s="293"/>
      <x:c r="QOC66" s="293"/>
      <x:c r="QOD66" s="293"/>
      <x:c r="QOE66" s="293"/>
      <x:c r="QOF66" s="293"/>
      <x:c r="QOG66" s="293"/>
      <x:c r="QOH66" s="293"/>
      <x:c r="QOI66" s="293"/>
      <x:c r="QOJ66" s="293"/>
      <x:c r="QOK66" s="293"/>
      <x:c r="QOL66" s="293"/>
      <x:c r="QOM66" s="293"/>
      <x:c r="QON66" s="293"/>
      <x:c r="QOO66" s="293"/>
      <x:c r="QOP66" s="293"/>
      <x:c r="QOQ66" s="293"/>
      <x:c r="QOR66" s="293"/>
      <x:c r="QOS66" s="293"/>
      <x:c r="QOT66" s="293"/>
      <x:c r="QOU66" s="293"/>
      <x:c r="QOV66" s="293"/>
      <x:c r="QOW66" s="293"/>
      <x:c r="QOX66" s="293"/>
      <x:c r="QOY66" s="293"/>
      <x:c r="QOZ66" s="293"/>
      <x:c r="QPA66" s="293"/>
      <x:c r="QPB66" s="293"/>
      <x:c r="QPC66" s="293"/>
      <x:c r="QPD66" s="293"/>
      <x:c r="QPE66" s="293"/>
      <x:c r="QPF66" s="293"/>
      <x:c r="QPG66" s="293"/>
      <x:c r="QPH66" s="293"/>
      <x:c r="QPI66" s="293"/>
      <x:c r="QPJ66" s="293"/>
      <x:c r="QPK66" s="293"/>
      <x:c r="QPL66" s="293"/>
      <x:c r="QPM66" s="293"/>
      <x:c r="QPN66" s="293"/>
      <x:c r="QPO66" s="293"/>
      <x:c r="QPP66" s="293"/>
      <x:c r="QPQ66" s="293"/>
      <x:c r="QPR66" s="293"/>
      <x:c r="QPS66" s="293"/>
      <x:c r="QPT66" s="293"/>
      <x:c r="QPU66" s="293"/>
      <x:c r="QPV66" s="293"/>
      <x:c r="QPW66" s="293"/>
      <x:c r="QPX66" s="293"/>
      <x:c r="QPY66" s="293"/>
      <x:c r="QPZ66" s="293"/>
      <x:c r="QQA66" s="293"/>
      <x:c r="QQB66" s="293"/>
      <x:c r="QQC66" s="293"/>
      <x:c r="QQD66" s="293"/>
      <x:c r="QQE66" s="293"/>
      <x:c r="QQF66" s="293"/>
      <x:c r="QQG66" s="293"/>
      <x:c r="QQH66" s="293"/>
      <x:c r="QQI66" s="293"/>
      <x:c r="QQJ66" s="293"/>
      <x:c r="QQK66" s="293"/>
      <x:c r="QQL66" s="293"/>
      <x:c r="QQM66" s="293"/>
      <x:c r="QQN66" s="293"/>
      <x:c r="QQO66" s="293"/>
      <x:c r="QQP66" s="293"/>
      <x:c r="QQQ66" s="293"/>
      <x:c r="QQR66" s="293"/>
      <x:c r="QQS66" s="293"/>
      <x:c r="QQT66" s="293"/>
      <x:c r="QQU66" s="293"/>
      <x:c r="QQV66" s="293"/>
      <x:c r="QQW66" s="293"/>
      <x:c r="QQX66" s="293"/>
      <x:c r="QQY66" s="293"/>
      <x:c r="QQZ66" s="293"/>
      <x:c r="QRA66" s="293"/>
      <x:c r="QRB66" s="293"/>
      <x:c r="QRC66" s="293"/>
      <x:c r="QRD66" s="293"/>
      <x:c r="QRE66" s="293"/>
      <x:c r="QRF66" s="293"/>
      <x:c r="QRG66" s="293"/>
      <x:c r="QRH66" s="293"/>
      <x:c r="QRI66" s="293"/>
      <x:c r="QRJ66" s="293"/>
      <x:c r="QRK66" s="293"/>
      <x:c r="QRL66" s="293"/>
      <x:c r="QRM66" s="293"/>
      <x:c r="QRN66" s="293"/>
      <x:c r="QRO66" s="293"/>
      <x:c r="QRP66" s="293"/>
      <x:c r="QRQ66" s="293"/>
      <x:c r="QRR66" s="293"/>
      <x:c r="QRS66" s="293"/>
      <x:c r="QRT66" s="293"/>
      <x:c r="QRU66" s="293"/>
      <x:c r="QRV66" s="293"/>
      <x:c r="QRW66" s="293"/>
      <x:c r="QRX66" s="293"/>
      <x:c r="QRY66" s="293"/>
      <x:c r="QRZ66" s="293"/>
      <x:c r="QSA66" s="293"/>
      <x:c r="QSB66" s="293"/>
      <x:c r="QSC66" s="293"/>
      <x:c r="QSD66" s="293"/>
      <x:c r="QSE66" s="293"/>
      <x:c r="QSF66" s="293"/>
      <x:c r="QSG66" s="293"/>
      <x:c r="QSH66" s="293"/>
      <x:c r="QSI66" s="293"/>
      <x:c r="QSJ66" s="293"/>
      <x:c r="QSK66" s="293"/>
      <x:c r="QSL66" s="293"/>
      <x:c r="QSM66" s="293"/>
      <x:c r="QSN66" s="293"/>
      <x:c r="QSO66" s="293"/>
      <x:c r="QSP66" s="293"/>
      <x:c r="QSQ66" s="293"/>
      <x:c r="QSR66" s="293"/>
      <x:c r="QSS66" s="293"/>
      <x:c r="QST66" s="293"/>
      <x:c r="QSU66" s="293"/>
      <x:c r="QSV66" s="293"/>
      <x:c r="QSW66" s="293"/>
      <x:c r="QSX66" s="293"/>
      <x:c r="QSY66" s="293"/>
      <x:c r="QSZ66" s="293"/>
      <x:c r="QTA66" s="293"/>
      <x:c r="QTB66" s="293"/>
      <x:c r="QTC66" s="293"/>
      <x:c r="QTD66" s="293"/>
      <x:c r="QTE66" s="293"/>
      <x:c r="QTF66" s="293"/>
      <x:c r="QTG66" s="293"/>
      <x:c r="QTH66" s="293"/>
      <x:c r="QTI66" s="293"/>
      <x:c r="QTJ66" s="293"/>
      <x:c r="QTK66" s="293"/>
      <x:c r="QTL66" s="293"/>
      <x:c r="QTM66" s="293"/>
      <x:c r="QTN66" s="293"/>
      <x:c r="QTO66" s="293"/>
      <x:c r="QTP66" s="293"/>
      <x:c r="QTQ66" s="293"/>
      <x:c r="QTR66" s="293"/>
      <x:c r="QTS66" s="293"/>
      <x:c r="QTT66" s="293"/>
      <x:c r="QTU66" s="293"/>
      <x:c r="QTV66" s="293"/>
      <x:c r="QTW66" s="293"/>
      <x:c r="QTX66" s="293"/>
      <x:c r="QTY66" s="293"/>
      <x:c r="QTZ66" s="293"/>
      <x:c r="QUA66" s="293"/>
      <x:c r="QUB66" s="293"/>
      <x:c r="QUC66" s="293"/>
      <x:c r="QUD66" s="293"/>
      <x:c r="QUE66" s="293"/>
      <x:c r="QUF66" s="293"/>
      <x:c r="QUG66" s="293"/>
      <x:c r="QUH66" s="293"/>
      <x:c r="QUI66" s="293"/>
      <x:c r="QUJ66" s="293"/>
      <x:c r="QUK66" s="293"/>
      <x:c r="QUL66" s="293"/>
      <x:c r="QUM66" s="293"/>
      <x:c r="QUN66" s="293"/>
      <x:c r="QUO66" s="293"/>
      <x:c r="QUP66" s="293"/>
      <x:c r="QUQ66" s="293"/>
      <x:c r="QUR66" s="293"/>
      <x:c r="QUS66" s="293"/>
      <x:c r="QUT66" s="293"/>
      <x:c r="QUU66" s="293"/>
      <x:c r="QUV66" s="293"/>
      <x:c r="QUW66" s="293"/>
      <x:c r="QUX66" s="293"/>
      <x:c r="QUY66" s="293"/>
      <x:c r="QUZ66" s="293"/>
      <x:c r="QVA66" s="293"/>
      <x:c r="QVB66" s="293"/>
      <x:c r="QVC66" s="293"/>
      <x:c r="QVD66" s="293"/>
      <x:c r="QVE66" s="293"/>
      <x:c r="QVF66" s="293"/>
      <x:c r="QVG66" s="293"/>
      <x:c r="QVH66" s="293"/>
      <x:c r="QVI66" s="293"/>
      <x:c r="QVJ66" s="293"/>
      <x:c r="QVK66" s="293"/>
      <x:c r="QVL66" s="293"/>
      <x:c r="QVM66" s="293"/>
      <x:c r="QVN66" s="293"/>
      <x:c r="QVO66" s="293"/>
      <x:c r="QVP66" s="293"/>
      <x:c r="QVQ66" s="293"/>
      <x:c r="QVR66" s="293"/>
      <x:c r="QVS66" s="293"/>
      <x:c r="QVT66" s="293"/>
      <x:c r="QVU66" s="293"/>
      <x:c r="QVV66" s="293"/>
      <x:c r="QVW66" s="293"/>
      <x:c r="QVX66" s="293"/>
      <x:c r="QVY66" s="293"/>
      <x:c r="QVZ66" s="293"/>
      <x:c r="QWA66" s="293"/>
      <x:c r="QWB66" s="293"/>
      <x:c r="QWC66" s="293"/>
      <x:c r="QWD66" s="293"/>
      <x:c r="QWE66" s="293"/>
      <x:c r="QWF66" s="293"/>
      <x:c r="QWG66" s="293"/>
      <x:c r="QWH66" s="293"/>
      <x:c r="QWI66" s="293"/>
      <x:c r="QWJ66" s="293"/>
      <x:c r="QWK66" s="293"/>
      <x:c r="QWL66" s="293"/>
      <x:c r="QWM66" s="293"/>
      <x:c r="QWN66" s="293"/>
      <x:c r="QWO66" s="293"/>
      <x:c r="QWP66" s="293"/>
      <x:c r="QWQ66" s="293"/>
      <x:c r="QWR66" s="293"/>
      <x:c r="QWS66" s="293"/>
      <x:c r="QWT66" s="293"/>
      <x:c r="QWU66" s="293"/>
      <x:c r="QWV66" s="293"/>
      <x:c r="QWW66" s="293"/>
      <x:c r="QWX66" s="293"/>
      <x:c r="QWY66" s="293"/>
      <x:c r="QWZ66" s="293"/>
      <x:c r="QXA66" s="293"/>
      <x:c r="QXB66" s="293"/>
      <x:c r="QXC66" s="293"/>
      <x:c r="QXD66" s="293"/>
      <x:c r="QXE66" s="293"/>
      <x:c r="QXF66" s="293"/>
      <x:c r="QXG66" s="293"/>
      <x:c r="QXH66" s="293"/>
      <x:c r="QXI66" s="293"/>
      <x:c r="QXJ66" s="293"/>
      <x:c r="QXK66" s="293"/>
      <x:c r="QXL66" s="293"/>
      <x:c r="QXM66" s="293"/>
      <x:c r="QXN66" s="293"/>
      <x:c r="QXO66" s="293"/>
      <x:c r="QXP66" s="293"/>
      <x:c r="QXQ66" s="293"/>
      <x:c r="QXR66" s="293"/>
      <x:c r="QXS66" s="293"/>
      <x:c r="QXT66" s="293"/>
      <x:c r="QXU66" s="293"/>
      <x:c r="QXV66" s="293"/>
      <x:c r="QXW66" s="293"/>
      <x:c r="QXX66" s="293"/>
      <x:c r="QXY66" s="293"/>
      <x:c r="QXZ66" s="293"/>
      <x:c r="QYA66" s="293"/>
      <x:c r="QYB66" s="293"/>
      <x:c r="QYC66" s="293"/>
      <x:c r="QYD66" s="293"/>
      <x:c r="QYE66" s="293"/>
      <x:c r="QYF66" s="293"/>
      <x:c r="QYG66" s="293"/>
      <x:c r="QYH66" s="293"/>
      <x:c r="QYI66" s="293"/>
      <x:c r="QYJ66" s="293"/>
      <x:c r="QYK66" s="293"/>
      <x:c r="QYL66" s="293"/>
      <x:c r="QYM66" s="293"/>
      <x:c r="QYN66" s="293"/>
      <x:c r="QYO66" s="293"/>
      <x:c r="QYP66" s="293"/>
      <x:c r="QYQ66" s="293"/>
      <x:c r="QYR66" s="293"/>
      <x:c r="QYS66" s="293"/>
      <x:c r="QYT66" s="293"/>
      <x:c r="QYU66" s="293"/>
      <x:c r="QYV66" s="293"/>
      <x:c r="QYW66" s="293"/>
      <x:c r="QYX66" s="293"/>
      <x:c r="QYY66" s="293"/>
      <x:c r="QYZ66" s="293"/>
      <x:c r="QZA66" s="293"/>
      <x:c r="QZB66" s="293"/>
      <x:c r="QZC66" s="293"/>
      <x:c r="QZD66" s="293"/>
      <x:c r="QZE66" s="293"/>
      <x:c r="QZF66" s="293"/>
      <x:c r="QZG66" s="293"/>
      <x:c r="QZH66" s="293"/>
      <x:c r="QZI66" s="293"/>
      <x:c r="QZJ66" s="293"/>
      <x:c r="QZK66" s="293"/>
      <x:c r="QZL66" s="293"/>
      <x:c r="QZM66" s="293"/>
      <x:c r="QZN66" s="293"/>
      <x:c r="QZO66" s="293"/>
      <x:c r="QZP66" s="293"/>
      <x:c r="QZQ66" s="293"/>
      <x:c r="QZR66" s="293"/>
      <x:c r="QZS66" s="293"/>
      <x:c r="QZT66" s="293"/>
      <x:c r="QZU66" s="293"/>
      <x:c r="QZV66" s="293"/>
      <x:c r="QZW66" s="293"/>
      <x:c r="QZX66" s="293"/>
      <x:c r="QZY66" s="293"/>
      <x:c r="QZZ66" s="293"/>
      <x:c r="RAA66" s="293"/>
      <x:c r="RAB66" s="293"/>
      <x:c r="RAC66" s="293"/>
      <x:c r="RAD66" s="293"/>
      <x:c r="RAE66" s="293"/>
      <x:c r="RAF66" s="293"/>
      <x:c r="RAG66" s="293"/>
      <x:c r="RAH66" s="293"/>
      <x:c r="RAI66" s="293"/>
      <x:c r="RAJ66" s="293"/>
      <x:c r="RAK66" s="293"/>
      <x:c r="RAL66" s="293"/>
      <x:c r="RAM66" s="293"/>
      <x:c r="RAN66" s="293"/>
      <x:c r="RAO66" s="293"/>
      <x:c r="RAP66" s="293"/>
      <x:c r="RAQ66" s="293"/>
      <x:c r="RAR66" s="293"/>
      <x:c r="RAS66" s="293"/>
      <x:c r="RAT66" s="293"/>
      <x:c r="RAU66" s="293"/>
      <x:c r="RAV66" s="293"/>
      <x:c r="RAW66" s="293"/>
      <x:c r="RAX66" s="293"/>
      <x:c r="RAY66" s="293"/>
      <x:c r="RAZ66" s="293"/>
      <x:c r="RBA66" s="293"/>
      <x:c r="RBB66" s="293"/>
      <x:c r="RBC66" s="293"/>
      <x:c r="RBD66" s="293"/>
      <x:c r="RBE66" s="293"/>
      <x:c r="RBF66" s="293"/>
      <x:c r="RBG66" s="293"/>
      <x:c r="RBH66" s="293"/>
      <x:c r="RBI66" s="293"/>
      <x:c r="RBJ66" s="293"/>
      <x:c r="RBK66" s="293"/>
      <x:c r="RBL66" s="293"/>
      <x:c r="RBM66" s="293"/>
      <x:c r="RBN66" s="293"/>
      <x:c r="RBO66" s="293"/>
      <x:c r="RBP66" s="293"/>
      <x:c r="RBQ66" s="293"/>
      <x:c r="RBR66" s="293"/>
      <x:c r="RBS66" s="293"/>
      <x:c r="RBT66" s="293"/>
      <x:c r="RBU66" s="293"/>
      <x:c r="RBV66" s="293"/>
      <x:c r="RBW66" s="293"/>
      <x:c r="RBX66" s="293"/>
      <x:c r="RBY66" s="293"/>
      <x:c r="RBZ66" s="293"/>
      <x:c r="RCA66" s="293"/>
      <x:c r="RCB66" s="293"/>
      <x:c r="RCC66" s="293"/>
      <x:c r="RCD66" s="293"/>
      <x:c r="RCE66" s="293"/>
      <x:c r="RCF66" s="293"/>
      <x:c r="RCG66" s="293"/>
      <x:c r="RCH66" s="293"/>
      <x:c r="RCI66" s="293"/>
      <x:c r="RCJ66" s="293"/>
      <x:c r="RCK66" s="293"/>
      <x:c r="RCL66" s="293"/>
      <x:c r="RCM66" s="293"/>
      <x:c r="RCN66" s="293"/>
      <x:c r="RCO66" s="293"/>
      <x:c r="RCP66" s="293"/>
      <x:c r="RCQ66" s="293"/>
      <x:c r="RCR66" s="293"/>
      <x:c r="RCS66" s="293"/>
      <x:c r="RCT66" s="293"/>
      <x:c r="RCU66" s="293"/>
      <x:c r="RCV66" s="293"/>
      <x:c r="RCW66" s="293"/>
      <x:c r="RCX66" s="293"/>
      <x:c r="RCY66" s="293"/>
      <x:c r="RCZ66" s="293"/>
      <x:c r="RDA66" s="293"/>
      <x:c r="RDB66" s="293"/>
      <x:c r="RDC66" s="293"/>
      <x:c r="RDD66" s="293"/>
      <x:c r="RDE66" s="293"/>
      <x:c r="RDF66" s="293"/>
      <x:c r="RDG66" s="293"/>
      <x:c r="RDH66" s="293"/>
      <x:c r="RDI66" s="293"/>
      <x:c r="RDJ66" s="293"/>
      <x:c r="RDK66" s="293"/>
      <x:c r="RDL66" s="293"/>
      <x:c r="RDM66" s="293"/>
      <x:c r="RDN66" s="293"/>
      <x:c r="RDO66" s="293"/>
      <x:c r="RDP66" s="293"/>
      <x:c r="RDQ66" s="293"/>
      <x:c r="RDR66" s="293"/>
      <x:c r="RDS66" s="293"/>
      <x:c r="RDT66" s="293"/>
      <x:c r="RDU66" s="293"/>
      <x:c r="RDV66" s="293"/>
      <x:c r="RDW66" s="293"/>
      <x:c r="RDX66" s="293"/>
      <x:c r="RDY66" s="293"/>
      <x:c r="RDZ66" s="293"/>
      <x:c r="REA66" s="293"/>
      <x:c r="REB66" s="293"/>
      <x:c r="REC66" s="293"/>
      <x:c r="RED66" s="293"/>
      <x:c r="REE66" s="293"/>
      <x:c r="REF66" s="293"/>
      <x:c r="REG66" s="293"/>
      <x:c r="REH66" s="293"/>
      <x:c r="REI66" s="293"/>
      <x:c r="REJ66" s="293"/>
      <x:c r="REK66" s="293"/>
      <x:c r="REL66" s="293"/>
      <x:c r="REM66" s="293"/>
      <x:c r="REN66" s="293"/>
      <x:c r="REO66" s="293"/>
      <x:c r="REP66" s="293"/>
      <x:c r="REQ66" s="293"/>
      <x:c r="RER66" s="293"/>
      <x:c r="RES66" s="293"/>
      <x:c r="RET66" s="293"/>
      <x:c r="REU66" s="293"/>
      <x:c r="REV66" s="293"/>
      <x:c r="REW66" s="293"/>
      <x:c r="REX66" s="293"/>
      <x:c r="REY66" s="293"/>
      <x:c r="REZ66" s="293"/>
      <x:c r="RFA66" s="293"/>
      <x:c r="RFB66" s="293"/>
      <x:c r="RFC66" s="293"/>
      <x:c r="RFD66" s="293"/>
      <x:c r="RFE66" s="293"/>
      <x:c r="RFF66" s="293"/>
      <x:c r="RFG66" s="293"/>
      <x:c r="RFH66" s="293"/>
      <x:c r="RFI66" s="293"/>
      <x:c r="RFJ66" s="293"/>
      <x:c r="RFK66" s="293"/>
      <x:c r="RFL66" s="293"/>
      <x:c r="RFM66" s="293"/>
      <x:c r="RFN66" s="293"/>
      <x:c r="RFO66" s="293"/>
      <x:c r="RFP66" s="293"/>
      <x:c r="RFQ66" s="293"/>
      <x:c r="RFR66" s="293"/>
      <x:c r="RFS66" s="293"/>
      <x:c r="RFT66" s="293"/>
      <x:c r="RFU66" s="293"/>
      <x:c r="RFV66" s="293"/>
      <x:c r="RFW66" s="293"/>
      <x:c r="RFX66" s="293"/>
      <x:c r="RFY66" s="293"/>
      <x:c r="RFZ66" s="293"/>
      <x:c r="RGA66" s="293"/>
      <x:c r="RGB66" s="293"/>
      <x:c r="RGC66" s="293"/>
      <x:c r="RGD66" s="293"/>
      <x:c r="RGE66" s="293"/>
      <x:c r="RGF66" s="293"/>
      <x:c r="RGG66" s="293"/>
      <x:c r="RGH66" s="293"/>
      <x:c r="RGI66" s="293"/>
      <x:c r="RGJ66" s="293"/>
      <x:c r="RGK66" s="293"/>
      <x:c r="RGL66" s="293"/>
      <x:c r="RGM66" s="293"/>
      <x:c r="RGN66" s="293"/>
      <x:c r="RGO66" s="293"/>
      <x:c r="RGP66" s="293"/>
      <x:c r="RGQ66" s="293"/>
      <x:c r="RGR66" s="293"/>
      <x:c r="RGS66" s="293"/>
      <x:c r="RGT66" s="293"/>
      <x:c r="RGU66" s="293"/>
      <x:c r="RGV66" s="293"/>
      <x:c r="RGW66" s="293"/>
      <x:c r="RGX66" s="293"/>
      <x:c r="RGY66" s="293"/>
      <x:c r="RGZ66" s="293"/>
      <x:c r="RHA66" s="293"/>
      <x:c r="RHB66" s="293"/>
      <x:c r="RHC66" s="293"/>
      <x:c r="RHD66" s="293"/>
      <x:c r="RHE66" s="293"/>
      <x:c r="RHF66" s="293"/>
      <x:c r="RHG66" s="293"/>
      <x:c r="RHH66" s="293"/>
      <x:c r="RHI66" s="293"/>
      <x:c r="RHJ66" s="293"/>
      <x:c r="RHK66" s="293"/>
      <x:c r="RHL66" s="293"/>
      <x:c r="RHM66" s="293"/>
      <x:c r="RHN66" s="293"/>
      <x:c r="RHO66" s="293"/>
      <x:c r="RHP66" s="293"/>
      <x:c r="RHQ66" s="293"/>
      <x:c r="RHR66" s="293"/>
      <x:c r="RHS66" s="293"/>
      <x:c r="RHT66" s="293"/>
      <x:c r="RHU66" s="293"/>
      <x:c r="RHV66" s="293"/>
      <x:c r="RHW66" s="293"/>
      <x:c r="RHX66" s="293"/>
      <x:c r="RHY66" s="293"/>
      <x:c r="RHZ66" s="293"/>
      <x:c r="RIA66" s="293"/>
      <x:c r="RIB66" s="293"/>
      <x:c r="RIC66" s="293"/>
      <x:c r="RID66" s="293"/>
      <x:c r="RIE66" s="293"/>
      <x:c r="RIF66" s="293"/>
      <x:c r="RIG66" s="293"/>
      <x:c r="RIH66" s="293"/>
      <x:c r="RII66" s="293"/>
      <x:c r="RIJ66" s="293"/>
      <x:c r="RIK66" s="293"/>
      <x:c r="RIL66" s="293"/>
      <x:c r="RIM66" s="293"/>
      <x:c r="RIN66" s="293"/>
      <x:c r="RIO66" s="293"/>
      <x:c r="RIP66" s="293"/>
      <x:c r="RIQ66" s="293"/>
      <x:c r="RIR66" s="293"/>
      <x:c r="RIS66" s="293"/>
      <x:c r="RIT66" s="293"/>
      <x:c r="RIU66" s="293"/>
      <x:c r="RIV66" s="293"/>
      <x:c r="RIW66" s="293"/>
      <x:c r="RIX66" s="293"/>
      <x:c r="RIY66" s="293"/>
      <x:c r="RIZ66" s="293"/>
      <x:c r="RJA66" s="293"/>
      <x:c r="RJB66" s="293"/>
      <x:c r="RJC66" s="293"/>
      <x:c r="RJD66" s="293"/>
      <x:c r="RJE66" s="293"/>
      <x:c r="RJF66" s="293"/>
      <x:c r="RJG66" s="293"/>
      <x:c r="RJH66" s="293"/>
      <x:c r="RJI66" s="293"/>
      <x:c r="RJJ66" s="293"/>
      <x:c r="RJK66" s="293"/>
      <x:c r="RJL66" s="293"/>
      <x:c r="RJM66" s="293"/>
      <x:c r="RJN66" s="293"/>
      <x:c r="RJO66" s="293"/>
      <x:c r="RJP66" s="293"/>
      <x:c r="RJQ66" s="293"/>
      <x:c r="RJR66" s="293"/>
      <x:c r="RJS66" s="293"/>
      <x:c r="RJT66" s="293"/>
      <x:c r="RJU66" s="293"/>
      <x:c r="RJV66" s="293"/>
      <x:c r="RJW66" s="293"/>
      <x:c r="RJX66" s="293"/>
      <x:c r="RJY66" s="293"/>
      <x:c r="RJZ66" s="293"/>
      <x:c r="RKA66" s="293"/>
      <x:c r="RKB66" s="293"/>
      <x:c r="RKC66" s="293"/>
      <x:c r="RKD66" s="293"/>
      <x:c r="RKE66" s="293"/>
      <x:c r="RKF66" s="293"/>
      <x:c r="RKG66" s="293"/>
      <x:c r="RKH66" s="293"/>
      <x:c r="RKI66" s="293"/>
      <x:c r="RKJ66" s="293"/>
      <x:c r="RKK66" s="293"/>
      <x:c r="RKL66" s="293"/>
      <x:c r="RKM66" s="293"/>
      <x:c r="RKN66" s="293"/>
      <x:c r="RKO66" s="293"/>
      <x:c r="RKP66" s="293"/>
      <x:c r="RKQ66" s="293"/>
      <x:c r="RKR66" s="293"/>
      <x:c r="RKS66" s="293"/>
      <x:c r="RKT66" s="293"/>
      <x:c r="RKU66" s="293"/>
      <x:c r="RKV66" s="293"/>
      <x:c r="RKW66" s="293"/>
      <x:c r="RKX66" s="293"/>
      <x:c r="RKY66" s="293"/>
      <x:c r="RKZ66" s="293"/>
      <x:c r="RLA66" s="293"/>
      <x:c r="RLB66" s="293"/>
      <x:c r="RLC66" s="293"/>
      <x:c r="RLD66" s="293"/>
      <x:c r="RLE66" s="293"/>
      <x:c r="RLF66" s="293"/>
      <x:c r="RLG66" s="293"/>
      <x:c r="RLH66" s="293"/>
      <x:c r="RLI66" s="293"/>
      <x:c r="RLJ66" s="293"/>
      <x:c r="RLK66" s="293"/>
      <x:c r="RLL66" s="293"/>
      <x:c r="RLM66" s="293"/>
      <x:c r="RLN66" s="293"/>
      <x:c r="RLO66" s="293"/>
      <x:c r="RLP66" s="293"/>
      <x:c r="RLQ66" s="293"/>
      <x:c r="RLR66" s="293"/>
      <x:c r="RLS66" s="293"/>
      <x:c r="RLT66" s="293"/>
      <x:c r="RLU66" s="293"/>
      <x:c r="RLV66" s="293"/>
      <x:c r="RLW66" s="293"/>
      <x:c r="RLX66" s="293"/>
      <x:c r="RLY66" s="293"/>
      <x:c r="RLZ66" s="293"/>
      <x:c r="RMA66" s="293"/>
      <x:c r="RMB66" s="293"/>
      <x:c r="RMC66" s="293"/>
      <x:c r="RMD66" s="293"/>
      <x:c r="RME66" s="293"/>
      <x:c r="RMF66" s="293"/>
      <x:c r="RMG66" s="293"/>
      <x:c r="RMH66" s="293"/>
      <x:c r="RMI66" s="293"/>
      <x:c r="RMJ66" s="293"/>
      <x:c r="RMK66" s="293"/>
      <x:c r="RML66" s="293"/>
      <x:c r="RMM66" s="293"/>
      <x:c r="RMN66" s="293"/>
      <x:c r="RMO66" s="293"/>
      <x:c r="RMP66" s="293"/>
      <x:c r="RMQ66" s="293"/>
      <x:c r="RMR66" s="293"/>
      <x:c r="RMS66" s="293"/>
      <x:c r="RMT66" s="293"/>
      <x:c r="RMU66" s="293"/>
      <x:c r="RMV66" s="293"/>
      <x:c r="RMW66" s="293"/>
      <x:c r="RMX66" s="293"/>
      <x:c r="RMY66" s="293"/>
      <x:c r="RMZ66" s="293"/>
      <x:c r="RNA66" s="293"/>
      <x:c r="RNB66" s="293"/>
      <x:c r="RNC66" s="293"/>
      <x:c r="RND66" s="293"/>
      <x:c r="RNE66" s="293"/>
      <x:c r="RNF66" s="293"/>
      <x:c r="RNG66" s="293"/>
      <x:c r="RNH66" s="293"/>
      <x:c r="RNI66" s="293"/>
      <x:c r="RNJ66" s="293"/>
      <x:c r="RNK66" s="293"/>
      <x:c r="RNL66" s="293"/>
      <x:c r="RNM66" s="293"/>
      <x:c r="RNN66" s="293"/>
      <x:c r="RNO66" s="293"/>
      <x:c r="RNP66" s="293"/>
      <x:c r="RNQ66" s="293"/>
      <x:c r="RNR66" s="293"/>
      <x:c r="RNS66" s="293"/>
      <x:c r="RNT66" s="293"/>
      <x:c r="RNU66" s="293"/>
      <x:c r="RNV66" s="293"/>
      <x:c r="RNW66" s="293"/>
      <x:c r="RNX66" s="293"/>
      <x:c r="RNY66" s="293"/>
      <x:c r="RNZ66" s="293"/>
      <x:c r="ROA66" s="293"/>
      <x:c r="ROB66" s="293"/>
      <x:c r="ROC66" s="293"/>
      <x:c r="ROD66" s="293"/>
      <x:c r="ROE66" s="293"/>
      <x:c r="ROF66" s="293"/>
      <x:c r="ROG66" s="293"/>
      <x:c r="ROH66" s="293"/>
      <x:c r="ROI66" s="293"/>
      <x:c r="ROJ66" s="293"/>
      <x:c r="ROK66" s="293"/>
      <x:c r="ROL66" s="293"/>
      <x:c r="ROM66" s="293"/>
      <x:c r="RON66" s="293"/>
      <x:c r="ROO66" s="293"/>
      <x:c r="ROP66" s="293"/>
      <x:c r="ROQ66" s="293"/>
      <x:c r="ROR66" s="293"/>
      <x:c r="ROS66" s="293"/>
      <x:c r="ROT66" s="293"/>
      <x:c r="ROU66" s="293"/>
      <x:c r="ROV66" s="293"/>
      <x:c r="ROW66" s="293"/>
      <x:c r="ROX66" s="293"/>
      <x:c r="ROY66" s="293"/>
      <x:c r="ROZ66" s="293"/>
      <x:c r="RPA66" s="293"/>
      <x:c r="RPB66" s="293"/>
      <x:c r="RPC66" s="293"/>
      <x:c r="RPD66" s="293"/>
      <x:c r="RPE66" s="293"/>
      <x:c r="RPF66" s="293"/>
      <x:c r="RPG66" s="293"/>
      <x:c r="RPH66" s="293"/>
      <x:c r="RPI66" s="293"/>
      <x:c r="RPJ66" s="293"/>
      <x:c r="RPK66" s="293"/>
      <x:c r="RPL66" s="293"/>
      <x:c r="RPM66" s="293"/>
      <x:c r="RPN66" s="293"/>
      <x:c r="RPO66" s="293"/>
      <x:c r="RPP66" s="293"/>
      <x:c r="RPQ66" s="293"/>
      <x:c r="RPR66" s="293"/>
      <x:c r="RPS66" s="293"/>
      <x:c r="RPT66" s="293"/>
      <x:c r="RPU66" s="293"/>
      <x:c r="RPV66" s="293"/>
      <x:c r="RPW66" s="293"/>
      <x:c r="RPX66" s="293"/>
      <x:c r="RPY66" s="293"/>
      <x:c r="RPZ66" s="293"/>
      <x:c r="RQA66" s="293"/>
      <x:c r="RQB66" s="293"/>
      <x:c r="RQC66" s="293"/>
      <x:c r="RQD66" s="293"/>
      <x:c r="RQE66" s="293"/>
      <x:c r="RQF66" s="293"/>
      <x:c r="RQG66" s="293"/>
      <x:c r="RQH66" s="293"/>
      <x:c r="RQI66" s="293"/>
      <x:c r="RQJ66" s="293"/>
      <x:c r="RQK66" s="293"/>
      <x:c r="RQL66" s="293"/>
      <x:c r="RQM66" s="293"/>
      <x:c r="RQN66" s="293"/>
      <x:c r="RQO66" s="293"/>
      <x:c r="RQP66" s="293"/>
      <x:c r="RQQ66" s="293"/>
      <x:c r="RQR66" s="293"/>
      <x:c r="RQS66" s="293"/>
      <x:c r="RQT66" s="293"/>
      <x:c r="RQU66" s="293"/>
      <x:c r="RQV66" s="293"/>
      <x:c r="RQW66" s="293"/>
      <x:c r="RQX66" s="293"/>
      <x:c r="RQY66" s="293"/>
      <x:c r="RQZ66" s="293"/>
      <x:c r="RRA66" s="293"/>
      <x:c r="RRB66" s="293"/>
      <x:c r="RRC66" s="293"/>
      <x:c r="RRD66" s="293"/>
      <x:c r="RRE66" s="293"/>
      <x:c r="RRF66" s="293"/>
      <x:c r="RRG66" s="293"/>
      <x:c r="RRH66" s="293"/>
      <x:c r="RRI66" s="293"/>
      <x:c r="RRJ66" s="293"/>
      <x:c r="RRK66" s="293"/>
      <x:c r="RRL66" s="293"/>
      <x:c r="RRM66" s="293"/>
      <x:c r="RRN66" s="293"/>
      <x:c r="RRO66" s="293"/>
      <x:c r="RRP66" s="293"/>
      <x:c r="RRQ66" s="293"/>
      <x:c r="RRR66" s="293"/>
      <x:c r="RRS66" s="293"/>
      <x:c r="RRT66" s="293"/>
      <x:c r="RRU66" s="293"/>
      <x:c r="RRV66" s="293"/>
      <x:c r="RRW66" s="293"/>
      <x:c r="RRX66" s="293"/>
      <x:c r="RRY66" s="293"/>
      <x:c r="RRZ66" s="293"/>
      <x:c r="RSA66" s="293"/>
      <x:c r="RSB66" s="293"/>
      <x:c r="RSC66" s="293"/>
      <x:c r="RSD66" s="293"/>
      <x:c r="RSE66" s="293"/>
      <x:c r="RSF66" s="293"/>
      <x:c r="RSG66" s="293"/>
      <x:c r="RSH66" s="293"/>
      <x:c r="RSI66" s="293"/>
      <x:c r="RSJ66" s="293"/>
      <x:c r="RSK66" s="293"/>
      <x:c r="RSL66" s="293"/>
      <x:c r="RSM66" s="293"/>
      <x:c r="RSN66" s="293"/>
      <x:c r="RSO66" s="293"/>
      <x:c r="RSP66" s="293"/>
      <x:c r="RSQ66" s="293"/>
      <x:c r="RSR66" s="293"/>
      <x:c r="RSS66" s="293"/>
      <x:c r="RST66" s="293"/>
      <x:c r="RSU66" s="293"/>
      <x:c r="RSV66" s="293"/>
      <x:c r="RSW66" s="293"/>
      <x:c r="RSX66" s="293"/>
      <x:c r="RSY66" s="293"/>
      <x:c r="RSZ66" s="293"/>
      <x:c r="RTA66" s="293"/>
      <x:c r="RTB66" s="293"/>
      <x:c r="RTC66" s="293"/>
      <x:c r="RTD66" s="293"/>
      <x:c r="RTE66" s="293"/>
      <x:c r="RTF66" s="293"/>
      <x:c r="RTG66" s="293"/>
      <x:c r="RTH66" s="293"/>
      <x:c r="RTI66" s="293"/>
      <x:c r="RTJ66" s="293"/>
      <x:c r="RTK66" s="293"/>
      <x:c r="RTL66" s="293"/>
      <x:c r="RTM66" s="293"/>
      <x:c r="RTN66" s="293"/>
      <x:c r="RTO66" s="293"/>
      <x:c r="RTP66" s="293"/>
      <x:c r="RTQ66" s="293"/>
      <x:c r="RTR66" s="293"/>
      <x:c r="RTS66" s="293"/>
      <x:c r="RTT66" s="293"/>
      <x:c r="RTU66" s="293"/>
      <x:c r="RTV66" s="293"/>
      <x:c r="RTW66" s="293"/>
      <x:c r="RTX66" s="293"/>
      <x:c r="RTY66" s="293"/>
      <x:c r="RTZ66" s="293"/>
      <x:c r="RUA66" s="293"/>
      <x:c r="RUB66" s="293"/>
      <x:c r="RUC66" s="293"/>
      <x:c r="RUD66" s="293"/>
      <x:c r="RUE66" s="293"/>
      <x:c r="RUF66" s="293"/>
      <x:c r="RUG66" s="293"/>
      <x:c r="RUH66" s="293"/>
      <x:c r="RUI66" s="293"/>
      <x:c r="RUJ66" s="293"/>
      <x:c r="RUK66" s="293"/>
      <x:c r="RUL66" s="293"/>
      <x:c r="RUM66" s="293"/>
      <x:c r="RUN66" s="293"/>
      <x:c r="RUO66" s="293"/>
      <x:c r="RUP66" s="293"/>
      <x:c r="RUQ66" s="293"/>
      <x:c r="RUR66" s="293"/>
      <x:c r="RUS66" s="293"/>
      <x:c r="RUT66" s="293"/>
      <x:c r="RUU66" s="293"/>
      <x:c r="RUV66" s="293"/>
      <x:c r="RUW66" s="293"/>
      <x:c r="RUX66" s="293"/>
      <x:c r="RUY66" s="293"/>
      <x:c r="RUZ66" s="293"/>
      <x:c r="RVA66" s="293"/>
      <x:c r="RVB66" s="293"/>
      <x:c r="RVC66" s="293"/>
      <x:c r="RVD66" s="293"/>
      <x:c r="RVE66" s="293"/>
      <x:c r="RVF66" s="293"/>
      <x:c r="RVG66" s="293"/>
      <x:c r="RVH66" s="293"/>
      <x:c r="RVI66" s="293"/>
      <x:c r="RVJ66" s="293"/>
      <x:c r="RVK66" s="293"/>
      <x:c r="RVL66" s="293"/>
      <x:c r="RVM66" s="293"/>
      <x:c r="RVN66" s="293"/>
      <x:c r="RVO66" s="293"/>
      <x:c r="RVP66" s="293"/>
      <x:c r="RVQ66" s="293"/>
      <x:c r="RVR66" s="293"/>
      <x:c r="RVS66" s="293"/>
      <x:c r="RVT66" s="293"/>
      <x:c r="RVU66" s="293"/>
      <x:c r="RVV66" s="293"/>
      <x:c r="RVW66" s="293"/>
      <x:c r="RVX66" s="293"/>
      <x:c r="RVY66" s="293"/>
      <x:c r="RVZ66" s="293"/>
      <x:c r="RWA66" s="293"/>
      <x:c r="RWB66" s="293"/>
      <x:c r="RWC66" s="293"/>
      <x:c r="RWD66" s="293"/>
      <x:c r="RWE66" s="293"/>
      <x:c r="RWF66" s="293"/>
      <x:c r="RWG66" s="293"/>
      <x:c r="RWH66" s="293"/>
      <x:c r="RWI66" s="293"/>
      <x:c r="RWJ66" s="293"/>
      <x:c r="RWK66" s="293"/>
      <x:c r="RWL66" s="293"/>
      <x:c r="RWM66" s="293"/>
      <x:c r="RWN66" s="293"/>
      <x:c r="RWO66" s="293"/>
      <x:c r="RWP66" s="293"/>
      <x:c r="RWQ66" s="293"/>
      <x:c r="RWR66" s="293"/>
      <x:c r="RWS66" s="293"/>
      <x:c r="RWT66" s="293"/>
      <x:c r="RWU66" s="293"/>
      <x:c r="RWV66" s="293"/>
      <x:c r="RWW66" s="293"/>
      <x:c r="RWX66" s="293"/>
      <x:c r="RWY66" s="293"/>
      <x:c r="RWZ66" s="293"/>
      <x:c r="RXA66" s="293"/>
      <x:c r="RXB66" s="293"/>
      <x:c r="RXC66" s="293"/>
      <x:c r="RXD66" s="293"/>
      <x:c r="RXE66" s="293"/>
      <x:c r="RXF66" s="293"/>
      <x:c r="RXG66" s="293"/>
      <x:c r="RXH66" s="293"/>
      <x:c r="RXI66" s="293"/>
      <x:c r="RXJ66" s="293"/>
      <x:c r="RXK66" s="293"/>
      <x:c r="RXL66" s="293"/>
      <x:c r="RXM66" s="293"/>
      <x:c r="RXN66" s="293"/>
      <x:c r="RXO66" s="293"/>
      <x:c r="RXP66" s="293"/>
      <x:c r="RXQ66" s="293"/>
      <x:c r="RXR66" s="293"/>
      <x:c r="RXS66" s="293"/>
      <x:c r="RXT66" s="293"/>
      <x:c r="RXU66" s="293"/>
      <x:c r="RXV66" s="293"/>
      <x:c r="RXW66" s="293"/>
      <x:c r="RXX66" s="293"/>
      <x:c r="RXY66" s="293"/>
      <x:c r="RXZ66" s="293"/>
      <x:c r="RYA66" s="293"/>
      <x:c r="RYB66" s="293"/>
      <x:c r="RYC66" s="293"/>
      <x:c r="RYD66" s="293"/>
      <x:c r="RYE66" s="293"/>
      <x:c r="RYF66" s="293"/>
      <x:c r="RYG66" s="293"/>
      <x:c r="RYH66" s="293"/>
      <x:c r="RYI66" s="293"/>
      <x:c r="RYJ66" s="293"/>
      <x:c r="RYK66" s="293"/>
      <x:c r="RYL66" s="293"/>
      <x:c r="RYM66" s="293"/>
      <x:c r="RYN66" s="293"/>
      <x:c r="RYO66" s="293"/>
      <x:c r="RYP66" s="293"/>
      <x:c r="RYQ66" s="293"/>
      <x:c r="RYR66" s="293"/>
      <x:c r="RYS66" s="293"/>
      <x:c r="RYT66" s="293"/>
      <x:c r="RYU66" s="293"/>
      <x:c r="RYV66" s="293"/>
      <x:c r="RYW66" s="293"/>
      <x:c r="RYX66" s="293"/>
      <x:c r="RYY66" s="293"/>
      <x:c r="RYZ66" s="293"/>
      <x:c r="RZA66" s="293"/>
      <x:c r="RZB66" s="293"/>
      <x:c r="RZC66" s="293"/>
      <x:c r="RZD66" s="293"/>
      <x:c r="RZE66" s="293"/>
      <x:c r="RZF66" s="293"/>
      <x:c r="RZG66" s="293"/>
      <x:c r="RZH66" s="293"/>
      <x:c r="RZI66" s="293"/>
      <x:c r="RZJ66" s="293"/>
      <x:c r="RZK66" s="293"/>
      <x:c r="RZL66" s="293"/>
      <x:c r="RZM66" s="293"/>
      <x:c r="RZN66" s="293"/>
      <x:c r="RZO66" s="293"/>
      <x:c r="RZP66" s="293"/>
      <x:c r="RZQ66" s="293"/>
      <x:c r="RZR66" s="293"/>
      <x:c r="RZS66" s="293"/>
      <x:c r="RZT66" s="293"/>
      <x:c r="RZU66" s="293"/>
      <x:c r="RZV66" s="293"/>
      <x:c r="RZW66" s="293"/>
      <x:c r="RZX66" s="293"/>
      <x:c r="RZY66" s="293"/>
      <x:c r="RZZ66" s="293"/>
      <x:c r="SAA66" s="293"/>
      <x:c r="SAB66" s="293"/>
      <x:c r="SAC66" s="293"/>
      <x:c r="SAD66" s="293"/>
      <x:c r="SAE66" s="293"/>
      <x:c r="SAF66" s="293"/>
      <x:c r="SAG66" s="293"/>
      <x:c r="SAH66" s="293"/>
      <x:c r="SAI66" s="293"/>
      <x:c r="SAJ66" s="293"/>
      <x:c r="SAK66" s="293"/>
      <x:c r="SAL66" s="293"/>
      <x:c r="SAM66" s="293"/>
      <x:c r="SAN66" s="293"/>
      <x:c r="SAO66" s="293"/>
      <x:c r="SAP66" s="293"/>
      <x:c r="SAQ66" s="293"/>
      <x:c r="SAR66" s="293"/>
      <x:c r="SAS66" s="293"/>
      <x:c r="SAT66" s="293"/>
      <x:c r="SAU66" s="293"/>
      <x:c r="SAV66" s="293"/>
      <x:c r="SAW66" s="293"/>
      <x:c r="SAX66" s="293"/>
      <x:c r="SAY66" s="293"/>
      <x:c r="SAZ66" s="293"/>
      <x:c r="SBA66" s="293"/>
      <x:c r="SBB66" s="293"/>
      <x:c r="SBC66" s="293"/>
      <x:c r="SBD66" s="293"/>
      <x:c r="SBE66" s="293"/>
      <x:c r="SBF66" s="293"/>
      <x:c r="SBG66" s="293"/>
      <x:c r="SBH66" s="293"/>
      <x:c r="SBI66" s="293"/>
      <x:c r="SBJ66" s="293"/>
      <x:c r="SBK66" s="293"/>
      <x:c r="SBL66" s="293"/>
      <x:c r="SBM66" s="293"/>
      <x:c r="SBN66" s="293"/>
      <x:c r="SBO66" s="293"/>
      <x:c r="SBP66" s="293"/>
      <x:c r="SBQ66" s="293"/>
      <x:c r="SBR66" s="293"/>
      <x:c r="SBS66" s="293"/>
      <x:c r="SBT66" s="293"/>
      <x:c r="SBU66" s="293"/>
      <x:c r="SBV66" s="293"/>
      <x:c r="SBW66" s="293"/>
      <x:c r="SBX66" s="293"/>
      <x:c r="SBY66" s="293"/>
      <x:c r="SBZ66" s="293"/>
      <x:c r="SCA66" s="293"/>
      <x:c r="SCB66" s="293"/>
      <x:c r="SCC66" s="293"/>
      <x:c r="SCD66" s="293"/>
      <x:c r="SCE66" s="293"/>
      <x:c r="SCF66" s="293"/>
      <x:c r="SCG66" s="293"/>
      <x:c r="SCH66" s="293"/>
      <x:c r="SCI66" s="293"/>
      <x:c r="SCJ66" s="293"/>
      <x:c r="SCK66" s="293"/>
      <x:c r="SCL66" s="293"/>
      <x:c r="SCM66" s="293"/>
      <x:c r="SCN66" s="293"/>
      <x:c r="SCO66" s="293"/>
      <x:c r="SCP66" s="293"/>
      <x:c r="SCQ66" s="293"/>
      <x:c r="SCR66" s="293"/>
      <x:c r="SCS66" s="293"/>
      <x:c r="SCT66" s="293"/>
      <x:c r="SCU66" s="293"/>
      <x:c r="SCV66" s="293"/>
      <x:c r="SCW66" s="293"/>
      <x:c r="SCX66" s="293"/>
      <x:c r="SCY66" s="293"/>
      <x:c r="SCZ66" s="293"/>
      <x:c r="SDA66" s="293"/>
      <x:c r="SDB66" s="293"/>
      <x:c r="SDC66" s="293"/>
      <x:c r="SDD66" s="293"/>
      <x:c r="SDE66" s="293"/>
      <x:c r="SDF66" s="293"/>
      <x:c r="SDG66" s="293"/>
      <x:c r="SDH66" s="293"/>
      <x:c r="SDI66" s="293"/>
      <x:c r="SDJ66" s="293"/>
      <x:c r="SDK66" s="293"/>
      <x:c r="SDL66" s="293"/>
      <x:c r="SDM66" s="293"/>
      <x:c r="SDN66" s="293"/>
      <x:c r="SDO66" s="293"/>
      <x:c r="SDP66" s="293"/>
      <x:c r="SDQ66" s="293"/>
      <x:c r="SDR66" s="293"/>
      <x:c r="SDS66" s="293"/>
      <x:c r="SDT66" s="293"/>
      <x:c r="SDU66" s="293"/>
      <x:c r="SDV66" s="293"/>
      <x:c r="SDW66" s="293"/>
      <x:c r="SDX66" s="293"/>
      <x:c r="SDY66" s="293"/>
      <x:c r="SDZ66" s="293"/>
      <x:c r="SEA66" s="293"/>
      <x:c r="SEB66" s="293"/>
      <x:c r="SEC66" s="293"/>
      <x:c r="SED66" s="293"/>
      <x:c r="SEE66" s="293"/>
      <x:c r="SEF66" s="293"/>
      <x:c r="SEG66" s="293"/>
      <x:c r="SEH66" s="293"/>
      <x:c r="SEI66" s="293"/>
      <x:c r="SEJ66" s="293"/>
      <x:c r="SEK66" s="293"/>
      <x:c r="SEL66" s="293"/>
      <x:c r="SEM66" s="293"/>
      <x:c r="SEN66" s="293"/>
      <x:c r="SEO66" s="293"/>
      <x:c r="SEP66" s="293"/>
      <x:c r="SEQ66" s="293"/>
      <x:c r="SER66" s="293"/>
      <x:c r="SES66" s="293"/>
      <x:c r="SET66" s="293"/>
      <x:c r="SEU66" s="293"/>
      <x:c r="SEV66" s="293"/>
      <x:c r="SEW66" s="293"/>
      <x:c r="SEX66" s="293"/>
      <x:c r="SEY66" s="293"/>
      <x:c r="SEZ66" s="293"/>
      <x:c r="SFA66" s="293"/>
      <x:c r="SFB66" s="293"/>
      <x:c r="SFC66" s="293"/>
      <x:c r="SFD66" s="293"/>
      <x:c r="SFE66" s="293"/>
      <x:c r="SFF66" s="293"/>
      <x:c r="SFG66" s="293"/>
      <x:c r="SFH66" s="293"/>
      <x:c r="SFI66" s="293"/>
      <x:c r="SFJ66" s="293"/>
      <x:c r="SFK66" s="293"/>
      <x:c r="SFL66" s="293"/>
      <x:c r="SFM66" s="293"/>
      <x:c r="SFN66" s="293"/>
      <x:c r="SFO66" s="293"/>
      <x:c r="SFP66" s="293"/>
      <x:c r="SFQ66" s="293"/>
      <x:c r="SFR66" s="293"/>
      <x:c r="SFS66" s="293"/>
      <x:c r="SFT66" s="293"/>
      <x:c r="SFU66" s="293"/>
      <x:c r="SFV66" s="293"/>
      <x:c r="SFW66" s="293"/>
      <x:c r="SFX66" s="293"/>
      <x:c r="SFY66" s="293"/>
      <x:c r="SFZ66" s="293"/>
      <x:c r="SGA66" s="293"/>
      <x:c r="SGB66" s="293"/>
      <x:c r="SGC66" s="293"/>
      <x:c r="SGD66" s="293"/>
      <x:c r="SGE66" s="293"/>
      <x:c r="SGF66" s="293"/>
      <x:c r="SGG66" s="293"/>
      <x:c r="SGH66" s="293"/>
      <x:c r="SGI66" s="293"/>
      <x:c r="SGJ66" s="293"/>
      <x:c r="SGK66" s="293"/>
      <x:c r="SGL66" s="293"/>
      <x:c r="SGM66" s="293"/>
      <x:c r="SGN66" s="293"/>
      <x:c r="SGO66" s="293"/>
      <x:c r="SGP66" s="293"/>
      <x:c r="SGQ66" s="293"/>
      <x:c r="SGR66" s="293"/>
      <x:c r="SGS66" s="293"/>
      <x:c r="SGT66" s="293"/>
      <x:c r="SGU66" s="293"/>
      <x:c r="SGV66" s="293"/>
      <x:c r="SGW66" s="293"/>
      <x:c r="SGX66" s="293"/>
      <x:c r="SGY66" s="293"/>
      <x:c r="SGZ66" s="293"/>
      <x:c r="SHA66" s="293"/>
      <x:c r="SHB66" s="293"/>
      <x:c r="SHC66" s="293"/>
      <x:c r="SHD66" s="293"/>
      <x:c r="SHE66" s="293"/>
      <x:c r="SHF66" s="293"/>
      <x:c r="SHG66" s="293"/>
      <x:c r="SHH66" s="293"/>
      <x:c r="SHI66" s="293"/>
      <x:c r="SHJ66" s="293"/>
      <x:c r="SHK66" s="293"/>
      <x:c r="SHL66" s="293"/>
      <x:c r="SHM66" s="293"/>
      <x:c r="SHN66" s="293"/>
      <x:c r="SHO66" s="293"/>
      <x:c r="SHP66" s="293"/>
      <x:c r="SHQ66" s="293"/>
      <x:c r="SHR66" s="293"/>
      <x:c r="SHS66" s="293"/>
      <x:c r="SHT66" s="293"/>
      <x:c r="SHU66" s="293"/>
      <x:c r="SHV66" s="293"/>
      <x:c r="SHW66" s="293"/>
      <x:c r="SHX66" s="293"/>
      <x:c r="SHY66" s="293"/>
      <x:c r="SHZ66" s="293"/>
      <x:c r="SIA66" s="293"/>
      <x:c r="SIB66" s="293"/>
      <x:c r="SIC66" s="293"/>
      <x:c r="SID66" s="293"/>
      <x:c r="SIE66" s="293"/>
      <x:c r="SIF66" s="293"/>
      <x:c r="SIG66" s="293"/>
      <x:c r="SIH66" s="293"/>
      <x:c r="SII66" s="293"/>
      <x:c r="SIJ66" s="293"/>
      <x:c r="SIK66" s="293"/>
      <x:c r="SIL66" s="293"/>
      <x:c r="SIM66" s="293"/>
      <x:c r="SIN66" s="293"/>
      <x:c r="SIO66" s="293"/>
      <x:c r="SIP66" s="293"/>
      <x:c r="SIQ66" s="293"/>
      <x:c r="SIR66" s="293"/>
      <x:c r="SIS66" s="293"/>
      <x:c r="SIT66" s="293"/>
      <x:c r="SIU66" s="293"/>
      <x:c r="SIV66" s="293"/>
      <x:c r="SIW66" s="293"/>
      <x:c r="SIX66" s="293"/>
      <x:c r="SIY66" s="293"/>
      <x:c r="SIZ66" s="293"/>
      <x:c r="SJA66" s="293"/>
      <x:c r="SJB66" s="293"/>
      <x:c r="SJC66" s="293"/>
      <x:c r="SJD66" s="293"/>
      <x:c r="SJE66" s="293"/>
      <x:c r="SJF66" s="293"/>
      <x:c r="SJG66" s="293"/>
      <x:c r="SJH66" s="293"/>
      <x:c r="SJI66" s="293"/>
      <x:c r="SJJ66" s="293"/>
      <x:c r="SJK66" s="293"/>
      <x:c r="SJL66" s="293"/>
      <x:c r="SJM66" s="293"/>
      <x:c r="SJN66" s="293"/>
      <x:c r="SJO66" s="293"/>
      <x:c r="SJP66" s="293"/>
      <x:c r="SJQ66" s="293"/>
      <x:c r="SJR66" s="293"/>
      <x:c r="SJS66" s="293"/>
      <x:c r="SJT66" s="293"/>
      <x:c r="SJU66" s="293"/>
      <x:c r="SJV66" s="293"/>
      <x:c r="SJW66" s="293"/>
      <x:c r="SJX66" s="293"/>
      <x:c r="SJY66" s="293"/>
      <x:c r="SJZ66" s="293"/>
      <x:c r="SKA66" s="293"/>
      <x:c r="SKB66" s="293"/>
      <x:c r="SKC66" s="293"/>
      <x:c r="SKD66" s="293"/>
      <x:c r="SKE66" s="293"/>
      <x:c r="SKF66" s="293"/>
      <x:c r="SKG66" s="293"/>
      <x:c r="SKH66" s="293"/>
      <x:c r="SKI66" s="293"/>
      <x:c r="SKJ66" s="293"/>
      <x:c r="SKK66" s="293"/>
      <x:c r="SKL66" s="293"/>
      <x:c r="SKM66" s="293"/>
      <x:c r="SKN66" s="293"/>
      <x:c r="SKO66" s="293"/>
      <x:c r="SKP66" s="293"/>
      <x:c r="SKQ66" s="293"/>
      <x:c r="SKR66" s="293"/>
      <x:c r="SKS66" s="293"/>
      <x:c r="SKT66" s="293"/>
      <x:c r="SKU66" s="293"/>
      <x:c r="SKV66" s="293"/>
      <x:c r="SKW66" s="293"/>
      <x:c r="SKX66" s="293"/>
      <x:c r="SKY66" s="293"/>
      <x:c r="SKZ66" s="293"/>
      <x:c r="SLA66" s="293"/>
      <x:c r="SLB66" s="293"/>
      <x:c r="SLC66" s="293"/>
      <x:c r="SLD66" s="293"/>
      <x:c r="SLE66" s="293"/>
      <x:c r="SLF66" s="293"/>
      <x:c r="SLG66" s="293"/>
      <x:c r="SLH66" s="293"/>
      <x:c r="SLI66" s="293"/>
      <x:c r="SLJ66" s="293"/>
      <x:c r="SLK66" s="293"/>
      <x:c r="SLL66" s="293"/>
      <x:c r="SLM66" s="293"/>
      <x:c r="SLN66" s="293"/>
      <x:c r="SLO66" s="293"/>
      <x:c r="SLP66" s="293"/>
      <x:c r="SLQ66" s="293"/>
      <x:c r="SLR66" s="293"/>
      <x:c r="SLS66" s="293"/>
      <x:c r="SLT66" s="293"/>
      <x:c r="SLU66" s="293"/>
      <x:c r="SLV66" s="293"/>
      <x:c r="SLW66" s="293"/>
      <x:c r="SLX66" s="293"/>
      <x:c r="SLY66" s="293"/>
      <x:c r="SLZ66" s="293"/>
      <x:c r="SMA66" s="293"/>
      <x:c r="SMB66" s="293"/>
      <x:c r="SMC66" s="293"/>
      <x:c r="SMD66" s="293"/>
      <x:c r="SME66" s="293"/>
      <x:c r="SMF66" s="293"/>
      <x:c r="SMG66" s="293"/>
      <x:c r="SMH66" s="293"/>
      <x:c r="SMI66" s="293"/>
      <x:c r="SMJ66" s="293"/>
      <x:c r="SMK66" s="293"/>
      <x:c r="SML66" s="293"/>
      <x:c r="SMM66" s="293"/>
      <x:c r="SMN66" s="293"/>
      <x:c r="SMO66" s="293"/>
      <x:c r="SMP66" s="293"/>
      <x:c r="SMQ66" s="293"/>
      <x:c r="SMR66" s="293"/>
      <x:c r="SMS66" s="293"/>
      <x:c r="SMT66" s="293"/>
      <x:c r="SMU66" s="293"/>
      <x:c r="SMV66" s="293"/>
      <x:c r="SMW66" s="293"/>
      <x:c r="SMX66" s="293"/>
      <x:c r="SMY66" s="293"/>
      <x:c r="SMZ66" s="293"/>
      <x:c r="SNA66" s="293"/>
      <x:c r="SNB66" s="293"/>
      <x:c r="SNC66" s="293"/>
      <x:c r="SND66" s="293"/>
      <x:c r="SNE66" s="293"/>
      <x:c r="SNF66" s="293"/>
      <x:c r="SNG66" s="293"/>
      <x:c r="SNH66" s="293"/>
      <x:c r="SNI66" s="293"/>
      <x:c r="SNJ66" s="293"/>
      <x:c r="SNK66" s="293"/>
      <x:c r="SNL66" s="293"/>
      <x:c r="SNM66" s="293"/>
      <x:c r="SNN66" s="293"/>
      <x:c r="SNO66" s="293"/>
      <x:c r="SNP66" s="293"/>
      <x:c r="SNQ66" s="293"/>
      <x:c r="SNR66" s="293"/>
      <x:c r="SNS66" s="293"/>
      <x:c r="SNT66" s="293"/>
      <x:c r="SNU66" s="293"/>
      <x:c r="SNV66" s="293"/>
      <x:c r="SNW66" s="293"/>
      <x:c r="SNX66" s="293"/>
      <x:c r="SNY66" s="293"/>
      <x:c r="SNZ66" s="293"/>
      <x:c r="SOA66" s="293"/>
      <x:c r="SOB66" s="293"/>
      <x:c r="SOC66" s="293"/>
      <x:c r="SOD66" s="293"/>
      <x:c r="SOE66" s="293"/>
      <x:c r="SOF66" s="293"/>
      <x:c r="SOG66" s="293"/>
      <x:c r="SOH66" s="293"/>
      <x:c r="SOI66" s="293"/>
      <x:c r="SOJ66" s="293"/>
      <x:c r="SOK66" s="293"/>
      <x:c r="SOL66" s="293"/>
      <x:c r="SOM66" s="293"/>
      <x:c r="SON66" s="293"/>
      <x:c r="SOO66" s="293"/>
      <x:c r="SOP66" s="293"/>
      <x:c r="SOQ66" s="293"/>
      <x:c r="SOR66" s="293"/>
      <x:c r="SOS66" s="293"/>
      <x:c r="SOT66" s="293"/>
      <x:c r="SOU66" s="293"/>
      <x:c r="SOV66" s="293"/>
      <x:c r="SOW66" s="293"/>
      <x:c r="SOX66" s="293"/>
      <x:c r="SOY66" s="293"/>
      <x:c r="SOZ66" s="293"/>
      <x:c r="SPA66" s="293"/>
      <x:c r="SPB66" s="293"/>
      <x:c r="SPC66" s="293"/>
      <x:c r="SPD66" s="293"/>
      <x:c r="SPE66" s="293"/>
      <x:c r="SPF66" s="293"/>
      <x:c r="SPG66" s="293"/>
      <x:c r="SPH66" s="293"/>
      <x:c r="SPI66" s="293"/>
      <x:c r="SPJ66" s="293"/>
      <x:c r="SPK66" s="293"/>
      <x:c r="SPL66" s="293"/>
      <x:c r="SPM66" s="293"/>
      <x:c r="SPN66" s="293"/>
      <x:c r="SPO66" s="293"/>
      <x:c r="SPP66" s="293"/>
      <x:c r="SPQ66" s="293"/>
      <x:c r="SPR66" s="293"/>
      <x:c r="SPS66" s="293"/>
      <x:c r="SPT66" s="293"/>
      <x:c r="SPU66" s="293"/>
      <x:c r="SPV66" s="293"/>
      <x:c r="SPW66" s="293"/>
      <x:c r="SPX66" s="293"/>
      <x:c r="SPY66" s="293"/>
      <x:c r="SPZ66" s="293"/>
      <x:c r="SQA66" s="293"/>
      <x:c r="SQB66" s="293"/>
      <x:c r="SQC66" s="293"/>
      <x:c r="SQD66" s="293"/>
      <x:c r="SQE66" s="293"/>
      <x:c r="SQF66" s="293"/>
      <x:c r="SQG66" s="293"/>
      <x:c r="SQH66" s="293"/>
      <x:c r="SQI66" s="293"/>
      <x:c r="SQJ66" s="293"/>
      <x:c r="SQK66" s="293"/>
      <x:c r="SQL66" s="293"/>
      <x:c r="SQM66" s="293"/>
      <x:c r="SQN66" s="293"/>
      <x:c r="SQO66" s="293"/>
      <x:c r="SQP66" s="293"/>
      <x:c r="SQQ66" s="293"/>
      <x:c r="SQR66" s="293"/>
      <x:c r="SQS66" s="293"/>
      <x:c r="SQT66" s="293"/>
      <x:c r="SQU66" s="293"/>
      <x:c r="SQV66" s="293"/>
      <x:c r="SQW66" s="293"/>
      <x:c r="SQX66" s="293"/>
      <x:c r="SQY66" s="293"/>
      <x:c r="SQZ66" s="293"/>
      <x:c r="SRA66" s="293"/>
      <x:c r="SRB66" s="293"/>
      <x:c r="SRC66" s="293"/>
      <x:c r="SRD66" s="293"/>
      <x:c r="SRE66" s="293"/>
      <x:c r="SRF66" s="293"/>
      <x:c r="SRG66" s="293"/>
      <x:c r="SRH66" s="293"/>
      <x:c r="SRI66" s="293"/>
      <x:c r="SRJ66" s="293"/>
      <x:c r="SRK66" s="293"/>
      <x:c r="SRL66" s="293"/>
      <x:c r="SRM66" s="293"/>
      <x:c r="SRN66" s="293"/>
      <x:c r="SRO66" s="293"/>
      <x:c r="SRP66" s="293"/>
      <x:c r="SRQ66" s="293"/>
      <x:c r="SRR66" s="293"/>
      <x:c r="SRS66" s="293"/>
      <x:c r="SRT66" s="293"/>
      <x:c r="SRU66" s="293"/>
      <x:c r="SRV66" s="293"/>
      <x:c r="SRW66" s="293"/>
      <x:c r="SRX66" s="293"/>
      <x:c r="SRY66" s="293"/>
      <x:c r="SRZ66" s="293"/>
      <x:c r="SSA66" s="293"/>
      <x:c r="SSB66" s="293"/>
      <x:c r="SSC66" s="293"/>
      <x:c r="SSD66" s="293"/>
      <x:c r="SSE66" s="293"/>
      <x:c r="SSF66" s="293"/>
      <x:c r="SSG66" s="293"/>
      <x:c r="SSH66" s="293"/>
      <x:c r="SSI66" s="293"/>
      <x:c r="SSJ66" s="293"/>
      <x:c r="SSK66" s="293"/>
      <x:c r="SSL66" s="293"/>
      <x:c r="SSM66" s="293"/>
      <x:c r="SSN66" s="293"/>
      <x:c r="SSO66" s="293"/>
      <x:c r="SSP66" s="293"/>
      <x:c r="SSQ66" s="293"/>
      <x:c r="SSR66" s="293"/>
      <x:c r="SSS66" s="293"/>
      <x:c r="SST66" s="293"/>
      <x:c r="SSU66" s="293"/>
      <x:c r="SSV66" s="293"/>
      <x:c r="SSW66" s="293"/>
      <x:c r="SSX66" s="293"/>
      <x:c r="SSY66" s="293"/>
      <x:c r="SSZ66" s="293"/>
      <x:c r="STA66" s="293"/>
      <x:c r="STB66" s="293"/>
      <x:c r="STC66" s="293"/>
      <x:c r="STD66" s="293"/>
      <x:c r="STE66" s="293"/>
      <x:c r="STF66" s="293"/>
      <x:c r="STG66" s="293"/>
      <x:c r="STH66" s="293"/>
      <x:c r="STI66" s="293"/>
      <x:c r="STJ66" s="293"/>
      <x:c r="STK66" s="293"/>
      <x:c r="STL66" s="293"/>
      <x:c r="STM66" s="293"/>
      <x:c r="STN66" s="293"/>
      <x:c r="STO66" s="293"/>
      <x:c r="STP66" s="293"/>
      <x:c r="STQ66" s="293"/>
      <x:c r="STR66" s="293"/>
      <x:c r="STS66" s="293"/>
      <x:c r="STT66" s="293"/>
      <x:c r="STU66" s="293"/>
      <x:c r="STV66" s="293"/>
      <x:c r="STW66" s="293"/>
      <x:c r="STX66" s="293"/>
      <x:c r="STY66" s="293"/>
      <x:c r="STZ66" s="293"/>
      <x:c r="SUA66" s="293"/>
      <x:c r="SUB66" s="293"/>
      <x:c r="SUC66" s="293"/>
      <x:c r="SUD66" s="293"/>
      <x:c r="SUE66" s="293"/>
      <x:c r="SUF66" s="293"/>
      <x:c r="SUG66" s="293"/>
      <x:c r="SUH66" s="293"/>
      <x:c r="SUI66" s="293"/>
      <x:c r="SUJ66" s="293"/>
      <x:c r="SUK66" s="293"/>
      <x:c r="SUL66" s="293"/>
      <x:c r="SUM66" s="293"/>
      <x:c r="SUN66" s="293"/>
      <x:c r="SUO66" s="293"/>
      <x:c r="SUP66" s="293"/>
      <x:c r="SUQ66" s="293"/>
      <x:c r="SUR66" s="293"/>
      <x:c r="SUS66" s="293"/>
      <x:c r="SUT66" s="293"/>
      <x:c r="SUU66" s="293"/>
      <x:c r="SUV66" s="293"/>
      <x:c r="SUW66" s="293"/>
      <x:c r="SUX66" s="293"/>
      <x:c r="SUY66" s="293"/>
      <x:c r="SUZ66" s="293"/>
      <x:c r="SVA66" s="293"/>
      <x:c r="SVB66" s="293"/>
      <x:c r="SVC66" s="293"/>
      <x:c r="SVD66" s="293"/>
      <x:c r="SVE66" s="293"/>
      <x:c r="SVF66" s="293"/>
      <x:c r="SVG66" s="293"/>
      <x:c r="SVH66" s="293"/>
      <x:c r="SVI66" s="293"/>
      <x:c r="SVJ66" s="293"/>
      <x:c r="SVK66" s="293"/>
      <x:c r="SVL66" s="293"/>
      <x:c r="SVM66" s="293"/>
      <x:c r="SVN66" s="293"/>
      <x:c r="SVO66" s="293"/>
      <x:c r="SVP66" s="293"/>
      <x:c r="SVQ66" s="293"/>
      <x:c r="SVR66" s="293"/>
      <x:c r="SVS66" s="293"/>
      <x:c r="SVT66" s="293"/>
      <x:c r="SVU66" s="293"/>
      <x:c r="SVV66" s="293"/>
      <x:c r="SVW66" s="293"/>
      <x:c r="SVX66" s="293"/>
      <x:c r="SVY66" s="293"/>
      <x:c r="SVZ66" s="293"/>
      <x:c r="SWA66" s="293"/>
      <x:c r="SWB66" s="293"/>
      <x:c r="SWC66" s="293"/>
      <x:c r="SWD66" s="293"/>
      <x:c r="SWE66" s="293"/>
      <x:c r="SWF66" s="293"/>
      <x:c r="SWG66" s="293"/>
      <x:c r="SWH66" s="293"/>
      <x:c r="SWI66" s="293"/>
      <x:c r="SWJ66" s="293"/>
      <x:c r="SWK66" s="293"/>
      <x:c r="SWL66" s="293"/>
      <x:c r="SWM66" s="293"/>
      <x:c r="SWN66" s="293"/>
      <x:c r="SWO66" s="293"/>
      <x:c r="SWP66" s="293"/>
      <x:c r="SWQ66" s="293"/>
      <x:c r="SWR66" s="293"/>
      <x:c r="SWS66" s="293"/>
      <x:c r="SWT66" s="293"/>
      <x:c r="SWU66" s="293"/>
      <x:c r="SWV66" s="293"/>
      <x:c r="SWW66" s="293"/>
      <x:c r="SWX66" s="293"/>
      <x:c r="SWY66" s="293"/>
      <x:c r="SWZ66" s="293"/>
      <x:c r="SXA66" s="293"/>
      <x:c r="SXB66" s="293"/>
      <x:c r="SXC66" s="293"/>
      <x:c r="SXD66" s="293"/>
      <x:c r="SXE66" s="293"/>
      <x:c r="SXF66" s="293"/>
      <x:c r="SXG66" s="293"/>
      <x:c r="SXH66" s="293"/>
      <x:c r="SXI66" s="293"/>
      <x:c r="SXJ66" s="293"/>
      <x:c r="SXK66" s="293"/>
      <x:c r="SXL66" s="293"/>
      <x:c r="SXM66" s="293"/>
      <x:c r="SXN66" s="293"/>
      <x:c r="SXO66" s="293"/>
      <x:c r="SXP66" s="293"/>
      <x:c r="SXQ66" s="293"/>
      <x:c r="SXR66" s="293"/>
      <x:c r="SXS66" s="293"/>
      <x:c r="SXT66" s="293"/>
      <x:c r="SXU66" s="293"/>
      <x:c r="SXV66" s="293"/>
      <x:c r="SXW66" s="293"/>
      <x:c r="SXX66" s="293"/>
      <x:c r="SXY66" s="293"/>
      <x:c r="SXZ66" s="293"/>
      <x:c r="SYA66" s="293"/>
      <x:c r="SYB66" s="293"/>
      <x:c r="SYC66" s="293"/>
      <x:c r="SYD66" s="293"/>
      <x:c r="SYE66" s="293"/>
      <x:c r="SYF66" s="293"/>
      <x:c r="SYG66" s="293"/>
      <x:c r="SYH66" s="293"/>
      <x:c r="SYI66" s="293"/>
      <x:c r="SYJ66" s="293"/>
      <x:c r="SYK66" s="293"/>
      <x:c r="SYL66" s="293"/>
      <x:c r="SYM66" s="293"/>
      <x:c r="SYN66" s="293"/>
      <x:c r="SYO66" s="293"/>
      <x:c r="SYP66" s="293"/>
      <x:c r="SYQ66" s="293"/>
      <x:c r="SYR66" s="293"/>
      <x:c r="SYS66" s="293"/>
      <x:c r="SYT66" s="293"/>
      <x:c r="SYU66" s="293"/>
      <x:c r="SYV66" s="293"/>
      <x:c r="SYW66" s="293"/>
      <x:c r="SYX66" s="293"/>
      <x:c r="SYY66" s="293"/>
      <x:c r="SYZ66" s="293"/>
      <x:c r="SZA66" s="293"/>
      <x:c r="SZB66" s="293"/>
      <x:c r="SZC66" s="293"/>
      <x:c r="SZD66" s="293"/>
      <x:c r="SZE66" s="293"/>
      <x:c r="SZF66" s="293"/>
      <x:c r="SZG66" s="293"/>
      <x:c r="SZH66" s="293"/>
      <x:c r="SZI66" s="293"/>
      <x:c r="SZJ66" s="293"/>
      <x:c r="SZK66" s="293"/>
      <x:c r="SZL66" s="293"/>
      <x:c r="SZM66" s="293"/>
      <x:c r="SZN66" s="293"/>
      <x:c r="SZO66" s="293"/>
      <x:c r="SZP66" s="293"/>
      <x:c r="SZQ66" s="293"/>
      <x:c r="SZR66" s="293"/>
      <x:c r="SZS66" s="293"/>
      <x:c r="SZT66" s="293"/>
      <x:c r="SZU66" s="293"/>
      <x:c r="SZV66" s="293"/>
      <x:c r="SZW66" s="293"/>
      <x:c r="SZX66" s="293"/>
      <x:c r="SZY66" s="293"/>
      <x:c r="SZZ66" s="293"/>
      <x:c r="TAA66" s="293"/>
      <x:c r="TAB66" s="293"/>
      <x:c r="TAC66" s="293"/>
      <x:c r="TAD66" s="293"/>
      <x:c r="TAE66" s="293"/>
      <x:c r="TAF66" s="293"/>
      <x:c r="TAG66" s="293"/>
      <x:c r="TAH66" s="293"/>
      <x:c r="TAI66" s="293"/>
      <x:c r="TAJ66" s="293"/>
      <x:c r="TAK66" s="293"/>
      <x:c r="TAL66" s="293"/>
      <x:c r="TAM66" s="293"/>
      <x:c r="TAN66" s="293"/>
      <x:c r="TAO66" s="293"/>
      <x:c r="TAP66" s="293"/>
      <x:c r="TAQ66" s="293"/>
      <x:c r="TAR66" s="293"/>
      <x:c r="TAS66" s="293"/>
      <x:c r="TAT66" s="293"/>
      <x:c r="TAU66" s="293"/>
      <x:c r="TAV66" s="293"/>
      <x:c r="TAW66" s="293"/>
      <x:c r="TAX66" s="293"/>
      <x:c r="TAY66" s="293"/>
      <x:c r="TAZ66" s="293"/>
      <x:c r="TBA66" s="293"/>
      <x:c r="TBB66" s="293"/>
      <x:c r="TBC66" s="293"/>
      <x:c r="TBD66" s="293"/>
      <x:c r="TBE66" s="293"/>
      <x:c r="TBF66" s="293"/>
      <x:c r="TBG66" s="293"/>
      <x:c r="TBH66" s="293"/>
      <x:c r="TBI66" s="293"/>
      <x:c r="TBJ66" s="293"/>
      <x:c r="TBK66" s="293"/>
      <x:c r="TBL66" s="293"/>
      <x:c r="TBM66" s="293"/>
      <x:c r="TBN66" s="293"/>
      <x:c r="TBO66" s="293"/>
      <x:c r="TBP66" s="293"/>
      <x:c r="TBQ66" s="293"/>
      <x:c r="TBR66" s="293"/>
      <x:c r="TBS66" s="293"/>
      <x:c r="TBT66" s="293"/>
      <x:c r="TBU66" s="293"/>
      <x:c r="TBV66" s="293"/>
      <x:c r="TBW66" s="293"/>
      <x:c r="TBX66" s="293"/>
      <x:c r="TBY66" s="293"/>
      <x:c r="TBZ66" s="293"/>
      <x:c r="TCA66" s="293"/>
      <x:c r="TCB66" s="293"/>
      <x:c r="TCC66" s="293"/>
      <x:c r="TCD66" s="293"/>
      <x:c r="TCE66" s="293"/>
      <x:c r="TCF66" s="293"/>
      <x:c r="TCG66" s="293"/>
      <x:c r="TCH66" s="293"/>
      <x:c r="TCI66" s="293"/>
      <x:c r="TCJ66" s="293"/>
      <x:c r="TCK66" s="293"/>
      <x:c r="TCL66" s="293"/>
      <x:c r="TCM66" s="293"/>
      <x:c r="TCN66" s="293"/>
      <x:c r="TCO66" s="293"/>
      <x:c r="TCP66" s="293"/>
      <x:c r="TCQ66" s="293"/>
      <x:c r="TCR66" s="293"/>
      <x:c r="TCS66" s="293"/>
      <x:c r="TCT66" s="293"/>
      <x:c r="TCU66" s="293"/>
      <x:c r="TCV66" s="293"/>
      <x:c r="TCW66" s="293"/>
      <x:c r="TCX66" s="293"/>
      <x:c r="TCY66" s="293"/>
      <x:c r="TCZ66" s="293"/>
      <x:c r="TDA66" s="293"/>
      <x:c r="TDB66" s="293"/>
      <x:c r="TDC66" s="293"/>
      <x:c r="TDD66" s="293"/>
      <x:c r="TDE66" s="293"/>
      <x:c r="TDF66" s="293"/>
      <x:c r="TDG66" s="293"/>
      <x:c r="TDH66" s="293"/>
      <x:c r="TDI66" s="293"/>
      <x:c r="TDJ66" s="293"/>
      <x:c r="TDK66" s="293"/>
      <x:c r="TDL66" s="293"/>
      <x:c r="TDM66" s="293"/>
      <x:c r="TDN66" s="293"/>
      <x:c r="TDO66" s="293"/>
      <x:c r="TDP66" s="293"/>
      <x:c r="TDQ66" s="293"/>
      <x:c r="TDR66" s="293"/>
      <x:c r="TDS66" s="293"/>
      <x:c r="TDT66" s="293"/>
      <x:c r="TDU66" s="293"/>
      <x:c r="TDV66" s="293"/>
      <x:c r="TDW66" s="293"/>
      <x:c r="TDX66" s="293"/>
      <x:c r="TDY66" s="293"/>
      <x:c r="TDZ66" s="293"/>
      <x:c r="TEA66" s="293"/>
      <x:c r="TEB66" s="293"/>
      <x:c r="TEC66" s="293"/>
      <x:c r="TED66" s="293"/>
      <x:c r="TEE66" s="293"/>
      <x:c r="TEF66" s="293"/>
      <x:c r="TEG66" s="293"/>
      <x:c r="TEH66" s="293"/>
      <x:c r="TEI66" s="293"/>
      <x:c r="TEJ66" s="293"/>
      <x:c r="TEK66" s="293"/>
      <x:c r="TEL66" s="293"/>
      <x:c r="TEM66" s="293"/>
      <x:c r="TEN66" s="293"/>
      <x:c r="TEO66" s="293"/>
      <x:c r="TEP66" s="293"/>
      <x:c r="TEQ66" s="293"/>
      <x:c r="TER66" s="293"/>
      <x:c r="TES66" s="293"/>
      <x:c r="TET66" s="293"/>
      <x:c r="TEU66" s="293"/>
      <x:c r="TEV66" s="293"/>
      <x:c r="TEW66" s="293"/>
      <x:c r="TEX66" s="293"/>
      <x:c r="TEY66" s="293"/>
      <x:c r="TEZ66" s="293"/>
      <x:c r="TFA66" s="293"/>
      <x:c r="TFB66" s="293"/>
      <x:c r="TFC66" s="293"/>
      <x:c r="TFD66" s="293"/>
      <x:c r="TFE66" s="293"/>
      <x:c r="TFF66" s="293"/>
      <x:c r="TFG66" s="293"/>
      <x:c r="TFH66" s="293"/>
      <x:c r="TFI66" s="293"/>
      <x:c r="TFJ66" s="293"/>
      <x:c r="TFK66" s="293"/>
      <x:c r="TFL66" s="293"/>
      <x:c r="TFM66" s="293"/>
      <x:c r="TFN66" s="293"/>
      <x:c r="TFO66" s="293"/>
      <x:c r="TFP66" s="293"/>
      <x:c r="TFQ66" s="293"/>
      <x:c r="TFR66" s="293"/>
      <x:c r="TFS66" s="293"/>
      <x:c r="TFT66" s="293"/>
      <x:c r="TFU66" s="293"/>
      <x:c r="TFV66" s="293"/>
      <x:c r="TFW66" s="293"/>
      <x:c r="TFX66" s="293"/>
      <x:c r="TFY66" s="293"/>
      <x:c r="TFZ66" s="293"/>
      <x:c r="TGA66" s="293"/>
      <x:c r="TGB66" s="293"/>
      <x:c r="TGC66" s="293"/>
      <x:c r="TGD66" s="293"/>
      <x:c r="TGE66" s="293"/>
      <x:c r="TGF66" s="293"/>
      <x:c r="TGG66" s="293"/>
      <x:c r="TGH66" s="293"/>
      <x:c r="TGI66" s="293"/>
      <x:c r="TGJ66" s="293"/>
      <x:c r="TGK66" s="293"/>
      <x:c r="TGL66" s="293"/>
      <x:c r="TGM66" s="293"/>
      <x:c r="TGN66" s="293"/>
      <x:c r="TGO66" s="293"/>
      <x:c r="TGP66" s="293"/>
      <x:c r="TGQ66" s="293"/>
      <x:c r="TGR66" s="293"/>
      <x:c r="TGS66" s="293"/>
      <x:c r="TGT66" s="293"/>
      <x:c r="TGU66" s="293"/>
      <x:c r="TGV66" s="293"/>
      <x:c r="TGW66" s="293"/>
      <x:c r="TGX66" s="293"/>
      <x:c r="TGY66" s="293"/>
      <x:c r="TGZ66" s="293"/>
      <x:c r="THA66" s="293"/>
      <x:c r="THB66" s="293"/>
      <x:c r="THC66" s="293"/>
      <x:c r="THD66" s="293"/>
      <x:c r="THE66" s="293"/>
      <x:c r="THF66" s="293"/>
      <x:c r="THG66" s="293"/>
      <x:c r="THH66" s="293"/>
      <x:c r="THI66" s="293"/>
      <x:c r="THJ66" s="293"/>
      <x:c r="THK66" s="293"/>
      <x:c r="THL66" s="293"/>
      <x:c r="THM66" s="293"/>
      <x:c r="THN66" s="293"/>
      <x:c r="THO66" s="293"/>
      <x:c r="THP66" s="293"/>
      <x:c r="THQ66" s="293"/>
      <x:c r="THR66" s="293"/>
      <x:c r="THS66" s="293"/>
      <x:c r="THT66" s="293"/>
      <x:c r="THU66" s="293"/>
      <x:c r="THV66" s="293"/>
      <x:c r="THW66" s="293"/>
      <x:c r="THX66" s="293"/>
      <x:c r="THY66" s="293"/>
      <x:c r="THZ66" s="293"/>
      <x:c r="TIA66" s="293"/>
      <x:c r="TIB66" s="293"/>
      <x:c r="TIC66" s="293"/>
      <x:c r="TID66" s="293"/>
      <x:c r="TIE66" s="293"/>
      <x:c r="TIF66" s="293"/>
      <x:c r="TIG66" s="293"/>
      <x:c r="TIH66" s="293"/>
      <x:c r="TII66" s="293"/>
      <x:c r="TIJ66" s="293"/>
      <x:c r="TIK66" s="293"/>
      <x:c r="TIL66" s="293"/>
      <x:c r="TIM66" s="293"/>
      <x:c r="TIN66" s="293"/>
      <x:c r="TIO66" s="293"/>
      <x:c r="TIP66" s="293"/>
      <x:c r="TIQ66" s="293"/>
      <x:c r="TIR66" s="293"/>
      <x:c r="TIS66" s="293"/>
      <x:c r="TIT66" s="293"/>
      <x:c r="TIU66" s="293"/>
      <x:c r="TIV66" s="293"/>
      <x:c r="TIW66" s="293"/>
      <x:c r="TIX66" s="293"/>
      <x:c r="TIY66" s="293"/>
      <x:c r="TIZ66" s="293"/>
      <x:c r="TJA66" s="293"/>
      <x:c r="TJB66" s="293"/>
      <x:c r="TJC66" s="293"/>
      <x:c r="TJD66" s="293"/>
      <x:c r="TJE66" s="293"/>
      <x:c r="TJF66" s="293"/>
      <x:c r="TJG66" s="293"/>
      <x:c r="TJH66" s="293"/>
      <x:c r="TJI66" s="293"/>
      <x:c r="TJJ66" s="293"/>
      <x:c r="TJK66" s="293"/>
      <x:c r="TJL66" s="293"/>
      <x:c r="TJM66" s="293"/>
      <x:c r="TJN66" s="293"/>
      <x:c r="TJO66" s="293"/>
      <x:c r="TJP66" s="293"/>
      <x:c r="TJQ66" s="293"/>
      <x:c r="TJR66" s="293"/>
      <x:c r="TJS66" s="293"/>
      <x:c r="TJT66" s="293"/>
      <x:c r="TJU66" s="293"/>
      <x:c r="TJV66" s="293"/>
      <x:c r="TJW66" s="293"/>
      <x:c r="TJX66" s="293"/>
      <x:c r="TJY66" s="293"/>
      <x:c r="TJZ66" s="293"/>
      <x:c r="TKA66" s="293"/>
      <x:c r="TKB66" s="293"/>
      <x:c r="TKC66" s="293"/>
      <x:c r="TKD66" s="293"/>
      <x:c r="TKE66" s="293"/>
      <x:c r="TKF66" s="293"/>
      <x:c r="TKG66" s="293"/>
      <x:c r="TKH66" s="293"/>
      <x:c r="TKI66" s="293"/>
      <x:c r="TKJ66" s="293"/>
      <x:c r="TKK66" s="293"/>
      <x:c r="TKL66" s="293"/>
      <x:c r="TKM66" s="293"/>
      <x:c r="TKN66" s="293"/>
      <x:c r="TKO66" s="293"/>
      <x:c r="TKP66" s="293"/>
      <x:c r="TKQ66" s="293"/>
      <x:c r="TKR66" s="293"/>
      <x:c r="TKS66" s="293"/>
      <x:c r="TKT66" s="293"/>
      <x:c r="TKU66" s="293"/>
      <x:c r="TKV66" s="293"/>
      <x:c r="TKW66" s="293"/>
      <x:c r="TKX66" s="293"/>
      <x:c r="TKY66" s="293"/>
      <x:c r="TKZ66" s="293"/>
      <x:c r="TLA66" s="293"/>
      <x:c r="TLB66" s="293"/>
      <x:c r="TLC66" s="293"/>
      <x:c r="TLD66" s="293"/>
      <x:c r="TLE66" s="293"/>
      <x:c r="TLF66" s="293"/>
      <x:c r="TLG66" s="293"/>
      <x:c r="TLH66" s="293"/>
      <x:c r="TLI66" s="293"/>
      <x:c r="TLJ66" s="293"/>
      <x:c r="TLK66" s="293"/>
      <x:c r="TLL66" s="293"/>
      <x:c r="TLM66" s="293"/>
      <x:c r="TLN66" s="293"/>
      <x:c r="TLO66" s="293"/>
      <x:c r="TLP66" s="293"/>
      <x:c r="TLQ66" s="293"/>
      <x:c r="TLR66" s="293"/>
      <x:c r="TLS66" s="293"/>
      <x:c r="TLT66" s="293"/>
      <x:c r="TLU66" s="293"/>
      <x:c r="TLV66" s="293"/>
      <x:c r="TLW66" s="293"/>
      <x:c r="TLX66" s="293"/>
      <x:c r="TLY66" s="293"/>
      <x:c r="TLZ66" s="293"/>
      <x:c r="TMA66" s="293"/>
      <x:c r="TMB66" s="293"/>
      <x:c r="TMC66" s="293"/>
      <x:c r="TMD66" s="293"/>
      <x:c r="TME66" s="293"/>
      <x:c r="TMF66" s="293"/>
      <x:c r="TMG66" s="293"/>
      <x:c r="TMH66" s="293"/>
      <x:c r="TMI66" s="293"/>
      <x:c r="TMJ66" s="293"/>
      <x:c r="TMK66" s="293"/>
      <x:c r="TML66" s="293"/>
      <x:c r="TMM66" s="293"/>
      <x:c r="TMN66" s="293"/>
      <x:c r="TMO66" s="293"/>
      <x:c r="TMP66" s="293"/>
      <x:c r="TMQ66" s="293"/>
      <x:c r="TMR66" s="293"/>
      <x:c r="TMS66" s="293"/>
      <x:c r="TMT66" s="293"/>
      <x:c r="TMU66" s="293"/>
      <x:c r="TMV66" s="293"/>
      <x:c r="TMW66" s="293"/>
      <x:c r="TMX66" s="293"/>
      <x:c r="TMY66" s="293"/>
      <x:c r="TMZ66" s="293"/>
      <x:c r="TNA66" s="293"/>
      <x:c r="TNB66" s="293"/>
      <x:c r="TNC66" s="293"/>
      <x:c r="TND66" s="293"/>
      <x:c r="TNE66" s="293"/>
      <x:c r="TNF66" s="293"/>
      <x:c r="TNG66" s="293"/>
      <x:c r="TNH66" s="293"/>
      <x:c r="TNI66" s="293"/>
      <x:c r="TNJ66" s="293"/>
      <x:c r="TNK66" s="293"/>
      <x:c r="TNL66" s="293"/>
      <x:c r="TNM66" s="293"/>
      <x:c r="TNN66" s="293"/>
      <x:c r="TNO66" s="293"/>
      <x:c r="TNP66" s="293"/>
      <x:c r="TNQ66" s="293"/>
      <x:c r="TNR66" s="293"/>
      <x:c r="TNS66" s="293"/>
      <x:c r="TNT66" s="293"/>
      <x:c r="TNU66" s="293"/>
      <x:c r="TNV66" s="293"/>
      <x:c r="TNW66" s="293"/>
      <x:c r="TNX66" s="293"/>
      <x:c r="TNY66" s="293"/>
      <x:c r="TNZ66" s="293"/>
      <x:c r="TOA66" s="293"/>
      <x:c r="TOB66" s="293"/>
      <x:c r="TOC66" s="293"/>
      <x:c r="TOD66" s="293"/>
      <x:c r="TOE66" s="293"/>
      <x:c r="TOF66" s="293"/>
      <x:c r="TOG66" s="293"/>
      <x:c r="TOH66" s="293"/>
      <x:c r="TOI66" s="293"/>
      <x:c r="TOJ66" s="293"/>
      <x:c r="TOK66" s="293"/>
      <x:c r="TOL66" s="293"/>
      <x:c r="TOM66" s="293"/>
      <x:c r="TON66" s="293"/>
      <x:c r="TOO66" s="293"/>
      <x:c r="TOP66" s="293"/>
      <x:c r="TOQ66" s="293"/>
      <x:c r="TOR66" s="293"/>
      <x:c r="TOS66" s="293"/>
      <x:c r="TOT66" s="293"/>
      <x:c r="TOU66" s="293"/>
      <x:c r="TOV66" s="293"/>
      <x:c r="TOW66" s="293"/>
      <x:c r="TOX66" s="293"/>
      <x:c r="TOY66" s="293"/>
      <x:c r="TOZ66" s="293"/>
      <x:c r="TPA66" s="293"/>
      <x:c r="TPB66" s="293"/>
      <x:c r="TPC66" s="293"/>
      <x:c r="TPD66" s="293"/>
      <x:c r="TPE66" s="293"/>
      <x:c r="TPF66" s="293"/>
      <x:c r="TPG66" s="293"/>
      <x:c r="TPH66" s="293"/>
      <x:c r="TPI66" s="293"/>
      <x:c r="TPJ66" s="293"/>
      <x:c r="TPK66" s="293"/>
      <x:c r="TPL66" s="293"/>
      <x:c r="TPM66" s="293"/>
      <x:c r="TPN66" s="293"/>
      <x:c r="TPO66" s="293"/>
      <x:c r="TPP66" s="293"/>
      <x:c r="TPQ66" s="293"/>
      <x:c r="TPR66" s="293"/>
      <x:c r="TPS66" s="293"/>
      <x:c r="TPT66" s="293"/>
      <x:c r="TPU66" s="293"/>
      <x:c r="TPV66" s="293"/>
      <x:c r="TPW66" s="293"/>
      <x:c r="TPX66" s="293"/>
      <x:c r="TPY66" s="293"/>
      <x:c r="TPZ66" s="293"/>
      <x:c r="TQA66" s="293"/>
      <x:c r="TQB66" s="293"/>
      <x:c r="TQC66" s="293"/>
      <x:c r="TQD66" s="293"/>
      <x:c r="TQE66" s="293"/>
      <x:c r="TQF66" s="293"/>
      <x:c r="TQG66" s="293"/>
      <x:c r="TQH66" s="293"/>
      <x:c r="TQI66" s="293"/>
      <x:c r="TQJ66" s="293"/>
      <x:c r="TQK66" s="293"/>
      <x:c r="TQL66" s="293"/>
      <x:c r="TQM66" s="293"/>
      <x:c r="TQN66" s="293"/>
      <x:c r="TQO66" s="293"/>
      <x:c r="TQP66" s="293"/>
      <x:c r="TQQ66" s="293"/>
      <x:c r="TQR66" s="293"/>
      <x:c r="TQS66" s="293"/>
      <x:c r="TQT66" s="293"/>
      <x:c r="TQU66" s="293"/>
      <x:c r="TQV66" s="293"/>
      <x:c r="TQW66" s="293"/>
      <x:c r="TQX66" s="293"/>
      <x:c r="TQY66" s="293"/>
      <x:c r="TQZ66" s="293"/>
      <x:c r="TRA66" s="293"/>
      <x:c r="TRB66" s="293"/>
      <x:c r="TRC66" s="293"/>
      <x:c r="TRD66" s="293"/>
      <x:c r="TRE66" s="293"/>
      <x:c r="TRF66" s="293"/>
      <x:c r="TRG66" s="293"/>
      <x:c r="TRH66" s="293"/>
      <x:c r="TRI66" s="293"/>
      <x:c r="TRJ66" s="293"/>
      <x:c r="TRK66" s="293"/>
      <x:c r="TRL66" s="293"/>
      <x:c r="TRM66" s="293"/>
      <x:c r="TRN66" s="293"/>
      <x:c r="TRO66" s="293"/>
      <x:c r="TRP66" s="293"/>
      <x:c r="TRQ66" s="293"/>
      <x:c r="TRR66" s="293"/>
      <x:c r="TRS66" s="293"/>
      <x:c r="TRT66" s="293"/>
      <x:c r="TRU66" s="293"/>
      <x:c r="TRV66" s="293"/>
      <x:c r="TRW66" s="293"/>
      <x:c r="TRX66" s="293"/>
      <x:c r="TRY66" s="293"/>
      <x:c r="TRZ66" s="293"/>
      <x:c r="TSA66" s="293"/>
      <x:c r="TSB66" s="293"/>
      <x:c r="TSC66" s="293"/>
      <x:c r="TSD66" s="293"/>
      <x:c r="TSE66" s="293"/>
      <x:c r="TSF66" s="293"/>
      <x:c r="TSG66" s="293"/>
      <x:c r="TSH66" s="293"/>
      <x:c r="TSI66" s="293"/>
      <x:c r="TSJ66" s="293"/>
      <x:c r="TSK66" s="293"/>
      <x:c r="TSL66" s="293"/>
      <x:c r="TSM66" s="293"/>
      <x:c r="TSN66" s="293"/>
      <x:c r="TSO66" s="293"/>
      <x:c r="TSP66" s="293"/>
      <x:c r="TSQ66" s="293"/>
      <x:c r="TSR66" s="293"/>
      <x:c r="TSS66" s="293"/>
      <x:c r="TST66" s="293"/>
      <x:c r="TSU66" s="293"/>
      <x:c r="TSV66" s="293"/>
      <x:c r="TSW66" s="293"/>
      <x:c r="TSX66" s="293"/>
      <x:c r="TSY66" s="293"/>
      <x:c r="TSZ66" s="293"/>
      <x:c r="TTA66" s="293"/>
      <x:c r="TTB66" s="293"/>
      <x:c r="TTC66" s="293"/>
      <x:c r="TTD66" s="293"/>
      <x:c r="TTE66" s="293"/>
      <x:c r="TTF66" s="293"/>
      <x:c r="TTG66" s="293"/>
      <x:c r="TTH66" s="293"/>
      <x:c r="TTI66" s="293"/>
      <x:c r="TTJ66" s="293"/>
      <x:c r="TTK66" s="293"/>
      <x:c r="TTL66" s="293"/>
      <x:c r="TTM66" s="293"/>
      <x:c r="TTN66" s="293"/>
      <x:c r="TTO66" s="293"/>
      <x:c r="TTP66" s="293"/>
      <x:c r="TTQ66" s="293"/>
      <x:c r="TTR66" s="293"/>
      <x:c r="TTS66" s="293"/>
      <x:c r="TTT66" s="293"/>
      <x:c r="TTU66" s="293"/>
      <x:c r="TTV66" s="293"/>
      <x:c r="TTW66" s="293"/>
      <x:c r="TTX66" s="293"/>
      <x:c r="TTY66" s="293"/>
      <x:c r="TTZ66" s="293"/>
      <x:c r="TUA66" s="293"/>
      <x:c r="TUB66" s="293"/>
      <x:c r="TUC66" s="293"/>
      <x:c r="TUD66" s="293"/>
      <x:c r="TUE66" s="293"/>
      <x:c r="TUF66" s="293"/>
      <x:c r="TUG66" s="293"/>
      <x:c r="TUH66" s="293"/>
      <x:c r="TUI66" s="293"/>
      <x:c r="TUJ66" s="293"/>
      <x:c r="TUK66" s="293"/>
      <x:c r="TUL66" s="293"/>
      <x:c r="TUM66" s="293"/>
      <x:c r="TUN66" s="293"/>
      <x:c r="TUO66" s="293"/>
      <x:c r="TUP66" s="293"/>
      <x:c r="TUQ66" s="293"/>
      <x:c r="TUR66" s="293"/>
      <x:c r="TUS66" s="293"/>
      <x:c r="TUT66" s="293"/>
      <x:c r="TUU66" s="293"/>
      <x:c r="TUV66" s="293"/>
      <x:c r="TUW66" s="293"/>
      <x:c r="TUX66" s="293"/>
      <x:c r="TUY66" s="293"/>
      <x:c r="TUZ66" s="293"/>
      <x:c r="TVA66" s="293"/>
      <x:c r="TVB66" s="293"/>
      <x:c r="TVC66" s="293"/>
      <x:c r="TVD66" s="293"/>
      <x:c r="TVE66" s="293"/>
      <x:c r="TVF66" s="293"/>
      <x:c r="TVG66" s="293"/>
      <x:c r="TVH66" s="293"/>
      <x:c r="TVI66" s="293"/>
      <x:c r="TVJ66" s="293"/>
      <x:c r="TVK66" s="293"/>
      <x:c r="TVL66" s="293"/>
      <x:c r="TVM66" s="293"/>
      <x:c r="TVN66" s="293"/>
      <x:c r="TVO66" s="293"/>
      <x:c r="TVP66" s="293"/>
      <x:c r="TVQ66" s="293"/>
      <x:c r="TVR66" s="293"/>
      <x:c r="TVS66" s="293"/>
      <x:c r="TVT66" s="293"/>
      <x:c r="TVU66" s="293"/>
      <x:c r="TVV66" s="293"/>
      <x:c r="TVW66" s="293"/>
      <x:c r="TVX66" s="293"/>
      <x:c r="TVY66" s="293"/>
      <x:c r="TVZ66" s="293"/>
      <x:c r="TWA66" s="293"/>
      <x:c r="TWB66" s="293"/>
      <x:c r="TWC66" s="293"/>
      <x:c r="TWD66" s="293"/>
      <x:c r="TWE66" s="293"/>
      <x:c r="TWF66" s="293"/>
      <x:c r="TWG66" s="293"/>
      <x:c r="TWH66" s="293"/>
      <x:c r="TWI66" s="293"/>
      <x:c r="TWJ66" s="293"/>
      <x:c r="TWK66" s="293"/>
      <x:c r="TWL66" s="293"/>
      <x:c r="TWM66" s="293"/>
      <x:c r="TWN66" s="293"/>
      <x:c r="TWO66" s="293"/>
      <x:c r="TWP66" s="293"/>
      <x:c r="TWQ66" s="293"/>
      <x:c r="TWR66" s="293"/>
      <x:c r="TWS66" s="293"/>
      <x:c r="TWT66" s="293"/>
      <x:c r="TWU66" s="293"/>
      <x:c r="TWV66" s="293"/>
      <x:c r="TWW66" s="293"/>
      <x:c r="TWX66" s="293"/>
      <x:c r="TWY66" s="293"/>
      <x:c r="TWZ66" s="293"/>
      <x:c r="TXA66" s="293"/>
      <x:c r="TXB66" s="293"/>
      <x:c r="TXC66" s="293"/>
      <x:c r="TXD66" s="293"/>
      <x:c r="TXE66" s="293"/>
      <x:c r="TXF66" s="293"/>
      <x:c r="TXG66" s="293"/>
      <x:c r="TXH66" s="293"/>
      <x:c r="TXI66" s="293"/>
      <x:c r="TXJ66" s="293"/>
      <x:c r="TXK66" s="293"/>
      <x:c r="TXL66" s="293"/>
      <x:c r="TXM66" s="293"/>
      <x:c r="TXN66" s="293"/>
      <x:c r="TXO66" s="293"/>
      <x:c r="TXP66" s="293"/>
      <x:c r="TXQ66" s="293"/>
      <x:c r="TXR66" s="293"/>
      <x:c r="TXS66" s="293"/>
      <x:c r="TXT66" s="293"/>
      <x:c r="TXU66" s="293"/>
      <x:c r="TXV66" s="293"/>
      <x:c r="TXW66" s="293"/>
      <x:c r="TXX66" s="293"/>
      <x:c r="TXY66" s="293"/>
      <x:c r="TXZ66" s="293"/>
      <x:c r="TYA66" s="293"/>
      <x:c r="TYB66" s="293"/>
      <x:c r="TYC66" s="293"/>
      <x:c r="TYD66" s="293"/>
      <x:c r="TYE66" s="293"/>
      <x:c r="TYF66" s="293"/>
      <x:c r="TYG66" s="293"/>
      <x:c r="TYH66" s="293"/>
      <x:c r="TYI66" s="293"/>
      <x:c r="TYJ66" s="293"/>
      <x:c r="TYK66" s="293"/>
      <x:c r="TYL66" s="293"/>
      <x:c r="TYM66" s="293"/>
      <x:c r="TYN66" s="293"/>
      <x:c r="TYO66" s="293"/>
      <x:c r="TYP66" s="293"/>
      <x:c r="TYQ66" s="293"/>
      <x:c r="TYR66" s="293"/>
      <x:c r="TYS66" s="293"/>
      <x:c r="TYT66" s="293"/>
      <x:c r="TYU66" s="293"/>
      <x:c r="TYV66" s="293"/>
      <x:c r="TYW66" s="293"/>
      <x:c r="TYX66" s="293"/>
      <x:c r="TYY66" s="293"/>
      <x:c r="TYZ66" s="293"/>
      <x:c r="TZA66" s="293"/>
      <x:c r="TZB66" s="293"/>
      <x:c r="TZC66" s="293"/>
      <x:c r="TZD66" s="293"/>
      <x:c r="TZE66" s="293"/>
      <x:c r="TZF66" s="293"/>
      <x:c r="TZG66" s="293"/>
      <x:c r="TZH66" s="293"/>
      <x:c r="TZI66" s="293"/>
      <x:c r="TZJ66" s="293"/>
      <x:c r="TZK66" s="293"/>
      <x:c r="TZL66" s="293"/>
      <x:c r="TZM66" s="293"/>
      <x:c r="TZN66" s="293"/>
      <x:c r="TZO66" s="293"/>
      <x:c r="TZP66" s="293"/>
      <x:c r="TZQ66" s="293"/>
      <x:c r="TZR66" s="293"/>
      <x:c r="TZS66" s="293"/>
      <x:c r="TZT66" s="293"/>
      <x:c r="TZU66" s="293"/>
      <x:c r="TZV66" s="293"/>
      <x:c r="TZW66" s="293"/>
      <x:c r="TZX66" s="293"/>
      <x:c r="TZY66" s="293"/>
      <x:c r="TZZ66" s="293"/>
      <x:c r="UAA66" s="293"/>
      <x:c r="UAB66" s="293"/>
      <x:c r="UAC66" s="293"/>
      <x:c r="UAD66" s="293"/>
      <x:c r="UAE66" s="293"/>
      <x:c r="UAF66" s="293"/>
      <x:c r="UAG66" s="293"/>
      <x:c r="UAH66" s="293"/>
      <x:c r="UAI66" s="293"/>
      <x:c r="UAJ66" s="293"/>
      <x:c r="UAK66" s="293"/>
      <x:c r="UAL66" s="293"/>
      <x:c r="UAM66" s="293"/>
      <x:c r="UAN66" s="293"/>
      <x:c r="UAO66" s="293"/>
      <x:c r="UAP66" s="293"/>
      <x:c r="UAQ66" s="293"/>
      <x:c r="UAR66" s="293"/>
      <x:c r="UAS66" s="293"/>
      <x:c r="UAT66" s="293"/>
      <x:c r="UAU66" s="293"/>
      <x:c r="UAV66" s="293"/>
      <x:c r="UAW66" s="293"/>
      <x:c r="UAX66" s="293"/>
      <x:c r="UAY66" s="293"/>
      <x:c r="UAZ66" s="293"/>
      <x:c r="UBA66" s="293"/>
      <x:c r="UBB66" s="293"/>
      <x:c r="UBC66" s="293"/>
      <x:c r="UBD66" s="293"/>
      <x:c r="UBE66" s="293"/>
      <x:c r="UBF66" s="293"/>
      <x:c r="UBG66" s="293"/>
      <x:c r="UBH66" s="293"/>
      <x:c r="UBI66" s="293"/>
      <x:c r="UBJ66" s="293"/>
      <x:c r="UBK66" s="293"/>
      <x:c r="UBL66" s="293"/>
      <x:c r="UBM66" s="293"/>
      <x:c r="UBN66" s="293"/>
      <x:c r="UBO66" s="293"/>
      <x:c r="UBP66" s="293"/>
      <x:c r="UBQ66" s="293"/>
      <x:c r="UBR66" s="293"/>
      <x:c r="UBS66" s="293"/>
      <x:c r="UBT66" s="293"/>
      <x:c r="UBU66" s="293"/>
      <x:c r="UBV66" s="293"/>
      <x:c r="UBW66" s="293"/>
      <x:c r="UBX66" s="293"/>
      <x:c r="UBY66" s="293"/>
      <x:c r="UBZ66" s="293"/>
      <x:c r="UCA66" s="293"/>
      <x:c r="UCB66" s="293"/>
      <x:c r="UCC66" s="293"/>
      <x:c r="UCD66" s="293"/>
      <x:c r="UCE66" s="293"/>
      <x:c r="UCF66" s="293"/>
      <x:c r="UCG66" s="293"/>
      <x:c r="UCH66" s="293"/>
      <x:c r="UCI66" s="293"/>
      <x:c r="UCJ66" s="293"/>
      <x:c r="UCK66" s="293"/>
      <x:c r="UCL66" s="293"/>
      <x:c r="UCM66" s="293"/>
      <x:c r="UCN66" s="293"/>
      <x:c r="UCO66" s="293"/>
      <x:c r="UCP66" s="293"/>
      <x:c r="UCQ66" s="293"/>
      <x:c r="UCR66" s="293"/>
      <x:c r="UCS66" s="293"/>
      <x:c r="UCT66" s="293"/>
      <x:c r="UCU66" s="293"/>
      <x:c r="UCV66" s="293"/>
      <x:c r="UCW66" s="293"/>
      <x:c r="UCX66" s="293"/>
      <x:c r="UCY66" s="293"/>
      <x:c r="UCZ66" s="293"/>
      <x:c r="UDA66" s="293"/>
      <x:c r="UDB66" s="293"/>
      <x:c r="UDC66" s="293"/>
      <x:c r="UDD66" s="293"/>
      <x:c r="UDE66" s="293"/>
      <x:c r="UDF66" s="293"/>
      <x:c r="UDG66" s="293"/>
      <x:c r="UDH66" s="293"/>
      <x:c r="UDI66" s="293"/>
      <x:c r="UDJ66" s="293"/>
      <x:c r="UDK66" s="293"/>
      <x:c r="UDL66" s="293"/>
      <x:c r="UDM66" s="293"/>
      <x:c r="UDN66" s="293"/>
      <x:c r="UDO66" s="293"/>
      <x:c r="UDP66" s="293"/>
      <x:c r="UDQ66" s="293"/>
      <x:c r="UDR66" s="293"/>
      <x:c r="UDS66" s="293"/>
      <x:c r="UDT66" s="293"/>
      <x:c r="UDU66" s="293"/>
      <x:c r="UDV66" s="293"/>
      <x:c r="UDW66" s="293"/>
      <x:c r="UDX66" s="293"/>
      <x:c r="UDY66" s="293"/>
      <x:c r="UDZ66" s="293"/>
      <x:c r="UEA66" s="293"/>
      <x:c r="UEB66" s="293"/>
      <x:c r="UEC66" s="293"/>
      <x:c r="UED66" s="293"/>
      <x:c r="UEE66" s="293"/>
      <x:c r="UEF66" s="293"/>
      <x:c r="UEG66" s="293"/>
      <x:c r="UEH66" s="293"/>
      <x:c r="UEI66" s="293"/>
      <x:c r="UEJ66" s="293"/>
      <x:c r="UEK66" s="293"/>
      <x:c r="UEL66" s="293"/>
      <x:c r="UEM66" s="293"/>
      <x:c r="UEN66" s="293"/>
      <x:c r="UEO66" s="293"/>
      <x:c r="UEP66" s="293"/>
      <x:c r="UEQ66" s="293"/>
      <x:c r="UER66" s="293"/>
      <x:c r="UES66" s="293"/>
      <x:c r="UET66" s="293"/>
      <x:c r="UEU66" s="293"/>
      <x:c r="UEV66" s="293"/>
      <x:c r="UEW66" s="293"/>
      <x:c r="UEX66" s="293"/>
      <x:c r="UEY66" s="293"/>
      <x:c r="UEZ66" s="293"/>
      <x:c r="UFA66" s="293"/>
      <x:c r="UFB66" s="293"/>
      <x:c r="UFC66" s="293"/>
      <x:c r="UFD66" s="293"/>
      <x:c r="UFE66" s="293"/>
      <x:c r="UFF66" s="293"/>
      <x:c r="UFG66" s="293"/>
      <x:c r="UFH66" s="293"/>
      <x:c r="UFI66" s="293"/>
      <x:c r="UFJ66" s="293"/>
      <x:c r="UFK66" s="293"/>
      <x:c r="UFL66" s="293"/>
      <x:c r="UFM66" s="293"/>
      <x:c r="UFN66" s="293"/>
      <x:c r="UFO66" s="293"/>
      <x:c r="UFP66" s="293"/>
      <x:c r="UFQ66" s="293"/>
      <x:c r="UFR66" s="293"/>
      <x:c r="UFS66" s="293"/>
      <x:c r="UFT66" s="293"/>
      <x:c r="UFU66" s="293"/>
      <x:c r="UFV66" s="293"/>
      <x:c r="UFW66" s="293"/>
      <x:c r="UFX66" s="293"/>
      <x:c r="UFY66" s="293"/>
      <x:c r="UFZ66" s="293"/>
      <x:c r="UGA66" s="293"/>
      <x:c r="UGB66" s="293"/>
      <x:c r="UGC66" s="293"/>
      <x:c r="UGD66" s="293"/>
      <x:c r="UGE66" s="293"/>
      <x:c r="UGF66" s="293"/>
      <x:c r="UGG66" s="293"/>
      <x:c r="UGH66" s="293"/>
      <x:c r="UGI66" s="293"/>
      <x:c r="UGJ66" s="293"/>
      <x:c r="UGK66" s="293"/>
      <x:c r="UGL66" s="293"/>
      <x:c r="UGM66" s="293"/>
      <x:c r="UGN66" s="293"/>
      <x:c r="UGO66" s="293"/>
      <x:c r="UGP66" s="293"/>
      <x:c r="UGQ66" s="293"/>
      <x:c r="UGR66" s="293"/>
      <x:c r="UGS66" s="293"/>
      <x:c r="UGT66" s="293"/>
      <x:c r="UGU66" s="293"/>
      <x:c r="UGV66" s="293"/>
      <x:c r="UGW66" s="293"/>
      <x:c r="UGX66" s="293"/>
      <x:c r="UGY66" s="293"/>
      <x:c r="UGZ66" s="293"/>
      <x:c r="UHA66" s="293"/>
      <x:c r="UHB66" s="293"/>
      <x:c r="UHC66" s="293"/>
      <x:c r="UHD66" s="293"/>
      <x:c r="UHE66" s="293"/>
      <x:c r="UHF66" s="293"/>
      <x:c r="UHG66" s="293"/>
      <x:c r="UHH66" s="293"/>
      <x:c r="UHI66" s="293"/>
      <x:c r="UHJ66" s="293"/>
      <x:c r="UHK66" s="293"/>
      <x:c r="UHL66" s="293"/>
      <x:c r="UHM66" s="293"/>
      <x:c r="UHN66" s="293"/>
      <x:c r="UHO66" s="293"/>
      <x:c r="UHP66" s="293"/>
      <x:c r="UHQ66" s="293"/>
      <x:c r="UHR66" s="293"/>
      <x:c r="UHS66" s="293"/>
      <x:c r="UHT66" s="293"/>
      <x:c r="UHU66" s="293"/>
      <x:c r="UHV66" s="293"/>
      <x:c r="UHW66" s="293"/>
      <x:c r="UHX66" s="293"/>
      <x:c r="UHY66" s="293"/>
      <x:c r="UHZ66" s="293"/>
      <x:c r="UIA66" s="293"/>
      <x:c r="UIB66" s="293"/>
      <x:c r="UIC66" s="293"/>
      <x:c r="UID66" s="293"/>
      <x:c r="UIE66" s="293"/>
      <x:c r="UIF66" s="293"/>
      <x:c r="UIG66" s="293"/>
      <x:c r="UIH66" s="293"/>
      <x:c r="UII66" s="293"/>
      <x:c r="UIJ66" s="293"/>
      <x:c r="UIK66" s="293"/>
      <x:c r="UIL66" s="293"/>
      <x:c r="UIM66" s="293"/>
      <x:c r="UIN66" s="293"/>
      <x:c r="UIO66" s="293"/>
      <x:c r="UIP66" s="293"/>
      <x:c r="UIQ66" s="293"/>
      <x:c r="UIR66" s="293"/>
      <x:c r="UIS66" s="293"/>
      <x:c r="UIT66" s="293"/>
      <x:c r="UIU66" s="293"/>
      <x:c r="UIV66" s="293"/>
      <x:c r="UIW66" s="293"/>
      <x:c r="UIX66" s="293"/>
      <x:c r="UIY66" s="293"/>
      <x:c r="UIZ66" s="293"/>
      <x:c r="UJA66" s="293"/>
      <x:c r="UJB66" s="293"/>
      <x:c r="UJC66" s="293"/>
      <x:c r="UJD66" s="293"/>
      <x:c r="UJE66" s="293"/>
      <x:c r="UJF66" s="293"/>
      <x:c r="UJG66" s="293"/>
      <x:c r="UJH66" s="293"/>
      <x:c r="UJI66" s="293"/>
      <x:c r="UJJ66" s="293"/>
      <x:c r="UJK66" s="293"/>
      <x:c r="UJL66" s="293"/>
      <x:c r="UJM66" s="293"/>
      <x:c r="UJN66" s="293"/>
      <x:c r="UJO66" s="293"/>
      <x:c r="UJP66" s="293"/>
      <x:c r="UJQ66" s="293"/>
      <x:c r="UJR66" s="293"/>
      <x:c r="UJS66" s="293"/>
      <x:c r="UJT66" s="293"/>
      <x:c r="UJU66" s="293"/>
      <x:c r="UJV66" s="293"/>
      <x:c r="UJW66" s="293"/>
      <x:c r="UJX66" s="293"/>
      <x:c r="UJY66" s="293"/>
      <x:c r="UJZ66" s="293"/>
      <x:c r="UKA66" s="293"/>
      <x:c r="UKB66" s="293"/>
      <x:c r="UKC66" s="293"/>
      <x:c r="UKD66" s="293"/>
      <x:c r="UKE66" s="293"/>
      <x:c r="UKF66" s="293"/>
      <x:c r="UKG66" s="293"/>
      <x:c r="UKH66" s="293"/>
      <x:c r="UKI66" s="293"/>
      <x:c r="UKJ66" s="293"/>
      <x:c r="UKK66" s="293"/>
      <x:c r="UKL66" s="293"/>
      <x:c r="UKM66" s="293"/>
      <x:c r="UKN66" s="293"/>
      <x:c r="UKO66" s="293"/>
      <x:c r="UKP66" s="293"/>
      <x:c r="UKQ66" s="293"/>
      <x:c r="UKR66" s="293"/>
      <x:c r="UKS66" s="293"/>
      <x:c r="UKT66" s="293"/>
      <x:c r="UKU66" s="293"/>
      <x:c r="UKV66" s="293"/>
      <x:c r="UKW66" s="293"/>
      <x:c r="UKX66" s="293"/>
      <x:c r="UKY66" s="293"/>
      <x:c r="UKZ66" s="293"/>
      <x:c r="ULA66" s="293"/>
      <x:c r="ULB66" s="293"/>
      <x:c r="ULC66" s="293"/>
      <x:c r="ULD66" s="293"/>
      <x:c r="ULE66" s="293"/>
      <x:c r="ULF66" s="293"/>
      <x:c r="ULG66" s="293"/>
      <x:c r="ULH66" s="293"/>
      <x:c r="ULI66" s="293"/>
      <x:c r="ULJ66" s="293"/>
      <x:c r="ULK66" s="293"/>
      <x:c r="ULL66" s="293"/>
      <x:c r="ULM66" s="293"/>
      <x:c r="ULN66" s="293"/>
      <x:c r="ULO66" s="293"/>
      <x:c r="ULP66" s="293"/>
      <x:c r="ULQ66" s="293"/>
      <x:c r="ULR66" s="293"/>
      <x:c r="ULS66" s="293"/>
      <x:c r="ULT66" s="293"/>
      <x:c r="ULU66" s="293"/>
      <x:c r="ULV66" s="293"/>
      <x:c r="ULW66" s="293"/>
      <x:c r="ULX66" s="293"/>
      <x:c r="ULY66" s="293"/>
      <x:c r="ULZ66" s="293"/>
      <x:c r="UMA66" s="293"/>
      <x:c r="UMB66" s="293"/>
      <x:c r="UMC66" s="293"/>
      <x:c r="UMD66" s="293"/>
      <x:c r="UME66" s="293"/>
      <x:c r="UMF66" s="293"/>
      <x:c r="UMG66" s="293"/>
      <x:c r="UMH66" s="293"/>
      <x:c r="UMI66" s="293"/>
      <x:c r="UMJ66" s="293"/>
      <x:c r="UMK66" s="293"/>
      <x:c r="UML66" s="293"/>
      <x:c r="UMM66" s="293"/>
      <x:c r="UMN66" s="293"/>
      <x:c r="UMO66" s="293"/>
      <x:c r="UMP66" s="293"/>
      <x:c r="UMQ66" s="293"/>
      <x:c r="UMR66" s="293"/>
      <x:c r="UMS66" s="293"/>
      <x:c r="UMT66" s="293"/>
      <x:c r="UMU66" s="293"/>
      <x:c r="UMV66" s="293"/>
      <x:c r="UMW66" s="293"/>
      <x:c r="UMX66" s="293"/>
      <x:c r="UMY66" s="293"/>
      <x:c r="UMZ66" s="293"/>
      <x:c r="UNA66" s="293"/>
      <x:c r="UNB66" s="293"/>
      <x:c r="UNC66" s="293"/>
      <x:c r="UND66" s="293"/>
      <x:c r="UNE66" s="293"/>
      <x:c r="UNF66" s="293"/>
      <x:c r="UNG66" s="293"/>
      <x:c r="UNH66" s="293"/>
      <x:c r="UNI66" s="293"/>
      <x:c r="UNJ66" s="293"/>
      <x:c r="UNK66" s="293"/>
      <x:c r="UNL66" s="293"/>
      <x:c r="UNM66" s="293"/>
      <x:c r="UNN66" s="293"/>
      <x:c r="UNO66" s="293"/>
      <x:c r="UNP66" s="293"/>
      <x:c r="UNQ66" s="293"/>
      <x:c r="UNR66" s="293"/>
      <x:c r="UNS66" s="293"/>
      <x:c r="UNT66" s="293"/>
      <x:c r="UNU66" s="293"/>
      <x:c r="UNV66" s="293"/>
      <x:c r="UNW66" s="293"/>
      <x:c r="UNX66" s="293"/>
      <x:c r="UNY66" s="293"/>
      <x:c r="UNZ66" s="293"/>
      <x:c r="UOA66" s="293"/>
      <x:c r="UOB66" s="293"/>
      <x:c r="UOC66" s="293"/>
      <x:c r="UOD66" s="293"/>
      <x:c r="UOE66" s="293"/>
      <x:c r="UOF66" s="293"/>
      <x:c r="UOG66" s="293"/>
      <x:c r="UOH66" s="293"/>
      <x:c r="UOI66" s="293"/>
      <x:c r="UOJ66" s="293"/>
      <x:c r="UOK66" s="293"/>
      <x:c r="UOL66" s="293"/>
      <x:c r="UOM66" s="293"/>
      <x:c r="UON66" s="293"/>
      <x:c r="UOO66" s="293"/>
      <x:c r="UOP66" s="293"/>
      <x:c r="UOQ66" s="293"/>
      <x:c r="UOR66" s="293"/>
      <x:c r="UOS66" s="293"/>
      <x:c r="UOT66" s="293"/>
      <x:c r="UOU66" s="293"/>
      <x:c r="UOV66" s="293"/>
      <x:c r="UOW66" s="293"/>
      <x:c r="UOX66" s="293"/>
      <x:c r="UOY66" s="293"/>
      <x:c r="UOZ66" s="293"/>
      <x:c r="UPA66" s="293"/>
      <x:c r="UPB66" s="293"/>
      <x:c r="UPC66" s="293"/>
      <x:c r="UPD66" s="293"/>
      <x:c r="UPE66" s="293"/>
      <x:c r="UPF66" s="293"/>
      <x:c r="UPG66" s="293"/>
      <x:c r="UPH66" s="293"/>
      <x:c r="UPI66" s="293"/>
      <x:c r="UPJ66" s="293"/>
      <x:c r="UPK66" s="293"/>
      <x:c r="UPL66" s="293"/>
      <x:c r="UPM66" s="293"/>
      <x:c r="UPN66" s="293"/>
      <x:c r="UPO66" s="293"/>
      <x:c r="UPP66" s="293"/>
      <x:c r="UPQ66" s="293"/>
      <x:c r="UPR66" s="293"/>
      <x:c r="UPS66" s="293"/>
      <x:c r="UPT66" s="293"/>
      <x:c r="UPU66" s="293"/>
      <x:c r="UPV66" s="293"/>
      <x:c r="UPW66" s="293"/>
      <x:c r="UPX66" s="293"/>
      <x:c r="UPY66" s="293"/>
      <x:c r="UPZ66" s="293"/>
      <x:c r="UQA66" s="293"/>
      <x:c r="UQB66" s="293"/>
      <x:c r="UQC66" s="293"/>
      <x:c r="UQD66" s="293"/>
      <x:c r="UQE66" s="293"/>
      <x:c r="UQF66" s="293"/>
      <x:c r="UQG66" s="293"/>
      <x:c r="UQH66" s="293"/>
      <x:c r="UQI66" s="293"/>
      <x:c r="UQJ66" s="293"/>
      <x:c r="UQK66" s="293"/>
      <x:c r="UQL66" s="293"/>
      <x:c r="UQM66" s="293"/>
      <x:c r="UQN66" s="293"/>
      <x:c r="UQO66" s="293"/>
      <x:c r="UQP66" s="293"/>
      <x:c r="UQQ66" s="293"/>
      <x:c r="UQR66" s="293"/>
      <x:c r="UQS66" s="293"/>
      <x:c r="UQT66" s="293"/>
      <x:c r="UQU66" s="293"/>
      <x:c r="UQV66" s="293"/>
      <x:c r="UQW66" s="293"/>
      <x:c r="UQX66" s="293"/>
      <x:c r="UQY66" s="293"/>
      <x:c r="UQZ66" s="293"/>
      <x:c r="URA66" s="293"/>
      <x:c r="URB66" s="293"/>
      <x:c r="URC66" s="293"/>
      <x:c r="URD66" s="293"/>
      <x:c r="URE66" s="293"/>
      <x:c r="URF66" s="293"/>
      <x:c r="URG66" s="293"/>
      <x:c r="URH66" s="293"/>
      <x:c r="URI66" s="293"/>
      <x:c r="URJ66" s="293"/>
      <x:c r="URK66" s="293"/>
      <x:c r="URL66" s="293"/>
      <x:c r="URM66" s="293"/>
      <x:c r="URN66" s="293"/>
      <x:c r="URO66" s="293"/>
      <x:c r="URP66" s="293"/>
      <x:c r="URQ66" s="293"/>
      <x:c r="URR66" s="293"/>
      <x:c r="URS66" s="293"/>
      <x:c r="URT66" s="293"/>
      <x:c r="URU66" s="293"/>
      <x:c r="URV66" s="293"/>
      <x:c r="URW66" s="293"/>
      <x:c r="URX66" s="293"/>
      <x:c r="URY66" s="293"/>
      <x:c r="URZ66" s="293"/>
      <x:c r="USA66" s="293"/>
      <x:c r="USB66" s="293"/>
      <x:c r="USC66" s="293"/>
      <x:c r="USD66" s="293"/>
      <x:c r="USE66" s="293"/>
      <x:c r="USF66" s="293"/>
      <x:c r="USG66" s="293"/>
      <x:c r="USH66" s="293"/>
      <x:c r="USI66" s="293"/>
      <x:c r="USJ66" s="293"/>
      <x:c r="USK66" s="293"/>
      <x:c r="USL66" s="293"/>
      <x:c r="USM66" s="293"/>
      <x:c r="USN66" s="293"/>
      <x:c r="USO66" s="293"/>
      <x:c r="USP66" s="293"/>
      <x:c r="USQ66" s="293"/>
      <x:c r="USR66" s="293"/>
      <x:c r="USS66" s="293"/>
      <x:c r="UST66" s="293"/>
      <x:c r="USU66" s="293"/>
      <x:c r="USV66" s="293"/>
      <x:c r="USW66" s="293"/>
      <x:c r="USX66" s="293"/>
      <x:c r="USY66" s="293"/>
      <x:c r="USZ66" s="293"/>
      <x:c r="UTA66" s="293"/>
      <x:c r="UTB66" s="293"/>
      <x:c r="UTC66" s="293"/>
      <x:c r="UTD66" s="293"/>
      <x:c r="UTE66" s="293"/>
      <x:c r="UTF66" s="293"/>
      <x:c r="UTG66" s="293"/>
      <x:c r="UTH66" s="293"/>
      <x:c r="UTI66" s="293"/>
      <x:c r="UTJ66" s="293"/>
      <x:c r="UTK66" s="293"/>
      <x:c r="UTL66" s="293"/>
      <x:c r="UTM66" s="293"/>
      <x:c r="UTN66" s="293"/>
      <x:c r="UTO66" s="293"/>
      <x:c r="UTP66" s="293"/>
      <x:c r="UTQ66" s="293"/>
      <x:c r="UTR66" s="293"/>
      <x:c r="UTS66" s="293"/>
      <x:c r="UTT66" s="293"/>
      <x:c r="UTU66" s="293"/>
      <x:c r="UTV66" s="293"/>
      <x:c r="UTW66" s="293"/>
      <x:c r="UTX66" s="293"/>
      <x:c r="UTY66" s="293"/>
      <x:c r="UTZ66" s="293"/>
      <x:c r="UUA66" s="293"/>
      <x:c r="UUB66" s="293"/>
      <x:c r="UUC66" s="293"/>
      <x:c r="UUD66" s="293"/>
      <x:c r="UUE66" s="293"/>
      <x:c r="UUF66" s="293"/>
      <x:c r="UUG66" s="293"/>
      <x:c r="UUH66" s="293"/>
      <x:c r="UUI66" s="293"/>
      <x:c r="UUJ66" s="293"/>
      <x:c r="UUK66" s="293"/>
      <x:c r="UUL66" s="293"/>
      <x:c r="UUM66" s="293"/>
      <x:c r="UUN66" s="293"/>
      <x:c r="UUO66" s="293"/>
      <x:c r="UUP66" s="293"/>
      <x:c r="UUQ66" s="293"/>
      <x:c r="UUR66" s="293"/>
      <x:c r="UUS66" s="293"/>
      <x:c r="UUT66" s="293"/>
      <x:c r="UUU66" s="293"/>
      <x:c r="UUV66" s="293"/>
      <x:c r="UUW66" s="293"/>
      <x:c r="UUX66" s="293"/>
      <x:c r="UUY66" s="293"/>
      <x:c r="UUZ66" s="293"/>
      <x:c r="UVA66" s="293"/>
      <x:c r="UVB66" s="293"/>
      <x:c r="UVC66" s="293"/>
      <x:c r="UVD66" s="293"/>
      <x:c r="UVE66" s="293"/>
      <x:c r="UVF66" s="293"/>
      <x:c r="UVG66" s="293"/>
      <x:c r="UVH66" s="293"/>
      <x:c r="UVI66" s="293"/>
      <x:c r="UVJ66" s="293"/>
      <x:c r="UVK66" s="293"/>
      <x:c r="UVL66" s="293"/>
      <x:c r="UVM66" s="293"/>
      <x:c r="UVN66" s="293"/>
      <x:c r="UVO66" s="293"/>
      <x:c r="UVP66" s="293"/>
      <x:c r="UVQ66" s="293"/>
      <x:c r="UVR66" s="293"/>
      <x:c r="UVS66" s="293"/>
      <x:c r="UVT66" s="293"/>
      <x:c r="UVU66" s="293"/>
      <x:c r="UVV66" s="293"/>
      <x:c r="UVW66" s="293"/>
      <x:c r="UVX66" s="293"/>
      <x:c r="UVY66" s="293"/>
      <x:c r="UVZ66" s="293"/>
      <x:c r="UWA66" s="293"/>
      <x:c r="UWB66" s="293"/>
      <x:c r="UWC66" s="293"/>
      <x:c r="UWD66" s="293"/>
      <x:c r="UWE66" s="293"/>
      <x:c r="UWF66" s="293"/>
      <x:c r="UWG66" s="293"/>
      <x:c r="UWH66" s="293"/>
      <x:c r="UWI66" s="293"/>
      <x:c r="UWJ66" s="293"/>
      <x:c r="UWK66" s="293"/>
      <x:c r="UWL66" s="293"/>
      <x:c r="UWM66" s="293"/>
      <x:c r="UWN66" s="293"/>
      <x:c r="UWO66" s="293"/>
      <x:c r="UWP66" s="293"/>
      <x:c r="UWQ66" s="293"/>
      <x:c r="UWR66" s="293"/>
      <x:c r="UWS66" s="293"/>
      <x:c r="UWT66" s="293"/>
      <x:c r="UWU66" s="293"/>
      <x:c r="UWV66" s="293"/>
      <x:c r="UWW66" s="293"/>
      <x:c r="UWX66" s="293"/>
      <x:c r="UWY66" s="293"/>
      <x:c r="UWZ66" s="293"/>
      <x:c r="UXA66" s="293"/>
      <x:c r="UXB66" s="293"/>
      <x:c r="UXC66" s="293"/>
      <x:c r="UXD66" s="293"/>
      <x:c r="UXE66" s="293"/>
      <x:c r="UXF66" s="293"/>
      <x:c r="UXG66" s="293"/>
      <x:c r="UXH66" s="293"/>
      <x:c r="UXI66" s="293"/>
      <x:c r="UXJ66" s="293"/>
      <x:c r="UXK66" s="293"/>
      <x:c r="UXL66" s="293"/>
      <x:c r="UXM66" s="293"/>
      <x:c r="UXN66" s="293"/>
      <x:c r="UXO66" s="293"/>
      <x:c r="UXP66" s="293"/>
      <x:c r="UXQ66" s="293"/>
      <x:c r="UXR66" s="293"/>
      <x:c r="UXS66" s="293"/>
      <x:c r="UXT66" s="293"/>
      <x:c r="UXU66" s="293"/>
      <x:c r="UXV66" s="293"/>
      <x:c r="UXW66" s="293"/>
      <x:c r="UXX66" s="293"/>
      <x:c r="UXY66" s="293"/>
      <x:c r="UXZ66" s="293"/>
      <x:c r="UYA66" s="293"/>
      <x:c r="UYB66" s="293"/>
      <x:c r="UYC66" s="293"/>
      <x:c r="UYD66" s="293"/>
      <x:c r="UYE66" s="293"/>
      <x:c r="UYF66" s="293"/>
      <x:c r="UYG66" s="293"/>
      <x:c r="UYH66" s="293"/>
      <x:c r="UYI66" s="293"/>
      <x:c r="UYJ66" s="293"/>
      <x:c r="UYK66" s="293"/>
      <x:c r="UYL66" s="293"/>
      <x:c r="UYM66" s="293"/>
      <x:c r="UYN66" s="293"/>
      <x:c r="UYO66" s="293"/>
      <x:c r="UYP66" s="293"/>
      <x:c r="UYQ66" s="293"/>
      <x:c r="UYR66" s="293"/>
      <x:c r="UYS66" s="293"/>
      <x:c r="UYT66" s="293"/>
      <x:c r="UYU66" s="293"/>
      <x:c r="UYV66" s="293"/>
      <x:c r="UYW66" s="293"/>
      <x:c r="UYX66" s="293"/>
      <x:c r="UYY66" s="293"/>
      <x:c r="UYZ66" s="293"/>
      <x:c r="UZA66" s="293"/>
      <x:c r="UZB66" s="293"/>
      <x:c r="UZC66" s="293"/>
      <x:c r="UZD66" s="293"/>
      <x:c r="UZE66" s="293"/>
      <x:c r="UZF66" s="293"/>
      <x:c r="UZG66" s="293"/>
      <x:c r="UZH66" s="293"/>
      <x:c r="UZI66" s="293"/>
      <x:c r="UZJ66" s="293"/>
      <x:c r="UZK66" s="293"/>
      <x:c r="UZL66" s="293"/>
      <x:c r="UZM66" s="293"/>
      <x:c r="UZN66" s="293"/>
      <x:c r="UZO66" s="293"/>
      <x:c r="UZP66" s="293"/>
      <x:c r="UZQ66" s="293"/>
      <x:c r="UZR66" s="293"/>
      <x:c r="UZS66" s="293"/>
      <x:c r="UZT66" s="293"/>
      <x:c r="UZU66" s="293"/>
      <x:c r="UZV66" s="293"/>
      <x:c r="UZW66" s="293"/>
      <x:c r="UZX66" s="293"/>
      <x:c r="UZY66" s="293"/>
      <x:c r="UZZ66" s="293"/>
      <x:c r="VAA66" s="293"/>
      <x:c r="VAB66" s="293"/>
      <x:c r="VAC66" s="293"/>
      <x:c r="VAD66" s="293"/>
      <x:c r="VAE66" s="293"/>
      <x:c r="VAF66" s="293"/>
      <x:c r="VAG66" s="293"/>
      <x:c r="VAH66" s="293"/>
      <x:c r="VAI66" s="293"/>
      <x:c r="VAJ66" s="293"/>
      <x:c r="VAK66" s="293"/>
      <x:c r="VAL66" s="293"/>
      <x:c r="VAM66" s="293"/>
      <x:c r="VAN66" s="293"/>
      <x:c r="VAO66" s="293"/>
      <x:c r="VAP66" s="293"/>
      <x:c r="VAQ66" s="293"/>
      <x:c r="VAR66" s="293"/>
      <x:c r="VAS66" s="293"/>
      <x:c r="VAT66" s="293"/>
      <x:c r="VAU66" s="293"/>
      <x:c r="VAV66" s="293"/>
      <x:c r="VAW66" s="293"/>
      <x:c r="VAX66" s="293"/>
      <x:c r="VAY66" s="293"/>
      <x:c r="VAZ66" s="293"/>
      <x:c r="VBA66" s="293"/>
      <x:c r="VBB66" s="293"/>
      <x:c r="VBC66" s="293"/>
      <x:c r="VBD66" s="293"/>
      <x:c r="VBE66" s="293"/>
      <x:c r="VBF66" s="293"/>
      <x:c r="VBG66" s="293"/>
      <x:c r="VBH66" s="293"/>
      <x:c r="VBI66" s="293"/>
      <x:c r="VBJ66" s="293"/>
      <x:c r="VBK66" s="293"/>
      <x:c r="VBL66" s="293"/>
      <x:c r="VBM66" s="293"/>
      <x:c r="VBN66" s="293"/>
      <x:c r="VBO66" s="293"/>
      <x:c r="VBP66" s="293"/>
      <x:c r="VBQ66" s="293"/>
      <x:c r="VBR66" s="293"/>
      <x:c r="VBS66" s="293"/>
      <x:c r="VBT66" s="293"/>
      <x:c r="VBU66" s="293"/>
      <x:c r="VBV66" s="293"/>
      <x:c r="VBW66" s="293"/>
      <x:c r="VBX66" s="293"/>
      <x:c r="VBY66" s="293"/>
      <x:c r="VBZ66" s="293"/>
      <x:c r="VCA66" s="293"/>
      <x:c r="VCB66" s="293"/>
      <x:c r="VCC66" s="293"/>
      <x:c r="VCD66" s="293"/>
      <x:c r="VCE66" s="293"/>
      <x:c r="VCF66" s="293"/>
      <x:c r="VCG66" s="293"/>
      <x:c r="VCH66" s="293"/>
      <x:c r="VCI66" s="293"/>
      <x:c r="VCJ66" s="293"/>
      <x:c r="VCK66" s="293"/>
      <x:c r="VCL66" s="293"/>
      <x:c r="VCM66" s="293"/>
      <x:c r="VCN66" s="293"/>
      <x:c r="VCO66" s="293"/>
      <x:c r="VCP66" s="293"/>
      <x:c r="VCQ66" s="293"/>
      <x:c r="VCR66" s="293"/>
      <x:c r="VCS66" s="293"/>
      <x:c r="VCT66" s="293"/>
      <x:c r="VCU66" s="293"/>
      <x:c r="VCV66" s="293"/>
      <x:c r="VCW66" s="293"/>
      <x:c r="VCX66" s="293"/>
      <x:c r="VCY66" s="293"/>
      <x:c r="VCZ66" s="293"/>
      <x:c r="VDA66" s="293"/>
      <x:c r="VDB66" s="293"/>
      <x:c r="VDC66" s="293"/>
      <x:c r="VDD66" s="293"/>
      <x:c r="VDE66" s="293"/>
      <x:c r="VDF66" s="293"/>
      <x:c r="VDG66" s="293"/>
      <x:c r="VDH66" s="293"/>
      <x:c r="VDI66" s="293"/>
      <x:c r="VDJ66" s="293"/>
      <x:c r="VDK66" s="293"/>
      <x:c r="VDL66" s="293"/>
      <x:c r="VDM66" s="293"/>
      <x:c r="VDN66" s="293"/>
      <x:c r="VDO66" s="293"/>
      <x:c r="VDP66" s="293"/>
      <x:c r="VDQ66" s="293"/>
      <x:c r="VDR66" s="293"/>
      <x:c r="VDS66" s="293"/>
      <x:c r="VDT66" s="293"/>
      <x:c r="VDU66" s="293"/>
      <x:c r="VDV66" s="293"/>
      <x:c r="VDW66" s="293"/>
      <x:c r="VDX66" s="293"/>
      <x:c r="VDY66" s="293"/>
      <x:c r="VDZ66" s="293"/>
      <x:c r="VEA66" s="293"/>
      <x:c r="VEB66" s="293"/>
      <x:c r="VEC66" s="293"/>
      <x:c r="VED66" s="293"/>
      <x:c r="VEE66" s="293"/>
      <x:c r="VEF66" s="293"/>
      <x:c r="VEG66" s="293"/>
      <x:c r="VEH66" s="293"/>
      <x:c r="VEI66" s="293"/>
      <x:c r="VEJ66" s="293"/>
      <x:c r="VEK66" s="293"/>
      <x:c r="VEL66" s="293"/>
      <x:c r="VEM66" s="293"/>
      <x:c r="VEN66" s="293"/>
      <x:c r="VEO66" s="293"/>
      <x:c r="VEP66" s="293"/>
      <x:c r="VEQ66" s="293"/>
      <x:c r="VER66" s="293"/>
      <x:c r="VES66" s="293"/>
      <x:c r="VET66" s="293"/>
      <x:c r="VEU66" s="293"/>
      <x:c r="VEV66" s="293"/>
      <x:c r="VEW66" s="293"/>
      <x:c r="VEX66" s="293"/>
      <x:c r="VEY66" s="293"/>
      <x:c r="VEZ66" s="293"/>
      <x:c r="VFA66" s="293"/>
      <x:c r="VFB66" s="293"/>
      <x:c r="VFC66" s="293"/>
      <x:c r="VFD66" s="293"/>
      <x:c r="VFE66" s="293"/>
      <x:c r="VFF66" s="293"/>
      <x:c r="VFG66" s="293"/>
      <x:c r="VFH66" s="293"/>
      <x:c r="VFI66" s="293"/>
      <x:c r="VFJ66" s="293"/>
      <x:c r="VFK66" s="293"/>
      <x:c r="VFL66" s="293"/>
      <x:c r="VFM66" s="293"/>
      <x:c r="VFN66" s="293"/>
      <x:c r="VFO66" s="293"/>
      <x:c r="VFP66" s="293"/>
      <x:c r="VFQ66" s="293"/>
      <x:c r="VFR66" s="293"/>
      <x:c r="VFS66" s="293"/>
      <x:c r="VFT66" s="293"/>
      <x:c r="VFU66" s="293"/>
      <x:c r="VFV66" s="293"/>
      <x:c r="VFW66" s="293"/>
      <x:c r="VFX66" s="293"/>
      <x:c r="VFY66" s="293"/>
      <x:c r="VFZ66" s="293"/>
      <x:c r="VGA66" s="293"/>
      <x:c r="VGB66" s="293"/>
      <x:c r="VGC66" s="293"/>
      <x:c r="VGD66" s="293"/>
      <x:c r="VGE66" s="293"/>
      <x:c r="VGF66" s="293"/>
      <x:c r="VGG66" s="293"/>
      <x:c r="VGH66" s="293"/>
      <x:c r="VGI66" s="293"/>
      <x:c r="VGJ66" s="293"/>
      <x:c r="VGK66" s="293"/>
      <x:c r="VGL66" s="293"/>
      <x:c r="VGM66" s="293"/>
      <x:c r="VGN66" s="293"/>
      <x:c r="VGO66" s="293"/>
      <x:c r="VGP66" s="293"/>
      <x:c r="VGQ66" s="293"/>
      <x:c r="VGR66" s="293"/>
      <x:c r="VGS66" s="293"/>
      <x:c r="VGT66" s="293"/>
      <x:c r="VGU66" s="293"/>
      <x:c r="VGV66" s="293"/>
      <x:c r="VGW66" s="293"/>
      <x:c r="VGX66" s="293"/>
      <x:c r="VGY66" s="293"/>
      <x:c r="VGZ66" s="293"/>
      <x:c r="VHA66" s="293"/>
      <x:c r="VHB66" s="293"/>
      <x:c r="VHC66" s="293"/>
      <x:c r="VHD66" s="293"/>
      <x:c r="VHE66" s="293"/>
      <x:c r="VHF66" s="293"/>
      <x:c r="VHG66" s="293"/>
      <x:c r="VHH66" s="293"/>
      <x:c r="VHI66" s="293"/>
      <x:c r="VHJ66" s="293"/>
      <x:c r="VHK66" s="293"/>
      <x:c r="VHL66" s="293"/>
      <x:c r="VHM66" s="293"/>
      <x:c r="VHN66" s="293"/>
      <x:c r="VHO66" s="293"/>
      <x:c r="VHP66" s="293"/>
      <x:c r="VHQ66" s="293"/>
      <x:c r="VHR66" s="293"/>
      <x:c r="VHS66" s="293"/>
      <x:c r="VHT66" s="293"/>
      <x:c r="VHU66" s="293"/>
      <x:c r="VHV66" s="293"/>
      <x:c r="VHW66" s="293"/>
      <x:c r="VHX66" s="293"/>
      <x:c r="VHY66" s="293"/>
      <x:c r="VHZ66" s="293"/>
      <x:c r="VIA66" s="293"/>
      <x:c r="VIB66" s="293"/>
      <x:c r="VIC66" s="293"/>
      <x:c r="VID66" s="293"/>
      <x:c r="VIE66" s="293"/>
      <x:c r="VIF66" s="293"/>
      <x:c r="VIG66" s="293"/>
      <x:c r="VIH66" s="293"/>
      <x:c r="VII66" s="293"/>
      <x:c r="VIJ66" s="293"/>
      <x:c r="VIK66" s="293"/>
      <x:c r="VIL66" s="293"/>
      <x:c r="VIM66" s="293"/>
      <x:c r="VIN66" s="293"/>
      <x:c r="VIO66" s="293"/>
      <x:c r="VIP66" s="293"/>
      <x:c r="VIQ66" s="293"/>
      <x:c r="VIR66" s="293"/>
      <x:c r="VIS66" s="293"/>
      <x:c r="VIT66" s="293"/>
      <x:c r="VIU66" s="293"/>
      <x:c r="VIV66" s="293"/>
      <x:c r="VIW66" s="293"/>
      <x:c r="VIX66" s="293"/>
      <x:c r="VIY66" s="293"/>
      <x:c r="VIZ66" s="293"/>
      <x:c r="VJA66" s="293"/>
      <x:c r="VJB66" s="293"/>
      <x:c r="VJC66" s="293"/>
      <x:c r="VJD66" s="293"/>
      <x:c r="VJE66" s="293"/>
      <x:c r="VJF66" s="293"/>
      <x:c r="VJG66" s="293"/>
      <x:c r="VJH66" s="293"/>
      <x:c r="VJI66" s="293"/>
      <x:c r="VJJ66" s="293"/>
      <x:c r="VJK66" s="293"/>
      <x:c r="VJL66" s="293"/>
      <x:c r="VJM66" s="293"/>
      <x:c r="VJN66" s="293"/>
      <x:c r="VJO66" s="293"/>
      <x:c r="VJP66" s="293"/>
      <x:c r="VJQ66" s="293"/>
      <x:c r="VJR66" s="293"/>
      <x:c r="VJS66" s="293"/>
      <x:c r="VJT66" s="293"/>
      <x:c r="VJU66" s="293"/>
      <x:c r="VJV66" s="293"/>
      <x:c r="VJW66" s="293"/>
      <x:c r="VJX66" s="293"/>
      <x:c r="VJY66" s="293"/>
      <x:c r="VJZ66" s="293"/>
      <x:c r="VKA66" s="293"/>
      <x:c r="VKB66" s="293"/>
      <x:c r="VKC66" s="293"/>
      <x:c r="VKD66" s="293"/>
      <x:c r="VKE66" s="293"/>
      <x:c r="VKF66" s="293"/>
      <x:c r="VKG66" s="293"/>
      <x:c r="VKH66" s="293"/>
      <x:c r="VKI66" s="293"/>
      <x:c r="VKJ66" s="293"/>
      <x:c r="VKK66" s="293"/>
      <x:c r="VKL66" s="293"/>
      <x:c r="VKM66" s="293"/>
      <x:c r="VKN66" s="293"/>
      <x:c r="VKO66" s="293"/>
      <x:c r="VKP66" s="293"/>
      <x:c r="VKQ66" s="293"/>
      <x:c r="VKR66" s="293"/>
      <x:c r="VKS66" s="293"/>
      <x:c r="VKT66" s="293"/>
      <x:c r="VKU66" s="293"/>
      <x:c r="VKV66" s="293"/>
      <x:c r="VKW66" s="293"/>
      <x:c r="VKX66" s="293"/>
      <x:c r="VKY66" s="293"/>
      <x:c r="VKZ66" s="293"/>
      <x:c r="VLA66" s="293"/>
      <x:c r="VLB66" s="293"/>
      <x:c r="VLC66" s="293"/>
      <x:c r="VLD66" s="293"/>
      <x:c r="VLE66" s="293"/>
      <x:c r="VLF66" s="293"/>
      <x:c r="VLG66" s="293"/>
      <x:c r="VLH66" s="293"/>
      <x:c r="VLI66" s="293"/>
      <x:c r="VLJ66" s="293"/>
      <x:c r="VLK66" s="293"/>
      <x:c r="VLL66" s="293"/>
      <x:c r="VLM66" s="293"/>
      <x:c r="VLN66" s="293"/>
      <x:c r="VLO66" s="293"/>
      <x:c r="VLP66" s="293"/>
      <x:c r="VLQ66" s="293"/>
      <x:c r="VLR66" s="293"/>
      <x:c r="VLS66" s="293"/>
      <x:c r="VLT66" s="293"/>
      <x:c r="VLU66" s="293"/>
      <x:c r="VLV66" s="293"/>
      <x:c r="VLW66" s="293"/>
      <x:c r="VLX66" s="293"/>
      <x:c r="VLY66" s="293"/>
      <x:c r="VLZ66" s="293"/>
      <x:c r="VMA66" s="293"/>
      <x:c r="VMB66" s="293"/>
      <x:c r="VMC66" s="293"/>
      <x:c r="VMD66" s="293"/>
      <x:c r="VME66" s="293"/>
      <x:c r="VMF66" s="293"/>
      <x:c r="VMG66" s="293"/>
      <x:c r="VMH66" s="293"/>
      <x:c r="VMI66" s="293"/>
      <x:c r="VMJ66" s="293"/>
      <x:c r="VMK66" s="293"/>
      <x:c r="VML66" s="293"/>
      <x:c r="VMM66" s="293"/>
      <x:c r="VMN66" s="293"/>
      <x:c r="VMO66" s="293"/>
      <x:c r="VMP66" s="293"/>
      <x:c r="VMQ66" s="293"/>
      <x:c r="VMR66" s="293"/>
      <x:c r="VMS66" s="293"/>
      <x:c r="VMT66" s="293"/>
      <x:c r="VMU66" s="293"/>
      <x:c r="VMV66" s="293"/>
      <x:c r="VMW66" s="293"/>
      <x:c r="VMX66" s="293"/>
      <x:c r="VMY66" s="293"/>
      <x:c r="VMZ66" s="293"/>
      <x:c r="VNA66" s="293"/>
      <x:c r="VNB66" s="293"/>
      <x:c r="VNC66" s="293"/>
      <x:c r="VND66" s="293"/>
      <x:c r="VNE66" s="293"/>
      <x:c r="VNF66" s="293"/>
      <x:c r="VNG66" s="293"/>
      <x:c r="VNH66" s="293"/>
      <x:c r="VNI66" s="293"/>
      <x:c r="VNJ66" s="293"/>
      <x:c r="VNK66" s="293"/>
      <x:c r="VNL66" s="293"/>
      <x:c r="VNM66" s="293"/>
      <x:c r="VNN66" s="293"/>
      <x:c r="VNO66" s="293"/>
      <x:c r="VNP66" s="293"/>
      <x:c r="VNQ66" s="293"/>
      <x:c r="VNR66" s="293"/>
      <x:c r="VNS66" s="293"/>
      <x:c r="VNT66" s="293"/>
      <x:c r="VNU66" s="293"/>
      <x:c r="VNV66" s="293"/>
      <x:c r="VNW66" s="293"/>
      <x:c r="VNX66" s="293"/>
      <x:c r="VNY66" s="293"/>
      <x:c r="VNZ66" s="293"/>
      <x:c r="VOA66" s="293"/>
      <x:c r="VOB66" s="293"/>
      <x:c r="VOC66" s="293"/>
      <x:c r="VOD66" s="293"/>
      <x:c r="VOE66" s="293"/>
      <x:c r="VOF66" s="293"/>
      <x:c r="VOG66" s="293"/>
      <x:c r="VOH66" s="293"/>
      <x:c r="VOI66" s="293"/>
      <x:c r="VOJ66" s="293"/>
      <x:c r="VOK66" s="293"/>
      <x:c r="VOL66" s="293"/>
      <x:c r="VOM66" s="293"/>
      <x:c r="VON66" s="293"/>
      <x:c r="VOO66" s="293"/>
      <x:c r="VOP66" s="293"/>
      <x:c r="VOQ66" s="293"/>
      <x:c r="VOR66" s="293"/>
      <x:c r="VOS66" s="293"/>
      <x:c r="VOT66" s="293"/>
      <x:c r="VOU66" s="293"/>
      <x:c r="VOV66" s="293"/>
      <x:c r="VOW66" s="293"/>
      <x:c r="VOX66" s="293"/>
      <x:c r="VOY66" s="293"/>
      <x:c r="VOZ66" s="293"/>
      <x:c r="VPA66" s="293"/>
      <x:c r="VPB66" s="293"/>
      <x:c r="VPC66" s="293"/>
      <x:c r="VPD66" s="293"/>
      <x:c r="VPE66" s="293"/>
      <x:c r="VPF66" s="293"/>
      <x:c r="VPG66" s="293"/>
      <x:c r="VPH66" s="293"/>
      <x:c r="VPI66" s="293"/>
      <x:c r="VPJ66" s="293"/>
      <x:c r="VPK66" s="293"/>
      <x:c r="VPL66" s="293"/>
      <x:c r="VPM66" s="293"/>
      <x:c r="VPN66" s="293"/>
      <x:c r="VPO66" s="293"/>
      <x:c r="VPP66" s="293"/>
      <x:c r="VPQ66" s="293"/>
      <x:c r="VPR66" s="293"/>
      <x:c r="VPS66" s="293"/>
      <x:c r="VPT66" s="293"/>
      <x:c r="VPU66" s="293"/>
      <x:c r="VPV66" s="293"/>
      <x:c r="VPW66" s="293"/>
      <x:c r="VPX66" s="293"/>
      <x:c r="VPY66" s="293"/>
      <x:c r="VPZ66" s="293"/>
      <x:c r="VQA66" s="293"/>
      <x:c r="VQB66" s="293"/>
      <x:c r="VQC66" s="293"/>
      <x:c r="VQD66" s="293"/>
      <x:c r="VQE66" s="293"/>
      <x:c r="VQF66" s="293"/>
      <x:c r="VQG66" s="293"/>
      <x:c r="VQH66" s="293"/>
      <x:c r="VQI66" s="293"/>
      <x:c r="VQJ66" s="293"/>
      <x:c r="VQK66" s="293"/>
      <x:c r="VQL66" s="293"/>
      <x:c r="VQM66" s="293"/>
      <x:c r="VQN66" s="293"/>
      <x:c r="VQO66" s="293"/>
      <x:c r="VQP66" s="293"/>
      <x:c r="VQQ66" s="293"/>
      <x:c r="VQR66" s="293"/>
      <x:c r="VQS66" s="293"/>
      <x:c r="VQT66" s="293"/>
      <x:c r="VQU66" s="293"/>
      <x:c r="VQV66" s="293"/>
      <x:c r="VQW66" s="293"/>
      <x:c r="VQX66" s="293"/>
      <x:c r="VQY66" s="293"/>
      <x:c r="VQZ66" s="293"/>
      <x:c r="VRA66" s="293"/>
      <x:c r="VRB66" s="293"/>
      <x:c r="VRC66" s="293"/>
      <x:c r="VRD66" s="293"/>
      <x:c r="VRE66" s="293"/>
      <x:c r="VRF66" s="293"/>
      <x:c r="VRG66" s="293"/>
      <x:c r="VRH66" s="293"/>
      <x:c r="VRI66" s="293"/>
      <x:c r="VRJ66" s="293"/>
      <x:c r="VRK66" s="293"/>
      <x:c r="VRL66" s="293"/>
      <x:c r="VRM66" s="293"/>
      <x:c r="VRN66" s="293"/>
      <x:c r="VRO66" s="293"/>
      <x:c r="VRP66" s="293"/>
      <x:c r="VRQ66" s="293"/>
      <x:c r="VRR66" s="293"/>
      <x:c r="VRS66" s="293"/>
      <x:c r="VRT66" s="293"/>
      <x:c r="VRU66" s="293"/>
      <x:c r="VRV66" s="293"/>
      <x:c r="VRW66" s="293"/>
      <x:c r="VRX66" s="293"/>
      <x:c r="VRY66" s="293"/>
      <x:c r="VRZ66" s="293"/>
      <x:c r="VSA66" s="293"/>
      <x:c r="VSB66" s="293"/>
      <x:c r="VSC66" s="293"/>
      <x:c r="VSD66" s="293"/>
      <x:c r="VSE66" s="293"/>
      <x:c r="VSF66" s="293"/>
      <x:c r="VSG66" s="293"/>
      <x:c r="VSH66" s="293"/>
      <x:c r="VSI66" s="293"/>
      <x:c r="VSJ66" s="293"/>
      <x:c r="VSK66" s="293"/>
      <x:c r="VSL66" s="293"/>
      <x:c r="VSM66" s="293"/>
      <x:c r="VSN66" s="293"/>
      <x:c r="VSO66" s="293"/>
      <x:c r="VSP66" s="293"/>
      <x:c r="VSQ66" s="293"/>
      <x:c r="VSR66" s="293"/>
      <x:c r="VSS66" s="293"/>
      <x:c r="VST66" s="293"/>
      <x:c r="VSU66" s="293"/>
      <x:c r="VSV66" s="293"/>
      <x:c r="VSW66" s="293"/>
      <x:c r="VSX66" s="293"/>
      <x:c r="VSY66" s="293"/>
      <x:c r="VSZ66" s="293"/>
      <x:c r="VTA66" s="293"/>
      <x:c r="VTB66" s="293"/>
      <x:c r="VTC66" s="293"/>
      <x:c r="VTD66" s="293"/>
      <x:c r="VTE66" s="293"/>
      <x:c r="VTF66" s="293"/>
      <x:c r="VTG66" s="293"/>
      <x:c r="VTH66" s="293"/>
      <x:c r="VTI66" s="293"/>
      <x:c r="VTJ66" s="293"/>
      <x:c r="VTK66" s="293"/>
      <x:c r="VTL66" s="293"/>
      <x:c r="VTM66" s="293"/>
      <x:c r="VTN66" s="293"/>
      <x:c r="VTO66" s="293"/>
      <x:c r="VTP66" s="293"/>
      <x:c r="VTQ66" s="293"/>
      <x:c r="VTR66" s="293"/>
      <x:c r="VTS66" s="293"/>
      <x:c r="VTT66" s="293"/>
      <x:c r="VTU66" s="293"/>
      <x:c r="VTV66" s="293"/>
      <x:c r="VTW66" s="293"/>
      <x:c r="VTX66" s="293"/>
      <x:c r="VTY66" s="293"/>
      <x:c r="VTZ66" s="293"/>
      <x:c r="VUA66" s="293"/>
      <x:c r="VUB66" s="293"/>
      <x:c r="VUC66" s="293"/>
      <x:c r="VUD66" s="293"/>
      <x:c r="VUE66" s="293"/>
      <x:c r="VUF66" s="293"/>
      <x:c r="VUG66" s="293"/>
      <x:c r="VUH66" s="293"/>
      <x:c r="VUI66" s="293"/>
      <x:c r="VUJ66" s="293"/>
      <x:c r="VUK66" s="293"/>
      <x:c r="VUL66" s="293"/>
      <x:c r="VUM66" s="293"/>
      <x:c r="VUN66" s="293"/>
      <x:c r="VUO66" s="293"/>
      <x:c r="VUP66" s="293"/>
      <x:c r="VUQ66" s="293"/>
      <x:c r="VUR66" s="293"/>
      <x:c r="VUS66" s="293"/>
      <x:c r="VUT66" s="293"/>
      <x:c r="VUU66" s="293"/>
      <x:c r="VUV66" s="293"/>
      <x:c r="VUW66" s="293"/>
      <x:c r="VUX66" s="293"/>
      <x:c r="VUY66" s="293"/>
      <x:c r="VUZ66" s="293"/>
      <x:c r="VVA66" s="293"/>
      <x:c r="VVB66" s="293"/>
      <x:c r="VVC66" s="293"/>
      <x:c r="VVD66" s="293"/>
      <x:c r="VVE66" s="293"/>
      <x:c r="VVF66" s="293"/>
      <x:c r="VVG66" s="293"/>
      <x:c r="VVH66" s="293"/>
      <x:c r="VVI66" s="293"/>
      <x:c r="VVJ66" s="293"/>
      <x:c r="VVK66" s="293"/>
      <x:c r="VVL66" s="293"/>
      <x:c r="VVM66" s="293"/>
      <x:c r="VVN66" s="293"/>
      <x:c r="VVO66" s="293"/>
      <x:c r="VVP66" s="293"/>
      <x:c r="VVQ66" s="293"/>
      <x:c r="VVR66" s="293"/>
      <x:c r="VVS66" s="293"/>
      <x:c r="VVT66" s="293"/>
      <x:c r="VVU66" s="293"/>
      <x:c r="VVV66" s="293"/>
      <x:c r="VVW66" s="293"/>
      <x:c r="VVX66" s="293"/>
      <x:c r="VVY66" s="293"/>
      <x:c r="VVZ66" s="293"/>
      <x:c r="VWA66" s="293"/>
      <x:c r="VWB66" s="293"/>
      <x:c r="VWC66" s="293"/>
      <x:c r="VWD66" s="293"/>
      <x:c r="VWE66" s="293"/>
      <x:c r="VWF66" s="293"/>
      <x:c r="VWG66" s="293"/>
      <x:c r="VWH66" s="293"/>
      <x:c r="VWI66" s="293"/>
      <x:c r="VWJ66" s="293"/>
      <x:c r="VWK66" s="293"/>
      <x:c r="VWL66" s="293"/>
      <x:c r="VWM66" s="293"/>
      <x:c r="VWN66" s="293"/>
      <x:c r="VWO66" s="293"/>
      <x:c r="VWP66" s="293"/>
      <x:c r="VWQ66" s="293"/>
      <x:c r="VWR66" s="293"/>
      <x:c r="VWS66" s="293"/>
      <x:c r="VWT66" s="293"/>
      <x:c r="VWU66" s="293"/>
      <x:c r="VWV66" s="293"/>
      <x:c r="VWW66" s="293"/>
      <x:c r="VWX66" s="293"/>
      <x:c r="VWY66" s="293"/>
      <x:c r="VWZ66" s="293"/>
      <x:c r="VXA66" s="293"/>
      <x:c r="VXB66" s="293"/>
      <x:c r="VXC66" s="293"/>
      <x:c r="VXD66" s="293"/>
      <x:c r="VXE66" s="293"/>
      <x:c r="VXF66" s="293"/>
      <x:c r="VXG66" s="293"/>
      <x:c r="VXH66" s="293"/>
      <x:c r="VXI66" s="293"/>
      <x:c r="VXJ66" s="293"/>
      <x:c r="VXK66" s="293"/>
      <x:c r="VXL66" s="293"/>
      <x:c r="VXM66" s="293"/>
      <x:c r="VXN66" s="293"/>
      <x:c r="VXO66" s="293"/>
      <x:c r="VXP66" s="293"/>
      <x:c r="VXQ66" s="293"/>
      <x:c r="VXR66" s="293"/>
      <x:c r="VXS66" s="293"/>
      <x:c r="VXT66" s="293"/>
      <x:c r="VXU66" s="293"/>
      <x:c r="VXV66" s="293"/>
      <x:c r="VXW66" s="293"/>
      <x:c r="VXX66" s="293"/>
      <x:c r="VXY66" s="293"/>
      <x:c r="VXZ66" s="293"/>
      <x:c r="VYA66" s="293"/>
      <x:c r="VYB66" s="293"/>
      <x:c r="VYC66" s="293"/>
      <x:c r="VYD66" s="293"/>
      <x:c r="VYE66" s="293"/>
      <x:c r="VYF66" s="293"/>
      <x:c r="VYG66" s="293"/>
      <x:c r="VYH66" s="293"/>
      <x:c r="VYI66" s="293"/>
      <x:c r="VYJ66" s="293"/>
      <x:c r="VYK66" s="293"/>
      <x:c r="VYL66" s="293"/>
      <x:c r="VYM66" s="293"/>
      <x:c r="VYN66" s="293"/>
      <x:c r="VYO66" s="293"/>
      <x:c r="VYP66" s="293"/>
      <x:c r="VYQ66" s="293"/>
      <x:c r="VYR66" s="293"/>
      <x:c r="VYS66" s="293"/>
      <x:c r="VYT66" s="293"/>
      <x:c r="VYU66" s="293"/>
      <x:c r="VYV66" s="293"/>
      <x:c r="VYW66" s="293"/>
      <x:c r="VYX66" s="293"/>
      <x:c r="VYY66" s="293"/>
      <x:c r="VYZ66" s="293"/>
      <x:c r="VZA66" s="293"/>
      <x:c r="VZB66" s="293"/>
      <x:c r="VZC66" s="293"/>
      <x:c r="VZD66" s="293"/>
      <x:c r="VZE66" s="293"/>
      <x:c r="VZF66" s="293"/>
      <x:c r="VZG66" s="293"/>
      <x:c r="VZH66" s="293"/>
      <x:c r="VZI66" s="293"/>
      <x:c r="VZJ66" s="293"/>
      <x:c r="VZK66" s="293"/>
      <x:c r="VZL66" s="293"/>
      <x:c r="VZM66" s="293"/>
      <x:c r="VZN66" s="293"/>
      <x:c r="VZO66" s="293"/>
      <x:c r="VZP66" s="293"/>
      <x:c r="VZQ66" s="293"/>
      <x:c r="VZR66" s="293"/>
      <x:c r="VZS66" s="293"/>
      <x:c r="VZT66" s="293"/>
      <x:c r="VZU66" s="293"/>
      <x:c r="VZV66" s="293"/>
      <x:c r="VZW66" s="293"/>
      <x:c r="VZX66" s="293"/>
      <x:c r="VZY66" s="293"/>
      <x:c r="VZZ66" s="293"/>
      <x:c r="WAA66" s="293"/>
      <x:c r="WAB66" s="293"/>
      <x:c r="WAC66" s="293"/>
      <x:c r="WAD66" s="293"/>
      <x:c r="WAE66" s="293"/>
      <x:c r="WAF66" s="293"/>
      <x:c r="WAG66" s="293"/>
      <x:c r="WAH66" s="293"/>
      <x:c r="WAI66" s="293"/>
      <x:c r="WAJ66" s="293"/>
      <x:c r="WAK66" s="293"/>
      <x:c r="WAL66" s="293"/>
      <x:c r="WAM66" s="293"/>
      <x:c r="WAN66" s="293"/>
      <x:c r="WAO66" s="293"/>
      <x:c r="WAP66" s="293"/>
      <x:c r="WAQ66" s="293"/>
      <x:c r="WAR66" s="293"/>
      <x:c r="WAS66" s="293"/>
      <x:c r="WAT66" s="293"/>
      <x:c r="WAU66" s="293"/>
      <x:c r="WAV66" s="293"/>
      <x:c r="WAW66" s="293"/>
      <x:c r="WAX66" s="293"/>
      <x:c r="WAY66" s="293"/>
      <x:c r="WAZ66" s="293"/>
      <x:c r="WBA66" s="293"/>
      <x:c r="WBB66" s="293"/>
      <x:c r="WBC66" s="293"/>
      <x:c r="WBD66" s="293"/>
      <x:c r="WBE66" s="293"/>
      <x:c r="WBF66" s="293"/>
      <x:c r="WBG66" s="293"/>
      <x:c r="WBH66" s="293"/>
      <x:c r="WBI66" s="293"/>
      <x:c r="WBJ66" s="293"/>
      <x:c r="WBK66" s="293"/>
      <x:c r="WBL66" s="293"/>
      <x:c r="WBM66" s="293"/>
      <x:c r="WBN66" s="293"/>
      <x:c r="WBO66" s="293"/>
      <x:c r="WBP66" s="293"/>
      <x:c r="WBQ66" s="293"/>
      <x:c r="WBR66" s="293"/>
      <x:c r="WBS66" s="293"/>
      <x:c r="WBT66" s="293"/>
      <x:c r="WBU66" s="293"/>
      <x:c r="WBV66" s="293"/>
      <x:c r="WBW66" s="293"/>
      <x:c r="WBX66" s="293"/>
      <x:c r="WBY66" s="293"/>
      <x:c r="WBZ66" s="293"/>
      <x:c r="WCA66" s="293"/>
      <x:c r="WCB66" s="293"/>
      <x:c r="WCC66" s="293"/>
      <x:c r="WCD66" s="293"/>
      <x:c r="WCE66" s="293"/>
      <x:c r="WCF66" s="293"/>
      <x:c r="WCG66" s="293"/>
      <x:c r="WCH66" s="293"/>
      <x:c r="WCI66" s="293"/>
      <x:c r="WCJ66" s="293"/>
      <x:c r="WCK66" s="293"/>
      <x:c r="WCL66" s="293"/>
      <x:c r="WCM66" s="293"/>
      <x:c r="WCN66" s="293"/>
      <x:c r="WCO66" s="293"/>
      <x:c r="WCP66" s="293"/>
      <x:c r="WCQ66" s="293"/>
      <x:c r="WCR66" s="293"/>
      <x:c r="WCS66" s="293"/>
      <x:c r="WCT66" s="293"/>
      <x:c r="WCU66" s="293"/>
      <x:c r="WCV66" s="293"/>
      <x:c r="WCW66" s="293"/>
      <x:c r="WCX66" s="293"/>
      <x:c r="WCY66" s="293"/>
      <x:c r="WCZ66" s="293"/>
      <x:c r="WDA66" s="293"/>
      <x:c r="WDB66" s="293"/>
      <x:c r="WDC66" s="293"/>
      <x:c r="WDD66" s="293"/>
      <x:c r="WDE66" s="293"/>
      <x:c r="WDF66" s="293"/>
      <x:c r="WDG66" s="293"/>
      <x:c r="WDH66" s="293"/>
      <x:c r="WDI66" s="293"/>
      <x:c r="WDJ66" s="293"/>
      <x:c r="WDK66" s="293"/>
      <x:c r="WDL66" s="293"/>
      <x:c r="WDM66" s="293"/>
      <x:c r="WDN66" s="293"/>
      <x:c r="WDO66" s="293"/>
      <x:c r="WDP66" s="293"/>
      <x:c r="WDQ66" s="293"/>
      <x:c r="WDR66" s="293"/>
      <x:c r="WDS66" s="293"/>
      <x:c r="WDT66" s="293"/>
      <x:c r="WDU66" s="293"/>
      <x:c r="WDV66" s="293"/>
      <x:c r="WDW66" s="293"/>
      <x:c r="WDX66" s="293"/>
      <x:c r="WDY66" s="293"/>
      <x:c r="WDZ66" s="293"/>
      <x:c r="WEA66" s="293"/>
      <x:c r="WEB66" s="293"/>
      <x:c r="WEC66" s="293"/>
      <x:c r="WED66" s="293"/>
      <x:c r="WEE66" s="293"/>
      <x:c r="WEF66" s="293"/>
      <x:c r="WEG66" s="293"/>
      <x:c r="WEH66" s="293"/>
      <x:c r="WEI66" s="293"/>
      <x:c r="WEJ66" s="293"/>
      <x:c r="WEK66" s="293"/>
      <x:c r="WEL66" s="293"/>
      <x:c r="WEM66" s="293"/>
      <x:c r="WEN66" s="293"/>
      <x:c r="WEO66" s="293"/>
      <x:c r="WEP66" s="293"/>
      <x:c r="WEQ66" s="293"/>
      <x:c r="WER66" s="293"/>
      <x:c r="WES66" s="293"/>
      <x:c r="WET66" s="293"/>
      <x:c r="WEU66" s="293"/>
      <x:c r="WEV66" s="293"/>
      <x:c r="WEW66" s="293"/>
      <x:c r="WEX66" s="293"/>
      <x:c r="WEY66" s="293"/>
      <x:c r="WEZ66" s="293"/>
      <x:c r="WFA66" s="293"/>
      <x:c r="WFB66" s="293"/>
      <x:c r="WFC66" s="293"/>
      <x:c r="WFD66" s="293"/>
      <x:c r="WFE66" s="293"/>
      <x:c r="WFF66" s="293"/>
      <x:c r="WFG66" s="293"/>
      <x:c r="WFH66" s="293"/>
      <x:c r="WFI66" s="293"/>
      <x:c r="WFJ66" s="293"/>
      <x:c r="WFK66" s="293"/>
      <x:c r="WFL66" s="293"/>
      <x:c r="WFM66" s="293"/>
      <x:c r="WFN66" s="293"/>
      <x:c r="WFO66" s="293"/>
      <x:c r="WFP66" s="293"/>
      <x:c r="WFQ66" s="293"/>
      <x:c r="WFR66" s="293"/>
      <x:c r="WFS66" s="293"/>
      <x:c r="WFT66" s="293"/>
      <x:c r="WFU66" s="293"/>
      <x:c r="WFV66" s="293"/>
      <x:c r="WFW66" s="293"/>
      <x:c r="WFX66" s="293"/>
      <x:c r="WFY66" s="293"/>
      <x:c r="WFZ66" s="293"/>
      <x:c r="WGA66" s="293"/>
      <x:c r="WGB66" s="293"/>
      <x:c r="WGC66" s="293"/>
      <x:c r="WGD66" s="293"/>
      <x:c r="WGE66" s="293"/>
      <x:c r="WGF66" s="293"/>
      <x:c r="WGG66" s="293"/>
      <x:c r="WGH66" s="293"/>
      <x:c r="WGI66" s="293"/>
      <x:c r="WGJ66" s="293"/>
      <x:c r="WGK66" s="293"/>
      <x:c r="WGL66" s="293"/>
      <x:c r="WGM66" s="293"/>
      <x:c r="WGN66" s="293"/>
      <x:c r="WGO66" s="293"/>
      <x:c r="WGP66" s="293"/>
      <x:c r="WGQ66" s="293"/>
      <x:c r="WGR66" s="293"/>
      <x:c r="WGS66" s="293"/>
      <x:c r="WGT66" s="293"/>
      <x:c r="WGU66" s="293"/>
      <x:c r="WGV66" s="293"/>
      <x:c r="WGW66" s="293"/>
      <x:c r="WGX66" s="293"/>
      <x:c r="WGY66" s="293"/>
      <x:c r="WGZ66" s="293"/>
      <x:c r="WHA66" s="293"/>
      <x:c r="WHB66" s="293"/>
      <x:c r="WHC66" s="293"/>
      <x:c r="WHD66" s="293"/>
      <x:c r="WHE66" s="293"/>
      <x:c r="WHF66" s="293"/>
      <x:c r="WHG66" s="293"/>
      <x:c r="WHH66" s="293"/>
      <x:c r="WHI66" s="293"/>
      <x:c r="WHJ66" s="293"/>
      <x:c r="WHK66" s="293"/>
      <x:c r="WHL66" s="293"/>
      <x:c r="WHM66" s="293"/>
      <x:c r="WHN66" s="293"/>
      <x:c r="WHO66" s="293"/>
      <x:c r="WHP66" s="293"/>
      <x:c r="WHQ66" s="293"/>
      <x:c r="WHR66" s="293"/>
      <x:c r="WHS66" s="293"/>
      <x:c r="WHT66" s="293"/>
      <x:c r="WHU66" s="293"/>
      <x:c r="WHV66" s="293"/>
      <x:c r="WHW66" s="293"/>
      <x:c r="WHX66" s="293"/>
      <x:c r="WHY66" s="293"/>
      <x:c r="WHZ66" s="293"/>
      <x:c r="WIA66" s="293"/>
      <x:c r="WIB66" s="293"/>
      <x:c r="WIC66" s="293"/>
      <x:c r="WID66" s="293"/>
      <x:c r="WIE66" s="293"/>
      <x:c r="WIF66" s="293"/>
      <x:c r="WIG66" s="293"/>
      <x:c r="WIH66" s="293"/>
      <x:c r="WII66" s="293"/>
      <x:c r="WIJ66" s="293"/>
      <x:c r="WIK66" s="293"/>
      <x:c r="WIL66" s="293"/>
      <x:c r="WIM66" s="293"/>
      <x:c r="WIN66" s="293"/>
      <x:c r="WIO66" s="293"/>
      <x:c r="WIP66" s="293"/>
      <x:c r="WIQ66" s="293"/>
      <x:c r="WIR66" s="293"/>
      <x:c r="WIS66" s="293"/>
      <x:c r="WIT66" s="293"/>
      <x:c r="WIU66" s="293"/>
      <x:c r="WIV66" s="293"/>
      <x:c r="WIW66" s="293"/>
      <x:c r="WIX66" s="293"/>
      <x:c r="WIY66" s="293"/>
      <x:c r="WIZ66" s="293"/>
      <x:c r="WJA66" s="293"/>
      <x:c r="WJB66" s="293"/>
      <x:c r="WJC66" s="293"/>
      <x:c r="WJD66" s="293"/>
      <x:c r="WJE66" s="293"/>
      <x:c r="WJF66" s="293"/>
      <x:c r="WJG66" s="293"/>
      <x:c r="WJH66" s="293"/>
      <x:c r="WJI66" s="293"/>
      <x:c r="WJJ66" s="293"/>
      <x:c r="WJK66" s="293"/>
      <x:c r="WJL66" s="293"/>
      <x:c r="WJM66" s="293"/>
      <x:c r="WJN66" s="293"/>
      <x:c r="WJO66" s="293"/>
      <x:c r="WJP66" s="293"/>
      <x:c r="WJQ66" s="293"/>
      <x:c r="WJR66" s="293"/>
      <x:c r="WJS66" s="293"/>
      <x:c r="WJT66" s="293"/>
      <x:c r="WJU66" s="293"/>
      <x:c r="WJV66" s="293"/>
      <x:c r="WJW66" s="293"/>
      <x:c r="WJX66" s="293"/>
      <x:c r="WJY66" s="293"/>
      <x:c r="WJZ66" s="293"/>
      <x:c r="WKA66" s="293"/>
      <x:c r="WKB66" s="293"/>
      <x:c r="WKC66" s="293"/>
      <x:c r="WKD66" s="293"/>
      <x:c r="WKE66" s="293"/>
      <x:c r="WKF66" s="293"/>
      <x:c r="WKG66" s="293"/>
      <x:c r="WKH66" s="293"/>
      <x:c r="WKI66" s="293"/>
      <x:c r="WKJ66" s="293"/>
      <x:c r="WKK66" s="293"/>
      <x:c r="WKL66" s="293"/>
      <x:c r="WKM66" s="293"/>
      <x:c r="WKN66" s="293"/>
      <x:c r="WKO66" s="293"/>
      <x:c r="WKP66" s="293"/>
      <x:c r="WKQ66" s="293"/>
      <x:c r="WKR66" s="293"/>
      <x:c r="WKS66" s="293"/>
      <x:c r="WKT66" s="293"/>
      <x:c r="WKU66" s="293"/>
      <x:c r="WKV66" s="293"/>
      <x:c r="WKW66" s="293"/>
      <x:c r="WKX66" s="293"/>
      <x:c r="WKY66" s="293"/>
      <x:c r="WKZ66" s="293"/>
      <x:c r="WLA66" s="293"/>
      <x:c r="WLB66" s="293"/>
      <x:c r="WLC66" s="293"/>
      <x:c r="WLD66" s="293"/>
      <x:c r="WLE66" s="293"/>
      <x:c r="WLF66" s="293"/>
      <x:c r="WLG66" s="293"/>
      <x:c r="WLH66" s="293"/>
      <x:c r="WLI66" s="293"/>
      <x:c r="WLJ66" s="293"/>
      <x:c r="WLK66" s="293"/>
      <x:c r="WLL66" s="293"/>
      <x:c r="WLM66" s="293"/>
      <x:c r="WLN66" s="293"/>
      <x:c r="WLO66" s="293"/>
      <x:c r="WLP66" s="293"/>
      <x:c r="WLQ66" s="293"/>
      <x:c r="WLR66" s="293"/>
      <x:c r="WLS66" s="293"/>
      <x:c r="WLT66" s="293"/>
      <x:c r="WLU66" s="293"/>
      <x:c r="WLV66" s="293"/>
      <x:c r="WLW66" s="293"/>
      <x:c r="WLX66" s="293"/>
      <x:c r="WLY66" s="293"/>
      <x:c r="WLZ66" s="293"/>
      <x:c r="WMA66" s="293"/>
      <x:c r="WMB66" s="293"/>
      <x:c r="WMC66" s="293"/>
      <x:c r="WMD66" s="293"/>
      <x:c r="WME66" s="293"/>
      <x:c r="WMF66" s="293"/>
      <x:c r="WMG66" s="293"/>
      <x:c r="WMH66" s="293"/>
      <x:c r="WMI66" s="293"/>
      <x:c r="WMJ66" s="293"/>
      <x:c r="WMK66" s="293"/>
      <x:c r="WML66" s="293"/>
      <x:c r="WMM66" s="293"/>
      <x:c r="WMN66" s="293"/>
      <x:c r="WMO66" s="293"/>
      <x:c r="WMP66" s="293"/>
      <x:c r="WMQ66" s="293"/>
      <x:c r="WMR66" s="293"/>
      <x:c r="WMS66" s="293"/>
      <x:c r="WMT66" s="293"/>
      <x:c r="WMU66" s="293"/>
      <x:c r="WMV66" s="293"/>
      <x:c r="WMW66" s="293"/>
      <x:c r="WMX66" s="293"/>
      <x:c r="WMY66" s="293"/>
      <x:c r="WMZ66" s="293"/>
      <x:c r="WNA66" s="293"/>
      <x:c r="WNB66" s="293"/>
      <x:c r="WNC66" s="293"/>
      <x:c r="WND66" s="293"/>
      <x:c r="WNE66" s="293"/>
      <x:c r="WNF66" s="293"/>
      <x:c r="WNG66" s="293"/>
      <x:c r="WNH66" s="293"/>
      <x:c r="WNI66" s="293"/>
      <x:c r="WNJ66" s="293"/>
      <x:c r="WNK66" s="293"/>
      <x:c r="WNL66" s="293"/>
      <x:c r="WNM66" s="293"/>
      <x:c r="WNN66" s="293"/>
      <x:c r="WNO66" s="293"/>
      <x:c r="WNP66" s="293"/>
      <x:c r="WNQ66" s="293"/>
      <x:c r="WNR66" s="293"/>
      <x:c r="WNS66" s="293"/>
      <x:c r="WNT66" s="293"/>
      <x:c r="WNU66" s="293"/>
      <x:c r="WNV66" s="293"/>
      <x:c r="WNW66" s="293"/>
      <x:c r="WNX66" s="293"/>
      <x:c r="WNY66" s="293"/>
      <x:c r="WNZ66" s="293"/>
      <x:c r="WOA66" s="293"/>
      <x:c r="WOB66" s="293"/>
      <x:c r="WOC66" s="293"/>
      <x:c r="WOD66" s="293"/>
      <x:c r="WOE66" s="293"/>
      <x:c r="WOF66" s="293"/>
      <x:c r="WOG66" s="293"/>
      <x:c r="WOH66" s="293"/>
      <x:c r="WOI66" s="293"/>
      <x:c r="WOJ66" s="293"/>
      <x:c r="WOK66" s="293"/>
      <x:c r="WOL66" s="293"/>
      <x:c r="WOM66" s="293"/>
      <x:c r="WON66" s="293"/>
      <x:c r="WOO66" s="293"/>
      <x:c r="WOP66" s="293"/>
      <x:c r="WOQ66" s="293"/>
      <x:c r="WOR66" s="293"/>
      <x:c r="WOS66" s="293"/>
      <x:c r="WOT66" s="293"/>
      <x:c r="WOU66" s="293"/>
      <x:c r="WOV66" s="293"/>
      <x:c r="WOW66" s="293"/>
      <x:c r="WOX66" s="293"/>
      <x:c r="WOY66" s="293"/>
      <x:c r="WOZ66" s="293"/>
      <x:c r="WPA66" s="293"/>
      <x:c r="WPB66" s="293"/>
      <x:c r="WPC66" s="293"/>
      <x:c r="WPD66" s="293"/>
      <x:c r="WPE66" s="293"/>
      <x:c r="WPF66" s="293"/>
      <x:c r="WPG66" s="293"/>
      <x:c r="WPH66" s="293"/>
      <x:c r="WPI66" s="293"/>
      <x:c r="WPJ66" s="293"/>
      <x:c r="WPK66" s="293"/>
      <x:c r="WPL66" s="293"/>
      <x:c r="WPM66" s="293"/>
      <x:c r="WPN66" s="293"/>
      <x:c r="WPO66" s="293"/>
      <x:c r="WPP66" s="293"/>
      <x:c r="WPQ66" s="293"/>
      <x:c r="WPR66" s="293"/>
      <x:c r="WPS66" s="293"/>
      <x:c r="WPT66" s="293"/>
      <x:c r="WPU66" s="293"/>
      <x:c r="WPV66" s="293"/>
      <x:c r="WPW66" s="293"/>
      <x:c r="WPX66" s="293"/>
      <x:c r="WPY66" s="293"/>
      <x:c r="WPZ66" s="293"/>
      <x:c r="WQA66" s="293"/>
      <x:c r="WQB66" s="293"/>
      <x:c r="WQC66" s="293"/>
      <x:c r="WQD66" s="293"/>
      <x:c r="WQE66" s="293"/>
      <x:c r="WQF66" s="293"/>
      <x:c r="WQG66" s="293"/>
      <x:c r="WQH66" s="293"/>
      <x:c r="WQI66" s="293"/>
      <x:c r="WQJ66" s="293"/>
      <x:c r="WQK66" s="293"/>
      <x:c r="WQL66" s="293"/>
      <x:c r="WQM66" s="293"/>
      <x:c r="WQN66" s="293"/>
      <x:c r="WQO66" s="293"/>
      <x:c r="WQP66" s="293"/>
      <x:c r="WQQ66" s="293"/>
      <x:c r="WQR66" s="293"/>
      <x:c r="WQS66" s="293"/>
      <x:c r="WQT66" s="293"/>
      <x:c r="WQU66" s="293"/>
      <x:c r="WQV66" s="293"/>
      <x:c r="WQW66" s="293"/>
      <x:c r="WQX66" s="293"/>
      <x:c r="WQY66" s="293"/>
      <x:c r="WQZ66" s="293"/>
      <x:c r="WRA66" s="293"/>
      <x:c r="WRB66" s="293"/>
      <x:c r="WRC66" s="293"/>
      <x:c r="WRD66" s="293"/>
      <x:c r="WRE66" s="293"/>
      <x:c r="WRF66" s="293"/>
      <x:c r="WRG66" s="293"/>
      <x:c r="WRH66" s="293"/>
      <x:c r="WRI66" s="293"/>
      <x:c r="WRJ66" s="293"/>
      <x:c r="WRK66" s="293"/>
      <x:c r="WRL66" s="293"/>
      <x:c r="WRM66" s="293"/>
      <x:c r="WRN66" s="293"/>
      <x:c r="WRO66" s="293"/>
      <x:c r="WRP66" s="293"/>
      <x:c r="WRQ66" s="293"/>
      <x:c r="WRR66" s="293"/>
      <x:c r="WRS66" s="293"/>
      <x:c r="WRT66" s="293"/>
      <x:c r="WRU66" s="293"/>
      <x:c r="WRV66" s="293"/>
      <x:c r="WRW66" s="293"/>
      <x:c r="WRX66" s="293"/>
      <x:c r="WRY66" s="293"/>
      <x:c r="WRZ66" s="293"/>
      <x:c r="WSA66" s="293"/>
      <x:c r="WSB66" s="293"/>
      <x:c r="WSC66" s="293"/>
      <x:c r="WSD66" s="293"/>
      <x:c r="WSE66" s="293"/>
      <x:c r="WSF66" s="293"/>
      <x:c r="WSG66" s="293"/>
      <x:c r="WSH66" s="293"/>
      <x:c r="WSI66" s="293"/>
      <x:c r="WSJ66" s="293"/>
      <x:c r="WSK66" s="293"/>
      <x:c r="WSL66" s="293"/>
      <x:c r="WSM66" s="293"/>
      <x:c r="WSN66" s="293"/>
      <x:c r="WSO66" s="293"/>
      <x:c r="WSP66" s="293"/>
      <x:c r="WSQ66" s="293"/>
      <x:c r="WSR66" s="293"/>
      <x:c r="WSS66" s="293"/>
      <x:c r="WST66" s="293"/>
      <x:c r="WSU66" s="293"/>
      <x:c r="WSV66" s="293"/>
      <x:c r="WSW66" s="293"/>
      <x:c r="WSX66" s="293"/>
      <x:c r="WSY66" s="293"/>
      <x:c r="WSZ66" s="293"/>
      <x:c r="WTA66" s="293"/>
      <x:c r="WTB66" s="293"/>
      <x:c r="WTC66" s="293"/>
      <x:c r="WTD66" s="293"/>
      <x:c r="WTE66" s="293"/>
      <x:c r="WTF66" s="293"/>
      <x:c r="WTG66" s="293"/>
      <x:c r="WTH66" s="293"/>
      <x:c r="WTI66" s="293"/>
      <x:c r="WTJ66" s="293"/>
      <x:c r="WTK66" s="293"/>
      <x:c r="WTL66" s="293"/>
      <x:c r="WTM66" s="293"/>
      <x:c r="WTN66" s="293"/>
      <x:c r="WTO66" s="293"/>
      <x:c r="WTP66" s="293"/>
      <x:c r="WTQ66" s="293"/>
      <x:c r="WTR66" s="293"/>
      <x:c r="WTS66" s="293"/>
      <x:c r="WTT66" s="293"/>
      <x:c r="WTU66" s="293"/>
      <x:c r="WTV66" s="293"/>
      <x:c r="WTW66" s="293"/>
      <x:c r="WTX66" s="293"/>
      <x:c r="WTY66" s="293"/>
      <x:c r="WTZ66" s="293"/>
      <x:c r="WUA66" s="293"/>
      <x:c r="WUB66" s="293"/>
      <x:c r="WUC66" s="293"/>
      <x:c r="WUD66" s="293"/>
      <x:c r="WUE66" s="293"/>
      <x:c r="WUF66" s="293"/>
      <x:c r="WUG66" s="293"/>
      <x:c r="WUH66" s="293"/>
      <x:c r="WUI66" s="293"/>
      <x:c r="WUJ66" s="293"/>
      <x:c r="WUK66" s="293"/>
      <x:c r="WUL66" s="293"/>
      <x:c r="WUM66" s="293"/>
      <x:c r="WUN66" s="293"/>
      <x:c r="WUO66" s="293"/>
      <x:c r="WUP66" s="293"/>
      <x:c r="WUQ66" s="293"/>
      <x:c r="WUR66" s="293"/>
      <x:c r="WUS66" s="293"/>
      <x:c r="WUT66" s="293"/>
      <x:c r="WUU66" s="293"/>
      <x:c r="WUV66" s="293"/>
      <x:c r="WUW66" s="293"/>
      <x:c r="WUX66" s="293"/>
      <x:c r="WUY66" s="293"/>
      <x:c r="WUZ66" s="293"/>
      <x:c r="WVA66" s="293"/>
      <x:c r="WVB66" s="293"/>
      <x:c r="WVC66" s="293"/>
      <x:c r="WVD66" s="293"/>
      <x:c r="WVE66" s="293"/>
      <x:c r="WVF66" s="293"/>
      <x:c r="WVG66" s="293"/>
      <x:c r="WVH66" s="293"/>
      <x:c r="WVI66" s="293"/>
      <x:c r="WVJ66" s="293"/>
      <x:c r="WVK66" s="293"/>
      <x:c r="WVL66" s="293"/>
      <x:c r="WVM66" s="293"/>
      <x:c r="WVN66" s="293"/>
      <x:c r="WVO66" s="293"/>
      <x:c r="WVP66" s="293"/>
      <x:c r="WVQ66" s="293"/>
      <x:c r="WVR66" s="293"/>
      <x:c r="WVS66" s="293"/>
      <x:c r="WVT66" s="293"/>
      <x:c r="WVU66" s="293"/>
      <x:c r="WVV66" s="293"/>
      <x:c r="WVW66" s="293"/>
      <x:c r="WVX66" s="293"/>
      <x:c r="WVY66" s="293"/>
      <x:c r="WVZ66" s="293"/>
      <x:c r="WWA66" s="293"/>
      <x:c r="WWB66" s="293"/>
      <x:c r="WWC66" s="293"/>
      <x:c r="WWD66" s="293"/>
      <x:c r="WWE66" s="293"/>
      <x:c r="WWF66" s="293"/>
      <x:c r="WWG66" s="293"/>
      <x:c r="WWH66" s="293"/>
      <x:c r="WWI66" s="293"/>
      <x:c r="WWJ66" s="293"/>
      <x:c r="WWK66" s="293"/>
      <x:c r="WWL66" s="293"/>
      <x:c r="WWM66" s="293"/>
      <x:c r="WWN66" s="293"/>
      <x:c r="WWO66" s="293"/>
      <x:c r="WWP66" s="293"/>
      <x:c r="WWQ66" s="293"/>
      <x:c r="WWR66" s="293"/>
      <x:c r="WWS66" s="293"/>
      <x:c r="WWT66" s="293"/>
      <x:c r="WWU66" s="293"/>
      <x:c r="WWV66" s="293"/>
      <x:c r="WWW66" s="293"/>
      <x:c r="WWX66" s="293"/>
      <x:c r="WWY66" s="293"/>
      <x:c r="WWZ66" s="293"/>
      <x:c r="WXA66" s="293"/>
      <x:c r="WXB66" s="293"/>
      <x:c r="WXC66" s="293"/>
      <x:c r="WXD66" s="293"/>
      <x:c r="WXE66" s="293"/>
      <x:c r="WXF66" s="293"/>
      <x:c r="WXG66" s="293"/>
      <x:c r="WXH66" s="293"/>
      <x:c r="WXI66" s="293"/>
      <x:c r="WXJ66" s="293"/>
      <x:c r="WXK66" s="293"/>
      <x:c r="WXL66" s="293"/>
      <x:c r="WXM66" s="293"/>
      <x:c r="WXN66" s="293"/>
      <x:c r="WXO66" s="293"/>
      <x:c r="WXP66" s="293"/>
      <x:c r="WXQ66" s="293"/>
      <x:c r="WXR66" s="293"/>
      <x:c r="WXS66" s="293"/>
      <x:c r="WXT66" s="293"/>
      <x:c r="WXU66" s="293"/>
      <x:c r="WXV66" s="293"/>
      <x:c r="WXW66" s="293"/>
      <x:c r="WXX66" s="293"/>
      <x:c r="WXY66" s="293"/>
      <x:c r="WXZ66" s="293"/>
      <x:c r="WYA66" s="293"/>
      <x:c r="WYB66" s="293"/>
      <x:c r="WYC66" s="293"/>
      <x:c r="WYD66" s="293"/>
      <x:c r="WYE66" s="293"/>
      <x:c r="WYF66" s="293"/>
      <x:c r="WYG66" s="293"/>
      <x:c r="WYH66" s="293"/>
      <x:c r="WYI66" s="293"/>
      <x:c r="WYJ66" s="293"/>
      <x:c r="WYK66" s="293"/>
      <x:c r="WYL66" s="293"/>
      <x:c r="WYM66" s="293"/>
      <x:c r="WYN66" s="293"/>
      <x:c r="WYO66" s="293"/>
      <x:c r="WYP66" s="293"/>
      <x:c r="WYQ66" s="293"/>
      <x:c r="WYR66" s="293"/>
      <x:c r="WYS66" s="293"/>
      <x:c r="WYT66" s="293"/>
      <x:c r="WYU66" s="293"/>
      <x:c r="WYV66" s="293"/>
      <x:c r="WYW66" s="293"/>
      <x:c r="WYX66" s="293"/>
      <x:c r="WYY66" s="293"/>
      <x:c r="WYZ66" s="293"/>
      <x:c r="WZA66" s="293"/>
      <x:c r="WZB66" s="293"/>
      <x:c r="WZC66" s="293"/>
      <x:c r="WZD66" s="293"/>
      <x:c r="WZE66" s="293"/>
      <x:c r="WZF66" s="293"/>
      <x:c r="WZG66" s="293"/>
      <x:c r="WZH66" s="293"/>
      <x:c r="WZI66" s="293"/>
      <x:c r="WZJ66" s="293"/>
      <x:c r="WZK66" s="293"/>
      <x:c r="WZL66" s="293"/>
      <x:c r="WZM66" s="293"/>
      <x:c r="WZN66" s="293"/>
      <x:c r="WZO66" s="293"/>
      <x:c r="WZP66" s="293"/>
      <x:c r="WZQ66" s="293"/>
      <x:c r="WZR66" s="293"/>
      <x:c r="WZS66" s="293"/>
      <x:c r="WZT66" s="293"/>
      <x:c r="WZU66" s="293"/>
      <x:c r="WZV66" s="293"/>
      <x:c r="WZW66" s="293"/>
      <x:c r="WZX66" s="293"/>
      <x:c r="WZY66" s="293"/>
      <x:c r="WZZ66" s="293"/>
      <x:c r="XAA66" s="293"/>
      <x:c r="XAB66" s="293"/>
      <x:c r="XAC66" s="293"/>
      <x:c r="XAD66" s="293"/>
      <x:c r="XAE66" s="293"/>
      <x:c r="XAF66" s="293"/>
      <x:c r="XAG66" s="293"/>
      <x:c r="XAH66" s="293"/>
      <x:c r="XAI66" s="293"/>
      <x:c r="XAJ66" s="293"/>
      <x:c r="XAK66" s="293"/>
      <x:c r="XAL66" s="293"/>
      <x:c r="XAM66" s="293"/>
      <x:c r="XAN66" s="293"/>
      <x:c r="XAO66" s="293"/>
      <x:c r="XAP66" s="293"/>
      <x:c r="XAQ66" s="293"/>
      <x:c r="XAR66" s="293"/>
      <x:c r="XAS66" s="293"/>
      <x:c r="XAT66" s="293"/>
      <x:c r="XAU66" s="293"/>
      <x:c r="XAV66" s="293"/>
      <x:c r="XAW66" s="293"/>
      <x:c r="XAX66" s="293"/>
      <x:c r="XAY66" s="293"/>
      <x:c r="XAZ66" s="293"/>
      <x:c r="XBA66" s="293"/>
      <x:c r="XBB66" s="293"/>
      <x:c r="XBC66" s="293"/>
      <x:c r="XBD66" s="293"/>
      <x:c r="XBE66" s="293"/>
      <x:c r="XBF66" s="293"/>
      <x:c r="XBG66" s="293"/>
      <x:c r="XBH66" s="293"/>
      <x:c r="XBI66" s="293"/>
      <x:c r="XBJ66" s="293"/>
      <x:c r="XBK66" s="293"/>
      <x:c r="XBL66" s="293"/>
      <x:c r="XBM66" s="293"/>
      <x:c r="XBN66" s="293"/>
      <x:c r="XBO66" s="293"/>
      <x:c r="XBP66" s="293"/>
      <x:c r="XBQ66" s="293"/>
      <x:c r="XBR66" s="293"/>
      <x:c r="XBS66" s="293"/>
      <x:c r="XBT66" s="293"/>
      <x:c r="XBU66" s="293"/>
      <x:c r="XBV66" s="293"/>
      <x:c r="XBW66" s="293"/>
      <x:c r="XBX66" s="293"/>
      <x:c r="XBY66" s="293"/>
      <x:c r="XBZ66" s="293"/>
      <x:c r="XCA66" s="293"/>
      <x:c r="XCB66" s="293"/>
      <x:c r="XCC66" s="293"/>
      <x:c r="XCD66" s="293"/>
      <x:c r="XCE66" s="293"/>
      <x:c r="XCF66" s="293"/>
      <x:c r="XCG66" s="293"/>
      <x:c r="XCH66" s="293"/>
      <x:c r="XCI66" s="293"/>
      <x:c r="XCJ66" s="293"/>
      <x:c r="XCK66" s="293"/>
      <x:c r="XCL66" s="293"/>
      <x:c r="XCM66" s="293"/>
      <x:c r="XCN66" s="293"/>
      <x:c r="XCO66" s="293"/>
      <x:c r="XCP66" s="293"/>
      <x:c r="XCQ66" s="293"/>
      <x:c r="XCR66" s="293"/>
      <x:c r="XCS66" s="293"/>
      <x:c r="XCT66" s="293"/>
      <x:c r="XCU66" s="293"/>
      <x:c r="XCV66" s="293"/>
      <x:c r="XCW66" s="293"/>
      <x:c r="XCX66" s="293"/>
      <x:c r="XCY66" s="293"/>
      <x:c r="XCZ66" s="293"/>
      <x:c r="XDA66" s="293"/>
      <x:c r="XDB66" s="293"/>
      <x:c r="XDC66" s="293"/>
      <x:c r="XDD66" s="293"/>
      <x:c r="XDE66" s="293"/>
      <x:c r="XDF66" s="293"/>
      <x:c r="XDG66" s="293"/>
      <x:c r="XDH66" s="293"/>
      <x:c r="XDI66" s="293"/>
      <x:c r="XDJ66" s="293"/>
      <x:c r="XDK66" s="293"/>
      <x:c r="XDL66" s="293"/>
      <x:c r="XDM66" s="293"/>
      <x:c r="XDN66" s="293"/>
      <x:c r="XDO66" s="293"/>
      <x:c r="XDP66" s="293"/>
      <x:c r="XDQ66" s="293"/>
      <x:c r="XDR66" s="293"/>
      <x:c r="XDS66" s="293"/>
      <x:c r="XDT66" s="293"/>
      <x:c r="XDU66" s="293"/>
      <x:c r="XDV66" s="293"/>
      <x:c r="XDW66" s="293"/>
      <x:c r="XDX66" s="293"/>
      <x:c r="XDY66" s="293"/>
      <x:c r="XDZ66" s="293"/>
      <x:c r="XEA66" s="293"/>
      <x:c r="XEB66" s="293"/>
      <x:c r="XEC66" s="293"/>
      <x:c r="XED66" s="293"/>
      <x:c r="XEE66" s="293"/>
      <x:c r="XEF66" s="293"/>
      <x:c r="XEG66" s="293"/>
      <x:c r="XEH66" s="293"/>
      <x:c r="XEI66" s="293"/>
      <x:c r="XEJ66" s="293"/>
      <x:c r="XEK66" s="293"/>
      <x:c r="XEL66" s="293"/>
      <x:c r="XEM66" s="293"/>
      <x:c r="XEN66" s="293"/>
      <x:c r="XEO66" s="293"/>
      <x:c r="XEP66" s="293"/>
      <x:c r="XEQ66" s="293"/>
      <x:c r="XER66" s="293"/>
      <x:c r="XES66" s="293"/>
      <x:c r="XET66" s="293"/>
      <x:c r="XEU66" s="293"/>
      <x:c r="XEV66" s="293"/>
      <x:c r="XEW66" s="293"/>
      <x:c r="XEX66" s="293"/>
      <x:c r="XEY66" s="293"/>
      <x:c r="XEZ66" s="293"/>
      <x:c r="XFA66" s="293"/>
      <x:c r="XFB66" s="293"/>
      <x:c r="XFC66" s="293"/>
    </x:row>
    <x:row r="67" spans="1:16383" ht="117.75" customHeight="1" s="125" customFormat="1" x14ac:dyDescent="0.25">
      <x:c r="A67" s="60" t="s">
        <x:v>231</x:v>
      </x:c>
      <x:c r="B67" s="123" t="s">
        <x:v>307</x:v>
      </x:c>
      <x:c r="C67" s="124" t="s">
        <x:v>308</x:v>
      </x:c>
      <x:c r="D67" s="106"/>
      <x:c r="E67" s="107"/>
      <x:c r="F67" s="106"/>
      <x:c r="G67" s="108"/>
      <x:c r="H67" s="106"/>
      <x:c r="I67" s="107"/>
      <x:c r="J67" s="106"/>
      <x:c r="K67" s="108"/>
      <x:c r="L67" s="60"/>
      <x:c r="M67" s="108"/>
      <x:c r="N67" s="60"/>
      <x:c r="O67" s="108"/>
      <x:c r="P67" s="108"/>
      <x:c r="Q67" s="108"/>
      <x:c r="R67" s="108"/>
      <x:c r="S67" s="21"/>
      <x:c r="T67" s="108">
        <x:v>0.9</x:v>
      </x:c>
      <x:c r="U67" s="100"/>
      <x:c r="V67" s="100"/>
      <x:c r="W67" s="290"/>
      <x:c r="X67" s="291"/>
      <x:c r="Y67" s="291"/>
      <x:c r="Z67" s="291"/>
      <x:c r="AA67" s="291"/>
      <x:c r="AB67" s="291"/>
      <x:c r="AC67" s="291"/>
      <x:c r="AD67" s="291"/>
      <x:c r="AE67" s="291"/>
      <x:c r="AF67" s="291"/>
      <x:c r="AG67" s="291"/>
      <x:c r="AH67" s="291"/>
      <x:c r="AI67" s="291"/>
      <x:c r="AJ67" s="291"/>
      <x:c r="AK67" s="291"/>
      <x:c r="AL67" s="291"/>
      <x:c r="AM67" s="291"/>
      <x:c r="AN67" s="291"/>
      <x:c r="AO67" s="291"/>
      <x:c r="AP67" s="291"/>
      <x:c r="AQ67" s="291"/>
      <x:c r="AR67" s="291"/>
      <x:c r="AS67" s="291"/>
      <x:c r="AT67" s="291"/>
      <x:c r="AU67" s="291"/>
      <x:c r="AV67" s="291"/>
      <x:c r="AW67" s="291"/>
      <x:c r="AX67" s="291"/>
      <x:c r="AY67" s="291"/>
      <x:c r="AZ67" s="291"/>
      <x:c r="BA67" s="291"/>
      <x:c r="BB67" s="291"/>
      <x:c r="BC67" s="291"/>
      <x:c r="BD67" s="291"/>
      <x:c r="BE67" s="291"/>
      <x:c r="BF67" s="291"/>
      <x:c r="BG67" s="291"/>
      <x:c r="BH67" s="291"/>
      <x:c r="BI67" s="291"/>
      <x:c r="BJ67" s="291"/>
      <x:c r="BK67" s="291"/>
      <x:c r="BL67" s="291"/>
      <x:c r="BM67" s="291"/>
      <x:c r="BN67" s="291"/>
      <x:c r="BO67" s="291"/>
      <x:c r="BP67" s="291"/>
      <x:c r="BQ67" s="291"/>
      <x:c r="BR67" s="291"/>
      <x:c r="BS67" s="291"/>
      <x:c r="BT67" s="291"/>
      <x:c r="BU67" s="291"/>
      <x:c r="BV67" s="291"/>
      <x:c r="BW67" s="291"/>
      <x:c r="BX67" s="291"/>
      <x:c r="BY67" s="291"/>
      <x:c r="BZ67" s="291"/>
      <x:c r="CA67" s="291"/>
      <x:c r="CB67" s="291"/>
      <x:c r="CC67" s="291"/>
      <x:c r="CD67" s="291"/>
      <x:c r="CE67" s="291"/>
      <x:c r="CF67" s="291"/>
      <x:c r="CG67" s="291"/>
      <x:c r="CH67" s="291"/>
      <x:c r="CI67" s="291"/>
      <x:c r="CJ67" s="291"/>
      <x:c r="CK67" s="291"/>
      <x:c r="CL67" s="291"/>
      <x:c r="CM67" s="291"/>
      <x:c r="CN67" s="291"/>
      <x:c r="CO67" s="291"/>
      <x:c r="CP67" s="291"/>
      <x:c r="CQ67" s="291"/>
      <x:c r="CR67" s="291"/>
      <x:c r="CS67" s="291"/>
      <x:c r="CT67" s="291"/>
      <x:c r="CU67" s="291"/>
      <x:c r="CV67" s="291"/>
      <x:c r="CW67" s="291"/>
      <x:c r="CX67" s="291"/>
      <x:c r="CY67" s="291"/>
      <x:c r="CZ67" s="291"/>
      <x:c r="DA67" s="291"/>
      <x:c r="DB67" s="291"/>
      <x:c r="DC67" s="291"/>
      <x:c r="DD67" s="291"/>
      <x:c r="DE67" s="291"/>
      <x:c r="DF67" s="291"/>
      <x:c r="DG67" s="291"/>
      <x:c r="DH67" s="291"/>
      <x:c r="DI67" s="291"/>
      <x:c r="DJ67" s="291"/>
      <x:c r="DK67" s="291"/>
      <x:c r="DL67" s="291"/>
      <x:c r="DM67" s="291"/>
      <x:c r="DN67" s="291"/>
      <x:c r="DO67" s="291"/>
      <x:c r="DP67" s="291"/>
      <x:c r="DQ67" s="291"/>
      <x:c r="DR67" s="291"/>
      <x:c r="DS67" s="291"/>
      <x:c r="DT67" s="291"/>
      <x:c r="DU67" s="291"/>
      <x:c r="DV67" s="291"/>
      <x:c r="DW67" s="291"/>
      <x:c r="DX67" s="291"/>
      <x:c r="DY67" s="291"/>
      <x:c r="DZ67" s="291"/>
      <x:c r="EA67" s="291"/>
      <x:c r="EB67" s="291"/>
      <x:c r="EC67" s="291"/>
      <x:c r="ED67" s="291"/>
      <x:c r="EE67" s="291"/>
      <x:c r="EF67" s="291"/>
      <x:c r="EG67" s="291"/>
      <x:c r="EH67" s="291"/>
      <x:c r="EI67" s="291"/>
      <x:c r="EJ67" s="291"/>
      <x:c r="EK67" s="291"/>
      <x:c r="EL67" s="291"/>
      <x:c r="EM67" s="291"/>
      <x:c r="EN67" s="291"/>
      <x:c r="EO67" s="291"/>
      <x:c r="EP67" s="291"/>
      <x:c r="EQ67" s="291"/>
      <x:c r="ER67" s="291"/>
      <x:c r="ES67" s="291"/>
      <x:c r="ET67" s="291"/>
      <x:c r="EU67" s="291"/>
      <x:c r="EV67" s="291"/>
      <x:c r="EW67" s="291"/>
      <x:c r="EX67" s="291"/>
      <x:c r="EY67" s="291"/>
      <x:c r="EZ67" s="291"/>
      <x:c r="FA67" s="291"/>
      <x:c r="FB67" s="291"/>
      <x:c r="FC67" s="291"/>
      <x:c r="FD67" s="291"/>
      <x:c r="FE67" s="291"/>
      <x:c r="FF67" s="291"/>
      <x:c r="FG67" s="291"/>
      <x:c r="FH67" s="291"/>
      <x:c r="FI67" s="291"/>
      <x:c r="FJ67" s="291"/>
      <x:c r="FK67" s="291"/>
      <x:c r="FL67" s="291"/>
      <x:c r="FM67" s="291"/>
      <x:c r="FN67" s="291"/>
      <x:c r="FO67" s="291"/>
      <x:c r="FP67" s="291"/>
      <x:c r="FQ67" s="291"/>
      <x:c r="FR67" s="291"/>
      <x:c r="FS67" s="291"/>
      <x:c r="FT67" s="291"/>
      <x:c r="FU67" s="291"/>
      <x:c r="FV67" s="291"/>
      <x:c r="FW67" s="291"/>
      <x:c r="FX67" s="291"/>
      <x:c r="FY67" s="291"/>
      <x:c r="FZ67" s="291"/>
      <x:c r="GA67" s="291"/>
      <x:c r="GB67" s="291"/>
      <x:c r="GC67" s="291"/>
      <x:c r="GD67" s="291"/>
      <x:c r="GE67" s="291"/>
      <x:c r="GF67" s="291"/>
      <x:c r="GG67" s="291"/>
      <x:c r="GH67" s="291"/>
      <x:c r="GI67" s="291"/>
      <x:c r="GJ67" s="291"/>
      <x:c r="GK67" s="291"/>
      <x:c r="GL67" s="291"/>
      <x:c r="GM67" s="291"/>
      <x:c r="GN67" s="291"/>
      <x:c r="GO67" s="291"/>
      <x:c r="GP67" s="291"/>
      <x:c r="GQ67" s="291"/>
      <x:c r="GR67" s="291"/>
      <x:c r="GS67" s="291"/>
      <x:c r="GT67" s="291"/>
      <x:c r="GU67" s="291"/>
      <x:c r="GV67" s="291"/>
      <x:c r="GW67" s="291"/>
      <x:c r="GX67" s="291"/>
      <x:c r="GY67" s="291"/>
      <x:c r="GZ67" s="291"/>
      <x:c r="HA67" s="291"/>
      <x:c r="HB67" s="291"/>
      <x:c r="HC67" s="291"/>
      <x:c r="HD67" s="291"/>
      <x:c r="HE67" s="291"/>
      <x:c r="HF67" s="291"/>
      <x:c r="HG67" s="291"/>
      <x:c r="HH67" s="291"/>
      <x:c r="HI67" s="291"/>
      <x:c r="HJ67" s="291"/>
      <x:c r="HK67" s="291"/>
      <x:c r="HL67" s="291"/>
      <x:c r="HM67" s="291"/>
      <x:c r="HN67" s="291"/>
      <x:c r="HO67" s="291"/>
      <x:c r="HP67" s="291"/>
      <x:c r="HQ67" s="291"/>
      <x:c r="HR67" s="291"/>
      <x:c r="HS67" s="291"/>
      <x:c r="HT67" s="291"/>
      <x:c r="HU67" s="291"/>
      <x:c r="HV67" s="291"/>
      <x:c r="HW67" s="291"/>
      <x:c r="HX67" s="291"/>
      <x:c r="HY67" s="291"/>
      <x:c r="HZ67" s="291"/>
      <x:c r="IA67" s="291"/>
      <x:c r="IB67" s="291"/>
      <x:c r="IC67" s="291"/>
      <x:c r="ID67" s="291"/>
      <x:c r="IE67" s="291"/>
      <x:c r="IF67" s="291"/>
      <x:c r="IG67" s="291"/>
      <x:c r="IH67" s="291"/>
      <x:c r="II67" s="291"/>
      <x:c r="IJ67" s="291"/>
      <x:c r="IK67" s="291"/>
      <x:c r="IL67" s="291"/>
      <x:c r="IM67" s="291"/>
      <x:c r="IN67" s="291"/>
      <x:c r="IO67" s="291"/>
      <x:c r="IP67" s="291"/>
      <x:c r="IQ67" s="291"/>
      <x:c r="IR67" s="291"/>
      <x:c r="IS67" s="291"/>
      <x:c r="IT67" s="291"/>
      <x:c r="IU67" s="291"/>
      <x:c r="IV67" s="291"/>
      <x:c r="IW67" s="291"/>
      <x:c r="IX67" s="291"/>
      <x:c r="IY67" s="291"/>
      <x:c r="IZ67" s="291"/>
      <x:c r="JA67" s="291"/>
      <x:c r="JB67" s="291"/>
      <x:c r="JC67" s="291"/>
      <x:c r="JD67" s="291"/>
      <x:c r="JE67" s="291"/>
      <x:c r="JF67" s="291"/>
      <x:c r="JG67" s="291"/>
      <x:c r="JH67" s="291"/>
      <x:c r="JI67" s="291"/>
      <x:c r="JJ67" s="291"/>
      <x:c r="JK67" s="291"/>
      <x:c r="JL67" s="291"/>
      <x:c r="JM67" s="291"/>
      <x:c r="JN67" s="291"/>
      <x:c r="JO67" s="291"/>
      <x:c r="JP67" s="291"/>
      <x:c r="JQ67" s="291"/>
      <x:c r="JR67" s="291"/>
      <x:c r="JS67" s="291"/>
      <x:c r="JT67" s="291"/>
      <x:c r="JU67" s="291"/>
      <x:c r="JV67" s="291"/>
      <x:c r="JW67" s="291"/>
      <x:c r="JX67" s="291"/>
      <x:c r="JY67" s="291"/>
      <x:c r="JZ67" s="291"/>
      <x:c r="KA67" s="291"/>
      <x:c r="KB67" s="291"/>
      <x:c r="KC67" s="291"/>
      <x:c r="KD67" s="291"/>
      <x:c r="KE67" s="291"/>
      <x:c r="KF67" s="291"/>
      <x:c r="KG67" s="291"/>
      <x:c r="KH67" s="291"/>
      <x:c r="KI67" s="291"/>
      <x:c r="KJ67" s="291"/>
      <x:c r="KK67" s="291"/>
      <x:c r="KL67" s="291"/>
      <x:c r="KM67" s="291"/>
      <x:c r="KN67" s="291"/>
      <x:c r="KO67" s="291"/>
      <x:c r="KP67" s="291"/>
      <x:c r="KQ67" s="291"/>
      <x:c r="KR67" s="291"/>
      <x:c r="KS67" s="291"/>
      <x:c r="KT67" s="291"/>
      <x:c r="KU67" s="291"/>
      <x:c r="KV67" s="291"/>
      <x:c r="KW67" s="291"/>
      <x:c r="KX67" s="291"/>
      <x:c r="KY67" s="291"/>
      <x:c r="KZ67" s="291"/>
      <x:c r="LA67" s="291"/>
      <x:c r="LB67" s="291"/>
      <x:c r="LC67" s="291"/>
      <x:c r="LD67" s="291"/>
      <x:c r="LE67" s="291"/>
      <x:c r="LF67" s="291"/>
      <x:c r="LG67" s="291"/>
      <x:c r="LH67" s="291"/>
      <x:c r="LI67" s="291"/>
      <x:c r="LJ67" s="291"/>
      <x:c r="LK67" s="291"/>
      <x:c r="LL67" s="291"/>
      <x:c r="LM67" s="291"/>
      <x:c r="LN67" s="291"/>
      <x:c r="LO67" s="291"/>
      <x:c r="LP67" s="291"/>
      <x:c r="LQ67" s="291"/>
      <x:c r="LR67" s="291"/>
      <x:c r="LS67" s="291"/>
      <x:c r="LT67" s="291"/>
      <x:c r="LU67" s="291"/>
      <x:c r="LV67" s="291"/>
      <x:c r="LW67" s="291"/>
      <x:c r="LX67" s="291"/>
      <x:c r="LY67" s="291"/>
      <x:c r="LZ67" s="291"/>
      <x:c r="MA67" s="291"/>
      <x:c r="MB67" s="291"/>
      <x:c r="MC67" s="291"/>
      <x:c r="MD67" s="291"/>
      <x:c r="ME67" s="291"/>
      <x:c r="MF67" s="291"/>
      <x:c r="MG67" s="291"/>
      <x:c r="MH67" s="291"/>
      <x:c r="MI67" s="291"/>
      <x:c r="MJ67" s="291"/>
      <x:c r="MK67" s="291"/>
      <x:c r="ML67" s="291"/>
      <x:c r="MM67" s="291"/>
      <x:c r="MN67" s="291"/>
      <x:c r="MO67" s="291"/>
      <x:c r="MP67" s="291"/>
      <x:c r="MQ67" s="291"/>
      <x:c r="MR67" s="291"/>
      <x:c r="MS67" s="291"/>
      <x:c r="MT67" s="291"/>
      <x:c r="MU67" s="291"/>
      <x:c r="MV67" s="291"/>
      <x:c r="MW67" s="291"/>
      <x:c r="MX67" s="291"/>
      <x:c r="MY67" s="291"/>
      <x:c r="MZ67" s="291"/>
      <x:c r="NA67" s="291"/>
      <x:c r="NB67" s="291"/>
      <x:c r="NC67" s="291"/>
      <x:c r="ND67" s="291"/>
      <x:c r="NE67" s="291"/>
      <x:c r="NF67" s="291"/>
      <x:c r="NG67" s="291"/>
      <x:c r="NH67" s="291"/>
      <x:c r="NI67" s="291"/>
      <x:c r="NJ67" s="291"/>
      <x:c r="NK67" s="291"/>
      <x:c r="NL67" s="291"/>
      <x:c r="NM67" s="291"/>
      <x:c r="NN67" s="291"/>
      <x:c r="NO67" s="291"/>
      <x:c r="NP67" s="291"/>
      <x:c r="NQ67" s="291"/>
      <x:c r="NR67" s="291"/>
      <x:c r="NS67" s="291"/>
      <x:c r="NT67" s="291"/>
      <x:c r="NU67" s="291"/>
      <x:c r="NV67" s="291"/>
      <x:c r="NW67" s="291"/>
      <x:c r="NX67" s="291"/>
      <x:c r="NY67" s="291"/>
      <x:c r="NZ67" s="291"/>
      <x:c r="OA67" s="291"/>
      <x:c r="OB67" s="291"/>
      <x:c r="OC67" s="291"/>
      <x:c r="OD67" s="291"/>
      <x:c r="OE67" s="291"/>
      <x:c r="OF67" s="291"/>
      <x:c r="OG67" s="291"/>
      <x:c r="OH67" s="291"/>
      <x:c r="OI67" s="291"/>
      <x:c r="OJ67" s="291"/>
      <x:c r="OK67" s="291"/>
      <x:c r="OL67" s="291"/>
      <x:c r="OM67" s="291"/>
      <x:c r="ON67" s="291"/>
      <x:c r="OO67" s="291"/>
      <x:c r="OP67" s="291"/>
      <x:c r="OQ67" s="291"/>
      <x:c r="OR67" s="291"/>
      <x:c r="OS67" s="291"/>
      <x:c r="OT67" s="291"/>
      <x:c r="OU67" s="291"/>
      <x:c r="OV67" s="291"/>
      <x:c r="OW67" s="291"/>
      <x:c r="OX67" s="291"/>
      <x:c r="OY67" s="291"/>
      <x:c r="OZ67" s="291"/>
      <x:c r="PA67" s="291"/>
      <x:c r="PB67" s="291"/>
      <x:c r="PC67" s="291"/>
      <x:c r="PD67" s="291"/>
      <x:c r="PE67" s="291"/>
      <x:c r="PF67" s="291"/>
      <x:c r="PG67" s="291"/>
      <x:c r="PH67" s="291"/>
      <x:c r="PI67" s="291"/>
      <x:c r="PJ67" s="291"/>
      <x:c r="PK67" s="291"/>
      <x:c r="PL67" s="291"/>
      <x:c r="PM67" s="291"/>
      <x:c r="PN67" s="291"/>
      <x:c r="PO67" s="291"/>
      <x:c r="PP67" s="291"/>
      <x:c r="PQ67" s="291"/>
      <x:c r="PR67" s="291"/>
      <x:c r="PS67" s="291"/>
      <x:c r="PT67" s="291"/>
      <x:c r="PU67" s="291"/>
      <x:c r="PV67" s="291"/>
      <x:c r="PW67" s="291"/>
      <x:c r="PX67" s="291"/>
      <x:c r="PY67" s="291"/>
      <x:c r="PZ67" s="291"/>
      <x:c r="QA67" s="291"/>
      <x:c r="QB67" s="291"/>
      <x:c r="QC67" s="291"/>
      <x:c r="QD67" s="291"/>
      <x:c r="QE67" s="291"/>
      <x:c r="QF67" s="291"/>
      <x:c r="QG67" s="291"/>
      <x:c r="QH67" s="291"/>
      <x:c r="QI67" s="291"/>
      <x:c r="QJ67" s="291"/>
      <x:c r="QK67" s="291"/>
      <x:c r="QL67" s="291"/>
      <x:c r="QM67" s="291"/>
      <x:c r="QN67" s="291"/>
      <x:c r="QO67" s="291"/>
      <x:c r="QP67" s="291"/>
      <x:c r="QQ67" s="291"/>
      <x:c r="QR67" s="291"/>
      <x:c r="QS67" s="291"/>
      <x:c r="QT67" s="291"/>
      <x:c r="QU67" s="291"/>
      <x:c r="QV67" s="291"/>
      <x:c r="QW67" s="291"/>
      <x:c r="QX67" s="291"/>
      <x:c r="QY67" s="291"/>
      <x:c r="QZ67" s="291"/>
      <x:c r="RA67" s="291"/>
      <x:c r="RB67" s="291"/>
      <x:c r="RC67" s="291"/>
      <x:c r="RD67" s="291"/>
      <x:c r="RE67" s="291"/>
      <x:c r="RF67" s="291"/>
      <x:c r="RG67" s="291"/>
      <x:c r="RH67" s="291"/>
      <x:c r="RI67" s="291"/>
      <x:c r="RJ67" s="291"/>
      <x:c r="RK67" s="291"/>
      <x:c r="RL67" s="291"/>
      <x:c r="RM67" s="291"/>
      <x:c r="RN67" s="291"/>
      <x:c r="RO67" s="291"/>
      <x:c r="RP67" s="291"/>
      <x:c r="RQ67" s="291"/>
      <x:c r="RR67" s="291"/>
      <x:c r="RS67" s="291"/>
      <x:c r="RT67" s="291"/>
      <x:c r="RU67" s="291"/>
      <x:c r="RV67" s="291"/>
      <x:c r="RW67" s="291"/>
      <x:c r="RX67" s="291"/>
      <x:c r="RY67" s="291"/>
      <x:c r="RZ67" s="291"/>
      <x:c r="SA67" s="291"/>
      <x:c r="SB67" s="291"/>
      <x:c r="SC67" s="291"/>
      <x:c r="SD67" s="291"/>
      <x:c r="SE67" s="291"/>
      <x:c r="SF67" s="291"/>
      <x:c r="SG67" s="291"/>
      <x:c r="SH67" s="291"/>
      <x:c r="SI67" s="291"/>
      <x:c r="SJ67" s="291"/>
      <x:c r="SK67" s="291"/>
      <x:c r="SL67" s="291"/>
      <x:c r="SM67" s="291"/>
      <x:c r="SN67" s="291"/>
      <x:c r="SO67" s="291"/>
      <x:c r="SP67" s="291"/>
      <x:c r="SQ67" s="291"/>
      <x:c r="SR67" s="291"/>
      <x:c r="SS67" s="291"/>
      <x:c r="ST67" s="291"/>
      <x:c r="SU67" s="291"/>
      <x:c r="SV67" s="291"/>
      <x:c r="SW67" s="291"/>
      <x:c r="SX67" s="291"/>
      <x:c r="SY67" s="291"/>
      <x:c r="SZ67" s="291"/>
      <x:c r="TA67" s="291"/>
      <x:c r="TB67" s="291"/>
      <x:c r="TC67" s="291"/>
      <x:c r="TD67" s="291"/>
      <x:c r="TE67" s="291"/>
      <x:c r="TF67" s="291"/>
      <x:c r="TG67" s="291"/>
      <x:c r="TH67" s="291"/>
      <x:c r="TI67" s="291"/>
      <x:c r="TJ67" s="291"/>
      <x:c r="TK67" s="291"/>
      <x:c r="TL67" s="291"/>
      <x:c r="TM67" s="291"/>
      <x:c r="TN67" s="291"/>
      <x:c r="TO67" s="291"/>
      <x:c r="TP67" s="291"/>
      <x:c r="TQ67" s="291"/>
      <x:c r="TR67" s="291"/>
      <x:c r="TS67" s="291"/>
      <x:c r="TT67" s="291"/>
      <x:c r="TU67" s="291"/>
      <x:c r="TV67" s="291"/>
      <x:c r="TW67" s="291"/>
      <x:c r="TX67" s="291"/>
      <x:c r="TY67" s="291"/>
      <x:c r="TZ67" s="291"/>
      <x:c r="UA67" s="291"/>
      <x:c r="UB67" s="291"/>
      <x:c r="UC67" s="291"/>
      <x:c r="UD67" s="291"/>
      <x:c r="UE67" s="291"/>
      <x:c r="UF67" s="291"/>
      <x:c r="UG67" s="291"/>
      <x:c r="UH67" s="291"/>
      <x:c r="UI67" s="291"/>
      <x:c r="UJ67" s="291"/>
      <x:c r="UK67" s="291"/>
      <x:c r="UL67" s="291"/>
      <x:c r="UM67" s="291"/>
      <x:c r="UN67" s="291"/>
      <x:c r="UO67" s="291"/>
      <x:c r="UP67" s="291"/>
      <x:c r="UQ67" s="291"/>
      <x:c r="UR67" s="291"/>
      <x:c r="US67" s="291"/>
      <x:c r="UT67" s="291"/>
      <x:c r="UU67" s="291"/>
      <x:c r="UV67" s="291"/>
      <x:c r="UW67" s="291"/>
      <x:c r="UX67" s="291"/>
      <x:c r="UY67" s="291"/>
      <x:c r="UZ67" s="291"/>
      <x:c r="VA67" s="291"/>
      <x:c r="VB67" s="291"/>
      <x:c r="VC67" s="291"/>
      <x:c r="VD67" s="291"/>
      <x:c r="VE67" s="291"/>
      <x:c r="VF67" s="291"/>
      <x:c r="VG67" s="291"/>
      <x:c r="VH67" s="291"/>
      <x:c r="VI67" s="291"/>
      <x:c r="VJ67" s="291"/>
      <x:c r="VK67" s="291"/>
      <x:c r="VL67" s="291"/>
      <x:c r="VM67" s="291"/>
      <x:c r="VN67" s="291"/>
      <x:c r="VO67" s="291"/>
      <x:c r="VP67" s="291"/>
      <x:c r="VQ67" s="291"/>
      <x:c r="VR67" s="291"/>
      <x:c r="VS67" s="291"/>
      <x:c r="VT67" s="291"/>
      <x:c r="VU67" s="291"/>
      <x:c r="VV67" s="291"/>
      <x:c r="VW67" s="291"/>
      <x:c r="VX67" s="291"/>
      <x:c r="VY67" s="291"/>
      <x:c r="VZ67" s="291"/>
      <x:c r="WA67" s="291"/>
      <x:c r="WB67" s="291"/>
      <x:c r="WC67" s="291"/>
      <x:c r="WD67" s="291"/>
      <x:c r="WE67" s="291"/>
      <x:c r="WF67" s="291"/>
      <x:c r="WG67" s="291"/>
      <x:c r="WH67" s="291"/>
      <x:c r="WI67" s="291"/>
      <x:c r="WJ67" s="291"/>
      <x:c r="WK67" s="291"/>
      <x:c r="WL67" s="291"/>
      <x:c r="WM67" s="291"/>
      <x:c r="WN67" s="291"/>
      <x:c r="WO67" s="291"/>
      <x:c r="WP67" s="291"/>
      <x:c r="WQ67" s="291"/>
      <x:c r="WR67" s="291"/>
      <x:c r="WS67" s="291"/>
      <x:c r="WT67" s="291"/>
      <x:c r="WU67" s="291"/>
      <x:c r="WV67" s="291"/>
      <x:c r="WW67" s="291"/>
      <x:c r="WX67" s="291"/>
      <x:c r="WY67" s="291"/>
      <x:c r="WZ67" s="291"/>
      <x:c r="XA67" s="291"/>
      <x:c r="XB67" s="291"/>
      <x:c r="XC67" s="291"/>
      <x:c r="XD67" s="291"/>
      <x:c r="XE67" s="291"/>
      <x:c r="XF67" s="291"/>
      <x:c r="XG67" s="291"/>
      <x:c r="XH67" s="291"/>
      <x:c r="XI67" s="291"/>
      <x:c r="XJ67" s="291"/>
      <x:c r="XK67" s="291"/>
      <x:c r="XL67" s="291"/>
      <x:c r="XM67" s="291"/>
      <x:c r="XN67" s="291"/>
      <x:c r="XO67" s="291"/>
      <x:c r="XP67" s="291"/>
      <x:c r="XQ67" s="291"/>
      <x:c r="XR67" s="291"/>
      <x:c r="XS67" s="291"/>
      <x:c r="XT67" s="291"/>
      <x:c r="XU67" s="291"/>
      <x:c r="XV67" s="291"/>
      <x:c r="XW67" s="291"/>
      <x:c r="XX67" s="291"/>
      <x:c r="XY67" s="291"/>
      <x:c r="XZ67" s="291"/>
      <x:c r="YA67" s="291"/>
      <x:c r="YB67" s="291"/>
      <x:c r="YC67" s="291"/>
      <x:c r="YD67" s="291"/>
      <x:c r="YE67" s="291"/>
      <x:c r="YF67" s="291"/>
      <x:c r="YG67" s="291"/>
      <x:c r="YH67" s="291"/>
      <x:c r="YI67" s="291"/>
      <x:c r="YJ67" s="291"/>
      <x:c r="YK67" s="291"/>
      <x:c r="YL67" s="291"/>
      <x:c r="YM67" s="291"/>
      <x:c r="YN67" s="291"/>
      <x:c r="YO67" s="291"/>
      <x:c r="YP67" s="291"/>
      <x:c r="YQ67" s="291"/>
      <x:c r="YR67" s="291"/>
      <x:c r="YS67" s="291"/>
      <x:c r="YT67" s="291"/>
      <x:c r="YU67" s="291"/>
      <x:c r="YV67" s="291"/>
      <x:c r="YW67" s="291"/>
      <x:c r="YX67" s="291"/>
      <x:c r="YY67" s="291"/>
      <x:c r="YZ67" s="291"/>
      <x:c r="ZA67" s="291"/>
      <x:c r="ZB67" s="291"/>
      <x:c r="ZC67" s="291"/>
      <x:c r="ZD67" s="291"/>
      <x:c r="ZE67" s="291"/>
      <x:c r="ZF67" s="291"/>
      <x:c r="ZG67" s="291"/>
      <x:c r="ZH67" s="291"/>
      <x:c r="ZI67" s="291"/>
      <x:c r="ZJ67" s="291"/>
      <x:c r="ZK67" s="291"/>
      <x:c r="ZL67" s="291"/>
      <x:c r="ZM67" s="291"/>
      <x:c r="ZN67" s="291"/>
      <x:c r="ZO67" s="291"/>
      <x:c r="ZP67" s="291"/>
      <x:c r="ZQ67" s="291"/>
      <x:c r="ZR67" s="291"/>
      <x:c r="ZS67" s="291"/>
      <x:c r="ZT67" s="291"/>
      <x:c r="ZU67" s="291"/>
      <x:c r="ZV67" s="291"/>
      <x:c r="ZW67" s="291"/>
      <x:c r="ZX67" s="291"/>
      <x:c r="ZY67" s="291"/>
      <x:c r="ZZ67" s="291"/>
      <x:c r="AAA67" s="291"/>
      <x:c r="AAB67" s="291"/>
      <x:c r="AAC67" s="291"/>
      <x:c r="AAD67" s="291"/>
      <x:c r="AAE67" s="291"/>
      <x:c r="AAF67" s="291"/>
      <x:c r="AAG67" s="291"/>
      <x:c r="AAH67" s="291"/>
      <x:c r="AAI67" s="291"/>
      <x:c r="AAJ67" s="291"/>
      <x:c r="AAK67" s="291"/>
      <x:c r="AAL67" s="291"/>
      <x:c r="AAM67" s="291"/>
      <x:c r="AAN67" s="291"/>
      <x:c r="AAO67" s="291"/>
      <x:c r="AAP67" s="291"/>
      <x:c r="AAQ67" s="291"/>
      <x:c r="AAR67" s="291"/>
      <x:c r="AAS67" s="291"/>
      <x:c r="AAT67" s="291"/>
      <x:c r="AAU67" s="291"/>
      <x:c r="AAV67" s="291"/>
      <x:c r="AAW67" s="291"/>
      <x:c r="AAX67" s="291"/>
      <x:c r="AAY67" s="291"/>
      <x:c r="AAZ67" s="291"/>
      <x:c r="ABA67" s="291"/>
      <x:c r="ABB67" s="291"/>
      <x:c r="ABC67" s="291"/>
      <x:c r="ABD67" s="291"/>
      <x:c r="ABE67" s="291"/>
      <x:c r="ABF67" s="291"/>
      <x:c r="ABG67" s="291"/>
      <x:c r="ABH67" s="291"/>
      <x:c r="ABI67" s="291"/>
      <x:c r="ABJ67" s="291"/>
      <x:c r="ABK67" s="291"/>
      <x:c r="ABL67" s="291"/>
      <x:c r="ABM67" s="291"/>
      <x:c r="ABN67" s="291"/>
      <x:c r="ABO67" s="291"/>
      <x:c r="ABP67" s="291"/>
      <x:c r="ABQ67" s="291"/>
      <x:c r="ABR67" s="291"/>
      <x:c r="ABS67" s="291"/>
      <x:c r="ABT67" s="291"/>
      <x:c r="ABU67" s="291"/>
      <x:c r="ABV67" s="291"/>
      <x:c r="ABW67" s="291"/>
      <x:c r="ABX67" s="291"/>
      <x:c r="ABY67" s="291"/>
      <x:c r="ABZ67" s="291"/>
      <x:c r="ACA67" s="291"/>
      <x:c r="ACB67" s="291"/>
      <x:c r="ACC67" s="291"/>
      <x:c r="ACD67" s="291"/>
      <x:c r="ACE67" s="291"/>
      <x:c r="ACF67" s="291"/>
      <x:c r="ACG67" s="291"/>
      <x:c r="ACH67" s="291"/>
      <x:c r="ACI67" s="291"/>
      <x:c r="ACJ67" s="291"/>
      <x:c r="ACK67" s="291"/>
      <x:c r="ACL67" s="291"/>
      <x:c r="ACM67" s="291"/>
      <x:c r="ACN67" s="291"/>
      <x:c r="ACO67" s="291"/>
      <x:c r="ACP67" s="291"/>
      <x:c r="ACQ67" s="291"/>
      <x:c r="ACR67" s="291"/>
      <x:c r="ACS67" s="291"/>
      <x:c r="ACT67" s="291"/>
      <x:c r="ACU67" s="291"/>
      <x:c r="ACV67" s="291"/>
      <x:c r="ACW67" s="291"/>
      <x:c r="ACX67" s="291"/>
      <x:c r="ACY67" s="291"/>
      <x:c r="ACZ67" s="291"/>
      <x:c r="ADA67" s="291"/>
      <x:c r="ADB67" s="291"/>
      <x:c r="ADC67" s="291"/>
      <x:c r="ADD67" s="291"/>
      <x:c r="ADE67" s="291"/>
      <x:c r="ADF67" s="291"/>
      <x:c r="ADG67" s="291"/>
      <x:c r="ADH67" s="291"/>
      <x:c r="ADI67" s="291"/>
      <x:c r="ADJ67" s="291"/>
      <x:c r="ADK67" s="291"/>
      <x:c r="ADL67" s="291"/>
      <x:c r="ADM67" s="291"/>
      <x:c r="ADN67" s="291"/>
      <x:c r="ADO67" s="291"/>
      <x:c r="ADP67" s="291"/>
      <x:c r="ADQ67" s="291"/>
      <x:c r="ADR67" s="291"/>
      <x:c r="ADS67" s="291"/>
      <x:c r="ADT67" s="291"/>
      <x:c r="ADU67" s="291"/>
      <x:c r="ADV67" s="291"/>
      <x:c r="ADW67" s="291"/>
      <x:c r="ADX67" s="291"/>
      <x:c r="ADY67" s="291"/>
      <x:c r="ADZ67" s="291"/>
      <x:c r="AEA67" s="291"/>
      <x:c r="AEB67" s="291"/>
      <x:c r="AEC67" s="291"/>
      <x:c r="AED67" s="291"/>
      <x:c r="AEE67" s="291"/>
      <x:c r="AEF67" s="291"/>
      <x:c r="AEG67" s="291"/>
      <x:c r="AEH67" s="291"/>
      <x:c r="AEI67" s="291"/>
      <x:c r="AEJ67" s="291"/>
      <x:c r="AEK67" s="291"/>
      <x:c r="AEL67" s="291"/>
      <x:c r="AEM67" s="291"/>
      <x:c r="AEN67" s="291"/>
      <x:c r="AEO67" s="291"/>
      <x:c r="AEP67" s="291"/>
      <x:c r="AEQ67" s="291"/>
      <x:c r="AER67" s="291"/>
      <x:c r="AES67" s="291"/>
      <x:c r="AET67" s="291"/>
      <x:c r="AEU67" s="291"/>
      <x:c r="AEV67" s="291"/>
      <x:c r="AEW67" s="291"/>
      <x:c r="AEX67" s="291"/>
      <x:c r="AEY67" s="291"/>
      <x:c r="AEZ67" s="291"/>
      <x:c r="AFA67" s="291"/>
      <x:c r="AFB67" s="291"/>
      <x:c r="AFC67" s="291"/>
      <x:c r="AFD67" s="291"/>
      <x:c r="AFE67" s="291"/>
      <x:c r="AFF67" s="291"/>
      <x:c r="AFG67" s="291"/>
      <x:c r="AFH67" s="291"/>
      <x:c r="AFI67" s="291"/>
      <x:c r="AFJ67" s="291"/>
      <x:c r="AFK67" s="291"/>
      <x:c r="AFL67" s="291"/>
      <x:c r="AFM67" s="291"/>
      <x:c r="AFN67" s="291"/>
      <x:c r="AFO67" s="291"/>
      <x:c r="AFP67" s="291"/>
      <x:c r="AFQ67" s="291"/>
      <x:c r="AFR67" s="291"/>
      <x:c r="AFS67" s="291"/>
      <x:c r="AFT67" s="291"/>
      <x:c r="AFU67" s="291"/>
      <x:c r="AFV67" s="291"/>
      <x:c r="AFW67" s="291"/>
      <x:c r="AFX67" s="291"/>
      <x:c r="AFY67" s="291"/>
      <x:c r="AFZ67" s="291"/>
      <x:c r="AGA67" s="291"/>
      <x:c r="AGB67" s="291"/>
      <x:c r="AGC67" s="291"/>
      <x:c r="AGD67" s="291"/>
      <x:c r="AGE67" s="291"/>
      <x:c r="AGF67" s="291"/>
      <x:c r="AGG67" s="291"/>
      <x:c r="AGH67" s="291"/>
      <x:c r="AGI67" s="291"/>
      <x:c r="AGJ67" s="291"/>
      <x:c r="AGK67" s="291"/>
      <x:c r="AGL67" s="291"/>
      <x:c r="AGM67" s="291"/>
      <x:c r="AGN67" s="291"/>
      <x:c r="AGO67" s="291"/>
      <x:c r="AGP67" s="291"/>
      <x:c r="AGQ67" s="291"/>
      <x:c r="AGR67" s="291"/>
      <x:c r="AGS67" s="291"/>
      <x:c r="AGT67" s="291"/>
      <x:c r="AGU67" s="291"/>
      <x:c r="AGV67" s="291"/>
      <x:c r="AGW67" s="291"/>
      <x:c r="AGX67" s="291"/>
      <x:c r="AGY67" s="291"/>
      <x:c r="AGZ67" s="291"/>
      <x:c r="AHA67" s="291"/>
      <x:c r="AHB67" s="291"/>
      <x:c r="AHC67" s="291"/>
      <x:c r="AHD67" s="291"/>
      <x:c r="AHE67" s="291"/>
      <x:c r="AHF67" s="291"/>
      <x:c r="AHG67" s="291"/>
      <x:c r="AHH67" s="291"/>
      <x:c r="AHI67" s="291"/>
      <x:c r="AHJ67" s="291"/>
      <x:c r="AHK67" s="291"/>
      <x:c r="AHL67" s="291"/>
      <x:c r="AHM67" s="291"/>
      <x:c r="AHN67" s="291"/>
      <x:c r="AHO67" s="291"/>
      <x:c r="AHP67" s="291"/>
      <x:c r="AHQ67" s="291"/>
      <x:c r="AHR67" s="291"/>
      <x:c r="AHS67" s="291"/>
      <x:c r="AHT67" s="291"/>
      <x:c r="AHU67" s="291"/>
      <x:c r="AHV67" s="291"/>
      <x:c r="AHW67" s="291"/>
      <x:c r="AHX67" s="291"/>
      <x:c r="AHY67" s="291"/>
      <x:c r="AHZ67" s="291"/>
      <x:c r="AIA67" s="291"/>
      <x:c r="AIB67" s="291"/>
      <x:c r="AIC67" s="291"/>
      <x:c r="AID67" s="291"/>
      <x:c r="AIE67" s="291"/>
      <x:c r="AIF67" s="291"/>
      <x:c r="AIG67" s="291"/>
      <x:c r="AIH67" s="291"/>
      <x:c r="AII67" s="291"/>
      <x:c r="AIJ67" s="291"/>
      <x:c r="AIK67" s="291"/>
      <x:c r="AIL67" s="291"/>
      <x:c r="AIM67" s="291"/>
      <x:c r="AIN67" s="291"/>
      <x:c r="AIO67" s="291"/>
      <x:c r="AIP67" s="291"/>
      <x:c r="AIQ67" s="291"/>
      <x:c r="AIR67" s="291"/>
      <x:c r="AIS67" s="291"/>
      <x:c r="AIT67" s="291"/>
      <x:c r="AIU67" s="291"/>
      <x:c r="AIV67" s="291"/>
      <x:c r="AIW67" s="291"/>
      <x:c r="AIX67" s="291"/>
      <x:c r="AIY67" s="291"/>
      <x:c r="AIZ67" s="291"/>
      <x:c r="AJA67" s="291"/>
      <x:c r="AJB67" s="291"/>
      <x:c r="AJC67" s="291"/>
      <x:c r="AJD67" s="291"/>
      <x:c r="AJE67" s="291"/>
      <x:c r="AJF67" s="291"/>
      <x:c r="AJG67" s="291"/>
      <x:c r="AJH67" s="291"/>
      <x:c r="AJI67" s="291"/>
      <x:c r="AJJ67" s="291"/>
      <x:c r="AJK67" s="291"/>
      <x:c r="AJL67" s="291"/>
      <x:c r="AJM67" s="291"/>
      <x:c r="AJN67" s="291"/>
      <x:c r="AJO67" s="291"/>
      <x:c r="AJP67" s="291"/>
      <x:c r="AJQ67" s="291"/>
      <x:c r="AJR67" s="291"/>
      <x:c r="AJS67" s="291"/>
      <x:c r="AJT67" s="291"/>
      <x:c r="AJU67" s="291"/>
      <x:c r="AJV67" s="291"/>
      <x:c r="AJW67" s="291"/>
      <x:c r="AJX67" s="291"/>
      <x:c r="AJY67" s="291"/>
      <x:c r="AJZ67" s="291"/>
      <x:c r="AKA67" s="291"/>
      <x:c r="AKB67" s="291"/>
      <x:c r="AKC67" s="291"/>
      <x:c r="AKD67" s="291"/>
      <x:c r="AKE67" s="291"/>
      <x:c r="AKF67" s="291"/>
      <x:c r="AKG67" s="291"/>
      <x:c r="AKH67" s="291"/>
      <x:c r="AKI67" s="291"/>
      <x:c r="AKJ67" s="291"/>
      <x:c r="AKK67" s="291"/>
      <x:c r="AKL67" s="291"/>
      <x:c r="AKM67" s="291"/>
      <x:c r="AKN67" s="291"/>
      <x:c r="AKO67" s="291"/>
      <x:c r="AKP67" s="291"/>
      <x:c r="AKQ67" s="291"/>
      <x:c r="AKR67" s="291"/>
      <x:c r="AKS67" s="291"/>
      <x:c r="AKT67" s="291"/>
      <x:c r="AKU67" s="291"/>
      <x:c r="AKV67" s="291"/>
      <x:c r="AKW67" s="291"/>
      <x:c r="AKX67" s="291"/>
      <x:c r="AKY67" s="291"/>
      <x:c r="AKZ67" s="291"/>
      <x:c r="ALA67" s="291"/>
      <x:c r="ALB67" s="291"/>
      <x:c r="ALC67" s="291"/>
      <x:c r="ALD67" s="291"/>
      <x:c r="ALE67" s="291"/>
      <x:c r="ALF67" s="291"/>
      <x:c r="ALG67" s="291"/>
      <x:c r="ALH67" s="291"/>
      <x:c r="ALI67" s="291"/>
      <x:c r="ALJ67" s="291"/>
      <x:c r="ALK67" s="291"/>
      <x:c r="ALL67" s="291"/>
      <x:c r="ALM67" s="291"/>
      <x:c r="ALN67" s="291"/>
      <x:c r="ALO67" s="291"/>
      <x:c r="ALP67" s="291"/>
      <x:c r="ALQ67" s="291"/>
      <x:c r="ALR67" s="291"/>
      <x:c r="ALS67" s="291"/>
      <x:c r="ALT67" s="291"/>
      <x:c r="ALU67" s="291"/>
      <x:c r="ALV67" s="291"/>
      <x:c r="ALW67" s="291"/>
      <x:c r="ALX67" s="291"/>
      <x:c r="ALY67" s="291"/>
      <x:c r="ALZ67" s="291"/>
      <x:c r="AMA67" s="291"/>
      <x:c r="AMB67" s="291"/>
      <x:c r="AMC67" s="291"/>
      <x:c r="AMD67" s="291"/>
      <x:c r="AME67" s="291"/>
      <x:c r="AMF67" s="291"/>
      <x:c r="AMG67" s="291"/>
      <x:c r="AMH67" s="291"/>
      <x:c r="AMI67" s="291"/>
      <x:c r="AMJ67" s="291"/>
      <x:c r="AMK67" s="291"/>
      <x:c r="AML67" s="291"/>
      <x:c r="AMM67" s="291"/>
      <x:c r="AMN67" s="291"/>
      <x:c r="AMO67" s="291"/>
      <x:c r="AMP67" s="291"/>
      <x:c r="AMQ67" s="291"/>
      <x:c r="AMR67" s="291"/>
      <x:c r="AMS67" s="291"/>
      <x:c r="AMT67" s="291"/>
      <x:c r="AMU67" s="291"/>
      <x:c r="AMV67" s="291"/>
      <x:c r="AMW67" s="291"/>
      <x:c r="AMX67" s="291"/>
      <x:c r="AMY67" s="291"/>
      <x:c r="AMZ67" s="291"/>
      <x:c r="ANA67" s="291"/>
      <x:c r="ANB67" s="291"/>
      <x:c r="ANC67" s="291"/>
      <x:c r="AND67" s="291"/>
      <x:c r="ANE67" s="291"/>
      <x:c r="ANF67" s="291"/>
      <x:c r="ANG67" s="291"/>
      <x:c r="ANH67" s="291"/>
      <x:c r="ANI67" s="291"/>
      <x:c r="ANJ67" s="291"/>
      <x:c r="ANK67" s="291"/>
      <x:c r="ANL67" s="291"/>
      <x:c r="ANM67" s="291"/>
      <x:c r="ANN67" s="291"/>
      <x:c r="ANO67" s="291"/>
      <x:c r="ANP67" s="291"/>
      <x:c r="ANQ67" s="291"/>
      <x:c r="ANR67" s="291"/>
      <x:c r="ANS67" s="291"/>
      <x:c r="ANT67" s="291"/>
      <x:c r="ANU67" s="291"/>
      <x:c r="ANV67" s="291"/>
      <x:c r="ANW67" s="291"/>
      <x:c r="ANX67" s="291"/>
      <x:c r="ANY67" s="291"/>
      <x:c r="ANZ67" s="291"/>
      <x:c r="AOA67" s="291"/>
      <x:c r="AOB67" s="291"/>
      <x:c r="AOC67" s="291"/>
      <x:c r="AOD67" s="291"/>
      <x:c r="AOE67" s="291"/>
      <x:c r="AOF67" s="291"/>
      <x:c r="AOG67" s="291"/>
      <x:c r="AOH67" s="291"/>
      <x:c r="AOI67" s="291"/>
      <x:c r="AOJ67" s="291"/>
      <x:c r="AOK67" s="291"/>
      <x:c r="AOL67" s="291"/>
      <x:c r="AOM67" s="291"/>
      <x:c r="AON67" s="291"/>
      <x:c r="AOO67" s="291"/>
      <x:c r="AOP67" s="291"/>
      <x:c r="AOQ67" s="291"/>
      <x:c r="AOR67" s="291"/>
      <x:c r="AOS67" s="291"/>
      <x:c r="AOT67" s="291"/>
      <x:c r="AOU67" s="291"/>
      <x:c r="AOV67" s="291"/>
      <x:c r="AOW67" s="291"/>
      <x:c r="AOX67" s="291"/>
      <x:c r="AOY67" s="291"/>
      <x:c r="AOZ67" s="291"/>
      <x:c r="APA67" s="291"/>
      <x:c r="APB67" s="291"/>
      <x:c r="APC67" s="291"/>
      <x:c r="APD67" s="291"/>
      <x:c r="APE67" s="291"/>
      <x:c r="APF67" s="291"/>
      <x:c r="APG67" s="291"/>
      <x:c r="APH67" s="291"/>
      <x:c r="API67" s="291"/>
      <x:c r="APJ67" s="291"/>
      <x:c r="APK67" s="291"/>
      <x:c r="APL67" s="291"/>
      <x:c r="APM67" s="291"/>
      <x:c r="APN67" s="291"/>
      <x:c r="APO67" s="291"/>
      <x:c r="APP67" s="291"/>
      <x:c r="APQ67" s="291"/>
      <x:c r="APR67" s="291"/>
      <x:c r="APS67" s="291"/>
      <x:c r="APT67" s="291"/>
      <x:c r="APU67" s="291"/>
      <x:c r="APV67" s="291"/>
      <x:c r="APW67" s="291"/>
      <x:c r="APX67" s="291"/>
      <x:c r="APY67" s="291"/>
      <x:c r="APZ67" s="291"/>
      <x:c r="AQA67" s="291"/>
      <x:c r="AQB67" s="291"/>
      <x:c r="AQC67" s="291"/>
      <x:c r="AQD67" s="291"/>
      <x:c r="AQE67" s="291"/>
      <x:c r="AQF67" s="291"/>
      <x:c r="AQG67" s="291"/>
      <x:c r="AQH67" s="291"/>
      <x:c r="AQI67" s="291"/>
      <x:c r="AQJ67" s="291"/>
      <x:c r="AQK67" s="291"/>
      <x:c r="AQL67" s="291"/>
      <x:c r="AQM67" s="291"/>
      <x:c r="AQN67" s="291"/>
      <x:c r="AQO67" s="291"/>
      <x:c r="AQP67" s="291"/>
      <x:c r="AQQ67" s="291"/>
      <x:c r="AQR67" s="291"/>
      <x:c r="AQS67" s="291"/>
      <x:c r="AQT67" s="291"/>
      <x:c r="AQU67" s="291"/>
      <x:c r="AQV67" s="291"/>
      <x:c r="AQW67" s="291"/>
      <x:c r="AQX67" s="291"/>
      <x:c r="AQY67" s="291"/>
      <x:c r="AQZ67" s="291"/>
      <x:c r="ARA67" s="291"/>
      <x:c r="ARB67" s="291"/>
      <x:c r="ARC67" s="291"/>
      <x:c r="ARD67" s="291"/>
      <x:c r="ARE67" s="291"/>
      <x:c r="ARF67" s="291"/>
      <x:c r="ARG67" s="291"/>
      <x:c r="ARH67" s="291"/>
      <x:c r="ARI67" s="291"/>
      <x:c r="ARJ67" s="291"/>
      <x:c r="ARK67" s="291"/>
      <x:c r="ARL67" s="291"/>
      <x:c r="ARM67" s="291"/>
      <x:c r="ARN67" s="291"/>
      <x:c r="ARO67" s="291"/>
      <x:c r="ARP67" s="291"/>
      <x:c r="ARQ67" s="291"/>
      <x:c r="ARR67" s="291"/>
      <x:c r="ARS67" s="291"/>
      <x:c r="ART67" s="291"/>
      <x:c r="ARU67" s="291"/>
      <x:c r="ARV67" s="291"/>
      <x:c r="ARW67" s="291"/>
      <x:c r="ARX67" s="291"/>
      <x:c r="ARY67" s="291"/>
      <x:c r="ARZ67" s="291"/>
      <x:c r="ASA67" s="291"/>
      <x:c r="ASB67" s="291"/>
      <x:c r="ASC67" s="291"/>
      <x:c r="ASD67" s="291"/>
      <x:c r="ASE67" s="291"/>
      <x:c r="ASF67" s="291"/>
      <x:c r="ASG67" s="291"/>
      <x:c r="ASH67" s="291"/>
      <x:c r="ASI67" s="291"/>
      <x:c r="ASJ67" s="291"/>
      <x:c r="ASK67" s="291"/>
      <x:c r="ASL67" s="291"/>
      <x:c r="ASM67" s="291"/>
      <x:c r="ASN67" s="291"/>
      <x:c r="ASO67" s="291"/>
      <x:c r="ASP67" s="291"/>
      <x:c r="ASQ67" s="291"/>
      <x:c r="ASR67" s="291"/>
      <x:c r="ASS67" s="291"/>
      <x:c r="AST67" s="291"/>
      <x:c r="ASU67" s="291"/>
      <x:c r="ASV67" s="291"/>
      <x:c r="ASW67" s="291"/>
      <x:c r="ASX67" s="291"/>
      <x:c r="ASY67" s="291"/>
      <x:c r="ASZ67" s="291"/>
      <x:c r="ATA67" s="291"/>
      <x:c r="ATB67" s="291"/>
      <x:c r="ATC67" s="291"/>
      <x:c r="ATD67" s="291"/>
      <x:c r="ATE67" s="291"/>
      <x:c r="ATF67" s="291"/>
      <x:c r="ATG67" s="291"/>
      <x:c r="ATH67" s="291"/>
      <x:c r="ATI67" s="291"/>
      <x:c r="ATJ67" s="291"/>
      <x:c r="ATK67" s="291"/>
      <x:c r="ATL67" s="291"/>
      <x:c r="ATM67" s="291"/>
      <x:c r="ATN67" s="291"/>
      <x:c r="ATO67" s="291"/>
      <x:c r="ATP67" s="291"/>
      <x:c r="ATQ67" s="291"/>
      <x:c r="ATR67" s="291"/>
      <x:c r="ATS67" s="291"/>
      <x:c r="ATT67" s="291"/>
      <x:c r="ATU67" s="291"/>
      <x:c r="ATV67" s="291"/>
      <x:c r="ATW67" s="291"/>
      <x:c r="ATX67" s="291"/>
      <x:c r="ATY67" s="291"/>
      <x:c r="ATZ67" s="291"/>
      <x:c r="AUA67" s="291"/>
      <x:c r="AUB67" s="291"/>
      <x:c r="AUC67" s="291"/>
      <x:c r="AUD67" s="291"/>
      <x:c r="AUE67" s="291"/>
      <x:c r="AUF67" s="291"/>
      <x:c r="AUG67" s="291"/>
      <x:c r="AUH67" s="291"/>
      <x:c r="AUI67" s="291"/>
      <x:c r="AUJ67" s="291"/>
      <x:c r="AUK67" s="291"/>
      <x:c r="AUL67" s="291"/>
      <x:c r="AUM67" s="291"/>
      <x:c r="AUN67" s="291"/>
      <x:c r="AUO67" s="291"/>
      <x:c r="AUP67" s="291"/>
      <x:c r="AUQ67" s="291"/>
      <x:c r="AUR67" s="291"/>
      <x:c r="AUS67" s="291"/>
      <x:c r="AUT67" s="291"/>
      <x:c r="AUU67" s="291"/>
      <x:c r="AUV67" s="291"/>
      <x:c r="AUW67" s="291"/>
      <x:c r="AUX67" s="291"/>
      <x:c r="AUY67" s="291"/>
      <x:c r="AUZ67" s="291"/>
      <x:c r="AVA67" s="291"/>
      <x:c r="AVB67" s="291"/>
      <x:c r="AVC67" s="291"/>
      <x:c r="AVD67" s="291"/>
      <x:c r="AVE67" s="291"/>
      <x:c r="AVF67" s="291"/>
      <x:c r="AVG67" s="291"/>
      <x:c r="AVH67" s="291"/>
      <x:c r="AVI67" s="291"/>
      <x:c r="AVJ67" s="291"/>
      <x:c r="AVK67" s="291"/>
      <x:c r="AVL67" s="291"/>
      <x:c r="AVM67" s="291"/>
      <x:c r="AVN67" s="291"/>
      <x:c r="AVO67" s="291"/>
      <x:c r="AVP67" s="291"/>
      <x:c r="AVQ67" s="291"/>
      <x:c r="AVR67" s="291"/>
      <x:c r="AVS67" s="291"/>
      <x:c r="AVT67" s="291"/>
      <x:c r="AVU67" s="291"/>
      <x:c r="AVV67" s="291"/>
      <x:c r="AVW67" s="291"/>
      <x:c r="AVX67" s="291"/>
      <x:c r="AVY67" s="291"/>
      <x:c r="AVZ67" s="291"/>
      <x:c r="AWA67" s="291"/>
      <x:c r="AWB67" s="291"/>
      <x:c r="AWC67" s="291"/>
      <x:c r="AWD67" s="291"/>
      <x:c r="AWE67" s="291"/>
      <x:c r="AWF67" s="291"/>
      <x:c r="AWG67" s="291"/>
      <x:c r="AWH67" s="291"/>
      <x:c r="AWI67" s="291"/>
      <x:c r="AWJ67" s="291"/>
      <x:c r="AWK67" s="291"/>
      <x:c r="AWL67" s="291"/>
      <x:c r="AWM67" s="291"/>
      <x:c r="AWN67" s="291"/>
      <x:c r="AWO67" s="291"/>
      <x:c r="AWP67" s="291"/>
      <x:c r="AWQ67" s="291"/>
      <x:c r="AWR67" s="291"/>
      <x:c r="AWS67" s="291"/>
      <x:c r="AWT67" s="291"/>
      <x:c r="AWU67" s="291"/>
      <x:c r="AWV67" s="291"/>
      <x:c r="AWW67" s="291"/>
      <x:c r="AWX67" s="291"/>
      <x:c r="AWY67" s="291"/>
      <x:c r="AWZ67" s="291"/>
      <x:c r="AXA67" s="291"/>
      <x:c r="AXB67" s="291"/>
      <x:c r="AXC67" s="291"/>
      <x:c r="AXD67" s="291"/>
      <x:c r="AXE67" s="291"/>
      <x:c r="AXF67" s="291"/>
      <x:c r="AXG67" s="291"/>
      <x:c r="AXH67" s="291"/>
      <x:c r="AXI67" s="291"/>
      <x:c r="AXJ67" s="291"/>
      <x:c r="AXK67" s="291"/>
      <x:c r="AXL67" s="291"/>
      <x:c r="AXM67" s="291"/>
      <x:c r="AXN67" s="291"/>
      <x:c r="AXO67" s="291"/>
      <x:c r="AXP67" s="291"/>
      <x:c r="AXQ67" s="291"/>
      <x:c r="AXR67" s="291"/>
      <x:c r="AXS67" s="291"/>
      <x:c r="AXT67" s="291"/>
      <x:c r="AXU67" s="291"/>
      <x:c r="AXV67" s="291"/>
      <x:c r="AXW67" s="291"/>
      <x:c r="AXX67" s="291"/>
      <x:c r="AXY67" s="291"/>
      <x:c r="AXZ67" s="291"/>
      <x:c r="AYA67" s="291"/>
      <x:c r="AYB67" s="291"/>
      <x:c r="AYC67" s="291"/>
      <x:c r="AYD67" s="291"/>
      <x:c r="AYE67" s="291"/>
      <x:c r="AYF67" s="291"/>
      <x:c r="AYG67" s="291"/>
      <x:c r="AYH67" s="291"/>
      <x:c r="AYI67" s="291"/>
      <x:c r="AYJ67" s="291"/>
      <x:c r="AYK67" s="291"/>
      <x:c r="AYL67" s="291"/>
      <x:c r="AYM67" s="291"/>
      <x:c r="AYN67" s="291"/>
      <x:c r="AYO67" s="291"/>
      <x:c r="AYP67" s="291"/>
      <x:c r="AYQ67" s="291"/>
      <x:c r="AYR67" s="291"/>
      <x:c r="AYS67" s="291"/>
      <x:c r="AYT67" s="291"/>
      <x:c r="AYU67" s="291"/>
      <x:c r="AYV67" s="291"/>
      <x:c r="AYW67" s="291"/>
      <x:c r="AYX67" s="291"/>
      <x:c r="AYY67" s="291"/>
      <x:c r="AYZ67" s="291"/>
      <x:c r="AZA67" s="291"/>
      <x:c r="AZB67" s="291"/>
      <x:c r="AZC67" s="291"/>
      <x:c r="AZD67" s="291"/>
      <x:c r="AZE67" s="291"/>
      <x:c r="AZF67" s="291"/>
      <x:c r="AZG67" s="291"/>
      <x:c r="AZH67" s="291"/>
      <x:c r="AZI67" s="291"/>
      <x:c r="AZJ67" s="291"/>
      <x:c r="AZK67" s="291"/>
      <x:c r="AZL67" s="291"/>
      <x:c r="AZM67" s="291"/>
      <x:c r="AZN67" s="291"/>
      <x:c r="AZO67" s="291"/>
      <x:c r="AZP67" s="291"/>
      <x:c r="AZQ67" s="291"/>
      <x:c r="AZR67" s="291"/>
      <x:c r="AZS67" s="291"/>
      <x:c r="AZT67" s="291"/>
      <x:c r="AZU67" s="291"/>
      <x:c r="AZV67" s="291"/>
      <x:c r="AZW67" s="291"/>
      <x:c r="AZX67" s="291"/>
      <x:c r="AZY67" s="291"/>
      <x:c r="AZZ67" s="291"/>
      <x:c r="BAA67" s="291"/>
      <x:c r="BAB67" s="291"/>
      <x:c r="BAC67" s="291"/>
      <x:c r="BAD67" s="291"/>
      <x:c r="BAE67" s="291"/>
      <x:c r="BAF67" s="291"/>
      <x:c r="BAG67" s="291"/>
      <x:c r="BAH67" s="291"/>
      <x:c r="BAI67" s="291"/>
      <x:c r="BAJ67" s="291"/>
      <x:c r="BAK67" s="291"/>
      <x:c r="BAL67" s="291"/>
      <x:c r="BAM67" s="291"/>
      <x:c r="BAN67" s="291"/>
      <x:c r="BAO67" s="291"/>
      <x:c r="BAP67" s="291"/>
      <x:c r="BAQ67" s="291"/>
      <x:c r="BAR67" s="291"/>
      <x:c r="BAS67" s="291"/>
      <x:c r="BAT67" s="291"/>
      <x:c r="BAU67" s="291"/>
      <x:c r="BAV67" s="291"/>
      <x:c r="BAW67" s="291"/>
      <x:c r="BAX67" s="291"/>
      <x:c r="BAY67" s="291"/>
      <x:c r="BAZ67" s="291"/>
      <x:c r="BBA67" s="291"/>
      <x:c r="BBB67" s="291"/>
      <x:c r="BBC67" s="291"/>
      <x:c r="BBD67" s="291"/>
      <x:c r="BBE67" s="291"/>
      <x:c r="BBF67" s="291"/>
      <x:c r="BBG67" s="291"/>
      <x:c r="BBH67" s="291"/>
      <x:c r="BBI67" s="291"/>
      <x:c r="BBJ67" s="291"/>
      <x:c r="BBK67" s="291"/>
      <x:c r="BBL67" s="291"/>
      <x:c r="BBM67" s="291"/>
      <x:c r="BBN67" s="291"/>
      <x:c r="BBO67" s="291"/>
      <x:c r="BBP67" s="291"/>
      <x:c r="BBQ67" s="291"/>
      <x:c r="BBR67" s="291"/>
      <x:c r="BBS67" s="291"/>
      <x:c r="BBT67" s="291"/>
      <x:c r="BBU67" s="291"/>
      <x:c r="BBV67" s="291"/>
      <x:c r="BBW67" s="291"/>
      <x:c r="BBX67" s="291"/>
      <x:c r="BBY67" s="291"/>
      <x:c r="BBZ67" s="291"/>
      <x:c r="BCA67" s="291"/>
      <x:c r="BCB67" s="291"/>
      <x:c r="BCC67" s="291"/>
      <x:c r="BCD67" s="291"/>
      <x:c r="BCE67" s="291"/>
      <x:c r="BCF67" s="291"/>
      <x:c r="BCG67" s="291"/>
      <x:c r="BCH67" s="291"/>
      <x:c r="BCI67" s="291"/>
      <x:c r="BCJ67" s="291"/>
      <x:c r="BCK67" s="291"/>
      <x:c r="BCL67" s="291"/>
      <x:c r="BCM67" s="291"/>
      <x:c r="BCN67" s="291"/>
      <x:c r="BCO67" s="291"/>
      <x:c r="BCP67" s="291"/>
      <x:c r="BCQ67" s="291"/>
      <x:c r="BCR67" s="291"/>
      <x:c r="BCS67" s="291"/>
      <x:c r="BCT67" s="291"/>
      <x:c r="BCU67" s="291"/>
      <x:c r="BCV67" s="291"/>
      <x:c r="BCW67" s="291"/>
      <x:c r="BCX67" s="291"/>
      <x:c r="BCY67" s="291"/>
      <x:c r="BCZ67" s="291"/>
      <x:c r="BDA67" s="291"/>
      <x:c r="BDB67" s="291"/>
      <x:c r="BDC67" s="291"/>
      <x:c r="BDD67" s="291"/>
      <x:c r="BDE67" s="291"/>
      <x:c r="BDF67" s="291"/>
      <x:c r="BDG67" s="291"/>
      <x:c r="BDH67" s="291"/>
      <x:c r="BDI67" s="291"/>
      <x:c r="BDJ67" s="291"/>
      <x:c r="BDK67" s="291"/>
      <x:c r="BDL67" s="291"/>
      <x:c r="BDM67" s="291"/>
      <x:c r="BDN67" s="291"/>
      <x:c r="BDO67" s="291"/>
      <x:c r="BDP67" s="291"/>
      <x:c r="BDQ67" s="291"/>
      <x:c r="BDR67" s="291"/>
      <x:c r="BDS67" s="291"/>
      <x:c r="BDT67" s="291"/>
      <x:c r="BDU67" s="291"/>
      <x:c r="BDV67" s="291"/>
      <x:c r="BDW67" s="291"/>
      <x:c r="BDX67" s="291"/>
      <x:c r="BDY67" s="291"/>
      <x:c r="BDZ67" s="291"/>
      <x:c r="BEA67" s="291"/>
      <x:c r="BEB67" s="291"/>
      <x:c r="BEC67" s="291"/>
      <x:c r="BED67" s="291"/>
      <x:c r="BEE67" s="291"/>
      <x:c r="BEF67" s="291"/>
      <x:c r="BEG67" s="291"/>
      <x:c r="BEH67" s="291"/>
      <x:c r="BEI67" s="291"/>
      <x:c r="BEJ67" s="291"/>
      <x:c r="BEK67" s="291"/>
      <x:c r="BEL67" s="291"/>
      <x:c r="BEM67" s="291"/>
      <x:c r="BEN67" s="291"/>
      <x:c r="BEO67" s="291"/>
      <x:c r="BEP67" s="291"/>
      <x:c r="BEQ67" s="291"/>
      <x:c r="BER67" s="291"/>
      <x:c r="BES67" s="291"/>
      <x:c r="BET67" s="291"/>
      <x:c r="BEU67" s="291"/>
      <x:c r="BEV67" s="291"/>
      <x:c r="BEW67" s="291"/>
      <x:c r="BEX67" s="291"/>
      <x:c r="BEY67" s="291"/>
      <x:c r="BEZ67" s="291"/>
      <x:c r="BFA67" s="291"/>
      <x:c r="BFB67" s="291"/>
      <x:c r="BFC67" s="291"/>
      <x:c r="BFD67" s="291"/>
      <x:c r="BFE67" s="291"/>
      <x:c r="BFF67" s="291"/>
      <x:c r="BFG67" s="291"/>
      <x:c r="BFH67" s="291"/>
      <x:c r="BFI67" s="291"/>
      <x:c r="BFJ67" s="291"/>
      <x:c r="BFK67" s="291"/>
      <x:c r="BFL67" s="291"/>
      <x:c r="BFM67" s="291"/>
      <x:c r="BFN67" s="291"/>
      <x:c r="BFO67" s="291"/>
      <x:c r="BFP67" s="291"/>
      <x:c r="BFQ67" s="291"/>
      <x:c r="BFR67" s="291"/>
      <x:c r="BFS67" s="291"/>
      <x:c r="BFT67" s="291"/>
      <x:c r="BFU67" s="291"/>
      <x:c r="BFV67" s="291"/>
      <x:c r="BFW67" s="291"/>
      <x:c r="BFX67" s="291"/>
      <x:c r="BFY67" s="291"/>
      <x:c r="BFZ67" s="291"/>
      <x:c r="BGA67" s="291"/>
      <x:c r="BGB67" s="291"/>
      <x:c r="BGC67" s="291"/>
      <x:c r="BGD67" s="291"/>
      <x:c r="BGE67" s="291"/>
      <x:c r="BGF67" s="291"/>
      <x:c r="BGG67" s="291"/>
      <x:c r="BGH67" s="291"/>
      <x:c r="BGI67" s="291"/>
      <x:c r="BGJ67" s="291"/>
      <x:c r="BGK67" s="291"/>
      <x:c r="BGL67" s="291"/>
      <x:c r="BGM67" s="291"/>
      <x:c r="BGN67" s="291"/>
      <x:c r="BGO67" s="291"/>
      <x:c r="BGP67" s="291"/>
      <x:c r="BGQ67" s="291"/>
      <x:c r="BGR67" s="291"/>
      <x:c r="BGS67" s="291"/>
      <x:c r="BGT67" s="291"/>
      <x:c r="BGU67" s="291"/>
      <x:c r="BGV67" s="291"/>
      <x:c r="BGW67" s="291"/>
      <x:c r="BGX67" s="291"/>
      <x:c r="BGY67" s="291"/>
      <x:c r="BGZ67" s="291"/>
      <x:c r="BHA67" s="291"/>
      <x:c r="BHB67" s="291"/>
      <x:c r="BHC67" s="291"/>
      <x:c r="BHD67" s="291"/>
      <x:c r="BHE67" s="291"/>
      <x:c r="BHF67" s="291"/>
      <x:c r="BHG67" s="291"/>
      <x:c r="BHH67" s="291"/>
      <x:c r="BHI67" s="291"/>
      <x:c r="BHJ67" s="291"/>
      <x:c r="BHK67" s="291"/>
      <x:c r="BHL67" s="291"/>
      <x:c r="BHM67" s="291"/>
      <x:c r="BHN67" s="291"/>
      <x:c r="BHO67" s="291"/>
      <x:c r="BHP67" s="291"/>
      <x:c r="BHQ67" s="291"/>
      <x:c r="BHR67" s="291"/>
      <x:c r="BHS67" s="291"/>
      <x:c r="BHT67" s="291"/>
      <x:c r="BHU67" s="291"/>
      <x:c r="BHV67" s="291"/>
      <x:c r="BHW67" s="291"/>
      <x:c r="BHX67" s="291"/>
      <x:c r="BHY67" s="291"/>
      <x:c r="BHZ67" s="291"/>
      <x:c r="BIA67" s="291"/>
      <x:c r="BIB67" s="291"/>
      <x:c r="BIC67" s="291"/>
      <x:c r="BID67" s="291"/>
      <x:c r="BIE67" s="291"/>
      <x:c r="BIF67" s="291"/>
      <x:c r="BIG67" s="291"/>
      <x:c r="BIH67" s="291"/>
      <x:c r="BII67" s="291"/>
      <x:c r="BIJ67" s="291"/>
      <x:c r="BIK67" s="291"/>
      <x:c r="BIL67" s="291"/>
      <x:c r="BIM67" s="291"/>
      <x:c r="BIN67" s="291"/>
      <x:c r="BIO67" s="291"/>
      <x:c r="BIP67" s="291"/>
      <x:c r="BIQ67" s="291"/>
      <x:c r="BIR67" s="291"/>
      <x:c r="BIS67" s="291"/>
      <x:c r="BIT67" s="291"/>
      <x:c r="BIU67" s="291"/>
      <x:c r="BIV67" s="291"/>
      <x:c r="BIW67" s="291"/>
      <x:c r="BIX67" s="291"/>
      <x:c r="BIY67" s="291"/>
      <x:c r="BIZ67" s="291"/>
      <x:c r="BJA67" s="291"/>
      <x:c r="BJB67" s="291"/>
      <x:c r="BJC67" s="291"/>
      <x:c r="BJD67" s="291"/>
      <x:c r="BJE67" s="291"/>
      <x:c r="BJF67" s="291"/>
      <x:c r="BJG67" s="291"/>
      <x:c r="BJH67" s="291"/>
      <x:c r="BJI67" s="291"/>
      <x:c r="BJJ67" s="291"/>
      <x:c r="BJK67" s="291"/>
      <x:c r="BJL67" s="291"/>
      <x:c r="BJM67" s="291"/>
      <x:c r="BJN67" s="291"/>
      <x:c r="BJO67" s="291"/>
      <x:c r="BJP67" s="291"/>
      <x:c r="BJQ67" s="291"/>
      <x:c r="BJR67" s="291"/>
      <x:c r="BJS67" s="291"/>
      <x:c r="BJT67" s="291"/>
      <x:c r="BJU67" s="291"/>
      <x:c r="BJV67" s="291"/>
      <x:c r="BJW67" s="291"/>
      <x:c r="BJX67" s="291"/>
      <x:c r="BJY67" s="291"/>
      <x:c r="BJZ67" s="291"/>
      <x:c r="BKA67" s="291"/>
      <x:c r="BKB67" s="291"/>
      <x:c r="BKC67" s="291"/>
      <x:c r="BKD67" s="291"/>
      <x:c r="BKE67" s="291"/>
      <x:c r="BKF67" s="291"/>
      <x:c r="BKG67" s="291"/>
      <x:c r="BKH67" s="291"/>
      <x:c r="BKI67" s="291"/>
      <x:c r="BKJ67" s="291"/>
      <x:c r="BKK67" s="291"/>
      <x:c r="BKL67" s="291"/>
      <x:c r="BKM67" s="291"/>
      <x:c r="BKN67" s="291"/>
      <x:c r="BKO67" s="291"/>
      <x:c r="BKP67" s="291"/>
      <x:c r="BKQ67" s="291"/>
      <x:c r="BKR67" s="291"/>
      <x:c r="BKS67" s="291"/>
      <x:c r="BKT67" s="291"/>
      <x:c r="BKU67" s="291"/>
      <x:c r="BKV67" s="291"/>
      <x:c r="BKW67" s="291"/>
      <x:c r="BKX67" s="291"/>
      <x:c r="BKY67" s="291"/>
      <x:c r="BKZ67" s="291"/>
      <x:c r="BLA67" s="291"/>
      <x:c r="BLB67" s="291"/>
      <x:c r="BLC67" s="291"/>
      <x:c r="BLD67" s="291"/>
      <x:c r="BLE67" s="291"/>
      <x:c r="BLF67" s="291"/>
      <x:c r="BLG67" s="291"/>
      <x:c r="BLH67" s="291"/>
      <x:c r="BLI67" s="291"/>
      <x:c r="BLJ67" s="291"/>
      <x:c r="BLK67" s="291"/>
      <x:c r="BLL67" s="291"/>
      <x:c r="BLM67" s="291"/>
      <x:c r="BLN67" s="291"/>
      <x:c r="BLO67" s="291"/>
      <x:c r="BLP67" s="291"/>
      <x:c r="BLQ67" s="291"/>
      <x:c r="BLR67" s="291"/>
      <x:c r="BLS67" s="291"/>
      <x:c r="BLT67" s="291"/>
      <x:c r="BLU67" s="291"/>
      <x:c r="BLV67" s="291"/>
      <x:c r="BLW67" s="291"/>
      <x:c r="BLX67" s="291"/>
      <x:c r="BLY67" s="291"/>
      <x:c r="BLZ67" s="291"/>
      <x:c r="BMA67" s="291"/>
      <x:c r="BMB67" s="291"/>
      <x:c r="BMC67" s="291"/>
      <x:c r="BMD67" s="291"/>
      <x:c r="BME67" s="291"/>
      <x:c r="BMF67" s="291"/>
      <x:c r="BMG67" s="291"/>
      <x:c r="BMH67" s="291"/>
      <x:c r="BMI67" s="291"/>
      <x:c r="BMJ67" s="291"/>
      <x:c r="BMK67" s="291"/>
      <x:c r="BML67" s="291"/>
      <x:c r="BMM67" s="291"/>
      <x:c r="BMN67" s="291"/>
      <x:c r="BMO67" s="291"/>
      <x:c r="BMP67" s="291"/>
      <x:c r="BMQ67" s="291"/>
      <x:c r="BMR67" s="291"/>
      <x:c r="BMS67" s="291"/>
      <x:c r="BMT67" s="291"/>
      <x:c r="BMU67" s="291"/>
      <x:c r="BMV67" s="291"/>
      <x:c r="BMW67" s="291"/>
      <x:c r="BMX67" s="291"/>
      <x:c r="BMY67" s="291"/>
      <x:c r="BMZ67" s="291"/>
      <x:c r="BNA67" s="291"/>
      <x:c r="BNB67" s="291"/>
      <x:c r="BNC67" s="291"/>
      <x:c r="BND67" s="291"/>
      <x:c r="BNE67" s="291"/>
      <x:c r="BNF67" s="291"/>
      <x:c r="BNG67" s="291"/>
      <x:c r="BNH67" s="291"/>
      <x:c r="BNI67" s="291"/>
      <x:c r="BNJ67" s="291"/>
      <x:c r="BNK67" s="291"/>
      <x:c r="BNL67" s="291"/>
      <x:c r="BNM67" s="291"/>
      <x:c r="BNN67" s="291"/>
      <x:c r="BNO67" s="291"/>
      <x:c r="BNP67" s="291"/>
      <x:c r="BNQ67" s="291"/>
      <x:c r="BNR67" s="291"/>
      <x:c r="BNS67" s="291"/>
      <x:c r="BNT67" s="291"/>
      <x:c r="BNU67" s="291"/>
      <x:c r="BNV67" s="291"/>
      <x:c r="BNW67" s="291"/>
      <x:c r="BNX67" s="291"/>
      <x:c r="BNY67" s="291"/>
      <x:c r="BNZ67" s="291"/>
      <x:c r="BOA67" s="291"/>
      <x:c r="BOB67" s="291"/>
      <x:c r="BOC67" s="291"/>
      <x:c r="BOD67" s="291"/>
      <x:c r="BOE67" s="291"/>
      <x:c r="BOF67" s="291"/>
      <x:c r="BOG67" s="291"/>
      <x:c r="BOH67" s="291"/>
      <x:c r="BOI67" s="291"/>
      <x:c r="BOJ67" s="291"/>
      <x:c r="BOK67" s="291"/>
      <x:c r="BOL67" s="291"/>
      <x:c r="BOM67" s="291"/>
      <x:c r="BON67" s="291"/>
      <x:c r="BOO67" s="291"/>
      <x:c r="BOP67" s="291"/>
      <x:c r="BOQ67" s="291"/>
      <x:c r="BOR67" s="291"/>
      <x:c r="BOS67" s="291"/>
      <x:c r="BOT67" s="291"/>
      <x:c r="BOU67" s="291"/>
      <x:c r="BOV67" s="291"/>
      <x:c r="BOW67" s="291"/>
      <x:c r="BOX67" s="291"/>
      <x:c r="BOY67" s="291"/>
      <x:c r="BOZ67" s="291"/>
      <x:c r="BPA67" s="291"/>
      <x:c r="BPB67" s="291"/>
      <x:c r="BPC67" s="291"/>
      <x:c r="BPD67" s="291"/>
      <x:c r="BPE67" s="291"/>
      <x:c r="BPF67" s="291"/>
      <x:c r="BPG67" s="291"/>
      <x:c r="BPH67" s="291"/>
      <x:c r="BPI67" s="291"/>
      <x:c r="BPJ67" s="291"/>
      <x:c r="BPK67" s="291"/>
      <x:c r="BPL67" s="291"/>
      <x:c r="BPM67" s="291"/>
      <x:c r="BPN67" s="291"/>
      <x:c r="BPO67" s="291"/>
      <x:c r="BPP67" s="291"/>
      <x:c r="BPQ67" s="291"/>
      <x:c r="BPR67" s="291"/>
      <x:c r="BPS67" s="291"/>
      <x:c r="BPT67" s="291"/>
      <x:c r="BPU67" s="291"/>
      <x:c r="BPV67" s="291"/>
      <x:c r="BPW67" s="291"/>
      <x:c r="BPX67" s="291"/>
      <x:c r="BPY67" s="291"/>
      <x:c r="BPZ67" s="291"/>
      <x:c r="BQA67" s="291"/>
      <x:c r="BQB67" s="291"/>
      <x:c r="BQC67" s="291"/>
      <x:c r="BQD67" s="291"/>
      <x:c r="BQE67" s="291"/>
      <x:c r="BQF67" s="291"/>
      <x:c r="BQG67" s="291"/>
      <x:c r="BQH67" s="291"/>
      <x:c r="BQI67" s="291"/>
      <x:c r="BQJ67" s="291"/>
      <x:c r="BQK67" s="291"/>
      <x:c r="BQL67" s="291"/>
      <x:c r="BQM67" s="291"/>
      <x:c r="BQN67" s="291"/>
      <x:c r="BQO67" s="291"/>
      <x:c r="BQP67" s="291"/>
      <x:c r="BQQ67" s="291"/>
      <x:c r="BQR67" s="291"/>
      <x:c r="BQS67" s="291"/>
      <x:c r="BQT67" s="291"/>
      <x:c r="BQU67" s="291"/>
      <x:c r="BQV67" s="291"/>
      <x:c r="BQW67" s="291"/>
      <x:c r="BQX67" s="291"/>
      <x:c r="BQY67" s="291"/>
      <x:c r="BQZ67" s="291"/>
      <x:c r="BRA67" s="291"/>
      <x:c r="BRB67" s="291"/>
      <x:c r="BRC67" s="291"/>
      <x:c r="BRD67" s="291"/>
      <x:c r="BRE67" s="291"/>
      <x:c r="BRF67" s="291"/>
      <x:c r="BRG67" s="291"/>
      <x:c r="BRH67" s="291"/>
      <x:c r="BRI67" s="291"/>
      <x:c r="BRJ67" s="291"/>
      <x:c r="BRK67" s="291"/>
      <x:c r="BRL67" s="291"/>
      <x:c r="BRM67" s="291"/>
      <x:c r="BRN67" s="291"/>
      <x:c r="BRO67" s="291"/>
      <x:c r="BRP67" s="291"/>
      <x:c r="BRQ67" s="291"/>
      <x:c r="BRR67" s="291"/>
      <x:c r="BRS67" s="291"/>
      <x:c r="BRT67" s="291"/>
      <x:c r="BRU67" s="291"/>
      <x:c r="BRV67" s="291"/>
      <x:c r="BRW67" s="291"/>
      <x:c r="BRX67" s="291"/>
      <x:c r="BRY67" s="291"/>
      <x:c r="BRZ67" s="291"/>
      <x:c r="BSA67" s="291"/>
      <x:c r="BSB67" s="291"/>
      <x:c r="BSC67" s="291"/>
      <x:c r="BSD67" s="291"/>
      <x:c r="BSE67" s="291"/>
      <x:c r="BSF67" s="291"/>
      <x:c r="BSG67" s="291"/>
      <x:c r="BSH67" s="291"/>
      <x:c r="BSI67" s="291"/>
      <x:c r="BSJ67" s="291"/>
      <x:c r="BSK67" s="291"/>
      <x:c r="BSL67" s="291"/>
      <x:c r="BSM67" s="291"/>
      <x:c r="BSN67" s="291"/>
      <x:c r="BSO67" s="291"/>
      <x:c r="BSP67" s="291"/>
      <x:c r="BSQ67" s="291"/>
      <x:c r="BSR67" s="291"/>
      <x:c r="BSS67" s="291"/>
      <x:c r="BST67" s="291"/>
      <x:c r="BSU67" s="291"/>
      <x:c r="BSV67" s="291"/>
      <x:c r="BSW67" s="291"/>
      <x:c r="BSX67" s="291"/>
      <x:c r="BSY67" s="291"/>
      <x:c r="BSZ67" s="291"/>
      <x:c r="BTA67" s="291"/>
      <x:c r="BTB67" s="291"/>
      <x:c r="BTC67" s="291"/>
      <x:c r="BTD67" s="291"/>
      <x:c r="BTE67" s="291"/>
      <x:c r="BTF67" s="291"/>
      <x:c r="BTG67" s="291"/>
      <x:c r="BTH67" s="291"/>
      <x:c r="BTI67" s="291"/>
      <x:c r="BTJ67" s="291"/>
      <x:c r="BTK67" s="291"/>
      <x:c r="BTL67" s="291"/>
      <x:c r="BTM67" s="291"/>
      <x:c r="BTN67" s="291"/>
      <x:c r="BTO67" s="291"/>
      <x:c r="BTP67" s="291"/>
      <x:c r="BTQ67" s="291"/>
      <x:c r="BTR67" s="291"/>
      <x:c r="BTS67" s="291"/>
      <x:c r="BTT67" s="291"/>
      <x:c r="BTU67" s="291"/>
      <x:c r="BTV67" s="291"/>
      <x:c r="BTW67" s="291"/>
      <x:c r="BTX67" s="291"/>
      <x:c r="BTY67" s="291"/>
      <x:c r="BTZ67" s="291"/>
      <x:c r="BUA67" s="291"/>
      <x:c r="BUB67" s="291"/>
      <x:c r="BUC67" s="291"/>
      <x:c r="BUD67" s="291"/>
      <x:c r="BUE67" s="291"/>
      <x:c r="BUF67" s="291"/>
      <x:c r="BUG67" s="291"/>
      <x:c r="BUH67" s="291"/>
      <x:c r="BUI67" s="291"/>
      <x:c r="BUJ67" s="291"/>
      <x:c r="BUK67" s="291"/>
      <x:c r="BUL67" s="291"/>
      <x:c r="BUM67" s="291"/>
      <x:c r="BUN67" s="291"/>
      <x:c r="BUO67" s="291"/>
      <x:c r="BUP67" s="291"/>
      <x:c r="BUQ67" s="291"/>
      <x:c r="BUR67" s="291"/>
      <x:c r="BUS67" s="291"/>
      <x:c r="BUT67" s="291"/>
      <x:c r="BUU67" s="291"/>
      <x:c r="BUV67" s="291"/>
      <x:c r="BUW67" s="291"/>
      <x:c r="BUX67" s="291"/>
      <x:c r="BUY67" s="291"/>
      <x:c r="BUZ67" s="291"/>
      <x:c r="BVA67" s="291"/>
      <x:c r="BVB67" s="291"/>
      <x:c r="BVC67" s="291"/>
      <x:c r="BVD67" s="291"/>
      <x:c r="BVE67" s="291"/>
      <x:c r="BVF67" s="291"/>
      <x:c r="BVG67" s="291"/>
      <x:c r="BVH67" s="291"/>
      <x:c r="BVI67" s="291"/>
      <x:c r="BVJ67" s="291"/>
      <x:c r="BVK67" s="291"/>
      <x:c r="BVL67" s="291"/>
      <x:c r="BVM67" s="291"/>
      <x:c r="BVN67" s="291"/>
      <x:c r="BVO67" s="291"/>
      <x:c r="BVP67" s="291"/>
      <x:c r="BVQ67" s="291"/>
      <x:c r="BVR67" s="291"/>
      <x:c r="BVS67" s="291"/>
      <x:c r="BVT67" s="291"/>
      <x:c r="BVU67" s="291"/>
      <x:c r="BVV67" s="291"/>
      <x:c r="BVW67" s="291"/>
      <x:c r="BVX67" s="291"/>
      <x:c r="BVY67" s="291"/>
      <x:c r="BVZ67" s="291"/>
      <x:c r="BWA67" s="291"/>
      <x:c r="BWB67" s="291"/>
      <x:c r="BWC67" s="291"/>
      <x:c r="BWD67" s="291"/>
      <x:c r="BWE67" s="291"/>
      <x:c r="BWF67" s="291"/>
      <x:c r="BWG67" s="291"/>
      <x:c r="BWH67" s="291"/>
      <x:c r="BWI67" s="291"/>
      <x:c r="BWJ67" s="291"/>
      <x:c r="BWK67" s="291"/>
      <x:c r="BWL67" s="291"/>
      <x:c r="BWM67" s="291"/>
      <x:c r="BWN67" s="291"/>
      <x:c r="BWO67" s="291"/>
      <x:c r="BWP67" s="291"/>
      <x:c r="BWQ67" s="291"/>
      <x:c r="BWR67" s="291"/>
      <x:c r="BWS67" s="291"/>
      <x:c r="BWT67" s="291"/>
      <x:c r="BWU67" s="291"/>
      <x:c r="BWV67" s="291"/>
      <x:c r="BWW67" s="291"/>
      <x:c r="BWX67" s="291"/>
      <x:c r="BWY67" s="291"/>
      <x:c r="BWZ67" s="291"/>
      <x:c r="BXA67" s="291"/>
      <x:c r="BXB67" s="291"/>
      <x:c r="BXC67" s="291"/>
      <x:c r="BXD67" s="291"/>
      <x:c r="BXE67" s="291"/>
      <x:c r="BXF67" s="291"/>
      <x:c r="BXG67" s="291"/>
      <x:c r="BXH67" s="291"/>
      <x:c r="BXI67" s="291"/>
      <x:c r="BXJ67" s="291"/>
      <x:c r="BXK67" s="291"/>
      <x:c r="BXL67" s="291"/>
      <x:c r="BXM67" s="291"/>
      <x:c r="BXN67" s="291"/>
      <x:c r="BXO67" s="291"/>
      <x:c r="BXP67" s="291"/>
      <x:c r="BXQ67" s="291"/>
      <x:c r="BXR67" s="291"/>
      <x:c r="BXS67" s="291"/>
      <x:c r="BXT67" s="291"/>
      <x:c r="BXU67" s="291"/>
      <x:c r="BXV67" s="291"/>
      <x:c r="BXW67" s="291"/>
      <x:c r="BXX67" s="291"/>
      <x:c r="BXY67" s="291"/>
      <x:c r="BXZ67" s="291"/>
      <x:c r="BYA67" s="291"/>
      <x:c r="BYB67" s="291"/>
      <x:c r="BYC67" s="291"/>
      <x:c r="BYD67" s="291"/>
      <x:c r="BYE67" s="291"/>
      <x:c r="BYF67" s="291"/>
      <x:c r="BYG67" s="291"/>
      <x:c r="BYH67" s="291"/>
      <x:c r="BYI67" s="291"/>
      <x:c r="BYJ67" s="291"/>
      <x:c r="BYK67" s="291"/>
      <x:c r="BYL67" s="291"/>
      <x:c r="BYM67" s="291"/>
      <x:c r="BYN67" s="291"/>
      <x:c r="BYO67" s="291"/>
      <x:c r="BYP67" s="291"/>
      <x:c r="BYQ67" s="291"/>
      <x:c r="BYR67" s="291"/>
      <x:c r="BYS67" s="291"/>
      <x:c r="BYT67" s="291"/>
      <x:c r="BYU67" s="291"/>
      <x:c r="BYV67" s="291"/>
      <x:c r="BYW67" s="291"/>
      <x:c r="BYX67" s="291"/>
      <x:c r="BYY67" s="291"/>
      <x:c r="BYZ67" s="291"/>
      <x:c r="BZA67" s="291"/>
      <x:c r="BZB67" s="291"/>
      <x:c r="BZC67" s="291"/>
      <x:c r="BZD67" s="291"/>
      <x:c r="BZE67" s="291"/>
      <x:c r="BZF67" s="291"/>
      <x:c r="BZG67" s="291"/>
      <x:c r="BZH67" s="291"/>
      <x:c r="BZI67" s="291"/>
      <x:c r="BZJ67" s="291"/>
      <x:c r="BZK67" s="291"/>
      <x:c r="BZL67" s="291"/>
      <x:c r="BZM67" s="291"/>
      <x:c r="BZN67" s="291"/>
      <x:c r="BZO67" s="291"/>
      <x:c r="BZP67" s="291"/>
      <x:c r="BZQ67" s="291"/>
      <x:c r="BZR67" s="291"/>
      <x:c r="BZS67" s="291"/>
      <x:c r="BZT67" s="291"/>
      <x:c r="BZU67" s="291"/>
      <x:c r="BZV67" s="291"/>
      <x:c r="BZW67" s="291"/>
      <x:c r="BZX67" s="291"/>
      <x:c r="BZY67" s="291"/>
      <x:c r="BZZ67" s="291"/>
      <x:c r="CAA67" s="291"/>
      <x:c r="CAB67" s="291"/>
      <x:c r="CAC67" s="291"/>
      <x:c r="CAD67" s="291"/>
      <x:c r="CAE67" s="291"/>
      <x:c r="CAF67" s="291"/>
      <x:c r="CAG67" s="291"/>
      <x:c r="CAH67" s="291"/>
      <x:c r="CAI67" s="291"/>
      <x:c r="CAJ67" s="291"/>
      <x:c r="CAK67" s="291"/>
      <x:c r="CAL67" s="291"/>
      <x:c r="CAM67" s="291"/>
      <x:c r="CAN67" s="291"/>
      <x:c r="CAO67" s="291"/>
      <x:c r="CAP67" s="291"/>
      <x:c r="CAQ67" s="291"/>
      <x:c r="CAR67" s="291"/>
      <x:c r="CAS67" s="291"/>
      <x:c r="CAT67" s="291"/>
      <x:c r="CAU67" s="291"/>
      <x:c r="CAV67" s="291"/>
      <x:c r="CAW67" s="291"/>
      <x:c r="CAX67" s="291"/>
      <x:c r="CAY67" s="291"/>
      <x:c r="CAZ67" s="291"/>
      <x:c r="CBA67" s="291"/>
      <x:c r="CBB67" s="291"/>
      <x:c r="CBC67" s="291"/>
      <x:c r="CBD67" s="291"/>
      <x:c r="CBE67" s="291"/>
      <x:c r="CBF67" s="291"/>
      <x:c r="CBG67" s="291"/>
      <x:c r="CBH67" s="291"/>
      <x:c r="CBI67" s="291"/>
      <x:c r="CBJ67" s="291"/>
      <x:c r="CBK67" s="291"/>
      <x:c r="CBL67" s="291"/>
      <x:c r="CBM67" s="291"/>
      <x:c r="CBN67" s="291"/>
      <x:c r="CBO67" s="291"/>
      <x:c r="CBP67" s="291"/>
      <x:c r="CBQ67" s="291"/>
      <x:c r="CBR67" s="291"/>
      <x:c r="CBS67" s="291"/>
      <x:c r="CBT67" s="291"/>
      <x:c r="CBU67" s="291"/>
      <x:c r="CBV67" s="291"/>
      <x:c r="CBW67" s="291"/>
      <x:c r="CBX67" s="291"/>
      <x:c r="CBY67" s="291"/>
      <x:c r="CBZ67" s="291"/>
      <x:c r="CCA67" s="291"/>
      <x:c r="CCB67" s="291"/>
      <x:c r="CCC67" s="291"/>
      <x:c r="CCD67" s="291"/>
      <x:c r="CCE67" s="291"/>
      <x:c r="CCF67" s="291"/>
      <x:c r="CCG67" s="291"/>
      <x:c r="CCH67" s="291"/>
      <x:c r="CCI67" s="291"/>
      <x:c r="CCJ67" s="291"/>
      <x:c r="CCK67" s="291"/>
      <x:c r="CCL67" s="291"/>
      <x:c r="CCM67" s="291"/>
      <x:c r="CCN67" s="291"/>
      <x:c r="CCO67" s="291"/>
      <x:c r="CCP67" s="291"/>
      <x:c r="CCQ67" s="291"/>
      <x:c r="CCR67" s="291"/>
      <x:c r="CCS67" s="291"/>
      <x:c r="CCT67" s="291"/>
      <x:c r="CCU67" s="291"/>
      <x:c r="CCV67" s="291"/>
      <x:c r="CCW67" s="291"/>
      <x:c r="CCX67" s="291"/>
      <x:c r="CCY67" s="291"/>
      <x:c r="CCZ67" s="291"/>
      <x:c r="CDA67" s="291"/>
      <x:c r="CDB67" s="291"/>
      <x:c r="CDC67" s="291"/>
      <x:c r="CDD67" s="291"/>
      <x:c r="CDE67" s="291"/>
      <x:c r="CDF67" s="291"/>
      <x:c r="CDG67" s="291"/>
      <x:c r="CDH67" s="291"/>
      <x:c r="CDI67" s="291"/>
      <x:c r="CDJ67" s="291"/>
      <x:c r="CDK67" s="291"/>
      <x:c r="CDL67" s="291"/>
      <x:c r="CDM67" s="291"/>
      <x:c r="CDN67" s="291"/>
      <x:c r="CDO67" s="291"/>
      <x:c r="CDP67" s="291"/>
      <x:c r="CDQ67" s="291"/>
      <x:c r="CDR67" s="291"/>
      <x:c r="CDS67" s="291"/>
      <x:c r="CDT67" s="291"/>
      <x:c r="CDU67" s="291"/>
      <x:c r="CDV67" s="291"/>
      <x:c r="CDW67" s="291"/>
      <x:c r="CDX67" s="291"/>
      <x:c r="CDY67" s="291"/>
      <x:c r="CDZ67" s="291"/>
      <x:c r="CEA67" s="291"/>
      <x:c r="CEB67" s="291"/>
      <x:c r="CEC67" s="291"/>
      <x:c r="CED67" s="291"/>
      <x:c r="CEE67" s="291"/>
      <x:c r="CEF67" s="291"/>
      <x:c r="CEG67" s="291"/>
      <x:c r="CEH67" s="291"/>
      <x:c r="CEI67" s="291"/>
      <x:c r="CEJ67" s="291"/>
      <x:c r="CEK67" s="291"/>
      <x:c r="CEL67" s="291"/>
      <x:c r="CEM67" s="291"/>
      <x:c r="CEN67" s="291"/>
      <x:c r="CEO67" s="291"/>
      <x:c r="CEP67" s="291"/>
      <x:c r="CEQ67" s="291"/>
      <x:c r="CER67" s="291"/>
      <x:c r="CES67" s="291"/>
      <x:c r="CET67" s="291"/>
      <x:c r="CEU67" s="291"/>
      <x:c r="CEV67" s="291"/>
      <x:c r="CEW67" s="291"/>
      <x:c r="CEX67" s="291"/>
      <x:c r="CEY67" s="291"/>
      <x:c r="CEZ67" s="291"/>
      <x:c r="CFA67" s="291"/>
      <x:c r="CFB67" s="291"/>
      <x:c r="CFC67" s="291"/>
      <x:c r="CFD67" s="291"/>
      <x:c r="CFE67" s="291"/>
      <x:c r="CFF67" s="291"/>
      <x:c r="CFG67" s="291"/>
      <x:c r="CFH67" s="291"/>
      <x:c r="CFI67" s="291"/>
      <x:c r="CFJ67" s="291"/>
      <x:c r="CFK67" s="291"/>
      <x:c r="CFL67" s="291"/>
      <x:c r="CFM67" s="291"/>
      <x:c r="CFN67" s="291"/>
      <x:c r="CFO67" s="291"/>
      <x:c r="CFP67" s="291"/>
      <x:c r="CFQ67" s="291"/>
      <x:c r="CFR67" s="291"/>
      <x:c r="CFS67" s="291"/>
      <x:c r="CFT67" s="291"/>
      <x:c r="CFU67" s="291"/>
      <x:c r="CFV67" s="291"/>
      <x:c r="CFW67" s="291"/>
      <x:c r="CFX67" s="291"/>
      <x:c r="CFY67" s="291"/>
      <x:c r="CFZ67" s="291"/>
      <x:c r="CGA67" s="291"/>
      <x:c r="CGB67" s="291"/>
      <x:c r="CGC67" s="291"/>
      <x:c r="CGD67" s="291"/>
      <x:c r="CGE67" s="291"/>
      <x:c r="CGF67" s="291"/>
      <x:c r="CGG67" s="291"/>
      <x:c r="CGH67" s="291"/>
      <x:c r="CGI67" s="291"/>
      <x:c r="CGJ67" s="291"/>
      <x:c r="CGK67" s="291"/>
      <x:c r="CGL67" s="291"/>
      <x:c r="CGM67" s="291"/>
      <x:c r="CGN67" s="291"/>
      <x:c r="CGO67" s="291"/>
      <x:c r="CGP67" s="291"/>
      <x:c r="CGQ67" s="291"/>
      <x:c r="CGR67" s="291"/>
      <x:c r="CGS67" s="291"/>
      <x:c r="CGT67" s="291"/>
      <x:c r="CGU67" s="291"/>
      <x:c r="CGV67" s="291"/>
      <x:c r="CGW67" s="291"/>
      <x:c r="CGX67" s="291"/>
      <x:c r="CGY67" s="291"/>
      <x:c r="CGZ67" s="291"/>
      <x:c r="CHA67" s="291"/>
      <x:c r="CHB67" s="291"/>
      <x:c r="CHC67" s="291"/>
      <x:c r="CHD67" s="291"/>
      <x:c r="CHE67" s="291"/>
      <x:c r="CHF67" s="291"/>
      <x:c r="CHG67" s="291"/>
      <x:c r="CHH67" s="291"/>
      <x:c r="CHI67" s="291"/>
      <x:c r="CHJ67" s="291"/>
      <x:c r="CHK67" s="291"/>
      <x:c r="CHL67" s="291"/>
      <x:c r="CHM67" s="291"/>
      <x:c r="CHN67" s="291"/>
      <x:c r="CHO67" s="291"/>
      <x:c r="CHP67" s="291"/>
      <x:c r="CHQ67" s="291"/>
      <x:c r="CHR67" s="291"/>
      <x:c r="CHS67" s="291"/>
      <x:c r="CHT67" s="291"/>
      <x:c r="CHU67" s="291"/>
      <x:c r="CHV67" s="291"/>
      <x:c r="CHW67" s="291"/>
      <x:c r="CHX67" s="291"/>
      <x:c r="CHY67" s="291"/>
      <x:c r="CHZ67" s="291"/>
      <x:c r="CIA67" s="291"/>
      <x:c r="CIB67" s="291"/>
      <x:c r="CIC67" s="291"/>
      <x:c r="CID67" s="291"/>
      <x:c r="CIE67" s="291"/>
      <x:c r="CIF67" s="291"/>
      <x:c r="CIG67" s="291"/>
      <x:c r="CIH67" s="291"/>
      <x:c r="CII67" s="291"/>
      <x:c r="CIJ67" s="291"/>
      <x:c r="CIK67" s="291"/>
      <x:c r="CIL67" s="291"/>
      <x:c r="CIM67" s="291"/>
      <x:c r="CIN67" s="291"/>
      <x:c r="CIO67" s="291"/>
      <x:c r="CIP67" s="291"/>
      <x:c r="CIQ67" s="291"/>
      <x:c r="CIR67" s="291"/>
      <x:c r="CIS67" s="291"/>
      <x:c r="CIT67" s="291"/>
      <x:c r="CIU67" s="291"/>
      <x:c r="CIV67" s="291"/>
      <x:c r="CIW67" s="291"/>
      <x:c r="CIX67" s="291"/>
      <x:c r="CIY67" s="291"/>
      <x:c r="CIZ67" s="291"/>
      <x:c r="CJA67" s="291"/>
      <x:c r="CJB67" s="291"/>
      <x:c r="CJC67" s="291"/>
      <x:c r="CJD67" s="291"/>
      <x:c r="CJE67" s="291"/>
      <x:c r="CJF67" s="291"/>
      <x:c r="CJG67" s="291"/>
      <x:c r="CJH67" s="291"/>
      <x:c r="CJI67" s="291"/>
      <x:c r="CJJ67" s="291"/>
      <x:c r="CJK67" s="291"/>
      <x:c r="CJL67" s="291"/>
      <x:c r="CJM67" s="291"/>
      <x:c r="CJN67" s="291"/>
      <x:c r="CJO67" s="291"/>
      <x:c r="CJP67" s="291"/>
      <x:c r="CJQ67" s="291"/>
      <x:c r="CJR67" s="291"/>
      <x:c r="CJS67" s="291"/>
      <x:c r="CJT67" s="291"/>
      <x:c r="CJU67" s="291"/>
      <x:c r="CJV67" s="291"/>
      <x:c r="CJW67" s="291"/>
      <x:c r="CJX67" s="291"/>
      <x:c r="CJY67" s="291"/>
      <x:c r="CJZ67" s="291"/>
      <x:c r="CKA67" s="291"/>
      <x:c r="CKB67" s="291"/>
      <x:c r="CKC67" s="291"/>
      <x:c r="CKD67" s="291"/>
      <x:c r="CKE67" s="291"/>
      <x:c r="CKF67" s="291"/>
      <x:c r="CKG67" s="291"/>
      <x:c r="CKH67" s="291"/>
      <x:c r="CKI67" s="291"/>
      <x:c r="CKJ67" s="291"/>
      <x:c r="CKK67" s="291"/>
      <x:c r="CKL67" s="291"/>
      <x:c r="CKM67" s="291"/>
      <x:c r="CKN67" s="291"/>
      <x:c r="CKO67" s="291"/>
      <x:c r="CKP67" s="291"/>
      <x:c r="CKQ67" s="291"/>
      <x:c r="CKR67" s="291"/>
      <x:c r="CKS67" s="291"/>
      <x:c r="CKT67" s="291"/>
      <x:c r="CKU67" s="291"/>
      <x:c r="CKV67" s="291"/>
      <x:c r="CKW67" s="291"/>
      <x:c r="CKX67" s="291"/>
      <x:c r="CKY67" s="291"/>
      <x:c r="CKZ67" s="291"/>
      <x:c r="CLA67" s="291"/>
      <x:c r="CLB67" s="291"/>
      <x:c r="CLC67" s="291"/>
      <x:c r="CLD67" s="291"/>
      <x:c r="CLE67" s="291"/>
      <x:c r="CLF67" s="291"/>
      <x:c r="CLG67" s="291"/>
      <x:c r="CLH67" s="291"/>
      <x:c r="CLI67" s="291"/>
      <x:c r="CLJ67" s="291"/>
      <x:c r="CLK67" s="291"/>
      <x:c r="CLL67" s="291"/>
      <x:c r="CLM67" s="291"/>
      <x:c r="CLN67" s="291"/>
      <x:c r="CLO67" s="291"/>
      <x:c r="CLP67" s="291"/>
      <x:c r="CLQ67" s="291"/>
      <x:c r="CLR67" s="291"/>
      <x:c r="CLS67" s="291"/>
      <x:c r="CLT67" s="291"/>
      <x:c r="CLU67" s="291"/>
      <x:c r="CLV67" s="291"/>
      <x:c r="CLW67" s="291"/>
      <x:c r="CLX67" s="291"/>
      <x:c r="CLY67" s="291"/>
      <x:c r="CLZ67" s="291"/>
      <x:c r="CMA67" s="291"/>
      <x:c r="CMB67" s="291"/>
      <x:c r="CMC67" s="291"/>
      <x:c r="CMD67" s="291"/>
      <x:c r="CME67" s="291"/>
      <x:c r="CMF67" s="291"/>
      <x:c r="CMG67" s="291"/>
      <x:c r="CMH67" s="291"/>
      <x:c r="CMI67" s="291"/>
      <x:c r="CMJ67" s="291"/>
      <x:c r="CMK67" s="291"/>
      <x:c r="CML67" s="291"/>
      <x:c r="CMM67" s="291"/>
      <x:c r="CMN67" s="291"/>
      <x:c r="CMO67" s="291"/>
      <x:c r="CMP67" s="291"/>
      <x:c r="CMQ67" s="291"/>
      <x:c r="CMR67" s="291"/>
      <x:c r="CMS67" s="291"/>
      <x:c r="CMT67" s="291"/>
      <x:c r="CMU67" s="291"/>
      <x:c r="CMV67" s="291"/>
      <x:c r="CMW67" s="291"/>
      <x:c r="CMX67" s="291"/>
      <x:c r="CMY67" s="291"/>
      <x:c r="CMZ67" s="291"/>
      <x:c r="CNA67" s="291"/>
      <x:c r="CNB67" s="291"/>
      <x:c r="CNC67" s="291"/>
      <x:c r="CND67" s="291"/>
      <x:c r="CNE67" s="291"/>
      <x:c r="CNF67" s="291"/>
      <x:c r="CNG67" s="291"/>
      <x:c r="CNH67" s="291"/>
      <x:c r="CNI67" s="291"/>
      <x:c r="CNJ67" s="291"/>
      <x:c r="CNK67" s="291"/>
      <x:c r="CNL67" s="291"/>
      <x:c r="CNM67" s="291"/>
      <x:c r="CNN67" s="291"/>
      <x:c r="CNO67" s="291"/>
      <x:c r="CNP67" s="291"/>
      <x:c r="CNQ67" s="291"/>
      <x:c r="CNR67" s="291"/>
      <x:c r="CNS67" s="291"/>
      <x:c r="CNT67" s="291"/>
      <x:c r="CNU67" s="291"/>
      <x:c r="CNV67" s="291"/>
      <x:c r="CNW67" s="291"/>
      <x:c r="CNX67" s="291"/>
      <x:c r="CNY67" s="291"/>
      <x:c r="CNZ67" s="291"/>
      <x:c r="COA67" s="291"/>
      <x:c r="COB67" s="291"/>
      <x:c r="COC67" s="291"/>
      <x:c r="COD67" s="291"/>
      <x:c r="COE67" s="291"/>
      <x:c r="COF67" s="291"/>
      <x:c r="COG67" s="291"/>
      <x:c r="COH67" s="291"/>
      <x:c r="COI67" s="291"/>
      <x:c r="COJ67" s="291"/>
      <x:c r="COK67" s="291"/>
      <x:c r="COL67" s="291"/>
      <x:c r="COM67" s="291"/>
      <x:c r="CON67" s="291"/>
      <x:c r="COO67" s="291"/>
      <x:c r="COP67" s="291"/>
      <x:c r="COQ67" s="291"/>
      <x:c r="COR67" s="291"/>
      <x:c r="COS67" s="291"/>
      <x:c r="COT67" s="291"/>
      <x:c r="COU67" s="291"/>
      <x:c r="COV67" s="291"/>
      <x:c r="COW67" s="291"/>
      <x:c r="COX67" s="291"/>
      <x:c r="COY67" s="291"/>
      <x:c r="COZ67" s="291"/>
      <x:c r="CPA67" s="291"/>
      <x:c r="CPB67" s="291"/>
      <x:c r="CPC67" s="291"/>
      <x:c r="CPD67" s="291"/>
      <x:c r="CPE67" s="291"/>
      <x:c r="CPF67" s="291"/>
      <x:c r="CPG67" s="291"/>
      <x:c r="CPH67" s="291"/>
      <x:c r="CPI67" s="291"/>
      <x:c r="CPJ67" s="291"/>
      <x:c r="CPK67" s="291"/>
      <x:c r="CPL67" s="291"/>
      <x:c r="CPM67" s="291"/>
      <x:c r="CPN67" s="291"/>
      <x:c r="CPO67" s="291"/>
      <x:c r="CPP67" s="291"/>
      <x:c r="CPQ67" s="291"/>
      <x:c r="CPR67" s="291"/>
      <x:c r="CPS67" s="291"/>
      <x:c r="CPT67" s="291"/>
      <x:c r="CPU67" s="291"/>
      <x:c r="CPV67" s="291"/>
      <x:c r="CPW67" s="291"/>
      <x:c r="CPX67" s="291"/>
      <x:c r="CPY67" s="291"/>
      <x:c r="CPZ67" s="291"/>
      <x:c r="CQA67" s="291"/>
      <x:c r="CQB67" s="291"/>
      <x:c r="CQC67" s="291"/>
      <x:c r="CQD67" s="291"/>
      <x:c r="CQE67" s="291"/>
      <x:c r="CQF67" s="291"/>
      <x:c r="CQG67" s="291"/>
      <x:c r="CQH67" s="291"/>
      <x:c r="CQI67" s="291"/>
      <x:c r="CQJ67" s="291"/>
      <x:c r="CQK67" s="291"/>
      <x:c r="CQL67" s="291"/>
      <x:c r="CQM67" s="291"/>
      <x:c r="CQN67" s="291"/>
      <x:c r="CQO67" s="291"/>
      <x:c r="CQP67" s="291"/>
      <x:c r="CQQ67" s="291"/>
      <x:c r="CQR67" s="291"/>
      <x:c r="CQS67" s="291"/>
      <x:c r="CQT67" s="291"/>
      <x:c r="CQU67" s="291"/>
      <x:c r="CQV67" s="291"/>
      <x:c r="CQW67" s="291"/>
      <x:c r="CQX67" s="291"/>
      <x:c r="CQY67" s="291"/>
      <x:c r="CQZ67" s="291"/>
      <x:c r="CRA67" s="291"/>
      <x:c r="CRB67" s="291"/>
      <x:c r="CRC67" s="291"/>
      <x:c r="CRD67" s="291"/>
      <x:c r="CRE67" s="291"/>
      <x:c r="CRF67" s="291"/>
      <x:c r="CRG67" s="291"/>
      <x:c r="CRH67" s="291"/>
      <x:c r="CRI67" s="291"/>
      <x:c r="CRJ67" s="291"/>
      <x:c r="CRK67" s="291"/>
      <x:c r="CRL67" s="291"/>
      <x:c r="CRM67" s="291"/>
      <x:c r="CRN67" s="291"/>
      <x:c r="CRO67" s="291"/>
      <x:c r="CRP67" s="291"/>
      <x:c r="CRQ67" s="291"/>
      <x:c r="CRR67" s="291"/>
      <x:c r="CRS67" s="291"/>
      <x:c r="CRT67" s="291"/>
      <x:c r="CRU67" s="291"/>
      <x:c r="CRV67" s="291"/>
      <x:c r="CRW67" s="291"/>
      <x:c r="CRX67" s="291"/>
      <x:c r="CRY67" s="291"/>
      <x:c r="CRZ67" s="291"/>
      <x:c r="CSA67" s="291"/>
      <x:c r="CSB67" s="291"/>
      <x:c r="CSC67" s="291"/>
      <x:c r="CSD67" s="291"/>
      <x:c r="CSE67" s="291"/>
      <x:c r="CSF67" s="291"/>
      <x:c r="CSG67" s="291"/>
      <x:c r="CSH67" s="291"/>
      <x:c r="CSI67" s="291"/>
      <x:c r="CSJ67" s="291"/>
      <x:c r="CSK67" s="291"/>
      <x:c r="CSL67" s="291"/>
      <x:c r="CSM67" s="291"/>
      <x:c r="CSN67" s="291"/>
      <x:c r="CSO67" s="291"/>
      <x:c r="CSP67" s="291"/>
      <x:c r="CSQ67" s="291"/>
      <x:c r="CSR67" s="291"/>
      <x:c r="CSS67" s="291"/>
      <x:c r="CST67" s="291"/>
      <x:c r="CSU67" s="291"/>
      <x:c r="CSV67" s="291"/>
      <x:c r="CSW67" s="291"/>
      <x:c r="CSX67" s="291"/>
      <x:c r="CSY67" s="291"/>
      <x:c r="CSZ67" s="291"/>
      <x:c r="CTA67" s="291"/>
      <x:c r="CTB67" s="291"/>
      <x:c r="CTC67" s="291"/>
      <x:c r="CTD67" s="291"/>
      <x:c r="CTE67" s="291"/>
      <x:c r="CTF67" s="291"/>
      <x:c r="CTG67" s="291"/>
      <x:c r="CTH67" s="291"/>
      <x:c r="CTI67" s="291"/>
      <x:c r="CTJ67" s="291"/>
      <x:c r="CTK67" s="291"/>
      <x:c r="CTL67" s="291"/>
      <x:c r="CTM67" s="291"/>
      <x:c r="CTN67" s="291"/>
      <x:c r="CTO67" s="291"/>
      <x:c r="CTP67" s="291"/>
      <x:c r="CTQ67" s="291"/>
      <x:c r="CTR67" s="291"/>
      <x:c r="CTS67" s="291"/>
      <x:c r="CTT67" s="291"/>
      <x:c r="CTU67" s="291"/>
      <x:c r="CTV67" s="291"/>
      <x:c r="CTW67" s="291"/>
      <x:c r="CTX67" s="291"/>
      <x:c r="CTY67" s="291"/>
      <x:c r="CTZ67" s="291"/>
      <x:c r="CUA67" s="291"/>
      <x:c r="CUB67" s="291"/>
      <x:c r="CUC67" s="291"/>
      <x:c r="CUD67" s="291"/>
      <x:c r="CUE67" s="291"/>
      <x:c r="CUF67" s="291"/>
      <x:c r="CUG67" s="291"/>
      <x:c r="CUH67" s="291"/>
      <x:c r="CUI67" s="291"/>
      <x:c r="CUJ67" s="291"/>
      <x:c r="CUK67" s="291"/>
      <x:c r="CUL67" s="291"/>
      <x:c r="CUM67" s="291"/>
      <x:c r="CUN67" s="291"/>
      <x:c r="CUO67" s="291"/>
      <x:c r="CUP67" s="291"/>
      <x:c r="CUQ67" s="291"/>
      <x:c r="CUR67" s="291"/>
      <x:c r="CUS67" s="291"/>
      <x:c r="CUT67" s="291"/>
      <x:c r="CUU67" s="291"/>
      <x:c r="CUV67" s="291"/>
      <x:c r="CUW67" s="291"/>
      <x:c r="CUX67" s="291"/>
      <x:c r="CUY67" s="291"/>
      <x:c r="CUZ67" s="291"/>
      <x:c r="CVA67" s="291"/>
      <x:c r="CVB67" s="291"/>
      <x:c r="CVC67" s="291"/>
      <x:c r="CVD67" s="291"/>
      <x:c r="CVE67" s="291"/>
      <x:c r="CVF67" s="291"/>
      <x:c r="CVG67" s="291"/>
      <x:c r="CVH67" s="291"/>
      <x:c r="CVI67" s="291"/>
      <x:c r="CVJ67" s="291"/>
      <x:c r="CVK67" s="291"/>
      <x:c r="CVL67" s="291"/>
      <x:c r="CVM67" s="291"/>
      <x:c r="CVN67" s="291"/>
      <x:c r="CVO67" s="291"/>
      <x:c r="CVP67" s="291"/>
      <x:c r="CVQ67" s="291"/>
      <x:c r="CVR67" s="291"/>
      <x:c r="CVS67" s="291"/>
      <x:c r="CVT67" s="291"/>
      <x:c r="CVU67" s="291"/>
      <x:c r="CVV67" s="291"/>
      <x:c r="CVW67" s="291"/>
      <x:c r="CVX67" s="291"/>
      <x:c r="CVY67" s="291"/>
      <x:c r="CVZ67" s="291"/>
      <x:c r="CWA67" s="291"/>
      <x:c r="CWB67" s="291"/>
      <x:c r="CWC67" s="291"/>
      <x:c r="CWD67" s="291"/>
      <x:c r="CWE67" s="291"/>
      <x:c r="CWF67" s="291"/>
      <x:c r="CWG67" s="291"/>
      <x:c r="CWH67" s="291"/>
      <x:c r="CWI67" s="291"/>
      <x:c r="CWJ67" s="291"/>
      <x:c r="CWK67" s="291"/>
      <x:c r="CWL67" s="291"/>
      <x:c r="CWM67" s="291"/>
      <x:c r="CWN67" s="291"/>
      <x:c r="CWO67" s="291"/>
      <x:c r="CWP67" s="291"/>
      <x:c r="CWQ67" s="291"/>
      <x:c r="CWR67" s="291"/>
      <x:c r="CWS67" s="291"/>
      <x:c r="CWT67" s="291"/>
      <x:c r="CWU67" s="291"/>
      <x:c r="CWV67" s="291"/>
      <x:c r="CWW67" s="291"/>
      <x:c r="CWX67" s="291"/>
      <x:c r="CWY67" s="291"/>
      <x:c r="CWZ67" s="291"/>
      <x:c r="CXA67" s="291"/>
      <x:c r="CXB67" s="291"/>
      <x:c r="CXC67" s="291"/>
      <x:c r="CXD67" s="291"/>
      <x:c r="CXE67" s="291"/>
      <x:c r="CXF67" s="291"/>
      <x:c r="CXG67" s="291"/>
      <x:c r="CXH67" s="291"/>
      <x:c r="CXI67" s="291"/>
      <x:c r="CXJ67" s="291"/>
      <x:c r="CXK67" s="291"/>
      <x:c r="CXL67" s="291"/>
      <x:c r="CXM67" s="291"/>
      <x:c r="CXN67" s="291"/>
      <x:c r="CXO67" s="291"/>
      <x:c r="CXP67" s="291"/>
      <x:c r="CXQ67" s="291"/>
      <x:c r="CXR67" s="291"/>
      <x:c r="CXS67" s="291"/>
      <x:c r="CXT67" s="291"/>
      <x:c r="CXU67" s="291"/>
      <x:c r="CXV67" s="291"/>
      <x:c r="CXW67" s="291"/>
      <x:c r="CXX67" s="291"/>
      <x:c r="CXY67" s="291"/>
      <x:c r="CXZ67" s="291"/>
      <x:c r="CYA67" s="291"/>
      <x:c r="CYB67" s="291"/>
      <x:c r="CYC67" s="291"/>
      <x:c r="CYD67" s="291"/>
      <x:c r="CYE67" s="291"/>
      <x:c r="CYF67" s="291"/>
      <x:c r="CYG67" s="291"/>
      <x:c r="CYH67" s="291"/>
      <x:c r="CYI67" s="291"/>
      <x:c r="CYJ67" s="291"/>
      <x:c r="CYK67" s="291"/>
      <x:c r="CYL67" s="291"/>
      <x:c r="CYM67" s="291"/>
      <x:c r="CYN67" s="291"/>
      <x:c r="CYO67" s="291"/>
      <x:c r="CYP67" s="291"/>
      <x:c r="CYQ67" s="291"/>
      <x:c r="CYR67" s="291"/>
      <x:c r="CYS67" s="291"/>
      <x:c r="CYT67" s="291"/>
      <x:c r="CYU67" s="291"/>
      <x:c r="CYV67" s="291"/>
      <x:c r="CYW67" s="291"/>
      <x:c r="CYX67" s="291"/>
      <x:c r="CYY67" s="291"/>
      <x:c r="CYZ67" s="291"/>
      <x:c r="CZA67" s="291"/>
      <x:c r="CZB67" s="291"/>
      <x:c r="CZC67" s="291"/>
      <x:c r="CZD67" s="291"/>
      <x:c r="CZE67" s="291"/>
      <x:c r="CZF67" s="291"/>
      <x:c r="CZG67" s="291"/>
      <x:c r="CZH67" s="291"/>
      <x:c r="CZI67" s="291"/>
      <x:c r="CZJ67" s="291"/>
      <x:c r="CZK67" s="291"/>
      <x:c r="CZL67" s="291"/>
      <x:c r="CZM67" s="291"/>
      <x:c r="CZN67" s="291"/>
      <x:c r="CZO67" s="291"/>
      <x:c r="CZP67" s="291"/>
      <x:c r="CZQ67" s="291"/>
      <x:c r="CZR67" s="291"/>
      <x:c r="CZS67" s="291"/>
      <x:c r="CZT67" s="291"/>
      <x:c r="CZU67" s="291"/>
      <x:c r="CZV67" s="291"/>
      <x:c r="CZW67" s="291"/>
      <x:c r="CZX67" s="291"/>
      <x:c r="CZY67" s="291"/>
      <x:c r="CZZ67" s="291"/>
      <x:c r="DAA67" s="291"/>
      <x:c r="DAB67" s="291"/>
      <x:c r="DAC67" s="291"/>
      <x:c r="DAD67" s="291"/>
      <x:c r="DAE67" s="291"/>
      <x:c r="DAF67" s="291"/>
      <x:c r="DAG67" s="291"/>
      <x:c r="DAH67" s="291"/>
      <x:c r="DAI67" s="291"/>
      <x:c r="DAJ67" s="291"/>
      <x:c r="DAK67" s="291"/>
      <x:c r="DAL67" s="291"/>
      <x:c r="DAM67" s="291"/>
      <x:c r="DAN67" s="291"/>
      <x:c r="DAO67" s="291"/>
      <x:c r="DAP67" s="291"/>
      <x:c r="DAQ67" s="291"/>
      <x:c r="DAR67" s="291"/>
      <x:c r="DAS67" s="291"/>
      <x:c r="DAT67" s="291"/>
      <x:c r="DAU67" s="291"/>
      <x:c r="DAV67" s="291"/>
      <x:c r="DAW67" s="291"/>
      <x:c r="DAX67" s="291"/>
      <x:c r="DAY67" s="291"/>
      <x:c r="DAZ67" s="291"/>
      <x:c r="DBA67" s="291"/>
      <x:c r="DBB67" s="291"/>
      <x:c r="DBC67" s="291"/>
      <x:c r="DBD67" s="291"/>
      <x:c r="DBE67" s="291"/>
      <x:c r="DBF67" s="291"/>
      <x:c r="DBG67" s="291"/>
      <x:c r="DBH67" s="291"/>
      <x:c r="DBI67" s="291"/>
      <x:c r="DBJ67" s="291"/>
      <x:c r="DBK67" s="291"/>
      <x:c r="DBL67" s="291"/>
      <x:c r="DBM67" s="291"/>
      <x:c r="DBN67" s="291"/>
      <x:c r="DBO67" s="291"/>
      <x:c r="DBP67" s="291"/>
      <x:c r="DBQ67" s="291"/>
      <x:c r="DBR67" s="291"/>
      <x:c r="DBS67" s="291"/>
      <x:c r="DBT67" s="291"/>
      <x:c r="DBU67" s="291"/>
      <x:c r="DBV67" s="291"/>
      <x:c r="DBW67" s="291"/>
      <x:c r="DBX67" s="291"/>
      <x:c r="DBY67" s="291"/>
      <x:c r="DBZ67" s="291"/>
      <x:c r="DCA67" s="291"/>
      <x:c r="DCB67" s="291"/>
      <x:c r="DCC67" s="291"/>
      <x:c r="DCD67" s="291"/>
      <x:c r="DCE67" s="291"/>
      <x:c r="DCF67" s="291"/>
      <x:c r="DCG67" s="291"/>
      <x:c r="DCH67" s="291"/>
      <x:c r="DCI67" s="291"/>
      <x:c r="DCJ67" s="291"/>
      <x:c r="DCK67" s="291"/>
      <x:c r="DCL67" s="291"/>
      <x:c r="DCM67" s="291"/>
      <x:c r="DCN67" s="291"/>
      <x:c r="DCO67" s="291"/>
      <x:c r="DCP67" s="291"/>
      <x:c r="DCQ67" s="291"/>
      <x:c r="DCR67" s="291"/>
      <x:c r="DCS67" s="291"/>
      <x:c r="DCT67" s="291"/>
      <x:c r="DCU67" s="291"/>
      <x:c r="DCV67" s="291"/>
      <x:c r="DCW67" s="291"/>
      <x:c r="DCX67" s="291"/>
      <x:c r="DCY67" s="291"/>
      <x:c r="DCZ67" s="291"/>
      <x:c r="DDA67" s="291"/>
      <x:c r="DDB67" s="291"/>
      <x:c r="DDC67" s="291"/>
      <x:c r="DDD67" s="291"/>
      <x:c r="DDE67" s="291"/>
      <x:c r="DDF67" s="291"/>
      <x:c r="DDG67" s="291"/>
      <x:c r="DDH67" s="291"/>
      <x:c r="DDI67" s="291"/>
      <x:c r="DDJ67" s="291"/>
      <x:c r="DDK67" s="291"/>
      <x:c r="DDL67" s="291"/>
      <x:c r="DDM67" s="291"/>
      <x:c r="DDN67" s="291"/>
      <x:c r="DDO67" s="291"/>
      <x:c r="DDP67" s="291"/>
      <x:c r="DDQ67" s="291"/>
      <x:c r="DDR67" s="291"/>
      <x:c r="DDS67" s="291"/>
      <x:c r="DDT67" s="291"/>
      <x:c r="DDU67" s="291"/>
      <x:c r="DDV67" s="291"/>
      <x:c r="DDW67" s="291"/>
      <x:c r="DDX67" s="291"/>
      <x:c r="DDY67" s="291"/>
      <x:c r="DDZ67" s="291"/>
      <x:c r="DEA67" s="291"/>
      <x:c r="DEB67" s="291"/>
      <x:c r="DEC67" s="291"/>
      <x:c r="DED67" s="291"/>
      <x:c r="DEE67" s="291"/>
      <x:c r="DEF67" s="291"/>
      <x:c r="DEG67" s="291"/>
      <x:c r="DEH67" s="291"/>
      <x:c r="DEI67" s="291"/>
      <x:c r="DEJ67" s="291"/>
      <x:c r="DEK67" s="291"/>
      <x:c r="DEL67" s="291"/>
      <x:c r="DEM67" s="291"/>
      <x:c r="DEN67" s="291"/>
      <x:c r="DEO67" s="291"/>
      <x:c r="DEP67" s="291"/>
      <x:c r="DEQ67" s="291"/>
      <x:c r="DER67" s="291"/>
      <x:c r="DES67" s="291"/>
      <x:c r="DET67" s="291"/>
      <x:c r="DEU67" s="291"/>
      <x:c r="DEV67" s="291"/>
      <x:c r="DEW67" s="291"/>
      <x:c r="DEX67" s="291"/>
      <x:c r="DEY67" s="291"/>
      <x:c r="DEZ67" s="291"/>
      <x:c r="DFA67" s="291"/>
      <x:c r="DFB67" s="291"/>
      <x:c r="DFC67" s="291"/>
      <x:c r="DFD67" s="291"/>
      <x:c r="DFE67" s="291"/>
      <x:c r="DFF67" s="291"/>
      <x:c r="DFG67" s="291"/>
      <x:c r="DFH67" s="291"/>
      <x:c r="DFI67" s="291"/>
      <x:c r="DFJ67" s="291"/>
      <x:c r="DFK67" s="291"/>
      <x:c r="DFL67" s="291"/>
      <x:c r="DFM67" s="291"/>
      <x:c r="DFN67" s="291"/>
      <x:c r="DFO67" s="291"/>
      <x:c r="DFP67" s="291"/>
      <x:c r="DFQ67" s="291"/>
      <x:c r="DFR67" s="291"/>
      <x:c r="DFS67" s="291"/>
      <x:c r="DFT67" s="291"/>
      <x:c r="DFU67" s="291"/>
      <x:c r="DFV67" s="291"/>
      <x:c r="DFW67" s="291"/>
      <x:c r="DFX67" s="291"/>
      <x:c r="DFY67" s="291"/>
      <x:c r="DFZ67" s="291"/>
      <x:c r="DGA67" s="291"/>
      <x:c r="DGB67" s="291"/>
      <x:c r="DGC67" s="291"/>
      <x:c r="DGD67" s="291"/>
      <x:c r="DGE67" s="291"/>
      <x:c r="DGF67" s="291"/>
      <x:c r="DGG67" s="291"/>
      <x:c r="DGH67" s="291"/>
      <x:c r="DGI67" s="291"/>
      <x:c r="DGJ67" s="291"/>
      <x:c r="DGK67" s="291"/>
      <x:c r="DGL67" s="291"/>
      <x:c r="DGM67" s="291"/>
      <x:c r="DGN67" s="291"/>
      <x:c r="DGO67" s="291"/>
      <x:c r="DGP67" s="291"/>
      <x:c r="DGQ67" s="291"/>
      <x:c r="DGR67" s="291"/>
      <x:c r="DGS67" s="291"/>
      <x:c r="DGT67" s="291"/>
      <x:c r="DGU67" s="291"/>
      <x:c r="DGV67" s="291"/>
      <x:c r="DGW67" s="291"/>
      <x:c r="DGX67" s="291"/>
      <x:c r="DGY67" s="291"/>
      <x:c r="DGZ67" s="291"/>
      <x:c r="DHA67" s="291"/>
      <x:c r="DHB67" s="291"/>
      <x:c r="DHC67" s="291"/>
      <x:c r="DHD67" s="291"/>
      <x:c r="DHE67" s="291"/>
      <x:c r="DHF67" s="291"/>
      <x:c r="DHG67" s="291"/>
      <x:c r="DHH67" s="291"/>
      <x:c r="DHI67" s="291"/>
      <x:c r="DHJ67" s="291"/>
      <x:c r="DHK67" s="291"/>
      <x:c r="DHL67" s="291"/>
      <x:c r="DHM67" s="291"/>
      <x:c r="DHN67" s="291"/>
      <x:c r="DHO67" s="291"/>
      <x:c r="DHP67" s="291"/>
      <x:c r="DHQ67" s="291"/>
      <x:c r="DHR67" s="291"/>
      <x:c r="DHS67" s="291"/>
      <x:c r="DHT67" s="291"/>
      <x:c r="DHU67" s="291"/>
      <x:c r="DHV67" s="291"/>
      <x:c r="DHW67" s="291"/>
      <x:c r="DHX67" s="291"/>
      <x:c r="DHY67" s="291"/>
      <x:c r="DHZ67" s="291"/>
      <x:c r="DIA67" s="291"/>
      <x:c r="DIB67" s="291"/>
      <x:c r="DIC67" s="291"/>
      <x:c r="DID67" s="291"/>
      <x:c r="DIE67" s="291"/>
      <x:c r="DIF67" s="291"/>
      <x:c r="DIG67" s="291"/>
      <x:c r="DIH67" s="291"/>
      <x:c r="DII67" s="291"/>
      <x:c r="DIJ67" s="291"/>
      <x:c r="DIK67" s="291"/>
      <x:c r="DIL67" s="291"/>
      <x:c r="DIM67" s="291"/>
      <x:c r="DIN67" s="291"/>
      <x:c r="DIO67" s="291"/>
      <x:c r="DIP67" s="291"/>
      <x:c r="DIQ67" s="291"/>
      <x:c r="DIR67" s="291"/>
      <x:c r="DIS67" s="291"/>
      <x:c r="DIT67" s="291"/>
      <x:c r="DIU67" s="291"/>
      <x:c r="DIV67" s="291"/>
      <x:c r="DIW67" s="291"/>
      <x:c r="DIX67" s="291"/>
      <x:c r="DIY67" s="291"/>
      <x:c r="DIZ67" s="291"/>
      <x:c r="DJA67" s="291"/>
      <x:c r="DJB67" s="291"/>
      <x:c r="DJC67" s="291"/>
      <x:c r="DJD67" s="291"/>
      <x:c r="DJE67" s="291"/>
      <x:c r="DJF67" s="291"/>
      <x:c r="DJG67" s="291"/>
      <x:c r="DJH67" s="291"/>
      <x:c r="DJI67" s="291"/>
      <x:c r="DJJ67" s="291"/>
      <x:c r="DJK67" s="291"/>
      <x:c r="DJL67" s="291"/>
      <x:c r="DJM67" s="291"/>
      <x:c r="DJN67" s="291"/>
      <x:c r="DJO67" s="291"/>
      <x:c r="DJP67" s="291"/>
      <x:c r="DJQ67" s="291"/>
      <x:c r="DJR67" s="291"/>
      <x:c r="DJS67" s="291"/>
      <x:c r="DJT67" s="291"/>
      <x:c r="DJU67" s="291"/>
      <x:c r="DJV67" s="291"/>
      <x:c r="DJW67" s="291"/>
      <x:c r="DJX67" s="291"/>
      <x:c r="DJY67" s="291"/>
      <x:c r="DJZ67" s="291"/>
      <x:c r="DKA67" s="291"/>
      <x:c r="DKB67" s="291"/>
      <x:c r="DKC67" s="291"/>
      <x:c r="DKD67" s="291"/>
      <x:c r="DKE67" s="291"/>
      <x:c r="DKF67" s="291"/>
      <x:c r="DKG67" s="291"/>
      <x:c r="DKH67" s="291"/>
      <x:c r="DKI67" s="291"/>
      <x:c r="DKJ67" s="291"/>
      <x:c r="DKK67" s="291"/>
      <x:c r="DKL67" s="291"/>
      <x:c r="DKM67" s="291"/>
      <x:c r="DKN67" s="291"/>
      <x:c r="DKO67" s="291"/>
      <x:c r="DKP67" s="291"/>
      <x:c r="DKQ67" s="291"/>
      <x:c r="DKR67" s="291"/>
      <x:c r="DKS67" s="291"/>
      <x:c r="DKT67" s="291"/>
      <x:c r="DKU67" s="291"/>
      <x:c r="DKV67" s="291"/>
      <x:c r="DKW67" s="291"/>
      <x:c r="DKX67" s="291"/>
      <x:c r="DKY67" s="291"/>
      <x:c r="DKZ67" s="291"/>
      <x:c r="DLA67" s="291"/>
      <x:c r="DLB67" s="291"/>
      <x:c r="DLC67" s="291"/>
      <x:c r="DLD67" s="291"/>
      <x:c r="DLE67" s="291"/>
      <x:c r="DLF67" s="291"/>
      <x:c r="DLG67" s="291"/>
      <x:c r="DLH67" s="291"/>
      <x:c r="DLI67" s="291"/>
      <x:c r="DLJ67" s="291"/>
      <x:c r="DLK67" s="291"/>
      <x:c r="DLL67" s="291"/>
      <x:c r="DLM67" s="291"/>
      <x:c r="DLN67" s="291"/>
      <x:c r="DLO67" s="291"/>
      <x:c r="DLP67" s="291"/>
      <x:c r="DLQ67" s="291"/>
      <x:c r="DLR67" s="291"/>
      <x:c r="DLS67" s="291"/>
      <x:c r="DLT67" s="291"/>
      <x:c r="DLU67" s="291"/>
      <x:c r="DLV67" s="291"/>
      <x:c r="DLW67" s="291"/>
      <x:c r="DLX67" s="291"/>
      <x:c r="DLY67" s="291"/>
      <x:c r="DLZ67" s="291"/>
      <x:c r="DMA67" s="291"/>
      <x:c r="DMB67" s="291"/>
      <x:c r="DMC67" s="291"/>
      <x:c r="DMD67" s="291"/>
      <x:c r="DME67" s="291"/>
      <x:c r="DMF67" s="291"/>
      <x:c r="DMG67" s="291"/>
      <x:c r="DMH67" s="291"/>
      <x:c r="DMI67" s="291"/>
      <x:c r="DMJ67" s="291"/>
      <x:c r="DMK67" s="291"/>
      <x:c r="DML67" s="291"/>
      <x:c r="DMM67" s="291"/>
      <x:c r="DMN67" s="291"/>
      <x:c r="DMO67" s="291"/>
      <x:c r="DMP67" s="291"/>
      <x:c r="DMQ67" s="291"/>
      <x:c r="DMR67" s="291"/>
      <x:c r="DMS67" s="291"/>
      <x:c r="DMT67" s="291"/>
      <x:c r="DMU67" s="291"/>
      <x:c r="DMV67" s="291"/>
      <x:c r="DMW67" s="291"/>
      <x:c r="DMX67" s="291"/>
      <x:c r="DMY67" s="291"/>
      <x:c r="DMZ67" s="291"/>
      <x:c r="DNA67" s="291"/>
      <x:c r="DNB67" s="291"/>
      <x:c r="DNC67" s="291"/>
      <x:c r="DND67" s="291"/>
      <x:c r="DNE67" s="291"/>
      <x:c r="DNF67" s="291"/>
      <x:c r="DNG67" s="291"/>
      <x:c r="DNH67" s="291"/>
      <x:c r="DNI67" s="291"/>
      <x:c r="DNJ67" s="291"/>
      <x:c r="DNK67" s="291"/>
      <x:c r="DNL67" s="291"/>
      <x:c r="DNM67" s="291"/>
      <x:c r="DNN67" s="291"/>
      <x:c r="DNO67" s="291"/>
      <x:c r="DNP67" s="291"/>
      <x:c r="DNQ67" s="291"/>
      <x:c r="DNR67" s="291"/>
      <x:c r="DNS67" s="291"/>
      <x:c r="DNT67" s="291"/>
      <x:c r="DNU67" s="291"/>
      <x:c r="DNV67" s="291"/>
      <x:c r="DNW67" s="291"/>
      <x:c r="DNX67" s="291"/>
      <x:c r="DNY67" s="291"/>
      <x:c r="DNZ67" s="291"/>
      <x:c r="DOA67" s="291"/>
      <x:c r="DOB67" s="291"/>
      <x:c r="DOC67" s="291"/>
      <x:c r="DOD67" s="291"/>
      <x:c r="DOE67" s="291"/>
      <x:c r="DOF67" s="291"/>
      <x:c r="DOG67" s="291"/>
      <x:c r="DOH67" s="291"/>
      <x:c r="DOI67" s="291"/>
      <x:c r="DOJ67" s="291"/>
      <x:c r="DOK67" s="291"/>
      <x:c r="DOL67" s="291"/>
      <x:c r="DOM67" s="291"/>
      <x:c r="DON67" s="291"/>
      <x:c r="DOO67" s="291"/>
      <x:c r="DOP67" s="291"/>
      <x:c r="DOQ67" s="291"/>
      <x:c r="DOR67" s="291"/>
      <x:c r="DOS67" s="291"/>
      <x:c r="DOT67" s="291"/>
      <x:c r="DOU67" s="291"/>
      <x:c r="DOV67" s="291"/>
      <x:c r="DOW67" s="291"/>
      <x:c r="DOX67" s="291"/>
      <x:c r="DOY67" s="291"/>
      <x:c r="DOZ67" s="291"/>
      <x:c r="DPA67" s="291"/>
      <x:c r="DPB67" s="291"/>
      <x:c r="DPC67" s="291"/>
      <x:c r="DPD67" s="291"/>
      <x:c r="DPE67" s="291"/>
      <x:c r="DPF67" s="291"/>
      <x:c r="DPG67" s="291"/>
      <x:c r="DPH67" s="291"/>
      <x:c r="DPI67" s="291"/>
      <x:c r="DPJ67" s="291"/>
      <x:c r="DPK67" s="291"/>
      <x:c r="DPL67" s="291"/>
      <x:c r="DPM67" s="291"/>
      <x:c r="DPN67" s="291"/>
      <x:c r="DPO67" s="291"/>
      <x:c r="DPP67" s="291"/>
      <x:c r="DPQ67" s="291"/>
      <x:c r="DPR67" s="291"/>
      <x:c r="DPS67" s="291"/>
      <x:c r="DPT67" s="291"/>
      <x:c r="DPU67" s="291"/>
      <x:c r="DPV67" s="291"/>
      <x:c r="DPW67" s="291"/>
      <x:c r="DPX67" s="291"/>
      <x:c r="DPY67" s="291"/>
      <x:c r="DPZ67" s="291"/>
      <x:c r="DQA67" s="291"/>
      <x:c r="DQB67" s="291"/>
      <x:c r="DQC67" s="291"/>
      <x:c r="DQD67" s="291"/>
      <x:c r="DQE67" s="291"/>
      <x:c r="DQF67" s="291"/>
      <x:c r="DQG67" s="291"/>
      <x:c r="DQH67" s="291"/>
      <x:c r="DQI67" s="291"/>
      <x:c r="DQJ67" s="291"/>
      <x:c r="DQK67" s="291"/>
      <x:c r="DQL67" s="291"/>
      <x:c r="DQM67" s="291"/>
      <x:c r="DQN67" s="291"/>
      <x:c r="DQO67" s="291"/>
      <x:c r="DQP67" s="291"/>
      <x:c r="DQQ67" s="291"/>
      <x:c r="DQR67" s="291"/>
      <x:c r="DQS67" s="291"/>
      <x:c r="DQT67" s="291"/>
      <x:c r="DQU67" s="291"/>
      <x:c r="DQV67" s="291"/>
      <x:c r="DQW67" s="291"/>
      <x:c r="DQX67" s="291"/>
      <x:c r="DQY67" s="291"/>
      <x:c r="DQZ67" s="291"/>
      <x:c r="DRA67" s="291"/>
      <x:c r="DRB67" s="291"/>
      <x:c r="DRC67" s="291"/>
      <x:c r="DRD67" s="291"/>
      <x:c r="DRE67" s="291"/>
      <x:c r="DRF67" s="291"/>
      <x:c r="DRG67" s="291"/>
      <x:c r="DRH67" s="291"/>
      <x:c r="DRI67" s="291"/>
      <x:c r="DRJ67" s="291"/>
      <x:c r="DRK67" s="291"/>
      <x:c r="DRL67" s="291"/>
      <x:c r="DRM67" s="291"/>
      <x:c r="DRN67" s="291"/>
      <x:c r="DRO67" s="291"/>
      <x:c r="DRP67" s="291"/>
      <x:c r="DRQ67" s="291"/>
      <x:c r="DRR67" s="291"/>
      <x:c r="DRS67" s="291"/>
      <x:c r="DRT67" s="291"/>
      <x:c r="DRU67" s="291"/>
      <x:c r="DRV67" s="291"/>
      <x:c r="DRW67" s="291"/>
      <x:c r="DRX67" s="291"/>
      <x:c r="DRY67" s="291"/>
      <x:c r="DRZ67" s="291"/>
      <x:c r="DSA67" s="291"/>
      <x:c r="DSB67" s="291"/>
      <x:c r="DSC67" s="291"/>
      <x:c r="DSD67" s="291"/>
      <x:c r="DSE67" s="291"/>
      <x:c r="DSF67" s="291"/>
      <x:c r="DSG67" s="291"/>
      <x:c r="DSH67" s="291"/>
      <x:c r="DSI67" s="291"/>
      <x:c r="DSJ67" s="291"/>
      <x:c r="DSK67" s="291"/>
      <x:c r="DSL67" s="291"/>
      <x:c r="DSM67" s="291"/>
      <x:c r="DSN67" s="291"/>
      <x:c r="DSO67" s="291"/>
      <x:c r="DSP67" s="291"/>
      <x:c r="DSQ67" s="291"/>
      <x:c r="DSR67" s="291"/>
      <x:c r="DSS67" s="291"/>
      <x:c r="DST67" s="291"/>
      <x:c r="DSU67" s="291"/>
      <x:c r="DSV67" s="291"/>
      <x:c r="DSW67" s="291"/>
      <x:c r="DSX67" s="291"/>
      <x:c r="DSY67" s="291"/>
      <x:c r="DSZ67" s="291"/>
      <x:c r="DTA67" s="291"/>
      <x:c r="DTB67" s="291"/>
      <x:c r="DTC67" s="291"/>
      <x:c r="DTD67" s="291"/>
      <x:c r="DTE67" s="291"/>
      <x:c r="DTF67" s="291"/>
      <x:c r="DTG67" s="291"/>
      <x:c r="DTH67" s="291"/>
      <x:c r="DTI67" s="291"/>
      <x:c r="DTJ67" s="291"/>
      <x:c r="DTK67" s="291"/>
      <x:c r="DTL67" s="291"/>
      <x:c r="DTM67" s="291"/>
      <x:c r="DTN67" s="291"/>
      <x:c r="DTO67" s="291"/>
      <x:c r="DTP67" s="291"/>
      <x:c r="DTQ67" s="291"/>
      <x:c r="DTR67" s="291"/>
      <x:c r="DTS67" s="291"/>
      <x:c r="DTT67" s="291"/>
      <x:c r="DTU67" s="291"/>
      <x:c r="DTV67" s="291"/>
      <x:c r="DTW67" s="291"/>
      <x:c r="DTX67" s="291"/>
      <x:c r="DTY67" s="291"/>
      <x:c r="DTZ67" s="291"/>
      <x:c r="DUA67" s="291"/>
      <x:c r="DUB67" s="291"/>
      <x:c r="DUC67" s="291"/>
      <x:c r="DUD67" s="291"/>
      <x:c r="DUE67" s="291"/>
      <x:c r="DUF67" s="291"/>
      <x:c r="DUG67" s="291"/>
      <x:c r="DUH67" s="291"/>
      <x:c r="DUI67" s="291"/>
      <x:c r="DUJ67" s="291"/>
      <x:c r="DUK67" s="291"/>
      <x:c r="DUL67" s="291"/>
      <x:c r="DUM67" s="291"/>
      <x:c r="DUN67" s="291"/>
      <x:c r="DUO67" s="291"/>
      <x:c r="DUP67" s="291"/>
      <x:c r="DUQ67" s="291"/>
      <x:c r="DUR67" s="291"/>
      <x:c r="DUS67" s="291"/>
      <x:c r="DUT67" s="291"/>
      <x:c r="DUU67" s="291"/>
      <x:c r="DUV67" s="291"/>
      <x:c r="DUW67" s="291"/>
      <x:c r="DUX67" s="291"/>
      <x:c r="DUY67" s="291"/>
      <x:c r="DUZ67" s="291"/>
      <x:c r="DVA67" s="291"/>
      <x:c r="DVB67" s="291"/>
      <x:c r="DVC67" s="291"/>
      <x:c r="DVD67" s="291"/>
      <x:c r="DVE67" s="291"/>
      <x:c r="DVF67" s="291"/>
      <x:c r="DVG67" s="291"/>
      <x:c r="DVH67" s="291"/>
      <x:c r="DVI67" s="291"/>
      <x:c r="DVJ67" s="291"/>
      <x:c r="DVK67" s="291"/>
      <x:c r="DVL67" s="291"/>
      <x:c r="DVM67" s="291"/>
      <x:c r="DVN67" s="291"/>
      <x:c r="DVO67" s="291"/>
      <x:c r="DVP67" s="291"/>
      <x:c r="DVQ67" s="291"/>
      <x:c r="DVR67" s="291"/>
      <x:c r="DVS67" s="291"/>
      <x:c r="DVT67" s="291"/>
      <x:c r="DVU67" s="291"/>
      <x:c r="DVV67" s="291"/>
      <x:c r="DVW67" s="291"/>
      <x:c r="DVX67" s="291"/>
      <x:c r="DVY67" s="291"/>
      <x:c r="DVZ67" s="291"/>
      <x:c r="DWA67" s="291"/>
      <x:c r="DWB67" s="291"/>
      <x:c r="DWC67" s="291"/>
      <x:c r="DWD67" s="291"/>
      <x:c r="DWE67" s="291"/>
      <x:c r="DWF67" s="291"/>
      <x:c r="DWG67" s="291"/>
      <x:c r="DWH67" s="291"/>
      <x:c r="DWI67" s="291"/>
      <x:c r="DWJ67" s="291"/>
      <x:c r="DWK67" s="291"/>
      <x:c r="DWL67" s="291"/>
      <x:c r="DWM67" s="291"/>
      <x:c r="DWN67" s="291"/>
      <x:c r="DWO67" s="291"/>
      <x:c r="DWP67" s="291"/>
      <x:c r="DWQ67" s="291"/>
      <x:c r="DWR67" s="291"/>
      <x:c r="DWS67" s="291"/>
      <x:c r="DWT67" s="291"/>
      <x:c r="DWU67" s="291"/>
      <x:c r="DWV67" s="291"/>
      <x:c r="DWW67" s="291"/>
      <x:c r="DWX67" s="291"/>
      <x:c r="DWY67" s="291"/>
      <x:c r="DWZ67" s="291"/>
      <x:c r="DXA67" s="291"/>
      <x:c r="DXB67" s="291"/>
      <x:c r="DXC67" s="291"/>
      <x:c r="DXD67" s="291"/>
      <x:c r="DXE67" s="291"/>
      <x:c r="DXF67" s="291"/>
      <x:c r="DXG67" s="291"/>
      <x:c r="DXH67" s="291"/>
      <x:c r="DXI67" s="291"/>
      <x:c r="DXJ67" s="291"/>
      <x:c r="DXK67" s="291"/>
      <x:c r="DXL67" s="291"/>
      <x:c r="DXM67" s="291"/>
      <x:c r="DXN67" s="291"/>
      <x:c r="DXO67" s="291"/>
      <x:c r="DXP67" s="291"/>
      <x:c r="DXQ67" s="291"/>
      <x:c r="DXR67" s="291"/>
      <x:c r="DXS67" s="291"/>
      <x:c r="DXT67" s="291"/>
      <x:c r="DXU67" s="291"/>
      <x:c r="DXV67" s="291"/>
      <x:c r="DXW67" s="291"/>
      <x:c r="DXX67" s="291"/>
      <x:c r="DXY67" s="291"/>
      <x:c r="DXZ67" s="291"/>
      <x:c r="DYA67" s="291"/>
      <x:c r="DYB67" s="291"/>
      <x:c r="DYC67" s="291"/>
      <x:c r="DYD67" s="291"/>
      <x:c r="DYE67" s="291"/>
      <x:c r="DYF67" s="291"/>
      <x:c r="DYG67" s="291"/>
      <x:c r="DYH67" s="291"/>
      <x:c r="DYI67" s="291"/>
      <x:c r="DYJ67" s="291"/>
      <x:c r="DYK67" s="291"/>
      <x:c r="DYL67" s="291"/>
      <x:c r="DYM67" s="291"/>
      <x:c r="DYN67" s="291"/>
      <x:c r="DYO67" s="291"/>
      <x:c r="DYP67" s="291"/>
      <x:c r="DYQ67" s="291"/>
      <x:c r="DYR67" s="291"/>
      <x:c r="DYS67" s="291"/>
      <x:c r="DYT67" s="291"/>
      <x:c r="DYU67" s="291"/>
      <x:c r="DYV67" s="291"/>
      <x:c r="DYW67" s="291"/>
      <x:c r="DYX67" s="291"/>
      <x:c r="DYY67" s="291"/>
      <x:c r="DYZ67" s="291"/>
      <x:c r="DZA67" s="291"/>
      <x:c r="DZB67" s="291"/>
      <x:c r="DZC67" s="291"/>
      <x:c r="DZD67" s="291"/>
      <x:c r="DZE67" s="291"/>
      <x:c r="DZF67" s="291"/>
      <x:c r="DZG67" s="291"/>
      <x:c r="DZH67" s="291"/>
      <x:c r="DZI67" s="291"/>
      <x:c r="DZJ67" s="291"/>
      <x:c r="DZK67" s="291"/>
      <x:c r="DZL67" s="291"/>
      <x:c r="DZM67" s="291"/>
      <x:c r="DZN67" s="291"/>
      <x:c r="DZO67" s="291"/>
      <x:c r="DZP67" s="291"/>
      <x:c r="DZQ67" s="291"/>
      <x:c r="DZR67" s="291"/>
      <x:c r="DZS67" s="291"/>
      <x:c r="DZT67" s="291"/>
      <x:c r="DZU67" s="291"/>
      <x:c r="DZV67" s="291"/>
      <x:c r="DZW67" s="291"/>
      <x:c r="DZX67" s="291"/>
      <x:c r="DZY67" s="291"/>
      <x:c r="DZZ67" s="291"/>
      <x:c r="EAA67" s="291"/>
      <x:c r="EAB67" s="291"/>
      <x:c r="EAC67" s="291"/>
      <x:c r="EAD67" s="291"/>
      <x:c r="EAE67" s="291"/>
      <x:c r="EAF67" s="291"/>
      <x:c r="EAG67" s="291"/>
      <x:c r="EAH67" s="291"/>
      <x:c r="EAI67" s="291"/>
      <x:c r="EAJ67" s="291"/>
      <x:c r="EAK67" s="291"/>
      <x:c r="EAL67" s="291"/>
      <x:c r="EAM67" s="291"/>
      <x:c r="EAN67" s="291"/>
      <x:c r="EAO67" s="291"/>
      <x:c r="EAP67" s="291"/>
      <x:c r="EAQ67" s="291"/>
      <x:c r="EAR67" s="291"/>
      <x:c r="EAS67" s="291"/>
      <x:c r="EAT67" s="291"/>
      <x:c r="EAU67" s="291"/>
      <x:c r="EAV67" s="291"/>
      <x:c r="EAW67" s="291"/>
      <x:c r="EAX67" s="291"/>
      <x:c r="EAY67" s="291"/>
      <x:c r="EAZ67" s="291"/>
      <x:c r="EBA67" s="291"/>
      <x:c r="EBB67" s="291"/>
      <x:c r="EBC67" s="291"/>
      <x:c r="EBD67" s="291"/>
      <x:c r="EBE67" s="291"/>
      <x:c r="EBF67" s="291"/>
      <x:c r="EBG67" s="291"/>
      <x:c r="EBH67" s="291"/>
      <x:c r="EBI67" s="291"/>
      <x:c r="EBJ67" s="291"/>
      <x:c r="EBK67" s="291"/>
      <x:c r="EBL67" s="291"/>
      <x:c r="EBM67" s="291"/>
      <x:c r="EBN67" s="291"/>
      <x:c r="EBO67" s="291"/>
      <x:c r="EBP67" s="291"/>
      <x:c r="EBQ67" s="291"/>
      <x:c r="EBR67" s="291"/>
      <x:c r="EBS67" s="291"/>
      <x:c r="EBT67" s="291"/>
      <x:c r="EBU67" s="291"/>
      <x:c r="EBV67" s="291"/>
      <x:c r="EBW67" s="291"/>
      <x:c r="EBX67" s="291"/>
      <x:c r="EBY67" s="291"/>
      <x:c r="EBZ67" s="291"/>
      <x:c r="ECA67" s="291"/>
      <x:c r="ECB67" s="291"/>
      <x:c r="ECC67" s="291"/>
      <x:c r="ECD67" s="291"/>
      <x:c r="ECE67" s="291"/>
      <x:c r="ECF67" s="291"/>
      <x:c r="ECG67" s="291"/>
      <x:c r="ECH67" s="291"/>
      <x:c r="ECI67" s="291"/>
      <x:c r="ECJ67" s="291"/>
      <x:c r="ECK67" s="291"/>
      <x:c r="ECL67" s="291"/>
      <x:c r="ECM67" s="291"/>
      <x:c r="ECN67" s="291"/>
      <x:c r="ECO67" s="291"/>
      <x:c r="ECP67" s="291"/>
      <x:c r="ECQ67" s="291"/>
      <x:c r="ECR67" s="291"/>
      <x:c r="ECS67" s="291"/>
      <x:c r="ECT67" s="291"/>
      <x:c r="ECU67" s="291"/>
      <x:c r="ECV67" s="291"/>
      <x:c r="ECW67" s="291"/>
      <x:c r="ECX67" s="291"/>
      <x:c r="ECY67" s="291"/>
      <x:c r="ECZ67" s="291"/>
      <x:c r="EDA67" s="291"/>
      <x:c r="EDB67" s="291"/>
      <x:c r="EDC67" s="291"/>
      <x:c r="EDD67" s="291"/>
      <x:c r="EDE67" s="291"/>
      <x:c r="EDF67" s="291"/>
      <x:c r="EDG67" s="291"/>
      <x:c r="EDH67" s="291"/>
      <x:c r="EDI67" s="291"/>
      <x:c r="EDJ67" s="291"/>
      <x:c r="EDK67" s="291"/>
      <x:c r="EDL67" s="291"/>
      <x:c r="EDM67" s="291"/>
      <x:c r="EDN67" s="291"/>
      <x:c r="EDO67" s="291"/>
      <x:c r="EDP67" s="291"/>
      <x:c r="EDQ67" s="291"/>
      <x:c r="EDR67" s="291"/>
      <x:c r="EDS67" s="291"/>
      <x:c r="EDT67" s="291"/>
      <x:c r="EDU67" s="291"/>
      <x:c r="EDV67" s="291"/>
      <x:c r="EDW67" s="291"/>
      <x:c r="EDX67" s="291"/>
      <x:c r="EDY67" s="291"/>
      <x:c r="EDZ67" s="291"/>
      <x:c r="EEA67" s="291"/>
      <x:c r="EEB67" s="291"/>
      <x:c r="EEC67" s="291"/>
      <x:c r="EED67" s="291"/>
      <x:c r="EEE67" s="291"/>
      <x:c r="EEF67" s="291"/>
      <x:c r="EEG67" s="291"/>
      <x:c r="EEH67" s="291"/>
      <x:c r="EEI67" s="291"/>
      <x:c r="EEJ67" s="291"/>
      <x:c r="EEK67" s="291"/>
      <x:c r="EEL67" s="291"/>
      <x:c r="EEM67" s="291"/>
      <x:c r="EEN67" s="291"/>
      <x:c r="EEO67" s="291"/>
      <x:c r="EEP67" s="291"/>
      <x:c r="EEQ67" s="291"/>
      <x:c r="EER67" s="291"/>
      <x:c r="EES67" s="291"/>
      <x:c r="EET67" s="291"/>
      <x:c r="EEU67" s="291"/>
      <x:c r="EEV67" s="291"/>
      <x:c r="EEW67" s="291"/>
      <x:c r="EEX67" s="291"/>
      <x:c r="EEY67" s="291"/>
      <x:c r="EEZ67" s="291"/>
      <x:c r="EFA67" s="291"/>
      <x:c r="EFB67" s="291"/>
      <x:c r="EFC67" s="291"/>
      <x:c r="EFD67" s="291"/>
      <x:c r="EFE67" s="291"/>
      <x:c r="EFF67" s="291"/>
      <x:c r="EFG67" s="291"/>
      <x:c r="EFH67" s="291"/>
      <x:c r="EFI67" s="291"/>
      <x:c r="EFJ67" s="291"/>
      <x:c r="EFK67" s="291"/>
      <x:c r="EFL67" s="291"/>
      <x:c r="EFM67" s="291"/>
      <x:c r="EFN67" s="291"/>
      <x:c r="EFO67" s="291"/>
      <x:c r="EFP67" s="291"/>
      <x:c r="EFQ67" s="291"/>
      <x:c r="EFR67" s="291"/>
      <x:c r="EFS67" s="291"/>
      <x:c r="EFT67" s="291"/>
      <x:c r="EFU67" s="291"/>
      <x:c r="EFV67" s="291"/>
      <x:c r="EFW67" s="291"/>
      <x:c r="EFX67" s="291"/>
      <x:c r="EFY67" s="291"/>
      <x:c r="EFZ67" s="291"/>
      <x:c r="EGA67" s="291"/>
      <x:c r="EGB67" s="291"/>
      <x:c r="EGC67" s="291"/>
      <x:c r="EGD67" s="291"/>
      <x:c r="EGE67" s="291"/>
      <x:c r="EGF67" s="291"/>
      <x:c r="EGG67" s="291"/>
      <x:c r="EGH67" s="291"/>
      <x:c r="EGI67" s="291"/>
      <x:c r="EGJ67" s="291"/>
      <x:c r="EGK67" s="291"/>
      <x:c r="EGL67" s="291"/>
      <x:c r="EGM67" s="291"/>
      <x:c r="EGN67" s="291"/>
      <x:c r="EGO67" s="291"/>
      <x:c r="EGP67" s="291"/>
      <x:c r="EGQ67" s="291"/>
      <x:c r="EGR67" s="291"/>
      <x:c r="EGS67" s="291"/>
      <x:c r="EGT67" s="291"/>
      <x:c r="EGU67" s="291"/>
      <x:c r="EGV67" s="291"/>
      <x:c r="EGW67" s="291"/>
      <x:c r="EGX67" s="291"/>
      <x:c r="EGY67" s="291"/>
      <x:c r="EGZ67" s="291"/>
      <x:c r="EHA67" s="291"/>
      <x:c r="EHB67" s="291"/>
      <x:c r="EHC67" s="291"/>
      <x:c r="EHD67" s="291"/>
      <x:c r="EHE67" s="291"/>
      <x:c r="EHF67" s="291"/>
      <x:c r="EHG67" s="291"/>
      <x:c r="EHH67" s="291"/>
      <x:c r="EHI67" s="291"/>
      <x:c r="EHJ67" s="291"/>
      <x:c r="EHK67" s="291"/>
      <x:c r="EHL67" s="291"/>
      <x:c r="EHM67" s="291"/>
      <x:c r="EHN67" s="291"/>
      <x:c r="EHO67" s="291"/>
      <x:c r="EHP67" s="291"/>
      <x:c r="EHQ67" s="291"/>
      <x:c r="EHR67" s="291"/>
      <x:c r="EHS67" s="291"/>
      <x:c r="EHT67" s="291"/>
      <x:c r="EHU67" s="291"/>
      <x:c r="EHV67" s="291"/>
      <x:c r="EHW67" s="291"/>
      <x:c r="EHX67" s="291"/>
      <x:c r="EHY67" s="291"/>
      <x:c r="EHZ67" s="291"/>
      <x:c r="EIA67" s="291"/>
      <x:c r="EIB67" s="291"/>
      <x:c r="EIC67" s="291"/>
      <x:c r="EID67" s="291"/>
      <x:c r="EIE67" s="291"/>
      <x:c r="EIF67" s="291"/>
      <x:c r="EIG67" s="291"/>
      <x:c r="EIH67" s="291"/>
      <x:c r="EII67" s="291"/>
      <x:c r="EIJ67" s="291"/>
      <x:c r="EIK67" s="291"/>
      <x:c r="EIL67" s="291"/>
      <x:c r="EIM67" s="291"/>
      <x:c r="EIN67" s="291"/>
      <x:c r="EIO67" s="291"/>
      <x:c r="EIP67" s="291"/>
      <x:c r="EIQ67" s="291"/>
      <x:c r="EIR67" s="291"/>
      <x:c r="EIS67" s="291"/>
      <x:c r="EIT67" s="291"/>
      <x:c r="EIU67" s="291"/>
      <x:c r="EIV67" s="291"/>
      <x:c r="EIW67" s="291"/>
      <x:c r="EIX67" s="291"/>
      <x:c r="EIY67" s="291"/>
      <x:c r="EIZ67" s="291"/>
      <x:c r="EJA67" s="291"/>
      <x:c r="EJB67" s="291"/>
      <x:c r="EJC67" s="291"/>
      <x:c r="EJD67" s="291"/>
      <x:c r="EJE67" s="291"/>
      <x:c r="EJF67" s="291"/>
      <x:c r="EJG67" s="291"/>
      <x:c r="EJH67" s="291"/>
      <x:c r="EJI67" s="291"/>
      <x:c r="EJJ67" s="291"/>
      <x:c r="EJK67" s="291"/>
      <x:c r="EJL67" s="291"/>
      <x:c r="EJM67" s="291"/>
      <x:c r="EJN67" s="291"/>
      <x:c r="EJO67" s="291"/>
      <x:c r="EJP67" s="291"/>
      <x:c r="EJQ67" s="291"/>
      <x:c r="EJR67" s="291"/>
      <x:c r="EJS67" s="291"/>
      <x:c r="EJT67" s="291"/>
      <x:c r="EJU67" s="291"/>
      <x:c r="EJV67" s="291"/>
      <x:c r="EJW67" s="291"/>
      <x:c r="EJX67" s="291"/>
      <x:c r="EJY67" s="291"/>
      <x:c r="EJZ67" s="291"/>
      <x:c r="EKA67" s="291"/>
      <x:c r="EKB67" s="291"/>
      <x:c r="EKC67" s="291"/>
      <x:c r="EKD67" s="291"/>
      <x:c r="EKE67" s="291"/>
      <x:c r="EKF67" s="291"/>
      <x:c r="EKG67" s="291"/>
      <x:c r="EKH67" s="291"/>
      <x:c r="EKI67" s="291"/>
      <x:c r="EKJ67" s="291"/>
      <x:c r="EKK67" s="291"/>
      <x:c r="EKL67" s="291"/>
      <x:c r="EKM67" s="291"/>
      <x:c r="EKN67" s="291"/>
      <x:c r="EKO67" s="291"/>
      <x:c r="EKP67" s="291"/>
      <x:c r="EKQ67" s="291"/>
      <x:c r="EKR67" s="291"/>
      <x:c r="EKS67" s="291"/>
      <x:c r="EKT67" s="291"/>
      <x:c r="EKU67" s="291"/>
      <x:c r="EKV67" s="291"/>
      <x:c r="EKW67" s="291"/>
      <x:c r="EKX67" s="291"/>
      <x:c r="EKY67" s="291"/>
      <x:c r="EKZ67" s="291"/>
      <x:c r="ELA67" s="291"/>
      <x:c r="ELB67" s="291"/>
      <x:c r="ELC67" s="291"/>
      <x:c r="ELD67" s="291"/>
      <x:c r="ELE67" s="291"/>
      <x:c r="ELF67" s="291"/>
      <x:c r="ELG67" s="291"/>
      <x:c r="ELH67" s="291"/>
      <x:c r="ELI67" s="291"/>
      <x:c r="ELJ67" s="291"/>
      <x:c r="ELK67" s="291"/>
      <x:c r="ELL67" s="291"/>
      <x:c r="ELM67" s="291"/>
      <x:c r="ELN67" s="291"/>
      <x:c r="ELO67" s="291"/>
      <x:c r="ELP67" s="291"/>
      <x:c r="ELQ67" s="291"/>
      <x:c r="ELR67" s="291"/>
      <x:c r="ELS67" s="291"/>
      <x:c r="ELT67" s="291"/>
      <x:c r="ELU67" s="291"/>
      <x:c r="ELV67" s="291"/>
      <x:c r="ELW67" s="291"/>
      <x:c r="ELX67" s="291"/>
      <x:c r="ELY67" s="291"/>
      <x:c r="ELZ67" s="291"/>
      <x:c r="EMA67" s="291"/>
      <x:c r="EMB67" s="291"/>
      <x:c r="EMC67" s="291"/>
      <x:c r="EMD67" s="291"/>
      <x:c r="EME67" s="291"/>
      <x:c r="EMF67" s="291"/>
      <x:c r="EMG67" s="291"/>
      <x:c r="EMH67" s="291"/>
      <x:c r="EMI67" s="291"/>
      <x:c r="EMJ67" s="291"/>
      <x:c r="EMK67" s="291"/>
      <x:c r="EML67" s="291"/>
      <x:c r="EMM67" s="291"/>
      <x:c r="EMN67" s="291"/>
      <x:c r="EMO67" s="291"/>
      <x:c r="EMP67" s="291"/>
      <x:c r="EMQ67" s="291"/>
      <x:c r="EMR67" s="291"/>
      <x:c r="EMS67" s="291"/>
      <x:c r="EMT67" s="291"/>
      <x:c r="EMU67" s="291"/>
      <x:c r="EMV67" s="291"/>
      <x:c r="EMW67" s="291"/>
      <x:c r="EMX67" s="291"/>
      <x:c r="EMY67" s="291"/>
      <x:c r="EMZ67" s="291"/>
      <x:c r="ENA67" s="291"/>
      <x:c r="ENB67" s="291"/>
      <x:c r="ENC67" s="291"/>
      <x:c r="END67" s="291"/>
      <x:c r="ENE67" s="291"/>
      <x:c r="ENF67" s="291"/>
      <x:c r="ENG67" s="291"/>
      <x:c r="ENH67" s="291"/>
      <x:c r="ENI67" s="291"/>
      <x:c r="ENJ67" s="291"/>
      <x:c r="ENK67" s="291"/>
      <x:c r="ENL67" s="291"/>
      <x:c r="ENM67" s="291"/>
      <x:c r="ENN67" s="291"/>
      <x:c r="ENO67" s="291"/>
      <x:c r="ENP67" s="291"/>
      <x:c r="ENQ67" s="291"/>
      <x:c r="ENR67" s="291"/>
      <x:c r="ENS67" s="291"/>
      <x:c r="ENT67" s="291"/>
      <x:c r="ENU67" s="291"/>
      <x:c r="ENV67" s="291"/>
      <x:c r="ENW67" s="291"/>
      <x:c r="ENX67" s="291"/>
      <x:c r="ENY67" s="291"/>
      <x:c r="ENZ67" s="291"/>
      <x:c r="EOA67" s="291"/>
      <x:c r="EOB67" s="291"/>
      <x:c r="EOC67" s="291"/>
      <x:c r="EOD67" s="291"/>
      <x:c r="EOE67" s="291"/>
      <x:c r="EOF67" s="291"/>
      <x:c r="EOG67" s="291"/>
      <x:c r="EOH67" s="291"/>
      <x:c r="EOI67" s="291"/>
      <x:c r="EOJ67" s="291"/>
      <x:c r="EOK67" s="291"/>
      <x:c r="EOL67" s="291"/>
      <x:c r="EOM67" s="291"/>
      <x:c r="EON67" s="291"/>
      <x:c r="EOO67" s="291"/>
      <x:c r="EOP67" s="291"/>
      <x:c r="EOQ67" s="291"/>
      <x:c r="EOR67" s="291"/>
      <x:c r="EOS67" s="291"/>
      <x:c r="EOT67" s="291"/>
      <x:c r="EOU67" s="291"/>
      <x:c r="EOV67" s="291"/>
      <x:c r="EOW67" s="291"/>
      <x:c r="EOX67" s="291"/>
      <x:c r="EOY67" s="291"/>
      <x:c r="EOZ67" s="291"/>
      <x:c r="EPA67" s="291"/>
      <x:c r="EPB67" s="291"/>
      <x:c r="EPC67" s="291"/>
      <x:c r="EPD67" s="291"/>
      <x:c r="EPE67" s="291"/>
      <x:c r="EPF67" s="291"/>
      <x:c r="EPG67" s="291"/>
      <x:c r="EPH67" s="291"/>
      <x:c r="EPI67" s="291"/>
      <x:c r="EPJ67" s="291"/>
      <x:c r="EPK67" s="291"/>
      <x:c r="EPL67" s="291"/>
      <x:c r="EPM67" s="291"/>
      <x:c r="EPN67" s="291"/>
      <x:c r="EPO67" s="291"/>
      <x:c r="EPP67" s="291"/>
      <x:c r="EPQ67" s="291"/>
      <x:c r="EPR67" s="291"/>
      <x:c r="EPS67" s="291"/>
      <x:c r="EPT67" s="291"/>
      <x:c r="EPU67" s="291"/>
      <x:c r="EPV67" s="291"/>
      <x:c r="EPW67" s="291"/>
      <x:c r="EPX67" s="291"/>
      <x:c r="EPY67" s="291"/>
      <x:c r="EPZ67" s="291"/>
      <x:c r="EQA67" s="291"/>
      <x:c r="EQB67" s="291"/>
      <x:c r="EQC67" s="291"/>
      <x:c r="EQD67" s="291"/>
      <x:c r="EQE67" s="291"/>
      <x:c r="EQF67" s="291"/>
      <x:c r="EQG67" s="291"/>
      <x:c r="EQH67" s="291"/>
      <x:c r="EQI67" s="291"/>
      <x:c r="EQJ67" s="291"/>
      <x:c r="EQK67" s="291"/>
      <x:c r="EQL67" s="291"/>
      <x:c r="EQM67" s="291"/>
      <x:c r="EQN67" s="291"/>
      <x:c r="EQO67" s="291"/>
      <x:c r="EQP67" s="291"/>
      <x:c r="EQQ67" s="291"/>
      <x:c r="EQR67" s="291"/>
      <x:c r="EQS67" s="291"/>
      <x:c r="EQT67" s="291"/>
      <x:c r="EQU67" s="291"/>
      <x:c r="EQV67" s="291"/>
      <x:c r="EQW67" s="291"/>
      <x:c r="EQX67" s="291"/>
      <x:c r="EQY67" s="291"/>
      <x:c r="EQZ67" s="291"/>
      <x:c r="ERA67" s="291"/>
      <x:c r="ERB67" s="291"/>
      <x:c r="ERC67" s="291"/>
      <x:c r="ERD67" s="291"/>
      <x:c r="ERE67" s="291"/>
      <x:c r="ERF67" s="291"/>
      <x:c r="ERG67" s="291"/>
      <x:c r="ERH67" s="291"/>
      <x:c r="ERI67" s="291"/>
      <x:c r="ERJ67" s="291"/>
      <x:c r="ERK67" s="291"/>
      <x:c r="ERL67" s="291"/>
      <x:c r="ERM67" s="291"/>
      <x:c r="ERN67" s="291"/>
      <x:c r="ERO67" s="291"/>
      <x:c r="ERP67" s="291"/>
      <x:c r="ERQ67" s="291"/>
      <x:c r="ERR67" s="291"/>
      <x:c r="ERS67" s="291"/>
      <x:c r="ERT67" s="291"/>
      <x:c r="ERU67" s="291"/>
      <x:c r="ERV67" s="291"/>
      <x:c r="ERW67" s="291"/>
      <x:c r="ERX67" s="291"/>
      <x:c r="ERY67" s="291"/>
      <x:c r="ERZ67" s="291"/>
      <x:c r="ESA67" s="291"/>
      <x:c r="ESB67" s="291"/>
      <x:c r="ESC67" s="291"/>
      <x:c r="ESD67" s="291"/>
      <x:c r="ESE67" s="291"/>
      <x:c r="ESF67" s="291"/>
      <x:c r="ESG67" s="291"/>
      <x:c r="ESH67" s="291"/>
      <x:c r="ESI67" s="291"/>
      <x:c r="ESJ67" s="291"/>
      <x:c r="ESK67" s="291"/>
      <x:c r="ESL67" s="291"/>
      <x:c r="ESM67" s="291"/>
      <x:c r="ESN67" s="291"/>
      <x:c r="ESO67" s="291"/>
      <x:c r="ESP67" s="291"/>
      <x:c r="ESQ67" s="291"/>
      <x:c r="ESR67" s="291"/>
      <x:c r="ESS67" s="291"/>
      <x:c r="EST67" s="291"/>
      <x:c r="ESU67" s="291"/>
      <x:c r="ESV67" s="291"/>
      <x:c r="ESW67" s="291"/>
      <x:c r="ESX67" s="291"/>
      <x:c r="ESY67" s="291"/>
      <x:c r="ESZ67" s="291"/>
      <x:c r="ETA67" s="291"/>
      <x:c r="ETB67" s="291"/>
      <x:c r="ETC67" s="291"/>
      <x:c r="ETD67" s="291"/>
      <x:c r="ETE67" s="291"/>
      <x:c r="ETF67" s="291"/>
      <x:c r="ETG67" s="291"/>
      <x:c r="ETH67" s="291"/>
      <x:c r="ETI67" s="291"/>
      <x:c r="ETJ67" s="291"/>
      <x:c r="ETK67" s="291"/>
      <x:c r="ETL67" s="291"/>
      <x:c r="ETM67" s="291"/>
      <x:c r="ETN67" s="291"/>
      <x:c r="ETO67" s="291"/>
      <x:c r="ETP67" s="291"/>
      <x:c r="ETQ67" s="291"/>
      <x:c r="ETR67" s="291"/>
      <x:c r="ETS67" s="291"/>
      <x:c r="ETT67" s="291"/>
      <x:c r="ETU67" s="291"/>
      <x:c r="ETV67" s="291"/>
      <x:c r="ETW67" s="291"/>
      <x:c r="ETX67" s="291"/>
      <x:c r="ETY67" s="291"/>
      <x:c r="ETZ67" s="291"/>
      <x:c r="EUA67" s="291"/>
      <x:c r="EUB67" s="291"/>
      <x:c r="EUC67" s="291"/>
      <x:c r="EUD67" s="291"/>
      <x:c r="EUE67" s="291"/>
      <x:c r="EUF67" s="291"/>
      <x:c r="EUG67" s="291"/>
      <x:c r="EUH67" s="291"/>
      <x:c r="EUI67" s="291"/>
      <x:c r="EUJ67" s="291"/>
      <x:c r="EUK67" s="291"/>
      <x:c r="EUL67" s="291"/>
      <x:c r="EUM67" s="291"/>
      <x:c r="EUN67" s="291"/>
      <x:c r="EUO67" s="291"/>
      <x:c r="EUP67" s="291"/>
      <x:c r="EUQ67" s="291"/>
      <x:c r="EUR67" s="291"/>
      <x:c r="EUS67" s="291"/>
      <x:c r="EUT67" s="291"/>
      <x:c r="EUU67" s="291"/>
      <x:c r="EUV67" s="291"/>
      <x:c r="EUW67" s="291"/>
      <x:c r="EUX67" s="291"/>
      <x:c r="EUY67" s="291"/>
      <x:c r="EUZ67" s="291"/>
      <x:c r="EVA67" s="291"/>
      <x:c r="EVB67" s="291"/>
      <x:c r="EVC67" s="291"/>
      <x:c r="EVD67" s="291"/>
      <x:c r="EVE67" s="291"/>
      <x:c r="EVF67" s="291"/>
      <x:c r="EVG67" s="291"/>
      <x:c r="EVH67" s="291"/>
      <x:c r="EVI67" s="291"/>
      <x:c r="EVJ67" s="291"/>
      <x:c r="EVK67" s="291"/>
      <x:c r="EVL67" s="291"/>
      <x:c r="EVM67" s="291"/>
      <x:c r="EVN67" s="291"/>
      <x:c r="EVO67" s="291"/>
      <x:c r="EVP67" s="291"/>
      <x:c r="EVQ67" s="291"/>
      <x:c r="EVR67" s="291"/>
      <x:c r="EVS67" s="291"/>
      <x:c r="EVT67" s="291"/>
      <x:c r="EVU67" s="291"/>
      <x:c r="EVV67" s="291"/>
      <x:c r="EVW67" s="291"/>
      <x:c r="EVX67" s="291"/>
      <x:c r="EVY67" s="291"/>
      <x:c r="EVZ67" s="291"/>
      <x:c r="EWA67" s="291"/>
      <x:c r="EWB67" s="291"/>
      <x:c r="EWC67" s="291"/>
      <x:c r="EWD67" s="291"/>
      <x:c r="EWE67" s="291"/>
      <x:c r="EWF67" s="291"/>
      <x:c r="EWG67" s="291"/>
      <x:c r="EWH67" s="291"/>
      <x:c r="EWI67" s="291"/>
      <x:c r="EWJ67" s="291"/>
      <x:c r="EWK67" s="291"/>
      <x:c r="EWL67" s="291"/>
      <x:c r="EWM67" s="291"/>
      <x:c r="EWN67" s="291"/>
      <x:c r="EWO67" s="291"/>
      <x:c r="EWP67" s="291"/>
      <x:c r="EWQ67" s="291"/>
      <x:c r="EWR67" s="291"/>
      <x:c r="EWS67" s="291"/>
      <x:c r="EWT67" s="291"/>
      <x:c r="EWU67" s="291"/>
      <x:c r="EWV67" s="291"/>
      <x:c r="EWW67" s="291"/>
      <x:c r="EWX67" s="291"/>
      <x:c r="EWY67" s="291"/>
      <x:c r="EWZ67" s="291"/>
      <x:c r="EXA67" s="291"/>
      <x:c r="EXB67" s="291"/>
      <x:c r="EXC67" s="291"/>
      <x:c r="EXD67" s="291"/>
      <x:c r="EXE67" s="291"/>
      <x:c r="EXF67" s="291"/>
      <x:c r="EXG67" s="291"/>
      <x:c r="EXH67" s="291"/>
      <x:c r="EXI67" s="291"/>
      <x:c r="EXJ67" s="291"/>
      <x:c r="EXK67" s="291"/>
      <x:c r="EXL67" s="291"/>
      <x:c r="EXM67" s="291"/>
      <x:c r="EXN67" s="291"/>
      <x:c r="EXO67" s="291"/>
      <x:c r="EXP67" s="291"/>
      <x:c r="EXQ67" s="291"/>
      <x:c r="EXR67" s="291"/>
      <x:c r="EXS67" s="291"/>
      <x:c r="EXT67" s="291"/>
      <x:c r="EXU67" s="291"/>
      <x:c r="EXV67" s="291"/>
      <x:c r="EXW67" s="291"/>
      <x:c r="EXX67" s="291"/>
      <x:c r="EXY67" s="291"/>
      <x:c r="EXZ67" s="291"/>
      <x:c r="EYA67" s="291"/>
      <x:c r="EYB67" s="291"/>
      <x:c r="EYC67" s="291"/>
      <x:c r="EYD67" s="291"/>
      <x:c r="EYE67" s="291"/>
      <x:c r="EYF67" s="291"/>
      <x:c r="EYG67" s="291"/>
      <x:c r="EYH67" s="291"/>
      <x:c r="EYI67" s="291"/>
      <x:c r="EYJ67" s="291"/>
      <x:c r="EYK67" s="291"/>
      <x:c r="EYL67" s="291"/>
      <x:c r="EYM67" s="291"/>
      <x:c r="EYN67" s="291"/>
      <x:c r="EYO67" s="291"/>
      <x:c r="EYP67" s="291"/>
      <x:c r="EYQ67" s="291"/>
      <x:c r="EYR67" s="291"/>
      <x:c r="EYS67" s="291"/>
      <x:c r="EYT67" s="291"/>
      <x:c r="EYU67" s="291"/>
      <x:c r="EYV67" s="291"/>
      <x:c r="EYW67" s="291"/>
      <x:c r="EYX67" s="291"/>
      <x:c r="EYY67" s="291"/>
      <x:c r="EYZ67" s="291"/>
      <x:c r="EZA67" s="291"/>
      <x:c r="EZB67" s="291"/>
      <x:c r="EZC67" s="291"/>
      <x:c r="EZD67" s="291"/>
      <x:c r="EZE67" s="291"/>
      <x:c r="EZF67" s="291"/>
      <x:c r="EZG67" s="291"/>
      <x:c r="EZH67" s="291"/>
      <x:c r="EZI67" s="291"/>
      <x:c r="EZJ67" s="291"/>
      <x:c r="EZK67" s="291"/>
      <x:c r="EZL67" s="291"/>
      <x:c r="EZM67" s="291"/>
      <x:c r="EZN67" s="291"/>
      <x:c r="EZO67" s="291"/>
      <x:c r="EZP67" s="291"/>
      <x:c r="EZQ67" s="291"/>
      <x:c r="EZR67" s="291"/>
      <x:c r="EZS67" s="291"/>
      <x:c r="EZT67" s="291"/>
      <x:c r="EZU67" s="291"/>
      <x:c r="EZV67" s="291"/>
      <x:c r="EZW67" s="291"/>
      <x:c r="EZX67" s="291"/>
      <x:c r="EZY67" s="291"/>
      <x:c r="EZZ67" s="291"/>
      <x:c r="FAA67" s="291"/>
      <x:c r="FAB67" s="291"/>
      <x:c r="FAC67" s="291"/>
      <x:c r="FAD67" s="291"/>
      <x:c r="FAE67" s="291"/>
      <x:c r="FAF67" s="291"/>
      <x:c r="FAG67" s="291"/>
      <x:c r="FAH67" s="291"/>
      <x:c r="FAI67" s="291"/>
      <x:c r="FAJ67" s="291"/>
      <x:c r="FAK67" s="291"/>
      <x:c r="FAL67" s="291"/>
      <x:c r="FAM67" s="291"/>
      <x:c r="FAN67" s="291"/>
      <x:c r="FAO67" s="291"/>
      <x:c r="FAP67" s="291"/>
      <x:c r="FAQ67" s="291"/>
      <x:c r="FAR67" s="291"/>
      <x:c r="FAS67" s="291"/>
      <x:c r="FAT67" s="291"/>
      <x:c r="FAU67" s="291"/>
      <x:c r="FAV67" s="291"/>
      <x:c r="FAW67" s="291"/>
      <x:c r="FAX67" s="291"/>
      <x:c r="FAY67" s="291"/>
      <x:c r="FAZ67" s="291"/>
      <x:c r="FBA67" s="291"/>
      <x:c r="FBB67" s="291"/>
      <x:c r="FBC67" s="291"/>
      <x:c r="FBD67" s="291"/>
      <x:c r="FBE67" s="291"/>
      <x:c r="FBF67" s="291"/>
      <x:c r="FBG67" s="291"/>
      <x:c r="FBH67" s="291"/>
      <x:c r="FBI67" s="291"/>
      <x:c r="FBJ67" s="291"/>
      <x:c r="FBK67" s="291"/>
      <x:c r="FBL67" s="291"/>
      <x:c r="FBM67" s="291"/>
      <x:c r="FBN67" s="291"/>
      <x:c r="FBO67" s="291"/>
      <x:c r="FBP67" s="291"/>
      <x:c r="FBQ67" s="291"/>
      <x:c r="FBR67" s="291"/>
      <x:c r="FBS67" s="291"/>
      <x:c r="FBT67" s="291"/>
      <x:c r="FBU67" s="291"/>
      <x:c r="FBV67" s="291"/>
      <x:c r="FBW67" s="291"/>
      <x:c r="FBX67" s="291"/>
      <x:c r="FBY67" s="291"/>
      <x:c r="FBZ67" s="291"/>
      <x:c r="FCA67" s="291"/>
      <x:c r="FCB67" s="291"/>
      <x:c r="FCC67" s="291"/>
      <x:c r="FCD67" s="291"/>
      <x:c r="FCE67" s="291"/>
      <x:c r="FCF67" s="291"/>
      <x:c r="FCG67" s="291"/>
      <x:c r="FCH67" s="291"/>
      <x:c r="FCI67" s="291"/>
      <x:c r="FCJ67" s="291"/>
      <x:c r="FCK67" s="291"/>
      <x:c r="FCL67" s="291"/>
      <x:c r="FCM67" s="291"/>
      <x:c r="FCN67" s="291"/>
      <x:c r="FCO67" s="291"/>
      <x:c r="FCP67" s="291"/>
      <x:c r="FCQ67" s="291"/>
      <x:c r="FCR67" s="291"/>
      <x:c r="FCS67" s="291"/>
      <x:c r="FCT67" s="291"/>
      <x:c r="FCU67" s="291"/>
      <x:c r="FCV67" s="291"/>
      <x:c r="FCW67" s="291"/>
      <x:c r="FCX67" s="291"/>
      <x:c r="FCY67" s="291"/>
      <x:c r="FCZ67" s="291"/>
      <x:c r="FDA67" s="291"/>
      <x:c r="FDB67" s="291"/>
      <x:c r="FDC67" s="291"/>
      <x:c r="FDD67" s="291"/>
      <x:c r="FDE67" s="291"/>
      <x:c r="FDF67" s="291"/>
      <x:c r="FDG67" s="291"/>
      <x:c r="FDH67" s="291"/>
      <x:c r="FDI67" s="291"/>
      <x:c r="FDJ67" s="291"/>
      <x:c r="FDK67" s="291"/>
      <x:c r="FDL67" s="291"/>
      <x:c r="FDM67" s="291"/>
      <x:c r="FDN67" s="291"/>
      <x:c r="FDO67" s="291"/>
      <x:c r="FDP67" s="291"/>
      <x:c r="FDQ67" s="291"/>
      <x:c r="FDR67" s="291"/>
      <x:c r="FDS67" s="291"/>
      <x:c r="FDT67" s="291"/>
      <x:c r="FDU67" s="291"/>
      <x:c r="FDV67" s="291"/>
      <x:c r="FDW67" s="291"/>
      <x:c r="FDX67" s="291"/>
      <x:c r="FDY67" s="291"/>
      <x:c r="FDZ67" s="291"/>
      <x:c r="FEA67" s="291"/>
      <x:c r="FEB67" s="291"/>
      <x:c r="FEC67" s="291"/>
      <x:c r="FED67" s="291"/>
      <x:c r="FEE67" s="291"/>
      <x:c r="FEF67" s="291"/>
      <x:c r="FEG67" s="291"/>
      <x:c r="FEH67" s="291"/>
      <x:c r="FEI67" s="291"/>
      <x:c r="FEJ67" s="291"/>
      <x:c r="FEK67" s="291"/>
      <x:c r="FEL67" s="291"/>
      <x:c r="FEM67" s="291"/>
      <x:c r="FEN67" s="291"/>
      <x:c r="FEO67" s="291"/>
      <x:c r="FEP67" s="291"/>
      <x:c r="FEQ67" s="291"/>
      <x:c r="FER67" s="291"/>
      <x:c r="FES67" s="291"/>
      <x:c r="FET67" s="291"/>
      <x:c r="FEU67" s="291"/>
      <x:c r="FEV67" s="291"/>
      <x:c r="FEW67" s="291"/>
      <x:c r="FEX67" s="291"/>
      <x:c r="FEY67" s="291"/>
      <x:c r="FEZ67" s="291"/>
      <x:c r="FFA67" s="291"/>
      <x:c r="FFB67" s="291"/>
      <x:c r="FFC67" s="291"/>
      <x:c r="FFD67" s="291"/>
      <x:c r="FFE67" s="291"/>
      <x:c r="FFF67" s="291"/>
      <x:c r="FFG67" s="291"/>
      <x:c r="FFH67" s="291"/>
      <x:c r="FFI67" s="291"/>
      <x:c r="FFJ67" s="291"/>
      <x:c r="FFK67" s="291"/>
      <x:c r="FFL67" s="291"/>
      <x:c r="FFM67" s="291"/>
      <x:c r="FFN67" s="291"/>
      <x:c r="FFO67" s="291"/>
      <x:c r="FFP67" s="291"/>
      <x:c r="FFQ67" s="291"/>
      <x:c r="FFR67" s="291"/>
      <x:c r="FFS67" s="291"/>
      <x:c r="FFT67" s="291"/>
      <x:c r="FFU67" s="291"/>
      <x:c r="FFV67" s="291"/>
      <x:c r="FFW67" s="291"/>
      <x:c r="FFX67" s="291"/>
      <x:c r="FFY67" s="291"/>
      <x:c r="FFZ67" s="291"/>
      <x:c r="FGA67" s="291"/>
      <x:c r="FGB67" s="291"/>
      <x:c r="FGC67" s="291"/>
      <x:c r="FGD67" s="291"/>
      <x:c r="FGE67" s="291"/>
      <x:c r="FGF67" s="291"/>
      <x:c r="FGG67" s="291"/>
      <x:c r="FGH67" s="291"/>
      <x:c r="FGI67" s="291"/>
      <x:c r="FGJ67" s="291"/>
      <x:c r="FGK67" s="291"/>
      <x:c r="FGL67" s="291"/>
      <x:c r="FGM67" s="291"/>
      <x:c r="FGN67" s="291"/>
      <x:c r="FGO67" s="291"/>
      <x:c r="FGP67" s="291"/>
      <x:c r="FGQ67" s="291"/>
      <x:c r="FGR67" s="291"/>
      <x:c r="FGS67" s="291"/>
      <x:c r="FGT67" s="291"/>
      <x:c r="FGU67" s="291"/>
      <x:c r="FGV67" s="291"/>
      <x:c r="FGW67" s="291"/>
      <x:c r="FGX67" s="291"/>
      <x:c r="FGY67" s="291"/>
      <x:c r="FGZ67" s="291"/>
      <x:c r="FHA67" s="291"/>
      <x:c r="FHB67" s="291"/>
      <x:c r="FHC67" s="291"/>
      <x:c r="FHD67" s="291"/>
      <x:c r="FHE67" s="291"/>
      <x:c r="FHF67" s="291"/>
      <x:c r="FHG67" s="291"/>
      <x:c r="FHH67" s="291"/>
      <x:c r="FHI67" s="291"/>
      <x:c r="FHJ67" s="291"/>
      <x:c r="FHK67" s="291"/>
      <x:c r="FHL67" s="291"/>
      <x:c r="FHM67" s="291"/>
      <x:c r="FHN67" s="291"/>
      <x:c r="FHO67" s="291"/>
      <x:c r="FHP67" s="291"/>
      <x:c r="FHQ67" s="291"/>
      <x:c r="FHR67" s="291"/>
      <x:c r="FHS67" s="291"/>
      <x:c r="FHT67" s="291"/>
      <x:c r="FHU67" s="291"/>
      <x:c r="FHV67" s="291"/>
      <x:c r="FHW67" s="291"/>
      <x:c r="FHX67" s="291"/>
      <x:c r="FHY67" s="291"/>
      <x:c r="FHZ67" s="291"/>
      <x:c r="FIA67" s="291"/>
      <x:c r="FIB67" s="291"/>
      <x:c r="FIC67" s="291"/>
      <x:c r="FID67" s="291"/>
      <x:c r="FIE67" s="291"/>
      <x:c r="FIF67" s="291"/>
      <x:c r="FIG67" s="291"/>
      <x:c r="FIH67" s="291"/>
      <x:c r="FII67" s="291"/>
      <x:c r="FIJ67" s="291"/>
      <x:c r="FIK67" s="291"/>
      <x:c r="FIL67" s="291"/>
      <x:c r="FIM67" s="291"/>
      <x:c r="FIN67" s="291"/>
      <x:c r="FIO67" s="291"/>
      <x:c r="FIP67" s="291"/>
      <x:c r="FIQ67" s="291"/>
      <x:c r="FIR67" s="291"/>
      <x:c r="FIS67" s="291"/>
      <x:c r="FIT67" s="291"/>
      <x:c r="FIU67" s="291"/>
      <x:c r="FIV67" s="291"/>
      <x:c r="FIW67" s="291"/>
      <x:c r="FIX67" s="291"/>
      <x:c r="FIY67" s="291"/>
      <x:c r="FIZ67" s="291"/>
      <x:c r="FJA67" s="291"/>
      <x:c r="FJB67" s="291"/>
      <x:c r="FJC67" s="291"/>
      <x:c r="FJD67" s="291"/>
      <x:c r="FJE67" s="291"/>
      <x:c r="FJF67" s="291"/>
      <x:c r="FJG67" s="291"/>
      <x:c r="FJH67" s="291"/>
      <x:c r="FJI67" s="291"/>
      <x:c r="FJJ67" s="291"/>
      <x:c r="FJK67" s="291"/>
      <x:c r="FJL67" s="291"/>
      <x:c r="FJM67" s="291"/>
      <x:c r="FJN67" s="291"/>
      <x:c r="FJO67" s="291"/>
      <x:c r="FJP67" s="291"/>
      <x:c r="FJQ67" s="291"/>
      <x:c r="FJR67" s="291"/>
      <x:c r="FJS67" s="291"/>
      <x:c r="FJT67" s="291"/>
      <x:c r="FJU67" s="291"/>
      <x:c r="FJV67" s="291"/>
      <x:c r="FJW67" s="291"/>
      <x:c r="FJX67" s="291"/>
      <x:c r="FJY67" s="291"/>
      <x:c r="FJZ67" s="291"/>
      <x:c r="FKA67" s="291"/>
      <x:c r="FKB67" s="291"/>
      <x:c r="FKC67" s="291"/>
      <x:c r="FKD67" s="291"/>
      <x:c r="FKE67" s="291"/>
      <x:c r="FKF67" s="291"/>
      <x:c r="FKG67" s="291"/>
      <x:c r="FKH67" s="291"/>
      <x:c r="FKI67" s="291"/>
      <x:c r="FKJ67" s="291"/>
      <x:c r="FKK67" s="291"/>
      <x:c r="FKL67" s="291"/>
      <x:c r="FKM67" s="291"/>
      <x:c r="FKN67" s="291"/>
      <x:c r="FKO67" s="291"/>
      <x:c r="FKP67" s="291"/>
      <x:c r="FKQ67" s="291"/>
      <x:c r="FKR67" s="291"/>
      <x:c r="FKS67" s="291"/>
      <x:c r="FKT67" s="291"/>
      <x:c r="FKU67" s="291"/>
      <x:c r="FKV67" s="291"/>
      <x:c r="FKW67" s="291"/>
      <x:c r="FKX67" s="291"/>
      <x:c r="FKY67" s="291"/>
      <x:c r="FKZ67" s="291"/>
      <x:c r="FLA67" s="291"/>
      <x:c r="FLB67" s="291"/>
      <x:c r="FLC67" s="291"/>
      <x:c r="FLD67" s="291"/>
      <x:c r="FLE67" s="291"/>
      <x:c r="FLF67" s="291"/>
      <x:c r="FLG67" s="291"/>
      <x:c r="FLH67" s="291"/>
      <x:c r="FLI67" s="291"/>
      <x:c r="FLJ67" s="291"/>
      <x:c r="FLK67" s="291"/>
      <x:c r="FLL67" s="291"/>
      <x:c r="FLM67" s="291"/>
      <x:c r="FLN67" s="291"/>
      <x:c r="FLO67" s="291"/>
      <x:c r="FLP67" s="291"/>
      <x:c r="FLQ67" s="291"/>
      <x:c r="FLR67" s="291"/>
      <x:c r="FLS67" s="291"/>
      <x:c r="FLT67" s="291"/>
      <x:c r="FLU67" s="291"/>
      <x:c r="FLV67" s="291"/>
      <x:c r="FLW67" s="291"/>
      <x:c r="FLX67" s="291"/>
      <x:c r="FLY67" s="291"/>
      <x:c r="FLZ67" s="291"/>
      <x:c r="FMA67" s="291"/>
      <x:c r="FMB67" s="291"/>
      <x:c r="FMC67" s="291"/>
      <x:c r="FMD67" s="291"/>
      <x:c r="FME67" s="291"/>
      <x:c r="FMF67" s="291"/>
      <x:c r="FMG67" s="291"/>
      <x:c r="FMH67" s="291"/>
      <x:c r="FMI67" s="291"/>
      <x:c r="FMJ67" s="291"/>
      <x:c r="FMK67" s="291"/>
      <x:c r="FML67" s="291"/>
      <x:c r="FMM67" s="291"/>
      <x:c r="FMN67" s="291"/>
      <x:c r="FMO67" s="291"/>
      <x:c r="FMP67" s="291"/>
      <x:c r="FMQ67" s="291"/>
      <x:c r="FMR67" s="291"/>
      <x:c r="FMS67" s="291"/>
      <x:c r="FMT67" s="291"/>
      <x:c r="FMU67" s="291"/>
      <x:c r="FMV67" s="291"/>
      <x:c r="FMW67" s="291"/>
      <x:c r="FMX67" s="291"/>
      <x:c r="FMY67" s="291"/>
      <x:c r="FMZ67" s="291"/>
      <x:c r="FNA67" s="291"/>
      <x:c r="FNB67" s="291"/>
      <x:c r="FNC67" s="291"/>
      <x:c r="FND67" s="291"/>
      <x:c r="FNE67" s="291"/>
      <x:c r="FNF67" s="291"/>
      <x:c r="FNG67" s="291"/>
      <x:c r="FNH67" s="291"/>
      <x:c r="FNI67" s="291"/>
      <x:c r="FNJ67" s="291"/>
      <x:c r="FNK67" s="291"/>
      <x:c r="FNL67" s="291"/>
      <x:c r="FNM67" s="291"/>
      <x:c r="FNN67" s="291"/>
      <x:c r="FNO67" s="291"/>
      <x:c r="FNP67" s="291"/>
      <x:c r="FNQ67" s="291"/>
      <x:c r="FNR67" s="291"/>
      <x:c r="FNS67" s="291"/>
      <x:c r="FNT67" s="291"/>
      <x:c r="FNU67" s="291"/>
      <x:c r="FNV67" s="291"/>
      <x:c r="FNW67" s="291"/>
      <x:c r="FNX67" s="291"/>
      <x:c r="FNY67" s="291"/>
      <x:c r="FNZ67" s="291"/>
      <x:c r="FOA67" s="291"/>
      <x:c r="FOB67" s="291"/>
      <x:c r="FOC67" s="291"/>
      <x:c r="FOD67" s="291"/>
      <x:c r="FOE67" s="291"/>
      <x:c r="FOF67" s="291"/>
      <x:c r="FOG67" s="291"/>
      <x:c r="FOH67" s="291"/>
      <x:c r="FOI67" s="291"/>
      <x:c r="FOJ67" s="291"/>
      <x:c r="FOK67" s="291"/>
      <x:c r="FOL67" s="291"/>
      <x:c r="FOM67" s="291"/>
      <x:c r="FON67" s="291"/>
      <x:c r="FOO67" s="291"/>
      <x:c r="FOP67" s="291"/>
      <x:c r="FOQ67" s="291"/>
      <x:c r="FOR67" s="291"/>
      <x:c r="FOS67" s="291"/>
      <x:c r="FOT67" s="291"/>
      <x:c r="FOU67" s="291"/>
      <x:c r="FOV67" s="291"/>
      <x:c r="FOW67" s="291"/>
      <x:c r="FOX67" s="291"/>
      <x:c r="FOY67" s="291"/>
      <x:c r="FOZ67" s="291"/>
      <x:c r="FPA67" s="291"/>
      <x:c r="FPB67" s="291"/>
      <x:c r="FPC67" s="291"/>
      <x:c r="FPD67" s="291"/>
      <x:c r="FPE67" s="291"/>
      <x:c r="FPF67" s="291"/>
      <x:c r="FPG67" s="291"/>
      <x:c r="FPH67" s="291"/>
      <x:c r="FPI67" s="291"/>
      <x:c r="FPJ67" s="291"/>
      <x:c r="FPK67" s="291"/>
      <x:c r="FPL67" s="291"/>
      <x:c r="FPM67" s="291"/>
      <x:c r="FPN67" s="291"/>
      <x:c r="FPO67" s="291"/>
      <x:c r="FPP67" s="291"/>
      <x:c r="FPQ67" s="291"/>
      <x:c r="FPR67" s="291"/>
      <x:c r="FPS67" s="291"/>
      <x:c r="FPT67" s="291"/>
      <x:c r="FPU67" s="291"/>
      <x:c r="FPV67" s="291"/>
      <x:c r="FPW67" s="291"/>
      <x:c r="FPX67" s="291"/>
      <x:c r="FPY67" s="291"/>
      <x:c r="FPZ67" s="291"/>
      <x:c r="FQA67" s="291"/>
      <x:c r="FQB67" s="291"/>
      <x:c r="FQC67" s="291"/>
      <x:c r="FQD67" s="291"/>
      <x:c r="FQE67" s="291"/>
      <x:c r="FQF67" s="291"/>
      <x:c r="FQG67" s="291"/>
      <x:c r="FQH67" s="291"/>
      <x:c r="FQI67" s="291"/>
      <x:c r="FQJ67" s="291"/>
      <x:c r="FQK67" s="291"/>
      <x:c r="FQL67" s="291"/>
      <x:c r="FQM67" s="291"/>
      <x:c r="FQN67" s="291"/>
      <x:c r="FQO67" s="291"/>
      <x:c r="FQP67" s="291"/>
      <x:c r="FQQ67" s="291"/>
      <x:c r="FQR67" s="291"/>
      <x:c r="FQS67" s="291"/>
      <x:c r="FQT67" s="291"/>
      <x:c r="FQU67" s="291"/>
      <x:c r="FQV67" s="291"/>
      <x:c r="FQW67" s="291"/>
      <x:c r="FQX67" s="291"/>
      <x:c r="FQY67" s="291"/>
      <x:c r="FQZ67" s="291"/>
      <x:c r="FRA67" s="291"/>
      <x:c r="FRB67" s="291"/>
      <x:c r="FRC67" s="291"/>
      <x:c r="FRD67" s="291"/>
      <x:c r="FRE67" s="291"/>
      <x:c r="FRF67" s="291"/>
      <x:c r="FRG67" s="291"/>
      <x:c r="FRH67" s="291"/>
      <x:c r="FRI67" s="291"/>
      <x:c r="FRJ67" s="291"/>
      <x:c r="FRK67" s="291"/>
      <x:c r="FRL67" s="291"/>
      <x:c r="FRM67" s="291"/>
      <x:c r="FRN67" s="291"/>
      <x:c r="FRO67" s="291"/>
      <x:c r="FRP67" s="291"/>
      <x:c r="FRQ67" s="291"/>
      <x:c r="FRR67" s="291"/>
      <x:c r="FRS67" s="291"/>
      <x:c r="FRT67" s="291"/>
      <x:c r="FRU67" s="291"/>
      <x:c r="FRV67" s="291"/>
      <x:c r="FRW67" s="291"/>
      <x:c r="FRX67" s="291"/>
      <x:c r="FRY67" s="291"/>
      <x:c r="FRZ67" s="291"/>
      <x:c r="FSA67" s="291"/>
      <x:c r="FSB67" s="291"/>
      <x:c r="FSC67" s="291"/>
      <x:c r="FSD67" s="291"/>
      <x:c r="FSE67" s="291"/>
      <x:c r="FSF67" s="291"/>
      <x:c r="FSG67" s="291"/>
      <x:c r="FSH67" s="291"/>
      <x:c r="FSI67" s="291"/>
      <x:c r="FSJ67" s="291"/>
      <x:c r="FSK67" s="291"/>
      <x:c r="FSL67" s="291"/>
      <x:c r="FSM67" s="291"/>
      <x:c r="FSN67" s="291"/>
      <x:c r="FSO67" s="291"/>
      <x:c r="FSP67" s="291"/>
      <x:c r="FSQ67" s="291"/>
      <x:c r="FSR67" s="291"/>
      <x:c r="FSS67" s="291"/>
      <x:c r="FST67" s="291"/>
      <x:c r="FSU67" s="291"/>
      <x:c r="FSV67" s="291"/>
      <x:c r="FSW67" s="291"/>
      <x:c r="FSX67" s="291"/>
      <x:c r="FSY67" s="291"/>
      <x:c r="FSZ67" s="291"/>
      <x:c r="FTA67" s="291"/>
      <x:c r="FTB67" s="291"/>
      <x:c r="FTC67" s="291"/>
      <x:c r="FTD67" s="291"/>
      <x:c r="FTE67" s="291"/>
      <x:c r="FTF67" s="291"/>
      <x:c r="FTG67" s="291"/>
      <x:c r="FTH67" s="291"/>
      <x:c r="FTI67" s="291"/>
      <x:c r="FTJ67" s="291"/>
      <x:c r="FTK67" s="291"/>
      <x:c r="FTL67" s="291"/>
      <x:c r="FTM67" s="291"/>
      <x:c r="FTN67" s="291"/>
      <x:c r="FTO67" s="291"/>
      <x:c r="FTP67" s="291"/>
      <x:c r="FTQ67" s="291"/>
      <x:c r="FTR67" s="291"/>
      <x:c r="FTS67" s="291"/>
      <x:c r="FTT67" s="291"/>
      <x:c r="FTU67" s="291"/>
      <x:c r="FTV67" s="291"/>
      <x:c r="FTW67" s="291"/>
      <x:c r="FTX67" s="291"/>
      <x:c r="FTY67" s="291"/>
      <x:c r="FTZ67" s="291"/>
      <x:c r="FUA67" s="291"/>
      <x:c r="FUB67" s="291"/>
      <x:c r="FUC67" s="291"/>
      <x:c r="FUD67" s="291"/>
      <x:c r="FUE67" s="291"/>
      <x:c r="FUF67" s="291"/>
      <x:c r="FUG67" s="291"/>
      <x:c r="FUH67" s="291"/>
      <x:c r="FUI67" s="291"/>
      <x:c r="FUJ67" s="291"/>
      <x:c r="FUK67" s="291"/>
      <x:c r="FUL67" s="291"/>
      <x:c r="FUM67" s="291"/>
      <x:c r="FUN67" s="291"/>
      <x:c r="FUO67" s="291"/>
      <x:c r="FUP67" s="291"/>
      <x:c r="FUQ67" s="291"/>
      <x:c r="FUR67" s="291"/>
      <x:c r="FUS67" s="291"/>
      <x:c r="FUT67" s="291"/>
      <x:c r="FUU67" s="291"/>
      <x:c r="FUV67" s="291"/>
      <x:c r="FUW67" s="291"/>
      <x:c r="FUX67" s="291"/>
      <x:c r="FUY67" s="291"/>
      <x:c r="FUZ67" s="291"/>
      <x:c r="FVA67" s="291"/>
      <x:c r="FVB67" s="291"/>
      <x:c r="FVC67" s="291"/>
      <x:c r="FVD67" s="291"/>
      <x:c r="FVE67" s="291"/>
      <x:c r="FVF67" s="291"/>
      <x:c r="FVG67" s="291"/>
      <x:c r="FVH67" s="291"/>
      <x:c r="FVI67" s="291"/>
      <x:c r="FVJ67" s="291"/>
      <x:c r="FVK67" s="291"/>
      <x:c r="FVL67" s="291"/>
      <x:c r="FVM67" s="291"/>
      <x:c r="FVN67" s="291"/>
      <x:c r="FVO67" s="291"/>
      <x:c r="FVP67" s="291"/>
      <x:c r="FVQ67" s="291"/>
      <x:c r="FVR67" s="291"/>
      <x:c r="FVS67" s="291"/>
      <x:c r="FVT67" s="291"/>
      <x:c r="FVU67" s="291"/>
      <x:c r="FVV67" s="291"/>
      <x:c r="FVW67" s="291"/>
      <x:c r="FVX67" s="291"/>
      <x:c r="FVY67" s="291"/>
      <x:c r="FVZ67" s="291"/>
      <x:c r="FWA67" s="291"/>
      <x:c r="FWB67" s="291"/>
      <x:c r="FWC67" s="291"/>
      <x:c r="FWD67" s="291"/>
      <x:c r="FWE67" s="291"/>
      <x:c r="FWF67" s="291"/>
      <x:c r="FWG67" s="291"/>
      <x:c r="FWH67" s="291"/>
      <x:c r="FWI67" s="291"/>
      <x:c r="FWJ67" s="291"/>
      <x:c r="FWK67" s="291"/>
      <x:c r="FWL67" s="291"/>
      <x:c r="FWM67" s="291"/>
      <x:c r="FWN67" s="291"/>
      <x:c r="FWO67" s="291"/>
      <x:c r="FWP67" s="291"/>
      <x:c r="FWQ67" s="291"/>
      <x:c r="FWR67" s="291"/>
      <x:c r="FWS67" s="291"/>
      <x:c r="FWT67" s="291"/>
      <x:c r="FWU67" s="291"/>
      <x:c r="FWV67" s="291"/>
      <x:c r="FWW67" s="291"/>
      <x:c r="FWX67" s="291"/>
      <x:c r="FWY67" s="291"/>
      <x:c r="FWZ67" s="291"/>
      <x:c r="FXA67" s="291"/>
      <x:c r="FXB67" s="291"/>
      <x:c r="FXC67" s="291"/>
      <x:c r="FXD67" s="291"/>
      <x:c r="FXE67" s="291"/>
      <x:c r="FXF67" s="291"/>
      <x:c r="FXG67" s="291"/>
      <x:c r="FXH67" s="291"/>
      <x:c r="FXI67" s="291"/>
      <x:c r="FXJ67" s="291"/>
      <x:c r="FXK67" s="291"/>
      <x:c r="FXL67" s="291"/>
      <x:c r="FXM67" s="291"/>
      <x:c r="FXN67" s="291"/>
      <x:c r="FXO67" s="291"/>
      <x:c r="FXP67" s="291"/>
      <x:c r="FXQ67" s="291"/>
      <x:c r="FXR67" s="291"/>
      <x:c r="FXS67" s="291"/>
      <x:c r="FXT67" s="291"/>
      <x:c r="FXU67" s="291"/>
      <x:c r="FXV67" s="291"/>
      <x:c r="FXW67" s="291"/>
      <x:c r="FXX67" s="291"/>
      <x:c r="FXY67" s="291"/>
      <x:c r="FXZ67" s="291"/>
      <x:c r="FYA67" s="291"/>
      <x:c r="FYB67" s="291"/>
      <x:c r="FYC67" s="291"/>
      <x:c r="FYD67" s="291"/>
      <x:c r="FYE67" s="291"/>
      <x:c r="FYF67" s="291"/>
      <x:c r="FYG67" s="291"/>
      <x:c r="FYH67" s="291"/>
      <x:c r="FYI67" s="291"/>
      <x:c r="FYJ67" s="291"/>
      <x:c r="FYK67" s="291"/>
      <x:c r="FYL67" s="291"/>
      <x:c r="FYM67" s="291"/>
      <x:c r="FYN67" s="291"/>
      <x:c r="FYO67" s="291"/>
      <x:c r="FYP67" s="291"/>
      <x:c r="FYQ67" s="291"/>
      <x:c r="FYR67" s="291"/>
      <x:c r="FYS67" s="291"/>
      <x:c r="FYT67" s="291"/>
      <x:c r="FYU67" s="291"/>
      <x:c r="FYV67" s="291"/>
      <x:c r="FYW67" s="291"/>
      <x:c r="FYX67" s="291"/>
      <x:c r="FYY67" s="291"/>
      <x:c r="FYZ67" s="291"/>
      <x:c r="FZA67" s="291"/>
      <x:c r="FZB67" s="291"/>
      <x:c r="FZC67" s="291"/>
      <x:c r="FZD67" s="291"/>
      <x:c r="FZE67" s="291"/>
      <x:c r="FZF67" s="291"/>
      <x:c r="FZG67" s="291"/>
      <x:c r="FZH67" s="291"/>
      <x:c r="FZI67" s="291"/>
      <x:c r="FZJ67" s="291"/>
      <x:c r="FZK67" s="291"/>
      <x:c r="FZL67" s="291"/>
      <x:c r="FZM67" s="291"/>
      <x:c r="FZN67" s="291"/>
      <x:c r="FZO67" s="291"/>
      <x:c r="FZP67" s="291"/>
      <x:c r="FZQ67" s="291"/>
      <x:c r="FZR67" s="291"/>
      <x:c r="FZS67" s="291"/>
      <x:c r="FZT67" s="291"/>
      <x:c r="FZU67" s="291"/>
      <x:c r="FZV67" s="291"/>
      <x:c r="FZW67" s="291"/>
      <x:c r="FZX67" s="291"/>
      <x:c r="FZY67" s="291"/>
      <x:c r="FZZ67" s="291"/>
      <x:c r="GAA67" s="291"/>
      <x:c r="GAB67" s="291"/>
      <x:c r="GAC67" s="291"/>
      <x:c r="GAD67" s="291"/>
      <x:c r="GAE67" s="291"/>
      <x:c r="GAF67" s="291"/>
      <x:c r="GAG67" s="291"/>
      <x:c r="GAH67" s="291"/>
      <x:c r="GAI67" s="291"/>
      <x:c r="GAJ67" s="291"/>
      <x:c r="GAK67" s="291"/>
      <x:c r="GAL67" s="291"/>
      <x:c r="GAM67" s="291"/>
      <x:c r="GAN67" s="291"/>
      <x:c r="GAO67" s="291"/>
      <x:c r="GAP67" s="291"/>
      <x:c r="GAQ67" s="291"/>
      <x:c r="GAR67" s="291"/>
      <x:c r="GAS67" s="291"/>
      <x:c r="GAT67" s="291"/>
      <x:c r="GAU67" s="291"/>
      <x:c r="GAV67" s="291"/>
      <x:c r="GAW67" s="291"/>
      <x:c r="GAX67" s="291"/>
      <x:c r="GAY67" s="291"/>
      <x:c r="GAZ67" s="291"/>
      <x:c r="GBA67" s="291"/>
      <x:c r="GBB67" s="291"/>
      <x:c r="GBC67" s="291"/>
      <x:c r="GBD67" s="291"/>
      <x:c r="GBE67" s="291"/>
      <x:c r="GBF67" s="291"/>
      <x:c r="GBG67" s="291"/>
      <x:c r="GBH67" s="291"/>
      <x:c r="GBI67" s="291"/>
      <x:c r="GBJ67" s="291"/>
      <x:c r="GBK67" s="291"/>
      <x:c r="GBL67" s="291"/>
      <x:c r="GBM67" s="291"/>
      <x:c r="GBN67" s="291"/>
      <x:c r="GBO67" s="291"/>
      <x:c r="GBP67" s="291"/>
      <x:c r="GBQ67" s="291"/>
      <x:c r="GBR67" s="291"/>
      <x:c r="GBS67" s="291"/>
      <x:c r="GBT67" s="291"/>
      <x:c r="GBU67" s="291"/>
      <x:c r="GBV67" s="291"/>
      <x:c r="GBW67" s="291"/>
      <x:c r="GBX67" s="291"/>
      <x:c r="GBY67" s="291"/>
      <x:c r="GBZ67" s="291"/>
      <x:c r="GCA67" s="291"/>
      <x:c r="GCB67" s="291"/>
      <x:c r="GCC67" s="291"/>
      <x:c r="GCD67" s="291"/>
      <x:c r="GCE67" s="291"/>
      <x:c r="GCF67" s="291"/>
      <x:c r="GCG67" s="291"/>
      <x:c r="GCH67" s="291"/>
      <x:c r="GCI67" s="291"/>
      <x:c r="GCJ67" s="291"/>
      <x:c r="GCK67" s="291"/>
      <x:c r="GCL67" s="291"/>
      <x:c r="GCM67" s="291"/>
      <x:c r="GCN67" s="291"/>
      <x:c r="GCO67" s="291"/>
      <x:c r="GCP67" s="291"/>
      <x:c r="GCQ67" s="291"/>
      <x:c r="GCR67" s="291"/>
      <x:c r="GCS67" s="291"/>
      <x:c r="GCT67" s="291"/>
      <x:c r="GCU67" s="291"/>
      <x:c r="GCV67" s="291"/>
      <x:c r="GCW67" s="291"/>
      <x:c r="GCX67" s="291"/>
      <x:c r="GCY67" s="291"/>
      <x:c r="GCZ67" s="291"/>
      <x:c r="GDA67" s="291"/>
      <x:c r="GDB67" s="291"/>
      <x:c r="GDC67" s="291"/>
      <x:c r="GDD67" s="291"/>
      <x:c r="GDE67" s="291"/>
      <x:c r="GDF67" s="291"/>
      <x:c r="GDG67" s="291"/>
      <x:c r="GDH67" s="291"/>
      <x:c r="GDI67" s="291"/>
      <x:c r="GDJ67" s="291"/>
      <x:c r="GDK67" s="291"/>
      <x:c r="GDL67" s="291"/>
      <x:c r="GDM67" s="291"/>
      <x:c r="GDN67" s="291"/>
      <x:c r="GDO67" s="291"/>
      <x:c r="GDP67" s="291"/>
      <x:c r="GDQ67" s="291"/>
      <x:c r="GDR67" s="291"/>
      <x:c r="GDS67" s="291"/>
      <x:c r="GDT67" s="291"/>
      <x:c r="GDU67" s="291"/>
      <x:c r="GDV67" s="291"/>
      <x:c r="GDW67" s="291"/>
      <x:c r="GDX67" s="291"/>
      <x:c r="GDY67" s="291"/>
      <x:c r="GDZ67" s="291"/>
      <x:c r="GEA67" s="291"/>
      <x:c r="GEB67" s="291"/>
      <x:c r="GEC67" s="291"/>
      <x:c r="GED67" s="291"/>
      <x:c r="GEE67" s="291"/>
      <x:c r="GEF67" s="291"/>
      <x:c r="GEG67" s="291"/>
      <x:c r="GEH67" s="291"/>
      <x:c r="GEI67" s="291"/>
      <x:c r="GEJ67" s="291"/>
      <x:c r="GEK67" s="291"/>
      <x:c r="GEL67" s="291"/>
      <x:c r="GEM67" s="291"/>
      <x:c r="GEN67" s="291"/>
      <x:c r="GEO67" s="291"/>
      <x:c r="GEP67" s="291"/>
      <x:c r="GEQ67" s="291"/>
      <x:c r="GER67" s="291"/>
      <x:c r="GES67" s="291"/>
      <x:c r="GET67" s="291"/>
      <x:c r="GEU67" s="291"/>
      <x:c r="GEV67" s="291"/>
      <x:c r="GEW67" s="291"/>
      <x:c r="GEX67" s="291"/>
      <x:c r="GEY67" s="291"/>
      <x:c r="GEZ67" s="291"/>
      <x:c r="GFA67" s="291"/>
      <x:c r="GFB67" s="291"/>
      <x:c r="GFC67" s="291"/>
      <x:c r="GFD67" s="291"/>
      <x:c r="GFE67" s="291"/>
      <x:c r="GFF67" s="291"/>
      <x:c r="GFG67" s="291"/>
      <x:c r="GFH67" s="291"/>
      <x:c r="GFI67" s="291"/>
      <x:c r="GFJ67" s="291"/>
      <x:c r="GFK67" s="291"/>
      <x:c r="GFL67" s="291"/>
      <x:c r="GFM67" s="291"/>
      <x:c r="GFN67" s="291"/>
      <x:c r="GFO67" s="291"/>
      <x:c r="GFP67" s="291"/>
      <x:c r="GFQ67" s="291"/>
      <x:c r="GFR67" s="291"/>
      <x:c r="GFS67" s="291"/>
      <x:c r="GFT67" s="291"/>
      <x:c r="GFU67" s="291"/>
      <x:c r="GFV67" s="291"/>
      <x:c r="GFW67" s="291"/>
      <x:c r="GFX67" s="291"/>
      <x:c r="GFY67" s="291"/>
      <x:c r="GFZ67" s="291"/>
      <x:c r="GGA67" s="291"/>
      <x:c r="GGB67" s="291"/>
      <x:c r="GGC67" s="291"/>
      <x:c r="GGD67" s="291"/>
      <x:c r="GGE67" s="291"/>
      <x:c r="GGF67" s="291"/>
      <x:c r="GGG67" s="291"/>
      <x:c r="GGH67" s="291"/>
      <x:c r="GGI67" s="291"/>
      <x:c r="GGJ67" s="291"/>
      <x:c r="GGK67" s="291"/>
      <x:c r="GGL67" s="291"/>
      <x:c r="GGM67" s="291"/>
      <x:c r="GGN67" s="291"/>
      <x:c r="GGO67" s="291"/>
      <x:c r="GGP67" s="291"/>
      <x:c r="GGQ67" s="291"/>
      <x:c r="GGR67" s="291"/>
      <x:c r="GGS67" s="291"/>
      <x:c r="GGT67" s="291"/>
      <x:c r="GGU67" s="291"/>
      <x:c r="GGV67" s="291"/>
      <x:c r="GGW67" s="291"/>
      <x:c r="GGX67" s="291"/>
      <x:c r="GGY67" s="291"/>
      <x:c r="GGZ67" s="291"/>
      <x:c r="GHA67" s="291"/>
      <x:c r="GHB67" s="291"/>
      <x:c r="GHC67" s="291"/>
      <x:c r="GHD67" s="291"/>
      <x:c r="GHE67" s="291"/>
      <x:c r="GHF67" s="291"/>
      <x:c r="GHG67" s="291"/>
      <x:c r="GHH67" s="291"/>
      <x:c r="GHI67" s="291"/>
      <x:c r="GHJ67" s="291"/>
      <x:c r="GHK67" s="291"/>
      <x:c r="GHL67" s="291"/>
      <x:c r="GHM67" s="291"/>
      <x:c r="GHN67" s="291"/>
      <x:c r="GHO67" s="291"/>
      <x:c r="GHP67" s="291"/>
      <x:c r="GHQ67" s="291"/>
      <x:c r="GHR67" s="291"/>
      <x:c r="GHS67" s="291"/>
      <x:c r="GHT67" s="291"/>
      <x:c r="GHU67" s="291"/>
      <x:c r="GHV67" s="291"/>
      <x:c r="GHW67" s="291"/>
      <x:c r="GHX67" s="291"/>
      <x:c r="GHY67" s="291"/>
      <x:c r="GHZ67" s="291"/>
      <x:c r="GIA67" s="291"/>
      <x:c r="GIB67" s="291"/>
      <x:c r="GIC67" s="291"/>
      <x:c r="GID67" s="291"/>
      <x:c r="GIE67" s="291"/>
      <x:c r="GIF67" s="291"/>
      <x:c r="GIG67" s="291"/>
      <x:c r="GIH67" s="291"/>
      <x:c r="GII67" s="291"/>
      <x:c r="GIJ67" s="291"/>
      <x:c r="GIK67" s="291"/>
      <x:c r="GIL67" s="291"/>
      <x:c r="GIM67" s="291"/>
      <x:c r="GIN67" s="291"/>
      <x:c r="GIO67" s="291"/>
      <x:c r="GIP67" s="291"/>
      <x:c r="GIQ67" s="291"/>
      <x:c r="GIR67" s="291"/>
      <x:c r="GIS67" s="291"/>
      <x:c r="GIT67" s="291"/>
      <x:c r="GIU67" s="291"/>
      <x:c r="GIV67" s="291"/>
      <x:c r="GIW67" s="291"/>
      <x:c r="GIX67" s="291"/>
      <x:c r="GIY67" s="291"/>
      <x:c r="GIZ67" s="291"/>
      <x:c r="GJA67" s="291"/>
      <x:c r="GJB67" s="291"/>
      <x:c r="GJC67" s="291"/>
      <x:c r="GJD67" s="291"/>
      <x:c r="GJE67" s="291"/>
      <x:c r="GJF67" s="291"/>
      <x:c r="GJG67" s="291"/>
      <x:c r="GJH67" s="291"/>
      <x:c r="GJI67" s="291"/>
      <x:c r="GJJ67" s="291"/>
      <x:c r="GJK67" s="291"/>
      <x:c r="GJL67" s="291"/>
      <x:c r="GJM67" s="291"/>
      <x:c r="GJN67" s="291"/>
      <x:c r="GJO67" s="291"/>
      <x:c r="GJP67" s="291"/>
      <x:c r="GJQ67" s="291"/>
      <x:c r="GJR67" s="291"/>
      <x:c r="GJS67" s="291"/>
      <x:c r="GJT67" s="291"/>
      <x:c r="GJU67" s="291"/>
      <x:c r="GJV67" s="291"/>
      <x:c r="GJW67" s="291"/>
      <x:c r="GJX67" s="291"/>
      <x:c r="GJY67" s="291"/>
      <x:c r="GJZ67" s="291"/>
      <x:c r="GKA67" s="291"/>
      <x:c r="GKB67" s="291"/>
      <x:c r="GKC67" s="291"/>
      <x:c r="GKD67" s="291"/>
      <x:c r="GKE67" s="291"/>
      <x:c r="GKF67" s="291"/>
      <x:c r="GKG67" s="291"/>
      <x:c r="GKH67" s="291"/>
      <x:c r="GKI67" s="291"/>
      <x:c r="GKJ67" s="291"/>
      <x:c r="GKK67" s="291"/>
      <x:c r="GKL67" s="291"/>
      <x:c r="GKM67" s="291"/>
      <x:c r="GKN67" s="291"/>
      <x:c r="GKO67" s="291"/>
      <x:c r="GKP67" s="291"/>
      <x:c r="GKQ67" s="291"/>
      <x:c r="GKR67" s="291"/>
      <x:c r="GKS67" s="291"/>
      <x:c r="GKT67" s="291"/>
      <x:c r="GKU67" s="291"/>
      <x:c r="GKV67" s="291"/>
      <x:c r="GKW67" s="291"/>
      <x:c r="GKX67" s="291"/>
      <x:c r="GKY67" s="291"/>
      <x:c r="GKZ67" s="291"/>
      <x:c r="GLA67" s="291"/>
      <x:c r="GLB67" s="291"/>
      <x:c r="GLC67" s="291"/>
      <x:c r="GLD67" s="291"/>
      <x:c r="GLE67" s="291"/>
      <x:c r="GLF67" s="291"/>
      <x:c r="GLG67" s="291"/>
      <x:c r="GLH67" s="291"/>
      <x:c r="GLI67" s="291"/>
      <x:c r="GLJ67" s="291"/>
      <x:c r="GLK67" s="291"/>
      <x:c r="GLL67" s="291"/>
      <x:c r="GLM67" s="291"/>
      <x:c r="GLN67" s="291"/>
      <x:c r="GLO67" s="291"/>
      <x:c r="GLP67" s="291"/>
      <x:c r="GLQ67" s="291"/>
      <x:c r="GLR67" s="291"/>
      <x:c r="GLS67" s="291"/>
      <x:c r="GLT67" s="291"/>
      <x:c r="GLU67" s="291"/>
      <x:c r="GLV67" s="291"/>
      <x:c r="GLW67" s="291"/>
      <x:c r="GLX67" s="291"/>
      <x:c r="GLY67" s="291"/>
      <x:c r="GLZ67" s="291"/>
      <x:c r="GMA67" s="291"/>
      <x:c r="GMB67" s="291"/>
      <x:c r="GMC67" s="291"/>
      <x:c r="GMD67" s="291"/>
      <x:c r="GME67" s="291"/>
      <x:c r="GMF67" s="291"/>
      <x:c r="GMG67" s="291"/>
      <x:c r="GMH67" s="291"/>
      <x:c r="GMI67" s="291"/>
      <x:c r="GMJ67" s="291"/>
      <x:c r="GMK67" s="291"/>
      <x:c r="GML67" s="291"/>
      <x:c r="GMM67" s="291"/>
      <x:c r="GMN67" s="291"/>
      <x:c r="GMO67" s="291"/>
      <x:c r="GMP67" s="291"/>
      <x:c r="GMQ67" s="291"/>
      <x:c r="GMR67" s="291"/>
      <x:c r="GMS67" s="291"/>
      <x:c r="GMT67" s="291"/>
      <x:c r="GMU67" s="291"/>
      <x:c r="GMV67" s="291"/>
      <x:c r="GMW67" s="291"/>
      <x:c r="GMX67" s="291"/>
      <x:c r="GMY67" s="291"/>
      <x:c r="GMZ67" s="291"/>
      <x:c r="GNA67" s="291"/>
      <x:c r="GNB67" s="291"/>
      <x:c r="GNC67" s="291"/>
      <x:c r="GND67" s="291"/>
      <x:c r="GNE67" s="291"/>
      <x:c r="GNF67" s="291"/>
      <x:c r="GNG67" s="291"/>
      <x:c r="GNH67" s="291"/>
      <x:c r="GNI67" s="291"/>
      <x:c r="GNJ67" s="291"/>
      <x:c r="GNK67" s="291"/>
      <x:c r="GNL67" s="291"/>
      <x:c r="GNM67" s="291"/>
      <x:c r="GNN67" s="291"/>
      <x:c r="GNO67" s="291"/>
      <x:c r="GNP67" s="291"/>
      <x:c r="GNQ67" s="291"/>
      <x:c r="GNR67" s="291"/>
      <x:c r="GNS67" s="291"/>
      <x:c r="GNT67" s="291"/>
      <x:c r="GNU67" s="291"/>
      <x:c r="GNV67" s="291"/>
      <x:c r="GNW67" s="291"/>
      <x:c r="GNX67" s="291"/>
      <x:c r="GNY67" s="291"/>
      <x:c r="GNZ67" s="291"/>
      <x:c r="GOA67" s="291"/>
      <x:c r="GOB67" s="291"/>
      <x:c r="GOC67" s="291"/>
      <x:c r="GOD67" s="291"/>
      <x:c r="GOE67" s="291"/>
      <x:c r="GOF67" s="291"/>
      <x:c r="GOG67" s="291"/>
      <x:c r="GOH67" s="291"/>
      <x:c r="GOI67" s="291"/>
      <x:c r="GOJ67" s="291"/>
      <x:c r="GOK67" s="291"/>
      <x:c r="GOL67" s="291"/>
      <x:c r="GOM67" s="291"/>
      <x:c r="GON67" s="291"/>
      <x:c r="GOO67" s="291"/>
      <x:c r="GOP67" s="291"/>
      <x:c r="GOQ67" s="291"/>
      <x:c r="GOR67" s="291"/>
      <x:c r="GOS67" s="291"/>
      <x:c r="GOT67" s="291"/>
      <x:c r="GOU67" s="291"/>
      <x:c r="GOV67" s="291"/>
      <x:c r="GOW67" s="291"/>
      <x:c r="GOX67" s="291"/>
      <x:c r="GOY67" s="291"/>
      <x:c r="GOZ67" s="291"/>
      <x:c r="GPA67" s="291"/>
      <x:c r="GPB67" s="291"/>
      <x:c r="GPC67" s="291"/>
      <x:c r="GPD67" s="291"/>
      <x:c r="GPE67" s="291"/>
      <x:c r="GPF67" s="291"/>
      <x:c r="GPG67" s="291"/>
      <x:c r="GPH67" s="291"/>
      <x:c r="GPI67" s="291"/>
      <x:c r="GPJ67" s="291"/>
      <x:c r="GPK67" s="291"/>
      <x:c r="GPL67" s="291"/>
      <x:c r="GPM67" s="291"/>
      <x:c r="GPN67" s="291"/>
      <x:c r="GPO67" s="291"/>
      <x:c r="GPP67" s="291"/>
      <x:c r="GPQ67" s="291"/>
      <x:c r="GPR67" s="291"/>
      <x:c r="GPS67" s="291"/>
      <x:c r="GPT67" s="291"/>
      <x:c r="GPU67" s="291"/>
      <x:c r="GPV67" s="291"/>
      <x:c r="GPW67" s="291"/>
      <x:c r="GPX67" s="291"/>
      <x:c r="GPY67" s="291"/>
      <x:c r="GPZ67" s="291"/>
      <x:c r="GQA67" s="291"/>
      <x:c r="GQB67" s="291"/>
      <x:c r="GQC67" s="291"/>
      <x:c r="GQD67" s="291"/>
      <x:c r="GQE67" s="291"/>
      <x:c r="GQF67" s="291"/>
      <x:c r="GQG67" s="291"/>
      <x:c r="GQH67" s="291"/>
      <x:c r="GQI67" s="291"/>
      <x:c r="GQJ67" s="291"/>
      <x:c r="GQK67" s="291"/>
      <x:c r="GQL67" s="291"/>
      <x:c r="GQM67" s="291"/>
      <x:c r="GQN67" s="291"/>
      <x:c r="GQO67" s="291"/>
      <x:c r="GQP67" s="291"/>
      <x:c r="GQQ67" s="291"/>
      <x:c r="GQR67" s="291"/>
      <x:c r="GQS67" s="291"/>
      <x:c r="GQT67" s="291"/>
      <x:c r="GQU67" s="291"/>
      <x:c r="GQV67" s="291"/>
      <x:c r="GQW67" s="291"/>
      <x:c r="GQX67" s="291"/>
      <x:c r="GQY67" s="291"/>
      <x:c r="GQZ67" s="291"/>
      <x:c r="GRA67" s="291"/>
      <x:c r="GRB67" s="291"/>
      <x:c r="GRC67" s="291"/>
      <x:c r="GRD67" s="291"/>
      <x:c r="GRE67" s="291"/>
      <x:c r="GRF67" s="291"/>
      <x:c r="GRG67" s="291"/>
      <x:c r="GRH67" s="291"/>
      <x:c r="GRI67" s="291"/>
      <x:c r="GRJ67" s="291"/>
      <x:c r="GRK67" s="291"/>
      <x:c r="GRL67" s="291"/>
      <x:c r="GRM67" s="291"/>
      <x:c r="GRN67" s="291"/>
      <x:c r="GRO67" s="291"/>
      <x:c r="GRP67" s="291"/>
      <x:c r="GRQ67" s="291"/>
      <x:c r="GRR67" s="291"/>
      <x:c r="GRS67" s="291"/>
      <x:c r="GRT67" s="291"/>
      <x:c r="GRU67" s="291"/>
      <x:c r="GRV67" s="291"/>
      <x:c r="GRW67" s="291"/>
      <x:c r="GRX67" s="291"/>
      <x:c r="GRY67" s="291"/>
      <x:c r="GRZ67" s="291"/>
      <x:c r="GSA67" s="291"/>
      <x:c r="GSB67" s="291"/>
      <x:c r="GSC67" s="291"/>
      <x:c r="GSD67" s="291"/>
      <x:c r="GSE67" s="291"/>
      <x:c r="GSF67" s="291"/>
      <x:c r="GSG67" s="291"/>
      <x:c r="GSH67" s="291"/>
      <x:c r="GSI67" s="291"/>
      <x:c r="GSJ67" s="291"/>
      <x:c r="GSK67" s="291"/>
      <x:c r="GSL67" s="291"/>
      <x:c r="GSM67" s="291"/>
      <x:c r="GSN67" s="291"/>
      <x:c r="GSO67" s="291"/>
      <x:c r="GSP67" s="291"/>
      <x:c r="GSQ67" s="291"/>
      <x:c r="GSR67" s="291"/>
      <x:c r="GSS67" s="291"/>
      <x:c r="GST67" s="291"/>
      <x:c r="GSU67" s="291"/>
      <x:c r="GSV67" s="291"/>
      <x:c r="GSW67" s="291"/>
      <x:c r="GSX67" s="291"/>
      <x:c r="GSY67" s="291"/>
      <x:c r="GSZ67" s="291"/>
      <x:c r="GTA67" s="291"/>
      <x:c r="GTB67" s="291"/>
      <x:c r="GTC67" s="291"/>
      <x:c r="GTD67" s="291"/>
      <x:c r="GTE67" s="291"/>
      <x:c r="GTF67" s="291"/>
      <x:c r="GTG67" s="291"/>
      <x:c r="GTH67" s="291"/>
      <x:c r="GTI67" s="291"/>
      <x:c r="GTJ67" s="291"/>
      <x:c r="GTK67" s="291"/>
      <x:c r="GTL67" s="291"/>
      <x:c r="GTM67" s="291"/>
      <x:c r="GTN67" s="291"/>
      <x:c r="GTO67" s="291"/>
      <x:c r="GTP67" s="291"/>
      <x:c r="GTQ67" s="291"/>
      <x:c r="GTR67" s="291"/>
      <x:c r="GTS67" s="291"/>
      <x:c r="GTT67" s="291"/>
      <x:c r="GTU67" s="291"/>
      <x:c r="GTV67" s="291"/>
      <x:c r="GTW67" s="291"/>
      <x:c r="GTX67" s="291"/>
      <x:c r="GTY67" s="291"/>
      <x:c r="GTZ67" s="291"/>
      <x:c r="GUA67" s="291"/>
      <x:c r="GUB67" s="291"/>
      <x:c r="GUC67" s="291"/>
      <x:c r="GUD67" s="291"/>
      <x:c r="GUE67" s="291"/>
      <x:c r="GUF67" s="291"/>
      <x:c r="GUG67" s="291"/>
      <x:c r="GUH67" s="291"/>
      <x:c r="GUI67" s="291"/>
      <x:c r="GUJ67" s="291"/>
      <x:c r="GUK67" s="291"/>
      <x:c r="GUL67" s="291"/>
      <x:c r="GUM67" s="291"/>
      <x:c r="GUN67" s="291"/>
      <x:c r="GUO67" s="291"/>
      <x:c r="GUP67" s="291"/>
      <x:c r="GUQ67" s="291"/>
      <x:c r="GUR67" s="291"/>
      <x:c r="GUS67" s="291"/>
      <x:c r="GUT67" s="291"/>
      <x:c r="GUU67" s="291"/>
      <x:c r="GUV67" s="291"/>
      <x:c r="GUW67" s="291"/>
      <x:c r="GUX67" s="291"/>
      <x:c r="GUY67" s="291"/>
      <x:c r="GUZ67" s="291"/>
      <x:c r="GVA67" s="291"/>
      <x:c r="GVB67" s="291"/>
      <x:c r="GVC67" s="291"/>
      <x:c r="GVD67" s="291"/>
      <x:c r="GVE67" s="291"/>
      <x:c r="GVF67" s="291"/>
      <x:c r="GVG67" s="291"/>
      <x:c r="GVH67" s="291"/>
      <x:c r="GVI67" s="291"/>
      <x:c r="GVJ67" s="291"/>
      <x:c r="GVK67" s="291"/>
      <x:c r="GVL67" s="291"/>
      <x:c r="GVM67" s="291"/>
      <x:c r="GVN67" s="291"/>
      <x:c r="GVO67" s="291"/>
      <x:c r="GVP67" s="291"/>
      <x:c r="GVQ67" s="291"/>
      <x:c r="GVR67" s="291"/>
      <x:c r="GVS67" s="291"/>
      <x:c r="GVT67" s="291"/>
      <x:c r="GVU67" s="291"/>
      <x:c r="GVV67" s="291"/>
      <x:c r="GVW67" s="291"/>
      <x:c r="GVX67" s="291"/>
      <x:c r="GVY67" s="291"/>
      <x:c r="GVZ67" s="291"/>
      <x:c r="GWA67" s="291"/>
      <x:c r="GWB67" s="291"/>
      <x:c r="GWC67" s="291"/>
      <x:c r="GWD67" s="291"/>
      <x:c r="GWE67" s="291"/>
      <x:c r="GWF67" s="291"/>
      <x:c r="GWG67" s="291"/>
      <x:c r="GWH67" s="291"/>
      <x:c r="GWI67" s="291"/>
      <x:c r="GWJ67" s="291"/>
      <x:c r="GWK67" s="291"/>
      <x:c r="GWL67" s="291"/>
      <x:c r="GWM67" s="291"/>
      <x:c r="GWN67" s="291"/>
      <x:c r="GWO67" s="291"/>
      <x:c r="GWP67" s="291"/>
      <x:c r="GWQ67" s="291"/>
      <x:c r="GWR67" s="291"/>
      <x:c r="GWS67" s="291"/>
      <x:c r="GWT67" s="291"/>
      <x:c r="GWU67" s="291"/>
      <x:c r="GWV67" s="291"/>
      <x:c r="GWW67" s="291"/>
      <x:c r="GWX67" s="291"/>
      <x:c r="GWY67" s="291"/>
      <x:c r="GWZ67" s="291"/>
      <x:c r="GXA67" s="291"/>
      <x:c r="GXB67" s="291"/>
      <x:c r="GXC67" s="291"/>
      <x:c r="GXD67" s="291"/>
      <x:c r="GXE67" s="291"/>
      <x:c r="GXF67" s="291"/>
      <x:c r="GXG67" s="291"/>
      <x:c r="GXH67" s="291"/>
      <x:c r="GXI67" s="291"/>
      <x:c r="GXJ67" s="291"/>
      <x:c r="GXK67" s="291"/>
      <x:c r="GXL67" s="291"/>
      <x:c r="GXM67" s="291"/>
      <x:c r="GXN67" s="291"/>
      <x:c r="GXO67" s="291"/>
      <x:c r="GXP67" s="291"/>
      <x:c r="GXQ67" s="291"/>
      <x:c r="GXR67" s="291"/>
      <x:c r="GXS67" s="291"/>
      <x:c r="GXT67" s="291"/>
      <x:c r="GXU67" s="291"/>
      <x:c r="GXV67" s="291"/>
      <x:c r="GXW67" s="291"/>
      <x:c r="GXX67" s="291"/>
      <x:c r="GXY67" s="291"/>
      <x:c r="GXZ67" s="291"/>
      <x:c r="GYA67" s="291"/>
      <x:c r="GYB67" s="291"/>
      <x:c r="GYC67" s="291"/>
      <x:c r="GYD67" s="291"/>
      <x:c r="GYE67" s="291"/>
      <x:c r="GYF67" s="291"/>
      <x:c r="GYG67" s="291"/>
      <x:c r="GYH67" s="291"/>
      <x:c r="GYI67" s="291"/>
      <x:c r="GYJ67" s="291"/>
      <x:c r="GYK67" s="291"/>
      <x:c r="GYL67" s="291"/>
      <x:c r="GYM67" s="291"/>
      <x:c r="GYN67" s="291"/>
      <x:c r="GYO67" s="291"/>
      <x:c r="GYP67" s="291"/>
      <x:c r="GYQ67" s="291"/>
      <x:c r="GYR67" s="291"/>
      <x:c r="GYS67" s="291"/>
      <x:c r="GYT67" s="291"/>
      <x:c r="GYU67" s="291"/>
      <x:c r="GYV67" s="291"/>
      <x:c r="GYW67" s="291"/>
      <x:c r="GYX67" s="291"/>
      <x:c r="GYY67" s="291"/>
      <x:c r="GYZ67" s="291"/>
      <x:c r="GZA67" s="291"/>
      <x:c r="GZB67" s="291"/>
      <x:c r="GZC67" s="291"/>
      <x:c r="GZD67" s="291"/>
      <x:c r="GZE67" s="291"/>
      <x:c r="GZF67" s="291"/>
      <x:c r="GZG67" s="291"/>
      <x:c r="GZH67" s="291"/>
      <x:c r="GZI67" s="291"/>
      <x:c r="GZJ67" s="291"/>
      <x:c r="GZK67" s="291"/>
      <x:c r="GZL67" s="291"/>
      <x:c r="GZM67" s="291"/>
      <x:c r="GZN67" s="291"/>
      <x:c r="GZO67" s="291"/>
      <x:c r="GZP67" s="291"/>
      <x:c r="GZQ67" s="291"/>
      <x:c r="GZR67" s="291"/>
      <x:c r="GZS67" s="291"/>
      <x:c r="GZT67" s="291"/>
      <x:c r="GZU67" s="291"/>
      <x:c r="GZV67" s="291"/>
      <x:c r="GZW67" s="291"/>
      <x:c r="GZX67" s="291"/>
      <x:c r="GZY67" s="291"/>
      <x:c r="GZZ67" s="291"/>
      <x:c r="HAA67" s="291"/>
      <x:c r="HAB67" s="291"/>
      <x:c r="HAC67" s="291"/>
      <x:c r="HAD67" s="291"/>
      <x:c r="HAE67" s="291"/>
      <x:c r="HAF67" s="291"/>
      <x:c r="HAG67" s="291"/>
      <x:c r="HAH67" s="291"/>
      <x:c r="HAI67" s="291"/>
      <x:c r="HAJ67" s="291"/>
      <x:c r="HAK67" s="291"/>
      <x:c r="HAL67" s="291"/>
      <x:c r="HAM67" s="291"/>
      <x:c r="HAN67" s="291"/>
      <x:c r="HAO67" s="291"/>
      <x:c r="HAP67" s="291"/>
      <x:c r="HAQ67" s="291"/>
      <x:c r="HAR67" s="291"/>
      <x:c r="HAS67" s="291"/>
      <x:c r="HAT67" s="291"/>
      <x:c r="HAU67" s="291"/>
      <x:c r="HAV67" s="291"/>
      <x:c r="HAW67" s="291"/>
      <x:c r="HAX67" s="291"/>
      <x:c r="HAY67" s="291"/>
      <x:c r="HAZ67" s="291"/>
      <x:c r="HBA67" s="291"/>
      <x:c r="HBB67" s="291"/>
      <x:c r="HBC67" s="291"/>
      <x:c r="HBD67" s="291"/>
      <x:c r="HBE67" s="291"/>
      <x:c r="HBF67" s="291"/>
      <x:c r="HBG67" s="291"/>
      <x:c r="HBH67" s="291"/>
      <x:c r="HBI67" s="291"/>
      <x:c r="HBJ67" s="291"/>
      <x:c r="HBK67" s="291"/>
      <x:c r="HBL67" s="291"/>
      <x:c r="HBM67" s="291"/>
      <x:c r="HBN67" s="291"/>
      <x:c r="HBO67" s="291"/>
      <x:c r="HBP67" s="291"/>
      <x:c r="HBQ67" s="291"/>
      <x:c r="HBR67" s="291"/>
      <x:c r="HBS67" s="291"/>
      <x:c r="HBT67" s="291"/>
      <x:c r="HBU67" s="291"/>
      <x:c r="HBV67" s="291"/>
      <x:c r="HBW67" s="291"/>
      <x:c r="HBX67" s="291"/>
      <x:c r="HBY67" s="291"/>
      <x:c r="HBZ67" s="291"/>
      <x:c r="HCA67" s="291"/>
      <x:c r="HCB67" s="291"/>
      <x:c r="HCC67" s="291"/>
      <x:c r="HCD67" s="291"/>
      <x:c r="HCE67" s="291"/>
      <x:c r="HCF67" s="291"/>
      <x:c r="HCG67" s="291"/>
      <x:c r="HCH67" s="291"/>
      <x:c r="HCI67" s="291"/>
      <x:c r="HCJ67" s="291"/>
      <x:c r="HCK67" s="291"/>
      <x:c r="HCL67" s="291"/>
      <x:c r="HCM67" s="291"/>
      <x:c r="HCN67" s="291"/>
      <x:c r="HCO67" s="291"/>
      <x:c r="HCP67" s="291"/>
      <x:c r="HCQ67" s="291"/>
      <x:c r="HCR67" s="291"/>
      <x:c r="HCS67" s="291"/>
      <x:c r="HCT67" s="291"/>
      <x:c r="HCU67" s="291"/>
      <x:c r="HCV67" s="291"/>
      <x:c r="HCW67" s="291"/>
      <x:c r="HCX67" s="291"/>
      <x:c r="HCY67" s="291"/>
      <x:c r="HCZ67" s="291"/>
      <x:c r="HDA67" s="291"/>
      <x:c r="HDB67" s="291"/>
      <x:c r="HDC67" s="291"/>
      <x:c r="HDD67" s="291"/>
      <x:c r="HDE67" s="291"/>
      <x:c r="HDF67" s="291"/>
      <x:c r="HDG67" s="291"/>
      <x:c r="HDH67" s="291"/>
      <x:c r="HDI67" s="291"/>
      <x:c r="HDJ67" s="291"/>
      <x:c r="HDK67" s="291"/>
      <x:c r="HDL67" s="291"/>
      <x:c r="HDM67" s="291"/>
      <x:c r="HDN67" s="291"/>
      <x:c r="HDO67" s="291"/>
      <x:c r="HDP67" s="291"/>
      <x:c r="HDQ67" s="291"/>
      <x:c r="HDR67" s="291"/>
      <x:c r="HDS67" s="291"/>
      <x:c r="HDT67" s="291"/>
      <x:c r="HDU67" s="291"/>
      <x:c r="HDV67" s="291"/>
      <x:c r="HDW67" s="291"/>
      <x:c r="HDX67" s="291"/>
      <x:c r="HDY67" s="291"/>
      <x:c r="HDZ67" s="291"/>
      <x:c r="HEA67" s="291"/>
      <x:c r="HEB67" s="291"/>
      <x:c r="HEC67" s="291"/>
      <x:c r="HED67" s="291"/>
      <x:c r="HEE67" s="291"/>
      <x:c r="HEF67" s="291"/>
      <x:c r="HEG67" s="291"/>
      <x:c r="HEH67" s="291"/>
      <x:c r="HEI67" s="291"/>
      <x:c r="HEJ67" s="291"/>
      <x:c r="HEK67" s="291"/>
      <x:c r="HEL67" s="291"/>
      <x:c r="HEM67" s="291"/>
      <x:c r="HEN67" s="291"/>
      <x:c r="HEO67" s="291"/>
      <x:c r="HEP67" s="291"/>
      <x:c r="HEQ67" s="291"/>
      <x:c r="HER67" s="291"/>
      <x:c r="HES67" s="291"/>
      <x:c r="HET67" s="291"/>
      <x:c r="HEU67" s="291"/>
      <x:c r="HEV67" s="291"/>
      <x:c r="HEW67" s="291"/>
      <x:c r="HEX67" s="291"/>
      <x:c r="HEY67" s="291"/>
      <x:c r="HEZ67" s="291"/>
      <x:c r="HFA67" s="291"/>
      <x:c r="HFB67" s="291"/>
      <x:c r="HFC67" s="291"/>
      <x:c r="HFD67" s="291"/>
      <x:c r="HFE67" s="291"/>
      <x:c r="HFF67" s="291"/>
      <x:c r="HFG67" s="291"/>
      <x:c r="HFH67" s="291"/>
      <x:c r="HFI67" s="291"/>
      <x:c r="HFJ67" s="291"/>
      <x:c r="HFK67" s="291"/>
      <x:c r="HFL67" s="291"/>
      <x:c r="HFM67" s="291"/>
      <x:c r="HFN67" s="291"/>
      <x:c r="HFO67" s="291"/>
      <x:c r="HFP67" s="291"/>
      <x:c r="HFQ67" s="291"/>
      <x:c r="HFR67" s="291"/>
      <x:c r="HFS67" s="291"/>
      <x:c r="HFT67" s="291"/>
      <x:c r="HFU67" s="291"/>
      <x:c r="HFV67" s="291"/>
      <x:c r="HFW67" s="291"/>
      <x:c r="HFX67" s="291"/>
      <x:c r="HFY67" s="291"/>
      <x:c r="HFZ67" s="291"/>
      <x:c r="HGA67" s="291"/>
      <x:c r="HGB67" s="291"/>
      <x:c r="HGC67" s="291"/>
      <x:c r="HGD67" s="291"/>
      <x:c r="HGE67" s="291"/>
      <x:c r="HGF67" s="291"/>
      <x:c r="HGG67" s="291"/>
      <x:c r="HGH67" s="291"/>
      <x:c r="HGI67" s="291"/>
      <x:c r="HGJ67" s="291"/>
      <x:c r="HGK67" s="291"/>
      <x:c r="HGL67" s="291"/>
      <x:c r="HGM67" s="291"/>
      <x:c r="HGN67" s="291"/>
      <x:c r="HGO67" s="291"/>
      <x:c r="HGP67" s="291"/>
      <x:c r="HGQ67" s="291"/>
      <x:c r="HGR67" s="291"/>
      <x:c r="HGS67" s="291"/>
      <x:c r="HGT67" s="291"/>
      <x:c r="HGU67" s="291"/>
      <x:c r="HGV67" s="291"/>
      <x:c r="HGW67" s="291"/>
      <x:c r="HGX67" s="291"/>
      <x:c r="HGY67" s="291"/>
      <x:c r="HGZ67" s="291"/>
      <x:c r="HHA67" s="291"/>
      <x:c r="HHB67" s="291"/>
      <x:c r="HHC67" s="291"/>
      <x:c r="HHD67" s="291"/>
      <x:c r="HHE67" s="291"/>
      <x:c r="HHF67" s="291"/>
      <x:c r="HHG67" s="291"/>
      <x:c r="HHH67" s="291"/>
      <x:c r="HHI67" s="291"/>
      <x:c r="HHJ67" s="291"/>
      <x:c r="HHK67" s="291"/>
      <x:c r="HHL67" s="291"/>
      <x:c r="HHM67" s="291"/>
      <x:c r="HHN67" s="291"/>
      <x:c r="HHO67" s="291"/>
      <x:c r="HHP67" s="291"/>
      <x:c r="HHQ67" s="291"/>
      <x:c r="HHR67" s="291"/>
      <x:c r="HHS67" s="291"/>
      <x:c r="HHT67" s="291"/>
      <x:c r="HHU67" s="291"/>
      <x:c r="HHV67" s="291"/>
      <x:c r="HHW67" s="291"/>
      <x:c r="HHX67" s="291"/>
      <x:c r="HHY67" s="291"/>
      <x:c r="HHZ67" s="291"/>
      <x:c r="HIA67" s="291"/>
      <x:c r="HIB67" s="291"/>
      <x:c r="HIC67" s="291"/>
      <x:c r="HID67" s="291"/>
      <x:c r="HIE67" s="291"/>
      <x:c r="HIF67" s="291"/>
      <x:c r="HIG67" s="291"/>
      <x:c r="HIH67" s="291"/>
      <x:c r="HII67" s="291"/>
      <x:c r="HIJ67" s="291"/>
      <x:c r="HIK67" s="291"/>
      <x:c r="HIL67" s="291"/>
      <x:c r="HIM67" s="291"/>
      <x:c r="HIN67" s="291"/>
      <x:c r="HIO67" s="291"/>
      <x:c r="HIP67" s="291"/>
      <x:c r="HIQ67" s="291"/>
      <x:c r="HIR67" s="291"/>
      <x:c r="HIS67" s="291"/>
      <x:c r="HIT67" s="291"/>
      <x:c r="HIU67" s="291"/>
      <x:c r="HIV67" s="291"/>
      <x:c r="HIW67" s="291"/>
      <x:c r="HIX67" s="291"/>
      <x:c r="HIY67" s="291"/>
      <x:c r="HIZ67" s="291"/>
      <x:c r="HJA67" s="291"/>
      <x:c r="HJB67" s="291"/>
      <x:c r="HJC67" s="291"/>
      <x:c r="HJD67" s="291"/>
      <x:c r="HJE67" s="291"/>
      <x:c r="HJF67" s="291"/>
      <x:c r="HJG67" s="291"/>
      <x:c r="HJH67" s="291"/>
      <x:c r="HJI67" s="291"/>
      <x:c r="HJJ67" s="291"/>
      <x:c r="HJK67" s="291"/>
      <x:c r="HJL67" s="291"/>
      <x:c r="HJM67" s="291"/>
      <x:c r="HJN67" s="291"/>
      <x:c r="HJO67" s="291"/>
      <x:c r="HJP67" s="291"/>
      <x:c r="HJQ67" s="291"/>
      <x:c r="HJR67" s="291"/>
      <x:c r="HJS67" s="291"/>
      <x:c r="HJT67" s="291"/>
      <x:c r="HJU67" s="291"/>
      <x:c r="HJV67" s="291"/>
      <x:c r="HJW67" s="291"/>
      <x:c r="HJX67" s="291"/>
      <x:c r="HJY67" s="291"/>
      <x:c r="HJZ67" s="291"/>
      <x:c r="HKA67" s="291"/>
      <x:c r="HKB67" s="291"/>
      <x:c r="HKC67" s="291"/>
      <x:c r="HKD67" s="291"/>
      <x:c r="HKE67" s="291"/>
      <x:c r="HKF67" s="291"/>
      <x:c r="HKG67" s="291"/>
      <x:c r="HKH67" s="291"/>
      <x:c r="HKI67" s="291"/>
      <x:c r="HKJ67" s="291"/>
      <x:c r="HKK67" s="291"/>
      <x:c r="HKL67" s="291"/>
      <x:c r="HKM67" s="291"/>
      <x:c r="HKN67" s="291"/>
      <x:c r="HKO67" s="291"/>
      <x:c r="HKP67" s="291"/>
      <x:c r="HKQ67" s="291"/>
      <x:c r="HKR67" s="291"/>
      <x:c r="HKS67" s="291"/>
      <x:c r="HKT67" s="291"/>
      <x:c r="HKU67" s="291"/>
      <x:c r="HKV67" s="291"/>
      <x:c r="HKW67" s="291"/>
      <x:c r="HKX67" s="291"/>
      <x:c r="HKY67" s="291"/>
      <x:c r="HKZ67" s="291"/>
      <x:c r="HLA67" s="291"/>
      <x:c r="HLB67" s="291"/>
      <x:c r="HLC67" s="291"/>
      <x:c r="HLD67" s="291"/>
      <x:c r="HLE67" s="291"/>
      <x:c r="HLF67" s="291"/>
      <x:c r="HLG67" s="291"/>
      <x:c r="HLH67" s="291"/>
      <x:c r="HLI67" s="291"/>
      <x:c r="HLJ67" s="291"/>
      <x:c r="HLK67" s="291"/>
      <x:c r="HLL67" s="291"/>
      <x:c r="HLM67" s="291"/>
      <x:c r="HLN67" s="291"/>
      <x:c r="HLO67" s="291"/>
      <x:c r="HLP67" s="291"/>
      <x:c r="HLQ67" s="291"/>
      <x:c r="HLR67" s="291"/>
      <x:c r="HLS67" s="291"/>
      <x:c r="HLT67" s="291"/>
      <x:c r="HLU67" s="291"/>
      <x:c r="HLV67" s="291"/>
      <x:c r="HLW67" s="291"/>
      <x:c r="HLX67" s="291"/>
      <x:c r="HLY67" s="291"/>
      <x:c r="HLZ67" s="291"/>
      <x:c r="HMA67" s="291"/>
      <x:c r="HMB67" s="291"/>
      <x:c r="HMC67" s="291"/>
      <x:c r="HMD67" s="291"/>
      <x:c r="HME67" s="291"/>
      <x:c r="HMF67" s="291"/>
      <x:c r="HMG67" s="291"/>
      <x:c r="HMH67" s="291"/>
      <x:c r="HMI67" s="291"/>
      <x:c r="HMJ67" s="291"/>
      <x:c r="HMK67" s="291"/>
      <x:c r="HML67" s="291"/>
      <x:c r="HMM67" s="291"/>
      <x:c r="HMN67" s="291"/>
      <x:c r="HMO67" s="291"/>
      <x:c r="HMP67" s="291"/>
      <x:c r="HMQ67" s="291"/>
      <x:c r="HMR67" s="291"/>
      <x:c r="HMS67" s="291"/>
      <x:c r="HMT67" s="291"/>
      <x:c r="HMU67" s="291"/>
      <x:c r="HMV67" s="291"/>
      <x:c r="HMW67" s="291"/>
      <x:c r="HMX67" s="291"/>
      <x:c r="HMY67" s="291"/>
      <x:c r="HMZ67" s="291"/>
      <x:c r="HNA67" s="291"/>
      <x:c r="HNB67" s="291"/>
      <x:c r="HNC67" s="291"/>
      <x:c r="HND67" s="291"/>
      <x:c r="HNE67" s="291"/>
      <x:c r="HNF67" s="291"/>
      <x:c r="HNG67" s="291"/>
      <x:c r="HNH67" s="291"/>
      <x:c r="HNI67" s="291"/>
      <x:c r="HNJ67" s="291"/>
      <x:c r="HNK67" s="291"/>
      <x:c r="HNL67" s="291"/>
      <x:c r="HNM67" s="291"/>
      <x:c r="HNN67" s="291"/>
      <x:c r="HNO67" s="291"/>
      <x:c r="HNP67" s="291"/>
      <x:c r="HNQ67" s="291"/>
      <x:c r="HNR67" s="291"/>
      <x:c r="HNS67" s="291"/>
      <x:c r="HNT67" s="291"/>
      <x:c r="HNU67" s="291"/>
      <x:c r="HNV67" s="291"/>
      <x:c r="HNW67" s="291"/>
      <x:c r="HNX67" s="291"/>
      <x:c r="HNY67" s="291"/>
      <x:c r="HNZ67" s="291"/>
      <x:c r="HOA67" s="291"/>
      <x:c r="HOB67" s="291"/>
      <x:c r="HOC67" s="291"/>
      <x:c r="HOD67" s="291"/>
      <x:c r="HOE67" s="291"/>
      <x:c r="HOF67" s="291"/>
      <x:c r="HOG67" s="291"/>
      <x:c r="HOH67" s="291"/>
      <x:c r="HOI67" s="291"/>
      <x:c r="HOJ67" s="291"/>
      <x:c r="HOK67" s="291"/>
      <x:c r="HOL67" s="291"/>
      <x:c r="HOM67" s="291"/>
      <x:c r="HON67" s="291"/>
      <x:c r="HOO67" s="291"/>
      <x:c r="HOP67" s="291"/>
      <x:c r="HOQ67" s="291"/>
      <x:c r="HOR67" s="291"/>
      <x:c r="HOS67" s="291"/>
      <x:c r="HOT67" s="291"/>
      <x:c r="HOU67" s="291"/>
      <x:c r="HOV67" s="291"/>
      <x:c r="HOW67" s="291"/>
      <x:c r="HOX67" s="291"/>
      <x:c r="HOY67" s="291"/>
      <x:c r="HOZ67" s="291"/>
      <x:c r="HPA67" s="291"/>
      <x:c r="HPB67" s="291"/>
      <x:c r="HPC67" s="291"/>
      <x:c r="HPD67" s="291"/>
      <x:c r="HPE67" s="291"/>
      <x:c r="HPF67" s="291"/>
      <x:c r="HPG67" s="291"/>
      <x:c r="HPH67" s="291"/>
      <x:c r="HPI67" s="291"/>
      <x:c r="HPJ67" s="291"/>
      <x:c r="HPK67" s="291"/>
      <x:c r="HPL67" s="291"/>
      <x:c r="HPM67" s="291"/>
      <x:c r="HPN67" s="291"/>
      <x:c r="HPO67" s="291"/>
      <x:c r="HPP67" s="291"/>
      <x:c r="HPQ67" s="291"/>
      <x:c r="HPR67" s="291"/>
      <x:c r="HPS67" s="291"/>
      <x:c r="HPT67" s="291"/>
      <x:c r="HPU67" s="291"/>
      <x:c r="HPV67" s="291"/>
      <x:c r="HPW67" s="291"/>
      <x:c r="HPX67" s="291"/>
      <x:c r="HPY67" s="291"/>
      <x:c r="HPZ67" s="291"/>
      <x:c r="HQA67" s="291"/>
      <x:c r="HQB67" s="291"/>
      <x:c r="HQC67" s="291"/>
      <x:c r="HQD67" s="291"/>
      <x:c r="HQE67" s="291"/>
      <x:c r="HQF67" s="291"/>
      <x:c r="HQG67" s="291"/>
      <x:c r="HQH67" s="291"/>
      <x:c r="HQI67" s="291"/>
      <x:c r="HQJ67" s="291"/>
      <x:c r="HQK67" s="291"/>
      <x:c r="HQL67" s="291"/>
      <x:c r="HQM67" s="291"/>
      <x:c r="HQN67" s="291"/>
      <x:c r="HQO67" s="291"/>
      <x:c r="HQP67" s="291"/>
      <x:c r="HQQ67" s="291"/>
      <x:c r="HQR67" s="291"/>
      <x:c r="HQS67" s="291"/>
      <x:c r="HQT67" s="291"/>
      <x:c r="HQU67" s="291"/>
      <x:c r="HQV67" s="291"/>
      <x:c r="HQW67" s="291"/>
      <x:c r="HQX67" s="291"/>
      <x:c r="HQY67" s="291"/>
      <x:c r="HQZ67" s="291"/>
      <x:c r="HRA67" s="291"/>
      <x:c r="HRB67" s="291"/>
      <x:c r="HRC67" s="291"/>
      <x:c r="HRD67" s="291"/>
      <x:c r="HRE67" s="291"/>
      <x:c r="HRF67" s="291"/>
      <x:c r="HRG67" s="291"/>
      <x:c r="HRH67" s="291"/>
      <x:c r="HRI67" s="291"/>
      <x:c r="HRJ67" s="291"/>
      <x:c r="HRK67" s="291"/>
      <x:c r="HRL67" s="291"/>
      <x:c r="HRM67" s="291"/>
      <x:c r="HRN67" s="291"/>
      <x:c r="HRO67" s="291"/>
      <x:c r="HRP67" s="291"/>
      <x:c r="HRQ67" s="291"/>
      <x:c r="HRR67" s="291"/>
      <x:c r="HRS67" s="291"/>
      <x:c r="HRT67" s="291"/>
      <x:c r="HRU67" s="291"/>
      <x:c r="HRV67" s="291"/>
      <x:c r="HRW67" s="291"/>
      <x:c r="HRX67" s="291"/>
      <x:c r="HRY67" s="291"/>
      <x:c r="HRZ67" s="291"/>
      <x:c r="HSA67" s="291"/>
      <x:c r="HSB67" s="291"/>
      <x:c r="HSC67" s="291"/>
      <x:c r="HSD67" s="291"/>
      <x:c r="HSE67" s="291"/>
      <x:c r="HSF67" s="291"/>
      <x:c r="HSG67" s="291"/>
      <x:c r="HSH67" s="291"/>
      <x:c r="HSI67" s="291"/>
      <x:c r="HSJ67" s="291"/>
      <x:c r="HSK67" s="291"/>
      <x:c r="HSL67" s="291"/>
      <x:c r="HSM67" s="291"/>
      <x:c r="HSN67" s="291"/>
      <x:c r="HSO67" s="291"/>
      <x:c r="HSP67" s="291"/>
      <x:c r="HSQ67" s="291"/>
      <x:c r="HSR67" s="291"/>
      <x:c r="HSS67" s="291"/>
      <x:c r="HST67" s="291"/>
      <x:c r="HSU67" s="291"/>
      <x:c r="HSV67" s="291"/>
      <x:c r="HSW67" s="291"/>
      <x:c r="HSX67" s="291"/>
      <x:c r="HSY67" s="291"/>
      <x:c r="HSZ67" s="291"/>
      <x:c r="HTA67" s="291"/>
      <x:c r="HTB67" s="291"/>
      <x:c r="HTC67" s="291"/>
      <x:c r="HTD67" s="291"/>
      <x:c r="HTE67" s="291"/>
      <x:c r="HTF67" s="291"/>
      <x:c r="HTG67" s="291"/>
      <x:c r="HTH67" s="291"/>
      <x:c r="HTI67" s="291"/>
      <x:c r="HTJ67" s="291"/>
      <x:c r="HTK67" s="291"/>
      <x:c r="HTL67" s="291"/>
      <x:c r="HTM67" s="291"/>
      <x:c r="HTN67" s="291"/>
      <x:c r="HTO67" s="291"/>
      <x:c r="HTP67" s="291"/>
      <x:c r="HTQ67" s="291"/>
      <x:c r="HTR67" s="291"/>
      <x:c r="HTS67" s="291"/>
      <x:c r="HTT67" s="291"/>
      <x:c r="HTU67" s="291"/>
      <x:c r="HTV67" s="291"/>
      <x:c r="HTW67" s="291"/>
      <x:c r="HTX67" s="291"/>
      <x:c r="HTY67" s="291"/>
      <x:c r="HTZ67" s="291"/>
      <x:c r="HUA67" s="291"/>
      <x:c r="HUB67" s="291"/>
      <x:c r="HUC67" s="291"/>
      <x:c r="HUD67" s="291"/>
      <x:c r="HUE67" s="291"/>
      <x:c r="HUF67" s="291"/>
      <x:c r="HUG67" s="291"/>
      <x:c r="HUH67" s="291"/>
      <x:c r="HUI67" s="291"/>
      <x:c r="HUJ67" s="291"/>
      <x:c r="HUK67" s="291"/>
      <x:c r="HUL67" s="291"/>
      <x:c r="HUM67" s="291"/>
      <x:c r="HUN67" s="291"/>
      <x:c r="HUO67" s="291"/>
      <x:c r="HUP67" s="291"/>
      <x:c r="HUQ67" s="291"/>
      <x:c r="HUR67" s="291"/>
      <x:c r="HUS67" s="291"/>
      <x:c r="HUT67" s="291"/>
      <x:c r="HUU67" s="291"/>
      <x:c r="HUV67" s="291"/>
      <x:c r="HUW67" s="291"/>
      <x:c r="HUX67" s="291"/>
      <x:c r="HUY67" s="291"/>
      <x:c r="HUZ67" s="291"/>
      <x:c r="HVA67" s="291"/>
      <x:c r="HVB67" s="291"/>
      <x:c r="HVC67" s="291"/>
      <x:c r="HVD67" s="291"/>
      <x:c r="HVE67" s="291"/>
      <x:c r="HVF67" s="291"/>
      <x:c r="HVG67" s="291"/>
      <x:c r="HVH67" s="291"/>
      <x:c r="HVI67" s="291"/>
      <x:c r="HVJ67" s="291"/>
      <x:c r="HVK67" s="291"/>
      <x:c r="HVL67" s="291"/>
      <x:c r="HVM67" s="291"/>
      <x:c r="HVN67" s="291"/>
      <x:c r="HVO67" s="291"/>
      <x:c r="HVP67" s="291"/>
      <x:c r="HVQ67" s="291"/>
      <x:c r="HVR67" s="291"/>
      <x:c r="HVS67" s="291"/>
      <x:c r="HVT67" s="291"/>
      <x:c r="HVU67" s="291"/>
      <x:c r="HVV67" s="291"/>
      <x:c r="HVW67" s="291"/>
      <x:c r="HVX67" s="291"/>
      <x:c r="HVY67" s="291"/>
      <x:c r="HVZ67" s="291"/>
      <x:c r="HWA67" s="291"/>
      <x:c r="HWB67" s="291"/>
      <x:c r="HWC67" s="291"/>
      <x:c r="HWD67" s="291"/>
      <x:c r="HWE67" s="291"/>
      <x:c r="HWF67" s="291"/>
      <x:c r="HWG67" s="291"/>
      <x:c r="HWH67" s="291"/>
      <x:c r="HWI67" s="291"/>
      <x:c r="HWJ67" s="291"/>
      <x:c r="HWK67" s="291"/>
      <x:c r="HWL67" s="291"/>
      <x:c r="HWM67" s="291"/>
      <x:c r="HWN67" s="291"/>
      <x:c r="HWO67" s="291"/>
      <x:c r="HWP67" s="291"/>
      <x:c r="HWQ67" s="291"/>
      <x:c r="HWR67" s="291"/>
      <x:c r="HWS67" s="291"/>
      <x:c r="HWT67" s="291"/>
      <x:c r="HWU67" s="291"/>
      <x:c r="HWV67" s="291"/>
      <x:c r="HWW67" s="291"/>
      <x:c r="HWX67" s="291"/>
      <x:c r="HWY67" s="291"/>
      <x:c r="HWZ67" s="291"/>
      <x:c r="HXA67" s="291"/>
      <x:c r="HXB67" s="291"/>
      <x:c r="HXC67" s="291"/>
      <x:c r="HXD67" s="291"/>
      <x:c r="HXE67" s="291"/>
      <x:c r="HXF67" s="291"/>
      <x:c r="HXG67" s="291"/>
      <x:c r="HXH67" s="291"/>
      <x:c r="HXI67" s="291"/>
      <x:c r="HXJ67" s="291"/>
      <x:c r="HXK67" s="291"/>
      <x:c r="HXL67" s="291"/>
      <x:c r="HXM67" s="291"/>
      <x:c r="HXN67" s="291"/>
      <x:c r="HXO67" s="291"/>
      <x:c r="HXP67" s="291"/>
      <x:c r="HXQ67" s="291"/>
      <x:c r="HXR67" s="291"/>
      <x:c r="HXS67" s="291"/>
      <x:c r="HXT67" s="291"/>
      <x:c r="HXU67" s="291"/>
      <x:c r="HXV67" s="291"/>
      <x:c r="HXW67" s="291"/>
      <x:c r="HXX67" s="291"/>
      <x:c r="HXY67" s="291"/>
      <x:c r="HXZ67" s="291"/>
      <x:c r="HYA67" s="291"/>
      <x:c r="HYB67" s="291"/>
      <x:c r="HYC67" s="291"/>
      <x:c r="HYD67" s="291"/>
      <x:c r="HYE67" s="291"/>
      <x:c r="HYF67" s="291"/>
      <x:c r="HYG67" s="291"/>
      <x:c r="HYH67" s="291"/>
      <x:c r="HYI67" s="291"/>
      <x:c r="HYJ67" s="291"/>
      <x:c r="HYK67" s="291"/>
      <x:c r="HYL67" s="291"/>
      <x:c r="HYM67" s="291"/>
      <x:c r="HYN67" s="291"/>
      <x:c r="HYO67" s="291"/>
      <x:c r="HYP67" s="291"/>
      <x:c r="HYQ67" s="291"/>
      <x:c r="HYR67" s="291"/>
      <x:c r="HYS67" s="291"/>
      <x:c r="HYT67" s="291"/>
      <x:c r="HYU67" s="291"/>
      <x:c r="HYV67" s="291"/>
      <x:c r="HYW67" s="291"/>
      <x:c r="HYX67" s="291"/>
      <x:c r="HYY67" s="291"/>
      <x:c r="HYZ67" s="291"/>
      <x:c r="HZA67" s="291"/>
      <x:c r="HZB67" s="291"/>
      <x:c r="HZC67" s="291"/>
      <x:c r="HZD67" s="291"/>
      <x:c r="HZE67" s="291"/>
      <x:c r="HZF67" s="291"/>
      <x:c r="HZG67" s="291"/>
      <x:c r="HZH67" s="291"/>
      <x:c r="HZI67" s="291"/>
      <x:c r="HZJ67" s="291"/>
      <x:c r="HZK67" s="291"/>
      <x:c r="HZL67" s="291"/>
      <x:c r="HZM67" s="291"/>
      <x:c r="HZN67" s="291"/>
      <x:c r="HZO67" s="291"/>
      <x:c r="HZP67" s="291"/>
      <x:c r="HZQ67" s="291"/>
      <x:c r="HZR67" s="291"/>
      <x:c r="HZS67" s="291"/>
      <x:c r="HZT67" s="291"/>
      <x:c r="HZU67" s="291"/>
      <x:c r="HZV67" s="291"/>
      <x:c r="HZW67" s="291"/>
      <x:c r="HZX67" s="291"/>
      <x:c r="HZY67" s="291"/>
      <x:c r="HZZ67" s="291"/>
      <x:c r="IAA67" s="291"/>
      <x:c r="IAB67" s="291"/>
      <x:c r="IAC67" s="291"/>
      <x:c r="IAD67" s="291"/>
      <x:c r="IAE67" s="291"/>
      <x:c r="IAF67" s="291"/>
      <x:c r="IAG67" s="291"/>
      <x:c r="IAH67" s="291"/>
      <x:c r="IAI67" s="291"/>
      <x:c r="IAJ67" s="291"/>
      <x:c r="IAK67" s="291"/>
      <x:c r="IAL67" s="291"/>
      <x:c r="IAM67" s="291"/>
      <x:c r="IAN67" s="291"/>
      <x:c r="IAO67" s="291"/>
      <x:c r="IAP67" s="291"/>
      <x:c r="IAQ67" s="291"/>
      <x:c r="IAR67" s="291"/>
      <x:c r="IAS67" s="291"/>
      <x:c r="IAT67" s="291"/>
      <x:c r="IAU67" s="291"/>
      <x:c r="IAV67" s="291"/>
      <x:c r="IAW67" s="291"/>
      <x:c r="IAX67" s="291"/>
      <x:c r="IAY67" s="291"/>
      <x:c r="IAZ67" s="291"/>
      <x:c r="IBA67" s="291"/>
      <x:c r="IBB67" s="291"/>
      <x:c r="IBC67" s="291"/>
      <x:c r="IBD67" s="291"/>
      <x:c r="IBE67" s="291"/>
      <x:c r="IBF67" s="291"/>
      <x:c r="IBG67" s="291"/>
      <x:c r="IBH67" s="291"/>
      <x:c r="IBI67" s="291"/>
      <x:c r="IBJ67" s="291"/>
      <x:c r="IBK67" s="291"/>
      <x:c r="IBL67" s="291"/>
      <x:c r="IBM67" s="291"/>
      <x:c r="IBN67" s="291"/>
      <x:c r="IBO67" s="291"/>
      <x:c r="IBP67" s="291"/>
      <x:c r="IBQ67" s="291"/>
      <x:c r="IBR67" s="291"/>
      <x:c r="IBS67" s="291"/>
      <x:c r="IBT67" s="291"/>
      <x:c r="IBU67" s="291"/>
      <x:c r="IBV67" s="291"/>
      <x:c r="IBW67" s="291"/>
      <x:c r="IBX67" s="291"/>
      <x:c r="IBY67" s="291"/>
      <x:c r="IBZ67" s="291"/>
      <x:c r="ICA67" s="291"/>
      <x:c r="ICB67" s="291"/>
      <x:c r="ICC67" s="291"/>
      <x:c r="ICD67" s="291"/>
      <x:c r="ICE67" s="291"/>
      <x:c r="ICF67" s="291"/>
      <x:c r="ICG67" s="291"/>
      <x:c r="ICH67" s="291"/>
      <x:c r="ICI67" s="291"/>
      <x:c r="ICJ67" s="291"/>
      <x:c r="ICK67" s="291"/>
      <x:c r="ICL67" s="291"/>
      <x:c r="ICM67" s="291"/>
      <x:c r="ICN67" s="291"/>
      <x:c r="ICO67" s="291"/>
      <x:c r="ICP67" s="291"/>
      <x:c r="ICQ67" s="291"/>
      <x:c r="ICR67" s="291"/>
      <x:c r="ICS67" s="291"/>
      <x:c r="ICT67" s="291"/>
      <x:c r="ICU67" s="291"/>
      <x:c r="ICV67" s="291"/>
      <x:c r="ICW67" s="291"/>
      <x:c r="ICX67" s="291"/>
      <x:c r="ICY67" s="291"/>
      <x:c r="ICZ67" s="291"/>
      <x:c r="IDA67" s="291"/>
      <x:c r="IDB67" s="291"/>
      <x:c r="IDC67" s="291"/>
      <x:c r="IDD67" s="291"/>
      <x:c r="IDE67" s="291"/>
      <x:c r="IDF67" s="291"/>
      <x:c r="IDG67" s="291"/>
      <x:c r="IDH67" s="291"/>
      <x:c r="IDI67" s="291"/>
      <x:c r="IDJ67" s="291"/>
      <x:c r="IDK67" s="291"/>
      <x:c r="IDL67" s="291"/>
      <x:c r="IDM67" s="291"/>
      <x:c r="IDN67" s="291"/>
      <x:c r="IDO67" s="291"/>
      <x:c r="IDP67" s="291"/>
      <x:c r="IDQ67" s="291"/>
      <x:c r="IDR67" s="291"/>
      <x:c r="IDS67" s="291"/>
      <x:c r="IDT67" s="291"/>
      <x:c r="IDU67" s="291"/>
      <x:c r="IDV67" s="291"/>
      <x:c r="IDW67" s="291"/>
      <x:c r="IDX67" s="291"/>
      <x:c r="IDY67" s="291"/>
      <x:c r="IDZ67" s="291"/>
      <x:c r="IEA67" s="291"/>
      <x:c r="IEB67" s="291"/>
      <x:c r="IEC67" s="291"/>
      <x:c r="IED67" s="291"/>
      <x:c r="IEE67" s="291"/>
      <x:c r="IEF67" s="291"/>
      <x:c r="IEG67" s="291"/>
      <x:c r="IEH67" s="291"/>
      <x:c r="IEI67" s="291"/>
      <x:c r="IEJ67" s="291"/>
      <x:c r="IEK67" s="291"/>
      <x:c r="IEL67" s="291"/>
      <x:c r="IEM67" s="291"/>
      <x:c r="IEN67" s="291"/>
      <x:c r="IEO67" s="291"/>
      <x:c r="IEP67" s="291"/>
      <x:c r="IEQ67" s="291"/>
      <x:c r="IER67" s="291"/>
      <x:c r="IES67" s="291"/>
      <x:c r="IET67" s="291"/>
      <x:c r="IEU67" s="291"/>
      <x:c r="IEV67" s="291"/>
      <x:c r="IEW67" s="291"/>
      <x:c r="IEX67" s="291"/>
      <x:c r="IEY67" s="291"/>
      <x:c r="IEZ67" s="291"/>
      <x:c r="IFA67" s="291"/>
      <x:c r="IFB67" s="291"/>
      <x:c r="IFC67" s="291"/>
      <x:c r="IFD67" s="291"/>
      <x:c r="IFE67" s="291"/>
      <x:c r="IFF67" s="291"/>
      <x:c r="IFG67" s="291"/>
      <x:c r="IFH67" s="291"/>
      <x:c r="IFI67" s="291"/>
      <x:c r="IFJ67" s="291"/>
      <x:c r="IFK67" s="291"/>
      <x:c r="IFL67" s="291"/>
      <x:c r="IFM67" s="291"/>
      <x:c r="IFN67" s="291"/>
      <x:c r="IFO67" s="291"/>
      <x:c r="IFP67" s="291"/>
      <x:c r="IFQ67" s="291"/>
      <x:c r="IFR67" s="291"/>
      <x:c r="IFS67" s="291"/>
      <x:c r="IFT67" s="291"/>
      <x:c r="IFU67" s="291"/>
      <x:c r="IFV67" s="291"/>
      <x:c r="IFW67" s="291"/>
      <x:c r="IFX67" s="291"/>
      <x:c r="IFY67" s="291"/>
      <x:c r="IFZ67" s="291"/>
      <x:c r="IGA67" s="291"/>
      <x:c r="IGB67" s="291"/>
      <x:c r="IGC67" s="291"/>
      <x:c r="IGD67" s="291"/>
      <x:c r="IGE67" s="291"/>
      <x:c r="IGF67" s="291"/>
      <x:c r="IGG67" s="291"/>
      <x:c r="IGH67" s="291"/>
      <x:c r="IGI67" s="291"/>
      <x:c r="IGJ67" s="291"/>
      <x:c r="IGK67" s="291"/>
      <x:c r="IGL67" s="291"/>
      <x:c r="IGM67" s="291"/>
      <x:c r="IGN67" s="291"/>
      <x:c r="IGO67" s="291"/>
      <x:c r="IGP67" s="291"/>
      <x:c r="IGQ67" s="291"/>
      <x:c r="IGR67" s="291"/>
      <x:c r="IGS67" s="291"/>
      <x:c r="IGT67" s="291"/>
      <x:c r="IGU67" s="291"/>
      <x:c r="IGV67" s="291"/>
      <x:c r="IGW67" s="291"/>
      <x:c r="IGX67" s="291"/>
      <x:c r="IGY67" s="291"/>
      <x:c r="IGZ67" s="291"/>
      <x:c r="IHA67" s="291"/>
      <x:c r="IHB67" s="291"/>
      <x:c r="IHC67" s="291"/>
      <x:c r="IHD67" s="291"/>
      <x:c r="IHE67" s="291"/>
      <x:c r="IHF67" s="291"/>
      <x:c r="IHG67" s="291"/>
      <x:c r="IHH67" s="291"/>
      <x:c r="IHI67" s="291"/>
      <x:c r="IHJ67" s="291"/>
      <x:c r="IHK67" s="291"/>
      <x:c r="IHL67" s="291"/>
      <x:c r="IHM67" s="291"/>
      <x:c r="IHN67" s="291"/>
      <x:c r="IHO67" s="291"/>
      <x:c r="IHP67" s="291"/>
      <x:c r="IHQ67" s="291"/>
      <x:c r="IHR67" s="291"/>
      <x:c r="IHS67" s="291"/>
      <x:c r="IHT67" s="291"/>
      <x:c r="IHU67" s="291"/>
      <x:c r="IHV67" s="291"/>
      <x:c r="IHW67" s="291"/>
      <x:c r="IHX67" s="291"/>
      <x:c r="IHY67" s="291"/>
      <x:c r="IHZ67" s="291"/>
      <x:c r="IIA67" s="291"/>
      <x:c r="IIB67" s="291"/>
      <x:c r="IIC67" s="291"/>
      <x:c r="IID67" s="291"/>
      <x:c r="IIE67" s="291"/>
      <x:c r="IIF67" s="291"/>
      <x:c r="IIG67" s="291"/>
      <x:c r="IIH67" s="291"/>
      <x:c r="III67" s="291"/>
      <x:c r="IIJ67" s="291"/>
      <x:c r="IIK67" s="291"/>
      <x:c r="IIL67" s="291"/>
      <x:c r="IIM67" s="291"/>
      <x:c r="IIN67" s="291"/>
      <x:c r="IIO67" s="291"/>
      <x:c r="IIP67" s="291"/>
      <x:c r="IIQ67" s="291"/>
      <x:c r="IIR67" s="291"/>
      <x:c r="IIS67" s="291"/>
      <x:c r="IIT67" s="291"/>
      <x:c r="IIU67" s="291"/>
      <x:c r="IIV67" s="291"/>
      <x:c r="IIW67" s="291"/>
      <x:c r="IIX67" s="291"/>
      <x:c r="IIY67" s="291"/>
      <x:c r="IIZ67" s="291"/>
      <x:c r="IJA67" s="291"/>
      <x:c r="IJB67" s="291"/>
      <x:c r="IJC67" s="291"/>
      <x:c r="IJD67" s="291"/>
      <x:c r="IJE67" s="291"/>
      <x:c r="IJF67" s="291"/>
      <x:c r="IJG67" s="291"/>
      <x:c r="IJH67" s="291"/>
      <x:c r="IJI67" s="291"/>
      <x:c r="IJJ67" s="291"/>
      <x:c r="IJK67" s="291"/>
      <x:c r="IJL67" s="291"/>
      <x:c r="IJM67" s="291"/>
      <x:c r="IJN67" s="291"/>
      <x:c r="IJO67" s="291"/>
      <x:c r="IJP67" s="291"/>
      <x:c r="IJQ67" s="291"/>
      <x:c r="IJR67" s="291"/>
      <x:c r="IJS67" s="291"/>
      <x:c r="IJT67" s="291"/>
      <x:c r="IJU67" s="291"/>
      <x:c r="IJV67" s="291"/>
      <x:c r="IJW67" s="291"/>
      <x:c r="IJX67" s="291"/>
      <x:c r="IJY67" s="291"/>
      <x:c r="IJZ67" s="291"/>
      <x:c r="IKA67" s="291"/>
      <x:c r="IKB67" s="291"/>
      <x:c r="IKC67" s="291"/>
      <x:c r="IKD67" s="291"/>
      <x:c r="IKE67" s="291"/>
      <x:c r="IKF67" s="291"/>
      <x:c r="IKG67" s="291"/>
      <x:c r="IKH67" s="291"/>
      <x:c r="IKI67" s="291"/>
      <x:c r="IKJ67" s="291"/>
      <x:c r="IKK67" s="291"/>
      <x:c r="IKL67" s="291"/>
      <x:c r="IKM67" s="291"/>
      <x:c r="IKN67" s="291"/>
      <x:c r="IKO67" s="291"/>
      <x:c r="IKP67" s="291"/>
      <x:c r="IKQ67" s="291"/>
      <x:c r="IKR67" s="291"/>
      <x:c r="IKS67" s="291"/>
      <x:c r="IKT67" s="291"/>
      <x:c r="IKU67" s="291"/>
      <x:c r="IKV67" s="291"/>
      <x:c r="IKW67" s="291"/>
      <x:c r="IKX67" s="291"/>
      <x:c r="IKY67" s="291"/>
      <x:c r="IKZ67" s="291"/>
      <x:c r="ILA67" s="291"/>
      <x:c r="ILB67" s="291"/>
      <x:c r="ILC67" s="291"/>
      <x:c r="ILD67" s="291"/>
      <x:c r="ILE67" s="291"/>
      <x:c r="ILF67" s="291"/>
      <x:c r="ILG67" s="291"/>
      <x:c r="ILH67" s="291"/>
      <x:c r="ILI67" s="291"/>
      <x:c r="ILJ67" s="291"/>
      <x:c r="ILK67" s="291"/>
      <x:c r="ILL67" s="291"/>
      <x:c r="ILM67" s="291"/>
      <x:c r="ILN67" s="291"/>
      <x:c r="ILO67" s="291"/>
      <x:c r="ILP67" s="291"/>
      <x:c r="ILQ67" s="291"/>
      <x:c r="ILR67" s="291"/>
      <x:c r="ILS67" s="291"/>
      <x:c r="ILT67" s="291"/>
      <x:c r="ILU67" s="291"/>
      <x:c r="ILV67" s="291"/>
      <x:c r="ILW67" s="291"/>
      <x:c r="ILX67" s="291"/>
      <x:c r="ILY67" s="291"/>
      <x:c r="ILZ67" s="291"/>
      <x:c r="IMA67" s="291"/>
      <x:c r="IMB67" s="291"/>
      <x:c r="IMC67" s="291"/>
      <x:c r="IMD67" s="291"/>
      <x:c r="IME67" s="291"/>
      <x:c r="IMF67" s="291"/>
      <x:c r="IMG67" s="291"/>
      <x:c r="IMH67" s="291"/>
      <x:c r="IMI67" s="291"/>
      <x:c r="IMJ67" s="291"/>
      <x:c r="IMK67" s="291"/>
      <x:c r="IML67" s="291"/>
      <x:c r="IMM67" s="291"/>
      <x:c r="IMN67" s="291"/>
      <x:c r="IMO67" s="291"/>
      <x:c r="IMP67" s="291"/>
      <x:c r="IMQ67" s="291"/>
      <x:c r="IMR67" s="291"/>
      <x:c r="IMS67" s="291"/>
      <x:c r="IMT67" s="291"/>
      <x:c r="IMU67" s="291"/>
      <x:c r="IMV67" s="291"/>
      <x:c r="IMW67" s="291"/>
      <x:c r="IMX67" s="291"/>
      <x:c r="IMY67" s="291"/>
      <x:c r="IMZ67" s="291"/>
      <x:c r="INA67" s="291"/>
      <x:c r="INB67" s="291"/>
      <x:c r="INC67" s="291"/>
      <x:c r="IND67" s="291"/>
      <x:c r="INE67" s="291"/>
      <x:c r="INF67" s="291"/>
      <x:c r="ING67" s="291"/>
      <x:c r="INH67" s="291"/>
      <x:c r="INI67" s="291"/>
      <x:c r="INJ67" s="291"/>
      <x:c r="INK67" s="291"/>
      <x:c r="INL67" s="291"/>
      <x:c r="INM67" s="291"/>
      <x:c r="INN67" s="291"/>
      <x:c r="INO67" s="291"/>
      <x:c r="INP67" s="291"/>
      <x:c r="INQ67" s="291"/>
      <x:c r="INR67" s="291"/>
      <x:c r="INS67" s="291"/>
      <x:c r="INT67" s="291"/>
      <x:c r="INU67" s="291"/>
      <x:c r="INV67" s="291"/>
      <x:c r="INW67" s="291"/>
      <x:c r="INX67" s="291"/>
      <x:c r="INY67" s="291"/>
      <x:c r="INZ67" s="291"/>
      <x:c r="IOA67" s="291"/>
      <x:c r="IOB67" s="291"/>
      <x:c r="IOC67" s="291"/>
      <x:c r="IOD67" s="291"/>
      <x:c r="IOE67" s="291"/>
      <x:c r="IOF67" s="291"/>
      <x:c r="IOG67" s="291"/>
      <x:c r="IOH67" s="291"/>
      <x:c r="IOI67" s="291"/>
      <x:c r="IOJ67" s="291"/>
      <x:c r="IOK67" s="291"/>
      <x:c r="IOL67" s="291"/>
      <x:c r="IOM67" s="291"/>
      <x:c r="ION67" s="291"/>
      <x:c r="IOO67" s="291"/>
      <x:c r="IOP67" s="291"/>
      <x:c r="IOQ67" s="291"/>
      <x:c r="IOR67" s="291"/>
      <x:c r="IOS67" s="291"/>
      <x:c r="IOT67" s="291"/>
      <x:c r="IOU67" s="291"/>
      <x:c r="IOV67" s="291"/>
      <x:c r="IOW67" s="291"/>
      <x:c r="IOX67" s="291"/>
      <x:c r="IOY67" s="291"/>
      <x:c r="IOZ67" s="291"/>
      <x:c r="IPA67" s="291"/>
      <x:c r="IPB67" s="291"/>
      <x:c r="IPC67" s="291"/>
      <x:c r="IPD67" s="291"/>
      <x:c r="IPE67" s="291"/>
      <x:c r="IPF67" s="291"/>
      <x:c r="IPG67" s="291"/>
      <x:c r="IPH67" s="291"/>
      <x:c r="IPI67" s="291"/>
      <x:c r="IPJ67" s="291"/>
      <x:c r="IPK67" s="291"/>
      <x:c r="IPL67" s="291"/>
      <x:c r="IPM67" s="291"/>
      <x:c r="IPN67" s="291"/>
      <x:c r="IPO67" s="291"/>
      <x:c r="IPP67" s="291"/>
      <x:c r="IPQ67" s="291"/>
      <x:c r="IPR67" s="291"/>
      <x:c r="IPS67" s="291"/>
      <x:c r="IPT67" s="291"/>
      <x:c r="IPU67" s="291"/>
      <x:c r="IPV67" s="291"/>
      <x:c r="IPW67" s="291"/>
      <x:c r="IPX67" s="291"/>
      <x:c r="IPY67" s="291"/>
      <x:c r="IPZ67" s="291"/>
      <x:c r="IQA67" s="291"/>
      <x:c r="IQB67" s="291"/>
      <x:c r="IQC67" s="291"/>
      <x:c r="IQD67" s="291"/>
      <x:c r="IQE67" s="291"/>
      <x:c r="IQF67" s="291"/>
      <x:c r="IQG67" s="291"/>
      <x:c r="IQH67" s="291"/>
      <x:c r="IQI67" s="291"/>
      <x:c r="IQJ67" s="291"/>
      <x:c r="IQK67" s="291"/>
      <x:c r="IQL67" s="291"/>
      <x:c r="IQM67" s="291"/>
      <x:c r="IQN67" s="291"/>
      <x:c r="IQO67" s="291"/>
      <x:c r="IQP67" s="291"/>
      <x:c r="IQQ67" s="291"/>
      <x:c r="IQR67" s="291"/>
      <x:c r="IQS67" s="291"/>
      <x:c r="IQT67" s="291"/>
      <x:c r="IQU67" s="291"/>
      <x:c r="IQV67" s="291"/>
      <x:c r="IQW67" s="291"/>
      <x:c r="IQX67" s="291"/>
      <x:c r="IQY67" s="291"/>
      <x:c r="IQZ67" s="291"/>
      <x:c r="IRA67" s="291"/>
      <x:c r="IRB67" s="291"/>
      <x:c r="IRC67" s="291"/>
      <x:c r="IRD67" s="291"/>
      <x:c r="IRE67" s="291"/>
      <x:c r="IRF67" s="291"/>
      <x:c r="IRG67" s="291"/>
      <x:c r="IRH67" s="291"/>
      <x:c r="IRI67" s="291"/>
      <x:c r="IRJ67" s="291"/>
      <x:c r="IRK67" s="291"/>
      <x:c r="IRL67" s="291"/>
      <x:c r="IRM67" s="291"/>
      <x:c r="IRN67" s="291"/>
      <x:c r="IRO67" s="291"/>
      <x:c r="IRP67" s="291"/>
      <x:c r="IRQ67" s="291"/>
      <x:c r="IRR67" s="291"/>
      <x:c r="IRS67" s="291"/>
      <x:c r="IRT67" s="291"/>
      <x:c r="IRU67" s="291"/>
      <x:c r="IRV67" s="291"/>
      <x:c r="IRW67" s="291"/>
      <x:c r="IRX67" s="291"/>
      <x:c r="IRY67" s="291"/>
      <x:c r="IRZ67" s="291"/>
      <x:c r="ISA67" s="291"/>
      <x:c r="ISB67" s="291"/>
      <x:c r="ISC67" s="291"/>
      <x:c r="ISD67" s="291"/>
      <x:c r="ISE67" s="291"/>
      <x:c r="ISF67" s="291"/>
      <x:c r="ISG67" s="291"/>
      <x:c r="ISH67" s="291"/>
      <x:c r="ISI67" s="291"/>
      <x:c r="ISJ67" s="291"/>
      <x:c r="ISK67" s="291"/>
      <x:c r="ISL67" s="291"/>
      <x:c r="ISM67" s="291"/>
      <x:c r="ISN67" s="291"/>
      <x:c r="ISO67" s="291"/>
      <x:c r="ISP67" s="291"/>
      <x:c r="ISQ67" s="291"/>
      <x:c r="ISR67" s="291"/>
      <x:c r="ISS67" s="291"/>
      <x:c r="IST67" s="291"/>
      <x:c r="ISU67" s="291"/>
      <x:c r="ISV67" s="291"/>
      <x:c r="ISW67" s="291"/>
      <x:c r="ISX67" s="291"/>
      <x:c r="ISY67" s="291"/>
      <x:c r="ISZ67" s="291"/>
      <x:c r="ITA67" s="291"/>
      <x:c r="ITB67" s="291"/>
      <x:c r="ITC67" s="291"/>
      <x:c r="ITD67" s="291"/>
      <x:c r="ITE67" s="291"/>
      <x:c r="ITF67" s="291"/>
      <x:c r="ITG67" s="291"/>
      <x:c r="ITH67" s="291"/>
      <x:c r="ITI67" s="291"/>
      <x:c r="ITJ67" s="291"/>
      <x:c r="ITK67" s="291"/>
      <x:c r="ITL67" s="291"/>
      <x:c r="ITM67" s="291"/>
      <x:c r="ITN67" s="291"/>
      <x:c r="ITO67" s="291"/>
      <x:c r="ITP67" s="291"/>
      <x:c r="ITQ67" s="291"/>
      <x:c r="ITR67" s="291"/>
      <x:c r="ITS67" s="291"/>
      <x:c r="ITT67" s="291"/>
      <x:c r="ITU67" s="291"/>
      <x:c r="ITV67" s="291"/>
      <x:c r="ITW67" s="291"/>
      <x:c r="ITX67" s="291"/>
      <x:c r="ITY67" s="291"/>
      <x:c r="ITZ67" s="291"/>
      <x:c r="IUA67" s="291"/>
      <x:c r="IUB67" s="291"/>
      <x:c r="IUC67" s="291"/>
      <x:c r="IUD67" s="291"/>
      <x:c r="IUE67" s="291"/>
      <x:c r="IUF67" s="291"/>
      <x:c r="IUG67" s="291"/>
      <x:c r="IUH67" s="291"/>
      <x:c r="IUI67" s="291"/>
      <x:c r="IUJ67" s="291"/>
      <x:c r="IUK67" s="291"/>
      <x:c r="IUL67" s="291"/>
      <x:c r="IUM67" s="291"/>
      <x:c r="IUN67" s="291"/>
      <x:c r="IUO67" s="291"/>
      <x:c r="IUP67" s="291"/>
      <x:c r="IUQ67" s="291"/>
      <x:c r="IUR67" s="291"/>
      <x:c r="IUS67" s="291"/>
      <x:c r="IUT67" s="291"/>
      <x:c r="IUU67" s="291"/>
      <x:c r="IUV67" s="291"/>
      <x:c r="IUW67" s="291"/>
      <x:c r="IUX67" s="291"/>
      <x:c r="IUY67" s="291"/>
      <x:c r="IUZ67" s="291"/>
      <x:c r="IVA67" s="291"/>
      <x:c r="IVB67" s="291"/>
      <x:c r="IVC67" s="291"/>
      <x:c r="IVD67" s="291"/>
      <x:c r="IVE67" s="291"/>
      <x:c r="IVF67" s="291"/>
      <x:c r="IVG67" s="291"/>
      <x:c r="IVH67" s="291"/>
      <x:c r="IVI67" s="291"/>
      <x:c r="IVJ67" s="291"/>
      <x:c r="IVK67" s="291"/>
      <x:c r="IVL67" s="291"/>
      <x:c r="IVM67" s="291"/>
      <x:c r="IVN67" s="291"/>
      <x:c r="IVO67" s="291"/>
      <x:c r="IVP67" s="291"/>
      <x:c r="IVQ67" s="291"/>
      <x:c r="IVR67" s="291"/>
      <x:c r="IVS67" s="291"/>
      <x:c r="IVT67" s="291"/>
      <x:c r="IVU67" s="291"/>
      <x:c r="IVV67" s="291"/>
      <x:c r="IVW67" s="291"/>
      <x:c r="IVX67" s="291"/>
      <x:c r="IVY67" s="291"/>
      <x:c r="IVZ67" s="291"/>
      <x:c r="IWA67" s="291"/>
      <x:c r="IWB67" s="291"/>
      <x:c r="IWC67" s="291"/>
      <x:c r="IWD67" s="291"/>
      <x:c r="IWE67" s="291"/>
      <x:c r="IWF67" s="291"/>
      <x:c r="IWG67" s="291"/>
      <x:c r="IWH67" s="291"/>
      <x:c r="IWI67" s="291"/>
      <x:c r="IWJ67" s="291"/>
      <x:c r="IWK67" s="291"/>
      <x:c r="IWL67" s="291"/>
      <x:c r="IWM67" s="291"/>
      <x:c r="IWN67" s="291"/>
      <x:c r="IWO67" s="291"/>
      <x:c r="IWP67" s="291"/>
      <x:c r="IWQ67" s="291"/>
      <x:c r="IWR67" s="291"/>
      <x:c r="IWS67" s="291"/>
      <x:c r="IWT67" s="291"/>
      <x:c r="IWU67" s="291"/>
      <x:c r="IWV67" s="291"/>
      <x:c r="IWW67" s="291"/>
      <x:c r="IWX67" s="291"/>
      <x:c r="IWY67" s="291"/>
      <x:c r="IWZ67" s="291"/>
      <x:c r="IXA67" s="291"/>
      <x:c r="IXB67" s="291"/>
      <x:c r="IXC67" s="291"/>
      <x:c r="IXD67" s="291"/>
      <x:c r="IXE67" s="291"/>
      <x:c r="IXF67" s="291"/>
      <x:c r="IXG67" s="291"/>
      <x:c r="IXH67" s="291"/>
      <x:c r="IXI67" s="291"/>
      <x:c r="IXJ67" s="291"/>
      <x:c r="IXK67" s="291"/>
      <x:c r="IXL67" s="291"/>
      <x:c r="IXM67" s="291"/>
      <x:c r="IXN67" s="291"/>
      <x:c r="IXO67" s="291"/>
      <x:c r="IXP67" s="291"/>
      <x:c r="IXQ67" s="291"/>
      <x:c r="IXR67" s="291"/>
      <x:c r="IXS67" s="291"/>
      <x:c r="IXT67" s="291"/>
      <x:c r="IXU67" s="291"/>
      <x:c r="IXV67" s="291"/>
      <x:c r="IXW67" s="291"/>
      <x:c r="IXX67" s="291"/>
      <x:c r="IXY67" s="291"/>
      <x:c r="IXZ67" s="291"/>
      <x:c r="IYA67" s="291"/>
      <x:c r="IYB67" s="291"/>
      <x:c r="IYC67" s="291"/>
      <x:c r="IYD67" s="291"/>
      <x:c r="IYE67" s="291"/>
      <x:c r="IYF67" s="291"/>
      <x:c r="IYG67" s="291"/>
      <x:c r="IYH67" s="291"/>
      <x:c r="IYI67" s="291"/>
      <x:c r="IYJ67" s="291"/>
      <x:c r="IYK67" s="291"/>
      <x:c r="IYL67" s="291"/>
      <x:c r="IYM67" s="291"/>
      <x:c r="IYN67" s="291"/>
      <x:c r="IYO67" s="291"/>
      <x:c r="IYP67" s="291"/>
      <x:c r="IYQ67" s="291"/>
      <x:c r="IYR67" s="291"/>
      <x:c r="IYS67" s="291"/>
      <x:c r="IYT67" s="291"/>
      <x:c r="IYU67" s="291"/>
      <x:c r="IYV67" s="291"/>
      <x:c r="IYW67" s="291"/>
      <x:c r="IYX67" s="291"/>
      <x:c r="IYY67" s="291"/>
      <x:c r="IYZ67" s="291"/>
      <x:c r="IZA67" s="291"/>
      <x:c r="IZB67" s="291"/>
      <x:c r="IZC67" s="291"/>
      <x:c r="IZD67" s="291"/>
      <x:c r="IZE67" s="291"/>
      <x:c r="IZF67" s="291"/>
      <x:c r="IZG67" s="291"/>
      <x:c r="IZH67" s="291"/>
      <x:c r="IZI67" s="291"/>
      <x:c r="IZJ67" s="291"/>
      <x:c r="IZK67" s="291"/>
      <x:c r="IZL67" s="291"/>
      <x:c r="IZM67" s="291"/>
      <x:c r="IZN67" s="291"/>
      <x:c r="IZO67" s="291"/>
      <x:c r="IZP67" s="291"/>
      <x:c r="IZQ67" s="291"/>
      <x:c r="IZR67" s="291"/>
      <x:c r="IZS67" s="291"/>
      <x:c r="IZT67" s="291"/>
      <x:c r="IZU67" s="291"/>
      <x:c r="IZV67" s="291"/>
      <x:c r="IZW67" s="291"/>
      <x:c r="IZX67" s="291"/>
      <x:c r="IZY67" s="291"/>
      <x:c r="IZZ67" s="291"/>
      <x:c r="JAA67" s="291"/>
      <x:c r="JAB67" s="291"/>
      <x:c r="JAC67" s="291"/>
      <x:c r="JAD67" s="291"/>
      <x:c r="JAE67" s="291"/>
      <x:c r="JAF67" s="291"/>
      <x:c r="JAG67" s="291"/>
      <x:c r="JAH67" s="291"/>
      <x:c r="JAI67" s="291"/>
      <x:c r="JAJ67" s="291"/>
      <x:c r="JAK67" s="291"/>
      <x:c r="JAL67" s="291"/>
      <x:c r="JAM67" s="291"/>
      <x:c r="JAN67" s="291"/>
      <x:c r="JAO67" s="291"/>
      <x:c r="JAP67" s="291"/>
      <x:c r="JAQ67" s="291"/>
      <x:c r="JAR67" s="291"/>
      <x:c r="JAS67" s="291"/>
      <x:c r="JAT67" s="291"/>
      <x:c r="JAU67" s="291"/>
      <x:c r="JAV67" s="291"/>
      <x:c r="JAW67" s="291"/>
      <x:c r="JAX67" s="291"/>
      <x:c r="JAY67" s="291"/>
      <x:c r="JAZ67" s="291"/>
      <x:c r="JBA67" s="291"/>
      <x:c r="JBB67" s="291"/>
      <x:c r="JBC67" s="291"/>
      <x:c r="JBD67" s="291"/>
      <x:c r="JBE67" s="291"/>
      <x:c r="JBF67" s="291"/>
      <x:c r="JBG67" s="291"/>
      <x:c r="JBH67" s="291"/>
      <x:c r="JBI67" s="291"/>
      <x:c r="JBJ67" s="291"/>
      <x:c r="JBK67" s="291"/>
      <x:c r="JBL67" s="291"/>
      <x:c r="JBM67" s="291"/>
      <x:c r="JBN67" s="291"/>
      <x:c r="JBO67" s="291"/>
      <x:c r="JBP67" s="291"/>
      <x:c r="JBQ67" s="291"/>
      <x:c r="JBR67" s="291"/>
      <x:c r="JBS67" s="291"/>
      <x:c r="JBT67" s="291"/>
      <x:c r="JBU67" s="291"/>
      <x:c r="JBV67" s="291"/>
      <x:c r="JBW67" s="291"/>
      <x:c r="JBX67" s="291"/>
      <x:c r="JBY67" s="291"/>
      <x:c r="JBZ67" s="291"/>
      <x:c r="JCA67" s="291"/>
      <x:c r="JCB67" s="291"/>
      <x:c r="JCC67" s="291"/>
      <x:c r="JCD67" s="291"/>
      <x:c r="JCE67" s="291"/>
      <x:c r="JCF67" s="291"/>
      <x:c r="JCG67" s="291"/>
      <x:c r="JCH67" s="291"/>
      <x:c r="JCI67" s="291"/>
      <x:c r="JCJ67" s="291"/>
      <x:c r="JCK67" s="291"/>
      <x:c r="JCL67" s="291"/>
      <x:c r="JCM67" s="291"/>
      <x:c r="JCN67" s="291"/>
      <x:c r="JCO67" s="291"/>
      <x:c r="JCP67" s="291"/>
      <x:c r="JCQ67" s="291"/>
      <x:c r="JCR67" s="291"/>
      <x:c r="JCS67" s="291"/>
      <x:c r="JCT67" s="291"/>
      <x:c r="JCU67" s="291"/>
      <x:c r="JCV67" s="291"/>
      <x:c r="JCW67" s="291"/>
      <x:c r="JCX67" s="291"/>
      <x:c r="JCY67" s="291"/>
      <x:c r="JCZ67" s="291"/>
      <x:c r="JDA67" s="291"/>
      <x:c r="JDB67" s="291"/>
      <x:c r="JDC67" s="291"/>
      <x:c r="JDD67" s="291"/>
      <x:c r="JDE67" s="291"/>
      <x:c r="JDF67" s="291"/>
      <x:c r="JDG67" s="291"/>
      <x:c r="JDH67" s="291"/>
      <x:c r="JDI67" s="291"/>
      <x:c r="JDJ67" s="291"/>
      <x:c r="JDK67" s="291"/>
      <x:c r="JDL67" s="291"/>
      <x:c r="JDM67" s="291"/>
      <x:c r="JDN67" s="291"/>
      <x:c r="JDO67" s="291"/>
      <x:c r="JDP67" s="291"/>
      <x:c r="JDQ67" s="291"/>
      <x:c r="JDR67" s="291"/>
      <x:c r="JDS67" s="291"/>
      <x:c r="JDT67" s="291"/>
      <x:c r="JDU67" s="291"/>
      <x:c r="JDV67" s="291"/>
      <x:c r="JDW67" s="291"/>
      <x:c r="JDX67" s="291"/>
      <x:c r="JDY67" s="291"/>
      <x:c r="JDZ67" s="291"/>
      <x:c r="JEA67" s="291"/>
      <x:c r="JEB67" s="291"/>
      <x:c r="JEC67" s="291"/>
      <x:c r="JED67" s="291"/>
      <x:c r="JEE67" s="291"/>
      <x:c r="JEF67" s="291"/>
      <x:c r="JEG67" s="291"/>
      <x:c r="JEH67" s="291"/>
      <x:c r="JEI67" s="291"/>
      <x:c r="JEJ67" s="291"/>
      <x:c r="JEK67" s="291"/>
      <x:c r="JEL67" s="291"/>
      <x:c r="JEM67" s="291"/>
      <x:c r="JEN67" s="291"/>
      <x:c r="JEO67" s="291"/>
      <x:c r="JEP67" s="291"/>
      <x:c r="JEQ67" s="291"/>
      <x:c r="JER67" s="291"/>
      <x:c r="JES67" s="291"/>
      <x:c r="JET67" s="291"/>
      <x:c r="JEU67" s="291"/>
      <x:c r="JEV67" s="291"/>
      <x:c r="JEW67" s="291"/>
      <x:c r="JEX67" s="291"/>
      <x:c r="JEY67" s="291"/>
      <x:c r="JEZ67" s="291"/>
      <x:c r="JFA67" s="291"/>
      <x:c r="JFB67" s="291"/>
      <x:c r="JFC67" s="291"/>
      <x:c r="JFD67" s="291"/>
      <x:c r="JFE67" s="291"/>
      <x:c r="JFF67" s="291"/>
      <x:c r="JFG67" s="291"/>
      <x:c r="JFH67" s="291"/>
      <x:c r="JFI67" s="291"/>
      <x:c r="JFJ67" s="291"/>
      <x:c r="JFK67" s="291"/>
      <x:c r="JFL67" s="291"/>
      <x:c r="JFM67" s="291"/>
      <x:c r="JFN67" s="291"/>
      <x:c r="JFO67" s="291"/>
      <x:c r="JFP67" s="291"/>
      <x:c r="JFQ67" s="291"/>
      <x:c r="JFR67" s="291"/>
      <x:c r="JFS67" s="291"/>
      <x:c r="JFT67" s="291"/>
      <x:c r="JFU67" s="291"/>
      <x:c r="JFV67" s="291"/>
      <x:c r="JFW67" s="291"/>
      <x:c r="JFX67" s="291"/>
      <x:c r="JFY67" s="291"/>
      <x:c r="JFZ67" s="291"/>
      <x:c r="JGA67" s="291"/>
      <x:c r="JGB67" s="291"/>
      <x:c r="JGC67" s="291"/>
      <x:c r="JGD67" s="291"/>
      <x:c r="JGE67" s="291"/>
      <x:c r="JGF67" s="291"/>
      <x:c r="JGG67" s="291"/>
      <x:c r="JGH67" s="291"/>
      <x:c r="JGI67" s="291"/>
      <x:c r="JGJ67" s="291"/>
      <x:c r="JGK67" s="291"/>
      <x:c r="JGL67" s="291"/>
      <x:c r="JGM67" s="291"/>
      <x:c r="JGN67" s="291"/>
      <x:c r="JGO67" s="291"/>
      <x:c r="JGP67" s="291"/>
      <x:c r="JGQ67" s="291"/>
      <x:c r="JGR67" s="291"/>
      <x:c r="JGS67" s="291"/>
      <x:c r="JGT67" s="291"/>
      <x:c r="JGU67" s="291"/>
      <x:c r="JGV67" s="291"/>
      <x:c r="JGW67" s="291"/>
      <x:c r="JGX67" s="291"/>
      <x:c r="JGY67" s="291"/>
      <x:c r="JGZ67" s="291"/>
      <x:c r="JHA67" s="291"/>
      <x:c r="JHB67" s="291"/>
      <x:c r="JHC67" s="291"/>
      <x:c r="JHD67" s="291"/>
      <x:c r="JHE67" s="291"/>
      <x:c r="JHF67" s="291"/>
      <x:c r="JHG67" s="291"/>
      <x:c r="JHH67" s="291"/>
      <x:c r="JHI67" s="291"/>
      <x:c r="JHJ67" s="291"/>
      <x:c r="JHK67" s="291"/>
      <x:c r="JHL67" s="291"/>
      <x:c r="JHM67" s="291"/>
      <x:c r="JHN67" s="291"/>
      <x:c r="JHO67" s="291"/>
      <x:c r="JHP67" s="291"/>
      <x:c r="JHQ67" s="291"/>
      <x:c r="JHR67" s="291"/>
      <x:c r="JHS67" s="291"/>
      <x:c r="JHT67" s="291"/>
      <x:c r="JHU67" s="291"/>
      <x:c r="JHV67" s="291"/>
      <x:c r="JHW67" s="291"/>
      <x:c r="JHX67" s="291"/>
      <x:c r="JHY67" s="291"/>
      <x:c r="JHZ67" s="291"/>
      <x:c r="JIA67" s="291"/>
      <x:c r="JIB67" s="291"/>
      <x:c r="JIC67" s="291"/>
      <x:c r="JID67" s="291"/>
      <x:c r="JIE67" s="291"/>
      <x:c r="JIF67" s="291"/>
      <x:c r="JIG67" s="291"/>
      <x:c r="JIH67" s="291"/>
      <x:c r="JII67" s="291"/>
      <x:c r="JIJ67" s="291"/>
      <x:c r="JIK67" s="291"/>
      <x:c r="JIL67" s="291"/>
      <x:c r="JIM67" s="291"/>
      <x:c r="JIN67" s="291"/>
      <x:c r="JIO67" s="291"/>
      <x:c r="JIP67" s="291"/>
      <x:c r="JIQ67" s="291"/>
      <x:c r="JIR67" s="291"/>
      <x:c r="JIS67" s="291"/>
      <x:c r="JIT67" s="291"/>
      <x:c r="JIU67" s="291"/>
      <x:c r="JIV67" s="291"/>
      <x:c r="JIW67" s="291"/>
      <x:c r="JIX67" s="291"/>
      <x:c r="JIY67" s="291"/>
      <x:c r="JIZ67" s="291"/>
      <x:c r="JJA67" s="291"/>
      <x:c r="JJB67" s="291"/>
      <x:c r="JJC67" s="291"/>
      <x:c r="JJD67" s="291"/>
      <x:c r="JJE67" s="291"/>
      <x:c r="JJF67" s="291"/>
      <x:c r="JJG67" s="291"/>
      <x:c r="JJH67" s="291"/>
      <x:c r="JJI67" s="291"/>
      <x:c r="JJJ67" s="291"/>
      <x:c r="JJK67" s="291"/>
      <x:c r="JJL67" s="291"/>
      <x:c r="JJM67" s="291"/>
      <x:c r="JJN67" s="291"/>
      <x:c r="JJO67" s="291"/>
      <x:c r="JJP67" s="291"/>
      <x:c r="JJQ67" s="291"/>
      <x:c r="JJR67" s="291"/>
      <x:c r="JJS67" s="291"/>
      <x:c r="JJT67" s="291"/>
      <x:c r="JJU67" s="291"/>
      <x:c r="JJV67" s="291"/>
      <x:c r="JJW67" s="291"/>
      <x:c r="JJX67" s="291"/>
      <x:c r="JJY67" s="291"/>
      <x:c r="JJZ67" s="291"/>
      <x:c r="JKA67" s="291"/>
      <x:c r="JKB67" s="291"/>
      <x:c r="JKC67" s="291"/>
      <x:c r="JKD67" s="291"/>
      <x:c r="JKE67" s="291"/>
      <x:c r="JKF67" s="291"/>
      <x:c r="JKG67" s="291"/>
      <x:c r="JKH67" s="291"/>
      <x:c r="JKI67" s="291"/>
      <x:c r="JKJ67" s="291"/>
      <x:c r="JKK67" s="291"/>
      <x:c r="JKL67" s="291"/>
      <x:c r="JKM67" s="291"/>
      <x:c r="JKN67" s="291"/>
      <x:c r="JKO67" s="291"/>
      <x:c r="JKP67" s="291"/>
      <x:c r="JKQ67" s="291"/>
      <x:c r="JKR67" s="291"/>
      <x:c r="JKS67" s="291"/>
      <x:c r="JKT67" s="291"/>
      <x:c r="JKU67" s="291"/>
      <x:c r="JKV67" s="291"/>
      <x:c r="JKW67" s="291"/>
      <x:c r="JKX67" s="291"/>
      <x:c r="JKY67" s="291"/>
      <x:c r="JKZ67" s="291"/>
      <x:c r="JLA67" s="291"/>
      <x:c r="JLB67" s="291"/>
      <x:c r="JLC67" s="291"/>
      <x:c r="JLD67" s="291"/>
      <x:c r="JLE67" s="291"/>
      <x:c r="JLF67" s="291"/>
      <x:c r="JLG67" s="291"/>
      <x:c r="JLH67" s="291"/>
      <x:c r="JLI67" s="291"/>
      <x:c r="JLJ67" s="291"/>
      <x:c r="JLK67" s="291"/>
      <x:c r="JLL67" s="291"/>
      <x:c r="JLM67" s="291"/>
      <x:c r="JLN67" s="291"/>
      <x:c r="JLO67" s="291"/>
      <x:c r="JLP67" s="291"/>
      <x:c r="JLQ67" s="291"/>
      <x:c r="JLR67" s="291"/>
      <x:c r="JLS67" s="291"/>
      <x:c r="JLT67" s="291"/>
      <x:c r="JLU67" s="291"/>
      <x:c r="JLV67" s="291"/>
      <x:c r="JLW67" s="291"/>
      <x:c r="JLX67" s="291"/>
      <x:c r="JLY67" s="291"/>
      <x:c r="JLZ67" s="291"/>
      <x:c r="JMA67" s="291"/>
      <x:c r="JMB67" s="291"/>
      <x:c r="JMC67" s="291"/>
      <x:c r="JMD67" s="291"/>
      <x:c r="JME67" s="291"/>
      <x:c r="JMF67" s="291"/>
      <x:c r="JMG67" s="291"/>
      <x:c r="JMH67" s="291"/>
      <x:c r="JMI67" s="291"/>
      <x:c r="JMJ67" s="291"/>
      <x:c r="JMK67" s="291"/>
      <x:c r="JML67" s="291"/>
      <x:c r="JMM67" s="291"/>
      <x:c r="JMN67" s="291"/>
      <x:c r="JMO67" s="291"/>
      <x:c r="JMP67" s="291"/>
      <x:c r="JMQ67" s="291"/>
      <x:c r="JMR67" s="291"/>
      <x:c r="JMS67" s="291"/>
      <x:c r="JMT67" s="291"/>
      <x:c r="JMU67" s="291"/>
      <x:c r="JMV67" s="291"/>
      <x:c r="JMW67" s="291"/>
      <x:c r="JMX67" s="291"/>
      <x:c r="JMY67" s="291"/>
      <x:c r="JMZ67" s="291"/>
      <x:c r="JNA67" s="291"/>
      <x:c r="JNB67" s="291"/>
      <x:c r="JNC67" s="291"/>
      <x:c r="JND67" s="291"/>
      <x:c r="JNE67" s="291"/>
      <x:c r="JNF67" s="291"/>
      <x:c r="JNG67" s="291"/>
      <x:c r="JNH67" s="291"/>
      <x:c r="JNI67" s="291"/>
      <x:c r="JNJ67" s="291"/>
      <x:c r="JNK67" s="291"/>
      <x:c r="JNL67" s="291"/>
      <x:c r="JNM67" s="291"/>
      <x:c r="JNN67" s="291"/>
      <x:c r="JNO67" s="291"/>
      <x:c r="JNP67" s="291"/>
      <x:c r="JNQ67" s="291"/>
      <x:c r="JNR67" s="291"/>
      <x:c r="JNS67" s="291"/>
      <x:c r="JNT67" s="291"/>
      <x:c r="JNU67" s="291"/>
      <x:c r="JNV67" s="291"/>
      <x:c r="JNW67" s="291"/>
      <x:c r="JNX67" s="291"/>
      <x:c r="JNY67" s="291"/>
      <x:c r="JNZ67" s="291"/>
      <x:c r="JOA67" s="291"/>
      <x:c r="JOB67" s="291"/>
      <x:c r="JOC67" s="291"/>
      <x:c r="JOD67" s="291"/>
      <x:c r="JOE67" s="291"/>
      <x:c r="JOF67" s="291"/>
      <x:c r="JOG67" s="291"/>
      <x:c r="JOH67" s="291"/>
      <x:c r="JOI67" s="291"/>
      <x:c r="JOJ67" s="291"/>
      <x:c r="JOK67" s="291"/>
      <x:c r="JOL67" s="291"/>
      <x:c r="JOM67" s="291"/>
      <x:c r="JON67" s="291"/>
      <x:c r="JOO67" s="291"/>
      <x:c r="JOP67" s="291"/>
      <x:c r="JOQ67" s="291"/>
      <x:c r="JOR67" s="291"/>
      <x:c r="JOS67" s="291"/>
      <x:c r="JOT67" s="291"/>
      <x:c r="JOU67" s="291"/>
      <x:c r="JOV67" s="291"/>
      <x:c r="JOW67" s="291"/>
      <x:c r="JOX67" s="291"/>
      <x:c r="JOY67" s="291"/>
      <x:c r="JOZ67" s="291"/>
      <x:c r="JPA67" s="291"/>
      <x:c r="JPB67" s="291"/>
      <x:c r="JPC67" s="291"/>
      <x:c r="JPD67" s="291"/>
      <x:c r="JPE67" s="291"/>
      <x:c r="JPF67" s="291"/>
      <x:c r="JPG67" s="291"/>
      <x:c r="JPH67" s="291"/>
      <x:c r="JPI67" s="291"/>
      <x:c r="JPJ67" s="291"/>
      <x:c r="JPK67" s="291"/>
      <x:c r="JPL67" s="291"/>
      <x:c r="JPM67" s="291"/>
      <x:c r="JPN67" s="291"/>
      <x:c r="JPO67" s="291"/>
      <x:c r="JPP67" s="291"/>
      <x:c r="JPQ67" s="291"/>
      <x:c r="JPR67" s="291"/>
      <x:c r="JPS67" s="291"/>
      <x:c r="JPT67" s="291"/>
      <x:c r="JPU67" s="291"/>
      <x:c r="JPV67" s="291"/>
      <x:c r="JPW67" s="291"/>
      <x:c r="JPX67" s="291"/>
      <x:c r="JPY67" s="291"/>
      <x:c r="JPZ67" s="291"/>
      <x:c r="JQA67" s="291"/>
      <x:c r="JQB67" s="291"/>
      <x:c r="JQC67" s="291"/>
      <x:c r="JQD67" s="291"/>
      <x:c r="JQE67" s="291"/>
      <x:c r="JQF67" s="291"/>
      <x:c r="JQG67" s="291"/>
      <x:c r="JQH67" s="291"/>
      <x:c r="JQI67" s="291"/>
      <x:c r="JQJ67" s="291"/>
      <x:c r="JQK67" s="291"/>
      <x:c r="JQL67" s="291"/>
      <x:c r="JQM67" s="291"/>
      <x:c r="JQN67" s="291"/>
      <x:c r="JQO67" s="291"/>
      <x:c r="JQP67" s="291"/>
      <x:c r="JQQ67" s="291"/>
      <x:c r="JQR67" s="291"/>
      <x:c r="JQS67" s="291"/>
      <x:c r="JQT67" s="291"/>
      <x:c r="JQU67" s="291"/>
      <x:c r="JQV67" s="291"/>
      <x:c r="JQW67" s="291"/>
      <x:c r="JQX67" s="291"/>
      <x:c r="JQY67" s="291"/>
      <x:c r="JQZ67" s="291"/>
      <x:c r="JRA67" s="291"/>
      <x:c r="JRB67" s="291"/>
      <x:c r="JRC67" s="291"/>
      <x:c r="JRD67" s="291"/>
      <x:c r="JRE67" s="291"/>
      <x:c r="JRF67" s="291"/>
      <x:c r="JRG67" s="291"/>
      <x:c r="JRH67" s="291"/>
      <x:c r="JRI67" s="291"/>
      <x:c r="JRJ67" s="291"/>
      <x:c r="JRK67" s="291"/>
      <x:c r="JRL67" s="291"/>
      <x:c r="JRM67" s="291"/>
      <x:c r="JRN67" s="291"/>
      <x:c r="JRO67" s="291"/>
      <x:c r="JRP67" s="291"/>
      <x:c r="JRQ67" s="291"/>
      <x:c r="JRR67" s="291"/>
      <x:c r="JRS67" s="291"/>
      <x:c r="JRT67" s="291"/>
      <x:c r="JRU67" s="291"/>
      <x:c r="JRV67" s="291"/>
      <x:c r="JRW67" s="291"/>
      <x:c r="JRX67" s="291"/>
      <x:c r="JRY67" s="291"/>
      <x:c r="JRZ67" s="291"/>
      <x:c r="JSA67" s="291"/>
      <x:c r="JSB67" s="291"/>
      <x:c r="JSC67" s="291"/>
      <x:c r="JSD67" s="291"/>
      <x:c r="JSE67" s="291"/>
      <x:c r="JSF67" s="291"/>
      <x:c r="JSG67" s="291"/>
      <x:c r="JSH67" s="291"/>
      <x:c r="JSI67" s="291"/>
      <x:c r="JSJ67" s="291"/>
      <x:c r="JSK67" s="291"/>
      <x:c r="JSL67" s="291"/>
      <x:c r="JSM67" s="291"/>
      <x:c r="JSN67" s="291"/>
      <x:c r="JSO67" s="291"/>
      <x:c r="JSP67" s="291"/>
      <x:c r="JSQ67" s="291"/>
      <x:c r="JSR67" s="291"/>
      <x:c r="JSS67" s="291"/>
      <x:c r="JST67" s="291"/>
      <x:c r="JSU67" s="291"/>
      <x:c r="JSV67" s="291"/>
      <x:c r="JSW67" s="291"/>
      <x:c r="JSX67" s="291"/>
      <x:c r="JSY67" s="291"/>
      <x:c r="JSZ67" s="291"/>
      <x:c r="JTA67" s="291"/>
      <x:c r="JTB67" s="291"/>
      <x:c r="JTC67" s="291"/>
      <x:c r="JTD67" s="291"/>
      <x:c r="JTE67" s="291"/>
      <x:c r="JTF67" s="291"/>
      <x:c r="JTG67" s="291"/>
      <x:c r="JTH67" s="291"/>
      <x:c r="JTI67" s="291"/>
      <x:c r="JTJ67" s="291"/>
      <x:c r="JTK67" s="291"/>
      <x:c r="JTL67" s="291"/>
      <x:c r="JTM67" s="291"/>
      <x:c r="JTN67" s="291"/>
      <x:c r="JTO67" s="291"/>
      <x:c r="JTP67" s="291"/>
      <x:c r="JTQ67" s="291"/>
      <x:c r="JTR67" s="291"/>
      <x:c r="JTS67" s="291"/>
      <x:c r="JTT67" s="291"/>
      <x:c r="JTU67" s="291"/>
      <x:c r="JTV67" s="291"/>
      <x:c r="JTW67" s="291"/>
      <x:c r="JTX67" s="291"/>
      <x:c r="JTY67" s="291"/>
      <x:c r="JTZ67" s="291"/>
      <x:c r="JUA67" s="291"/>
      <x:c r="JUB67" s="291"/>
      <x:c r="JUC67" s="291"/>
      <x:c r="JUD67" s="291"/>
      <x:c r="JUE67" s="291"/>
      <x:c r="JUF67" s="291"/>
      <x:c r="JUG67" s="291"/>
      <x:c r="JUH67" s="291"/>
      <x:c r="JUI67" s="291"/>
      <x:c r="JUJ67" s="291"/>
      <x:c r="JUK67" s="291"/>
      <x:c r="JUL67" s="291"/>
      <x:c r="JUM67" s="291"/>
      <x:c r="JUN67" s="291"/>
      <x:c r="JUO67" s="291"/>
      <x:c r="JUP67" s="291"/>
      <x:c r="JUQ67" s="291"/>
      <x:c r="JUR67" s="291"/>
      <x:c r="JUS67" s="291"/>
      <x:c r="JUT67" s="291"/>
      <x:c r="JUU67" s="291"/>
      <x:c r="JUV67" s="291"/>
      <x:c r="JUW67" s="291"/>
      <x:c r="JUX67" s="291"/>
      <x:c r="JUY67" s="291"/>
      <x:c r="JUZ67" s="291"/>
      <x:c r="JVA67" s="291"/>
      <x:c r="JVB67" s="291"/>
      <x:c r="JVC67" s="291"/>
      <x:c r="JVD67" s="291"/>
      <x:c r="JVE67" s="291"/>
      <x:c r="JVF67" s="291"/>
      <x:c r="JVG67" s="291"/>
      <x:c r="JVH67" s="291"/>
      <x:c r="JVI67" s="291"/>
      <x:c r="JVJ67" s="291"/>
      <x:c r="JVK67" s="291"/>
      <x:c r="JVL67" s="291"/>
      <x:c r="JVM67" s="291"/>
      <x:c r="JVN67" s="291"/>
      <x:c r="JVO67" s="291"/>
      <x:c r="JVP67" s="291"/>
      <x:c r="JVQ67" s="291"/>
      <x:c r="JVR67" s="291"/>
      <x:c r="JVS67" s="291"/>
      <x:c r="JVT67" s="291"/>
      <x:c r="JVU67" s="291"/>
      <x:c r="JVV67" s="291"/>
      <x:c r="JVW67" s="291"/>
      <x:c r="JVX67" s="291"/>
      <x:c r="JVY67" s="291"/>
      <x:c r="JVZ67" s="291"/>
      <x:c r="JWA67" s="291"/>
      <x:c r="JWB67" s="291"/>
      <x:c r="JWC67" s="291"/>
      <x:c r="JWD67" s="291"/>
      <x:c r="JWE67" s="291"/>
      <x:c r="JWF67" s="291"/>
      <x:c r="JWG67" s="291"/>
      <x:c r="JWH67" s="291"/>
      <x:c r="JWI67" s="291"/>
      <x:c r="JWJ67" s="291"/>
      <x:c r="JWK67" s="291"/>
      <x:c r="JWL67" s="291"/>
      <x:c r="JWM67" s="291"/>
      <x:c r="JWN67" s="291"/>
      <x:c r="JWO67" s="291"/>
      <x:c r="JWP67" s="291"/>
      <x:c r="JWQ67" s="291"/>
      <x:c r="JWR67" s="291"/>
      <x:c r="JWS67" s="291"/>
      <x:c r="JWT67" s="291"/>
      <x:c r="JWU67" s="291"/>
      <x:c r="JWV67" s="291"/>
      <x:c r="JWW67" s="291"/>
      <x:c r="JWX67" s="291"/>
      <x:c r="JWY67" s="291"/>
      <x:c r="JWZ67" s="291"/>
      <x:c r="JXA67" s="291"/>
      <x:c r="JXB67" s="291"/>
      <x:c r="JXC67" s="291"/>
      <x:c r="JXD67" s="291"/>
      <x:c r="JXE67" s="291"/>
      <x:c r="JXF67" s="291"/>
      <x:c r="JXG67" s="291"/>
      <x:c r="JXH67" s="291"/>
      <x:c r="JXI67" s="291"/>
      <x:c r="JXJ67" s="291"/>
      <x:c r="JXK67" s="291"/>
      <x:c r="JXL67" s="291"/>
      <x:c r="JXM67" s="291"/>
      <x:c r="JXN67" s="291"/>
      <x:c r="JXO67" s="291"/>
      <x:c r="JXP67" s="291"/>
      <x:c r="JXQ67" s="291"/>
      <x:c r="JXR67" s="291"/>
      <x:c r="JXS67" s="291"/>
      <x:c r="JXT67" s="291"/>
      <x:c r="JXU67" s="291"/>
      <x:c r="JXV67" s="291"/>
      <x:c r="JXW67" s="291"/>
      <x:c r="JXX67" s="291"/>
      <x:c r="JXY67" s="291"/>
      <x:c r="JXZ67" s="291"/>
      <x:c r="JYA67" s="291"/>
      <x:c r="JYB67" s="291"/>
      <x:c r="JYC67" s="291"/>
      <x:c r="JYD67" s="291"/>
      <x:c r="JYE67" s="291"/>
      <x:c r="JYF67" s="291"/>
      <x:c r="JYG67" s="291"/>
      <x:c r="JYH67" s="291"/>
      <x:c r="JYI67" s="291"/>
      <x:c r="JYJ67" s="291"/>
      <x:c r="JYK67" s="291"/>
      <x:c r="JYL67" s="291"/>
      <x:c r="JYM67" s="291"/>
      <x:c r="JYN67" s="291"/>
      <x:c r="JYO67" s="291"/>
      <x:c r="JYP67" s="291"/>
      <x:c r="JYQ67" s="291"/>
      <x:c r="JYR67" s="291"/>
      <x:c r="JYS67" s="291"/>
      <x:c r="JYT67" s="291"/>
      <x:c r="JYU67" s="291"/>
      <x:c r="JYV67" s="291"/>
      <x:c r="JYW67" s="291"/>
      <x:c r="JYX67" s="291"/>
      <x:c r="JYY67" s="291"/>
      <x:c r="JYZ67" s="291"/>
      <x:c r="JZA67" s="291"/>
      <x:c r="JZB67" s="291"/>
      <x:c r="JZC67" s="291"/>
      <x:c r="JZD67" s="291"/>
      <x:c r="JZE67" s="291"/>
      <x:c r="JZF67" s="291"/>
      <x:c r="JZG67" s="291"/>
      <x:c r="JZH67" s="291"/>
      <x:c r="JZI67" s="291"/>
      <x:c r="JZJ67" s="291"/>
      <x:c r="JZK67" s="291"/>
      <x:c r="JZL67" s="291"/>
      <x:c r="JZM67" s="291"/>
      <x:c r="JZN67" s="291"/>
      <x:c r="JZO67" s="291"/>
      <x:c r="JZP67" s="291"/>
      <x:c r="JZQ67" s="291"/>
      <x:c r="JZR67" s="291"/>
      <x:c r="JZS67" s="291"/>
      <x:c r="JZT67" s="291"/>
      <x:c r="JZU67" s="291"/>
      <x:c r="JZV67" s="291"/>
      <x:c r="JZW67" s="291"/>
      <x:c r="JZX67" s="291"/>
      <x:c r="JZY67" s="291"/>
      <x:c r="JZZ67" s="291"/>
      <x:c r="KAA67" s="291"/>
      <x:c r="KAB67" s="291"/>
      <x:c r="KAC67" s="291"/>
      <x:c r="KAD67" s="291"/>
      <x:c r="KAE67" s="291"/>
      <x:c r="KAF67" s="291"/>
      <x:c r="KAG67" s="291"/>
      <x:c r="KAH67" s="291"/>
      <x:c r="KAI67" s="291"/>
      <x:c r="KAJ67" s="291"/>
      <x:c r="KAK67" s="291"/>
      <x:c r="KAL67" s="291"/>
      <x:c r="KAM67" s="291"/>
      <x:c r="KAN67" s="291"/>
      <x:c r="KAO67" s="291"/>
      <x:c r="KAP67" s="291"/>
      <x:c r="KAQ67" s="291"/>
      <x:c r="KAR67" s="291"/>
      <x:c r="KAS67" s="291"/>
      <x:c r="KAT67" s="291"/>
      <x:c r="KAU67" s="291"/>
      <x:c r="KAV67" s="291"/>
      <x:c r="KAW67" s="291"/>
      <x:c r="KAX67" s="291"/>
      <x:c r="KAY67" s="291"/>
      <x:c r="KAZ67" s="291"/>
      <x:c r="KBA67" s="291"/>
      <x:c r="KBB67" s="291"/>
      <x:c r="KBC67" s="291"/>
      <x:c r="KBD67" s="291"/>
      <x:c r="KBE67" s="291"/>
      <x:c r="KBF67" s="291"/>
      <x:c r="KBG67" s="291"/>
      <x:c r="KBH67" s="291"/>
      <x:c r="KBI67" s="291"/>
      <x:c r="KBJ67" s="291"/>
      <x:c r="KBK67" s="291"/>
      <x:c r="KBL67" s="291"/>
      <x:c r="KBM67" s="291"/>
      <x:c r="KBN67" s="291"/>
      <x:c r="KBO67" s="291"/>
      <x:c r="KBP67" s="291"/>
      <x:c r="KBQ67" s="291"/>
      <x:c r="KBR67" s="291"/>
      <x:c r="KBS67" s="291"/>
      <x:c r="KBT67" s="291"/>
      <x:c r="KBU67" s="291"/>
      <x:c r="KBV67" s="291"/>
      <x:c r="KBW67" s="291"/>
      <x:c r="KBX67" s="291"/>
      <x:c r="KBY67" s="291"/>
      <x:c r="KBZ67" s="291"/>
      <x:c r="KCA67" s="291"/>
      <x:c r="KCB67" s="291"/>
      <x:c r="KCC67" s="291"/>
      <x:c r="KCD67" s="291"/>
      <x:c r="KCE67" s="291"/>
      <x:c r="KCF67" s="291"/>
      <x:c r="KCG67" s="291"/>
      <x:c r="KCH67" s="291"/>
      <x:c r="KCI67" s="291"/>
      <x:c r="KCJ67" s="291"/>
      <x:c r="KCK67" s="291"/>
      <x:c r="KCL67" s="291"/>
      <x:c r="KCM67" s="291"/>
      <x:c r="KCN67" s="291"/>
      <x:c r="KCO67" s="291"/>
      <x:c r="KCP67" s="291"/>
      <x:c r="KCQ67" s="291"/>
      <x:c r="KCR67" s="291"/>
      <x:c r="KCS67" s="291"/>
      <x:c r="KCT67" s="291"/>
      <x:c r="KCU67" s="291"/>
      <x:c r="KCV67" s="291"/>
      <x:c r="KCW67" s="291"/>
      <x:c r="KCX67" s="291"/>
      <x:c r="KCY67" s="291"/>
      <x:c r="KCZ67" s="291"/>
      <x:c r="KDA67" s="291"/>
      <x:c r="KDB67" s="291"/>
      <x:c r="KDC67" s="291"/>
      <x:c r="KDD67" s="291"/>
      <x:c r="KDE67" s="291"/>
      <x:c r="KDF67" s="291"/>
      <x:c r="KDG67" s="291"/>
      <x:c r="KDH67" s="291"/>
      <x:c r="KDI67" s="291"/>
      <x:c r="KDJ67" s="291"/>
      <x:c r="KDK67" s="291"/>
      <x:c r="KDL67" s="291"/>
      <x:c r="KDM67" s="291"/>
      <x:c r="KDN67" s="291"/>
      <x:c r="KDO67" s="291"/>
      <x:c r="KDP67" s="291"/>
      <x:c r="KDQ67" s="291"/>
      <x:c r="KDR67" s="291"/>
      <x:c r="KDS67" s="291"/>
      <x:c r="KDT67" s="291"/>
      <x:c r="KDU67" s="291"/>
      <x:c r="KDV67" s="291"/>
      <x:c r="KDW67" s="291"/>
      <x:c r="KDX67" s="291"/>
      <x:c r="KDY67" s="291"/>
      <x:c r="KDZ67" s="291"/>
      <x:c r="KEA67" s="291"/>
      <x:c r="KEB67" s="291"/>
      <x:c r="KEC67" s="291"/>
      <x:c r="KED67" s="291"/>
      <x:c r="KEE67" s="291"/>
      <x:c r="KEF67" s="291"/>
      <x:c r="KEG67" s="291"/>
      <x:c r="KEH67" s="291"/>
      <x:c r="KEI67" s="291"/>
      <x:c r="KEJ67" s="291"/>
      <x:c r="KEK67" s="291"/>
      <x:c r="KEL67" s="291"/>
      <x:c r="KEM67" s="291"/>
      <x:c r="KEN67" s="291"/>
      <x:c r="KEO67" s="291"/>
      <x:c r="KEP67" s="291"/>
      <x:c r="KEQ67" s="291"/>
      <x:c r="KER67" s="291"/>
      <x:c r="KES67" s="291"/>
      <x:c r="KET67" s="291"/>
      <x:c r="KEU67" s="291"/>
      <x:c r="KEV67" s="291"/>
      <x:c r="KEW67" s="291"/>
      <x:c r="KEX67" s="291"/>
      <x:c r="KEY67" s="291"/>
      <x:c r="KEZ67" s="291"/>
      <x:c r="KFA67" s="291"/>
      <x:c r="KFB67" s="291"/>
      <x:c r="KFC67" s="291"/>
      <x:c r="KFD67" s="291"/>
      <x:c r="KFE67" s="291"/>
      <x:c r="KFF67" s="291"/>
      <x:c r="KFG67" s="291"/>
      <x:c r="KFH67" s="291"/>
      <x:c r="KFI67" s="291"/>
      <x:c r="KFJ67" s="291"/>
      <x:c r="KFK67" s="291"/>
      <x:c r="KFL67" s="291"/>
      <x:c r="KFM67" s="291"/>
      <x:c r="KFN67" s="291"/>
      <x:c r="KFO67" s="291"/>
      <x:c r="KFP67" s="291"/>
      <x:c r="KFQ67" s="291"/>
      <x:c r="KFR67" s="291"/>
      <x:c r="KFS67" s="291"/>
      <x:c r="KFT67" s="291"/>
      <x:c r="KFU67" s="291"/>
      <x:c r="KFV67" s="291"/>
      <x:c r="KFW67" s="291"/>
      <x:c r="KFX67" s="291"/>
      <x:c r="KFY67" s="291"/>
      <x:c r="KFZ67" s="291"/>
      <x:c r="KGA67" s="291"/>
      <x:c r="KGB67" s="291"/>
      <x:c r="KGC67" s="291"/>
      <x:c r="KGD67" s="291"/>
      <x:c r="KGE67" s="291"/>
      <x:c r="KGF67" s="291"/>
      <x:c r="KGG67" s="291"/>
      <x:c r="KGH67" s="291"/>
      <x:c r="KGI67" s="291"/>
      <x:c r="KGJ67" s="291"/>
      <x:c r="KGK67" s="291"/>
      <x:c r="KGL67" s="291"/>
      <x:c r="KGM67" s="291"/>
      <x:c r="KGN67" s="291"/>
      <x:c r="KGO67" s="291"/>
      <x:c r="KGP67" s="291"/>
      <x:c r="KGQ67" s="291"/>
      <x:c r="KGR67" s="291"/>
      <x:c r="KGS67" s="291"/>
      <x:c r="KGT67" s="291"/>
      <x:c r="KGU67" s="291"/>
      <x:c r="KGV67" s="291"/>
      <x:c r="KGW67" s="291"/>
      <x:c r="KGX67" s="291"/>
      <x:c r="KGY67" s="291"/>
      <x:c r="KGZ67" s="291"/>
      <x:c r="KHA67" s="291"/>
      <x:c r="KHB67" s="291"/>
      <x:c r="KHC67" s="291"/>
      <x:c r="KHD67" s="291"/>
      <x:c r="KHE67" s="291"/>
      <x:c r="KHF67" s="291"/>
      <x:c r="KHG67" s="291"/>
      <x:c r="KHH67" s="291"/>
      <x:c r="KHI67" s="291"/>
      <x:c r="KHJ67" s="291"/>
      <x:c r="KHK67" s="291"/>
      <x:c r="KHL67" s="291"/>
      <x:c r="KHM67" s="291"/>
      <x:c r="KHN67" s="291"/>
      <x:c r="KHO67" s="291"/>
      <x:c r="KHP67" s="291"/>
      <x:c r="KHQ67" s="291"/>
      <x:c r="KHR67" s="291"/>
      <x:c r="KHS67" s="291"/>
      <x:c r="KHT67" s="291"/>
      <x:c r="KHU67" s="291"/>
      <x:c r="KHV67" s="291"/>
      <x:c r="KHW67" s="291"/>
      <x:c r="KHX67" s="291"/>
      <x:c r="KHY67" s="291"/>
      <x:c r="KHZ67" s="291"/>
      <x:c r="KIA67" s="291"/>
      <x:c r="KIB67" s="291"/>
      <x:c r="KIC67" s="291"/>
      <x:c r="KID67" s="291"/>
      <x:c r="KIE67" s="291"/>
      <x:c r="KIF67" s="291"/>
      <x:c r="KIG67" s="291"/>
      <x:c r="KIH67" s="291"/>
      <x:c r="KII67" s="291"/>
      <x:c r="KIJ67" s="291"/>
      <x:c r="KIK67" s="291"/>
      <x:c r="KIL67" s="291"/>
      <x:c r="KIM67" s="291"/>
      <x:c r="KIN67" s="291"/>
      <x:c r="KIO67" s="291"/>
      <x:c r="KIP67" s="291"/>
      <x:c r="KIQ67" s="291"/>
      <x:c r="KIR67" s="291"/>
      <x:c r="KIS67" s="291"/>
      <x:c r="KIT67" s="291"/>
      <x:c r="KIU67" s="291"/>
      <x:c r="KIV67" s="291"/>
      <x:c r="KIW67" s="291"/>
      <x:c r="KIX67" s="291"/>
      <x:c r="KIY67" s="291"/>
      <x:c r="KIZ67" s="291"/>
      <x:c r="KJA67" s="291"/>
      <x:c r="KJB67" s="291"/>
      <x:c r="KJC67" s="291"/>
      <x:c r="KJD67" s="291"/>
      <x:c r="KJE67" s="291"/>
      <x:c r="KJF67" s="291"/>
      <x:c r="KJG67" s="291"/>
      <x:c r="KJH67" s="291"/>
      <x:c r="KJI67" s="291"/>
      <x:c r="KJJ67" s="291"/>
      <x:c r="KJK67" s="291"/>
      <x:c r="KJL67" s="291"/>
      <x:c r="KJM67" s="291"/>
      <x:c r="KJN67" s="291"/>
      <x:c r="KJO67" s="291"/>
      <x:c r="KJP67" s="291"/>
      <x:c r="KJQ67" s="291"/>
      <x:c r="KJR67" s="291"/>
      <x:c r="KJS67" s="291"/>
      <x:c r="KJT67" s="291"/>
      <x:c r="KJU67" s="291"/>
      <x:c r="KJV67" s="291"/>
      <x:c r="KJW67" s="291"/>
      <x:c r="KJX67" s="291"/>
      <x:c r="KJY67" s="291"/>
      <x:c r="KJZ67" s="291"/>
      <x:c r="KKA67" s="291"/>
      <x:c r="KKB67" s="291"/>
      <x:c r="KKC67" s="291"/>
      <x:c r="KKD67" s="291"/>
      <x:c r="KKE67" s="291"/>
      <x:c r="KKF67" s="291"/>
      <x:c r="KKG67" s="291"/>
      <x:c r="KKH67" s="291"/>
      <x:c r="KKI67" s="291"/>
      <x:c r="KKJ67" s="291"/>
      <x:c r="KKK67" s="291"/>
      <x:c r="KKL67" s="291"/>
      <x:c r="KKM67" s="291"/>
      <x:c r="KKN67" s="291"/>
      <x:c r="KKO67" s="291"/>
      <x:c r="KKP67" s="291"/>
      <x:c r="KKQ67" s="291"/>
      <x:c r="KKR67" s="291"/>
      <x:c r="KKS67" s="291"/>
      <x:c r="KKT67" s="291"/>
      <x:c r="KKU67" s="291"/>
      <x:c r="KKV67" s="291"/>
      <x:c r="KKW67" s="291"/>
      <x:c r="KKX67" s="291"/>
      <x:c r="KKY67" s="291"/>
      <x:c r="KKZ67" s="291"/>
      <x:c r="KLA67" s="291"/>
      <x:c r="KLB67" s="291"/>
      <x:c r="KLC67" s="291"/>
      <x:c r="KLD67" s="291"/>
      <x:c r="KLE67" s="291"/>
      <x:c r="KLF67" s="291"/>
      <x:c r="KLG67" s="291"/>
      <x:c r="KLH67" s="291"/>
      <x:c r="KLI67" s="291"/>
      <x:c r="KLJ67" s="291"/>
      <x:c r="KLK67" s="291"/>
      <x:c r="KLL67" s="291"/>
      <x:c r="KLM67" s="291"/>
      <x:c r="KLN67" s="291"/>
      <x:c r="KLO67" s="291"/>
      <x:c r="KLP67" s="291"/>
      <x:c r="KLQ67" s="291"/>
      <x:c r="KLR67" s="291"/>
      <x:c r="KLS67" s="291"/>
      <x:c r="KLT67" s="291"/>
      <x:c r="KLU67" s="291"/>
      <x:c r="KLV67" s="291"/>
      <x:c r="KLW67" s="291"/>
      <x:c r="KLX67" s="291"/>
      <x:c r="KLY67" s="291"/>
      <x:c r="KLZ67" s="291"/>
      <x:c r="KMA67" s="291"/>
      <x:c r="KMB67" s="291"/>
      <x:c r="KMC67" s="291"/>
      <x:c r="KMD67" s="291"/>
      <x:c r="KME67" s="291"/>
      <x:c r="KMF67" s="291"/>
      <x:c r="KMG67" s="291"/>
      <x:c r="KMH67" s="291"/>
      <x:c r="KMI67" s="291"/>
      <x:c r="KMJ67" s="291"/>
      <x:c r="KMK67" s="291"/>
      <x:c r="KML67" s="291"/>
      <x:c r="KMM67" s="291"/>
      <x:c r="KMN67" s="291"/>
      <x:c r="KMO67" s="291"/>
      <x:c r="KMP67" s="291"/>
      <x:c r="KMQ67" s="291"/>
      <x:c r="KMR67" s="291"/>
      <x:c r="KMS67" s="291"/>
      <x:c r="KMT67" s="291"/>
      <x:c r="KMU67" s="291"/>
      <x:c r="KMV67" s="291"/>
      <x:c r="KMW67" s="291"/>
      <x:c r="KMX67" s="291"/>
      <x:c r="KMY67" s="291"/>
      <x:c r="KMZ67" s="291"/>
      <x:c r="KNA67" s="291"/>
      <x:c r="KNB67" s="291"/>
      <x:c r="KNC67" s="291"/>
      <x:c r="KND67" s="291"/>
      <x:c r="KNE67" s="291"/>
      <x:c r="KNF67" s="291"/>
      <x:c r="KNG67" s="291"/>
      <x:c r="KNH67" s="291"/>
      <x:c r="KNI67" s="291"/>
      <x:c r="KNJ67" s="291"/>
      <x:c r="KNK67" s="291"/>
      <x:c r="KNL67" s="291"/>
      <x:c r="KNM67" s="291"/>
      <x:c r="KNN67" s="291"/>
      <x:c r="KNO67" s="291"/>
      <x:c r="KNP67" s="291"/>
      <x:c r="KNQ67" s="291"/>
      <x:c r="KNR67" s="291"/>
      <x:c r="KNS67" s="291"/>
      <x:c r="KNT67" s="291"/>
      <x:c r="KNU67" s="291"/>
      <x:c r="KNV67" s="291"/>
      <x:c r="KNW67" s="291"/>
      <x:c r="KNX67" s="291"/>
      <x:c r="KNY67" s="291"/>
      <x:c r="KNZ67" s="291"/>
      <x:c r="KOA67" s="291"/>
      <x:c r="KOB67" s="291"/>
      <x:c r="KOC67" s="291"/>
      <x:c r="KOD67" s="291"/>
      <x:c r="KOE67" s="291"/>
      <x:c r="KOF67" s="291"/>
      <x:c r="KOG67" s="291"/>
      <x:c r="KOH67" s="291"/>
      <x:c r="KOI67" s="291"/>
      <x:c r="KOJ67" s="291"/>
      <x:c r="KOK67" s="291"/>
      <x:c r="KOL67" s="291"/>
      <x:c r="KOM67" s="291"/>
      <x:c r="KON67" s="291"/>
      <x:c r="KOO67" s="291"/>
      <x:c r="KOP67" s="291"/>
      <x:c r="KOQ67" s="291"/>
      <x:c r="KOR67" s="291"/>
      <x:c r="KOS67" s="291"/>
      <x:c r="KOT67" s="291"/>
      <x:c r="KOU67" s="291"/>
      <x:c r="KOV67" s="291"/>
      <x:c r="KOW67" s="291"/>
      <x:c r="KOX67" s="291"/>
      <x:c r="KOY67" s="291"/>
      <x:c r="KOZ67" s="291"/>
      <x:c r="KPA67" s="291"/>
      <x:c r="KPB67" s="291"/>
      <x:c r="KPC67" s="291"/>
      <x:c r="KPD67" s="291"/>
      <x:c r="KPE67" s="291"/>
      <x:c r="KPF67" s="291"/>
      <x:c r="KPG67" s="291"/>
      <x:c r="KPH67" s="291"/>
      <x:c r="KPI67" s="291"/>
      <x:c r="KPJ67" s="291"/>
      <x:c r="KPK67" s="291"/>
      <x:c r="KPL67" s="291"/>
      <x:c r="KPM67" s="291"/>
      <x:c r="KPN67" s="291"/>
      <x:c r="KPO67" s="291"/>
      <x:c r="KPP67" s="291"/>
      <x:c r="KPQ67" s="291"/>
      <x:c r="KPR67" s="291"/>
      <x:c r="KPS67" s="291"/>
      <x:c r="KPT67" s="291"/>
      <x:c r="KPU67" s="291"/>
      <x:c r="KPV67" s="291"/>
      <x:c r="KPW67" s="291"/>
      <x:c r="KPX67" s="291"/>
      <x:c r="KPY67" s="291"/>
      <x:c r="KPZ67" s="291"/>
      <x:c r="KQA67" s="291"/>
      <x:c r="KQB67" s="291"/>
      <x:c r="KQC67" s="291"/>
      <x:c r="KQD67" s="291"/>
      <x:c r="KQE67" s="291"/>
      <x:c r="KQF67" s="291"/>
      <x:c r="KQG67" s="291"/>
      <x:c r="KQH67" s="291"/>
      <x:c r="KQI67" s="291"/>
      <x:c r="KQJ67" s="291"/>
      <x:c r="KQK67" s="291"/>
      <x:c r="KQL67" s="291"/>
      <x:c r="KQM67" s="291"/>
      <x:c r="KQN67" s="291"/>
      <x:c r="KQO67" s="291"/>
      <x:c r="KQP67" s="291"/>
      <x:c r="KQQ67" s="291"/>
      <x:c r="KQR67" s="291"/>
      <x:c r="KQS67" s="291"/>
      <x:c r="KQT67" s="291"/>
      <x:c r="KQU67" s="291"/>
      <x:c r="KQV67" s="291"/>
      <x:c r="KQW67" s="291"/>
      <x:c r="KQX67" s="291"/>
      <x:c r="KQY67" s="291"/>
      <x:c r="KQZ67" s="291"/>
      <x:c r="KRA67" s="291"/>
      <x:c r="KRB67" s="291"/>
      <x:c r="KRC67" s="291"/>
      <x:c r="KRD67" s="291"/>
      <x:c r="KRE67" s="291"/>
      <x:c r="KRF67" s="291"/>
      <x:c r="KRG67" s="291"/>
      <x:c r="KRH67" s="291"/>
      <x:c r="KRI67" s="291"/>
      <x:c r="KRJ67" s="291"/>
      <x:c r="KRK67" s="291"/>
      <x:c r="KRL67" s="291"/>
      <x:c r="KRM67" s="291"/>
      <x:c r="KRN67" s="291"/>
      <x:c r="KRO67" s="291"/>
      <x:c r="KRP67" s="291"/>
      <x:c r="KRQ67" s="291"/>
      <x:c r="KRR67" s="291"/>
      <x:c r="KRS67" s="291"/>
      <x:c r="KRT67" s="291"/>
      <x:c r="KRU67" s="291"/>
      <x:c r="KRV67" s="291"/>
      <x:c r="KRW67" s="291"/>
      <x:c r="KRX67" s="291"/>
      <x:c r="KRY67" s="291"/>
      <x:c r="KRZ67" s="291"/>
      <x:c r="KSA67" s="291"/>
      <x:c r="KSB67" s="291"/>
      <x:c r="KSC67" s="291"/>
      <x:c r="KSD67" s="291"/>
      <x:c r="KSE67" s="291"/>
      <x:c r="KSF67" s="291"/>
      <x:c r="KSG67" s="291"/>
      <x:c r="KSH67" s="291"/>
      <x:c r="KSI67" s="291"/>
      <x:c r="KSJ67" s="291"/>
      <x:c r="KSK67" s="291"/>
      <x:c r="KSL67" s="291"/>
      <x:c r="KSM67" s="291"/>
      <x:c r="KSN67" s="291"/>
      <x:c r="KSO67" s="291"/>
      <x:c r="KSP67" s="291"/>
      <x:c r="KSQ67" s="291"/>
      <x:c r="KSR67" s="291"/>
      <x:c r="KSS67" s="291"/>
      <x:c r="KST67" s="291"/>
      <x:c r="KSU67" s="291"/>
      <x:c r="KSV67" s="291"/>
      <x:c r="KSW67" s="291"/>
      <x:c r="KSX67" s="291"/>
      <x:c r="KSY67" s="291"/>
      <x:c r="KSZ67" s="291"/>
      <x:c r="KTA67" s="291"/>
      <x:c r="KTB67" s="291"/>
      <x:c r="KTC67" s="291"/>
      <x:c r="KTD67" s="291"/>
      <x:c r="KTE67" s="291"/>
      <x:c r="KTF67" s="291"/>
      <x:c r="KTG67" s="291"/>
      <x:c r="KTH67" s="291"/>
      <x:c r="KTI67" s="291"/>
      <x:c r="KTJ67" s="291"/>
      <x:c r="KTK67" s="291"/>
      <x:c r="KTL67" s="291"/>
      <x:c r="KTM67" s="291"/>
      <x:c r="KTN67" s="291"/>
      <x:c r="KTO67" s="291"/>
      <x:c r="KTP67" s="291"/>
      <x:c r="KTQ67" s="291"/>
      <x:c r="KTR67" s="291"/>
      <x:c r="KTS67" s="291"/>
      <x:c r="KTT67" s="291"/>
      <x:c r="KTU67" s="291"/>
      <x:c r="KTV67" s="291"/>
      <x:c r="KTW67" s="291"/>
      <x:c r="KTX67" s="291"/>
      <x:c r="KTY67" s="291"/>
      <x:c r="KTZ67" s="291"/>
      <x:c r="KUA67" s="291"/>
      <x:c r="KUB67" s="291"/>
      <x:c r="KUC67" s="291"/>
      <x:c r="KUD67" s="291"/>
      <x:c r="KUE67" s="291"/>
      <x:c r="KUF67" s="291"/>
      <x:c r="KUG67" s="291"/>
      <x:c r="KUH67" s="291"/>
      <x:c r="KUI67" s="291"/>
      <x:c r="KUJ67" s="291"/>
      <x:c r="KUK67" s="291"/>
      <x:c r="KUL67" s="291"/>
      <x:c r="KUM67" s="291"/>
      <x:c r="KUN67" s="291"/>
      <x:c r="KUO67" s="291"/>
      <x:c r="KUP67" s="291"/>
      <x:c r="KUQ67" s="291"/>
      <x:c r="KUR67" s="291"/>
      <x:c r="KUS67" s="291"/>
      <x:c r="KUT67" s="291"/>
      <x:c r="KUU67" s="291"/>
      <x:c r="KUV67" s="291"/>
      <x:c r="KUW67" s="291"/>
      <x:c r="KUX67" s="291"/>
      <x:c r="KUY67" s="291"/>
      <x:c r="KUZ67" s="291"/>
      <x:c r="KVA67" s="291"/>
      <x:c r="KVB67" s="291"/>
      <x:c r="KVC67" s="291"/>
      <x:c r="KVD67" s="291"/>
      <x:c r="KVE67" s="291"/>
      <x:c r="KVF67" s="291"/>
      <x:c r="KVG67" s="291"/>
      <x:c r="KVH67" s="291"/>
      <x:c r="KVI67" s="291"/>
      <x:c r="KVJ67" s="291"/>
      <x:c r="KVK67" s="291"/>
      <x:c r="KVL67" s="291"/>
      <x:c r="KVM67" s="291"/>
      <x:c r="KVN67" s="291"/>
      <x:c r="KVO67" s="291"/>
      <x:c r="KVP67" s="291"/>
      <x:c r="KVQ67" s="291"/>
      <x:c r="KVR67" s="291"/>
      <x:c r="KVS67" s="291"/>
      <x:c r="KVT67" s="291"/>
      <x:c r="KVU67" s="291"/>
      <x:c r="KVV67" s="291"/>
      <x:c r="KVW67" s="291"/>
      <x:c r="KVX67" s="291"/>
      <x:c r="KVY67" s="291"/>
      <x:c r="KVZ67" s="291"/>
      <x:c r="KWA67" s="291"/>
      <x:c r="KWB67" s="291"/>
      <x:c r="KWC67" s="291"/>
      <x:c r="KWD67" s="291"/>
      <x:c r="KWE67" s="291"/>
      <x:c r="KWF67" s="291"/>
      <x:c r="KWG67" s="291"/>
      <x:c r="KWH67" s="291"/>
      <x:c r="KWI67" s="291"/>
      <x:c r="KWJ67" s="291"/>
      <x:c r="KWK67" s="291"/>
      <x:c r="KWL67" s="291"/>
      <x:c r="KWM67" s="291"/>
      <x:c r="KWN67" s="291"/>
      <x:c r="KWO67" s="291"/>
      <x:c r="KWP67" s="291"/>
      <x:c r="KWQ67" s="291"/>
      <x:c r="KWR67" s="291"/>
      <x:c r="KWS67" s="291"/>
      <x:c r="KWT67" s="291"/>
      <x:c r="KWU67" s="291"/>
      <x:c r="KWV67" s="291"/>
      <x:c r="KWW67" s="291"/>
      <x:c r="KWX67" s="291"/>
      <x:c r="KWY67" s="291"/>
      <x:c r="KWZ67" s="291"/>
      <x:c r="KXA67" s="291"/>
      <x:c r="KXB67" s="291"/>
      <x:c r="KXC67" s="291"/>
      <x:c r="KXD67" s="291"/>
      <x:c r="KXE67" s="291"/>
      <x:c r="KXF67" s="291"/>
      <x:c r="KXG67" s="291"/>
      <x:c r="KXH67" s="291"/>
      <x:c r="KXI67" s="291"/>
      <x:c r="KXJ67" s="291"/>
      <x:c r="KXK67" s="291"/>
      <x:c r="KXL67" s="291"/>
      <x:c r="KXM67" s="291"/>
      <x:c r="KXN67" s="291"/>
      <x:c r="KXO67" s="291"/>
      <x:c r="KXP67" s="291"/>
      <x:c r="KXQ67" s="291"/>
      <x:c r="KXR67" s="291"/>
      <x:c r="KXS67" s="291"/>
      <x:c r="KXT67" s="291"/>
      <x:c r="KXU67" s="291"/>
      <x:c r="KXV67" s="291"/>
      <x:c r="KXW67" s="291"/>
      <x:c r="KXX67" s="291"/>
      <x:c r="KXY67" s="291"/>
      <x:c r="KXZ67" s="291"/>
      <x:c r="KYA67" s="291"/>
      <x:c r="KYB67" s="291"/>
      <x:c r="KYC67" s="291"/>
      <x:c r="KYD67" s="291"/>
      <x:c r="KYE67" s="291"/>
      <x:c r="KYF67" s="291"/>
      <x:c r="KYG67" s="291"/>
      <x:c r="KYH67" s="291"/>
      <x:c r="KYI67" s="291"/>
      <x:c r="KYJ67" s="291"/>
      <x:c r="KYK67" s="291"/>
      <x:c r="KYL67" s="291"/>
      <x:c r="KYM67" s="291"/>
      <x:c r="KYN67" s="291"/>
      <x:c r="KYO67" s="291"/>
      <x:c r="KYP67" s="291"/>
      <x:c r="KYQ67" s="291"/>
      <x:c r="KYR67" s="291"/>
      <x:c r="KYS67" s="291"/>
      <x:c r="KYT67" s="291"/>
      <x:c r="KYU67" s="291"/>
      <x:c r="KYV67" s="291"/>
      <x:c r="KYW67" s="291"/>
      <x:c r="KYX67" s="291"/>
      <x:c r="KYY67" s="291"/>
      <x:c r="KYZ67" s="291"/>
      <x:c r="KZA67" s="291"/>
      <x:c r="KZB67" s="291"/>
      <x:c r="KZC67" s="291"/>
      <x:c r="KZD67" s="291"/>
      <x:c r="KZE67" s="291"/>
      <x:c r="KZF67" s="291"/>
      <x:c r="KZG67" s="291"/>
      <x:c r="KZH67" s="291"/>
      <x:c r="KZI67" s="291"/>
      <x:c r="KZJ67" s="291"/>
      <x:c r="KZK67" s="291"/>
      <x:c r="KZL67" s="291"/>
      <x:c r="KZM67" s="291"/>
      <x:c r="KZN67" s="291"/>
      <x:c r="KZO67" s="291"/>
      <x:c r="KZP67" s="291"/>
      <x:c r="KZQ67" s="291"/>
      <x:c r="KZR67" s="291"/>
      <x:c r="KZS67" s="291"/>
      <x:c r="KZT67" s="291"/>
      <x:c r="KZU67" s="291"/>
      <x:c r="KZV67" s="291"/>
      <x:c r="KZW67" s="291"/>
      <x:c r="KZX67" s="291"/>
      <x:c r="KZY67" s="291"/>
      <x:c r="KZZ67" s="291"/>
      <x:c r="LAA67" s="291"/>
      <x:c r="LAB67" s="291"/>
      <x:c r="LAC67" s="291"/>
      <x:c r="LAD67" s="291"/>
      <x:c r="LAE67" s="291"/>
      <x:c r="LAF67" s="291"/>
      <x:c r="LAG67" s="291"/>
      <x:c r="LAH67" s="291"/>
      <x:c r="LAI67" s="291"/>
      <x:c r="LAJ67" s="291"/>
      <x:c r="LAK67" s="291"/>
      <x:c r="LAL67" s="291"/>
      <x:c r="LAM67" s="291"/>
      <x:c r="LAN67" s="291"/>
      <x:c r="LAO67" s="291"/>
      <x:c r="LAP67" s="291"/>
      <x:c r="LAQ67" s="291"/>
      <x:c r="LAR67" s="291"/>
      <x:c r="LAS67" s="291"/>
      <x:c r="LAT67" s="291"/>
      <x:c r="LAU67" s="291"/>
      <x:c r="LAV67" s="291"/>
      <x:c r="LAW67" s="291"/>
      <x:c r="LAX67" s="291"/>
      <x:c r="LAY67" s="291"/>
      <x:c r="LAZ67" s="291"/>
      <x:c r="LBA67" s="291"/>
      <x:c r="LBB67" s="291"/>
      <x:c r="LBC67" s="291"/>
      <x:c r="LBD67" s="291"/>
      <x:c r="LBE67" s="291"/>
      <x:c r="LBF67" s="291"/>
      <x:c r="LBG67" s="291"/>
      <x:c r="LBH67" s="291"/>
      <x:c r="LBI67" s="291"/>
      <x:c r="LBJ67" s="291"/>
      <x:c r="LBK67" s="291"/>
      <x:c r="LBL67" s="291"/>
      <x:c r="LBM67" s="291"/>
      <x:c r="LBN67" s="291"/>
      <x:c r="LBO67" s="291"/>
      <x:c r="LBP67" s="291"/>
      <x:c r="LBQ67" s="291"/>
      <x:c r="LBR67" s="291"/>
      <x:c r="LBS67" s="291"/>
      <x:c r="LBT67" s="291"/>
      <x:c r="LBU67" s="291"/>
      <x:c r="LBV67" s="291"/>
      <x:c r="LBW67" s="291"/>
      <x:c r="LBX67" s="291"/>
      <x:c r="LBY67" s="291"/>
      <x:c r="LBZ67" s="291"/>
      <x:c r="LCA67" s="291"/>
      <x:c r="LCB67" s="291"/>
      <x:c r="LCC67" s="291"/>
      <x:c r="LCD67" s="291"/>
      <x:c r="LCE67" s="291"/>
      <x:c r="LCF67" s="291"/>
      <x:c r="LCG67" s="291"/>
      <x:c r="LCH67" s="291"/>
      <x:c r="LCI67" s="291"/>
      <x:c r="LCJ67" s="291"/>
      <x:c r="LCK67" s="291"/>
      <x:c r="LCL67" s="291"/>
      <x:c r="LCM67" s="291"/>
      <x:c r="LCN67" s="291"/>
      <x:c r="LCO67" s="291"/>
      <x:c r="LCP67" s="291"/>
      <x:c r="LCQ67" s="291"/>
      <x:c r="LCR67" s="291"/>
      <x:c r="LCS67" s="291"/>
      <x:c r="LCT67" s="291"/>
      <x:c r="LCU67" s="291"/>
      <x:c r="LCV67" s="291"/>
      <x:c r="LCW67" s="291"/>
      <x:c r="LCX67" s="291"/>
      <x:c r="LCY67" s="291"/>
      <x:c r="LCZ67" s="291"/>
      <x:c r="LDA67" s="291"/>
      <x:c r="LDB67" s="291"/>
      <x:c r="LDC67" s="291"/>
      <x:c r="LDD67" s="291"/>
      <x:c r="LDE67" s="291"/>
      <x:c r="LDF67" s="291"/>
      <x:c r="LDG67" s="291"/>
      <x:c r="LDH67" s="291"/>
      <x:c r="LDI67" s="291"/>
      <x:c r="LDJ67" s="291"/>
      <x:c r="LDK67" s="291"/>
      <x:c r="LDL67" s="291"/>
      <x:c r="LDM67" s="291"/>
      <x:c r="LDN67" s="291"/>
      <x:c r="LDO67" s="291"/>
      <x:c r="LDP67" s="291"/>
      <x:c r="LDQ67" s="291"/>
      <x:c r="LDR67" s="291"/>
      <x:c r="LDS67" s="291"/>
      <x:c r="LDT67" s="291"/>
      <x:c r="LDU67" s="291"/>
      <x:c r="LDV67" s="291"/>
      <x:c r="LDW67" s="291"/>
      <x:c r="LDX67" s="291"/>
      <x:c r="LDY67" s="291"/>
      <x:c r="LDZ67" s="291"/>
      <x:c r="LEA67" s="291"/>
      <x:c r="LEB67" s="291"/>
      <x:c r="LEC67" s="291"/>
      <x:c r="LED67" s="291"/>
      <x:c r="LEE67" s="291"/>
      <x:c r="LEF67" s="291"/>
      <x:c r="LEG67" s="291"/>
      <x:c r="LEH67" s="291"/>
      <x:c r="LEI67" s="291"/>
      <x:c r="LEJ67" s="291"/>
      <x:c r="LEK67" s="291"/>
      <x:c r="LEL67" s="291"/>
      <x:c r="LEM67" s="291"/>
      <x:c r="LEN67" s="291"/>
      <x:c r="LEO67" s="291"/>
      <x:c r="LEP67" s="291"/>
      <x:c r="LEQ67" s="291"/>
      <x:c r="LER67" s="291"/>
      <x:c r="LES67" s="291"/>
      <x:c r="LET67" s="291"/>
      <x:c r="LEU67" s="291"/>
      <x:c r="LEV67" s="291"/>
      <x:c r="LEW67" s="291"/>
      <x:c r="LEX67" s="291"/>
      <x:c r="LEY67" s="291"/>
      <x:c r="LEZ67" s="291"/>
      <x:c r="LFA67" s="291"/>
      <x:c r="LFB67" s="291"/>
      <x:c r="LFC67" s="291"/>
      <x:c r="LFD67" s="291"/>
      <x:c r="LFE67" s="291"/>
      <x:c r="LFF67" s="291"/>
      <x:c r="LFG67" s="291"/>
      <x:c r="LFH67" s="291"/>
      <x:c r="LFI67" s="291"/>
      <x:c r="LFJ67" s="291"/>
      <x:c r="LFK67" s="291"/>
      <x:c r="LFL67" s="291"/>
      <x:c r="LFM67" s="291"/>
      <x:c r="LFN67" s="291"/>
      <x:c r="LFO67" s="291"/>
      <x:c r="LFP67" s="291"/>
      <x:c r="LFQ67" s="291"/>
      <x:c r="LFR67" s="291"/>
      <x:c r="LFS67" s="291"/>
      <x:c r="LFT67" s="291"/>
      <x:c r="LFU67" s="291"/>
      <x:c r="LFV67" s="291"/>
      <x:c r="LFW67" s="291"/>
      <x:c r="LFX67" s="291"/>
      <x:c r="LFY67" s="291"/>
      <x:c r="LFZ67" s="291"/>
      <x:c r="LGA67" s="291"/>
      <x:c r="LGB67" s="291"/>
      <x:c r="LGC67" s="291"/>
      <x:c r="LGD67" s="291"/>
      <x:c r="LGE67" s="291"/>
      <x:c r="LGF67" s="291"/>
      <x:c r="LGG67" s="291"/>
      <x:c r="LGH67" s="291"/>
      <x:c r="LGI67" s="291"/>
      <x:c r="LGJ67" s="291"/>
      <x:c r="LGK67" s="291"/>
      <x:c r="LGL67" s="291"/>
      <x:c r="LGM67" s="291"/>
      <x:c r="LGN67" s="291"/>
      <x:c r="LGO67" s="291"/>
      <x:c r="LGP67" s="291"/>
      <x:c r="LGQ67" s="291"/>
      <x:c r="LGR67" s="291"/>
      <x:c r="LGS67" s="291"/>
      <x:c r="LGT67" s="291"/>
      <x:c r="LGU67" s="291"/>
      <x:c r="LGV67" s="291"/>
      <x:c r="LGW67" s="291"/>
      <x:c r="LGX67" s="291"/>
      <x:c r="LGY67" s="291"/>
      <x:c r="LGZ67" s="291"/>
      <x:c r="LHA67" s="291"/>
      <x:c r="LHB67" s="291"/>
      <x:c r="LHC67" s="291"/>
      <x:c r="LHD67" s="291"/>
      <x:c r="LHE67" s="291"/>
      <x:c r="LHF67" s="291"/>
      <x:c r="LHG67" s="291"/>
      <x:c r="LHH67" s="291"/>
      <x:c r="LHI67" s="291"/>
      <x:c r="LHJ67" s="291"/>
      <x:c r="LHK67" s="291"/>
      <x:c r="LHL67" s="291"/>
      <x:c r="LHM67" s="291"/>
      <x:c r="LHN67" s="291"/>
      <x:c r="LHO67" s="291"/>
      <x:c r="LHP67" s="291"/>
      <x:c r="LHQ67" s="291"/>
      <x:c r="LHR67" s="291"/>
      <x:c r="LHS67" s="291"/>
      <x:c r="LHT67" s="291"/>
      <x:c r="LHU67" s="291"/>
      <x:c r="LHV67" s="291"/>
      <x:c r="LHW67" s="291"/>
      <x:c r="LHX67" s="291"/>
      <x:c r="LHY67" s="291"/>
      <x:c r="LHZ67" s="291"/>
      <x:c r="LIA67" s="291"/>
      <x:c r="LIB67" s="291"/>
      <x:c r="LIC67" s="291"/>
      <x:c r="LID67" s="291"/>
      <x:c r="LIE67" s="291"/>
      <x:c r="LIF67" s="291"/>
      <x:c r="LIG67" s="291"/>
      <x:c r="LIH67" s="291"/>
      <x:c r="LII67" s="291"/>
      <x:c r="LIJ67" s="291"/>
      <x:c r="LIK67" s="291"/>
      <x:c r="LIL67" s="291"/>
      <x:c r="LIM67" s="291"/>
      <x:c r="LIN67" s="291"/>
      <x:c r="LIO67" s="291"/>
      <x:c r="LIP67" s="291"/>
      <x:c r="LIQ67" s="291"/>
      <x:c r="LIR67" s="291"/>
      <x:c r="LIS67" s="291"/>
      <x:c r="LIT67" s="291"/>
      <x:c r="LIU67" s="291"/>
      <x:c r="LIV67" s="291"/>
      <x:c r="LIW67" s="291"/>
      <x:c r="LIX67" s="291"/>
      <x:c r="LIY67" s="291"/>
      <x:c r="LIZ67" s="291"/>
      <x:c r="LJA67" s="291"/>
      <x:c r="LJB67" s="291"/>
      <x:c r="LJC67" s="291"/>
      <x:c r="LJD67" s="291"/>
      <x:c r="LJE67" s="291"/>
      <x:c r="LJF67" s="291"/>
      <x:c r="LJG67" s="291"/>
      <x:c r="LJH67" s="291"/>
      <x:c r="LJI67" s="291"/>
      <x:c r="LJJ67" s="291"/>
      <x:c r="LJK67" s="291"/>
      <x:c r="LJL67" s="291"/>
      <x:c r="LJM67" s="291"/>
      <x:c r="LJN67" s="291"/>
      <x:c r="LJO67" s="291"/>
      <x:c r="LJP67" s="291"/>
      <x:c r="LJQ67" s="291"/>
      <x:c r="LJR67" s="291"/>
      <x:c r="LJS67" s="291"/>
      <x:c r="LJT67" s="291"/>
      <x:c r="LJU67" s="291"/>
      <x:c r="LJV67" s="291"/>
      <x:c r="LJW67" s="291"/>
      <x:c r="LJX67" s="291"/>
      <x:c r="LJY67" s="291"/>
      <x:c r="LJZ67" s="291"/>
      <x:c r="LKA67" s="291"/>
      <x:c r="LKB67" s="291"/>
      <x:c r="LKC67" s="291"/>
      <x:c r="LKD67" s="291"/>
      <x:c r="LKE67" s="291"/>
      <x:c r="LKF67" s="291"/>
      <x:c r="LKG67" s="291"/>
      <x:c r="LKH67" s="291"/>
      <x:c r="LKI67" s="291"/>
      <x:c r="LKJ67" s="291"/>
      <x:c r="LKK67" s="291"/>
      <x:c r="LKL67" s="291"/>
      <x:c r="LKM67" s="291"/>
      <x:c r="LKN67" s="291"/>
      <x:c r="LKO67" s="291"/>
      <x:c r="LKP67" s="291"/>
      <x:c r="LKQ67" s="291"/>
      <x:c r="LKR67" s="291"/>
      <x:c r="LKS67" s="291"/>
      <x:c r="LKT67" s="291"/>
      <x:c r="LKU67" s="291"/>
      <x:c r="LKV67" s="291"/>
      <x:c r="LKW67" s="291"/>
      <x:c r="LKX67" s="291"/>
      <x:c r="LKY67" s="291"/>
      <x:c r="LKZ67" s="291"/>
      <x:c r="LLA67" s="291"/>
      <x:c r="LLB67" s="291"/>
      <x:c r="LLC67" s="291"/>
      <x:c r="LLD67" s="291"/>
      <x:c r="LLE67" s="291"/>
      <x:c r="LLF67" s="291"/>
      <x:c r="LLG67" s="291"/>
      <x:c r="LLH67" s="291"/>
      <x:c r="LLI67" s="291"/>
      <x:c r="LLJ67" s="291"/>
      <x:c r="LLK67" s="291"/>
      <x:c r="LLL67" s="291"/>
      <x:c r="LLM67" s="291"/>
      <x:c r="LLN67" s="291"/>
      <x:c r="LLO67" s="291"/>
      <x:c r="LLP67" s="291"/>
      <x:c r="LLQ67" s="291"/>
      <x:c r="LLR67" s="291"/>
      <x:c r="LLS67" s="291"/>
      <x:c r="LLT67" s="291"/>
      <x:c r="LLU67" s="291"/>
      <x:c r="LLV67" s="291"/>
      <x:c r="LLW67" s="291"/>
      <x:c r="LLX67" s="291"/>
      <x:c r="LLY67" s="291"/>
      <x:c r="LLZ67" s="291"/>
      <x:c r="LMA67" s="291"/>
      <x:c r="LMB67" s="291"/>
      <x:c r="LMC67" s="291"/>
      <x:c r="LMD67" s="291"/>
      <x:c r="LME67" s="291"/>
      <x:c r="LMF67" s="291"/>
      <x:c r="LMG67" s="291"/>
      <x:c r="LMH67" s="291"/>
      <x:c r="LMI67" s="291"/>
      <x:c r="LMJ67" s="291"/>
      <x:c r="LMK67" s="291"/>
      <x:c r="LML67" s="291"/>
      <x:c r="LMM67" s="291"/>
      <x:c r="LMN67" s="291"/>
      <x:c r="LMO67" s="291"/>
      <x:c r="LMP67" s="291"/>
      <x:c r="LMQ67" s="291"/>
      <x:c r="LMR67" s="291"/>
      <x:c r="LMS67" s="291"/>
      <x:c r="LMT67" s="291"/>
      <x:c r="LMU67" s="291"/>
      <x:c r="LMV67" s="291"/>
      <x:c r="LMW67" s="291"/>
      <x:c r="LMX67" s="291"/>
      <x:c r="LMY67" s="291"/>
      <x:c r="LMZ67" s="291"/>
      <x:c r="LNA67" s="291"/>
      <x:c r="LNB67" s="291"/>
      <x:c r="LNC67" s="291"/>
      <x:c r="LND67" s="291"/>
      <x:c r="LNE67" s="291"/>
      <x:c r="LNF67" s="291"/>
      <x:c r="LNG67" s="291"/>
      <x:c r="LNH67" s="291"/>
      <x:c r="LNI67" s="291"/>
      <x:c r="LNJ67" s="291"/>
      <x:c r="LNK67" s="291"/>
      <x:c r="LNL67" s="291"/>
      <x:c r="LNM67" s="291"/>
      <x:c r="LNN67" s="291"/>
      <x:c r="LNO67" s="291"/>
      <x:c r="LNP67" s="291"/>
      <x:c r="LNQ67" s="291"/>
      <x:c r="LNR67" s="291"/>
      <x:c r="LNS67" s="291"/>
      <x:c r="LNT67" s="291"/>
      <x:c r="LNU67" s="291"/>
      <x:c r="LNV67" s="291"/>
      <x:c r="LNW67" s="291"/>
      <x:c r="LNX67" s="291"/>
      <x:c r="LNY67" s="291"/>
      <x:c r="LNZ67" s="291"/>
      <x:c r="LOA67" s="291"/>
      <x:c r="LOB67" s="291"/>
      <x:c r="LOC67" s="291"/>
      <x:c r="LOD67" s="291"/>
      <x:c r="LOE67" s="291"/>
      <x:c r="LOF67" s="291"/>
      <x:c r="LOG67" s="291"/>
      <x:c r="LOH67" s="291"/>
      <x:c r="LOI67" s="291"/>
      <x:c r="LOJ67" s="291"/>
      <x:c r="LOK67" s="291"/>
      <x:c r="LOL67" s="291"/>
      <x:c r="LOM67" s="291"/>
      <x:c r="LON67" s="291"/>
      <x:c r="LOO67" s="291"/>
      <x:c r="LOP67" s="291"/>
      <x:c r="LOQ67" s="291"/>
      <x:c r="LOR67" s="291"/>
      <x:c r="LOS67" s="291"/>
      <x:c r="LOT67" s="291"/>
      <x:c r="LOU67" s="291"/>
      <x:c r="LOV67" s="291"/>
      <x:c r="LOW67" s="291"/>
      <x:c r="LOX67" s="291"/>
      <x:c r="LOY67" s="291"/>
      <x:c r="LOZ67" s="291"/>
      <x:c r="LPA67" s="291"/>
      <x:c r="LPB67" s="291"/>
      <x:c r="LPC67" s="291"/>
      <x:c r="LPD67" s="291"/>
      <x:c r="LPE67" s="291"/>
      <x:c r="LPF67" s="291"/>
      <x:c r="LPG67" s="291"/>
      <x:c r="LPH67" s="291"/>
      <x:c r="LPI67" s="291"/>
      <x:c r="LPJ67" s="291"/>
      <x:c r="LPK67" s="291"/>
      <x:c r="LPL67" s="291"/>
      <x:c r="LPM67" s="291"/>
      <x:c r="LPN67" s="291"/>
      <x:c r="LPO67" s="291"/>
      <x:c r="LPP67" s="291"/>
      <x:c r="LPQ67" s="291"/>
      <x:c r="LPR67" s="291"/>
      <x:c r="LPS67" s="291"/>
      <x:c r="LPT67" s="291"/>
      <x:c r="LPU67" s="291"/>
      <x:c r="LPV67" s="291"/>
      <x:c r="LPW67" s="291"/>
      <x:c r="LPX67" s="291"/>
      <x:c r="LPY67" s="291"/>
      <x:c r="LPZ67" s="291"/>
      <x:c r="LQA67" s="291"/>
      <x:c r="LQB67" s="291"/>
      <x:c r="LQC67" s="291"/>
      <x:c r="LQD67" s="291"/>
      <x:c r="LQE67" s="291"/>
      <x:c r="LQF67" s="291"/>
      <x:c r="LQG67" s="291"/>
      <x:c r="LQH67" s="291"/>
      <x:c r="LQI67" s="291"/>
      <x:c r="LQJ67" s="291"/>
      <x:c r="LQK67" s="291"/>
      <x:c r="LQL67" s="291"/>
      <x:c r="LQM67" s="291"/>
      <x:c r="LQN67" s="291"/>
      <x:c r="LQO67" s="291"/>
      <x:c r="LQP67" s="291"/>
      <x:c r="LQQ67" s="291"/>
      <x:c r="LQR67" s="291"/>
      <x:c r="LQS67" s="291"/>
      <x:c r="LQT67" s="291"/>
      <x:c r="LQU67" s="291"/>
      <x:c r="LQV67" s="291"/>
      <x:c r="LQW67" s="291"/>
      <x:c r="LQX67" s="291"/>
      <x:c r="LQY67" s="291"/>
      <x:c r="LQZ67" s="291"/>
      <x:c r="LRA67" s="291"/>
      <x:c r="LRB67" s="291"/>
      <x:c r="LRC67" s="291"/>
      <x:c r="LRD67" s="291"/>
      <x:c r="LRE67" s="291"/>
      <x:c r="LRF67" s="291"/>
      <x:c r="LRG67" s="291"/>
      <x:c r="LRH67" s="291"/>
      <x:c r="LRI67" s="291"/>
      <x:c r="LRJ67" s="291"/>
      <x:c r="LRK67" s="291"/>
      <x:c r="LRL67" s="291"/>
      <x:c r="LRM67" s="291"/>
      <x:c r="LRN67" s="291"/>
      <x:c r="LRO67" s="291"/>
      <x:c r="LRP67" s="291"/>
      <x:c r="LRQ67" s="291"/>
      <x:c r="LRR67" s="291"/>
      <x:c r="LRS67" s="291"/>
      <x:c r="LRT67" s="291"/>
      <x:c r="LRU67" s="291"/>
      <x:c r="LRV67" s="291"/>
      <x:c r="LRW67" s="291"/>
      <x:c r="LRX67" s="291"/>
      <x:c r="LRY67" s="291"/>
      <x:c r="LRZ67" s="291"/>
      <x:c r="LSA67" s="291"/>
      <x:c r="LSB67" s="291"/>
      <x:c r="LSC67" s="291"/>
      <x:c r="LSD67" s="291"/>
      <x:c r="LSE67" s="291"/>
      <x:c r="LSF67" s="291"/>
      <x:c r="LSG67" s="291"/>
      <x:c r="LSH67" s="291"/>
      <x:c r="LSI67" s="291"/>
      <x:c r="LSJ67" s="291"/>
      <x:c r="LSK67" s="291"/>
      <x:c r="LSL67" s="291"/>
      <x:c r="LSM67" s="291"/>
      <x:c r="LSN67" s="291"/>
      <x:c r="LSO67" s="291"/>
      <x:c r="LSP67" s="291"/>
      <x:c r="LSQ67" s="291"/>
      <x:c r="LSR67" s="291"/>
      <x:c r="LSS67" s="291"/>
      <x:c r="LST67" s="291"/>
      <x:c r="LSU67" s="291"/>
      <x:c r="LSV67" s="291"/>
      <x:c r="LSW67" s="291"/>
      <x:c r="LSX67" s="291"/>
      <x:c r="LSY67" s="291"/>
      <x:c r="LSZ67" s="291"/>
      <x:c r="LTA67" s="291"/>
      <x:c r="LTB67" s="291"/>
      <x:c r="LTC67" s="291"/>
      <x:c r="LTD67" s="291"/>
      <x:c r="LTE67" s="291"/>
      <x:c r="LTF67" s="291"/>
      <x:c r="LTG67" s="291"/>
      <x:c r="LTH67" s="291"/>
      <x:c r="LTI67" s="291"/>
      <x:c r="LTJ67" s="291"/>
      <x:c r="LTK67" s="291"/>
      <x:c r="LTL67" s="291"/>
      <x:c r="LTM67" s="291"/>
      <x:c r="LTN67" s="291"/>
      <x:c r="LTO67" s="291"/>
      <x:c r="LTP67" s="291"/>
      <x:c r="LTQ67" s="291"/>
      <x:c r="LTR67" s="291"/>
      <x:c r="LTS67" s="291"/>
      <x:c r="LTT67" s="291"/>
      <x:c r="LTU67" s="291"/>
      <x:c r="LTV67" s="291"/>
      <x:c r="LTW67" s="291"/>
      <x:c r="LTX67" s="291"/>
      <x:c r="LTY67" s="291"/>
      <x:c r="LTZ67" s="291"/>
      <x:c r="LUA67" s="291"/>
      <x:c r="LUB67" s="291"/>
      <x:c r="LUC67" s="291"/>
      <x:c r="LUD67" s="291"/>
      <x:c r="LUE67" s="291"/>
      <x:c r="LUF67" s="291"/>
      <x:c r="LUG67" s="291"/>
      <x:c r="LUH67" s="291"/>
      <x:c r="LUI67" s="291"/>
      <x:c r="LUJ67" s="291"/>
      <x:c r="LUK67" s="291"/>
      <x:c r="LUL67" s="291"/>
      <x:c r="LUM67" s="291"/>
      <x:c r="LUN67" s="291"/>
      <x:c r="LUO67" s="291"/>
      <x:c r="LUP67" s="291"/>
      <x:c r="LUQ67" s="291"/>
      <x:c r="LUR67" s="291"/>
      <x:c r="LUS67" s="291"/>
      <x:c r="LUT67" s="291"/>
      <x:c r="LUU67" s="291"/>
      <x:c r="LUV67" s="291"/>
      <x:c r="LUW67" s="291"/>
      <x:c r="LUX67" s="291"/>
      <x:c r="LUY67" s="291"/>
      <x:c r="LUZ67" s="291"/>
      <x:c r="LVA67" s="291"/>
      <x:c r="LVB67" s="291"/>
      <x:c r="LVC67" s="291"/>
      <x:c r="LVD67" s="291"/>
      <x:c r="LVE67" s="291"/>
      <x:c r="LVF67" s="291"/>
      <x:c r="LVG67" s="291"/>
      <x:c r="LVH67" s="291"/>
      <x:c r="LVI67" s="291"/>
      <x:c r="LVJ67" s="291"/>
      <x:c r="LVK67" s="291"/>
      <x:c r="LVL67" s="291"/>
      <x:c r="LVM67" s="291"/>
      <x:c r="LVN67" s="291"/>
      <x:c r="LVO67" s="291"/>
      <x:c r="LVP67" s="291"/>
      <x:c r="LVQ67" s="291"/>
      <x:c r="LVR67" s="291"/>
      <x:c r="LVS67" s="291"/>
      <x:c r="LVT67" s="291"/>
      <x:c r="LVU67" s="291"/>
      <x:c r="LVV67" s="291"/>
      <x:c r="LVW67" s="291"/>
      <x:c r="LVX67" s="291"/>
      <x:c r="LVY67" s="291"/>
      <x:c r="LVZ67" s="291"/>
      <x:c r="LWA67" s="291"/>
      <x:c r="LWB67" s="291"/>
      <x:c r="LWC67" s="291"/>
      <x:c r="LWD67" s="291"/>
      <x:c r="LWE67" s="291"/>
      <x:c r="LWF67" s="291"/>
      <x:c r="LWG67" s="291"/>
      <x:c r="LWH67" s="291"/>
      <x:c r="LWI67" s="291"/>
      <x:c r="LWJ67" s="291"/>
      <x:c r="LWK67" s="291"/>
      <x:c r="LWL67" s="291"/>
      <x:c r="LWM67" s="291"/>
      <x:c r="LWN67" s="291"/>
      <x:c r="LWO67" s="291"/>
      <x:c r="LWP67" s="291"/>
      <x:c r="LWQ67" s="291"/>
      <x:c r="LWR67" s="291"/>
      <x:c r="LWS67" s="291"/>
      <x:c r="LWT67" s="291"/>
      <x:c r="LWU67" s="291"/>
      <x:c r="LWV67" s="291"/>
      <x:c r="LWW67" s="291"/>
      <x:c r="LWX67" s="291"/>
      <x:c r="LWY67" s="291"/>
      <x:c r="LWZ67" s="291"/>
      <x:c r="LXA67" s="291"/>
      <x:c r="LXB67" s="291"/>
      <x:c r="LXC67" s="291"/>
      <x:c r="LXD67" s="291"/>
      <x:c r="LXE67" s="291"/>
      <x:c r="LXF67" s="291"/>
      <x:c r="LXG67" s="291"/>
      <x:c r="LXH67" s="291"/>
      <x:c r="LXI67" s="291"/>
      <x:c r="LXJ67" s="291"/>
      <x:c r="LXK67" s="291"/>
      <x:c r="LXL67" s="291"/>
      <x:c r="LXM67" s="291"/>
      <x:c r="LXN67" s="291"/>
      <x:c r="LXO67" s="291"/>
      <x:c r="LXP67" s="291"/>
      <x:c r="LXQ67" s="291"/>
      <x:c r="LXR67" s="291"/>
      <x:c r="LXS67" s="291"/>
      <x:c r="LXT67" s="291"/>
      <x:c r="LXU67" s="291"/>
      <x:c r="LXV67" s="291"/>
      <x:c r="LXW67" s="291"/>
      <x:c r="LXX67" s="291"/>
      <x:c r="LXY67" s="291"/>
      <x:c r="LXZ67" s="291"/>
      <x:c r="LYA67" s="291"/>
      <x:c r="LYB67" s="291"/>
      <x:c r="LYC67" s="291"/>
      <x:c r="LYD67" s="291"/>
      <x:c r="LYE67" s="291"/>
      <x:c r="LYF67" s="291"/>
      <x:c r="LYG67" s="291"/>
      <x:c r="LYH67" s="291"/>
      <x:c r="LYI67" s="291"/>
      <x:c r="LYJ67" s="291"/>
      <x:c r="LYK67" s="291"/>
      <x:c r="LYL67" s="291"/>
      <x:c r="LYM67" s="291"/>
      <x:c r="LYN67" s="291"/>
      <x:c r="LYO67" s="291"/>
      <x:c r="LYP67" s="291"/>
      <x:c r="LYQ67" s="291"/>
      <x:c r="LYR67" s="291"/>
      <x:c r="LYS67" s="291"/>
      <x:c r="LYT67" s="291"/>
      <x:c r="LYU67" s="291"/>
      <x:c r="LYV67" s="291"/>
      <x:c r="LYW67" s="291"/>
      <x:c r="LYX67" s="291"/>
      <x:c r="LYY67" s="291"/>
      <x:c r="LYZ67" s="291"/>
      <x:c r="LZA67" s="291"/>
      <x:c r="LZB67" s="291"/>
      <x:c r="LZC67" s="291"/>
      <x:c r="LZD67" s="291"/>
      <x:c r="LZE67" s="291"/>
      <x:c r="LZF67" s="291"/>
      <x:c r="LZG67" s="291"/>
      <x:c r="LZH67" s="291"/>
      <x:c r="LZI67" s="291"/>
      <x:c r="LZJ67" s="291"/>
      <x:c r="LZK67" s="291"/>
      <x:c r="LZL67" s="291"/>
      <x:c r="LZM67" s="291"/>
      <x:c r="LZN67" s="291"/>
      <x:c r="LZO67" s="291"/>
      <x:c r="LZP67" s="291"/>
      <x:c r="LZQ67" s="291"/>
      <x:c r="LZR67" s="291"/>
      <x:c r="LZS67" s="291"/>
      <x:c r="LZT67" s="291"/>
      <x:c r="LZU67" s="291"/>
      <x:c r="LZV67" s="291"/>
      <x:c r="LZW67" s="291"/>
      <x:c r="LZX67" s="291"/>
      <x:c r="LZY67" s="291"/>
      <x:c r="LZZ67" s="291"/>
      <x:c r="MAA67" s="291"/>
      <x:c r="MAB67" s="291"/>
      <x:c r="MAC67" s="291"/>
      <x:c r="MAD67" s="291"/>
      <x:c r="MAE67" s="291"/>
      <x:c r="MAF67" s="291"/>
      <x:c r="MAG67" s="291"/>
      <x:c r="MAH67" s="291"/>
      <x:c r="MAI67" s="291"/>
      <x:c r="MAJ67" s="291"/>
      <x:c r="MAK67" s="291"/>
      <x:c r="MAL67" s="291"/>
      <x:c r="MAM67" s="291"/>
      <x:c r="MAN67" s="291"/>
      <x:c r="MAO67" s="291"/>
      <x:c r="MAP67" s="291"/>
      <x:c r="MAQ67" s="291"/>
      <x:c r="MAR67" s="291"/>
      <x:c r="MAS67" s="291"/>
      <x:c r="MAT67" s="291"/>
      <x:c r="MAU67" s="291"/>
      <x:c r="MAV67" s="291"/>
      <x:c r="MAW67" s="291"/>
      <x:c r="MAX67" s="291"/>
      <x:c r="MAY67" s="291"/>
      <x:c r="MAZ67" s="291"/>
      <x:c r="MBA67" s="291"/>
      <x:c r="MBB67" s="291"/>
      <x:c r="MBC67" s="291"/>
      <x:c r="MBD67" s="291"/>
      <x:c r="MBE67" s="291"/>
      <x:c r="MBF67" s="291"/>
      <x:c r="MBG67" s="291"/>
      <x:c r="MBH67" s="291"/>
      <x:c r="MBI67" s="291"/>
      <x:c r="MBJ67" s="291"/>
      <x:c r="MBK67" s="291"/>
      <x:c r="MBL67" s="291"/>
      <x:c r="MBM67" s="291"/>
      <x:c r="MBN67" s="291"/>
      <x:c r="MBO67" s="291"/>
      <x:c r="MBP67" s="291"/>
      <x:c r="MBQ67" s="291"/>
      <x:c r="MBR67" s="291"/>
      <x:c r="MBS67" s="291"/>
      <x:c r="MBT67" s="291"/>
      <x:c r="MBU67" s="291"/>
      <x:c r="MBV67" s="291"/>
      <x:c r="MBW67" s="291"/>
      <x:c r="MBX67" s="291"/>
      <x:c r="MBY67" s="291"/>
      <x:c r="MBZ67" s="291"/>
      <x:c r="MCA67" s="291"/>
      <x:c r="MCB67" s="291"/>
      <x:c r="MCC67" s="291"/>
      <x:c r="MCD67" s="291"/>
      <x:c r="MCE67" s="291"/>
      <x:c r="MCF67" s="291"/>
      <x:c r="MCG67" s="291"/>
      <x:c r="MCH67" s="291"/>
      <x:c r="MCI67" s="291"/>
      <x:c r="MCJ67" s="291"/>
      <x:c r="MCK67" s="291"/>
      <x:c r="MCL67" s="291"/>
      <x:c r="MCM67" s="291"/>
      <x:c r="MCN67" s="291"/>
      <x:c r="MCO67" s="291"/>
      <x:c r="MCP67" s="291"/>
      <x:c r="MCQ67" s="291"/>
      <x:c r="MCR67" s="291"/>
      <x:c r="MCS67" s="291"/>
      <x:c r="MCT67" s="291"/>
      <x:c r="MCU67" s="291"/>
      <x:c r="MCV67" s="291"/>
      <x:c r="MCW67" s="291"/>
      <x:c r="MCX67" s="291"/>
      <x:c r="MCY67" s="291"/>
      <x:c r="MCZ67" s="291"/>
      <x:c r="MDA67" s="291"/>
      <x:c r="MDB67" s="291"/>
      <x:c r="MDC67" s="291"/>
      <x:c r="MDD67" s="291"/>
      <x:c r="MDE67" s="291"/>
      <x:c r="MDF67" s="291"/>
      <x:c r="MDG67" s="291"/>
      <x:c r="MDH67" s="291"/>
      <x:c r="MDI67" s="291"/>
      <x:c r="MDJ67" s="291"/>
      <x:c r="MDK67" s="291"/>
      <x:c r="MDL67" s="291"/>
      <x:c r="MDM67" s="291"/>
      <x:c r="MDN67" s="291"/>
      <x:c r="MDO67" s="291"/>
      <x:c r="MDP67" s="291"/>
      <x:c r="MDQ67" s="291"/>
      <x:c r="MDR67" s="291"/>
      <x:c r="MDS67" s="291"/>
      <x:c r="MDT67" s="291"/>
      <x:c r="MDU67" s="291"/>
      <x:c r="MDV67" s="291"/>
      <x:c r="MDW67" s="291"/>
      <x:c r="MDX67" s="291"/>
      <x:c r="MDY67" s="291"/>
      <x:c r="MDZ67" s="291"/>
      <x:c r="MEA67" s="291"/>
      <x:c r="MEB67" s="291"/>
      <x:c r="MEC67" s="291"/>
      <x:c r="MED67" s="291"/>
      <x:c r="MEE67" s="291"/>
      <x:c r="MEF67" s="291"/>
      <x:c r="MEG67" s="291"/>
      <x:c r="MEH67" s="291"/>
      <x:c r="MEI67" s="291"/>
      <x:c r="MEJ67" s="291"/>
      <x:c r="MEK67" s="291"/>
      <x:c r="MEL67" s="291"/>
      <x:c r="MEM67" s="291"/>
      <x:c r="MEN67" s="291"/>
      <x:c r="MEO67" s="291"/>
      <x:c r="MEP67" s="291"/>
      <x:c r="MEQ67" s="291"/>
      <x:c r="MER67" s="291"/>
      <x:c r="MES67" s="291"/>
      <x:c r="MET67" s="291"/>
      <x:c r="MEU67" s="291"/>
      <x:c r="MEV67" s="291"/>
      <x:c r="MEW67" s="291"/>
      <x:c r="MEX67" s="291"/>
      <x:c r="MEY67" s="291"/>
      <x:c r="MEZ67" s="291"/>
      <x:c r="MFA67" s="291"/>
      <x:c r="MFB67" s="291"/>
      <x:c r="MFC67" s="291"/>
      <x:c r="MFD67" s="291"/>
      <x:c r="MFE67" s="291"/>
      <x:c r="MFF67" s="291"/>
      <x:c r="MFG67" s="291"/>
      <x:c r="MFH67" s="291"/>
      <x:c r="MFI67" s="291"/>
      <x:c r="MFJ67" s="291"/>
      <x:c r="MFK67" s="291"/>
      <x:c r="MFL67" s="291"/>
      <x:c r="MFM67" s="291"/>
      <x:c r="MFN67" s="291"/>
      <x:c r="MFO67" s="291"/>
      <x:c r="MFP67" s="291"/>
      <x:c r="MFQ67" s="291"/>
      <x:c r="MFR67" s="291"/>
      <x:c r="MFS67" s="291"/>
      <x:c r="MFT67" s="291"/>
      <x:c r="MFU67" s="291"/>
      <x:c r="MFV67" s="291"/>
      <x:c r="MFW67" s="291"/>
      <x:c r="MFX67" s="291"/>
      <x:c r="MFY67" s="291"/>
      <x:c r="MFZ67" s="291"/>
      <x:c r="MGA67" s="291"/>
      <x:c r="MGB67" s="291"/>
      <x:c r="MGC67" s="291"/>
      <x:c r="MGD67" s="291"/>
      <x:c r="MGE67" s="291"/>
      <x:c r="MGF67" s="291"/>
      <x:c r="MGG67" s="291"/>
      <x:c r="MGH67" s="291"/>
      <x:c r="MGI67" s="291"/>
      <x:c r="MGJ67" s="291"/>
      <x:c r="MGK67" s="291"/>
      <x:c r="MGL67" s="291"/>
      <x:c r="MGM67" s="291"/>
      <x:c r="MGN67" s="291"/>
      <x:c r="MGO67" s="291"/>
      <x:c r="MGP67" s="291"/>
      <x:c r="MGQ67" s="291"/>
      <x:c r="MGR67" s="291"/>
      <x:c r="MGS67" s="291"/>
      <x:c r="MGT67" s="291"/>
      <x:c r="MGU67" s="291"/>
      <x:c r="MGV67" s="291"/>
      <x:c r="MGW67" s="291"/>
      <x:c r="MGX67" s="291"/>
      <x:c r="MGY67" s="291"/>
      <x:c r="MGZ67" s="291"/>
      <x:c r="MHA67" s="291"/>
      <x:c r="MHB67" s="291"/>
      <x:c r="MHC67" s="291"/>
      <x:c r="MHD67" s="291"/>
      <x:c r="MHE67" s="291"/>
      <x:c r="MHF67" s="291"/>
      <x:c r="MHG67" s="291"/>
      <x:c r="MHH67" s="291"/>
      <x:c r="MHI67" s="291"/>
      <x:c r="MHJ67" s="291"/>
      <x:c r="MHK67" s="291"/>
      <x:c r="MHL67" s="291"/>
      <x:c r="MHM67" s="291"/>
      <x:c r="MHN67" s="291"/>
      <x:c r="MHO67" s="291"/>
      <x:c r="MHP67" s="291"/>
      <x:c r="MHQ67" s="291"/>
      <x:c r="MHR67" s="291"/>
      <x:c r="MHS67" s="291"/>
      <x:c r="MHT67" s="291"/>
      <x:c r="MHU67" s="291"/>
      <x:c r="MHV67" s="291"/>
      <x:c r="MHW67" s="291"/>
      <x:c r="MHX67" s="291"/>
      <x:c r="MHY67" s="291"/>
      <x:c r="MHZ67" s="291"/>
      <x:c r="MIA67" s="291"/>
      <x:c r="MIB67" s="291"/>
      <x:c r="MIC67" s="291"/>
      <x:c r="MID67" s="291"/>
      <x:c r="MIE67" s="291"/>
      <x:c r="MIF67" s="291"/>
      <x:c r="MIG67" s="291"/>
      <x:c r="MIH67" s="291"/>
      <x:c r="MII67" s="291"/>
      <x:c r="MIJ67" s="291"/>
      <x:c r="MIK67" s="291"/>
      <x:c r="MIL67" s="291"/>
      <x:c r="MIM67" s="291"/>
      <x:c r="MIN67" s="291"/>
      <x:c r="MIO67" s="291"/>
      <x:c r="MIP67" s="291"/>
      <x:c r="MIQ67" s="291"/>
      <x:c r="MIR67" s="291"/>
      <x:c r="MIS67" s="291"/>
      <x:c r="MIT67" s="291"/>
      <x:c r="MIU67" s="291"/>
      <x:c r="MIV67" s="291"/>
      <x:c r="MIW67" s="291"/>
      <x:c r="MIX67" s="291"/>
      <x:c r="MIY67" s="291"/>
      <x:c r="MIZ67" s="291"/>
      <x:c r="MJA67" s="291"/>
      <x:c r="MJB67" s="291"/>
      <x:c r="MJC67" s="291"/>
      <x:c r="MJD67" s="291"/>
      <x:c r="MJE67" s="291"/>
      <x:c r="MJF67" s="291"/>
      <x:c r="MJG67" s="291"/>
      <x:c r="MJH67" s="291"/>
      <x:c r="MJI67" s="291"/>
      <x:c r="MJJ67" s="291"/>
      <x:c r="MJK67" s="291"/>
      <x:c r="MJL67" s="291"/>
      <x:c r="MJM67" s="291"/>
      <x:c r="MJN67" s="291"/>
      <x:c r="MJO67" s="291"/>
      <x:c r="MJP67" s="291"/>
      <x:c r="MJQ67" s="291"/>
      <x:c r="MJR67" s="291"/>
      <x:c r="MJS67" s="291"/>
      <x:c r="MJT67" s="291"/>
      <x:c r="MJU67" s="291"/>
      <x:c r="MJV67" s="291"/>
      <x:c r="MJW67" s="291"/>
      <x:c r="MJX67" s="291"/>
      <x:c r="MJY67" s="291"/>
      <x:c r="MJZ67" s="291"/>
      <x:c r="MKA67" s="291"/>
      <x:c r="MKB67" s="291"/>
      <x:c r="MKC67" s="291"/>
      <x:c r="MKD67" s="291"/>
      <x:c r="MKE67" s="291"/>
      <x:c r="MKF67" s="291"/>
      <x:c r="MKG67" s="291"/>
      <x:c r="MKH67" s="291"/>
      <x:c r="MKI67" s="291"/>
      <x:c r="MKJ67" s="291"/>
      <x:c r="MKK67" s="291"/>
      <x:c r="MKL67" s="291"/>
      <x:c r="MKM67" s="291"/>
      <x:c r="MKN67" s="291"/>
      <x:c r="MKO67" s="291"/>
      <x:c r="MKP67" s="291"/>
      <x:c r="MKQ67" s="291"/>
      <x:c r="MKR67" s="291"/>
      <x:c r="MKS67" s="291"/>
      <x:c r="MKT67" s="291"/>
      <x:c r="MKU67" s="291"/>
      <x:c r="MKV67" s="291"/>
      <x:c r="MKW67" s="291"/>
      <x:c r="MKX67" s="291"/>
      <x:c r="MKY67" s="291"/>
      <x:c r="MKZ67" s="291"/>
      <x:c r="MLA67" s="291"/>
      <x:c r="MLB67" s="291"/>
      <x:c r="MLC67" s="291"/>
      <x:c r="MLD67" s="291"/>
      <x:c r="MLE67" s="291"/>
      <x:c r="MLF67" s="291"/>
      <x:c r="MLG67" s="291"/>
      <x:c r="MLH67" s="291"/>
      <x:c r="MLI67" s="291"/>
      <x:c r="MLJ67" s="291"/>
      <x:c r="MLK67" s="291"/>
      <x:c r="MLL67" s="291"/>
      <x:c r="MLM67" s="291"/>
      <x:c r="MLN67" s="291"/>
      <x:c r="MLO67" s="291"/>
      <x:c r="MLP67" s="291"/>
      <x:c r="MLQ67" s="291"/>
      <x:c r="MLR67" s="291"/>
      <x:c r="MLS67" s="291"/>
      <x:c r="MLT67" s="291"/>
      <x:c r="MLU67" s="291"/>
      <x:c r="MLV67" s="291"/>
      <x:c r="MLW67" s="291"/>
      <x:c r="MLX67" s="291"/>
      <x:c r="MLY67" s="291"/>
      <x:c r="MLZ67" s="291"/>
      <x:c r="MMA67" s="291"/>
      <x:c r="MMB67" s="291"/>
      <x:c r="MMC67" s="291"/>
      <x:c r="MMD67" s="291"/>
      <x:c r="MME67" s="291"/>
      <x:c r="MMF67" s="291"/>
      <x:c r="MMG67" s="291"/>
      <x:c r="MMH67" s="291"/>
      <x:c r="MMI67" s="291"/>
      <x:c r="MMJ67" s="291"/>
      <x:c r="MMK67" s="291"/>
      <x:c r="MML67" s="291"/>
      <x:c r="MMM67" s="291"/>
      <x:c r="MMN67" s="291"/>
      <x:c r="MMO67" s="291"/>
      <x:c r="MMP67" s="291"/>
      <x:c r="MMQ67" s="291"/>
      <x:c r="MMR67" s="291"/>
      <x:c r="MMS67" s="291"/>
      <x:c r="MMT67" s="291"/>
      <x:c r="MMU67" s="291"/>
      <x:c r="MMV67" s="291"/>
      <x:c r="MMW67" s="291"/>
      <x:c r="MMX67" s="291"/>
      <x:c r="MMY67" s="291"/>
      <x:c r="MMZ67" s="291"/>
      <x:c r="MNA67" s="291"/>
      <x:c r="MNB67" s="291"/>
      <x:c r="MNC67" s="291"/>
      <x:c r="MND67" s="291"/>
      <x:c r="MNE67" s="291"/>
      <x:c r="MNF67" s="291"/>
      <x:c r="MNG67" s="291"/>
      <x:c r="MNH67" s="291"/>
      <x:c r="MNI67" s="291"/>
      <x:c r="MNJ67" s="291"/>
      <x:c r="MNK67" s="291"/>
      <x:c r="MNL67" s="291"/>
      <x:c r="MNM67" s="291"/>
      <x:c r="MNN67" s="291"/>
      <x:c r="MNO67" s="291"/>
      <x:c r="MNP67" s="291"/>
      <x:c r="MNQ67" s="291"/>
      <x:c r="MNR67" s="291"/>
      <x:c r="MNS67" s="291"/>
      <x:c r="MNT67" s="291"/>
      <x:c r="MNU67" s="291"/>
      <x:c r="MNV67" s="291"/>
      <x:c r="MNW67" s="291"/>
      <x:c r="MNX67" s="291"/>
      <x:c r="MNY67" s="291"/>
      <x:c r="MNZ67" s="291"/>
      <x:c r="MOA67" s="291"/>
      <x:c r="MOB67" s="291"/>
      <x:c r="MOC67" s="291"/>
      <x:c r="MOD67" s="291"/>
      <x:c r="MOE67" s="291"/>
      <x:c r="MOF67" s="291"/>
      <x:c r="MOG67" s="291"/>
      <x:c r="MOH67" s="291"/>
      <x:c r="MOI67" s="291"/>
      <x:c r="MOJ67" s="291"/>
      <x:c r="MOK67" s="291"/>
      <x:c r="MOL67" s="291"/>
      <x:c r="MOM67" s="291"/>
      <x:c r="MON67" s="291"/>
      <x:c r="MOO67" s="291"/>
      <x:c r="MOP67" s="291"/>
      <x:c r="MOQ67" s="291"/>
      <x:c r="MOR67" s="291"/>
      <x:c r="MOS67" s="291"/>
      <x:c r="MOT67" s="291"/>
      <x:c r="MOU67" s="291"/>
      <x:c r="MOV67" s="291"/>
      <x:c r="MOW67" s="291"/>
      <x:c r="MOX67" s="291"/>
      <x:c r="MOY67" s="291"/>
      <x:c r="MOZ67" s="291"/>
      <x:c r="MPA67" s="291"/>
      <x:c r="MPB67" s="291"/>
      <x:c r="MPC67" s="291"/>
      <x:c r="MPD67" s="291"/>
      <x:c r="MPE67" s="291"/>
      <x:c r="MPF67" s="291"/>
      <x:c r="MPG67" s="291"/>
      <x:c r="MPH67" s="291"/>
      <x:c r="MPI67" s="291"/>
      <x:c r="MPJ67" s="291"/>
      <x:c r="MPK67" s="291"/>
      <x:c r="MPL67" s="291"/>
      <x:c r="MPM67" s="291"/>
      <x:c r="MPN67" s="291"/>
      <x:c r="MPO67" s="291"/>
      <x:c r="MPP67" s="291"/>
      <x:c r="MPQ67" s="291"/>
      <x:c r="MPR67" s="291"/>
      <x:c r="MPS67" s="291"/>
      <x:c r="MPT67" s="291"/>
      <x:c r="MPU67" s="291"/>
      <x:c r="MPV67" s="291"/>
      <x:c r="MPW67" s="291"/>
      <x:c r="MPX67" s="291"/>
      <x:c r="MPY67" s="291"/>
      <x:c r="MPZ67" s="291"/>
      <x:c r="MQA67" s="291"/>
      <x:c r="MQB67" s="291"/>
      <x:c r="MQC67" s="291"/>
      <x:c r="MQD67" s="291"/>
      <x:c r="MQE67" s="291"/>
      <x:c r="MQF67" s="291"/>
      <x:c r="MQG67" s="291"/>
      <x:c r="MQH67" s="291"/>
      <x:c r="MQI67" s="291"/>
      <x:c r="MQJ67" s="291"/>
      <x:c r="MQK67" s="291"/>
      <x:c r="MQL67" s="291"/>
      <x:c r="MQM67" s="291"/>
      <x:c r="MQN67" s="291"/>
      <x:c r="MQO67" s="291"/>
      <x:c r="MQP67" s="291"/>
      <x:c r="MQQ67" s="291"/>
      <x:c r="MQR67" s="291"/>
      <x:c r="MQS67" s="291"/>
      <x:c r="MQT67" s="291"/>
      <x:c r="MQU67" s="291"/>
      <x:c r="MQV67" s="291"/>
      <x:c r="MQW67" s="291"/>
      <x:c r="MQX67" s="291"/>
      <x:c r="MQY67" s="291"/>
      <x:c r="MQZ67" s="291"/>
      <x:c r="MRA67" s="291"/>
      <x:c r="MRB67" s="291"/>
      <x:c r="MRC67" s="291"/>
      <x:c r="MRD67" s="291"/>
      <x:c r="MRE67" s="291"/>
      <x:c r="MRF67" s="291"/>
      <x:c r="MRG67" s="291"/>
      <x:c r="MRH67" s="291"/>
      <x:c r="MRI67" s="291"/>
      <x:c r="MRJ67" s="291"/>
      <x:c r="MRK67" s="291"/>
      <x:c r="MRL67" s="291"/>
      <x:c r="MRM67" s="291"/>
      <x:c r="MRN67" s="291"/>
      <x:c r="MRO67" s="291"/>
      <x:c r="MRP67" s="291"/>
      <x:c r="MRQ67" s="291"/>
      <x:c r="MRR67" s="291"/>
      <x:c r="MRS67" s="291"/>
      <x:c r="MRT67" s="291"/>
      <x:c r="MRU67" s="291"/>
      <x:c r="MRV67" s="291"/>
      <x:c r="MRW67" s="291"/>
      <x:c r="MRX67" s="291"/>
      <x:c r="MRY67" s="291"/>
      <x:c r="MRZ67" s="291"/>
      <x:c r="MSA67" s="291"/>
      <x:c r="MSB67" s="291"/>
      <x:c r="MSC67" s="291"/>
      <x:c r="MSD67" s="291"/>
      <x:c r="MSE67" s="291"/>
      <x:c r="MSF67" s="291"/>
      <x:c r="MSG67" s="291"/>
      <x:c r="MSH67" s="291"/>
      <x:c r="MSI67" s="291"/>
      <x:c r="MSJ67" s="291"/>
      <x:c r="MSK67" s="291"/>
      <x:c r="MSL67" s="291"/>
      <x:c r="MSM67" s="291"/>
      <x:c r="MSN67" s="291"/>
      <x:c r="MSO67" s="291"/>
      <x:c r="MSP67" s="291"/>
      <x:c r="MSQ67" s="291"/>
      <x:c r="MSR67" s="291"/>
      <x:c r="MSS67" s="291"/>
      <x:c r="MST67" s="291"/>
      <x:c r="MSU67" s="291"/>
      <x:c r="MSV67" s="291"/>
      <x:c r="MSW67" s="291"/>
      <x:c r="MSX67" s="291"/>
      <x:c r="MSY67" s="291"/>
      <x:c r="MSZ67" s="291"/>
      <x:c r="MTA67" s="291"/>
      <x:c r="MTB67" s="291"/>
      <x:c r="MTC67" s="291"/>
      <x:c r="MTD67" s="291"/>
      <x:c r="MTE67" s="291"/>
      <x:c r="MTF67" s="291"/>
      <x:c r="MTG67" s="291"/>
      <x:c r="MTH67" s="291"/>
      <x:c r="MTI67" s="291"/>
      <x:c r="MTJ67" s="291"/>
      <x:c r="MTK67" s="291"/>
      <x:c r="MTL67" s="291"/>
      <x:c r="MTM67" s="291"/>
      <x:c r="MTN67" s="291"/>
      <x:c r="MTO67" s="291"/>
      <x:c r="MTP67" s="291"/>
      <x:c r="MTQ67" s="291"/>
      <x:c r="MTR67" s="291"/>
      <x:c r="MTS67" s="291"/>
      <x:c r="MTT67" s="291"/>
      <x:c r="MTU67" s="291"/>
      <x:c r="MTV67" s="291"/>
      <x:c r="MTW67" s="291"/>
      <x:c r="MTX67" s="291"/>
      <x:c r="MTY67" s="291"/>
      <x:c r="MTZ67" s="291"/>
      <x:c r="MUA67" s="291"/>
      <x:c r="MUB67" s="291"/>
      <x:c r="MUC67" s="291"/>
      <x:c r="MUD67" s="291"/>
      <x:c r="MUE67" s="291"/>
      <x:c r="MUF67" s="291"/>
      <x:c r="MUG67" s="291"/>
      <x:c r="MUH67" s="291"/>
      <x:c r="MUI67" s="291"/>
      <x:c r="MUJ67" s="291"/>
      <x:c r="MUK67" s="291"/>
      <x:c r="MUL67" s="291"/>
      <x:c r="MUM67" s="291"/>
      <x:c r="MUN67" s="291"/>
      <x:c r="MUO67" s="291"/>
      <x:c r="MUP67" s="291"/>
      <x:c r="MUQ67" s="291"/>
      <x:c r="MUR67" s="291"/>
      <x:c r="MUS67" s="291"/>
      <x:c r="MUT67" s="291"/>
      <x:c r="MUU67" s="291"/>
      <x:c r="MUV67" s="291"/>
      <x:c r="MUW67" s="291"/>
      <x:c r="MUX67" s="291"/>
      <x:c r="MUY67" s="291"/>
      <x:c r="MUZ67" s="291"/>
      <x:c r="MVA67" s="291"/>
      <x:c r="MVB67" s="291"/>
      <x:c r="MVC67" s="291"/>
      <x:c r="MVD67" s="291"/>
      <x:c r="MVE67" s="291"/>
      <x:c r="MVF67" s="291"/>
      <x:c r="MVG67" s="291"/>
      <x:c r="MVH67" s="291"/>
      <x:c r="MVI67" s="291"/>
      <x:c r="MVJ67" s="291"/>
      <x:c r="MVK67" s="291"/>
      <x:c r="MVL67" s="291"/>
      <x:c r="MVM67" s="291"/>
      <x:c r="MVN67" s="291"/>
      <x:c r="MVO67" s="291"/>
      <x:c r="MVP67" s="291"/>
      <x:c r="MVQ67" s="291"/>
      <x:c r="MVR67" s="291"/>
      <x:c r="MVS67" s="291"/>
      <x:c r="MVT67" s="291"/>
      <x:c r="MVU67" s="291"/>
      <x:c r="MVV67" s="291"/>
      <x:c r="MVW67" s="291"/>
      <x:c r="MVX67" s="291"/>
      <x:c r="MVY67" s="291"/>
      <x:c r="MVZ67" s="291"/>
      <x:c r="MWA67" s="291"/>
      <x:c r="MWB67" s="291"/>
      <x:c r="MWC67" s="291"/>
      <x:c r="MWD67" s="291"/>
      <x:c r="MWE67" s="291"/>
      <x:c r="MWF67" s="291"/>
      <x:c r="MWG67" s="291"/>
      <x:c r="MWH67" s="291"/>
      <x:c r="MWI67" s="291"/>
      <x:c r="MWJ67" s="291"/>
      <x:c r="MWK67" s="291"/>
      <x:c r="MWL67" s="291"/>
      <x:c r="MWM67" s="291"/>
      <x:c r="MWN67" s="291"/>
      <x:c r="MWO67" s="291"/>
      <x:c r="MWP67" s="291"/>
      <x:c r="MWQ67" s="291"/>
      <x:c r="MWR67" s="291"/>
      <x:c r="MWS67" s="291"/>
      <x:c r="MWT67" s="291"/>
      <x:c r="MWU67" s="291"/>
      <x:c r="MWV67" s="291"/>
      <x:c r="MWW67" s="291"/>
      <x:c r="MWX67" s="291"/>
      <x:c r="MWY67" s="291"/>
      <x:c r="MWZ67" s="291"/>
      <x:c r="MXA67" s="291"/>
      <x:c r="MXB67" s="291"/>
      <x:c r="MXC67" s="291"/>
      <x:c r="MXD67" s="291"/>
      <x:c r="MXE67" s="291"/>
      <x:c r="MXF67" s="291"/>
      <x:c r="MXG67" s="291"/>
      <x:c r="MXH67" s="291"/>
      <x:c r="MXI67" s="291"/>
      <x:c r="MXJ67" s="291"/>
      <x:c r="MXK67" s="291"/>
      <x:c r="MXL67" s="291"/>
      <x:c r="MXM67" s="291"/>
      <x:c r="MXN67" s="291"/>
      <x:c r="MXO67" s="291"/>
      <x:c r="MXP67" s="291"/>
      <x:c r="MXQ67" s="291"/>
      <x:c r="MXR67" s="291"/>
      <x:c r="MXS67" s="291"/>
      <x:c r="MXT67" s="291"/>
      <x:c r="MXU67" s="291"/>
      <x:c r="MXV67" s="291"/>
      <x:c r="MXW67" s="291"/>
      <x:c r="MXX67" s="291"/>
      <x:c r="MXY67" s="291"/>
      <x:c r="MXZ67" s="291"/>
      <x:c r="MYA67" s="291"/>
      <x:c r="MYB67" s="291"/>
      <x:c r="MYC67" s="291"/>
      <x:c r="MYD67" s="291"/>
      <x:c r="MYE67" s="291"/>
      <x:c r="MYF67" s="291"/>
      <x:c r="MYG67" s="291"/>
      <x:c r="MYH67" s="291"/>
      <x:c r="MYI67" s="291"/>
      <x:c r="MYJ67" s="291"/>
      <x:c r="MYK67" s="291"/>
      <x:c r="MYL67" s="291"/>
      <x:c r="MYM67" s="291"/>
      <x:c r="MYN67" s="291"/>
      <x:c r="MYO67" s="291"/>
      <x:c r="MYP67" s="291"/>
      <x:c r="MYQ67" s="291"/>
      <x:c r="MYR67" s="291"/>
      <x:c r="MYS67" s="291"/>
      <x:c r="MYT67" s="291"/>
      <x:c r="MYU67" s="291"/>
      <x:c r="MYV67" s="291"/>
      <x:c r="MYW67" s="291"/>
      <x:c r="MYX67" s="291"/>
      <x:c r="MYY67" s="291"/>
      <x:c r="MYZ67" s="291"/>
      <x:c r="MZA67" s="291"/>
      <x:c r="MZB67" s="291"/>
      <x:c r="MZC67" s="291"/>
      <x:c r="MZD67" s="291"/>
      <x:c r="MZE67" s="291"/>
      <x:c r="MZF67" s="291"/>
      <x:c r="MZG67" s="291"/>
      <x:c r="MZH67" s="291"/>
      <x:c r="MZI67" s="291"/>
      <x:c r="MZJ67" s="291"/>
      <x:c r="MZK67" s="291"/>
      <x:c r="MZL67" s="291"/>
      <x:c r="MZM67" s="291"/>
      <x:c r="MZN67" s="291"/>
      <x:c r="MZO67" s="291"/>
      <x:c r="MZP67" s="291"/>
      <x:c r="MZQ67" s="291"/>
      <x:c r="MZR67" s="291"/>
      <x:c r="MZS67" s="291"/>
      <x:c r="MZT67" s="291"/>
      <x:c r="MZU67" s="291"/>
      <x:c r="MZV67" s="291"/>
      <x:c r="MZW67" s="291"/>
      <x:c r="MZX67" s="291"/>
      <x:c r="MZY67" s="291"/>
      <x:c r="MZZ67" s="291"/>
      <x:c r="NAA67" s="291"/>
      <x:c r="NAB67" s="291"/>
      <x:c r="NAC67" s="291"/>
      <x:c r="NAD67" s="291"/>
      <x:c r="NAE67" s="291"/>
      <x:c r="NAF67" s="291"/>
      <x:c r="NAG67" s="291"/>
      <x:c r="NAH67" s="291"/>
      <x:c r="NAI67" s="291"/>
      <x:c r="NAJ67" s="291"/>
      <x:c r="NAK67" s="291"/>
      <x:c r="NAL67" s="291"/>
      <x:c r="NAM67" s="291"/>
      <x:c r="NAN67" s="291"/>
      <x:c r="NAO67" s="291"/>
      <x:c r="NAP67" s="291"/>
      <x:c r="NAQ67" s="291"/>
      <x:c r="NAR67" s="291"/>
      <x:c r="NAS67" s="291"/>
      <x:c r="NAT67" s="291"/>
      <x:c r="NAU67" s="291"/>
      <x:c r="NAV67" s="291"/>
      <x:c r="NAW67" s="291"/>
      <x:c r="NAX67" s="291"/>
      <x:c r="NAY67" s="291"/>
      <x:c r="NAZ67" s="291"/>
      <x:c r="NBA67" s="291"/>
      <x:c r="NBB67" s="291"/>
      <x:c r="NBC67" s="291"/>
      <x:c r="NBD67" s="291"/>
      <x:c r="NBE67" s="291"/>
      <x:c r="NBF67" s="291"/>
      <x:c r="NBG67" s="291"/>
      <x:c r="NBH67" s="291"/>
      <x:c r="NBI67" s="291"/>
      <x:c r="NBJ67" s="291"/>
      <x:c r="NBK67" s="291"/>
      <x:c r="NBL67" s="291"/>
      <x:c r="NBM67" s="291"/>
      <x:c r="NBN67" s="291"/>
      <x:c r="NBO67" s="291"/>
      <x:c r="NBP67" s="291"/>
      <x:c r="NBQ67" s="291"/>
      <x:c r="NBR67" s="291"/>
      <x:c r="NBS67" s="291"/>
      <x:c r="NBT67" s="291"/>
      <x:c r="NBU67" s="291"/>
      <x:c r="NBV67" s="291"/>
      <x:c r="NBW67" s="291"/>
      <x:c r="NBX67" s="291"/>
      <x:c r="NBY67" s="291"/>
      <x:c r="NBZ67" s="291"/>
      <x:c r="NCA67" s="291"/>
      <x:c r="NCB67" s="291"/>
      <x:c r="NCC67" s="291"/>
      <x:c r="NCD67" s="291"/>
      <x:c r="NCE67" s="291"/>
      <x:c r="NCF67" s="291"/>
      <x:c r="NCG67" s="291"/>
      <x:c r="NCH67" s="291"/>
      <x:c r="NCI67" s="291"/>
      <x:c r="NCJ67" s="291"/>
      <x:c r="NCK67" s="291"/>
      <x:c r="NCL67" s="291"/>
      <x:c r="NCM67" s="291"/>
      <x:c r="NCN67" s="291"/>
      <x:c r="NCO67" s="291"/>
      <x:c r="NCP67" s="291"/>
      <x:c r="NCQ67" s="291"/>
      <x:c r="NCR67" s="291"/>
      <x:c r="NCS67" s="291"/>
      <x:c r="NCT67" s="291"/>
      <x:c r="NCU67" s="291"/>
      <x:c r="NCV67" s="291"/>
      <x:c r="NCW67" s="291"/>
      <x:c r="NCX67" s="291"/>
      <x:c r="NCY67" s="291"/>
      <x:c r="NCZ67" s="291"/>
      <x:c r="NDA67" s="291"/>
      <x:c r="NDB67" s="291"/>
      <x:c r="NDC67" s="291"/>
      <x:c r="NDD67" s="291"/>
      <x:c r="NDE67" s="291"/>
      <x:c r="NDF67" s="291"/>
      <x:c r="NDG67" s="291"/>
      <x:c r="NDH67" s="291"/>
      <x:c r="NDI67" s="291"/>
      <x:c r="NDJ67" s="291"/>
      <x:c r="NDK67" s="291"/>
      <x:c r="NDL67" s="291"/>
      <x:c r="NDM67" s="291"/>
      <x:c r="NDN67" s="291"/>
      <x:c r="NDO67" s="291"/>
      <x:c r="NDP67" s="291"/>
      <x:c r="NDQ67" s="291"/>
      <x:c r="NDR67" s="291"/>
      <x:c r="NDS67" s="291"/>
      <x:c r="NDT67" s="291"/>
      <x:c r="NDU67" s="291"/>
      <x:c r="NDV67" s="291"/>
      <x:c r="NDW67" s="291"/>
      <x:c r="NDX67" s="291"/>
      <x:c r="NDY67" s="291"/>
      <x:c r="NDZ67" s="291"/>
      <x:c r="NEA67" s="291"/>
      <x:c r="NEB67" s="291"/>
      <x:c r="NEC67" s="291"/>
      <x:c r="NED67" s="291"/>
      <x:c r="NEE67" s="291"/>
      <x:c r="NEF67" s="291"/>
      <x:c r="NEG67" s="291"/>
      <x:c r="NEH67" s="291"/>
      <x:c r="NEI67" s="291"/>
      <x:c r="NEJ67" s="291"/>
      <x:c r="NEK67" s="291"/>
      <x:c r="NEL67" s="291"/>
      <x:c r="NEM67" s="291"/>
      <x:c r="NEN67" s="291"/>
      <x:c r="NEO67" s="291"/>
      <x:c r="NEP67" s="291"/>
      <x:c r="NEQ67" s="291"/>
      <x:c r="NER67" s="291"/>
      <x:c r="NES67" s="291"/>
      <x:c r="NET67" s="291"/>
      <x:c r="NEU67" s="291"/>
      <x:c r="NEV67" s="291"/>
      <x:c r="NEW67" s="291"/>
      <x:c r="NEX67" s="291"/>
      <x:c r="NEY67" s="291"/>
      <x:c r="NEZ67" s="291"/>
      <x:c r="NFA67" s="291"/>
      <x:c r="NFB67" s="291"/>
      <x:c r="NFC67" s="291"/>
      <x:c r="NFD67" s="291"/>
      <x:c r="NFE67" s="291"/>
      <x:c r="NFF67" s="291"/>
      <x:c r="NFG67" s="291"/>
      <x:c r="NFH67" s="291"/>
      <x:c r="NFI67" s="291"/>
      <x:c r="NFJ67" s="291"/>
      <x:c r="NFK67" s="291"/>
      <x:c r="NFL67" s="291"/>
      <x:c r="NFM67" s="291"/>
      <x:c r="NFN67" s="291"/>
      <x:c r="NFO67" s="291"/>
      <x:c r="NFP67" s="291"/>
      <x:c r="NFQ67" s="291"/>
      <x:c r="NFR67" s="291"/>
      <x:c r="NFS67" s="291"/>
      <x:c r="NFT67" s="291"/>
      <x:c r="NFU67" s="291"/>
      <x:c r="NFV67" s="291"/>
      <x:c r="NFW67" s="291"/>
      <x:c r="NFX67" s="291"/>
      <x:c r="NFY67" s="291"/>
      <x:c r="NFZ67" s="291"/>
      <x:c r="NGA67" s="291"/>
      <x:c r="NGB67" s="291"/>
      <x:c r="NGC67" s="291"/>
      <x:c r="NGD67" s="291"/>
      <x:c r="NGE67" s="291"/>
      <x:c r="NGF67" s="291"/>
      <x:c r="NGG67" s="291"/>
      <x:c r="NGH67" s="291"/>
      <x:c r="NGI67" s="291"/>
      <x:c r="NGJ67" s="291"/>
      <x:c r="NGK67" s="291"/>
      <x:c r="NGL67" s="291"/>
      <x:c r="NGM67" s="291"/>
      <x:c r="NGN67" s="291"/>
      <x:c r="NGO67" s="291"/>
      <x:c r="NGP67" s="291"/>
      <x:c r="NGQ67" s="291"/>
      <x:c r="NGR67" s="291"/>
      <x:c r="NGS67" s="291"/>
      <x:c r="NGT67" s="291"/>
      <x:c r="NGU67" s="291"/>
      <x:c r="NGV67" s="291"/>
      <x:c r="NGW67" s="291"/>
      <x:c r="NGX67" s="291"/>
      <x:c r="NGY67" s="291"/>
      <x:c r="NGZ67" s="291"/>
      <x:c r="NHA67" s="291"/>
      <x:c r="NHB67" s="291"/>
      <x:c r="NHC67" s="291"/>
      <x:c r="NHD67" s="291"/>
      <x:c r="NHE67" s="291"/>
      <x:c r="NHF67" s="291"/>
      <x:c r="NHG67" s="291"/>
      <x:c r="NHH67" s="291"/>
      <x:c r="NHI67" s="291"/>
      <x:c r="NHJ67" s="291"/>
      <x:c r="NHK67" s="291"/>
      <x:c r="NHL67" s="291"/>
      <x:c r="NHM67" s="291"/>
      <x:c r="NHN67" s="291"/>
      <x:c r="NHO67" s="291"/>
      <x:c r="NHP67" s="291"/>
      <x:c r="NHQ67" s="291"/>
      <x:c r="NHR67" s="291"/>
      <x:c r="NHS67" s="291"/>
      <x:c r="NHT67" s="291"/>
      <x:c r="NHU67" s="291"/>
      <x:c r="NHV67" s="291"/>
      <x:c r="NHW67" s="291"/>
      <x:c r="NHX67" s="291"/>
      <x:c r="NHY67" s="291"/>
      <x:c r="NHZ67" s="291"/>
      <x:c r="NIA67" s="291"/>
      <x:c r="NIB67" s="291"/>
      <x:c r="NIC67" s="291"/>
      <x:c r="NID67" s="291"/>
      <x:c r="NIE67" s="291"/>
      <x:c r="NIF67" s="291"/>
      <x:c r="NIG67" s="291"/>
      <x:c r="NIH67" s="291"/>
      <x:c r="NII67" s="291"/>
      <x:c r="NIJ67" s="291"/>
      <x:c r="NIK67" s="291"/>
      <x:c r="NIL67" s="291"/>
      <x:c r="NIM67" s="291"/>
      <x:c r="NIN67" s="291"/>
      <x:c r="NIO67" s="291"/>
      <x:c r="NIP67" s="291"/>
      <x:c r="NIQ67" s="291"/>
      <x:c r="NIR67" s="291"/>
      <x:c r="NIS67" s="291"/>
      <x:c r="NIT67" s="291"/>
      <x:c r="NIU67" s="291"/>
      <x:c r="NIV67" s="291"/>
      <x:c r="NIW67" s="291"/>
      <x:c r="NIX67" s="291"/>
      <x:c r="NIY67" s="291"/>
      <x:c r="NIZ67" s="291"/>
      <x:c r="NJA67" s="291"/>
      <x:c r="NJB67" s="291"/>
      <x:c r="NJC67" s="291"/>
      <x:c r="NJD67" s="291"/>
      <x:c r="NJE67" s="291"/>
      <x:c r="NJF67" s="291"/>
      <x:c r="NJG67" s="291"/>
      <x:c r="NJH67" s="291"/>
      <x:c r="NJI67" s="291"/>
      <x:c r="NJJ67" s="291"/>
      <x:c r="NJK67" s="291"/>
      <x:c r="NJL67" s="291"/>
      <x:c r="NJM67" s="291"/>
      <x:c r="NJN67" s="291"/>
      <x:c r="NJO67" s="291"/>
      <x:c r="NJP67" s="291"/>
      <x:c r="NJQ67" s="291"/>
      <x:c r="NJR67" s="291"/>
      <x:c r="NJS67" s="291"/>
      <x:c r="NJT67" s="291"/>
      <x:c r="NJU67" s="291"/>
      <x:c r="NJV67" s="291"/>
      <x:c r="NJW67" s="291"/>
      <x:c r="NJX67" s="291"/>
      <x:c r="NJY67" s="291"/>
      <x:c r="NJZ67" s="291"/>
      <x:c r="NKA67" s="291"/>
      <x:c r="NKB67" s="291"/>
      <x:c r="NKC67" s="291"/>
      <x:c r="NKD67" s="291"/>
      <x:c r="NKE67" s="291"/>
      <x:c r="NKF67" s="291"/>
      <x:c r="NKG67" s="291"/>
      <x:c r="NKH67" s="291"/>
      <x:c r="NKI67" s="291"/>
      <x:c r="NKJ67" s="291"/>
      <x:c r="NKK67" s="291"/>
      <x:c r="NKL67" s="291"/>
      <x:c r="NKM67" s="291"/>
      <x:c r="NKN67" s="291"/>
      <x:c r="NKO67" s="291"/>
      <x:c r="NKP67" s="291"/>
      <x:c r="NKQ67" s="291"/>
      <x:c r="NKR67" s="291"/>
      <x:c r="NKS67" s="291"/>
      <x:c r="NKT67" s="291"/>
      <x:c r="NKU67" s="291"/>
      <x:c r="NKV67" s="291"/>
      <x:c r="NKW67" s="291"/>
      <x:c r="NKX67" s="291"/>
      <x:c r="NKY67" s="291"/>
      <x:c r="NKZ67" s="291"/>
      <x:c r="NLA67" s="291"/>
      <x:c r="NLB67" s="291"/>
      <x:c r="NLC67" s="291"/>
      <x:c r="NLD67" s="291"/>
      <x:c r="NLE67" s="291"/>
      <x:c r="NLF67" s="291"/>
      <x:c r="NLG67" s="291"/>
      <x:c r="NLH67" s="291"/>
      <x:c r="NLI67" s="291"/>
      <x:c r="NLJ67" s="291"/>
      <x:c r="NLK67" s="291"/>
      <x:c r="NLL67" s="291"/>
      <x:c r="NLM67" s="291"/>
      <x:c r="NLN67" s="291"/>
      <x:c r="NLO67" s="291"/>
      <x:c r="NLP67" s="291"/>
      <x:c r="NLQ67" s="291"/>
      <x:c r="NLR67" s="291"/>
      <x:c r="NLS67" s="291"/>
      <x:c r="NLT67" s="291"/>
      <x:c r="NLU67" s="291"/>
      <x:c r="NLV67" s="291"/>
      <x:c r="NLW67" s="291"/>
      <x:c r="NLX67" s="291"/>
      <x:c r="NLY67" s="291"/>
      <x:c r="NLZ67" s="291"/>
      <x:c r="NMA67" s="291"/>
      <x:c r="NMB67" s="291"/>
      <x:c r="NMC67" s="291"/>
      <x:c r="NMD67" s="291"/>
      <x:c r="NME67" s="291"/>
      <x:c r="NMF67" s="291"/>
      <x:c r="NMG67" s="291"/>
      <x:c r="NMH67" s="291"/>
      <x:c r="NMI67" s="291"/>
      <x:c r="NMJ67" s="291"/>
      <x:c r="NMK67" s="291"/>
      <x:c r="NML67" s="291"/>
      <x:c r="NMM67" s="291"/>
      <x:c r="NMN67" s="291"/>
      <x:c r="NMO67" s="291"/>
      <x:c r="NMP67" s="291"/>
      <x:c r="NMQ67" s="291"/>
      <x:c r="NMR67" s="291"/>
      <x:c r="NMS67" s="291"/>
      <x:c r="NMT67" s="291"/>
      <x:c r="NMU67" s="291"/>
      <x:c r="NMV67" s="291"/>
      <x:c r="NMW67" s="291"/>
      <x:c r="NMX67" s="291"/>
      <x:c r="NMY67" s="291"/>
      <x:c r="NMZ67" s="291"/>
      <x:c r="NNA67" s="291"/>
      <x:c r="NNB67" s="291"/>
      <x:c r="NNC67" s="291"/>
      <x:c r="NND67" s="291"/>
      <x:c r="NNE67" s="291"/>
      <x:c r="NNF67" s="291"/>
      <x:c r="NNG67" s="291"/>
      <x:c r="NNH67" s="291"/>
      <x:c r="NNI67" s="291"/>
      <x:c r="NNJ67" s="291"/>
      <x:c r="NNK67" s="291"/>
      <x:c r="NNL67" s="291"/>
      <x:c r="NNM67" s="291"/>
      <x:c r="NNN67" s="291"/>
      <x:c r="NNO67" s="291"/>
      <x:c r="NNP67" s="291"/>
      <x:c r="NNQ67" s="291"/>
      <x:c r="NNR67" s="291"/>
      <x:c r="NNS67" s="291"/>
      <x:c r="NNT67" s="291"/>
      <x:c r="NNU67" s="291"/>
      <x:c r="NNV67" s="291"/>
      <x:c r="NNW67" s="291"/>
      <x:c r="NNX67" s="291"/>
      <x:c r="NNY67" s="291"/>
      <x:c r="NNZ67" s="291"/>
      <x:c r="NOA67" s="291"/>
      <x:c r="NOB67" s="291"/>
      <x:c r="NOC67" s="291"/>
      <x:c r="NOD67" s="291"/>
      <x:c r="NOE67" s="291"/>
      <x:c r="NOF67" s="291"/>
      <x:c r="NOG67" s="291"/>
      <x:c r="NOH67" s="291"/>
      <x:c r="NOI67" s="291"/>
      <x:c r="NOJ67" s="291"/>
      <x:c r="NOK67" s="291"/>
      <x:c r="NOL67" s="291"/>
      <x:c r="NOM67" s="291"/>
      <x:c r="NON67" s="291"/>
      <x:c r="NOO67" s="291"/>
      <x:c r="NOP67" s="291"/>
      <x:c r="NOQ67" s="291"/>
      <x:c r="NOR67" s="291"/>
      <x:c r="NOS67" s="291"/>
      <x:c r="NOT67" s="291"/>
      <x:c r="NOU67" s="291"/>
      <x:c r="NOV67" s="291"/>
      <x:c r="NOW67" s="291"/>
      <x:c r="NOX67" s="291"/>
      <x:c r="NOY67" s="291"/>
      <x:c r="NOZ67" s="291"/>
      <x:c r="NPA67" s="291"/>
      <x:c r="NPB67" s="291"/>
      <x:c r="NPC67" s="291"/>
      <x:c r="NPD67" s="291"/>
      <x:c r="NPE67" s="291"/>
      <x:c r="NPF67" s="291"/>
      <x:c r="NPG67" s="291"/>
      <x:c r="NPH67" s="291"/>
      <x:c r="NPI67" s="291"/>
      <x:c r="NPJ67" s="291"/>
      <x:c r="NPK67" s="291"/>
      <x:c r="NPL67" s="291"/>
      <x:c r="NPM67" s="291"/>
      <x:c r="NPN67" s="291"/>
      <x:c r="NPO67" s="291"/>
      <x:c r="NPP67" s="291"/>
      <x:c r="NPQ67" s="291"/>
      <x:c r="NPR67" s="291"/>
      <x:c r="NPS67" s="291"/>
      <x:c r="NPT67" s="291"/>
      <x:c r="NPU67" s="291"/>
      <x:c r="NPV67" s="291"/>
      <x:c r="NPW67" s="291"/>
      <x:c r="NPX67" s="291"/>
      <x:c r="NPY67" s="291"/>
      <x:c r="NPZ67" s="291"/>
      <x:c r="NQA67" s="291"/>
      <x:c r="NQB67" s="291"/>
      <x:c r="NQC67" s="291"/>
      <x:c r="NQD67" s="291"/>
      <x:c r="NQE67" s="291"/>
      <x:c r="NQF67" s="291"/>
      <x:c r="NQG67" s="291"/>
      <x:c r="NQH67" s="291"/>
      <x:c r="NQI67" s="291"/>
      <x:c r="NQJ67" s="291"/>
      <x:c r="NQK67" s="291"/>
      <x:c r="NQL67" s="291"/>
      <x:c r="NQM67" s="291"/>
      <x:c r="NQN67" s="291"/>
      <x:c r="NQO67" s="291"/>
      <x:c r="NQP67" s="291"/>
      <x:c r="NQQ67" s="291"/>
      <x:c r="NQR67" s="291"/>
      <x:c r="NQS67" s="291"/>
      <x:c r="NQT67" s="291"/>
      <x:c r="NQU67" s="291"/>
      <x:c r="NQV67" s="291"/>
      <x:c r="NQW67" s="291"/>
      <x:c r="NQX67" s="291"/>
      <x:c r="NQY67" s="291"/>
      <x:c r="NQZ67" s="291"/>
      <x:c r="NRA67" s="291"/>
      <x:c r="NRB67" s="291"/>
      <x:c r="NRC67" s="291"/>
      <x:c r="NRD67" s="291"/>
      <x:c r="NRE67" s="291"/>
      <x:c r="NRF67" s="291"/>
      <x:c r="NRG67" s="291"/>
      <x:c r="NRH67" s="291"/>
      <x:c r="NRI67" s="291"/>
      <x:c r="NRJ67" s="291"/>
      <x:c r="NRK67" s="291"/>
      <x:c r="NRL67" s="291"/>
      <x:c r="NRM67" s="291"/>
      <x:c r="NRN67" s="291"/>
      <x:c r="NRO67" s="291"/>
      <x:c r="NRP67" s="291"/>
      <x:c r="NRQ67" s="291"/>
      <x:c r="NRR67" s="291"/>
      <x:c r="NRS67" s="291"/>
      <x:c r="NRT67" s="291"/>
      <x:c r="NRU67" s="291"/>
      <x:c r="NRV67" s="291"/>
      <x:c r="NRW67" s="291"/>
      <x:c r="NRX67" s="291"/>
      <x:c r="NRY67" s="291"/>
      <x:c r="NRZ67" s="291"/>
      <x:c r="NSA67" s="291"/>
      <x:c r="NSB67" s="291"/>
      <x:c r="NSC67" s="291"/>
      <x:c r="NSD67" s="291"/>
      <x:c r="NSE67" s="291"/>
      <x:c r="NSF67" s="291"/>
      <x:c r="NSG67" s="291"/>
      <x:c r="NSH67" s="291"/>
      <x:c r="NSI67" s="291"/>
      <x:c r="NSJ67" s="291"/>
      <x:c r="NSK67" s="291"/>
      <x:c r="NSL67" s="291"/>
      <x:c r="NSM67" s="291"/>
      <x:c r="NSN67" s="291"/>
      <x:c r="NSO67" s="291"/>
      <x:c r="NSP67" s="291"/>
      <x:c r="NSQ67" s="291"/>
      <x:c r="NSR67" s="291"/>
      <x:c r="NSS67" s="291"/>
      <x:c r="NST67" s="291"/>
      <x:c r="NSU67" s="291"/>
      <x:c r="NSV67" s="291"/>
      <x:c r="NSW67" s="291"/>
      <x:c r="NSX67" s="291"/>
      <x:c r="NSY67" s="291"/>
      <x:c r="NSZ67" s="291"/>
      <x:c r="NTA67" s="291"/>
      <x:c r="NTB67" s="291"/>
      <x:c r="NTC67" s="291"/>
      <x:c r="NTD67" s="291"/>
      <x:c r="NTE67" s="291"/>
      <x:c r="NTF67" s="291"/>
      <x:c r="NTG67" s="291"/>
      <x:c r="NTH67" s="291"/>
      <x:c r="NTI67" s="291"/>
      <x:c r="NTJ67" s="291"/>
      <x:c r="NTK67" s="291"/>
      <x:c r="NTL67" s="291"/>
      <x:c r="NTM67" s="291"/>
      <x:c r="NTN67" s="291"/>
      <x:c r="NTO67" s="291"/>
      <x:c r="NTP67" s="291"/>
      <x:c r="NTQ67" s="291"/>
      <x:c r="NTR67" s="291"/>
      <x:c r="NTS67" s="291"/>
      <x:c r="NTT67" s="291"/>
      <x:c r="NTU67" s="291"/>
      <x:c r="NTV67" s="291"/>
      <x:c r="NTW67" s="291"/>
      <x:c r="NTX67" s="291"/>
      <x:c r="NTY67" s="291"/>
      <x:c r="NTZ67" s="291"/>
      <x:c r="NUA67" s="291"/>
      <x:c r="NUB67" s="291"/>
      <x:c r="NUC67" s="291"/>
      <x:c r="NUD67" s="291"/>
      <x:c r="NUE67" s="291"/>
      <x:c r="NUF67" s="291"/>
      <x:c r="NUG67" s="291"/>
      <x:c r="NUH67" s="291"/>
      <x:c r="NUI67" s="291"/>
      <x:c r="NUJ67" s="291"/>
      <x:c r="NUK67" s="291"/>
      <x:c r="NUL67" s="291"/>
      <x:c r="NUM67" s="291"/>
      <x:c r="NUN67" s="291"/>
      <x:c r="NUO67" s="291"/>
      <x:c r="NUP67" s="291"/>
      <x:c r="NUQ67" s="291"/>
      <x:c r="NUR67" s="291"/>
      <x:c r="NUS67" s="291"/>
      <x:c r="NUT67" s="291"/>
      <x:c r="NUU67" s="291"/>
      <x:c r="NUV67" s="291"/>
      <x:c r="NUW67" s="291"/>
      <x:c r="NUX67" s="291"/>
      <x:c r="NUY67" s="291"/>
      <x:c r="NUZ67" s="291"/>
      <x:c r="NVA67" s="291"/>
      <x:c r="NVB67" s="291"/>
      <x:c r="NVC67" s="291"/>
      <x:c r="NVD67" s="291"/>
      <x:c r="NVE67" s="291"/>
      <x:c r="NVF67" s="291"/>
      <x:c r="NVG67" s="291"/>
      <x:c r="NVH67" s="291"/>
      <x:c r="NVI67" s="291"/>
      <x:c r="NVJ67" s="291"/>
      <x:c r="NVK67" s="291"/>
      <x:c r="NVL67" s="291"/>
      <x:c r="NVM67" s="291"/>
      <x:c r="NVN67" s="291"/>
      <x:c r="NVO67" s="291"/>
      <x:c r="NVP67" s="291"/>
      <x:c r="NVQ67" s="291"/>
      <x:c r="NVR67" s="291"/>
      <x:c r="NVS67" s="291"/>
      <x:c r="NVT67" s="291"/>
      <x:c r="NVU67" s="291"/>
      <x:c r="NVV67" s="291"/>
      <x:c r="NVW67" s="291"/>
      <x:c r="NVX67" s="291"/>
      <x:c r="NVY67" s="291"/>
      <x:c r="NVZ67" s="291"/>
      <x:c r="NWA67" s="291"/>
      <x:c r="NWB67" s="291"/>
      <x:c r="NWC67" s="291"/>
      <x:c r="NWD67" s="291"/>
      <x:c r="NWE67" s="291"/>
      <x:c r="NWF67" s="291"/>
      <x:c r="NWG67" s="291"/>
      <x:c r="NWH67" s="291"/>
      <x:c r="NWI67" s="291"/>
      <x:c r="NWJ67" s="291"/>
      <x:c r="NWK67" s="291"/>
      <x:c r="NWL67" s="291"/>
      <x:c r="NWM67" s="291"/>
      <x:c r="NWN67" s="291"/>
      <x:c r="NWO67" s="291"/>
      <x:c r="NWP67" s="291"/>
      <x:c r="NWQ67" s="291"/>
      <x:c r="NWR67" s="291"/>
      <x:c r="NWS67" s="291"/>
      <x:c r="NWT67" s="291"/>
      <x:c r="NWU67" s="291"/>
      <x:c r="NWV67" s="291"/>
      <x:c r="NWW67" s="291"/>
      <x:c r="NWX67" s="291"/>
      <x:c r="NWY67" s="291"/>
      <x:c r="NWZ67" s="291"/>
      <x:c r="NXA67" s="291"/>
      <x:c r="NXB67" s="291"/>
      <x:c r="NXC67" s="291"/>
      <x:c r="NXD67" s="291"/>
      <x:c r="NXE67" s="291"/>
      <x:c r="NXF67" s="291"/>
      <x:c r="NXG67" s="291"/>
      <x:c r="NXH67" s="291"/>
      <x:c r="NXI67" s="291"/>
      <x:c r="NXJ67" s="291"/>
      <x:c r="NXK67" s="291"/>
      <x:c r="NXL67" s="291"/>
      <x:c r="NXM67" s="291"/>
      <x:c r="NXN67" s="291"/>
      <x:c r="NXO67" s="291"/>
      <x:c r="NXP67" s="291"/>
      <x:c r="NXQ67" s="291"/>
      <x:c r="NXR67" s="291"/>
      <x:c r="NXS67" s="291"/>
      <x:c r="NXT67" s="291"/>
      <x:c r="NXU67" s="291"/>
      <x:c r="NXV67" s="291"/>
      <x:c r="NXW67" s="291"/>
      <x:c r="NXX67" s="291"/>
      <x:c r="NXY67" s="291"/>
      <x:c r="NXZ67" s="291"/>
      <x:c r="NYA67" s="291"/>
      <x:c r="NYB67" s="291"/>
      <x:c r="NYC67" s="291"/>
      <x:c r="NYD67" s="291"/>
      <x:c r="NYE67" s="291"/>
      <x:c r="NYF67" s="291"/>
      <x:c r="NYG67" s="291"/>
      <x:c r="NYH67" s="291"/>
      <x:c r="NYI67" s="291"/>
      <x:c r="NYJ67" s="291"/>
      <x:c r="NYK67" s="291"/>
      <x:c r="NYL67" s="291"/>
      <x:c r="NYM67" s="291"/>
      <x:c r="NYN67" s="291"/>
      <x:c r="NYO67" s="291"/>
      <x:c r="NYP67" s="291"/>
      <x:c r="NYQ67" s="291"/>
      <x:c r="NYR67" s="291"/>
      <x:c r="NYS67" s="291"/>
      <x:c r="NYT67" s="291"/>
      <x:c r="NYU67" s="291"/>
      <x:c r="NYV67" s="291"/>
      <x:c r="NYW67" s="291"/>
      <x:c r="NYX67" s="291"/>
      <x:c r="NYY67" s="291"/>
      <x:c r="NYZ67" s="291"/>
      <x:c r="NZA67" s="291"/>
      <x:c r="NZB67" s="291"/>
      <x:c r="NZC67" s="291"/>
      <x:c r="NZD67" s="291"/>
      <x:c r="NZE67" s="291"/>
      <x:c r="NZF67" s="291"/>
      <x:c r="NZG67" s="291"/>
      <x:c r="NZH67" s="291"/>
      <x:c r="NZI67" s="291"/>
      <x:c r="NZJ67" s="291"/>
      <x:c r="NZK67" s="291"/>
      <x:c r="NZL67" s="291"/>
      <x:c r="NZM67" s="291"/>
      <x:c r="NZN67" s="291"/>
      <x:c r="NZO67" s="291"/>
      <x:c r="NZP67" s="291"/>
      <x:c r="NZQ67" s="291"/>
      <x:c r="NZR67" s="291"/>
      <x:c r="NZS67" s="291"/>
      <x:c r="NZT67" s="291"/>
      <x:c r="NZU67" s="291"/>
      <x:c r="NZV67" s="291"/>
      <x:c r="NZW67" s="291"/>
      <x:c r="NZX67" s="291"/>
      <x:c r="NZY67" s="291"/>
      <x:c r="NZZ67" s="291"/>
      <x:c r="OAA67" s="291"/>
      <x:c r="OAB67" s="291"/>
      <x:c r="OAC67" s="291"/>
      <x:c r="OAD67" s="291"/>
      <x:c r="OAE67" s="291"/>
      <x:c r="OAF67" s="291"/>
      <x:c r="OAG67" s="291"/>
      <x:c r="OAH67" s="291"/>
      <x:c r="OAI67" s="291"/>
      <x:c r="OAJ67" s="291"/>
      <x:c r="OAK67" s="291"/>
      <x:c r="OAL67" s="291"/>
      <x:c r="OAM67" s="291"/>
      <x:c r="OAN67" s="291"/>
      <x:c r="OAO67" s="291"/>
      <x:c r="OAP67" s="291"/>
      <x:c r="OAQ67" s="291"/>
      <x:c r="OAR67" s="291"/>
      <x:c r="OAS67" s="291"/>
      <x:c r="OAT67" s="291"/>
      <x:c r="OAU67" s="291"/>
      <x:c r="OAV67" s="291"/>
      <x:c r="OAW67" s="291"/>
      <x:c r="OAX67" s="291"/>
      <x:c r="OAY67" s="291"/>
      <x:c r="OAZ67" s="291"/>
      <x:c r="OBA67" s="291"/>
      <x:c r="OBB67" s="291"/>
      <x:c r="OBC67" s="291"/>
      <x:c r="OBD67" s="291"/>
      <x:c r="OBE67" s="291"/>
      <x:c r="OBF67" s="291"/>
      <x:c r="OBG67" s="291"/>
      <x:c r="OBH67" s="291"/>
      <x:c r="OBI67" s="291"/>
      <x:c r="OBJ67" s="291"/>
      <x:c r="OBK67" s="291"/>
      <x:c r="OBL67" s="291"/>
      <x:c r="OBM67" s="291"/>
      <x:c r="OBN67" s="291"/>
      <x:c r="OBO67" s="291"/>
      <x:c r="OBP67" s="291"/>
      <x:c r="OBQ67" s="291"/>
      <x:c r="OBR67" s="291"/>
      <x:c r="OBS67" s="291"/>
      <x:c r="OBT67" s="291"/>
      <x:c r="OBU67" s="291"/>
      <x:c r="OBV67" s="291"/>
      <x:c r="OBW67" s="291"/>
      <x:c r="OBX67" s="291"/>
      <x:c r="OBY67" s="291"/>
      <x:c r="OBZ67" s="291"/>
      <x:c r="OCA67" s="291"/>
      <x:c r="OCB67" s="291"/>
      <x:c r="OCC67" s="291"/>
      <x:c r="OCD67" s="291"/>
      <x:c r="OCE67" s="291"/>
      <x:c r="OCF67" s="291"/>
      <x:c r="OCG67" s="291"/>
      <x:c r="OCH67" s="291"/>
      <x:c r="OCI67" s="291"/>
      <x:c r="OCJ67" s="291"/>
      <x:c r="OCK67" s="291"/>
      <x:c r="OCL67" s="291"/>
      <x:c r="OCM67" s="291"/>
      <x:c r="OCN67" s="291"/>
      <x:c r="OCO67" s="291"/>
      <x:c r="OCP67" s="291"/>
      <x:c r="OCQ67" s="291"/>
      <x:c r="OCR67" s="291"/>
      <x:c r="OCS67" s="291"/>
      <x:c r="OCT67" s="291"/>
      <x:c r="OCU67" s="291"/>
      <x:c r="OCV67" s="291"/>
      <x:c r="OCW67" s="291"/>
      <x:c r="OCX67" s="291"/>
      <x:c r="OCY67" s="291"/>
      <x:c r="OCZ67" s="291"/>
      <x:c r="ODA67" s="291"/>
      <x:c r="ODB67" s="291"/>
      <x:c r="ODC67" s="291"/>
      <x:c r="ODD67" s="291"/>
      <x:c r="ODE67" s="291"/>
      <x:c r="ODF67" s="291"/>
      <x:c r="ODG67" s="291"/>
      <x:c r="ODH67" s="291"/>
      <x:c r="ODI67" s="291"/>
      <x:c r="ODJ67" s="291"/>
      <x:c r="ODK67" s="291"/>
      <x:c r="ODL67" s="291"/>
      <x:c r="ODM67" s="291"/>
      <x:c r="ODN67" s="291"/>
      <x:c r="ODO67" s="291"/>
      <x:c r="ODP67" s="291"/>
      <x:c r="ODQ67" s="291"/>
      <x:c r="ODR67" s="291"/>
      <x:c r="ODS67" s="291"/>
      <x:c r="ODT67" s="291"/>
      <x:c r="ODU67" s="291"/>
      <x:c r="ODV67" s="291"/>
      <x:c r="ODW67" s="291"/>
      <x:c r="ODX67" s="291"/>
      <x:c r="ODY67" s="291"/>
      <x:c r="ODZ67" s="291"/>
      <x:c r="OEA67" s="291"/>
      <x:c r="OEB67" s="291"/>
      <x:c r="OEC67" s="291"/>
      <x:c r="OED67" s="291"/>
      <x:c r="OEE67" s="291"/>
      <x:c r="OEF67" s="291"/>
      <x:c r="OEG67" s="291"/>
      <x:c r="OEH67" s="291"/>
      <x:c r="OEI67" s="291"/>
      <x:c r="OEJ67" s="291"/>
      <x:c r="OEK67" s="291"/>
      <x:c r="OEL67" s="291"/>
      <x:c r="OEM67" s="291"/>
      <x:c r="OEN67" s="291"/>
      <x:c r="OEO67" s="291"/>
      <x:c r="OEP67" s="291"/>
      <x:c r="OEQ67" s="291"/>
      <x:c r="OER67" s="291"/>
      <x:c r="OES67" s="291"/>
      <x:c r="OET67" s="291"/>
      <x:c r="OEU67" s="291"/>
      <x:c r="OEV67" s="291"/>
      <x:c r="OEW67" s="291"/>
      <x:c r="OEX67" s="291"/>
      <x:c r="OEY67" s="291"/>
      <x:c r="OEZ67" s="291"/>
      <x:c r="OFA67" s="291"/>
      <x:c r="OFB67" s="291"/>
      <x:c r="OFC67" s="291"/>
      <x:c r="OFD67" s="291"/>
      <x:c r="OFE67" s="291"/>
      <x:c r="OFF67" s="291"/>
      <x:c r="OFG67" s="291"/>
      <x:c r="OFH67" s="291"/>
      <x:c r="OFI67" s="291"/>
      <x:c r="OFJ67" s="291"/>
      <x:c r="OFK67" s="291"/>
      <x:c r="OFL67" s="291"/>
      <x:c r="OFM67" s="291"/>
      <x:c r="OFN67" s="291"/>
      <x:c r="OFO67" s="291"/>
      <x:c r="OFP67" s="291"/>
      <x:c r="OFQ67" s="291"/>
      <x:c r="OFR67" s="291"/>
      <x:c r="OFS67" s="291"/>
      <x:c r="OFT67" s="291"/>
      <x:c r="OFU67" s="291"/>
      <x:c r="OFV67" s="291"/>
      <x:c r="OFW67" s="291"/>
      <x:c r="OFX67" s="291"/>
      <x:c r="OFY67" s="291"/>
      <x:c r="OFZ67" s="291"/>
      <x:c r="OGA67" s="291"/>
      <x:c r="OGB67" s="291"/>
      <x:c r="OGC67" s="291"/>
      <x:c r="OGD67" s="291"/>
      <x:c r="OGE67" s="291"/>
      <x:c r="OGF67" s="291"/>
      <x:c r="OGG67" s="291"/>
      <x:c r="OGH67" s="291"/>
      <x:c r="OGI67" s="291"/>
      <x:c r="OGJ67" s="291"/>
      <x:c r="OGK67" s="291"/>
      <x:c r="OGL67" s="291"/>
      <x:c r="OGM67" s="291"/>
      <x:c r="OGN67" s="291"/>
      <x:c r="OGO67" s="291"/>
      <x:c r="OGP67" s="291"/>
      <x:c r="OGQ67" s="291"/>
      <x:c r="OGR67" s="291"/>
      <x:c r="OGS67" s="291"/>
      <x:c r="OGT67" s="291"/>
      <x:c r="OGU67" s="291"/>
      <x:c r="OGV67" s="291"/>
      <x:c r="OGW67" s="291"/>
      <x:c r="OGX67" s="291"/>
      <x:c r="OGY67" s="291"/>
      <x:c r="OGZ67" s="291"/>
      <x:c r="OHA67" s="291"/>
      <x:c r="OHB67" s="291"/>
      <x:c r="OHC67" s="291"/>
      <x:c r="OHD67" s="291"/>
      <x:c r="OHE67" s="291"/>
      <x:c r="OHF67" s="291"/>
      <x:c r="OHG67" s="291"/>
      <x:c r="OHH67" s="291"/>
      <x:c r="OHI67" s="291"/>
      <x:c r="OHJ67" s="291"/>
      <x:c r="OHK67" s="291"/>
      <x:c r="OHL67" s="291"/>
      <x:c r="OHM67" s="291"/>
      <x:c r="OHN67" s="291"/>
      <x:c r="OHO67" s="291"/>
      <x:c r="OHP67" s="291"/>
      <x:c r="OHQ67" s="291"/>
      <x:c r="OHR67" s="291"/>
      <x:c r="OHS67" s="291"/>
      <x:c r="OHT67" s="291"/>
      <x:c r="OHU67" s="291"/>
      <x:c r="OHV67" s="291"/>
      <x:c r="OHW67" s="291"/>
      <x:c r="OHX67" s="291"/>
      <x:c r="OHY67" s="291"/>
      <x:c r="OHZ67" s="291"/>
      <x:c r="OIA67" s="291"/>
      <x:c r="OIB67" s="291"/>
      <x:c r="OIC67" s="291"/>
      <x:c r="OID67" s="291"/>
      <x:c r="OIE67" s="291"/>
      <x:c r="OIF67" s="291"/>
      <x:c r="OIG67" s="291"/>
      <x:c r="OIH67" s="291"/>
      <x:c r="OII67" s="291"/>
      <x:c r="OIJ67" s="291"/>
      <x:c r="OIK67" s="291"/>
      <x:c r="OIL67" s="291"/>
      <x:c r="OIM67" s="291"/>
      <x:c r="OIN67" s="291"/>
      <x:c r="OIO67" s="291"/>
      <x:c r="OIP67" s="291"/>
      <x:c r="OIQ67" s="291"/>
      <x:c r="OIR67" s="291"/>
      <x:c r="OIS67" s="291"/>
      <x:c r="OIT67" s="291"/>
      <x:c r="OIU67" s="291"/>
      <x:c r="OIV67" s="291"/>
      <x:c r="OIW67" s="291"/>
      <x:c r="OIX67" s="291"/>
      <x:c r="OIY67" s="291"/>
      <x:c r="OIZ67" s="291"/>
      <x:c r="OJA67" s="291"/>
      <x:c r="OJB67" s="291"/>
      <x:c r="OJC67" s="291"/>
      <x:c r="OJD67" s="291"/>
      <x:c r="OJE67" s="291"/>
      <x:c r="OJF67" s="291"/>
      <x:c r="OJG67" s="291"/>
      <x:c r="OJH67" s="291"/>
      <x:c r="OJI67" s="291"/>
      <x:c r="OJJ67" s="291"/>
      <x:c r="OJK67" s="291"/>
      <x:c r="OJL67" s="291"/>
      <x:c r="OJM67" s="291"/>
      <x:c r="OJN67" s="291"/>
      <x:c r="OJO67" s="291"/>
      <x:c r="OJP67" s="291"/>
      <x:c r="OJQ67" s="291"/>
      <x:c r="OJR67" s="291"/>
      <x:c r="OJS67" s="291"/>
      <x:c r="OJT67" s="291"/>
      <x:c r="OJU67" s="291"/>
      <x:c r="OJV67" s="291"/>
      <x:c r="OJW67" s="291"/>
      <x:c r="OJX67" s="291"/>
      <x:c r="OJY67" s="291"/>
      <x:c r="OJZ67" s="291"/>
      <x:c r="OKA67" s="291"/>
      <x:c r="OKB67" s="291"/>
      <x:c r="OKC67" s="291"/>
      <x:c r="OKD67" s="291"/>
      <x:c r="OKE67" s="291"/>
      <x:c r="OKF67" s="291"/>
      <x:c r="OKG67" s="291"/>
      <x:c r="OKH67" s="291"/>
      <x:c r="OKI67" s="291"/>
      <x:c r="OKJ67" s="291"/>
      <x:c r="OKK67" s="291"/>
      <x:c r="OKL67" s="291"/>
      <x:c r="OKM67" s="291"/>
      <x:c r="OKN67" s="291"/>
      <x:c r="OKO67" s="291"/>
      <x:c r="OKP67" s="291"/>
      <x:c r="OKQ67" s="291"/>
      <x:c r="OKR67" s="291"/>
      <x:c r="OKS67" s="291"/>
      <x:c r="OKT67" s="291"/>
      <x:c r="OKU67" s="291"/>
      <x:c r="OKV67" s="291"/>
      <x:c r="OKW67" s="291"/>
      <x:c r="OKX67" s="291"/>
      <x:c r="OKY67" s="291"/>
      <x:c r="OKZ67" s="291"/>
      <x:c r="OLA67" s="291"/>
      <x:c r="OLB67" s="291"/>
      <x:c r="OLC67" s="291"/>
      <x:c r="OLD67" s="291"/>
      <x:c r="OLE67" s="291"/>
      <x:c r="OLF67" s="291"/>
      <x:c r="OLG67" s="291"/>
      <x:c r="OLH67" s="291"/>
      <x:c r="OLI67" s="291"/>
      <x:c r="OLJ67" s="291"/>
      <x:c r="OLK67" s="291"/>
      <x:c r="OLL67" s="291"/>
      <x:c r="OLM67" s="291"/>
      <x:c r="OLN67" s="291"/>
      <x:c r="OLO67" s="291"/>
      <x:c r="OLP67" s="291"/>
      <x:c r="OLQ67" s="291"/>
      <x:c r="OLR67" s="291"/>
      <x:c r="OLS67" s="291"/>
      <x:c r="OLT67" s="291"/>
      <x:c r="OLU67" s="291"/>
      <x:c r="OLV67" s="291"/>
      <x:c r="OLW67" s="291"/>
      <x:c r="OLX67" s="291"/>
      <x:c r="OLY67" s="291"/>
      <x:c r="OLZ67" s="291"/>
      <x:c r="OMA67" s="291"/>
      <x:c r="OMB67" s="291"/>
      <x:c r="OMC67" s="291"/>
      <x:c r="OMD67" s="291"/>
      <x:c r="OME67" s="291"/>
      <x:c r="OMF67" s="291"/>
      <x:c r="OMG67" s="291"/>
      <x:c r="OMH67" s="291"/>
      <x:c r="OMI67" s="291"/>
      <x:c r="OMJ67" s="291"/>
      <x:c r="OMK67" s="291"/>
      <x:c r="OML67" s="291"/>
      <x:c r="OMM67" s="291"/>
      <x:c r="OMN67" s="291"/>
      <x:c r="OMO67" s="291"/>
      <x:c r="OMP67" s="291"/>
      <x:c r="OMQ67" s="291"/>
      <x:c r="OMR67" s="291"/>
      <x:c r="OMS67" s="291"/>
      <x:c r="OMT67" s="291"/>
      <x:c r="OMU67" s="291"/>
      <x:c r="OMV67" s="291"/>
      <x:c r="OMW67" s="291"/>
      <x:c r="OMX67" s="291"/>
      <x:c r="OMY67" s="291"/>
      <x:c r="OMZ67" s="291"/>
      <x:c r="ONA67" s="291"/>
      <x:c r="ONB67" s="291"/>
      <x:c r="ONC67" s="291"/>
      <x:c r="OND67" s="291"/>
      <x:c r="ONE67" s="291"/>
      <x:c r="ONF67" s="291"/>
      <x:c r="ONG67" s="291"/>
      <x:c r="ONH67" s="291"/>
      <x:c r="ONI67" s="291"/>
      <x:c r="ONJ67" s="291"/>
      <x:c r="ONK67" s="291"/>
      <x:c r="ONL67" s="291"/>
      <x:c r="ONM67" s="291"/>
      <x:c r="ONN67" s="291"/>
      <x:c r="ONO67" s="291"/>
      <x:c r="ONP67" s="291"/>
      <x:c r="ONQ67" s="291"/>
      <x:c r="ONR67" s="291"/>
      <x:c r="ONS67" s="291"/>
      <x:c r="ONT67" s="291"/>
      <x:c r="ONU67" s="291"/>
      <x:c r="ONV67" s="291"/>
      <x:c r="ONW67" s="291"/>
      <x:c r="ONX67" s="291"/>
      <x:c r="ONY67" s="291"/>
      <x:c r="ONZ67" s="291"/>
      <x:c r="OOA67" s="291"/>
      <x:c r="OOB67" s="291"/>
      <x:c r="OOC67" s="291"/>
      <x:c r="OOD67" s="291"/>
      <x:c r="OOE67" s="291"/>
      <x:c r="OOF67" s="291"/>
      <x:c r="OOG67" s="291"/>
      <x:c r="OOH67" s="291"/>
      <x:c r="OOI67" s="291"/>
      <x:c r="OOJ67" s="291"/>
      <x:c r="OOK67" s="291"/>
      <x:c r="OOL67" s="291"/>
      <x:c r="OOM67" s="291"/>
      <x:c r="OON67" s="291"/>
      <x:c r="OOO67" s="291"/>
      <x:c r="OOP67" s="291"/>
      <x:c r="OOQ67" s="291"/>
      <x:c r="OOR67" s="291"/>
      <x:c r="OOS67" s="291"/>
      <x:c r="OOT67" s="291"/>
      <x:c r="OOU67" s="291"/>
      <x:c r="OOV67" s="291"/>
      <x:c r="OOW67" s="291"/>
      <x:c r="OOX67" s="291"/>
      <x:c r="OOY67" s="291"/>
      <x:c r="OOZ67" s="291"/>
      <x:c r="OPA67" s="291"/>
      <x:c r="OPB67" s="291"/>
      <x:c r="OPC67" s="291"/>
      <x:c r="OPD67" s="291"/>
      <x:c r="OPE67" s="291"/>
      <x:c r="OPF67" s="291"/>
      <x:c r="OPG67" s="291"/>
      <x:c r="OPH67" s="291"/>
      <x:c r="OPI67" s="291"/>
      <x:c r="OPJ67" s="291"/>
      <x:c r="OPK67" s="291"/>
      <x:c r="OPL67" s="291"/>
      <x:c r="OPM67" s="291"/>
      <x:c r="OPN67" s="291"/>
      <x:c r="OPO67" s="291"/>
      <x:c r="OPP67" s="291"/>
      <x:c r="OPQ67" s="291"/>
      <x:c r="OPR67" s="291"/>
      <x:c r="OPS67" s="291"/>
      <x:c r="OPT67" s="291"/>
      <x:c r="OPU67" s="291"/>
      <x:c r="OPV67" s="291"/>
      <x:c r="OPW67" s="291"/>
      <x:c r="OPX67" s="291"/>
      <x:c r="OPY67" s="291"/>
      <x:c r="OPZ67" s="291"/>
      <x:c r="OQA67" s="291"/>
      <x:c r="OQB67" s="291"/>
      <x:c r="OQC67" s="291"/>
      <x:c r="OQD67" s="291"/>
      <x:c r="OQE67" s="291"/>
      <x:c r="OQF67" s="291"/>
      <x:c r="OQG67" s="291"/>
      <x:c r="OQH67" s="291"/>
      <x:c r="OQI67" s="291"/>
      <x:c r="OQJ67" s="291"/>
      <x:c r="OQK67" s="291"/>
      <x:c r="OQL67" s="291"/>
      <x:c r="OQM67" s="291"/>
      <x:c r="OQN67" s="291"/>
      <x:c r="OQO67" s="291"/>
      <x:c r="OQP67" s="291"/>
      <x:c r="OQQ67" s="291"/>
      <x:c r="OQR67" s="291"/>
      <x:c r="OQS67" s="291"/>
      <x:c r="OQT67" s="291"/>
      <x:c r="OQU67" s="291"/>
      <x:c r="OQV67" s="291"/>
      <x:c r="OQW67" s="291"/>
      <x:c r="OQX67" s="291"/>
      <x:c r="OQY67" s="291"/>
      <x:c r="OQZ67" s="291"/>
      <x:c r="ORA67" s="291"/>
      <x:c r="ORB67" s="291"/>
      <x:c r="ORC67" s="291"/>
      <x:c r="ORD67" s="291"/>
      <x:c r="ORE67" s="291"/>
      <x:c r="ORF67" s="291"/>
      <x:c r="ORG67" s="291"/>
      <x:c r="ORH67" s="291"/>
      <x:c r="ORI67" s="291"/>
      <x:c r="ORJ67" s="291"/>
      <x:c r="ORK67" s="291"/>
      <x:c r="ORL67" s="291"/>
      <x:c r="ORM67" s="291"/>
      <x:c r="ORN67" s="291"/>
      <x:c r="ORO67" s="291"/>
      <x:c r="ORP67" s="291"/>
      <x:c r="ORQ67" s="291"/>
      <x:c r="ORR67" s="291"/>
      <x:c r="ORS67" s="291"/>
      <x:c r="ORT67" s="291"/>
      <x:c r="ORU67" s="291"/>
      <x:c r="ORV67" s="291"/>
      <x:c r="ORW67" s="291"/>
      <x:c r="ORX67" s="291"/>
      <x:c r="ORY67" s="291"/>
      <x:c r="ORZ67" s="291"/>
      <x:c r="OSA67" s="291"/>
      <x:c r="OSB67" s="291"/>
      <x:c r="OSC67" s="291"/>
      <x:c r="OSD67" s="291"/>
      <x:c r="OSE67" s="291"/>
      <x:c r="OSF67" s="291"/>
      <x:c r="OSG67" s="291"/>
      <x:c r="OSH67" s="291"/>
      <x:c r="OSI67" s="291"/>
      <x:c r="OSJ67" s="291"/>
      <x:c r="OSK67" s="291"/>
      <x:c r="OSL67" s="291"/>
      <x:c r="OSM67" s="291"/>
      <x:c r="OSN67" s="291"/>
      <x:c r="OSO67" s="291"/>
      <x:c r="OSP67" s="291"/>
      <x:c r="OSQ67" s="291"/>
      <x:c r="OSR67" s="291"/>
      <x:c r="OSS67" s="291"/>
      <x:c r="OST67" s="291"/>
      <x:c r="OSU67" s="291"/>
      <x:c r="OSV67" s="291"/>
      <x:c r="OSW67" s="291"/>
      <x:c r="OSX67" s="291"/>
      <x:c r="OSY67" s="291"/>
      <x:c r="OSZ67" s="291"/>
      <x:c r="OTA67" s="291"/>
      <x:c r="OTB67" s="291"/>
      <x:c r="OTC67" s="291"/>
      <x:c r="OTD67" s="291"/>
      <x:c r="OTE67" s="291"/>
      <x:c r="OTF67" s="291"/>
      <x:c r="OTG67" s="291"/>
      <x:c r="OTH67" s="291"/>
      <x:c r="OTI67" s="291"/>
      <x:c r="OTJ67" s="291"/>
      <x:c r="OTK67" s="291"/>
      <x:c r="OTL67" s="291"/>
      <x:c r="OTM67" s="291"/>
      <x:c r="OTN67" s="291"/>
      <x:c r="OTO67" s="291"/>
      <x:c r="OTP67" s="291"/>
      <x:c r="OTQ67" s="291"/>
      <x:c r="OTR67" s="291"/>
      <x:c r="OTS67" s="291"/>
      <x:c r="OTT67" s="291"/>
      <x:c r="OTU67" s="291"/>
      <x:c r="OTV67" s="291"/>
      <x:c r="OTW67" s="291"/>
      <x:c r="OTX67" s="291"/>
      <x:c r="OTY67" s="291"/>
      <x:c r="OTZ67" s="291"/>
      <x:c r="OUA67" s="291"/>
      <x:c r="OUB67" s="291"/>
      <x:c r="OUC67" s="291"/>
      <x:c r="OUD67" s="291"/>
      <x:c r="OUE67" s="291"/>
      <x:c r="OUF67" s="291"/>
      <x:c r="OUG67" s="291"/>
      <x:c r="OUH67" s="291"/>
      <x:c r="OUI67" s="291"/>
      <x:c r="OUJ67" s="291"/>
      <x:c r="OUK67" s="291"/>
      <x:c r="OUL67" s="291"/>
      <x:c r="OUM67" s="291"/>
      <x:c r="OUN67" s="291"/>
      <x:c r="OUO67" s="291"/>
      <x:c r="OUP67" s="291"/>
      <x:c r="OUQ67" s="291"/>
      <x:c r="OUR67" s="291"/>
      <x:c r="OUS67" s="291"/>
      <x:c r="OUT67" s="291"/>
      <x:c r="OUU67" s="291"/>
      <x:c r="OUV67" s="291"/>
      <x:c r="OUW67" s="291"/>
      <x:c r="OUX67" s="291"/>
      <x:c r="OUY67" s="291"/>
      <x:c r="OUZ67" s="291"/>
      <x:c r="OVA67" s="291"/>
      <x:c r="OVB67" s="291"/>
      <x:c r="OVC67" s="291"/>
      <x:c r="OVD67" s="291"/>
      <x:c r="OVE67" s="291"/>
      <x:c r="OVF67" s="291"/>
      <x:c r="OVG67" s="291"/>
      <x:c r="OVH67" s="291"/>
      <x:c r="OVI67" s="291"/>
      <x:c r="OVJ67" s="291"/>
      <x:c r="OVK67" s="291"/>
      <x:c r="OVL67" s="291"/>
      <x:c r="OVM67" s="291"/>
      <x:c r="OVN67" s="291"/>
      <x:c r="OVO67" s="291"/>
      <x:c r="OVP67" s="291"/>
      <x:c r="OVQ67" s="291"/>
      <x:c r="OVR67" s="291"/>
      <x:c r="OVS67" s="291"/>
      <x:c r="OVT67" s="291"/>
      <x:c r="OVU67" s="291"/>
      <x:c r="OVV67" s="291"/>
      <x:c r="OVW67" s="291"/>
      <x:c r="OVX67" s="291"/>
      <x:c r="OVY67" s="291"/>
      <x:c r="OVZ67" s="291"/>
      <x:c r="OWA67" s="291"/>
      <x:c r="OWB67" s="291"/>
      <x:c r="OWC67" s="291"/>
      <x:c r="OWD67" s="291"/>
      <x:c r="OWE67" s="291"/>
      <x:c r="OWF67" s="291"/>
      <x:c r="OWG67" s="291"/>
      <x:c r="OWH67" s="291"/>
      <x:c r="OWI67" s="291"/>
      <x:c r="OWJ67" s="291"/>
      <x:c r="OWK67" s="291"/>
      <x:c r="OWL67" s="291"/>
      <x:c r="OWM67" s="291"/>
      <x:c r="OWN67" s="291"/>
      <x:c r="OWO67" s="291"/>
      <x:c r="OWP67" s="291"/>
      <x:c r="OWQ67" s="291"/>
      <x:c r="OWR67" s="291"/>
      <x:c r="OWS67" s="291"/>
      <x:c r="OWT67" s="291"/>
      <x:c r="OWU67" s="291"/>
      <x:c r="OWV67" s="291"/>
      <x:c r="OWW67" s="291"/>
      <x:c r="OWX67" s="291"/>
      <x:c r="OWY67" s="291"/>
      <x:c r="OWZ67" s="291"/>
      <x:c r="OXA67" s="291"/>
      <x:c r="OXB67" s="291"/>
      <x:c r="OXC67" s="291"/>
      <x:c r="OXD67" s="291"/>
      <x:c r="OXE67" s="291"/>
      <x:c r="OXF67" s="291"/>
      <x:c r="OXG67" s="291"/>
      <x:c r="OXH67" s="291"/>
      <x:c r="OXI67" s="291"/>
      <x:c r="OXJ67" s="291"/>
      <x:c r="OXK67" s="291"/>
      <x:c r="OXL67" s="291"/>
      <x:c r="OXM67" s="291"/>
      <x:c r="OXN67" s="291"/>
      <x:c r="OXO67" s="291"/>
      <x:c r="OXP67" s="291"/>
      <x:c r="OXQ67" s="291"/>
      <x:c r="OXR67" s="291"/>
      <x:c r="OXS67" s="291"/>
      <x:c r="OXT67" s="291"/>
      <x:c r="OXU67" s="291"/>
      <x:c r="OXV67" s="291"/>
      <x:c r="OXW67" s="291"/>
      <x:c r="OXX67" s="291"/>
      <x:c r="OXY67" s="291"/>
      <x:c r="OXZ67" s="291"/>
      <x:c r="OYA67" s="291"/>
      <x:c r="OYB67" s="291"/>
      <x:c r="OYC67" s="291"/>
      <x:c r="OYD67" s="291"/>
      <x:c r="OYE67" s="291"/>
      <x:c r="OYF67" s="291"/>
      <x:c r="OYG67" s="291"/>
      <x:c r="OYH67" s="291"/>
      <x:c r="OYI67" s="291"/>
      <x:c r="OYJ67" s="291"/>
      <x:c r="OYK67" s="291"/>
      <x:c r="OYL67" s="291"/>
      <x:c r="OYM67" s="291"/>
      <x:c r="OYN67" s="291"/>
      <x:c r="OYO67" s="291"/>
      <x:c r="OYP67" s="291"/>
      <x:c r="OYQ67" s="291"/>
      <x:c r="OYR67" s="291"/>
      <x:c r="OYS67" s="291"/>
      <x:c r="OYT67" s="291"/>
      <x:c r="OYU67" s="291"/>
      <x:c r="OYV67" s="291"/>
      <x:c r="OYW67" s="291"/>
      <x:c r="OYX67" s="291"/>
      <x:c r="OYY67" s="291"/>
      <x:c r="OYZ67" s="291"/>
      <x:c r="OZA67" s="291"/>
      <x:c r="OZB67" s="291"/>
      <x:c r="OZC67" s="291"/>
      <x:c r="OZD67" s="291"/>
      <x:c r="OZE67" s="291"/>
      <x:c r="OZF67" s="291"/>
      <x:c r="OZG67" s="291"/>
      <x:c r="OZH67" s="291"/>
      <x:c r="OZI67" s="291"/>
      <x:c r="OZJ67" s="291"/>
      <x:c r="OZK67" s="291"/>
      <x:c r="OZL67" s="291"/>
      <x:c r="OZM67" s="291"/>
      <x:c r="OZN67" s="291"/>
      <x:c r="OZO67" s="291"/>
      <x:c r="OZP67" s="291"/>
      <x:c r="OZQ67" s="291"/>
      <x:c r="OZR67" s="291"/>
      <x:c r="OZS67" s="291"/>
      <x:c r="OZT67" s="291"/>
      <x:c r="OZU67" s="291"/>
      <x:c r="OZV67" s="291"/>
      <x:c r="OZW67" s="291"/>
      <x:c r="OZX67" s="291"/>
      <x:c r="OZY67" s="291"/>
      <x:c r="OZZ67" s="291"/>
      <x:c r="PAA67" s="291"/>
      <x:c r="PAB67" s="291"/>
      <x:c r="PAC67" s="291"/>
      <x:c r="PAD67" s="291"/>
      <x:c r="PAE67" s="291"/>
      <x:c r="PAF67" s="291"/>
      <x:c r="PAG67" s="291"/>
      <x:c r="PAH67" s="291"/>
      <x:c r="PAI67" s="291"/>
      <x:c r="PAJ67" s="291"/>
      <x:c r="PAK67" s="291"/>
      <x:c r="PAL67" s="291"/>
      <x:c r="PAM67" s="291"/>
      <x:c r="PAN67" s="291"/>
      <x:c r="PAO67" s="291"/>
      <x:c r="PAP67" s="291"/>
      <x:c r="PAQ67" s="291"/>
      <x:c r="PAR67" s="291"/>
      <x:c r="PAS67" s="291"/>
      <x:c r="PAT67" s="291"/>
      <x:c r="PAU67" s="291"/>
      <x:c r="PAV67" s="291"/>
      <x:c r="PAW67" s="291"/>
      <x:c r="PAX67" s="291"/>
      <x:c r="PAY67" s="291"/>
      <x:c r="PAZ67" s="291"/>
      <x:c r="PBA67" s="291"/>
      <x:c r="PBB67" s="291"/>
      <x:c r="PBC67" s="291"/>
      <x:c r="PBD67" s="291"/>
      <x:c r="PBE67" s="291"/>
      <x:c r="PBF67" s="291"/>
      <x:c r="PBG67" s="291"/>
      <x:c r="PBH67" s="291"/>
      <x:c r="PBI67" s="291"/>
      <x:c r="PBJ67" s="291"/>
      <x:c r="PBK67" s="291"/>
      <x:c r="PBL67" s="291"/>
      <x:c r="PBM67" s="291"/>
      <x:c r="PBN67" s="291"/>
      <x:c r="PBO67" s="291"/>
      <x:c r="PBP67" s="291"/>
      <x:c r="PBQ67" s="291"/>
      <x:c r="PBR67" s="291"/>
      <x:c r="PBS67" s="291"/>
      <x:c r="PBT67" s="291"/>
      <x:c r="PBU67" s="291"/>
      <x:c r="PBV67" s="291"/>
      <x:c r="PBW67" s="291"/>
      <x:c r="PBX67" s="291"/>
      <x:c r="PBY67" s="291"/>
      <x:c r="PBZ67" s="291"/>
      <x:c r="PCA67" s="291"/>
      <x:c r="PCB67" s="291"/>
      <x:c r="PCC67" s="291"/>
      <x:c r="PCD67" s="291"/>
      <x:c r="PCE67" s="291"/>
      <x:c r="PCF67" s="291"/>
      <x:c r="PCG67" s="291"/>
      <x:c r="PCH67" s="291"/>
      <x:c r="PCI67" s="291"/>
      <x:c r="PCJ67" s="291"/>
      <x:c r="PCK67" s="291"/>
      <x:c r="PCL67" s="291"/>
      <x:c r="PCM67" s="291"/>
      <x:c r="PCN67" s="291"/>
      <x:c r="PCO67" s="291"/>
      <x:c r="PCP67" s="291"/>
      <x:c r="PCQ67" s="291"/>
      <x:c r="PCR67" s="291"/>
      <x:c r="PCS67" s="291"/>
      <x:c r="PCT67" s="291"/>
      <x:c r="PCU67" s="291"/>
      <x:c r="PCV67" s="291"/>
      <x:c r="PCW67" s="291"/>
      <x:c r="PCX67" s="291"/>
      <x:c r="PCY67" s="291"/>
      <x:c r="PCZ67" s="291"/>
      <x:c r="PDA67" s="291"/>
      <x:c r="PDB67" s="291"/>
      <x:c r="PDC67" s="291"/>
      <x:c r="PDD67" s="291"/>
      <x:c r="PDE67" s="291"/>
      <x:c r="PDF67" s="291"/>
      <x:c r="PDG67" s="291"/>
      <x:c r="PDH67" s="291"/>
      <x:c r="PDI67" s="291"/>
      <x:c r="PDJ67" s="291"/>
      <x:c r="PDK67" s="291"/>
      <x:c r="PDL67" s="291"/>
      <x:c r="PDM67" s="291"/>
      <x:c r="PDN67" s="291"/>
      <x:c r="PDO67" s="291"/>
      <x:c r="PDP67" s="291"/>
      <x:c r="PDQ67" s="291"/>
      <x:c r="PDR67" s="291"/>
      <x:c r="PDS67" s="291"/>
      <x:c r="PDT67" s="291"/>
      <x:c r="PDU67" s="291"/>
      <x:c r="PDV67" s="291"/>
      <x:c r="PDW67" s="291"/>
      <x:c r="PDX67" s="291"/>
      <x:c r="PDY67" s="291"/>
      <x:c r="PDZ67" s="291"/>
      <x:c r="PEA67" s="291"/>
      <x:c r="PEB67" s="291"/>
      <x:c r="PEC67" s="291"/>
      <x:c r="PED67" s="291"/>
      <x:c r="PEE67" s="291"/>
      <x:c r="PEF67" s="291"/>
      <x:c r="PEG67" s="291"/>
      <x:c r="PEH67" s="291"/>
      <x:c r="PEI67" s="291"/>
      <x:c r="PEJ67" s="291"/>
      <x:c r="PEK67" s="291"/>
      <x:c r="PEL67" s="291"/>
      <x:c r="PEM67" s="291"/>
      <x:c r="PEN67" s="291"/>
      <x:c r="PEO67" s="291"/>
      <x:c r="PEP67" s="291"/>
      <x:c r="PEQ67" s="291"/>
      <x:c r="PER67" s="291"/>
      <x:c r="PES67" s="291"/>
      <x:c r="PET67" s="291"/>
      <x:c r="PEU67" s="291"/>
      <x:c r="PEV67" s="291"/>
      <x:c r="PEW67" s="291"/>
      <x:c r="PEX67" s="291"/>
      <x:c r="PEY67" s="291"/>
      <x:c r="PEZ67" s="291"/>
      <x:c r="PFA67" s="291"/>
      <x:c r="PFB67" s="291"/>
      <x:c r="PFC67" s="291"/>
      <x:c r="PFD67" s="291"/>
      <x:c r="PFE67" s="291"/>
      <x:c r="PFF67" s="291"/>
      <x:c r="PFG67" s="291"/>
      <x:c r="PFH67" s="291"/>
      <x:c r="PFI67" s="291"/>
      <x:c r="PFJ67" s="291"/>
      <x:c r="PFK67" s="291"/>
      <x:c r="PFL67" s="291"/>
      <x:c r="PFM67" s="291"/>
      <x:c r="PFN67" s="291"/>
      <x:c r="PFO67" s="291"/>
      <x:c r="PFP67" s="291"/>
      <x:c r="PFQ67" s="291"/>
      <x:c r="PFR67" s="291"/>
      <x:c r="PFS67" s="291"/>
      <x:c r="PFT67" s="291"/>
      <x:c r="PFU67" s="291"/>
      <x:c r="PFV67" s="291"/>
      <x:c r="PFW67" s="291"/>
      <x:c r="PFX67" s="291"/>
      <x:c r="PFY67" s="291"/>
      <x:c r="PFZ67" s="291"/>
      <x:c r="PGA67" s="291"/>
      <x:c r="PGB67" s="291"/>
      <x:c r="PGC67" s="291"/>
      <x:c r="PGD67" s="291"/>
      <x:c r="PGE67" s="291"/>
      <x:c r="PGF67" s="291"/>
      <x:c r="PGG67" s="291"/>
      <x:c r="PGH67" s="291"/>
      <x:c r="PGI67" s="291"/>
      <x:c r="PGJ67" s="291"/>
      <x:c r="PGK67" s="291"/>
      <x:c r="PGL67" s="291"/>
      <x:c r="PGM67" s="291"/>
      <x:c r="PGN67" s="291"/>
      <x:c r="PGO67" s="291"/>
      <x:c r="PGP67" s="291"/>
      <x:c r="PGQ67" s="291"/>
      <x:c r="PGR67" s="291"/>
      <x:c r="PGS67" s="291"/>
      <x:c r="PGT67" s="291"/>
      <x:c r="PGU67" s="291"/>
      <x:c r="PGV67" s="291"/>
      <x:c r="PGW67" s="291"/>
      <x:c r="PGX67" s="291"/>
      <x:c r="PGY67" s="291"/>
      <x:c r="PGZ67" s="291"/>
      <x:c r="PHA67" s="291"/>
      <x:c r="PHB67" s="291"/>
      <x:c r="PHC67" s="291"/>
      <x:c r="PHD67" s="291"/>
      <x:c r="PHE67" s="291"/>
      <x:c r="PHF67" s="291"/>
      <x:c r="PHG67" s="291"/>
      <x:c r="PHH67" s="291"/>
      <x:c r="PHI67" s="291"/>
      <x:c r="PHJ67" s="291"/>
      <x:c r="PHK67" s="291"/>
      <x:c r="PHL67" s="291"/>
      <x:c r="PHM67" s="291"/>
      <x:c r="PHN67" s="291"/>
      <x:c r="PHO67" s="291"/>
      <x:c r="PHP67" s="291"/>
      <x:c r="PHQ67" s="291"/>
      <x:c r="PHR67" s="291"/>
      <x:c r="PHS67" s="291"/>
      <x:c r="PHT67" s="291"/>
      <x:c r="PHU67" s="291"/>
      <x:c r="PHV67" s="291"/>
      <x:c r="PHW67" s="291"/>
      <x:c r="PHX67" s="291"/>
      <x:c r="PHY67" s="291"/>
      <x:c r="PHZ67" s="291"/>
      <x:c r="PIA67" s="291"/>
      <x:c r="PIB67" s="291"/>
      <x:c r="PIC67" s="291"/>
      <x:c r="PID67" s="291"/>
      <x:c r="PIE67" s="291"/>
      <x:c r="PIF67" s="291"/>
      <x:c r="PIG67" s="291"/>
      <x:c r="PIH67" s="291"/>
      <x:c r="PII67" s="291"/>
      <x:c r="PIJ67" s="291"/>
      <x:c r="PIK67" s="291"/>
      <x:c r="PIL67" s="291"/>
      <x:c r="PIM67" s="291"/>
      <x:c r="PIN67" s="291"/>
      <x:c r="PIO67" s="291"/>
      <x:c r="PIP67" s="291"/>
      <x:c r="PIQ67" s="291"/>
      <x:c r="PIR67" s="291"/>
      <x:c r="PIS67" s="291"/>
      <x:c r="PIT67" s="291"/>
      <x:c r="PIU67" s="291"/>
      <x:c r="PIV67" s="291"/>
      <x:c r="PIW67" s="291"/>
      <x:c r="PIX67" s="291"/>
      <x:c r="PIY67" s="291"/>
      <x:c r="PIZ67" s="291"/>
      <x:c r="PJA67" s="291"/>
      <x:c r="PJB67" s="291"/>
      <x:c r="PJC67" s="291"/>
      <x:c r="PJD67" s="291"/>
      <x:c r="PJE67" s="291"/>
      <x:c r="PJF67" s="291"/>
      <x:c r="PJG67" s="291"/>
      <x:c r="PJH67" s="291"/>
      <x:c r="PJI67" s="291"/>
      <x:c r="PJJ67" s="291"/>
      <x:c r="PJK67" s="291"/>
      <x:c r="PJL67" s="291"/>
      <x:c r="PJM67" s="291"/>
      <x:c r="PJN67" s="291"/>
      <x:c r="PJO67" s="291"/>
      <x:c r="PJP67" s="291"/>
      <x:c r="PJQ67" s="291"/>
      <x:c r="PJR67" s="291"/>
      <x:c r="PJS67" s="291"/>
      <x:c r="PJT67" s="291"/>
      <x:c r="PJU67" s="291"/>
      <x:c r="PJV67" s="291"/>
      <x:c r="PJW67" s="291"/>
      <x:c r="PJX67" s="291"/>
      <x:c r="PJY67" s="291"/>
      <x:c r="PJZ67" s="291"/>
      <x:c r="PKA67" s="291"/>
      <x:c r="PKB67" s="291"/>
      <x:c r="PKC67" s="291"/>
      <x:c r="PKD67" s="291"/>
      <x:c r="PKE67" s="291"/>
      <x:c r="PKF67" s="291"/>
      <x:c r="PKG67" s="291"/>
      <x:c r="PKH67" s="291"/>
      <x:c r="PKI67" s="291"/>
      <x:c r="PKJ67" s="291"/>
      <x:c r="PKK67" s="291"/>
      <x:c r="PKL67" s="291"/>
      <x:c r="PKM67" s="291"/>
      <x:c r="PKN67" s="291"/>
      <x:c r="PKO67" s="291"/>
      <x:c r="PKP67" s="291"/>
      <x:c r="PKQ67" s="291"/>
      <x:c r="PKR67" s="291"/>
      <x:c r="PKS67" s="291"/>
      <x:c r="PKT67" s="291"/>
      <x:c r="PKU67" s="291"/>
      <x:c r="PKV67" s="291"/>
      <x:c r="PKW67" s="291"/>
      <x:c r="PKX67" s="291"/>
      <x:c r="PKY67" s="291"/>
      <x:c r="PKZ67" s="291"/>
      <x:c r="PLA67" s="291"/>
      <x:c r="PLB67" s="291"/>
      <x:c r="PLC67" s="291"/>
      <x:c r="PLD67" s="291"/>
      <x:c r="PLE67" s="291"/>
      <x:c r="PLF67" s="291"/>
      <x:c r="PLG67" s="291"/>
      <x:c r="PLH67" s="291"/>
      <x:c r="PLI67" s="291"/>
      <x:c r="PLJ67" s="291"/>
      <x:c r="PLK67" s="291"/>
      <x:c r="PLL67" s="291"/>
      <x:c r="PLM67" s="291"/>
      <x:c r="PLN67" s="291"/>
      <x:c r="PLO67" s="291"/>
      <x:c r="PLP67" s="291"/>
      <x:c r="PLQ67" s="291"/>
      <x:c r="PLR67" s="291"/>
      <x:c r="PLS67" s="291"/>
      <x:c r="PLT67" s="291"/>
      <x:c r="PLU67" s="291"/>
      <x:c r="PLV67" s="291"/>
      <x:c r="PLW67" s="291"/>
      <x:c r="PLX67" s="291"/>
      <x:c r="PLY67" s="291"/>
      <x:c r="PLZ67" s="291"/>
      <x:c r="PMA67" s="291"/>
      <x:c r="PMB67" s="291"/>
      <x:c r="PMC67" s="291"/>
      <x:c r="PMD67" s="291"/>
      <x:c r="PME67" s="291"/>
      <x:c r="PMF67" s="291"/>
      <x:c r="PMG67" s="291"/>
      <x:c r="PMH67" s="291"/>
      <x:c r="PMI67" s="291"/>
      <x:c r="PMJ67" s="291"/>
      <x:c r="PMK67" s="291"/>
      <x:c r="PML67" s="291"/>
      <x:c r="PMM67" s="291"/>
      <x:c r="PMN67" s="291"/>
      <x:c r="PMO67" s="291"/>
      <x:c r="PMP67" s="291"/>
      <x:c r="PMQ67" s="291"/>
      <x:c r="PMR67" s="291"/>
      <x:c r="PMS67" s="291"/>
      <x:c r="PMT67" s="291"/>
      <x:c r="PMU67" s="291"/>
      <x:c r="PMV67" s="291"/>
      <x:c r="PMW67" s="291"/>
      <x:c r="PMX67" s="291"/>
      <x:c r="PMY67" s="291"/>
      <x:c r="PMZ67" s="291"/>
      <x:c r="PNA67" s="291"/>
      <x:c r="PNB67" s="291"/>
      <x:c r="PNC67" s="291"/>
      <x:c r="PND67" s="291"/>
      <x:c r="PNE67" s="291"/>
      <x:c r="PNF67" s="291"/>
      <x:c r="PNG67" s="291"/>
      <x:c r="PNH67" s="291"/>
      <x:c r="PNI67" s="291"/>
      <x:c r="PNJ67" s="291"/>
      <x:c r="PNK67" s="291"/>
      <x:c r="PNL67" s="291"/>
      <x:c r="PNM67" s="291"/>
      <x:c r="PNN67" s="291"/>
      <x:c r="PNO67" s="291"/>
      <x:c r="PNP67" s="291"/>
      <x:c r="PNQ67" s="291"/>
      <x:c r="PNR67" s="291"/>
      <x:c r="PNS67" s="291"/>
      <x:c r="PNT67" s="291"/>
      <x:c r="PNU67" s="291"/>
      <x:c r="PNV67" s="291"/>
      <x:c r="PNW67" s="291"/>
      <x:c r="PNX67" s="291"/>
      <x:c r="PNY67" s="291"/>
      <x:c r="PNZ67" s="291"/>
      <x:c r="POA67" s="291"/>
      <x:c r="POB67" s="291"/>
      <x:c r="POC67" s="291"/>
      <x:c r="POD67" s="291"/>
      <x:c r="POE67" s="291"/>
      <x:c r="POF67" s="291"/>
      <x:c r="POG67" s="291"/>
      <x:c r="POH67" s="291"/>
      <x:c r="POI67" s="291"/>
      <x:c r="POJ67" s="291"/>
      <x:c r="POK67" s="291"/>
      <x:c r="POL67" s="291"/>
      <x:c r="POM67" s="291"/>
      <x:c r="PON67" s="291"/>
      <x:c r="POO67" s="291"/>
      <x:c r="POP67" s="291"/>
      <x:c r="POQ67" s="291"/>
      <x:c r="POR67" s="291"/>
      <x:c r="POS67" s="291"/>
      <x:c r="POT67" s="291"/>
      <x:c r="POU67" s="291"/>
      <x:c r="POV67" s="291"/>
      <x:c r="POW67" s="291"/>
      <x:c r="POX67" s="291"/>
      <x:c r="POY67" s="291"/>
      <x:c r="POZ67" s="291"/>
      <x:c r="PPA67" s="291"/>
      <x:c r="PPB67" s="291"/>
      <x:c r="PPC67" s="291"/>
      <x:c r="PPD67" s="291"/>
      <x:c r="PPE67" s="291"/>
      <x:c r="PPF67" s="291"/>
      <x:c r="PPG67" s="291"/>
      <x:c r="PPH67" s="291"/>
      <x:c r="PPI67" s="291"/>
      <x:c r="PPJ67" s="291"/>
      <x:c r="PPK67" s="291"/>
      <x:c r="PPL67" s="291"/>
      <x:c r="PPM67" s="291"/>
      <x:c r="PPN67" s="291"/>
      <x:c r="PPO67" s="291"/>
      <x:c r="PPP67" s="291"/>
      <x:c r="PPQ67" s="291"/>
      <x:c r="PPR67" s="291"/>
      <x:c r="PPS67" s="291"/>
      <x:c r="PPT67" s="291"/>
      <x:c r="PPU67" s="291"/>
      <x:c r="PPV67" s="291"/>
      <x:c r="PPW67" s="291"/>
      <x:c r="PPX67" s="291"/>
      <x:c r="PPY67" s="291"/>
      <x:c r="PPZ67" s="291"/>
      <x:c r="PQA67" s="291"/>
      <x:c r="PQB67" s="291"/>
      <x:c r="PQC67" s="291"/>
      <x:c r="PQD67" s="291"/>
      <x:c r="PQE67" s="291"/>
      <x:c r="PQF67" s="291"/>
      <x:c r="PQG67" s="291"/>
      <x:c r="PQH67" s="291"/>
      <x:c r="PQI67" s="291"/>
      <x:c r="PQJ67" s="291"/>
      <x:c r="PQK67" s="291"/>
      <x:c r="PQL67" s="291"/>
      <x:c r="PQM67" s="291"/>
      <x:c r="PQN67" s="291"/>
      <x:c r="PQO67" s="291"/>
      <x:c r="PQP67" s="291"/>
      <x:c r="PQQ67" s="291"/>
      <x:c r="PQR67" s="291"/>
      <x:c r="PQS67" s="291"/>
      <x:c r="PQT67" s="291"/>
      <x:c r="PQU67" s="291"/>
      <x:c r="PQV67" s="291"/>
      <x:c r="PQW67" s="291"/>
      <x:c r="PQX67" s="291"/>
      <x:c r="PQY67" s="291"/>
      <x:c r="PQZ67" s="291"/>
      <x:c r="PRA67" s="291"/>
      <x:c r="PRB67" s="291"/>
      <x:c r="PRC67" s="291"/>
      <x:c r="PRD67" s="291"/>
      <x:c r="PRE67" s="291"/>
      <x:c r="PRF67" s="291"/>
      <x:c r="PRG67" s="291"/>
      <x:c r="PRH67" s="291"/>
      <x:c r="PRI67" s="291"/>
      <x:c r="PRJ67" s="291"/>
      <x:c r="PRK67" s="291"/>
      <x:c r="PRL67" s="291"/>
      <x:c r="PRM67" s="291"/>
      <x:c r="PRN67" s="291"/>
      <x:c r="PRO67" s="291"/>
      <x:c r="PRP67" s="291"/>
      <x:c r="PRQ67" s="291"/>
      <x:c r="PRR67" s="291"/>
      <x:c r="PRS67" s="291"/>
      <x:c r="PRT67" s="291"/>
      <x:c r="PRU67" s="291"/>
      <x:c r="PRV67" s="291"/>
      <x:c r="PRW67" s="291"/>
      <x:c r="PRX67" s="291"/>
      <x:c r="PRY67" s="291"/>
      <x:c r="PRZ67" s="291"/>
      <x:c r="PSA67" s="291"/>
      <x:c r="PSB67" s="291"/>
      <x:c r="PSC67" s="291"/>
      <x:c r="PSD67" s="291"/>
      <x:c r="PSE67" s="291"/>
      <x:c r="PSF67" s="291"/>
      <x:c r="PSG67" s="291"/>
      <x:c r="PSH67" s="291"/>
      <x:c r="PSI67" s="291"/>
      <x:c r="PSJ67" s="291"/>
      <x:c r="PSK67" s="291"/>
      <x:c r="PSL67" s="291"/>
      <x:c r="PSM67" s="291"/>
      <x:c r="PSN67" s="291"/>
      <x:c r="PSO67" s="291"/>
      <x:c r="PSP67" s="291"/>
      <x:c r="PSQ67" s="291"/>
      <x:c r="PSR67" s="291"/>
      <x:c r="PSS67" s="291"/>
      <x:c r="PST67" s="291"/>
      <x:c r="PSU67" s="291"/>
      <x:c r="PSV67" s="291"/>
      <x:c r="PSW67" s="291"/>
      <x:c r="PSX67" s="291"/>
      <x:c r="PSY67" s="291"/>
      <x:c r="PSZ67" s="291"/>
      <x:c r="PTA67" s="291"/>
      <x:c r="PTB67" s="291"/>
      <x:c r="PTC67" s="291"/>
      <x:c r="PTD67" s="291"/>
      <x:c r="PTE67" s="291"/>
      <x:c r="PTF67" s="291"/>
      <x:c r="PTG67" s="291"/>
      <x:c r="PTH67" s="291"/>
      <x:c r="PTI67" s="291"/>
      <x:c r="PTJ67" s="291"/>
      <x:c r="PTK67" s="291"/>
      <x:c r="PTL67" s="291"/>
      <x:c r="PTM67" s="291"/>
      <x:c r="PTN67" s="291"/>
      <x:c r="PTO67" s="291"/>
      <x:c r="PTP67" s="291"/>
      <x:c r="PTQ67" s="291"/>
      <x:c r="PTR67" s="291"/>
      <x:c r="PTS67" s="291"/>
      <x:c r="PTT67" s="291"/>
      <x:c r="PTU67" s="291"/>
      <x:c r="PTV67" s="291"/>
      <x:c r="PTW67" s="291"/>
      <x:c r="PTX67" s="291"/>
      <x:c r="PTY67" s="291"/>
      <x:c r="PTZ67" s="291"/>
      <x:c r="PUA67" s="291"/>
      <x:c r="PUB67" s="291"/>
      <x:c r="PUC67" s="291"/>
      <x:c r="PUD67" s="291"/>
      <x:c r="PUE67" s="291"/>
      <x:c r="PUF67" s="291"/>
      <x:c r="PUG67" s="291"/>
      <x:c r="PUH67" s="291"/>
      <x:c r="PUI67" s="291"/>
      <x:c r="PUJ67" s="291"/>
      <x:c r="PUK67" s="291"/>
      <x:c r="PUL67" s="291"/>
      <x:c r="PUM67" s="291"/>
      <x:c r="PUN67" s="291"/>
      <x:c r="PUO67" s="291"/>
      <x:c r="PUP67" s="291"/>
      <x:c r="PUQ67" s="291"/>
      <x:c r="PUR67" s="291"/>
      <x:c r="PUS67" s="291"/>
      <x:c r="PUT67" s="291"/>
      <x:c r="PUU67" s="291"/>
      <x:c r="PUV67" s="291"/>
      <x:c r="PUW67" s="291"/>
      <x:c r="PUX67" s="291"/>
      <x:c r="PUY67" s="291"/>
      <x:c r="PUZ67" s="291"/>
      <x:c r="PVA67" s="291"/>
      <x:c r="PVB67" s="291"/>
      <x:c r="PVC67" s="291"/>
      <x:c r="PVD67" s="291"/>
      <x:c r="PVE67" s="291"/>
      <x:c r="PVF67" s="291"/>
      <x:c r="PVG67" s="291"/>
      <x:c r="PVH67" s="291"/>
      <x:c r="PVI67" s="291"/>
      <x:c r="PVJ67" s="291"/>
      <x:c r="PVK67" s="291"/>
      <x:c r="PVL67" s="291"/>
      <x:c r="PVM67" s="291"/>
      <x:c r="PVN67" s="291"/>
      <x:c r="PVO67" s="291"/>
      <x:c r="PVP67" s="291"/>
      <x:c r="PVQ67" s="291"/>
      <x:c r="PVR67" s="291"/>
      <x:c r="PVS67" s="291"/>
      <x:c r="PVT67" s="291"/>
      <x:c r="PVU67" s="291"/>
      <x:c r="PVV67" s="291"/>
      <x:c r="PVW67" s="291"/>
      <x:c r="PVX67" s="291"/>
      <x:c r="PVY67" s="291"/>
      <x:c r="PVZ67" s="291"/>
      <x:c r="PWA67" s="291"/>
      <x:c r="PWB67" s="291"/>
      <x:c r="PWC67" s="291"/>
      <x:c r="PWD67" s="291"/>
      <x:c r="PWE67" s="291"/>
      <x:c r="PWF67" s="291"/>
      <x:c r="PWG67" s="291"/>
      <x:c r="PWH67" s="291"/>
      <x:c r="PWI67" s="291"/>
      <x:c r="PWJ67" s="291"/>
      <x:c r="PWK67" s="291"/>
      <x:c r="PWL67" s="291"/>
      <x:c r="PWM67" s="291"/>
      <x:c r="PWN67" s="291"/>
      <x:c r="PWO67" s="291"/>
      <x:c r="PWP67" s="291"/>
      <x:c r="PWQ67" s="291"/>
      <x:c r="PWR67" s="291"/>
      <x:c r="PWS67" s="291"/>
      <x:c r="PWT67" s="291"/>
      <x:c r="PWU67" s="291"/>
      <x:c r="PWV67" s="291"/>
      <x:c r="PWW67" s="291"/>
      <x:c r="PWX67" s="291"/>
      <x:c r="PWY67" s="291"/>
      <x:c r="PWZ67" s="291"/>
      <x:c r="PXA67" s="291"/>
      <x:c r="PXB67" s="291"/>
      <x:c r="PXC67" s="291"/>
      <x:c r="PXD67" s="291"/>
      <x:c r="PXE67" s="291"/>
      <x:c r="PXF67" s="291"/>
      <x:c r="PXG67" s="291"/>
      <x:c r="PXH67" s="291"/>
      <x:c r="PXI67" s="291"/>
      <x:c r="PXJ67" s="291"/>
      <x:c r="PXK67" s="291"/>
      <x:c r="PXL67" s="291"/>
      <x:c r="PXM67" s="291"/>
      <x:c r="PXN67" s="291"/>
      <x:c r="PXO67" s="291"/>
      <x:c r="PXP67" s="291"/>
      <x:c r="PXQ67" s="291"/>
      <x:c r="PXR67" s="291"/>
      <x:c r="PXS67" s="291"/>
      <x:c r="PXT67" s="291"/>
      <x:c r="PXU67" s="291"/>
      <x:c r="PXV67" s="291"/>
      <x:c r="PXW67" s="291"/>
      <x:c r="PXX67" s="291"/>
      <x:c r="PXY67" s="291"/>
      <x:c r="PXZ67" s="291"/>
      <x:c r="PYA67" s="291"/>
      <x:c r="PYB67" s="291"/>
      <x:c r="PYC67" s="291"/>
      <x:c r="PYD67" s="291"/>
      <x:c r="PYE67" s="291"/>
      <x:c r="PYF67" s="291"/>
      <x:c r="PYG67" s="291"/>
      <x:c r="PYH67" s="291"/>
      <x:c r="PYI67" s="291"/>
      <x:c r="PYJ67" s="291"/>
      <x:c r="PYK67" s="291"/>
      <x:c r="PYL67" s="291"/>
      <x:c r="PYM67" s="291"/>
      <x:c r="PYN67" s="291"/>
      <x:c r="PYO67" s="291"/>
      <x:c r="PYP67" s="291"/>
      <x:c r="PYQ67" s="291"/>
      <x:c r="PYR67" s="291"/>
      <x:c r="PYS67" s="291"/>
      <x:c r="PYT67" s="291"/>
      <x:c r="PYU67" s="291"/>
      <x:c r="PYV67" s="291"/>
      <x:c r="PYW67" s="291"/>
      <x:c r="PYX67" s="291"/>
      <x:c r="PYY67" s="291"/>
      <x:c r="PYZ67" s="291"/>
      <x:c r="PZA67" s="291"/>
      <x:c r="PZB67" s="291"/>
      <x:c r="PZC67" s="291"/>
      <x:c r="PZD67" s="291"/>
      <x:c r="PZE67" s="291"/>
      <x:c r="PZF67" s="291"/>
      <x:c r="PZG67" s="291"/>
      <x:c r="PZH67" s="291"/>
      <x:c r="PZI67" s="291"/>
      <x:c r="PZJ67" s="291"/>
      <x:c r="PZK67" s="291"/>
      <x:c r="PZL67" s="291"/>
      <x:c r="PZM67" s="291"/>
      <x:c r="PZN67" s="291"/>
      <x:c r="PZO67" s="291"/>
      <x:c r="PZP67" s="291"/>
      <x:c r="PZQ67" s="291"/>
      <x:c r="PZR67" s="291"/>
      <x:c r="PZS67" s="291"/>
      <x:c r="PZT67" s="291"/>
      <x:c r="PZU67" s="291"/>
      <x:c r="PZV67" s="291"/>
      <x:c r="PZW67" s="291"/>
      <x:c r="PZX67" s="291"/>
      <x:c r="PZY67" s="291"/>
      <x:c r="PZZ67" s="291"/>
      <x:c r="QAA67" s="291"/>
      <x:c r="QAB67" s="291"/>
      <x:c r="QAC67" s="291"/>
      <x:c r="QAD67" s="291"/>
      <x:c r="QAE67" s="291"/>
      <x:c r="QAF67" s="291"/>
      <x:c r="QAG67" s="291"/>
      <x:c r="QAH67" s="291"/>
      <x:c r="QAI67" s="291"/>
      <x:c r="QAJ67" s="291"/>
      <x:c r="QAK67" s="291"/>
      <x:c r="QAL67" s="291"/>
      <x:c r="QAM67" s="291"/>
      <x:c r="QAN67" s="291"/>
      <x:c r="QAO67" s="291"/>
      <x:c r="QAP67" s="291"/>
      <x:c r="QAQ67" s="291"/>
      <x:c r="QAR67" s="291"/>
      <x:c r="QAS67" s="291"/>
      <x:c r="QAT67" s="291"/>
      <x:c r="QAU67" s="291"/>
      <x:c r="QAV67" s="291"/>
      <x:c r="QAW67" s="291"/>
      <x:c r="QAX67" s="291"/>
      <x:c r="QAY67" s="291"/>
      <x:c r="QAZ67" s="291"/>
      <x:c r="QBA67" s="291"/>
      <x:c r="QBB67" s="291"/>
      <x:c r="QBC67" s="291"/>
      <x:c r="QBD67" s="291"/>
      <x:c r="QBE67" s="291"/>
      <x:c r="QBF67" s="291"/>
      <x:c r="QBG67" s="291"/>
      <x:c r="QBH67" s="291"/>
      <x:c r="QBI67" s="291"/>
      <x:c r="QBJ67" s="291"/>
      <x:c r="QBK67" s="291"/>
      <x:c r="QBL67" s="291"/>
      <x:c r="QBM67" s="291"/>
      <x:c r="QBN67" s="291"/>
      <x:c r="QBO67" s="291"/>
      <x:c r="QBP67" s="291"/>
      <x:c r="QBQ67" s="291"/>
      <x:c r="QBR67" s="291"/>
      <x:c r="QBS67" s="291"/>
      <x:c r="QBT67" s="291"/>
      <x:c r="QBU67" s="291"/>
      <x:c r="QBV67" s="291"/>
      <x:c r="QBW67" s="291"/>
      <x:c r="QBX67" s="291"/>
      <x:c r="QBY67" s="291"/>
      <x:c r="QBZ67" s="291"/>
      <x:c r="QCA67" s="291"/>
      <x:c r="QCB67" s="291"/>
      <x:c r="QCC67" s="291"/>
      <x:c r="QCD67" s="291"/>
      <x:c r="QCE67" s="291"/>
      <x:c r="QCF67" s="291"/>
      <x:c r="QCG67" s="291"/>
      <x:c r="QCH67" s="291"/>
      <x:c r="QCI67" s="291"/>
      <x:c r="QCJ67" s="291"/>
      <x:c r="QCK67" s="291"/>
      <x:c r="QCL67" s="291"/>
      <x:c r="QCM67" s="291"/>
      <x:c r="QCN67" s="291"/>
      <x:c r="QCO67" s="291"/>
      <x:c r="QCP67" s="291"/>
      <x:c r="QCQ67" s="291"/>
      <x:c r="QCR67" s="291"/>
      <x:c r="QCS67" s="291"/>
      <x:c r="QCT67" s="291"/>
      <x:c r="QCU67" s="291"/>
      <x:c r="QCV67" s="291"/>
      <x:c r="QCW67" s="291"/>
      <x:c r="QCX67" s="291"/>
      <x:c r="QCY67" s="291"/>
      <x:c r="QCZ67" s="291"/>
      <x:c r="QDA67" s="291"/>
      <x:c r="QDB67" s="291"/>
      <x:c r="QDC67" s="291"/>
      <x:c r="QDD67" s="291"/>
      <x:c r="QDE67" s="291"/>
      <x:c r="QDF67" s="291"/>
      <x:c r="QDG67" s="291"/>
      <x:c r="QDH67" s="291"/>
      <x:c r="QDI67" s="291"/>
      <x:c r="QDJ67" s="291"/>
      <x:c r="QDK67" s="291"/>
      <x:c r="QDL67" s="291"/>
      <x:c r="QDM67" s="291"/>
      <x:c r="QDN67" s="291"/>
      <x:c r="QDO67" s="291"/>
      <x:c r="QDP67" s="291"/>
      <x:c r="QDQ67" s="291"/>
      <x:c r="QDR67" s="291"/>
      <x:c r="QDS67" s="291"/>
      <x:c r="QDT67" s="291"/>
      <x:c r="QDU67" s="291"/>
      <x:c r="QDV67" s="291"/>
      <x:c r="QDW67" s="291"/>
      <x:c r="QDX67" s="291"/>
      <x:c r="QDY67" s="291"/>
      <x:c r="QDZ67" s="291"/>
      <x:c r="QEA67" s="291"/>
      <x:c r="QEB67" s="291"/>
      <x:c r="QEC67" s="291"/>
      <x:c r="QED67" s="291"/>
      <x:c r="QEE67" s="291"/>
      <x:c r="QEF67" s="291"/>
      <x:c r="QEG67" s="291"/>
      <x:c r="QEH67" s="291"/>
      <x:c r="QEI67" s="291"/>
      <x:c r="QEJ67" s="291"/>
      <x:c r="QEK67" s="291"/>
      <x:c r="QEL67" s="291"/>
      <x:c r="QEM67" s="291"/>
      <x:c r="QEN67" s="291"/>
      <x:c r="QEO67" s="291"/>
      <x:c r="QEP67" s="291"/>
      <x:c r="QEQ67" s="291"/>
      <x:c r="QER67" s="291"/>
      <x:c r="QES67" s="291"/>
      <x:c r="QET67" s="291"/>
      <x:c r="QEU67" s="291"/>
      <x:c r="QEV67" s="291"/>
      <x:c r="QEW67" s="291"/>
      <x:c r="QEX67" s="291"/>
      <x:c r="QEY67" s="291"/>
      <x:c r="QEZ67" s="291"/>
      <x:c r="QFA67" s="291"/>
      <x:c r="QFB67" s="291"/>
      <x:c r="QFC67" s="291"/>
      <x:c r="QFD67" s="291"/>
      <x:c r="QFE67" s="291"/>
      <x:c r="QFF67" s="291"/>
      <x:c r="QFG67" s="291"/>
      <x:c r="QFH67" s="291"/>
      <x:c r="QFI67" s="291"/>
      <x:c r="QFJ67" s="291"/>
      <x:c r="QFK67" s="291"/>
      <x:c r="QFL67" s="291"/>
      <x:c r="QFM67" s="291"/>
      <x:c r="QFN67" s="291"/>
      <x:c r="QFO67" s="291"/>
      <x:c r="QFP67" s="291"/>
      <x:c r="QFQ67" s="291"/>
      <x:c r="QFR67" s="291"/>
      <x:c r="QFS67" s="291"/>
      <x:c r="QFT67" s="291"/>
      <x:c r="QFU67" s="291"/>
      <x:c r="QFV67" s="291"/>
      <x:c r="QFW67" s="291"/>
      <x:c r="QFX67" s="291"/>
      <x:c r="QFY67" s="291"/>
      <x:c r="QFZ67" s="291"/>
      <x:c r="QGA67" s="291"/>
      <x:c r="QGB67" s="291"/>
      <x:c r="QGC67" s="291"/>
      <x:c r="QGD67" s="291"/>
      <x:c r="QGE67" s="291"/>
      <x:c r="QGF67" s="291"/>
      <x:c r="QGG67" s="291"/>
      <x:c r="QGH67" s="291"/>
      <x:c r="QGI67" s="291"/>
      <x:c r="QGJ67" s="291"/>
      <x:c r="QGK67" s="291"/>
      <x:c r="QGL67" s="291"/>
      <x:c r="QGM67" s="291"/>
      <x:c r="QGN67" s="291"/>
      <x:c r="QGO67" s="291"/>
      <x:c r="QGP67" s="291"/>
      <x:c r="QGQ67" s="291"/>
      <x:c r="QGR67" s="291"/>
      <x:c r="QGS67" s="291"/>
      <x:c r="QGT67" s="291"/>
      <x:c r="QGU67" s="291"/>
      <x:c r="QGV67" s="291"/>
      <x:c r="QGW67" s="291"/>
      <x:c r="QGX67" s="291"/>
      <x:c r="QGY67" s="291"/>
      <x:c r="QGZ67" s="291"/>
      <x:c r="QHA67" s="291"/>
      <x:c r="QHB67" s="291"/>
      <x:c r="QHC67" s="291"/>
      <x:c r="QHD67" s="291"/>
      <x:c r="QHE67" s="291"/>
      <x:c r="QHF67" s="291"/>
      <x:c r="QHG67" s="291"/>
      <x:c r="QHH67" s="291"/>
      <x:c r="QHI67" s="291"/>
      <x:c r="QHJ67" s="291"/>
      <x:c r="QHK67" s="291"/>
      <x:c r="QHL67" s="291"/>
      <x:c r="QHM67" s="291"/>
      <x:c r="QHN67" s="291"/>
      <x:c r="QHO67" s="291"/>
      <x:c r="QHP67" s="291"/>
      <x:c r="QHQ67" s="291"/>
      <x:c r="QHR67" s="291"/>
      <x:c r="QHS67" s="291"/>
      <x:c r="QHT67" s="291"/>
      <x:c r="QHU67" s="291"/>
      <x:c r="QHV67" s="291"/>
      <x:c r="QHW67" s="291"/>
      <x:c r="QHX67" s="291"/>
      <x:c r="QHY67" s="291"/>
      <x:c r="QHZ67" s="291"/>
      <x:c r="QIA67" s="291"/>
      <x:c r="QIB67" s="291"/>
      <x:c r="QIC67" s="291"/>
      <x:c r="QID67" s="291"/>
      <x:c r="QIE67" s="291"/>
      <x:c r="QIF67" s="291"/>
      <x:c r="QIG67" s="291"/>
      <x:c r="QIH67" s="291"/>
      <x:c r="QII67" s="291"/>
      <x:c r="QIJ67" s="291"/>
      <x:c r="QIK67" s="291"/>
      <x:c r="QIL67" s="291"/>
      <x:c r="QIM67" s="291"/>
      <x:c r="QIN67" s="291"/>
      <x:c r="QIO67" s="291"/>
      <x:c r="QIP67" s="291"/>
      <x:c r="QIQ67" s="291"/>
      <x:c r="QIR67" s="291"/>
      <x:c r="QIS67" s="291"/>
      <x:c r="QIT67" s="291"/>
      <x:c r="QIU67" s="291"/>
      <x:c r="QIV67" s="291"/>
      <x:c r="QIW67" s="291"/>
      <x:c r="QIX67" s="291"/>
      <x:c r="QIY67" s="291"/>
      <x:c r="QIZ67" s="291"/>
      <x:c r="QJA67" s="291"/>
      <x:c r="QJB67" s="291"/>
      <x:c r="QJC67" s="291"/>
      <x:c r="QJD67" s="291"/>
      <x:c r="QJE67" s="291"/>
      <x:c r="QJF67" s="291"/>
      <x:c r="QJG67" s="291"/>
      <x:c r="QJH67" s="291"/>
      <x:c r="QJI67" s="291"/>
      <x:c r="QJJ67" s="291"/>
      <x:c r="QJK67" s="291"/>
      <x:c r="QJL67" s="291"/>
      <x:c r="QJM67" s="291"/>
      <x:c r="QJN67" s="291"/>
      <x:c r="QJO67" s="291"/>
      <x:c r="QJP67" s="291"/>
      <x:c r="QJQ67" s="291"/>
      <x:c r="QJR67" s="291"/>
      <x:c r="QJS67" s="291"/>
      <x:c r="QJT67" s="291"/>
      <x:c r="QJU67" s="291"/>
      <x:c r="QJV67" s="291"/>
      <x:c r="QJW67" s="291"/>
      <x:c r="QJX67" s="291"/>
      <x:c r="QJY67" s="291"/>
      <x:c r="QJZ67" s="291"/>
      <x:c r="QKA67" s="291"/>
      <x:c r="QKB67" s="291"/>
      <x:c r="QKC67" s="291"/>
      <x:c r="QKD67" s="291"/>
      <x:c r="QKE67" s="291"/>
      <x:c r="QKF67" s="291"/>
      <x:c r="QKG67" s="291"/>
      <x:c r="QKH67" s="291"/>
      <x:c r="QKI67" s="291"/>
      <x:c r="QKJ67" s="291"/>
      <x:c r="QKK67" s="291"/>
      <x:c r="QKL67" s="291"/>
      <x:c r="QKM67" s="291"/>
      <x:c r="QKN67" s="291"/>
      <x:c r="QKO67" s="291"/>
      <x:c r="QKP67" s="291"/>
      <x:c r="QKQ67" s="291"/>
      <x:c r="QKR67" s="291"/>
      <x:c r="QKS67" s="291"/>
      <x:c r="QKT67" s="291"/>
      <x:c r="QKU67" s="291"/>
      <x:c r="QKV67" s="291"/>
      <x:c r="QKW67" s="291"/>
      <x:c r="QKX67" s="291"/>
      <x:c r="QKY67" s="291"/>
      <x:c r="QKZ67" s="291"/>
      <x:c r="QLA67" s="291"/>
      <x:c r="QLB67" s="291"/>
      <x:c r="QLC67" s="291"/>
      <x:c r="QLD67" s="291"/>
      <x:c r="QLE67" s="291"/>
      <x:c r="QLF67" s="291"/>
      <x:c r="QLG67" s="291"/>
      <x:c r="QLH67" s="291"/>
      <x:c r="QLI67" s="291"/>
      <x:c r="QLJ67" s="291"/>
      <x:c r="QLK67" s="291"/>
      <x:c r="QLL67" s="291"/>
      <x:c r="QLM67" s="291"/>
      <x:c r="QLN67" s="291"/>
      <x:c r="QLO67" s="291"/>
      <x:c r="QLP67" s="291"/>
      <x:c r="QLQ67" s="291"/>
      <x:c r="QLR67" s="291"/>
      <x:c r="QLS67" s="291"/>
      <x:c r="QLT67" s="291"/>
      <x:c r="QLU67" s="291"/>
      <x:c r="QLV67" s="291"/>
      <x:c r="QLW67" s="291"/>
      <x:c r="QLX67" s="291"/>
      <x:c r="QLY67" s="291"/>
      <x:c r="QLZ67" s="291"/>
      <x:c r="QMA67" s="291"/>
      <x:c r="QMB67" s="291"/>
      <x:c r="QMC67" s="291"/>
      <x:c r="QMD67" s="291"/>
      <x:c r="QME67" s="291"/>
      <x:c r="QMF67" s="291"/>
      <x:c r="QMG67" s="291"/>
      <x:c r="QMH67" s="291"/>
      <x:c r="QMI67" s="291"/>
      <x:c r="QMJ67" s="291"/>
      <x:c r="QMK67" s="291"/>
      <x:c r="QML67" s="291"/>
      <x:c r="QMM67" s="291"/>
      <x:c r="QMN67" s="291"/>
      <x:c r="QMO67" s="291"/>
      <x:c r="QMP67" s="291"/>
      <x:c r="QMQ67" s="291"/>
      <x:c r="QMR67" s="291"/>
      <x:c r="QMS67" s="291"/>
      <x:c r="QMT67" s="291"/>
      <x:c r="QMU67" s="291"/>
      <x:c r="QMV67" s="291"/>
      <x:c r="QMW67" s="291"/>
      <x:c r="QMX67" s="291"/>
      <x:c r="QMY67" s="291"/>
      <x:c r="QMZ67" s="291"/>
      <x:c r="QNA67" s="291"/>
      <x:c r="QNB67" s="291"/>
      <x:c r="QNC67" s="291"/>
      <x:c r="QND67" s="291"/>
      <x:c r="QNE67" s="291"/>
      <x:c r="QNF67" s="291"/>
      <x:c r="QNG67" s="291"/>
      <x:c r="QNH67" s="291"/>
      <x:c r="QNI67" s="291"/>
      <x:c r="QNJ67" s="291"/>
      <x:c r="QNK67" s="291"/>
      <x:c r="QNL67" s="291"/>
      <x:c r="QNM67" s="291"/>
      <x:c r="QNN67" s="291"/>
      <x:c r="QNO67" s="291"/>
      <x:c r="QNP67" s="291"/>
      <x:c r="QNQ67" s="291"/>
      <x:c r="QNR67" s="291"/>
      <x:c r="QNS67" s="291"/>
      <x:c r="QNT67" s="291"/>
      <x:c r="QNU67" s="291"/>
      <x:c r="QNV67" s="291"/>
      <x:c r="QNW67" s="291"/>
      <x:c r="QNX67" s="291"/>
      <x:c r="QNY67" s="291"/>
      <x:c r="QNZ67" s="291"/>
      <x:c r="QOA67" s="291"/>
      <x:c r="QOB67" s="291"/>
      <x:c r="QOC67" s="291"/>
      <x:c r="QOD67" s="291"/>
      <x:c r="QOE67" s="291"/>
      <x:c r="QOF67" s="291"/>
      <x:c r="QOG67" s="291"/>
      <x:c r="QOH67" s="291"/>
      <x:c r="QOI67" s="291"/>
      <x:c r="QOJ67" s="291"/>
      <x:c r="QOK67" s="291"/>
      <x:c r="QOL67" s="291"/>
      <x:c r="QOM67" s="291"/>
      <x:c r="QON67" s="291"/>
      <x:c r="QOO67" s="291"/>
      <x:c r="QOP67" s="291"/>
      <x:c r="QOQ67" s="291"/>
      <x:c r="QOR67" s="291"/>
      <x:c r="QOS67" s="291"/>
      <x:c r="QOT67" s="291"/>
      <x:c r="QOU67" s="291"/>
      <x:c r="QOV67" s="291"/>
      <x:c r="QOW67" s="291"/>
      <x:c r="QOX67" s="291"/>
      <x:c r="QOY67" s="291"/>
      <x:c r="QOZ67" s="291"/>
      <x:c r="QPA67" s="291"/>
      <x:c r="QPB67" s="291"/>
      <x:c r="QPC67" s="291"/>
      <x:c r="QPD67" s="291"/>
      <x:c r="QPE67" s="291"/>
      <x:c r="QPF67" s="291"/>
      <x:c r="QPG67" s="291"/>
      <x:c r="QPH67" s="291"/>
      <x:c r="QPI67" s="291"/>
      <x:c r="QPJ67" s="291"/>
      <x:c r="QPK67" s="291"/>
      <x:c r="QPL67" s="291"/>
      <x:c r="QPM67" s="291"/>
      <x:c r="QPN67" s="291"/>
      <x:c r="QPO67" s="291"/>
      <x:c r="QPP67" s="291"/>
      <x:c r="QPQ67" s="291"/>
      <x:c r="QPR67" s="291"/>
      <x:c r="QPS67" s="291"/>
      <x:c r="QPT67" s="291"/>
      <x:c r="QPU67" s="291"/>
      <x:c r="QPV67" s="291"/>
      <x:c r="QPW67" s="291"/>
      <x:c r="QPX67" s="291"/>
      <x:c r="QPY67" s="291"/>
      <x:c r="QPZ67" s="291"/>
      <x:c r="QQA67" s="291"/>
      <x:c r="QQB67" s="291"/>
      <x:c r="QQC67" s="291"/>
      <x:c r="QQD67" s="291"/>
      <x:c r="QQE67" s="291"/>
      <x:c r="QQF67" s="291"/>
      <x:c r="QQG67" s="291"/>
      <x:c r="QQH67" s="291"/>
      <x:c r="QQI67" s="291"/>
      <x:c r="QQJ67" s="291"/>
      <x:c r="QQK67" s="291"/>
      <x:c r="QQL67" s="291"/>
      <x:c r="QQM67" s="291"/>
      <x:c r="QQN67" s="291"/>
      <x:c r="QQO67" s="291"/>
      <x:c r="QQP67" s="291"/>
      <x:c r="QQQ67" s="291"/>
      <x:c r="QQR67" s="291"/>
      <x:c r="QQS67" s="291"/>
      <x:c r="QQT67" s="291"/>
      <x:c r="QQU67" s="291"/>
      <x:c r="QQV67" s="291"/>
      <x:c r="QQW67" s="291"/>
      <x:c r="QQX67" s="291"/>
      <x:c r="QQY67" s="291"/>
      <x:c r="QQZ67" s="291"/>
      <x:c r="QRA67" s="291"/>
      <x:c r="QRB67" s="291"/>
      <x:c r="QRC67" s="291"/>
      <x:c r="QRD67" s="291"/>
      <x:c r="QRE67" s="291"/>
      <x:c r="QRF67" s="291"/>
      <x:c r="QRG67" s="291"/>
      <x:c r="QRH67" s="291"/>
      <x:c r="QRI67" s="291"/>
      <x:c r="QRJ67" s="291"/>
      <x:c r="QRK67" s="291"/>
      <x:c r="QRL67" s="291"/>
      <x:c r="QRM67" s="291"/>
      <x:c r="QRN67" s="291"/>
      <x:c r="QRO67" s="291"/>
      <x:c r="QRP67" s="291"/>
      <x:c r="QRQ67" s="291"/>
      <x:c r="QRR67" s="291"/>
      <x:c r="QRS67" s="291"/>
      <x:c r="QRT67" s="291"/>
      <x:c r="QRU67" s="291"/>
      <x:c r="QRV67" s="291"/>
      <x:c r="QRW67" s="291"/>
      <x:c r="QRX67" s="291"/>
      <x:c r="QRY67" s="291"/>
      <x:c r="QRZ67" s="291"/>
      <x:c r="QSA67" s="291"/>
      <x:c r="QSB67" s="291"/>
      <x:c r="QSC67" s="291"/>
      <x:c r="QSD67" s="291"/>
      <x:c r="QSE67" s="291"/>
      <x:c r="QSF67" s="291"/>
      <x:c r="QSG67" s="291"/>
      <x:c r="QSH67" s="291"/>
      <x:c r="QSI67" s="291"/>
      <x:c r="QSJ67" s="291"/>
      <x:c r="QSK67" s="291"/>
      <x:c r="QSL67" s="291"/>
      <x:c r="QSM67" s="291"/>
      <x:c r="QSN67" s="291"/>
      <x:c r="QSO67" s="291"/>
      <x:c r="QSP67" s="291"/>
      <x:c r="QSQ67" s="291"/>
      <x:c r="QSR67" s="291"/>
      <x:c r="QSS67" s="291"/>
      <x:c r="QST67" s="291"/>
      <x:c r="QSU67" s="291"/>
      <x:c r="QSV67" s="291"/>
      <x:c r="QSW67" s="291"/>
      <x:c r="QSX67" s="291"/>
      <x:c r="QSY67" s="291"/>
      <x:c r="QSZ67" s="291"/>
      <x:c r="QTA67" s="291"/>
      <x:c r="QTB67" s="291"/>
      <x:c r="QTC67" s="291"/>
      <x:c r="QTD67" s="291"/>
      <x:c r="QTE67" s="291"/>
      <x:c r="QTF67" s="291"/>
      <x:c r="QTG67" s="291"/>
      <x:c r="QTH67" s="291"/>
      <x:c r="QTI67" s="291"/>
      <x:c r="QTJ67" s="291"/>
      <x:c r="QTK67" s="291"/>
      <x:c r="QTL67" s="291"/>
      <x:c r="QTM67" s="291"/>
      <x:c r="QTN67" s="291"/>
      <x:c r="QTO67" s="291"/>
      <x:c r="QTP67" s="291"/>
      <x:c r="QTQ67" s="291"/>
      <x:c r="QTR67" s="291"/>
      <x:c r="QTS67" s="291"/>
      <x:c r="QTT67" s="291"/>
      <x:c r="QTU67" s="291"/>
      <x:c r="QTV67" s="291"/>
      <x:c r="QTW67" s="291"/>
      <x:c r="QTX67" s="291"/>
      <x:c r="QTY67" s="291"/>
      <x:c r="QTZ67" s="291"/>
      <x:c r="QUA67" s="291"/>
      <x:c r="QUB67" s="291"/>
      <x:c r="QUC67" s="291"/>
      <x:c r="QUD67" s="291"/>
      <x:c r="QUE67" s="291"/>
      <x:c r="QUF67" s="291"/>
      <x:c r="QUG67" s="291"/>
      <x:c r="QUH67" s="291"/>
      <x:c r="QUI67" s="291"/>
      <x:c r="QUJ67" s="291"/>
      <x:c r="QUK67" s="291"/>
      <x:c r="QUL67" s="291"/>
      <x:c r="QUM67" s="291"/>
      <x:c r="QUN67" s="291"/>
      <x:c r="QUO67" s="291"/>
      <x:c r="QUP67" s="291"/>
      <x:c r="QUQ67" s="291"/>
      <x:c r="QUR67" s="291"/>
      <x:c r="QUS67" s="291"/>
      <x:c r="QUT67" s="291"/>
      <x:c r="QUU67" s="291"/>
      <x:c r="QUV67" s="291"/>
      <x:c r="QUW67" s="291"/>
      <x:c r="QUX67" s="291"/>
      <x:c r="QUY67" s="291"/>
      <x:c r="QUZ67" s="291"/>
      <x:c r="QVA67" s="291"/>
      <x:c r="QVB67" s="291"/>
      <x:c r="QVC67" s="291"/>
      <x:c r="QVD67" s="291"/>
      <x:c r="QVE67" s="291"/>
      <x:c r="QVF67" s="291"/>
      <x:c r="QVG67" s="291"/>
      <x:c r="QVH67" s="291"/>
      <x:c r="QVI67" s="291"/>
      <x:c r="QVJ67" s="291"/>
      <x:c r="QVK67" s="291"/>
      <x:c r="QVL67" s="291"/>
      <x:c r="QVM67" s="291"/>
      <x:c r="QVN67" s="291"/>
      <x:c r="QVO67" s="291"/>
      <x:c r="QVP67" s="291"/>
      <x:c r="QVQ67" s="291"/>
      <x:c r="QVR67" s="291"/>
      <x:c r="QVS67" s="291"/>
      <x:c r="QVT67" s="291"/>
      <x:c r="QVU67" s="291"/>
      <x:c r="QVV67" s="291"/>
      <x:c r="QVW67" s="291"/>
      <x:c r="QVX67" s="291"/>
      <x:c r="QVY67" s="291"/>
      <x:c r="QVZ67" s="291"/>
      <x:c r="QWA67" s="291"/>
      <x:c r="QWB67" s="291"/>
      <x:c r="QWC67" s="291"/>
      <x:c r="QWD67" s="291"/>
      <x:c r="QWE67" s="291"/>
      <x:c r="QWF67" s="291"/>
      <x:c r="QWG67" s="291"/>
      <x:c r="QWH67" s="291"/>
      <x:c r="QWI67" s="291"/>
      <x:c r="QWJ67" s="291"/>
      <x:c r="QWK67" s="291"/>
      <x:c r="QWL67" s="291"/>
      <x:c r="QWM67" s="291"/>
      <x:c r="QWN67" s="291"/>
      <x:c r="QWO67" s="291"/>
      <x:c r="QWP67" s="291"/>
      <x:c r="QWQ67" s="291"/>
      <x:c r="QWR67" s="291"/>
      <x:c r="QWS67" s="291"/>
      <x:c r="QWT67" s="291"/>
      <x:c r="QWU67" s="291"/>
      <x:c r="QWV67" s="291"/>
      <x:c r="QWW67" s="291"/>
      <x:c r="QWX67" s="291"/>
      <x:c r="QWY67" s="291"/>
      <x:c r="QWZ67" s="291"/>
      <x:c r="QXA67" s="291"/>
      <x:c r="QXB67" s="291"/>
      <x:c r="QXC67" s="291"/>
      <x:c r="QXD67" s="291"/>
      <x:c r="QXE67" s="291"/>
      <x:c r="QXF67" s="291"/>
      <x:c r="QXG67" s="291"/>
      <x:c r="QXH67" s="291"/>
      <x:c r="QXI67" s="291"/>
      <x:c r="QXJ67" s="291"/>
      <x:c r="QXK67" s="291"/>
      <x:c r="QXL67" s="291"/>
      <x:c r="QXM67" s="291"/>
      <x:c r="QXN67" s="291"/>
      <x:c r="QXO67" s="291"/>
      <x:c r="QXP67" s="291"/>
      <x:c r="QXQ67" s="291"/>
      <x:c r="QXR67" s="291"/>
      <x:c r="QXS67" s="291"/>
      <x:c r="QXT67" s="291"/>
      <x:c r="QXU67" s="291"/>
      <x:c r="QXV67" s="291"/>
      <x:c r="QXW67" s="291"/>
      <x:c r="QXX67" s="291"/>
      <x:c r="QXY67" s="291"/>
      <x:c r="QXZ67" s="291"/>
      <x:c r="QYA67" s="291"/>
      <x:c r="QYB67" s="291"/>
      <x:c r="QYC67" s="291"/>
      <x:c r="QYD67" s="291"/>
      <x:c r="QYE67" s="291"/>
      <x:c r="QYF67" s="291"/>
      <x:c r="QYG67" s="291"/>
      <x:c r="QYH67" s="291"/>
      <x:c r="QYI67" s="291"/>
      <x:c r="QYJ67" s="291"/>
      <x:c r="QYK67" s="291"/>
      <x:c r="QYL67" s="291"/>
      <x:c r="QYM67" s="291"/>
      <x:c r="QYN67" s="291"/>
      <x:c r="QYO67" s="291"/>
      <x:c r="QYP67" s="291"/>
      <x:c r="QYQ67" s="291"/>
      <x:c r="QYR67" s="291"/>
      <x:c r="QYS67" s="291"/>
      <x:c r="QYT67" s="291"/>
      <x:c r="QYU67" s="291"/>
      <x:c r="QYV67" s="291"/>
      <x:c r="QYW67" s="291"/>
      <x:c r="QYX67" s="291"/>
      <x:c r="QYY67" s="291"/>
      <x:c r="QYZ67" s="291"/>
      <x:c r="QZA67" s="291"/>
      <x:c r="QZB67" s="291"/>
      <x:c r="QZC67" s="291"/>
      <x:c r="QZD67" s="291"/>
      <x:c r="QZE67" s="291"/>
      <x:c r="QZF67" s="291"/>
      <x:c r="QZG67" s="291"/>
      <x:c r="QZH67" s="291"/>
      <x:c r="QZI67" s="291"/>
      <x:c r="QZJ67" s="291"/>
      <x:c r="QZK67" s="291"/>
      <x:c r="QZL67" s="291"/>
      <x:c r="QZM67" s="291"/>
      <x:c r="QZN67" s="291"/>
      <x:c r="QZO67" s="291"/>
      <x:c r="QZP67" s="291"/>
      <x:c r="QZQ67" s="291"/>
      <x:c r="QZR67" s="291"/>
      <x:c r="QZS67" s="291"/>
      <x:c r="QZT67" s="291"/>
      <x:c r="QZU67" s="291"/>
      <x:c r="QZV67" s="291"/>
      <x:c r="QZW67" s="291"/>
      <x:c r="QZX67" s="291"/>
      <x:c r="QZY67" s="291"/>
      <x:c r="QZZ67" s="291"/>
      <x:c r="RAA67" s="291"/>
      <x:c r="RAB67" s="291"/>
      <x:c r="RAC67" s="291"/>
      <x:c r="RAD67" s="291"/>
      <x:c r="RAE67" s="291"/>
      <x:c r="RAF67" s="291"/>
      <x:c r="RAG67" s="291"/>
      <x:c r="RAH67" s="291"/>
      <x:c r="RAI67" s="291"/>
      <x:c r="RAJ67" s="291"/>
      <x:c r="RAK67" s="291"/>
      <x:c r="RAL67" s="291"/>
      <x:c r="RAM67" s="291"/>
      <x:c r="RAN67" s="291"/>
      <x:c r="RAO67" s="291"/>
      <x:c r="RAP67" s="291"/>
      <x:c r="RAQ67" s="291"/>
      <x:c r="RAR67" s="291"/>
      <x:c r="RAS67" s="291"/>
      <x:c r="RAT67" s="291"/>
      <x:c r="RAU67" s="291"/>
      <x:c r="RAV67" s="291"/>
      <x:c r="RAW67" s="291"/>
      <x:c r="RAX67" s="291"/>
      <x:c r="RAY67" s="291"/>
      <x:c r="RAZ67" s="291"/>
      <x:c r="RBA67" s="291"/>
      <x:c r="RBB67" s="291"/>
      <x:c r="RBC67" s="291"/>
      <x:c r="RBD67" s="291"/>
      <x:c r="RBE67" s="291"/>
      <x:c r="RBF67" s="291"/>
      <x:c r="RBG67" s="291"/>
      <x:c r="RBH67" s="291"/>
      <x:c r="RBI67" s="291"/>
      <x:c r="RBJ67" s="291"/>
      <x:c r="RBK67" s="291"/>
      <x:c r="RBL67" s="291"/>
      <x:c r="RBM67" s="291"/>
      <x:c r="RBN67" s="291"/>
      <x:c r="RBO67" s="291"/>
      <x:c r="RBP67" s="291"/>
      <x:c r="RBQ67" s="291"/>
      <x:c r="RBR67" s="291"/>
      <x:c r="RBS67" s="291"/>
      <x:c r="RBT67" s="291"/>
      <x:c r="RBU67" s="291"/>
      <x:c r="RBV67" s="291"/>
      <x:c r="RBW67" s="291"/>
      <x:c r="RBX67" s="291"/>
      <x:c r="RBY67" s="291"/>
      <x:c r="RBZ67" s="291"/>
      <x:c r="RCA67" s="291"/>
      <x:c r="RCB67" s="291"/>
      <x:c r="RCC67" s="291"/>
      <x:c r="RCD67" s="291"/>
      <x:c r="RCE67" s="291"/>
      <x:c r="RCF67" s="291"/>
      <x:c r="RCG67" s="291"/>
      <x:c r="RCH67" s="291"/>
      <x:c r="RCI67" s="291"/>
      <x:c r="RCJ67" s="291"/>
      <x:c r="RCK67" s="291"/>
      <x:c r="RCL67" s="291"/>
      <x:c r="RCM67" s="291"/>
      <x:c r="RCN67" s="291"/>
      <x:c r="RCO67" s="291"/>
      <x:c r="RCP67" s="291"/>
      <x:c r="RCQ67" s="291"/>
      <x:c r="RCR67" s="291"/>
      <x:c r="RCS67" s="291"/>
      <x:c r="RCT67" s="291"/>
      <x:c r="RCU67" s="291"/>
      <x:c r="RCV67" s="291"/>
      <x:c r="RCW67" s="291"/>
      <x:c r="RCX67" s="291"/>
      <x:c r="RCY67" s="291"/>
      <x:c r="RCZ67" s="291"/>
      <x:c r="RDA67" s="291"/>
      <x:c r="RDB67" s="291"/>
      <x:c r="RDC67" s="291"/>
      <x:c r="RDD67" s="291"/>
      <x:c r="RDE67" s="291"/>
      <x:c r="RDF67" s="291"/>
      <x:c r="RDG67" s="291"/>
      <x:c r="RDH67" s="291"/>
      <x:c r="RDI67" s="291"/>
      <x:c r="RDJ67" s="291"/>
      <x:c r="RDK67" s="291"/>
      <x:c r="RDL67" s="291"/>
      <x:c r="RDM67" s="291"/>
      <x:c r="RDN67" s="291"/>
      <x:c r="RDO67" s="291"/>
      <x:c r="RDP67" s="291"/>
      <x:c r="RDQ67" s="291"/>
      <x:c r="RDR67" s="291"/>
      <x:c r="RDS67" s="291"/>
      <x:c r="RDT67" s="291"/>
      <x:c r="RDU67" s="291"/>
      <x:c r="RDV67" s="291"/>
      <x:c r="RDW67" s="291"/>
      <x:c r="RDX67" s="291"/>
      <x:c r="RDY67" s="291"/>
      <x:c r="RDZ67" s="291"/>
      <x:c r="REA67" s="291"/>
      <x:c r="REB67" s="291"/>
      <x:c r="REC67" s="291"/>
      <x:c r="RED67" s="291"/>
      <x:c r="REE67" s="291"/>
      <x:c r="REF67" s="291"/>
      <x:c r="REG67" s="291"/>
      <x:c r="REH67" s="291"/>
      <x:c r="REI67" s="291"/>
      <x:c r="REJ67" s="291"/>
      <x:c r="REK67" s="291"/>
      <x:c r="REL67" s="291"/>
      <x:c r="REM67" s="291"/>
      <x:c r="REN67" s="291"/>
      <x:c r="REO67" s="291"/>
      <x:c r="REP67" s="291"/>
      <x:c r="REQ67" s="291"/>
      <x:c r="RER67" s="291"/>
      <x:c r="RES67" s="291"/>
      <x:c r="RET67" s="291"/>
      <x:c r="REU67" s="291"/>
      <x:c r="REV67" s="291"/>
      <x:c r="REW67" s="291"/>
      <x:c r="REX67" s="291"/>
      <x:c r="REY67" s="291"/>
      <x:c r="REZ67" s="291"/>
      <x:c r="RFA67" s="291"/>
      <x:c r="RFB67" s="291"/>
      <x:c r="RFC67" s="291"/>
      <x:c r="RFD67" s="291"/>
      <x:c r="RFE67" s="291"/>
      <x:c r="RFF67" s="291"/>
      <x:c r="RFG67" s="291"/>
      <x:c r="RFH67" s="291"/>
      <x:c r="RFI67" s="291"/>
      <x:c r="RFJ67" s="291"/>
      <x:c r="RFK67" s="291"/>
      <x:c r="RFL67" s="291"/>
      <x:c r="RFM67" s="291"/>
      <x:c r="RFN67" s="291"/>
      <x:c r="RFO67" s="291"/>
      <x:c r="RFP67" s="291"/>
      <x:c r="RFQ67" s="291"/>
      <x:c r="RFR67" s="291"/>
      <x:c r="RFS67" s="291"/>
      <x:c r="RFT67" s="291"/>
      <x:c r="RFU67" s="291"/>
      <x:c r="RFV67" s="291"/>
      <x:c r="RFW67" s="291"/>
      <x:c r="RFX67" s="291"/>
      <x:c r="RFY67" s="291"/>
      <x:c r="RFZ67" s="291"/>
      <x:c r="RGA67" s="291"/>
      <x:c r="RGB67" s="291"/>
      <x:c r="RGC67" s="291"/>
      <x:c r="RGD67" s="291"/>
      <x:c r="RGE67" s="291"/>
      <x:c r="RGF67" s="291"/>
      <x:c r="RGG67" s="291"/>
      <x:c r="RGH67" s="291"/>
      <x:c r="RGI67" s="291"/>
      <x:c r="RGJ67" s="291"/>
      <x:c r="RGK67" s="291"/>
      <x:c r="RGL67" s="291"/>
      <x:c r="RGM67" s="291"/>
      <x:c r="RGN67" s="291"/>
      <x:c r="RGO67" s="291"/>
      <x:c r="RGP67" s="291"/>
      <x:c r="RGQ67" s="291"/>
      <x:c r="RGR67" s="291"/>
      <x:c r="RGS67" s="291"/>
      <x:c r="RGT67" s="291"/>
      <x:c r="RGU67" s="291"/>
      <x:c r="RGV67" s="291"/>
      <x:c r="RGW67" s="291"/>
      <x:c r="RGX67" s="291"/>
      <x:c r="RGY67" s="291"/>
      <x:c r="RGZ67" s="291"/>
      <x:c r="RHA67" s="291"/>
      <x:c r="RHB67" s="291"/>
      <x:c r="RHC67" s="291"/>
      <x:c r="RHD67" s="291"/>
      <x:c r="RHE67" s="291"/>
      <x:c r="RHF67" s="291"/>
      <x:c r="RHG67" s="291"/>
      <x:c r="RHH67" s="291"/>
      <x:c r="RHI67" s="291"/>
      <x:c r="RHJ67" s="291"/>
      <x:c r="RHK67" s="291"/>
      <x:c r="RHL67" s="291"/>
      <x:c r="RHM67" s="291"/>
      <x:c r="RHN67" s="291"/>
      <x:c r="RHO67" s="291"/>
      <x:c r="RHP67" s="291"/>
      <x:c r="RHQ67" s="291"/>
      <x:c r="RHR67" s="291"/>
      <x:c r="RHS67" s="291"/>
      <x:c r="RHT67" s="291"/>
      <x:c r="RHU67" s="291"/>
      <x:c r="RHV67" s="291"/>
      <x:c r="RHW67" s="291"/>
      <x:c r="RHX67" s="291"/>
      <x:c r="RHY67" s="291"/>
      <x:c r="RHZ67" s="291"/>
      <x:c r="RIA67" s="291"/>
      <x:c r="RIB67" s="291"/>
      <x:c r="RIC67" s="291"/>
      <x:c r="RID67" s="291"/>
      <x:c r="RIE67" s="291"/>
      <x:c r="RIF67" s="291"/>
      <x:c r="RIG67" s="291"/>
      <x:c r="RIH67" s="291"/>
      <x:c r="RII67" s="291"/>
      <x:c r="RIJ67" s="291"/>
      <x:c r="RIK67" s="291"/>
      <x:c r="RIL67" s="291"/>
      <x:c r="RIM67" s="291"/>
      <x:c r="RIN67" s="291"/>
      <x:c r="RIO67" s="291"/>
      <x:c r="RIP67" s="291"/>
      <x:c r="RIQ67" s="291"/>
      <x:c r="RIR67" s="291"/>
      <x:c r="RIS67" s="291"/>
      <x:c r="RIT67" s="291"/>
      <x:c r="RIU67" s="291"/>
      <x:c r="RIV67" s="291"/>
      <x:c r="RIW67" s="291"/>
      <x:c r="RIX67" s="291"/>
      <x:c r="RIY67" s="291"/>
      <x:c r="RIZ67" s="291"/>
      <x:c r="RJA67" s="291"/>
      <x:c r="RJB67" s="291"/>
      <x:c r="RJC67" s="291"/>
      <x:c r="RJD67" s="291"/>
      <x:c r="RJE67" s="291"/>
      <x:c r="RJF67" s="291"/>
      <x:c r="RJG67" s="291"/>
      <x:c r="RJH67" s="291"/>
      <x:c r="RJI67" s="291"/>
      <x:c r="RJJ67" s="291"/>
      <x:c r="RJK67" s="291"/>
      <x:c r="RJL67" s="291"/>
      <x:c r="RJM67" s="291"/>
      <x:c r="RJN67" s="291"/>
      <x:c r="RJO67" s="291"/>
      <x:c r="RJP67" s="291"/>
      <x:c r="RJQ67" s="291"/>
      <x:c r="RJR67" s="291"/>
      <x:c r="RJS67" s="291"/>
      <x:c r="RJT67" s="291"/>
      <x:c r="RJU67" s="291"/>
      <x:c r="RJV67" s="291"/>
      <x:c r="RJW67" s="291"/>
      <x:c r="RJX67" s="291"/>
      <x:c r="RJY67" s="291"/>
      <x:c r="RJZ67" s="291"/>
      <x:c r="RKA67" s="291"/>
      <x:c r="RKB67" s="291"/>
      <x:c r="RKC67" s="291"/>
      <x:c r="RKD67" s="291"/>
      <x:c r="RKE67" s="291"/>
      <x:c r="RKF67" s="291"/>
      <x:c r="RKG67" s="291"/>
      <x:c r="RKH67" s="291"/>
      <x:c r="RKI67" s="291"/>
      <x:c r="RKJ67" s="291"/>
      <x:c r="RKK67" s="291"/>
      <x:c r="RKL67" s="291"/>
      <x:c r="RKM67" s="291"/>
      <x:c r="RKN67" s="291"/>
      <x:c r="RKO67" s="291"/>
      <x:c r="RKP67" s="291"/>
      <x:c r="RKQ67" s="291"/>
      <x:c r="RKR67" s="291"/>
      <x:c r="RKS67" s="291"/>
      <x:c r="RKT67" s="291"/>
      <x:c r="RKU67" s="291"/>
      <x:c r="RKV67" s="291"/>
      <x:c r="RKW67" s="291"/>
      <x:c r="RKX67" s="291"/>
      <x:c r="RKY67" s="291"/>
      <x:c r="RKZ67" s="291"/>
      <x:c r="RLA67" s="291"/>
      <x:c r="RLB67" s="291"/>
      <x:c r="RLC67" s="291"/>
      <x:c r="RLD67" s="291"/>
      <x:c r="RLE67" s="291"/>
      <x:c r="RLF67" s="291"/>
      <x:c r="RLG67" s="291"/>
      <x:c r="RLH67" s="291"/>
      <x:c r="RLI67" s="291"/>
      <x:c r="RLJ67" s="291"/>
      <x:c r="RLK67" s="291"/>
      <x:c r="RLL67" s="291"/>
      <x:c r="RLM67" s="291"/>
      <x:c r="RLN67" s="291"/>
      <x:c r="RLO67" s="291"/>
      <x:c r="RLP67" s="291"/>
      <x:c r="RLQ67" s="291"/>
      <x:c r="RLR67" s="291"/>
      <x:c r="RLS67" s="291"/>
      <x:c r="RLT67" s="291"/>
      <x:c r="RLU67" s="291"/>
      <x:c r="RLV67" s="291"/>
      <x:c r="RLW67" s="291"/>
      <x:c r="RLX67" s="291"/>
      <x:c r="RLY67" s="291"/>
      <x:c r="RLZ67" s="291"/>
      <x:c r="RMA67" s="291"/>
      <x:c r="RMB67" s="291"/>
      <x:c r="RMC67" s="291"/>
      <x:c r="RMD67" s="291"/>
      <x:c r="RME67" s="291"/>
      <x:c r="RMF67" s="291"/>
      <x:c r="RMG67" s="291"/>
      <x:c r="RMH67" s="291"/>
      <x:c r="RMI67" s="291"/>
      <x:c r="RMJ67" s="291"/>
      <x:c r="RMK67" s="291"/>
      <x:c r="RML67" s="291"/>
      <x:c r="RMM67" s="291"/>
      <x:c r="RMN67" s="291"/>
      <x:c r="RMO67" s="291"/>
      <x:c r="RMP67" s="291"/>
      <x:c r="RMQ67" s="291"/>
      <x:c r="RMR67" s="291"/>
      <x:c r="RMS67" s="291"/>
      <x:c r="RMT67" s="291"/>
      <x:c r="RMU67" s="291"/>
      <x:c r="RMV67" s="291"/>
      <x:c r="RMW67" s="291"/>
      <x:c r="RMX67" s="291"/>
      <x:c r="RMY67" s="291"/>
      <x:c r="RMZ67" s="291"/>
      <x:c r="RNA67" s="291"/>
      <x:c r="RNB67" s="291"/>
      <x:c r="RNC67" s="291"/>
      <x:c r="RND67" s="291"/>
      <x:c r="RNE67" s="291"/>
      <x:c r="RNF67" s="291"/>
      <x:c r="RNG67" s="291"/>
      <x:c r="RNH67" s="291"/>
      <x:c r="RNI67" s="291"/>
      <x:c r="RNJ67" s="291"/>
      <x:c r="RNK67" s="291"/>
      <x:c r="RNL67" s="291"/>
      <x:c r="RNM67" s="291"/>
      <x:c r="RNN67" s="291"/>
      <x:c r="RNO67" s="291"/>
      <x:c r="RNP67" s="291"/>
      <x:c r="RNQ67" s="291"/>
      <x:c r="RNR67" s="291"/>
      <x:c r="RNS67" s="291"/>
      <x:c r="RNT67" s="291"/>
      <x:c r="RNU67" s="291"/>
      <x:c r="RNV67" s="291"/>
      <x:c r="RNW67" s="291"/>
      <x:c r="RNX67" s="291"/>
      <x:c r="RNY67" s="291"/>
      <x:c r="RNZ67" s="291"/>
      <x:c r="ROA67" s="291"/>
      <x:c r="ROB67" s="291"/>
      <x:c r="ROC67" s="291"/>
      <x:c r="ROD67" s="291"/>
      <x:c r="ROE67" s="291"/>
      <x:c r="ROF67" s="291"/>
      <x:c r="ROG67" s="291"/>
      <x:c r="ROH67" s="291"/>
      <x:c r="ROI67" s="291"/>
      <x:c r="ROJ67" s="291"/>
      <x:c r="ROK67" s="291"/>
      <x:c r="ROL67" s="291"/>
      <x:c r="ROM67" s="291"/>
      <x:c r="RON67" s="291"/>
      <x:c r="ROO67" s="291"/>
      <x:c r="ROP67" s="291"/>
      <x:c r="ROQ67" s="291"/>
      <x:c r="ROR67" s="291"/>
      <x:c r="ROS67" s="291"/>
      <x:c r="ROT67" s="291"/>
      <x:c r="ROU67" s="291"/>
      <x:c r="ROV67" s="291"/>
      <x:c r="ROW67" s="291"/>
      <x:c r="ROX67" s="291"/>
      <x:c r="ROY67" s="291"/>
      <x:c r="ROZ67" s="291"/>
      <x:c r="RPA67" s="291"/>
      <x:c r="RPB67" s="291"/>
      <x:c r="RPC67" s="291"/>
      <x:c r="RPD67" s="291"/>
      <x:c r="RPE67" s="291"/>
      <x:c r="RPF67" s="291"/>
      <x:c r="RPG67" s="291"/>
      <x:c r="RPH67" s="291"/>
      <x:c r="RPI67" s="291"/>
      <x:c r="RPJ67" s="291"/>
      <x:c r="RPK67" s="291"/>
      <x:c r="RPL67" s="291"/>
      <x:c r="RPM67" s="291"/>
      <x:c r="RPN67" s="291"/>
      <x:c r="RPO67" s="291"/>
      <x:c r="RPP67" s="291"/>
      <x:c r="RPQ67" s="291"/>
      <x:c r="RPR67" s="291"/>
      <x:c r="RPS67" s="291"/>
      <x:c r="RPT67" s="291"/>
      <x:c r="RPU67" s="291"/>
      <x:c r="RPV67" s="291"/>
      <x:c r="RPW67" s="291"/>
      <x:c r="RPX67" s="291"/>
      <x:c r="RPY67" s="291"/>
      <x:c r="RPZ67" s="291"/>
      <x:c r="RQA67" s="291"/>
      <x:c r="RQB67" s="291"/>
      <x:c r="RQC67" s="291"/>
      <x:c r="RQD67" s="291"/>
      <x:c r="RQE67" s="291"/>
      <x:c r="RQF67" s="291"/>
      <x:c r="RQG67" s="291"/>
      <x:c r="RQH67" s="291"/>
      <x:c r="RQI67" s="291"/>
      <x:c r="RQJ67" s="291"/>
      <x:c r="RQK67" s="291"/>
      <x:c r="RQL67" s="291"/>
      <x:c r="RQM67" s="291"/>
      <x:c r="RQN67" s="291"/>
      <x:c r="RQO67" s="291"/>
      <x:c r="RQP67" s="291"/>
      <x:c r="RQQ67" s="291"/>
      <x:c r="RQR67" s="291"/>
      <x:c r="RQS67" s="291"/>
      <x:c r="RQT67" s="291"/>
      <x:c r="RQU67" s="291"/>
      <x:c r="RQV67" s="291"/>
      <x:c r="RQW67" s="291"/>
      <x:c r="RQX67" s="291"/>
      <x:c r="RQY67" s="291"/>
      <x:c r="RQZ67" s="291"/>
      <x:c r="RRA67" s="291"/>
      <x:c r="RRB67" s="291"/>
      <x:c r="RRC67" s="291"/>
      <x:c r="RRD67" s="291"/>
      <x:c r="RRE67" s="291"/>
      <x:c r="RRF67" s="291"/>
      <x:c r="RRG67" s="291"/>
      <x:c r="RRH67" s="291"/>
      <x:c r="RRI67" s="291"/>
      <x:c r="RRJ67" s="291"/>
      <x:c r="RRK67" s="291"/>
      <x:c r="RRL67" s="291"/>
      <x:c r="RRM67" s="291"/>
      <x:c r="RRN67" s="291"/>
      <x:c r="RRO67" s="291"/>
      <x:c r="RRP67" s="291"/>
      <x:c r="RRQ67" s="291"/>
      <x:c r="RRR67" s="291"/>
      <x:c r="RRS67" s="291"/>
      <x:c r="RRT67" s="291"/>
      <x:c r="RRU67" s="291"/>
      <x:c r="RRV67" s="291"/>
      <x:c r="RRW67" s="291"/>
      <x:c r="RRX67" s="291"/>
      <x:c r="RRY67" s="291"/>
      <x:c r="RRZ67" s="291"/>
      <x:c r="RSA67" s="291"/>
      <x:c r="RSB67" s="291"/>
      <x:c r="RSC67" s="291"/>
      <x:c r="RSD67" s="291"/>
      <x:c r="RSE67" s="291"/>
      <x:c r="RSF67" s="291"/>
      <x:c r="RSG67" s="291"/>
      <x:c r="RSH67" s="291"/>
      <x:c r="RSI67" s="291"/>
      <x:c r="RSJ67" s="291"/>
      <x:c r="RSK67" s="291"/>
      <x:c r="RSL67" s="291"/>
      <x:c r="RSM67" s="291"/>
      <x:c r="RSN67" s="291"/>
      <x:c r="RSO67" s="291"/>
      <x:c r="RSP67" s="291"/>
      <x:c r="RSQ67" s="291"/>
      <x:c r="RSR67" s="291"/>
      <x:c r="RSS67" s="291"/>
      <x:c r="RST67" s="291"/>
      <x:c r="RSU67" s="291"/>
      <x:c r="RSV67" s="291"/>
      <x:c r="RSW67" s="291"/>
      <x:c r="RSX67" s="291"/>
      <x:c r="RSY67" s="291"/>
      <x:c r="RSZ67" s="291"/>
      <x:c r="RTA67" s="291"/>
      <x:c r="RTB67" s="291"/>
      <x:c r="RTC67" s="291"/>
      <x:c r="RTD67" s="291"/>
      <x:c r="RTE67" s="291"/>
      <x:c r="RTF67" s="291"/>
      <x:c r="RTG67" s="291"/>
      <x:c r="RTH67" s="291"/>
      <x:c r="RTI67" s="291"/>
      <x:c r="RTJ67" s="291"/>
      <x:c r="RTK67" s="291"/>
      <x:c r="RTL67" s="291"/>
      <x:c r="RTM67" s="291"/>
      <x:c r="RTN67" s="291"/>
      <x:c r="RTO67" s="291"/>
      <x:c r="RTP67" s="291"/>
      <x:c r="RTQ67" s="291"/>
      <x:c r="RTR67" s="291"/>
      <x:c r="RTS67" s="291"/>
      <x:c r="RTT67" s="291"/>
      <x:c r="RTU67" s="291"/>
      <x:c r="RTV67" s="291"/>
      <x:c r="RTW67" s="291"/>
      <x:c r="RTX67" s="291"/>
      <x:c r="RTY67" s="291"/>
      <x:c r="RTZ67" s="291"/>
      <x:c r="RUA67" s="291"/>
      <x:c r="RUB67" s="291"/>
      <x:c r="RUC67" s="291"/>
      <x:c r="RUD67" s="291"/>
      <x:c r="RUE67" s="291"/>
      <x:c r="RUF67" s="291"/>
      <x:c r="RUG67" s="291"/>
      <x:c r="RUH67" s="291"/>
      <x:c r="RUI67" s="291"/>
      <x:c r="RUJ67" s="291"/>
      <x:c r="RUK67" s="291"/>
      <x:c r="RUL67" s="291"/>
      <x:c r="RUM67" s="291"/>
      <x:c r="RUN67" s="291"/>
      <x:c r="RUO67" s="291"/>
      <x:c r="RUP67" s="291"/>
      <x:c r="RUQ67" s="291"/>
      <x:c r="RUR67" s="291"/>
      <x:c r="RUS67" s="291"/>
      <x:c r="RUT67" s="291"/>
      <x:c r="RUU67" s="291"/>
      <x:c r="RUV67" s="291"/>
      <x:c r="RUW67" s="291"/>
      <x:c r="RUX67" s="291"/>
      <x:c r="RUY67" s="291"/>
      <x:c r="RUZ67" s="291"/>
      <x:c r="RVA67" s="291"/>
      <x:c r="RVB67" s="291"/>
      <x:c r="RVC67" s="291"/>
      <x:c r="RVD67" s="291"/>
      <x:c r="RVE67" s="291"/>
      <x:c r="RVF67" s="291"/>
      <x:c r="RVG67" s="291"/>
      <x:c r="RVH67" s="291"/>
      <x:c r="RVI67" s="291"/>
      <x:c r="RVJ67" s="291"/>
      <x:c r="RVK67" s="291"/>
      <x:c r="RVL67" s="291"/>
      <x:c r="RVM67" s="291"/>
      <x:c r="RVN67" s="291"/>
      <x:c r="RVO67" s="291"/>
      <x:c r="RVP67" s="291"/>
      <x:c r="RVQ67" s="291"/>
      <x:c r="RVR67" s="291"/>
      <x:c r="RVS67" s="291"/>
      <x:c r="RVT67" s="291"/>
      <x:c r="RVU67" s="291"/>
      <x:c r="RVV67" s="291"/>
      <x:c r="RVW67" s="291"/>
      <x:c r="RVX67" s="291"/>
      <x:c r="RVY67" s="291"/>
      <x:c r="RVZ67" s="291"/>
      <x:c r="RWA67" s="291"/>
      <x:c r="RWB67" s="291"/>
      <x:c r="RWC67" s="291"/>
      <x:c r="RWD67" s="291"/>
      <x:c r="RWE67" s="291"/>
      <x:c r="RWF67" s="291"/>
      <x:c r="RWG67" s="291"/>
      <x:c r="RWH67" s="291"/>
      <x:c r="RWI67" s="291"/>
      <x:c r="RWJ67" s="291"/>
      <x:c r="RWK67" s="291"/>
      <x:c r="RWL67" s="291"/>
      <x:c r="RWM67" s="291"/>
      <x:c r="RWN67" s="291"/>
      <x:c r="RWO67" s="291"/>
      <x:c r="RWP67" s="291"/>
      <x:c r="RWQ67" s="291"/>
      <x:c r="RWR67" s="291"/>
      <x:c r="RWS67" s="291"/>
      <x:c r="RWT67" s="291"/>
      <x:c r="RWU67" s="291"/>
      <x:c r="RWV67" s="291"/>
      <x:c r="RWW67" s="291"/>
      <x:c r="RWX67" s="291"/>
      <x:c r="RWY67" s="291"/>
      <x:c r="RWZ67" s="291"/>
      <x:c r="RXA67" s="291"/>
      <x:c r="RXB67" s="291"/>
      <x:c r="RXC67" s="291"/>
      <x:c r="RXD67" s="291"/>
      <x:c r="RXE67" s="291"/>
      <x:c r="RXF67" s="291"/>
      <x:c r="RXG67" s="291"/>
      <x:c r="RXH67" s="291"/>
      <x:c r="RXI67" s="291"/>
      <x:c r="RXJ67" s="291"/>
      <x:c r="RXK67" s="291"/>
      <x:c r="RXL67" s="291"/>
      <x:c r="RXM67" s="291"/>
      <x:c r="RXN67" s="291"/>
      <x:c r="RXO67" s="291"/>
      <x:c r="RXP67" s="291"/>
      <x:c r="RXQ67" s="291"/>
      <x:c r="RXR67" s="291"/>
      <x:c r="RXS67" s="291"/>
      <x:c r="RXT67" s="291"/>
      <x:c r="RXU67" s="291"/>
      <x:c r="RXV67" s="291"/>
      <x:c r="RXW67" s="291"/>
      <x:c r="RXX67" s="291"/>
      <x:c r="RXY67" s="291"/>
      <x:c r="RXZ67" s="291"/>
      <x:c r="RYA67" s="291"/>
      <x:c r="RYB67" s="291"/>
      <x:c r="RYC67" s="291"/>
      <x:c r="RYD67" s="291"/>
      <x:c r="RYE67" s="291"/>
      <x:c r="RYF67" s="291"/>
      <x:c r="RYG67" s="291"/>
      <x:c r="RYH67" s="291"/>
      <x:c r="RYI67" s="291"/>
      <x:c r="RYJ67" s="291"/>
      <x:c r="RYK67" s="291"/>
      <x:c r="RYL67" s="291"/>
      <x:c r="RYM67" s="291"/>
      <x:c r="RYN67" s="291"/>
      <x:c r="RYO67" s="291"/>
      <x:c r="RYP67" s="291"/>
      <x:c r="RYQ67" s="291"/>
      <x:c r="RYR67" s="291"/>
      <x:c r="RYS67" s="291"/>
      <x:c r="RYT67" s="291"/>
      <x:c r="RYU67" s="291"/>
      <x:c r="RYV67" s="291"/>
      <x:c r="RYW67" s="291"/>
      <x:c r="RYX67" s="291"/>
      <x:c r="RYY67" s="291"/>
      <x:c r="RYZ67" s="291"/>
      <x:c r="RZA67" s="291"/>
      <x:c r="RZB67" s="291"/>
      <x:c r="RZC67" s="291"/>
      <x:c r="RZD67" s="291"/>
      <x:c r="RZE67" s="291"/>
      <x:c r="RZF67" s="291"/>
      <x:c r="RZG67" s="291"/>
      <x:c r="RZH67" s="291"/>
      <x:c r="RZI67" s="291"/>
      <x:c r="RZJ67" s="291"/>
      <x:c r="RZK67" s="291"/>
      <x:c r="RZL67" s="291"/>
      <x:c r="RZM67" s="291"/>
      <x:c r="RZN67" s="291"/>
      <x:c r="RZO67" s="291"/>
      <x:c r="RZP67" s="291"/>
      <x:c r="RZQ67" s="291"/>
      <x:c r="RZR67" s="291"/>
      <x:c r="RZS67" s="291"/>
      <x:c r="RZT67" s="291"/>
      <x:c r="RZU67" s="291"/>
      <x:c r="RZV67" s="291"/>
      <x:c r="RZW67" s="291"/>
      <x:c r="RZX67" s="291"/>
      <x:c r="RZY67" s="291"/>
      <x:c r="RZZ67" s="291"/>
      <x:c r="SAA67" s="291"/>
      <x:c r="SAB67" s="291"/>
      <x:c r="SAC67" s="291"/>
      <x:c r="SAD67" s="291"/>
      <x:c r="SAE67" s="291"/>
      <x:c r="SAF67" s="291"/>
      <x:c r="SAG67" s="291"/>
      <x:c r="SAH67" s="291"/>
      <x:c r="SAI67" s="291"/>
      <x:c r="SAJ67" s="291"/>
      <x:c r="SAK67" s="291"/>
      <x:c r="SAL67" s="291"/>
      <x:c r="SAM67" s="291"/>
      <x:c r="SAN67" s="291"/>
      <x:c r="SAO67" s="291"/>
      <x:c r="SAP67" s="291"/>
      <x:c r="SAQ67" s="291"/>
      <x:c r="SAR67" s="291"/>
      <x:c r="SAS67" s="291"/>
      <x:c r="SAT67" s="291"/>
      <x:c r="SAU67" s="291"/>
      <x:c r="SAV67" s="291"/>
      <x:c r="SAW67" s="291"/>
      <x:c r="SAX67" s="291"/>
      <x:c r="SAY67" s="291"/>
      <x:c r="SAZ67" s="291"/>
      <x:c r="SBA67" s="291"/>
      <x:c r="SBB67" s="291"/>
      <x:c r="SBC67" s="291"/>
      <x:c r="SBD67" s="291"/>
      <x:c r="SBE67" s="291"/>
      <x:c r="SBF67" s="291"/>
      <x:c r="SBG67" s="291"/>
      <x:c r="SBH67" s="291"/>
      <x:c r="SBI67" s="291"/>
      <x:c r="SBJ67" s="291"/>
      <x:c r="SBK67" s="291"/>
      <x:c r="SBL67" s="291"/>
      <x:c r="SBM67" s="291"/>
      <x:c r="SBN67" s="291"/>
      <x:c r="SBO67" s="291"/>
      <x:c r="SBP67" s="291"/>
      <x:c r="SBQ67" s="291"/>
      <x:c r="SBR67" s="291"/>
      <x:c r="SBS67" s="291"/>
      <x:c r="SBT67" s="291"/>
      <x:c r="SBU67" s="291"/>
      <x:c r="SBV67" s="291"/>
      <x:c r="SBW67" s="291"/>
      <x:c r="SBX67" s="291"/>
      <x:c r="SBY67" s="291"/>
      <x:c r="SBZ67" s="291"/>
      <x:c r="SCA67" s="291"/>
      <x:c r="SCB67" s="291"/>
      <x:c r="SCC67" s="291"/>
      <x:c r="SCD67" s="291"/>
      <x:c r="SCE67" s="291"/>
      <x:c r="SCF67" s="291"/>
      <x:c r="SCG67" s="291"/>
      <x:c r="SCH67" s="291"/>
      <x:c r="SCI67" s="291"/>
      <x:c r="SCJ67" s="291"/>
      <x:c r="SCK67" s="291"/>
      <x:c r="SCL67" s="291"/>
      <x:c r="SCM67" s="291"/>
      <x:c r="SCN67" s="291"/>
      <x:c r="SCO67" s="291"/>
      <x:c r="SCP67" s="291"/>
      <x:c r="SCQ67" s="291"/>
      <x:c r="SCR67" s="291"/>
      <x:c r="SCS67" s="291"/>
      <x:c r="SCT67" s="291"/>
      <x:c r="SCU67" s="291"/>
      <x:c r="SCV67" s="291"/>
      <x:c r="SCW67" s="291"/>
      <x:c r="SCX67" s="291"/>
      <x:c r="SCY67" s="291"/>
      <x:c r="SCZ67" s="291"/>
      <x:c r="SDA67" s="291"/>
      <x:c r="SDB67" s="291"/>
      <x:c r="SDC67" s="291"/>
      <x:c r="SDD67" s="291"/>
      <x:c r="SDE67" s="291"/>
      <x:c r="SDF67" s="291"/>
      <x:c r="SDG67" s="291"/>
      <x:c r="SDH67" s="291"/>
      <x:c r="SDI67" s="291"/>
      <x:c r="SDJ67" s="291"/>
      <x:c r="SDK67" s="291"/>
      <x:c r="SDL67" s="291"/>
      <x:c r="SDM67" s="291"/>
      <x:c r="SDN67" s="291"/>
      <x:c r="SDO67" s="291"/>
      <x:c r="SDP67" s="291"/>
      <x:c r="SDQ67" s="291"/>
      <x:c r="SDR67" s="291"/>
      <x:c r="SDS67" s="291"/>
      <x:c r="SDT67" s="291"/>
      <x:c r="SDU67" s="291"/>
      <x:c r="SDV67" s="291"/>
      <x:c r="SDW67" s="291"/>
      <x:c r="SDX67" s="291"/>
      <x:c r="SDY67" s="291"/>
      <x:c r="SDZ67" s="291"/>
      <x:c r="SEA67" s="291"/>
      <x:c r="SEB67" s="291"/>
      <x:c r="SEC67" s="291"/>
      <x:c r="SED67" s="291"/>
      <x:c r="SEE67" s="291"/>
      <x:c r="SEF67" s="291"/>
      <x:c r="SEG67" s="291"/>
      <x:c r="SEH67" s="291"/>
      <x:c r="SEI67" s="291"/>
      <x:c r="SEJ67" s="291"/>
      <x:c r="SEK67" s="291"/>
      <x:c r="SEL67" s="291"/>
      <x:c r="SEM67" s="291"/>
      <x:c r="SEN67" s="291"/>
      <x:c r="SEO67" s="291"/>
      <x:c r="SEP67" s="291"/>
      <x:c r="SEQ67" s="291"/>
      <x:c r="SER67" s="291"/>
      <x:c r="SES67" s="291"/>
      <x:c r="SET67" s="291"/>
      <x:c r="SEU67" s="291"/>
      <x:c r="SEV67" s="291"/>
      <x:c r="SEW67" s="291"/>
      <x:c r="SEX67" s="291"/>
      <x:c r="SEY67" s="291"/>
      <x:c r="SEZ67" s="291"/>
      <x:c r="SFA67" s="291"/>
      <x:c r="SFB67" s="291"/>
      <x:c r="SFC67" s="291"/>
      <x:c r="SFD67" s="291"/>
      <x:c r="SFE67" s="291"/>
      <x:c r="SFF67" s="291"/>
      <x:c r="SFG67" s="291"/>
      <x:c r="SFH67" s="291"/>
      <x:c r="SFI67" s="291"/>
      <x:c r="SFJ67" s="291"/>
      <x:c r="SFK67" s="291"/>
      <x:c r="SFL67" s="291"/>
      <x:c r="SFM67" s="291"/>
      <x:c r="SFN67" s="291"/>
      <x:c r="SFO67" s="291"/>
      <x:c r="SFP67" s="291"/>
      <x:c r="SFQ67" s="291"/>
      <x:c r="SFR67" s="291"/>
      <x:c r="SFS67" s="291"/>
      <x:c r="SFT67" s="291"/>
      <x:c r="SFU67" s="291"/>
      <x:c r="SFV67" s="291"/>
      <x:c r="SFW67" s="291"/>
      <x:c r="SFX67" s="291"/>
      <x:c r="SFY67" s="291"/>
      <x:c r="SFZ67" s="291"/>
      <x:c r="SGA67" s="291"/>
      <x:c r="SGB67" s="291"/>
      <x:c r="SGC67" s="291"/>
      <x:c r="SGD67" s="291"/>
      <x:c r="SGE67" s="291"/>
      <x:c r="SGF67" s="291"/>
      <x:c r="SGG67" s="291"/>
      <x:c r="SGH67" s="291"/>
      <x:c r="SGI67" s="291"/>
      <x:c r="SGJ67" s="291"/>
      <x:c r="SGK67" s="291"/>
      <x:c r="SGL67" s="291"/>
      <x:c r="SGM67" s="291"/>
      <x:c r="SGN67" s="291"/>
      <x:c r="SGO67" s="291"/>
      <x:c r="SGP67" s="291"/>
      <x:c r="SGQ67" s="291"/>
      <x:c r="SGR67" s="291"/>
      <x:c r="SGS67" s="291"/>
      <x:c r="SGT67" s="291"/>
      <x:c r="SGU67" s="291"/>
      <x:c r="SGV67" s="291"/>
      <x:c r="SGW67" s="291"/>
      <x:c r="SGX67" s="291"/>
      <x:c r="SGY67" s="291"/>
      <x:c r="SGZ67" s="291"/>
      <x:c r="SHA67" s="291"/>
      <x:c r="SHB67" s="291"/>
      <x:c r="SHC67" s="291"/>
      <x:c r="SHD67" s="291"/>
      <x:c r="SHE67" s="291"/>
      <x:c r="SHF67" s="291"/>
      <x:c r="SHG67" s="291"/>
      <x:c r="SHH67" s="291"/>
      <x:c r="SHI67" s="291"/>
      <x:c r="SHJ67" s="291"/>
      <x:c r="SHK67" s="291"/>
      <x:c r="SHL67" s="291"/>
      <x:c r="SHM67" s="291"/>
      <x:c r="SHN67" s="291"/>
      <x:c r="SHO67" s="291"/>
      <x:c r="SHP67" s="291"/>
      <x:c r="SHQ67" s="291"/>
      <x:c r="SHR67" s="291"/>
      <x:c r="SHS67" s="291"/>
      <x:c r="SHT67" s="291"/>
      <x:c r="SHU67" s="291"/>
      <x:c r="SHV67" s="291"/>
      <x:c r="SHW67" s="291"/>
      <x:c r="SHX67" s="291"/>
      <x:c r="SHY67" s="291"/>
      <x:c r="SHZ67" s="291"/>
      <x:c r="SIA67" s="291"/>
      <x:c r="SIB67" s="291"/>
      <x:c r="SIC67" s="291"/>
      <x:c r="SID67" s="291"/>
      <x:c r="SIE67" s="291"/>
      <x:c r="SIF67" s="291"/>
      <x:c r="SIG67" s="291"/>
      <x:c r="SIH67" s="291"/>
      <x:c r="SII67" s="291"/>
      <x:c r="SIJ67" s="291"/>
      <x:c r="SIK67" s="291"/>
      <x:c r="SIL67" s="291"/>
      <x:c r="SIM67" s="291"/>
      <x:c r="SIN67" s="291"/>
      <x:c r="SIO67" s="291"/>
      <x:c r="SIP67" s="291"/>
      <x:c r="SIQ67" s="291"/>
      <x:c r="SIR67" s="291"/>
      <x:c r="SIS67" s="291"/>
      <x:c r="SIT67" s="291"/>
      <x:c r="SIU67" s="291"/>
      <x:c r="SIV67" s="291"/>
      <x:c r="SIW67" s="291"/>
      <x:c r="SIX67" s="291"/>
      <x:c r="SIY67" s="291"/>
      <x:c r="SIZ67" s="291"/>
      <x:c r="SJA67" s="291"/>
      <x:c r="SJB67" s="291"/>
      <x:c r="SJC67" s="291"/>
      <x:c r="SJD67" s="291"/>
      <x:c r="SJE67" s="291"/>
      <x:c r="SJF67" s="291"/>
      <x:c r="SJG67" s="291"/>
      <x:c r="SJH67" s="291"/>
      <x:c r="SJI67" s="291"/>
      <x:c r="SJJ67" s="291"/>
      <x:c r="SJK67" s="291"/>
      <x:c r="SJL67" s="291"/>
      <x:c r="SJM67" s="291"/>
      <x:c r="SJN67" s="291"/>
      <x:c r="SJO67" s="291"/>
      <x:c r="SJP67" s="291"/>
      <x:c r="SJQ67" s="291"/>
      <x:c r="SJR67" s="291"/>
      <x:c r="SJS67" s="291"/>
      <x:c r="SJT67" s="291"/>
      <x:c r="SJU67" s="291"/>
      <x:c r="SJV67" s="291"/>
      <x:c r="SJW67" s="291"/>
      <x:c r="SJX67" s="291"/>
      <x:c r="SJY67" s="291"/>
      <x:c r="SJZ67" s="291"/>
      <x:c r="SKA67" s="291"/>
      <x:c r="SKB67" s="291"/>
      <x:c r="SKC67" s="291"/>
      <x:c r="SKD67" s="291"/>
      <x:c r="SKE67" s="291"/>
      <x:c r="SKF67" s="291"/>
      <x:c r="SKG67" s="291"/>
      <x:c r="SKH67" s="291"/>
      <x:c r="SKI67" s="291"/>
      <x:c r="SKJ67" s="291"/>
      <x:c r="SKK67" s="291"/>
      <x:c r="SKL67" s="291"/>
      <x:c r="SKM67" s="291"/>
      <x:c r="SKN67" s="291"/>
      <x:c r="SKO67" s="291"/>
      <x:c r="SKP67" s="291"/>
      <x:c r="SKQ67" s="291"/>
      <x:c r="SKR67" s="291"/>
      <x:c r="SKS67" s="291"/>
      <x:c r="SKT67" s="291"/>
      <x:c r="SKU67" s="291"/>
      <x:c r="SKV67" s="291"/>
      <x:c r="SKW67" s="291"/>
      <x:c r="SKX67" s="291"/>
      <x:c r="SKY67" s="291"/>
      <x:c r="SKZ67" s="291"/>
      <x:c r="SLA67" s="291"/>
      <x:c r="SLB67" s="291"/>
      <x:c r="SLC67" s="291"/>
      <x:c r="SLD67" s="291"/>
      <x:c r="SLE67" s="291"/>
      <x:c r="SLF67" s="291"/>
      <x:c r="SLG67" s="291"/>
      <x:c r="SLH67" s="291"/>
      <x:c r="SLI67" s="291"/>
      <x:c r="SLJ67" s="291"/>
      <x:c r="SLK67" s="291"/>
      <x:c r="SLL67" s="291"/>
      <x:c r="SLM67" s="291"/>
      <x:c r="SLN67" s="291"/>
      <x:c r="SLO67" s="291"/>
      <x:c r="SLP67" s="291"/>
      <x:c r="SLQ67" s="291"/>
      <x:c r="SLR67" s="291"/>
      <x:c r="SLS67" s="291"/>
      <x:c r="SLT67" s="291"/>
      <x:c r="SLU67" s="291"/>
      <x:c r="SLV67" s="291"/>
      <x:c r="SLW67" s="291"/>
      <x:c r="SLX67" s="291"/>
      <x:c r="SLY67" s="291"/>
      <x:c r="SLZ67" s="291"/>
      <x:c r="SMA67" s="291"/>
      <x:c r="SMB67" s="291"/>
      <x:c r="SMC67" s="291"/>
      <x:c r="SMD67" s="291"/>
      <x:c r="SME67" s="291"/>
      <x:c r="SMF67" s="291"/>
      <x:c r="SMG67" s="291"/>
      <x:c r="SMH67" s="291"/>
      <x:c r="SMI67" s="291"/>
      <x:c r="SMJ67" s="291"/>
      <x:c r="SMK67" s="291"/>
      <x:c r="SML67" s="291"/>
      <x:c r="SMM67" s="291"/>
      <x:c r="SMN67" s="291"/>
      <x:c r="SMO67" s="291"/>
      <x:c r="SMP67" s="291"/>
      <x:c r="SMQ67" s="291"/>
      <x:c r="SMR67" s="291"/>
      <x:c r="SMS67" s="291"/>
      <x:c r="SMT67" s="291"/>
      <x:c r="SMU67" s="291"/>
      <x:c r="SMV67" s="291"/>
      <x:c r="SMW67" s="291"/>
      <x:c r="SMX67" s="291"/>
      <x:c r="SMY67" s="291"/>
      <x:c r="SMZ67" s="291"/>
      <x:c r="SNA67" s="291"/>
      <x:c r="SNB67" s="291"/>
      <x:c r="SNC67" s="291"/>
      <x:c r="SND67" s="291"/>
      <x:c r="SNE67" s="291"/>
      <x:c r="SNF67" s="291"/>
      <x:c r="SNG67" s="291"/>
      <x:c r="SNH67" s="291"/>
      <x:c r="SNI67" s="291"/>
      <x:c r="SNJ67" s="291"/>
      <x:c r="SNK67" s="291"/>
      <x:c r="SNL67" s="291"/>
      <x:c r="SNM67" s="291"/>
      <x:c r="SNN67" s="291"/>
      <x:c r="SNO67" s="291"/>
      <x:c r="SNP67" s="291"/>
      <x:c r="SNQ67" s="291"/>
      <x:c r="SNR67" s="291"/>
      <x:c r="SNS67" s="291"/>
      <x:c r="SNT67" s="291"/>
      <x:c r="SNU67" s="291"/>
      <x:c r="SNV67" s="291"/>
      <x:c r="SNW67" s="291"/>
      <x:c r="SNX67" s="291"/>
      <x:c r="SNY67" s="291"/>
      <x:c r="SNZ67" s="291"/>
      <x:c r="SOA67" s="291"/>
      <x:c r="SOB67" s="291"/>
      <x:c r="SOC67" s="291"/>
      <x:c r="SOD67" s="291"/>
      <x:c r="SOE67" s="291"/>
      <x:c r="SOF67" s="291"/>
      <x:c r="SOG67" s="291"/>
      <x:c r="SOH67" s="291"/>
      <x:c r="SOI67" s="291"/>
      <x:c r="SOJ67" s="291"/>
      <x:c r="SOK67" s="291"/>
      <x:c r="SOL67" s="291"/>
      <x:c r="SOM67" s="291"/>
      <x:c r="SON67" s="291"/>
      <x:c r="SOO67" s="291"/>
      <x:c r="SOP67" s="291"/>
      <x:c r="SOQ67" s="291"/>
      <x:c r="SOR67" s="291"/>
      <x:c r="SOS67" s="291"/>
      <x:c r="SOT67" s="291"/>
      <x:c r="SOU67" s="291"/>
      <x:c r="SOV67" s="291"/>
      <x:c r="SOW67" s="291"/>
      <x:c r="SOX67" s="291"/>
      <x:c r="SOY67" s="291"/>
      <x:c r="SOZ67" s="291"/>
      <x:c r="SPA67" s="291"/>
      <x:c r="SPB67" s="291"/>
      <x:c r="SPC67" s="291"/>
      <x:c r="SPD67" s="291"/>
      <x:c r="SPE67" s="291"/>
      <x:c r="SPF67" s="291"/>
      <x:c r="SPG67" s="291"/>
      <x:c r="SPH67" s="291"/>
      <x:c r="SPI67" s="291"/>
      <x:c r="SPJ67" s="291"/>
      <x:c r="SPK67" s="291"/>
      <x:c r="SPL67" s="291"/>
      <x:c r="SPM67" s="291"/>
      <x:c r="SPN67" s="291"/>
      <x:c r="SPO67" s="291"/>
      <x:c r="SPP67" s="291"/>
      <x:c r="SPQ67" s="291"/>
      <x:c r="SPR67" s="291"/>
      <x:c r="SPS67" s="291"/>
      <x:c r="SPT67" s="291"/>
      <x:c r="SPU67" s="291"/>
      <x:c r="SPV67" s="291"/>
      <x:c r="SPW67" s="291"/>
      <x:c r="SPX67" s="291"/>
      <x:c r="SPY67" s="291"/>
      <x:c r="SPZ67" s="291"/>
      <x:c r="SQA67" s="291"/>
      <x:c r="SQB67" s="291"/>
      <x:c r="SQC67" s="291"/>
      <x:c r="SQD67" s="291"/>
      <x:c r="SQE67" s="291"/>
      <x:c r="SQF67" s="291"/>
      <x:c r="SQG67" s="291"/>
      <x:c r="SQH67" s="291"/>
      <x:c r="SQI67" s="291"/>
      <x:c r="SQJ67" s="291"/>
      <x:c r="SQK67" s="291"/>
      <x:c r="SQL67" s="291"/>
      <x:c r="SQM67" s="291"/>
      <x:c r="SQN67" s="291"/>
      <x:c r="SQO67" s="291"/>
      <x:c r="SQP67" s="291"/>
      <x:c r="SQQ67" s="291"/>
      <x:c r="SQR67" s="291"/>
      <x:c r="SQS67" s="291"/>
      <x:c r="SQT67" s="291"/>
      <x:c r="SQU67" s="291"/>
      <x:c r="SQV67" s="291"/>
      <x:c r="SQW67" s="291"/>
      <x:c r="SQX67" s="291"/>
      <x:c r="SQY67" s="291"/>
      <x:c r="SQZ67" s="291"/>
      <x:c r="SRA67" s="291"/>
      <x:c r="SRB67" s="291"/>
      <x:c r="SRC67" s="291"/>
      <x:c r="SRD67" s="291"/>
      <x:c r="SRE67" s="291"/>
      <x:c r="SRF67" s="291"/>
      <x:c r="SRG67" s="291"/>
      <x:c r="SRH67" s="291"/>
      <x:c r="SRI67" s="291"/>
      <x:c r="SRJ67" s="291"/>
      <x:c r="SRK67" s="291"/>
      <x:c r="SRL67" s="291"/>
      <x:c r="SRM67" s="291"/>
      <x:c r="SRN67" s="291"/>
      <x:c r="SRO67" s="291"/>
      <x:c r="SRP67" s="291"/>
      <x:c r="SRQ67" s="291"/>
      <x:c r="SRR67" s="291"/>
      <x:c r="SRS67" s="291"/>
      <x:c r="SRT67" s="291"/>
      <x:c r="SRU67" s="291"/>
      <x:c r="SRV67" s="291"/>
      <x:c r="SRW67" s="291"/>
      <x:c r="SRX67" s="291"/>
      <x:c r="SRY67" s="291"/>
      <x:c r="SRZ67" s="291"/>
      <x:c r="SSA67" s="291"/>
      <x:c r="SSB67" s="291"/>
      <x:c r="SSC67" s="291"/>
      <x:c r="SSD67" s="291"/>
      <x:c r="SSE67" s="291"/>
      <x:c r="SSF67" s="291"/>
      <x:c r="SSG67" s="291"/>
      <x:c r="SSH67" s="291"/>
      <x:c r="SSI67" s="291"/>
      <x:c r="SSJ67" s="291"/>
      <x:c r="SSK67" s="291"/>
      <x:c r="SSL67" s="291"/>
      <x:c r="SSM67" s="291"/>
      <x:c r="SSN67" s="291"/>
      <x:c r="SSO67" s="291"/>
      <x:c r="SSP67" s="291"/>
      <x:c r="SSQ67" s="291"/>
      <x:c r="SSR67" s="291"/>
      <x:c r="SSS67" s="291"/>
      <x:c r="SST67" s="291"/>
      <x:c r="SSU67" s="291"/>
      <x:c r="SSV67" s="291"/>
      <x:c r="SSW67" s="291"/>
      <x:c r="SSX67" s="291"/>
      <x:c r="SSY67" s="291"/>
      <x:c r="SSZ67" s="291"/>
      <x:c r="STA67" s="291"/>
      <x:c r="STB67" s="291"/>
      <x:c r="STC67" s="291"/>
      <x:c r="STD67" s="291"/>
      <x:c r="STE67" s="291"/>
      <x:c r="STF67" s="291"/>
      <x:c r="STG67" s="291"/>
      <x:c r="STH67" s="291"/>
      <x:c r="STI67" s="291"/>
      <x:c r="STJ67" s="291"/>
      <x:c r="STK67" s="291"/>
      <x:c r="STL67" s="291"/>
      <x:c r="STM67" s="291"/>
      <x:c r="STN67" s="291"/>
      <x:c r="STO67" s="291"/>
      <x:c r="STP67" s="291"/>
      <x:c r="STQ67" s="291"/>
      <x:c r="STR67" s="291"/>
      <x:c r="STS67" s="291"/>
      <x:c r="STT67" s="291"/>
      <x:c r="STU67" s="291"/>
      <x:c r="STV67" s="291"/>
      <x:c r="STW67" s="291"/>
      <x:c r="STX67" s="291"/>
      <x:c r="STY67" s="291"/>
      <x:c r="STZ67" s="291"/>
      <x:c r="SUA67" s="291"/>
      <x:c r="SUB67" s="291"/>
      <x:c r="SUC67" s="291"/>
      <x:c r="SUD67" s="291"/>
      <x:c r="SUE67" s="291"/>
      <x:c r="SUF67" s="291"/>
      <x:c r="SUG67" s="291"/>
      <x:c r="SUH67" s="291"/>
      <x:c r="SUI67" s="291"/>
      <x:c r="SUJ67" s="291"/>
      <x:c r="SUK67" s="291"/>
      <x:c r="SUL67" s="291"/>
      <x:c r="SUM67" s="291"/>
      <x:c r="SUN67" s="291"/>
      <x:c r="SUO67" s="291"/>
      <x:c r="SUP67" s="291"/>
      <x:c r="SUQ67" s="291"/>
      <x:c r="SUR67" s="291"/>
      <x:c r="SUS67" s="291"/>
      <x:c r="SUT67" s="291"/>
      <x:c r="SUU67" s="291"/>
      <x:c r="SUV67" s="291"/>
      <x:c r="SUW67" s="291"/>
      <x:c r="SUX67" s="291"/>
      <x:c r="SUY67" s="291"/>
      <x:c r="SUZ67" s="291"/>
      <x:c r="SVA67" s="291"/>
      <x:c r="SVB67" s="291"/>
      <x:c r="SVC67" s="291"/>
      <x:c r="SVD67" s="291"/>
      <x:c r="SVE67" s="291"/>
      <x:c r="SVF67" s="291"/>
      <x:c r="SVG67" s="291"/>
      <x:c r="SVH67" s="291"/>
      <x:c r="SVI67" s="291"/>
      <x:c r="SVJ67" s="291"/>
      <x:c r="SVK67" s="291"/>
      <x:c r="SVL67" s="291"/>
      <x:c r="SVM67" s="291"/>
      <x:c r="SVN67" s="291"/>
      <x:c r="SVO67" s="291"/>
      <x:c r="SVP67" s="291"/>
      <x:c r="SVQ67" s="291"/>
      <x:c r="SVR67" s="291"/>
      <x:c r="SVS67" s="291"/>
      <x:c r="SVT67" s="291"/>
      <x:c r="SVU67" s="291"/>
      <x:c r="SVV67" s="291"/>
      <x:c r="SVW67" s="291"/>
      <x:c r="SVX67" s="291"/>
      <x:c r="SVY67" s="291"/>
      <x:c r="SVZ67" s="291"/>
      <x:c r="SWA67" s="291"/>
      <x:c r="SWB67" s="291"/>
      <x:c r="SWC67" s="291"/>
      <x:c r="SWD67" s="291"/>
      <x:c r="SWE67" s="291"/>
      <x:c r="SWF67" s="291"/>
      <x:c r="SWG67" s="291"/>
      <x:c r="SWH67" s="291"/>
      <x:c r="SWI67" s="291"/>
      <x:c r="SWJ67" s="291"/>
      <x:c r="SWK67" s="291"/>
      <x:c r="SWL67" s="291"/>
      <x:c r="SWM67" s="291"/>
      <x:c r="SWN67" s="291"/>
      <x:c r="SWO67" s="291"/>
      <x:c r="SWP67" s="291"/>
      <x:c r="SWQ67" s="291"/>
      <x:c r="SWR67" s="291"/>
      <x:c r="SWS67" s="291"/>
      <x:c r="SWT67" s="291"/>
      <x:c r="SWU67" s="291"/>
      <x:c r="SWV67" s="291"/>
      <x:c r="SWW67" s="291"/>
      <x:c r="SWX67" s="291"/>
      <x:c r="SWY67" s="291"/>
      <x:c r="SWZ67" s="291"/>
      <x:c r="SXA67" s="291"/>
      <x:c r="SXB67" s="291"/>
      <x:c r="SXC67" s="291"/>
      <x:c r="SXD67" s="291"/>
      <x:c r="SXE67" s="291"/>
      <x:c r="SXF67" s="291"/>
      <x:c r="SXG67" s="291"/>
      <x:c r="SXH67" s="291"/>
      <x:c r="SXI67" s="291"/>
      <x:c r="SXJ67" s="291"/>
      <x:c r="SXK67" s="291"/>
      <x:c r="SXL67" s="291"/>
      <x:c r="SXM67" s="291"/>
      <x:c r="SXN67" s="291"/>
      <x:c r="SXO67" s="291"/>
      <x:c r="SXP67" s="291"/>
      <x:c r="SXQ67" s="291"/>
      <x:c r="SXR67" s="291"/>
      <x:c r="SXS67" s="291"/>
      <x:c r="SXT67" s="291"/>
      <x:c r="SXU67" s="291"/>
      <x:c r="SXV67" s="291"/>
      <x:c r="SXW67" s="291"/>
      <x:c r="SXX67" s="291"/>
      <x:c r="SXY67" s="291"/>
      <x:c r="SXZ67" s="291"/>
      <x:c r="SYA67" s="291"/>
      <x:c r="SYB67" s="291"/>
      <x:c r="SYC67" s="291"/>
      <x:c r="SYD67" s="291"/>
      <x:c r="SYE67" s="291"/>
      <x:c r="SYF67" s="291"/>
      <x:c r="SYG67" s="291"/>
      <x:c r="SYH67" s="291"/>
      <x:c r="SYI67" s="291"/>
      <x:c r="SYJ67" s="291"/>
      <x:c r="SYK67" s="291"/>
      <x:c r="SYL67" s="291"/>
      <x:c r="SYM67" s="291"/>
      <x:c r="SYN67" s="291"/>
      <x:c r="SYO67" s="291"/>
      <x:c r="SYP67" s="291"/>
      <x:c r="SYQ67" s="291"/>
      <x:c r="SYR67" s="291"/>
      <x:c r="SYS67" s="291"/>
      <x:c r="SYT67" s="291"/>
      <x:c r="SYU67" s="291"/>
      <x:c r="SYV67" s="291"/>
      <x:c r="SYW67" s="291"/>
      <x:c r="SYX67" s="291"/>
      <x:c r="SYY67" s="291"/>
      <x:c r="SYZ67" s="291"/>
      <x:c r="SZA67" s="291"/>
      <x:c r="SZB67" s="291"/>
      <x:c r="SZC67" s="291"/>
      <x:c r="SZD67" s="291"/>
      <x:c r="SZE67" s="291"/>
      <x:c r="SZF67" s="291"/>
      <x:c r="SZG67" s="291"/>
      <x:c r="SZH67" s="291"/>
      <x:c r="SZI67" s="291"/>
      <x:c r="SZJ67" s="291"/>
      <x:c r="SZK67" s="291"/>
      <x:c r="SZL67" s="291"/>
      <x:c r="SZM67" s="291"/>
      <x:c r="SZN67" s="291"/>
      <x:c r="SZO67" s="291"/>
      <x:c r="SZP67" s="291"/>
      <x:c r="SZQ67" s="291"/>
      <x:c r="SZR67" s="291"/>
      <x:c r="SZS67" s="291"/>
      <x:c r="SZT67" s="291"/>
      <x:c r="SZU67" s="291"/>
      <x:c r="SZV67" s="291"/>
      <x:c r="SZW67" s="291"/>
      <x:c r="SZX67" s="291"/>
      <x:c r="SZY67" s="291"/>
      <x:c r="SZZ67" s="291"/>
      <x:c r="TAA67" s="291"/>
      <x:c r="TAB67" s="291"/>
      <x:c r="TAC67" s="291"/>
      <x:c r="TAD67" s="291"/>
      <x:c r="TAE67" s="291"/>
      <x:c r="TAF67" s="291"/>
      <x:c r="TAG67" s="291"/>
      <x:c r="TAH67" s="291"/>
      <x:c r="TAI67" s="291"/>
      <x:c r="TAJ67" s="291"/>
      <x:c r="TAK67" s="291"/>
      <x:c r="TAL67" s="291"/>
      <x:c r="TAM67" s="291"/>
      <x:c r="TAN67" s="291"/>
      <x:c r="TAO67" s="291"/>
      <x:c r="TAP67" s="291"/>
      <x:c r="TAQ67" s="291"/>
      <x:c r="TAR67" s="291"/>
      <x:c r="TAS67" s="291"/>
      <x:c r="TAT67" s="291"/>
      <x:c r="TAU67" s="291"/>
      <x:c r="TAV67" s="291"/>
      <x:c r="TAW67" s="291"/>
      <x:c r="TAX67" s="291"/>
      <x:c r="TAY67" s="291"/>
      <x:c r="TAZ67" s="291"/>
      <x:c r="TBA67" s="291"/>
      <x:c r="TBB67" s="291"/>
      <x:c r="TBC67" s="291"/>
      <x:c r="TBD67" s="291"/>
      <x:c r="TBE67" s="291"/>
      <x:c r="TBF67" s="291"/>
      <x:c r="TBG67" s="291"/>
      <x:c r="TBH67" s="291"/>
      <x:c r="TBI67" s="291"/>
      <x:c r="TBJ67" s="291"/>
      <x:c r="TBK67" s="291"/>
      <x:c r="TBL67" s="291"/>
      <x:c r="TBM67" s="291"/>
      <x:c r="TBN67" s="291"/>
      <x:c r="TBO67" s="291"/>
      <x:c r="TBP67" s="291"/>
      <x:c r="TBQ67" s="291"/>
      <x:c r="TBR67" s="291"/>
      <x:c r="TBS67" s="291"/>
      <x:c r="TBT67" s="291"/>
      <x:c r="TBU67" s="291"/>
      <x:c r="TBV67" s="291"/>
      <x:c r="TBW67" s="291"/>
      <x:c r="TBX67" s="291"/>
      <x:c r="TBY67" s="291"/>
      <x:c r="TBZ67" s="291"/>
      <x:c r="TCA67" s="291"/>
      <x:c r="TCB67" s="291"/>
      <x:c r="TCC67" s="291"/>
      <x:c r="TCD67" s="291"/>
      <x:c r="TCE67" s="291"/>
      <x:c r="TCF67" s="291"/>
      <x:c r="TCG67" s="291"/>
      <x:c r="TCH67" s="291"/>
      <x:c r="TCI67" s="291"/>
      <x:c r="TCJ67" s="291"/>
      <x:c r="TCK67" s="291"/>
      <x:c r="TCL67" s="291"/>
      <x:c r="TCM67" s="291"/>
      <x:c r="TCN67" s="291"/>
      <x:c r="TCO67" s="291"/>
      <x:c r="TCP67" s="291"/>
      <x:c r="TCQ67" s="291"/>
      <x:c r="TCR67" s="291"/>
      <x:c r="TCS67" s="291"/>
      <x:c r="TCT67" s="291"/>
      <x:c r="TCU67" s="291"/>
      <x:c r="TCV67" s="291"/>
      <x:c r="TCW67" s="291"/>
      <x:c r="TCX67" s="291"/>
      <x:c r="TCY67" s="291"/>
      <x:c r="TCZ67" s="291"/>
      <x:c r="TDA67" s="291"/>
      <x:c r="TDB67" s="291"/>
      <x:c r="TDC67" s="291"/>
      <x:c r="TDD67" s="291"/>
      <x:c r="TDE67" s="291"/>
      <x:c r="TDF67" s="291"/>
      <x:c r="TDG67" s="291"/>
      <x:c r="TDH67" s="291"/>
      <x:c r="TDI67" s="291"/>
      <x:c r="TDJ67" s="291"/>
      <x:c r="TDK67" s="291"/>
      <x:c r="TDL67" s="291"/>
      <x:c r="TDM67" s="291"/>
      <x:c r="TDN67" s="291"/>
      <x:c r="TDO67" s="291"/>
      <x:c r="TDP67" s="291"/>
      <x:c r="TDQ67" s="291"/>
      <x:c r="TDR67" s="291"/>
      <x:c r="TDS67" s="291"/>
      <x:c r="TDT67" s="291"/>
      <x:c r="TDU67" s="291"/>
      <x:c r="TDV67" s="291"/>
      <x:c r="TDW67" s="291"/>
      <x:c r="TDX67" s="291"/>
      <x:c r="TDY67" s="291"/>
      <x:c r="TDZ67" s="291"/>
      <x:c r="TEA67" s="291"/>
      <x:c r="TEB67" s="291"/>
      <x:c r="TEC67" s="291"/>
      <x:c r="TED67" s="291"/>
      <x:c r="TEE67" s="291"/>
      <x:c r="TEF67" s="291"/>
      <x:c r="TEG67" s="291"/>
      <x:c r="TEH67" s="291"/>
      <x:c r="TEI67" s="291"/>
      <x:c r="TEJ67" s="291"/>
      <x:c r="TEK67" s="291"/>
      <x:c r="TEL67" s="291"/>
      <x:c r="TEM67" s="291"/>
      <x:c r="TEN67" s="291"/>
      <x:c r="TEO67" s="291"/>
      <x:c r="TEP67" s="291"/>
      <x:c r="TEQ67" s="291"/>
      <x:c r="TER67" s="291"/>
      <x:c r="TES67" s="291"/>
      <x:c r="TET67" s="291"/>
      <x:c r="TEU67" s="291"/>
      <x:c r="TEV67" s="291"/>
      <x:c r="TEW67" s="291"/>
      <x:c r="TEX67" s="291"/>
      <x:c r="TEY67" s="291"/>
      <x:c r="TEZ67" s="291"/>
      <x:c r="TFA67" s="291"/>
      <x:c r="TFB67" s="291"/>
      <x:c r="TFC67" s="291"/>
      <x:c r="TFD67" s="291"/>
      <x:c r="TFE67" s="291"/>
      <x:c r="TFF67" s="291"/>
      <x:c r="TFG67" s="291"/>
      <x:c r="TFH67" s="291"/>
      <x:c r="TFI67" s="291"/>
      <x:c r="TFJ67" s="291"/>
      <x:c r="TFK67" s="291"/>
      <x:c r="TFL67" s="291"/>
      <x:c r="TFM67" s="291"/>
      <x:c r="TFN67" s="291"/>
      <x:c r="TFO67" s="291"/>
      <x:c r="TFP67" s="291"/>
      <x:c r="TFQ67" s="291"/>
      <x:c r="TFR67" s="291"/>
      <x:c r="TFS67" s="291"/>
      <x:c r="TFT67" s="291"/>
      <x:c r="TFU67" s="291"/>
      <x:c r="TFV67" s="291"/>
      <x:c r="TFW67" s="291"/>
      <x:c r="TFX67" s="291"/>
      <x:c r="TFY67" s="291"/>
      <x:c r="TFZ67" s="291"/>
      <x:c r="TGA67" s="291"/>
      <x:c r="TGB67" s="291"/>
      <x:c r="TGC67" s="291"/>
      <x:c r="TGD67" s="291"/>
      <x:c r="TGE67" s="291"/>
      <x:c r="TGF67" s="291"/>
      <x:c r="TGG67" s="291"/>
      <x:c r="TGH67" s="291"/>
      <x:c r="TGI67" s="291"/>
      <x:c r="TGJ67" s="291"/>
      <x:c r="TGK67" s="291"/>
      <x:c r="TGL67" s="291"/>
      <x:c r="TGM67" s="291"/>
      <x:c r="TGN67" s="291"/>
      <x:c r="TGO67" s="291"/>
      <x:c r="TGP67" s="291"/>
      <x:c r="TGQ67" s="291"/>
      <x:c r="TGR67" s="291"/>
      <x:c r="TGS67" s="291"/>
      <x:c r="TGT67" s="291"/>
      <x:c r="TGU67" s="291"/>
      <x:c r="TGV67" s="291"/>
      <x:c r="TGW67" s="291"/>
      <x:c r="TGX67" s="291"/>
      <x:c r="TGY67" s="291"/>
      <x:c r="TGZ67" s="291"/>
      <x:c r="THA67" s="291"/>
      <x:c r="THB67" s="291"/>
      <x:c r="THC67" s="291"/>
      <x:c r="THD67" s="291"/>
      <x:c r="THE67" s="291"/>
      <x:c r="THF67" s="291"/>
      <x:c r="THG67" s="291"/>
      <x:c r="THH67" s="291"/>
      <x:c r="THI67" s="291"/>
      <x:c r="THJ67" s="291"/>
      <x:c r="THK67" s="291"/>
      <x:c r="THL67" s="291"/>
      <x:c r="THM67" s="291"/>
      <x:c r="THN67" s="291"/>
      <x:c r="THO67" s="291"/>
      <x:c r="THP67" s="291"/>
      <x:c r="THQ67" s="291"/>
      <x:c r="THR67" s="291"/>
      <x:c r="THS67" s="291"/>
      <x:c r="THT67" s="291"/>
      <x:c r="THU67" s="291"/>
      <x:c r="THV67" s="291"/>
      <x:c r="THW67" s="291"/>
      <x:c r="THX67" s="291"/>
      <x:c r="THY67" s="291"/>
      <x:c r="THZ67" s="291"/>
      <x:c r="TIA67" s="291"/>
      <x:c r="TIB67" s="291"/>
      <x:c r="TIC67" s="291"/>
      <x:c r="TID67" s="291"/>
      <x:c r="TIE67" s="291"/>
      <x:c r="TIF67" s="291"/>
      <x:c r="TIG67" s="291"/>
      <x:c r="TIH67" s="291"/>
      <x:c r="TII67" s="291"/>
      <x:c r="TIJ67" s="291"/>
      <x:c r="TIK67" s="291"/>
      <x:c r="TIL67" s="291"/>
      <x:c r="TIM67" s="291"/>
      <x:c r="TIN67" s="291"/>
      <x:c r="TIO67" s="291"/>
      <x:c r="TIP67" s="291"/>
      <x:c r="TIQ67" s="291"/>
      <x:c r="TIR67" s="291"/>
      <x:c r="TIS67" s="291"/>
      <x:c r="TIT67" s="291"/>
      <x:c r="TIU67" s="291"/>
      <x:c r="TIV67" s="291"/>
      <x:c r="TIW67" s="291"/>
      <x:c r="TIX67" s="291"/>
      <x:c r="TIY67" s="291"/>
      <x:c r="TIZ67" s="291"/>
      <x:c r="TJA67" s="291"/>
      <x:c r="TJB67" s="291"/>
      <x:c r="TJC67" s="291"/>
      <x:c r="TJD67" s="291"/>
      <x:c r="TJE67" s="291"/>
      <x:c r="TJF67" s="291"/>
      <x:c r="TJG67" s="291"/>
      <x:c r="TJH67" s="291"/>
      <x:c r="TJI67" s="291"/>
      <x:c r="TJJ67" s="291"/>
      <x:c r="TJK67" s="291"/>
      <x:c r="TJL67" s="291"/>
      <x:c r="TJM67" s="291"/>
      <x:c r="TJN67" s="291"/>
      <x:c r="TJO67" s="291"/>
      <x:c r="TJP67" s="291"/>
      <x:c r="TJQ67" s="291"/>
      <x:c r="TJR67" s="291"/>
      <x:c r="TJS67" s="291"/>
      <x:c r="TJT67" s="291"/>
      <x:c r="TJU67" s="291"/>
      <x:c r="TJV67" s="291"/>
      <x:c r="TJW67" s="291"/>
      <x:c r="TJX67" s="291"/>
      <x:c r="TJY67" s="291"/>
      <x:c r="TJZ67" s="291"/>
      <x:c r="TKA67" s="291"/>
      <x:c r="TKB67" s="291"/>
      <x:c r="TKC67" s="291"/>
      <x:c r="TKD67" s="291"/>
      <x:c r="TKE67" s="291"/>
      <x:c r="TKF67" s="291"/>
      <x:c r="TKG67" s="291"/>
      <x:c r="TKH67" s="291"/>
      <x:c r="TKI67" s="291"/>
      <x:c r="TKJ67" s="291"/>
      <x:c r="TKK67" s="291"/>
      <x:c r="TKL67" s="291"/>
      <x:c r="TKM67" s="291"/>
      <x:c r="TKN67" s="291"/>
      <x:c r="TKO67" s="291"/>
      <x:c r="TKP67" s="291"/>
      <x:c r="TKQ67" s="291"/>
      <x:c r="TKR67" s="291"/>
      <x:c r="TKS67" s="291"/>
      <x:c r="TKT67" s="291"/>
      <x:c r="TKU67" s="291"/>
      <x:c r="TKV67" s="291"/>
      <x:c r="TKW67" s="291"/>
      <x:c r="TKX67" s="291"/>
      <x:c r="TKY67" s="291"/>
      <x:c r="TKZ67" s="291"/>
      <x:c r="TLA67" s="291"/>
      <x:c r="TLB67" s="291"/>
      <x:c r="TLC67" s="291"/>
      <x:c r="TLD67" s="291"/>
      <x:c r="TLE67" s="291"/>
      <x:c r="TLF67" s="291"/>
      <x:c r="TLG67" s="291"/>
      <x:c r="TLH67" s="291"/>
      <x:c r="TLI67" s="291"/>
      <x:c r="TLJ67" s="291"/>
      <x:c r="TLK67" s="291"/>
      <x:c r="TLL67" s="291"/>
      <x:c r="TLM67" s="291"/>
      <x:c r="TLN67" s="291"/>
      <x:c r="TLO67" s="291"/>
      <x:c r="TLP67" s="291"/>
      <x:c r="TLQ67" s="291"/>
      <x:c r="TLR67" s="291"/>
      <x:c r="TLS67" s="291"/>
      <x:c r="TLT67" s="291"/>
      <x:c r="TLU67" s="291"/>
      <x:c r="TLV67" s="291"/>
      <x:c r="TLW67" s="291"/>
      <x:c r="TLX67" s="291"/>
      <x:c r="TLY67" s="291"/>
      <x:c r="TLZ67" s="291"/>
      <x:c r="TMA67" s="291"/>
      <x:c r="TMB67" s="291"/>
      <x:c r="TMC67" s="291"/>
      <x:c r="TMD67" s="291"/>
      <x:c r="TME67" s="291"/>
      <x:c r="TMF67" s="291"/>
      <x:c r="TMG67" s="291"/>
      <x:c r="TMH67" s="291"/>
      <x:c r="TMI67" s="291"/>
      <x:c r="TMJ67" s="291"/>
      <x:c r="TMK67" s="291"/>
      <x:c r="TML67" s="291"/>
      <x:c r="TMM67" s="291"/>
      <x:c r="TMN67" s="291"/>
      <x:c r="TMO67" s="291"/>
      <x:c r="TMP67" s="291"/>
      <x:c r="TMQ67" s="291"/>
      <x:c r="TMR67" s="291"/>
      <x:c r="TMS67" s="291"/>
      <x:c r="TMT67" s="291"/>
      <x:c r="TMU67" s="291"/>
      <x:c r="TMV67" s="291"/>
      <x:c r="TMW67" s="291"/>
      <x:c r="TMX67" s="291"/>
      <x:c r="TMY67" s="291"/>
      <x:c r="TMZ67" s="291"/>
      <x:c r="TNA67" s="291"/>
      <x:c r="TNB67" s="291"/>
      <x:c r="TNC67" s="291"/>
      <x:c r="TND67" s="291"/>
      <x:c r="TNE67" s="291"/>
      <x:c r="TNF67" s="291"/>
      <x:c r="TNG67" s="291"/>
      <x:c r="TNH67" s="291"/>
      <x:c r="TNI67" s="291"/>
      <x:c r="TNJ67" s="291"/>
      <x:c r="TNK67" s="291"/>
      <x:c r="TNL67" s="291"/>
      <x:c r="TNM67" s="291"/>
      <x:c r="TNN67" s="291"/>
      <x:c r="TNO67" s="291"/>
      <x:c r="TNP67" s="291"/>
      <x:c r="TNQ67" s="291"/>
      <x:c r="TNR67" s="291"/>
      <x:c r="TNS67" s="291"/>
      <x:c r="TNT67" s="291"/>
      <x:c r="TNU67" s="291"/>
      <x:c r="TNV67" s="291"/>
      <x:c r="TNW67" s="291"/>
      <x:c r="TNX67" s="291"/>
      <x:c r="TNY67" s="291"/>
      <x:c r="TNZ67" s="291"/>
      <x:c r="TOA67" s="291"/>
      <x:c r="TOB67" s="291"/>
      <x:c r="TOC67" s="291"/>
      <x:c r="TOD67" s="291"/>
      <x:c r="TOE67" s="291"/>
      <x:c r="TOF67" s="291"/>
      <x:c r="TOG67" s="291"/>
      <x:c r="TOH67" s="291"/>
      <x:c r="TOI67" s="291"/>
      <x:c r="TOJ67" s="291"/>
      <x:c r="TOK67" s="291"/>
      <x:c r="TOL67" s="291"/>
      <x:c r="TOM67" s="291"/>
      <x:c r="TON67" s="291"/>
      <x:c r="TOO67" s="291"/>
      <x:c r="TOP67" s="291"/>
      <x:c r="TOQ67" s="291"/>
      <x:c r="TOR67" s="291"/>
      <x:c r="TOS67" s="291"/>
      <x:c r="TOT67" s="291"/>
      <x:c r="TOU67" s="291"/>
      <x:c r="TOV67" s="291"/>
      <x:c r="TOW67" s="291"/>
      <x:c r="TOX67" s="291"/>
      <x:c r="TOY67" s="291"/>
      <x:c r="TOZ67" s="291"/>
      <x:c r="TPA67" s="291"/>
      <x:c r="TPB67" s="291"/>
      <x:c r="TPC67" s="291"/>
      <x:c r="TPD67" s="291"/>
      <x:c r="TPE67" s="291"/>
      <x:c r="TPF67" s="291"/>
      <x:c r="TPG67" s="291"/>
      <x:c r="TPH67" s="291"/>
      <x:c r="TPI67" s="291"/>
      <x:c r="TPJ67" s="291"/>
      <x:c r="TPK67" s="291"/>
      <x:c r="TPL67" s="291"/>
      <x:c r="TPM67" s="291"/>
      <x:c r="TPN67" s="291"/>
      <x:c r="TPO67" s="291"/>
      <x:c r="TPP67" s="291"/>
      <x:c r="TPQ67" s="291"/>
      <x:c r="TPR67" s="291"/>
      <x:c r="TPS67" s="291"/>
      <x:c r="TPT67" s="291"/>
      <x:c r="TPU67" s="291"/>
      <x:c r="TPV67" s="291"/>
      <x:c r="TPW67" s="291"/>
      <x:c r="TPX67" s="291"/>
      <x:c r="TPY67" s="291"/>
      <x:c r="TPZ67" s="291"/>
      <x:c r="TQA67" s="291"/>
      <x:c r="TQB67" s="291"/>
      <x:c r="TQC67" s="291"/>
      <x:c r="TQD67" s="291"/>
      <x:c r="TQE67" s="291"/>
      <x:c r="TQF67" s="291"/>
      <x:c r="TQG67" s="291"/>
      <x:c r="TQH67" s="291"/>
      <x:c r="TQI67" s="291"/>
      <x:c r="TQJ67" s="291"/>
      <x:c r="TQK67" s="291"/>
      <x:c r="TQL67" s="291"/>
      <x:c r="TQM67" s="291"/>
      <x:c r="TQN67" s="291"/>
      <x:c r="TQO67" s="291"/>
      <x:c r="TQP67" s="291"/>
      <x:c r="TQQ67" s="291"/>
      <x:c r="TQR67" s="291"/>
      <x:c r="TQS67" s="291"/>
      <x:c r="TQT67" s="291"/>
      <x:c r="TQU67" s="291"/>
      <x:c r="TQV67" s="291"/>
      <x:c r="TQW67" s="291"/>
      <x:c r="TQX67" s="291"/>
      <x:c r="TQY67" s="291"/>
      <x:c r="TQZ67" s="291"/>
      <x:c r="TRA67" s="291"/>
      <x:c r="TRB67" s="291"/>
      <x:c r="TRC67" s="291"/>
      <x:c r="TRD67" s="291"/>
      <x:c r="TRE67" s="291"/>
      <x:c r="TRF67" s="291"/>
      <x:c r="TRG67" s="291"/>
      <x:c r="TRH67" s="291"/>
      <x:c r="TRI67" s="291"/>
      <x:c r="TRJ67" s="291"/>
      <x:c r="TRK67" s="291"/>
      <x:c r="TRL67" s="291"/>
      <x:c r="TRM67" s="291"/>
      <x:c r="TRN67" s="291"/>
      <x:c r="TRO67" s="291"/>
      <x:c r="TRP67" s="291"/>
      <x:c r="TRQ67" s="291"/>
      <x:c r="TRR67" s="291"/>
      <x:c r="TRS67" s="291"/>
      <x:c r="TRT67" s="291"/>
      <x:c r="TRU67" s="291"/>
      <x:c r="TRV67" s="291"/>
      <x:c r="TRW67" s="291"/>
      <x:c r="TRX67" s="291"/>
      <x:c r="TRY67" s="291"/>
      <x:c r="TRZ67" s="291"/>
      <x:c r="TSA67" s="291"/>
      <x:c r="TSB67" s="291"/>
      <x:c r="TSC67" s="291"/>
      <x:c r="TSD67" s="291"/>
      <x:c r="TSE67" s="291"/>
      <x:c r="TSF67" s="291"/>
      <x:c r="TSG67" s="291"/>
      <x:c r="TSH67" s="291"/>
      <x:c r="TSI67" s="291"/>
      <x:c r="TSJ67" s="291"/>
      <x:c r="TSK67" s="291"/>
      <x:c r="TSL67" s="291"/>
      <x:c r="TSM67" s="291"/>
      <x:c r="TSN67" s="291"/>
      <x:c r="TSO67" s="291"/>
      <x:c r="TSP67" s="291"/>
      <x:c r="TSQ67" s="291"/>
      <x:c r="TSR67" s="291"/>
      <x:c r="TSS67" s="291"/>
      <x:c r="TST67" s="291"/>
      <x:c r="TSU67" s="291"/>
      <x:c r="TSV67" s="291"/>
      <x:c r="TSW67" s="291"/>
      <x:c r="TSX67" s="291"/>
      <x:c r="TSY67" s="291"/>
      <x:c r="TSZ67" s="291"/>
      <x:c r="TTA67" s="291"/>
      <x:c r="TTB67" s="291"/>
      <x:c r="TTC67" s="291"/>
      <x:c r="TTD67" s="291"/>
      <x:c r="TTE67" s="291"/>
      <x:c r="TTF67" s="291"/>
      <x:c r="TTG67" s="291"/>
      <x:c r="TTH67" s="291"/>
      <x:c r="TTI67" s="291"/>
      <x:c r="TTJ67" s="291"/>
      <x:c r="TTK67" s="291"/>
      <x:c r="TTL67" s="291"/>
      <x:c r="TTM67" s="291"/>
      <x:c r="TTN67" s="291"/>
      <x:c r="TTO67" s="291"/>
      <x:c r="TTP67" s="291"/>
      <x:c r="TTQ67" s="291"/>
      <x:c r="TTR67" s="291"/>
      <x:c r="TTS67" s="291"/>
      <x:c r="TTT67" s="291"/>
      <x:c r="TTU67" s="291"/>
      <x:c r="TTV67" s="291"/>
      <x:c r="TTW67" s="291"/>
      <x:c r="TTX67" s="291"/>
      <x:c r="TTY67" s="291"/>
      <x:c r="TTZ67" s="291"/>
      <x:c r="TUA67" s="291"/>
      <x:c r="TUB67" s="291"/>
      <x:c r="TUC67" s="291"/>
      <x:c r="TUD67" s="291"/>
      <x:c r="TUE67" s="291"/>
      <x:c r="TUF67" s="291"/>
      <x:c r="TUG67" s="291"/>
      <x:c r="TUH67" s="291"/>
      <x:c r="TUI67" s="291"/>
      <x:c r="TUJ67" s="291"/>
      <x:c r="TUK67" s="291"/>
      <x:c r="TUL67" s="291"/>
      <x:c r="TUM67" s="291"/>
      <x:c r="TUN67" s="291"/>
      <x:c r="TUO67" s="291"/>
      <x:c r="TUP67" s="291"/>
      <x:c r="TUQ67" s="291"/>
      <x:c r="TUR67" s="291"/>
      <x:c r="TUS67" s="291"/>
      <x:c r="TUT67" s="291"/>
      <x:c r="TUU67" s="291"/>
      <x:c r="TUV67" s="291"/>
      <x:c r="TUW67" s="291"/>
      <x:c r="TUX67" s="291"/>
      <x:c r="TUY67" s="291"/>
      <x:c r="TUZ67" s="291"/>
      <x:c r="TVA67" s="291"/>
      <x:c r="TVB67" s="291"/>
      <x:c r="TVC67" s="291"/>
      <x:c r="TVD67" s="291"/>
      <x:c r="TVE67" s="291"/>
      <x:c r="TVF67" s="291"/>
      <x:c r="TVG67" s="291"/>
      <x:c r="TVH67" s="291"/>
      <x:c r="TVI67" s="291"/>
      <x:c r="TVJ67" s="291"/>
      <x:c r="TVK67" s="291"/>
      <x:c r="TVL67" s="291"/>
      <x:c r="TVM67" s="291"/>
      <x:c r="TVN67" s="291"/>
      <x:c r="TVO67" s="291"/>
      <x:c r="TVP67" s="291"/>
      <x:c r="TVQ67" s="291"/>
      <x:c r="TVR67" s="291"/>
      <x:c r="TVS67" s="291"/>
      <x:c r="TVT67" s="291"/>
      <x:c r="TVU67" s="291"/>
      <x:c r="TVV67" s="291"/>
      <x:c r="TVW67" s="291"/>
      <x:c r="TVX67" s="291"/>
      <x:c r="TVY67" s="291"/>
      <x:c r="TVZ67" s="291"/>
      <x:c r="TWA67" s="291"/>
      <x:c r="TWB67" s="291"/>
      <x:c r="TWC67" s="291"/>
      <x:c r="TWD67" s="291"/>
      <x:c r="TWE67" s="291"/>
      <x:c r="TWF67" s="291"/>
      <x:c r="TWG67" s="291"/>
      <x:c r="TWH67" s="291"/>
      <x:c r="TWI67" s="291"/>
      <x:c r="TWJ67" s="291"/>
      <x:c r="TWK67" s="291"/>
      <x:c r="TWL67" s="291"/>
      <x:c r="TWM67" s="291"/>
      <x:c r="TWN67" s="291"/>
      <x:c r="TWO67" s="291"/>
      <x:c r="TWP67" s="291"/>
      <x:c r="TWQ67" s="291"/>
      <x:c r="TWR67" s="291"/>
      <x:c r="TWS67" s="291"/>
      <x:c r="TWT67" s="291"/>
      <x:c r="TWU67" s="291"/>
      <x:c r="TWV67" s="291"/>
      <x:c r="TWW67" s="291"/>
      <x:c r="TWX67" s="291"/>
      <x:c r="TWY67" s="291"/>
      <x:c r="TWZ67" s="291"/>
      <x:c r="TXA67" s="291"/>
      <x:c r="TXB67" s="291"/>
      <x:c r="TXC67" s="291"/>
      <x:c r="TXD67" s="291"/>
      <x:c r="TXE67" s="291"/>
      <x:c r="TXF67" s="291"/>
      <x:c r="TXG67" s="291"/>
      <x:c r="TXH67" s="291"/>
      <x:c r="TXI67" s="291"/>
      <x:c r="TXJ67" s="291"/>
      <x:c r="TXK67" s="291"/>
      <x:c r="TXL67" s="291"/>
      <x:c r="TXM67" s="291"/>
      <x:c r="TXN67" s="291"/>
      <x:c r="TXO67" s="291"/>
      <x:c r="TXP67" s="291"/>
      <x:c r="TXQ67" s="291"/>
      <x:c r="TXR67" s="291"/>
      <x:c r="TXS67" s="291"/>
      <x:c r="TXT67" s="291"/>
      <x:c r="TXU67" s="291"/>
      <x:c r="TXV67" s="291"/>
      <x:c r="TXW67" s="291"/>
      <x:c r="TXX67" s="291"/>
      <x:c r="TXY67" s="291"/>
      <x:c r="TXZ67" s="291"/>
      <x:c r="TYA67" s="291"/>
      <x:c r="TYB67" s="291"/>
      <x:c r="TYC67" s="291"/>
      <x:c r="TYD67" s="291"/>
      <x:c r="TYE67" s="291"/>
      <x:c r="TYF67" s="291"/>
      <x:c r="TYG67" s="291"/>
      <x:c r="TYH67" s="291"/>
      <x:c r="TYI67" s="291"/>
      <x:c r="TYJ67" s="291"/>
      <x:c r="TYK67" s="291"/>
      <x:c r="TYL67" s="291"/>
      <x:c r="TYM67" s="291"/>
      <x:c r="TYN67" s="291"/>
      <x:c r="TYO67" s="291"/>
      <x:c r="TYP67" s="291"/>
      <x:c r="TYQ67" s="291"/>
      <x:c r="TYR67" s="291"/>
      <x:c r="TYS67" s="291"/>
      <x:c r="TYT67" s="291"/>
      <x:c r="TYU67" s="291"/>
      <x:c r="TYV67" s="291"/>
      <x:c r="TYW67" s="291"/>
      <x:c r="TYX67" s="291"/>
      <x:c r="TYY67" s="291"/>
      <x:c r="TYZ67" s="291"/>
      <x:c r="TZA67" s="291"/>
      <x:c r="TZB67" s="291"/>
      <x:c r="TZC67" s="291"/>
      <x:c r="TZD67" s="291"/>
      <x:c r="TZE67" s="291"/>
      <x:c r="TZF67" s="291"/>
      <x:c r="TZG67" s="291"/>
      <x:c r="TZH67" s="291"/>
      <x:c r="TZI67" s="291"/>
      <x:c r="TZJ67" s="291"/>
      <x:c r="TZK67" s="291"/>
      <x:c r="TZL67" s="291"/>
      <x:c r="TZM67" s="291"/>
      <x:c r="TZN67" s="291"/>
      <x:c r="TZO67" s="291"/>
      <x:c r="TZP67" s="291"/>
      <x:c r="TZQ67" s="291"/>
      <x:c r="TZR67" s="291"/>
      <x:c r="TZS67" s="291"/>
      <x:c r="TZT67" s="291"/>
      <x:c r="TZU67" s="291"/>
      <x:c r="TZV67" s="291"/>
      <x:c r="TZW67" s="291"/>
      <x:c r="TZX67" s="291"/>
      <x:c r="TZY67" s="291"/>
      <x:c r="TZZ67" s="291"/>
      <x:c r="UAA67" s="291"/>
      <x:c r="UAB67" s="291"/>
      <x:c r="UAC67" s="291"/>
      <x:c r="UAD67" s="291"/>
      <x:c r="UAE67" s="291"/>
      <x:c r="UAF67" s="291"/>
      <x:c r="UAG67" s="291"/>
      <x:c r="UAH67" s="291"/>
      <x:c r="UAI67" s="291"/>
      <x:c r="UAJ67" s="291"/>
      <x:c r="UAK67" s="291"/>
      <x:c r="UAL67" s="291"/>
      <x:c r="UAM67" s="291"/>
      <x:c r="UAN67" s="291"/>
      <x:c r="UAO67" s="291"/>
      <x:c r="UAP67" s="291"/>
      <x:c r="UAQ67" s="291"/>
      <x:c r="UAR67" s="291"/>
      <x:c r="UAS67" s="291"/>
      <x:c r="UAT67" s="291"/>
      <x:c r="UAU67" s="291"/>
      <x:c r="UAV67" s="291"/>
      <x:c r="UAW67" s="291"/>
      <x:c r="UAX67" s="291"/>
      <x:c r="UAY67" s="291"/>
      <x:c r="UAZ67" s="291"/>
      <x:c r="UBA67" s="291"/>
      <x:c r="UBB67" s="291"/>
      <x:c r="UBC67" s="291"/>
      <x:c r="UBD67" s="291"/>
      <x:c r="UBE67" s="291"/>
      <x:c r="UBF67" s="291"/>
      <x:c r="UBG67" s="291"/>
      <x:c r="UBH67" s="291"/>
      <x:c r="UBI67" s="291"/>
      <x:c r="UBJ67" s="291"/>
      <x:c r="UBK67" s="291"/>
      <x:c r="UBL67" s="291"/>
      <x:c r="UBM67" s="291"/>
      <x:c r="UBN67" s="291"/>
      <x:c r="UBO67" s="291"/>
      <x:c r="UBP67" s="291"/>
      <x:c r="UBQ67" s="291"/>
      <x:c r="UBR67" s="291"/>
      <x:c r="UBS67" s="291"/>
      <x:c r="UBT67" s="291"/>
      <x:c r="UBU67" s="291"/>
      <x:c r="UBV67" s="291"/>
      <x:c r="UBW67" s="291"/>
      <x:c r="UBX67" s="291"/>
      <x:c r="UBY67" s="291"/>
      <x:c r="UBZ67" s="291"/>
      <x:c r="UCA67" s="291"/>
      <x:c r="UCB67" s="291"/>
      <x:c r="UCC67" s="291"/>
      <x:c r="UCD67" s="291"/>
      <x:c r="UCE67" s="291"/>
      <x:c r="UCF67" s="291"/>
      <x:c r="UCG67" s="291"/>
      <x:c r="UCH67" s="291"/>
      <x:c r="UCI67" s="291"/>
      <x:c r="UCJ67" s="291"/>
      <x:c r="UCK67" s="291"/>
      <x:c r="UCL67" s="291"/>
      <x:c r="UCM67" s="291"/>
      <x:c r="UCN67" s="291"/>
      <x:c r="UCO67" s="291"/>
      <x:c r="UCP67" s="291"/>
      <x:c r="UCQ67" s="291"/>
      <x:c r="UCR67" s="291"/>
      <x:c r="UCS67" s="291"/>
      <x:c r="UCT67" s="291"/>
      <x:c r="UCU67" s="291"/>
      <x:c r="UCV67" s="291"/>
      <x:c r="UCW67" s="291"/>
      <x:c r="UCX67" s="291"/>
      <x:c r="UCY67" s="291"/>
      <x:c r="UCZ67" s="291"/>
      <x:c r="UDA67" s="291"/>
      <x:c r="UDB67" s="291"/>
      <x:c r="UDC67" s="291"/>
      <x:c r="UDD67" s="291"/>
      <x:c r="UDE67" s="291"/>
      <x:c r="UDF67" s="291"/>
      <x:c r="UDG67" s="291"/>
      <x:c r="UDH67" s="291"/>
      <x:c r="UDI67" s="291"/>
      <x:c r="UDJ67" s="291"/>
      <x:c r="UDK67" s="291"/>
      <x:c r="UDL67" s="291"/>
      <x:c r="UDM67" s="291"/>
      <x:c r="UDN67" s="291"/>
      <x:c r="UDO67" s="291"/>
      <x:c r="UDP67" s="291"/>
      <x:c r="UDQ67" s="291"/>
      <x:c r="UDR67" s="291"/>
      <x:c r="UDS67" s="291"/>
      <x:c r="UDT67" s="291"/>
      <x:c r="UDU67" s="291"/>
      <x:c r="UDV67" s="291"/>
      <x:c r="UDW67" s="291"/>
      <x:c r="UDX67" s="291"/>
      <x:c r="UDY67" s="291"/>
      <x:c r="UDZ67" s="291"/>
      <x:c r="UEA67" s="291"/>
      <x:c r="UEB67" s="291"/>
      <x:c r="UEC67" s="291"/>
      <x:c r="UED67" s="291"/>
      <x:c r="UEE67" s="291"/>
      <x:c r="UEF67" s="291"/>
      <x:c r="UEG67" s="291"/>
      <x:c r="UEH67" s="291"/>
      <x:c r="UEI67" s="291"/>
      <x:c r="UEJ67" s="291"/>
      <x:c r="UEK67" s="291"/>
      <x:c r="UEL67" s="291"/>
      <x:c r="UEM67" s="291"/>
      <x:c r="UEN67" s="291"/>
      <x:c r="UEO67" s="291"/>
      <x:c r="UEP67" s="291"/>
      <x:c r="UEQ67" s="291"/>
      <x:c r="UER67" s="291"/>
      <x:c r="UES67" s="291"/>
      <x:c r="UET67" s="291"/>
      <x:c r="UEU67" s="291"/>
      <x:c r="UEV67" s="291"/>
      <x:c r="UEW67" s="291"/>
      <x:c r="UEX67" s="291"/>
      <x:c r="UEY67" s="291"/>
      <x:c r="UEZ67" s="291"/>
      <x:c r="UFA67" s="291"/>
      <x:c r="UFB67" s="291"/>
      <x:c r="UFC67" s="291"/>
      <x:c r="UFD67" s="291"/>
      <x:c r="UFE67" s="291"/>
      <x:c r="UFF67" s="291"/>
      <x:c r="UFG67" s="291"/>
      <x:c r="UFH67" s="291"/>
      <x:c r="UFI67" s="291"/>
      <x:c r="UFJ67" s="291"/>
      <x:c r="UFK67" s="291"/>
      <x:c r="UFL67" s="291"/>
      <x:c r="UFM67" s="291"/>
      <x:c r="UFN67" s="291"/>
      <x:c r="UFO67" s="291"/>
      <x:c r="UFP67" s="291"/>
      <x:c r="UFQ67" s="291"/>
      <x:c r="UFR67" s="291"/>
      <x:c r="UFS67" s="291"/>
      <x:c r="UFT67" s="291"/>
      <x:c r="UFU67" s="291"/>
      <x:c r="UFV67" s="291"/>
      <x:c r="UFW67" s="291"/>
      <x:c r="UFX67" s="291"/>
      <x:c r="UFY67" s="291"/>
      <x:c r="UFZ67" s="291"/>
      <x:c r="UGA67" s="291"/>
      <x:c r="UGB67" s="291"/>
      <x:c r="UGC67" s="291"/>
      <x:c r="UGD67" s="291"/>
      <x:c r="UGE67" s="291"/>
      <x:c r="UGF67" s="291"/>
      <x:c r="UGG67" s="291"/>
      <x:c r="UGH67" s="291"/>
      <x:c r="UGI67" s="291"/>
      <x:c r="UGJ67" s="291"/>
      <x:c r="UGK67" s="291"/>
      <x:c r="UGL67" s="291"/>
      <x:c r="UGM67" s="291"/>
      <x:c r="UGN67" s="291"/>
      <x:c r="UGO67" s="291"/>
      <x:c r="UGP67" s="291"/>
      <x:c r="UGQ67" s="291"/>
      <x:c r="UGR67" s="291"/>
      <x:c r="UGS67" s="291"/>
      <x:c r="UGT67" s="291"/>
      <x:c r="UGU67" s="291"/>
      <x:c r="UGV67" s="291"/>
      <x:c r="UGW67" s="291"/>
      <x:c r="UGX67" s="291"/>
      <x:c r="UGY67" s="291"/>
      <x:c r="UGZ67" s="291"/>
      <x:c r="UHA67" s="291"/>
      <x:c r="UHB67" s="291"/>
      <x:c r="UHC67" s="291"/>
      <x:c r="UHD67" s="291"/>
      <x:c r="UHE67" s="291"/>
      <x:c r="UHF67" s="291"/>
      <x:c r="UHG67" s="291"/>
      <x:c r="UHH67" s="291"/>
      <x:c r="UHI67" s="291"/>
      <x:c r="UHJ67" s="291"/>
      <x:c r="UHK67" s="291"/>
      <x:c r="UHL67" s="291"/>
      <x:c r="UHM67" s="291"/>
      <x:c r="UHN67" s="291"/>
      <x:c r="UHO67" s="291"/>
      <x:c r="UHP67" s="291"/>
      <x:c r="UHQ67" s="291"/>
      <x:c r="UHR67" s="291"/>
      <x:c r="UHS67" s="291"/>
      <x:c r="UHT67" s="291"/>
      <x:c r="UHU67" s="291"/>
      <x:c r="UHV67" s="291"/>
      <x:c r="UHW67" s="291"/>
      <x:c r="UHX67" s="291"/>
      <x:c r="UHY67" s="291"/>
      <x:c r="UHZ67" s="291"/>
      <x:c r="UIA67" s="291"/>
      <x:c r="UIB67" s="291"/>
      <x:c r="UIC67" s="291"/>
      <x:c r="UID67" s="291"/>
      <x:c r="UIE67" s="291"/>
      <x:c r="UIF67" s="291"/>
      <x:c r="UIG67" s="291"/>
      <x:c r="UIH67" s="291"/>
      <x:c r="UII67" s="291"/>
      <x:c r="UIJ67" s="291"/>
      <x:c r="UIK67" s="291"/>
      <x:c r="UIL67" s="291"/>
      <x:c r="UIM67" s="291"/>
      <x:c r="UIN67" s="291"/>
      <x:c r="UIO67" s="291"/>
      <x:c r="UIP67" s="291"/>
      <x:c r="UIQ67" s="291"/>
      <x:c r="UIR67" s="291"/>
      <x:c r="UIS67" s="291"/>
      <x:c r="UIT67" s="291"/>
      <x:c r="UIU67" s="291"/>
      <x:c r="UIV67" s="291"/>
      <x:c r="UIW67" s="291"/>
      <x:c r="UIX67" s="291"/>
      <x:c r="UIY67" s="291"/>
      <x:c r="UIZ67" s="291"/>
      <x:c r="UJA67" s="291"/>
      <x:c r="UJB67" s="291"/>
      <x:c r="UJC67" s="291"/>
      <x:c r="UJD67" s="291"/>
      <x:c r="UJE67" s="291"/>
      <x:c r="UJF67" s="291"/>
      <x:c r="UJG67" s="291"/>
      <x:c r="UJH67" s="291"/>
      <x:c r="UJI67" s="291"/>
      <x:c r="UJJ67" s="291"/>
      <x:c r="UJK67" s="291"/>
      <x:c r="UJL67" s="291"/>
      <x:c r="UJM67" s="291"/>
      <x:c r="UJN67" s="291"/>
      <x:c r="UJO67" s="291"/>
      <x:c r="UJP67" s="291"/>
      <x:c r="UJQ67" s="291"/>
      <x:c r="UJR67" s="291"/>
      <x:c r="UJS67" s="291"/>
      <x:c r="UJT67" s="291"/>
      <x:c r="UJU67" s="291"/>
      <x:c r="UJV67" s="291"/>
      <x:c r="UJW67" s="291"/>
      <x:c r="UJX67" s="291"/>
      <x:c r="UJY67" s="291"/>
      <x:c r="UJZ67" s="291"/>
      <x:c r="UKA67" s="291"/>
      <x:c r="UKB67" s="291"/>
      <x:c r="UKC67" s="291"/>
      <x:c r="UKD67" s="291"/>
      <x:c r="UKE67" s="291"/>
      <x:c r="UKF67" s="291"/>
      <x:c r="UKG67" s="291"/>
      <x:c r="UKH67" s="291"/>
      <x:c r="UKI67" s="291"/>
      <x:c r="UKJ67" s="291"/>
      <x:c r="UKK67" s="291"/>
      <x:c r="UKL67" s="291"/>
      <x:c r="UKM67" s="291"/>
      <x:c r="UKN67" s="291"/>
      <x:c r="UKO67" s="291"/>
      <x:c r="UKP67" s="291"/>
      <x:c r="UKQ67" s="291"/>
      <x:c r="UKR67" s="291"/>
      <x:c r="UKS67" s="291"/>
      <x:c r="UKT67" s="291"/>
      <x:c r="UKU67" s="291"/>
      <x:c r="UKV67" s="291"/>
      <x:c r="UKW67" s="291"/>
      <x:c r="UKX67" s="291"/>
      <x:c r="UKY67" s="291"/>
      <x:c r="UKZ67" s="291"/>
      <x:c r="ULA67" s="291"/>
      <x:c r="ULB67" s="291"/>
      <x:c r="ULC67" s="291"/>
      <x:c r="ULD67" s="291"/>
      <x:c r="ULE67" s="291"/>
      <x:c r="ULF67" s="291"/>
      <x:c r="ULG67" s="291"/>
      <x:c r="ULH67" s="291"/>
      <x:c r="ULI67" s="291"/>
      <x:c r="ULJ67" s="291"/>
      <x:c r="ULK67" s="291"/>
      <x:c r="ULL67" s="291"/>
      <x:c r="ULM67" s="291"/>
      <x:c r="ULN67" s="291"/>
      <x:c r="ULO67" s="291"/>
      <x:c r="ULP67" s="291"/>
      <x:c r="ULQ67" s="291"/>
      <x:c r="ULR67" s="291"/>
      <x:c r="ULS67" s="291"/>
      <x:c r="ULT67" s="291"/>
      <x:c r="ULU67" s="291"/>
      <x:c r="ULV67" s="291"/>
      <x:c r="ULW67" s="291"/>
      <x:c r="ULX67" s="291"/>
      <x:c r="ULY67" s="291"/>
      <x:c r="ULZ67" s="291"/>
      <x:c r="UMA67" s="291"/>
      <x:c r="UMB67" s="291"/>
      <x:c r="UMC67" s="291"/>
      <x:c r="UMD67" s="291"/>
      <x:c r="UME67" s="291"/>
      <x:c r="UMF67" s="291"/>
      <x:c r="UMG67" s="291"/>
      <x:c r="UMH67" s="291"/>
      <x:c r="UMI67" s="291"/>
      <x:c r="UMJ67" s="291"/>
      <x:c r="UMK67" s="291"/>
      <x:c r="UML67" s="291"/>
      <x:c r="UMM67" s="291"/>
      <x:c r="UMN67" s="291"/>
      <x:c r="UMO67" s="291"/>
      <x:c r="UMP67" s="291"/>
      <x:c r="UMQ67" s="291"/>
      <x:c r="UMR67" s="291"/>
      <x:c r="UMS67" s="291"/>
      <x:c r="UMT67" s="291"/>
      <x:c r="UMU67" s="291"/>
      <x:c r="UMV67" s="291"/>
      <x:c r="UMW67" s="291"/>
      <x:c r="UMX67" s="291"/>
      <x:c r="UMY67" s="291"/>
      <x:c r="UMZ67" s="291"/>
      <x:c r="UNA67" s="291"/>
      <x:c r="UNB67" s="291"/>
      <x:c r="UNC67" s="291"/>
      <x:c r="UND67" s="291"/>
      <x:c r="UNE67" s="291"/>
      <x:c r="UNF67" s="291"/>
      <x:c r="UNG67" s="291"/>
      <x:c r="UNH67" s="291"/>
      <x:c r="UNI67" s="291"/>
      <x:c r="UNJ67" s="291"/>
      <x:c r="UNK67" s="291"/>
      <x:c r="UNL67" s="291"/>
      <x:c r="UNM67" s="291"/>
      <x:c r="UNN67" s="291"/>
      <x:c r="UNO67" s="291"/>
      <x:c r="UNP67" s="291"/>
      <x:c r="UNQ67" s="291"/>
      <x:c r="UNR67" s="291"/>
      <x:c r="UNS67" s="291"/>
      <x:c r="UNT67" s="291"/>
      <x:c r="UNU67" s="291"/>
      <x:c r="UNV67" s="291"/>
      <x:c r="UNW67" s="291"/>
      <x:c r="UNX67" s="291"/>
      <x:c r="UNY67" s="291"/>
      <x:c r="UNZ67" s="291"/>
      <x:c r="UOA67" s="291"/>
      <x:c r="UOB67" s="291"/>
      <x:c r="UOC67" s="291"/>
      <x:c r="UOD67" s="291"/>
      <x:c r="UOE67" s="291"/>
      <x:c r="UOF67" s="291"/>
      <x:c r="UOG67" s="291"/>
      <x:c r="UOH67" s="291"/>
      <x:c r="UOI67" s="291"/>
      <x:c r="UOJ67" s="291"/>
      <x:c r="UOK67" s="291"/>
      <x:c r="UOL67" s="291"/>
      <x:c r="UOM67" s="291"/>
      <x:c r="UON67" s="291"/>
      <x:c r="UOO67" s="291"/>
      <x:c r="UOP67" s="291"/>
      <x:c r="UOQ67" s="291"/>
      <x:c r="UOR67" s="291"/>
      <x:c r="UOS67" s="291"/>
      <x:c r="UOT67" s="291"/>
      <x:c r="UOU67" s="291"/>
      <x:c r="UOV67" s="291"/>
      <x:c r="UOW67" s="291"/>
      <x:c r="UOX67" s="291"/>
      <x:c r="UOY67" s="291"/>
      <x:c r="UOZ67" s="291"/>
      <x:c r="UPA67" s="291"/>
      <x:c r="UPB67" s="291"/>
      <x:c r="UPC67" s="291"/>
      <x:c r="UPD67" s="291"/>
      <x:c r="UPE67" s="291"/>
      <x:c r="UPF67" s="291"/>
      <x:c r="UPG67" s="291"/>
      <x:c r="UPH67" s="291"/>
      <x:c r="UPI67" s="291"/>
      <x:c r="UPJ67" s="291"/>
      <x:c r="UPK67" s="291"/>
      <x:c r="UPL67" s="291"/>
      <x:c r="UPM67" s="291"/>
      <x:c r="UPN67" s="291"/>
      <x:c r="UPO67" s="291"/>
      <x:c r="UPP67" s="291"/>
      <x:c r="UPQ67" s="291"/>
      <x:c r="UPR67" s="291"/>
      <x:c r="UPS67" s="291"/>
      <x:c r="UPT67" s="291"/>
      <x:c r="UPU67" s="291"/>
      <x:c r="UPV67" s="291"/>
      <x:c r="UPW67" s="291"/>
      <x:c r="UPX67" s="291"/>
      <x:c r="UPY67" s="291"/>
      <x:c r="UPZ67" s="291"/>
      <x:c r="UQA67" s="291"/>
      <x:c r="UQB67" s="291"/>
      <x:c r="UQC67" s="291"/>
      <x:c r="UQD67" s="291"/>
      <x:c r="UQE67" s="291"/>
      <x:c r="UQF67" s="291"/>
      <x:c r="UQG67" s="291"/>
      <x:c r="UQH67" s="291"/>
      <x:c r="UQI67" s="291"/>
      <x:c r="UQJ67" s="291"/>
      <x:c r="UQK67" s="291"/>
      <x:c r="UQL67" s="291"/>
      <x:c r="UQM67" s="291"/>
      <x:c r="UQN67" s="291"/>
      <x:c r="UQO67" s="291"/>
      <x:c r="UQP67" s="291"/>
      <x:c r="UQQ67" s="291"/>
      <x:c r="UQR67" s="291"/>
      <x:c r="UQS67" s="291"/>
      <x:c r="UQT67" s="291"/>
      <x:c r="UQU67" s="291"/>
      <x:c r="UQV67" s="291"/>
      <x:c r="UQW67" s="291"/>
      <x:c r="UQX67" s="291"/>
      <x:c r="UQY67" s="291"/>
      <x:c r="UQZ67" s="291"/>
      <x:c r="URA67" s="291"/>
      <x:c r="URB67" s="291"/>
      <x:c r="URC67" s="291"/>
      <x:c r="URD67" s="291"/>
      <x:c r="URE67" s="291"/>
      <x:c r="URF67" s="291"/>
      <x:c r="URG67" s="291"/>
      <x:c r="URH67" s="291"/>
      <x:c r="URI67" s="291"/>
      <x:c r="URJ67" s="291"/>
      <x:c r="URK67" s="291"/>
      <x:c r="URL67" s="291"/>
      <x:c r="URM67" s="291"/>
      <x:c r="URN67" s="291"/>
      <x:c r="URO67" s="291"/>
      <x:c r="URP67" s="291"/>
      <x:c r="URQ67" s="291"/>
      <x:c r="URR67" s="291"/>
      <x:c r="URS67" s="291"/>
      <x:c r="URT67" s="291"/>
      <x:c r="URU67" s="291"/>
      <x:c r="URV67" s="291"/>
      <x:c r="URW67" s="291"/>
      <x:c r="URX67" s="291"/>
      <x:c r="URY67" s="291"/>
      <x:c r="URZ67" s="291"/>
      <x:c r="USA67" s="291"/>
      <x:c r="USB67" s="291"/>
      <x:c r="USC67" s="291"/>
      <x:c r="USD67" s="291"/>
      <x:c r="USE67" s="291"/>
      <x:c r="USF67" s="291"/>
      <x:c r="USG67" s="291"/>
      <x:c r="USH67" s="291"/>
      <x:c r="USI67" s="291"/>
      <x:c r="USJ67" s="291"/>
      <x:c r="USK67" s="291"/>
      <x:c r="USL67" s="291"/>
      <x:c r="USM67" s="291"/>
      <x:c r="USN67" s="291"/>
      <x:c r="USO67" s="291"/>
      <x:c r="USP67" s="291"/>
      <x:c r="USQ67" s="291"/>
      <x:c r="USR67" s="291"/>
      <x:c r="USS67" s="291"/>
      <x:c r="UST67" s="291"/>
      <x:c r="USU67" s="291"/>
      <x:c r="USV67" s="291"/>
      <x:c r="USW67" s="291"/>
      <x:c r="USX67" s="291"/>
      <x:c r="USY67" s="291"/>
      <x:c r="USZ67" s="291"/>
      <x:c r="UTA67" s="291"/>
      <x:c r="UTB67" s="291"/>
      <x:c r="UTC67" s="291"/>
      <x:c r="UTD67" s="291"/>
      <x:c r="UTE67" s="291"/>
      <x:c r="UTF67" s="291"/>
      <x:c r="UTG67" s="291"/>
      <x:c r="UTH67" s="291"/>
      <x:c r="UTI67" s="291"/>
      <x:c r="UTJ67" s="291"/>
      <x:c r="UTK67" s="291"/>
      <x:c r="UTL67" s="291"/>
      <x:c r="UTM67" s="291"/>
      <x:c r="UTN67" s="291"/>
      <x:c r="UTO67" s="291"/>
      <x:c r="UTP67" s="291"/>
      <x:c r="UTQ67" s="291"/>
      <x:c r="UTR67" s="291"/>
      <x:c r="UTS67" s="291"/>
      <x:c r="UTT67" s="291"/>
      <x:c r="UTU67" s="291"/>
      <x:c r="UTV67" s="291"/>
      <x:c r="UTW67" s="291"/>
      <x:c r="UTX67" s="291"/>
      <x:c r="UTY67" s="291"/>
      <x:c r="UTZ67" s="291"/>
      <x:c r="UUA67" s="291"/>
      <x:c r="UUB67" s="291"/>
      <x:c r="UUC67" s="291"/>
      <x:c r="UUD67" s="291"/>
      <x:c r="UUE67" s="291"/>
      <x:c r="UUF67" s="291"/>
      <x:c r="UUG67" s="291"/>
      <x:c r="UUH67" s="291"/>
      <x:c r="UUI67" s="291"/>
      <x:c r="UUJ67" s="291"/>
      <x:c r="UUK67" s="291"/>
      <x:c r="UUL67" s="291"/>
      <x:c r="UUM67" s="291"/>
      <x:c r="UUN67" s="291"/>
      <x:c r="UUO67" s="291"/>
      <x:c r="UUP67" s="291"/>
      <x:c r="UUQ67" s="291"/>
      <x:c r="UUR67" s="291"/>
      <x:c r="UUS67" s="291"/>
      <x:c r="UUT67" s="291"/>
      <x:c r="UUU67" s="291"/>
      <x:c r="UUV67" s="291"/>
      <x:c r="UUW67" s="291"/>
      <x:c r="UUX67" s="291"/>
      <x:c r="UUY67" s="291"/>
      <x:c r="UUZ67" s="291"/>
      <x:c r="UVA67" s="291"/>
      <x:c r="UVB67" s="291"/>
      <x:c r="UVC67" s="291"/>
      <x:c r="UVD67" s="291"/>
      <x:c r="UVE67" s="291"/>
      <x:c r="UVF67" s="291"/>
      <x:c r="UVG67" s="291"/>
      <x:c r="UVH67" s="291"/>
      <x:c r="UVI67" s="291"/>
      <x:c r="UVJ67" s="291"/>
      <x:c r="UVK67" s="291"/>
      <x:c r="UVL67" s="291"/>
      <x:c r="UVM67" s="291"/>
      <x:c r="UVN67" s="291"/>
      <x:c r="UVO67" s="291"/>
      <x:c r="UVP67" s="291"/>
      <x:c r="UVQ67" s="291"/>
      <x:c r="UVR67" s="291"/>
      <x:c r="UVS67" s="291"/>
      <x:c r="UVT67" s="291"/>
      <x:c r="UVU67" s="291"/>
      <x:c r="UVV67" s="291"/>
      <x:c r="UVW67" s="291"/>
      <x:c r="UVX67" s="291"/>
      <x:c r="UVY67" s="291"/>
      <x:c r="UVZ67" s="291"/>
      <x:c r="UWA67" s="291"/>
      <x:c r="UWB67" s="291"/>
      <x:c r="UWC67" s="291"/>
      <x:c r="UWD67" s="291"/>
      <x:c r="UWE67" s="291"/>
      <x:c r="UWF67" s="291"/>
      <x:c r="UWG67" s="291"/>
      <x:c r="UWH67" s="291"/>
      <x:c r="UWI67" s="291"/>
      <x:c r="UWJ67" s="291"/>
      <x:c r="UWK67" s="291"/>
      <x:c r="UWL67" s="291"/>
      <x:c r="UWM67" s="291"/>
      <x:c r="UWN67" s="291"/>
      <x:c r="UWO67" s="291"/>
      <x:c r="UWP67" s="291"/>
      <x:c r="UWQ67" s="291"/>
      <x:c r="UWR67" s="291"/>
      <x:c r="UWS67" s="291"/>
      <x:c r="UWT67" s="291"/>
      <x:c r="UWU67" s="291"/>
      <x:c r="UWV67" s="291"/>
      <x:c r="UWW67" s="291"/>
      <x:c r="UWX67" s="291"/>
      <x:c r="UWY67" s="291"/>
      <x:c r="UWZ67" s="291"/>
      <x:c r="UXA67" s="291"/>
      <x:c r="UXB67" s="291"/>
      <x:c r="UXC67" s="291"/>
      <x:c r="UXD67" s="291"/>
      <x:c r="UXE67" s="291"/>
      <x:c r="UXF67" s="291"/>
      <x:c r="UXG67" s="291"/>
      <x:c r="UXH67" s="291"/>
      <x:c r="UXI67" s="291"/>
      <x:c r="UXJ67" s="291"/>
      <x:c r="UXK67" s="291"/>
      <x:c r="UXL67" s="291"/>
      <x:c r="UXM67" s="291"/>
      <x:c r="UXN67" s="291"/>
      <x:c r="UXO67" s="291"/>
      <x:c r="UXP67" s="291"/>
      <x:c r="UXQ67" s="291"/>
      <x:c r="UXR67" s="291"/>
      <x:c r="UXS67" s="291"/>
      <x:c r="UXT67" s="291"/>
      <x:c r="UXU67" s="291"/>
      <x:c r="UXV67" s="291"/>
      <x:c r="UXW67" s="291"/>
      <x:c r="UXX67" s="291"/>
      <x:c r="UXY67" s="291"/>
      <x:c r="UXZ67" s="291"/>
      <x:c r="UYA67" s="291"/>
      <x:c r="UYB67" s="291"/>
      <x:c r="UYC67" s="291"/>
      <x:c r="UYD67" s="291"/>
      <x:c r="UYE67" s="291"/>
      <x:c r="UYF67" s="291"/>
      <x:c r="UYG67" s="291"/>
      <x:c r="UYH67" s="291"/>
      <x:c r="UYI67" s="291"/>
      <x:c r="UYJ67" s="291"/>
      <x:c r="UYK67" s="291"/>
      <x:c r="UYL67" s="291"/>
      <x:c r="UYM67" s="291"/>
      <x:c r="UYN67" s="291"/>
      <x:c r="UYO67" s="291"/>
      <x:c r="UYP67" s="291"/>
      <x:c r="UYQ67" s="291"/>
      <x:c r="UYR67" s="291"/>
      <x:c r="UYS67" s="291"/>
      <x:c r="UYT67" s="291"/>
      <x:c r="UYU67" s="291"/>
      <x:c r="UYV67" s="291"/>
      <x:c r="UYW67" s="291"/>
      <x:c r="UYX67" s="291"/>
      <x:c r="UYY67" s="291"/>
      <x:c r="UYZ67" s="291"/>
      <x:c r="UZA67" s="291"/>
      <x:c r="UZB67" s="291"/>
      <x:c r="UZC67" s="291"/>
      <x:c r="UZD67" s="291"/>
      <x:c r="UZE67" s="291"/>
      <x:c r="UZF67" s="291"/>
      <x:c r="UZG67" s="291"/>
      <x:c r="UZH67" s="291"/>
      <x:c r="UZI67" s="291"/>
      <x:c r="UZJ67" s="291"/>
      <x:c r="UZK67" s="291"/>
      <x:c r="UZL67" s="291"/>
      <x:c r="UZM67" s="291"/>
      <x:c r="UZN67" s="291"/>
      <x:c r="UZO67" s="291"/>
      <x:c r="UZP67" s="291"/>
      <x:c r="UZQ67" s="291"/>
      <x:c r="UZR67" s="291"/>
      <x:c r="UZS67" s="291"/>
      <x:c r="UZT67" s="291"/>
      <x:c r="UZU67" s="291"/>
      <x:c r="UZV67" s="291"/>
      <x:c r="UZW67" s="291"/>
      <x:c r="UZX67" s="291"/>
      <x:c r="UZY67" s="291"/>
      <x:c r="UZZ67" s="291"/>
      <x:c r="VAA67" s="291"/>
      <x:c r="VAB67" s="291"/>
      <x:c r="VAC67" s="291"/>
      <x:c r="VAD67" s="291"/>
      <x:c r="VAE67" s="291"/>
      <x:c r="VAF67" s="291"/>
      <x:c r="VAG67" s="291"/>
      <x:c r="VAH67" s="291"/>
      <x:c r="VAI67" s="291"/>
      <x:c r="VAJ67" s="291"/>
      <x:c r="VAK67" s="291"/>
      <x:c r="VAL67" s="291"/>
      <x:c r="VAM67" s="291"/>
      <x:c r="VAN67" s="291"/>
      <x:c r="VAO67" s="291"/>
      <x:c r="VAP67" s="291"/>
      <x:c r="VAQ67" s="291"/>
      <x:c r="VAR67" s="291"/>
      <x:c r="VAS67" s="291"/>
      <x:c r="VAT67" s="291"/>
      <x:c r="VAU67" s="291"/>
      <x:c r="VAV67" s="291"/>
      <x:c r="VAW67" s="291"/>
      <x:c r="VAX67" s="291"/>
      <x:c r="VAY67" s="291"/>
      <x:c r="VAZ67" s="291"/>
      <x:c r="VBA67" s="291"/>
      <x:c r="VBB67" s="291"/>
      <x:c r="VBC67" s="291"/>
      <x:c r="VBD67" s="291"/>
      <x:c r="VBE67" s="291"/>
      <x:c r="VBF67" s="291"/>
      <x:c r="VBG67" s="291"/>
      <x:c r="VBH67" s="291"/>
      <x:c r="VBI67" s="291"/>
      <x:c r="VBJ67" s="291"/>
      <x:c r="VBK67" s="291"/>
      <x:c r="VBL67" s="291"/>
      <x:c r="VBM67" s="291"/>
      <x:c r="VBN67" s="291"/>
      <x:c r="VBO67" s="291"/>
      <x:c r="VBP67" s="291"/>
      <x:c r="VBQ67" s="291"/>
      <x:c r="VBR67" s="291"/>
      <x:c r="VBS67" s="291"/>
      <x:c r="VBT67" s="291"/>
      <x:c r="VBU67" s="291"/>
      <x:c r="VBV67" s="291"/>
      <x:c r="VBW67" s="291"/>
      <x:c r="VBX67" s="291"/>
      <x:c r="VBY67" s="291"/>
      <x:c r="VBZ67" s="291"/>
      <x:c r="VCA67" s="291"/>
      <x:c r="VCB67" s="291"/>
      <x:c r="VCC67" s="291"/>
      <x:c r="VCD67" s="291"/>
      <x:c r="VCE67" s="291"/>
      <x:c r="VCF67" s="291"/>
      <x:c r="VCG67" s="291"/>
      <x:c r="VCH67" s="291"/>
      <x:c r="VCI67" s="291"/>
      <x:c r="VCJ67" s="291"/>
      <x:c r="VCK67" s="291"/>
      <x:c r="VCL67" s="291"/>
      <x:c r="VCM67" s="291"/>
      <x:c r="VCN67" s="291"/>
      <x:c r="VCO67" s="291"/>
      <x:c r="VCP67" s="291"/>
      <x:c r="VCQ67" s="291"/>
      <x:c r="VCR67" s="291"/>
      <x:c r="VCS67" s="291"/>
      <x:c r="VCT67" s="291"/>
      <x:c r="VCU67" s="291"/>
      <x:c r="VCV67" s="291"/>
      <x:c r="VCW67" s="291"/>
      <x:c r="VCX67" s="291"/>
      <x:c r="VCY67" s="291"/>
      <x:c r="VCZ67" s="291"/>
      <x:c r="VDA67" s="291"/>
      <x:c r="VDB67" s="291"/>
      <x:c r="VDC67" s="291"/>
      <x:c r="VDD67" s="291"/>
      <x:c r="VDE67" s="291"/>
      <x:c r="VDF67" s="291"/>
      <x:c r="VDG67" s="291"/>
      <x:c r="VDH67" s="291"/>
      <x:c r="VDI67" s="291"/>
      <x:c r="VDJ67" s="291"/>
      <x:c r="VDK67" s="291"/>
      <x:c r="VDL67" s="291"/>
      <x:c r="VDM67" s="291"/>
      <x:c r="VDN67" s="291"/>
      <x:c r="VDO67" s="291"/>
      <x:c r="VDP67" s="291"/>
      <x:c r="VDQ67" s="291"/>
      <x:c r="VDR67" s="291"/>
      <x:c r="VDS67" s="291"/>
      <x:c r="VDT67" s="291"/>
      <x:c r="VDU67" s="291"/>
      <x:c r="VDV67" s="291"/>
      <x:c r="VDW67" s="291"/>
      <x:c r="VDX67" s="291"/>
      <x:c r="VDY67" s="291"/>
      <x:c r="VDZ67" s="291"/>
      <x:c r="VEA67" s="291"/>
      <x:c r="VEB67" s="291"/>
      <x:c r="VEC67" s="291"/>
      <x:c r="VED67" s="291"/>
      <x:c r="VEE67" s="291"/>
      <x:c r="VEF67" s="291"/>
      <x:c r="VEG67" s="291"/>
      <x:c r="VEH67" s="291"/>
      <x:c r="VEI67" s="291"/>
      <x:c r="VEJ67" s="291"/>
      <x:c r="VEK67" s="291"/>
      <x:c r="VEL67" s="291"/>
      <x:c r="VEM67" s="291"/>
      <x:c r="VEN67" s="291"/>
      <x:c r="VEO67" s="291"/>
      <x:c r="VEP67" s="291"/>
      <x:c r="VEQ67" s="291"/>
      <x:c r="VER67" s="291"/>
      <x:c r="VES67" s="291"/>
      <x:c r="VET67" s="291"/>
      <x:c r="VEU67" s="291"/>
      <x:c r="VEV67" s="291"/>
      <x:c r="VEW67" s="291"/>
      <x:c r="VEX67" s="291"/>
      <x:c r="VEY67" s="291"/>
      <x:c r="VEZ67" s="291"/>
      <x:c r="VFA67" s="291"/>
      <x:c r="VFB67" s="291"/>
      <x:c r="VFC67" s="291"/>
      <x:c r="VFD67" s="291"/>
      <x:c r="VFE67" s="291"/>
      <x:c r="VFF67" s="291"/>
      <x:c r="VFG67" s="291"/>
      <x:c r="VFH67" s="291"/>
      <x:c r="VFI67" s="291"/>
      <x:c r="VFJ67" s="291"/>
      <x:c r="VFK67" s="291"/>
      <x:c r="VFL67" s="291"/>
      <x:c r="VFM67" s="291"/>
      <x:c r="VFN67" s="291"/>
      <x:c r="VFO67" s="291"/>
      <x:c r="VFP67" s="291"/>
      <x:c r="VFQ67" s="291"/>
      <x:c r="VFR67" s="291"/>
      <x:c r="VFS67" s="291"/>
      <x:c r="VFT67" s="291"/>
      <x:c r="VFU67" s="291"/>
      <x:c r="VFV67" s="291"/>
      <x:c r="VFW67" s="291"/>
      <x:c r="VFX67" s="291"/>
      <x:c r="VFY67" s="291"/>
      <x:c r="VFZ67" s="291"/>
      <x:c r="VGA67" s="291"/>
      <x:c r="VGB67" s="291"/>
      <x:c r="VGC67" s="291"/>
      <x:c r="VGD67" s="291"/>
      <x:c r="VGE67" s="291"/>
      <x:c r="VGF67" s="291"/>
      <x:c r="VGG67" s="291"/>
      <x:c r="VGH67" s="291"/>
      <x:c r="VGI67" s="291"/>
      <x:c r="VGJ67" s="291"/>
      <x:c r="VGK67" s="291"/>
      <x:c r="VGL67" s="291"/>
      <x:c r="VGM67" s="291"/>
      <x:c r="VGN67" s="291"/>
      <x:c r="VGO67" s="291"/>
      <x:c r="VGP67" s="291"/>
      <x:c r="VGQ67" s="291"/>
      <x:c r="VGR67" s="291"/>
      <x:c r="VGS67" s="291"/>
      <x:c r="VGT67" s="291"/>
      <x:c r="VGU67" s="291"/>
      <x:c r="VGV67" s="291"/>
      <x:c r="VGW67" s="291"/>
      <x:c r="VGX67" s="291"/>
      <x:c r="VGY67" s="291"/>
      <x:c r="VGZ67" s="291"/>
      <x:c r="VHA67" s="291"/>
      <x:c r="VHB67" s="291"/>
      <x:c r="VHC67" s="291"/>
      <x:c r="VHD67" s="291"/>
      <x:c r="VHE67" s="291"/>
      <x:c r="VHF67" s="291"/>
      <x:c r="VHG67" s="291"/>
      <x:c r="VHH67" s="291"/>
      <x:c r="VHI67" s="291"/>
      <x:c r="VHJ67" s="291"/>
      <x:c r="VHK67" s="291"/>
      <x:c r="VHL67" s="291"/>
      <x:c r="VHM67" s="291"/>
      <x:c r="VHN67" s="291"/>
      <x:c r="VHO67" s="291"/>
      <x:c r="VHP67" s="291"/>
      <x:c r="VHQ67" s="291"/>
      <x:c r="VHR67" s="291"/>
      <x:c r="VHS67" s="291"/>
      <x:c r="VHT67" s="291"/>
      <x:c r="VHU67" s="291"/>
      <x:c r="VHV67" s="291"/>
      <x:c r="VHW67" s="291"/>
      <x:c r="VHX67" s="291"/>
      <x:c r="VHY67" s="291"/>
      <x:c r="VHZ67" s="291"/>
      <x:c r="VIA67" s="291"/>
      <x:c r="VIB67" s="291"/>
      <x:c r="VIC67" s="291"/>
      <x:c r="VID67" s="291"/>
      <x:c r="VIE67" s="291"/>
      <x:c r="VIF67" s="291"/>
      <x:c r="VIG67" s="291"/>
      <x:c r="VIH67" s="291"/>
      <x:c r="VII67" s="291"/>
      <x:c r="VIJ67" s="291"/>
      <x:c r="VIK67" s="291"/>
      <x:c r="VIL67" s="291"/>
      <x:c r="VIM67" s="291"/>
      <x:c r="VIN67" s="291"/>
      <x:c r="VIO67" s="291"/>
      <x:c r="VIP67" s="291"/>
      <x:c r="VIQ67" s="291"/>
      <x:c r="VIR67" s="291"/>
      <x:c r="VIS67" s="291"/>
      <x:c r="VIT67" s="291"/>
      <x:c r="VIU67" s="291"/>
      <x:c r="VIV67" s="291"/>
      <x:c r="VIW67" s="291"/>
      <x:c r="VIX67" s="291"/>
      <x:c r="VIY67" s="291"/>
      <x:c r="VIZ67" s="291"/>
      <x:c r="VJA67" s="291"/>
      <x:c r="VJB67" s="291"/>
      <x:c r="VJC67" s="291"/>
      <x:c r="VJD67" s="291"/>
      <x:c r="VJE67" s="291"/>
      <x:c r="VJF67" s="291"/>
      <x:c r="VJG67" s="291"/>
      <x:c r="VJH67" s="291"/>
      <x:c r="VJI67" s="291"/>
      <x:c r="VJJ67" s="291"/>
      <x:c r="VJK67" s="291"/>
      <x:c r="VJL67" s="291"/>
      <x:c r="VJM67" s="291"/>
      <x:c r="VJN67" s="291"/>
      <x:c r="VJO67" s="291"/>
      <x:c r="VJP67" s="291"/>
      <x:c r="VJQ67" s="291"/>
      <x:c r="VJR67" s="291"/>
      <x:c r="VJS67" s="291"/>
      <x:c r="VJT67" s="291"/>
      <x:c r="VJU67" s="291"/>
      <x:c r="VJV67" s="291"/>
      <x:c r="VJW67" s="291"/>
      <x:c r="VJX67" s="291"/>
      <x:c r="VJY67" s="291"/>
      <x:c r="VJZ67" s="291"/>
      <x:c r="VKA67" s="291"/>
      <x:c r="VKB67" s="291"/>
      <x:c r="VKC67" s="291"/>
      <x:c r="VKD67" s="291"/>
      <x:c r="VKE67" s="291"/>
      <x:c r="VKF67" s="291"/>
      <x:c r="VKG67" s="291"/>
      <x:c r="VKH67" s="291"/>
      <x:c r="VKI67" s="291"/>
      <x:c r="VKJ67" s="291"/>
      <x:c r="VKK67" s="291"/>
      <x:c r="VKL67" s="291"/>
      <x:c r="VKM67" s="291"/>
      <x:c r="VKN67" s="291"/>
      <x:c r="VKO67" s="291"/>
      <x:c r="VKP67" s="291"/>
      <x:c r="VKQ67" s="291"/>
      <x:c r="VKR67" s="291"/>
      <x:c r="VKS67" s="291"/>
      <x:c r="VKT67" s="291"/>
      <x:c r="VKU67" s="291"/>
      <x:c r="VKV67" s="291"/>
      <x:c r="VKW67" s="291"/>
      <x:c r="VKX67" s="291"/>
      <x:c r="VKY67" s="291"/>
      <x:c r="VKZ67" s="291"/>
      <x:c r="VLA67" s="291"/>
      <x:c r="VLB67" s="291"/>
      <x:c r="VLC67" s="291"/>
      <x:c r="VLD67" s="291"/>
      <x:c r="VLE67" s="291"/>
      <x:c r="VLF67" s="291"/>
      <x:c r="VLG67" s="291"/>
      <x:c r="VLH67" s="291"/>
      <x:c r="VLI67" s="291"/>
      <x:c r="VLJ67" s="291"/>
      <x:c r="VLK67" s="291"/>
      <x:c r="VLL67" s="291"/>
      <x:c r="VLM67" s="291"/>
      <x:c r="VLN67" s="291"/>
      <x:c r="VLO67" s="291"/>
      <x:c r="VLP67" s="291"/>
      <x:c r="VLQ67" s="291"/>
      <x:c r="VLR67" s="291"/>
      <x:c r="VLS67" s="291"/>
      <x:c r="VLT67" s="291"/>
      <x:c r="VLU67" s="291"/>
      <x:c r="VLV67" s="291"/>
      <x:c r="VLW67" s="291"/>
      <x:c r="VLX67" s="291"/>
      <x:c r="VLY67" s="291"/>
      <x:c r="VLZ67" s="291"/>
      <x:c r="VMA67" s="291"/>
      <x:c r="VMB67" s="291"/>
      <x:c r="VMC67" s="291"/>
      <x:c r="VMD67" s="291"/>
      <x:c r="VME67" s="291"/>
      <x:c r="VMF67" s="291"/>
      <x:c r="VMG67" s="291"/>
      <x:c r="VMH67" s="291"/>
      <x:c r="VMI67" s="291"/>
      <x:c r="VMJ67" s="291"/>
      <x:c r="VMK67" s="291"/>
      <x:c r="VML67" s="291"/>
      <x:c r="VMM67" s="291"/>
      <x:c r="VMN67" s="291"/>
      <x:c r="VMO67" s="291"/>
      <x:c r="VMP67" s="291"/>
      <x:c r="VMQ67" s="291"/>
      <x:c r="VMR67" s="291"/>
      <x:c r="VMS67" s="291"/>
      <x:c r="VMT67" s="291"/>
      <x:c r="VMU67" s="291"/>
      <x:c r="VMV67" s="291"/>
      <x:c r="VMW67" s="291"/>
      <x:c r="VMX67" s="291"/>
      <x:c r="VMY67" s="291"/>
      <x:c r="VMZ67" s="291"/>
      <x:c r="VNA67" s="291"/>
      <x:c r="VNB67" s="291"/>
      <x:c r="VNC67" s="291"/>
      <x:c r="VND67" s="291"/>
      <x:c r="VNE67" s="291"/>
      <x:c r="VNF67" s="291"/>
      <x:c r="VNG67" s="291"/>
      <x:c r="VNH67" s="291"/>
      <x:c r="VNI67" s="291"/>
      <x:c r="VNJ67" s="291"/>
      <x:c r="VNK67" s="291"/>
      <x:c r="VNL67" s="291"/>
      <x:c r="VNM67" s="291"/>
      <x:c r="VNN67" s="291"/>
      <x:c r="VNO67" s="291"/>
      <x:c r="VNP67" s="291"/>
      <x:c r="VNQ67" s="291"/>
      <x:c r="VNR67" s="291"/>
      <x:c r="VNS67" s="291"/>
      <x:c r="VNT67" s="291"/>
      <x:c r="VNU67" s="291"/>
      <x:c r="VNV67" s="291"/>
      <x:c r="VNW67" s="291"/>
      <x:c r="VNX67" s="291"/>
      <x:c r="VNY67" s="291"/>
      <x:c r="VNZ67" s="291"/>
      <x:c r="VOA67" s="291"/>
      <x:c r="VOB67" s="291"/>
      <x:c r="VOC67" s="291"/>
      <x:c r="VOD67" s="291"/>
      <x:c r="VOE67" s="291"/>
      <x:c r="VOF67" s="291"/>
      <x:c r="VOG67" s="291"/>
      <x:c r="VOH67" s="291"/>
      <x:c r="VOI67" s="291"/>
      <x:c r="VOJ67" s="291"/>
      <x:c r="VOK67" s="291"/>
      <x:c r="VOL67" s="291"/>
      <x:c r="VOM67" s="291"/>
      <x:c r="VON67" s="291"/>
      <x:c r="VOO67" s="291"/>
      <x:c r="VOP67" s="291"/>
      <x:c r="VOQ67" s="291"/>
      <x:c r="VOR67" s="291"/>
      <x:c r="VOS67" s="291"/>
      <x:c r="VOT67" s="291"/>
      <x:c r="VOU67" s="291"/>
      <x:c r="VOV67" s="291"/>
      <x:c r="VOW67" s="291"/>
      <x:c r="VOX67" s="291"/>
      <x:c r="VOY67" s="291"/>
      <x:c r="VOZ67" s="291"/>
      <x:c r="VPA67" s="291"/>
      <x:c r="VPB67" s="291"/>
      <x:c r="VPC67" s="291"/>
      <x:c r="VPD67" s="291"/>
      <x:c r="VPE67" s="291"/>
      <x:c r="VPF67" s="291"/>
      <x:c r="VPG67" s="291"/>
      <x:c r="VPH67" s="291"/>
      <x:c r="VPI67" s="291"/>
      <x:c r="VPJ67" s="291"/>
      <x:c r="VPK67" s="291"/>
      <x:c r="VPL67" s="291"/>
      <x:c r="VPM67" s="291"/>
      <x:c r="VPN67" s="291"/>
      <x:c r="VPO67" s="291"/>
      <x:c r="VPP67" s="291"/>
      <x:c r="VPQ67" s="291"/>
      <x:c r="VPR67" s="291"/>
      <x:c r="VPS67" s="291"/>
      <x:c r="VPT67" s="291"/>
      <x:c r="VPU67" s="291"/>
      <x:c r="VPV67" s="291"/>
      <x:c r="VPW67" s="291"/>
      <x:c r="VPX67" s="291"/>
      <x:c r="VPY67" s="291"/>
      <x:c r="VPZ67" s="291"/>
      <x:c r="VQA67" s="291"/>
      <x:c r="VQB67" s="291"/>
      <x:c r="VQC67" s="291"/>
      <x:c r="VQD67" s="291"/>
      <x:c r="VQE67" s="291"/>
      <x:c r="VQF67" s="291"/>
      <x:c r="VQG67" s="291"/>
      <x:c r="VQH67" s="291"/>
      <x:c r="VQI67" s="291"/>
      <x:c r="VQJ67" s="291"/>
      <x:c r="VQK67" s="291"/>
      <x:c r="VQL67" s="291"/>
      <x:c r="VQM67" s="291"/>
      <x:c r="VQN67" s="291"/>
      <x:c r="VQO67" s="291"/>
      <x:c r="VQP67" s="291"/>
      <x:c r="VQQ67" s="291"/>
      <x:c r="VQR67" s="291"/>
      <x:c r="VQS67" s="291"/>
      <x:c r="VQT67" s="291"/>
      <x:c r="VQU67" s="291"/>
      <x:c r="VQV67" s="291"/>
      <x:c r="VQW67" s="291"/>
      <x:c r="VQX67" s="291"/>
      <x:c r="VQY67" s="291"/>
      <x:c r="VQZ67" s="291"/>
      <x:c r="VRA67" s="291"/>
      <x:c r="VRB67" s="291"/>
      <x:c r="VRC67" s="291"/>
      <x:c r="VRD67" s="291"/>
      <x:c r="VRE67" s="291"/>
      <x:c r="VRF67" s="291"/>
      <x:c r="VRG67" s="291"/>
      <x:c r="VRH67" s="291"/>
      <x:c r="VRI67" s="291"/>
      <x:c r="VRJ67" s="291"/>
      <x:c r="VRK67" s="291"/>
      <x:c r="VRL67" s="291"/>
      <x:c r="VRM67" s="291"/>
      <x:c r="VRN67" s="291"/>
      <x:c r="VRO67" s="291"/>
      <x:c r="VRP67" s="291"/>
      <x:c r="VRQ67" s="291"/>
      <x:c r="VRR67" s="291"/>
      <x:c r="VRS67" s="291"/>
      <x:c r="VRT67" s="291"/>
      <x:c r="VRU67" s="291"/>
      <x:c r="VRV67" s="291"/>
      <x:c r="VRW67" s="291"/>
      <x:c r="VRX67" s="291"/>
      <x:c r="VRY67" s="291"/>
      <x:c r="VRZ67" s="291"/>
      <x:c r="VSA67" s="291"/>
      <x:c r="VSB67" s="291"/>
      <x:c r="VSC67" s="291"/>
      <x:c r="VSD67" s="291"/>
      <x:c r="VSE67" s="291"/>
      <x:c r="VSF67" s="291"/>
      <x:c r="VSG67" s="291"/>
      <x:c r="VSH67" s="291"/>
      <x:c r="VSI67" s="291"/>
      <x:c r="VSJ67" s="291"/>
      <x:c r="VSK67" s="291"/>
      <x:c r="VSL67" s="291"/>
      <x:c r="VSM67" s="291"/>
      <x:c r="VSN67" s="291"/>
      <x:c r="VSO67" s="291"/>
      <x:c r="VSP67" s="291"/>
      <x:c r="VSQ67" s="291"/>
      <x:c r="VSR67" s="291"/>
      <x:c r="VSS67" s="291"/>
      <x:c r="VST67" s="291"/>
      <x:c r="VSU67" s="291"/>
      <x:c r="VSV67" s="291"/>
      <x:c r="VSW67" s="291"/>
      <x:c r="VSX67" s="291"/>
      <x:c r="VSY67" s="291"/>
      <x:c r="VSZ67" s="291"/>
      <x:c r="VTA67" s="291"/>
      <x:c r="VTB67" s="291"/>
      <x:c r="VTC67" s="291"/>
      <x:c r="VTD67" s="291"/>
      <x:c r="VTE67" s="291"/>
      <x:c r="VTF67" s="291"/>
      <x:c r="VTG67" s="291"/>
      <x:c r="VTH67" s="291"/>
      <x:c r="VTI67" s="291"/>
      <x:c r="VTJ67" s="291"/>
      <x:c r="VTK67" s="291"/>
      <x:c r="VTL67" s="291"/>
      <x:c r="VTM67" s="291"/>
      <x:c r="VTN67" s="291"/>
      <x:c r="VTO67" s="291"/>
      <x:c r="VTP67" s="291"/>
      <x:c r="VTQ67" s="291"/>
      <x:c r="VTR67" s="291"/>
      <x:c r="VTS67" s="291"/>
      <x:c r="VTT67" s="291"/>
      <x:c r="VTU67" s="291"/>
      <x:c r="VTV67" s="291"/>
      <x:c r="VTW67" s="291"/>
      <x:c r="VTX67" s="291"/>
      <x:c r="VTY67" s="291"/>
      <x:c r="VTZ67" s="291"/>
      <x:c r="VUA67" s="291"/>
      <x:c r="VUB67" s="291"/>
      <x:c r="VUC67" s="291"/>
      <x:c r="VUD67" s="291"/>
      <x:c r="VUE67" s="291"/>
      <x:c r="VUF67" s="291"/>
      <x:c r="VUG67" s="291"/>
      <x:c r="VUH67" s="291"/>
      <x:c r="VUI67" s="291"/>
      <x:c r="VUJ67" s="291"/>
      <x:c r="VUK67" s="291"/>
      <x:c r="VUL67" s="291"/>
      <x:c r="VUM67" s="291"/>
      <x:c r="VUN67" s="291"/>
      <x:c r="VUO67" s="291"/>
      <x:c r="VUP67" s="291"/>
      <x:c r="VUQ67" s="291"/>
      <x:c r="VUR67" s="291"/>
      <x:c r="VUS67" s="291"/>
      <x:c r="VUT67" s="291"/>
      <x:c r="VUU67" s="291"/>
      <x:c r="VUV67" s="291"/>
      <x:c r="VUW67" s="291"/>
      <x:c r="VUX67" s="291"/>
      <x:c r="VUY67" s="291"/>
      <x:c r="VUZ67" s="291"/>
      <x:c r="VVA67" s="291"/>
      <x:c r="VVB67" s="291"/>
      <x:c r="VVC67" s="291"/>
      <x:c r="VVD67" s="291"/>
      <x:c r="VVE67" s="291"/>
      <x:c r="VVF67" s="291"/>
      <x:c r="VVG67" s="291"/>
      <x:c r="VVH67" s="291"/>
      <x:c r="VVI67" s="291"/>
      <x:c r="VVJ67" s="291"/>
      <x:c r="VVK67" s="291"/>
      <x:c r="VVL67" s="291"/>
      <x:c r="VVM67" s="291"/>
      <x:c r="VVN67" s="291"/>
      <x:c r="VVO67" s="291"/>
      <x:c r="VVP67" s="291"/>
      <x:c r="VVQ67" s="291"/>
      <x:c r="VVR67" s="291"/>
      <x:c r="VVS67" s="291"/>
      <x:c r="VVT67" s="291"/>
      <x:c r="VVU67" s="291"/>
      <x:c r="VVV67" s="291"/>
      <x:c r="VVW67" s="291"/>
      <x:c r="VVX67" s="291"/>
      <x:c r="VVY67" s="291"/>
      <x:c r="VVZ67" s="291"/>
      <x:c r="VWA67" s="291"/>
      <x:c r="VWB67" s="291"/>
      <x:c r="VWC67" s="291"/>
      <x:c r="VWD67" s="291"/>
      <x:c r="VWE67" s="291"/>
      <x:c r="VWF67" s="291"/>
      <x:c r="VWG67" s="291"/>
      <x:c r="VWH67" s="291"/>
      <x:c r="VWI67" s="291"/>
      <x:c r="VWJ67" s="291"/>
      <x:c r="VWK67" s="291"/>
      <x:c r="VWL67" s="291"/>
      <x:c r="VWM67" s="291"/>
      <x:c r="VWN67" s="291"/>
      <x:c r="VWO67" s="291"/>
      <x:c r="VWP67" s="291"/>
      <x:c r="VWQ67" s="291"/>
      <x:c r="VWR67" s="291"/>
      <x:c r="VWS67" s="291"/>
      <x:c r="VWT67" s="291"/>
      <x:c r="VWU67" s="291"/>
      <x:c r="VWV67" s="291"/>
      <x:c r="VWW67" s="291"/>
      <x:c r="VWX67" s="291"/>
      <x:c r="VWY67" s="291"/>
      <x:c r="VWZ67" s="291"/>
      <x:c r="VXA67" s="291"/>
      <x:c r="VXB67" s="291"/>
      <x:c r="VXC67" s="291"/>
      <x:c r="VXD67" s="291"/>
      <x:c r="VXE67" s="291"/>
      <x:c r="VXF67" s="291"/>
      <x:c r="VXG67" s="291"/>
      <x:c r="VXH67" s="291"/>
      <x:c r="VXI67" s="291"/>
      <x:c r="VXJ67" s="291"/>
      <x:c r="VXK67" s="291"/>
      <x:c r="VXL67" s="291"/>
      <x:c r="VXM67" s="291"/>
      <x:c r="VXN67" s="291"/>
      <x:c r="VXO67" s="291"/>
      <x:c r="VXP67" s="291"/>
      <x:c r="VXQ67" s="291"/>
      <x:c r="VXR67" s="291"/>
      <x:c r="VXS67" s="291"/>
      <x:c r="VXT67" s="291"/>
      <x:c r="VXU67" s="291"/>
      <x:c r="VXV67" s="291"/>
      <x:c r="VXW67" s="291"/>
      <x:c r="VXX67" s="291"/>
      <x:c r="VXY67" s="291"/>
      <x:c r="VXZ67" s="291"/>
      <x:c r="VYA67" s="291"/>
      <x:c r="VYB67" s="291"/>
      <x:c r="VYC67" s="291"/>
      <x:c r="VYD67" s="291"/>
      <x:c r="VYE67" s="291"/>
      <x:c r="VYF67" s="291"/>
      <x:c r="VYG67" s="291"/>
      <x:c r="VYH67" s="291"/>
      <x:c r="VYI67" s="291"/>
      <x:c r="VYJ67" s="291"/>
      <x:c r="VYK67" s="291"/>
      <x:c r="VYL67" s="291"/>
      <x:c r="VYM67" s="291"/>
      <x:c r="VYN67" s="291"/>
      <x:c r="VYO67" s="291"/>
      <x:c r="VYP67" s="291"/>
      <x:c r="VYQ67" s="291"/>
      <x:c r="VYR67" s="291"/>
      <x:c r="VYS67" s="291"/>
      <x:c r="VYT67" s="291"/>
      <x:c r="VYU67" s="291"/>
      <x:c r="VYV67" s="291"/>
      <x:c r="VYW67" s="291"/>
      <x:c r="VYX67" s="291"/>
      <x:c r="VYY67" s="291"/>
      <x:c r="VYZ67" s="291"/>
      <x:c r="VZA67" s="291"/>
      <x:c r="VZB67" s="291"/>
      <x:c r="VZC67" s="291"/>
      <x:c r="VZD67" s="291"/>
      <x:c r="VZE67" s="291"/>
      <x:c r="VZF67" s="291"/>
      <x:c r="VZG67" s="291"/>
      <x:c r="VZH67" s="291"/>
      <x:c r="VZI67" s="291"/>
      <x:c r="VZJ67" s="291"/>
      <x:c r="VZK67" s="291"/>
      <x:c r="VZL67" s="291"/>
      <x:c r="VZM67" s="291"/>
      <x:c r="VZN67" s="291"/>
      <x:c r="VZO67" s="291"/>
      <x:c r="VZP67" s="291"/>
      <x:c r="VZQ67" s="291"/>
      <x:c r="VZR67" s="291"/>
      <x:c r="VZS67" s="291"/>
      <x:c r="VZT67" s="291"/>
      <x:c r="VZU67" s="291"/>
      <x:c r="VZV67" s="291"/>
      <x:c r="VZW67" s="291"/>
      <x:c r="VZX67" s="291"/>
      <x:c r="VZY67" s="291"/>
      <x:c r="VZZ67" s="291"/>
      <x:c r="WAA67" s="291"/>
      <x:c r="WAB67" s="291"/>
      <x:c r="WAC67" s="291"/>
      <x:c r="WAD67" s="291"/>
      <x:c r="WAE67" s="291"/>
      <x:c r="WAF67" s="291"/>
      <x:c r="WAG67" s="291"/>
      <x:c r="WAH67" s="291"/>
      <x:c r="WAI67" s="291"/>
      <x:c r="WAJ67" s="291"/>
      <x:c r="WAK67" s="291"/>
      <x:c r="WAL67" s="291"/>
      <x:c r="WAM67" s="291"/>
      <x:c r="WAN67" s="291"/>
      <x:c r="WAO67" s="291"/>
      <x:c r="WAP67" s="291"/>
      <x:c r="WAQ67" s="291"/>
      <x:c r="WAR67" s="291"/>
      <x:c r="WAS67" s="291"/>
      <x:c r="WAT67" s="291"/>
      <x:c r="WAU67" s="291"/>
      <x:c r="WAV67" s="291"/>
      <x:c r="WAW67" s="291"/>
      <x:c r="WAX67" s="291"/>
      <x:c r="WAY67" s="291"/>
      <x:c r="WAZ67" s="291"/>
      <x:c r="WBA67" s="291"/>
      <x:c r="WBB67" s="291"/>
      <x:c r="WBC67" s="291"/>
      <x:c r="WBD67" s="291"/>
      <x:c r="WBE67" s="291"/>
      <x:c r="WBF67" s="291"/>
      <x:c r="WBG67" s="291"/>
      <x:c r="WBH67" s="291"/>
      <x:c r="WBI67" s="291"/>
      <x:c r="WBJ67" s="291"/>
      <x:c r="WBK67" s="291"/>
      <x:c r="WBL67" s="291"/>
      <x:c r="WBM67" s="291"/>
      <x:c r="WBN67" s="291"/>
      <x:c r="WBO67" s="291"/>
      <x:c r="WBP67" s="291"/>
      <x:c r="WBQ67" s="291"/>
      <x:c r="WBR67" s="291"/>
      <x:c r="WBS67" s="291"/>
      <x:c r="WBT67" s="291"/>
      <x:c r="WBU67" s="291"/>
      <x:c r="WBV67" s="291"/>
      <x:c r="WBW67" s="291"/>
      <x:c r="WBX67" s="291"/>
      <x:c r="WBY67" s="291"/>
      <x:c r="WBZ67" s="291"/>
      <x:c r="WCA67" s="291"/>
      <x:c r="WCB67" s="291"/>
      <x:c r="WCC67" s="291"/>
      <x:c r="WCD67" s="291"/>
      <x:c r="WCE67" s="291"/>
      <x:c r="WCF67" s="291"/>
      <x:c r="WCG67" s="291"/>
      <x:c r="WCH67" s="291"/>
      <x:c r="WCI67" s="291"/>
      <x:c r="WCJ67" s="291"/>
      <x:c r="WCK67" s="291"/>
      <x:c r="WCL67" s="291"/>
      <x:c r="WCM67" s="291"/>
      <x:c r="WCN67" s="291"/>
      <x:c r="WCO67" s="291"/>
      <x:c r="WCP67" s="291"/>
      <x:c r="WCQ67" s="291"/>
      <x:c r="WCR67" s="291"/>
      <x:c r="WCS67" s="291"/>
      <x:c r="WCT67" s="291"/>
      <x:c r="WCU67" s="291"/>
      <x:c r="WCV67" s="291"/>
      <x:c r="WCW67" s="291"/>
      <x:c r="WCX67" s="291"/>
      <x:c r="WCY67" s="291"/>
      <x:c r="WCZ67" s="291"/>
      <x:c r="WDA67" s="291"/>
      <x:c r="WDB67" s="291"/>
      <x:c r="WDC67" s="291"/>
      <x:c r="WDD67" s="291"/>
      <x:c r="WDE67" s="291"/>
      <x:c r="WDF67" s="291"/>
      <x:c r="WDG67" s="291"/>
      <x:c r="WDH67" s="291"/>
      <x:c r="WDI67" s="291"/>
      <x:c r="WDJ67" s="291"/>
      <x:c r="WDK67" s="291"/>
      <x:c r="WDL67" s="291"/>
      <x:c r="WDM67" s="291"/>
      <x:c r="WDN67" s="291"/>
      <x:c r="WDO67" s="291"/>
      <x:c r="WDP67" s="291"/>
      <x:c r="WDQ67" s="291"/>
      <x:c r="WDR67" s="291"/>
      <x:c r="WDS67" s="291"/>
      <x:c r="WDT67" s="291"/>
      <x:c r="WDU67" s="291"/>
      <x:c r="WDV67" s="291"/>
      <x:c r="WDW67" s="291"/>
      <x:c r="WDX67" s="291"/>
      <x:c r="WDY67" s="291"/>
      <x:c r="WDZ67" s="291"/>
      <x:c r="WEA67" s="291"/>
      <x:c r="WEB67" s="291"/>
      <x:c r="WEC67" s="291"/>
      <x:c r="WED67" s="291"/>
      <x:c r="WEE67" s="291"/>
      <x:c r="WEF67" s="291"/>
      <x:c r="WEG67" s="291"/>
      <x:c r="WEH67" s="291"/>
      <x:c r="WEI67" s="291"/>
      <x:c r="WEJ67" s="291"/>
      <x:c r="WEK67" s="291"/>
      <x:c r="WEL67" s="291"/>
      <x:c r="WEM67" s="291"/>
      <x:c r="WEN67" s="291"/>
      <x:c r="WEO67" s="291"/>
      <x:c r="WEP67" s="291"/>
      <x:c r="WEQ67" s="291"/>
      <x:c r="WER67" s="291"/>
      <x:c r="WES67" s="291"/>
      <x:c r="WET67" s="291"/>
      <x:c r="WEU67" s="291"/>
      <x:c r="WEV67" s="291"/>
      <x:c r="WEW67" s="291"/>
      <x:c r="WEX67" s="291"/>
      <x:c r="WEY67" s="291"/>
      <x:c r="WEZ67" s="291"/>
      <x:c r="WFA67" s="291"/>
      <x:c r="WFB67" s="291"/>
      <x:c r="WFC67" s="291"/>
      <x:c r="WFD67" s="291"/>
      <x:c r="WFE67" s="291"/>
      <x:c r="WFF67" s="291"/>
      <x:c r="WFG67" s="291"/>
      <x:c r="WFH67" s="291"/>
      <x:c r="WFI67" s="291"/>
      <x:c r="WFJ67" s="291"/>
      <x:c r="WFK67" s="291"/>
      <x:c r="WFL67" s="291"/>
      <x:c r="WFM67" s="291"/>
      <x:c r="WFN67" s="291"/>
      <x:c r="WFO67" s="291"/>
      <x:c r="WFP67" s="291"/>
      <x:c r="WFQ67" s="291"/>
      <x:c r="WFR67" s="291"/>
      <x:c r="WFS67" s="291"/>
      <x:c r="WFT67" s="291"/>
      <x:c r="WFU67" s="291"/>
      <x:c r="WFV67" s="291"/>
      <x:c r="WFW67" s="291"/>
      <x:c r="WFX67" s="291"/>
      <x:c r="WFY67" s="291"/>
      <x:c r="WFZ67" s="291"/>
      <x:c r="WGA67" s="291"/>
      <x:c r="WGB67" s="291"/>
      <x:c r="WGC67" s="291"/>
      <x:c r="WGD67" s="291"/>
      <x:c r="WGE67" s="291"/>
      <x:c r="WGF67" s="291"/>
      <x:c r="WGG67" s="291"/>
      <x:c r="WGH67" s="291"/>
      <x:c r="WGI67" s="291"/>
      <x:c r="WGJ67" s="291"/>
      <x:c r="WGK67" s="291"/>
      <x:c r="WGL67" s="291"/>
      <x:c r="WGM67" s="291"/>
      <x:c r="WGN67" s="291"/>
      <x:c r="WGO67" s="291"/>
      <x:c r="WGP67" s="291"/>
      <x:c r="WGQ67" s="291"/>
      <x:c r="WGR67" s="291"/>
      <x:c r="WGS67" s="291"/>
      <x:c r="WGT67" s="291"/>
      <x:c r="WGU67" s="291"/>
      <x:c r="WGV67" s="291"/>
      <x:c r="WGW67" s="291"/>
      <x:c r="WGX67" s="291"/>
      <x:c r="WGY67" s="291"/>
      <x:c r="WGZ67" s="291"/>
      <x:c r="WHA67" s="291"/>
      <x:c r="WHB67" s="291"/>
      <x:c r="WHC67" s="291"/>
      <x:c r="WHD67" s="291"/>
      <x:c r="WHE67" s="291"/>
      <x:c r="WHF67" s="291"/>
      <x:c r="WHG67" s="291"/>
      <x:c r="WHH67" s="291"/>
      <x:c r="WHI67" s="291"/>
      <x:c r="WHJ67" s="291"/>
      <x:c r="WHK67" s="291"/>
      <x:c r="WHL67" s="291"/>
      <x:c r="WHM67" s="291"/>
      <x:c r="WHN67" s="291"/>
      <x:c r="WHO67" s="291"/>
      <x:c r="WHP67" s="291"/>
      <x:c r="WHQ67" s="291"/>
      <x:c r="WHR67" s="291"/>
      <x:c r="WHS67" s="291"/>
      <x:c r="WHT67" s="291"/>
      <x:c r="WHU67" s="291"/>
      <x:c r="WHV67" s="291"/>
      <x:c r="WHW67" s="291"/>
      <x:c r="WHX67" s="291"/>
      <x:c r="WHY67" s="291"/>
      <x:c r="WHZ67" s="291"/>
      <x:c r="WIA67" s="291"/>
      <x:c r="WIB67" s="291"/>
      <x:c r="WIC67" s="291"/>
      <x:c r="WID67" s="291"/>
      <x:c r="WIE67" s="291"/>
      <x:c r="WIF67" s="291"/>
      <x:c r="WIG67" s="291"/>
      <x:c r="WIH67" s="291"/>
      <x:c r="WII67" s="291"/>
      <x:c r="WIJ67" s="291"/>
      <x:c r="WIK67" s="291"/>
      <x:c r="WIL67" s="291"/>
      <x:c r="WIM67" s="291"/>
      <x:c r="WIN67" s="291"/>
      <x:c r="WIO67" s="291"/>
      <x:c r="WIP67" s="291"/>
      <x:c r="WIQ67" s="291"/>
      <x:c r="WIR67" s="291"/>
      <x:c r="WIS67" s="291"/>
      <x:c r="WIT67" s="291"/>
      <x:c r="WIU67" s="291"/>
      <x:c r="WIV67" s="291"/>
      <x:c r="WIW67" s="291"/>
      <x:c r="WIX67" s="291"/>
      <x:c r="WIY67" s="291"/>
      <x:c r="WIZ67" s="291"/>
      <x:c r="WJA67" s="291"/>
      <x:c r="WJB67" s="291"/>
      <x:c r="WJC67" s="291"/>
      <x:c r="WJD67" s="291"/>
      <x:c r="WJE67" s="291"/>
      <x:c r="WJF67" s="291"/>
      <x:c r="WJG67" s="291"/>
      <x:c r="WJH67" s="291"/>
      <x:c r="WJI67" s="291"/>
      <x:c r="WJJ67" s="291"/>
      <x:c r="WJK67" s="291"/>
      <x:c r="WJL67" s="291"/>
      <x:c r="WJM67" s="291"/>
      <x:c r="WJN67" s="291"/>
      <x:c r="WJO67" s="291"/>
      <x:c r="WJP67" s="291"/>
      <x:c r="WJQ67" s="291"/>
      <x:c r="WJR67" s="291"/>
      <x:c r="WJS67" s="291"/>
      <x:c r="WJT67" s="291"/>
      <x:c r="WJU67" s="291"/>
      <x:c r="WJV67" s="291"/>
      <x:c r="WJW67" s="291"/>
      <x:c r="WJX67" s="291"/>
      <x:c r="WJY67" s="291"/>
      <x:c r="WJZ67" s="291"/>
      <x:c r="WKA67" s="291"/>
      <x:c r="WKB67" s="291"/>
      <x:c r="WKC67" s="291"/>
      <x:c r="WKD67" s="291"/>
      <x:c r="WKE67" s="291"/>
      <x:c r="WKF67" s="291"/>
      <x:c r="WKG67" s="291"/>
      <x:c r="WKH67" s="291"/>
      <x:c r="WKI67" s="291"/>
      <x:c r="WKJ67" s="291"/>
      <x:c r="WKK67" s="291"/>
      <x:c r="WKL67" s="291"/>
      <x:c r="WKM67" s="291"/>
      <x:c r="WKN67" s="291"/>
      <x:c r="WKO67" s="291"/>
      <x:c r="WKP67" s="291"/>
      <x:c r="WKQ67" s="291"/>
      <x:c r="WKR67" s="291"/>
      <x:c r="WKS67" s="291"/>
      <x:c r="WKT67" s="291"/>
      <x:c r="WKU67" s="291"/>
      <x:c r="WKV67" s="291"/>
      <x:c r="WKW67" s="291"/>
      <x:c r="WKX67" s="291"/>
      <x:c r="WKY67" s="291"/>
      <x:c r="WKZ67" s="291"/>
      <x:c r="WLA67" s="291"/>
      <x:c r="WLB67" s="291"/>
      <x:c r="WLC67" s="291"/>
      <x:c r="WLD67" s="291"/>
      <x:c r="WLE67" s="291"/>
      <x:c r="WLF67" s="291"/>
      <x:c r="WLG67" s="291"/>
      <x:c r="WLH67" s="291"/>
      <x:c r="WLI67" s="291"/>
      <x:c r="WLJ67" s="291"/>
      <x:c r="WLK67" s="291"/>
      <x:c r="WLL67" s="291"/>
      <x:c r="WLM67" s="291"/>
      <x:c r="WLN67" s="291"/>
      <x:c r="WLO67" s="291"/>
      <x:c r="WLP67" s="291"/>
      <x:c r="WLQ67" s="291"/>
      <x:c r="WLR67" s="291"/>
      <x:c r="WLS67" s="291"/>
      <x:c r="WLT67" s="291"/>
      <x:c r="WLU67" s="291"/>
      <x:c r="WLV67" s="291"/>
      <x:c r="WLW67" s="291"/>
      <x:c r="WLX67" s="291"/>
      <x:c r="WLY67" s="291"/>
      <x:c r="WLZ67" s="291"/>
      <x:c r="WMA67" s="291"/>
      <x:c r="WMB67" s="291"/>
      <x:c r="WMC67" s="291"/>
      <x:c r="WMD67" s="291"/>
      <x:c r="WME67" s="291"/>
      <x:c r="WMF67" s="291"/>
      <x:c r="WMG67" s="291"/>
      <x:c r="WMH67" s="291"/>
      <x:c r="WMI67" s="291"/>
      <x:c r="WMJ67" s="291"/>
      <x:c r="WMK67" s="291"/>
      <x:c r="WML67" s="291"/>
      <x:c r="WMM67" s="291"/>
      <x:c r="WMN67" s="291"/>
      <x:c r="WMO67" s="291"/>
      <x:c r="WMP67" s="291"/>
      <x:c r="WMQ67" s="291"/>
      <x:c r="WMR67" s="291"/>
      <x:c r="WMS67" s="291"/>
      <x:c r="WMT67" s="291"/>
      <x:c r="WMU67" s="291"/>
      <x:c r="WMV67" s="291"/>
      <x:c r="WMW67" s="291"/>
      <x:c r="WMX67" s="291"/>
      <x:c r="WMY67" s="291"/>
      <x:c r="WMZ67" s="291"/>
      <x:c r="WNA67" s="291"/>
      <x:c r="WNB67" s="291"/>
      <x:c r="WNC67" s="291"/>
      <x:c r="WND67" s="291"/>
      <x:c r="WNE67" s="291"/>
      <x:c r="WNF67" s="291"/>
      <x:c r="WNG67" s="291"/>
      <x:c r="WNH67" s="291"/>
      <x:c r="WNI67" s="291"/>
      <x:c r="WNJ67" s="291"/>
      <x:c r="WNK67" s="291"/>
      <x:c r="WNL67" s="291"/>
      <x:c r="WNM67" s="291"/>
      <x:c r="WNN67" s="291"/>
      <x:c r="WNO67" s="291"/>
      <x:c r="WNP67" s="291"/>
      <x:c r="WNQ67" s="291"/>
      <x:c r="WNR67" s="291"/>
      <x:c r="WNS67" s="291"/>
      <x:c r="WNT67" s="291"/>
      <x:c r="WNU67" s="291"/>
      <x:c r="WNV67" s="291"/>
      <x:c r="WNW67" s="291"/>
      <x:c r="WNX67" s="291"/>
      <x:c r="WNY67" s="291"/>
      <x:c r="WNZ67" s="291"/>
      <x:c r="WOA67" s="291"/>
      <x:c r="WOB67" s="291"/>
      <x:c r="WOC67" s="291"/>
      <x:c r="WOD67" s="291"/>
      <x:c r="WOE67" s="291"/>
      <x:c r="WOF67" s="291"/>
      <x:c r="WOG67" s="291"/>
      <x:c r="WOH67" s="291"/>
      <x:c r="WOI67" s="291"/>
      <x:c r="WOJ67" s="291"/>
      <x:c r="WOK67" s="291"/>
      <x:c r="WOL67" s="291"/>
      <x:c r="WOM67" s="291"/>
      <x:c r="WON67" s="291"/>
      <x:c r="WOO67" s="291"/>
      <x:c r="WOP67" s="291"/>
      <x:c r="WOQ67" s="291"/>
      <x:c r="WOR67" s="291"/>
      <x:c r="WOS67" s="291"/>
      <x:c r="WOT67" s="291"/>
      <x:c r="WOU67" s="291"/>
      <x:c r="WOV67" s="291"/>
      <x:c r="WOW67" s="291"/>
      <x:c r="WOX67" s="291"/>
      <x:c r="WOY67" s="291"/>
      <x:c r="WOZ67" s="291"/>
      <x:c r="WPA67" s="291"/>
      <x:c r="WPB67" s="291"/>
      <x:c r="WPC67" s="291"/>
      <x:c r="WPD67" s="291"/>
      <x:c r="WPE67" s="291"/>
      <x:c r="WPF67" s="291"/>
      <x:c r="WPG67" s="291"/>
      <x:c r="WPH67" s="291"/>
      <x:c r="WPI67" s="291"/>
      <x:c r="WPJ67" s="291"/>
      <x:c r="WPK67" s="291"/>
      <x:c r="WPL67" s="291"/>
      <x:c r="WPM67" s="291"/>
      <x:c r="WPN67" s="291"/>
      <x:c r="WPO67" s="291"/>
      <x:c r="WPP67" s="291"/>
      <x:c r="WPQ67" s="291"/>
      <x:c r="WPR67" s="291"/>
      <x:c r="WPS67" s="291"/>
      <x:c r="WPT67" s="291"/>
      <x:c r="WPU67" s="291"/>
      <x:c r="WPV67" s="291"/>
      <x:c r="WPW67" s="291"/>
      <x:c r="WPX67" s="291"/>
      <x:c r="WPY67" s="291"/>
      <x:c r="WPZ67" s="291"/>
      <x:c r="WQA67" s="291"/>
      <x:c r="WQB67" s="291"/>
      <x:c r="WQC67" s="291"/>
      <x:c r="WQD67" s="291"/>
      <x:c r="WQE67" s="291"/>
      <x:c r="WQF67" s="291"/>
      <x:c r="WQG67" s="291"/>
      <x:c r="WQH67" s="291"/>
      <x:c r="WQI67" s="291"/>
      <x:c r="WQJ67" s="291"/>
      <x:c r="WQK67" s="291"/>
      <x:c r="WQL67" s="291"/>
      <x:c r="WQM67" s="291"/>
      <x:c r="WQN67" s="291"/>
      <x:c r="WQO67" s="291"/>
      <x:c r="WQP67" s="291"/>
      <x:c r="WQQ67" s="291"/>
      <x:c r="WQR67" s="291"/>
      <x:c r="WQS67" s="291"/>
      <x:c r="WQT67" s="291"/>
      <x:c r="WQU67" s="291"/>
      <x:c r="WQV67" s="291"/>
      <x:c r="WQW67" s="291"/>
      <x:c r="WQX67" s="291"/>
      <x:c r="WQY67" s="291"/>
      <x:c r="WQZ67" s="291"/>
      <x:c r="WRA67" s="291"/>
      <x:c r="WRB67" s="291"/>
      <x:c r="WRC67" s="291"/>
      <x:c r="WRD67" s="291"/>
      <x:c r="WRE67" s="291"/>
      <x:c r="WRF67" s="291"/>
      <x:c r="WRG67" s="291"/>
      <x:c r="WRH67" s="291"/>
      <x:c r="WRI67" s="291"/>
      <x:c r="WRJ67" s="291"/>
      <x:c r="WRK67" s="291"/>
      <x:c r="WRL67" s="291"/>
      <x:c r="WRM67" s="291"/>
      <x:c r="WRN67" s="291"/>
      <x:c r="WRO67" s="291"/>
      <x:c r="WRP67" s="291"/>
      <x:c r="WRQ67" s="291"/>
      <x:c r="WRR67" s="291"/>
      <x:c r="WRS67" s="291"/>
      <x:c r="WRT67" s="291"/>
      <x:c r="WRU67" s="291"/>
      <x:c r="WRV67" s="291"/>
      <x:c r="WRW67" s="291"/>
      <x:c r="WRX67" s="291"/>
      <x:c r="WRY67" s="291"/>
      <x:c r="WRZ67" s="291"/>
      <x:c r="WSA67" s="291"/>
      <x:c r="WSB67" s="291"/>
      <x:c r="WSC67" s="291"/>
      <x:c r="WSD67" s="291"/>
      <x:c r="WSE67" s="291"/>
      <x:c r="WSF67" s="291"/>
      <x:c r="WSG67" s="291"/>
      <x:c r="WSH67" s="291"/>
      <x:c r="WSI67" s="291"/>
      <x:c r="WSJ67" s="291"/>
      <x:c r="WSK67" s="291"/>
      <x:c r="WSL67" s="291"/>
      <x:c r="WSM67" s="291"/>
      <x:c r="WSN67" s="291"/>
      <x:c r="WSO67" s="291"/>
      <x:c r="WSP67" s="291"/>
      <x:c r="WSQ67" s="291"/>
      <x:c r="WSR67" s="291"/>
      <x:c r="WSS67" s="291"/>
      <x:c r="WST67" s="291"/>
      <x:c r="WSU67" s="291"/>
      <x:c r="WSV67" s="291"/>
      <x:c r="WSW67" s="291"/>
      <x:c r="WSX67" s="291"/>
      <x:c r="WSY67" s="291"/>
      <x:c r="WSZ67" s="291"/>
      <x:c r="WTA67" s="291"/>
      <x:c r="WTB67" s="291"/>
      <x:c r="WTC67" s="291"/>
      <x:c r="WTD67" s="291"/>
      <x:c r="WTE67" s="291"/>
      <x:c r="WTF67" s="291"/>
      <x:c r="WTG67" s="291"/>
      <x:c r="WTH67" s="291"/>
      <x:c r="WTI67" s="291"/>
      <x:c r="WTJ67" s="291"/>
      <x:c r="WTK67" s="291"/>
      <x:c r="WTL67" s="291"/>
      <x:c r="WTM67" s="291"/>
      <x:c r="WTN67" s="291"/>
      <x:c r="WTO67" s="291"/>
      <x:c r="WTP67" s="291"/>
      <x:c r="WTQ67" s="291"/>
      <x:c r="WTR67" s="291"/>
      <x:c r="WTS67" s="291"/>
      <x:c r="WTT67" s="291"/>
      <x:c r="WTU67" s="291"/>
      <x:c r="WTV67" s="291"/>
      <x:c r="WTW67" s="291"/>
      <x:c r="WTX67" s="291"/>
      <x:c r="WTY67" s="291"/>
      <x:c r="WTZ67" s="291"/>
      <x:c r="WUA67" s="291"/>
      <x:c r="WUB67" s="291"/>
      <x:c r="WUC67" s="291"/>
      <x:c r="WUD67" s="291"/>
      <x:c r="WUE67" s="291"/>
      <x:c r="WUF67" s="291"/>
      <x:c r="WUG67" s="291"/>
      <x:c r="WUH67" s="291"/>
      <x:c r="WUI67" s="291"/>
      <x:c r="WUJ67" s="291"/>
      <x:c r="WUK67" s="291"/>
      <x:c r="WUL67" s="291"/>
      <x:c r="WUM67" s="291"/>
      <x:c r="WUN67" s="291"/>
      <x:c r="WUO67" s="291"/>
      <x:c r="WUP67" s="291"/>
      <x:c r="WUQ67" s="291"/>
      <x:c r="WUR67" s="291"/>
      <x:c r="WUS67" s="291"/>
      <x:c r="WUT67" s="291"/>
      <x:c r="WUU67" s="291"/>
      <x:c r="WUV67" s="291"/>
      <x:c r="WUW67" s="291"/>
      <x:c r="WUX67" s="291"/>
      <x:c r="WUY67" s="291"/>
      <x:c r="WUZ67" s="291"/>
      <x:c r="WVA67" s="291"/>
      <x:c r="WVB67" s="291"/>
      <x:c r="WVC67" s="291"/>
      <x:c r="WVD67" s="291"/>
      <x:c r="WVE67" s="291"/>
      <x:c r="WVF67" s="291"/>
      <x:c r="WVG67" s="291"/>
      <x:c r="WVH67" s="291"/>
      <x:c r="WVI67" s="291"/>
      <x:c r="WVJ67" s="291"/>
      <x:c r="WVK67" s="291"/>
      <x:c r="WVL67" s="291"/>
      <x:c r="WVM67" s="291"/>
      <x:c r="WVN67" s="291"/>
      <x:c r="WVO67" s="291"/>
      <x:c r="WVP67" s="291"/>
      <x:c r="WVQ67" s="291"/>
      <x:c r="WVR67" s="291"/>
      <x:c r="WVS67" s="291"/>
      <x:c r="WVT67" s="291"/>
      <x:c r="WVU67" s="291"/>
      <x:c r="WVV67" s="291"/>
      <x:c r="WVW67" s="291"/>
      <x:c r="WVX67" s="291"/>
      <x:c r="WVY67" s="291"/>
      <x:c r="WVZ67" s="291"/>
      <x:c r="WWA67" s="291"/>
      <x:c r="WWB67" s="291"/>
      <x:c r="WWC67" s="291"/>
      <x:c r="WWD67" s="291"/>
      <x:c r="WWE67" s="291"/>
      <x:c r="WWF67" s="291"/>
      <x:c r="WWG67" s="291"/>
      <x:c r="WWH67" s="291"/>
      <x:c r="WWI67" s="291"/>
      <x:c r="WWJ67" s="291"/>
      <x:c r="WWK67" s="291"/>
      <x:c r="WWL67" s="291"/>
      <x:c r="WWM67" s="291"/>
      <x:c r="WWN67" s="291"/>
      <x:c r="WWO67" s="291"/>
      <x:c r="WWP67" s="291"/>
      <x:c r="WWQ67" s="291"/>
      <x:c r="WWR67" s="291"/>
      <x:c r="WWS67" s="291"/>
      <x:c r="WWT67" s="291"/>
      <x:c r="WWU67" s="291"/>
      <x:c r="WWV67" s="291"/>
      <x:c r="WWW67" s="291"/>
      <x:c r="WWX67" s="291"/>
      <x:c r="WWY67" s="291"/>
      <x:c r="WWZ67" s="291"/>
      <x:c r="WXA67" s="291"/>
      <x:c r="WXB67" s="291"/>
      <x:c r="WXC67" s="291"/>
      <x:c r="WXD67" s="291"/>
      <x:c r="WXE67" s="291"/>
      <x:c r="WXF67" s="291"/>
      <x:c r="WXG67" s="291"/>
      <x:c r="WXH67" s="291"/>
      <x:c r="WXI67" s="291"/>
      <x:c r="WXJ67" s="291"/>
      <x:c r="WXK67" s="291"/>
      <x:c r="WXL67" s="291"/>
      <x:c r="WXM67" s="291"/>
      <x:c r="WXN67" s="291"/>
      <x:c r="WXO67" s="291"/>
      <x:c r="WXP67" s="291"/>
      <x:c r="WXQ67" s="291"/>
      <x:c r="WXR67" s="291"/>
      <x:c r="WXS67" s="291"/>
      <x:c r="WXT67" s="291"/>
      <x:c r="WXU67" s="291"/>
      <x:c r="WXV67" s="291"/>
      <x:c r="WXW67" s="291"/>
      <x:c r="WXX67" s="291"/>
      <x:c r="WXY67" s="291"/>
      <x:c r="WXZ67" s="291"/>
      <x:c r="WYA67" s="291"/>
      <x:c r="WYB67" s="291"/>
      <x:c r="WYC67" s="291"/>
      <x:c r="WYD67" s="291"/>
      <x:c r="WYE67" s="291"/>
      <x:c r="WYF67" s="291"/>
      <x:c r="WYG67" s="291"/>
      <x:c r="WYH67" s="291"/>
      <x:c r="WYI67" s="291"/>
      <x:c r="WYJ67" s="291"/>
      <x:c r="WYK67" s="291"/>
      <x:c r="WYL67" s="291"/>
      <x:c r="WYM67" s="291"/>
      <x:c r="WYN67" s="291"/>
      <x:c r="WYO67" s="291"/>
      <x:c r="WYP67" s="291"/>
      <x:c r="WYQ67" s="291"/>
      <x:c r="WYR67" s="291"/>
      <x:c r="WYS67" s="291"/>
      <x:c r="WYT67" s="291"/>
      <x:c r="WYU67" s="291"/>
      <x:c r="WYV67" s="291"/>
      <x:c r="WYW67" s="291"/>
      <x:c r="WYX67" s="291"/>
      <x:c r="WYY67" s="291"/>
      <x:c r="WYZ67" s="291"/>
      <x:c r="WZA67" s="291"/>
      <x:c r="WZB67" s="291"/>
      <x:c r="WZC67" s="291"/>
      <x:c r="WZD67" s="291"/>
      <x:c r="WZE67" s="291"/>
      <x:c r="WZF67" s="291"/>
      <x:c r="WZG67" s="291"/>
      <x:c r="WZH67" s="291"/>
      <x:c r="WZI67" s="291"/>
      <x:c r="WZJ67" s="291"/>
      <x:c r="WZK67" s="291"/>
      <x:c r="WZL67" s="291"/>
      <x:c r="WZM67" s="291"/>
      <x:c r="WZN67" s="291"/>
      <x:c r="WZO67" s="291"/>
      <x:c r="WZP67" s="291"/>
      <x:c r="WZQ67" s="291"/>
      <x:c r="WZR67" s="291"/>
      <x:c r="WZS67" s="291"/>
      <x:c r="WZT67" s="291"/>
      <x:c r="WZU67" s="291"/>
      <x:c r="WZV67" s="291"/>
      <x:c r="WZW67" s="291"/>
      <x:c r="WZX67" s="291"/>
      <x:c r="WZY67" s="291"/>
      <x:c r="WZZ67" s="291"/>
      <x:c r="XAA67" s="291"/>
      <x:c r="XAB67" s="291"/>
      <x:c r="XAC67" s="291"/>
      <x:c r="XAD67" s="291"/>
      <x:c r="XAE67" s="291"/>
      <x:c r="XAF67" s="291"/>
      <x:c r="XAG67" s="291"/>
      <x:c r="XAH67" s="291"/>
      <x:c r="XAI67" s="291"/>
      <x:c r="XAJ67" s="291"/>
      <x:c r="XAK67" s="291"/>
      <x:c r="XAL67" s="291"/>
      <x:c r="XAM67" s="291"/>
      <x:c r="XAN67" s="291"/>
      <x:c r="XAO67" s="291"/>
      <x:c r="XAP67" s="291"/>
      <x:c r="XAQ67" s="291"/>
      <x:c r="XAR67" s="291"/>
      <x:c r="XAS67" s="291"/>
      <x:c r="XAT67" s="291"/>
      <x:c r="XAU67" s="291"/>
      <x:c r="XAV67" s="291"/>
      <x:c r="XAW67" s="291"/>
      <x:c r="XAX67" s="291"/>
      <x:c r="XAY67" s="291"/>
      <x:c r="XAZ67" s="291"/>
      <x:c r="XBA67" s="291"/>
      <x:c r="XBB67" s="291"/>
      <x:c r="XBC67" s="291"/>
      <x:c r="XBD67" s="291"/>
      <x:c r="XBE67" s="291"/>
      <x:c r="XBF67" s="291"/>
      <x:c r="XBG67" s="291"/>
      <x:c r="XBH67" s="291"/>
      <x:c r="XBI67" s="291"/>
      <x:c r="XBJ67" s="291"/>
      <x:c r="XBK67" s="291"/>
      <x:c r="XBL67" s="291"/>
      <x:c r="XBM67" s="291"/>
      <x:c r="XBN67" s="291"/>
      <x:c r="XBO67" s="291"/>
      <x:c r="XBP67" s="291"/>
      <x:c r="XBQ67" s="291"/>
      <x:c r="XBR67" s="291"/>
      <x:c r="XBS67" s="291"/>
      <x:c r="XBT67" s="291"/>
      <x:c r="XBU67" s="291"/>
      <x:c r="XBV67" s="291"/>
      <x:c r="XBW67" s="291"/>
      <x:c r="XBX67" s="291"/>
      <x:c r="XBY67" s="291"/>
      <x:c r="XBZ67" s="291"/>
      <x:c r="XCA67" s="291"/>
      <x:c r="XCB67" s="291"/>
      <x:c r="XCC67" s="291"/>
      <x:c r="XCD67" s="291"/>
      <x:c r="XCE67" s="291"/>
      <x:c r="XCF67" s="291"/>
      <x:c r="XCG67" s="291"/>
      <x:c r="XCH67" s="291"/>
      <x:c r="XCI67" s="291"/>
      <x:c r="XCJ67" s="291"/>
      <x:c r="XCK67" s="291"/>
      <x:c r="XCL67" s="291"/>
      <x:c r="XCM67" s="291"/>
      <x:c r="XCN67" s="291"/>
      <x:c r="XCO67" s="291"/>
      <x:c r="XCP67" s="291"/>
      <x:c r="XCQ67" s="291"/>
      <x:c r="XCR67" s="291"/>
      <x:c r="XCS67" s="291"/>
      <x:c r="XCT67" s="291"/>
      <x:c r="XCU67" s="291"/>
      <x:c r="XCV67" s="291"/>
      <x:c r="XCW67" s="291"/>
      <x:c r="XCX67" s="291"/>
      <x:c r="XCY67" s="291"/>
      <x:c r="XCZ67" s="291"/>
      <x:c r="XDA67" s="291"/>
      <x:c r="XDB67" s="291"/>
      <x:c r="XDC67" s="291"/>
      <x:c r="XDD67" s="291"/>
      <x:c r="XDE67" s="291"/>
      <x:c r="XDF67" s="291"/>
      <x:c r="XDG67" s="291"/>
      <x:c r="XDH67" s="291"/>
      <x:c r="XDI67" s="291"/>
      <x:c r="XDJ67" s="291"/>
      <x:c r="XDK67" s="291"/>
      <x:c r="XDL67" s="291"/>
      <x:c r="XDM67" s="291"/>
      <x:c r="XDN67" s="291"/>
      <x:c r="XDO67" s="291"/>
      <x:c r="XDP67" s="291"/>
      <x:c r="XDQ67" s="291"/>
      <x:c r="XDR67" s="291"/>
      <x:c r="XDS67" s="291"/>
      <x:c r="XDT67" s="291"/>
      <x:c r="XDU67" s="291"/>
      <x:c r="XDV67" s="291"/>
      <x:c r="XDW67" s="291"/>
      <x:c r="XDX67" s="291"/>
      <x:c r="XDY67" s="291"/>
      <x:c r="XDZ67" s="291"/>
      <x:c r="XEA67" s="291"/>
      <x:c r="XEB67" s="291"/>
      <x:c r="XEC67" s="291"/>
      <x:c r="XED67" s="291"/>
      <x:c r="XEE67" s="291"/>
      <x:c r="XEF67" s="291"/>
      <x:c r="XEG67" s="291"/>
      <x:c r="XEH67" s="291"/>
      <x:c r="XEI67" s="291"/>
      <x:c r="XEJ67" s="291"/>
      <x:c r="XEK67" s="291"/>
      <x:c r="XEL67" s="291"/>
      <x:c r="XEM67" s="291"/>
      <x:c r="XEN67" s="291"/>
      <x:c r="XEO67" s="291"/>
      <x:c r="XEP67" s="291"/>
      <x:c r="XEQ67" s="291"/>
      <x:c r="XER67" s="291"/>
      <x:c r="XES67" s="291"/>
      <x:c r="XET67" s="291"/>
      <x:c r="XEU67" s="291"/>
      <x:c r="XEV67" s="291"/>
      <x:c r="XEW67" s="291"/>
      <x:c r="XEX67" s="291"/>
      <x:c r="XEY67" s="291"/>
      <x:c r="XEZ67" s="291"/>
      <x:c r="XFA67" s="291"/>
      <x:c r="XFB67" s="291"/>
      <x:c r="XFC67" s="291"/>
    </x:row>
    <x:row r="68" spans="1:16383" ht="117.75" customHeight="1" x14ac:dyDescent="0.25">
      <x:c r="A68" s="120"/>
      <x:c r="B68" s="123" t="s">
        <x:v>309</x:v>
      </x:c>
      <x:c r="C68" s="124" t="s">
        <x:v>310</x:v>
      </x:c>
      <x:c r="D68" s="120"/>
      <x:c r="E68" s="120"/>
      <x:c r="F68" s="120"/>
      <x:c r="G68" s="121"/>
      <x:c r="H68" s="120"/>
      <x:c r="I68" s="120"/>
      <x:c r="J68" s="120"/>
      <x:c r="K68" s="121"/>
      <x:c r="L68" s="120"/>
      <x:c r="M68" s="121"/>
      <x:c r="N68" s="120"/>
      <x:c r="O68" s="121"/>
      <x:c r="P68" s="120"/>
      <x:c r="Q68" s="120"/>
      <x:c r="R68" s="120"/>
      <x:c r="S68" s="110"/>
      <x:c r="T68" s="108">
        <x:v>1</x:v>
      </x:c>
    </x:row>
    <x:row r="69" spans="1:16383" ht="117.75" customHeight="1" x14ac:dyDescent="0.25">
      <x:c r="A69" s="120"/>
      <x:c r="B69" s="123" t="s">
        <x:v>311</x:v>
      </x:c>
      <x:c r="C69" s="124" t="s">
        <x:v>312</x:v>
      </x:c>
      <x:c r="D69" s="120"/>
      <x:c r="E69" s="120"/>
      <x:c r="F69" s="120"/>
      <x:c r="G69" s="121"/>
      <x:c r="H69" s="120"/>
      <x:c r="I69" s="120"/>
      <x:c r="J69" s="120"/>
      <x:c r="K69" s="121"/>
      <x:c r="L69" s="120"/>
      <x:c r="M69" s="121"/>
      <x:c r="N69" s="120"/>
      <x:c r="O69" s="121"/>
      <x:c r="P69" s="120"/>
      <x:c r="Q69" s="120"/>
      <x:c r="R69" s="120"/>
      <x:c r="S69" s="110"/>
      <x:c r="T69" s="108">
        <x:v>0.9</x:v>
      </x:c>
    </x:row>
  </x:sheetData>
  <x:mergeCells count="27">
    <x:mergeCell ref="A1:U1"/>
    <x:mergeCell ref="A2:A4"/>
    <x:mergeCell ref="B2:C2"/>
    <x:mergeCell ref="D2:G2"/>
    <x:mergeCell ref="H2:K2"/>
    <x:mergeCell ref="L2:O2"/>
    <x:mergeCell ref="P2:R3"/>
    <x:mergeCell ref="S2:S4"/>
    <x:mergeCell ref="T2:T4"/>
    <x:mergeCell ref="B3:B4"/>
    <x:mergeCell ref="C3:C4"/>
    <x:mergeCell ref="D3:E3"/>
    <x:mergeCell ref="F3:G3"/>
    <x:mergeCell ref="H3:I3"/>
    <x:mergeCell ref="J3:K3"/>
    <x:mergeCell ref="L3:M3"/>
    <x:mergeCell ref="N3:O3"/>
    <x:mergeCell ref="U3:U4"/>
    <x:mergeCell ref="C20:C24"/>
    <x:mergeCell ref="C26:C27"/>
    <x:mergeCell ref="C30:C32"/>
    <x:mergeCell ref="C34:C37"/>
    <x:mergeCell ref="C38:C41"/>
    <x:mergeCell ref="C42:C46"/>
    <x:mergeCell ref="C47:C50"/>
    <x:mergeCell ref="T52:T54"/>
    <x:mergeCell ref="C55:C58"/>
  </x:mergeCells>
  <x:printOptions horizontalCentered="0" verticalCentered="0" headings="0" gridLines="0"/>
  <x:pageMargins left="0.21" right="0.2" top="0.32" bottom="0.24" header="0.2" footer="0.2"/>
  <x:pageSetup paperSize="9" fitToHeight="0" pageOrder="downThenOver" orientation="landscape" blackAndWhite="0" draft="0" cellComments="none" errors="displayed" r:id="rId1"/>
  <x:headerFooter/>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sheetPr>
  <x:dimension ref="A1"/>
  <x:sheetViews>
    <x:sheetView workbookViewId="0">
      <x:selection activeCell="A2" sqref="A2 A2:D25"/>
    </x:sheetView>
  </x:sheetViews>
  <x:sheetFormatPr defaultRowHeight="15" x14ac:dyDescent="0.25"/>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6055</vt:i4>
      </vt:variant>
    </vt:vector>
  </ap:HeadingPairs>
  <ap:TitlesOfParts>
    <vt:vector baseType="lpstr" size="6064">
      <vt:lpstr>Kết quả chấm</vt:lpstr>
      <vt:lpstr>TH điểm</vt:lpstr>
      <vt:lpstr>VTT</vt:lpstr>
      <vt:lpstr>VTS</vt:lpstr>
      <vt:lpstr>Tỉnh T7</vt:lpstr>
      <vt:lpstr>BC_chi_tiet</vt:lpstr>
      <vt:lpstr>Meta</vt:lpstr>
      <vt:lpstr>PLI- KPI cham diem tinh</vt:lpstr>
      <vt:lpstr>MetaTH</vt:lpstr>
      <vt:lpstr>Kết quả chấm!_xlnm._FilterDatabase</vt:lpstr>
      <vt:lpstr>Kết quả chấm!_______________________________________________NSO2</vt:lpstr>
      <vt:lpstr>Kết quả chấm!______________________________________________n23</vt:lpstr>
      <vt:lpstr>Kết quả chấm!______________________________________________NSO2</vt:lpstr>
      <vt:lpstr>Kết quả chấm!_____________________________________________n23</vt:lpstr>
      <vt:lpstr>Kết quả chấm!_____________________________________________NSO2</vt:lpstr>
      <vt:lpstr>Kết quả chấm!____________________________________________n23</vt:lpstr>
      <vt:lpstr>Kết quả chấm!____________________________________________NSO2</vt:lpstr>
      <vt:lpstr>Kết quả chấm!___________________________________________n23</vt:lpstr>
      <vt:lpstr>Kết quả chấm!___________________________________________new3</vt:lpstr>
      <vt:lpstr>Kết quả chấm!___________________________________________new5</vt:lpstr>
      <vt:lpstr>Kết quả chấm!___________________________________________new6</vt:lpstr>
      <vt:lpstr>Kết quả chấm!___________________________________________new7</vt:lpstr>
      <vt:lpstr>Kết quả chấm!___________________________________________NSO2</vt:lpstr>
      <vt:lpstr>Kết quả chấm!__________________________________________n23</vt:lpstr>
      <vt:lpstr>Kết quả chấm!__________________________________________new3</vt:lpstr>
      <vt:lpstr>Kết quả chấm!__________________________________________new5</vt:lpstr>
      <vt:lpstr>Kết quả chấm!__________________________________________new6</vt:lpstr>
      <vt:lpstr>Kết quả chấm!__________________________________________new7</vt:lpstr>
      <vt:lpstr>Kết quả chấm!__________________________________________NSO2</vt:lpstr>
      <vt:lpstr>Kết quả chấm!__________________________________________T8</vt:lpstr>
      <vt:lpstr>Kết quả chấm!_________________________________________n23</vt:lpstr>
      <vt:lpstr>Kết quả chấm!_________________________________________new3</vt:lpstr>
      <vt:lpstr>Kết quả chấm!_________________________________________new5</vt:lpstr>
      <vt:lpstr>Kết quả chấm!_________________________________________new6</vt:lpstr>
      <vt:lpstr>Kết quả chấm!_________________________________________new7</vt:lpstr>
      <vt:lpstr>Kết quả chấm!_________________________________________NSO2</vt:lpstr>
      <vt:lpstr>Kết quả chấm!_________________________________________T8</vt:lpstr>
      <vt:lpstr>Kết quả chấm!________________________________________n23</vt:lpstr>
      <vt:lpstr>Kết quả chấm!________________________________________new3</vt:lpstr>
      <vt:lpstr>Kết quả chấm!________________________________________new5</vt:lpstr>
      <vt:lpstr>Kết quả chấm!________________________________________new6</vt:lpstr>
      <vt:lpstr>Kết quả chấm!________________________________________new7</vt:lpstr>
      <vt:lpstr>Kết quả chấm!________________________________________NSO2</vt:lpstr>
      <vt:lpstr>Kết quả chấm!________________________________________T8</vt:lpstr>
      <vt:lpstr>Kết quả chấm!_______________________________________n23</vt:lpstr>
      <vt:lpstr>Kết quả chấm!_______________________________________new3</vt:lpstr>
      <vt:lpstr>Kết quả chấm!_______________________________________new5</vt:lpstr>
      <vt:lpstr>Kết quả chấm!_______________________________________new6</vt:lpstr>
      <vt:lpstr>Kết quả chấm!_______________________________________new7</vt:lpstr>
      <vt:lpstr>Kết quả chấm!_______________________________________NSO2</vt:lpstr>
      <vt:lpstr>Kết quả chấm!_______________________________________T8</vt:lpstr>
      <vt:lpstr>Kết quả chấm!______________________________________n23</vt:lpstr>
      <vt:lpstr>Kết quả chấm!______________________________________new3</vt:lpstr>
      <vt:lpstr>Kết quả chấm!______________________________________new5</vt:lpstr>
      <vt:lpstr>Kết quả chấm!______________________________________new6</vt:lpstr>
      <vt:lpstr>Kết quả chấm!______________________________________new7</vt:lpstr>
      <vt:lpstr>Kết quả chấm!______________________________________NSO2</vt:lpstr>
      <vt:lpstr>Kết quả chấm!______________________________________T8</vt:lpstr>
      <vt:lpstr>Kết quả chấm!_____________________________________n23</vt:lpstr>
      <vt:lpstr>Kết quả chấm!_____________________________________new3</vt:lpstr>
      <vt:lpstr>Kết quả chấm!_____________________________________new5</vt:lpstr>
      <vt:lpstr>Kết quả chấm!_____________________________________new6</vt:lpstr>
      <vt:lpstr>Kết quả chấm!_____________________________________new7</vt:lpstr>
      <vt:lpstr>Kết quả chấm!_____________________________________NSO2</vt:lpstr>
      <vt:lpstr>Kết quả chấm!_____________________________________T8</vt:lpstr>
      <vt:lpstr>Kết quả chấm!____________________________________n23</vt:lpstr>
      <vt:lpstr>Kết quả chấm!____________________________________new3</vt:lpstr>
      <vt:lpstr>Kết quả chấm!____________________________________new5</vt:lpstr>
      <vt:lpstr>Kết quả chấm!____________________________________new6</vt:lpstr>
      <vt:lpstr>Kết quả chấm!____________________________________new7</vt:lpstr>
      <vt:lpstr>Kết quả chấm!____________________________________NSO2</vt:lpstr>
      <vt:lpstr>Kết quả chấm!____________________________________T8</vt:lpstr>
      <vt:lpstr>Kết quả chấm!___________________________________n23</vt:lpstr>
      <vt:lpstr>Kết quả chấm!___________________________________new3</vt:lpstr>
      <vt:lpstr>Kết quả chấm!___________________________________new5</vt:lpstr>
      <vt:lpstr>Kết quả chấm!___________________________________new6</vt:lpstr>
      <vt:lpstr>Kết quả chấm!___________________________________new7</vt:lpstr>
      <vt:lpstr>Kết quả chấm!___________________________________NSO2</vt:lpstr>
      <vt:lpstr>Kết quả chấm!___________________________________T8</vt:lpstr>
      <vt:lpstr>Kết quả chấm!__________________________________n23</vt:lpstr>
      <vt:lpstr>Kết quả chấm!__________________________________new3</vt:lpstr>
      <vt:lpstr>Kết quả chấm!__________________________________new5</vt:lpstr>
      <vt:lpstr>Kết quả chấm!__________________________________new6</vt:lpstr>
      <vt:lpstr>Kết quả chấm!__________________________________new7</vt:lpstr>
      <vt:lpstr>Kết quả chấm!__________________________________NSO2</vt:lpstr>
      <vt:lpstr>Kết quả chấm!__________________________________T8</vt:lpstr>
      <vt:lpstr>Kết quả chấm!_________________________________n23</vt:lpstr>
      <vt:lpstr>Kết quả chấm!_________________________________new3</vt:lpstr>
      <vt:lpstr>Kết quả chấm!_________________________________new5</vt:lpstr>
      <vt:lpstr>Kết quả chấm!_________________________________new6</vt:lpstr>
      <vt:lpstr>Kết quả chấm!_________________________________new7</vt:lpstr>
      <vt:lpstr>Kết quả chấm!_________________________________NSO2</vt:lpstr>
      <vt:lpstr>Kết quả chấm!_________________________________T8</vt:lpstr>
      <vt:lpstr>Kết quả chấm!________________________________n23</vt:lpstr>
      <vt:lpstr>Kết quả chấm!________________________________new3</vt:lpstr>
      <vt:lpstr>Kết quả chấm!________________________________new5</vt:lpstr>
      <vt:lpstr>Kết quả chấm!________________________________new6</vt:lpstr>
      <vt:lpstr>Kết quả chấm!________________________________new7</vt:lpstr>
      <vt:lpstr>Kết quả chấm!________________________________NSO2</vt:lpstr>
      <vt:lpstr>Kết quả chấm!________________________________T8</vt:lpstr>
      <vt:lpstr>Kết quả chấm!_______________________________n23</vt:lpstr>
      <vt:lpstr>Kết quả chấm!_______________________________new3</vt:lpstr>
      <vt:lpstr>Kết quả chấm!_______________________________new5</vt:lpstr>
      <vt:lpstr>Kết quả chấm!_______________________________new6</vt:lpstr>
      <vt:lpstr>Kết quả chấm!_______________________________new7</vt:lpstr>
      <vt:lpstr>Kết quả chấm!_______________________________NSO2</vt:lpstr>
      <vt:lpstr>Kết quả chấm!_______________________________T8</vt:lpstr>
      <vt:lpstr>Kết quả chấm!______________________________n23</vt:lpstr>
      <vt:lpstr>Kết quả chấm!______________________________new3</vt:lpstr>
      <vt:lpstr>Kết quả chấm!______________________________new5</vt:lpstr>
      <vt:lpstr>Kết quả chấm!______________________________new6</vt:lpstr>
      <vt:lpstr>Kết quả chấm!______________________________new7</vt:lpstr>
      <vt:lpstr>Kết quả chấm!______________________________NSO2</vt:lpstr>
      <vt:lpstr>Kết quả chấm!______________________________T8</vt:lpstr>
      <vt:lpstr>Kết quả chấm!_____________________________n23</vt:lpstr>
      <vt:lpstr>Kết quả chấm!_____________________________new3</vt:lpstr>
      <vt:lpstr>Kết quả chấm!_____________________________new5</vt:lpstr>
      <vt:lpstr>Kết quả chấm!_____________________________new6</vt:lpstr>
      <vt:lpstr>Kết quả chấm!_____________________________new7</vt:lpstr>
      <vt:lpstr>Kết quả chấm!_____________________________NSO2</vt:lpstr>
      <vt:lpstr>Kết quả chấm!_____________________________T8</vt:lpstr>
      <vt:lpstr>Kết quả chấm!____________________________n23</vt:lpstr>
      <vt:lpstr>Kết quả chấm!____________________________new3</vt:lpstr>
      <vt:lpstr>Kết quả chấm!____________________________new5</vt:lpstr>
      <vt:lpstr>Kết quả chấm!____________________________new6</vt:lpstr>
      <vt:lpstr>Kết quả chấm!____________________________new7</vt:lpstr>
      <vt:lpstr>Kết quả chấm!____________________________NSO2</vt:lpstr>
      <vt:lpstr>Kết quả chấm!____________________________T8</vt:lpstr>
      <vt:lpstr>Kết quả chấm!___________________________n23</vt:lpstr>
      <vt:lpstr>Kết quả chấm!___________________________new3</vt:lpstr>
      <vt:lpstr>Kết quả chấm!___________________________new5</vt:lpstr>
      <vt:lpstr>Kết quả chấm!___________________________new6</vt:lpstr>
      <vt:lpstr>Kết quả chấm!___________________________new7</vt:lpstr>
      <vt:lpstr>Kết quả chấm!___________________________NSO2</vt:lpstr>
      <vt:lpstr>Kết quả chấm!___________________________T8</vt:lpstr>
      <vt:lpstr>Kết quả chấm!__________________________n23</vt:lpstr>
      <vt:lpstr>Kết quả chấm!__________________________new3</vt:lpstr>
      <vt:lpstr>Kết quả chấm!__________________________new5</vt:lpstr>
      <vt:lpstr>Kết quả chấm!__________________________new6</vt:lpstr>
      <vt:lpstr>Kết quả chấm!__________________________new7</vt:lpstr>
      <vt:lpstr>Kết quả chấm!__________________________NSO2</vt:lpstr>
      <vt:lpstr>Kết quả chấm!__________________________T8</vt:lpstr>
      <vt:lpstr>Kết quả chấm!_________________________n23</vt:lpstr>
      <vt:lpstr>Kết quả chấm!_________________________new3</vt:lpstr>
      <vt:lpstr>Kết quả chấm!_________________________new5</vt:lpstr>
      <vt:lpstr>Kết quả chấm!_________________________new6</vt:lpstr>
      <vt:lpstr>Kết quả chấm!_________________________new7</vt:lpstr>
      <vt:lpstr>Kết quả chấm!_________________________NSO2</vt:lpstr>
      <vt:lpstr>Kết quả chấm!_________________________T8</vt:lpstr>
      <vt:lpstr>Kết quả chấm!________________________n23</vt:lpstr>
      <vt:lpstr>Kết quả chấm!________________________new3</vt:lpstr>
      <vt:lpstr>Kết quả chấm!________________________new5</vt:lpstr>
      <vt:lpstr>Kết quả chấm!________________________new6</vt:lpstr>
      <vt:lpstr>Kết quả chấm!________________________new7</vt:lpstr>
      <vt:lpstr>Kết quả chấm!________________________NSO2</vt:lpstr>
      <vt:lpstr>Kết quả chấm!________________________T8</vt:lpstr>
      <vt:lpstr>Kết quả chấm!_______________________n23</vt:lpstr>
      <vt:lpstr>Kết quả chấm!_______________________new3</vt:lpstr>
      <vt:lpstr>Kết quả chấm!_______________________new5</vt:lpstr>
      <vt:lpstr>Kết quả chấm!_______________________new6</vt:lpstr>
      <vt:lpstr>Kết quả chấm!_______________________new7</vt:lpstr>
      <vt:lpstr>Kết quả chấm!_______________________NSO2</vt:lpstr>
      <vt:lpstr>Kết quả chấm!_______________________T8</vt:lpstr>
      <vt:lpstr>Kết quả chấm!______________________n23</vt:lpstr>
      <vt:lpstr>Kết quả chấm!______________________new3</vt:lpstr>
      <vt:lpstr>Kết quả chấm!______________________new5</vt:lpstr>
      <vt:lpstr>Kết quả chấm!______________________new6</vt:lpstr>
      <vt:lpstr>Kết quả chấm!______________________new7</vt:lpstr>
      <vt:lpstr>Kết quả chấm!______________________NSO2</vt:lpstr>
      <vt:lpstr>Kết quả chấm!______________________T8</vt:lpstr>
      <vt:lpstr>Kết quả chấm!_____________________n23</vt:lpstr>
      <vt:lpstr>Kết quả chấm!_____________________new3</vt:lpstr>
      <vt:lpstr>Kết quả chấm!_____________________new5</vt:lpstr>
      <vt:lpstr>Kết quả chấm!_____________________new6</vt:lpstr>
      <vt:lpstr>Kết quả chấm!_____________________new7</vt:lpstr>
      <vt:lpstr>Kết quả chấm!_____________________NSO2</vt:lpstr>
      <vt:lpstr>Kết quả chấm!_____________________T8</vt:lpstr>
      <vt:lpstr>Kết quả chấm!____________________n23</vt:lpstr>
      <vt:lpstr>Kết quả chấm!____________________new3</vt:lpstr>
      <vt:lpstr>Kết quả chấm!____________________new5</vt:lpstr>
      <vt:lpstr>Kết quả chấm!____________________new6</vt:lpstr>
      <vt:lpstr>Kết quả chấm!____________________new7</vt:lpstr>
      <vt:lpstr>Kết quả chấm!____________________NSO2</vt:lpstr>
      <vt:lpstr>Kết quả chấm!____________________T8</vt:lpstr>
      <vt:lpstr>Kết quả chấm!___________________n23</vt:lpstr>
      <vt:lpstr>Kết quả chấm!___________________new3</vt:lpstr>
      <vt:lpstr>Kết quả chấm!___________________new5</vt:lpstr>
      <vt:lpstr>Kết quả chấm!___________________new6</vt:lpstr>
      <vt:lpstr>Kết quả chấm!___________________new7</vt:lpstr>
      <vt:lpstr>Kết quả chấm!___________________NSO2</vt:lpstr>
      <vt:lpstr>Kết quả chấm!___________________T8</vt:lpstr>
      <vt:lpstr>Kết quả chấm!__________________n23</vt:lpstr>
      <vt:lpstr>Kết quả chấm!__________________new3</vt:lpstr>
      <vt:lpstr>Kết quả chấm!__________________new5</vt:lpstr>
      <vt:lpstr>Kết quả chấm!__________________new6</vt:lpstr>
      <vt:lpstr>Kết quả chấm!__________________new7</vt:lpstr>
      <vt:lpstr>Kết quả chấm!__________________NSO2</vt:lpstr>
      <vt:lpstr>Kết quả chấm!__________________SA1</vt:lpstr>
      <vt:lpstr>Kết quả chấm!__________________SA2</vt:lpstr>
      <vt:lpstr>Kết quả chấm!__________________SA4</vt:lpstr>
      <vt:lpstr>Kết quả chấm!__________________T8</vt:lpstr>
      <vt:lpstr>Kết quả chấm!_________________n23</vt:lpstr>
      <vt:lpstr>Kết quả chấm!_________________new3</vt:lpstr>
      <vt:lpstr>Kết quả chấm!_________________new5</vt:lpstr>
      <vt:lpstr>Kết quả chấm!_________________new6</vt:lpstr>
      <vt:lpstr>Kết quả chấm!_________________new7</vt:lpstr>
      <vt:lpstr>Kết quả chấm!_________________NSO2</vt:lpstr>
      <vt:lpstr>Kết quả chấm!_________________SA1</vt:lpstr>
      <vt:lpstr>Kết quả chấm!_________________SA2</vt:lpstr>
      <vt:lpstr>Kết quả chấm!_________________SA4</vt:lpstr>
      <vt:lpstr>Kết quả chấm!_________________T8</vt:lpstr>
      <vt:lpstr>Kết quả chấm!________________n23</vt:lpstr>
      <vt:lpstr>Kết quả chấm!________________new3</vt:lpstr>
      <vt:lpstr>Kết quả chấm!________________new5</vt:lpstr>
      <vt:lpstr>Kết quả chấm!________________new6</vt:lpstr>
      <vt:lpstr>Kết quả chấm!________________new7</vt:lpstr>
      <vt:lpstr>Kết quả chấm!________________NSO2</vt:lpstr>
      <vt:lpstr>Kết quả chấm!________________SA1</vt:lpstr>
      <vt:lpstr>Kết quả chấm!________________SA2</vt:lpstr>
      <vt:lpstr>Kết quả chấm!________________SA4</vt:lpstr>
      <vt:lpstr>Kết quả chấm!________________T8</vt:lpstr>
      <vt:lpstr>Kết quả chấm!_______________n23</vt:lpstr>
      <vt:lpstr>Kết quả chấm!_______________new3</vt:lpstr>
      <vt:lpstr>Kết quả chấm!_______________new5</vt:lpstr>
      <vt:lpstr>Kết quả chấm!_______________new6</vt:lpstr>
      <vt:lpstr>Kết quả chấm!_______________new7</vt:lpstr>
      <vt:lpstr>Kết quả chấm!_______________NSO2</vt:lpstr>
      <vt:lpstr>Kết quả chấm!_______________SA1</vt:lpstr>
      <vt:lpstr>Kết quả chấm!_______________SA2</vt:lpstr>
      <vt:lpstr>Kết quả chấm!_______________SA4</vt:lpstr>
      <vt:lpstr>Kết quả chấm!_______________T8</vt:lpstr>
      <vt:lpstr>Kết quả chấm!______________n23</vt:lpstr>
      <vt:lpstr>Kết quả chấm!______________new3</vt:lpstr>
      <vt:lpstr>Kết quả chấm!______________new5</vt:lpstr>
      <vt:lpstr>Kết quả chấm!______________new6</vt:lpstr>
      <vt:lpstr>Kết quả chấm!______________new7</vt:lpstr>
      <vt:lpstr>Kết quả chấm!______________NSO2</vt:lpstr>
      <vt:lpstr>Kết quả chấm!______________SA1</vt:lpstr>
      <vt:lpstr>Kết quả chấm!______________SA2</vt:lpstr>
      <vt:lpstr>Kết quả chấm!______________SA4</vt:lpstr>
      <vt:lpstr>Kết quả chấm!______________T8</vt:lpstr>
      <vt:lpstr>Kết quả chấm!_____________n23</vt:lpstr>
      <vt:lpstr>Kết quả chấm!_____________new3</vt:lpstr>
      <vt:lpstr>Kết quả chấm!_____________new5</vt:lpstr>
      <vt:lpstr>Kết quả chấm!_____________new6</vt:lpstr>
      <vt:lpstr>Kết quả chấm!_____________new7</vt:lpstr>
      <vt:lpstr>Kết quả chấm!_____________NSO2</vt:lpstr>
      <vt:lpstr>Kết quả chấm!_____________SA1</vt:lpstr>
      <vt:lpstr>Kết quả chấm!_____________SA2</vt:lpstr>
      <vt:lpstr>Kết quả chấm!_____________SA4</vt:lpstr>
      <vt:lpstr>Kết quả chấm!_____________T8</vt:lpstr>
      <vt:lpstr>Kết quả chấm!____________n23</vt:lpstr>
      <vt:lpstr>Kết quả chấm!____________new3</vt:lpstr>
      <vt:lpstr>Kết quả chấm!____________new5</vt:lpstr>
      <vt:lpstr>Kết quả chấm!____________new6</vt:lpstr>
      <vt:lpstr>Kết quả chấm!____________new7</vt:lpstr>
      <vt:lpstr>Kết quả chấm!____________NSO2</vt:lpstr>
      <vt:lpstr>Kết quả chấm!____________SA1</vt:lpstr>
      <vt:lpstr>Kết quả chấm!____________SA2</vt:lpstr>
      <vt:lpstr>Kết quả chấm!____________SA4</vt:lpstr>
      <vt:lpstr>Kết quả chấm!____________T8</vt:lpstr>
      <vt:lpstr>Kết quả chấm!___________km03</vt:lpstr>
      <vt:lpstr>Kết quả chấm!___________n23</vt:lpstr>
      <vt:lpstr>Kết quả chấm!___________new3</vt:lpstr>
      <vt:lpstr>Kết quả chấm!___________new5</vt:lpstr>
      <vt:lpstr>Kết quả chấm!___________new6</vt:lpstr>
      <vt:lpstr>Kết quả chấm!___________new7</vt:lpstr>
      <vt:lpstr>Kết quả chấm!___________NSO2</vt:lpstr>
      <vt:lpstr>Kết quả chấm!___________SA1</vt:lpstr>
      <vt:lpstr>Kết quả chấm!___________SA2</vt:lpstr>
      <vt:lpstr>Kết quả chấm!___________SA4</vt:lpstr>
      <vt:lpstr>Kết quả chấm!___________T8</vt:lpstr>
      <vt:lpstr>Kết quả chấm!__________km03</vt:lpstr>
      <vt:lpstr>Kết quả chấm!__________n23</vt:lpstr>
      <vt:lpstr>Kết quả chấm!__________new3</vt:lpstr>
      <vt:lpstr>Kết quả chấm!__________new5</vt:lpstr>
      <vt:lpstr>Kết quả chấm!__________new6</vt:lpstr>
      <vt:lpstr>Kết quả chấm!__________new7</vt:lpstr>
      <vt:lpstr>Kết quả chấm!__________NSO2</vt:lpstr>
      <vt:lpstr>Kết quả chấm!__________SA1</vt:lpstr>
      <vt:lpstr>Kết quả chấm!__________SA2</vt:lpstr>
      <vt:lpstr>Kết quả chấm!__________SA4</vt:lpstr>
      <vt:lpstr>Kết quả chấm!__________T8</vt:lpstr>
      <vt:lpstr>Kết quả chấm!_________km03</vt:lpstr>
      <vt:lpstr>Kết quả chấm!_________n23</vt:lpstr>
      <vt:lpstr>Kết quả chấm!_________new3</vt:lpstr>
      <vt:lpstr>Kết quả chấm!_________new5</vt:lpstr>
      <vt:lpstr>Kết quả chấm!_________new6</vt:lpstr>
      <vt:lpstr>Kết quả chấm!_________new7</vt:lpstr>
      <vt:lpstr>Kết quả chấm!_________NSO2</vt:lpstr>
      <vt:lpstr>Kết quả chấm!_________SA1</vt:lpstr>
      <vt:lpstr>Kết quả chấm!_________SA2</vt:lpstr>
      <vt:lpstr>Kết quả chấm!_________SA4</vt:lpstr>
      <vt:lpstr>Kết quả chấm!_________T8</vt:lpstr>
      <vt:lpstr>Kết quả chấm!________km03</vt:lpstr>
      <vt:lpstr>Kết quả chấm!________n23</vt:lpstr>
      <vt:lpstr>Kết quả chấm!________new3</vt:lpstr>
      <vt:lpstr>Kết quả chấm!________new5</vt:lpstr>
      <vt:lpstr>Kết quả chấm!________new6</vt:lpstr>
      <vt:lpstr>Kết quả chấm!________new7</vt:lpstr>
      <vt:lpstr>Kết quả chấm!________NSO2</vt:lpstr>
      <vt:lpstr>Kết quả chấm!________SA1</vt:lpstr>
      <vt:lpstr>Kết quả chấm!________SA2</vt:lpstr>
      <vt:lpstr>Kết quả chấm!________SA4</vt:lpstr>
      <vt:lpstr>Kết quả chấm!________T8</vt:lpstr>
      <vt:lpstr>Kết quả chấm!_______km03</vt:lpstr>
      <vt:lpstr>Kết quả chấm!_______n23</vt:lpstr>
      <vt:lpstr>Kết quả chấm!_______new3</vt:lpstr>
      <vt:lpstr>Kết quả chấm!_______new5</vt:lpstr>
      <vt:lpstr>Kết quả chấm!_______new6</vt:lpstr>
      <vt:lpstr>Kết quả chấm!_______new7</vt:lpstr>
      <vt:lpstr>Kết quả chấm!_______NSO2</vt:lpstr>
      <vt:lpstr>Kết quả chấm!_______SA1</vt:lpstr>
      <vt:lpstr>Kết quả chấm!_______SA2</vt:lpstr>
      <vt:lpstr>Kết quả chấm!_______SA4</vt:lpstr>
      <vt:lpstr>Kết quả chấm!_______T8</vt:lpstr>
      <vt:lpstr>Kết quả chấm!______km03</vt:lpstr>
      <vt:lpstr>Kết quả chấm!______n23</vt:lpstr>
      <vt:lpstr>Kết quả chấm!______new3</vt:lpstr>
      <vt:lpstr>Kết quả chấm!______new5</vt:lpstr>
      <vt:lpstr>Kết quả chấm!______new6</vt:lpstr>
      <vt:lpstr>Kết quả chấm!______new7</vt:lpstr>
      <vt:lpstr>Kết quả chấm!______NSO2</vt:lpstr>
      <vt:lpstr>Kết quả chấm!______SA1</vt:lpstr>
      <vt:lpstr>Kết quả chấm!______SA2</vt:lpstr>
      <vt:lpstr>Kết quả chấm!______SA4</vt:lpstr>
      <vt:lpstr>Kết quả chấm!______T8</vt:lpstr>
      <vt:lpstr>Kết quả chấm!_____km03</vt:lpstr>
      <vt:lpstr>Kết quả chấm!_____n23</vt:lpstr>
      <vt:lpstr>Kết quả chấm!_____new3</vt:lpstr>
      <vt:lpstr>Kết quả chấm!_____new5</vt:lpstr>
      <vt:lpstr>Kết quả chấm!_____new6</vt:lpstr>
      <vt:lpstr>Kết quả chấm!_____new7</vt:lpstr>
      <vt:lpstr>Kết quả chấm!_____NSO2</vt:lpstr>
      <vt:lpstr>Kết quả chấm!_____SA1</vt:lpstr>
      <vt:lpstr>Kết quả chấm!_____SA2</vt:lpstr>
      <vt:lpstr>Kết quả chấm!_____SA4</vt:lpstr>
      <vt:lpstr>Kết quả chấm!_____T8</vt:lpstr>
      <vt:lpstr>Kết quả chấm!____km03</vt:lpstr>
      <vt:lpstr>Kết quả chấm!____n23</vt:lpstr>
      <vt:lpstr>Kết quả chấm!____new3</vt:lpstr>
      <vt:lpstr>Kết quả chấm!____new5</vt:lpstr>
      <vt:lpstr>Kết quả chấm!____new6</vt:lpstr>
      <vt:lpstr>Kết quả chấm!____new7</vt:lpstr>
      <vt:lpstr>Kết quả chấm!____NSO2</vt:lpstr>
      <vt:lpstr>Kết quả chấm!____SA1</vt:lpstr>
      <vt:lpstr>Kết quả chấm!____SA2</vt:lpstr>
      <vt:lpstr>Kết quả chấm!____SA4</vt:lpstr>
      <vt:lpstr>Kết quả chấm!____T8</vt:lpstr>
      <vt:lpstr>Kết quả chấm!___a1</vt:lpstr>
      <vt:lpstr>Kết quả chấm!___km03</vt:lpstr>
      <vt:lpstr>Kết quả chấm!___n23</vt:lpstr>
      <vt:lpstr>Kết quả chấm!___new3</vt:lpstr>
      <vt:lpstr>Kết quả chấm!___new5</vt:lpstr>
      <vt:lpstr>Kết quả chấm!___new6</vt:lpstr>
      <vt:lpstr>Kết quả chấm!___new7</vt:lpstr>
      <vt:lpstr>Kết quả chấm!___NSO2</vt:lpstr>
      <vt:lpstr>Kết quả chấm!___SA1</vt:lpstr>
      <vt:lpstr>Kết quả chấm!___SA2</vt:lpstr>
      <vt:lpstr>Kết quả chấm!___SA4</vt:lpstr>
      <vt:lpstr>Kết quả chấm!___T8</vt:lpstr>
      <vt:lpstr>Kết quả chấm!___TK211</vt:lpstr>
      <vt:lpstr>Kết quả chấm!__a1</vt:lpstr>
      <vt:lpstr>Kết quả chấm!__a129</vt:lpstr>
      <vt:lpstr>Kết quả chấm!__a130</vt:lpstr>
      <vt:lpstr>Kết quả chấm!__anh1</vt:lpstr>
      <vt:lpstr>Kết quả chấm!__anh10</vt:lpstr>
      <vt:lpstr>Kết quả chấm!__anh12</vt:lpstr>
      <vt:lpstr>Kết quả chấm!__anh13</vt:lpstr>
      <vt:lpstr>Kết quả chấm!__anh15</vt:lpstr>
      <vt:lpstr>Kết quả chấm!__anh18</vt:lpstr>
      <vt:lpstr>Kết quả chấm!__anh19</vt:lpstr>
      <vt:lpstr>Kết quả chấm!__anh2</vt:lpstr>
      <vt:lpstr>Kết quả chấm!__anh20</vt:lpstr>
      <vt:lpstr>Kết quả chấm!__anh21</vt:lpstr>
      <vt:lpstr>Kết quả chấm!__anh22</vt:lpstr>
      <vt:lpstr>Kết quả chấm!__anh27</vt:lpstr>
      <vt:lpstr>Kết quả chấm!__anh28</vt:lpstr>
      <vt:lpstr>Kết quả chấm!__anh356</vt:lpstr>
      <vt:lpstr>Kết quả chấm!__anh41</vt:lpstr>
      <vt:lpstr>Kết quả chấm!__anh56</vt:lpstr>
      <vt:lpstr>Kết quả chấm!__anh8</vt:lpstr>
      <vt:lpstr>Kết quả chấm!__anh9</vt:lpstr>
      <vt:lpstr>Kết quả chấm!__bookmark_1</vt:lpstr>
      <vt:lpstr>Kết quả chấm!__Goi8</vt:lpstr>
      <vt:lpstr>Kết quả chấm!__HNI04</vt:lpstr>
      <vt:lpstr>Kết quả chấm!__km03</vt:lpstr>
      <vt:lpstr>Kết quả chấm!__Lan1</vt:lpstr>
      <vt:lpstr>Kết quả chấm!__LAN3</vt:lpstr>
      <vt:lpstr>Kết quả chấm!__n23</vt:lpstr>
      <vt:lpstr>Kết quả chấm!__new3</vt:lpstr>
      <vt:lpstr>Kết quả chấm!__new5</vt:lpstr>
      <vt:lpstr>Kết quả chấm!__new6</vt:lpstr>
      <vt:lpstr>Kết quả chấm!__new7</vt:lpstr>
      <vt:lpstr>Kết quả chấm!__NSO2</vt:lpstr>
      <vt:lpstr>Kết quả chấm!__PA3</vt:lpstr>
      <vt:lpstr>Kết quả chấm!__SA1</vt:lpstr>
      <vt:lpstr>Kết quả chấm!__SA2</vt:lpstr>
      <vt:lpstr>Kết quả chấm!__SA4</vt:lpstr>
      <vt:lpstr>Kết quả chấm!__T11</vt:lpstr>
      <vt:lpstr>Kết quả chấm!__T8</vt:lpstr>
      <vt:lpstr>Kết quả chấm!__TK211</vt:lpstr>
      <vt:lpstr>Kết quả chấm!__TM2</vt:lpstr>
      <vt:lpstr>Kết quả chấm!__tt3</vt:lpstr>
      <vt:lpstr>Kết quả chấm!_a1</vt:lpstr>
      <vt:lpstr>Kết quả chấm!_a129</vt:lpstr>
      <vt:lpstr>Kết quả chấm!_a130</vt:lpstr>
      <vt:lpstr>Kết quả chấm!_anh1</vt:lpstr>
      <vt:lpstr>Kết quả chấm!_anh10</vt:lpstr>
      <vt:lpstr>Kết quả chấm!_anh12</vt:lpstr>
      <vt:lpstr>Kết quả chấm!_anh13</vt:lpstr>
      <vt:lpstr>Kết quả chấm!_anh15</vt:lpstr>
      <vt:lpstr>Kết quả chấm!_anh18</vt:lpstr>
      <vt:lpstr>Kết quả chấm!_anh19</vt:lpstr>
      <vt:lpstr>Kết quả chấm!_anh2</vt:lpstr>
      <vt:lpstr>Kết quả chấm!_anh20</vt:lpstr>
      <vt:lpstr>Kết quả chấm!_anh21</vt:lpstr>
      <vt:lpstr>Kết quả chấm!_anh22</vt:lpstr>
      <vt:lpstr>Kết quả chấm!_anh27</vt:lpstr>
      <vt:lpstr>Kết quả chấm!_anh28</vt:lpstr>
      <vt:lpstr>Kết quả chấm!_anh356</vt:lpstr>
      <vt:lpstr>Kết quả chấm!_anh41</vt:lpstr>
      <vt:lpstr>Kết quả chấm!_anh56</vt:lpstr>
      <vt:lpstr>Kết quả chấm!_anh8</vt:lpstr>
      <vt:lpstr>Kết quả chấm!_anh9</vt:lpstr>
      <vt:lpstr>Kết quả chấm!_F1</vt:lpstr>
      <vt:lpstr>Kết quả chấm!_Fill</vt:lpstr>
      <vt:lpstr>Kết quả chấm!_gh1</vt:lpstr>
      <vt:lpstr>Kết quả chấm!_Goi8</vt:lpstr>
      <vt:lpstr>Kết quả chấm!_HNI04</vt:lpstr>
      <vt:lpstr>Kết quả chấm!_hu1</vt:lpstr>
      <vt:lpstr>Kết quả chấm!_hu2</vt:lpstr>
      <vt:lpstr>Kết quả chấm!_hu5</vt:lpstr>
      <vt:lpstr>Kết quả chấm!_hu6</vt:lpstr>
      <vt:lpstr>Kết quả chấm!_hu7</vt:lpstr>
      <vt:lpstr>Kết quả chấm!_huy1</vt:lpstr>
      <vt:lpstr>Kết quả chấm!_Key1</vt:lpstr>
      <vt:lpstr>Kết quả chấm!_Key2</vt:lpstr>
      <vt:lpstr>Kết quả chấm!_kl11</vt:lpstr>
      <vt:lpstr>Kết quả chấm!_kl4</vt:lpstr>
      <vt:lpstr>Kết quả chấm!_kl6</vt:lpstr>
      <vt:lpstr>Kết quả chấm!_km03</vt:lpstr>
      <vt:lpstr>Kết quả chấm!_Lan1</vt:lpstr>
      <vt:lpstr>Kết quả chấm!_LAN3</vt:lpstr>
      <vt:lpstr>Kết quả chấm!_MCC3</vt:lpstr>
      <vt:lpstr>Kết quả chấm!_MEP2</vt:lpstr>
      <vt:lpstr>Kết quả chấm!_n23</vt:lpstr>
      <vt:lpstr>Kết quả chấm!_new3</vt:lpstr>
      <vt:lpstr>Kết quả chấm!_new5</vt:lpstr>
      <vt:lpstr>Kết quả chấm!_new6</vt:lpstr>
      <vt:lpstr>Kết quả chấm!_new7</vt:lpstr>
      <vt:lpstr>Kết quả chấm!_NKT2</vt:lpstr>
      <vt:lpstr>Kết quả chấm!_NS01</vt:lpstr>
      <vt:lpstr>Kết quả chấm!_NSO2</vt:lpstr>
      <vt:lpstr>Kết quả chấm!_NSO3</vt:lpstr>
      <vt:lpstr>Kết quả chấm!_PA3</vt:lpstr>
      <vt:lpstr>Kết quả chấm!_SA1</vt:lpstr>
      <vt:lpstr>Kết quả chấm!_SA2</vt:lpstr>
      <vt:lpstr>Kết quả chấm!_SA4</vt:lpstr>
      <vt:lpstr>Kết quả chấm!_Sort</vt:lpstr>
      <vt:lpstr>Kết quả chấm!_Sortmoi</vt:lpstr>
      <vt:lpstr>Kết quả chấm!_T10</vt:lpstr>
      <vt:lpstr>Kết quả chấm!_T11</vt:lpstr>
      <vt:lpstr>Kết quả chấm!_T8</vt:lpstr>
      <vt:lpstr>Kết quả chấm!_TH1</vt:lpstr>
      <vt:lpstr>Kết quả chấm!_TK211</vt:lpstr>
      <vt:lpstr>Kết quả chấm!_TM2</vt:lpstr>
      <vt:lpstr>Kết quả chấm!_tt3</vt:lpstr>
      <vt:lpstr>Kết quả chấm!_vl1</vt:lpstr>
      <vt:lpstr>Kết quả chấm!â</vt:lpstr>
      <vt:lpstr>Kết quả chấm!ằ</vt:lpstr>
      <vt:lpstr>Kết quả chấm!a129_xoa</vt:lpstr>
      <vt:lpstr>Kết quả chấm!a129_xoaxoa</vt:lpstr>
      <vt:lpstr>Kết quả chấm!a130_xoa</vt:lpstr>
      <vt:lpstr>Kết quả chấm!a130_xoaxoa</vt:lpstr>
      <vt:lpstr>Kết quả chấm!a1moi</vt:lpstr>
      <vt:lpstr>Kết quả chấm!ả4513</vt:lpstr>
      <vt:lpstr>Kết quả chấm!â9000</vt:lpstr>
      <vt:lpstr>Kết quả chấm!aaaaaa</vt:lpstr>
      <vt:lpstr>Kết quả chấm!aadd</vt:lpstr>
      <vt:lpstr>Kết quả chấm!aass</vt:lpstr>
      <vt:lpstr>Kết quả chấm!aavavavav</vt:lpstr>
      <vt:lpstr>Kết quả chấm!abc</vt:lpstr>
      <vt:lpstr>Kết quả chấm!abcd</vt:lpstr>
      <vt:lpstr>Kết quả chấm!acc</vt:lpstr>
      <vt:lpstr>Kết quả chấm!ádfg</vt:lpstr>
      <vt:lpstr>Kết quả chấm!adfgdfhgdf</vt:lpstr>
      <vt:lpstr>Kết quả chấm!adfgfgdfg</vt:lpstr>
      <vt:lpstr>Kết quả chấm!adfsg</vt:lpstr>
      <vt:lpstr>Kết quả chấm!ae</vt:lpstr>
      <vt:lpstr>Kết quả chấm!aegwhg.gk</vt:lpstr>
      <vt:lpstr>Kết quả chấm!aetg.hgrs</vt:lpstr>
      <vt:lpstr>Kết quả chấm!âétggâgqgêágghe</vt:lpstr>
      <vt:lpstr>Kết quả chấm!âfA</vt:lpstr>
      <vt:lpstr>Kết quả chấm!afasfsagfas</vt:lpstr>
      <vt:lpstr>Kết quả chấm!ăg</vt:lpstr>
      <vt:lpstr>Kết quả chấm!àgdfgfdgdf</vt:lpstr>
      <vt:lpstr>Kết quả chấm!àgfdgfdf</vt:lpstr>
      <vt:lpstr>Kết quả chấm!ẩgg</vt:lpstr>
      <vt:lpstr>Kết quả chấm!ầgga</vt:lpstr>
      <vt:lpstr>Kết quả chấm!amnh16</vt:lpstr>
      <vt:lpstr>Kết quả chấm!amoi</vt:lpstr>
      <vt:lpstr>Kết quả chấm!Antoan</vt:lpstr>
      <vt:lpstr>Kết quả chấm!as</vt:lpstr>
      <vt:lpstr>Kết quả chấm!asf</vt:lpstr>
      <vt:lpstr>Kết quả chấm!asss</vt:lpstr>
      <vt:lpstr>Kết quả chấm!asssss</vt:lpstr>
      <vt:lpstr>Kết quả chấm!Attachment07</vt:lpstr>
      <vt:lpstr>Kết quả chấm!AU</vt:lpstr>
      <vt:lpstr>Kết quả chấm!avavgveqvaq</vt:lpstr>
      <vt:lpstr>Kết quả chấm!Bang7_THKL_HCM</vt:lpstr>
      <vt:lpstr>Kết quả chấm!banQL</vt:lpstr>
      <vt:lpstr>Kết quả chấm!Bao</vt:lpstr>
      <vt:lpstr>Kết quả chấm!bbb</vt:lpstr>
      <vt:lpstr>Kết quả chấm!BBe</vt:lpstr>
      <vt:lpstr>Kết quả chấm!bdv</vt:lpstr>
      <vt:lpstr>Kết quả chấm!Bieu18</vt:lpstr>
      <vt:lpstr>Kết quả chấm!BO</vt:lpstr>
      <vt:lpstr>Kết quả chấm!BUM</vt:lpstr>
      <vt:lpstr>Kết quả chấm!bvcbvb</vt:lpstr>
      <vt:lpstr>Kết quả chấm!CARL</vt:lpstr>
      <vt:lpstr>Kết quả chấm!CARL1</vt:lpstr>
      <vt:lpstr>Kết quả chấm!CARL2</vt:lpstr>
      <vt:lpstr>Kết quả chấm!CBG</vt:lpstr>
      <vt:lpstr>Kết quả chấm!chilinh1</vt:lpstr>
      <vt:lpstr>Kết quả chấm!chilinh2</vt:lpstr>
      <vt:lpstr>Kết quả chấm!chilinh3</vt:lpstr>
      <vt:lpstr>Kết quả chấm!chilinh4</vt:lpstr>
      <vt:lpstr>Kết quả chấm!chilinh5</vt:lpstr>
      <vt:lpstr>Kết quả chấm!chilinh6</vt:lpstr>
      <vt:lpstr>Kết quả chấm!chilk</vt:lpstr>
      <vt:lpstr>Kết quả chấm!chitietbgiang2</vt:lpstr>
      <vt:lpstr>Kết quả chấm!Code</vt:lpstr>
      <vt:lpstr>Kết quả chấm!ctbbt</vt:lpstr>
      <vt:lpstr>Kết quả chấm!CTCT1</vt:lpstr>
      <vt:lpstr>Kết quả chấm!CTIEN</vt:lpstr>
      <vt:lpstr>Kết quả chấm!cung</vt:lpstr>
      <vt:lpstr>Kết quả chấm!cuong</vt:lpstr>
      <vt:lpstr>Kết quả chấm!cvcv</vt:lpstr>
      <vt:lpstr>Kết quả chấm!d</vt:lpstr>
      <vt:lpstr>Kết quả chấm!DAILATHANH</vt:lpstr>
      <vt:lpstr>Kết quả chấm!dang</vt:lpstr>
      <vt:lpstr>Kết quả chấm!data1</vt:lpstr>
      <vt:lpstr>Kết quả chấm!data2</vt:lpstr>
      <vt:lpstr>Kết quả chấm!data3</vt:lpstr>
      <vt:lpstr>Kết quả chấm!Dautu</vt:lpstr>
      <vt:lpstr>Kết quả chấm!DD</vt:lpstr>
      <vt:lpstr>Kết quả chấm!ddd</vt:lpstr>
      <vt:lpstr>Kết quả chấm!dddddddddd</vt:lpstr>
      <vt:lpstr>Kết quả chấm!dddddddddddddd</vt:lpstr>
      <vt:lpstr>Kết quả chấm!ddddddddddddddd</vt:lpstr>
      <vt:lpstr>Kết quả chấm!deedfsd</vt:lpstr>
      <vt:lpstr>Kết quả chấm!DEEE</vt:lpstr>
      <vt:lpstr>Kết quả chấm!DES</vt:lpstr>
      <vt:lpstr>Kết quả chấm!dfafd</vt:lpstr>
      <vt:lpstr>Kết quả chấm!đfbgdgă</vt:lpstr>
      <vt:lpstr>Kết quả chấm!dfdfd</vt:lpstr>
      <vt:lpstr>Kết quả chấm!dfdsf</vt:lpstr>
      <vt:lpstr>Kết quả chấm!dfdsfdsf</vt:lpstr>
      <vt:lpstr>Kết quả chấm!DFFFF</vt:lpstr>
      <vt:lpstr>Kết quả chấm!dfg</vt:lpstr>
      <vt:lpstr>Kết quả chấm!dfgmsdkg</vt:lpstr>
      <vt:lpstr>Kết quả chấm!dfh</vt:lpstr>
      <vt:lpstr>Kết quả chấm!đfnfndfn</vt:lpstr>
      <vt:lpstr>Kết quả chấm!dfsfsd</vt:lpstr>
      <vt:lpstr>Kết quả chấm!dgdagkadfkg</vt:lpstr>
      <vt:lpstr>Kết quả chấm!dgdfgdfgf</vt:lpstr>
      <vt:lpstr>Kết quả chấm!dgg</vt:lpstr>
      <vt:lpstr>Kết quả chấm!dgsdfgdfag</vt:lpstr>
      <vt:lpstr>Kết quả chấm!đhf</vt:lpstr>
      <vt:lpstr>Kết quả chấm!dhtdh</vt:lpstr>
      <vt:lpstr>Kết quả chấm!Discount</vt:lpstr>
      <vt:lpstr>Kết quả chấm!display_area_2</vt:lpstr>
      <vt:lpstr>Kết quả chấm!DKTT</vt:lpstr>
      <vt:lpstr>Kết quả chấm!dmxl2</vt:lpstr>
      <vt:lpstr>Kết quả chấm!Document_array</vt:lpstr>
      <vt:lpstr>Kết quả chấm!dong</vt:lpstr>
      <vt:lpstr>Kết quả chấm!drrrrrrr</vt:lpstr>
      <vt:lpstr>Kết quả chấm!dsfhkjdsfds</vt:lpstr>
      <vt:lpstr>Kết quả chấm!dsfsdfsd</vt:lpstr>
      <vt:lpstr>Kết quả chấm!dsgsw.sgrs.grsg_.sg</vt:lpstr>
      <vt:lpstr>Kết quả chấm!DSPS</vt:lpstr>
      <vt:lpstr>Kết quả chấm!DTTK</vt:lpstr>
      <vt:lpstr>Kết quả chấm!DTTVGM163</vt:lpstr>
      <vt:lpstr>Kết quả chấm!du</vt:lpstr>
      <vt:lpstr>Kết quả chấm!duc</vt:lpstr>
      <vt:lpstr>Kết quả chấm!dutoanc2</vt:lpstr>
      <vt:lpstr>Kết quả chấm!ED</vt:lpstr>
      <vt:lpstr>Kết quả chấm!EEE</vt:lpstr>
      <vt:lpstr>Kết quả chấm!EEEEE</vt:lpstr>
      <vt:lpstr>Kết quả chấm!eeeeeeeeeeeee</vt:lpstr>
      <vt:lpstr>Kết quả chấm!egw</vt:lpstr>
      <vt:lpstr>Kết quả chấm!eheh</vt:lpstr>
      <vt:lpstr>Kết quả chấm!ELLEN1</vt:lpstr>
      <vt:lpstr>Kết quả chấm!ELLEN10</vt:lpstr>
      <vt:lpstr>Kết quả chấm!ELLEN11</vt:lpstr>
      <vt:lpstr>Kết quả chấm!ELLEN12</vt:lpstr>
      <vt:lpstr>Kết quả chấm!ELLEN13</vt:lpstr>
      <vt:lpstr>Kết quả chấm!ELLEN14</vt:lpstr>
      <vt:lpstr>Kết quả chấm!ELLEN15</vt:lpstr>
      <vt:lpstr>Kết quả chấm!ELLEN16</vt:lpstr>
      <vt:lpstr>Kết quả chấm!ELLEN17</vt:lpstr>
      <vt:lpstr>Kết quả chấm!ELLEN18</vt:lpstr>
      <vt:lpstr>Kết quả chấm!ELLEN19</vt:lpstr>
      <vt:lpstr>Kết quả chấm!ELLEN2</vt:lpstr>
      <vt:lpstr>Kết quả chấm!ELLEN3</vt:lpstr>
      <vt:lpstr>Kết quả chấm!ELLEN4</vt:lpstr>
      <vt:lpstr>Kết quả chấm!ELLEN5</vt:lpstr>
      <vt:lpstr>Kết quả chấm!ELLEN6</vt:lpstr>
      <vt:lpstr>Kết quả chấm!ELLEN7</vt:lpstr>
      <vt:lpstr>Kết quả chấm!ELLEN8</vt:lpstr>
      <vt:lpstr>Kết quả chấm!ELLEN9</vt:lpstr>
      <vt:lpstr>Kết quả chấm!esgtew</vt:lpstr>
      <vt:lpstr>Kết quả chấm!etethtehbdex</vt:lpstr>
      <vt:lpstr>Kết quả chấm!êthtêt</vt:lpstr>
      <vt:lpstr>Kết quả chấm!etqgsg_đhs</vt:lpstr>
      <vt:lpstr>Kết quả chấm!etrw45.đ</vt:lpstr>
      <vt:lpstr>Kết quả chấm!Extra</vt:lpstr>
      <vt:lpstr>Kết quả chấm!eygswgq</vt:lpstr>
      <vt:lpstr>Kết quả chấm!êyh</vt:lpstr>
      <vt:lpstr>Kết quả chấm!f</vt:lpstr>
      <vt:lpstr>Kết quả chấm!fáaafafaf</vt:lpstr>
      <vt:lpstr>Kết quả chấm!fasfaga</vt:lpstr>
      <vt:lpstr>Kết quả chấm!FCode</vt:lpstr>
      <vt:lpstr>Kết quả chấm!fdfdf</vt:lpstr>
      <vt:lpstr>Kết quả chấm!fdgdfgdfg</vt:lpstr>
      <vt:lpstr>Kết quả chấm!fđhbfbd</vt:lpstr>
      <vt:lpstr>Kết quả chấm!fđhh</vt:lpstr>
      <vt:lpstr>Kết quả chấm!fdsfsdfd</vt:lpstr>
      <vt:lpstr>Kết quả chấm!fdss</vt:lpstr>
      <vt:lpstr>Kết quả chấm!fff</vt:lpstr>
      <vt:lpstr>Kết quả chấm!fffffffffffffff</vt:lpstr>
      <vt:lpstr>Kết quả chấm!fgafdfdg</vt:lpstr>
      <vt:lpstr>Kết quả chấm!fgdfagfdf</vt:lpstr>
      <vt:lpstr>Kết quả chấm!fgđff</vt:lpstr>
      <vt:lpstr>Kết quả chấm!fgdfgddfgfd</vt:lpstr>
      <vt:lpstr>Kết quả chấm!fgdfgfgfd</vt:lpstr>
      <vt:lpstr>Kết quả chấm!fgfdaghffg</vt:lpstr>
      <vt:lpstr>Kết quả chấm!fgh</vt:lpstr>
      <vt:lpstr>Kết quả chấm!fghdfhdfg</vt:lpstr>
      <vt:lpstr>Kết quả chấm!fgkjmgky.yulyu.</vt:lpstr>
      <vt:lpstr>Kết quả chấm!fhfgfsdgfd</vt:lpstr>
      <vt:lpstr>Kết quả chấm!fhgadfhadf</vt:lpstr>
      <vt:lpstr>Kết quả chấm!fhlkdkgl</vt:lpstr>
      <vt:lpstr>Kết quả chấm!fhsdgfdff</vt:lpstr>
      <vt:lpstr>Kết quả chấm!fhtđhêhd</vt:lpstr>
      <vt:lpstr>Kết quả chấm!fj</vt:lpstr>
      <vt:lpstr>Kết quả chấm!FOR</vt:lpstr>
      <vt:lpstr>Kết quả chấm!FORMAT</vt:lpstr>
      <vt:lpstr>Kết quả chấm!fsdfdsf</vt:lpstr>
      <vt:lpstr>Kết quả chấm!fsfdsfsf</vt:lpstr>
      <vt:lpstr>Kết quả chấm!fsfsdfasfas</vt:lpstr>
      <vt:lpstr>Kết quả chấm!ftgfg</vt:lpstr>
      <vt:lpstr>Kết quả chấm!gdfg</vt:lpstr>
      <vt:lpstr>Kết quả chấm!gdfgdfgdf</vt:lpstr>
      <vt:lpstr>Kết quả chấm!gfhgadfkgkadf</vt:lpstr>
      <vt:lpstr>Kết quả chấm!ggaq</vt:lpstr>
      <vt:lpstr>Kết quả chấm!gggggggggg</vt:lpstr>
      <vt:lpstr>Kết quả chấm!gghjgh</vt:lpstr>
      <vt:lpstr>Kết quả chấm!ggsf</vt:lpstr>
      <vt:lpstr>Kết quả chấm!ghàdgfadgdf</vt:lpstr>
      <vt:lpstr>Kết quả chấm!giang</vt:lpstr>
      <vt:lpstr>Kết quả chấm!gjrđjsjs</vt:lpstr>
      <vt:lpstr>Kết quả chấm!grds</vt:lpstr>
      <vt:lpstr>Kết quả chấm!gteyhưez</vt:lpstr>
      <vt:lpstr>Kết quả chấm!GU</vt:lpstr>
      <vt:lpstr>Kết quả chấm!gwf</vt:lpstr>
      <vt:lpstr>Kết quả chấm!h</vt:lpstr>
      <vt:lpstr>Kết quả chấm!h_xoa</vt:lpstr>
      <vt:lpstr>Kết quả chấm!h_xoa2</vt:lpstr>
      <vt:lpstr>Kết quả chấm!haKK</vt:lpstr>
      <vt:lpstr>Kết quả chấm!hanh</vt:lpstr>
      <vt:lpstr>Kết quả chấm!haoif</vt:lpstr>
      <vt:lpstr>Kết quả chấm!HCSL</vt:lpstr>
      <vt:lpstr>Kết quả chấm!hcsla</vt:lpstr>
      <vt:lpstr>Kết quả chấm!hcsld</vt:lpstr>
      <vt:lpstr>Kết quả chấm!hdfgdgdg</vt:lpstr>
      <vt:lpstr>Kết quả chấm!HDH</vt:lpstr>
      <vt:lpstr>Kết quả chấm!heđbe</vt:lpstr>
      <vt:lpstr>Kết quả chấm!hee_opjg</vt:lpstr>
      <vt:lpstr>Kết quả chấm!hẻy</vt:lpstr>
      <vt:lpstr>Kết quả chấm!hfgh</vt:lpstr>
      <vt:lpstr>Kết quả chấm!hgadgag</vt:lpstr>
      <vt:lpstr>Kết quả chấm!hgh</vt:lpstr>
      <vt:lpstr>Kết quả chấm!hghgh</vt:lpstr>
      <vt:lpstr>Kết quả chấm!hgre_zdfhgfd</vt:lpstr>
      <vt:lpstr>Kết quả chấm!HHHH</vt:lpstr>
      <vt:lpstr>Kết quả chấm!hhhthrh</vt:lpstr>
      <vt:lpstr>Kết quả chấm!HiddenRows</vt:lpstr>
      <vt:lpstr>Kết quả chấm!hj</vt:lpstr>
      <vt:lpstr>Kết quả chấm!hkj</vt:lpstr>
      <vt:lpstr>Kết quả chấm!hmi</vt:lpstr>
      <vt:lpstr>Kết quả chấm!hnhnhn</vt:lpstr>
      <vt:lpstr>Kết quả chấm!hoa</vt:lpstr>
      <vt:lpstr>Kết quả chấm!hong</vt:lpstr>
      <vt:lpstr>Kết quả chấm!hongngu</vt:lpstr>
      <vt:lpstr>Kết quả chấm!hp</vt:lpstr>
      <vt:lpstr>Kết quả chấm!hrhe</vt:lpstr>
      <vt:lpstr>Kết quả chấm!hsduuiejkdf</vt:lpstr>
      <vt:lpstr>Kết quả chấm!hsgbhtgrư</vt:lpstr>
      <vt:lpstr>Kết quả chấm!ht</vt:lpstr>
      <vt:lpstr>Kết quả chấm!htjhtjftj</vt:lpstr>
      <vt:lpstr>Kết quả chấm!htlm</vt:lpstr>
      <vt:lpstr>Kết quả chấm!HTML_Control</vt:lpstr>
      <vt:lpstr>Kết quả chấm!html_control_xoa2</vt:lpstr>
      <vt:lpstr>Kết quả chấm!HTML_Controlmoi</vt:lpstr>
      <vt:lpstr>Kết quả chấm!HTMLmoi</vt:lpstr>
      <vt:lpstr>Kết quả chấm!htriu4</vt:lpstr>
      <vt:lpstr>Kết quả chấm!hu</vt:lpstr>
      <vt:lpstr>Kết quả chấm!hui</vt:lpstr>
      <vt:lpstr>Kết quả chấm!hung</vt:lpstr>
      <vt:lpstr>Kết quả chấm!huy</vt:lpstr>
      <vt:lpstr>Kết quả chấm!huy_xoa</vt:lpstr>
      <vt:lpstr>Kết quả chấm!huy_xoa2</vt:lpstr>
      <vt:lpstr>Kết quả chấm!huy1moi</vt:lpstr>
      <vt:lpstr>Kết quả chấm!huyhoa</vt:lpstr>
      <vt:lpstr>Kết quả chấm!huymoi</vt:lpstr>
      <vt:lpstr>Kết quả chấm!huyy</vt:lpstr>
      <vt:lpstr>Kết quả chấm!ịth</vt:lpstr>
      <vt:lpstr>Kết quả chấm!JHK</vt:lpstr>
      <vt:lpstr>Kết quả chấm!jjjjjjjj</vt:lpstr>
      <vt:lpstr>Kết quả chấm!jkhj</vt:lpstr>
      <vt:lpstr>Kết quả chấm!jkjk</vt:lpstr>
      <vt:lpstr>Kết quả chấm!jsajhf</vt:lpstr>
      <vt:lpstr>Kết quả chấm!jýỵy</vt:lpstr>
      <vt:lpstr>Kết quả chấm!k</vt:lpstr>
      <vt:lpstr>Kết quả chấm!k_xoa</vt:lpstr>
      <vt:lpstr>Kết quả chấm!k_xoa2</vt:lpstr>
      <vt:lpstr>Kết quả chấm!KCThep</vt:lpstr>
      <vt:lpstr>Kết quả chấm!kdkk</vt:lpstr>
      <vt:lpstr>Kết quả chấm!khongtruotgia</vt:lpstr>
      <vt:lpstr>Kết quả chấm!KHSX</vt:lpstr>
      <vt:lpstr>Kết quả chấm!kjkjkj</vt:lpstr>
      <vt:lpstr>Kết quả chấm!KKKKKKKKK</vt:lpstr>
      <vt:lpstr>Kết quả chấm!klm</vt:lpstr>
      <vt:lpstr>Kết quả chấm!ks</vt:lpstr>
      <vt:lpstr>Kết quả chấm!ksbn</vt:lpstr>
      <vt:lpstr>Kết quả chấm!kshn</vt:lpstr>
      <vt:lpstr>Kết quả chấm!ksls</vt:lpstr>
      <vt:lpstr>Kết quả chấm!ktdk0</vt:lpstr>
      <vt:lpstr>Kết quả chấm!l.dat</vt:lpstr>
      <vt:lpstr>Kết quả chấm!lai</vt:lpstr>
      <vt:lpstr>Kết quả chấm!lan</vt:lpstr>
      <vt:lpstr>Kết quả chấm!langson</vt:lpstr>
      <vt:lpstr>Kết quả chấm!line</vt:lpstr>
      <vt:lpstr>Kết quả chấm!linh</vt:lpstr>
      <vt:lpstr>Kết quả chấm!linhT</vt:lpstr>
      <vt:lpstr>Kết quả chấm!lk</vt:lpstr>
      <vt:lpstr>Kết quả chấm!lkl</vt:lpstr>
      <vt:lpstr>Kết quả chấm!LTKD</vt:lpstr>
      <vt:lpstr>Kết quả chấm!luyÕn</vt:lpstr>
      <vt:lpstr>Kết quả chấm!lvo</vt:lpstr>
      <vt:lpstr>Kết quả chấm!m</vt:lpstr>
      <vt:lpstr>Kết quả chấm!M10.</vt:lpstr>
      <vt:lpstr>Kết quả chấm!MCCO</vt:lpstr>
      <vt:lpstr>Kết quả chấm!MCCO10</vt:lpstr>
      <vt:lpstr>Kết quả chấm!MCCO11</vt:lpstr>
      <vt:lpstr>Kết quả chấm!MCCO12</vt:lpstr>
      <vt:lpstr>Kết quả chấm!MCCO13</vt:lpstr>
      <vt:lpstr>Kết quả chấm!MCCO3</vt:lpstr>
      <vt:lpstr>Kết quả chấm!MCCO4</vt:lpstr>
      <vt:lpstr>Kết quả chấm!MCCO5</vt:lpstr>
      <vt:lpstr>Kết quả chấm!MCCO6</vt:lpstr>
      <vt:lpstr>Kết quả chấm!MCCO7</vt:lpstr>
      <vt:lpstr>Kết quả chấm!MCCO8</vt:lpstr>
      <vt:lpstr>Kết quả chấm!MCCO9</vt:lpstr>
      <vt:lpstr>Kết quả chấm!MCCOÙ</vt:lpstr>
      <vt:lpstr>Kết quả chấm!MH</vt:lpstr>
      <vt:lpstr>Kết quả chấm!minh</vt:lpstr>
      <vt:lpstr>Kết quả chấm!mm</vt:lpstr>
      <vt:lpstr>Kết quả chấm!mmmm</vt:lpstr>
      <vt:lpstr>Kết quả chấm!mncvhjkhj</vt:lpstr>
      <vt:lpstr>Kết quả chấm!mrn.inv._.budget</vt:lpstr>
      <vt:lpstr>Kết quả chấm!Namna</vt:lpstr>
      <vt:lpstr>Kết quả chấm!ncb</vt:lpstr>
      <vt:lpstr>Kết quả chấm!new</vt:lpstr>
      <vt:lpstr>Kết quả chấm!NEWNAME</vt:lpstr>
      <vt:lpstr>Kết quả chấm!ngay23</vt:lpstr>
      <vt:lpstr>Kết quả chấm!nhap1</vt:lpstr>
      <vt:lpstr>Kết quả chấm!nhap2</vt:lpstr>
      <vt:lpstr>Kết quả chấm!nhap3</vt:lpstr>
      <vt:lpstr>Kết quả chấm!nhapcb</vt:lpstr>
      <vt:lpstr>Kết quả chấm!nhung</vt:lpstr>
      <vt:lpstr>Kết quả chấm!nhvnbv</vt:lpstr>
      <vt:lpstr>Kết quả chấm!nm</vt:lpstr>
      <vt:lpstr>Kết quả chấm!nnn</vt:lpstr>
      <vt:lpstr>Kết quả chấm!NRy</vt:lpstr>
      <vt:lpstr>Kết quả chấm!NUOCHKHOAN</vt:lpstr>
      <vt:lpstr>Kết quả chấm!NUOCHKHOANMOI</vt:lpstr>
      <vt:lpstr>Kết quả chấm!o</vt:lpstr>
      <vt:lpstr>Kết quả chấm!Ô</vt:lpstr>
      <vt:lpstr>Kết quả chấm!ôi</vt:lpstr>
      <vt:lpstr>Kết quả chấm!OrderTable</vt:lpstr>
      <vt:lpstr>Kết quả chấm!oudom</vt:lpstr>
      <vt:lpstr>Kết quả chấm!phantich3</vt:lpstr>
      <vt:lpstr>Kết quả chấm!phuong</vt:lpstr>
      <vt:lpstr>Kết quả chấm!ProdForm</vt:lpstr>
      <vt:lpstr>Kết quả chấm!Product</vt:lpstr>
      <vt:lpstr>Kết quả chấm!ptich3</vt:lpstr>
      <vt:lpstr>Kết quả chấm!q</vt:lpstr>
      <vt:lpstr>Kết quả chấm!qềqg</vt:lpstr>
      <vt:lpstr>Kết quả chấm!QQ</vt:lpstr>
      <vt:lpstr>Kết quả chấm!qqq</vt:lpstr>
      <vt:lpstr>Kết quả chấm!qừq</vt:lpstr>
      <vt:lpstr>Kết quả chấm!Ranhxay</vt:lpstr>
      <vt:lpstr>Kết quả chấm!RCArea</vt:lpstr>
      <vt:lpstr>Kết quả chấm!rdrdd</vt:lpstr>
      <vt:lpstr>Kết quả chấm!re</vt:lpstr>
      <vt:lpstr>Kết quả chấm!Result21</vt:lpstr>
      <vt:lpstr>Kết quả chấm!rhgrs</vt:lpstr>
      <vt:lpstr>Kết quả chấm!rhrewhehe</vt:lpstr>
      <vt:lpstr>Kết quả chấm!rjf</vt:lpstr>
      <vt:lpstr>Kết quả chấm!rkd</vt:lpstr>
      <vt:lpstr>Kết quả chấm!RREE</vt:lpstr>
      <vt:lpstr>Kết quả chấm!RRR</vt:lpstr>
      <vt:lpstr>Kết quả chấm!RRRDGG</vt:lpstr>
      <vt:lpstr>Kết quả chấm!rrrfff</vt:lpstr>
      <vt:lpstr>Kết quả chấm!rrrrrrrrrrrrrrr</vt:lpstr>
      <vt:lpstr>Kết quả chấm!ryedfg</vt:lpstr>
      <vt:lpstr>Kết quả chấm!ryhtrd</vt:lpstr>
      <vt:lpstr>Kết quả chấm!S</vt:lpstr>
      <vt:lpstr>Kết quả chấm!SAD</vt:lpstr>
      <vt:lpstr>Kết quả chấm!sadec</vt:lpstr>
      <vt:lpstr>Kết quả chấm!SA順にソートする</vt:lpstr>
      <vt:lpstr>Kết quả chấm!SCTX</vt:lpstr>
      <vt:lpstr>Kết quả chấm!sdcfzdcdzssaf</vt:lpstr>
      <vt:lpstr>Kết quả chấm!sdfsdfsd</vt:lpstr>
      <vt:lpstr>Kết quả chấm!sdgsdfgdf</vt:lpstr>
      <vt:lpstr>Kết quả chấm!sen</vt:lpstr>
      <vt:lpstr>Kết quả chấm!sfasf</vt:lpstr>
      <vt:lpstr>Kết quả chấm!sfdsf</vt:lpstr>
      <vt:lpstr>Kết quả chấm!sff</vt:lpstr>
      <vt:lpstr>Kết quả chấm!sfh</vt:lpstr>
      <vt:lpstr>Kết quả chấm!sgsr</vt:lpstr>
      <vt:lpstr>Kết quả chấm!shee12</vt:lpstr>
      <vt:lpstr>Kết quả chấm!sheet</vt:lpstr>
      <vt:lpstr>Kết quả chấm!shsrhtr</vt:lpstr>
      <vt:lpstr>Kết quả chấm!sjoiseiorkl</vt:lpstr>
      <vt:lpstr>Kết quả chấm!So_Xau</vt:lpstr>
      <vt:lpstr>Kết quả chấm!sodu</vt:lpstr>
      <vt:lpstr>Kết quả chấm!SORT2</vt:lpstr>
      <vt:lpstr>Kết quả chấm!SORT3</vt:lpstr>
      <vt:lpstr>Kết quả chấm!SpecialPrice</vt:lpstr>
      <vt:lpstr>Kết quả chấm!ss</vt:lpstr>
      <vt:lpstr>Kết quả chấm!ssggg</vt:lpstr>
      <vt:lpstr>Kết quả chấm!SSSS</vt:lpstr>
      <vt:lpstr>Kết quả chấm!stop</vt:lpstr>
      <vt:lpstr>Kết quả chấm!sua</vt:lpstr>
      <vt:lpstr>Kết quả chấm!T4.06</vt:lpstr>
      <vt:lpstr>Kết quả chấm!T5.06</vt:lpstr>
      <vt:lpstr>Kết quả chấm!tanhong</vt:lpstr>
      <vt:lpstr>Kết quả chấm!tanhong1</vt:lpstr>
      <vt:lpstr>Kết quả chấm!tbl_ProdInfo</vt:lpstr>
      <vt:lpstr>Kết quả chấm!tgưgz</vt:lpstr>
      <vt:lpstr>Kết quả chấm!tha</vt:lpstr>
      <vt:lpstr>Kết quả chấm!THAN</vt:lpstr>
      <vt:lpstr>Kết quả chấm!thang</vt:lpstr>
      <vt:lpstr>Kết quả chấm!Thang10</vt:lpstr>
      <vt:lpstr>Kết quả chấm!thang13</vt:lpstr>
      <vt:lpstr>Kết quả chấm!thang8</vt:lpstr>
      <vt:lpstr>Kết quả chấm!thang9</vt:lpstr>
      <vt:lpstr>Kết quả chấm!thanh</vt:lpstr>
      <vt:lpstr>Kết quả chấm!thao</vt:lpstr>
      <vt:lpstr>Kết quả chấm!THKP7YT</vt:lpstr>
      <vt:lpstr>Kết quả chấm!tht</vt:lpstr>
      <vt:lpstr>Kết quả chấm!thtt6</vt:lpstr>
      <vt:lpstr>Kết quả chấm!thvlmoi</vt:lpstr>
      <vt:lpstr>Kết quả chấm!thvlmoimoi</vt:lpstr>
      <vt:lpstr>Kết quả chấm!tim</vt:lpstr>
      <vt:lpstr>Kết quả chấm!tjhtrjntrsjnsr</vt:lpstr>
      <vt:lpstr>Kết quả chấm!tjhủn</vt:lpstr>
      <vt:lpstr>Kết quả chấm!tjjrj</vt:lpstr>
      <vt:lpstr>Kết quả chấm!tk</vt:lpstr>
      <vt:lpstr>Kết quả chấm!tke</vt:lpstr>
      <vt:lpstr>Kết quả chấm!tkt</vt:lpstr>
      <vt:lpstr>Kết quả chấm!toan</vt:lpstr>
      <vt:lpstr>Kết quả chấm!TRAMTON</vt:lpstr>
      <vt:lpstr>Kết quả chấm!trrh</vt:lpstr>
      <vt:lpstr>Kết quả chấm!truc</vt:lpstr>
      <vt:lpstr>Kết quả chấm!trung</vt:lpstr>
      <vt:lpstr>Kết quả chấm!tscd</vt:lpstr>
      <vt:lpstr>Kết quả chấm!tuankhanhtuyet</vt:lpstr>
      <vt:lpstr>Kết quả chấm!tv</vt:lpstr>
      <vt:lpstr>Kết quả chấm!uassw_sh</vt:lpstr>
      <vt:lpstr>Kết quả chấm!uipou</vt:lpstr>
      <vt:lpstr>Kết quả chấm!uiqwuewhjdr</vt:lpstr>
      <vt:lpstr>Kết quả chấm!UL</vt:lpstr>
      <vt:lpstr>Kết quả chấm!ủnt</vt:lpstr>
      <vt:lpstr>Kết quả chấm!uuuuuuuuuuuuu</vt:lpstr>
      <vt:lpstr>Kết quả chấm!uyen</vt:lpstr>
      <vt:lpstr>Kết quả chấm!uyghu</vt:lpstr>
      <vt:lpstr>Kết quả chấm!ủytỉt</vt:lpstr>
      <vt:lpstr>Kết quả chấm!uytjhtdjtj</vt:lpstr>
      <vt:lpstr>Kết quả chấm!VATM</vt:lpstr>
      <vt:lpstr>Kết quả chấm!vay</vt:lpstr>
      <vt:lpstr>Kết quả chấm!vbgnbvn</vt:lpstr>
      <vt:lpstr>Kết quả chấm!vcbo1</vt:lpstr>
      <vt:lpstr>Kết quả chấm!vcoto</vt:lpstr>
      <vt:lpstr>Kết quả chấm!vcvbcb</vt:lpstr>
      <vt:lpstr>Kết quả chấm!vgho</vt:lpstr>
      <vt:lpstr>Kết quả chấm!vi</vt:lpstr>
      <vt:lpstr>Kết quả chấm!VVVVVV</vt:lpstr>
      <vt:lpstr>Kết quả chấm!wgyw</vt:lpstr>
      <vt:lpstr>Kết quả chấm!WRITE</vt:lpstr>
      <vt:lpstr>Kết quả chấm!WRN</vt:lpstr>
      <vt:lpstr>Kết quả chấm!wrn.aaa.</vt:lpstr>
      <vt:lpstr>Kết quả chấm!wrn.BAOCAO.</vt:lpstr>
      <vt:lpstr>Kết quả chấm!wrn.BM.</vt:lpstr>
      <vt:lpstr>Kết quả chấm!wrn.chi._.tiÆt.</vt:lpstr>
      <vt:lpstr>Kết quả chấm!wrn.cong.</vt:lpstr>
      <vt:lpstr>Kết quả chấm!wrn.inv._.budget.</vt:lpstr>
      <vt:lpstr>Kết quả chấm!wrn.re_xoa2</vt:lpstr>
      <vt:lpstr>Kết quả chấm!wrn.Report.</vt:lpstr>
      <vt:lpstr>Kết quả chấm!wrn.testRapport.</vt:lpstr>
      <vt:lpstr>Kết quả chấm!wrn.vd.</vt:lpstr>
      <vt:lpstr>Kết quả chấm!wrn_xoa2</vt:lpstr>
      <vt:lpstr>Kết quả chấm!wrnf.report</vt:lpstr>
      <vt:lpstr>Kết quả chấm!wrnf_xoa2</vt:lpstr>
      <vt:lpstr>Kết quả chấm!wrww</vt:lpstr>
      <vt:lpstr>Kết quả chấm!wwhh</vt:lpstr>
      <vt:lpstr>Kết quả chấm!wwhwhwrh</vt:lpstr>
      <vt:lpstr>Kết quả chấm!wwwwwwww</vt:lpstr>
      <vt:lpstr>Kết quả chấm!xlttbninh</vt:lpstr>
      <vt:lpstr>Kết quả chấm!xoa1</vt:lpstr>
      <vt:lpstr>Kết quả chấm!xoa2</vt:lpstr>
      <vt:lpstr>Kết quả chấm!xoa3</vt:lpstr>
      <vt:lpstr>Kết quả chấm!xoa4</vt:lpstr>
      <vt:lpstr>Kết quả chấm!XuÊt8</vt:lpstr>
      <vt:lpstr>Kết quả chấm!y</vt:lpstr>
      <vt:lpstr>Kết quả chấm!ỳdhgg</vt:lpstr>
      <vt:lpstr>Kết quả chấm!ỳđsgfhgfgfhghggh</vt:lpstr>
      <vt:lpstr>Kết quả chấm!ytiti</vt:lpstr>
      <vt:lpstr>Kết quả chấm!ỵu</vt:lpstr>
      <vt:lpstr>Kết quả chấm!yyjy_ukyu</vt:lpstr>
      <vt:lpstr>Kết quả chấm!yyyyyyyyyyy</vt:lpstr>
      <vt:lpstr>Kết quả chấm!Z590_6months</vt:lpstr>
      <vt:lpstr>Kết quả chấm!zKm2</vt:lpstr>
      <vt:lpstr>Kết quả chấm!ZXzX</vt:lpstr>
      <vt:lpstr>Kết quả chấm!キャンセル</vt:lpstr>
      <vt:lpstr>Kết quả chấm!ソートする</vt:lpstr>
      <vt:lpstr>Kết quả chấm!デｰタの消去</vt:lpstr>
      <vt:lpstr>Kết quả chấm!견적</vt:lpstr>
      <vt:lpstr>Kết quả chấm!견적2</vt:lpstr>
      <vt:lpstr>Kết quả chấm!견적SHEET</vt:lpstr>
      <vt:lpstr>Kết quả chấm!래그</vt:lpstr>
      <vt:lpstr>Kết quả chấm!샘풀카피</vt:lpstr>
      <vt:lpstr>Kết quả chấm!샘플카피2</vt:lpstr>
      <vt:lpstr>Kết quả chấm!샘플카피3</vt:lpstr>
      <vt:lpstr>Kết quả chấm!品番ソートする</vt:lpstr>
      <vt:lpstr>Kết quả chấm!自動入力</vt:lpstr>
      <vt:lpstr>Kết quả chấm!解除</vt:lpstr>
      <vt:lpstr>Kết quả chấm!Print_Area</vt:lpstr>
      <vt:lpstr>Kết quả chấm!Print_Titles</vt:lpstr>
      <vt:lpstr>TH điểm!_______________________________________________NSO2</vt:lpstr>
      <vt:lpstr>TH điểm!______________________________________________n23</vt:lpstr>
      <vt:lpstr>TH điểm!______________________________________________NSO2</vt:lpstr>
      <vt:lpstr>TH điểm!_____________________________________________n23</vt:lpstr>
      <vt:lpstr>TH điểm!_____________________________________________NSO2</vt:lpstr>
      <vt:lpstr>TH điểm!____________________________________________n23</vt:lpstr>
      <vt:lpstr>TH điểm!____________________________________________NSO2</vt:lpstr>
      <vt:lpstr>TH điểm!___________________________________________n23</vt:lpstr>
      <vt:lpstr>TH điểm!___________________________________________new3</vt:lpstr>
      <vt:lpstr>TH điểm!___________________________________________new5</vt:lpstr>
      <vt:lpstr>TH điểm!___________________________________________new6</vt:lpstr>
      <vt:lpstr>TH điểm!___________________________________________new7</vt:lpstr>
      <vt:lpstr>TH điểm!___________________________________________NSO2</vt:lpstr>
      <vt:lpstr>TH điểm!__________________________________________n23</vt:lpstr>
      <vt:lpstr>TH điểm!__________________________________________new3</vt:lpstr>
      <vt:lpstr>TH điểm!__________________________________________new5</vt:lpstr>
      <vt:lpstr>TH điểm!__________________________________________new6</vt:lpstr>
      <vt:lpstr>TH điểm!__________________________________________new7</vt:lpstr>
      <vt:lpstr>TH điểm!__________________________________________NSO2</vt:lpstr>
      <vt:lpstr>TH điểm!__________________________________________T8</vt:lpstr>
      <vt:lpstr>TH điểm!_________________________________________n23</vt:lpstr>
      <vt:lpstr>TH điểm!_________________________________________new3</vt:lpstr>
      <vt:lpstr>TH điểm!_________________________________________new5</vt:lpstr>
      <vt:lpstr>TH điểm!_________________________________________new6</vt:lpstr>
      <vt:lpstr>TH điểm!_________________________________________new7</vt:lpstr>
      <vt:lpstr>TH điểm!_________________________________________NSO2</vt:lpstr>
      <vt:lpstr>TH điểm!_________________________________________T8</vt:lpstr>
      <vt:lpstr>TH điểm!________________________________________n23</vt:lpstr>
      <vt:lpstr>TH điểm!________________________________________new3</vt:lpstr>
      <vt:lpstr>TH điểm!________________________________________new5</vt:lpstr>
      <vt:lpstr>TH điểm!________________________________________new6</vt:lpstr>
      <vt:lpstr>TH điểm!________________________________________new7</vt:lpstr>
      <vt:lpstr>TH điểm!________________________________________NSO2</vt:lpstr>
      <vt:lpstr>TH điểm!________________________________________T8</vt:lpstr>
      <vt:lpstr>TH điểm!_______________________________________n23</vt:lpstr>
      <vt:lpstr>TH điểm!_______________________________________new3</vt:lpstr>
      <vt:lpstr>TH điểm!_______________________________________new5</vt:lpstr>
      <vt:lpstr>TH điểm!_______________________________________new6</vt:lpstr>
      <vt:lpstr>TH điểm!_______________________________________new7</vt:lpstr>
      <vt:lpstr>TH điểm!_______________________________________NSO2</vt:lpstr>
      <vt:lpstr>TH điểm!_______________________________________T8</vt:lpstr>
      <vt:lpstr>TH điểm!______________________________________n23</vt:lpstr>
      <vt:lpstr>TH điểm!______________________________________new3</vt:lpstr>
      <vt:lpstr>TH điểm!______________________________________new5</vt:lpstr>
      <vt:lpstr>TH điểm!______________________________________new6</vt:lpstr>
      <vt:lpstr>TH điểm!______________________________________new7</vt:lpstr>
      <vt:lpstr>TH điểm!______________________________________NSO2</vt:lpstr>
      <vt:lpstr>TH điểm!______________________________________T8</vt:lpstr>
      <vt:lpstr>TH điểm!_____________________________________n23</vt:lpstr>
      <vt:lpstr>TH điểm!_____________________________________new3</vt:lpstr>
      <vt:lpstr>TH điểm!_____________________________________new5</vt:lpstr>
      <vt:lpstr>TH điểm!_____________________________________new6</vt:lpstr>
      <vt:lpstr>TH điểm!_____________________________________new7</vt:lpstr>
      <vt:lpstr>TH điểm!_____________________________________NSO2</vt:lpstr>
      <vt:lpstr>TH điểm!_____________________________________T8</vt:lpstr>
      <vt:lpstr>TH điểm!____________________________________n23</vt:lpstr>
      <vt:lpstr>TH điểm!____________________________________new3</vt:lpstr>
      <vt:lpstr>TH điểm!____________________________________new5</vt:lpstr>
      <vt:lpstr>TH điểm!____________________________________new6</vt:lpstr>
      <vt:lpstr>TH điểm!____________________________________new7</vt:lpstr>
      <vt:lpstr>TH điểm!____________________________________NSO2</vt:lpstr>
      <vt:lpstr>TH điểm!____________________________________T8</vt:lpstr>
      <vt:lpstr>TH điểm!___________________________________n23</vt:lpstr>
      <vt:lpstr>TH điểm!___________________________________new3</vt:lpstr>
      <vt:lpstr>TH điểm!___________________________________new5</vt:lpstr>
      <vt:lpstr>TH điểm!___________________________________new6</vt:lpstr>
      <vt:lpstr>TH điểm!___________________________________new7</vt:lpstr>
      <vt:lpstr>TH điểm!___________________________________NSO2</vt:lpstr>
      <vt:lpstr>TH điểm!___________________________________T8</vt:lpstr>
      <vt:lpstr>TH điểm!__________________________________n23</vt:lpstr>
      <vt:lpstr>TH điểm!__________________________________new3</vt:lpstr>
      <vt:lpstr>TH điểm!__________________________________new5</vt:lpstr>
      <vt:lpstr>TH điểm!__________________________________new6</vt:lpstr>
      <vt:lpstr>TH điểm!__________________________________new7</vt:lpstr>
      <vt:lpstr>TH điểm!__________________________________NSO2</vt:lpstr>
      <vt:lpstr>TH điểm!__________________________________T8</vt:lpstr>
      <vt:lpstr>TH điểm!_________________________________n23</vt:lpstr>
      <vt:lpstr>TH điểm!_________________________________new3</vt:lpstr>
      <vt:lpstr>TH điểm!_________________________________new5</vt:lpstr>
      <vt:lpstr>TH điểm!_________________________________new6</vt:lpstr>
      <vt:lpstr>TH điểm!_________________________________new7</vt:lpstr>
      <vt:lpstr>TH điểm!_________________________________NSO2</vt:lpstr>
      <vt:lpstr>TH điểm!_________________________________T8</vt:lpstr>
      <vt:lpstr>TH điểm!________________________________n23</vt:lpstr>
      <vt:lpstr>TH điểm!________________________________new3</vt:lpstr>
      <vt:lpstr>TH điểm!________________________________new5</vt:lpstr>
      <vt:lpstr>TH điểm!________________________________new6</vt:lpstr>
      <vt:lpstr>TH điểm!________________________________new7</vt:lpstr>
      <vt:lpstr>TH điểm!________________________________NSO2</vt:lpstr>
      <vt:lpstr>TH điểm!________________________________T8</vt:lpstr>
      <vt:lpstr>TH điểm!_______________________________n23</vt:lpstr>
      <vt:lpstr>TH điểm!_______________________________new3</vt:lpstr>
      <vt:lpstr>TH điểm!_______________________________new5</vt:lpstr>
      <vt:lpstr>TH điểm!_______________________________new6</vt:lpstr>
      <vt:lpstr>TH điểm!_______________________________new7</vt:lpstr>
      <vt:lpstr>TH điểm!_______________________________NSO2</vt:lpstr>
      <vt:lpstr>TH điểm!_______________________________T8</vt:lpstr>
      <vt:lpstr>TH điểm!______________________________n23</vt:lpstr>
      <vt:lpstr>TH điểm!______________________________new3</vt:lpstr>
      <vt:lpstr>TH điểm!______________________________new5</vt:lpstr>
      <vt:lpstr>TH điểm!______________________________new6</vt:lpstr>
      <vt:lpstr>TH điểm!______________________________new7</vt:lpstr>
      <vt:lpstr>TH điểm!______________________________NSO2</vt:lpstr>
      <vt:lpstr>TH điểm!______________________________T8</vt:lpstr>
      <vt:lpstr>TH điểm!_____________________________n23</vt:lpstr>
      <vt:lpstr>TH điểm!_____________________________new3</vt:lpstr>
      <vt:lpstr>TH điểm!_____________________________new5</vt:lpstr>
      <vt:lpstr>TH điểm!_____________________________new6</vt:lpstr>
      <vt:lpstr>TH điểm!_____________________________new7</vt:lpstr>
      <vt:lpstr>TH điểm!_____________________________NSO2</vt:lpstr>
      <vt:lpstr>TH điểm!_____________________________T8</vt:lpstr>
      <vt:lpstr>TH điểm!____________________________n23</vt:lpstr>
      <vt:lpstr>TH điểm!____________________________new3</vt:lpstr>
      <vt:lpstr>TH điểm!____________________________new5</vt:lpstr>
      <vt:lpstr>TH điểm!____________________________new6</vt:lpstr>
      <vt:lpstr>TH điểm!____________________________new7</vt:lpstr>
      <vt:lpstr>TH điểm!____________________________NSO2</vt:lpstr>
      <vt:lpstr>TH điểm!____________________________T8</vt:lpstr>
      <vt:lpstr>TH điểm!___________________________n23</vt:lpstr>
      <vt:lpstr>TH điểm!___________________________new3</vt:lpstr>
      <vt:lpstr>TH điểm!___________________________new5</vt:lpstr>
      <vt:lpstr>TH điểm!___________________________new6</vt:lpstr>
      <vt:lpstr>TH điểm!___________________________new7</vt:lpstr>
      <vt:lpstr>TH điểm!___________________________NSO2</vt:lpstr>
      <vt:lpstr>TH điểm!___________________________T8</vt:lpstr>
      <vt:lpstr>TH điểm!__________________________n23</vt:lpstr>
      <vt:lpstr>TH điểm!__________________________new3</vt:lpstr>
      <vt:lpstr>TH điểm!__________________________new5</vt:lpstr>
      <vt:lpstr>TH điểm!__________________________new6</vt:lpstr>
      <vt:lpstr>TH điểm!__________________________new7</vt:lpstr>
      <vt:lpstr>TH điểm!__________________________NSO2</vt:lpstr>
      <vt:lpstr>TH điểm!__________________________T8</vt:lpstr>
      <vt:lpstr>TH điểm!_________________________n23</vt:lpstr>
      <vt:lpstr>TH điểm!_________________________new3</vt:lpstr>
      <vt:lpstr>TH điểm!_________________________new5</vt:lpstr>
      <vt:lpstr>TH điểm!_________________________new6</vt:lpstr>
      <vt:lpstr>TH điểm!_________________________new7</vt:lpstr>
      <vt:lpstr>TH điểm!_________________________NSO2</vt:lpstr>
      <vt:lpstr>TH điểm!_________________________T8</vt:lpstr>
      <vt:lpstr>TH điểm!________________________n23</vt:lpstr>
      <vt:lpstr>TH điểm!________________________new3</vt:lpstr>
      <vt:lpstr>TH điểm!________________________new5</vt:lpstr>
      <vt:lpstr>TH điểm!________________________new6</vt:lpstr>
      <vt:lpstr>TH điểm!________________________new7</vt:lpstr>
      <vt:lpstr>TH điểm!________________________NSO2</vt:lpstr>
      <vt:lpstr>TH điểm!________________________T8</vt:lpstr>
      <vt:lpstr>TH điểm!_______________________n23</vt:lpstr>
      <vt:lpstr>TH điểm!_______________________new3</vt:lpstr>
      <vt:lpstr>TH điểm!_______________________new5</vt:lpstr>
      <vt:lpstr>TH điểm!_______________________new6</vt:lpstr>
      <vt:lpstr>TH điểm!_______________________new7</vt:lpstr>
      <vt:lpstr>TH điểm!_______________________NSO2</vt:lpstr>
      <vt:lpstr>TH điểm!_______________________T8</vt:lpstr>
      <vt:lpstr>TH điểm!______________________n23</vt:lpstr>
      <vt:lpstr>TH điểm!______________________new3</vt:lpstr>
      <vt:lpstr>TH điểm!______________________new5</vt:lpstr>
      <vt:lpstr>TH điểm!______________________new6</vt:lpstr>
      <vt:lpstr>TH điểm!______________________new7</vt:lpstr>
      <vt:lpstr>TH điểm!______________________NSO2</vt:lpstr>
      <vt:lpstr>TH điểm!______________________T8</vt:lpstr>
      <vt:lpstr>TH điểm!_____________________n23</vt:lpstr>
      <vt:lpstr>TH điểm!_____________________new3</vt:lpstr>
      <vt:lpstr>TH điểm!_____________________new5</vt:lpstr>
      <vt:lpstr>TH điểm!_____________________new6</vt:lpstr>
      <vt:lpstr>TH điểm!_____________________new7</vt:lpstr>
      <vt:lpstr>TH điểm!_____________________NSO2</vt:lpstr>
      <vt:lpstr>TH điểm!_____________________T8</vt:lpstr>
      <vt:lpstr>TH điểm!____________________n23</vt:lpstr>
      <vt:lpstr>TH điểm!____________________new3</vt:lpstr>
      <vt:lpstr>TH điểm!____________________new5</vt:lpstr>
      <vt:lpstr>TH điểm!____________________new6</vt:lpstr>
      <vt:lpstr>TH điểm!____________________new7</vt:lpstr>
      <vt:lpstr>TH điểm!____________________NSO2</vt:lpstr>
      <vt:lpstr>TH điểm!____________________T8</vt:lpstr>
      <vt:lpstr>TH điểm!___________________n23</vt:lpstr>
      <vt:lpstr>TH điểm!___________________new3</vt:lpstr>
      <vt:lpstr>TH điểm!___________________new5</vt:lpstr>
      <vt:lpstr>TH điểm!___________________new6</vt:lpstr>
      <vt:lpstr>TH điểm!___________________new7</vt:lpstr>
      <vt:lpstr>TH điểm!___________________NSO2</vt:lpstr>
      <vt:lpstr>TH điểm!___________________T8</vt:lpstr>
      <vt:lpstr>TH điểm!__________________n23</vt:lpstr>
      <vt:lpstr>TH điểm!__________________new3</vt:lpstr>
      <vt:lpstr>TH điểm!__________________new5</vt:lpstr>
      <vt:lpstr>TH điểm!__________________new6</vt:lpstr>
      <vt:lpstr>TH điểm!__________________new7</vt:lpstr>
      <vt:lpstr>TH điểm!__________________NSO2</vt:lpstr>
      <vt:lpstr>TH điểm!__________________SA1</vt:lpstr>
      <vt:lpstr>TH điểm!__________________SA2</vt:lpstr>
      <vt:lpstr>TH điểm!__________________SA4</vt:lpstr>
      <vt:lpstr>TH điểm!__________________T8</vt:lpstr>
      <vt:lpstr>TH điểm!_________________n23</vt:lpstr>
      <vt:lpstr>TH điểm!_________________new3</vt:lpstr>
      <vt:lpstr>TH điểm!_________________new5</vt:lpstr>
      <vt:lpstr>TH điểm!_________________new6</vt:lpstr>
      <vt:lpstr>TH điểm!_________________new7</vt:lpstr>
      <vt:lpstr>TH điểm!_________________NSO2</vt:lpstr>
      <vt:lpstr>TH điểm!_________________SA1</vt:lpstr>
      <vt:lpstr>TH điểm!_________________SA2</vt:lpstr>
      <vt:lpstr>TH điểm!_________________SA4</vt:lpstr>
      <vt:lpstr>TH điểm!_________________T8</vt:lpstr>
      <vt:lpstr>TH điểm!________________n23</vt:lpstr>
      <vt:lpstr>TH điểm!________________new3</vt:lpstr>
      <vt:lpstr>TH điểm!________________new5</vt:lpstr>
      <vt:lpstr>TH điểm!________________new6</vt:lpstr>
      <vt:lpstr>TH điểm!________________new7</vt:lpstr>
      <vt:lpstr>TH điểm!________________NSO2</vt:lpstr>
      <vt:lpstr>TH điểm!________________SA1</vt:lpstr>
      <vt:lpstr>TH điểm!________________SA2</vt:lpstr>
      <vt:lpstr>TH điểm!________________SA4</vt:lpstr>
      <vt:lpstr>TH điểm!________________T8</vt:lpstr>
      <vt:lpstr>TH điểm!_______________n23</vt:lpstr>
      <vt:lpstr>TH điểm!_______________new3</vt:lpstr>
      <vt:lpstr>TH điểm!_______________new5</vt:lpstr>
      <vt:lpstr>TH điểm!_______________new6</vt:lpstr>
      <vt:lpstr>TH điểm!_______________new7</vt:lpstr>
      <vt:lpstr>TH điểm!_______________NSO2</vt:lpstr>
      <vt:lpstr>TH điểm!_______________SA1</vt:lpstr>
      <vt:lpstr>TH điểm!_______________SA2</vt:lpstr>
      <vt:lpstr>TH điểm!_______________SA4</vt:lpstr>
      <vt:lpstr>TH điểm!_______________T8</vt:lpstr>
      <vt:lpstr>TH điểm!______________n23</vt:lpstr>
      <vt:lpstr>TH điểm!______________new3</vt:lpstr>
      <vt:lpstr>TH điểm!______________new5</vt:lpstr>
      <vt:lpstr>TH điểm!______________new6</vt:lpstr>
      <vt:lpstr>TH điểm!______________new7</vt:lpstr>
      <vt:lpstr>TH điểm!______________NSO2</vt:lpstr>
      <vt:lpstr>TH điểm!______________SA1</vt:lpstr>
      <vt:lpstr>TH điểm!______________SA2</vt:lpstr>
      <vt:lpstr>TH điểm!______________SA4</vt:lpstr>
      <vt:lpstr>TH điểm!______________T8</vt:lpstr>
      <vt:lpstr>TH điểm!_____________n23</vt:lpstr>
      <vt:lpstr>TH điểm!_____________new3</vt:lpstr>
      <vt:lpstr>TH điểm!_____________new5</vt:lpstr>
      <vt:lpstr>TH điểm!_____________new6</vt:lpstr>
      <vt:lpstr>TH điểm!_____________new7</vt:lpstr>
      <vt:lpstr>TH điểm!_____________NSO2</vt:lpstr>
      <vt:lpstr>TH điểm!_____________SA1</vt:lpstr>
      <vt:lpstr>TH điểm!_____________SA2</vt:lpstr>
      <vt:lpstr>TH điểm!_____________SA4</vt:lpstr>
      <vt:lpstr>TH điểm!_____________T8</vt:lpstr>
      <vt:lpstr>TH điểm!____________n23</vt:lpstr>
      <vt:lpstr>TH điểm!____________new3</vt:lpstr>
      <vt:lpstr>TH điểm!____________new5</vt:lpstr>
      <vt:lpstr>TH điểm!____________new6</vt:lpstr>
      <vt:lpstr>TH điểm!____________new7</vt:lpstr>
      <vt:lpstr>TH điểm!____________NSO2</vt:lpstr>
      <vt:lpstr>TH điểm!____________SA1</vt:lpstr>
      <vt:lpstr>TH điểm!____________SA2</vt:lpstr>
      <vt:lpstr>TH điểm!____________SA4</vt:lpstr>
      <vt:lpstr>TH điểm!____________T8</vt:lpstr>
      <vt:lpstr>TH điểm!___________km03</vt:lpstr>
      <vt:lpstr>TH điểm!___________n23</vt:lpstr>
      <vt:lpstr>TH điểm!___________new3</vt:lpstr>
      <vt:lpstr>TH điểm!___________new5</vt:lpstr>
      <vt:lpstr>TH điểm!___________new6</vt:lpstr>
      <vt:lpstr>TH điểm!___________new7</vt:lpstr>
      <vt:lpstr>TH điểm!___________NSO2</vt:lpstr>
      <vt:lpstr>TH điểm!___________SA1</vt:lpstr>
      <vt:lpstr>TH điểm!___________SA2</vt:lpstr>
      <vt:lpstr>TH điểm!___________SA4</vt:lpstr>
      <vt:lpstr>TH điểm!___________T8</vt:lpstr>
      <vt:lpstr>TH điểm!__________km03</vt:lpstr>
      <vt:lpstr>TH điểm!__________n23</vt:lpstr>
      <vt:lpstr>TH điểm!__________new3</vt:lpstr>
      <vt:lpstr>TH điểm!__________new5</vt:lpstr>
      <vt:lpstr>TH điểm!__________new6</vt:lpstr>
      <vt:lpstr>TH điểm!__________new7</vt:lpstr>
      <vt:lpstr>TH điểm!__________NSO2</vt:lpstr>
      <vt:lpstr>TH điểm!__________SA1</vt:lpstr>
      <vt:lpstr>TH điểm!__________SA2</vt:lpstr>
      <vt:lpstr>TH điểm!__________SA4</vt:lpstr>
      <vt:lpstr>TH điểm!__________T8</vt:lpstr>
      <vt:lpstr>TH điểm!_________km03</vt:lpstr>
      <vt:lpstr>TH điểm!_________n23</vt:lpstr>
      <vt:lpstr>TH điểm!_________new3</vt:lpstr>
      <vt:lpstr>TH điểm!_________new5</vt:lpstr>
      <vt:lpstr>TH điểm!_________new6</vt:lpstr>
      <vt:lpstr>TH điểm!_________new7</vt:lpstr>
      <vt:lpstr>TH điểm!_________NSO2</vt:lpstr>
      <vt:lpstr>TH điểm!_________SA1</vt:lpstr>
      <vt:lpstr>TH điểm!_________SA2</vt:lpstr>
      <vt:lpstr>TH điểm!_________SA4</vt:lpstr>
      <vt:lpstr>TH điểm!_________T8</vt:lpstr>
      <vt:lpstr>TH điểm!________km03</vt:lpstr>
      <vt:lpstr>TH điểm!________n23</vt:lpstr>
      <vt:lpstr>TH điểm!________new3</vt:lpstr>
      <vt:lpstr>TH điểm!________new5</vt:lpstr>
      <vt:lpstr>TH điểm!________new6</vt:lpstr>
      <vt:lpstr>TH điểm!________new7</vt:lpstr>
      <vt:lpstr>TH điểm!________NSO2</vt:lpstr>
      <vt:lpstr>TH điểm!________SA1</vt:lpstr>
      <vt:lpstr>TH điểm!________SA2</vt:lpstr>
      <vt:lpstr>TH điểm!________SA4</vt:lpstr>
      <vt:lpstr>TH điểm!________T8</vt:lpstr>
      <vt:lpstr>TH điểm!_______km03</vt:lpstr>
      <vt:lpstr>TH điểm!_______n23</vt:lpstr>
      <vt:lpstr>TH điểm!_______new3</vt:lpstr>
      <vt:lpstr>TH điểm!_______new5</vt:lpstr>
      <vt:lpstr>TH điểm!_______new6</vt:lpstr>
      <vt:lpstr>TH điểm!_______new7</vt:lpstr>
      <vt:lpstr>TH điểm!_______NSO2</vt:lpstr>
      <vt:lpstr>TH điểm!_______SA1</vt:lpstr>
      <vt:lpstr>TH điểm!_______SA2</vt:lpstr>
      <vt:lpstr>TH điểm!_______SA4</vt:lpstr>
      <vt:lpstr>TH điểm!_______T8</vt:lpstr>
      <vt:lpstr>TH điểm!______km03</vt:lpstr>
      <vt:lpstr>TH điểm!______n23</vt:lpstr>
      <vt:lpstr>TH điểm!______new3</vt:lpstr>
      <vt:lpstr>TH điểm!______new5</vt:lpstr>
      <vt:lpstr>TH điểm!______new6</vt:lpstr>
      <vt:lpstr>TH điểm!______new7</vt:lpstr>
      <vt:lpstr>TH điểm!______NSO2</vt:lpstr>
      <vt:lpstr>TH điểm!______SA1</vt:lpstr>
      <vt:lpstr>TH điểm!______SA2</vt:lpstr>
      <vt:lpstr>TH điểm!______SA4</vt:lpstr>
      <vt:lpstr>TH điểm!______T8</vt:lpstr>
      <vt:lpstr>TH điểm!_____km03</vt:lpstr>
      <vt:lpstr>TH điểm!_____n23</vt:lpstr>
      <vt:lpstr>TH điểm!_____new3</vt:lpstr>
      <vt:lpstr>TH điểm!_____new5</vt:lpstr>
      <vt:lpstr>TH điểm!_____new6</vt:lpstr>
      <vt:lpstr>TH điểm!_____new7</vt:lpstr>
      <vt:lpstr>TH điểm!_____NSO2</vt:lpstr>
      <vt:lpstr>TH điểm!_____SA1</vt:lpstr>
      <vt:lpstr>TH điểm!_____SA2</vt:lpstr>
      <vt:lpstr>TH điểm!_____SA4</vt:lpstr>
      <vt:lpstr>TH điểm!_____T8</vt:lpstr>
      <vt:lpstr>TH điểm!____km03</vt:lpstr>
      <vt:lpstr>TH điểm!____n23</vt:lpstr>
      <vt:lpstr>TH điểm!____new3</vt:lpstr>
      <vt:lpstr>TH điểm!____new5</vt:lpstr>
      <vt:lpstr>TH điểm!____new6</vt:lpstr>
      <vt:lpstr>TH điểm!____new7</vt:lpstr>
      <vt:lpstr>TH điểm!____NSO2</vt:lpstr>
      <vt:lpstr>TH điểm!____SA1</vt:lpstr>
      <vt:lpstr>TH điểm!____SA2</vt:lpstr>
      <vt:lpstr>TH điểm!____SA4</vt:lpstr>
      <vt:lpstr>TH điểm!____T8</vt:lpstr>
      <vt:lpstr>TH điểm!___a1</vt:lpstr>
      <vt:lpstr>TH điểm!___km03</vt:lpstr>
      <vt:lpstr>TH điểm!___n23</vt:lpstr>
      <vt:lpstr>TH điểm!___new3</vt:lpstr>
      <vt:lpstr>TH điểm!___new5</vt:lpstr>
      <vt:lpstr>TH điểm!___new6</vt:lpstr>
      <vt:lpstr>TH điểm!___new7</vt:lpstr>
      <vt:lpstr>TH điểm!___NSO2</vt:lpstr>
      <vt:lpstr>TH điểm!___SA1</vt:lpstr>
      <vt:lpstr>TH điểm!___SA2</vt:lpstr>
      <vt:lpstr>TH điểm!___SA4</vt:lpstr>
      <vt:lpstr>TH điểm!___T8</vt:lpstr>
      <vt:lpstr>TH điểm!___TK211</vt:lpstr>
      <vt:lpstr>TH điểm!__a1</vt:lpstr>
      <vt:lpstr>TH điểm!__a129</vt:lpstr>
      <vt:lpstr>TH điểm!__a130</vt:lpstr>
      <vt:lpstr>TH điểm!__anh1</vt:lpstr>
      <vt:lpstr>TH điểm!__anh10</vt:lpstr>
      <vt:lpstr>TH điểm!__anh12</vt:lpstr>
      <vt:lpstr>TH điểm!__anh13</vt:lpstr>
      <vt:lpstr>TH điểm!__anh15</vt:lpstr>
      <vt:lpstr>TH điểm!__anh18</vt:lpstr>
      <vt:lpstr>TH điểm!__anh19</vt:lpstr>
      <vt:lpstr>TH điểm!__anh2</vt:lpstr>
      <vt:lpstr>TH điểm!__anh20</vt:lpstr>
      <vt:lpstr>TH điểm!__anh21</vt:lpstr>
      <vt:lpstr>TH điểm!__anh22</vt:lpstr>
      <vt:lpstr>TH điểm!__anh27</vt:lpstr>
      <vt:lpstr>TH điểm!__anh28</vt:lpstr>
      <vt:lpstr>TH điểm!__anh356</vt:lpstr>
      <vt:lpstr>TH điểm!__anh41</vt:lpstr>
      <vt:lpstr>TH điểm!__anh56</vt:lpstr>
      <vt:lpstr>TH điểm!__anh8</vt:lpstr>
      <vt:lpstr>TH điểm!__anh9</vt:lpstr>
      <vt:lpstr>TH điểm!__bookmark_1</vt:lpstr>
      <vt:lpstr>TH điểm!__Goi8</vt:lpstr>
      <vt:lpstr>TH điểm!__HNI04</vt:lpstr>
      <vt:lpstr>TH điểm!__km03</vt:lpstr>
      <vt:lpstr>TH điểm!__Lan1</vt:lpstr>
      <vt:lpstr>TH điểm!__LAN3</vt:lpstr>
      <vt:lpstr>TH điểm!__n23</vt:lpstr>
      <vt:lpstr>TH điểm!__new3</vt:lpstr>
      <vt:lpstr>TH điểm!__new5</vt:lpstr>
      <vt:lpstr>TH điểm!__new6</vt:lpstr>
      <vt:lpstr>TH điểm!__new7</vt:lpstr>
      <vt:lpstr>TH điểm!__NSO2</vt:lpstr>
      <vt:lpstr>TH điểm!__PA3</vt:lpstr>
      <vt:lpstr>TH điểm!__SA1</vt:lpstr>
      <vt:lpstr>TH điểm!__SA2</vt:lpstr>
      <vt:lpstr>TH điểm!__SA4</vt:lpstr>
      <vt:lpstr>TH điểm!__T11</vt:lpstr>
      <vt:lpstr>TH điểm!__T8</vt:lpstr>
      <vt:lpstr>TH điểm!__TK211</vt:lpstr>
      <vt:lpstr>TH điểm!__TM2</vt:lpstr>
      <vt:lpstr>TH điểm!__tt3</vt:lpstr>
      <vt:lpstr>TH điểm!_a1</vt:lpstr>
      <vt:lpstr>TH điểm!_a129</vt:lpstr>
      <vt:lpstr>TH điểm!_a130</vt:lpstr>
      <vt:lpstr>TH điểm!_anh1</vt:lpstr>
      <vt:lpstr>TH điểm!_anh10</vt:lpstr>
      <vt:lpstr>TH điểm!_anh12</vt:lpstr>
      <vt:lpstr>TH điểm!_anh13</vt:lpstr>
      <vt:lpstr>TH điểm!_anh15</vt:lpstr>
      <vt:lpstr>TH điểm!_anh18</vt:lpstr>
      <vt:lpstr>TH điểm!_anh19</vt:lpstr>
      <vt:lpstr>TH điểm!_anh2</vt:lpstr>
      <vt:lpstr>TH điểm!_anh20</vt:lpstr>
      <vt:lpstr>TH điểm!_anh21</vt:lpstr>
      <vt:lpstr>TH điểm!_anh22</vt:lpstr>
      <vt:lpstr>TH điểm!_anh27</vt:lpstr>
      <vt:lpstr>TH điểm!_anh28</vt:lpstr>
      <vt:lpstr>TH điểm!_anh356</vt:lpstr>
      <vt:lpstr>TH điểm!_anh41</vt:lpstr>
      <vt:lpstr>TH điểm!_anh56</vt:lpstr>
      <vt:lpstr>TH điểm!_anh8</vt:lpstr>
      <vt:lpstr>TH điểm!_anh9</vt:lpstr>
      <vt:lpstr>TH điểm!_F1</vt:lpstr>
      <vt:lpstr>TH điểm!_Fill</vt:lpstr>
      <vt:lpstr>TH điểm!_gh1</vt:lpstr>
      <vt:lpstr>TH điểm!_Goi8</vt:lpstr>
      <vt:lpstr>TH điểm!_HNI04</vt:lpstr>
      <vt:lpstr>TH điểm!_hu1</vt:lpstr>
      <vt:lpstr>TH điểm!_hu2</vt:lpstr>
      <vt:lpstr>TH điểm!_hu5</vt:lpstr>
      <vt:lpstr>TH điểm!_hu6</vt:lpstr>
      <vt:lpstr>TH điểm!_hu7</vt:lpstr>
      <vt:lpstr>TH điểm!_huy1</vt:lpstr>
      <vt:lpstr>TH điểm!_Key1</vt:lpstr>
      <vt:lpstr>TH điểm!_Key2</vt:lpstr>
      <vt:lpstr>TH điểm!_kl11</vt:lpstr>
      <vt:lpstr>TH điểm!_kl4</vt:lpstr>
      <vt:lpstr>TH điểm!_kl6</vt:lpstr>
      <vt:lpstr>TH điểm!_km03</vt:lpstr>
      <vt:lpstr>TH điểm!_Lan1</vt:lpstr>
      <vt:lpstr>TH điểm!_LAN3</vt:lpstr>
      <vt:lpstr>TH điểm!_MCC3</vt:lpstr>
      <vt:lpstr>TH điểm!_MEP2</vt:lpstr>
      <vt:lpstr>TH điểm!_n23</vt:lpstr>
      <vt:lpstr>TH điểm!_new3</vt:lpstr>
      <vt:lpstr>TH điểm!_new5</vt:lpstr>
      <vt:lpstr>TH điểm!_new6</vt:lpstr>
      <vt:lpstr>TH điểm!_new7</vt:lpstr>
      <vt:lpstr>TH điểm!_NKT2</vt:lpstr>
      <vt:lpstr>TH điểm!_NS01</vt:lpstr>
      <vt:lpstr>TH điểm!_NSO2</vt:lpstr>
      <vt:lpstr>TH điểm!_NSO3</vt:lpstr>
      <vt:lpstr>TH điểm!_PA3</vt:lpstr>
      <vt:lpstr>TH điểm!_SA1</vt:lpstr>
      <vt:lpstr>TH điểm!_SA2</vt:lpstr>
      <vt:lpstr>TH điểm!_SA4</vt:lpstr>
      <vt:lpstr>TH điểm!_Sort</vt:lpstr>
      <vt:lpstr>TH điểm!_Sortmoi</vt:lpstr>
      <vt:lpstr>TH điểm!_T10</vt:lpstr>
      <vt:lpstr>TH điểm!_T11</vt:lpstr>
      <vt:lpstr>TH điểm!_T8</vt:lpstr>
      <vt:lpstr>TH điểm!_TH1</vt:lpstr>
      <vt:lpstr>TH điểm!_TK211</vt:lpstr>
      <vt:lpstr>TH điểm!_TM2</vt:lpstr>
      <vt:lpstr>TH điểm!_tt3</vt:lpstr>
      <vt:lpstr>TH điểm!_vl1</vt:lpstr>
      <vt:lpstr>TH điểm!â</vt:lpstr>
      <vt:lpstr>TH điểm!ằ</vt:lpstr>
      <vt:lpstr>TH điểm!a129_xoa</vt:lpstr>
      <vt:lpstr>TH điểm!a129_xoaxoa</vt:lpstr>
      <vt:lpstr>TH điểm!a130_xoa</vt:lpstr>
      <vt:lpstr>TH điểm!a130_xoaxoa</vt:lpstr>
      <vt:lpstr>TH điểm!a1moi</vt:lpstr>
      <vt:lpstr>TH điểm!ả4513</vt:lpstr>
      <vt:lpstr>TH điểm!â9000</vt:lpstr>
      <vt:lpstr>TH điểm!aaaaaa</vt:lpstr>
      <vt:lpstr>TH điểm!aadd</vt:lpstr>
      <vt:lpstr>TH điểm!aass</vt:lpstr>
      <vt:lpstr>TH điểm!aavavavav</vt:lpstr>
      <vt:lpstr>TH điểm!abc</vt:lpstr>
      <vt:lpstr>TH điểm!abcd</vt:lpstr>
      <vt:lpstr>TH điểm!acc</vt:lpstr>
      <vt:lpstr>TH điểm!ádfg</vt:lpstr>
      <vt:lpstr>TH điểm!adfgdfhgdf</vt:lpstr>
      <vt:lpstr>TH điểm!adfgfgdfg</vt:lpstr>
      <vt:lpstr>TH điểm!adfsg</vt:lpstr>
      <vt:lpstr>TH điểm!ae</vt:lpstr>
      <vt:lpstr>TH điểm!aegwhg.gk</vt:lpstr>
      <vt:lpstr>TH điểm!aetg.hgrs</vt:lpstr>
      <vt:lpstr>TH điểm!âétggâgqgêágghe</vt:lpstr>
      <vt:lpstr>TH điểm!âfA</vt:lpstr>
      <vt:lpstr>TH điểm!afasfsagfas</vt:lpstr>
      <vt:lpstr>TH điểm!ăg</vt:lpstr>
      <vt:lpstr>TH điểm!àgdfgfdgdf</vt:lpstr>
      <vt:lpstr>TH điểm!àgfdgfdf</vt:lpstr>
      <vt:lpstr>TH điểm!ẩgg</vt:lpstr>
      <vt:lpstr>TH điểm!ầgga</vt:lpstr>
      <vt:lpstr>TH điểm!amnh16</vt:lpstr>
      <vt:lpstr>TH điểm!amoi</vt:lpstr>
      <vt:lpstr>TH điểm!Antoan</vt:lpstr>
      <vt:lpstr>TH điểm!as</vt:lpstr>
      <vt:lpstr>TH điểm!asf</vt:lpstr>
      <vt:lpstr>TH điểm!asss</vt:lpstr>
      <vt:lpstr>TH điểm!asssss</vt:lpstr>
      <vt:lpstr>TH điểm!Attachment07</vt:lpstr>
      <vt:lpstr>TH điểm!AU</vt:lpstr>
      <vt:lpstr>TH điểm!avavgveqvaq</vt:lpstr>
      <vt:lpstr>TH điểm!Bang7_THKL_HCM</vt:lpstr>
      <vt:lpstr>TH điểm!banQL</vt:lpstr>
      <vt:lpstr>TH điểm!Bao</vt:lpstr>
      <vt:lpstr>TH điểm!bbb</vt:lpstr>
      <vt:lpstr>TH điểm!BBe</vt:lpstr>
      <vt:lpstr>TH điểm!bdv</vt:lpstr>
      <vt:lpstr>TH điểm!Bieu18</vt:lpstr>
      <vt:lpstr>TH điểm!BO</vt:lpstr>
      <vt:lpstr>TH điểm!BUM</vt:lpstr>
      <vt:lpstr>TH điểm!bvcbvb</vt:lpstr>
      <vt:lpstr>TH điểm!CARL</vt:lpstr>
      <vt:lpstr>TH điểm!CARL1</vt:lpstr>
      <vt:lpstr>TH điểm!CARL2</vt:lpstr>
      <vt:lpstr>TH điểm!CBG</vt:lpstr>
      <vt:lpstr>TH điểm!chilinh1</vt:lpstr>
      <vt:lpstr>TH điểm!chilinh2</vt:lpstr>
      <vt:lpstr>TH điểm!chilinh3</vt:lpstr>
      <vt:lpstr>TH điểm!chilinh4</vt:lpstr>
      <vt:lpstr>TH điểm!chilinh5</vt:lpstr>
      <vt:lpstr>TH điểm!chilinh6</vt:lpstr>
      <vt:lpstr>TH điểm!chilk</vt:lpstr>
      <vt:lpstr>TH điểm!chitietbgiang2</vt:lpstr>
      <vt:lpstr>TH điểm!Code</vt:lpstr>
      <vt:lpstr>TH điểm!ctbbt</vt:lpstr>
      <vt:lpstr>TH điểm!CTCT1</vt:lpstr>
      <vt:lpstr>TH điểm!CTIEN</vt:lpstr>
      <vt:lpstr>TH điểm!cung</vt:lpstr>
      <vt:lpstr>TH điểm!cuong</vt:lpstr>
      <vt:lpstr>TH điểm!cvcv</vt:lpstr>
      <vt:lpstr>TH điểm!d</vt:lpstr>
      <vt:lpstr>TH điểm!DAILATHANH</vt:lpstr>
      <vt:lpstr>TH điểm!dang</vt:lpstr>
      <vt:lpstr>TH điểm!data1</vt:lpstr>
      <vt:lpstr>TH điểm!data2</vt:lpstr>
      <vt:lpstr>TH điểm!data3</vt:lpstr>
      <vt:lpstr>TH điểm!Dautu</vt:lpstr>
      <vt:lpstr>TH điểm!DD</vt:lpstr>
      <vt:lpstr>TH điểm!ddd</vt:lpstr>
      <vt:lpstr>TH điểm!dddddddddd</vt:lpstr>
      <vt:lpstr>TH điểm!dddddddddddddd</vt:lpstr>
      <vt:lpstr>TH điểm!ddddddddddddddd</vt:lpstr>
      <vt:lpstr>TH điểm!deedfsd</vt:lpstr>
      <vt:lpstr>TH điểm!DEEE</vt:lpstr>
      <vt:lpstr>TH điểm!DES</vt:lpstr>
      <vt:lpstr>TH điểm!dfafd</vt:lpstr>
      <vt:lpstr>TH điểm!đfbgdgă</vt:lpstr>
      <vt:lpstr>TH điểm!dfdfd</vt:lpstr>
      <vt:lpstr>TH điểm!dfdsf</vt:lpstr>
      <vt:lpstr>TH điểm!dfdsfdsf</vt:lpstr>
      <vt:lpstr>TH điểm!DFFFF</vt:lpstr>
      <vt:lpstr>TH điểm!dfg</vt:lpstr>
      <vt:lpstr>TH điểm!dfgmsdkg</vt:lpstr>
      <vt:lpstr>TH điểm!dfh</vt:lpstr>
      <vt:lpstr>TH điểm!đfnfndfn</vt:lpstr>
      <vt:lpstr>TH điểm!dfsfsd</vt:lpstr>
      <vt:lpstr>TH điểm!dgdagkadfkg</vt:lpstr>
      <vt:lpstr>TH điểm!dgdfgdfgf</vt:lpstr>
      <vt:lpstr>TH điểm!dgg</vt:lpstr>
      <vt:lpstr>TH điểm!dgsdfgdfag</vt:lpstr>
      <vt:lpstr>TH điểm!đhf</vt:lpstr>
      <vt:lpstr>TH điểm!dhtdh</vt:lpstr>
      <vt:lpstr>TH điểm!Discount</vt:lpstr>
      <vt:lpstr>TH điểm!display_area_2</vt:lpstr>
      <vt:lpstr>TH điểm!DKTT</vt:lpstr>
      <vt:lpstr>TH điểm!dmxl2</vt:lpstr>
      <vt:lpstr>TH điểm!Document_array</vt:lpstr>
      <vt:lpstr>TH điểm!dong</vt:lpstr>
      <vt:lpstr>TH điểm!drrrrrrr</vt:lpstr>
      <vt:lpstr>TH điểm!dsfhkjdsfds</vt:lpstr>
      <vt:lpstr>TH điểm!dsfsdfsd</vt:lpstr>
      <vt:lpstr>TH điểm!dsgsw.sgrs.grsg_.sg</vt:lpstr>
      <vt:lpstr>TH điểm!DSPS</vt:lpstr>
      <vt:lpstr>TH điểm!DTTK</vt:lpstr>
      <vt:lpstr>TH điểm!DTTVGM163</vt:lpstr>
      <vt:lpstr>TH điểm!du</vt:lpstr>
      <vt:lpstr>TH điểm!duc</vt:lpstr>
      <vt:lpstr>TH điểm!dutoanc2</vt:lpstr>
      <vt:lpstr>TH điểm!ED</vt:lpstr>
      <vt:lpstr>TH điểm!EEE</vt:lpstr>
      <vt:lpstr>TH điểm!EEEEE</vt:lpstr>
      <vt:lpstr>TH điểm!eeeeeeeeeeeee</vt:lpstr>
      <vt:lpstr>TH điểm!egw</vt:lpstr>
      <vt:lpstr>TH điểm!eheh</vt:lpstr>
      <vt:lpstr>TH điểm!ELLEN1</vt:lpstr>
      <vt:lpstr>TH điểm!ELLEN10</vt:lpstr>
      <vt:lpstr>TH điểm!ELLEN11</vt:lpstr>
      <vt:lpstr>TH điểm!ELLEN12</vt:lpstr>
      <vt:lpstr>TH điểm!ELLEN13</vt:lpstr>
      <vt:lpstr>TH điểm!ELLEN14</vt:lpstr>
      <vt:lpstr>TH điểm!ELLEN15</vt:lpstr>
      <vt:lpstr>TH điểm!ELLEN16</vt:lpstr>
      <vt:lpstr>TH điểm!ELLEN17</vt:lpstr>
      <vt:lpstr>TH điểm!ELLEN18</vt:lpstr>
      <vt:lpstr>TH điểm!ELLEN19</vt:lpstr>
      <vt:lpstr>TH điểm!ELLEN2</vt:lpstr>
      <vt:lpstr>TH điểm!ELLEN3</vt:lpstr>
      <vt:lpstr>TH điểm!ELLEN4</vt:lpstr>
      <vt:lpstr>TH điểm!ELLEN5</vt:lpstr>
      <vt:lpstr>TH điểm!ELLEN6</vt:lpstr>
      <vt:lpstr>TH điểm!ELLEN7</vt:lpstr>
      <vt:lpstr>TH điểm!ELLEN8</vt:lpstr>
      <vt:lpstr>TH điểm!ELLEN9</vt:lpstr>
      <vt:lpstr>TH điểm!esgtew</vt:lpstr>
      <vt:lpstr>TH điểm!etethtehbdex</vt:lpstr>
      <vt:lpstr>TH điểm!êthtêt</vt:lpstr>
      <vt:lpstr>TH điểm!etqgsg_đhs</vt:lpstr>
      <vt:lpstr>TH điểm!etrw45.đ</vt:lpstr>
      <vt:lpstr>TH điểm!Extra</vt:lpstr>
      <vt:lpstr>TH điểm!eygswgq</vt:lpstr>
      <vt:lpstr>TH điểm!êyh</vt:lpstr>
      <vt:lpstr>TH điểm!f</vt:lpstr>
      <vt:lpstr>TH điểm!fáaafafaf</vt:lpstr>
      <vt:lpstr>TH điểm!fasfaga</vt:lpstr>
      <vt:lpstr>TH điểm!FCode</vt:lpstr>
      <vt:lpstr>TH điểm!fdfdf</vt:lpstr>
      <vt:lpstr>TH điểm!fdgdfgdfg</vt:lpstr>
      <vt:lpstr>TH điểm!fđhbfbd</vt:lpstr>
      <vt:lpstr>TH điểm!fđhh</vt:lpstr>
      <vt:lpstr>TH điểm!fdsfsdfd</vt:lpstr>
      <vt:lpstr>TH điểm!fdss</vt:lpstr>
      <vt:lpstr>TH điểm!fff</vt:lpstr>
      <vt:lpstr>TH điểm!fffffffffffffff</vt:lpstr>
      <vt:lpstr>TH điểm!fgafdfdg</vt:lpstr>
      <vt:lpstr>TH điểm!fgdfagfdf</vt:lpstr>
      <vt:lpstr>TH điểm!fgđff</vt:lpstr>
      <vt:lpstr>TH điểm!fgdfgddfgfd</vt:lpstr>
      <vt:lpstr>TH điểm!fgdfgfgfd</vt:lpstr>
      <vt:lpstr>TH điểm!fgfdaghffg</vt:lpstr>
      <vt:lpstr>TH điểm!fgh</vt:lpstr>
      <vt:lpstr>TH điểm!fghdfhdfg</vt:lpstr>
      <vt:lpstr>TH điểm!fgkjmgky.yulyu.</vt:lpstr>
      <vt:lpstr>TH điểm!fhfgfsdgfd</vt:lpstr>
      <vt:lpstr>TH điểm!fhgadfhadf</vt:lpstr>
      <vt:lpstr>TH điểm!fhlkdkgl</vt:lpstr>
      <vt:lpstr>TH điểm!fhsdgfdff</vt:lpstr>
      <vt:lpstr>TH điểm!fhtđhêhd</vt:lpstr>
      <vt:lpstr>TH điểm!fj</vt:lpstr>
      <vt:lpstr>TH điểm!FOR</vt:lpstr>
      <vt:lpstr>TH điểm!FORMAT</vt:lpstr>
      <vt:lpstr>TH điểm!fsdfdsf</vt:lpstr>
      <vt:lpstr>TH điểm!fsfdsfsf</vt:lpstr>
      <vt:lpstr>TH điểm!fsfsdfasfas</vt:lpstr>
      <vt:lpstr>TH điểm!ftgfg</vt:lpstr>
      <vt:lpstr>TH điểm!gdfg</vt:lpstr>
      <vt:lpstr>TH điểm!gdfgdfgdf</vt:lpstr>
      <vt:lpstr>TH điểm!gfhgadfkgkadf</vt:lpstr>
      <vt:lpstr>TH điểm!ggaq</vt:lpstr>
      <vt:lpstr>TH điểm!gggggggggg</vt:lpstr>
      <vt:lpstr>TH điểm!gghjgh</vt:lpstr>
      <vt:lpstr>TH điểm!ggsf</vt:lpstr>
      <vt:lpstr>TH điểm!ghàdgfadgdf</vt:lpstr>
      <vt:lpstr>TH điểm!giang</vt:lpstr>
      <vt:lpstr>TH điểm!gjrđjsjs</vt:lpstr>
      <vt:lpstr>TH điểm!grds</vt:lpstr>
      <vt:lpstr>TH điểm!gteyhưez</vt:lpstr>
      <vt:lpstr>TH điểm!GU</vt:lpstr>
      <vt:lpstr>TH điểm!gwf</vt:lpstr>
      <vt:lpstr>TH điểm!h</vt:lpstr>
      <vt:lpstr>TH điểm!h_xoa</vt:lpstr>
      <vt:lpstr>TH điểm!h_xoa2</vt:lpstr>
      <vt:lpstr>TH điểm!haKK</vt:lpstr>
      <vt:lpstr>TH điểm!hanh</vt:lpstr>
      <vt:lpstr>TH điểm!haoif</vt:lpstr>
      <vt:lpstr>TH điểm!HCSL</vt:lpstr>
      <vt:lpstr>TH điểm!hcsla</vt:lpstr>
      <vt:lpstr>TH điểm!hcsld</vt:lpstr>
      <vt:lpstr>TH điểm!hdfgdgdg</vt:lpstr>
      <vt:lpstr>TH điểm!HDH</vt:lpstr>
      <vt:lpstr>TH điểm!heđbe</vt:lpstr>
      <vt:lpstr>TH điểm!hee_opjg</vt:lpstr>
      <vt:lpstr>TH điểm!hẻy</vt:lpstr>
      <vt:lpstr>TH điểm!hfgh</vt:lpstr>
      <vt:lpstr>TH điểm!hgadgag</vt:lpstr>
      <vt:lpstr>TH điểm!hgh</vt:lpstr>
      <vt:lpstr>TH điểm!hghgh</vt:lpstr>
      <vt:lpstr>TH điểm!hgre_zdfhgfd</vt:lpstr>
      <vt:lpstr>TH điểm!HHHH</vt:lpstr>
      <vt:lpstr>TH điểm!hhhthrh</vt:lpstr>
      <vt:lpstr>TH điểm!HiddenRows</vt:lpstr>
      <vt:lpstr>TH điểm!hj</vt:lpstr>
      <vt:lpstr>TH điểm!hkj</vt:lpstr>
      <vt:lpstr>TH điểm!hmi</vt:lpstr>
      <vt:lpstr>TH điểm!hnhnhn</vt:lpstr>
      <vt:lpstr>TH điểm!hoa</vt:lpstr>
      <vt:lpstr>TH điểm!hong</vt:lpstr>
      <vt:lpstr>TH điểm!hongngu</vt:lpstr>
      <vt:lpstr>TH điểm!hp</vt:lpstr>
      <vt:lpstr>TH điểm!hrhe</vt:lpstr>
      <vt:lpstr>TH điểm!hsduuiejkdf</vt:lpstr>
      <vt:lpstr>TH điểm!hsgbhtgrư</vt:lpstr>
      <vt:lpstr>TH điểm!ht</vt:lpstr>
      <vt:lpstr>TH điểm!htjhtjftj</vt:lpstr>
      <vt:lpstr>TH điểm!htlm</vt:lpstr>
      <vt:lpstr>TH điểm!HTML_Control</vt:lpstr>
      <vt:lpstr>TH điểm!html_control_xoa2</vt:lpstr>
      <vt:lpstr>TH điểm!HTML_Controlmoi</vt:lpstr>
      <vt:lpstr>TH điểm!HTMLmoi</vt:lpstr>
      <vt:lpstr>TH điểm!htriu4</vt:lpstr>
      <vt:lpstr>TH điểm!hu</vt:lpstr>
      <vt:lpstr>TH điểm!hui</vt:lpstr>
      <vt:lpstr>TH điểm!hung</vt:lpstr>
      <vt:lpstr>TH điểm!huy</vt:lpstr>
      <vt:lpstr>TH điểm!huy_xoa</vt:lpstr>
      <vt:lpstr>TH điểm!huy_xoa2</vt:lpstr>
      <vt:lpstr>TH điểm!huy1moi</vt:lpstr>
      <vt:lpstr>TH điểm!huyhoa</vt:lpstr>
      <vt:lpstr>TH điểm!huymoi</vt:lpstr>
      <vt:lpstr>TH điểm!huyy</vt:lpstr>
      <vt:lpstr>TH điểm!ịth</vt:lpstr>
      <vt:lpstr>TH điểm!JHK</vt:lpstr>
      <vt:lpstr>TH điểm!jjjjjjjj</vt:lpstr>
      <vt:lpstr>TH điểm!jkhj</vt:lpstr>
      <vt:lpstr>TH điểm!jkjk</vt:lpstr>
      <vt:lpstr>TH điểm!jsajhf</vt:lpstr>
      <vt:lpstr>TH điểm!jýỵy</vt:lpstr>
      <vt:lpstr>TH điểm!k</vt:lpstr>
      <vt:lpstr>TH điểm!k_xoa</vt:lpstr>
      <vt:lpstr>TH điểm!k_xoa2</vt:lpstr>
      <vt:lpstr>TH điểm!KCThep</vt:lpstr>
      <vt:lpstr>TH điểm!kdkk</vt:lpstr>
      <vt:lpstr>TH điểm!khongtruotgia</vt:lpstr>
      <vt:lpstr>TH điểm!KHSX</vt:lpstr>
      <vt:lpstr>TH điểm!kjkjkj</vt:lpstr>
      <vt:lpstr>TH điểm!KKKKKKKKK</vt:lpstr>
      <vt:lpstr>TH điểm!klm</vt:lpstr>
      <vt:lpstr>TH điểm!ks</vt:lpstr>
      <vt:lpstr>TH điểm!ksbn</vt:lpstr>
      <vt:lpstr>TH điểm!kshn</vt:lpstr>
      <vt:lpstr>TH điểm!ksls</vt:lpstr>
      <vt:lpstr>TH điểm!ktdk0</vt:lpstr>
      <vt:lpstr>TH điểm!l.dat</vt:lpstr>
      <vt:lpstr>TH điểm!lai</vt:lpstr>
      <vt:lpstr>TH điểm!lan</vt:lpstr>
      <vt:lpstr>TH điểm!langson</vt:lpstr>
      <vt:lpstr>TH điểm!line</vt:lpstr>
      <vt:lpstr>TH điểm!linh</vt:lpstr>
      <vt:lpstr>TH điểm!linhT</vt:lpstr>
      <vt:lpstr>TH điểm!lk</vt:lpstr>
      <vt:lpstr>TH điểm!lkl</vt:lpstr>
      <vt:lpstr>TH điểm!LTKD</vt:lpstr>
      <vt:lpstr>TH điểm!luyÕn</vt:lpstr>
      <vt:lpstr>TH điểm!lvo</vt:lpstr>
      <vt:lpstr>TH điểm!m</vt:lpstr>
      <vt:lpstr>TH điểm!M10.</vt:lpstr>
      <vt:lpstr>TH điểm!MCCO</vt:lpstr>
      <vt:lpstr>TH điểm!MCCO10</vt:lpstr>
      <vt:lpstr>TH điểm!MCCO11</vt:lpstr>
      <vt:lpstr>TH điểm!MCCO12</vt:lpstr>
      <vt:lpstr>TH điểm!MCCO13</vt:lpstr>
      <vt:lpstr>TH điểm!MCCO3</vt:lpstr>
      <vt:lpstr>TH điểm!MCCO4</vt:lpstr>
      <vt:lpstr>TH điểm!MCCO5</vt:lpstr>
      <vt:lpstr>TH điểm!MCCO6</vt:lpstr>
      <vt:lpstr>TH điểm!MCCO7</vt:lpstr>
      <vt:lpstr>TH điểm!MCCO8</vt:lpstr>
      <vt:lpstr>TH điểm!MCCO9</vt:lpstr>
      <vt:lpstr>TH điểm!MCCOÙ</vt:lpstr>
      <vt:lpstr>TH điểm!MH</vt:lpstr>
      <vt:lpstr>TH điểm!minh</vt:lpstr>
      <vt:lpstr>TH điểm!mm</vt:lpstr>
      <vt:lpstr>TH điểm!mmmm</vt:lpstr>
      <vt:lpstr>TH điểm!mncvhjkhj</vt:lpstr>
      <vt:lpstr>TH điểm!mrn.inv._.budget</vt:lpstr>
      <vt:lpstr>TH điểm!Namna</vt:lpstr>
      <vt:lpstr>TH điểm!ncb</vt:lpstr>
      <vt:lpstr>TH điểm!new</vt:lpstr>
      <vt:lpstr>TH điểm!NEWNAME</vt:lpstr>
      <vt:lpstr>TH điểm!ngay23</vt:lpstr>
      <vt:lpstr>TH điểm!nhap1</vt:lpstr>
      <vt:lpstr>TH điểm!nhap2</vt:lpstr>
      <vt:lpstr>TH điểm!nhap3</vt:lpstr>
      <vt:lpstr>TH điểm!nhapcb</vt:lpstr>
      <vt:lpstr>TH điểm!nhung</vt:lpstr>
      <vt:lpstr>TH điểm!nhvnbv</vt:lpstr>
      <vt:lpstr>TH điểm!nm</vt:lpstr>
      <vt:lpstr>TH điểm!nnn</vt:lpstr>
      <vt:lpstr>TH điểm!NRy</vt:lpstr>
      <vt:lpstr>TH điểm!NUOCHKHOAN</vt:lpstr>
      <vt:lpstr>TH điểm!NUOCHKHOANMOI</vt:lpstr>
      <vt:lpstr>TH điểm!o</vt:lpstr>
      <vt:lpstr>TH điểm!Ô</vt:lpstr>
      <vt:lpstr>TH điểm!ôi</vt:lpstr>
      <vt:lpstr>TH điểm!OrderTable</vt:lpstr>
      <vt:lpstr>TH điểm!oudom</vt:lpstr>
      <vt:lpstr>TH điểm!phantich3</vt:lpstr>
      <vt:lpstr>TH điểm!phuong</vt:lpstr>
      <vt:lpstr>TH điểm!ProdForm</vt:lpstr>
      <vt:lpstr>TH điểm!Product</vt:lpstr>
      <vt:lpstr>TH điểm!ptich3</vt:lpstr>
      <vt:lpstr>TH điểm!q</vt:lpstr>
      <vt:lpstr>TH điểm!qềqg</vt:lpstr>
      <vt:lpstr>TH điểm!QQ</vt:lpstr>
      <vt:lpstr>TH điểm!qqq</vt:lpstr>
      <vt:lpstr>TH điểm!qừq</vt:lpstr>
      <vt:lpstr>TH điểm!Ranhxay</vt:lpstr>
      <vt:lpstr>TH điểm!RCArea</vt:lpstr>
      <vt:lpstr>TH điểm!rdrdd</vt:lpstr>
      <vt:lpstr>TH điểm!re</vt:lpstr>
      <vt:lpstr>TH điểm!Result21</vt:lpstr>
      <vt:lpstr>TH điểm!rhgrs</vt:lpstr>
      <vt:lpstr>TH điểm!rhrewhehe</vt:lpstr>
      <vt:lpstr>TH điểm!rjf</vt:lpstr>
      <vt:lpstr>TH điểm!rkd</vt:lpstr>
      <vt:lpstr>TH điểm!RREE</vt:lpstr>
      <vt:lpstr>TH điểm!RRR</vt:lpstr>
      <vt:lpstr>TH điểm!RRRDGG</vt:lpstr>
      <vt:lpstr>TH điểm!rrrfff</vt:lpstr>
      <vt:lpstr>TH điểm!rrrrrrrrrrrrrrr</vt:lpstr>
      <vt:lpstr>TH điểm!ryedfg</vt:lpstr>
      <vt:lpstr>TH điểm!ryhtrd</vt:lpstr>
      <vt:lpstr>TH điểm!S</vt:lpstr>
      <vt:lpstr>TH điểm!SAD</vt:lpstr>
      <vt:lpstr>TH điểm!sadec</vt:lpstr>
      <vt:lpstr>TH điểm!SA順にソートする</vt:lpstr>
      <vt:lpstr>TH điểm!SCTX</vt:lpstr>
      <vt:lpstr>TH điểm!sdcfzdcdzssaf</vt:lpstr>
      <vt:lpstr>TH điểm!sdfsdfsd</vt:lpstr>
      <vt:lpstr>TH điểm!sdgsdfgdf</vt:lpstr>
      <vt:lpstr>TH điểm!sen</vt:lpstr>
      <vt:lpstr>TH điểm!sfasf</vt:lpstr>
      <vt:lpstr>TH điểm!sfdsf</vt:lpstr>
      <vt:lpstr>TH điểm!sff</vt:lpstr>
      <vt:lpstr>TH điểm!sfh</vt:lpstr>
      <vt:lpstr>TH điểm!sgsr</vt:lpstr>
      <vt:lpstr>TH điểm!shee12</vt:lpstr>
      <vt:lpstr>TH điểm!sheet</vt:lpstr>
      <vt:lpstr>TH điểm!shsrhtr</vt:lpstr>
      <vt:lpstr>TH điểm!sjoiseiorkl</vt:lpstr>
      <vt:lpstr>TH điểm!So_Xau</vt:lpstr>
      <vt:lpstr>TH điểm!sodu</vt:lpstr>
      <vt:lpstr>TH điểm!SORT2</vt:lpstr>
      <vt:lpstr>TH điểm!SORT3</vt:lpstr>
      <vt:lpstr>TH điểm!SpecialPrice</vt:lpstr>
      <vt:lpstr>TH điểm!ss</vt:lpstr>
      <vt:lpstr>TH điểm!ssggg</vt:lpstr>
      <vt:lpstr>TH điểm!SSSS</vt:lpstr>
      <vt:lpstr>TH điểm!stop</vt:lpstr>
      <vt:lpstr>TH điểm!sua</vt:lpstr>
      <vt:lpstr>TH điểm!T4.06</vt:lpstr>
      <vt:lpstr>TH điểm!T5.06</vt:lpstr>
      <vt:lpstr>TH điểm!tanhong</vt:lpstr>
      <vt:lpstr>TH điểm!tanhong1</vt:lpstr>
      <vt:lpstr>TH điểm!tbl_ProdInfo</vt:lpstr>
      <vt:lpstr>TH điểm!tgưgz</vt:lpstr>
      <vt:lpstr>TH điểm!tha</vt:lpstr>
      <vt:lpstr>TH điểm!THAN</vt:lpstr>
      <vt:lpstr>TH điểm!thang</vt:lpstr>
      <vt:lpstr>TH điểm!Thang10</vt:lpstr>
      <vt:lpstr>TH điểm!thang13</vt:lpstr>
      <vt:lpstr>TH điểm!thang8</vt:lpstr>
      <vt:lpstr>TH điểm!thang9</vt:lpstr>
      <vt:lpstr>TH điểm!thanh</vt:lpstr>
      <vt:lpstr>TH điểm!thao</vt:lpstr>
      <vt:lpstr>TH điểm!THKP7YT</vt:lpstr>
      <vt:lpstr>TH điểm!tht</vt:lpstr>
      <vt:lpstr>TH điểm!thtt6</vt:lpstr>
      <vt:lpstr>TH điểm!thvlmoi</vt:lpstr>
      <vt:lpstr>TH điểm!thvlmoimoi</vt:lpstr>
      <vt:lpstr>TH điểm!tim</vt:lpstr>
      <vt:lpstr>TH điểm!tjhtrjntrsjnsr</vt:lpstr>
      <vt:lpstr>TH điểm!tjhủn</vt:lpstr>
      <vt:lpstr>TH điểm!tjjrj</vt:lpstr>
      <vt:lpstr>TH điểm!tk</vt:lpstr>
      <vt:lpstr>TH điểm!tke</vt:lpstr>
      <vt:lpstr>TH điểm!tkt</vt:lpstr>
      <vt:lpstr>TH điểm!toan</vt:lpstr>
      <vt:lpstr>TH điểm!TRAMTON</vt:lpstr>
      <vt:lpstr>TH điểm!trrh</vt:lpstr>
      <vt:lpstr>TH điểm!truc</vt:lpstr>
      <vt:lpstr>TH điểm!trung</vt:lpstr>
      <vt:lpstr>TH điểm!tscd</vt:lpstr>
      <vt:lpstr>TH điểm!tuankhanhtuyet</vt:lpstr>
      <vt:lpstr>TH điểm!tv</vt:lpstr>
      <vt:lpstr>TH điểm!uassw_sh</vt:lpstr>
      <vt:lpstr>TH điểm!uipou</vt:lpstr>
      <vt:lpstr>TH điểm!uiqwuewhjdr</vt:lpstr>
      <vt:lpstr>TH điểm!UL</vt:lpstr>
      <vt:lpstr>TH điểm!ủnt</vt:lpstr>
      <vt:lpstr>TH điểm!uuuuuuuuuuuuu</vt:lpstr>
      <vt:lpstr>TH điểm!uyen</vt:lpstr>
      <vt:lpstr>TH điểm!uyghu</vt:lpstr>
      <vt:lpstr>TH điểm!ủytỉt</vt:lpstr>
      <vt:lpstr>TH điểm!uytjhtdjtj</vt:lpstr>
      <vt:lpstr>TH điểm!VATM</vt:lpstr>
      <vt:lpstr>TH điểm!vay</vt:lpstr>
      <vt:lpstr>TH điểm!vbgnbvn</vt:lpstr>
      <vt:lpstr>TH điểm!vcbo1</vt:lpstr>
      <vt:lpstr>TH điểm!vcoto</vt:lpstr>
      <vt:lpstr>TH điểm!vcvbcb</vt:lpstr>
      <vt:lpstr>TH điểm!vgho</vt:lpstr>
      <vt:lpstr>TH điểm!vi</vt:lpstr>
      <vt:lpstr>TH điểm!VVVVVV</vt:lpstr>
      <vt:lpstr>TH điểm!wgyw</vt:lpstr>
      <vt:lpstr>TH điểm!WRITE</vt:lpstr>
      <vt:lpstr>TH điểm!WRN</vt:lpstr>
      <vt:lpstr>TH điểm!wrn.aaa.</vt:lpstr>
      <vt:lpstr>TH điểm!wrn.BAOCAO.</vt:lpstr>
      <vt:lpstr>TH điểm!wrn.BM.</vt:lpstr>
      <vt:lpstr>TH điểm!wrn.chi._.tiÆt.</vt:lpstr>
      <vt:lpstr>TH điểm!wrn.cong.</vt:lpstr>
      <vt:lpstr>TH điểm!wrn.inv._.budget.</vt:lpstr>
      <vt:lpstr>TH điểm!wrn.re_xoa2</vt:lpstr>
      <vt:lpstr>TH điểm!wrn.Report.</vt:lpstr>
      <vt:lpstr>TH điểm!wrn.testRapport.</vt:lpstr>
      <vt:lpstr>TH điểm!wrn.vd.</vt:lpstr>
      <vt:lpstr>TH điểm!wrn_xoa2</vt:lpstr>
      <vt:lpstr>TH điểm!wrnf.report</vt:lpstr>
      <vt:lpstr>TH điểm!wrnf_xoa2</vt:lpstr>
      <vt:lpstr>TH điểm!wrww</vt:lpstr>
      <vt:lpstr>TH điểm!wwhh</vt:lpstr>
      <vt:lpstr>TH điểm!wwhwhwrh</vt:lpstr>
      <vt:lpstr>TH điểm!wwwwwwww</vt:lpstr>
      <vt:lpstr>TH điểm!xlttbninh</vt:lpstr>
      <vt:lpstr>TH điểm!xoa1</vt:lpstr>
      <vt:lpstr>TH điểm!xoa2</vt:lpstr>
      <vt:lpstr>TH điểm!xoa3</vt:lpstr>
      <vt:lpstr>TH điểm!xoa4</vt:lpstr>
      <vt:lpstr>TH điểm!XuÊt8</vt:lpstr>
      <vt:lpstr>TH điểm!y</vt:lpstr>
      <vt:lpstr>TH điểm!ỳdhgg</vt:lpstr>
      <vt:lpstr>TH điểm!ỳđsgfhgfgfhghggh</vt:lpstr>
      <vt:lpstr>TH điểm!ytiti</vt:lpstr>
      <vt:lpstr>TH điểm!ỵu</vt:lpstr>
      <vt:lpstr>TH điểm!yyjy_ukyu</vt:lpstr>
      <vt:lpstr>TH điểm!yyyyyyyyyyy</vt:lpstr>
      <vt:lpstr>TH điểm!Z590_6months</vt:lpstr>
      <vt:lpstr>TH điểm!zKm2</vt:lpstr>
      <vt:lpstr>TH điểm!ZXzX</vt:lpstr>
      <vt:lpstr>TH điểm!キャンセル</vt:lpstr>
      <vt:lpstr>TH điểm!ソートする</vt:lpstr>
      <vt:lpstr>TH điểm!デｰタの消去</vt:lpstr>
      <vt:lpstr>TH điểm!견적</vt:lpstr>
      <vt:lpstr>TH điểm!견적2</vt:lpstr>
      <vt:lpstr>TH điểm!견적SHEET</vt:lpstr>
      <vt:lpstr>TH điểm!래그</vt:lpstr>
      <vt:lpstr>TH điểm!샘풀카피</vt:lpstr>
      <vt:lpstr>TH điểm!샘플카피2</vt:lpstr>
      <vt:lpstr>TH điểm!샘플카피3</vt:lpstr>
      <vt:lpstr>TH điểm!品番ソートする</vt:lpstr>
      <vt:lpstr>TH điểm!自動入力</vt:lpstr>
      <vt:lpstr>TH điểm!解除</vt:lpstr>
      <vt:lpstr>TH điểm!Print_Area</vt:lpstr>
      <vt:lpstr>TH điểm!Print_Titles</vt:lpstr>
      <vt:lpstr>VTT!Print_Area</vt:lpstr>
      <vt:lpstr>VTT!Print_Titles</vt:lpstr>
      <vt:lpstr>VTS!Print_Area</vt:lpstr>
      <vt:lpstr>VTS!Print_Titles</vt:lpstr>
      <vt:lpstr>Tỉnh T7!Print_Area</vt:lpstr>
      <vt:lpstr>Tỉnh T7!Print_Titles</vt:lpstr>
      <vt:lpstr>BC_chi_tiet!Print_Area</vt:lpstr>
      <vt:lpstr>BC_chi_tiet!Print_Titles</vt:lpstr>
      <vt:lpstr>Meta!Print_Area</vt:lpstr>
      <vt:lpstr>Meta!Print_Titles</vt:lpstr>
      <vt:lpstr>PLI- KPI cham diem tinh!Print_Area</vt:lpstr>
      <vt:lpstr>PLI- KPI cham diem tinh!Print_Titles</vt:lpstr>
      <vt:lpstr>MetaTH!Print_Area</vt:lpstr>
      <vt:lpstr>MetaTH!Print_Titles</vt:lpstr>
      <vt:lpstr>\0</vt:lpstr>
      <vt:lpstr>\a</vt:lpstr>
      <vt:lpstr>\d</vt:lpstr>
      <vt:lpstr>\e</vt:lpstr>
      <vt:lpstr>\f</vt:lpstr>
      <vt:lpstr>\g</vt:lpstr>
      <vt:lpstr>\h</vt:lpstr>
      <vt:lpstr>\i</vt:lpstr>
      <vt:lpstr>\j</vt:lpstr>
      <vt:lpstr>\k</vt:lpstr>
      <vt:lpstr>\l</vt:lpstr>
      <vt:lpstr>\m</vt:lpstr>
      <vt:lpstr>\n</vt:lpstr>
      <vt:lpstr>\o</vt:lpstr>
      <vt:lpstr>\p</vt:lpstr>
      <vt:lpstr>\z</vt:lpstr>
      <vt:lpstr>_______________________________________________NSO2</vt:lpstr>
      <vt:lpstr>______________________________________________n23</vt:lpstr>
      <vt:lpstr>______________________________________________NSO2</vt:lpstr>
      <vt:lpstr>_____________________________________________n23</vt:lpstr>
      <vt:lpstr>_____________________________________________NSO2</vt:lpstr>
      <vt:lpstr>____________________________________________n23</vt:lpstr>
      <vt:lpstr>____________________________________________NSO2</vt:lpstr>
      <vt:lpstr>___________________________________________n23</vt:lpstr>
      <vt:lpstr>___________________________________________new3</vt:lpstr>
      <vt:lpstr>___________________________________________new5</vt:lpstr>
      <vt:lpstr>___________________________________________new6</vt:lpstr>
      <vt:lpstr>___________________________________________new7</vt:lpstr>
      <vt:lpstr>___________________________________________NSO2</vt:lpstr>
      <vt:lpstr>__________________________________________n23</vt:lpstr>
      <vt:lpstr>__________________________________________new3</vt:lpstr>
      <vt:lpstr>__________________________________________new5</vt:lpstr>
      <vt:lpstr>__________________________________________new6</vt:lpstr>
      <vt:lpstr>__________________________________________new7</vt:lpstr>
      <vt:lpstr>__________________________________________NSO2</vt:lpstr>
      <vt:lpstr>__________________________________________T8</vt:lpstr>
      <vt:lpstr>_________________________________________n23</vt:lpstr>
      <vt:lpstr>_________________________________________new3</vt:lpstr>
      <vt:lpstr>_________________________________________new5</vt:lpstr>
      <vt:lpstr>_________________________________________new6</vt:lpstr>
      <vt:lpstr>_________________________________________new7</vt:lpstr>
      <vt:lpstr>_________________________________________NSO2</vt:lpstr>
      <vt:lpstr>_________________________________________T8</vt:lpstr>
      <vt:lpstr>________________________________________n23</vt:lpstr>
      <vt:lpstr>________________________________________new3</vt:lpstr>
      <vt:lpstr>________________________________________new5</vt:lpstr>
      <vt:lpstr>________________________________________new6</vt:lpstr>
      <vt:lpstr>________________________________________new7</vt:lpstr>
      <vt:lpstr>________________________________________NSO2</vt:lpstr>
      <vt:lpstr>________________________________________T8</vt:lpstr>
      <vt:lpstr>_______________________________________n23</vt:lpstr>
      <vt:lpstr>_______________________________________new3</vt:lpstr>
      <vt:lpstr>_______________________________________new5</vt:lpstr>
      <vt:lpstr>_______________________________________new6</vt:lpstr>
      <vt:lpstr>_______________________________________new7</vt:lpstr>
      <vt:lpstr>_______________________________________NSO2</vt:lpstr>
      <vt:lpstr>_______________________________________T8</vt:lpstr>
      <vt:lpstr>______________________________________n23</vt:lpstr>
      <vt:lpstr>______________________________________new3</vt:lpstr>
      <vt:lpstr>______________________________________new5</vt:lpstr>
      <vt:lpstr>______________________________________new6</vt:lpstr>
      <vt:lpstr>______________________________________new7</vt:lpstr>
      <vt:lpstr>______________________________________NSO2</vt:lpstr>
      <vt:lpstr>______________________________________T8</vt:lpstr>
      <vt:lpstr>_____________________________________n23</vt:lpstr>
      <vt:lpstr>_____________________________________new3</vt:lpstr>
      <vt:lpstr>_____________________________________new5</vt:lpstr>
      <vt:lpstr>_____________________________________new6</vt:lpstr>
      <vt:lpstr>_____________________________________new7</vt:lpstr>
      <vt:lpstr>_____________________________________NSO2</vt:lpstr>
      <vt:lpstr>_____________________________________T8</vt:lpstr>
      <vt:lpstr>____________________________________n23</vt:lpstr>
      <vt:lpstr>____________________________________new3</vt:lpstr>
      <vt:lpstr>____________________________________new5</vt:lpstr>
      <vt:lpstr>____________________________________new6</vt:lpstr>
      <vt:lpstr>____________________________________new7</vt:lpstr>
      <vt:lpstr>____________________________________NSO2</vt:lpstr>
      <vt:lpstr>____________________________________T8</vt:lpstr>
      <vt:lpstr>___________________________________n23</vt:lpstr>
      <vt:lpstr>___________________________________new3</vt:lpstr>
      <vt:lpstr>___________________________________new5</vt:lpstr>
      <vt:lpstr>___________________________________new6</vt:lpstr>
      <vt:lpstr>___________________________________new7</vt:lpstr>
      <vt:lpstr>___________________________________NSO2</vt:lpstr>
      <vt:lpstr>___________________________________T8</vt:lpstr>
      <vt:lpstr>__________________________________n23</vt:lpstr>
      <vt:lpstr>__________________________________new3</vt:lpstr>
      <vt:lpstr>__________________________________new5</vt:lpstr>
      <vt:lpstr>__________________________________new6</vt:lpstr>
      <vt:lpstr>__________________________________new7</vt:lpstr>
      <vt:lpstr>__________________________________NSO2</vt:lpstr>
      <vt:lpstr>__________________________________T8</vt:lpstr>
      <vt:lpstr>_________________________________n23</vt:lpstr>
      <vt:lpstr>_________________________________new3</vt:lpstr>
      <vt:lpstr>_________________________________new5</vt:lpstr>
      <vt:lpstr>_________________________________new6</vt:lpstr>
      <vt:lpstr>_________________________________new7</vt:lpstr>
      <vt:lpstr>_________________________________NSO2</vt:lpstr>
      <vt:lpstr>_________________________________T8</vt:lpstr>
      <vt:lpstr>________________________________n23</vt:lpstr>
      <vt:lpstr>________________________________new3</vt:lpstr>
      <vt:lpstr>________________________________new5</vt:lpstr>
      <vt:lpstr>________________________________new6</vt:lpstr>
      <vt:lpstr>________________________________new7</vt:lpstr>
      <vt:lpstr>________________________________NSO2</vt:lpstr>
      <vt:lpstr>________________________________T8</vt:lpstr>
      <vt:lpstr>_______________________________n23</vt:lpstr>
      <vt:lpstr>_______________________________new3</vt:lpstr>
      <vt:lpstr>_______________________________new5</vt:lpstr>
      <vt:lpstr>_______________________________new6</vt:lpstr>
      <vt:lpstr>_______________________________new7</vt:lpstr>
      <vt:lpstr>_______________________________NSO2</vt:lpstr>
      <vt:lpstr>_______________________________T8</vt:lpstr>
      <vt:lpstr>______________________________n23</vt:lpstr>
      <vt:lpstr>______________________________new3</vt:lpstr>
      <vt:lpstr>______________________________new5</vt:lpstr>
      <vt:lpstr>______________________________new6</vt:lpstr>
      <vt:lpstr>______________________________new7</vt:lpstr>
      <vt:lpstr>______________________________NSO2</vt:lpstr>
      <vt:lpstr>______________________________T8</vt:lpstr>
      <vt:lpstr>_____________________________n23</vt:lpstr>
      <vt:lpstr>_____________________________new3</vt:lpstr>
      <vt:lpstr>_____________________________new5</vt:lpstr>
      <vt:lpstr>_____________________________new6</vt:lpstr>
      <vt:lpstr>_____________________________new7</vt:lpstr>
      <vt:lpstr>_____________________________NSO2</vt:lpstr>
      <vt:lpstr>_____________________________T8</vt:lpstr>
      <vt:lpstr>____________________________n23</vt:lpstr>
      <vt:lpstr>____________________________new3</vt:lpstr>
      <vt:lpstr>____________________________new5</vt:lpstr>
      <vt:lpstr>____________________________new6</vt:lpstr>
      <vt:lpstr>____________________________new7</vt:lpstr>
      <vt:lpstr>____________________________NSO2</vt:lpstr>
      <vt:lpstr>____________________________T8</vt:lpstr>
      <vt:lpstr>___________________________n23</vt:lpstr>
      <vt:lpstr>___________________________new3</vt:lpstr>
      <vt:lpstr>___________________________new5</vt:lpstr>
      <vt:lpstr>___________________________new6</vt:lpstr>
      <vt:lpstr>___________________________new7</vt:lpstr>
      <vt:lpstr>___________________________NSO2</vt:lpstr>
      <vt:lpstr>___________________________T8</vt:lpstr>
      <vt:lpstr>__________________________n23</vt:lpstr>
      <vt:lpstr>__________________________new3</vt:lpstr>
      <vt:lpstr>__________________________new5</vt:lpstr>
      <vt:lpstr>__________________________new6</vt:lpstr>
      <vt:lpstr>__________________________new7</vt:lpstr>
      <vt:lpstr>__________________________NSO2</vt:lpstr>
      <vt:lpstr>__________________________T8</vt:lpstr>
      <vt:lpstr>_________________________n23</vt:lpstr>
      <vt:lpstr>_________________________new3</vt:lpstr>
      <vt:lpstr>_________________________new5</vt:lpstr>
      <vt:lpstr>_________________________new6</vt:lpstr>
      <vt:lpstr>_________________________new7</vt:lpstr>
      <vt:lpstr>_________________________NSO2</vt:lpstr>
      <vt:lpstr>_________________________T8</vt:lpstr>
      <vt:lpstr>________________________n23</vt:lpstr>
      <vt:lpstr>________________________new3</vt:lpstr>
      <vt:lpstr>________________________new5</vt:lpstr>
      <vt:lpstr>________________________new6</vt:lpstr>
      <vt:lpstr>________________________new7</vt:lpstr>
      <vt:lpstr>________________________NSO2</vt:lpstr>
      <vt:lpstr>________________________T8</vt:lpstr>
      <vt:lpstr>_______________________n23</vt:lpstr>
      <vt:lpstr>_______________________new3</vt:lpstr>
      <vt:lpstr>_______________________new5</vt:lpstr>
      <vt:lpstr>_______________________new6</vt:lpstr>
      <vt:lpstr>_______________________new7</vt:lpstr>
      <vt:lpstr>_______________________NSO2</vt:lpstr>
      <vt:lpstr>_______________________T8</vt:lpstr>
      <vt:lpstr>______________________n23</vt:lpstr>
      <vt:lpstr>______________________new3</vt:lpstr>
      <vt:lpstr>______________________new5</vt:lpstr>
      <vt:lpstr>______________________new6</vt:lpstr>
      <vt:lpstr>______________________new7</vt:lpstr>
      <vt:lpstr>______________________NSO2</vt:lpstr>
      <vt:lpstr>______________________T8</vt:lpstr>
      <vt:lpstr>_____________________n23</vt:lpstr>
      <vt:lpstr>_____________________new3</vt:lpstr>
      <vt:lpstr>_____________________new5</vt:lpstr>
      <vt:lpstr>_____________________new6</vt:lpstr>
      <vt:lpstr>_____________________new7</vt:lpstr>
      <vt:lpstr>_____________________NSO2</vt:lpstr>
      <vt:lpstr>_____________________T8</vt:lpstr>
      <vt:lpstr>____________________n23</vt:lpstr>
      <vt:lpstr>____________________new3</vt:lpstr>
      <vt:lpstr>____________________new5</vt:lpstr>
      <vt:lpstr>____________________new6</vt:lpstr>
      <vt:lpstr>____________________new7</vt:lpstr>
      <vt:lpstr>____________________NSO2</vt:lpstr>
      <vt:lpstr>____________________T8</vt:lpstr>
      <vt:lpstr>___________________n23</vt:lpstr>
      <vt:lpstr>___________________new3</vt:lpstr>
      <vt:lpstr>___________________new5</vt:lpstr>
      <vt:lpstr>___________________new6</vt:lpstr>
      <vt:lpstr>___________________new7</vt:lpstr>
      <vt:lpstr>___________________NSO2</vt:lpstr>
      <vt:lpstr>___________________T8</vt:lpstr>
      <vt:lpstr>__________________n23</vt:lpstr>
      <vt:lpstr>__________________new3</vt:lpstr>
      <vt:lpstr>__________________new5</vt:lpstr>
      <vt:lpstr>__________________new6</vt:lpstr>
      <vt:lpstr>__________________new7</vt:lpstr>
      <vt:lpstr>__________________NSO2</vt:lpstr>
      <vt:lpstr>__________________SA1</vt:lpstr>
      <vt:lpstr>__________________SA2</vt:lpstr>
      <vt:lpstr>__________________SA4</vt:lpstr>
      <vt:lpstr>__________________T8</vt:lpstr>
      <vt:lpstr>_________________n23</vt:lpstr>
      <vt:lpstr>_________________new3</vt:lpstr>
      <vt:lpstr>_________________new5</vt:lpstr>
      <vt:lpstr>_________________new6</vt:lpstr>
      <vt:lpstr>_________________new7</vt:lpstr>
      <vt:lpstr>_________________NSO2</vt:lpstr>
      <vt:lpstr>_________________SA1</vt:lpstr>
      <vt:lpstr>_________________SA2</vt:lpstr>
      <vt:lpstr>_________________SA4</vt:lpstr>
      <vt:lpstr>_________________T8</vt:lpstr>
      <vt:lpstr>________________n23</vt:lpstr>
      <vt:lpstr>________________new3</vt:lpstr>
      <vt:lpstr>________________new5</vt:lpstr>
      <vt:lpstr>________________new6</vt:lpstr>
      <vt:lpstr>________________new7</vt:lpstr>
      <vt:lpstr>________________NSO2</vt:lpstr>
      <vt:lpstr>________________SA1</vt:lpstr>
      <vt:lpstr>________________SA2</vt:lpstr>
      <vt:lpstr>________________SA4</vt:lpstr>
      <vt:lpstr>________________T8</vt:lpstr>
      <vt:lpstr>_______________n23</vt:lpstr>
      <vt:lpstr>_______________new3</vt:lpstr>
      <vt:lpstr>_______________new5</vt:lpstr>
      <vt:lpstr>_______________new6</vt:lpstr>
      <vt:lpstr>_______________new7</vt:lpstr>
      <vt:lpstr>_______________NSO2</vt:lpstr>
      <vt:lpstr>_______________SA1</vt:lpstr>
      <vt:lpstr>_______________SA2</vt:lpstr>
      <vt:lpstr>_______________SA4</vt:lpstr>
      <vt:lpstr>_______________T8</vt:lpstr>
      <vt:lpstr>______________n23</vt:lpstr>
      <vt:lpstr>______________new3</vt:lpstr>
      <vt:lpstr>______________new5</vt:lpstr>
      <vt:lpstr>______________new6</vt:lpstr>
      <vt:lpstr>______________new7</vt:lpstr>
      <vt:lpstr>______________NSO2</vt:lpstr>
      <vt:lpstr>______________SA1</vt:lpstr>
      <vt:lpstr>______________SA2</vt:lpstr>
      <vt:lpstr>______________SA4</vt:lpstr>
      <vt:lpstr>______________T8</vt:lpstr>
      <vt:lpstr>_____________n23</vt:lpstr>
      <vt:lpstr>_____________new3</vt:lpstr>
      <vt:lpstr>_____________new5</vt:lpstr>
      <vt:lpstr>_____________new6</vt:lpstr>
      <vt:lpstr>_____________new7</vt:lpstr>
      <vt:lpstr>_____________NSO2</vt:lpstr>
      <vt:lpstr>_____________SA1</vt:lpstr>
      <vt:lpstr>_____________SA2</vt:lpstr>
      <vt:lpstr>_____________SA4</vt:lpstr>
      <vt:lpstr>_____________T8</vt:lpstr>
      <vt:lpstr>____________n23</vt:lpstr>
      <vt:lpstr>____________new3</vt:lpstr>
      <vt:lpstr>____________new5</vt:lpstr>
      <vt:lpstr>____________new6</vt:lpstr>
      <vt:lpstr>____________new7</vt:lpstr>
      <vt:lpstr>____________NSO2</vt:lpstr>
      <vt:lpstr>____________SA1</vt:lpstr>
      <vt:lpstr>____________SA2</vt:lpstr>
      <vt:lpstr>____________SA4</vt:lpstr>
      <vt:lpstr>____________T8</vt:lpstr>
      <vt:lpstr>___________km03</vt:lpstr>
      <vt:lpstr>___________n23</vt:lpstr>
      <vt:lpstr>___________new3</vt:lpstr>
      <vt:lpstr>___________new5</vt:lpstr>
      <vt:lpstr>___________new6</vt:lpstr>
      <vt:lpstr>___________new7</vt:lpstr>
      <vt:lpstr>___________NSO2</vt:lpstr>
      <vt:lpstr>___________SA1</vt:lpstr>
      <vt:lpstr>___________SA2</vt:lpstr>
      <vt:lpstr>___________SA4</vt:lpstr>
      <vt:lpstr>___________T8</vt:lpstr>
      <vt:lpstr>__________km03</vt:lpstr>
      <vt:lpstr>__________n23</vt:lpstr>
      <vt:lpstr>__________new3</vt:lpstr>
      <vt:lpstr>__________new5</vt:lpstr>
      <vt:lpstr>__________new6</vt:lpstr>
      <vt:lpstr>__________new7</vt:lpstr>
      <vt:lpstr>__________NSO2</vt:lpstr>
      <vt:lpstr>__________SA1</vt:lpstr>
      <vt:lpstr>__________SA2</vt:lpstr>
      <vt:lpstr>__________SA4</vt:lpstr>
      <vt:lpstr>__________T8</vt:lpstr>
      <vt:lpstr>_________km03</vt:lpstr>
      <vt:lpstr>_________n23</vt:lpstr>
      <vt:lpstr>_________new3</vt:lpstr>
      <vt:lpstr>_________new5</vt:lpstr>
      <vt:lpstr>_________new6</vt:lpstr>
      <vt:lpstr>_________new7</vt:lpstr>
      <vt:lpstr>_________NSO2</vt:lpstr>
      <vt:lpstr>_________SA1</vt:lpstr>
      <vt:lpstr>_________SA2</vt:lpstr>
      <vt:lpstr>_________SA4</vt:lpstr>
      <vt:lpstr>_________T8</vt:lpstr>
      <vt:lpstr>________km03</vt:lpstr>
      <vt:lpstr>________n23</vt:lpstr>
      <vt:lpstr>________new3</vt:lpstr>
      <vt:lpstr>________new5</vt:lpstr>
      <vt:lpstr>________new6</vt:lpstr>
      <vt:lpstr>________new7</vt:lpstr>
      <vt:lpstr>________NSO2</vt:lpstr>
      <vt:lpstr>________SA1</vt:lpstr>
      <vt:lpstr>________SA2</vt:lpstr>
      <vt:lpstr>________SA4</vt:lpstr>
      <vt:lpstr>________T8</vt:lpstr>
      <vt:lpstr>_______km03</vt:lpstr>
      <vt:lpstr>_______n23</vt:lpstr>
      <vt:lpstr>_______new3</vt:lpstr>
      <vt:lpstr>_______new5</vt:lpstr>
      <vt:lpstr>_______new6</vt:lpstr>
      <vt:lpstr>_______new7</vt:lpstr>
      <vt:lpstr>_______NSO2</vt:lpstr>
      <vt:lpstr>_______SA1</vt:lpstr>
      <vt:lpstr>_______SA2</vt:lpstr>
      <vt:lpstr>_______SA4</vt:lpstr>
      <vt:lpstr>_______T8</vt:lpstr>
      <vt:lpstr>______km03</vt:lpstr>
      <vt:lpstr>______n23</vt:lpstr>
      <vt:lpstr>______new3</vt:lpstr>
      <vt:lpstr>______new5</vt:lpstr>
      <vt:lpstr>______new6</vt:lpstr>
      <vt:lpstr>______new7</vt:lpstr>
      <vt:lpstr>______NSO2</vt:lpstr>
      <vt:lpstr>______SA1</vt:lpstr>
      <vt:lpstr>______SA2</vt:lpstr>
      <vt:lpstr>______SA4</vt:lpstr>
      <vt:lpstr>______T8</vt:lpstr>
      <vt:lpstr>_____km03</vt:lpstr>
      <vt:lpstr>_____n23</vt:lpstr>
      <vt:lpstr>_____new3</vt:lpstr>
      <vt:lpstr>_____new5</vt:lpstr>
      <vt:lpstr>_____new6</vt:lpstr>
      <vt:lpstr>_____new7</vt:lpstr>
      <vt:lpstr>_____NSO2</vt:lpstr>
      <vt:lpstr>_____SA1</vt:lpstr>
      <vt:lpstr>_____SA2</vt:lpstr>
      <vt:lpstr>_____SA4</vt:lpstr>
      <vt:lpstr>_____T8</vt:lpstr>
      <vt:lpstr>____km03</vt:lpstr>
      <vt:lpstr>____n23</vt:lpstr>
      <vt:lpstr>____new3</vt:lpstr>
      <vt:lpstr>____new5</vt:lpstr>
      <vt:lpstr>____new6</vt:lpstr>
      <vt:lpstr>____new7</vt:lpstr>
      <vt:lpstr>____NSO2</vt:lpstr>
      <vt:lpstr>____SA1</vt:lpstr>
      <vt:lpstr>____SA2</vt:lpstr>
      <vt:lpstr>____SA4</vt:lpstr>
      <vt:lpstr>____T8</vt:lpstr>
      <vt:lpstr>___a1</vt:lpstr>
      <vt:lpstr>___km03</vt:lpstr>
      <vt:lpstr>___n23</vt:lpstr>
      <vt:lpstr>___new3</vt:lpstr>
      <vt:lpstr>___new5</vt:lpstr>
      <vt:lpstr>___new6</vt:lpstr>
      <vt:lpstr>___new7</vt:lpstr>
      <vt:lpstr>___NSO2</vt:lpstr>
      <vt:lpstr>___SA1</vt:lpstr>
      <vt:lpstr>___SA2</vt:lpstr>
      <vt:lpstr>___SA4</vt:lpstr>
      <vt:lpstr>___T8</vt:lpstr>
      <vt:lpstr>___TK211</vt:lpstr>
      <vt:lpstr>__a1</vt:lpstr>
      <vt:lpstr>__a129</vt:lpstr>
      <vt:lpstr>__a130</vt:lpstr>
      <vt:lpstr>__anh1</vt:lpstr>
      <vt:lpstr>__anh10</vt:lpstr>
      <vt:lpstr>__anh12</vt:lpstr>
      <vt:lpstr>__anh13</vt:lpstr>
      <vt:lpstr>__anh15</vt:lpstr>
      <vt:lpstr>__anh18</vt:lpstr>
      <vt:lpstr>__anh19</vt:lpstr>
      <vt:lpstr>__anh2</vt:lpstr>
      <vt:lpstr>__anh20</vt:lpstr>
      <vt:lpstr>__anh21</vt:lpstr>
      <vt:lpstr>__anh22</vt:lpstr>
      <vt:lpstr>__anh27</vt:lpstr>
      <vt:lpstr>__anh28</vt:lpstr>
      <vt:lpstr>__anh356</vt:lpstr>
      <vt:lpstr>__anh41</vt:lpstr>
      <vt:lpstr>__anh56</vt:lpstr>
      <vt:lpstr>__anh8</vt:lpstr>
      <vt:lpstr>__anh9</vt:lpstr>
      <vt:lpstr>__bookmark_1</vt:lpstr>
      <vt:lpstr>__Goi8</vt:lpstr>
      <vt:lpstr>__HNI04</vt:lpstr>
      <vt:lpstr>__IntlFixup</vt:lpstr>
      <vt:lpstr>__km03</vt:lpstr>
      <vt:lpstr>__Lan1</vt:lpstr>
      <vt:lpstr>__LAN3</vt:lpstr>
      <vt:lpstr>__n23</vt:lpstr>
      <vt:lpstr>__new3</vt:lpstr>
      <vt:lpstr>__new5</vt:lpstr>
      <vt:lpstr>__new6</vt:lpstr>
      <vt:lpstr>__new7</vt:lpstr>
      <vt:lpstr>__NSO2</vt:lpstr>
      <vt:lpstr>__PA3</vt:lpstr>
      <vt:lpstr>__SA1</vt:lpstr>
      <vt:lpstr>__SA2</vt:lpstr>
      <vt:lpstr>__SA4</vt:lpstr>
      <vt:lpstr>__T11</vt:lpstr>
      <vt:lpstr>__T8</vt:lpstr>
      <vt:lpstr>__TK211</vt:lpstr>
      <vt:lpstr>__TM2</vt:lpstr>
      <vt:lpstr>__tt3</vt:lpstr>
      <vt:lpstr>_01_01_99</vt:lpstr>
      <vt:lpstr>_01_02_99</vt:lpstr>
      <vt:lpstr>_01_03_99</vt:lpstr>
      <vt:lpstr>_01_04_99</vt:lpstr>
      <vt:lpstr>_01_05_99</vt:lpstr>
      <vt:lpstr>_01_06_99</vt:lpstr>
      <vt:lpstr>_01_07_99</vt:lpstr>
      <vt:lpstr>_01_08_1999</vt:lpstr>
      <vt:lpstr>_01_11_2001</vt:lpstr>
      <vt:lpstr>_1</vt:lpstr>
      <vt:lpstr>_1000A01</vt:lpstr>
      <vt:lpstr>_1Lôùp2D114_1Lôùp4D114_1Lôùp2D60</vt:lpstr>
      <vt:lpstr>_1Lôùp2D114_1Lôùp4D114_1Lôùp6D60</vt:lpstr>
      <vt:lpstr>_1Lôùp2D114_2Lôùp4D114_1Lôùp3D60</vt:lpstr>
      <vt:lpstr>_1Lôùp2D114_2Lôùp4D114_1Lôùp4D60</vt:lpstr>
      <vt:lpstr>_1Lôùp2D114_3Lôùp_4D114_4D60</vt:lpstr>
      <vt:lpstr>_1Lôùp2D114_3Lôùp_4D114_5D60</vt:lpstr>
      <vt:lpstr>_1Lôùp2D114_3Lôùp_4D114_6D60</vt:lpstr>
      <vt:lpstr>_1Lôùp4_1Lôùp2</vt:lpstr>
      <vt:lpstr>_1Lôùp4D114_1Lôùp2D114_1Lôùp2D60</vt:lpstr>
      <vt:lpstr>_1Lôùp4D114_1Lôùp2D114_1Lôùp3D60</vt:lpstr>
      <vt:lpstr>_1Lôùp4D114_1Lôùp2D114_1Lôùp4D60</vt:lpstr>
      <vt:lpstr>_1P114</vt:lpstr>
      <vt:lpstr>_2</vt:lpstr>
      <vt:lpstr>_2Lôùp_4D114_1_Lôùp_2D60</vt:lpstr>
      <vt:lpstr>_2Lôùp_x_6Coät</vt:lpstr>
      <vt:lpstr>_2Lôùp_x3Coät</vt:lpstr>
      <vt:lpstr>_2Lôùp2_2Lôùp4</vt:lpstr>
      <vt:lpstr>_2Lôùp2D114_1Lôùp2D60</vt:lpstr>
      <vt:lpstr>_2Lôùp2D114_1Lôùp3D60</vt:lpstr>
      <vt:lpstr>_2Lôùp2D114_1Lôùp4D114_1Lôùp2D60</vt:lpstr>
      <vt:lpstr>_2Lôùp2D114_1Lôùp4D114_1Lôùp4D60</vt:lpstr>
      <vt:lpstr>_2Lôùp2D114_1Lôùp4D114_2D60</vt:lpstr>
      <vt:lpstr>_2Lôùp2D114_1Lôùp4D114_3D60</vt:lpstr>
      <vt:lpstr>_2Lôùp2D114_1Lôùp4D114_4D60</vt:lpstr>
      <vt:lpstr>_2Lôùp2D114_1Lôùp4D114_5D60</vt:lpstr>
      <vt:lpstr>_2Lôùp2D114_1Lôùp4D60</vt:lpstr>
      <vt:lpstr>_2Lôùp2D114_1Lôùp4D60_1Lôùp1D60</vt:lpstr>
      <vt:lpstr>_2Lôùp2D114_1Lôùp4D60_1Lôùp2D60</vt:lpstr>
      <vt:lpstr>_2Lôùp2D114_1Lôùp4D60_1Lôùp3D60</vt:lpstr>
      <vt:lpstr>_2Lôùp2D114_2Lôùp4D114_2D60</vt:lpstr>
      <vt:lpstr>_2Lôùp2D114_2Lôùp4D114_3D60</vt:lpstr>
      <vt:lpstr>_2Lôùp2D114_2Lôùp4D114_4D60</vt:lpstr>
      <vt:lpstr>_2Lôùp2D114_2Lôùp4D114_5D60</vt:lpstr>
      <vt:lpstr>_2Lôùp2D114_2Lôùp4D114_6D60</vt:lpstr>
      <vt:lpstr>_2Lôùp2D114_2Lôùp4D60</vt:lpstr>
      <vt:lpstr>_2Lôùp3_1Lôùp4</vt:lpstr>
      <vt:lpstr>_2Lôùp4_1Lôùp2</vt:lpstr>
      <vt:lpstr>_2Lôùpx5coät</vt:lpstr>
      <vt:lpstr>_2P114_1P60</vt:lpstr>
      <vt:lpstr>_2P114_2P114_2P60</vt:lpstr>
      <vt:lpstr>_2P114_2P114_4P60</vt:lpstr>
      <vt:lpstr>_2P114_2P114_5P60</vt:lpstr>
      <vt:lpstr>_2P114_2P60</vt:lpstr>
      <vt:lpstr>_2P114_3P114_23P60</vt:lpstr>
      <vt:lpstr>_2P114_3P114_2P60</vt:lpstr>
      <vt:lpstr>_2P114_3P60</vt:lpstr>
      <vt:lpstr>_2P114_4P114_2P60</vt:lpstr>
      <vt:lpstr>_2P114_4P114_3P60</vt:lpstr>
      <vt:lpstr>_2P114_4P114_4P60</vt:lpstr>
      <vt:lpstr>_2P114_4P114_5P60</vt:lpstr>
      <vt:lpstr>_2P114_4P114_6P60</vt:lpstr>
      <vt:lpstr>_2P114_4P60</vt:lpstr>
      <vt:lpstr>_3Lôùp2D114_1Lôùp2D60</vt:lpstr>
      <vt:lpstr>_3Lôùp2D114_1Lôùp3D60</vt:lpstr>
      <vt:lpstr>_3Lôùp2D114_1Lôùp4D114_2D60</vt:lpstr>
      <vt:lpstr>_3Lôùp2D114_1Lôùp4D114_3D60</vt:lpstr>
      <vt:lpstr>_3Lôùp2D114_1Lôùp4D114_4D60</vt:lpstr>
      <vt:lpstr>_3Lôùp2D114_1Lôùp4D114_5D60</vt:lpstr>
      <vt:lpstr>_3Lôùp2D114_1Lôùp4D114_6D60</vt:lpstr>
      <vt:lpstr>_3Lôùp2D114_1Lôùp4D60</vt:lpstr>
      <vt:lpstr>_3Lôùp2D114_1Lôùp4D60_1Lôùp1D60</vt:lpstr>
      <vt:lpstr>_3Lôùp2D114_1Lôùp4D60_1Lôùp2D60</vt:lpstr>
      <vt:lpstr>_3Lôùp2D114_1Lôùp4D60_1Lôùp3D60</vt:lpstr>
      <vt:lpstr>_3Lôùp2D114_2Lôùp4D60</vt:lpstr>
      <vt:lpstr>_3Lôùp4_1Lôùp2</vt:lpstr>
      <vt:lpstr>_3Lôùp4D114_1Lôùp2D60</vt:lpstr>
      <vt:lpstr>_3Lôùpx2coät</vt:lpstr>
      <vt:lpstr>_3Lôùpx3coät</vt:lpstr>
      <vt:lpstr>_3P114</vt:lpstr>
      <vt:lpstr>_413565</vt:lpstr>
      <vt:lpstr>_4Lôùp_x_4Coät</vt:lpstr>
      <vt:lpstr>_4Lôùp_x_6Coät</vt:lpstr>
      <vt:lpstr>_4Lôùp2_1Lôùp4</vt:lpstr>
      <vt:lpstr>_4Lôùp2_2Lôùp4</vt:lpstr>
      <vt:lpstr>_4Lôùp2D114_1Lôùp2D60</vt:lpstr>
      <vt:lpstr>_4Lôùp2D114_1Lôùp3D60</vt:lpstr>
      <vt:lpstr>_4Lôùp2D114_1Lôùp4D60</vt:lpstr>
      <vt:lpstr>_4Lôùp2D114_1Lôùp4D60_1Lôùp2D60</vt:lpstr>
      <vt:lpstr>_4Lôùp2D114_1Lôùp4D60_1Lôùp3D60</vt:lpstr>
      <vt:lpstr>_4Lôùp2D114_1Lôùp5D60</vt:lpstr>
      <vt:lpstr>_4Lôùp2D114_2Lôùp4D60</vt:lpstr>
      <vt:lpstr>_4Lôùp3D114_1Lôùp2D60</vt:lpstr>
      <vt:lpstr>_4Lôùp4_1Lôùp2</vt:lpstr>
      <vt:lpstr>_4P114</vt:lpstr>
      <vt:lpstr>_4P114_2P60</vt:lpstr>
      <vt:lpstr>_4P114_3P60</vt:lpstr>
      <vt:lpstr>_4P114_4P60</vt:lpstr>
      <vt:lpstr>_5Lôùp_x_4Coät</vt:lpstr>
      <vt:lpstr>_6Lôùp_x_4Coät</vt:lpstr>
      <vt:lpstr>_6Lôùp_x_6Coät</vt:lpstr>
      <vt:lpstr>_a1</vt:lpstr>
      <vt:lpstr>_a129</vt:lpstr>
      <vt:lpstr>_a130</vt:lpstr>
      <vt:lpstr>_A65700</vt:lpstr>
      <vt:lpstr>_A65800</vt:lpstr>
      <vt:lpstr>_A66000</vt:lpstr>
      <vt:lpstr>_A67000</vt:lpstr>
      <vt:lpstr>_A68000</vt:lpstr>
      <vt:lpstr>_A70000</vt:lpstr>
      <vt:lpstr>_A75000</vt:lpstr>
      <vt:lpstr>_A85000</vt:lpstr>
      <vt:lpstr>_abb91</vt:lpstr>
      <vt:lpstr>_anh1</vt:lpstr>
      <vt:lpstr>_anh10</vt:lpstr>
      <vt:lpstr>_anh12</vt:lpstr>
      <vt:lpstr>_anh13</vt:lpstr>
      <vt:lpstr>_anh15</vt:lpstr>
      <vt:lpstr>_anh18</vt:lpstr>
      <vt:lpstr>_anh19</vt:lpstr>
      <vt:lpstr>_anh2</vt:lpstr>
      <vt:lpstr>_anh20</vt:lpstr>
      <vt:lpstr>_anh21</vt:lpstr>
      <vt:lpstr>_anh22</vt:lpstr>
      <vt:lpstr>_anh27</vt:lpstr>
      <vt:lpstr>_anh28</vt:lpstr>
      <vt:lpstr>_anh356</vt:lpstr>
      <vt:lpstr>_anh41</vt:lpstr>
      <vt:lpstr>_anh56</vt:lpstr>
      <vt:lpstr>_anh8</vt:lpstr>
      <vt:lpstr>_anh9</vt:lpstr>
      <vt:lpstr>_atn1</vt:lpstr>
      <vt:lpstr>_atn10</vt:lpstr>
      <vt:lpstr>_atn2</vt:lpstr>
      <vt:lpstr>_atn3</vt:lpstr>
      <vt:lpstr>_atn4</vt:lpstr>
      <vt:lpstr>_atn5</vt:lpstr>
      <vt:lpstr>_atn6</vt:lpstr>
      <vt:lpstr>_atn7</vt:lpstr>
      <vt:lpstr>_atn8</vt:lpstr>
      <vt:lpstr>_atn9</vt:lpstr>
      <vt:lpstr>_Aug03</vt:lpstr>
      <vt:lpstr>_B</vt:lpstr>
      <vt:lpstr>_bnc2</vt:lpstr>
      <vt:lpstr>_boi1</vt:lpstr>
      <vt:lpstr>_boi2</vt:lpstr>
      <vt:lpstr>_btm100</vt:lpstr>
      <vt:lpstr>_btm200</vt:lpstr>
      <vt:lpstr>_BTM250</vt:lpstr>
      <vt:lpstr>_BTM50</vt:lpstr>
      <vt:lpstr>_Builtin155</vt:lpstr>
      <vt:lpstr>_C_Lphi_4ab</vt:lpstr>
      <vt:lpstr>_chk1</vt:lpstr>
      <vt:lpstr>_CON1</vt:lpstr>
      <vt:lpstr>_CON2</vt:lpstr>
      <vt:lpstr>_Cot</vt:lpstr>
      <vt:lpstr>_CPC2</vt:lpstr>
      <vt:lpstr>_cpd1</vt:lpstr>
      <vt:lpstr>_cpd2</vt:lpstr>
      <vt:lpstr>_CPhi_Bhiem</vt:lpstr>
      <vt:lpstr>_CPhi_BQLDA</vt:lpstr>
      <vt:lpstr>_CPhi_DBaoGT</vt:lpstr>
      <vt:lpstr>_CPhi_Kdinh</vt:lpstr>
      <vt:lpstr>_CPhi_Nthu_KThanh</vt:lpstr>
      <vt:lpstr>_CPhi_QToan</vt:lpstr>
      <vt:lpstr>_CPhiTKe_13</vt:lpstr>
      <vt:lpstr>_cs805</vt:lpstr>
      <vt:lpstr>_CT250</vt:lpstr>
      <vt:lpstr>_d2</vt:lpstr>
      <vt:lpstr>_dao1</vt:lpstr>
      <vt:lpstr>_dao2</vt:lpstr>
      <vt:lpstr>_dap2</vt:lpstr>
      <vt:lpstr>_day1</vt:lpstr>
      <vt:lpstr>_day2</vt:lpstr>
      <vt:lpstr>_DayNeo</vt:lpstr>
      <vt:lpstr>_dbu1</vt:lpstr>
      <vt:lpstr>_dbu2</vt:lpstr>
      <vt:lpstr>_ddn400</vt:lpstr>
      <vt:lpstr>_ddn600</vt:lpstr>
      <vt:lpstr>_deo1</vt:lpstr>
      <vt:lpstr>_deo10</vt:lpstr>
      <vt:lpstr>_deo2</vt:lpstr>
      <vt:lpstr>_deo3</vt:lpstr>
      <vt:lpstr>_deo4</vt:lpstr>
      <vt:lpstr>_deo5</vt:lpstr>
      <vt:lpstr>_deo6</vt:lpstr>
      <vt:lpstr>_deo7</vt:lpstr>
      <vt:lpstr>_deo8</vt:lpstr>
      <vt:lpstr>_deo9</vt:lpstr>
      <vt:lpstr>_dgt100</vt:lpstr>
      <vt:lpstr>_F1</vt:lpstr>
      <vt:lpstr>_Fill</vt:lpstr>
      <vt:lpstr>_xlnm._FilterDatabase</vt:lpstr>
      <vt:lpstr>_gdc1</vt:lpstr>
      <vt:lpstr>_gdw2</vt:lpstr>
      <vt:lpstr>_gh1</vt:lpstr>
      <vt:lpstr>_GID1</vt:lpstr>
      <vt:lpstr>_Goi8</vt:lpstr>
      <vt:lpstr>_gon4</vt:lpstr>
      <vt:lpstr>_H500866</vt:lpstr>
      <vt:lpstr>_han23</vt:lpstr>
      <vt:lpstr>_HNI04</vt:lpstr>
      <vt:lpstr>_hom2</vt:lpstr>
      <vt:lpstr>_hom4</vt:lpstr>
      <vt:lpstr>_htb1</vt:lpstr>
      <vt:lpstr>_hu1</vt:lpstr>
      <vt:lpstr>_hu2</vt:lpstr>
      <vt:lpstr>_hu5</vt:lpstr>
      <vt:lpstr>_hu6</vt:lpstr>
      <vt:lpstr>_hu7</vt:lpstr>
      <vt:lpstr>_huy1</vt:lpstr>
      <vt:lpstr>_Kcdon</vt:lpstr>
      <vt:lpstr>_Key1</vt:lpstr>
      <vt:lpstr>_Key2</vt:lpstr>
      <vt:lpstr>_kl11</vt:lpstr>
      <vt:lpstr>_kl4</vt:lpstr>
      <vt:lpstr>_kl6</vt:lpstr>
      <vt:lpstr>_km03</vt:lpstr>
      <vt:lpstr>_KyHieu</vt:lpstr>
      <vt:lpstr>_L</vt:lpstr>
      <vt:lpstr>_Lan1</vt:lpstr>
      <vt:lpstr>_LAN3</vt:lpstr>
      <vt:lpstr>_lap1</vt:lpstr>
      <vt:lpstr>_lap2</vt:lpstr>
      <vt:lpstr>_LL2</vt:lpstr>
      <vt:lpstr>_LL21</vt:lpstr>
      <vt:lpstr>_LL22</vt:lpstr>
      <vt:lpstr>_LN2</vt:lpstr>
      <vt:lpstr>_Ls</vt:lpstr>
      <vt:lpstr>_m</vt:lpstr>
      <vt:lpstr>_MAC12</vt:lpstr>
      <vt:lpstr>_MAC46</vt:lpstr>
      <vt:lpstr>_MCC3</vt:lpstr>
      <vt:lpstr>_MEP2</vt:lpstr>
      <vt:lpstr>_MoM11</vt:lpstr>
      <vt:lpstr>_Mong</vt:lpstr>
      <vt:lpstr>_MongCotNeo</vt:lpstr>
      <vt:lpstr>_MongNeo</vt:lpstr>
      <vt:lpstr>_n</vt:lpstr>
      <vt:lpstr>_n23</vt:lpstr>
      <vt:lpstr>_NC100</vt:lpstr>
      <vt:lpstr>_NC150</vt:lpstr>
      <vt:lpstr>_nc151</vt:lpstr>
      <vt:lpstr>_NC2</vt:lpstr>
      <vt:lpstr>_NC200</vt:lpstr>
      <vt:lpstr>_nc27</vt:lpstr>
      <vt:lpstr>_nc50</vt:lpstr>
      <vt:lpstr>_NCL100</vt:lpstr>
      <vt:lpstr>_NCL200</vt:lpstr>
      <vt:lpstr>_NCL250</vt:lpstr>
      <vt:lpstr>_ncm200</vt:lpstr>
      <vt:lpstr>_NET2</vt:lpstr>
      <vt:lpstr>_new3</vt:lpstr>
      <vt:lpstr>_new5</vt:lpstr>
      <vt:lpstr>_new6</vt:lpstr>
      <vt:lpstr>_new7</vt:lpstr>
      <vt:lpstr>_nga3</vt:lpstr>
      <vt:lpstr>_nin190</vt:lpstr>
      <vt:lpstr>_NKT2</vt:lpstr>
      <vt:lpstr>_NPV11</vt:lpstr>
      <vt:lpstr>_npv22</vt:lpstr>
      <vt:lpstr>_NS01</vt:lpstr>
      <vt:lpstr>_NSO2</vt:lpstr>
      <vt:lpstr>_NSO3</vt:lpstr>
      <vt:lpstr>_Order1</vt:lpstr>
      <vt:lpstr>_Order2</vt:lpstr>
      <vt:lpstr>_oto10</vt:lpstr>
      <vt:lpstr>_PA3</vt:lpstr>
      <vt:lpstr>_pc30</vt:lpstr>
      <vt:lpstr>_pc40</vt:lpstr>
      <vt:lpstr>_SA1</vt:lpstr>
      <vt:lpstr>_SA2</vt:lpstr>
      <vt:lpstr>_SA4</vt:lpstr>
      <vt:lpstr>_san110</vt:lpstr>
      <vt:lpstr>_sat10</vt:lpstr>
      <vt:lpstr>_sat12</vt:lpstr>
      <vt:lpstr>_sat14</vt:lpstr>
      <vt:lpstr>_sat16</vt:lpstr>
      <vt:lpstr>_sat20</vt:lpstr>
      <vt:lpstr>_Sat27</vt:lpstr>
      <vt:lpstr>_Sat6</vt:lpstr>
      <vt:lpstr>_sat8</vt:lpstr>
      <vt:lpstr>_sc1</vt:lpstr>
      <vt:lpstr>_SC2</vt:lpstr>
      <vt:lpstr>_sc3</vt:lpstr>
      <vt:lpstr>_Sdd33</vt:lpstr>
      <vt:lpstr>_Sdh33</vt:lpstr>
      <vt:lpstr>_SHR1</vt:lpstr>
      <vt:lpstr>_SHR2</vt:lpstr>
      <vt:lpstr>_SN3</vt:lpstr>
      <vt:lpstr>_Sort</vt:lpstr>
      <vt:lpstr>_Sortmoi</vt:lpstr>
      <vt:lpstr>_Stb33</vt:lpstr>
      <vt:lpstr>_STD0898</vt:lpstr>
      <vt:lpstr>_Su</vt:lpstr>
      <vt:lpstr>_su12</vt:lpstr>
      <vt:lpstr>_Su70</vt:lpstr>
      <vt:lpstr>_sua20</vt:lpstr>
      <vt:lpstr>_sua30</vt:lpstr>
      <vt:lpstr>_T01</vt:lpstr>
      <vt:lpstr>_T10</vt:lpstr>
      <vt:lpstr>_T11</vt:lpstr>
      <vt:lpstr>_T8</vt:lpstr>
      <vt:lpstr>_tax1</vt:lpstr>
      <vt:lpstr>_tax2</vt:lpstr>
      <vt:lpstr>_tax3</vt:lpstr>
      <vt:lpstr>_tax4</vt:lpstr>
      <vt:lpstr>_tct3</vt:lpstr>
      <vt:lpstr>_tct5</vt:lpstr>
      <vt:lpstr>_TDT35</vt:lpstr>
      <vt:lpstr>_tg427</vt:lpstr>
      <vt:lpstr>_TH1</vt:lpstr>
      <vt:lpstr>_th100</vt:lpstr>
      <vt:lpstr>_TH160</vt:lpstr>
      <vt:lpstr>_TH20</vt:lpstr>
      <vt:lpstr>_TK1</vt:lpstr>
      <vt:lpstr>_TK2</vt:lpstr>
      <vt:lpstr>_TK211</vt:lpstr>
      <vt:lpstr>_TK3</vt:lpstr>
      <vt:lpstr>_TKP2</vt:lpstr>
      <vt:lpstr>_TL1</vt:lpstr>
      <vt:lpstr>_TL2</vt:lpstr>
      <vt:lpstr>_TL3</vt:lpstr>
      <vt:lpstr>_TLA120</vt:lpstr>
      <vt:lpstr>_TLA35</vt:lpstr>
      <vt:lpstr>_TLA50</vt:lpstr>
      <vt:lpstr>_TLA70</vt:lpstr>
      <vt:lpstr>_TLA95</vt:lpstr>
      <vt:lpstr>_TM2</vt:lpstr>
      <vt:lpstr>_TR250</vt:lpstr>
      <vt:lpstr>_tr375</vt:lpstr>
      <vt:lpstr>_tra100</vt:lpstr>
      <vt:lpstr>_tra102</vt:lpstr>
      <vt:lpstr>_tra104</vt:lpstr>
      <vt:lpstr>_tra106</vt:lpstr>
      <vt:lpstr>_tra108</vt:lpstr>
      <vt:lpstr>_tra110</vt:lpstr>
      <vt:lpstr>_tra112</vt:lpstr>
      <vt:lpstr>_tra114</vt:lpstr>
      <vt:lpstr>_tra116</vt:lpstr>
      <vt:lpstr>_tra118</vt:lpstr>
      <vt:lpstr>_tra120</vt:lpstr>
      <vt:lpstr>_tra122</vt:lpstr>
      <vt:lpstr>_tra124</vt:lpstr>
      <vt:lpstr>_tra126</vt:lpstr>
      <vt:lpstr>_tra128</vt:lpstr>
      <vt:lpstr>_tra130</vt:lpstr>
      <vt:lpstr>_tra132</vt:lpstr>
      <vt:lpstr>_tra134</vt:lpstr>
      <vt:lpstr>_tra136</vt:lpstr>
      <vt:lpstr>_tra138</vt:lpstr>
      <vt:lpstr>_tra140</vt:lpstr>
      <vt:lpstr>_tra70</vt:lpstr>
      <vt:lpstr>_tra72</vt:lpstr>
      <vt:lpstr>_tra74</vt:lpstr>
      <vt:lpstr>_tra76</vt:lpstr>
      <vt:lpstr>_tra78</vt:lpstr>
      <vt:lpstr>_tra80</vt:lpstr>
      <vt:lpstr>_tra82</vt:lpstr>
      <vt:lpstr>_tra84</vt:lpstr>
      <vt:lpstr>_tra86</vt:lpstr>
      <vt:lpstr>_tra88</vt:lpstr>
      <vt:lpstr>_tra90</vt:lpstr>
      <vt:lpstr>_tra92</vt:lpstr>
      <vt:lpstr>_tra94</vt:lpstr>
      <vt:lpstr>_tra96</vt:lpstr>
      <vt:lpstr>_tra98</vt:lpstr>
      <vt:lpstr>_tt3</vt:lpstr>
      <vt:lpstr>_ui110</vt:lpstr>
      <vt:lpstr>_V10</vt:lpstr>
      <vt:lpstr>_VAT2</vt:lpstr>
      <vt:lpstr>_vc1</vt:lpstr>
      <vt:lpstr>_vc2</vt:lpstr>
      <vt:lpstr>_vc3</vt:lpstr>
      <vt:lpstr>_vl1</vt:lpstr>
      <vt:lpstr>_VL100</vt:lpstr>
      <vt:lpstr>_VL150</vt:lpstr>
      <vt:lpstr>_VL2</vt:lpstr>
      <vt:lpstr>_VL200</vt:lpstr>
      <vt:lpstr>_VL250</vt:lpstr>
      <vt:lpstr>_VL50</vt:lpstr>
      <vt:lpstr>_vm150</vt:lpstr>
      <vt:lpstr>_W</vt:lpstr>
      <vt:lpstr>_Xa</vt:lpstr>
      <vt:lpstr>_XM30</vt:lpstr>
      <vt:lpstr>A</vt:lpstr>
      <vt:lpstr>â</vt:lpstr>
      <vt:lpstr>ằ</vt:lpstr>
      <vt:lpstr>a.</vt:lpstr>
      <vt:lpstr>A01_</vt:lpstr>
      <vt:lpstr>A01AC</vt:lpstr>
      <vt:lpstr>A01CAT</vt:lpstr>
      <vt:lpstr>A01CODE</vt:lpstr>
      <vt:lpstr>A01DATA</vt:lpstr>
      <vt:lpstr>A01MI</vt:lpstr>
      <vt:lpstr>A01TO</vt:lpstr>
      <vt:lpstr>a1.</vt:lpstr>
      <vt:lpstr>a1_</vt:lpstr>
      <vt:lpstr>a10.</vt:lpstr>
      <vt:lpstr>a11.</vt:lpstr>
      <vt:lpstr>a12.</vt:lpstr>
      <vt:lpstr>A120_</vt:lpstr>
      <vt:lpstr>a129_xoa</vt:lpstr>
      <vt:lpstr>a129_xoaxoa</vt:lpstr>
      <vt:lpstr>a130_xoa</vt:lpstr>
      <vt:lpstr>a130_xoaxoa</vt:lpstr>
      <vt:lpstr>a1moi</vt:lpstr>
      <vt:lpstr>A1Xc7</vt:lpstr>
      <vt:lpstr>a2.</vt:lpstr>
      <vt:lpstr>A2_</vt:lpstr>
      <vt:lpstr>a277Print_Titles</vt:lpstr>
      <vt:lpstr>a3.</vt:lpstr>
      <vt:lpstr>a3_</vt:lpstr>
      <vt:lpstr>A35_</vt:lpstr>
      <vt:lpstr>A372m372</vt:lpstr>
      <vt:lpstr>a4.</vt:lpstr>
      <vt:lpstr>a4_</vt:lpstr>
      <vt:lpstr>ả4513</vt:lpstr>
      <vt:lpstr>a5.</vt:lpstr>
      <vt:lpstr>a5_</vt:lpstr>
      <vt:lpstr>A50_</vt:lpstr>
      <vt:lpstr>a6.</vt:lpstr>
      <vt:lpstr>a6_</vt:lpstr>
      <vt:lpstr>A6N3</vt:lpstr>
      <vt:lpstr>a7.</vt:lpstr>
      <vt:lpstr>a7_</vt:lpstr>
      <vt:lpstr>A70_</vt:lpstr>
      <vt:lpstr>a8.</vt:lpstr>
      <vt:lpstr>a9.</vt:lpstr>
      <vt:lpstr>â9000</vt:lpstr>
      <vt:lpstr>A95_</vt:lpstr>
      <vt:lpstr>AA</vt:lpstr>
      <vt:lpstr>AAA</vt:lpstr>
      <vt:lpstr>aaaa</vt:lpstr>
      <vt:lpstr>aaaaaa</vt:lpstr>
      <vt:lpstr>aadd</vt:lpstr>
      <vt:lpstr>aass</vt:lpstr>
      <vt:lpstr>aavavavav</vt:lpstr>
      <vt:lpstr>Ab</vt:lpstr>
      <vt:lpstr>abc</vt:lpstr>
      <vt:lpstr>abcd</vt:lpstr>
      <vt:lpstr>ac</vt:lpstr>
      <vt:lpstr>AC120_</vt:lpstr>
      <vt:lpstr>AC35_</vt:lpstr>
      <vt:lpstr>AC50_</vt:lpstr>
      <vt:lpstr>AC70_</vt:lpstr>
      <vt:lpstr>AC95_</vt:lpstr>
      <vt:lpstr>acc</vt:lpstr>
      <vt:lpstr>AccessDatabase</vt:lpstr>
      <vt:lpstr>ádfg</vt:lpstr>
      <vt:lpstr>adfgdfhgdf</vt:lpstr>
      <vt:lpstr>adfgfgdfg</vt:lpstr>
      <vt:lpstr>adfsg</vt:lpstr>
      <vt:lpstr>ae</vt:lpstr>
      <vt:lpstr>aegwhg.gk</vt:lpstr>
      <vt:lpstr>aetg.hgrs</vt:lpstr>
      <vt:lpstr>âétggâgqgêágghe</vt:lpstr>
      <vt:lpstr>âfA</vt:lpstr>
      <vt:lpstr>afasfsagfas</vt:lpstr>
      <vt:lpstr>ăg</vt:lpstr>
      <vt:lpstr>ag142X42</vt:lpstr>
      <vt:lpstr>ag267N59</vt:lpstr>
      <vt:lpstr>àgdfgfdgdf</vt:lpstr>
      <vt:lpstr>àgfdgfdf</vt:lpstr>
      <vt:lpstr>ẩgg</vt:lpstr>
      <vt:lpstr>ầgga</vt:lpstr>
      <vt:lpstr>All_Item</vt:lpstr>
      <vt:lpstr>ALPIN</vt:lpstr>
      <vt:lpstr>ALPJYOU</vt:lpstr>
      <vt:lpstr>ALPTOI</vt:lpstr>
      <vt:lpstr>amiang</vt:lpstr>
      <vt:lpstr>amnh16</vt:lpstr>
      <vt:lpstr>amoi</vt:lpstr>
      <vt:lpstr>anhnv29</vt:lpstr>
      <vt:lpstr>anhnv30</vt:lpstr>
      <vt:lpstr>anhnv38</vt:lpstr>
      <vt:lpstr>anpha</vt:lpstr>
      <vt:lpstr>anscount</vt:lpstr>
      <vt:lpstr>Antoan</vt:lpstr>
      <vt:lpstr>ap</vt:lpstr>
      <vt:lpstr>as</vt:lpstr>
      <vt:lpstr>As_</vt:lpstr>
      <vt:lpstr>AS2DocOpenMode</vt:lpstr>
      <vt:lpstr>AS2HasNoAutoHeaderFooter</vt:lpstr>
      <vt:lpstr>AS2ReportLS</vt:lpstr>
      <vt:lpstr>AS2SyncStepLS</vt:lpstr>
      <vt:lpstr>AS2VersionLS</vt:lpstr>
      <vt:lpstr>asd</vt:lpstr>
      <vt:lpstr>asf</vt:lpstr>
      <vt:lpstr>asss</vt:lpstr>
      <vt:lpstr>asssss</vt:lpstr>
      <vt:lpstr>At</vt:lpstr>
      <vt:lpstr>Attachment07</vt:lpstr>
      <vt:lpstr>AU</vt:lpstr>
      <vt:lpstr>Aug03_PPS</vt:lpstr>
      <vt:lpstr>Av</vt:lpstr>
      <vt:lpstr>avavgveqvaq</vt:lpstr>
      <vt:lpstr>B</vt:lpstr>
      <vt:lpstr>b_1</vt:lpstr>
      <vt:lpstr>b_2</vt:lpstr>
      <vt:lpstr>b_240</vt:lpstr>
      <vt:lpstr>b_280</vt:lpstr>
      <vt:lpstr>b_3</vt:lpstr>
      <vt:lpstr>b_320</vt:lpstr>
      <vt:lpstr>b_4</vt:lpstr>
      <vt:lpstr>b_5</vt:lpstr>
      <vt:lpstr>b_6</vt:lpstr>
      <vt:lpstr>b_dd1</vt:lpstr>
      <vt:lpstr>b_DL</vt:lpstr>
      <vt:lpstr>b_eh</vt:lpstr>
      <vt:lpstr>b_eh1</vt:lpstr>
      <vt:lpstr>b_ev</vt:lpstr>
      <vt:lpstr>b_ev1</vt:lpstr>
      <vt:lpstr>b_FR</vt:lpstr>
      <vt:lpstr>b_fr1</vt:lpstr>
      <vt:lpstr>b_LL</vt:lpstr>
      <vt:lpstr>b_ll1</vt:lpstr>
      <vt:lpstr>b_qd</vt:lpstr>
      <vt:lpstr>b_tru</vt:lpstr>
      <vt:lpstr>b_WL</vt:lpstr>
      <vt:lpstr>b_WL1</vt:lpstr>
      <vt:lpstr>b_WS</vt:lpstr>
      <vt:lpstr>b_ws1</vt:lpstr>
      <vt:lpstr>b1.</vt:lpstr>
      <vt:lpstr>b1_</vt:lpstr>
      <vt:lpstr>b10.</vt:lpstr>
      <vt:lpstr>b11.</vt:lpstr>
      <vt:lpstr>b2.</vt:lpstr>
      <vt:lpstr>B2_</vt:lpstr>
      <vt:lpstr>b3.</vt:lpstr>
      <vt:lpstr>b3_</vt:lpstr>
      <vt:lpstr>b4.</vt:lpstr>
      <vt:lpstr>b4_</vt:lpstr>
      <vt:lpstr>b5.</vt:lpstr>
      <vt:lpstr>b5_</vt:lpstr>
      <vt:lpstr>b6.</vt:lpstr>
      <vt:lpstr>b6_</vt:lpstr>
      <vt:lpstr>b7.</vt:lpstr>
      <vt:lpstr>b7_</vt:lpstr>
      <vt:lpstr>b8.</vt:lpstr>
      <vt:lpstr>b9.</vt:lpstr>
      <vt:lpstr>ban</vt:lpstr>
      <vt:lpstr>Bang</vt:lpstr>
      <vt:lpstr>Bang_cly</vt:lpstr>
      <vt:lpstr>Bang_CVC</vt:lpstr>
      <vt:lpstr>bang_gia</vt:lpstr>
      <vt:lpstr>Bang_travl</vt:lpstr>
      <vt:lpstr>Bang7_THKL_HCM</vt:lpstr>
      <vt:lpstr>bangciti</vt:lpstr>
      <vt:lpstr>banggia</vt:lpstr>
      <vt:lpstr>bangtinh</vt:lpstr>
      <vt:lpstr>banQL</vt:lpstr>
      <vt:lpstr>Bao</vt:lpstr>
      <vt:lpstr>Bar</vt:lpstr>
      <vt:lpstr>BarData</vt:lpstr>
      <vt:lpstr>BB</vt:lpstr>
      <vt:lpstr>bbb</vt:lpstr>
      <vt:lpstr>BBe</vt:lpstr>
      <vt:lpstr>bc</vt:lpstr>
      <vt:lpstr>bchcj</vt:lpstr>
      <vt:lpstr>bchvch</vt:lpstr>
      <vt:lpstr>bd</vt:lpstr>
      <vt:lpstr>Bdab</vt:lpstr>
      <vt:lpstr>bDF_</vt:lpstr>
      <vt:lpstr>bdht15nc</vt:lpstr>
      <vt:lpstr>bdht15vl</vt:lpstr>
      <vt:lpstr>bdht25nc</vt:lpstr>
      <vt:lpstr>bdht25vl</vt:lpstr>
      <vt:lpstr>bdht325nc</vt:lpstr>
      <vt:lpstr>bdht325vl</vt:lpstr>
      <vt:lpstr>Bdib</vt:lpstr>
      <vt:lpstr>bdn</vt:lpstr>
      <vt:lpstr>bdv</vt:lpstr>
      <vt:lpstr>BE100M</vt:lpstr>
      <vt:lpstr>BE150M</vt:lpstr>
      <vt:lpstr>BE200M</vt:lpstr>
      <vt:lpstr>BE50M</vt:lpstr>
      <vt:lpstr>beta</vt:lpstr>
      <vt:lpstr>betong</vt:lpstr>
      <vt:lpstr>BetongM150</vt:lpstr>
      <vt:lpstr>BetongM200</vt:lpstr>
      <vt:lpstr>BetongM50</vt:lpstr>
      <vt:lpstr>bfd</vt:lpstr>
      <vt:lpstr>BG_Del</vt:lpstr>
      <vt:lpstr>BG_Ins</vt:lpstr>
      <vt:lpstr>BG_Mod</vt:lpstr>
      <vt:lpstr>bh</vt:lpstr>
      <vt:lpstr>bia</vt:lpstr>
      <vt:lpstr>Bieu18</vt:lpstr>
      <vt:lpstr>BL</vt:lpstr>
      <vt:lpstr>blang</vt:lpstr>
      <vt:lpstr>blcd</vt:lpstr>
      <vt:lpstr>BLDG</vt:lpstr>
      <vt:lpstr>BLDGIMP</vt:lpstr>
      <vt:lpstr>BLDGREV</vt:lpstr>
      <vt:lpstr>bLF_</vt:lpstr>
      <vt:lpstr>blong</vt:lpstr>
      <vt:lpstr>blop</vt:lpstr>
      <vt:lpstr>bluong</vt:lpstr>
      <vt:lpstr>BMNV</vt:lpstr>
      <vt:lpstr>bn</vt:lpstr>
      <vt:lpstr>bng</vt:lpstr>
      <vt:lpstr>BO</vt:lpstr>
      <vt:lpstr>Book2</vt:lpstr>
      <vt:lpstr>BOQ</vt:lpstr>
      <vt:lpstr>Border1</vt:lpstr>
      <vt:lpstr>Border2</vt:lpstr>
      <vt:lpstr>Botanical2</vt:lpstr>
      <vt:lpstr>Botanical2.Jun</vt:lpstr>
      <vt:lpstr>boxes</vt:lpstr>
      <vt:lpstr>BR</vt:lpstr>
      <vt:lpstr>bSF_</vt:lpstr>
      <vt:lpstr>bson</vt:lpstr>
      <vt:lpstr>bt</vt:lpstr>
      <vt:lpstr>bt250.0</vt:lpstr>
      <vt:lpstr>btai</vt:lpstr>
      <vt:lpstr>btchiuaxitm300</vt:lpstr>
      <vt:lpstr>BTchiuaxm200</vt:lpstr>
      <vt:lpstr>btcocM400</vt:lpstr>
      <vt:lpstr>btd</vt:lpstr>
      <vt:lpstr>btds</vt:lpstr>
      <vt:lpstr>btham</vt:lpstr>
      <vt:lpstr>BTlotm100</vt:lpstr>
      <vt:lpstr>btm1002x4</vt:lpstr>
      <vt:lpstr>btm1502x4</vt:lpstr>
      <vt:lpstr>btm2002x4</vt:lpstr>
      <vt:lpstr>btong</vt:lpstr>
      <vt:lpstr>BTPCP</vt:lpstr>
      <vt:lpstr>bttc</vt:lpstr>
      <vt:lpstr>Bu_long</vt:lpstr>
      <vt:lpstr>BUM</vt:lpstr>
      <vt:lpstr>buoc</vt:lpstr>
      <vt:lpstr>Bust</vt:lpstr>
      <vt:lpstr>button_area_1</vt:lpstr>
      <vt:lpstr>bv</vt:lpstr>
      <vt:lpstr>bvcbvb</vt:lpstr>
      <vt:lpstr>BVCISUMMARY</vt:lpstr>
      <vt:lpstr>bW</vt:lpstr>
      <vt:lpstr>bw_</vt:lpstr>
      <vt:lpstr>bWF_</vt:lpstr>
      <vt:lpstr>bWL</vt:lpstr>
      <vt:lpstr>bWLF_</vt:lpstr>
      <vt:lpstr>C.1.1..Phat_tuyen</vt:lpstr>
      <vt:lpstr>C.1.10..VC_Thu_cong_CG</vt:lpstr>
      <vt:lpstr>C.1.2..Chat_cay_thu_cong</vt:lpstr>
      <vt:lpstr>C.1.3..Chat_cay_may</vt:lpstr>
      <vt:lpstr>C.1.4..Dao_goc_cay</vt:lpstr>
      <vt:lpstr>C.1.5..Lam_duong_tam</vt:lpstr>
      <vt:lpstr>C.1.6..Lam_cau_tam</vt:lpstr>
      <vt:lpstr>C.1.7..Rai_da_chong_lun</vt:lpstr>
      <vt:lpstr>C.1.8..Lam_kho_tam</vt:lpstr>
      <vt:lpstr>C.1.8..San_mat_bang</vt:lpstr>
      <vt:lpstr>C.2.1..VC_Thu_cong</vt:lpstr>
      <vt:lpstr>C.2.2..VC_T_cong_CG</vt:lpstr>
      <vt:lpstr>C.2.3..Boc_do</vt:lpstr>
      <vt:lpstr>C.3.1..Dao_dat_mong_cot</vt:lpstr>
      <vt:lpstr>C.3.2..Dao_dat_de_dap</vt:lpstr>
      <vt:lpstr>C.3.3..Dap_dat_mong</vt:lpstr>
      <vt:lpstr>C.3.4..Dao_dap_TDia</vt:lpstr>
      <vt:lpstr>C.3.5..Dap_bo_bao</vt:lpstr>
      <vt:lpstr>C.3.6..Bom_tat_nuoc</vt:lpstr>
      <vt:lpstr>C.3.7..Dao_bun</vt:lpstr>
      <vt:lpstr>C.3.8..Dap_cat_CT</vt:lpstr>
      <vt:lpstr>C.3.9..Dao_pha_da</vt:lpstr>
      <vt:lpstr>C.4.1.Cot_thep</vt:lpstr>
      <vt:lpstr>C.4.2..Van_khuon</vt:lpstr>
      <vt:lpstr>C.4.3..Be_tong</vt:lpstr>
      <vt:lpstr>C.4.4..Lap_BT_D.San</vt:lpstr>
      <vt:lpstr>C.4.5..Xay_da_hoc</vt:lpstr>
      <vt:lpstr>C.4.6..Dong_coc</vt:lpstr>
      <vt:lpstr>C.4.7..Quet_Bi_tum</vt:lpstr>
      <vt:lpstr>C.5.1..Lap_cot_thep</vt:lpstr>
      <vt:lpstr>C.5.2..Lap_cot_BT</vt:lpstr>
      <vt:lpstr>C.5.3..Lap_dat_xa</vt:lpstr>
      <vt:lpstr>C.5.4..Lap_tiep_dia</vt:lpstr>
      <vt:lpstr>C.5.5..Son_sat_thep</vt:lpstr>
      <vt:lpstr>C.6.1..Lap_su_dung</vt:lpstr>
      <vt:lpstr>C.6.2..Lap_su_CS</vt:lpstr>
      <vt:lpstr>C.6.3..Su_chuoi_do</vt:lpstr>
      <vt:lpstr>C.6.4..Su_chuoi_neo</vt:lpstr>
      <vt:lpstr>C.6.5..Lap_phu_kien</vt:lpstr>
      <vt:lpstr>C.6.6..Ep_noi_day</vt:lpstr>
      <vt:lpstr>C.6.7..KD_vuot_CN</vt:lpstr>
      <vt:lpstr>C.6.8..Rai_cang_day</vt:lpstr>
      <vt:lpstr>C.6.9..Cap_quang</vt:lpstr>
      <vt:lpstr>C_</vt:lpstr>
      <vt:lpstr>c_1</vt:lpstr>
      <vt:lpstr>c_2</vt:lpstr>
      <vt:lpstr>c1.</vt:lpstr>
      <vt:lpstr>c2.</vt:lpstr>
      <vt:lpstr>C2.7</vt:lpstr>
      <vt:lpstr>c3.</vt:lpstr>
      <vt:lpstr>C3.0</vt:lpstr>
      <vt:lpstr>C3.5</vt:lpstr>
      <vt:lpstr>C3.7</vt:lpstr>
      <vt:lpstr>c4.</vt:lpstr>
      <vt:lpstr>C4.0</vt:lpstr>
      <vt:lpstr>c5.</vt:lpstr>
      <vt:lpstr>CABLE2</vt:lpstr>
      <vt:lpstr>cancu2</vt:lpstr>
      <vt:lpstr>cap</vt:lpstr>
      <vt:lpstr>cap0.7</vt:lpstr>
      <vt:lpstr>CAPDAT</vt:lpstr>
      <vt:lpstr>CARL</vt:lpstr>
      <vt:lpstr>CARL1</vt:lpstr>
      <vt:lpstr>CARL2</vt:lpstr>
      <vt:lpstr>Case_Linkw_AT_211_Fdd</vt:lpstr>
      <vt:lpstr>Case_Linkw_ATX</vt:lpstr>
      <vt:lpstr>Case_Linkw_ATX_218_Fdd</vt:lpstr>
      <vt:lpstr>Cat</vt:lpstr>
      <vt:lpstr>Category_All</vt:lpstr>
      <vt:lpstr>CATIN</vt:lpstr>
      <vt:lpstr>CATJYOU</vt:lpstr>
      <vt:lpstr>CATREC</vt:lpstr>
      <vt:lpstr>CATSYU</vt:lpstr>
      <vt:lpstr>catuon</vt:lpstr>
      <vt:lpstr>catvang</vt:lpstr>
      <vt:lpstr>CatVang_HamYen</vt:lpstr>
      <vt:lpstr>cau</vt:lpstr>
      <vt:lpstr>Cb</vt:lpstr>
      <vt:lpstr>CBE100M</vt:lpstr>
      <vt:lpstr>CBE150M</vt:lpstr>
      <vt:lpstr>CBE200M</vt:lpstr>
      <vt:lpstr>CBE50M</vt:lpstr>
      <vt:lpstr>CBG</vt:lpstr>
      <vt:lpstr>CC</vt:lpstr>
      <vt:lpstr>CC.M14.1</vt:lpstr>
      <vt:lpstr>CC.M14.2</vt:lpstr>
      <vt:lpstr>CC.MTCat</vt:lpstr>
      <vt:lpstr>CCS</vt:lpstr>
      <vt:lpstr>CCT</vt:lpstr>
      <vt:lpstr>cd</vt:lpstr>
      <vt:lpstr>CDAM</vt:lpstr>
      <vt:lpstr>CDB</vt:lpstr>
      <vt:lpstr>CDD</vt:lpstr>
      <vt:lpstr>CDDB</vt:lpstr>
      <vt:lpstr>CDDD</vt:lpstr>
      <vt:lpstr>cddd1p</vt:lpstr>
      <vt:lpstr>cddd3p</vt:lpstr>
      <vt:lpstr>CDDR_Acer40X_IDE</vt:lpstr>
      <vt:lpstr>CDDR_Acer48X_IDE</vt:lpstr>
      <vt:lpstr>CDDR_Acer50X_IDE</vt:lpstr>
      <vt:lpstr>CDDT</vt:lpstr>
      <vt:lpstr>CDIM</vt:lpstr>
      <vt:lpstr>CDMD</vt:lpstr>
      <vt:lpstr>cdn</vt:lpstr>
      <vt:lpstr>Cdnum</vt:lpstr>
      <vt:lpstr>CDTRAMD1</vt:lpstr>
      <vt:lpstr>CE</vt:lpstr>
      <vt:lpstr>celltips_area</vt:lpstr>
      <vt:lpstr>cfc</vt:lpstr>
      <vt:lpstr>cfk</vt:lpstr>
      <vt:lpstr>cgionc</vt:lpstr>
      <vt:lpstr>cgiovl</vt:lpstr>
      <vt:lpstr>CH</vt:lpstr>
      <vt:lpstr>chan</vt:lpstr>
      <vt:lpstr>chay1</vt:lpstr>
      <vt:lpstr>chay10</vt:lpstr>
      <vt:lpstr>chay2</vt:lpstr>
      <vt:lpstr>chay3</vt:lpstr>
      <vt:lpstr>chay4</vt:lpstr>
      <vt:lpstr>chay5</vt:lpstr>
      <vt:lpstr>chay6</vt:lpstr>
      <vt:lpstr>chay7</vt:lpstr>
      <vt:lpstr>chay8</vt:lpstr>
      <vt:lpstr>chay9</vt:lpstr>
      <vt:lpstr>chhtnc</vt:lpstr>
      <vt:lpstr>chhtvl</vt:lpstr>
      <vt:lpstr>Chiemhoa</vt:lpstr>
      <vt:lpstr>chilinh1</vt:lpstr>
      <vt:lpstr>chilinh2</vt:lpstr>
      <vt:lpstr>chilinh3</vt:lpstr>
      <vt:lpstr>chilinh4</vt:lpstr>
      <vt:lpstr>chilinh5</vt:lpstr>
      <vt:lpstr>chilinh6</vt:lpstr>
      <vt:lpstr>chilk</vt:lpstr>
      <vt:lpstr>chitietbgiang2</vt:lpstr>
      <vt:lpstr>chk</vt:lpstr>
      <vt:lpstr>chnc</vt:lpstr>
      <vt:lpstr>Chøng_tõ</vt:lpstr>
      <vt:lpstr>Chtinh</vt:lpstr>
      <vt:lpstr>Chu</vt:lpstr>
      <vt:lpstr>chuc1</vt:lpstr>
      <vt:lpstr>CHUNG</vt:lpstr>
      <vt:lpstr>chvl</vt:lpstr>
      <vt:lpstr>citidd</vt:lpstr>
      <vt:lpstr>CK</vt:lpstr>
      <vt:lpstr>cknc</vt:lpstr>
      <vt:lpstr>ckvl</vt:lpstr>
      <vt:lpstr>CL</vt:lpstr>
      <vt:lpstr>CLECT</vt:lpstr>
      <vt:lpstr>CLIEOS</vt:lpstr>
      <vt:lpstr>clvc1</vt:lpstr>
      <vt:lpstr>CLVC3</vt:lpstr>
      <vt:lpstr>CLVCTB</vt:lpstr>
      <vt:lpstr>CLVL</vt:lpstr>
      <vt:lpstr>CLVL2</vt:lpstr>
      <vt:lpstr>cly</vt:lpstr>
      <vt:lpstr>CN3p</vt:lpstr>
      <vt:lpstr>CNC</vt:lpstr>
      <vt:lpstr>CND</vt:lpstr>
      <vt:lpstr>CNG</vt:lpstr>
      <vt:lpstr>Co</vt:lpstr>
      <vt:lpstr>COAT</vt:lpstr>
      <vt:lpstr>coc</vt:lpstr>
      <vt:lpstr>coc20x20</vt:lpstr>
      <vt:lpstr>Code</vt:lpstr>
      <vt:lpstr>Cöï_ly_vaän_chuyeãn</vt:lpstr>
      <vt:lpstr>CÖÏ_LY_VAÄN_CHUYEÅN</vt:lpstr>
      <vt:lpstr>coldex</vt:lpstr>
      <vt:lpstr>COMMON</vt:lpstr>
      <vt:lpstr>COMP</vt:lpstr>
      <vt:lpstr>CON_EQP_COS</vt:lpstr>
      <vt:lpstr>CON_EQP_COST</vt:lpstr>
      <vt:lpstr>Concrete</vt:lpstr>
      <vt:lpstr>Cong_HM_DTCT</vt:lpstr>
      <vt:lpstr>Cong_M_DTCT</vt:lpstr>
      <vt:lpstr>Cong_NC_DTCT</vt:lpstr>
      <vt:lpstr>Cong_VL_DTCT</vt:lpstr>
      <vt:lpstr>cong1x15</vt:lpstr>
      <vt:lpstr>Congdoc</vt:lpstr>
      <vt:lpstr>CONGTIEN</vt:lpstr>
      <vt:lpstr>CONST_EQ</vt:lpstr>
      <vt:lpstr>Continue</vt:lpstr>
      <vt:lpstr>copy</vt:lpstr>
      <vt:lpstr>copyl</vt:lpstr>
      <vt:lpstr>cot</vt:lpstr>
      <vt:lpstr>Cot_thep</vt:lpstr>
      <vt:lpstr>Cot12b</vt:lpstr>
      <vt:lpstr>cot7.5</vt:lpstr>
      <vt:lpstr>cot8.5</vt:lpstr>
      <vt:lpstr>COTBTPCP</vt:lpstr>
      <vt:lpstr>COVER</vt:lpstr>
      <vt:lpstr>CP</vt:lpstr>
      <vt:lpstr>CP.M10.1a</vt:lpstr>
      <vt:lpstr>CP.M10.1b</vt:lpstr>
      <vt:lpstr>CP.M10.1c</vt:lpstr>
      <vt:lpstr>CP.M10.1d</vt:lpstr>
      <vt:lpstr>CP.M10.1e</vt:lpstr>
      <vt:lpstr>CP.M10.2a</vt:lpstr>
      <vt:lpstr>CP.M10.2b</vt:lpstr>
      <vt:lpstr>CP.M10.2c</vt:lpstr>
      <vt:lpstr>CP.M10.2d</vt:lpstr>
      <vt:lpstr>CP.M10.2e</vt:lpstr>
      <vt:lpstr>CP.M14.1a</vt:lpstr>
      <vt:lpstr>CP.M14.1b</vt:lpstr>
      <vt:lpstr>CP.M14.1c</vt:lpstr>
      <vt:lpstr>CP.M14.1d</vt:lpstr>
      <vt:lpstr>CP.M14.1e</vt:lpstr>
      <vt:lpstr>CP.M14.2a</vt:lpstr>
      <vt:lpstr>CP.M14.2b</vt:lpstr>
      <vt:lpstr>CP.M14.2c</vt:lpstr>
      <vt:lpstr>CP.M14.2d</vt:lpstr>
      <vt:lpstr>CP.M14.2e</vt:lpstr>
      <vt:lpstr>CP.MDTa</vt:lpstr>
      <vt:lpstr>CP.MDTb</vt:lpstr>
      <vt:lpstr>CP.MDTc</vt:lpstr>
      <vt:lpstr>CP.MDTd</vt:lpstr>
      <vt:lpstr>CP.MDTe</vt:lpstr>
      <vt:lpstr>CP.MTCata</vt:lpstr>
      <vt:lpstr>CP.MTCatb</vt:lpstr>
      <vt:lpstr>CP.MTCatc</vt:lpstr>
      <vt:lpstr>CP.MTCatd</vt:lpstr>
      <vt:lpstr>CP.MTCate</vt:lpstr>
      <vt:lpstr>CPC</vt:lpstr>
      <vt:lpstr>cpd</vt:lpstr>
      <vt:lpstr>cpdd</vt:lpstr>
      <vt:lpstr>cpdd1</vt:lpstr>
      <vt:lpstr>cpdd2</vt:lpstr>
      <vt:lpstr>CPDD22cm</vt:lpstr>
      <vt:lpstr>cpdd35cm</vt:lpstr>
      <vt:lpstr>CPHA</vt:lpstr>
      <vt:lpstr>CPU_AMD_K6II_550</vt:lpstr>
      <vt:lpstr>CPU_Intel_P4_1.7_256K_256RIMM</vt:lpstr>
      <vt:lpstr>CPU_Intel_PIII500E_256Kdie_Copp</vt:lpstr>
      <vt:lpstr>CPU_Intel_PIII550E_256Kdie_Copp</vt:lpstr>
      <vt:lpstr>CPVC100</vt:lpstr>
      <vt:lpstr>CPVC1KM</vt:lpstr>
      <vt:lpstr>CPVCDN</vt:lpstr>
      <vt:lpstr>CR</vt:lpstr>
      <vt:lpstr>CRD</vt:lpstr>
      <vt:lpstr>_xlnm.Criteria</vt:lpstr>
      <vt:lpstr>CRITINST</vt:lpstr>
      <vt:lpstr>CRITPURC</vt:lpstr>
      <vt:lpstr>CRS</vt:lpstr>
      <vt:lpstr>CS</vt:lpstr>
      <vt:lpstr>CS_10</vt:lpstr>
      <vt:lpstr>CS_100</vt:lpstr>
      <vt:lpstr>CS_10S</vt:lpstr>
      <vt:lpstr>CS_120</vt:lpstr>
      <vt:lpstr>CS_140</vt:lpstr>
      <vt:lpstr>CS_160</vt:lpstr>
      <vt:lpstr>CS_20</vt:lpstr>
      <vt:lpstr>CS_30</vt:lpstr>
      <vt:lpstr>CS_40</vt:lpstr>
      <vt:lpstr>CS_40S</vt:lpstr>
      <vt:lpstr>CS_5S</vt:lpstr>
      <vt:lpstr>CS_60</vt:lpstr>
      <vt:lpstr>CS_80</vt:lpstr>
      <vt:lpstr>CS_80S</vt:lpstr>
      <vt:lpstr>CS_STD</vt:lpstr>
      <vt:lpstr>CS_XS</vt:lpstr>
      <vt:lpstr>CS_XXS</vt:lpstr>
      <vt:lpstr>csd3p</vt:lpstr>
      <vt:lpstr>csddg1p</vt:lpstr>
      <vt:lpstr>csddt1p</vt:lpstr>
      <vt:lpstr>csht3p</vt:lpstr>
      <vt:lpstr>CSMBA</vt:lpstr>
      <vt:lpstr>CT.M10.1</vt:lpstr>
      <vt:lpstr>CT.M10.2</vt:lpstr>
      <vt:lpstr>CT.M14.1</vt:lpstr>
      <vt:lpstr>CT.M14.2</vt:lpstr>
      <vt:lpstr>CT.MDT</vt:lpstr>
      <vt:lpstr>CT.MTCat</vt:lpstr>
      <vt:lpstr>ctbbt</vt:lpstr>
      <vt:lpstr>CTCT1</vt:lpstr>
      <vt:lpstr>ctdg</vt:lpstr>
      <vt:lpstr>ctdn9697</vt:lpstr>
      <vt:lpstr>CTDZ</vt:lpstr>
      <vt:lpstr>CTHT</vt:lpstr>
      <vt:lpstr>cti3x15</vt:lpstr>
      <vt:lpstr>CTIEN</vt:lpstr>
      <vt:lpstr>ctiep</vt:lpstr>
      <vt:lpstr>ctinh</vt:lpstr>
      <vt:lpstr>ctmai</vt:lpstr>
      <vt:lpstr>CTNC</vt:lpstr>
      <vt:lpstr>CTO</vt:lpstr>
      <vt:lpstr>ctong</vt:lpstr>
      <vt:lpstr>ctre</vt:lpstr>
      <vt:lpstr>CTTra</vt:lpstr>
      <vt:lpstr>CTTraD</vt:lpstr>
      <vt:lpstr>CTTramDD</vt:lpstr>
      <vt:lpstr>CTVL</vt:lpstr>
      <vt:lpstr>CU_LY</vt:lpstr>
      <vt:lpstr>cu_ly_1</vt:lpstr>
      <vt:lpstr>cui</vt:lpstr>
      <vt:lpstr>culy1</vt:lpstr>
      <vt:lpstr>culy2</vt:lpstr>
      <vt:lpstr>culy3</vt:lpstr>
      <vt:lpstr>culy4</vt:lpstr>
      <vt:lpstr>culy5</vt:lpstr>
      <vt:lpstr>cung</vt:lpstr>
      <vt:lpstr>cuoc</vt:lpstr>
      <vt:lpstr>cuoc_vc</vt:lpstr>
      <vt:lpstr>Cuoc_vc_1</vt:lpstr>
      <vt:lpstr>cuong</vt:lpstr>
      <vt:lpstr>CURRENCY</vt:lpstr>
      <vt:lpstr>cv</vt:lpstr>
      <vt:lpstr>CV.M10.1</vt:lpstr>
      <vt:lpstr>CV.M10.2</vt:lpstr>
      <vt:lpstr>CV.M14.1</vt:lpstr>
      <vt:lpstr>CV.M14.2</vt:lpstr>
      <vt:lpstr>CV.MDT</vt:lpstr>
      <vt:lpstr>CV.MTCat</vt:lpstr>
      <vt:lpstr>cvcv</vt:lpstr>
      <vt:lpstr>cx</vt:lpstr>
      <vt:lpstr>cxhtnc</vt:lpstr>
      <vt:lpstr>cxhtvl</vt:lpstr>
      <vt:lpstr>cxnc</vt:lpstr>
      <vt:lpstr>cxvl</vt:lpstr>
      <vt:lpstr>cxxnc</vt:lpstr>
      <vt:lpstr>cxxvl</vt:lpstr>
      <vt:lpstr>d</vt:lpstr>
      <vt:lpstr>d.d</vt:lpstr>
      <vt:lpstr>d.d1</vt:lpstr>
      <vt:lpstr>d.d2</vt:lpstr>
      <vt:lpstr>D.M10.1a</vt:lpstr>
      <vt:lpstr>D.M10.1b</vt:lpstr>
      <vt:lpstr>D.M10.2a</vt:lpstr>
      <vt:lpstr>D.M10.2b</vt:lpstr>
      <vt:lpstr>D.M14.1</vt:lpstr>
      <vt:lpstr>D.M14.1b</vt:lpstr>
      <vt:lpstr>D.M14.2</vt:lpstr>
      <vt:lpstr>D.M14.2b</vt:lpstr>
      <vt:lpstr>D.MDTa</vt:lpstr>
      <vt:lpstr>D.MDTb</vt:lpstr>
      <vt:lpstr>D.MTCat</vt:lpstr>
      <vt:lpstr>D.MTCatb</vt:lpstr>
      <vt:lpstr>d_</vt:lpstr>
      <vt:lpstr>d_1</vt:lpstr>
      <vt:lpstr>d_1I</vt:lpstr>
      <vt:lpstr>d_1II</vt:lpstr>
      <vt:lpstr>d_1III</vt:lpstr>
      <vt:lpstr>d_1IV</vt:lpstr>
      <vt:lpstr>d_2</vt:lpstr>
      <vt:lpstr>d_2I</vt:lpstr>
      <vt:lpstr>d_2II</vt:lpstr>
      <vt:lpstr>d_2III</vt:lpstr>
      <vt:lpstr>d_2IV</vt:lpstr>
      <vt:lpstr>d_3</vt:lpstr>
      <vt:lpstr>d_3I</vt:lpstr>
      <vt:lpstr>d_3II</vt:lpstr>
      <vt:lpstr>d_3III</vt:lpstr>
      <vt:lpstr>d_3IV</vt:lpstr>
      <vt:lpstr>d_4</vt:lpstr>
      <vt:lpstr>d_4I</vt:lpstr>
      <vt:lpstr>d_4II</vt:lpstr>
      <vt:lpstr>d_4III</vt:lpstr>
      <vt:lpstr>d_4IV</vt:lpstr>
      <vt:lpstr>D_7101A_B</vt:lpstr>
      <vt:lpstr>d_9bI</vt:lpstr>
      <vt:lpstr>d_9bII</vt:lpstr>
      <vt:lpstr>d_9bIII</vt:lpstr>
      <vt:lpstr>d_9bIV</vt:lpstr>
      <vt:lpstr>d_9I</vt:lpstr>
      <vt:lpstr>d_9II</vt:lpstr>
      <vt:lpstr>d_9III</vt:lpstr>
      <vt:lpstr>d_9IV</vt:lpstr>
      <vt:lpstr>d1_</vt:lpstr>
      <vt:lpstr>D1x49</vt:lpstr>
      <vt:lpstr>D1x49x49</vt:lpstr>
      <vt:lpstr>d1x6</vt:lpstr>
      <vt:lpstr>D1Z</vt:lpstr>
      <vt:lpstr>d2.7</vt:lpstr>
      <vt:lpstr>d2_</vt:lpstr>
      <vt:lpstr>d24nc</vt:lpstr>
      <vt:lpstr>d24vl</vt:lpstr>
      <vt:lpstr>d3.0</vt:lpstr>
      <vt:lpstr>d3.5</vt:lpstr>
      <vt:lpstr>d3_</vt:lpstr>
      <vt:lpstr>D4.0</vt:lpstr>
      <vt:lpstr>d4_</vt:lpstr>
      <vt:lpstr>D4Z</vt:lpstr>
      <vt:lpstr>d5_</vt:lpstr>
      <vt:lpstr>DA</vt:lpstr>
      <vt:lpstr>da1x2</vt:lpstr>
      <vt:lpstr>da2x4</vt:lpstr>
      <vt:lpstr>da4x6</vt:lpstr>
      <vt:lpstr>dadas</vt:lpstr>
      <vt:lpstr>DAILATHANH</vt:lpstr>
      <vt:lpstr>Dalan</vt:lpstr>
      <vt:lpstr>DALANPASTE</vt:lpstr>
      <vt:lpstr>Dam33_Bdien</vt:lpstr>
      <vt:lpstr>Dam33va24m</vt:lpstr>
      <vt:lpstr>Damhop</vt:lpstr>
      <vt:lpstr>DamHop33m</vt:lpstr>
      <vt:lpstr>DamThepTraBong</vt:lpstr>
      <vt:lpstr>dang</vt:lpstr>
      <vt:lpstr>Danh_sach_hang</vt:lpstr>
      <vt:lpstr>Daodat</vt:lpstr>
      <vt:lpstr>daotd</vt:lpstr>
      <vt:lpstr>dap</vt:lpstr>
      <vt:lpstr>Dapcat</vt:lpstr>
      <vt:lpstr>dapdbm1</vt:lpstr>
      <vt:lpstr>dapdbm2</vt:lpstr>
      <vt:lpstr>daptd</vt:lpstr>
      <vt:lpstr>DAT</vt:lpstr>
      <vt:lpstr>data</vt:lpstr>
      <vt:lpstr>data1</vt:lpstr>
      <vt:lpstr>data10</vt:lpstr>
      <vt:lpstr>data11</vt:lpstr>
      <vt:lpstr>data12</vt:lpstr>
      <vt:lpstr>data13</vt:lpstr>
      <vt:lpstr>data14</vt:lpstr>
      <vt:lpstr>data15</vt:lpstr>
      <vt:lpstr>data16</vt:lpstr>
      <vt:lpstr>data17</vt:lpstr>
      <vt:lpstr>data18</vt:lpstr>
      <vt:lpstr>data19</vt:lpstr>
      <vt:lpstr>data2</vt:lpstr>
      <vt:lpstr>data20</vt:lpstr>
      <vt:lpstr>data21</vt:lpstr>
      <vt:lpstr>data22</vt:lpstr>
      <vt:lpstr>data23</vt:lpstr>
      <vt:lpstr>data24</vt:lpstr>
      <vt:lpstr>data25</vt:lpstr>
      <vt:lpstr>data26</vt:lpstr>
      <vt:lpstr>data27</vt:lpstr>
      <vt:lpstr>data28</vt:lpstr>
      <vt:lpstr>data29</vt:lpstr>
      <vt:lpstr>data3</vt:lpstr>
      <vt:lpstr>data30</vt:lpstr>
      <vt:lpstr>data31</vt:lpstr>
      <vt:lpstr>data32</vt:lpstr>
      <vt:lpstr>data33</vt:lpstr>
      <vt:lpstr>data34</vt:lpstr>
      <vt:lpstr>data35</vt:lpstr>
      <vt:lpstr>data36</vt:lpstr>
      <vt:lpstr>data37</vt:lpstr>
      <vt:lpstr>data38</vt:lpstr>
      <vt:lpstr>data39</vt:lpstr>
      <vt:lpstr>data4</vt:lpstr>
      <vt:lpstr>data40</vt:lpstr>
      <vt:lpstr>data41</vt:lpstr>
      <vt:lpstr>data42</vt:lpstr>
      <vt:lpstr>data43</vt:lpstr>
      <vt:lpstr>data44</vt:lpstr>
      <vt:lpstr>data45</vt:lpstr>
      <vt:lpstr>data46</vt:lpstr>
      <vt:lpstr>data47</vt:lpstr>
      <vt:lpstr>data48</vt:lpstr>
      <vt:lpstr>data49</vt:lpstr>
      <vt:lpstr>data5</vt:lpstr>
      <vt:lpstr>data50</vt:lpstr>
      <vt:lpstr>data51</vt:lpstr>
      <vt:lpstr>data52</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data9</vt:lpstr>
      <vt:lpstr>_xlnm.Database</vt:lpstr>
      <vt:lpstr>DataFilter</vt:lpstr>
      <vt:lpstr>datak</vt:lpstr>
      <vt:lpstr>datal</vt:lpstr>
      <vt:lpstr>DataSort</vt:lpstr>
      <vt:lpstr>Datdoi</vt:lpstr>
      <vt:lpstr>Dautu</vt:lpstr>
      <vt:lpstr>dayAE35</vt:lpstr>
      <vt:lpstr>dayAE50</vt:lpstr>
      <vt:lpstr>dayAE70</vt:lpstr>
      <vt:lpstr>dayAE95</vt:lpstr>
      <vt:lpstr>Daythep</vt:lpstr>
      <vt:lpstr>db</vt:lpstr>
      <vt:lpstr>dc</vt:lpstr>
      <vt:lpstr>Dcap</vt:lpstr>
      <vt:lpstr>dcc</vt:lpstr>
      <vt:lpstr>DCda</vt:lpstr>
      <vt:lpstr>DCdi</vt:lpstr>
      <vt:lpstr>Dch</vt:lpstr>
      <vt:lpstr>dche</vt:lpstr>
      <vt:lpstr>DCKT</vt:lpstr>
      <vt:lpstr>dcl</vt:lpstr>
      <vt:lpstr>DCm</vt:lpstr>
      <vt:lpstr>Dcol</vt:lpstr>
      <vt:lpstr>DCp</vt:lpstr>
      <vt:lpstr>DD</vt:lpstr>
      <vt:lpstr>dd0.5x1</vt:lpstr>
      <vt:lpstr>dd1pnc</vt:lpstr>
      <vt:lpstr>dd1pvl</vt:lpstr>
      <vt:lpstr>dd1x2</vt:lpstr>
      <vt:lpstr>dd2x4</vt:lpstr>
      <vt:lpstr>dd3pctnc</vt:lpstr>
      <vt:lpstr>dd3pctvl</vt:lpstr>
      <vt:lpstr>dd3plmvl</vt:lpstr>
      <vt:lpstr>dd3pnc</vt:lpstr>
      <vt:lpstr>dd3pvl</vt:lpstr>
      <vt:lpstr>dd4x6</vt:lpstr>
      <vt:lpstr>ddabm</vt:lpstr>
      <vt:lpstr>dday</vt:lpstr>
      <vt:lpstr>ddbm500</vt:lpstr>
      <vt:lpstr>ddd</vt:lpstr>
      <vt:lpstr>dddddddddd</vt:lpstr>
      <vt:lpstr>dddddddddddddd</vt:lpstr>
      <vt:lpstr>ddddddddddddddd</vt:lpstr>
      <vt:lpstr>ddddddddddddddddd</vt:lpstr>
      <vt:lpstr>dden</vt:lpstr>
      <vt:lpstr>ddhtnc</vt:lpstr>
      <vt:lpstr>ddhtvl</vt:lpstr>
      <vt:lpstr>ddia</vt:lpstr>
      <vt:lpstr>ddien</vt:lpstr>
      <vt:lpstr>DDK</vt:lpstr>
      <vt:lpstr>ddt2nc</vt:lpstr>
      <vt:lpstr>ddt2vl</vt:lpstr>
      <vt:lpstr>ddtd3pnc</vt:lpstr>
      <vt:lpstr>ddtt1pnc</vt:lpstr>
      <vt:lpstr>ddtt1pvl</vt:lpstr>
      <vt:lpstr>ddtt3pnc</vt:lpstr>
      <vt:lpstr>ddtt3pvl</vt:lpstr>
      <vt:lpstr>de</vt:lpstr>
      <vt:lpstr>deedfsd</vt:lpstr>
      <vt:lpstr>DEEE</vt:lpstr>
      <vt:lpstr>den_bu</vt:lpstr>
      <vt:lpstr>denbu</vt:lpstr>
      <vt:lpstr>DES</vt:lpstr>
      <vt:lpstr>Det32x3</vt:lpstr>
      <vt:lpstr>Det35x3</vt:lpstr>
      <vt:lpstr>Det40x4</vt:lpstr>
      <vt:lpstr>Det50x5</vt:lpstr>
      <vt:lpstr>Det63x6</vt:lpstr>
      <vt:lpstr>Det75x6</vt:lpstr>
      <vt:lpstr>df</vt:lpstr>
      <vt:lpstr>dfafd</vt:lpstr>
      <vt:lpstr>đfbgdgă</vt:lpstr>
      <vt:lpstr>dfd</vt:lpstr>
      <vt:lpstr>dfdfd</vt:lpstr>
      <vt:lpstr>dfdsf</vt:lpstr>
      <vt:lpstr>dfdsfdsf</vt:lpstr>
      <vt:lpstr>DFFFF</vt:lpstr>
      <vt:lpstr>dfg</vt:lpstr>
      <vt:lpstr>dfgdf</vt:lpstr>
      <vt:lpstr>dfgdfggf</vt:lpstr>
      <vt:lpstr>dfgmsdkg</vt:lpstr>
      <vt:lpstr>dfh</vt:lpstr>
      <vt:lpstr>dflk</vt:lpstr>
      <vt:lpstr>dflt1</vt:lpstr>
      <vt:lpstr>dflt2</vt:lpstr>
      <vt:lpstr>dflt3</vt:lpstr>
      <vt:lpstr>dflt4</vt:lpstr>
      <vt:lpstr>dflt5</vt:lpstr>
      <vt:lpstr>dflt6</vt:lpstr>
      <vt:lpstr>dflt7</vt:lpstr>
      <vt:lpstr>đfnfndfn</vt:lpstr>
      <vt:lpstr>dfsfsd</vt:lpstr>
      <vt:lpstr>dg</vt:lpstr>
      <vt:lpstr>dg_cau</vt:lpstr>
      <vt:lpstr>dg_duong</vt:lpstr>
      <vt:lpstr>DG1M3BETONG</vt:lpstr>
      <vt:lpstr>dgbdII</vt:lpstr>
      <vt:lpstr>DGCocKhoanNhoi</vt:lpstr>
      <vt:lpstr>DGCocOng_D1M</vt:lpstr>
      <vt:lpstr>DGCTDam33</vt:lpstr>
      <vt:lpstr>DGCTdamKhungT</vt:lpstr>
      <vt:lpstr>DGCTI592</vt:lpstr>
      <vt:lpstr>DGCTMatCauLanCan</vt:lpstr>
      <vt:lpstr>DGCTPhanDuoi</vt:lpstr>
      <vt:lpstr>dgdagkadfkg</vt:lpstr>
      <vt:lpstr>dgdfgdfgf</vt:lpstr>
      <vt:lpstr>dgdz</vt:lpstr>
      <vt:lpstr>dgg</vt:lpstr>
      <vt:lpstr>DGM</vt:lpstr>
      <vt:lpstr>DGNC</vt:lpstr>
      <vt:lpstr>dgqndn</vt:lpstr>
      <vt:lpstr>dgsdfgdfag</vt:lpstr>
      <vt:lpstr>DGTH</vt:lpstr>
      <vt:lpstr>DGTH1</vt:lpstr>
      <vt:lpstr>dgth2</vt:lpstr>
      <vt:lpstr>DGTR</vt:lpstr>
      <vt:lpstr>dgvl</vt:lpstr>
      <vt:lpstr>DGVL1</vt:lpstr>
      <vt:lpstr>DGVT</vt:lpstr>
      <vt:lpstr>dh</vt:lpstr>
      <vt:lpstr>đhf</vt:lpstr>
      <vt:lpstr>dhom</vt:lpstr>
      <vt:lpstr>dhtdh</vt:lpstr>
      <vt:lpstr>Dia_Chi_Congty_E</vt:lpstr>
      <vt:lpstr>Dia_Chi_Congty_V</vt:lpstr>
      <vt:lpstr>DICH11</vt:lpstr>
      <vt:lpstr>dich22</vt:lpstr>
      <vt:lpstr>Diem.Apr</vt:lpstr>
      <vt:lpstr>dien</vt:lpstr>
      <vt:lpstr>dim</vt:lpstr>
      <vt:lpstr>DIMM_64MB_ECC_PC133</vt:lpstr>
      <vt:lpstr>dinhdia</vt:lpstr>
      <vt:lpstr>Discount</vt:lpstr>
      <vt:lpstr>display_area_1</vt:lpstr>
      <vt:lpstr>display_area_2</vt:lpstr>
      <vt:lpstr>Dist</vt:lpstr>
      <vt:lpstr>DKTT</vt:lpstr>
      <vt:lpstr>dl</vt:lpstr>
      <vt:lpstr>DL15HT</vt:lpstr>
      <vt:lpstr>DL16HT</vt:lpstr>
      <vt:lpstr>DL19HT</vt:lpstr>
      <vt:lpstr>DL20HT</vt:lpstr>
      <vt:lpstr>DLSE</vt:lpstr>
      <vt:lpstr>DLST</vt:lpstr>
      <vt:lpstr>dm</vt:lpstr>
      <vt:lpstr>DM_HH</vt:lpstr>
      <vt:lpstr>dm1.</vt:lpstr>
      <vt:lpstr>dm2.</vt:lpstr>
      <vt:lpstr>dm56bxd</vt:lpstr>
      <vt:lpstr>dmat</vt:lpstr>
      <vt:lpstr>DMC</vt:lpstr>
      <vt:lpstr>DMCa</vt:lpstr>
      <vt:lpstr>DMDTKH</vt:lpstr>
      <vt:lpstr>dmdv</vt:lpstr>
      <vt:lpstr>DMHH</vt:lpstr>
      <vt:lpstr>DMnhanvien</vt:lpstr>
      <vt:lpstr>dmoi</vt:lpstr>
      <vt:lpstr>dmxl2</vt:lpstr>
      <vt:lpstr>dmz</vt:lpstr>
      <vt:lpstr>dn</vt:lpstr>
      <vt:lpstr>dno</vt:lpstr>
      <vt:lpstr>DÑt45x4</vt:lpstr>
      <vt:lpstr>DOANH_SO</vt:lpstr>
      <vt:lpstr>Doanh_thu</vt:lpstr>
      <vt:lpstr>dobt</vt:lpstr>
      <vt:lpstr>Document_array</vt:lpstr>
      <vt:lpstr>Documents_array</vt:lpstr>
      <vt:lpstr>Don_Vi_Tinh_E</vt:lpstr>
      <vt:lpstr>dong</vt:lpstr>
      <vt:lpstr>dongia</vt:lpstr>
      <vt:lpstr>dongia1</vt:lpstr>
      <vt:lpstr>DonGiaDamMabey</vt:lpstr>
      <vt:lpstr>DoorWindow</vt:lpstr>
      <vt:lpstr>Dp</vt:lpstr>
      <vt:lpstr>drda</vt:lpstr>
      <vt:lpstr>drdat</vt:lpstr>
      <vt:lpstr>Drop2</vt:lpstr>
      <vt:lpstr>Drop3</vt:lpstr>
      <vt:lpstr>drop4</vt:lpstr>
      <vt:lpstr>drrrrrrr</vt:lpstr>
      <vt:lpstr>ds</vt:lpstr>
      <vt:lpstr>ds1pnc</vt:lpstr>
      <vt:lpstr>ds1pvl</vt:lpstr>
      <vt:lpstr>ds3pnc</vt:lpstr>
      <vt:lpstr>ds3pvl</vt:lpstr>
      <vt:lpstr>dsa</vt:lpstr>
      <vt:lpstr>dsct3pnc</vt:lpstr>
      <vt:lpstr>dsct3pvl</vt:lpstr>
      <vt:lpstr>dsfhkjdsfds</vt:lpstr>
      <vt:lpstr>dsfsdfsd</vt:lpstr>
      <vt:lpstr>dsgsw.sgrs.grsg_.sg</vt:lpstr>
      <vt:lpstr>Dsoil</vt:lpstr>
      <vt:lpstr>DSPS</vt:lpstr>
      <vt:lpstr>DSUMDATA</vt:lpstr>
      <vt:lpstr>Dsup</vt:lpstr>
      <vt:lpstr>DTBH</vt:lpstr>
      <vt:lpstr>dtg</vt:lpstr>
      <vt:lpstr>DTTK</vt:lpstr>
      <vt:lpstr>DTTVGM163</vt:lpstr>
      <vt:lpstr>du</vt:lpstr>
      <vt:lpstr>duc</vt:lpstr>
      <vt:lpstr>DUCKY_CO_CD</vt:lpstr>
      <vt:lpstr>DUCKY_NO_CD</vt:lpstr>
      <vt:lpstr>DUDKY_CO_CD</vt:lpstr>
      <vt:lpstr>DUDKY_NO_CD</vt:lpstr>
      <vt:lpstr>dui1.5</vt:lpstr>
      <vt:lpstr>duong</vt:lpstr>
      <vt:lpstr>duong04</vt:lpstr>
      <vt:lpstr>duong1</vt:lpstr>
      <vt:lpstr>duong2</vt:lpstr>
      <vt:lpstr>duong3</vt:lpstr>
      <vt:lpstr>duong35</vt:lpstr>
      <vt:lpstr>duong4</vt:lpstr>
      <vt:lpstr>duong5</vt:lpstr>
      <vt:lpstr>dutoanc2</vt:lpstr>
      <vt:lpstr>DutoanDongmo</vt:lpstr>
      <vt:lpstr>DV</vt:lpstr>
      <vt:lpstr>DW</vt:lpstr>
      <vt:lpstr>DWc</vt:lpstr>
      <vt:lpstr>DWp</vt:lpstr>
      <vt:lpstr>dxd</vt:lpstr>
      <vt:lpstr>dz</vt:lpstr>
      <vt:lpstr>Dz_35</vt:lpstr>
      <vt:lpstr>E</vt:lpstr>
      <vt:lpstr>E1.000</vt:lpstr>
      <vt:lpstr>E1.010</vt:lpstr>
      <vt:lpstr>E1.020</vt:lpstr>
      <vt:lpstr>E1.200</vt:lpstr>
      <vt:lpstr>E1.210</vt:lpstr>
      <vt:lpstr>E1.220</vt:lpstr>
      <vt:lpstr>E1.300</vt:lpstr>
      <vt:lpstr>E1.310</vt:lpstr>
      <vt:lpstr>E1.320</vt:lpstr>
      <vt:lpstr>E1.400</vt:lpstr>
      <vt:lpstr>E1.410</vt:lpstr>
      <vt:lpstr>E1.420</vt:lpstr>
      <vt:lpstr>E1.500</vt:lpstr>
      <vt:lpstr>E1.510</vt:lpstr>
      <vt:lpstr>E1.520</vt:lpstr>
      <vt:lpstr>E1.600</vt:lpstr>
      <vt:lpstr>E1.611</vt:lpstr>
      <vt:lpstr>E1.631</vt:lpstr>
      <vt:lpstr>E2.000</vt:lpstr>
      <vt:lpstr>E2.000A</vt:lpstr>
      <vt:lpstr>E2.010</vt:lpstr>
      <vt:lpstr>E2.010A</vt:lpstr>
      <vt:lpstr>E2.020</vt:lpstr>
      <vt:lpstr>E2.020A</vt:lpstr>
      <vt:lpstr>E2.100</vt:lpstr>
      <vt:lpstr>E2.100A</vt:lpstr>
      <vt:lpstr>E2.110</vt:lpstr>
      <vt:lpstr>E2.110A</vt:lpstr>
      <vt:lpstr>E2.120</vt:lpstr>
      <vt:lpstr>E2.120A</vt:lpstr>
      <vt:lpstr>E3.000</vt:lpstr>
      <vt:lpstr>E3.010</vt:lpstr>
      <vt:lpstr>E3.020</vt:lpstr>
      <vt:lpstr>E3.031</vt:lpstr>
      <vt:lpstr>E3.032</vt:lpstr>
      <vt:lpstr>E3.033</vt:lpstr>
      <vt:lpstr>E4.001</vt:lpstr>
      <vt:lpstr>E4.011</vt:lpstr>
      <vt:lpstr>E4.021</vt:lpstr>
      <vt:lpstr>E4.101</vt:lpstr>
      <vt:lpstr>E4.111</vt:lpstr>
      <vt:lpstr>E4.121</vt:lpstr>
      <vt:lpstr>E5.010</vt:lpstr>
      <vt:lpstr>E5.020</vt:lpstr>
      <vt:lpstr>E5.030</vt:lpstr>
      <vt:lpstr>E6.001</vt:lpstr>
      <vt:lpstr>E6.002</vt:lpstr>
      <vt:lpstr>E6.011</vt:lpstr>
      <vt:lpstr>E6.012</vt:lpstr>
      <vt:lpstr>Earthwork</vt:lpstr>
      <vt:lpstr>Ec</vt:lpstr>
      <vt:lpstr>ED</vt:lpstr>
      <vt:lpstr>EEE</vt:lpstr>
      <vt:lpstr>EEEEE</vt:lpstr>
      <vt:lpstr>eeeeeeeeeeeee</vt:lpstr>
      <vt:lpstr>egw</vt:lpstr>
      <vt:lpstr>eheh</vt:lpstr>
      <vt:lpstr>EIRR11</vt:lpstr>
      <vt:lpstr>EIRR22</vt:lpstr>
      <vt:lpstr>EL1_</vt:lpstr>
      <vt:lpstr>EL2_</vt:lpstr>
      <vt:lpstr>EL3_</vt:lpstr>
      <vt:lpstr>EL4_</vt:lpstr>
      <vt:lpstr>EL5_</vt:lpstr>
      <vt:lpstr>EL6_</vt:lpstr>
      <vt:lpstr>ELb</vt:lpstr>
      <vt:lpstr>ELc</vt:lpstr>
      <vt:lpstr>elev1</vt:lpstr>
      <vt:lpstr>elev2</vt:lpstr>
      <vt:lpstr>elev3</vt:lpstr>
      <vt:lpstr>ELLEN1</vt:lpstr>
      <vt:lpstr>ELLEN10</vt:lpstr>
      <vt:lpstr>ELLEN11</vt:lpstr>
      <vt:lpstr>ELLEN12</vt:lpstr>
      <vt:lpstr>ELLEN13</vt:lpstr>
      <vt:lpstr>ELLEN14</vt:lpstr>
      <vt:lpstr>ELLEN15</vt:lpstr>
      <vt:lpstr>ELLEN16</vt:lpstr>
      <vt:lpstr>ELLEN17</vt:lpstr>
      <vt:lpstr>ELLEN18</vt:lpstr>
      <vt:lpstr>ELLEN19</vt:lpstr>
      <vt:lpstr>ELLEN2</vt:lpstr>
      <vt:lpstr>ELLEN3</vt:lpstr>
      <vt:lpstr>ELLEN4</vt:lpstr>
      <vt:lpstr>ELLEN5</vt:lpstr>
      <vt:lpstr>ELLEN6</vt:lpstr>
      <vt:lpstr>ELLEN7</vt:lpstr>
      <vt:lpstr>ELLEN8</vt:lpstr>
      <vt:lpstr>ELLEN9</vt:lpstr>
      <vt:lpstr>elp</vt:lpstr>
      <vt:lpstr>ELsf</vt:lpstr>
      <vt:lpstr>ELso</vt:lpstr>
      <vt:lpstr>End_1</vt:lpstr>
      <vt:lpstr>End_10</vt:lpstr>
      <vt:lpstr>End_11</vt:lpstr>
      <vt:lpstr>End_12</vt:lpstr>
      <vt:lpstr>End_13</vt:lpstr>
      <vt:lpstr>End_2</vt:lpstr>
      <vt:lpstr>End_3</vt:lpstr>
      <vt:lpstr>End_4</vt:lpstr>
      <vt:lpstr>End_5</vt:lpstr>
      <vt:lpstr>End_6</vt:lpstr>
      <vt:lpstr>End_7</vt:lpstr>
      <vt:lpstr>End_8</vt:lpstr>
      <vt:lpstr>End_9</vt:lpstr>
      <vt:lpstr>Es</vt:lpstr>
      <vt:lpstr>esgtew</vt:lpstr>
      <vt:lpstr>etethtehbdex</vt:lpstr>
      <vt:lpstr>êthtêt</vt:lpstr>
      <vt:lpstr>etqgsg_đhs</vt:lpstr>
      <vt:lpstr>etrw45.đ</vt:lpstr>
      <vt:lpstr>ewrew</vt:lpstr>
      <vt:lpstr>ewt</vt:lpstr>
      <vt:lpstr>ex</vt:lpstr>
      <vt:lpstr>ExactAddinConnection</vt:lpstr>
      <vt:lpstr>ExactAddinConnection.002</vt:lpstr>
      <vt:lpstr>ExactAddinConnection.003</vt:lpstr>
      <vt:lpstr>ExactAddinReports</vt:lpstr>
      <vt:lpstr>Extra</vt:lpstr>
      <vt:lpstr>_xlnm.Extract</vt:lpstr>
      <vt:lpstr>ey</vt:lpstr>
      <vt:lpstr>eygswgq</vt:lpstr>
      <vt:lpstr>êyh</vt:lpstr>
      <vt:lpstr>f</vt:lpstr>
      <vt:lpstr>F.10</vt:lpstr>
      <vt:lpstr>F.7</vt:lpstr>
      <vt:lpstr>F.8</vt:lpstr>
      <vt:lpstr>F.9</vt:lpstr>
      <vt:lpstr>f_2</vt:lpstr>
      <vt:lpstr>f_21</vt:lpstr>
      <vt:lpstr>f_22</vt:lpstr>
      <vt:lpstr>f_23</vt:lpstr>
      <vt:lpstr>f_24</vt:lpstr>
      <vt:lpstr>f_3</vt:lpstr>
      <vt:lpstr>f_31</vt:lpstr>
      <vt:lpstr>f_32</vt:lpstr>
      <vt:lpstr>F_33</vt:lpstr>
      <vt:lpstr>f_34</vt:lpstr>
      <vt:lpstr>f_4</vt:lpstr>
      <vt:lpstr>f_41</vt:lpstr>
      <vt:lpstr>f_42</vt:lpstr>
      <vt:lpstr>f_43</vt:lpstr>
      <vt:lpstr>f_44</vt:lpstr>
      <vt:lpstr>f_9a1</vt:lpstr>
      <vt:lpstr>f_9a2</vt:lpstr>
      <vt:lpstr>f_9a3</vt:lpstr>
      <vt:lpstr>f_9a4</vt:lpstr>
      <vt:lpstr>f_9b1</vt:lpstr>
      <vt:lpstr>f_9b2</vt:lpstr>
      <vt:lpstr>f_9b3</vt:lpstr>
      <vt:lpstr>f_9b4</vt:lpstr>
      <vt:lpstr>F_ChonMong</vt:lpstr>
      <vt:lpstr>F_CongDon</vt:lpstr>
      <vt:lpstr>F0.000</vt:lpstr>
      <vt:lpstr>F0.010</vt:lpstr>
      <vt:lpstr>F0.020</vt:lpstr>
      <vt:lpstr>F0.100</vt:lpstr>
      <vt:lpstr>F0.110</vt:lpstr>
      <vt:lpstr>F0.120</vt:lpstr>
      <vt:lpstr>F0.200</vt:lpstr>
      <vt:lpstr>F0.210</vt:lpstr>
      <vt:lpstr>F0.220</vt:lpstr>
      <vt:lpstr>F0.300</vt:lpstr>
      <vt:lpstr>F0.310</vt:lpstr>
      <vt:lpstr>F0.320</vt:lpstr>
      <vt:lpstr>F1.000</vt:lpstr>
      <vt:lpstr>F1.010</vt:lpstr>
      <vt:lpstr>F1.020</vt:lpstr>
      <vt:lpstr>F1.100</vt:lpstr>
      <vt:lpstr>F1.110</vt:lpstr>
      <vt:lpstr>F1.120</vt:lpstr>
      <vt:lpstr>F1.130</vt:lpstr>
      <vt:lpstr>F1.140</vt:lpstr>
      <vt:lpstr>F1.150</vt:lpstr>
      <vt:lpstr>F2.001</vt:lpstr>
      <vt:lpstr>F2.011</vt:lpstr>
      <vt:lpstr>F2.021</vt:lpstr>
      <vt:lpstr>F2.031</vt:lpstr>
      <vt:lpstr>F2.041</vt:lpstr>
      <vt:lpstr>F2.051</vt:lpstr>
      <vt:lpstr>F2.052</vt:lpstr>
      <vt:lpstr>F2.061</vt:lpstr>
      <vt:lpstr>F2.071</vt:lpstr>
      <vt:lpstr>F2.101</vt:lpstr>
      <vt:lpstr>F2.111</vt:lpstr>
      <vt:lpstr>F2.121</vt:lpstr>
      <vt:lpstr>F2.131</vt:lpstr>
      <vt:lpstr>F2.141</vt:lpstr>
      <vt:lpstr>F2.200</vt:lpstr>
      <vt:lpstr>F2.210</vt:lpstr>
      <vt:lpstr>F2.220</vt:lpstr>
      <vt:lpstr>F2.230</vt:lpstr>
      <vt:lpstr>F2.240</vt:lpstr>
      <vt:lpstr>F2.250</vt:lpstr>
      <vt:lpstr>F2.300</vt:lpstr>
      <vt:lpstr>F2.310</vt:lpstr>
      <vt:lpstr>F2.320</vt:lpstr>
      <vt:lpstr>F3.000</vt:lpstr>
      <vt:lpstr>F3.010</vt:lpstr>
      <vt:lpstr>F3.020</vt:lpstr>
      <vt:lpstr>F3.030</vt:lpstr>
      <vt:lpstr>F3.100</vt:lpstr>
      <vt:lpstr>F3.110</vt:lpstr>
      <vt:lpstr>F3.120</vt:lpstr>
      <vt:lpstr>F3.130</vt:lpstr>
      <vt:lpstr>F4.000</vt:lpstr>
      <vt:lpstr>F4.010</vt:lpstr>
      <vt:lpstr>F4.020</vt:lpstr>
      <vt:lpstr>F4.030</vt:lpstr>
      <vt:lpstr>F4.100</vt:lpstr>
      <vt:lpstr>F4.120</vt:lpstr>
      <vt:lpstr>F4.140</vt:lpstr>
      <vt:lpstr>F4.160</vt:lpstr>
      <vt:lpstr>F4.200</vt:lpstr>
      <vt:lpstr>F4.220</vt:lpstr>
      <vt:lpstr>F4.240</vt:lpstr>
      <vt:lpstr>F4.260</vt:lpstr>
      <vt:lpstr>F4.300</vt:lpstr>
      <vt:lpstr>F4.320</vt:lpstr>
      <vt:lpstr>F4.340</vt:lpstr>
      <vt:lpstr>F4.400</vt:lpstr>
      <vt:lpstr>F4.420</vt:lpstr>
      <vt:lpstr>F4.440</vt:lpstr>
      <vt:lpstr>F4.500</vt:lpstr>
      <vt:lpstr>F4.530</vt:lpstr>
      <vt:lpstr>F4.550</vt:lpstr>
      <vt:lpstr>F4.570</vt:lpstr>
      <vt:lpstr>F4.600</vt:lpstr>
      <vt:lpstr>F4.610</vt:lpstr>
      <vt:lpstr>F4.620</vt:lpstr>
      <vt:lpstr>F4.700</vt:lpstr>
      <vt:lpstr>F4.730</vt:lpstr>
      <vt:lpstr>F4.740</vt:lpstr>
      <vt:lpstr>F4.800</vt:lpstr>
      <vt:lpstr>F4.830</vt:lpstr>
      <vt:lpstr>F4.840</vt:lpstr>
      <vt:lpstr>F5.01</vt:lpstr>
      <vt:lpstr>F5.02</vt:lpstr>
      <vt:lpstr>F5.03</vt:lpstr>
      <vt:lpstr>F5.04</vt:lpstr>
      <vt:lpstr>F5.05</vt:lpstr>
      <vt:lpstr>F5.11</vt:lpstr>
      <vt:lpstr>F5.12</vt:lpstr>
      <vt:lpstr>F5.13</vt:lpstr>
      <vt:lpstr>F5.14</vt:lpstr>
      <vt:lpstr>F5.15</vt:lpstr>
      <vt:lpstr>F6.001</vt:lpstr>
      <vt:lpstr>F6.002</vt:lpstr>
      <vt:lpstr>F6.003</vt:lpstr>
      <vt:lpstr>F6.004</vt:lpstr>
      <vt:lpstr>f92F56</vt:lpstr>
      <vt:lpstr>fáaafafaf</vt:lpstr>
      <vt:lpstr>FACTOR</vt:lpstr>
      <vt:lpstr>fasdvc</vt:lpstr>
      <vt:lpstr>fasfaga</vt:lpstr>
      <vt:lpstr>Fax</vt:lpstr>
      <vt:lpstr>Fay</vt:lpstr>
      <vt:lpstr>fb</vt:lpstr>
      <vt:lpstr>fc</vt:lpstr>
      <vt:lpstr>FCode</vt:lpstr>
      <vt:lpstr>fdf</vt:lpstr>
      <vt:lpstr>fdfdf</vt:lpstr>
      <vt:lpstr>fdgdfgdfg</vt:lpstr>
      <vt:lpstr>fdgf</vt:lpstr>
      <vt:lpstr>fđhbfbd</vt:lpstr>
      <vt:lpstr>fđhh</vt:lpstr>
      <vt:lpstr>fdsfsdfd</vt:lpstr>
      <vt:lpstr>fdss</vt:lpstr>
      <vt:lpstr>feqgfg</vt:lpstr>
      <vt:lpstr>feqw</vt:lpstr>
      <vt:lpstr>FF</vt:lpstr>
      <vt:lpstr>fff</vt:lpstr>
      <vt:lpstr>fffffffffffffff</vt:lpstr>
      <vt:lpstr>Fg</vt:lpstr>
      <vt:lpstr>fgafdfdg</vt:lpstr>
      <vt:lpstr>fgdfagfdf</vt:lpstr>
      <vt:lpstr>fgđff</vt:lpstr>
      <vt:lpstr>fgdfgddfgfd</vt:lpstr>
      <vt:lpstr>fgdfgfgfd</vt:lpstr>
      <vt:lpstr>fgf</vt:lpstr>
      <vt:lpstr>fgfdaghffg</vt:lpstr>
      <vt:lpstr>fgh</vt:lpstr>
      <vt:lpstr>fghdfhdfg</vt:lpstr>
      <vt:lpstr>fghghgh</vt:lpstr>
      <vt:lpstr>fgkjmgky.yulyu.</vt:lpstr>
      <vt:lpstr>fgmdfmgf</vt:lpstr>
      <vt:lpstr>fhfgfsdgfd</vt:lpstr>
      <vt:lpstr>fhgadfhadf</vt:lpstr>
      <vt:lpstr>fhlkdkgl</vt:lpstr>
      <vt:lpstr>fhsdgfdff</vt:lpstr>
      <vt:lpstr>fhtđhêhd</vt:lpstr>
      <vt:lpstr>FinishWork</vt:lpstr>
      <vt:lpstr>fj</vt:lpstr>
      <vt:lpstr>Flc</vt:lpstr>
      <vt:lpstr>FlexZZ</vt:lpstr>
      <vt:lpstr>FOR</vt:lpstr>
      <vt:lpstr>FORK</vt:lpstr>
      <vt:lpstr>FORMAT</vt:lpstr>
      <vt:lpstr>FP</vt:lpstr>
      <vt:lpstr>fpc</vt:lpstr>
      <vt:lpstr>fpu</vt:lpstr>
      <vt:lpstr>fpy</vt:lpstr>
      <vt:lpstr>fqeưfdsa</vt:lpstr>
      <vt:lpstr>FS</vt:lpstr>
      <vt:lpstr>fsdfdsf</vt:lpstr>
      <vt:lpstr>fsfdsfsf</vt:lpstr>
      <vt:lpstr>fsfsdfasfas</vt:lpstr>
      <vt:lpstr>ftgfg</vt:lpstr>
      <vt:lpstr>fv</vt:lpstr>
      <vt:lpstr>fwef</vt:lpstr>
      <vt:lpstr>fwefef</vt:lpstr>
      <vt:lpstr>fy</vt:lpstr>
      <vt:lpstr>fy_</vt:lpstr>
      <vt:lpstr>g</vt:lpstr>
      <vt:lpstr>G_C</vt:lpstr>
      <vt:lpstr>G_ME</vt:lpstr>
      <vt:lpstr>G0.000</vt:lpstr>
      <vt:lpstr>G0.010</vt:lpstr>
      <vt:lpstr>G0.020</vt:lpstr>
      <vt:lpstr>G0.100</vt:lpstr>
      <vt:lpstr>G0.110</vt:lpstr>
      <vt:lpstr>G0.120</vt:lpstr>
      <vt:lpstr>G1.000</vt:lpstr>
      <vt:lpstr>G1.011</vt:lpstr>
      <vt:lpstr>G1.021</vt:lpstr>
      <vt:lpstr>G1.031</vt:lpstr>
      <vt:lpstr>G1.041</vt:lpstr>
      <vt:lpstr>G1.051</vt:lpstr>
      <vt:lpstr>G2.000</vt:lpstr>
      <vt:lpstr>G2.010</vt:lpstr>
      <vt:lpstr>G2.020</vt:lpstr>
      <vt:lpstr>G2.030</vt:lpstr>
      <vt:lpstr>G2_</vt:lpstr>
      <vt:lpstr>G3.000</vt:lpstr>
      <vt:lpstr>G3.011</vt:lpstr>
      <vt:lpstr>G3.021</vt:lpstr>
      <vt:lpstr>G3.031</vt:lpstr>
      <vt:lpstr>G3.041</vt:lpstr>
      <vt:lpstr>G3.100</vt:lpstr>
      <vt:lpstr>G3.111</vt:lpstr>
      <vt:lpstr>G3.121</vt:lpstr>
      <vt:lpstr>G3.131</vt:lpstr>
      <vt:lpstr>G3.141</vt:lpstr>
      <vt:lpstr>G3.201</vt:lpstr>
      <vt:lpstr>G3.211</vt:lpstr>
      <vt:lpstr>G3.221</vt:lpstr>
      <vt:lpstr>G3.231</vt:lpstr>
      <vt:lpstr>G3.241</vt:lpstr>
      <vt:lpstr>G3.301</vt:lpstr>
      <vt:lpstr>G3.311</vt:lpstr>
      <vt:lpstr>G3.321</vt:lpstr>
      <vt:lpstr>G3.331</vt:lpstr>
      <vt:lpstr>G3.341</vt:lpstr>
      <vt:lpstr>G4.000</vt:lpstr>
      <vt:lpstr>G4.010</vt:lpstr>
      <vt:lpstr>G4.020</vt:lpstr>
      <vt:lpstr>G4.030</vt:lpstr>
      <vt:lpstr>G4.040</vt:lpstr>
      <vt:lpstr>G4.101</vt:lpstr>
      <vt:lpstr>G4.111</vt:lpstr>
      <vt:lpstr>G4.121</vt:lpstr>
      <vt:lpstr>G4.131</vt:lpstr>
      <vt:lpstr>G4.141</vt:lpstr>
      <vt:lpstr>G4.151</vt:lpstr>
      <vt:lpstr>G4.161</vt:lpstr>
      <vt:lpstr>G4.171</vt:lpstr>
      <vt:lpstr>G4.200</vt:lpstr>
      <vt:lpstr>G4.210</vt:lpstr>
      <vt:lpstr>G4.220</vt:lpstr>
      <vt:lpstr>g40g40</vt:lpstr>
      <vt:lpstr>gach</vt:lpstr>
      <vt:lpstr>gamatc</vt:lpstr>
      <vt:lpstr>gas</vt:lpstr>
      <vt:lpstr>gc</vt:lpstr>
      <vt:lpstr>GC_CT</vt:lpstr>
      <vt:lpstr>GC_CT1</vt:lpstr>
      <vt:lpstr>gchi</vt:lpstr>
      <vt:lpstr>gcHT</vt:lpstr>
      <vt:lpstr>gcl</vt:lpstr>
      <vt:lpstr>GCS</vt:lpstr>
      <vt:lpstr>gcv</vt:lpstr>
      <vt:lpstr>gd</vt:lpstr>
      <vt:lpstr>gd.</vt:lpstr>
      <vt:lpstr>gDC</vt:lpstr>
      <vt:lpstr>gdcf</vt:lpstr>
      <vt:lpstr>gdcf1</vt:lpstr>
      <vt:lpstr>gdcs</vt:lpstr>
      <vt:lpstr>gdfg</vt:lpstr>
      <vt:lpstr>gdfgdfgdf</vt:lpstr>
      <vt:lpstr>gdfh</vt:lpstr>
      <vt:lpstr>gdh</vt:lpstr>
      <vt:lpstr>gdkcn</vt:lpstr>
      <vt:lpstr>gdkcn25</vt:lpstr>
      <vt:lpstr>GDL</vt:lpstr>
      <vt:lpstr>gdlc</vt:lpstr>
      <vt:lpstr>gdlc25</vt:lpstr>
      <vt:lpstr>GDTD</vt:lpstr>
      <vt:lpstr>gdtt</vt:lpstr>
      <vt:lpstr>gdtt25</vt:lpstr>
      <vt:lpstr>gDW</vt:lpstr>
      <vt:lpstr>gdwf</vt:lpstr>
      <vt:lpstr>gdxm</vt:lpstr>
      <vt:lpstr>gdxm25</vt:lpstr>
      <vt:lpstr>geff</vt:lpstr>
      <vt:lpstr>gegrth</vt:lpstr>
      <vt:lpstr>geq</vt:lpstr>
      <vt:lpstr>ges</vt:lpstr>
      <vt:lpstr>gesf</vt:lpstr>
      <vt:lpstr>gfhgadfkgkadf</vt:lpstr>
      <vt:lpstr>gfr</vt:lpstr>
      <vt:lpstr>ggaq</vt:lpstr>
      <vt:lpstr>gggggggggg</vt:lpstr>
      <vt:lpstr>gghjgh</vt:lpstr>
      <vt:lpstr>ggsf</vt:lpstr>
      <vt:lpstr>ghàdgfadgdf</vt:lpstr>
      <vt:lpstr>ghichu</vt:lpstr>
      <vt:lpstr>ghip</vt:lpstr>
      <vt:lpstr>gia</vt:lpstr>
      <vt:lpstr>gia_tien</vt:lpstr>
      <vt:lpstr>gia_tien_BTN</vt:lpstr>
      <vt:lpstr>GiaCaMay</vt:lpstr>
      <vt:lpstr>giang</vt:lpstr>
      <vt:lpstr>Giocong</vt:lpstr>
      <vt:lpstr>gipa5</vt:lpstr>
      <vt:lpstr>gjrđjsjs</vt:lpstr>
      <vt:lpstr>gkcnc</vt:lpstr>
      <vt:lpstr>GL</vt:lpstr>
      <vt:lpstr>gl3p</vt:lpstr>
      <vt:lpstr>Glazing</vt:lpstr>
      <vt:lpstr>gld</vt:lpstr>
      <vt:lpstr>gLL</vt:lpstr>
      <vt:lpstr>gllf</vt:lpstr>
      <vt:lpstr>glls</vt:lpstr>
      <vt:lpstr>gnkcn</vt:lpstr>
      <vt:lpstr>gnkcn25</vt:lpstr>
      <vt:lpstr>gnkcnc25</vt:lpstr>
      <vt:lpstr>gnlc</vt:lpstr>
      <vt:lpstr>gnlc25</vt:lpstr>
      <vt:lpstr>gntt</vt:lpstr>
      <vt:lpstr>gntt25</vt:lpstr>
      <vt:lpstr>gnxm</vt:lpstr>
      <vt:lpstr>gnxm25</vt:lpstr>
      <vt:lpstr>Go</vt:lpstr>
      <vt:lpstr>GoBack</vt:lpstr>
      <vt:lpstr>goc</vt:lpstr>
      <vt:lpstr>Goc32x3</vt:lpstr>
      <vt:lpstr>Goc35x3</vt:lpstr>
      <vt:lpstr>Goc40x4</vt:lpstr>
      <vt:lpstr>Goc45x4</vt:lpstr>
      <vt:lpstr>Goc50x5</vt:lpstr>
      <vt:lpstr>Goc63x6</vt:lpstr>
      <vt:lpstr>Goc75x6</vt:lpstr>
      <vt:lpstr>gochong</vt:lpstr>
      <vt:lpstr>GocTieuChuan</vt:lpstr>
      <vt:lpstr>GP</vt:lpstr>
      <vt:lpstr>gpt</vt:lpstr>
      <vt:lpstr>GPT_GROUNDING_PT</vt:lpstr>
      <vt:lpstr>grB</vt:lpstr>
      <vt:lpstr>grC</vt:lpstr>
      <vt:lpstr>grD</vt:lpstr>
      <vt:lpstr>grds</vt:lpstr>
      <vt:lpstr>GRFICM</vt:lpstr>
      <vt:lpstr>grst</vt:lpstr>
      <vt:lpstr>grstf</vt:lpstr>
      <vt:lpstr>gs</vt:lpstr>
      <vt:lpstr>gse</vt:lpstr>
      <vt:lpstr>gSH</vt:lpstr>
      <vt:lpstr>gt</vt:lpstr>
      <vt:lpstr>gtc</vt:lpstr>
      <vt:lpstr>gteyhưez</vt:lpstr>
      <vt:lpstr>gTG</vt:lpstr>
      <vt:lpstr>gtgsằq</vt:lpstr>
      <vt:lpstr>gTL</vt:lpstr>
      <vt:lpstr>GTTMC</vt:lpstr>
      <vt:lpstr>GTTMCa</vt:lpstr>
      <vt:lpstr>GTXL</vt:lpstr>
      <vt:lpstr>GU</vt:lpstr>
      <vt:lpstr>gv</vt:lpstr>
      <vt:lpstr>gvl</vt:lpstr>
      <vt:lpstr>gWA</vt:lpstr>
      <vt:lpstr>gwaf</vt:lpstr>
      <vt:lpstr>gwas</vt:lpstr>
      <vt:lpstr>gwc</vt:lpstr>
      <vt:lpstr>gwf</vt:lpstr>
      <vt:lpstr>gWL</vt:lpstr>
      <vt:lpstr>gwlf</vt:lpstr>
      <vt:lpstr>gwls</vt:lpstr>
      <vt:lpstr>gWS</vt:lpstr>
      <vt:lpstr>gwsf</vt:lpstr>
      <vt:lpstr>gwss</vt:lpstr>
      <vt:lpstr>gxm</vt:lpstr>
      <vt:lpstr>h</vt:lpstr>
      <vt:lpstr>H.</vt:lpstr>
      <vt:lpstr>h.2</vt:lpstr>
      <vt:lpstr>h_qd</vt:lpstr>
      <vt:lpstr>h_tru</vt:lpstr>
      <vt:lpstr>h_xoa</vt:lpstr>
      <vt:lpstr>h_xoa2</vt:lpstr>
      <vt:lpstr>H0.001</vt:lpstr>
      <vt:lpstr>H0.011</vt:lpstr>
      <vt:lpstr>H0.021</vt:lpstr>
      <vt:lpstr>H0.031</vt:lpstr>
      <vt:lpstr>h1.</vt:lpstr>
      <vt:lpstr>h1_</vt:lpstr>
      <vt:lpstr>h2.</vt:lpstr>
      <vt:lpstr>h2_</vt:lpstr>
      <vt:lpstr>h3.</vt:lpstr>
      <vt:lpstr>h3_</vt:lpstr>
      <vt:lpstr>h4.</vt:lpstr>
      <vt:lpstr>h4_</vt:lpstr>
      <vt:lpstr>h5_</vt:lpstr>
      <vt:lpstr>h6_</vt:lpstr>
      <vt:lpstr>h7.5</vt:lpstr>
      <vt:lpstr>h7_</vt:lpstr>
      <vt:lpstr>h8.5</vt:lpstr>
      <vt:lpstr>Ha</vt:lpstr>
      <vt:lpstr>ha.</vt:lpstr>
      <vt:lpstr>haichau</vt:lpstr>
      <vt:lpstr>haichau6</vt:lpstr>
      <vt:lpstr>haKK</vt:lpstr>
      <vt:lpstr>Hang</vt:lpstr>
      <vt:lpstr>hang1</vt:lpstr>
      <vt:lpstr>hangdong</vt:lpstr>
      <vt:lpstr>hangsm</vt:lpstr>
      <vt:lpstr>hangtren</vt:lpstr>
      <vt:lpstr>hanh</vt:lpstr>
      <vt:lpstr>haoif</vt:lpstr>
      <vt:lpstr>hap</vt:lpstr>
      <vt:lpstr>hb</vt:lpstr>
      <vt:lpstr>hb.</vt:lpstr>
      <vt:lpstr>hbr</vt:lpstr>
      <vt:lpstr>hc</vt:lpstr>
      <vt:lpstr>hc.</vt:lpstr>
      <vt:lpstr>hcb</vt:lpstr>
      <vt:lpstr>hcg</vt:lpstr>
      <vt:lpstr>Hch</vt:lpstr>
      <vt:lpstr>HCM</vt:lpstr>
      <vt:lpstr>HCSL</vt:lpstr>
      <vt:lpstr>hcsla</vt:lpstr>
      <vt:lpstr>hcsld</vt:lpstr>
      <vt:lpstr>hd</vt:lpstr>
      <vt:lpstr>hdfgdgdg</vt:lpstr>
      <vt:lpstr>HDH</vt:lpstr>
      <vt:lpstr>Heä_soá_laép_xaø_H</vt:lpstr>
      <vt:lpstr>heä_soá_sình_laày</vt:lpstr>
      <vt:lpstr>heđbe</vt:lpstr>
      <vt:lpstr>hee_opjg</vt:lpstr>
      <vt:lpstr>Hello</vt:lpstr>
      <vt:lpstr>Hematcau</vt:lpstr>
      <vt:lpstr>hẻy</vt:lpstr>
      <vt:lpstr>hfgh</vt:lpstr>
      <vt:lpstr>hfhfg</vt:lpstr>
      <vt:lpstr>hg</vt:lpstr>
      <vt:lpstr>hgadgag</vt:lpstr>
      <vt:lpstr>hgh</vt:lpstr>
      <vt:lpstr>hghgh</vt:lpstr>
      <vt:lpstr>hgre_zdfhgfd</vt:lpstr>
      <vt:lpstr>HH</vt:lpstr>
      <vt:lpstr>HH15HT</vt:lpstr>
      <vt:lpstr>HH16HT</vt:lpstr>
      <vt:lpstr>HH19HT</vt:lpstr>
      <vt:lpstr>HH20HT</vt:lpstr>
      <vt:lpstr>HHcat</vt:lpstr>
      <vt:lpstr>hhcv</vt:lpstr>
      <vt:lpstr>HHda</vt:lpstr>
      <vt:lpstr>hhda4x6</vt:lpstr>
      <vt:lpstr>HHHH</vt:lpstr>
      <vt:lpstr>hhhthrh</vt:lpstr>
      <vt:lpstr>hhsc</vt:lpstr>
      <vt:lpstr>hhtd</vt:lpstr>
      <vt:lpstr>hhxm</vt:lpstr>
      <vt:lpstr>HiddenRows</vt:lpstr>
      <vt:lpstr>hien</vt:lpstr>
      <vt:lpstr>hj</vt:lpstr>
      <vt:lpstr>hkj</vt:lpstr>
      <vt:lpstr>hl</vt:lpstr>
      <vt:lpstr>HLL</vt:lpstr>
      <vt:lpstr>hmax</vt:lpstr>
      <vt:lpstr>hmi</vt:lpstr>
      <vt:lpstr>hmin</vt:lpstr>
      <vt:lpstr>hn</vt:lpstr>
      <vt:lpstr>hnhnhn</vt:lpstr>
      <vt:lpstr>ho</vt:lpstr>
      <vt:lpstr>hoa</vt:lpstr>
      <vt:lpstr>HOME_MANP</vt:lpstr>
      <vt:lpstr>HOMEOFFICE_COST</vt:lpstr>
      <vt:lpstr>hong</vt:lpstr>
      <vt:lpstr>hongngu</vt:lpstr>
      <vt:lpstr>hp</vt:lpstr>
      <vt:lpstr>hpa</vt:lpstr>
      <vt:lpstr>Hpc</vt:lpstr>
      <vt:lpstr>hpier</vt:lpstr>
      <vt:lpstr>hrhe</vt:lpstr>
      <vt:lpstr>hs</vt:lpstr>
      <vt:lpstr>HSCT3</vt:lpstr>
      <vt:lpstr>hsdc</vt:lpstr>
      <vt:lpstr>hsdc1</vt:lpstr>
      <vt:lpstr>HSDD</vt:lpstr>
      <vt:lpstr>HSDN</vt:lpstr>
      <vt:lpstr>hsduuiejkdf</vt:lpstr>
      <vt:lpstr>hSF</vt:lpstr>
      <vt:lpstr>hsgbhtgrư</vt:lpstr>
      <vt:lpstr>HSHH</vt:lpstr>
      <vt:lpstr>HSHHUT</vt:lpstr>
      <vt:lpstr>hsk</vt:lpstr>
      <vt:lpstr>hskk1</vt:lpstr>
      <vt:lpstr>HSlanxe</vt:lpstr>
      <vt:lpstr>HSNC</vt:lpstr>
      <vt:lpstr>hso</vt:lpstr>
      <vt:lpstr>Hsp</vt:lpstr>
      <vt:lpstr>HSSL</vt:lpstr>
      <vt:lpstr>hßm4</vt:lpstr>
      <vt:lpstr>HSVC1</vt:lpstr>
      <vt:lpstr>HSVC2</vt:lpstr>
      <vt:lpstr>HSVC3</vt:lpstr>
      <vt:lpstr>HsVCVLTH</vt:lpstr>
      <vt:lpstr>ht</vt:lpstr>
      <vt:lpstr>ht25nc</vt:lpstr>
      <vt:lpstr>ht25vl</vt:lpstr>
      <vt:lpstr>ht325nc</vt:lpstr>
      <vt:lpstr>ht325vl</vt:lpstr>
      <vt:lpstr>ht37k</vt:lpstr>
      <vt:lpstr>ht37nc</vt:lpstr>
      <vt:lpstr>ht50nc</vt:lpstr>
      <vt:lpstr>ht50vl</vt:lpstr>
      <vt:lpstr>htb</vt:lpstr>
      <vt:lpstr>htc</vt:lpstr>
      <vt:lpstr>htjhtjftj</vt:lpstr>
      <vt:lpstr>htlm</vt:lpstr>
      <vt:lpstr>HTML_CodePage</vt:lpstr>
      <vt:lpstr>HTML_Control</vt:lpstr>
      <vt:lpstr>html_control_xoa2</vt:lpstr>
      <vt:lpstr>HTML_Controlmoi</vt:lpstr>
      <vt:lpstr>HTML_Description</vt:lpstr>
      <vt:lpstr>HTML_Email</vt:lpstr>
      <vt:lpstr>HTML_Header</vt:lpstr>
      <vt:lpstr>HTML_LastUpdate</vt:lpstr>
      <vt:lpstr>HTML_LineAfter</vt:lpstr>
      <vt:lpstr>HTML_LineBefore</vt:lpstr>
      <vt:lpstr>HTML_Name</vt:lpstr>
      <vt:lpstr>HTML_OBDlg2</vt:lpstr>
      <vt:lpstr>HTML_OBDlg4</vt:lpstr>
      <vt:lpstr>HTML_OS</vt:lpstr>
      <vt:lpstr>HTML_PathFile</vt:lpstr>
      <vt:lpstr>HTML_PathFilemoi</vt:lpstr>
      <vt:lpstr>HTML_Title</vt:lpstr>
      <vt:lpstr>HTMLmoi</vt:lpstr>
      <vt:lpstr>HTNC</vt:lpstr>
      <vt:lpstr>htriu4</vt:lpstr>
      <vt:lpstr>HTVL</vt:lpstr>
      <vt:lpstr>hu</vt:lpstr>
      <vt:lpstr>hui</vt:lpstr>
      <vt:lpstr>hung</vt:lpstr>
      <vt:lpstr>huy</vt:lpstr>
      <vt:lpstr>huy_xoa</vt:lpstr>
      <vt:lpstr>huy_xoa2</vt:lpstr>
      <vt:lpstr>huy1moi</vt:lpstr>
      <vt:lpstr>huyhoa</vt:lpstr>
      <vt:lpstr>huymoi</vt:lpstr>
      <vt:lpstr>huynhhaichau</vt:lpstr>
      <vt:lpstr>huyy</vt:lpstr>
      <vt:lpstr>hw</vt:lpstr>
      <vt:lpstr>I</vt:lpstr>
      <vt:lpstr>I2É6</vt:lpstr>
      <vt:lpstr>IDLAB_COST</vt:lpstr>
      <vt:lpstr>IM</vt:lpstr>
      <vt:lpstr>IM2.</vt:lpstr>
      <vt:lpstr>IM21.</vt:lpstr>
      <vt:lpstr>IM22.</vt:lpstr>
      <vt:lpstr>IND_LAB</vt:lpstr>
      <vt:lpstr>INDMANP</vt:lpstr>
      <vt:lpstr>InteriorWork</vt:lpstr>
      <vt:lpstr>IO</vt:lpstr>
      <vt:lpstr>Ip</vt:lpstr>
      <vt:lpstr>ịth</vt:lpstr>
      <vt:lpstr>ixy</vt:lpstr>
      <vt:lpstr>j</vt:lpstr>
      <vt:lpstr>j356C8</vt:lpstr>
      <vt:lpstr>JHK</vt:lpstr>
      <vt:lpstr>jjjjjjjj</vt:lpstr>
      <vt:lpstr>jkhj</vt:lpstr>
      <vt:lpstr>jkjk</vt:lpstr>
      <vt:lpstr>js</vt:lpstr>
      <vt:lpstr>jsajhf</vt:lpstr>
      <vt:lpstr>jýỵy</vt:lpstr>
      <vt:lpstr>k</vt:lpstr>
      <vt:lpstr>k..</vt:lpstr>
      <vt:lpstr>k_xoa</vt:lpstr>
      <vt:lpstr>k_xoa2</vt:lpstr>
      <vt:lpstr>K0.001</vt:lpstr>
      <vt:lpstr>K0.011</vt:lpstr>
      <vt:lpstr>K0.101</vt:lpstr>
      <vt:lpstr>K0.111</vt:lpstr>
      <vt:lpstr>K0.201</vt:lpstr>
      <vt:lpstr>K0.211</vt:lpstr>
      <vt:lpstr>K0.301</vt:lpstr>
      <vt:lpstr>K0.311</vt:lpstr>
      <vt:lpstr>K0.400</vt:lpstr>
      <vt:lpstr>K0.410</vt:lpstr>
      <vt:lpstr>K0.501</vt:lpstr>
      <vt:lpstr>K0.511</vt:lpstr>
      <vt:lpstr>K0.61</vt:lpstr>
      <vt:lpstr>K0.71</vt:lpstr>
      <vt:lpstr>K1.001</vt:lpstr>
      <vt:lpstr>K1.021</vt:lpstr>
      <vt:lpstr>K1.041</vt:lpstr>
      <vt:lpstr>K1.121</vt:lpstr>
      <vt:lpstr>K1.201</vt:lpstr>
      <vt:lpstr>K1.211</vt:lpstr>
      <vt:lpstr>K1.221</vt:lpstr>
      <vt:lpstr>K1.301</vt:lpstr>
      <vt:lpstr>K1.321</vt:lpstr>
      <vt:lpstr>K1.331</vt:lpstr>
      <vt:lpstr>K1.341</vt:lpstr>
      <vt:lpstr>K1.401</vt:lpstr>
      <vt:lpstr>K1.411</vt:lpstr>
      <vt:lpstr>K1.421</vt:lpstr>
      <vt:lpstr>K1.431</vt:lpstr>
      <vt:lpstr>K1.441</vt:lpstr>
      <vt:lpstr>K2.001</vt:lpstr>
      <vt:lpstr>K2.011</vt:lpstr>
      <vt:lpstr>K2.021</vt:lpstr>
      <vt:lpstr>K2.031</vt:lpstr>
      <vt:lpstr>K2.041</vt:lpstr>
      <vt:lpstr>K2.101</vt:lpstr>
      <vt:lpstr>K2.111</vt:lpstr>
      <vt:lpstr>K2.121</vt:lpstr>
      <vt:lpstr>K2.131</vt:lpstr>
      <vt:lpstr>K2.141</vt:lpstr>
      <vt:lpstr>K2.201</vt:lpstr>
      <vt:lpstr>K2.211</vt:lpstr>
      <vt:lpstr>K2.221</vt:lpstr>
      <vt:lpstr>K2.231</vt:lpstr>
      <vt:lpstr>K2.241</vt:lpstr>
      <vt:lpstr>K2.301</vt:lpstr>
      <vt:lpstr>K2.321</vt:lpstr>
      <vt:lpstr>K2.341</vt:lpstr>
      <vt:lpstr>K2.400</vt:lpstr>
      <vt:lpstr>K2.420</vt:lpstr>
      <vt:lpstr>K2.440</vt:lpstr>
      <vt:lpstr>K2.500</vt:lpstr>
      <vt:lpstr>K2.520</vt:lpstr>
      <vt:lpstr>K2.540</vt:lpstr>
      <vt:lpstr>k2b</vt:lpstr>
      <vt:lpstr>K3.210</vt:lpstr>
      <vt:lpstr>K3.220</vt:lpstr>
      <vt:lpstr>K3.230</vt:lpstr>
      <vt:lpstr>K3.310</vt:lpstr>
      <vt:lpstr>K3.320</vt:lpstr>
      <vt:lpstr>K3.330</vt:lpstr>
      <vt:lpstr>K3.410</vt:lpstr>
      <vt:lpstr>K3.430</vt:lpstr>
      <vt:lpstr>K3.450</vt:lpstr>
      <vt:lpstr>K4.010</vt:lpstr>
      <vt:lpstr>K4.020</vt:lpstr>
      <vt:lpstr>K4.110</vt:lpstr>
      <vt:lpstr>K4.120</vt:lpstr>
      <vt:lpstr>K4.210</vt:lpstr>
      <vt:lpstr>K4.220</vt:lpstr>
      <vt:lpstr>K4.230</vt:lpstr>
      <vt:lpstr>K4.240</vt:lpstr>
      <vt:lpstr>KA</vt:lpstr>
      <vt:lpstr>ka.</vt:lpstr>
      <vt:lpstr>KAE</vt:lpstr>
      <vt:lpstr>kcong</vt:lpstr>
      <vt:lpstr>KCThep</vt:lpstr>
      <vt:lpstr>KcTieuChuan</vt:lpstr>
      <vt:lpstr>KDC</vt:lpstr>
      <vt:lpstr>kdien</vt:lpstr>
      <vt:lpstr>kdkk</vt:lpstr>
      <vt:lpstr>Kf</vt:lpstr>
      <vt:lpstr>Khocau</vt:lpstr>
      <vt:lpstr>khongtruotgia</vt:lpstr>
      <vt:lpstr>KHSX</vt:lpstr>
      <vt:lpstr>KhuyenmaiUPS</vt:lpstr>
      <vt:lpstr>kiem</vt:lpstr>
      <vt:lpstr>Kiem_tra_trung_ten</vt:lpstr>
      <vt:lpstr>kjkjkj</vt:lpstr>
      <vt:lpstr>kkk</vt:lpstr>
      <vt:lpstr>KKKKKKKKK</vt:lpstr>
      <vt:lpstr>kl</vt:lpstr>
      <vt:lpstr>KL_C</vt:lpstr>
      <vt:lpstr>kl_ME</vt:lpstr>
      <vt:lpstr>kldd1p</vt:lpstr>
      <vt:lpstr>kldd3p</vt:lpstr>
      <vt:lpstr>kll</vt:lpstr>
      <vt:lpstr>klm</vt:lpstr>
      <vt:lpstr>KLtru</vt:lpstr>
      <vt:lpstr>Kmb</vt:lpstr>
      <vt:lpstr>kmong</vt:lpstr>
      <vt:lpstr>Kmt</vt:lpstr>
      <vt:lpstr>kn</vt:lpstr>
      <vt:lpstr>KN_1331b</vt:lpstr>
      <vt:lpstr>KN_1332b</vt:lpstr>
      <vt:lpstr>KN_33311a</vt:lpstr>
      <vt:lpstr>KN_33311b</vt:lpstr>
      <vt:lpstr>KN_33312a</vt:lpstr>
      <vt:lpstr>KN_33312b</vt:lpstr>
      <vt:lpstr>KN_3332a</vt:lpstr>
      <vt:lpstr>KN_3332b</vt:lpstr>
      <vt:lpstr>KN_3333a</vt:lpstr>
      <vt:lpstr>KN_3333b</vt:lpstr>
      <vt:lpstr>KN_3334a</vt:lpstr>
      <vt:lpstr>KN_3334b</vt:lpstr>
      <vt:lpstr>KN_3335a</vt:lpstr>
      <vt:lpstr>KN_3335b</vt:lpstr>
      <vt:lpstr>KN_3336a</vt:lpstr>
      <vt:lpstr>KN_3336b</vt:lpstr>
      <vt:lpstr>KN_3337a</vt:lpstr>
      <vt:lpstr>KN_3337b</vt:lpstr>
      <vt:lpstr>KN_33381a</vt:lpstr>
      <vt:lpstr>KN_33381b</vt:lpstr>
      <vt:lpstr>KN_33382a</vt:lpstr>
      <vt:lpstr>KN_33382b</vt:lpstr>
      <vt:lpstr>KN_3339a</vt:lpstr>
      <vt:lpstr>KN_3339b</vt:lpstr>
      <vt:lpstr>KN_CT153</vt:lpstr>
      <vt:lpstr>KN_CT313</vt:lpstr>
      <vt:lpstr>kno</vt:lpstr>
      <vt:lpstr>KP</vt:lpstr>
      <vt:lpstr>kp1ph</vt:lpstr>
      <vt:lpstr>Kqb</vt:lpstr>
      <vt:lpstr>Kqt</vt:lpstr>
      <vt:lpstr>ks</vt:lpstr>
      <vt:lpstr>ksbn</vt:lpstr>
      <vt:lpstr>kshn</vt:lpstr>
      <vt:lpstr>ksls</vt:lpstr>
      <vt:lpstr>Ksp</vt:lpstr>
      <vt:lpstr>kstk</vt:lpstr>
      <vt:lpstr>KT_1331b</vt:lpstr>
      <vt:lpstr>KT_1332b</vt:lpstr>
      <vt:lpstr>KT_33311a</vt:lpstr>
      <vt:lpstr>KT_33311b</vt:lpstr>
      <vt:lpstr>KT_33312a</vt:lpstr>
      <vt:lpstr>KT_33312b</vt:lpstr>
      <vt:lpstr>KT_3332a</vt:lpstr>
      <vt:lpstr>KT_3332b</vt:lpstr>
      <vt:lpstr>KT_3333a</vt:lpstr>
      <vt:lpstr>KT_3333b</vt:lpstr>
      <vt:lpstr>KT_3334a</vt:lpstr>
      <vt:lpstr>KT_3334b</vt:lpstr>
      <vt:lpstr>KT_3335a</vt:lpstr>
      <vt:lpstr>KT_3335b</vt:lpstr>
      <vt:lpstr>KT_3336a</vt:lpstr>
      <vt:lpstr>KT_3336b</vt:lpstr>
      <vt:lpstr>KT_3337a</vt:lpstr>
      <vt:lpstr>KT_3337b</vt:lpstr>
      <vt:lpstr>KT_33381a</vt:lpstr>
      <vt:lpstr>KT_33381b</vt:lpstr>
      <vt:lpstr>KT_33382a</vt:lpstr>
      <vt:lpstr>KT_33382b</vt:lpstr>
      <vt:lpstr>KT_3339a</vt:lpstr>
      <vt:lpstr>KT_3339b</vt:lpstr>
      <vt:lpstr>KT_CT153</vt:lpstr>
      <vt:lpstr>KT_CT313</vt:lpstr>
      <vt:lpstr>ktdk0</vt:lpstr>
      <vt:lpstr>KTHD</vt:lpstr>
      <vt:lpstr>KTTRAMD1</vt:lpstr>
      <vt:lpstr>KVC</vt:lpstr>
      <vt:lpstr>Ky_ke_toan_E</vt:lpstr>
      <vt:lpstr>Ky_ke_toan_V</vt:lpstr>
      <vt:lpstr>L</vt:lpstr>
      <vt:lpstr>l.dat</vt:lpstr>
      <vt:lpstr>lai</vt:lpstr>
      <vt:lpstr>LAMTHEM</vt:lpstr>
      <vt:lpstr>LAMTUBE</vt:lpstr>
      <vt:lpstr>lan</vt:lpstr>
      <vt:lpstr>LANDIMP</vt:lpstr>
      <vt:lpstr>LANDREV</vt:lpstr>
      <vt:lpstr>Lane</vt:lpstr>
      <vt:lpstr>langson</vt:lpstr>
      <vt:lpstr>LaoLapDam</vt:lpstr>
      <vt:lpstr>lapa</vt:lpstr>
      <vt:lpstr>lapb</vt:lpstr>
      <vt:lpstr>lapc</vt:lpstr>
      <vt:lpstr>LargerSpan</vt:lpstr>
      <vt:lpstr>Lb</vt:lpstr>
      <vt:lpstr>Lf</vt:lpstr>
      <vt:lpstr>LgL</vt:lpstr>
      <vt:lpstr>lh</vt:lpstr>
      <vt:lpstr>LI</vt:lpstr>
      <vt:lpstr>limcount</vt:lpstr>
      <vt:lpstr>line</vt:lpstr>
      <vt:lpstr>linh</vt:lpstr>
      <vt:lpstr>linhT</vt:lpstr>
      <vt:lpstr>lk</vt:lpstr>
      <vt:lpstr>lkl</vt:lpstr>
      <vt:lpstr>LKPS</vt:lpstr>
      <vt:lpstr>LLs</vt:lpstr>
      <vt:lpstr>Lmk</vt:lpstr>
      <vt:lpstr>LN</vt:lpstr>
      <vt:lpstr>lo</vt:lpstr>
      <vt:lpstr>Loai_BCTC</vt:lpstr>
      <vt:lpstr>LOAI_BM</vt:lpstr>
      <vt:lpstr>LOAI_MB</vt:lpstr>
      <vt:lpstr>LOC</vt:lpstr>
      <vt:lpstr>lomo</vt:lpstr>
      <vt:lpstr>lón2</vt:lpstr>
      <vt:lpstr>lón3</vt:lpstr>
      <vt:lpstr>lón5</vt:lpstr>
      <vt:lpstr>long</vt:lpstr>
      <vt:lpstr>Lop</vt:lpstr>
      <vt:lpstr>Lp</vt:lpstr>
      <vt:lpstr>Ls</vt:lpstr>
      <vt:lpstr>lsl</vt:lpstr>
      <vt:lpstr>lsp</vt:lpstr>
      <vt:lpstr>lsr</vt:lpstr>
      <vt:lpstr>lss</vt:lpstr>
      <vt:lpstr>Lt</vt:lpstr>
      <vt:lpstr>LT_TB</vt:lpstr>
      <vt:lpstr>LTKD</vt:lpstr>
      <vt:lpstr>LTR</vt:lpstr>
      <vt:lpstr>ltre</vt:lpstr>
      <vt:lpstr>Ltt</vt:lpstr>
      <vt:lpstr>Luanthanh</vt:lpstr>
      <vt:lpstr>LUONG</vt:lpstr>
      <vt:lpstr>luyÕn</vt:lpstr>
      <vt:lpstr>lVC</vt:lpstr>
      <vt:lpstr>lvo</vt:lpstr>
      <vt:lpstr>m</vt:lpstr>
      <vt:lpstr>m_1</vt:lpstr>
      <vt:lpstr>m_2</vt:lpstr>
      <vt:lpstr>m_3</vt:lpstr>
      <vt:lpstr>m_4</vt:lpstr>
      <vt:lpstr>M0.4</vt:lpstr>
      <vt:lpstr>M10.</vt:lpstr>
      <vt:lpstr>M10.1</vt:lpstr>
      <vt:lpstr>M10.1a</vt:lpstr>
      <vt:lpstr>M10.2</vt:lpstr>
      <vt:lpstr>M10.2a</vt:lpstr>
      <vt:lpstr>m102bnnc</vt:lpstr>
      <vt:lpstr>m102bnvl</vt:lpstr>
      <vt:lpstr>m10aamtc</vt:lpstr>
      <vt:lpstr>m10aanc</vt:lpstr>
      <vt:lpstr>m10aavl</vt:lpstr>
      <vt:lpstr>m10anc</vt:lpstr>
      <vt:lpstr>m10avl</vt:lpstr>
      <vt:lpstr>m10banc</vt:lpstr>
      <vt:lpstr>m10bavl</vt:lpstr>
      <vt:lpstr>m122bnnc</vt:lpstr>
      <vt:lpstr>m122bnvl</vt:lpstr>
      <vt:lpstr>m12aanc</vt:lpstr>
      <vt:lpstr>m12aavl</vt:lpstr>
      <vt:lpstr>m12anc</vt:lpstr>
      <vt:lpstr>m12avl</vt:lpstr>
      <vt:lpstr>M12ba3p</vt:lpstr>
      <vt:lpstr>m12banc</vt:lpstr>
      <vt:lpstr>m12bavl</vt:lpstr>
      <vt:lpstr>M12bb1p</vt:lpstr>
      <vt:lpstr>m12bbnc</vt:lpstr>
      <vt:lpstr>m12bbvl</vt:lpstr>
      <vt:lpstr>M12bnnc</vt:lpstr>
      <vt:lpstr>M12bnvl</vt:lpstr>
      <vt:lpstr>M12cbnc</vt:lpstr>
      <vt:lpstr>M12cbvl</vt:lpstr>
      <vt:lpstr>M14.1</vt:lpstr>
      <vt:lpstr>M14.1a</vt:lpstr>
      <vt:lpstr>M14.2</vt:lpstr>
      <vt:lpstr>M14.2a</vt:lpstr>
      <vt:lpstr>m142bnnc</vt:lpstr>
      <vt:lpstr>m142bnvl</vt:lpstr>
      <vt:lpstr>M14bb1p</vt:lpstr>
      <vt:lpstr>m14bbnc</vt:lpstr>
      <vt:lpstr>M14bbvc</vt:lpstr>
      <vt:lpstr>m14bbvl</vt:lpstr>
      <vt:lpstr>M2_</vt:lpstr>
      <vt:lpstr>M8a</vt:lpstr>
      <vt:lpstr>M8aa</vt:lpstr>
      <vt:lpstr>m8aanc</vt:lpstr>
      <vt:lpstr>m8aavl</vt:lpstr>
      <vt:lpstr>m8amtc</vt:lpstr>
      <vt:lpstr>m8anc</vt:lpstr>
      <vt:lpstr>m8avl</vt:lpstr>
      <vt:lpstr>Ma_hang</vt:lpstr>
      <vt:lpstr>Ma3pnc</vt:lpstr>
      <vt:lpstr>Ma3pvl</vt:lpstr>
      <vt:lpstr>Maa3pnc</vt:lpstr>
      <vt:lpstr>Maa3pvl</vt:lpstr>
      <vt:lpstr>MAJ_CON_EQP</vt:lpstr>
      <vt:lpstr>MANG_MC</vt:lpstr>
      <vt:lpstr>Masonry</vt:lpstr>
      <vt:lpstr>MAT</vt:lpstr>
      <vt:lpstr>matit</vt:lpstr>
      <vt:lpstr>MATK</vt:lpstr>
      <vt:lpstr>MATK_CD</vt:lpstr>
      <vt:lpstr>MATK_M</vt:lpstr>
      <vt:lpstr>MAY</vt:lpstr>
      <vt:lpstr>MB_Intel_Server_C440GX_Dual_Sl2_ATX</vt:lpstr>
      <vt:lpstr>MB_Tomato_810B_Twin</vt:lpstr>
      <vt:lpstr>Mba1p</vt:lpstr>
      <vt:lpstr>Mba3p</vt:lpstr>
      <vt:lpstr>Mbb3p</vt:lpstr>
      <vt:lpstr>Mbn1p</vt:lpstr>
      <vt:lpstr>mbnc</vt:lpstr>
      <vt:lpstr>mbvl</vt:lpstr>
      <vt:lpstr>mc</vt:lpstr>
      <vt:lpstr>MCCO</vt:lpstr>
      <vt:lpstr>MCCO10</vt:lpstr>
      <vt:lpstr>MCCO11</vt:lpstr>
      <vt:lpstr>MCCO12</vt:lpstr>
      <vt:lpstr>MCCO13</vt:lpstr>
      <vt:lpstr>MCCO3</vt:lpstr>
      <vt:lpstr>MCCO4</vt:lpstr>
      <vt:lpstr>MCCO5</vt:lpstr>
      <vt:lpstr>MCCO6</vt:lpstr>
      <vt:lpstr>MCCO7</vt:lpstr>
      <vt:lpstr>MCCO8</vt:lpstr>
      <vt:lpstr>MCCO9</vt:lpstr>
      <vt:lpstr>MCCOÙ</vt:lpstr>
      <vt:lpstr>MDT</vt:lpstr>
      <vt:lpstr>MDTa</vt:lpstr>
      <vt:lpstr>MDTN</vt:lpstr>
      <vt:lpstr>me</vt:lpstr>
      <vt:lpstr>MetalWork</vt:lpstr>
      <vt:lpstr>MF</vt:lpstr>
      <vt:lpstr>mg</vt:lpstr>
      <vt:lpstr>MG_A</vt:lpstr>
      <vt:lpstr>mg1.</vt:lpstr>
      <vt:lpstr>mg2.</vt:lpstr>
      <vt:lpstr>MH</vt:lpstr>
      <vt:lpstr>minh</vt:lpstr>
      <vt:lpstr>MINH1</vt:lpstr>
      <vt:lpstr>MINH2</vt:lpstr>
      <vt:lpstr>MiscellaneousWork</vt:lpstr>
      <vt:lpstr>mL</vt:lpstr>
      <vt:lpstr>mm</vt:lpstr>
      <vt:lpstr>mmm</vt:lpstr>
      <vt:lpstr>mmmm</vt:lpstr>
      <vt:lpstr>mn</vt:lpstr>
      <vt:lpstr>mnb</vt:lpstr>
      <vt:lpstr>mncvhjkhj</vt:lpstr>
      <vt:lpstr>MNTB</vt:lpstr>
      <vt:lpstr>MNTC</vt:lpstr>
      <vt:lpstr>MNTHTH</vt:lpstr>
      <vt:lpstr>MNTN</vt:lpstr>
      <vt:lpstr>MNTT</vt:lpstr>
      <vt:lpstr>mo</vt:lpstr>
      <vt:lpstr>Mo_BinhDien</vt:lpstr>
      <vt:lpstr>Mo5_BinhDien</vt:lpstr>
      <vt:lpstr>Moi</vt:lpstr>
      <vt:lpstr>MoM0</vt:lpstr>
      <vt:lpstr>mot</vt:lpstr>
      <vt:lpstr>mp1x25</vt:lpstr>
      <vt:lpstr>Mpld</vt:lpstr>
      <vt:lpstr>Mr</vt:lpstr>
      <vt:lpstr>mrn.inv._.budget</vt:lpstr>
      <vt:lpstr>ms</vt:lpstr>
      <vt:lpstr>mt</vt:lpstr>
      <vt:lpstr>MTC1P</vt:lpstr>
      <vt:lpstr>MTC3P</vt:lpstr>
      <vt:lpstr>MTcat</vt:lpstr>
      <vt:lpstr>MTCata</vt:lpstr>
      <vt:lpstr>MTCHC</vt:lpstr>
      <vt:lpstr>MTCMB</vt:lpstr>
      <vt:lpstr>MTMAC12</vt:lpstr>
      <vt:lpstr>mtr</vt:lpstr>
      <vt:lpstr>mtram</vt:lpstr>
      <vt:lpstr>MUN</vt:lpstr>
      <vt:lpstr>MV</vt:lpstr>
      <vt:lpstr>myle</vt:lpstr>
      <vt:lpstr>n</vt:lpstr>
      <vt:lpstr>n.d1</vt:lpstr>
      <vt:lpstr>n.d2</vt:lpstr>
      <vt:lpstr>N.M14.1</vt:lpstr>
      <vt:lpstr>N.M14.2</vt:lpstr>
      <vt:lpstr>N.MTCat</vt:lpstr>
      <vt:lpstr>n1_</vt:lpstr>
      <vt:lpstr>N1IN</vt:lpstr>
      <vt:lpstr>n1pig</vt:lpstr>
      <vt:lpstr>n1pignc</vt:lpstr>
      <vt:lpstr>n1pigvl</vt:lpstr>
      <vt:lpstr>n1pind</vt:lpstr>
      <vt:lpstr>n1pindnc</vt:lpstr>
      <vt:lpstr>n1pindvl</vt:lpstr>
      <vt:lpstr>n1ping</vt:lpstr>
      <vt:lpstr>n1pingnc</vt:lpstr>
      <vt:lpstr>n1pingvl</vt:lpstr>
      <vt:lpstr>n1pint</vt:lpstr>
      <vt:lpstr>n1pintnc</vt:lpstr>
      <vt:lpstr>n1pintvl</vt:lpstr>
      <vt:lpstr>n2_</vt:lpstr>
      <vt:lpstr>n24nc</vt:lpstr>
      <vt:lpstr>n24vl</vt:lpstr>
      <vt:lpstr>n2mignc</vt:lpstr>
      <vt:lpstr>n2migvl</vt:lpstr>
      <vt:lpstr>n2min1nc</vt:lpstr>
      <vt:lpstr>n2min1vl</vt:lpstr>
      <vt:lpstr>n3_</vt:lpstr>
      <vt:lpstr>n4_</vt:lpstr>
      <vt:lpstr>Namna</vt:lpstr>
      <vt:lpstr>Nc</vt:lpstr>
      <vt:lpstr>NC.DMC</vt:lpstr>
      <vt:lpstr>NC.GTTMC</vt:lpstr>
      <vt:lpstr>NC.M10.1</vt:lpstr>
      <vt:lpstr>NC.M10.2</vt:lpstr>
      <vt:lpstr>NC.M14.1</vt:lpstr>
      <vt:lpstr>NC.M14.2</vt:lpstr>
      <vt:lpstr>NC.MDT</vt:lpstr>
      <vt:lpstr>NC.MTCat</vt:lpstr>
      <vt:lpstr>NC.T1C.CDFD</vt:lpstr>
      <vt:lpstr>NC.T1C.M14</vt:lpstr>
      <vt:lpstr>NC.TTC</vt:lpstr>
      <vt:lpstr>NC.X.CSV</vt:lpstr>
      <vt:lpstr>NC.XL</vt:lpstr>
      <vt:lpstr>nc1nc</vt:lpstr>
      <vt:lpstr>nc1p</vt:lpstr>
      <vt:lpstr>nc1vl</vt:lpstr>
      <vt:lpstr>nc24nc</vt:lpstr>
      <vt:lpstr>nc24vl</vt:lpstr>
      <vt:lpstr>nc3p</vt:lpstr>
      <vt:lpstr>ncb</vt:lpstr>
      <vt:lpstr>NCBD100</vt:lpstr>
      <vt:lpstr>NCBD200</vt:lpstr>
      <vt:lpstr>NCBD250</vt:lpstr>
      <vt:lpstr>ncbt</vt:lpstr>
      <vt:lpstr>NCcap0.7</vt:lpstr>
      <vt:lpstr>NCcap1</vt:lpstr>
      <vt:lpstr>nccc2</vt:lpstr>
      <vt:lpstr>ncday35</vt:lpstr>
      <vt:lpstr>ncday50</vt:lpstr>
      <vt:lpstr>ncday70</vt:lpstr>
      <vt:lpstr>ncday95</vt:lpstr>
      <vt:lpstr>ncdd</vt:lpstr>
      <vt:lpstr>NCDD2</vt:lpstr>
      <vt:lpstr>NCHC</vt:lpstr>
      <vt:lpstr>NCKT</vt:lpstr>
      <vt:lpstr>Ncol</vt:lpstr>
      <vt:lpstr>nctr</vt:lpstr>
      <vt:lpstr>nctram</vt:lpstr>
      <vt:lpstr>NCVC100</vt:lpstr>
      <vt:lpstr>NCVC200</vt:lpstr>
      <vt:lpstr>NCVC250</vt:lpstr>
      <vt:lpstr>NCVC3P</vt:lpstr>
      <vt:lpstr>nd</vt:lpstr>
      <vt:lpstr>nd_8</vt:lpstr>
      <vt:lpstr>nd_9</vt:lpstr>
      <vt:lpstr>Ndn</vt:lpstr>
      <vt:lpstr>Néi_dung</vt:lpstr>
      <vt:lpstr>NET</vt:lpstr>
      <vt:lpstr>NET_1</vt:lpstr>
      <vt:lpstr>NET_ANA</vt:lpstr>
      <vt:lpstr>NET_ANA_1</vt:lpstr>
      <vt:lpstr>NET_ANA_2</vt:lpstr>
      <vt:lpstr>new</vt:lpstr>
      <vt:lpstr>NEWNAME</vt:lpstr>
      <vt:lpstr>NewPOS</vt:lpstr>
      <vt:lpstr>Ng</vt:lpstr>
      <vt:lpstr>ng.</vt:lpstr>
      <vt:lpstr>Ng_y__i</vt:lpstr>
      <vt:lpstr>ng1.</vt:lpstr>
      <vt:lpstr>ng2.</vt:lpstr>
      <vt:lpstr>ngau</vt:lpstr>
      <vt:lpstr>ngay23</vt:lpstr>
      <vt:lpstr>Ngaycong</vt:lpstr>
      <vt:lpstr>NGAYCTU_B</vt:lpstr>
      <vt:lpstr>NGHI</vt:lpstr>
      <vt:lpstr>Nghiepvu</vt:lpstr>
      <vt:lpstr>NH</vt:lpstr>
      <vt:lpstr>Nhancong</vt:lpstr>
      <vt:lpstr>NHANTIEN</vt:lpstr>
      <vt:lpstr>nhap1</vt:lpstr>
      <vt:lpstr>nhap2</vt:lpstr>
      <vt:lpstr>nhap3</vt:lpstr>
      <vt:lpstr>nhapcb</vt:lpstr>
      <vt:lpstr>nhapngay</vt:lpstr>
      <vt:lpstr>nhn</vt:lpstr>
      <vt:lpstr>NhNgam</vt:lpstr>
      <vt:lpstr>nhnnc</vt:lpstr>
      <vt:lpstr>nhnvl</vt:lpstr>
      <vt:lpstr>NHot</vt:lpstr>
      <vt:lpstr>NhTreo</vt:lpstr>
      <vt:lpstr>nhua</vt:lpstr>
      <vt:lpstr>nhung</vt:lpstr>
      <vt:lpstr>nhvnbv</vt:lpstr>
      <vt:lpstr>nig</vt:lpstr>
      <vt:lpstr>NIG13p</vt:lpstr>
      <vt:lpstr>nig1p</vt:lpstr>
      <vt:lpstr>nig3p</vt:lpstr>
      <vt:lpstr>nightnc</vt:lpstr>
      <vt:lpstr>nightvl</vt:lpstr>
      <vt:lpstr>nignc1p</vt:lpstr>
      <vt:lpstr>nignc3p</vt:lpstr>
      <vt:lpstr>nigvl1p</vt:lpstr>
      <vt:lpstr>nigvl3p</vt:lpstr>
      <vt:lpstr>nin</vt:lpstr>
      <vt:lpstr>nin14nc3p</vt:lpstr>
      <vt:lpstr>nin14vl3p</vt:lpstr>
      <vt:lpstr>nin1903p</vt:lpstr>
      <vt:lpstr>nin190nc</vt:lpstr>
      <vt:lpstr>nin190nc3p</vt:lpstr>
      <vt:lpstr>nin190vl</vt:lpstr>
      <vt:lpstr>nin190vl3p</vt:lpstr>
      <vt:lpstr>nin1pnc</vt:lpstr>
      <vt:lpstr>nin1pvl</vt:lpstr>
      <vt:lpstr>nin2903p</vt:lpstr>
      <vt:lpstr>nin290nc3p</vt:lpstr>
      <vt:lpstr>nin290vl3p</vt:lpstr>
      <vt:lpstr>nin3p</vt:lpstr>
      <vt:lpstr>nind</vt:lpstr>
      <vt:lpstr>nind1p</vt:lpstr>
      <vt:lpstr>nind3p</vt:lpstr>
      <vt:lpstr>nindnc</vt:lpstr>
      <vt:lpstr>nindnc1p</vt:lpstr>
      <vt:lpstr>nindnc3p</vt:lpstr>
      <vt:lpstr>nindvl</vt:lpstr>
      <vt:lpstr>nindvl1p</vt:lpstr>
      <vt:lpstr>nindvl3p</vt:lpstr>
      <vt:lpstr>ning1p</vt:lpstr>
      <vt:lpstr>ningnc1p</vt:lpstr>
      <vt:lpstr>ningvl1p</vt:lpstr>
      <vt:lpstr>NinhBinh_Nhoquan110</vt:lpstr>
      <vt:lpstr>ninnc</vt:lpstr>
      <vt:lpstr>ninnc3p</vt:lpstr>
      <vt:lpstr>nint1p</vt:lpstr>
      <vt:lpstr>nintnc1p</vt:lpstr>
      <vt:lpstr>nintvl1p</vt:lpstr>
      <vt:lpstr>ninvl</vt:lpstr>
      <vt:lpstr>ninvl3p</vt:lpstr>
      <vt:lpstr>nL</vt:lpstr>
      <vt:lpstr>NL12nc</vt:lpstr>
      <vt:lpstr>NL12vl</vt:lpstr>
      <vt:lpstr>nl1p</vt:lpstr>
      <vt:lpstr>nl3p</vt:lpstr>
      <vt:lpstr>nlht</vt:lpstr>
      <vt:lpstr>nlmtc</vt:lpstr>
      <vt:lpstr>nlnc</vt:lpstr>
      <vt:lpstr>nlnc3p</vt:lpstr>
      <vt:lpstr>nlnc3pha</vt:lpstr>
      <vt:lpstr>NLTK1p</vt:lpstr>
      <vt:lpstr>nlvl</vt:lpstr>
      <vt:lpstr>nlvl1</vt:lpstr>
      <vt:lpstr>nlvl3p</vt:lpstr>
      <vt:lpstr>nm</vt:lpstr>
      <vt:lpstr>Nmn</vt:lpstr>
      <vt:lpstr>nn</vt:lpstr>
      <vt:lpstr>nn1p</vt:lpstr>
      <vt:lpstr>nn3p</vt:lpstr>
      <vt:lpstr>nng</vt:lpstr>
      <vt:lpstr>nnn</vt:lpstr>
      <vt:lpstr>nnnc</vt:lpstr>
      <vt:lpstr>nnnc3p</vt:lpstr>
      <vt:lpstr>nnvl</vt:lpstr>
      <vt:lpstr>nnvl3p</vt:lpstr>
      <vt:lpstr>NO</vt:lpstr>
      <vt:lpstr>NOCU</vt:lpstr>
      <vt:lpstr>none</vt:lpstr>
      <vt:lpstr>Np</vt:lpstr>
      <vt:lpstr>Nq</vt:lpstr>
      <vt:lpstr>NRy</vt:lpstr>
      <vt:lpstr>NS</vt:lpstr>
      <vt:lpstr>nuoc</vt:lpstr>
      <vt:lpstr>NUOCHKHOAN</vt:lpstr>
      <vt:lpstr>NUOCHKHOANMOI</vt:lpstr>
      <vt:lpstr>nv</vt:lpstr>
      <vt:lpstr>nx</vt:lpstr>
      <vt:lpstr>nxmtc</vt:lpstr>
      <vt:lpstr>o</vt:lpstr>
      <vt:lpstr>Ô</vt:lpstr>
      <vt:lpstr>oc</vt:lpstr>
      <vt:lpstr>OE</vt:lpstr>
      <vt:lpstr>ôi</vt:lpstr>
      <vt:lpstr>ol</vt:lpstr>
      <vt:lpstr>ong</vt:lpstr>
      <vt:lpstr>ophom</vt:lpstr>
      <vt:lpstr>OrderTable</vt:lpstr>
      <vt:lpstr>osc</vt:lpstr>
      <vt:lpstr>OTHER_PANEL</vt:lpstr>
      <vt:lpstr>OtherWork</vt:lpstr>
      <vt:lpstr>oudom</vt:lpstr>
      <vt:lpstr>oxy</vt:lpstr>
      <vt:lpstr>P</vt:lpstr>
      <vt:lpstr>P_M</vt:lpstr>
      <vt:lpstr>p1_</vt:lpstr>
      <vt:lpstr>p2_</vt:lpstr>
      <vt:lpstr>PA</vt:lpstr>
      <vt:lpstr>Painting</vt:lpstr>
      <vt:lpstr>PB</vt:lpstr>
      <vt:lpstr>Pd</vt:lpstr>
      <vt:lpstr>Pda</vt:lpstr>
      <vt:lpstr>Pdi</vt:lpstr>
      <vt:lpstr>PEJM</vt:lpstr>
      <vt:lpstr>PF</vt:lpstr>
      <vt:lpstr>pgia</vt:lpstr>
      <vt:lpstr>PGV</vt:lpstr>
      <vt:lpstr>phada</vt:lpstr>
      <vt:lpstr>phantich3</vt:lpstr>
      <vt:lpstr>phu_luc_vua</vt:lpstr>
      <vt:lpstr>phugia</vt:lpstr>
      <vt:lpstr>phuong</vt:lpstr>
      <vt:lpstr>PileSize</vt:lpstr>
      <vt:lpstr>PileType</vt:lpstr>
      <vt:lpstr>PK</vt:lpstr>
      <vt:lpstr>pl</vt:lpstr>
      <vt:lpstr>PL_???___P.B.___REST_P.B._????</vt:lpstr>
      <vt:lpstr>PL_指示燈___P.B.___REST_P.B._壓扣開關</vt:lpstr>
      <vt:lpstr>Plaster</vt:lpstr>
      <vt:lpstr>PLp</vt:lpstr>
      <vt:lpstr>PLt</vt:lpstr>
      <vt:lpstr>PLvuaBT</vt:lpstr>
      <vt:lpstr>PM</vt:lpstr>
      <vt:lpstr>PowerCord</vt:lpstr>
      <vt:lpstr>PP114_2P114_3P60</vt:lpstr>
      <vt:lpstr>PRICE</vt:lpstr>
      <vt:lpstr>PRICE1</vt:lpstr>
      <vt:lpstr>prin_area</vt:lpstr>
      <vt:lpstr>Print_Area_MI</vt:lpstr>
      <vt:lpstr>Print_Titles_MI</vt:lpstr>
      <vt:lpstr>PRINTA</vt:lpstr>
      <vt:lpstr>PRINTB</vt:lpstr>
      <vt:lpstr>PRINTC</vt:lpstr>
      <vt:lpstr>ProdForm</vt:lpstr>
      <vt:lpstr>Product</vt:lpstr>
      <vt:lpstr>PROPOSAL</vt:lpstr>
      <vt:lpstr>Protex</vt:lpstr>
      <vt:lpstr>PSCO_CD</vt:lpstr>
      <vt:lpstr>PSNO_CD</vt:lpstr>
      <vt:lpstr>PST</vt:lpstr>
      <vt:lpstr>pt</vt:lpstr>
      <vt:lpstr>PT_Duong</vt:lpstr>
      <vt:lpstr>ptdg</vt:lpstr>
      <vt:lpstr>PTDG_cau</vt:lpstr>
      <vt:lpstr>ptdg_cong</vt:lpstr>
      <vt:lpstr>ptdg_duong</vt:lpstr>
      <vt:lpstr>ptich3</vt:lpstr>
      <vt:lpstr>PTNC</vt:lpstr>
      <vt:lpstr>PTST</vt:lpstr>
      <vt:lpstr>ptvt</vt:lpstr>
      <vt:lpstr>Pvc</vt:lpstr>
      <vt:lpstr>Pvd</vt:lpstr>
      <vt:lpstr>Px</vt:lpstr>
      <vt:lpstr>Py</vt:lpstr>
      <vt:lpstr>q</vt:lpstr>
      <vt:lpstr>qc</vt:lpstr>
      <vt:lpstr>QDD</vt:lpstr>
      <vt:lpstr>qềqg</vt:lpstr>
      <vt:lpstr>qfè</vt:lpstr>
      <vt:lpstr>qh</vt:lpstr>
      <vt:lpstr>ql</vt:lpstr>
      <vt:lpstr>qp</vt:lpstr>
      <vt:lpstr>QQ</vt:lpstr>
      <vt:lpstr>qqq</vt:lpstr>
      <vt:lpstr>qSF</vt:lpstr>
      <vt:lpstr>qtdm</vt:lpstr>
      <vt:lpstr>qtebt</vt:lpstr>
      <vt:lpstr>qu</vt:lpstr>
      <vt:lpstr>quehan</vt:lpstr>
      <vt:lpstr>Query1</vt:lpstr>
      <vt:lpstr>qừq</vt:lpstr>
      <vt:lpstr>qx</vt:lpstr>
      <vt:lpstr>qy</vt:lpstr>
      <vt:lpstr>qzqzqz10</vt:lpstr>
      <vt:lpstr>qzqzqz11</vt:lpstr>
      <vt:lpstr>qzqzqz12</vt:lpstr>
      <vt:lpstr>qzqzqz13</vt:lpstr>
      <vt:lpstr>qzqzqz14</vt:lpstr>
      <vt:lpstr>qzqzqz15</vt:lpstr>
      <vt:lpstr>qzqzqz16</vt:lpstr>
      <vt:lpstr>qzqzqz17</vt:lpstr>
      <vt:lpstr>qzqzqz18</vt:lpstr>
      <vt:lpstr>qzqzqz19</vt:lpstr>
      <vt:lpstr>qzqzqz20</vt:lpstr>
      <vt:lpstr>qzqzqz21</vt:lpstr>
      <vt:lpstr>qzqzqz22</vt:lpstr>
      <vt:lpstr>qzqzqz23</vt:lpstr>
      <vt:lpstr>qzqzqz24</vt:lpstr>
      <vt:lpstr>qzqzqz25</vt:lpstr>
      <vt:lpstr>qzqzqz26</vt:lpstr>
      <vt:lpstr>qzqzqz27</vt:lpstr>
      <vt:lpstr>qzqzqz28</vt:lpstr>
      <vt:lpstr>qzqzqz29</vt:lpstr>
      <vt:lpstr>qzqzqz30</vt:lpstr>
      <vt:lpstr>qzqzqz31</vt:lpstr>
      <vt:lpstr>qzqzqz32</vt:lpstr>
      <vt:lpstr>qzqzqz6</vt:lpstr>
      <vt:lpstr>qzqzqz7</vt:lpstr>
      <vt:lpstr>qzqzqz8</vt:lpstr>
      <vt:lpstr>qzqzqz9</vt:lpstr>
      <vt:lpstr>r_</vt:lpstr>
      <vt:lpstr>R0_1</vt:lpstr>
      <vt:lpstr>R0_2</vt:lpstr>
      <vt:lpstr>R00</vt:lpstr>
      <vt:lpstr>R00t</vt:lpstr>
      <vt:lpstr>ra11p</vt:lpstr>
      <vt:lpstr>ra13p</vt:lpstr>
      <vt:lpstr>rack1</vt:lpstr>
      <vt:lpstr>rack2</vt:lpstr>
      <vt:lpstr>rack3</vt:lpstr>
      <vt:lpstr>rack4</vt:lpstr>
      <vt:lpstr>rang1</vt:lpstr>
      <vt:lpstr>range</vt:lpstr>
      <vt:lpstr>Ranhxay</vt:lpstr>
      <vt:lpstr>Rate</vt:lpstr>
      <vt:lpstr>RCArea</vt:lpstr>
      <vt:lpstr>rdrdd</vt:lpstr>
      <vt:lpstr>Rdtc</vt:lpstr>
      <vt:lpstr>re</vt:lpstr>
      <vt:lpstr>RECOUT</vt:lpstr>
      <vt:lpstr>REPORT01</vt:lpstr>
      <vt:lpstr>REPORT02</vt:lpstr>
      <vt:lpstr>Result21</vt:lpstr>
      <vt:lpstr>RFP003A</vt:lpstr>
      <vt:lpstr>RFP003B</vt:lpstr>
      <vt:lpstr>RFP003C</vt:lpstr>
      <vt:lpstr>RFP003D</vt:lpstr>
      <vt:lpstr>RFP003E</vt:lpstr>
      <vt:lpstr>RFP003F</vt:lpstr>
      <vt:lpstr>rhgrs</vt:lpstr>
      <vt:lpstr>rhrewhehe</vt:lpstr>
      <vt:lpstr>ri</vt:lpstr>
      <vt:lpstr>rjf</vt:lpstr>
      <vt:lpstr>rkd</vt:lpstr>
      <vt:lpstr>RoofingWork</vt:lpstr>
      <vt:lpstr>Round</vt:lpstr>
      <vt:lpstr>rowdex</vt:lpstr>
      <vt:lpstr>RREE</vt:lpstr>
      <vt:lpstr>RRR</vt:lpstr>
      <vt:lpstr>RRRDGG</vt:lpstr>
      <vt:lpstr>rrrfff</vt:lpstr>
      <vt:lpstr>rrrrrrrrrrrrrrr</vt:lpstr>
      <vt:lpstr>RT</vt:lpstr>
      <vt:lpstr>Rtd</vt:lpstr>
      <vt:lpstr>rung25</vt:lpstr>
      <vt:lpstr>ryedfg</vt:lpstr>
      <vt:lpstr>ryhtrd</vt:lpstr>
      <vt:lpstr>S</vt:lpstr>
      <vt:lpstr>s_0cd</vt:lpstr>
      <vt:lpstr>s_58</vt:lpstr>
      <vt:lpstr>s_58g</vt:lpstr>
      <vt:lpstr>s_59</vt:lpstr>
      <vt:lpstr>s_59g</vt:lpstr>
      <vt:lpstr>s_Icd</vt:lpstr>
      <vt:lpstr>s1_</vt:lpstr>
      <vt:lpstr>s2_</vt:lpstr>
      <vt:lpstr>s3_</vt:lpstr>
      <vt:lpstr>s4_</vt:lpstr>
      <vt:lpstr>sa</vt:lpstr>
      <vt:lpstr>SAD</vt:lpstr>
      <vt:lpstr>sadec</vt:lpstr>
      <vt:lpstr>San_truoc</vt:lpstr>
      <vt:lpstr>SAPBEXrevision</vt:lpstr>
      <vt:lpstr>SAPBEXsysID</vt:lpstr>
      <vt:lpstr>SAPBEXwbID</vt:lpstr>
      <vt:lpstr>sat</vt:lpstr>
      <vt:lpstr>satt</vt:lpstr>
      <vt:lpstr>satu</vt:lpstr>
      <vt:lpstr>sau</vt:lpstr>
      <vt:lpstr>SA順にソートする</vt:lpstr>
      <vt:lpstr>SB</vt:lpstr>
      <vt:lpstr>sb_8</vt:lpstr>
      <vt:lpstr>sb_8g</vt:lpstr>
      <vt:lpstr>sb_9</vt:lpstr>
      <vt:lpstr>sb_9g</vt:lpstr>
      <vt:lpstr>SCCR</vt:lpstr>
      <vt:lpstr>scdk</vt:lpstr>
      <vt:lpstr>scdl</vt:lpstr>
      <vt:lpstr>SCDT</vt:lpstr>
      <vt:lpstr>SCH</vt:lpstr>
      <vt:lpstr>scm</vt:lpstr>
      <vt:lpstr>scr</vt:lpstr>
      <vt:lpstr>sctdk</vt:lpstr>
      <vt:lpstr>sctdl</vt:lpstr>
      <vt:lpstr>sctqdl</vt:lpstr>
      <vt:lpstr>SCTX</vt:lpstr>
      <vt:lpstr>sd3p</vt:lpstr>
      <vt:lpstr>sdcfzdcdzssaf</vt:lpstr>
      <vt:lpstr>sdfs</vt:lpstr>
      <vt:lpstr>sdfsdfsd</vt:lpstr>
      <vt:lpstr>sdgsdfgdf</vt:lpstr>
      <vt:lpstr>Sdh</vt:lpstr>
      <vt:lpstr>SDMONG</vt:lpstr>
      <vt:lpstr>Sdnn</vt:lpstr>
      <vt:lpstr>Sdnt</vt:lpstr>
      <vt:lpstr>Sdntb</vt:lpstr>
      <vt:lpstr>sdo</vt:lpstr>
      <vt:lpstr>sen</vt:lpstr>
      <vt:lpstr>sencount</vt:lpstr>
      <vt:lpstr>Sensation</vt:lpstr>
      <vt:lpstr>sf</vt:lpstr>
      <vt:lpstr>sfasf</vt:lpstr>
      <vt:lpstr>sfdsf</vt:lpstr>
      <vt:lpstr>sff</vt:lpstr>
      <vt:lpstr>sfh</vt:lpstr>
      <vt:lpstr>sfsaf</vt:lpstr>
      <vt:lpstr>sg</vt:lpstr>
      <vt:lpstr>sg1.</vt:lpstr>
      <vt:lpstr>sg2.</vt:lpstr>
      <vt:lpstr>sgnc</vt:lpstr>
      <vt:lpstr>sgsr</vt:lpstr>
      <vt:lpstr>sgvl</vt:lpstr>
      <vt:lpstr>shee12</vt:lpstr>
      <vt:lpstr>sheet</vt:lpstr>
      <vt:lpstr>Sheet1</vt:lpstr>
      <vt:lpstr>Sheet1_Without_Matching_CUOC_INTERNET_TRU_T4</vt:lpstr>
      <vt:lpstr>shn</vt:lpstr>
      <vt:lpstr>sho</vt:lpstr>
      <vt:lpstr>Shoes</vt:lpstr>
      <vt:lpstr>shsrhtr</vt:lpstr>
      <vt:lpstr>sht</vt:lpstr>
      <vt:lpstr>sht3p</vt:lpstr>
      <vt:lpstr>SIZE</vt:lpstr>
      <vt:lpstr>sjoiseiorkl</vt:lpstr>
      <vt:lpstr>skd</vt:lpstr>
      <vt:lpstr>SKUcoverage</vt:lpstr>
      <vt:lpstr>SL</vt:lpstr>
      <vt:lpstr>SL_CRD</vt:lpstr>
      <vt:lpstr>SL_CRS</vt:lpstr>
      <vt:lpstr>SL_CS</vt:lpstr>
      <vt:lpstr>SL_DD</vt:lpstr>
      <vt:lpstr>slk</vt:lpstr>
      <vt:lpstr>sll</vt:lpstr>
      <vt:lpstr>SMBA</vt:lpstr>
      <vt:lpstr>Smn</vt:lpstr>
      <vt:lpstr>So_Chu.Drop1</vt:lpstr>
      <vt:lpstr>So_Chu.Drop3</vt:lpstr>
      <vt:lpstr>so_chu.So_Xau</vt:lpstr>
      <vt:lpstr>So_ctu</vt:lpstr>
      <vt:lpstr>So_luong</vt:lpstr>
      <vt:lpstr>So_Xau</vt:lpstr>
      <vt:lpstr>soc3p</vt:lpstr>
      <vt:lpstr>SOCTU_B</vt:lpstr>
      <vt:lpstr>SOCTU_NK</vt:lpstr>
      <vt:lpstr>SOCTU_NK_BH</vt:lpstr>
      <vt:lpstr>sodu</vt:lpstr>
      <vt:lpstr>soho</vt:lpstr>
      <vt:lpstr>Soi</vt:lpstr>
      <vt:lpstr>Soi_HamYen</vt:lpstr>
      <vt:lpstr>SoilType</vt:lpstr>
      <vt:lpstr>Solan</vt:lpstr>
      <vt:lpstr>soluong</vt:lpstr>
      <vt:lpstr>Sonth</vt:lpstr>
      <vt:lpstr>SORT</vt:lpstr>
      <vt:lpstr>SORT_AREA</vt:lpstr>
      <vt:lpstr>SORT2</vt:lpstr>
      <vt:lpstr>SORT3</vt:lpstr>
      <vt:lpstr>SOTIEN_B</vt:lpstr>
      <vt:lpstr>SOTIEN_CO_NK</vt:lpstr>
      <vt:lpstr>SOTIEN_NO_NK</vt:lpstr>
      <vt:lpstr>SP</vt:lpstr>
      <vt:lpstr>SPEC</vt:lpstr>
      <vt:lpstr>SpecialPrice</vt:lpstr>
      <vt:lpstr>SPECSUMMARY</vt:lpstr>
      <vt:lpstr>spk</vt:lpstr>
      <vt:lpstr>spk1p</vt:lpstr>
      <vt:lpstr>spk3p</vt:lpstr>
      <vt:lpstr>ss</vt:lpstr>
      <vt:lpstr>ssggg</vt:lpstr>
      <vt:lpstr>SSSS</vt:lpstr>
      <vt:lpstr>st3p</vt:lpstr>
      <vt:lpstr>Start_1</vt:lpstr>
      <vt:lpstr>Start_10</vt:lpstr>
      <vt:lpstr>Start_11</vt:lpstr>
      <vt:lpstr>Start_12</vt:lpstr>
      <vt:lpstr>Start_13</vt:lpstr>
      <vt:lpstr>Start_2</vt:lpstr>
      <vt:lpstr>Start_3</vt:lpstr>
      <vt:lpstr>Start_4</vt:lpstr>
      <vt:lpstr>Start_5</vt:lpstr>
      <vt:lpstr>Start_6</vt:lpstr>
      <vt:lpstr>Start_7</vt:lpstr>
      <vt:lpstr>Start_8</vt:lpstr>
      <vt:lpstr>Start_9</vt:lpstr>
      <vt:lpstr>STD</vt:lpstr>
      <vt:lpstr>std.</vt:lpstr>
      <vt:lpstr>stop</vt:lpstr>
      <vt:lpstr>str</vt:lpstr>
      <vt:lpstr>STT</vt:lpstr>
      <vt:lpstr>STT_CT</vt:lpstr>
      <vt:lpstr>STT_NC</vt:lpstr>
      <vt:lpstr>STT_NCT</vt:lpstr>
      <vt:lpstr>STT_PH</vt:lpstr>
      <vt:lpstr>sua</vt:lpstr>
      <vt:lpstr>SUM</vt:lpstr>
      <vt:lpstr>SUMMARY</vt:lpstr>
      <vt:lpstr>sv</vt:lpstr>
      <vt:lpstr>svn</vt:lpstr>
      <vt:lpstr>SXDam24mA</vt:lpstr>
      <vt:lpstr>SXdam24mB</vt:lpstr>
      <vt:lpstr>SXDam33mBien</vt:lpstr>
      <vt:lpstr>SXdam33mGiua</vt:lpstr>
      <vt:lpstr>t</vt:lpstr>
      <vt:lpstr>T.</vt:lpstr>
      <vt:lpstr>t_1</vt:lpstr>
      <vt:lpstr>T_Hoanvon</vt:lpstr>
      <vt:lpstr>t101p</vt:lpstr>
      <vt:lpstr>t103p</vt:lpstr>
      <vt:lpstr>t105mnc</vt:lpstr>
      <vt:lpstr>t10m</vt:lpstr>
      <vt:lpstr>t10nc</vt:lpstr>
      <vt:lpstr>t10nc1p</vt:lpstr>
      <vt:lpstr>t10ncm</vt:lpstr>
      <vt:lpstr>t10vl</vt:lpstr>
      <vt:lpstr>t10vl1p</vt:lpstr>
      <vt:lpstr>T12_</vt:lpstr>
      <vt:lpstr>t121p</vt:lpstr>
      <vt:lpstr>t123p</vt:lpstr>
      <vt:lpstr>t12m</vt:lpstr>
      <vt:lpstr>t12mnc</vt:lpstr>
      <vt:lpstr>t12nc</vt:lpstr>
      <vt:lpstr>t12nc3p</vt:lpstr>
      <vt:lpstr>t12ncm</vt:lpstr>
      <vt:lpstr>t12vl</vt:lpstr>
      <vt:lpstr>t12vl3p</vt:lpstr>
      <vt:lpstr>t141p</vt:lpstr>
      <vt:lpstr>t143p</vt:lpstr>
      <vt:lpstr>t14m</vt:lpstr>
      <vt:lpstr>t14mnc</vt:lpstr>
      <vt:lpstr>t14nc</vt:lpstr>
      <vt:lpstr>t14nc3p</vt:lpstr>
      <vt:lpstr>t14ncm</vt:lpstr>
      <vt:lpstr>T14vc</vt:lpstr>
      <vt:lpstr>t14vl</vt:lpstr>
      <vt:lpstr>t14vl3p</vt:lpstr>
      <vt:lpstr>T1C.CDFD</vt:lpstr>
      <vt:lpstr>T1C.CDFDa</vt:lpstr>
      <vt:lpstr>T1C.M14</vt:lpstr>
      <vt:lpstr>T1C.M14a</vt:lpstr>
      <vt:lpstr>T2_</vt:lpstr>
      <vt:lpstr>T203P</vt:lpstr>
      <vt:lpstr>t20m</vt:lpstr>
      <vt:lpstr>t20ncm</vt:lpstr>
      <vt:lpstr>T4.06</vt:lpstr>
      <vt:lpstr>T4CHINH_SUA</vt:lpstr>
      <vt:lpstr>T5.06</vt:lpstr>
      <vt:lpstr>t7m</vt:lpstr>
      <vt:lpstr>t7nc</vt:lpstr>
      <vt:lpstr>t7vl</vt:lpstr>
      <vt:lpstr>t84mnc</vt:lpstr>
      <vt:lpstr>t8m</vt:lpstr>
      <vt:lpstr>t8nc</vt:lpstr>
      <vt:lpstr>t8vl</vt:lpstr>
      <vt:lpstr>tadao</vt:lpstr>
      <vt:lpstr>Tæng</vt:lpstr>
      <vt:lpstr>Taikhoan</vt:lpstr>
      <vt:lpstr>taikhoanco</vt:lpstr>
      <vt:lpstr>taikhoanno</vt:lpstr>
      <vt:lpstr>TAMUNG</vt:lpstr>
      <vt:lpstr>tanhong</vt:lpstr>
      <vt:lpstr>tanhong1</vt:lpstr>
      <vt:lpstr>TaxTV</vt:lpstr>
      <vt:lpstr>TaxXL</vt:lpstr>
      <vt:lpstr>tb</vt:lpstr>
      <vt:lpstr>TB_CTO</vt:lpstr>
      <vt:lpstr>TBA</vt:lpstr>
      <vt:lpstr>tbdd1p</vt:lpstr>
      <vt:lpstr>tbdd3p</vt:lpstr>
      <vt:lpstr>tbddsdl</vt:lpstr>
      <vt:lpstr>TBI</vt:lpstr>
      <vt:lpstr>tbl_ProdInfo</vt:lpstr>
      <vt:lpstr>TBSGP</vt:lpstr>
      <vt:lpstr>tbtr</vt:lpstr>
      <vt:lpstr>tbtram</vt:lpstr>
      <vt:lpstr>tc</vt:lpstr>
      <vt:lpstr>TC_NHANH1</vt:lpstr>
      <vt:lpstr>tcxxnc</vt:lpstr>
      <vt:lpstr>TD</vt:lpstr>
      <vt:lpstr>td10vl</vt:lpstr>
      <vt:lpstr>td12nc</vt:lpstr>
      <vt:lpstr>td1cnc</vt:lpstr>
      <vt:lpstr>td1cvl</vt:lpstr>
      <vt:lpstr>td1p</vt:lpstr>
      <vt:lpstr>TD1pnc</vt:lpstr>
      <vt:lpstr>TD1pvl</vt:lpstr>
      <vt:lpstr>td3p</vt:lpstr>
      <vt:lpstr>tdc84nc</vt:lpstr>
      <vt:lpstr>tdcnc</vt:lpstr>
      <vt:lpstr>tdgnc</vt:lpstr>
      <vt:lpstr>tdgvl</vt:lpstr>
      <vt:lpstr>tdhtnc</vt:lpstr>
      <vt:lpstr>tdhtvl</vt:lpstr>
      <vt:lpstr>tdia</vt:lpstr>
      <vt:lpstr>tdnc</vt:lpstr>
      <vt:lpstr>tdnc1p</vt:lpstr>
      <vt:lpstr>tdnc3p</vt:lpstr>
      <vt:lpstr>tdo</vt:lpstr>
      <vt:lpstr>tdt</vt:lpstr>
      <vt:lpstr>tdt1pnc</vt:lpstr>
      <vt:lpstr>tdt1pvl</vt:lpstr>
      <vt:lpstr>tdt2cnc</vt:lpstr>
      <vt:lpstr>tdt2cvl</vt:lpstr>
      <vt:lpstr>tdtr2cnc</vt:lpstr>
      <vt:lpstr>tdtr2cvl</vt:lpstr>
      <vt:lpstr>tdtrnc</vt:lpstr>
      <vt:lpstr>tdtrvl</vt:lpstr>
      <vt:lpstr>tdvl</vt:lpstr>
      <vt:lpstr>tdvl1p</vt:lpstr>
      <vt:lpstr>tdvl3p</vt:lpstr>
      <vt:lpstr>TemporaryWork</vt:lpstr>
      <vt:lpstr>Ten_CongTy_TieuDe_E</vt:lpstr>
      <vt:lpstr>Ten_CongTy_TieuDe_V</vt:lpstr>
      <vt:lpstr>Ten_DVChuQuan_E</vt:lpstr>
      <vt:lpstr>Ten_DVChuQuan_V</vt:lpstr>
      <vt:lpstr>TenNgam</vt:lpstr>
      <vt:lpstr>TenTreo</vt:lpstr>
      <vt:lpstr>ter</vt:lpstr>
      <vt:lpstr>TextRefCopyRangeCount</vt:lpstr>
      <vt:lpstr>TG</vt:lpstr>
      <vt:lpstr>TGLS</vt:lpstr>
      <vt:lpstr>tgưgz</vt:lpstr>
      <vt:lpstr>th</vt:lpstr>
      <vt:lpstr>th3x15</vt:lpstr>
      <vt:lpstr>tha</vt:lpstr>
      <vt:lpstr>thai</vt:lpstr>
      <vt:lpstr>Than</vt:lpstr>
      <vt:lpstr>thang</vt:lpstr>
      <vt:lpstr>Thang10</vt:lpstr>
      <vt:lpstr>thang13</vt:lpstr>
      <vt:lpstr>thang4</vt:lpstr>
      <vt:lpstr>thang8</vt:lpstr>
      <vt:lpstr>thang9</vt:lpstr>
      <vt:lpstr>thanh</vt:lpstr>
      <vt:lpstr>Thanh_tien_nhap</vt:lpstr>
      <vt:lpstr>Thanh_tien_xuat</vt:lpstr>
      <vt:lpstr>THANHTIEN</vt:lpstr>
      <vt:lpstr>ThanhXuan110</vt:lpstr>
      <vt:lpstr>thao</vt:lpstr>
      <vt:lpstr>THCTO</vt:lpstr>
      <vt:lpstr>thdt</vt:lpstr>
      <vt:lpstr>thepbuoc</vt:lpstr>
      <vt:lpstr>ThepCT3</vt:lpstr>
      <vt:lpstr>thepCT5</vt:lpstr>
      <vt:lpstr>ThepDet32x3</vt:lpstr>
      <vt:lpstr>ThepDet35x3</vt:lpstr>
      <vt:lpstr>ThepDet40x4</vt:lpstr>
      <vt:lpstr>ThepDet45x4</vt:lpstr>
      <vt:lpstr>ThepDet50x5</vt:lpstr>
      <vt:lpstr>ThepDet63x6</vt:lpstr>
      <vt:lpstr>ThepDet75x6</vt:lpstr>
      <vt:lpstr>thepDet75x7</vt:lpstr>
      <vt:lpstr>ThepGoc32x32x3</vt:lpstr>
      <vt:lpstr>ThepGoc35x35x3</vt:lpstr>
      <vt:lpstr>ThepGoc40x40x4</vt:lpstr>
      <vt:lpstr>ThepGoc45x45x4</vt:lpstr>
      <vt:lpstr>ThepGoc50x50x5</vt:lpstr>
      <vt:lpstr>ThepGoc63x63x6</vt:lpstr>
      <vt:lpstr>ThepGoc75x6</vt:lpstr>
      <vt:lpstr>ThepGoc75x75x6</vt:lpstr>
      <vt:lpstr>thephinh</vt:lpstr>
      <vt:lpstr>theptam</vt:lpstr>
      <vt:lpstr>ThepTronD10D18</vt:lpstr>
      <vt:lpstr>ThepTronD6D8</vt:lpstr>
      <vt:lpstr>thepU</vt:lpstr>
      <vt:lpstr>THGO1pnc</vt:lpstr>
      <vt:lpstr>thht</vt:lpstr>
      <vt:lpstr>THI</vt:lpstr>
      <vt:lpstr>THIETBI</vt:lpstr>
      <vt:lpstr>thinh</vt:lpstr>
      <vt:lpstr>THK</vt:lpstr>
      <vt:lpstr>THKP160</vt:lpstr>
      <vt:lpstr>thkp3</vt:lpstr>
      <vt:lpstr>THKP7YT</vt:lpstr>
      <vt:lpstr>THQT</vt:lpstr>
      <vt:lpstr>tht</vt:lpstr>
      <vt:lpstr>thtr15</vt:lpstr>
      <vt:lpstr>thtt</vt:lpstr>
      <vt:lpstr>thtt6</vt:lpstr>
      <vt:lpstr>Thu__GTGT</vt:lpstr>
      <vt:lpstr>thucthanh</vt:lpstr>
      <vt:lpstr>THUE_GTGT</vt:lpstr>
      <vt:lpstr>THUONG</vt:lpstr>
      <vt:lpstr>THUYETMINH</vt:lpstr>
      <vt:lpstr>thvl</vt:lpstr>
      <vt:lpstr>thvlmoi</vt:lpstr>
      <vt:lpstr>thvlmoimoi</vt:lpstr>
      <vt:lpstr>TI</vt:lpstr>
      <vt:lpstr>Tien</vt:lpstr>
      <vt:lpstr>TIENLUONG</vt:lpstr>
      <vt:lpstr>Tiep_dia</vt:lpstr>
      <vt:lpstr>Tiepdia</vt:lpstr>
      <vt:lpstr>TileStone</vt:lpstr>
      <vt:lpstr>tim</vt:lpstr>
      <vt:lpstr>Tim_lan_xuat_hien</vt:lpstr>
      <vt:lpstr>tim_xuat_hien</vt:lpstr>
      <vt:lpstr>TITAN</vt:lpstr>
      <vt:lpstr>tjhtrjntrsjnsr</vt:lpstr>
      <vt:lpstr>tjhủn</vt:lpstr>
      <vt:lpstr>tjjrj</vt:lpstr>
      <vt:lpstr>tk</vt:lpstr>
      <vt:lpstr>TKCO_NK</vt:lpstr>
      <vt:lpstr>tke</vt:lpstr>
      <vt:lpstr>TKNO_NK</vt:lpstr>
      <vt:lpstr>TKP</vt:lpstr>
      <vt:lpstr>tkt</vt:lpstr>
      <vt:lpstr>TKYB</vt:lpstr>
      <vt:lpstr>TL</vt:lpstr>
      <vt:lpstr>TLAC120</vt:lpstr>
      <vt:lpstr>TLAC35</vt:lpstr>
      <vt:lpstr>TLAC50</vt:lpstr>
      <vt:lpstr>TLAC70</vt:lpstr>
      <vt:lpstr>TLAC95</vt:lpstr>
      <vt:lpstr>TLDa</vt:lpstr>
      <vt:lpstr>TLdat</vt:lpstr>
      <vt:lpstr>TLDM</vt:lpstr>
      <vt:lpstr>Tle</vt:lpstr>
      <vt:lpstr>TM</vt:lpstr>
      <vt:lpstr>TMProtection</vt:lpstr>
      <vt:lpstr>TN</vt:lpstr>
      <vt:lpstr>TN_CTO</vt:lpstr>
      <vt:lpstr>tn1pinnc</vt:lpstr>
      <vt:lpstr>tn2mhnnc</vt:lpstr>
      <vt:lpstr>TNCM</vt:lpstr>
      <vt:lpstr>tnhnnc</vt:lpstr>
      <vt:lpstr>tnignc</vt:lpstr>
      <vt:lpstr>tnin190nc</vt:lpstr>
      <vt:lpstr>tnlnc</vt:lpstr>
      <vt:lpstr>tnnnc</vt:lpstr>
      <vt:lpstr>tno</vt:lpstr>
      <vt:lpstr>toan</vt:lpstr>
      <vt:lpstr>ton</vt:lpstr>
      <vt:lpstr>tongdt</vt:lpstr>
      <vt:lpstr>TOT</vt:lpstr>
      <vt:lpstr>totb</vt:lpstr>
      <vt:lpstr>totb1</vt:lpstr>
      <vt:lpstr>totb2</vt:lpstr>
      <vt:lpstr>totb3</vt:lpstr>
      <vt:lpstr>totb4</vt:lpstr>
      <vt:lpstr>totb5</vt:lpstr>
      <vt:lpstr>totb6</vt:lpstr>
      <vt:lpstr>TPLRP</vt:lpstr>
      <vt:lpstr>TR15HT</vt:lpstr>
      <vt:lpstr>TR16HT</vt:lpstr>
      <vt:lpstr>TR19HT</vt:lpstr>
      <vt:lpstr>tr1x15</vt:lpstr>
      <vt:lpstr>TR20HT</vt:lpstr>
      <vt:lpstr>tr3x100</vt:lpstr>
      <vt:lpstr>Tra_DM_su_dung</vt:lpstr>
      <vt:lpstr>Tra_don_gia_KS</vt:lpstr>
      <vt:lpstr>Tra_DTCT</vt:lpstr>
      <vt:lpstr>Tra_GTXLST</vt:lpstr>
      <vt:lpstr>Tra_phan_tram</vt:lpstr>
      <vt:lpstr>Tra_tim_hang_mucPT_trung</vt:lpstr>
      <vt:lpstr>Tra_TL</vt:lpstr>
      <vt:lpstr>Tra_ty_le2</vt:lpstr>
      <vt:lpstr>Tra_ty_le3</vt:lpstr>
      <vt:lpstr>Tra_ty_le4</vt:lpstr>
      <vt:lpstr>Tra_ty_le5</vt:lpstr>
      <vt:lpstr>TRA_VAT_LIEU</vt:lpstr>
      <vt:lpstr>tra_vat_lieu1</vt:lpstr>
      <vt:lpstr>TRA_VL</vt:lpstr>
      <vt:lpstr>tra_VL_1</vt:lpstr>
      <vt:lpstr>traA103</vt:lpstr>
      <vt:lpstr>TRADE2</vt:lpstr>
      <vt:lpstr>tram</vt:lpstr>
      <vt:lpstr>tram100</vt:lpstr>
      <vt:lpstr>tram1x25</vt:lpstr>
      <vt:lpstr>tramatcong1</vt:lpstr>
      <vt:lpstr>tramatcong2</vt:lpstr>
      <vt:lpstr>TRAMTON</vt:lpstr>
      <vt:lpstr>tranhietdo</vt:lpstr>
      <vt:lpstr>TRANO</vt:lpstr>
      <vt:lpstr>TRANSFORMER</vt:lpstr>
      <vt:lpstr>TraTH</vt:lpstr>
      <vt:lpstr>TRAVL</vt:lpstr>
      <vt:lpstr>Trinhdo</vt:lpstr>
      <vt:lpstr>TronD10D18</vt:lpstr>
      <vt:lpstr>TronD6D8</vt:lpstr>
      <vt:lpstr>trrh</vt:lpstr>
      <vt:lpstr>trt</vt:lpstr>
      <vt:lpstr>tru10mtc</vt:lpstr>
      <vt:lpstr>Tru4_Bdien</vt:lpstr>
      <vt:lpstr>tru8mtc</vt:lpstr>
      <vt:lpstr>truc</vt:lpstr>
      <vt:lpstr>trung</vt:lpstr>
      <vt:lpstr>TRUNGHI</vt:lpstr>
      <vt:lpstr>TruT10</vt:lpstr>
      <vt:lpstr>TruT2</vt:lpstr>
      <vt:lpstr>TruT3</vt:lpstr>
      <vt:lpstr>TruT5</vt:lpstr>
      <vt:lpstr>TruT6</vt:lpstr>
      <vt:lpstr>TruT7</vt:lpstr>
      <vt:lpstr>TruT8</vt:lpstr>
      <vt:lpstr>TruT9</vt:lpstr>
      <vt:lpstr>tscd</vt:lpstr>
      <vt:lpstr>TT</vt:lpstr>
      <vt:lpstr>TT_1P</vt:lpstr>
      <vt:lpstr>TT_3p</vt:lpstr>
      <vt:lpstr>tt1pnc</vt:lpstr>
      <vt:lpstr>tt1pvl</vt:lpstr>
      <vt:lpstr>tt3pnc</vt:lpstr>
      <vt:lpstr>tt3pvl</vt:lpstr>
      <vt:lpstr>ttam</vt:lpstr>
      <vt:lpstr>ttao</vt:lpstr>
      <vt:lpstr>ttbt</vt:lpstr>
      <vt:lpstr>TTC</vt:lpstr>
      <vt:lpstr>TTCa</vt:lpstr>
      <vt:lpstr>TTDD</vt:lpstr>
      <vt:lpstr>TTDD1P</vt:lpstr>
      <vt:lpstr>TTDD3P</vt:lpstr>
      <vt:lpstr>ttdd3pct</vt:lpstr>
      <vt:lpstr>TTDDCT3p</vt:lpstr>
      <vt:lpstr>TTDKKH</vt:lpstr>
      <vt:lpstr>TTDZ</vt:lpstr>
      <vt:lpstr>TTDZ35</vt:lpstr>
      <vt:lpstr>tthi</vt:lpstr>
      <vt:lpstr>TTK3p</vt:lpstr>
      <vt:lpstr>ttronmk</vt:lpstr>
      <vt:lpstr>ttt</vt:lpstr>
      <vt:lpstr>tttb</vt:lpstr>
      <vt:lpstr>TTTR</vt:lpstr>
      <vt:lpstr>tuan</vt:lpstr>
      <vt:lpstr>TUAN1</vt:lpstr>
      <vt:lpstr>TUAN2</vt:lpstr>
      <vt:lpstr>TUAN3</vt:lpstr>
      <vt:lpstr>TuanGiao</vt:lpstr>
      <vt:lpstr>tuankhanhtuyet</vt:lpstr>
      <vt:lpstr>TuVan</vt:lpstr>
      <vt:lpstr>tv</vt:lpstr>
      <vt:lpstr>tv75nc</vt:lpstr>
      <vt:lpstr>tv75vl</vt:lpstr>
      <vt:lpstr>Twister</vt:lpstr>
      <vt:lpstr>tx1pignc</vt:lpstr>
      <vt:lpstr>tx1pindnc</vt:lpstr>
      <vt:lpstr>tx1pingnc</vt:lpstr>
      <vt:lpstr>tx1pintnc</vt:lpstr>
      <vt:lpstr>tx1pitnc</vt:lpstr>
      <vt:lpstr>tx2mhnnc</vt:lpstr>
      <vt:lpstr>tx2mitnc</vt:lpstr>
      <vt:lpstr>txhnnc</vt:lpstr>
      <vt:lpstr>txig1nc</vt:lpstr>
      <vt:lpstr>txin190nc</vt:lpstr>
      <vt:lpstr>txinnc</vt:lpstr>
      <vt:lpstr>txit1nc</vt:lpstr>
      <vt:lpstr>ty</vt:lpstr>
      <vt:lpstr>ty_le</vt:lpstr>
      <vt:lpstr>ty_le_BTN</vt:lpstr>
      <vt:lpstr>Ty_le1</vt:lpstr>
      <vt:lpstr>u</vt:lpstr>
      <vt:lpstr>uassw_sh</vt:lpstr>
      <vt:lpstr>uipou</vt:lpstr>
      <vt:lpstr>uiqwuewhjdr</vt:lpstr>
      <vt:lpstr>UL</vt:lpstr>
      <vt:lpstr>ủnt</vt:lpstr>
      <vt:lpstr>UP</vt:lpstr>
      <vt:lpstr>usd</vt:lpstr>
      <vt:lpstr>uuuuuuuuuuuuu</vt:lpstr>
      <vt:lpstr>uyen</vt:lpstr>
      <vt:lpstr>uyghu</vt:lpstr>
      <vt:lpstr>ủytỉt</vt:lpstr>
      <vt:lpstr>uytjhtdjtj</vt:lpstr>
      <vt:lpstr>v</vt:lpstr>
      <vt:lpstr>V_1</vt:lpstr>
      <vt:lpstr>V_2</vt:lpstr>
      <vt:lpstr>v_25</vt:lpstr>
      <vt:lpstr>V_3</vt:lpstr>
      <vt:lpstr>V_4</vt:lpstr>
      <vt:lpstr>V0</vt:lpstr>
      <vt:lpstr>VA</vt:lpstr>
      <vt:lpstr>Value0</vt:lpstr>
      <vt:lpstr>Value1</vt:lpstr>
      <vt:lpstr>Value10</vt:lpstr>
      <vt:lpstr>Value11</vt:lpstr>
      <vt:lpstr>Value12</vt:lpstr>
      <vt:lpstr>Value13</vt:lpstr>
      <vt:lpstr>Value14</vt:lpstr>
      <vt:lpstr>Value15</vt:lpstr>
      <vt:lpstr>Value16</vt:lpstr>
      <vt:lpstr>Value17</vt:lpstr>
      <vt:lpstr>Value18</vt:lpstr>
      <vt:lpstr>Value19</vt:lpstr>
      <vt:lpstr>Value2</vt:lpstr>
      <vt:lpstr>Value20</vt:lpstr>
      <vt:lpstr>Value21</vt:lpstr>
      <vt:lpstr>Value22</vt:lpstr>
      <vt:lpstr>Value23</vt:lpstr>
      <vt:lpstr>Value24</vt:lpstr>
      <vt:lpstr>Value25</vt:lpstr>
      <vt:lpstr>Value26</vt:lpstr>
      <vt:lpstr>Value27</vt:lpstr>
      <vt:lpstr>Value28</vt:lpstr>
      <vt:lpstr>Value29</vt:lpstr>
      <vt:lpstr>Value3</vt:lpstr>
      <vt:lpstr>Value30</vt:lpstr>
      <vt:lpstr>Value31</vt:lpstr>
      <vt:lpstr>Value32</vt:lpstr>
      <vt:lpstr>Value33</vt:lpstr>
      <vt:lpstr>Value34</vt:lpstr>
      <vt:lpstr>Value35</vt:lpstr>
      <vt:lpstr>Value36</vt:lpstr>
      <vt:lpstr>Value37</vt:lpstr>
      <vt:lpstr>Value38</vt:lpstr>
      <vt:lpstr>Value39</vt:lpstr>
      <vt:lpstr>Value4</vt:lpstr>
      <vt:lpstr>Value40</vt:lpstr>
      <vt:lpstr>Value41</vt:lpstr>
      <vt:lpstr>Value42</vt:lpstr>
      <vt:lpstr>Value43</vt:lpstr>
      <vt:lpstr>Value44</vt:lpstr>
      <vt:lpstr>Value45</vt:lpstr>
      <vt:lpstr>Value46</vt:lpstr>
      <vt:lpstr>Value47</vt:lpstr>
      <vt:lpstr>Value48</vt:lpstr>
      <vt:lpstr>Value49</vt:lpstr>
      <vt:lpstr>Value5</vt:lpstr>
      <vt:lpstr>Value50</vt:lpstr>
      <vt:lpstr>Value51</vt:lpstr>
      <vt:lpstr>Value52</vt:lpstr>
      <vt:lpstr>Value53</vt:lpstr>
      <vt:lpstr>Value54</vt:lpstr>
      <vt:lpstr>Value55</vt:lpstr>
      <vt:lpstr>Value6</vt:lpstr>
      <vt:lpstr>Value7</vt:lpstr>
      <vt:lpstr>Value8</vt:lpstr>
      <vt:lpstr>Value9</vt:lpstr>
      <vt:lpstr>VARIINST</vt:lpstr>
      <vt:lpstr>VARIPURC</vt:lpstr>
      <vt:lpstr>VAT</vt:lpstr>
      <vt:lpstr>VAT_22</vt:lpstr>
      <vt:lpstr>vatlieu</vt:lpstr>
      <vt:lpstr>VATM</vt:lpstr>
      <vt:lpstr>vay</vt:lpstr>
      <vt:lpstr>VB</vt:lpstr>
      <vt:lpstr>vbgnbvn</vt:lpstr>
      <vt:lpstr>vbnmb</vt:lpstr>
      <vt:lpstr>vbtchongnuocm300</vt:lpstr>
      <vt:lpstr>vbtm150</vt:lpstr>
      <vt:lpstr>vbtm300</vt:lpstr>
      <vt:lpstr>vbtm400</vt:lpstr>
      <vt:lpstr>Vc</vt:lpstr>
      <vt:lpstr>vc3.</vt:lpstr>
      <vt:lpstr>vca</vt:lpstr>
      <vt:lpstr>vcbo1</vt:lpstr>
      <vt:lpstr>vcbt35</vt:lpstr>
      <vt:lpstr>VCC</vt:lpstr>
      <vt:lpstr>vccat</vt:lpstr>
      <vt:lpstr>vccat35</vt:lpstr>
      <vt:lpstr>vccot</vt:lpstr>
      <vt:lpstr>vccot.</vt:lpstr>
      <vt:lpstr>vccot35</vt:lpstr>
      <vt:lpstr>VCD</vt:lpstr>
      <vt:lpstr>vcda</vt:lpstr>
      <vt:lpstr>vcda35</vt:lpstr>
      <vt:lpstr>vcdatd</vt:lpstr>
      <vt:lpstr>vcdayct</vt:lpstr>
      <vt:lpstr>vcdbt</vt:lpstr>
      <vt:lpstr>vcdc</vt:lpstr>
      <vt:lpstr>vcdc.</vt:lpstr>
      <vt:lpstr>vcdd</vt:lpstr>
      <vt:lpstr>VCDD3p</vt:lpstr>
      <vt:lpstr>vcddx</vt:lpstr>
      <vt:lpstr>vcdt</vt:lpstr>
      <vt:lpstr>vcdtb</vt:lpstr>
      <vt:lpstr>vcdungcu35</vt:lpstr>
      <vt:lpstr>VCHT</vt:lpstr>
      <vt:lpstr>vcoto</vt:lpstr>
      <vt:lpstr>VCP</vt:lpstr>
      <vt:lpstr>vcsat</vt:lpstr>
      <vt:lpstr>vcsat35</vt:lpstr>
      <vt:lpstr>vcsatct</vt:lpstr>
      <vt:lpstr>vcsuct</vt:lpstr>
      <vt:lpstr>vctb</vt:lpstr>
      <vt:lpstr>vctre</vt:lpstr>
      <vt:lpstr>vctt</vt:lpstr>
      <vt:lpstr>vcvbcb</vt:lpstr>
      <vt:lpstr>VCVBT1</vt:lpstr>
      <vt:lpstr>VCVBT2</vt:lpstr>
      <vt:lpstr>vcxa</vt:lpstr>
      <vt:lpstr>vcxa35</vt:lpstr>
      <vt:lpstr>vcxm</vt:lpstr>
      <vt:lpstr>vcxm35</vt:lpstr>
      <vt:lpstr>vd3p</vt:lpstr>
      <vt:lpstr>vdkt</vt:lpstr>
      <vt:lpstr>VDZ</vt:lpstr>
      <vt:lpstr>Vf</vt:lpstr>
      <vt:lpstr>vgho</vt:lpstr>
      <vt:lpstr>vgio</vt:lpstr>
      <vt:lpstr>vi</vt:lpstr>
      <vt:lpstr>vital1</vt:lpstr>
      <vt:lpstr>vital2</vt:lpstr>
      <vt:lpstr>vital4</vt:lpstr>
      <vt:lpstr>vital5</vt:lpstr>
      <vt:lpstr>vital6</vt:lpstr>
      <vt:lpstr>vital8</vt:lpstr>
      <vt:lpstr>vital9</vt:lpstr>
      <vt:lpstr>vkcauthang</vt:lpstr>
      <vt:lpstr>vkds</vt:lpstr>
      <vt:lpstr>vksan</vt:lpstr>
      <vt:lpstr>vktc</vt:lpstr>
      <vt:lpstr>vl</vt:lpstr>
      <vt:lpstr>VL.DMC</vt:lpstr>
      <vt:lpstr>VL.GTTMC</vt:lpstr>
      <vt:lpstr>VL.M10.1</vt:lpstr>
      <vt:lpstr>VL.M10.2</vt:lpstr>
      <vt:lpstr>VL.M14.1</vt:lpstr>
      <vt:lpstr>VL.M14.2</vt:lpstr>
      <vt:lpstr>VL.MDT</vt:lpstr>
      <vt:lpstr>VL.MTCat</vt:lpstr>
      <vt:lpstr>VL.T1C.CDFD</vt:lpstr>
      <vt:lpstr>VL.T1C.M14</vt:lpstr>
      <vt:lpstr>VL.TTC</vt:lpstr>
      <vt:lpstr>VL.X.CSV</vt:lpstr>
      <vt:lpstr>VL.XL</vt:lpstr>
      <vt:lpstr>vl1p</vt:lpstr>
      <vt:lpstr>vl3p</vt:lpstr>
      <vt:lpstr>vlc</vt:lpstr>
      <vt:lpstr>Vlcap0.7</vt:lpstr>
      <vt:lpstr>VLcap1</vt:lpstr>
      <vt:lpstr>vldd</vt:lpstr>
      <vt:lpstr>vldn400</vt:lpstr>
      <vt:lpstr>vldn600</vt:lpstr>
      <vt:lpstr>VLHC</vt:lpstr>
      <vt:lpstr>VLIEU</vt:lpstr>
      <vt:lpstr>vltco</vt:lpstr>
      <vt:lpstr>vltr</vt:lpstr>
      <vt:lpstr>vltram</vt:lpstr>
      <vt:lpstr>vm</vt:lpstr>
      <vt:lpstr>vm1.</vt:lpstr>
      <vt:lpstr>vm2.</vt:lpstr>
      <vt:lpstr>vn1.</vt:lpstr>
      <vt:lpstr>vn2.</vt:lpstr>
      <vt:lpstr>voi</vt:lpstr>
      <vt:lpstr>Vr</vt:lpstr>
      <vt:lpstr>vr3p</vt:lpstr>
      <vt:lpstr>Vs</vt:lpstr>
      <vt:lpstr>VT</vt:lpstr>
      <vt:lpstr>vt1pbs</vt:lpstr>
      <vt:lpstr>vtbs</vt:lpstr>
      <vt:lpstr>VuaBT200</vt:lpstr>
      <vt:lpstr>vungdcd</vt:lpstr>
      <vt:lpstr>vungdcl</vt:lpstr>
      <vt:lpstr>vungnhapk</vt:lpstr>
      <vt:lpstr>vungnhapl</vt:lpstr>
      <vt:lpstr>vungxuatk</vt:lpstr>
      <vt:lpstr>vungxuatl</vt:lpstr>
      <vt:lpstr>VVVVVV</vt:lpstr>
      <vt:lpstr>vxgf</vt:lpstr>
      <vt:lpstr>W</vt:lpstr>
      <vt:lpstr>wb</vt:lpstr>
      <vt:lpstr>WC</vt:lpstr>
      <vt:lpstr>wgyw</vt:lpstr>
      <vt:lpstr>WL</vt:lpstr>
      <vt:lpstr>WLd</vt:lpstr>
      <vt:lpstr>WLL</vt:lpstr>
      <vt:lpstr>WRITE</vt:lpstr>
      <vt:lpstr>WRN</vt:lpstr>
      <vt:lpstr>wrn.aaa.</vt:lpstr>
      <vt:lpstr>wrn.BAOCAO.</vt:lpstr>
      <vt:lpstr>wrn.BM.</vt:lpstr>
      <vt:lpstr>wrn.chi._.tiÆt.</vt:lpstr>
      <vt:lpstr>wrn.cong.</vt:lpstr>
      <vt:lpstr>wrn.inv._.budget.</vt:lpstr>
      <vt:lpstr>wrn.re_xoa2</vt:lpstr>
      <vt:lpstr>wrn.Report.</vt:lpstr>
      <vt:lpstr>wrn.testRapport.</vt:lpstr>
      <vt:lpstr>wrn.vd.</vt:lpstr>
      <vt:lpstr>wrn_xoa2</vt:lpstr>
      <vt:lpstr>wrnf.report</vt:lpstr>
      <vt:lpstr>wrnf_xoa2</vt:lpstr>
      <vt:lpstr>wrww</vt:lpstr>
      <vt:lpstr>wup</vt:lpstr>
      <vt:lpstr>wwhh</vt:lpstr>
      <vt:lpstr>wwhwhwrh</vt:lpstr>
      <vt:lpstr>wwwwwwww</vt:lpstr>
      <vt:lpstr>X</vt:lpstr>
      <vt:lpstr>X.CSV</vt:lpstr>
      <vt:lpstr>X.CSVa</vt:lpstr>
      <vt:lpstr>x_1</vt:lpstr>
      <vt:lpstr>x_2</vt:lpstr>
      <vt:lpstr>x_3</vt:lpstr>
      <vt:lpstr>x_4</vt:lpstr>
      <vt:lpstr>x_8I</vt:lpstr>
      <vt:lpstr>x_8IV</vt:lpstr>
      <vt:lpstr>x_9I</vt:lpstr>
      <vt:lpstr>x_9IV</vt:lpstr>
      <vt:lpstr>x_list</vt:lpstr>
      <vt:lpstr>x1_</vt:lpstr>
      <vt:lpstr>x17dnc</vt:lpstr>
      <vt:lpstr>x17dvl</vt:lpstr>
      <vt:lpstr>x17knc</vt:lpstr>
      <vt:lpstr>x17kvl</vt:lpstr>
      <vt:lpstr>X1pFCOnc</vt:lpstr>
      <vt:lpstr>X1pFCOvc</vt:lpstr>
      <vt:lpstr>X1pFCOvl</vt:lpstr>
      <vt:lpstr>x1pignc</vt:lpstr>
      <vt:lpstr>X1pIGvc</vt:lpstr>
      <vt:lpstr>x1pigvl</vt:lpstr>
      <vt:lpstr>x1pind</vt:lpstr>
      <vt:lpstr>x1pindnc</vt:lpstr>
      <vt:lpstr>x1pindvl</vt:lpstr>
      <vt:lpstr>x1ping</vt:lpstr>
      <vt:lpstr>x1pingnc</vt:lpstr>
      <vt:lpstr>x1pingvl</vt:lpstr>
      <vt:lpstr>x1pint</vt:lpstr>
      <vt:lpstr>x1pintnc</vt:lpstr>
      <vt:lpstr>X1pINTvc</vt:lpstr>
      <vt:lpstr>x1pintvl</vt:lpstr>
      <vt:lpstr>x1pitnc</vt:lpstr>
      <vt:lpstr>X1pITvc</vt:lpstr>
      <vt:lpstr>x1pitvl</vt:lpstr>
      <vt:lpstr>x2_</vt:lpstr>
      <vt:lpstr>x20knc</vt:lpstr>
      <vt:lpstr>x20kvl</vt:lpstr>
      <vt:lpstr>x22knc</vt:lpstr>
      <vt:lpstr>x22kvl</vt:lpstr>
      <vt:lpstr>x2mig1nc</vt:lpstr>
      <vt:lpstr>x2mig1vl</vt:lpstr>
      <vt:lpstr>x2min1nc</vt:lpstr>
      <vt:lpstr>x2min1vl</vt:lpstr>
      <vt:lpstr>x2mit1vl</vt:lpstr>
      <vt:lpstr>x2mitnc</vt:lpstr>
      <vt:lpstr>xa</vt:lpstr>
      <vt:lpstr>xaylap</vt:lpstr>
      <vt:lpstr>XCCT</vt:lpstr>
      <vt:lpstr>xcp</vt:lpstr>
      <vt:lpstr>xd0.6</vt:lpstr>
      <vt:lpstr>xd1.3</vt:lpstr>
      <vt:lpstr>xd1.5</vt:lpstr>
      <vt:lpstr>xdd</vt:lpstr>
      <vt:lpstr>XDDHT</vt:lpstr>
      <vt:lpstr>xdra</vt:lpstr>
      <vt:lpstr>xdsnc</vt:lpstr>
      <vt:lpstr>xdsvl</vt:lpstr>
      <vt:lpstr>xe</vt:lpstr>
      <vt:lpstr>xfco</vt:lpstr>
      <vt:lpstr>xfco3p</vt:lpstr>
      <vt:lpstr>xfconc</vt:lpstr>
      <vt:lpstr>xfconc3p</vt:lpstr>
      <vt:lpstr>xfcotnc</vt:lpstr>
      <vt:lpstr>xfcotvl</vt:lpstr>
      <vt:lpstr>xfcovl</vt:lpstr>
      <vt:lpstr>xfcovl3p</vt:lpstr>
      <vt:lpstr>xfnc</vt:lpstr>
      <vt:lpstr>xfvl</vt:lpstr>
      <vt:lpstr>xh</vt:lpstr>
      <vt:lpstr>xhn</vt:lpstr>
      <vt:lpstr>xhnnc</vt:lpstr>
      <vt:lpstr>xhnvl</vt:lpstr>
      <vt:lpstr>Xi_m_ng_PC30</vt:lpstr>
      <vt:lpstr>xig</vt:lpstr>
      <vt:lpstr>xig1</vt:lpstr>
      <vt:lpstr>xig1nc</vt:lpstr>
      <vt:lpstr>xig1p</vt:lpstr>
      <vt:lpstr>xig1pnc</vt:lpstr>
      <vt:lpstr>xig1pvl</vt:lpstr>
      <vt:lpstr>xig1vl</vt:lpstr>
      <vt:lpstr>xig2nc</vt:lpstr>
      <vt:lpstr>xig2vl</vt:lpstr>
      <vt:lpstr>xig3p</vt:lpstr>
      <vt:lpstr>xiggnc</vt:lpstr>
      <vt:lpstr>xiggvl</vt:lpstr>
      <vt:lpstr>xignc</vt:lpstr>
      <vt:lpstr>xignc3p</vt:lpstr>
      <vt:lpstr>xigvl</vt:lpstr>
      <vt:lpstr>xigvl3p</vt:lpstr>
      <vt:lpstr>ximang</vt:lpstr>
      <vt:lpstr>XiMangPCB30</vt:lpstr>
      <vt:lpstr>xin</vt:lpstr>
      <vt:lpstr>xin190</vt:lpstr>
      <vt:lpstr>xin1903p</vt:lpstr>
      <vt:lpstr>xin190nc</vt:lpstr>
      <vt:lpstr>xin190nc3p</vt:lpstr>
      <vt:lpstr>xin190vl</vt:lpstr>
      <vt:lpstr>xin190vl3p</vt:lpstr>
      <vt:lpstr>xin2903p</vt:lpstr>
      <vt:lpstr>xin290nc3p</vt:lpstr>
      <vt:lpstr>xin290vl3p</vt:lpstr>
      <vt:lpstr>xin3p</vt:lpstr>
      <vt:lpstr>xin901nc</vt:lpstr>
      <vt:lpstr>xin901vl</vt:lpstr>
      <vt:lpstr>xind</vt:lpstr>
      <vt:lpstr>xind1p</vt:lpstr>
      <vt:lpstr>xind1pnc</vt:lpstr>
      <vt:lpstr>xind1pvl</vt:lpstr>
      <vt:lpstr>xind3p</vt:lpstr>
      <vt:lpstr>xindnc</vt:lpstr>
      <vt:lpstr>xindnc1p</vt:lpstr>
      <vt:lpstr>xindnc3p</vt:lpstr>
      <vt:lpstr>xindvl</vt:lpstr>
      <vt:lpstr>xindvl1p</vt:lpstr>
      <vt:lpstr>xindvl3p</vt:lpstr>
      <vt:lpstr>xing1p</vt:lpstr>
      <vt:lpstr>xing1pnc</vt:lpstr>
      <vt:lpstr>xing1pvl</vt:lpstr>
      <vt:lpstr>xingnc1p</vt:lpstr>
      <vt:lpstr>xingvl1p</vt:lpstr>
      <vt:lpstr>xinnc</vt:lpstr>
      <vt:lpstr>xinnc3p</vt:lpstr>
      <vt:lpstr>xint1p</vt:lpstr>
      <vt:lpstr>xinvl</vt:lpstr>
      <vt:lpstr>xinvl3p</vt:lpstr>
      <vt:lpstr>xit</vt:lpstr>
      <vt:lpstr>xit1</vt:lpstr>
      <vt:lpstr>xit1nc</vt:lpstr>
      <vt:lpstr>xit1p</vt:lpstr>
      <vt:lpstr>xit1pnc</vt:lpstr>
      <vt:lpstr>xit1pvl</vt:lpstr>
      <vt:lpstr>xit1vl</vt:lpstr>
      <vt:lpstr>xit2nc</vt:lpstr>
      <vt:lpstr>xit2nc3p</vt:lpstr>
      <vt:lpstr>xit2vl</vt:lpstr>
      <vt:lpstr>xit2vl3p</vt:lpstr>
      <vt:lpstr>xit3p</vt:lpstr>
      <vt:lpstr>xitnc</vt:lpstr>
      <vt:lpstr>xitnc3p</vt:lpstr>
      <vt:lpstr>xittnc</vt:lpstr>
      <vt:lpstr>xittvl</vt:lpstr>
      <vt:lpstr>xitvl</vt:lpstr>
      <vt:lpstr>xitvl3p</vt:lpstr>
      <vt:lpstr>xk0.6</vt:lpstr>
      <vt:lpstr>xk1.3</vt:lpstr>
      <vt:lpstr>xk1.5</vt:lpstr>
      <vt:lpstr>xl</vt:lpstr>
      <vt:lpstr>Xl_CTO</vt:lpstr>
      <vt:lpstr>XLa</vt:lpstr>
      <vt:lpstr>xlc</vt:lpstr>
      <vt:lpstr>xld1.4</vt:lpstr>
      <vt:lpstr>xlk</vt:lpstr>
      <vt:lpstr>xlk1.4</vt:lpstr>
      <vt:lpstr>xlttbninh</vt:lpstr>
      <vt:lpstr>xm</vt:lpstr>
      <vt:lpstr>XM.M10.1</vt:lpstr>
      <vt:lpstr>XM.M10.2</vt:lpstr>
      <vt:lpstr>XM.M14.1</vt:lpstr>
      <vt:lpstr>XM.M14.2</vt:lpstr>
      <vt:lpstr>XM.MDT</vt:lpstr>
      <vt:lpstr>XM.MTCat</vt:lpstr>
      <vt:lpstr>XMBT</vt:lpstr>
      <vt:lpstr>xmcax</vt:lpstr>
      <vt:lpstr>xmp40</vt:lpstr>
      <vt:lpstr>xn</vt:lpstr>
      <vt:lpstr>xoa1</vt:lpstr>
      <vt:lpstr>xoa2</vt:lpstr>
      <vt:lpstr>xoa3</vt:lpstr>
      <vt:lpstr>xoa4</vt:lpstr>
      <vt:lpstr>XOANHAP</vt:lpstr>
      <vt:lpstr>xoanhapk</vt:lpstr>
      <vt:lpstr>xoanhapl</vt:lpstr>
      <vt:lpstr>xoaxuatk</vt:lpstr>
      <vt:lpstr>xoaxuatl</vt:lpstr>
      <vt:lpstr>XP</vt:lpstr>
      <vt:lpstr>xr1nc</vt:lpstr>
      <vt:lpstr>xr1vl</vt:lpstr>
      <vt:lpstr>XRefColumnsCount</vt:lpstr>
      <vt:lpstr>XRefCopyRangeCount</vt:lpstr>
      <vt:lpstr>XRefPasteRangeCount</vt:lpstr>
      <vt:lpstr>Xsi</vt:lpstr>
      <vt:lpstr>XTN</vt:lpstr>
      <vt:lpstr>xtr3pnc</vt:lpstr>
      <vt:lpstr>xtr3pvl</vt:lpstr>
      <vt:lpstr>xuat_hien</vt:lpstr>
      <vt:lpstr>Xuat_hien1</vt:lpstr>
      <vt:lpstr>XuÊt8</vt:lpstr>
      <vt:lpstr>XXT</vt:lpstr>
      <vt:lpstr>y</vt:lpstr>
      <vt:lpstr>y_1I</vt:lpstr>
      <vt:lpstr>y_1II</vt:lpstr>
      <vt:lpstr>y_1III</vt:lpstr>
      <vt:lpstr>y_1IV</vt:lpstr>
      <vt:lpstr>y_2I</vt:lpstr>
      <vt:lpstr>y_2II</vt:lpstr>
      <vt:lpstr>y_2III</vt:lpstr>
      <vt:lpstr>y_2IV</vt:lpstr>
      <vt:lpstr>y_3I</vt:lpstr>
      <vt:lpstr>y_3II</vt:lpstr>
      <vt:lpstr>y_3III</vt:lpstr>
      <vt:lpstr>y_3IV</vt:lpstr>
      <vt:lpstr>y_4I</vt:lpstr>
      <vt:lpstr>y_4II</vt:lpstr>
      <vt:lpstr>y_4III</vt:lpstr>
      <vt:lpstr>y_4IV</vt:lpstr>
      <vt:lpstr>y_9bI</vt:lpstr>
      <vt:lpstr>y_9bII</vt:lpstr>
      <vt:lpstr>y_9bIII</vt:lpstr>
      <vt:lpstr>y_9bIV</vt:lpstr>
      <vt:lpstr>y_9I</vt:lpstr>
      <vt:lpstr>y_9II</vt:lpstr>
      <vt:lpstr>y_9III</vt:lpstr>
      <vt:lpstr>y_9IV</vt:lpstr>
      <vt:lpstr>y_list</vt:lpstr>
      <vt:lpstr>yc.</vt:lpstr>
      <vt:lpstr>ycp</vt:lpstr>
      <vt:lpstr>ỳdhgg</vt:lpstr>
      <vt:lpstr>ỳđsgfhgfgfhghggh</vt:lpstr>
      <vt:lpstr>Yellow2000</vt:lpstr>
      <vt:lpstr>ytiti</vt:lpstr>
      <vt:lpstr>ỵu</vt:lpstr>
      <vt:lpstr>YvNgam</vt:lpstr>
      <vt:lpstr>YvTreo</vt:lpstr>
      <vt:lpstr>yyjy_ukyu</vt:lpstr>
      <vt:lpstr>yyyyyyyyyyy</vt:lpstr>
      <vt:lpstr>Z</vt:lpstr>
      <vt:lpstr>Z0</vt:lpstr>
      <vt:lpstr>Z12_</vt:lpstr>
      <vt:lpstr>Z590_6months</vt:lpstr>
      <vt:lpstr>zKm2</vt:lpstr>
      <vt:lpstr>ZXzX</vt:lpstr>
      <vt:lpstr>ZYX</vt:lpstr>
      <vt:lpstr>ZZZ</vt:lpstr>
      <vt:lpstr>キャンセル</vt:lpstr>
      <vt:lpstr>ソートする</vt:lpstr>
      <vt:lpstr>デｰタの消去</vt:lpstr>
      <vt:lpstr>견적</vt:lpstr>
      <vt:lpstr>견적2</vt:lpstr>
      <vt:lpstr>견적SHEET</vt:lpstr>
      <vt:lpstr>래그</vt:lpstr>
      <vt:lpstr>샘풀카피</vt:lpstr>
      <vt:lpstr>샘플카피2</vt:lpstr>
      <vt:lpstr>샘플카피3</vt:lpstr>
      <vt:lpstr>영업장타입</vt:lpstr>
      <vt:lpstr>品番ソートする</vt:lpstr>
      <vt:lpstr>自動入力</vt:lpstr>
      <vt:lpstr>解除</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DELL</dc:creator>
  <lastModifiedBy>Xuan Duc</lastModifiedBy>
  <lastPrinted>2025-05-09T10:06:48.0000000Z</lastPrinted>
  <dcterms:created xsi:type="dcterms:W3CDTF">2021-08-04T14:40:23.0000000Z</dcterms:created>
  <dcterms:modified xsi:type="dcterms:W3CDTF">2025-09-23T02:01:10.0000000Z</dcterms:modified>
</coreProperties>
</file>